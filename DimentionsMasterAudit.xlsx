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\Downloads\Dimentions Audit Authenticator\"/>
    </mc:Choice>
  </mc:AlternateContent>
  <xr:revisionPtr revIDLastSave="0" documentId="8_{17EB100D-859A-4F32-A4D8-D64E9D468F8F}" xr6:coauthVersionLast="47" xr6:coauthVersionMax="47" xr10:uidLastSave="{00000000-0000-0000-0000-000000000000}"/>
  <bookViews>
    <workbookView xWindow="-108" yWindow="-108" windowWidth="23256" windowHeight="14616" xr2:uid="{A0BEC2D8-7806-4059-9FDB-3FE704093C3E}"/>
  </bookViews>
  <sheets>
    <sheet name="Billing Dimensions" sheetId="3" r:id="rId1"/>
    <sheet name="Audit Dimensions" sheetId="1" r:id="rId2"/>
    <sheet name="Audit VAR" sheetId="2" r:id="rId3"/>
  </sheets>
  <externalReferences>
    <externalReference r:id="rId4"/>
    <externalReference r:id="rId5"/>
  </externalReferences>
  <definedNames>
    <definedName name="_xlnm._FilterDatabase" localSheetId="1" hidden="1">'Audit Dimensions'!$A$1:$X$284</definedName>
    <definedName name="_xlnm._FilterDatabase" localSheetId="2" hidden="1">'Audit VAR'!$A$3:$R$265</definedName>
    <definedName name="_xlnm._FilterDatabase" localSheetId="0" hidden="1">'Billing Dimensions'!$Y$2:$Y$258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5" i="3" l="1"/>
  <c r="S305" i="3" s="1"/>
  <c r="T305" i="3" s="1"/>
  <c r="P305" i="3"/>
  <c r="Q304" i="3"/>
  <c r="R304" i="3" s="1"/>
  <c r="P304" i="3"/>
  <c r="O304" i="3"/>
  <c r="Q303" i="3"/>
  <c r="R303" i="3" s="1"/>
  <c r="S303" i="3" s="1"/>
  <c r="T303" i="3" s="1"/>
  <c r="U303" i="3" s="1"/>
  <c r="V303" i="3" s="1"/>
  <c r="W303" i="3" s="1"/>
  <c r="P303" i="3"/>
  <c r="O303" i="3"/>
  <c r="R302" i="3"/>
  <c r="S302" i="3" s="1"/>
  <c r="T302" i="3" s="1"/>
  <c r="U302" i="3" s="1"/>
  <c r="V302" i="3" s="1"/>
  <c r="W302" i="3" s="1"/>
  <c r="Q302" i="3"/>
  <c r="P302" i="3"/>
  <c r="O302" i="3"/>
  <c r="Q301" i="3"/>
  <c r="P301" i="3"/>
  <c r="O301" i="3"/>
  <c r="R301" i="3" s="1"/>
  <c r="Q300" i="3"/>
  <c r="R300" i="3" s="1"/>
  <c r="W300" i="3" s="1"/>
  <c r="P300" i="3"/>
  <c r="O300" i="3"/>
  <c r="S299" i="3"/>
  <c r="T299" i="3" s="1"/>
  <c r="U299" i="3" s="1"/>
  <c r="V299" i="3" s="1"/>
  <c r="Q299" i="3"/>
  <c r="P299" i="3"/>
  <c r="O299" i="3"/>
  <c r="R299" i="3" s="1"/>
  <c r="W299" i="3" s="1"/>
  <c r="W298" i="3"/>
  <c r="Q298" i="3"/>
  <c r="R298" i="3" s="1"/>
  <c r="S298" i="3" s="1"/>
  <c r="T298" i="3" s="1"/>
  <c r="U298" i="3" s="1"/>
  <c r="V298" i="3" s="1"/>
  <c r="P298" i="3"/>
  <c r="O298" i="3"/>
  <c r="Q297" i="3"/>
  <c r="R297" i="3" s="1"/>
  <c r="S297" i="3" s="1"/>
  <c r="T297" i="3" s="1"/>
  <c r="U297" i="3" s="1"/>
  <c r="V297" i="3" s="1"/>
  <c r="P297" i="3"/>
  <c r="O297" i="3"/>
  <c r="Q296" i="3"/>
  <c r="P296" i="3"/>
  <c r="O296" i="3"/>
  <c r="R295" i="3"/>
  <c r="Q295" i="3"/>
  <c r="P295" i="3"/>
  <c r="O295" i="3"/>
  <c r="W294" i="3"/>
  <c r="S294" i="3"/>
  <c r="T294" i="3" s="1"/>
  <c r="U294" i="3" s="1"/>
  <c r="V294" i="3" s="1"/>
  <c r="R294" i="3"/>
  <c r="Q294" i="3"/>
  <c r="P294" i="3"/>
  <c r="O294" i="3"/>
  <c r="Q293" i="3"/>
  <c r="P293" i="3"/>
  <c r="O293" i="3"/>
  <c r="Q292" i="3"/>
  <c r="R292" i="3" s="1"/>
  <c r="P292" i="3"/>
  <c r="O292" i="3"/>
  <c r="Q291" i="3"/>
  <c r="P291" i="3"/>
  <c r="O291" i="3"/>
  <c r="R291" i="3" s="1"/>
  <c r="W290" i="3"/>
  <c r="Q290" i="3"/>
  <c r="R290" i="3" s="1"/>
  <c r="S290" i="3" s="1"/>
  <c r="T290" i="3" s="1"/>
  <c r="U290" i="3" s="1"/>
  <c r="V290" i="3" s="1"/>
  <c r="P290" i="3"/>
  <c r="O290" i="3"/>
  <c r="Q289" i="3"/>
  <c r="P289" i="3"/>
  <c r="O289" i="3"/>
  <c r="R289" i="3" s="1"/>
  <c r="S288" i="3"/>
  <c r="T288" i="3" s="1"/>
  <c r="U288" i="3" s="1"/>
  <c r="V288" i="3" s="1"/>
  <c r="Q288" i="3"/>
  <c r="R288" i="3" s="1"/>
  <c r="W288" i="3" s="1"/>
  <c r="P288" i="3"/>
  <c r="O288" i="3"/>
  <c r="Q287" i="3"/>
  <c r="P287" i="3"/>
  <c r="O287" i="3"/>
  <c r="R287" i="3" s="1"/>
  <c r="Q286" i="3"/>
  <c r="R286" i="3" s="1"/>
  <c r="P286" i="3"/>
  <c r="O286" i="3"/>
  <c r="Q285" i="3"/>
  <c r="R285" i="3" s="1"/>
  <c r="P285" i="3"/>
  <c r="O285" i="3"/>
  <c r="Q284" i="3"/>
  <c r="R284" i="3" s="1"/>
  <c r="P284" i="3"/>
  <c r="O284" i="3"/>
  <c r="W283" i="3"/>
  <c r="T283" i="3"/>
  <c r="U283" i="3" s="1"/>
  <c r="V283" i="3" s="1"/>
  <c r="Q283" i="3"/>
  <c r="R283" i="3" s="1"/>
  <c r="S283" i="3" s="1"/>
  <c r="P283" i="3"/>
  <c r="O283" i="3"/>
  <c r="R282" i="3"/>
  <c r="Q282" i="3"/>
  <c r="P282" i="3"/>
  <c r="O282" i="3"/>
  <c r="Q281" i="3"/>
  <c r="R281" i="3" s="1"/>
  <c r="P281" i="3"/>
  <c r="O281" i="3"/>
  <c r="Q280" i="3"/>
  <c r="R280" i="3" s="1"/>
  <c r="W280" i="3" s="1"/>
  <c r="P280" i="3"/>
  <c r="O280" i="3"/>
  <c r="W279" i="3"/>
  <c r="S279" i="3"/>
  <c r="T279" i="3" s="1"/>
  <c r="U279" i="3" s="1"/>
  <c r="V279" i="3" s="1"/>
  <c r="R279" i="3"/>
  <c r="Q279" i="3"/>
  <c r="P279" i="3"/>
  <c r="O279" i="3"/>
  <c r="Q278" i="3"/>
  <c r="R278" i="3" s="1"/>
  <c r="P278" i="3"/>
  <c r="O278" i="3"/>
  <c r="Q277" i="3"/>
  <c r="R277" i="3" s="1"/>
  <c r="P277" i="3"/>
  <c r="O277" i="3"/>
  <c r="Q276" i="3"/>
  <c r="R276" i="3" s="1"/>
  <c r="P276" i="3"/>
  <c r="O276" i="3"/>
  <c r="S275" i="3"/>
  <c r="T275" i="3" s="1"/>
  <c r="U275" i="3" s="1"/>
  <c r="V275" i="3" s="1"/>
  <c r="Q275" i="3"/>
  <c r="R275" i="3" s="1"/>
  <c r="W275" i="3" s="1"/>
  <c r="P275" i="3"/>
  <c r="O275" i="3"/>
  <c r="W274" i="3"/>
  <c r="R274" i="3"/>
  <c r="S274" i="3" s="1"/>
  <c r="T274" i="3" s="1"/>
  <c r="U274" i="3" s="1"/>
  <c r="V274" i="3" s="1"/>
  <c r="Q274" i="3"/>
  <c r="P274" i="3"/>
  <c r="O274" i="3"/>
  <c r="T273" i="3"/>
  <c r="U273" i="3" s="1"/>
  <c r="V273" i="3" s="1"/>
  <c r="S273" i="3"/>
  <c r="Q273" i="3"/>
  <c r="R273" i="3" s="1"/>
  <c r="W273" i="3" s="1"/>
  <c r="P273" i="3"/>
  <c r="O273" i="3"/>
  <c r="R272" i="3"/>
  <c r="Q272" i="3"/>
  <c r="P272" i="3"/>
  <c r="O272" i="3"/>
  <c r="Q271" i="3"/>
  <c r="R271" i="3" s="1"/>
  <c r="P271" i="3"/>
  <c r="O271" i="3"/>
  <c r="Q270" i="3"/>
  <c r="P270" i="3"/>
  <c r="O270" i="3"/>
  <c r="Q269" i="3"/>
  <c r="P269" i="3"/>
  <c r="O269" i="3"/>
  <c r="R269" i="3" s="1"/>
  <c r="Q268" i="3"/>
  <c r="R268" i="3" s="1"/>
  <c r="P268" i="3"/>
  <c r="O268" i="3"/>
  <c r="W267" i="3"/>
  <c r="Q267" i="3"/>
  <c r="P267" i="3"/>
  <c r="O267" i="3"/>
  <c r="R267" i="3" s="1"/>
  <c r="Q266" i="3"/>
  <c r="P266" i="3"/>
  <c r="O266" i="3"/>
  <c r="R266" i="3" s="1"/>
  <c r="S265" i="3"/>
  <c r="T265" i="3" s="1"/>
  <c r="U265" i="3" s="1"/>
  <c r="V265" i="3" s="1"/>
  <c r="Q265" i="3"/>
  <c r="R265" i="3" s="1"/>
  <c r="W265" i="3" s="1"/>
  <c r="P265" i="3"/>
  <c r="O265" i="3"/>
  <c r="W264" i="3"/>
  <c r="U264" i="3"/>
  <c r="V264" i="3" s="1"/>
  <c r="Q264" i="3"/>
  <c r="P264" i="3"/>
  <c r="O264" i="3"/>
  <c r="R264" i="3" s="1"/>
  <c r="S264" i="3" s="1"/>
  <c r="T264" i="3" s="1"/>
  <c r="R263" i="3"/>
  <c r="Q263" i="3"/>
  <c r="P263" i="3"/>
  <c r="O263" i="3"/>
  <c r="Q262" i="3"/>
  <c r="P262" i="3"/>
  <c r="O262" i="3"/>
  <c r="R262" i="3" s="1"/>
  <c r="Q261" i="3"/>
  <c r="R261" i="3" s="1"/>
  <c r="S261" i="3" s="1"/>
  <c r="T261" i="3" s="1"/>
  <c r="U261" i="3" s="1"/>
  <c r="V261" i="3" s="1"/>
  <c r="P261" i="3"/>
  <c r="O261" i="3"/>
  <c r="Q260" i="3"/>
  <c r="R260" i="3" s="1"/>
  <c r="W260" i="3" s="1"/>
  <c r="P260" i="3"/>
  <c r="S260" i="3" s="1"/>
  <c r="T260" i="3" s="1"/>
  <c r="U260" i="3" s="1"/>
  <c r="V260" i="3" s="1"/>
  <c r="O260" i="3"/>
  <c r="T259" i="3"/>
  <c r="U259" i="3" s="1"/>
  <c r="V259" i="3" s="1"/>
  <c r="Q259" i="3"/>
  <c r="P259" i="3"/>
  <c r="O259" i="3"/>
  <c r="R259" i="3" s="1"/>
  <c r="S259" i="3" s="1"/>
  <c r="Q258" i="3"/>
  <c r="P258" i="3"/>
  <c r="O258" i="3"/>
  <c r="Q257" i="3"/>
  <c r="R257" i="3" s="1"/>
  <c r="P257" i="3"/>
  <c r="O257" i="3"/>
  <c r="Q256" i="3"/>
  <c r="R256" i="3" s="1"/>
  <c r="P256" i="3"/>
  <c r="O256" i="3"/>
  <c r="Q255" i="3"/>
  <c r="R255" i="3" s="1"/>
  <c r="P255" i="3"/>
  <c r="O255" i="3"/>
  <c r="W254" i="3"/>
  <c r="R254" i="3"/>
  <c r="S254" i="3" s="1"/>
  <c r="T254" i="3" s="1"/>
  <c r="U254" i="3" s="1"/>
  <c r="V254" i="3" s="1"/>
  <c r="Q254" i="3"/>
  <c r="P254" i="3"/>
  <c r="O254" i="3"/>
  <c r="Q253" i="3"/>
  <c r="R253" i="3" s="1"/>
  <c r="W253" i="3" s="1"/>
  <c r="P253" i="3"/>
  <c r="O253" i="3"/>
  <c r="Q252" i="3"/>
  <c r="R252" i="3" s="1"/>
  <c r="W252" i="3" s="1"/>
  <c r="P252" i="3"/>
  <c r="O252" i="3"/>
  <c r="Q251" i="3"/>
  <c r="P251" i="3"/>
  <c r="O251" i="3"/>
  <c r="R251" i="3" s="1"/>
  <c r="W250" i="3"/>
  <c r="Q250" i="3"/>
  <c r="R250" i="3" s="1"/>
  <c r="S250" i="3" s="1"/>
  <c r="T250" i="3" s="1"/>
  <c r="U250" i="3" s="1"/>
  <c r="V250" i="3" s="1"/>
  <c r="P250" i="3"/>
  <c r="O250" i="3"/>
  <c r="Q249" i="3"/>
  <c r="P249" i="3"/>
  <c r="O249" i="3"/>
  <c r="R249" i="3" s="1"/>
  <c r="Q248" i="3"/>
  <c r="R248" i="3" s="1"/>
  <c r="P248" i="3"/>
  <c r="O248" i="3"/>
  <c r="Q247" i="3"/>
  <c r="P247" i="3"/>
  <c r="O247" i="3"/>
  <c r="R247" i="3" s="1"/>
  <c r="W247" i="3" s="1"/>
  <c r="S246" i="3"/>
  <c r="T246" i="3" s="1"/>
  <c r="U246" i="3" s="1"/>
  <c r="V246" i="3" s="1"/>
  <c r="Q246" i="3"/>
  <c r="R246" i="3" s="1"/>
  <c r="W246" i="3" s="1"/>
  <c r="P246" i="3"/>
  <c r="O246" i="3"/>
  <c r="Q245" i="3"/>
  <c r="R245" i="3" s="1"/>
  <c r="W245" i="3" s="1"/>
  <c r="P245" i="3"/>
  <c r="O245" i="3"/>
  <c r="R244" i="3"/>
  <c r="Q244" i="3"/>
  <c r="P244" i="3"/>
  <c r="O244" i="3"/>
  <c r="R243" i="3"/>
  <c r="Q243" i="3"/>
  <c r="P243" i="3"/>
  <c r="O243" i="3"/>
  <c r="S242" i="3"/>
  <c r="T242" i="3" s="1"/>
  <c r="U242" i="3" s="1"/>
  <c r="V242" i="3" s="1"/>
  <c r="R242" i="3"/>
  <c r="W242" i="3" s="1"/>
  <c r="Q242" i="3"/>
  <c r="P242" i="3"/>
  <c r="O242" i="3"/>
  <c r="Q241" i="3"/>
  <c r="P241" i="3"/>
  <c r="O241" i="3"/>
  <c r="Q240" i="3"/>
  <c r="R240" i="3" s="1"/>
  <c r="W240" i="3" s="1"/>
  <c r="P240" i="3"/>
  <c r="O240" i="3"/>
  <c r="Q239" i="3"/>
  <c r="P239" i="3"/>
  <c r="O239" i="3"/>
  <c r="R239" i="3" s="1"/>
  <c r="Q238" i="3"/>
  <c r="P238" i="3"/>
  <c r="O238" i="3"/>
  <c r="R237" i="3"/>
  <c r="Q237" i="3"/>
  <c r="P237" i="3"/>
  <c r="O237" i="3"/>
  <c r="Q236" i="3"/>
  <c r="P236" i="3"/>
  <c r="O236" i="3"/>
  <c r="Q235" i="3"/>
  <c r="P235" i="3"/>
  <c r="O235" i="3"/>
  <c r="R234" i="3"/>
  <c r="Q234" i="3"/>
  <c r="P234" i="3"/>
  <c r="O234" i="3"/>
  <c r="Q233" i="3"/>
  <c r="P233" i="3"/>
  <c r="O233" i="3"/>
  <c r="W232" i="3"/>
  <c r="Q232" i="3"/>
  <c r="R232" i="3" s="1"/>
  <c r="S232" i="3" s="1"/>
  <c r="T232" i="3" s="1"/>
  <c r="U232" i="3" s="1"/>
  <c r="V232" i="3" s="1"/>
  <c r="P232" i="3"/>
  <c r="O232" i="3"/>
  <c r="Q231" i="3"/>
  <c r="R231" i="3" s="1"/>
  <c r="P231" i="3"/>
  <c r="O231" i="3"/>
  <c r="Q230" i="3"/>
  <c r="R230" i="3" s="1"/>
  <c r="P230" i="3"/>
  <c r="O230" i="3"/>
  <c r="Q229" i="3"/>
  <c r="P229" i="3"/>
  <c r="O229" i="3"/>
  <c r="R229" i="3" s="1"/>
  <c r="Q228" i="3"/>
  <c r="R228" i="3" s="1"/>
  <c r="P228" i="3"/>
  <c r="O228" i="3"/>
  <c r="W227" i="3"/>
  <c r="Q227" i="3"/>
  <c r="P227" i="3"/>
  <c r="O227" i="3"/>
  <c r="R227" i="3" s="1"/>
  <c r="Q226" i="3"/>
  <c r="R226" i="3" s="1"/>
  <c r="S226" i="3" s="1"/>
  <c r="T226" i="3" s="1"/>
  <c r="U226" i="3" s="1"/>
  <c r="V226" i="3" s="1"/>
  <c r="P226" i="3"/>
  <c r="O226" i="3"/>
  <c r="Q225" i="3"/>
  <c r="R225" i="3" s="1"/>
  <c r="W225" i="3" s="1"/>
  <c r="P225" i="3"/>
  <c r="O225" i="3"/>
  <c r="Q224" i="3"/>
  <c r="R224" i="3" s="1"/>
  <c r="S224" i="3" s="1"/>
  <c r="T224" i="3" s="1"/>
  <c r="U224" i="3" s="1"/>
  <c r="V224" i="3" s="1"/>
  <c r="P224" i="3"/>
  <c r="O224" i="3"/>
  <c r="Q223" i="3"/>
  <c r="R223" i="3" s="1"/>
  <c r="W223" i="3" s="1"/>
  <c r="P223" i="3"/>
  <c r="O223" i="3"/>
  <c r="R222" i="3"/>
  <c r="Q222" i="3"/>
  <c r="P222" i="3"/>
  <c r="O222" i="3"/>
  <c r="R221" i="3"/>
  <c r="Q221" i="3"/>
  <c r="P221" i="3"/>
  <c r="O221" i="3"/>
  <c r="Q220" i="3"/>
  <c r="R220" i="3" s="1"/>
  <c r="P220" i="3"/>
  <c r="O220" i="3"/>
  <c r="R219" i="3"/>
  <c r="W219" i="3" s="1"/>
  <c r="Q219" i="3"/>
  <c r="P219" i="3"/>
  <c r="O219" i="3"/>
  <c r="W218" i="3"/>
  <c r="V218" i="3"/>
  <c r="Q218" i="3"/>
  <c r="R218" i="3" s="1"/>
  <c r="S218" i="3" s="1"/>
  <c r="T218" i="3" s="1"/>
  <c r="U218" i="3" s="1"/>
  <c r="P218" i="3"/>
  <c r="O218" i="3"/>
  <c r="Q217" i="3"/>
  <c r="R217" i="3" s="1"/>
  <c r="W217" i="3" s="1"/>
  <c r="P217" i="3"/>
  <c r="O217" i="3"/>
  <c r="W216" i="3"/>
  <c r="Q216" i="3"/>
  <c r="R216" i="3" s="1"/>
  <c r="S216" i="3" s="1"/>
  <c r="T216" i="3" s="1"/>
  <c r="U216" i="3" s="1"/>
  <c r="V216" i="3" s="1"/>
  <c r="P216" i="3"/>
  <c r="O216" i="3"/>
  <c r="R215" i="3"/>
  <c r="W215" i="3" s="1"/>
  <c r="Q215" i="3"/>
  <c r="P215" i="3"/>
  <c r="O215" i="3"/>
  <c r="R214" i="3"/>
  <c r="Q214" i="3"/>
  <c r="P214" i="3"/>
  <c r="O214" i="3"/>
  <c r="Q213" i="3"/>
  <c r="R213" i="3" s="1"/>
  <c r="W213" i="3" s="1"/>
  <c r="P213" i="3"/>
  <c r="O213" i="3"/>
  <c r="Q212" i="3"/>
  <c r="R212" i="3" s="1"/>
  <c r="S212" i="3" s="1"/>
  <c r="T212" i="3" s="1"/>
  <c r="U212" i="3" s="1"/>
  <c r="V212" i="3" s="1"/>
  <c r="P212" i="3"/>
  <c r="O212" i="3"/>
  <c r="Q211" i="3"/>
  <c r="R211" i="3" s="1"/>
  <c r="P211" i="3"/>
  <c r="O211" i="3"/>
  <c r="Q210" i="3"/>
  <c r="P210" i="3"/>
  <c r="O210" i="3"/>
  <c r="W209" i="3"/>
  <c r="R209" i="3"/>
  <c r="S209" i="3" s="1"/>
  <c r="T209" i="3" s="1"/>
  <c r="U209" i="3" s="1"/>
  <c r="V209" i="3" s="1"/>
  <c r="Q209" i="3"/>
  <c r="P209" i="3"/>
  <c r="O209" i="3"/>
  <c r="Q208" i="3"/>
  <c r="P208" i="3"/>
  <c r="O208" i="3"/>
  <c r="R208" i="3" s="1"/>
  <c r="Q207" i="3"/>
  <c r="R207" i="3" s="1"/>
  <c r="S207" i="3" s="1"/>
  <c r="T207" i="3" s="1"/>
  <c r="U207" i="3" s="1"/>
  <c r="V207" i="3" s="1"/>
  <c r="P207" i="3"/>
  <c r="O207" i="3"/>
  <c r="T206" i="3"/>
  <c r="U206" i="3" s="1"/>
  <c r="V206" i="3" s="1"/>
  <c r="Q206" i="3"/>
  <c r="R206" i="3" s="1"/>
  <c r="S206" i="3" s="1"/>
  <c r="P206" i="3"/>
  <c r="O206" i="3"/>
  <c r="Q205" i="3"/>
  <c r="R205" i="3" s="1"/>
  <c r="P205" i="3"/>
  <c r="O205" i="3"/>
  <c r="Q204" i="3"/>
  <c r="R204" i="3" s="1"/>
  <c r="P204" i="3"/>
  <c r="O204" i="3"/>
  <c r="Q203" i="3"/>
  <c r="R203" i="3" s="1"/>
  <c r="P203" i="3"/>
  <c r="O203" i="3"/>
  <c r="Q202" i="3"/>
  <c r="P202" i="3"/>
  <c r="O202" i="3"/>
  <c r="R202" i="3" s="1"/>
  <c r="Q201" i="3"/>
  <c r="R201" i="3" s="1"/>
  <c r="P201" i="3"/>
  <c r="O201" i="3"/>
  <c r="Q200" i="3"/>
  <c r="R200" i="3" s="1"/>
  <c r="W200" i="3" s="1"/>
  <c r="P200" i="3"/>
  <c r="O200" i="3"/>
  <c r="R199" i="3"/>
  <c r="Q199" i="3"/>
  <c r="P199" i="3"/>
  <c r="O199" i="3"/>
  <c r="Q198" i="3"/>
  <c r="P198" i="3"/>
  <c r="O198" i="3"/>
  <c r="Q197" i="3"/>
  <c r="R197" i="3" s="1"/>
  <c r="S197" i="3" s="1"/>
  <c r="T197" i="3" s="1"/>
  <c r="U197" i="3" s="1"/>
  <c r="V197" i="3" s="1"/>
  <c r="P197" i="3"/>
  <c r="O197" i="3"/>
  <c r="Q196" i="3"/>
  <c r="P196" i="3"/>
  <c r="O196" i="3"/>
  <c r="Q195" i="3"/>
  <c r="R195" i="3" s="1"/>
  <c r="P195" i="3"/>
  <c r="O195" i="3"/>
  <c r="W194" i="3"/>
  <c r="S194" i="3"/>
  <c r="T194" i="3" s="1"/>
  <c r="U194" i="3" s="1"/>
  <c r="V194" i="3" s="1"/>
  <c r="R194" i="3"/>
  <c r="Q194" i="3"/>
  <c r="P194" i="3"/>
  <c r="O194" i="3"/>
  <c r="Q193" i="3"/>
  <c r="P193" i="3"/>
  <c r="O193" i="3"/>
  <c r="R192" i="3"/>
  <c r="W192" i="3" s="1"/>
  <c r="Q192" i="3"/>
  <c r="P192" i="3"/>
  <c r="O192" i="3"/>
  <c r="Q191" i="3"/>
  <c r="P191" i="3"/>
  <c r="O191" i="3"/>
  <c r="R191" i="3" s="1"/>
  <c r="S190" i="3"/>
  <c r="T190" i="3" s="1"/>
  <c r="U190" i="3" s="1"/>
  <c r="V190" i="3" s="1"/>
  <c r="Q190" i="3"/>
  <c r="R190" i="3" s="1"/>
  <c r="W190" i="3" s="1"/>
  <c r="P190" i="3"/>
  <c r="O190" i="3"/>
  <c r="R189" i="3"/>
  <c r="W189" i="3" s="1"/>
  <c r="Q189" i="3"/>
  <c r="P189" i="3"/>
  <c r="O189" i="3"/>
  <c r="Q188" i="3"/>
  <c r="R188" i="3" s="1"/>
  <c r="P188" i="3"/>
  <c r="O188" i="3"/>
  <c r="Q187" i="3"/>
  <c r="R187" i="3" s="1"/>
  <c r="P187" i="3"/>
  <c r="O187" i="3"/>
  <c r="R186" i="3"/>
  <c r="W186" i="3" s="1"/>
  <c r="Q186" i="3"/>
  <c r="P186" i="3"/>
  <c r="O186" i="3"/>
  <c r="Q185" i="3"/>
  <c r="R185" i="3" s="1"/>
  <c r="P185" i="3"/>
  <c r="O185" i="3"/>
  <c r="W184" i="3"/>
  <c r="T184" i="3"/>
  <c r="U184" i="3" s="1"/>
  <c r="V184" i="3" s="1"/>
  <c r="Q184" i="3"/>
  <c r="P184" i="3"/>
  <c r="O184" i="3"/>
  <c r="R184" i="3" s="1"/>
  <c r="S184" i="3" s="1"/>
  <c r="W183" i="3"/>
  <c r="Q183" i="3"/>
  <c r="R183" i="3" s="1"/>
  <c r="S183" i="3" s="1"/>
  <c r="T183" i="3" s="1"/>
  <c r="U183" i="3" s="1"/>
  <c r="V183" i="3" s="1"/>
  <c r="P183" i="3"/>
  <c r="O183" i="3"/>
  <c r="R182" i="3"/>
  <c r="Q182" i="3"/>
  <c r="P182" i="3"/>
  <c r="O182" i="3"/>
  <c r="Q181" i="3"/>
  <c r="R181" i="3" s="1"/>
  <c r="P181" i="3"/>
  <c r="O181" i="3"/>
  <c r="S180" i="3"/>
  <c r="T180" i="3" s="1"/>
  <c r="U180" i="3" s="1"/>
  <c r="V180" i="3" s="1"/>
  <c r="Q180" i="3"/>
  <c r="R180" i="3" s="1"/>
  <c r="W180" i="3" s="1"/>
  <c r="P180" i="3"/>
  <c r="O180" i="3"/>
  <c r="Q179" i="3"/>
  <c r="P179" i="3"/>
  <c r="O179" i="3"/>
  <c r="R179" i="3" s="1"/>
  <c r="Q178" i="3"/>
  <c r="R178" i="3" s="1"/>
  <c r="S178" i="3" s="1"/>
  <c r="T178" i="3" s="1"/>
  <c r="U178" i="3" s="1"/>
  <c r="V178" i="3" s="1"/>
  <c r="P178" i="3"/>
  <c r="O178" i="3"/>
  <c r="W177" i="3"/>
  <c r="U177" i="3"/>
  <c r="V177" i="3" s="1"/>
  <c r="T177" i="3"/>
  <c r="Q177" i="3"/>
  <c r="R177" i="3" s="1"/>
  <c r="S177" i="3" s="1"/>
  <c r="P177" i="3"/>
  <c r="O177" i="3"/>
  <c r="Q176" i="3"/>
  <c r="P176" i="3"/>
  <c r="O176" i="3"/>
  <c r="Q175" i="3"/>
  <c r="P175" i="3"/>
  <c r="O175" i="3"/>
  <c r="W174" i="3"/>
  <c r="R174" i="3"/>
  <c r="S174" i="3" s="1"/>
  <c r="T174" i="3" s="1"/>
  <c r="U174" i="3" s="1"/>
  <c r="V174" i="3" s="1"/>
  <c r="Q174" i="3"/>
  <c r="P174" i="3"/>
  <c r="O174" i="3"/>
  <c r="Q173" i="3"/>
  <c r="P173" i="3"/>
  <c r="O173" i="3"/>
  <c r="W172" i="3"/>
  <c r="R172" i="3"/>
  <c r="S172" i="3" s="1"/>
  <c r="T172" i="3" s="1"/>
  <c r="U172" i="3" s="1"/>
  <c r="V172" i="3" s="1"/>
  <c r="Q172" i="3"/>
  <c r="P172" i="3"/>
  <c r="O172" i="3"/>
  <c r="Q171" i="3"/>
  <c r="R171" i="3" s="1"/>
  <c r="P171" i="3"/>
  <c r="O171" i="3"/>
  <c r="Q170" i="3"/>
  <c r="R170" i="3" s="1"/>
  <c r="S170" i="3" s="1"/>
  <c r="T170" i="3" s="1"/>
  <c r="U170" i="3" s="1"/>
  <c r="V170" i="3" s="1"/>
  <c r="P170" i="3"/>
  <c r="O170" i="3"/>
  <c r="Q169" i="3"/>
  <c r="P169" i="3"/>
  <c r="O169" i="3"/>
  <c r="R169" i="3" s="1"/>
  <c r="S169" i="3" s="1"/>
  <c r="T169" i="3" s="1"/>
  <c r="U169" i="3" s="1"/>
  <c r="V169" i="3" s="1"/>
  <c r="Q168" i="3"/>
  <c r="R168" i="3" s="1"/>
  <c r="P168" i="3"/>
  <c r="O168" i="3"/>
  <c r="Q167" i="3"/>
  <c r="R167" i="3" s="1"/>
  <c r="P167" i="3"/>
  <c r="O167" i="3"/>
  <c r="Q166" i="3"/>
  <c r="R166" i="3" s="1"/>
  <c r="P166" i="3"/>
  <c r="O166" i="3"/>
  <c r="S165" i="3"/>
  <c r="T165" i="3" s="1"/>
  <c r="U165" i="3" s="1"/>
  <c r="V165" i="3" s="1"/>
  <c r="Q165" i="3"/>
  <c r="R165" i="3" s="1"/>
  <c r="W165" i="3" s="1"/>
  <c r="P165" i="3"/>
  <c r="O165" i="3"/>
  <c r="Q164" i="3"/>
  <c r="P164" i="3"/>
  <c r="O164" i="3"/>
  <c r="R164" i="3" s="1"/>
  <c r="R163" i="3"/>
  <c r="W163" i="3" s="1"/>
  <c r="Q163" i="3"/>
  <c r="P163" i="3"/>
  <c r="O163" i="3"/>
  <c r="S162" i="3"/>
  <c r="T162" i="3" s="1"/>
  <c r="U162" i="3" s="1"/>
  <c r="V162" i="3" s="1"/>
  <c r="Q162" i="3"/>
  <c r="P162" i="3"/>
  <c r="O162" i="3"/>
  <c r="R162" i="3" s="1"/>
  <c r="W162" i="3" s="1"/>
  <c r="Q161" i="3"/>
  <c r="R161" i="3" s="1"/>
  <c r="P161" i="3"/>
  <c r="O161" i="3"/>
  <c r="Q160" i="3"/>
  <c r="R160" i="3" s="1"/>
  <c r="P160" i="3"/>
  <c r="O160" i="3"/>
  <c r="Q159" i="3"/>
  <c r="P159" i="3"/>
  <c r="O159" i="3"/>
  <c r="R159" i="3" s="1"/>
  <c r="W158" i="3"/>
  <c r="Q158" i="3"/>
  <c r="R158" i="3" s="1"/>
  <c r="S158" i="3" s="1"/>
  <c r="T158" i="3" s="1"/>
  <c r="U158" i="3" s="1"/>
  <c r="V158" i="3" s="1"/>
  <c r="P158" i="3"/>
  <c r="O158" i="3"/>
  <c r="S157" i="3"/>
  <c r="T157" i="3" s="1"/>
  <c r="U157" i="3" s="1"/>
  <c r="V157" i="3" s="1"/>
  <c r="R157" i="3"/>
  <c r="W157" i="3" s="1"/>
  <c r="Q157" i="3"/>
  <c r="P157" i="3"/>
  <c r="O157" i="3"/>
  <c r="Q156" i="3"/>
  <c r="P156" i="3"/>
  <c r="O156" i="3"/>
  <c r="Q155" i="3"/>
  <c r="P155" i="3"/>
  <c r="O155" i="3"/>
  <c r="W154" i="3"/>
  <c r="R154" i="3"/>
  <c r="S154" i="3" s="1"/>
  <c r="T154" i="3" s="1"/>
  <c r="U154" i="3" s="1"/>
  <c r="V154" i="3" s="1"/>
  <c r="Q154" i="3"/>
  <c r="P154" i="3"/>
  <c r="O154" i="3"/>
  <c r="Q153" i="3"/>
  <c r="R153" i="3" s="1"/>
  <c r="P153" i="3"/>
  <c r="O153" i="3"/>
  <c r="R152" i="3"/>
  <c r="W152" i="3" s="1"/>
  <c r="Q152" i="3"/>
  <c r="P152" i="3"/>
  <c r="O152" i="3"/>
  <c r="Q151" i="3"/>
  <c r="R151" i="3" s="1"/>
  <c r="P151" i="3"/>
  <c r="O151" i="3"/>
  <c r="Q150" i="3"/>
  <c r="P150" i="3"/>
  <c r="O150" i="3"/>
  <c r="R149" i="3"/>
  <c r="Q149" i="3"/>
  <c r="P149" i="3"/>
  <c r="O149" i="3"/>
  <c r="Q148" i="3"/>
  <c r="R148" i="3" s="1"/>
  <c r="W148" i="3" s="1"/>
  <c r="P148" i="3"/>
  <c r="O148" i="3"/>
  <c r="Q147" i="3"/>
  <c r="R147" i="3" s="1"/>
  <c r="S147" i="3" s="1"/>
  <c r="T147" i="3" s="1"/>
  <c r="U147" i="3" s="1"/>
  <c r="V147" i="3" s="1"/>
  <c r="P147" i="3"/>
  <c r="O147" i="3"/>
  <c r="Q146" i="3"/>
  <c r="P146" i="3"/>
  <c r="O146" i="3"/>
  <c r="R146" i="3" s="1"/>
  <c r="S145" i="3"/>
  <c r="T145" i="3" s="1"/>
  <c r="U145" i="3" s="1"/>
  <c r="V145" i="3" s="1"/>
  <c r="Q145" i="3"/>
  <c r="R145" i="3" s="1"/>
  <c r="W145" i="3" s="1"/>
  <c r="P145" i="3"/>
  <c r="O145" i="3"/>
  <c r="Q144" i="3"/>
  <c r="R144" i="3" s="1"/>
  <c r="W144" i="3" s="1"/>
  <c r="P144" i="3"/>
  <c r="O144" i="3"/>
  <c r="W143" i="3"/>
  <c r="Q143" i="3"/>
  <c r="R143" i="3" s="1"/>
  <c r="S143" i="3" s="1"/>
  <c r="T143" i="3" s="1"/>
  <c r="U143" i="3" s="1"/>
  <c r="V143" i="3" s="1"/>
  <c r="P143" i="3"/>
  <c r="O143" i="3"/>
  <c r="Q142" i="3"/>
  <c r="R142" i="3" s="1"/>
  <c r="P142" i="3"/>
  <c r="O142" i="3"/>
  <c r="R141" i="3"/>
  <c r="Q141" i="3"/>
  <c r="P141" i="3"/>
  <c r="O141" i="3"/>
  <c r="Q140" i="3"/>
  <c r="P140" i="3"/>
  <c r="O140" i="3"/>
  <c r="Q139" i="3"/>
  <c r="P139" i="3"/>
  <c r="O139" i="3"/>
  <c r="R139" i="3" s="1"/>
  <c r="W138" i="3"/>
  <c r="Q138" i="3"/>
  <c r="R138" i="3" s="1"/>
  <c r="S138" i="3" s="1"/>
  <c r="T138" i="3" s="1"/>
  <c r="U138" i="3" s="1"/>
  <c r="V138" i="3" s="1"/>
  <c r="P138" i="3"/>
  <c r="O138" i="3"/>
  <c r="R137" i="3"/>
  <c r="S137" i="3" s="1"/>
  <c r="T137" i="3" s="1"/>
  <c r="U137" i="3" s="1"/>
  <c r="V137" i="3" s="1"/>
  <c r="Q137" i="3"/>
  <c r="P137" i="3"/>
  <c r="O137" i="3"/>
  <c r="Q136" i="3"/>
  <c r="P136" i="3"/>
  <c r="O136" i="3"/>
  <c r="S135" i="3"/>
  <c r="T135" i="3" s="1"/>
  <c r="U135" i="3" s="1"/>
  <c r="V135" i="3" s="1"/>
  <c r="R135" i="3"/>
  <c r="W135" i="3" s="1"/>
  <c r="Q135" i="3"/>
  <c r="P135" i="3"/>
  <c r="O135" i="3"/>
  <c r="R134" i="3"/>
  <c r="Q134" i="3"/>
  <c r="P134" i="3"/>
  <c r="O134" i="3"/>
  <c r="R133" i="3"/>
  <c r="W133" i="3" s="1"/>
  <c r="Q133" i="3"/>
  <c r="P133" i="3"/>
  <c r="O133" i="3"/>
  <c r="Q132" i="3"/>
  <c r="R132" i="3" s="1"/>
  <c r="W132" i="3" s="1"/>
  <c r="P132" i="3"/>
  <c r="O132" i="3"/>
  <c r="Q131" i="3"/>
  <c r="P131" i="3"/>
  <c r="O131" i="3"/>
  <c r="R131" i="3" s="1"/>
  <c r="Q130" i="3"/>
  <c r="P130" i="3"/>
  <c r="O130" i="3"/>
  <c r="Q129" i="3"/>
  <c r="P129" i="3"/>
  <c r="O129" i="3"/>
  <c r="R129" i="3" s="1"/>
  <c r="S129" i="3" s="1"/>
  <c r="T129" i="3" s="1"/>
  <c r="U129" i="3" s="1"/>
  <c r="V129" i="3" s="1"/>
  <c r="R128" i="3"/>
  <c r="Q128" i="3"/>
  <c r="P128" i="3"/>
  <c r="O128" i="3"/>
  <c r="Q127" i="3"/>
  <c r="R127" i="3" s="1"/>
  <c r="P127" i="3"/>
  <c r="O127" i="3"/>
  <c r="R126" i="3"/>
  <c r="Q126" i="3"/>
  <c r="P126" i="3"/>
  <c r="O126" i="3"/>
  <c r="Q125" i="3"/>
  <c r="R125" i="3" s="1"/>
  <c r="W125" i="3" s="1"/>
  <c r="P125" i="3"/>
  <c r="O125" i="3"/>
  <c r="S124" i="3"/>
  <c r="T124" i="3" s="1"/>
  <c r="U124" i="3" s="1"/>
  <c r="V124" i="3" s="1"/>
  <c r="R124" i="3"/>
  <c r="W124" i="3" s="1"/>
  <c r="Q124" i="3"/>
  <c r="P124" i="3"/>
  <c r="O124" i="3"/>
  <c r="R123" i="3"/>
  <c r="W123" i="3" s="1"/>
  <c r="Q123" i="3"/>
  <c r="P123" i="3"/>
  <c r="O123" i="3"/>
  <c r="Q122" i="3"/>
  <c r="P122" i="3"/>
  <c r="O122" i="3"/>
  <c r="R122" i="3" s="1"/>
  <c r="W121" i="3"/>
  <c r="Q121" i="3"/>
  <c r="R121" i="3" s="1"/>
  <c r="S121" i="3" s="1"/>
  <c r="T121" i="3" s="1"/>
  <c r="U121" i="3" s="1"/>
  <c r="V121" i="3" s="1"/>
  <c r="P121" i="3"/>
  <c r="O121" i="3"/>
  <c r="Q120" i="3"/>
  <c r="R120" i="3" s="1"/>
  <c r="P120" i="3"/>
  <c r="O120" i="3"/>
  <c r="Q119" i="3"/>
  <c r="P119" i="3"/>
  <c r="O119" i="3"/>
  <c r="R119" i="3" s="1"/>
  <c r="Q118" i="3"/>
  <c r="P118" i="3"/>
  <c r="O118" i="3"/>
  <c r="Q117" i="3"/>
  <c r="R117" i="3" s="1"/>
  <c r="P117" i="3"/>
  <c r="O117" i="3"/>
  <c r="W116" i="3"/>
  <c r="U116" i="3"/>
  <c r="V116" i="3" s="1"/>
  <c r="Q116" i="3"/>
  <c r="R116" i="3" s="1"/>
  <c r="S116" i="3" s="1"/>
  <c r="T116" i="3" s="1"/>
  <c r="P116" i="3"/>
  <c r="O116" i="3"/>
  <c r="Q115" i="3"/>
  <c r="R115" i="3" s="1"/>
  <c r="P115" i="3"/>
  <c r="O115" i="3"/>
  <c r="W114" i="3"/>
  <c r="S114" i="3"/>
  <c r="T114" i="3" s="1"/>
  <c r="U114" i="3" s="1"/>
  <c r="V114" i="3" s="1"/>
  <c r="R114" i="3"/>
  <c r="Q114" i="3"/>
  <c r="P114" i="3"/>
  <c r="O114" i="3"/>
  <c r="R113" i="3"/>
  <c r="W113" i="3" s="1"/>
  <c r="Q113" i="3"/>
  <c r="P113" i="3"/>
  <c r="O113" i="3"/>
  <c r="R112" i="3"/>
  <c r="Q112" i="3"/>
  <c r="P112" i="3"/>
  <c r="O112" i="3"/>
  <c r="Q111" i="3"/>
  <c r="R111" i="3" s="1"/>
  <c r="P111" i="3"/>
  <c r="O111" i="3"/>
  <c r="Q110" i="3"/>
  <c r="P110" i="3"/>
  <c r="O110" i="3"/>
  <c r="R109" i="3"/>
  <c r="Q109" i="3"/>
  <c r="P109" i="3"/>
  <c r="O109" i="3"/>
  <c r="Q108" i="3"/>
  <c r="P108" i="3"/>
  <c r="O108" i="3"/>
  <c r="W107" i="3"/>
  <c r="U107" i="3"/>
  <c r="V107" i="3" s="1"/>
  <c r="Q107" i="3"/>
  <c r="R107" i="3" s="1"/>
  <c r="S107" i="3" s="1"/>
  <c r="T107" i="3" s="1"/>
  <c r="P107" i="3"/>
  <c r="O107" i="3"/>
  <c r="T106" i="3"/>
  <c r="U106" i="3" s="1"/>
  <c r="V106" i="3" s="1"/>
  <c r="Q106" i="3"/>
  <c r="R106" i="3" s="1"/>
  <c r="W106" i="3" s="1"/>
  <c r="P106" i="3"/>
  <c r="S106" i="3" s="1"/>
  <c r="O106" i="3"/>
  <c r="Q105" i="3"/>
  <c r="R105" i="3" s="1"/>
  <c r="P105" i="3"/>
  <c r="O105" i="3"/>
  <c r="Q104" i="3"/>
  <c r="P104" i="3"/>
  <c r="O104" i="3"/>
  <c r="Q103" i="3"/>
  <c r="R103" i="3" s="1"/>
  <c r="P103" i="3"/>
  <c r="O103" i="3"/>
  <c r="R102" i="3"/>
  <c r="W102" i="3" s="1"/>
  <c r="Q102" i="3"/>
  <c r="P102" i="3"/>
  <c r="O102" i="3"/>
  <c r="Q101" i="3"/>
  <c r="R101" i="3" s="1"/>
  <c r="P101" i="3"/>
  <c r="O101" i="3"/>
  <c r="Q100" i="3"/>
  <c r="P100" i="3"/>
  <c r="O100" i="3"/>
  <c r="R99" i="3"/>
  <c r="W99" i="3" s="1"/>
  <c r="Q99" i="3"/>
  <c r="P99" i="3"/>
  <c r="O99" i="3"/>
  <c r="Q98" i="3"/>
  <c r="P98" i="3"/>
  <c r="O98" i="3"/>
  <c r="Q97" i="3"/>
  <c r="R97" i="3" s="1"/>
  <c r="P97" i="3"/>
  <c r="O97" i="3"/>
  <c r="Q96" i="3"/>
  <c r="P96" i="3"/>
  <c r="O96" i="3"/>
  <c r="R95" i="3"/>
  <c r="W95" i="3" s="1"/>
  <c r="Q95" i="3"/>
  <c r="P95" i="3"/>
  <c r="O95" i="3"/>
  <c r="W94" i="3"/>
  <c r="S94" i="3"/>
  <c r="T94" i="3" s="1"/>
  <c r="U94" i="3" s="1"/>
  <c r="V94" i="3" s="1"/>
  <c r="R94" i="3"/>
  <c r="Q94" i="3"/>
  <c r="P94" i="3"/>
  <c r="O94" i="3"/>
  <c r="Q93" i="3"/>
  <c r="R93" i="3" s="1"/>
  <c r="P93" i="3"/>
  <c r="O93" i="3"/>
  <c r="W92" i="3"/>
  <c r="Q92" i="3"/>
  <c r="R92" i="3" s="1"/>
  <c r="S92" i="3" s="1"/>
  <c r="T92" i="3" s="1"/>
  <c r="U92" i="3" s="1"/>
  <c r="V92" i="3" s="1"/>
  <c r="P92" i="3"/>
  <c r="O92" i="3"/>
  <c r="Q91" i="3"/>
  <c r="R91" i="3" s="1"/>
  <c r="P91" i="3"/>
  <c r="O91" i="3"/>
  <c r="Q90" i="3"/>
  <c r="P90" i="3"/>
  <c r="O90" i="3"/>
  <c r="W89" i="3"/>
  <c r="Q89" i="3"/>
  <c r="P89" i="3"/>
  <c r="O89" i="3"/>
  <c r="R89" i="3" s="1"/>
  <c r="S89" i="3" s="1"/>
  <c r="T89" i="3" s="1"/>
  <c r="U89" i="3" s="1"/>
  <c r="V89" i="3" s="1"/>
  <c r="W88" i="3"/>
  <c r="Q88" i="3"/>
  <c r="R88" i="3" s="1"/>
  <c r="S88" i="3" s="1"/>
  <c r="T88" i="3" s="1"/>
  <c r="U88" i="3" s="1"/>
  <c r="V88" i="3" s="1"/>
  <c r="P88" i="3"/>
  <c r="O88" i="3"/>
  <c r="Q87" i="3"/>
  <c r="R87" i="3" s="1"/>
  <c r="P87" i="3"/>
  <c r="O87" i="3"/>
  <c r="Q86" i="3"/>
  <c r="R86" i="3" s="1"/>
  <c r="P86" i="3"/>
  <c r="O86" i="3"/>
  <c r="S85" i="3"/>
  <c r="T85" i="3" s="1"/>
  <c r="U85" i="3" s="1"/>
  <c r="V85" i="3" s="1"/>
  <c r="Q85" i="3"/>
  <c r="R85" i="3" s="1"/>
  <c r="W85" i="3" s="1"/>
  <c r="P85" i="3"/>
  <c r="O85" i="3"/>
  <c r="Q84" i="3"/>
  <c r="P84" i="3"/>
  <c r="O84" i="3"/>
  <c r="R84" i="3" s="1"/>
  <c r="W84" i="3" s="1"/>
  <c r="S83" i="3"/>
  <c r="T83" i="3" s="1"/>
  <c r="U83" i="3" s="1"/>
  <c r="V83" i="3" s="1"/>
  <c r="Q83" i="3"/>
  <c r="R83" i="3" s="1"/>
  <c r="W83" i="3" s="1"/>
  <c r="P83" i="3"/>
  <c r="O83" i="3"/>
  <c r="Q82" i="3"/>
  <c r="P82" i="3"/>
  <c r="O82" i="3"/>
  <c r="R81" i="3"/>
  <c r="Q81" i="3"/>
  <c r="P81" i="3"/>
  <c r="O81" i="3"/>
  <c r="Q80" i="3"/>
  <c r="P80" i="3"/>
  <c r="O80" i="3"/>
  <c r="W79" i="3"/>
  <c r="R79" i="3"/>
  <c r="S79" i="3" s="1"/>
  <c r="T79" i="3" s="1"/>
  <c r="U79" i="3" s="1"/>
  <c r="V79" i="3" s="1"/>
  <c r="Q79" i="3"/>
  <c r="P79" i="3"/>
  <c r="O79" i="3"/>
  <c r="Q78" i="3"/>
  <c r="P78" i="3"/>
  <c r="O78" i="3"/>
  <c r="Q77" i="3"/>
  <c r="R77" i="3" s="1"/>
  <c r="P77" i="3"/>
  <c r="O77" i="3"/>
  <c r="Q76" i="3"/>
  <c r="P76" i="3"/>
  <c r="O76" i="3"/>
  <c r="Q75" i="3"/>
  <c r="P75" i="3"/>
  <c r="O75" i="3"/>
  <c r="S74" i="3"/>
  <c r="T74" i="3" s="1"/>
  <c r="U74" i="3" s="1"/>
  <c r="V74" i="3" s="1"/>
  <c r="R74" i="3"/>
  <c r="W74" i="3" s="1"/>
  <c r="Q74" i="3"/>
  <c r="P74" i="3"/>
  <c r="O74" i="3"/>
  <c r="Q73" i="3"/>
  <c r="R73" i="3" s="1"/>
  <c r="P73" i="3"/>
  <c r="O73" i="3"/>
  <c r="W72" i="3"/>
  <c r="R72" i="3"/>
  <c r="Q72" i="3"/>
  <c r="P72" i="3"/>
  <c r="O72" i="3"/>
  <c r="R71" i="3"/>
  <c r="Q71" i="3"/>
  <c r="P71" i="3"/>
  <c r="O71" i="3"/>
  <c r="Q70" i="3"/>
  <c r="P70" i="3"/>
  <c r="O70" i="3"/>
  <c r="W69" i="3"/>
  <c r="R69" i="3"/>
  <c r="Q69" i="3"/>
  <c r="P69" i="3"/>
  <c r="O69" i="3"/>
  <c r="Q68" i="3"/>
  <c r="P68" i="3"/>
  <c r="O68" i="3"/>
  <c r="Q67" i="3"/>
  <c r="R67" i="3" s="1"/>
  <c r="P67" i="3"/>
  <c r="O67" i="3"/>
  <c r="Q66" i="3"/>
  <c r="R66" i="3" s="1"/>
  <c r="P66" i="3"/>
  <c r="O66" i="3"/>
  <c r="Q65" i="3"/>
  <c r="R65" i="3" s="1"/>
  <c r="P65" i="3"/>
  <c r="O65" i="3"/>
  <c r="Q64" i="3"/>
  <c r="R64" i="3" s="1"/>
  <c r="S64" i="3" s="1"/>
  <c r="T64" i="3" s="1"/>
  <c r="U64" i="3" s="1"/>
  <c r="V64" i="3" s="1"/>
  <c r="P64" i="3"/>
  <c r="O64" i="3"/>
  <c r="R63" i="3"/>
  <c r="Q63" i="3"/>
  <c r="P63" i="3"/>
  <c r="O63" i="3"/>
  <c r="Q62" i="3"/>
  <c r="P62" i="3"/>
  <c r="O62" i="3"/>
  <c r="W61" i="3"/>
  <c r="R61" i="3"/>
  <c r="S61" i="3" s="1"/>
  <c r="T61" i="3" s="1"/>
  <c r="U61" i="3" s="1"/>
  <c r="V61" i="3" s="1"/>
  <c r="Q61" i="3"/>
  <c r="P61" i="3"/>
  <c r="O61" i="3"/>
  <c r="Q60" i="3"/>
  <c r="R60" i="3" s="1"/>
  <c r="W60" i="3" s="1"/>
  <c r="P60" i="3"/>
  <c r="O60" i="3"/>
  <c r="Q59" i="3"/>
  <c r="P59" i="3"/>
  <c r="O59" i="3"/>
  <c r="R59" i="3" s="1"/>
  <c r="Q58" i="3"/>
  <c r="P58" i="3"/>
  <c r="O58" i="3"/>
  <c r="T57" i="3"/>
  <c r="U57" i="3" s="1"/>
  <c r="V57" i="3" s="1"/>
  <c r="S57" i="3"/>
  <c r="R57" i="3"/>
  <c r="W57" i="3" s="1"/>
  <c r="Q57" i="3"/>
  <c r="P57" i="3"/>
  <c r="O57" i="3"/>
  <c r="Q56" i="3"/>
  <c r="R56" i="3" s="1"/>
  <c r="P56" i="3"/>
  <c r="O56" i="3"/>
  <c r="Q55" i="3"/>
  <c r="R55" i="3" s="1"/>
  <c r="W55" i="3" s="1"/>
  <c r="P55" i="3"/>
  <c r="O55" i="3"/>
  <c r="W54" i="3"/>
  <c r="R54" i="3"/>
  <c r="S54" i="3" s="1"/>
  <c r="T54" i="3" s="1"/>
  <c r="U54" i="3" s="1"/>
  <c r="V54" i="3" s="1"/>
  <c r="Q54" i="3"/>
  <c r="P54" i="3"/>
  <c r="O54" i="3"/>
  <c r="Q53" i="3"/>
  <c r="R53" i="3" s="1"/>
  <c r="P53" i="3"/>
  <c r="O53" i="3"/>
  <c r="Q52" i="3"/>
  <c r="R52" i="3" s="1"/>
  <c r="S52" i="3" s="1"/>
  <c r="T52" i="3" s="1"/>
  <c r="U52" i="3" s="1"/>
  <c r="V52" i="3" s="1"/>
  <c r="P52" i="3"/>
  <c r="O52" i="3"/>
  <c r="Q51" i="3"/>
  <c r="P51" i="3"/>
  <c r="O51" i="3"/>
  <c r="Q50" i="3"/>
  <c r="P50" i="3"/>
  <c r="O50" i="3"/>
  <c r="Q49" i="3"/>
  <c r="P49" i="3"/>
  <c r="O49" i="3"/>
  <c r="R49" i="3" s="1"/>
  <c r="Q48" i="3"/>
  <c r="P48" i="3"/>
  <c r="O48" i="3"/>
  <c r="W47" i="3"/>
  <c r="R47" i="3"/>
  <c r="Q47" i="3"/>
  <c r="P47" i="3"/>
  <c r="O47" i="3"/>
  <c r="Q46" i="3"/>
  <c r="R46" i="3" s="1"/>
  <c r="P46" i="3"/>
  <c r="O46" i="3"/>
  <c r="U45" i="3"/>
  <c r="V45" i="3" s="1"/>
  <c r="T45" i="3"/>
  <c r="S45" i="3"/>
  <c r="R45" i="3"/>
  <c r="W45" i="3" s="1"/>
  <c r="Q45" i="3"/>
  <c r="P45" i="3"/>
  <c r="O45" i="3"/>
  <c r="Q44" i="3"/>
  <c r="R44" i="3" s="1"/>
  <c r="P44" i="3"/>
  <c r="O44" i="3"/>
  <c r="S43" i="3"/>
  <c r="T43" i="3" s="1"/>
  <c r="U43" i="3" s="1"/>
  <c r="V43" i="3" s="1"/>
  <c r="Q43" i="3"/>
  <c r="R43" i="3" s="1"/>
  <c r="W43" i="3" s="1"/>
  <c r="P43" i="3"/>
  <c r="O43" i="3"/>
  <c r="Q42" i="3"/>
  <c r="R42" i="3" s="1"/>
  <c r="P42" i="3"/>
  <c r="O42" i="3"/>
  <c r="R41" i="3"/>
  <c r="Q41" i="3"/>
  <c r="P41" i="3"/>
  <c r="O41" i="3"/>
  <c r="Q40" i="3"/>
  <c r="R40" i="3" s="1"/>
  <c r="P40" i="3"/>
  <c r="O40" i="3"/>
  <c r="R39" i="3"/>
  <c r="W39" i="3" s="1"/>
  <c r="Q39" i="3"/>
  <c r="P39" i="3"/>
  <c r="O39" i="3"/>
  <c r="Q38" i="3"/>
  <c r="R38" i="3" s="1"/>
  <c r="P38" i="3"/>
  <c r="O38" i="3"/>
  <c r="R37" i="3"/>
  <c r="Q37" i="3"/>
  <c r="P37" i="3"/>
  <c r="O37" i="3"/>
  <c r="Q36" i="3"/>
  <c r="P36" i="3"/>
  <c r="O36" i="3"/>
  <c r="R36" i="3" s="1"/>
  <c r="Q35" i="3"/>
  <c r="P35" i="3"/>
  <c r="O35" i="3"/>
  <c r="R34" i="3"/>
  <c r="W34" i="3" s="1"/>
  <c r="Q34" i="3"/>
  <c r="P34" i="3"/>
  <c r="O34" i="3"/>
  <c r="Q33" i="3"/>
  <c r="R33" i="3" s="1"/>
  <c r="P33" i="3"/>
  <c r="O33" i="3"/>
  <c r="S32" i="3"/>
  <c r="T32" i="3" s="1"/>
  <c r="U32" i="3" s="1"/>
  <c r="V32" i="3" s="1"/>
  <c r="R32" i="3"/>
  <c r="W32" i="3" s="1"/>
  <c r="Q32" i="3"/>
  <c r="P32" i="3"/>
  <c r="O32" i="3"/>
  <c r="Q31" i="3"/>
  <c r="R31" i="3" s="1"/>
  <c r="P31" i="3"/>
  <c r="O31" i="3"/>
  <c r="W30" i="3"/>
  <c r="Q30" i="3"/>
  <c r="R30" i="3" s="1"/>
  <c r="S30" i="3" s="1"/>
  <c r="T30" i="3" s="1"/>
  <c r="U30" i="3" s="1"/>
  <c r="V30" i="3" s="1"/>
  <c r="P30" i="3"/>
  <c r="O30" i="3"/>
  <c r="R29" i="3"/>
  <c r="Q29" i="3"/>
  <c r="P29" i="3"/>
  <c r="O29" i="3"/>
  <c r="Q28" i="3"/>
  <c r="R28" i="3" s="1"/>
  <c r="P28" i="3"/>
  <c r="O28" i="3"/>
  <c r="Q27" i="3"/>
  <c r="R27" i="3" s="1"/>
  <c r="P27" i="3"/>
  <c r="O27" i="3"/>
  <c r="Q26" i="3"/>
  <c r="R26" i="3" s="1"/>
  <c r="P26" i="3"/>
  <c r="O26" i="3"/>
  <c r="Q25" i="3"/>
  <c r="R25" i="3" s="1"/>
  <c r="W25" i="3" s="1"/>
  <c r="P25" i="3"/>
  <c r="O25" i="3"/>
  <c r="Q24" i="3"/>
  <c r="P24" i="3"/>
  <c r="O24" i="3"/>
  <c r="Q23" i="3"/>
  <c r="P23" i="3"/>
  <c r="O23" i="3"/>
  <c r="Q22" i="3"/>
  <c r="R22" i="3" s="1"/>
  <c r="S22" i="3" s="1"/>
  <c r="T22" i="3" s="1"/>
  <c r="U22" i="3" s="1"/>
  <c r="V22" i="3" s="1"/>
  <c r="P22" i="3"/>
  <c r="O22" i="3"/>
  <c r="R21" i="3"/>
  <c r="W21" i="3" s="1"/>
  <c r="Q21" i="3"/>
  <c r="P21" i="3"/>
  <c r="O21" i="3"/>
  <c r="R20" i="3"/>
  <c r="Q20" i="3"/>
  <c r="P20" i="3"/>
  <c r="O20" i="3"/>
  <c r="Q19" i="3"/>
  <c r="P19" i="3"/>
  <c r="O19" i="3"/>
  <c r="W18" i="3"/>
  <c r="S18" i="3"/>
  <c r="T18" i="3" s="1"/>
  <c r="U18" i="3" s="1"/>
  <c r="V18" i="3" s="1"/>
  <c r="R18" i="3"/>
  <c r="Q18" i="3"/>
  <c r="P18" i="3"/>
  <c r="O18" i="3"/>
  <c r="Q17" i="3"/>
  <c r="R17" i="3" s="1"/>
  <c r="P17" i="3"/>
  <c r="O17" i="3"/>
  <c r="Q16" i="3"/>
  <c r="R16" i="3" s="1"/>
  <c r="P16" i="3"/>
  <c r="O16" i="3"/>
  <c r="W15" i="3"/>
  <c r="Q15" i="3"/>
  <c r="R15" i="3" s="1"/>
  <c r="P15" i="3"/>
  <c r="O15" i="3"/>
  <c r="Q14" i="3"/>
  <c r="R14" i="3" s="1"/>
  <c r="P14" i="3"/>
  <c r="O14" i="3"/>
  <c r="W13" i="3"/>
  <c r="R13" i="3"/>
  <c r="S13" i="3" s="1"/>
  <c r="T13" i="3" s="1"/>
  <c r="U13" i="3" s="1"/>
  <c r="V13" i="3" s="1"/>
  <c r="Q13" i="3"/>
  <c r="P13" i="3"/>
  <c r="O13" i="3"/>
  <c r="Q12" i="3"/>
  <c r="R12" i="3" s="1"/>
  <c r="P12" i="3"/>
  <c r="O12" i="3"/>
  <c r="Q11" i="3"/>
  <c r="R11" i="3" s="1"/>
  <c r="P11" i="3"/>
  <c r="O11" i="3"/>
  <c r="Q10" i="3"/>
  <c r="R10" i="3" s="1"/>
  <c r="P10" i="3"/>
  <c r="O10" i="3"/>
  <c r="Q9" i="3"/>
  <c r="P9" i="3"/>
  <c r="O9" i="3"/>
  <c r="R8" i="3"/>
  <c r="Q8" i="3"/>
  <c r="P8" i="3"/>
  <c r="O8" i="3"/>
  <c r="Q7" i="3"/>
  <c r="R7" i="3" s="1"/>
  <c r="P7" i="3"/>
  <c r="O7" i="3"/>
  <c r="Q6" i="3"/>
  <c r="R6" i="3" s="1"/>
  <c r="W6" i="3" s="1"/>
  <c r="P6" i="3"/>
  <c r="O6" i="3"/>
  <c r="Q5" i="3"/>
  <c r="P5" i="3"/>
  <c r="O5" i="3"/>
  <c r="Q4" i="3"/>
  <c r="P4" i="3"/>
  <c r="O4" i="3"/>
  <c r="R4" i="3" s="1"/>
  <c r="W131" i="3" l="1"/>
  <c r="S131" i="3"/>
  <c r="T131" i="3" s="1"/>
  <c r="U131" i="3" s="1"/>
  <c r="V131" i="3" s="1"/>
  <c r="W86" i="3"/>
  <c r="S86" i="3"/>
  <c r="T86" i="3" s="1"/>
  <c r="U86" i="3" s="1"/>
  <c r="V86" i="3" s="1"/>
  <c r="S103" i="3"/>
  <c r="T103" i="3" s="1"/>
  <c r="U103" i="3" s="1"/>
  <c r="V103" i="3" s="1"/>
  <c r="W103" i="3"/>
  <c r="W42" i="3"/>
  <c r="S42" i="3"/>
  <c r="T42" i="3" s="1"/>
  <c r="U42" i="3" s="1"/>
  <c r="V42" i="3" s="1"/>
  <c r="W142" i="3"/>
  <c r="S142" i="3"/>
  <c r="T142" i="3" s="1"/>
  <c r="U142" i="3" s="1"/>
  <c r="V142" i="3" s="1"/>
  <c r="W257" i="3"/>
  <c r="S257" i="3"/>
  <c r="T257" i="3" s="1"/>
  <c r="U257" i="3" s="1"/>
  <c r="V257" i="3" s="1"/>
  <c r="W31" i="3"/>
  <c r="S31" i="3"/>
  <c r="T31" i="3" s="1"/>
  <c r="U31" i="3" s="1"/>
  <c r="V31" i="3" s="1"/>
  <c r="W59" i="3"/>
  <c r="S59" i="3"/>
  <c r="T59" i="3" s="1"/>
  <c r="U59" i="3" s="1"/>
  <c r="V59" i="3" s="1"/>
  <c r="W14" i="3"/>
  <c r="S14" i="3"/>
  <c r="T14" i="3" s="1"/>
  <c r="U14" i="3" s="1"/>
  <c r="V14" i="3" s="1"/>
  <c r="S166" i="3"/>
  <c r="T166" i="3" s="1"/>
  <c r="U166" i="3" s="1"/>
  <c r="V166" i="3" s="1"/>
  <c r="W166" i="3"/>
  <c r="W292" i="3"/>
  <c r="S292" i="3"/>
  <c r="T292" i="3" s="1"/>
  <c r="U292" i="3" s="1"/>
  <c r="V292" i="3" s="1"/>
  <c r="S11" i="3"/>
  <c r="T11" i="3" s="1"/>
  <c r="U11" i="3" s="1"/>
  <c r="V11" i="3" s="1"/>
  <c r="W11" i="3"/>
  <c r="W153" i="3"/>
  <c r="S153" i="3"/>
  <c r="T153" i="3" s="1"/>
  <c r="U153" i="3" s="1"/>
  <c r="V153" i="3" s="1"/>
  <c r="S49" i="3"/>
  <c r="T49" i="3" s="1"/>
  <c r="U49" i="3" s="1"/>
  <c r="V49" i="3" s="1"/>
  <c r="W49" i="3"/>
  <c r="S66" i="3"/>
  <c r="T66" i="3" s="1"/>
  <c r="U66" i="3" s="1"/>
  <c r="V66" i="3" s="1"/>
  <c r="W66" i="3"/>
  <c r="W271" i="3"/>
  <c r="S271" i="3"/>
  <c r="T271" i="3" s="1"/>
  <c r="U271" i="3" s="1"/>
  <c r="V271" i="3" s="1"/>
  <c r="W16" i="3"/>
  <c r="S16" i="3"/>
  <c r="T16" i="3" s="1"/>
  <c r="U16" i="3" s="1"/>
  <c r="V16" i="3" s="1"/>
  <c r="W28" i="3"/>
  <c r="S28" i="3"/>
  <c r="T28" i="3" s="1"/>
  <c r="U28" i="3" s="1"/>
  <c r="V28" i="3" s="1"/>
  <c r="W195" i="3"/>
  <c r="S195" i="3"/>
  <c r="T195" i="3" s="1"/>
  <c r="U195" i="3" s="1"/>
  <c r="V195" i="3" s="1"/>
  <c r="S17" i="3"/>
  <c r="T17" i="3" s="1"/>
  <c r="U17" i="3" s="1"/>
  <c r="V17" i="3" s="1"/>
  <c r="W17" i="3"/>
  <c r="S20" i="3"/>
  <c r="T20" i="3" s="1"/>
  <c r="U20" i="3" s="1"/>
  <c r="V20" i="3" s="1"/>
  <c r="W20" i="3"/>
  <c r="W111" i="3"/>
  <c r="S111" i="3"/>
  <c r="T111" i="3" s="1"/>
  <c r="U111" i="3" s="1"/>
  <c r="V111" i="3" s="1"/>
  <c r="W134" i="3"/>
  <c r="S134" i="3"/>
  <c r="T134" i="3" s="1"/>
  <c r="U134" i="3" s="1"/>
  <c r="V134" i="3" s="1"/>
  <c r="S149" i="3"/>
  <c r="T149" i="3" s="1"/>
  <c r="U149" i="3" s="1"/>
  <c r="V149" i="3" s="1"/>
  <c r="W149" i="3"/>
  <c r="S203" i="3"/>
  <c r="T203" i="3" s="1"/>
  <c r="U203" i="3" s="1"/>
  <c r="V203" i="3" s="1"/>
  <c r="W203" i="3"/>
  <c r="S229" i="3"/>
  <c r="T229" i="3" s="1"/>
  <c r="U229" i="3" s="1"/>
  <c r="V229" i="3" s="1"/>
  <c r="W229" i="3"/>
  <c r="S163" i="3"/>
  <c r="T163" i="3" s="1"/>
  <c r="U163" i="3" s="1"/>
  <c r="V163" i="3" s="1"/>
  <c r="R5" i="3"/>
  <c r="R9" i="3"/>
  <c r="W52" i="3"/>
  <c r="W97" i="3"/>
  <c r="S97" i="3"/>
  <c r="T97" i="3" s="1"/>
  <c r="U97" i="3" s="1"/>
  <c r="V97" i="3" s="1"/>
  <c r="W234" i="3"/>
  <c r="S234" i="3"/>
  <c r="T234" i="3" s="1"/>
  <c r="U234" i="3" s="1"/>
  <c r="V234" i="3" s="1"/>
  <c r="R75" i="3"/>
  <c r="W159" i="3"/>
  <c r="S159" i="3"/>
  <c r="T159" i="3" s="1"/>
  <c r="U159" i="3" s="1"/>
  <c r="V159" i="3" s="1"/>
  <c r="W178" i="3"/>
  <c r="W188" i="3"/>
  <c r="S188" i="3"/>
  <c r="T188" i="3" s="1"/>
  <c r="U188" i="3" s="1"/>
  <c r="V188" i="3" s="1"/>
  <c r="S204" i="3"/>
  <c r="T204" i="3" s="1"/>
  <c r="U204" i="3" s="1"/>
  <c r="V204" i="3" s="1"/>
  <c r="W204" i="3"/>
  <c r="W214" i="3"/>
  <c r="S214" i="3"/>
  <c r="T214" i="3" s="1"/>
  <c r="U214" i="3" s="1"/>
  <c r="V214" i="3" s="1"/>
  <c r="W224" i="3"/>
  <c r="S39" i="3"/>
  <c r="T39" i="3" s="1"/>
  <c r="U39" i="3" s="1"/>
  <c r="V39" i="3" s="1"/>
  <c r="S84" i="3"/>
  <c r="T84" i="3" s="1"/>
  <c r="U84" i="3" s="1"/>
  <c r="V84" i="3" s="1"/>
  <c r="S164" i="3"/>
  <c r="T164" i="3" s="1"/>
  <c r="U164" i="3" s="1"/>
  <c r="V164" i="3" s="1"/>
  <c r="W164" i="3"/>
  <c r="W179" i="3"/>
  <c r="S179" i="3"/>
  <c r="T179" i="3" s="1"/>
  <c r="U179" i="3" s="1"/>
  <c r="V179" i="3" s="1"/>
  <c r="W291" i="3"/>
  <c r="S291" i="3"/>
  <c r="T291" i="3" s="1"/>
  <c r="U291" i="3" s="1"/>
  <c r="V291" i="3" s="1"/>
  <c r="W295" i="3"/>
  <c r="S295" i="3"/>
  <c r="T295" i="3" s="1"/>
  <c r="U295" i="3" s="1"/>
  <c r="V295" i="3" s="1"/>
  <c r="S301" i="3"/>
  <c r="T301" i="3" s="1"/>
  <c r="U301" i="3" s="1"/>
  <c r="V301" i="3" s="1"/>
  <c r="W301" i="3"/>
  <c r="S141" i="3"/>
  <c r="T141" i="3" s="1"/>
  <c r="U141" i="3" s="1"/>
  <c r="V141" i="3" s="1"/>
  <c r="W141" i="3"/>
  <c r="R76" i="3"/>
  <c r="W26" i="3"/>
  <c r="S26" i="3"/>
  <c r="T26" i="3" s="1"/>
  <c r="U26" i="3" s="1"/>
  <c r="V26" i="3" s="1"/>
  <c r="W251" i="3"/>
  <c r="S251" i="3"/>
  <c r="T251" i="3" s="1"/>
  <c r="U251" i="3" s="1"/>
  <c r="V251" i="3" s="1"/>
  <c r="W261" i="3"/>
  <c r="W266" i="3"/>
  <c r="S266" i="3"/>
  <c r="T266" i="3" s="1"/>
  <c r="U266" i="3" s="1"/>
  <c r="V266" i="3" s="1"/>
  <c r="S256" i="3"/>
  <c r="T256" i="3" s="1"/>
  <c r="U256" i="3" s="1"/>
  <c r="V256" i="3" s="1"/>
  <c r="W256" i="3"/>
  <c r="W262" i="3"/>
  <c r="S262" i="3"/>
  <c r="T262" i="3" s="1"/>
  <c r="U262" i="3" s="1"/>
  <c r="V262" i="3" s="1"/>
  <c r="W40" i="3"/>
  <c r="S40" i="3"/>
  <c r="T40" i="3" s="1"/>
  <c r="U40" i="3" s="1"/>
  <c r="V40" i="3" s="1"/>
  <c r="R58" i="3"/>
  <c r="R108" i="3"/>
  <c r="W117" i="3"/>
  <c r="S117" i="3"/>
  <c r="T117" i="3" s="1"/>
  <c r="U117" i="3" s="1"/>
  <c r="V117" i="3" s="1"/>
  <c r="W199" i="3"/>
  <c r="S199" i="3"/>
  <c r="T199" i="3" s="1"/>
  <c r="U199" i="3" s="1"/>
  <c r="V199" i="3" s="1"/>
  <c r="S215" i="3"/>
  <c r="T215" i="3" s="1"/>
  <c r="U215" i="3" s="1"/>
  <c r="V215" i="3" s="1"/>
  <c r="W160" i="3"/>
  <c r="S160" i="3"/>
  <c r="T160" i="3" s="1"/>
  <c r="U160" i="3" s="1"/>
  <c r="V160" i="3" s="1"/>
  <c r="W170" i="3"/>
  <c r="W22" i="3"/>
  <c r="W63" i="3"/>
  <c r="S63" i="3"/>
  <c r="T63" i="3" s="1"/>
  <c r="U63" i="3" s="1"/>
  <c r="V63" i="3" s="1"/>
  <c r="S99" i="3"/>
  <c r="T99" i="3" s="1"/>
  <c r="U99" i="3" s="1"/>
  <c r="V99" i="3" s="1"/>
  <c r="R104" i="3"/>
  <c r="S127" i="3"/>
  <c r="T127" i="3" s="1"/>
  <c r="U127" i="3" s="1"/>
  <c r="V127" i="3" s="1"/>
  <c r="W127" i="3"/>
  <c r="S77" i="3"/>
  <c r="T77" i="3" s="1"/>
  <c r="U77" i="3" s="1"/>
  <c r="V77" i="3" s="1"/>
  <c r="W77" i="3"/>
  <c r="S152" i="3"/>
  <c r="T152" i="3" s="1"/>
  <c r="U152" i="3" s="1"/>
  <c r="V152" i="3" s="1"/>
  <c r="S276" i="3"/>
  <c r="T276" i="3" s="1"/>
  <c r="U276" i="3" s="1"/>
  <c r="V276" i="3" s="1"/>
  <c r="W276" i="3"/>
  <c r="R90" i="3"/>
  <c r="S161" i="3"/>
  <c r="T161" i="3" s="1"/>
  <c r="U161" i="3" s="1"/>
  <c r="V161" i="3" s="1"/>
  <c r="W161" i="3"/>
  <c r="W171" i="3"/>
  <c r="S171" i="3"/>
  <c r="T171" i="3" s="1"/>
  <c r="U171" i="3" s="1"/>
  <c r="V171" i="3" s="1"/>
  <c r="W185" i="3"/>
  <c r="S185" i="3"/>
  <c r="T185" i="3" s="1"/>
  <c r="U185" i="3" s="1"/>
  <c r="V185" i="3" s="1"/>
  <c r="S221" i="3"/>
  <c r="T221" i="3" s="1"/>
  <c r="U221" i="3" s="1"/>
  <c r="V221" i="3" s="1"/>
  <c r="W221" i="3"/>
  <c r="W272" i="3"/>
  <c r="S272" i="3"/>
  <c r="T272" i="3" s="1"/>
  <c r="U272" i="3" s="1"/>
  <c r="V272" i="3" s="1"/>
  <c r="W297" i="3"/>
  <c r="R23" i="3"/>
  <c r="W137" i="3"/>
  <c r="S181" i="3"/>
  <c r="T181" i="3" s="1"/>
  <c r="U181" i="3" s="1"/>
  <c r="V181" i="3" s="1"/>
  <c r="W181" i="3"/>
  <c r="W191" i="3"/>
  <c r="S191" i="3"/>
  <c r="T191" i="3" s="1"/>
  <c r="U191" i="3" s="1"/>
  <c r="V191" i="3" s="1"/>
  <c r="W211" i="3"/>
  <c r="S211" i="3"/>
  <c r="T211" i="3" s="1"/>
  <c r="U211" i="3" s="1"/>
  <c r="V211" i="3" s="1"/>
  <c r="W7" i="3"/>
  <c r="S7" i="3"/>
  <c r="T7" i="3" s="1"/>
  <c r="U7" i="3" s="1"/>
  <c r="V7" i="3" s="1"/>
  <c r="S55" i="3"/>
  <c r="T55" i="3" s="1"/>
  <c r="U55" i="3" s="1"/>
  <c r="V55" i="3" s="1"/>
  <c r="W64" i="3"/>
  <c r="R82" i="3"/>
  <c r="R100" i="3"/>
  <c r="W119" i="3"/>
  <c r="S119" i="3"/>
  <c r="T119" i="3" s="1"/>
  <c r="U119" i="3" s="1"/>
  <c r="V119" i="3" s="1"/>
  <c r="S201" i="3"/>
  <c r="T201" i="3" s="1"/>
  <c r="U201" i="3" s="1"/>
  <c r="V201" i="3" s="1"/>
  <c r="W201" i="3"/>
  <c r="W277" i="3"/>
  <c r="S277" i="3"/>
  <c r="T277" i="3" s="1"/>
  <c r="U277" i="3" s="1"/>
  <c r="V277" i="3" s="1"/>
  <c r="S36" i="3"/>
  <c r="T36" i="3" s="1"/>
  <c r="U36" i="3" s="1"/>
  <c r="V36" i="3" s="1"/>
  <c r="W36" i="3"/>
  <c r="W73" i="3"/>
  <c r="S73" i="3"/>
  <c r="T73" i="3" s="1"/>
  <c r="U73" i="3" s="1"/>
  <c r="V73" i="3" s="1"/>
  <c r="W202" i="3"/>
  <c r="S202" i="3"/>
  <c r="T202" i="3" s="1"/>
  <c r="U202" i="3" s="1"/>
  <c r="V202" i="3" s="1"/>
  <c r="W268" i="3"/>
  <c r="S268" i="3"/>
  <c r="T268" i="3" s="1"/>
  <c r="U268" i="3" s="1"/>
  <c r="V268" i="3" s="1"/>
  <c r="W53" i="3"/>
  <c r="S53" i="3"/>
  <c r="T53" i="3" s="1"/>
  <c r="U53" i="3" s="1"/>
  <c r="V53" i="3" s="1"/>
  <c r="S230" i="3"/>
  <c r="T230" i="3" s="1"/>
  <c r="U230" i="3" s="1"/>
  <c r="V230" i="3" s="1"/>
  <c r="W230" i="3"/>
  <c r="W122" i="3"/>
  <c r="S122" i="3"/>
  <c r="T122" i="3" s="1"/>
  <c r="U122" i="3" s="1"/>
  <c r="V122" i="3" s="1"/>
  <c r="W10" i="3"/>
  <c r="S10" i="3"/>
  <c r="T10" i="3" s="1"/>
  <c r="U10" i="3" s="1"/>
  <c r="V10" i="3" s="1"/>
  <c r="W146" i="3"/>
  <c r="S146" i="3"/>
  <c r="T146" i="3" s="1"/>
  <c r="U146" i="3" s="1"/>
  <c r="V146" i="3" s="1"/>
  <c r="W44" i="3"/>
  <c r="S44" i="3"/>
  <c r="T44" i="3" s="1"/>
  <c r="U44" i="3" s="1"/>
  <c r="V44" i="3" s="1"/>
  <c r="S27" i="3"/>
  <c r="T27" i="3" s="1"/>
  <c r="U27" i="3" s="1"/>
  <c r="V27" i="3" s="1"/>
  <c r="W27" i="3"/>
  <c r="R175" i="3"/>
  <c r="S128" i="3"/>
  <c r="T128" i="3" s="1"/>
  <c r="U128" i="3" s="1"/>
  <c r="V128" i="3" s="1"/>
  <c r="W128" i="3"/>
  <c r="W12" i="3"/>
  <c r="S12" i="3"/>
  <c r="T12" i="3" s="1"/>
  <c r="U12" i="3" s="1"/>
  <c r="V12" i="3" s="1"/>
  <c r="S148" i="3"/>
  <c r="T148" i="3" s="1"/>
  <c r="U148" i="3" s="1"/>
  <c r="V148" i="3" s="1"/>
  <c r="W207" i="3"/>
  <c r="S217" i="3"/>
  <c r="T217" i="3" s="1"/>
  <c r="U217" i="3" s="1"/>
  <c r="V217" i="3" s="1"/>
  <c r="W222" i="3"/>
  <c r="S222" i="3"/>
  <c r="T222" i="3" s="1"/>
  <c r="U222" i="3" s="1"/>
  <c r="V222" i="3" s="1"/>
  <c r="W248" i="3"/>
  <c r="S248" i="3"/>
  <c r="T248" i="3" s="1"/>
  <c r="U248" i="3" s="1"/>
  <c r="V248" i="3" s="1"/>
  <c r="S253" i="3"/>
  <c r="T253" i="3" s="1"/>
  <c r="U253" i="3" s="1"/>
  <c r="V253" i="3" s="1"/>
  <c r="S189" i="3"/>
  <c r="T189" i="3" s="1"/>
  <c r="U189" i="3" s="1"/>
  <c r="V189" i="3" s="1"/>
  <c r="W286" i="3"/>
  <c r="S286" i="3"/>
  <c r="T286" i="3" s="1"/>
  <c r="U286" i="3" s="1"/>
  <c r="V286" i="3" s="1"/>
  <c r="S72" i="3"/>
  <c r="T72" i="3" s="1"/>
  <c r="U72" i="3" s="1"/>
  <c r="V72" i="3" s="1"/>
  <c r="S113" i="3"/>
  <c r="T113" i="3" s="1"/>
  <c r="U113" i="3" s="1"/>
  <c r="V113" i="3" s="1"/>
  <c r="S287" i="3"/>
  <c r="T287" i="3" s="1"/>
  <c r="U287" i="3" s="1"/>
  <c r="V287" i="3" s="1"/>
  <c r="W287" i="3"/>
  <c r="W4" i="3"/>
  <c r="S4" i="3"/>
  <c r="T4" i="3" s="1"/>
  <c r="U4" i="3" s="1"/>
  <c r="V4" i="3" s="1"/>
  <c r="S69" i="3"/>
  <c r="T69" i="3" s="1"/>
  <c r="U69" i="3" s="1"/>
  <c r="V69" i="3" s="1"/>
  <c r="R196" i="3"/>
  <c r="W208" i="3"/>
  <c r="S208" i="3"/>
  <c r="T208" i="3" s="1"/>
  <c r="U208" i="3" s="1"/>
  <c r="V208" i="3" s="1"/>
  <c r="S278" i="3"/>
  <c r="T278" i="3" s="1"/>
  <c r="U278" i="3" s="1"/>
  <c r="V278" i="3" s="1"/>
  <c r="W278" i="3"/>
  <c r="S289" i="3"/>
  <c r="T289" i="3" s="1"/>
  <c r="U289" i="3" s="1"/>
  <c r="V289" i="3" s="1"/>
  <c r="W289" i="3"/>
  <c r="W33" i="3"/>
  <c r="S33" i="3"/>
  <c r="T33" i="3" s="1"/>
  <c r="U33" i="3" s="1"/>
  <c r="V33" i="3" s="1"/>
  <c r="W139" i="3"/>
  <c r="S139" i="3"/>
  <c r="T139" i="3" s="1"/>
  <c r="U139" i="3" s="1"/>
  <c r="V139" i="3" s="1"/>
  <c r="S167" i="3"/>
  <c r="T167" i="3" s="1"/>
  <c r="U167" i="3" s="1"/>
  <c r="V167" i="3" s="1"/>
  <c r="W167" i="3"/>
  <c r="W228" i="3"/>
  <c r="S228" i="3"/>
  <c r="T228" i="3" s="1"/>
  <c r="U228" i="3" s="1"/>
  <c r="V228" i="3" s="1"/>
  <c r="W239" i="3"/>
  <c r="S239" i="3"/>
  <c r="T239" i="3" s="1"/>
  <c r="U239" i="3" s="1"/>
  <c r="V239" i="3" s="1"/>
  <c r="S245" i="3"/>
  <c r="T245" i="3" s="1"/>
  <c r="U245" i="3" s="1"/>
  <c r="V245" i="3" s="1"/>
  <c r="S6" i="3"/>
  <c r="T6" i="3" s="1"/>
  <c r="U6" i="3" s="1"/>
  <c r="V6" i="3" s="1"/>
  <c r="S38" i="3"/>
  <c r="T38" i="3" s="1"/>
  <c r="U38" i="3" s="1"/>
  <c r="V38" i="3" s="1"/>
  <c r="W38" i="3"/>
  <c r="S46" i="3"/>
  <c r="T46" i="3" s="1"/>
  <c r="U46" i="3" s="1"/>
  <c r="V46" i="3" s="1"/>
  <c r="W46" i="3"/>
  <c r="S56" i="3"/>
  <c r="T56" i="3" s="1"/>
  <c r="U56" i="3" s="1"/>
  <c r="V56" i="3" s="1"/>
  <c r="W56" i="3"/>
  <c r="W8" i="3"/>
  <c r="S8" i="3"/>
  <c r="T8" i="3" s="1"/>
  <c r="U8" i="3" s="1"/>
  <c r="V8" i="3" s="1"/>
  <c r="W120" i="3"/>
  <c r="S120" i="3"/>
  <c r="T120" i="3" s="1"/>
  <c r="U120" i="3" s="1"/>
  <c r="V120" i="3" s="1"/>
  <c r="W182" i="3"/>
  <c r="S182" i="3"/>
  <c r="T182" i="3" s="1"/>
  <c r="U182" i="3" s="1"/>
  <c r="V182" i="3" s="1"/>
  <c r="S249" i="3"/>
  <c r="T249" i="3" s="1"/>
  <c r="U249" i="3" s="1"/>
  <c r="V249" i="3" s="1"/>
  <c r="W249" i="3"/>
  <c r="S269" i="3"/>
  <c r="T269" i="3" s="1"/>
  <c r="U269" i="3" s="1"/>
  <c r="V269" i="3" s="1"/>
  <c r="W269" i="3"/>
  <c r="S244" i="3"/>
  <c r="T244" i="3" s="1"/>
  <c r="U244" i="3" s="1"/>
  <c r="V244" i="3" s="1"/>
  <c r="W244" i="3"/>
  <c r="R48" i="3"/>
  <c r="R35" i="3"/>
  <c r="W65" i="3"/>
  <c r="S65" i="3"/>
  <c r="T65" i="3" s="1"/>
  <c r="U65" i="3" s="1"/>
  <c r="V65" i="3" s="1"/>
  <c r="W237" i="3"/>
  <c r="S237" i="3"/>
  <c r="T237" i="3" s="1"/>
  <c r="U237" i="3" s="1"/>
  <c r="V237" i="3" s="1"/>
  <c r="R19" i="3"/>
  <c r="S25" i="3"/>
  <c r="T25" i="3" s="1"/>
  <c r="U25" i="3" s="1"/>
  <c r="V25" i="3" s="1"/>
  <c r="R62" i="3"/>
  <c r="W93" i="3"/>
  <c r="S93" i="3"/>
  <c r="T93" i="3" s="1"/>
  <c r="U93" i="3" s="1"/>
  <c r="V93" i="3" s="1"/>
  <c r="S192" i="3"/>
  <c r="T192" i="3" s="1"/>
  <c r="U192" i="3" s="1"/>
  <c r="V192" i="3" s="1"/>
  <c r="S225" i="3"/>
  <c r="T225" i="3" s="1"/>
  <c r="U225" i="3" s="1"/>
  <c r="V225" i="3" s="1"/>
  <c r="R241" i="3"/>
  <c r="S252" i="3"/>
  <c r="T252" i="3" s="1"/>
  <c r="U252" i="3" s="1"/>
  <c r="V252" i="3" s="1"/>
  <c r="R150" i="3"/>
  <c r="W226" i="3"/>
  <c r="R235" i="3"/>
  <c r="R50" i="3"/>
  <c r="S125" i="3"/>
  <c r="T125" i="3" s="1"/>
  <c r="U125" i="3" s="1"/>
  <c r="V125" i="3" s="1"/>
  <c r="S186" i="3"/>
  <c r="T186" i="3" s="1"/>
  <c r="U186" i="3" s="1"/>
  <c r="V186" i="3" s="1"/>
  <c r="S219" i="3"/>
  <c r="T219" i="3" s="1"/>
  <c r="U219" i="3" s="1"/>
  <c r="V219" i="3" s="1"/>
  <c r="S227" i="3"/>
  <c r="T227" i="3" s="1"/>
  <c r="U227" i="3" s="1"/>
  <c r="V227" i="3" s="1"/>
  <c r="S280" i="3"/>
  <c r="T280" i="3" s="1"/>
  <c r="U280" i="3" s="1"/>
  <c r="V280" i="3" s="1"/>
  <c r="S132" i="3"/>
  <c r="T132" i="3" s="1"/>
  <c r="U132" i="3" s="1"/>
  <c r="V132" i="3" s="1"/>
  <c r="R193" i="3"/>
  <c r="S284" i="3"/>
  <c r="T284" i="3" s="1"/>
  <c r="U284" i="3" s="1"/>
  <c r="V284" i="3" s="1"/>
  <c r="W284" i="3"/>
  <c r="R80" i="3"/>
  <c r="S101" i="3"/>
  <c r="T101" i="3" s="1"/>
  <c r="U101" i="3" s="1"/>
  <c r="V101" i="3" s="1"/>
  <c r="W101" i="3"/>
  <c r="W105" i="3"/>
  <c r="S105" i="3"/>
  <c r="T105" i="3" s="1"/>
  <c r="U105" i="3" s="1"/>
  <c r="V105" i="3" s="1"/>
  <c r="W115" i="3"/>
  <c r="S115" i="3"/>
  <c r="T115" i="3" s="1"/>
  <c r="U115" i="3" s="1"/>
  <c r="V115" i="3" s="1"/>
  <c r="W205" i="3"/>
  <c r="S205" i="3"/>
  <c r="T205" i="3" s="1"/>
  <c r="U205" i="3" s="1"/>
  <c r="V205" i="3" s="1"/>
  <c r="W212" i="3"/>
  <c r="W231" i="3"/>
  <c r="S231" i="3"/>
  <c r="T231" i="3" s="1"/>
  <c r="U231" i="3" s="1"/>
  <c r="V231" i="3" s="1"/>
  <c r="W285" i="3"/>
  <c r="S285" i="3"/>
  <c r="T285" i="3" s="1"/>
  <c r="U285" i="3" s="1"/>
  <c r="V285" i="3" s="1"/>
  <c r="S15" i="3"/>
  <c r="T15" i="3" s="1"/>
  <c r="U15" i="3" s="1"/>
  <c r="V15" i="3" s="1"/>
  <c r="S60" i="3"/>
  <c r="T60" i="3" s="1"/>
  <c r="U60" i="3" s="1"/>
  <c r="V60" i="3" s="1"/>
  <c r="W91" i="3"/>
  <c r="S91" i="3"/>
  <c r="T91" i="3" s="1"/>
  <c r="U91" i="3" s="1"/>
  <c r="V91" i="3" s="1"/>
  <c r="W168" i="3"/>
  <c r="S168" i="3"/>
  <c r="T168" i="3" s="1"/>
  <c r="U168" i="3" s="1"/>
  <c r="V168" i="3" s="1"/>
  <c r="S67" i="3"/>
  <c r="T67" i="3" s="1"/>
  <c r="U67" i="3" s="1"/>
  <c r="V67" i="3" s="1"/>
  <c r="S87" i="3"/>
  <c r="T87" i="3" s="1"/>
  <c r="U87" i="3" s="1"/>
  <c r="V87" i="3" s="1"/>
  <c r="W87" i="3"/>
  <c r="W129" i="3"/>
  <c r="R136" i="3"/>
  <c r="R176" i="3"/>
  <c r="W197" i="3"/>
  <c r="S223" i="3"/>
  <c r="T223" i="3" s="1"/>
  <c r="U223" i="3" s="1"/>
  <c r="V223" i="3" s="1"/>
  <c r="S281" i="3"/>
  <c r="T281" i="3" s="1"/>
  <c r="U281" i="3" s="1"/>
  <c r="V281" i="3" s="1"/>
  <c r="W281" i="3"/>
  <c r="S300" i="3"/>
  <c r="T300" i="3" s="1"/>
  <c r="U300" i="3" s="1"/>
  <c r="V300" i="3" s="1"/>
  <c r="W112" i="3"/>
  <c r="S112" i="3"/>
  <c r="T112" i="3" s="1"/>
  <c r="U112" i="3" s="1"/>
  <c r="V112" i="3" s="1"/>
  <c r="W263" i="3"/>
  <c r="S263" i="3"/>
  <c r="T263" i="3" s="1"/>
  <c r="U263" i="3" s="1"/>
  <c r="V263" i="3" s="1"/>
  <c r="S133" i="3"/>
  <c r="T133" i="3" s="1"/>
  <c r="U133" i="3" s="1"/>
  <c r="V133" i="3" s="1"/>
  <c r="S144" i="3"/>
  <c r="T144" i="3" s="1"/>
  <c r="U144" i="3" s="1"/>
  <c r="V144" i="3" s="1"/>
  <c r="W151" i="3"/>
  <c r="S151" i="3"/>
  <c r="T151" i="3" s="1"/>
  <c r="U151" i="3" s="1"/>
  <c r="V151" i="3" s="1"/>
  <c r="S187" i="3"/>
  <c r="T187" i="3" s="1"/>
  <c r="U187" i="3" s="1"/>
  <c r="V187" i="3" s="1"/>
  <c r="S213" i="3"/>
  <c r="T213" i="3" s="1"/>
  <c r="U213" i="3" s="1"/>
  <c r="V213" i="3" s="1"/>
  <c r="S304" i="3"/>
  <c r="T304" i="3" s="1"/>
  <c r="U304" i="3" s="1"/>
  <c r="V304" i="3" s="1"/>
  <c r="W304" i="3" s="1"/>
  <c r="R24" i="3"/>
  <c r="W37" i="3"/>
  <c r="S37" i="3"/>
  <c r="T37" i="3" s="1"/>
  <c r="U37" i="3" s="1"/>
  <c r="V37" i="3" s="1"/>
  <c r="S81" i="3"/>
  <c r="T81" i="3" s="1"/>
  <c r="U81" i="3" s="1"/>
  <c r="V81" i="3" s="1"/>
  <c r="W81" i="3"/>
  <c r="R98" i="3"/>
  <c r="S126" i="3"/>
  <c r="T126" i="3" s="1"/>
  <c r="U126" i="3" s="1"/>
  <c r="V126" i="3" s="1"/>
  <c r="R130" i="3"/>
  <c r="R155" i="3"/>
  <c r="R198" i="3"/>
  <c r="W220" i="3"/>
  <c r="S220" i="3"/>
  <c r="T220" i="3" s="1"/>
  <c r="U220" i="3" s="1"/>
  <c r="V220" i="3" s="1"/>
  <c r="W243" i="3"/>
  <c r="S243" i="3"/>
  <c r="T243" i="3" s="1"/>
  <c r="U243" i="3" s="1"/>
  <c r="V243" i="3" s="1"/>
  <c r="S47" i="3"/>
  <c r="T47" i="3" s="1"/>
  <c r="U47" i="3" s="1"/>
  <c r="V47" i="3" s="1"/>
  <c r="S21" i="3"/>
  <c r="T21" i="3" s="1"/>
  <c r="U21" i="3" s="1"/>
  <c r="V21" i="3" s="1"/>
  <c r="S34" i="3"/>
  <c r="T34" i="3" s="1"/>
  <c r="U34" i="3" s="1"/>
  <c r="V34" i="3" s="1"/>
  <c r="W71" i="3"/>
  <c r="S71" i="3"/>
  <c r="T71" i="3" s="1"/>
  <c r="U71" i="3" s="1"/>
  <c r="V71" i="3" s="1"/>
  <c r="S95" i="3"/>
  <c r="T95" i="3" s="1"/>
  <c r="U95" i="3" s="1"/>
  <c r="V95" i="3" s="1"/>
  <c r="S102" i="3"/>
  <c r="T102" i="3" s="1"/>
  <c r="U102" i="3" s="1"/>
  <c r="V102" i="3" s="1"/>
  <c r="W126" i="3"/>
  <c r="W147" i="3"/>
  <c r="W169" i="3"/>
  <c r="R173" i="3"/>
  <c r="W255" i="3"/>
  <c r="S255" i="3"/>
  <c r="T255" i="3" s="1"/>
  <c r="U255" i="3" s="1"/>
  <c r="V255" i="3" s="1"/>
  <c r="W259" i="3"/>
  <c r="S41" i="3"/>
  <c r="T41" i="3" s="1"/>
  <c r="U41" i="3" s="1"/>
  <c r="V41" i="3" s="1"/>
  <c r="W41" i="3"/>
  <c r="R51" i="3"/>
  <c r="R68" i="3"/>
  <c r="S109" i="3"/>
  <c r="T109" i="3" s="1"/>
  <c r="U109" i="3" s="1"/>
  <c r="V109" i="3" s="1"/>
  <c r="W109" i="3"/>
  <c r="S123" i="3"/>
  <c r="T123" i="3" s="1"/>
  <c r="U123" i="3" s="1"/>
  <c r="V123" i="3" s="1"/>
  <c r="W187" i="3"/>
  <c r="W206" i="3"/>
  <c r="W282" i="3"/>
  <c r="S282" i="3"/>
  <c r="T282" i="3" s="1"/>
  <c r="U282" i="3" s="1"/>
  <c r="V282" i="3" s="1"/>
  <c r="R233" i="3"/>
  <c r="R210" i="3"/>
  <c r="R236" i="3"/>
  <c r="R70" i="3"/>
  <c r="R78" i="3"/>
  <c r="R156" i="3"/>
  <c r="W67" i="3"/>
  <c r="S240" i="3"/>
  <c r="T240" i="3" s="1"/>
  <c r="U240" i="3" s="1"/>
  <c r="V240" i="3" s="1"/>
  <c r="S29" i="3"/>
  <c r="T29" i="3" s="1"/>
  <c r="U29" i="3" s="1"/>
  <c r="V29" i="3" s="1"/>
  <c r="R140" i="3"/>
  <c r="R258" i="3"/>
  <c r="S267" i="3"/>
  <c r="T267" i="3" s="1"/>
  <c r="U267" i="3" s="1"/>
  <c r="V267" i="3" s="1"/>
  <c r="R293" i="3"/>
  <c r="W29" i="3"/>
  <c r="S200" i="3"/>
  <c r="T200" i="3" s="1"/>
  <c r="U200" i="3" s="1"/>
  <c r="V200" i="3" s="1"/>
  <c r="R270" i="3"/>
  <c r="R296" i="3"/>
  <c r="R96" i="3"/>
  <c r="R110" i="3"/>
  <c r="R118" i="3"/>
  <c r="R238" i="3"/>
  <c r="S247" i="3"/>
  <c r="T247" i="3" s="1"/>
  <c r="U247" i="3" s="1"/>
  <c r="V247" i="3" s="1"/>
  <c r="S270" i="3" l="1"/>
  <c r="T270" i="3" s="1"/>
  <c r="U270" i="3" s="1"/>
  <c r="V270" i="3" s="1"/>
  <c r="W270" i="3"/>
  <c r="W48" i="3"/>
  <c r="S48" i="3"/>
  <c r="T48" i="3" s="1"/>
  <c r="U48" i="3" s="1"/>
  <c r="V48" i="3" s="1"/>
  <c r="W155" i="3"/>
  <c r="S155" i="3"/>
  <c r="T155" i="3" s="1"/>
  <c r="U155" i="3" s="1"/>
  <c r="V155" i="3" s="1"/>
  <c r="W50" i="3"/>
  <c r="S50" i="3"/>
  <c r="T50" i="3" s="1"/>
  <c r="U50" i="3" s="1"/>
  <c r="V50" i="3" s="1"/>
  <c r="S156" i="3"/>
  <c r="T156" i="3" s="1"/>
  <c r="U156" i="3" s="1"/>
  <c r="V156" i="3" s="1"/>
  <c r="W156" i="3"/>
  <c r="W173" i="3"/>
  <c r="S173" i="3"/>
  <c r="T173" i="3" s="1"/>
  <c r="U173" i="3" s="1"/>
  <c r="V173" i="3" s="1"/>
  <c r="S78" i="3"/>
  <c r="T78" i="3" s="1"/>
  <c r="U78" i="3" s="1"/>
  <c r="V78" i="3" s="1"/>
  <c r="W78" i="3"/>
  <c r="S176" i="3"/>
  <c r="T176" i="3" s="1"/>
  <c r="U176" i="3" s="1"/>
  <c r="V176" i="3" s="1"/>
  <c r="W176" i="3"/>
  <c r="S241" i="3"/>
  <c r="T241" i="3" s="1"/>
  <c r="U241" i="3" s="1"/>
  <c r="V241" i="3" s="1"/>
  <c r="W241" i="3"/>
  <c r="S58" i="3"/>
  <c r="T58" i="3" s="1"/>
  <c r="U58" i="3" s="1"/>
  <c r="V58" i="3" s="1"/>
  <c r="W58" i="3"/>
  <c r="S196" i="3"/>
  <c r="T196" i="3" s="1"/>
  <c r="U196" i="3" s="1"/>
  <c r="V196" i="3" s="1"/>
  <c r="W196" i="3"/>
  <c r="W293" i="3"/>
  <c r="S293" i="3"/>
  <c r="T293" i="3" s="1"/>
  <c r="U293" i="3" s="1"/>
  <c r="V293" i="3" s="1"/>
  <c r="W35" i="3"/>
  <c r="S35" i="3"/>
  <c r="T35" i="3" s="1"/>
  <c r="U35" i="3" s="1"/>
  <c r="V35" i="3" s="1"/>
  <c r="S258" i="3"/>
  <c r="T258" i="3" s="1"/>
  <c r="U258" i="3" s="1"/>
  <c r="V258" i="3" s="1"/>
  <c r="W258" i="3"/>
  <c r="S198" i="3"/>
  <c r="T198" i="3" s="1"/>
  <c r="U198" i="3" s="1"/>
  <c r="V198" i="3" s="1"/>
  <c r="W198" i="3"/>
  <c r="W23" i="3"/>
  <c r="S23" i="3"/>
  <c r="T23" i="3" s="1"/>
  <c r="U23" i="3" s="1"/>
  <c r="V23" i="3" s="1"/>
  <c r="S5" i="3"/>
  <c r="T5" i="3" s="1"/>
  <c r="U5" i="3" s="1"/>
  <c r="V5" i="3" s="1"/>
  <c r="W5" i="3"/>
  <c r="S130" i="3"/>
  <c r="T130" i="3" s="1"/>
  <c r="U130" i="3" s="1"/>
  <c r="V130" i="3" s="1"/>
  <c r="W130" i="3"/>
  <c r="W235" i="3"/>
  <c r="S235" i="3"/>
  <c r="T235" i="3" s="1"/>
  <c r="U235" i="3" s="1"/>
  <c r="V235" i="3" s="1"/>
  <c r="S98" i="3"/>
  <c r="T98" i="3" s="1"/>
  <c r="U98" i="3" s="1"/>
  <c r="V98" i="3" s="1"/>
  <c r="W98" i="3"/>
  <c r="S236" i="3"/>
  <c r="T236" i="3" s="1"/>
  <c r="U236" i="3" s="1"/>
  <c r="V236" i="3" s="1"/>
  <c r="W236" i="3"/>
  <c r="S210" i="3"/>
  <c r="T210" i="3" s="1"/>
  <c r="U210" i="3" s="1"/>
  <c r="V210" i="3" s="1"/>
  <c r="W210" i="3"/>
  <c r="S24" i="3"/>
  <c r="T24" i="3" s="1"/>
  <c r="U24" i="3" s="1"/>
  <c r="V24" i="3" s="1"/>
  <c r="W24" i="3"/>
  <c r="W82" i="3"/>
  <c r="S82" i="3"/>
  <c r="T82" i="3" s="1"/>
  <c r="U82" i="3" s="1"/>
  <c r="V82" i="3" s="1"/>
  <c r="S76" i="3"/>
  <c r="T76" i="3" s="1"/>
  <c r="U76" i="3" s="1"/>
  <c r="V76" i="3" s="1"/>
  <c r="W76" i="3"/>
  <c r="S90" i="3"/>
  <c r="T90" i="3" s="1"/>
  <c r="U90" i="3" s="1"/>
  <c r="V90" i="3" s="1"/>
  <c r="W90" i="3"/>
  <c r="W51" i="3"/>
  <c r="S51" i="3"/>
  <c r="T51" i="3" s="1"/>
  <c r="U51" i="3" s="1"/>
  <c r="V51" i="3" s="1"/>
  <c r="W175" i="3"/>
  <c r="S175" i="3"/>
  <c r="T175" i="3" s="1"/>
  <c r="U175" i="3" s="1"/>
  <c r="V175" i="3" s="1"/>
  <c r="W9" i="3"/>
  <c r="S9" i="3"/>
  <c r="T9" i="3" s="1"/>
  <c r="U9" i="3" s="1"/>
  <c r="V9" i="3" s="1"/>
  <c r="W140" i="3"/>
  <c r="S140" i="3"/>
  <c r="T140" i="3" s="1"/>
  <c r="U140" i="3" s="1"/>
  <c r="V140" i="3" s="1"/>
  <c r="S104" i="3"/>
  <c r="T104" i="3" s="1"/>
  <c r="U104" i="3" s="1"/>
  <c r="V104" i="3" s="1"/>
  <c r="W104" i="3"/>
  <c r="W150" i="3"/>
  <c r="S150" i="3"/>
  <c r="T150" i="3" s="1"/>
  <c r="U150" i="3" s="1"/>
  <c r="V150" i="3" s="1"/>
  <c r="W70" i="3"/>
  <c r="S70" i="3"/>
  <c r="T70" i="3" s="1"/>
  <c r="U70" i="3" s="1"/>
  <c r="V70" i="3" s="1"/>
  <c r="S136" i="3"/>
  <c r="T136" i="3" s="1"/>
  <c r="U136" i="3" s="1"/>
  <c r="V136" i="3" s="1"/>
  <c r="W136" i="3"/>
  <c r="S238" i="3"/>
  <c r="T238" i="3" s="1"/>
  <c r="U238" i="3" s="1"/>
  <c r="V238" i="3" s="1"/>
  <c r="W238" i="3"/>
  <c r="W233" i="3"/>
  <c r="S233" i="3"/>
  <c r="T233" i="3" s="1"/>
  <c r="U233" i="3" s="1"/>
  <c r="V233" i="3" s="1"/>
  <c r="S118" i="3"/>
  <c r="T118" i="3" s="1"/>
  <c r="U118" i="3" s="1"/>
  <c r="V118" i="3" s="1"/>
  <c r="W118" i="3"/>
  <c r="W80" i="3"/>
  <c r="S80" i="3"/>
  <c r="T80" i="3" s="1"/>
  <c r="U80" i="3" s="1"/>
  <c r="V80" i="3" s="1"/>
  <c r="W62" i="3"/>
  <c r="S62" i="3"/>
  <c r="T62" i="3" s="1"/>
  <c r="U62" i="3" s="1"/>
  <c r="V62" i="3" s="1"/>
  <c r="S68" i="3"/>
  <c r="T68" i="3" s="1"/>
  <c r="U68" i="3" s="1"/>
  <c r="V68" i="3" s="1"/>
  <c r="W68" i="3"/>
  <c r="W100" i="3"/>
  <c r="S100" i="3"/>
  <c r="T100" i="3" s="1"/>
  <c r="U100" i="3" s="1"/>
  <c r="V100" i="3" s="1"/>
  <c r="W110" i="3"/>
  <c r="S110" i="3"/>
  <c r="T110" i="3" s="1"/>
  <c r="U110" i="3" s="1"/>
  <c r="V110" i="3" s="1"/>
  <c r="S96" i="3"/>
  <c r="T96" i="3" s="1"/>
  <c r="U96" i="3" s="1"/>
  <c r="V96" i="3" s="1"/>
  <c r="W96" i="3"/>
  <c r="W19" i="3"/>
  <c r="S19" i="3"/>
  <c r="T19" i="3" s="1"/>
  <c r="U19" i="3" s="1"/>
  <c r="V19" i="3" s="1"/>
  <c r="S296" i="3"/>
  <c r="T296" i="3" s="1"/>
  <c r="U296" i="3" s="1"/>
  <c r="V296" i="3" s="1"/>
  <c r="W296" i="3"/>
  <c r="W193" i="3"/>
  <c r="S193" i="3"/>
  <c r="T193" i="3" s="1"/>
  <c r="U193" i="3" s="1"/>
  <c r="V193" i="3" s="1"/>
  <c r="W108" i="3"/>
  <c r="S108" i="3"/>
  <c r="T108" i="3" s="1"/>
  <c r="U108" i="3" s="1"/>
  <c r="V108" i="3" s="1"/>
  <c r="W75" i="3"/>
  <c r="S75" i="3"/>
  <c r="T75" i="3" s="1"/>
  <c r="U75" i="3" s="1"/>
  <c r="V75" i="3" s="1"/>
  <c r="B4" i="2" l="1"/>
  <c r="C4" i="2"/>
  <c r="Q4" i="2" s="1"/>
  <c r="D4" i="2"/>
  <c r="E4" i="2"/>
  <c r="F4" i="2"/>
  <c r="G4" i="2"/>
  <c r="H4" i="2"/>
  <c r="I4" i="2"/>
  <c r="J4" i="2"/>
  <c r="K4" i="2"/>
  <c r="L4" i="2"/>
  <c r="M4" i="2"/>
  <c r="N4" i="2"/>
  <c r="O4" i="2"/>
  <c r="P4" i="2" s="1"/>
  <c r="R4" i="2" s="1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 s="1"/>
  <c r="R5" i="2" s="1"/>
  <c r="Q5" i="2"/>
  <c r="B6" i="2"/>
  <c r="C6" i="2"/>
  <c r="Q6" i="2" s="1"/>
  <c r="D6" i="2"/>
  <c r="E6" i="2"/>
  <c r="F6" i="2"/>
  <c r="G6" i="2"/>
  <c r="H6" i="2"/>
  <c r="I6" i="2"/>
  <c r="J6" i="2"/>
  <c r="K6" i="2"/>
  <c r="L6" i="2"/>
  <c r="M6" i="2"/>
  <c r="N6" i="2"/>
  <c r="O6" i="2"/>
  <c r="P6" i="2" s="1"/>
  <c r="B7" i="2"/>
  <c r="C7" i="2"/>
  <c r="Q7" i="2" s="1"/>
  <c r="D7" i="2"/>
  <c r="E7" i="2"/>
  <c r="F7" i="2"/>
  <c r="G7" i="2"/>
  <c r="H7" i="2"/>
  <c r="I7" i="2"/>
  <c r="J7" i="2"/>
  <c r="K7" i="2"/>
  <c r="L7" i="2"/>
  <c r="M7" i="2"/>
  <c r="N7" i="2"/>
  <c r="O7" i="2"/>
  <c r="P7" i="2" s="1"/>
  <c r="R7" i="2" s="1"/>
  <c r="B8" i="2"/>
  <c r="C8" i="2"/>
  <c r="D8" i="2"/>
  <c r="Q8" i="2" s="1"/>
  <c r="E8" i="2"/>
  <c r="F8" i="2"/>
  <c r="G8" i="2"/>
  <c r="H8" i="2"/>
  <c r="I8" i="2"/>
  <c r="J8" i="2"/>
  <c r="K8" i="2"/>
  <c r="L8" i="2"/>
  <c r="M8" i="2"/>
  <c r="N8" i="2"/>
  <c r="O8" i="2"/>
  <c r="P8" i="2"/>
  <c r="B9" i="2"/>
  <c r="C9" i="2"/>
  <c r="Q9" i="2" s="1"/>
  <c r="D9" i="2"/>
  <c r="E9" i="2"/>
  <c r="F9" i="2"/>
  <c r="G9" i="2"/>
  <c r="H9" i="2"/>
  <c r="I9" i="2"/>
  <c r="J9" i="2"/>
  <c r="K9" i="2"/>
  <c r="L9" i="2"/>
  <c r="M9" i="2"/>
  <c r="N9" i="2"/>
  <c r="O9" i="2"/>
  <c r="P9" i="2" s="1"/>
  <c r="B10" i="2"/>
  <c r="C10" i="2"/>
  <c r="D10" i="2"/>
  <c r="E10" i="2"/>
  <c r="F10" i="2"/>
  <c r="G10" i="2"/>
  <c r="H10" i="2"/>
  <c r="I10" i="2"/>
  <c r="J10" i="2"/>
  <c r="K10" i="2"/>
  <c r="L10" i="2"/>
  <c r="Q10" i="2" s="1"/>
  <c r="R10" i="2" s="1"/>
  <c r="M10" i="2"/>
  <c r="N10" i="2"/>
  <c r="O10" i="2"/>
  <c r="P10" i="2"/>
  <c r="B11" i="2"/>
  <c r="C11" i="2"/>
  <c r="D11" i="2"/>
  <c r="E11" i="2"/>
  <c r="F11" i="2"/>
  <c r="G11" i="2"/>
  <c r="H11" i="2"/>
  <c r="I11" i="2"/>
  <c r="J11" i="2"/>
  <c r="K11" i="2"/>
  <c r="L11" i="2"/>
  <c r="M11" i="2"/>
  <c r="Q11" i="2" s="1"/>
  <c r="N11" i="2"/>
  <c r="O11" i="2"/>
  <c r="P11" i="2" s="1"/>
  <c r="R11" i="2" s="1"/>
  <c r="B12" i="2"/>
  <c r="C12" i="2"/>
  <c r="Q12" i="2" s="1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B13" i="2"/>
  <c r="C13" i="2"/>
  <c r="Q13" i="2" s="1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B14" i="2"/>
  <c r="C14" i="2"/>
  <c r="Q14" i="2" s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B15" i="2"/>
  <c r="C15" i="2"/>
  <c r="Q15" i="2" s="1"/>
  <c r="R15" i="2" s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B16" i="2"/>
  <c r="C16" i="2"/>
  <c r="D16" i="2"/>
  <c r="E16" i="2"/>
  <c r="F16" i="2"/>
  <c r="G16" i="2"/>
  <c r="H16" i="2"/>
  <c r="Q16" i="2" s="1"/>
  <c r="I16" i="2"/>
  <c r="J16" i="2"/>
  <c r="K16" i="2"/>
  <c r="L16" i="2"/>
  <c r="M16" i="2"/>
  <c r="N16" i="2"/>
  <c r="O16" i="2"/>
  <c r="P16" i="2" s="1"/>
  <c r="R16" i="2" s="1"/>
  <c r="B17" i="2"/>
  <c r="C17" i="2"/>
  <c r="D17" i="2"/>
  <c r="E17" i="2"/>
  <c r="F17" i="2"/>
  <c r="G17" i="2"/>
  <c r="H17" i="2"/>
  <c r="Q17" i="2" s="1"/>
  <c r="I17" i="2"/>
  <c r="J17" i="2"/>
  <c r="K17" i="2"/>
  <c r="L17" i="2"/>
  <c r="M17" i="2"/>
  <c r="N17" i="2"/>
  <c r="O17" i="2"/>
  <c r="P17" i="2" s="1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R18" i="2" s="1"/>
  <c r="Q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 s="1"/>
  <c r="R19" i="2" s="1"/>
  <c r="Q19" i="2"/>
  <c r="B20" i="2"/>
  <c r="C20" i="2"/>
  <c r="Q20" i="2" s="1"/>
  <c r="D20" i="2"/>
  <c r="E20" i="2"/>
  <c r="F20" i="2"/>
  <c r="G20" i="2"/>
  <c r="H20" i="2"/>
  <c r="I20" i="2"/>
  <c r="J20" i="2"/>
  <c r="K20" i="2"/>
  <c r="L20" i="2"/>
  <c r="M20" i="2"/>
  <c r="N20" i="2"/>
  <c r="O20" i="2"/>
  <c r="P20" i="2" s="1"/>
  <c r="B21" i="2"/>
  <c r="C21" i="2"/>
  <c r="Q21" i="2" s="1"/>
  <c r="D21" i="2"/>
  <c r="E21" i="2"/>
  <c r="F21" i="2"/>
  <c r="G21" i="2"/>
  <c r="H21" i="2"/>
  <c r="I21" i="2"/>
  <c r="J21" i="2"/>
  <c r="K21" i="2"/>
  <c r="L21" i="2"/>
  <c r="M21" i="2"/>
  <c r="N21" i="2"/>
  <c r="O21" i="2"/>
  <c r="P21" i="2" s="1"/>
  <c r="B22" i="2"/>
  <c r="C22" i="2"/>
  <c r="Q22" i="2" s="1"/>
  <c r="D22" i="2"/>
  <c r="E22" i="2"/>
  <c r="F22" i="2"/>
  <c r="G22" i="2"/>
  <c r="H22" i="2"/>
  <c r="I22" i="2"/>
  <c r="J22" i="2"/>
  <c r="K22" i="2"/>
  <c r="L22" i="2"/>
  <c r="M22" i="2"/>
  <c r="N22" i="2"/>
  <c r="O22" i="2"/>
  <c r="P22" i="2" s="1"/>
  <c r="R22" i="2" s="1"/>
  <c r="B23" i="2"/>
  <c r="C23" i="2"/>
  <c r="D23" i="2"/>
  <c r="E23" i="2"/>
  <c r="F23" i="2"/>
  <c r="G23" i="2"/>
  <c r="H23" i="2"/>
  <c r="I23" i="2"/>
  <c r="Q23" i="2" s="1"/>
  <c r="J23" i="2"/>
  <c r="K23" i="2"/>
  <c r="L23" i="2"/>
  <c r="M23" i="2"/>
  <c r="N23" i="2"/>
  <c r="O23" i="2"/>
  <c r="P23" i="2"/>
  <c r="R23" i="2" s="1"/>
  <c r="B24" i="2"/>
  <c r="C24" i="2"/>
  <c r="Q24" i="2" s="1"/>
  <c r="D24" i="2"/>
  <c r="E24" i="2"/>
  <c r="F24" i="2"/>
  <c r="G24" i="2"/>
  <c r="H24" i="2"/>
  <c r="I24" i="2"/>
  <c r="J24" i="2"/>
  <c r="K24" i="2"/>
  <c r="L24" i="2"/>
  <c r="M24" i="2"/>
  <c r="N24" i="2"/>
  <c r="O24" i="2"/>
  <c r="P24" i="2" s="1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 s="1"/>
  <c r="R25" i="2" s="1"/>
  <c r="Q25" i="2"/>
  <c r="B26" i="2"/>
  <c r="C26" i="2"/>
  <c r="Q26" i="2" s="1"/>
  <c r="D26" i="2"/>
  <c r="E26" i="2"/>
  <c r="F26" i="2"/>
  <c r="G26" i="2"/>
  <c r="H26" i="2"/>
  <c r="I26" i="2"/>
  <c r="J26" i="2"/>
  <c r="K26" i="2"/>
  <c r="L26" i="2"/>
  <c r="M26" i="2"/>
  <c r="N26" i="2"/>
  <c r="O26" i="2"/>
  <c r="P26" i="2" s="1"/>
  <c r="R26" i="2" s="1"/>
  <c r="B27" i="2"/>
  <c r="C27" i="2"/>
  <c r="Q27" i="2" s="1"/>
  <c r="R27" i="2" s="1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B28" i="2"/>
  <c r="C28" i="2"/>
  <c r="D28" i="2"/>
  <c r="Q28" i="2" s="1"/>
  <c r="R28" i="2" s="1"/>
  <c r="E28" i="2"/>
  <c r="F28" i="2"/>
  <c r="G28" i="2"/>
  <c r="H28" i="2"/>
  <c r="I28" i="2"/>
  <c r="J28" i="2"/>
  <c r="K28" i="2"/>
  <c r="L28" i="2"/>
  <c r="M28" i="2"/>
  <c r="N28" i="2"/>
  <c r="O28" i="2"/>
  <c r="P28" i="2"/>
  <c r="B29" i="2"/>
  <c r="C29" i="2"/>
  <c r="D29" i="2"/>
  <c r="Q29" i="2" s="1"/>
  <c r="E29" i="2"/>
  <c r="F29" i="2"/>
  <c r="G29" i="2"/>
  <c r="H29" i="2"/>
  <c r="I29" i="2"/>
  <c r="J29" i="2"/>
  <c r="K29" i="2"/>
  <c r="L29" i="2"/>
  <c r="M29" i="2"/>
  <c r="N29" i="2"/>
  <c r="O29" i="2"/>
  <c r="P29" i="2" s="1"/>
  <c r="R29" i="2" s="1"/>
  <c r="B30" i="2"/>
  <c r="C30" i="2"/>
  <c r="D30" i="2"/>
  <c r="E30" i="2"/>
  <c r="F30" i="2"/>
  <c r="G30" i="2"/>
  <c r="Q30" i="2" s="1"/>
  <c r="R30" i="2" s="1"/>
  <c r="H30" i="2"/>
  <c r="I30" i="2"/>
  <c r="J30" i="2"/>
  <c r="K30" i="2"/>
  <c r="L30" i="2"/>
  <c r="M30" i="2"/>
  <c r="N30" i="2"/>
  <c r="O30" i="2"/>
  <c r="P30" i="2"/>
  <c r="B31" i="2"/>
  <c r="C31" i="2"/>
  <c r="D31" i="2"/>
  <c r="E31" i="2"/>
  <c r="F31" i="2"/>
  <c r="G31" i="2"/>
  <c r="H31" i="2"/>
  <c r="I31" i="2"/>
  <c r="J31" i="2"/>
  <c r="K31" i="2"/>
  <c r="L31" i="2"/>
  <c r="M31" i="2"/>
  <c r="Q31" i="2" s="1"/>
  <c r="N31" i="2"/>
  <c r="O31" i="2"/>
  <c r="P31" i="2" s="1"/>
  <c r="R31" i="2" s="1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B33" i="2"/>
  <c r="C33" i="2"/>
  <c r="Q33" i="2" s="1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R33" i="2" s="1"/>
  <c r="B34" i="2"/>
  <c r="C34" i="2"/>
  <c r="Q34" i="2" s="1"/>
  <c r="D34" i="2"/>
  <c r="E34" i="2"/>
  <c r="F34" i="2"/>
  <c r="G34" i="2"/>
  <c r="H34" i="2"/>
  <c r="I34" i="2"/>
  <c r="J34" i="2"/>
  <c r="K34" i="2"/>
  <c r="L34" i="2"/>
  <c r="M34" i="2"/>
  <c r="N34" i="2"/>
  <c r="O34" i="2"/>
  <c r="P34" i="2" s="1"/>
  <c r="B35" i="2"/>
  <c r="C35" i="2"/>
  <c r="Q35" i="2" s="1"/>
  <c r="R35" i="2" s="1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B36" i="2"/>
  <c r="C36" i="2"/>
  <c r="D36" i="2"/>
  <c r="E36" i="2"/>
  <c r="Q36" i="2" s="1"/>
  <c r="F36" i="2"/>
  <c r="G36" i="2"/>
  <c r="H36" i="2"/>
  <c r="I36" i="2"/>
  <c r="J36" i="2"/>
  <c r="K36" i="2"/>
  <c r="L36" i="2"/>
  <c r="M36" i="2"/>
  <c r="N36" i="2"/>
  <c r="O36" i="2"/>
  <c r="P36" i="2"/>
  <c r="B37" i="2"/>
  <c r="C37" i="2"/>
  <c r="D37" i="2"/>
  <c r="E37" i="2"/>
  <c r="F37" i="2"/>
  <c r="G37" i="2"/>
  <c r="H37" i="2"/>
  <c r="Q37" i="2" s="1"/>
  <c r="I37" i="2"/>
  <c r="J37" i="2"/>
  <c r="K37" i="2"/>
  <c r="L37" i="2"/>
  <c r="M37" i="2"/>
  <c r="N37" i="2"/>
  <c r="O37" i="2"/>
  <c r="P37" i="2" s="1"/>
  <c r="R37" i="2" s="1"/>
  <c r="B38" i="2"/>
  <c r="C38" i="2"/>
  <c r="D38" i="2"/>
  <c r="E38" i="2"/>
  <c r="F38" i="2"/>
  <c r="G38" i="2"/>
  <c r="H38" i="2"/>
  <c r="I38" i="2"/>
  <c r="J38" i="2"/>
  <c r="K38" i="2"/>
  <c r="Q38" i="2" s="1"/>
  <c r="L38" i="2"/>
  <c r="M38" i="2"/>
  <c r="N38" i="2"/>
  <c r="O38" i="2"/>
  <c r="P38" i="2"/>
  <c r="R38" i="2" s="1"/>
  <c r="B39" i="2"/>
  <c r="C39" i="2"/>
  <c r="D39" i="2"/>
  <c r="Q39" i="2" s="1"/>
  <c r="E39" i="2"/>
  <c r="F39" i="2"/>
  <c r="G39" i="2"/>
  <c r="H39" i="2"/>
  <c r="I39" i="2"/>
  <c r="J39" i="2"/>
  <c r="K39" i="2"/>
  <c r="L39" i="2"/>
  <c r="M39" i="2"/>
  <c r="N39" i="2"/>
  <c r="O39" i="2"/>
  <c r="P39" i="2" s="1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 s="1"/>
  <c r="Q40" i="2"/>
  <c r="B41" i="2"/>
  <c r="C41" i="2"/>
  <c r="Q41" i="2" s="1"/>
  <c r="R41" i="2" s="1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B42" i="2"/>
  <c r="C42" i="2"/>
  <c r="Q42" i="2" s="1"/>
  <c r="D42" i="2"/>
  <c r="E42" i="2"/>
  <c r="F42" i="2"/>
  <c r="G42" i="2"/>
  <c r="H42" i="2"/>
  <c r="I42" i="2"/>
  <c r="J42" i="2"/>
  <c r="K42" i="2"/>
  <c r="L42" i="2"/>
  <c r="M42" i="2"/>
  <c r="N42" i="2"/>
  <c r="O42" i="2"/>
  <c r="P42" i="2" s="1"/>
  <c r="B43" i="2"/>
  <c r="C43" i="2"/>
  <c r="Q43" i="2" s="1"/>
  <c r="D43" i="2"/>
  <c r="E43" i="2"/>
  <c r="F43" i="2"/>
  <c r="G43" i="2"/>
  <c r="H43" i="2"/>
  <c r="I43" i="2"/>
  <c r="J43" i="2"/>
  <c r="K43" i="2"/>
  <c r="L43" i="2"/>
  <c r="M43" i="2"/>
  <c r="N43" i="2"/>
  <c r="O43" i="2"/>
  <c r="P43" i="2" s="1"/>
  <c r="B44" i="2"/>
  <c r="C44" i="2"/>
  <c r="D44" i="2"/>
  <c r="E44" i="2"/>
  <c r="Q44" i="2" s="1"/>
  <c r="F44" i="2"/>
  <c r="G44" i="2"/>
  <c r="H44" i="2"/>
  <c r="I44" i="2"/>
  <c r="J44" i="2"/>
  <c r="K44" i="2"/>
  <c r="L44" i="2"/>
  <c r="M44" i="2"/>
  <c r="N44" i="2"/>
  <c r="O44" i="2"/>
  <c r="P44" i="2" s="1"/>
  <c r="B45" i="2"/>
  <c r="C45" i="2"/>
  <c r="D45" i="2"/>
  <c r="E45" i="2"/>
  <c r="F45" i="2"/>
  <c r="G45" i="2"/>
  <c r="H45" i="2"/>
  <c r="Q45" i="2" s="1"/>
  <c r="I45" i="2"/>
  <c r="J45" i="2"/>
  <c r="K45" i="2"/>
  <c r="L45" i="2"/>
  <c r="M45" i="2"/>
  <c r="N45" i="2"/>
  <c r="O45" i="2"/>
  <c r="P45" i="2"/>
  <c r="R45" i="2" s="1"/>
  <c r="B46" i="2"/>
  <c r="C46" i="2"/>
  <c r="D46" i="2"/>
  <c r="Q46" i="2" s="1"/>
  <c r="E46" i="2"/>
  <c r="F46" i="2"/>
  <c r="G46" i="2"/>
  <c r="H46" i="2"/>
  <c r="I46" i="2"/>
  <c r="J46" i="2"/>
  <c r="K46" i="2"/>
  <c r="L46" i="2"/>
  <c r="M46" i="2"/>
  <c r="N46" i="2"/>
  <c r="O46" i="2"/>
  <c r="P46" i="2" s="1"/>
  <c r="B47" i="2"/>
  <c r="C47" i="2"/>
  <c r="Q47" i="2" s="1"/>
  <c r="D47" i="2"/>
  <c r="E47" i="2"/>
  <c r="F47" i="2"/>
  <c r="G47" i="2"/>
  <c r="H47" i="2"/>
  <c r="I47" i="2"/>
  <c r="J47" i="2"/>
  <c r="K47" i="2"/>
  <c r="L47" i="2"/>
  <c r="M47" i="2"/>
  <c r="N47" i="2"/>
  <c r="O47" i="2"/>
  <c r="P47" i="2" s="1"/>
  <c r="R47" i="2" s="1"/>
  <c r="B48" i="2"/>
  <c r="C48" i="2"/>
  <c r="D48" i="2"/>
  <c r="Q48" i="2" s="1"/>
  <c r="R48" i="2" s="1"/>
  <c r="E48" i="2"/>
  <c r="F48" i="2"/>
  <c r="G48" i="2"/>
  <c r="H48" i="2"/>
  <c r="I48" i="2"/>
  <c r="J48" i="2"/>
  <c r="K48" i="2"/>
  <c r="L48" i="2"/>
  <c r="M48" i="2"/>
  <c r="N48" i="2"/>
  <c r="O48" i="2"/>
  <c r="P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 s="1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B51" i="2"/>
  <c r="C51" i="2"/>
  <c r="D51" i="2"/>
  <c r="E51" i="2"/>
  <c r="F51" i="2"/>
  <c r="G51" i="2"/>
  <c r="H51" i="2"/>
  <c r="I51" i="2"/>
  <c r="J51" i="2"/>
  <c r="K51" i="2"/>
  <c r="Q51" i="2" s="1"/>
  <c r="L51" i="2"/>
  <c r="M51" i="2"/>
  <c r="N51" i="2"/>
  <c r="O51" i="2"/>
  <c r="P51" i="2" s="1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 s="1"/>
  <c r="R52" i="2" s="1"/>
  <c r="Q52" i="2"/>
  <c r="B53" i="2"/>
  <c r="C53" i="2"/>
  <c r="D53" i="2"/>
  <c r="Q53" i="2" s="1"/>
  <c r="E53" i="2"/>
  <c r="F53" i="2"/>
  <c r="G53" i="2"/>
  <c r="H53" i="2"/>
  <c r="I53" i="2"/>
  <c r="J53" i="2"/>
  <c r="K53" i="2"/>
  <c r="L53" i="2"/>
  <c r="M53" i="2"/>
  <c r="N53" i="2"/>
  <c r="O53" i="2"/>
  <c r="P53" i="2" s="1"/>
  <c r="B54" i="2"/>
  <c r="C54" i="2"/>
  <c r="Q54" i="2" s="1"/>
  <c r="R54" i="2" s="1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B56" i="2"/>
  <c r="C56" i="2"/>
  <c r="D56" i="2"/>
  <c r="E56" i="2"/>
  <c r="F56" i="2"/>
  <c r="G56" i="2"/>
  <c r="H56" i="2"/>
  <c r="Q56" i="2" s="1"/>
  <c r="I56" i="2"/>
  <c r="J56" i="2"/>
  <c r="K56" i="2"/>
  <c r="L56" i="2"/>
  <c r="M56" i="2"/>
  <c r="N56" i="2"/>
  <c r="O56" i="2"/>
  <c r="P56" i="2" s="1"/>
  <c r="R56" i="2" s="1"/>
  <c r="B57" i="2"/>
  <c r="C57" i="2"/>
  <c r="D57" i="2"/>
  <c r="Q57" i="2" s="1"/>
  <c r="E57" i="2"/>
  <c r="F57" i="2"/>
  <c r="G57" i="2"/>
  <c r="H57" i="2"/>
  <c r="I57" i="2"/>
  <c r="J57" i="2"/>
  <c r="K57" i="2"/>
  <c r="L57" i="2"/>
  <c r="M57" i="2"/>
  <c r="N57" i="2"/>
  <c r="O57" i="2"/>
  <c r="P57" i="2" s="1"/>
  <c r="B58" i="2"/>
  <c r="C58" i="2"/>
  <c r="Q58" i="2" s="1"/>
  <c r="D58" i="2"/>
  <c r="E58" i="2"/>
  <c r="F58" i="2"/>
  <c r="G58" i="2"/>
  <c r="H58" i="2"/>
  <c r="I58" i="2"/>
  <c r="J58" i="2"/>
  <c r="K58" i="2"/>
  <c r="L58" i="2"/>
  <c r="M58" i="2"/>
  <c r="N58" i="2"/>
  <c r="O58" i="2"/>
  <c r="P58" i="2" s="1"/>
  <c r="R58" i="2" s="1"/>
  <c r="B59" i="2"/>
  <c r="C59" i="2"/>
  <c r="D59" i="2"/>
  <c r="Q59" i="2" s="1"/>
  <c r="E59" i="2"/>
  <c r="F59" i="2"/>
  <c r="G59" i="2"/>
  <c r="H59" i="2"/>
  <c r="I59" i="2"/>
  <c r="J59" i="2"/>
  <c r="K59" i="2"/>
  <c r="L59" i="2"/>
  <c r="M59" i="2"/>
  <c r="N59" i="2"/>
  <c r="O59" i="2"/>
  <c r="P59" i="2" s="1"/>
  <c r="B60" i="2"/>
  <c r="C60" i="2"/>
  <c r="Q60" i="2" s="1"/>
  <c r="R60" i="2" s="1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B61" i="2"/>
  <c r="C61" i="2"/>
  <c r="Q61" i="2" s="1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R61" i="2" s="1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 s="1"/>
  <c r="B63" i="2"/>
  <c r="C63" i="2"/>
  <c r="Q63" i="2" s="1"/>
  <c r="D63" i="2"/>
  <c r="E63" i="2"/>
  <c r="F63" i="2"/>
  <c r="G63" i="2"/>
  <c r="H63" i="2"/>
  <c r="I63" i="2"/>
  <c r="J63" i="2"/>
  <c r="K63" i="2"/>
  <c r="L63" i="2"/>
  <c r="M63" i="2"/>
  <c r="N63" i="2"/>
  <c r="O63" i="2"/>
  <c r="P63" i="2" s="1"/>
  <c r="R63" i="2" s="1"/>
  <c r="B64" i="2"/>
  <c r="C64" i="2"/>
  <c r="D64" i="2"/>
  <c r="E64" i="2"/>
  <c r="Q64" i="2" s="1"/>
  <c r="F64" i="2"/>
  <c r="G64" i="2"/>
  <c r="H64" i="2"/>
  <c r="I64" i="2"/>
  <c r="J64" i="2"/>
  <c r="K64" i="2"/>
  <c r="L64" i="2"/>
  <c r="M64" i="2"/>
  <c r="N64" i="2"/>
  <c r="O64" i="2"/>
  <c r="P64" i="2"/>
  <c r="B65" i="2"/>
  <c r="C65" i="2"/>
  <c r="Q65" i="2" s="1"/>
  <c r="R65" i="2" s="1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B66" i="2"/>
  <c r="C66" i="2"/>
  <c r="Q66" i="2" s="1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B67" i="2"/>
  <c r="C67" i="2"/>
  <c r="D67" i="2"/>
  <c r="Q67" i="2" s="1"/>
  <c r="E67" i="2"/>
  <c r="F67" i="2"/>
  <c r="G67" i="2"/>
  <c r="H67" i="2"/>
  <c r="I67" i="2"/>
  <c r="J67" i="2"/>
  <c r="K67" i="2"/>
  <c r="L67" i="2"/>
  <c r="M67" i="2"/>
  <c r="N67" i="2"/>
  <c r="O67" i="2"/>
  <c r="P67" i="2" s="1"/>
  <c r="B68" i="2"/>
  <c r="C68" i="2"/>
  <c r="D68" i="2"/>
  <c r="E68" i="2"/>
  <c r="F68" i="2"/>
  <c r="G68" i="2"/>
  <c r="Q68" i="2" s="1"/>
  <c r="R68" i="2" s="1"/>
  <c r="H68" i="2"/>
  <c r="I68" i="2"/>
  <c r="J68" i="2"/>
  <c r="K68" i="2"/>
  <c r="L68" i="2"/>
  <c r="M68" i="2"/>
  <c r="N68" i="2"/>
  <c r="O68" i="2"/>
  <c r="P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B70" i="2"/>
  <c r="C70" i="2"/>
  <c r="Q70" i="2" s="1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B71" i="2"/>
  <c r="C71" i="2"/>
  <c r="D71" i="2"/>
  <c r="E71" i="2"/>
  <c r="F71" i="2"/>
  <c r="G71" i="2"/>
  <c r="Q71" i="2" s="1"/>
  <c r="R71" i="2" s="1"/>
  <c r="H71" i="2"/>
  <c r="I71" i="2"/>
  <c r="J71" i="2"/>
  <c r="K71" i="2"/>
  <c r="L71" i="2"/>
  <c r="M71" i="2"/>
  <c r="N71" i="2"/>
  <c r="O71" i="2"/>
  <c r="P71" i="2"/>
  <c r="B72" i="2"/>
  <c r="C72" i="2"/>
  <c r="Q72" i="2" s="1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B73" i="2"/>
  <c r="C73" i="2"/>
  <c r="D73" i="2"/>
  <c r="Q73" i="2" s="1"/>
  <c r="E73" i="2"/>
  <c r="F73" i="2"/>
  <c r="G73" i="2"/>
  <c r="H73" i="2"/>
  <c r="I73" i="2"/>
  <c r="J73" i="2"/>
  <c r="K73" i="2"/>
  <c r="L73" i="2"/>
  <c r="M73" i="2"/>
  <c r="N73" i="2"/>
  <c r="O73" i="2"/>
  <c r="P73" i="2" s="1"/>
  <c r="B74" i="2"/>
  <c r="C74" i="2"/>
  <c r="D74" i="2"/>
  <c r="E74" i="2"/>
  <c r="F74" i="2"/>
  <c r="G74" i="2"/>
  <c r="Q74" i="2" s="1"/>
  <c r="H74" i="2"/>
  <c r="I74" i="2"/>
  <c r="J74" i="2"/>
  <c r="K74" i="2"/>
  <c r="L74" i="2"/>
  <c r="M74" i="2"/>
  <c r="N74" i="2"/>
  <c r="O74" i="2"/>
  <c r="P74" i="2" s="1"/>
  <c r="R74" i="2" s="1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B76" i="2"/>
  <c r="C76" i="2"/>
  <c r="Q76" i="2" s="1"/>
  <c r="D76" i="2"/>
  <c r="E76" i="2"/>
  <c r="F76" i="2"/>
  <c r="G76" i="2"/>
  <c r="H76" i="2"/>
  <c r="I76" i="2"/>
  <c r="J76" i="2"/>
  <c r="K76" i="2"/>
  <c r="L76" i="2"/>
  <c r="M76" i="2"/>
  <c r="N76" i="2"/>
  <c r="O76" i="2"/>
  <c r="P76" i="2" s="1"/>
  <c r="R76" i="2" s="1"/>
  <c r="B77" i="2"/>
  <c r="C77" i="2"/>
  <c r="D77" i="2"/>
  <c r="Q77" i="2" s="1"/>
  <c r="R77" i="2" s="1"/>
  <c r="E77" i="2"/>
  <c r="F77" i="2"/>
  <c r="G77" i="2"/>
  <c r="H77" i="2"/>
  <c r="I77" i="2"/>
  <c r="J77" i="2"/>
  <c r="K77" i="2"/>
  <c r="L77" i="2"/>
  <c r="M77" i="2"/>
  <c r="N77" i="2"/>
  <c r="O77" i="2"/>
  <c r="P77" i="2"/>
  <c r="B78" i="2"/>
  <c r="C78" i="2"/>
  <c r="Q78" i="2" s="1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B79" i="2"/>
  <c r="C79" i="2"/>
  <c r="D79" i="2"/>
  <c r="E79" i="2"/>
  <c r="Q79" i="2" s="1"/>
  <c r="F79" i="2"/>
  <c r="G79" i="2"/>
  <c r="H79" i="2"/>
  <c r="I79" i="2"/>
  <c r="J79" i="2"/>
  <c r="K79" i="2"/>
  <c r="L79" i="2"/>
  <c r="M79" i="2"/>
  <c r="N79" i="2"/>
  <c r="O79" i="2"/>
  <c r="P79" i="2" s="1"/>
  <c r="B80" i="2"/>
  <c r="C80" i="2"/>
  <c r="D80" i="2"/>
  <c r="E80" i="2"/>
  <c r="F80" i="2"/>
  <c r="G80" i="2"/>
  <c r="Q80" i="2" s="1"/>
  <c r="H80" i="2"/>
  <c r="I80" i="2"/>
  <c r="J80" i="2"/>
  <c r="K80" i="2"/>
  <c r="L80" i="2"/>
  <c r="M80" i="2"/>
  <c r="N80" i="2"/>
  <c r="O80" i="2"/>
  <c r="P80" i="2" s="1"/>
  <c r="R80" i="2" s="1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 s="1"/>
  <c r="B83" i="2"/>
  <c r="C83" i="2"/>
  <c r="Q83" i="2" s="1"/>
  <c r="D83" i="2"/>
  <c r="E83" i="2"/>
  <c r="F83" i="2"/>
  <c r="G83" i="2"/>
  <c r="H83" i="2"/>
  <c r="I83" i="2"/>
  <c r="J83" i="2"/>
  <c r="K83" i="2"/>
  <c r="L83" i="2"/>
  <c r="M83" i="2"/>
  <c r="N83" i="2"/>
  <c r="O83" i="2"/>
  <c r="P83" i="2" s="1"/>
  <c r="B84" i="2"/>
  <c r="C84" i="2"/>
  <c r="D84" i="2"/>
  <c r="E84" i="2"/>
  <c r="Q84" i="2" s="1"/>
  <c r="F84" i="2"/>
  <c r="G84" i="2"/>
  <c r="H84" i="2"/>
  <c r="I84" i="2"/>
  <c r="J84" i="2"/>
  <c r="K84" i="2"/>
  <c r="L84" i="2"/>
  <c r="M84" i="2"/>
  <c r="N84" i="2"/>
  <c r="O84" i="2"/>
  <c r="P84" i="2" s="1"/>
  <c r="R84" i="2" s="1"/>
  <c r="B85" i="2"/>
  <c r="C85" i="2"/>
  <c r="D85" i="2"/>
  <c r="E85" i="2"/>
  <c r="F85" i="2"/>
  <c r="G85" i="2"/>
  <c r="H85" i="2"/>
  <c r="I85" i="2"/>
  <c r="J85" i="2"/>
  <c r="K85" i="2"/>
  <c r="L85" i="2"/>
  <c r="Q85" i="2" s="1"/>
  <c r="M85" i="2"/>
  <c r="N85" i="2"/>
  <c r="O85" i="2"/>
  <c r="P85" i="2" s="1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R86" i="2" s="1"/>
  <c r="Q86" i="2"/>
  <c r="B87" i="2"/>
  <c r="C87" i="2"/>
  <c r="Q87" i="2" s="1"/>
  <c r="D87" i="2"/>
  <c r="E87" i="2"/>
  <c r="F87" i="2"/>
  <c r="G87" i="2"/>
  <c r="H87" i="2"/>
  <c r="I87" i="2"/>
  <c r="J87" i="2"/>
  <c r="K87" i="2"/>
  <c r="L87" i="2"/>
  <c r="M87" i="2"/>
  <c r="N87" i="2"/>
  <c r="O87" i="2"/>
  <c r="P87" i="2" s="1"/>
  <c r="R87" i="2" s="1"/>
  <c r="B88" i="2"/>
  <c r="C88" i="2"/>
  <c r="Q88" i="2" s="1"/>
  <c r="R88" i="2" s="1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B90" i="2"/>
  <c r="C90" i="2"/>
  <c r="Q90" i="2" s="1"/>
  <c r="D90" i="2"/>
  <c r="E90" i="2"/>
  <c r="F90" i="2"/>
  <c r="G90" i="2"/>
  <c r="H90" i="2"/>
  <c r="I90" i="2"/>
  <c r="J90" i="2"/>
  <c r="K90" i="2"/>
  <c r="L90" i="2"/>
  <c r="M90" i="2"/>
  <c r="N90" i="2"/>
  <c r="O90" i="2"/>
  <c r="P90" i="2" s="1"/>
  <c r="B91" i="2"/>
  <c r="C91" i="2"/>
  <c r="D91" i="2"/>
  <c r="E91" i="2"/>
  <c r="F91" i="2"/>
  <c r="G91" i="2"/>
  <c r="H91" i="2"/>
  <c r="I91" i="2"/>
  <c r="J91" i="2"/>
  <c r="K91" i="2"/>
  <c r="L91" i="2"/>
  <c r="Q91" i="2" s="1"/>
  <c r="M91" i="2"/>
  <c r="N91" i="2"/>
  <c r="O91" i="2"/>
  <c r="P91" i="2" s="1"/>
  <c r="R91" i="2" s="1"/>
  <c r="B92" i="2"/>
  <c r="C92" i="2"/>
  <c r="D92" i="2"/>
  <c r="E92" i="2"/>
  <c r="F92" i="2"/>
  <c r="G92" i="2"/>
  <c r="H92" i="2"/>
  <c r="I92" i="2"/>
  <c r="Q92" i="2" s="1"/>
  <c r="J92" i="2"/>
  <c r="K92" i="2"/>
  <c r="L92" i="2"/>
  <c r="M92" i="2"/>
  <c r="N92" i="2"/>
  <c r="O92" i="2"/>
  <c r="P92" i="2"/>
  <c r="R92" i="2" s="1"/>
  <c r="B93" i="2"/>
  <c r="C93" i="2"/>
  <c r="Q93" i="2" s="1"/>
  <c r="D93" i="2"/>
  <c r="E93" i="2"/>
  <c r="F93" i="2"/>
  <c r="G93" i="2"/>
  <c r="H93" i="2"/>
  <c r="I93" i="2"/>
  <c r="J93" i="2"/>
  <c r="K93" i="2"/>
  <c r="L93" i="2"/>
  <c r="M93" i="2"/>
  <c r="N93" i="2"/>
  <c r="O93" i="2"/>
  <c r="P93" i="2" s="1"/>
  <c r="R93" i="2" s="1"/>
  <c r="B94" i="2"/>
  <c r="C94" i="2"/>
  <c r="Q94" i="2" s="1"/>
  <c r="D94" i="2"/>
  <c r="E94" i="2"/>
  <c r="F94" i="2"/>
  <c r="G94" i="2"/>
  <c r="H94" i="2"/>
  <c r="I94" i="2"/>
  <c r="J94" i="2"/>
  <c r="K94" i="2"/>
  <c r="L94" i="2"/>
  <c r="M94" i="2"/>
  <c r="N94" i="2"/>
  <c r="O94" i="2"/>
  <c r="P94" i="2" s="1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B96" i="2"/>
  <c r="C96" i="2"/>
  <c r="Q96" i="2" s="1"/>
  <c r="D96" i="2"/>
  <c r="E96" i="2"/>
  <c r="F96" i="2"/>
  <c r="G96" i="2"/>
  <c r="H96" i="2"/>
  <c r="I96" i="2"/>
  <c r="J96" i="2"/>
  <c r="K96" i="2"/>
  <c r="L96" i="2"/>
  <c r="M96" i="2"/>
  <c r="N96" i="2"/>
  <c r="O96" i="2"/>
  <c r="P96" i="2" s="1"/>
  <c r="B97" i="2"/>
  <c r="C97" i="2"/>
  <c r="D97" i="2"/>
  <c r="E97" i="2"/>
  <c r="Q97" i="2" s="1"/>
  <c r="F97" i="2"/>
  <c r="G97" i="2"/>
  <c r="H97" i="2"/>
  <c r="I97" i="2"/>
  <c r="J97" i="2"/>
  <c r="K97" i="2"/>
  <c r="L97" i="2"/>
  <c r="M97" i="2"/>
  <c r="N97" i="2"/>
  <c r="O97" i="2"/>
  <c r="P97" i="2" s="1"/>
  <c r="R97" i="2" s="1"/>
  <c r="B98" i="2"/>
  <c r="C98" i="2"/>
  <c r="D98" i="2"/>
  <c r="E98" i="2"/>
  <c r="F98" i="2"/>
  <c r="G98" i="2"/>
  <c r="H98" i="2"/>
  <c r="Q98" i="2" s="1"/>
  <c r="I98" i="2"/>
  <c r="J98" i="2"/>
  <c r="K98" i="2"/>
  <c r="L98" i="2"/>
  <c r="M98" i="2"/>
  <c r="N98" i="2"/>
  <c r="O98" i="2"/>
  <c r="P98" i="2"/>
  <c r="B99" i="2"/>
  <c r="C99" i="2"/>
  <c r="Q99" i="2" s="1"/>
  <c r="D99" i="2"/>
  <c r="E99" i="2"/>
  <c r="F99" i="2"/>
  <c r="G99" i="2"/>
  <c r="H99" i="2"/>
  <c r="I99" i="2"/>
  <c r="J99" i="2"/>
  <c r="K99" i="2"/>
  <c r="L99" i="2"/>
  <c r="M99" i="2"/>
  <c r="N99" i="2"/>
  <c r="O99" i="2"/>
  <c r="P99" i="2" s="1"/>
  <c r="R99" i="2" s="1"/>
  <c r="B100" i="2"/>
  <c r="C100" i="2"/>
  <c r="Q100" i="2" s="1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 s="1"/>
  <c r="R100" i="2" s="1"/>
  <c r="B101" i="2"/>
  <c r="C101" i="2"/>
  <c r="D101" i="2"/>
  <c r="Q101" i="2" s="1"/>
  <c r="R101" i="2" s="1"/>
  <c r="E101" i="2"/>
  <c r="F101" i="2"/>
  <c r="G101" i="2"/>
  <c r="H101" i="2"/>
  <c r="I101" i="2"/>
  <c r="J101" i="2"/>
  <c r="K101" i="2"/>
  <c r="L101" i="2"/>
  <c r="M101" i="2"/>
  <c r="N101" i="2"/>
  <c r="O101" i="2"/>
  <c r="P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 s="1"/>
  <c r="B103" i="2"/>
  <c r="C103" i="2"/>
  <c r="D103" i="2"/>
  <c r="E103" i="2"/>
  <c r="F103" i="2"/>
  <c r="G103" i="2"/>
  <c r="Q103" i="2" s="1"/>
  <c r="H103" i="2"/>
  <c r="I103" i="2"/>
  <c r="J103" i="2"/>
  <c r="K103" i="2"/>
  <c r="L103" i="2"/>
  <c r="M103" i="2"/>
  <c r="N103" i="2"/>
  <c r="O103" i="2"/>
  <c r="P103" i="2" s="1"/>
  <c r="R103" i="2" s="1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R104" i="2" s="1"/>
  <c r="Q104" i="2"/>
  <c r="B105" i="2"/>
  <c r="C105" i="2"/>
  <c r="Q105" i="2" s="1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 s="1"/>
  <c r="R105" i="2" s="1"/>
  <c r="B106" i="2"/>
  <c r="C106" i="2"/>
  <c r="Q106" i="2" s="1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R106" i="2" s="1"/>
  <c r="B107" i="2"/>
  <c r="C107" i="2"/>
  <c r="D107" i="2"/>
  <c r="E107" i="2"/>
  <c r="Q107" i="2" s="1"/>
  <c r="R107" i="2" s="1"/>
  <c r="F107" i="2"/>
  <c r="G107" i="2"/>
  <c r="H107" i="2"/>
  <c r="I107" i="2"/>
  <c r="J107" i="2"/>
  <c r="K107" i="2"/>
  <c r="L107" i="2"/>
  <c r="M107" i="2"/>
  <c r="N107" i="2"/>
  <c r="O107" i="2"/>
  <c r="P107" i="2"/>
  <c r="B108" i="2"/>
  <c r="C108" i="2"/>
  <c r="Q108" i="2" s="1"/>
  <c r="R108" i="2" s="1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R110" i="2" s="1"/>
  <c r="Q110" i="2"/>
  <c r="B111" i="2"/>
  <c r="C111" i="2"/>
  <c r="D111" i="2"/>
  <c r="E111" i="2"/>
  <c r="F111" i="2"/>
  <c r="G111" i="2"/>
  <c r="H111" i="2"/>
  <c r="I111" i="2"/>
  <c r="J111" i="2"/>
  <c r="K111" i="2"/>
  <c r="Q111" i="2" s="1"/>
  <c r="L111" i="2"/>
  <c r="M111" i="2"/>
  <c r="N111" i="2"/>
  <c r="O111" i="2"/>
  <c r="P111" i="2" s="1"/>
  <c r="R111" i="2" s="1"/>
  <c r="B112" i="2"/>
  <c r="C112" i="2"/>
  <c r="Q112" i="2" s="1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R112" i="2" s="1"/>
  <c r="B113" i="2"/>
  <c r="C113" i="2"/>
  <c r="D113" i="2"/>
  <c r="E113" i="2"/>
  <c r="Q113" i="2" s="1"/>
  <c r="R113" i="2" s="1"/>
  <c r="F113" i="2"/>
  <c r="G113" i="2"/>
  <c r="H113" i="2"/>
  <c r="I113" i="2"/>
  <c r="J113" i="2"/>
  <c r="K113" i="2"/>
  <c r="L113" i="2"/>
  <c r="M113" i="2"/>
  <c r="N113" i="2"/>
  <c r="O113" i="2"/>
  <c r="P113" i="2"/>
  <c r="B114" i="2"/>
  <c r="C114" i="2"/>
  <c r="Q114" i="2" s="1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R114" i="2" s="1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B116" i="2"/>
  <c r="C116" i="2"/>
  <c r="D116" i="2"/>
  <c r="E116" i="2"/>
  <c r="F116" i="2"/>
  <c r="G116" i="2"/>
  <c r="H116" i="2"/>
  <c r="I116" i="2"/>
  <c r="Q116" i="2" s="1"/>
  <c r="J116" i="2"/>
  <c r="K116" i="2"/>
  <c r="L116" i="2"/>
  <c r="M116" i="2"/>
  <c r="N116" i="2"/>
  <c r="O116" i="2"/>
  <c r="P116" i="2"/>
  <c r="B117" i="2"/>
  <c r="C117" i="2"/>
  <c r="D117" i="2"/>
  <c r="Q117" i="2" s="1"/>
  <c r="E117" i="2"/>
  <c r="F117" i="2"/>
  <c r="G117" i="2"/>
  <c r="H117" i="2"/>
  <c r="I117" i="2"/>
  <c r="J117" i="2"/>
  <c r="K117" i="2"/>
  <c r="L117" i="2"/>
  <c r="M117" i="2"/>
  <c r="N117" i="2"/>
  <c r="O117" i="2"/>
  <c r="P117" i="2" s="1"/>
  <c r="B118" i="2"/>
  <c r="C118" i="2"/>
  <c r="Q118" i="2" s="1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R118" i="2" s="1"/>
  <c r="B119" i="2"/>
  <c r="C119" i="2"/>
  <c r="D119" i="2"/>
  <c r="E119" i="2"/>
  <c r="Q119" i="2" s="1"/>
  <c r="R119" i="2" s="1"/>
  <c r="F119" i="2"/>
  <c r="G119" i="2"/>
  <c r="H119" i="2"/>
  <c r="I119" i="2"/>
  <c r="J119" i="2"/>
  <c r="K119" i="2"/>
  <c r="L119" i="2"/>
  <c r="M119" i="2"/>
  <c r="N119" i="2"/>
  <c r="O119" i="2"/>
  <c r="P119" i="2"/>
  <c r="B120" i="2"/>
  <c r="C120" i="2"/>
  <c r="Q120" i="2" s="1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B121" i="2"/>
  <c r="C121" i="2"/>
  <c r="D121" i="2"/>
  <c r="E121" i="2"/>
  <c r="Q121" i="2" s="1"/>
  <c r="F121" i="2"/>
  <c r="G121" i="2"/>
  <c r="H121" i="2"/>
  <c r="I121" i="2"/>
  <c r="J121" i="2"/>
  <c r="K121" i="2"/>
  <c r="L121" i="2"/>
  <c r="M121" i="2"/>
  <c r="N121" i="2"/>
  <c r="O121" i="2"/>
  <c r="P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 s="1"/>
  <c r="B123" i="2"/>
  <c r="C123" i="2"/>
  <c r="Q123" i="2" s="1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R123" i="2" s="1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R124" i="2" s="1"/>
  <c r="Q124" i="2"/>
  <c r="B125" i="2"/>
  <c r="C125" i="2"/>
  <c r="Q125" i="2" s="1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 s="1"/>
  <c r="R125" i="2" s="1"/>
  <c r="B126" i="2"/>
  <c r="C126" i="2"/>
  <c r="Q126" i="2" s="1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 s="1"/>
  <c r="B127" i="2"/>
  <c r="C127" i="2"/>
  <c r="D127" i="2"/>
  <c r="E127" i="2"/>
  <c r="Q127" i="2" s="1"/>
  <c r="F127" i="2"/>
  <c r="G127" i="2"/>
  <c r="H127" i="2"/>
  <c r="I127" i="2"/>
  <c r="J127" i="2"/>
  <c r="K127" i="2"/>
  <c r="L127" i="2"/>
  <c r="M127" i="2"/>
  <c r="N127" i="2"/>
  <c r="O127" i="2"/>
  <c r="P127" i="2" s="1"/>
  <c r="B128" i="2"/>
  <c r="C128" i="2"/>
  <c r="D128" i="2"/>
  <c r="E128" i="2"/>
  <c r="F128" i="2"/>
  <c r="G128" i="2"/>
  <c r="H128" i="2"/>
  <c r="I128" i="2"/>
  <c r="Q128" i="2" s="1"/>
  <c r="R128" i="2" s="1"/>
  <c r="J128" i="2"/>
  <c r="K128" i="2"/>
  <c r="L128" i="2"/>
  <c r="M128" i="2"/>
  <c r="N128" i="2"/>
  <c r="O128" i="2"/>
  <c r="P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 s="1"/>
  <c r="B130" i="2"/>
  <c r="C130" i="2"/>
  <c r="Q130" i="2" s="1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B131" i="2"/>
  <c r="C131" i="2"/>
  <c r="D131" i="2"/>
  <c r="E131" i="2"/>
  <c r="F131" i="2"/>
  <c r="G131" i="2"/>
  <c r="Q131" i="2" s="1"/>
  <c r="H131" i="2"/>
  <c r="I131" i="2"/>
  <c r="J131" i="2"/>
  <c r="K131" i="2"/>
  <c r="L131" i="2"/>
  <c r="M131" i="2"/>
  <c r="N131" i="2"/>
  <c r="O131" i="2"/>
  <c r="P131" i="2" s="1"/>
  <c r="B132" i="2"/>
  <c r="C132" i="2"/>
  <c r="Q132" i="2" s="1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 s="1"/>
  <c r="R132" i="2" s="1"/>
  <c r="B133" i="2"/>
  <c r="C133" i="2"/>
  <c r="D133" i="2"/>
  <c r="E133" i="2"/>
  <c r="Q133" i="2" s="1"/>
  <c r="F133" i="2"/>
  <c r="G133" i="2"/>
  <c r="H133" i="2"/>
  <c r="I133" i="2"/>
  <c r="J133" i="2"/>
  <c r="K133" i="2"/>
  <c r="L133" i="2"/>
  <c r="M133" i="2"/>
  <c r="N133" i="2"/>
  <c r="O133" i="2"/>
  <c r="P133" i="2" s="1"/>
  <c r="R133" i="2" s="1"/>
  <c r="B134" i="2"/>
  <c r="C134" i="2"/>
  <c r="D134" i="2"/>
  <c r="E134" i="2"/>
  <c r="F134" i="2"/>
  <c r="G134" i="2"/>
  <c r="H134" i="2"/>
  <c r="I134" i="2"/>
  <c r="Q134" i="2" s="1"/>
  <c r="J134" i="2"/>
  <c r="K134" i="2"/>
  <c r="L134" i="2"/>
  <c r="M134" i="2"/>
  <c r="N134" i="2"/>
  <c r="O134" i="2"/>
  <c r="P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B136" i="2"/>
  <c r="C136" i="2"/>
  <c r="Q136" i="2" s="1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B137" i="2"/>
  <c r="C137" i="2"/>
  <c r="D137" i="2"/>
  <c r="Q137" i="2" s="1"/>
  <c r="E137" i="2"/>
  <c r="F137" i="2"/>
  <c r="G137" i="2"/>
  <c r="H137" i="2"/>
  <c r="I137" i="2"/>
  <c r="J137" i="2"/>
  <c r="K137" i="2"/>
  <c r="L137" i="2"/>
  <c r="M137" i="2"/>
  <c r="N137" i="2"/>
  <c r="O137" i="2"/>
  <c r="P137" i="2" s="1"/>
  <c r="B138" i="2"/>
  <c r="C138" i="2"/>
  <c r="Q138" i="2" s="1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 s="1"/>
  <c r="R138" i="2" s="1"/>
  <c r="B139" i="2"/>
  <c r="C139" i="2"/>
  <c r="D139" i="2"/>
  <c r="E139" i="2"/>
  <c r="Q139" i="2" s="1"/>
  <c r="F139" i="2"/>
  <c r="G139" i="2"/>
  <c r="H139" i="2"/>
  <c r="I139" i="2"/>
  <c r="J139" i="2"/>
  <c r="K139" i="2"/>
  <c r="L139" i="2"/>
  <c r="M139" i="2"/>
  <c r="N139" i="2"/>
  <c r="O139" i="2"/>
  <c r="P139" i="2" s="1"/>
  <c r="R139" i="2" s="1"/>
  <c r="B140" i="2"/>
  <c r="C140" i="2"/>
  <c r="D140" i="2"/>
  <c r="E140" i="2"/>
  <c r="F140" i="2"/>
  <c r="G140" i="2"/>
  <c r="H140" i="2"/>
  <c r="I140" i="2"/>
  <c r="Q140" i="2" s="1"/>
  <c r="J140" i="2"/>
  <c r="K140" i="2"/>
  <c r="L140" i="2"/>
  <c r="M140" i="2"/>
  <c r="N140" i="2"/>
  <c r="O140" i="2"/>
  <c r="P140" i="2"/>
  <c r="B141" i="2"/>
  <c r="C141" i="2"/>
  <c r="Q141" i="2" s="1"/>
  <c r="R141" i="2" s="1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 s="1"/>
  <c r="B143" i="2"/>
  <c r="C143" i="2"/>
  <c r="Q143" i="2" s="1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 s="1"/>
  <c r="R143" i="2" s="1"/>
  <c r="B144" i="2"/>
  <c r="C144" i="2"/>
  <c r="D144" i="2"/>
  <c r="E144" i="2"/>
  <c r="Q144" i="2" s="1"/>
  <c r="F144" i="2"/>
  <c r="G144" i="2"/>
  <c r="H144" i="2"/>
  <c r="I144" i="2"/>
  <c r="J144" i="2"/>
  <c r="K144" i="2"/>
  <c r="L144" i="2"/>
  <c r="M144" i="2"/>
  <c r="N144" i="2"/>
  <c r="O144" i="2"/>
  <c r="P144" i="2"/>
  <c r="R144" i="2" s="1"/>
  <c r="B145" i="2"/>
  <c r="C145" i="2"/>
  <c r="D145" i="2"/>
  <c r="E145" i="2"/>
  <c r="F145" i="2"/>
  <c r="G145" i="2"/>
  <c r="H145" i="2"/>
  <c r="I145" i="2"/>
  <c r="J145" i="2"/>
  <c r="K145" i="2"/>
  <c r="L145" i="2"/>
  <c r="M145" i="2"/>
  <c r="Q145" i="2" s="1"/>
  <c r="N145" i="2"/>
  <c r="O145" i="2"/>
  <c r="P145" i="2" s="1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R146" i="2" s="1"/>
  <c r="Q146" i="2"/>
  <c r="B147" i="2"/>
  <c r="C147" i="2"/>
  <c r="Q147" i="2" s="1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 s="1"/>
  <c r="R147" i="2" s="1"/>
  <c r="B148" i="2"/>
  <c r="C148" i="2"/>
  <c r="Q148" i="2" s="1"/>
  <c r="R148" i="2" s="1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B150" i="2"/>
  <c r="C150" i="2"/>
  <c r="Q150" i="2" s="1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B151" i="2"/>
  <c r="C151" i="2"/>
  <c r="D151" i="2"/>
  <c r="E151" i="2"/>
  <c r="F151" i="2"/>
  <c r="G151" i="2"/>
  <c r="Q151" i="2" s="1"/>
  <c r="H151" i="2"/>
  <c r="I151" i="2"/>
  <c r="J151" i="2"/>
  <c r="K151" i="2"/>
  <c r="L151" i="2"/>
  <c r="M151" i="2"/>
  <c r="N151" i="2"/>
  <c r="O151" i="2"/>
  <c r="P151" i="2" s="1"/>
  <c r="R151" i="2" s="1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R152" i="2" s="1"/>
  <c r="Q152" i="2"/>
  <c r="B153" i="2"/>
  <c r="C153" i="2"/>
  <c r="Q153" i="2" s="1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 s="1"/>
  <c r="R153" i="2" s="1"/>
  <c r="B154" i="2"/>
  <c r="C154" i="2"/>
  <c r="Q154" i="2" s="1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R154" i="2" s="1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B156" i="2"/>
  <c r="C156" i="2"/>
  <c r="Q156" i="2" s="1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 s="1"/>
  <c r="B157" i="2"/>
  <c r="C157" i="2"/>
  <c r="D157" i="2"/>
  <c r="E157" i="2"/>
  <c r="F157" i="2"/>
  <c r="G157" i="2"/>
  <c r="Q157" i="2" s="1"/>
  <c r="H157" i="2"/>
  <c r="I157" i="2"/>
  <c r="J157" i="2"/>
  <c r="K157" i="2"/>
  <c r="L157" i="2"/>
  <c r="M157" i="2"/>
  <c r="N157" i="2"/>
  <c r="O157" i="2"/>
  <c r="P157" i="2" s="1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R158" i="2" s="1"/>
  <c r="Q158" i="2"/>
  <c r="B159" i="2"/>
  <c r="C159" i="2"/>
  <c r="Q159" i="2" s="1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 s="1"/>
  <c r="R159" i="2" s="1"/>
  <c r="B160" i="2"/>
  <c r="C160" i="2"/>
  <c r="Q160" i="2" s="1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R160" i="2" s="1"/>
  <c r="B161" i="2"/>
  <c r="C161" i="2"/>
  <c r="Q161" i="2" s="1"/>
  <c r="R161" i="2" s="1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 s="1"/>
  <c r="B163" i="2"/>
  <c r="C163" i="2"/>
  <c r="D163" i="2"/>
  <c r="E163" i="2"/>
  <c r="F163" i="2"/>
  <c r="G163" i="2"/>
  <c r="Q163" i="2" s="1"/>
  <c r="H163" i="2"/>
  <c r="I163" i="2"/>
  <c r="J163" i="2"/>
  <c r="K163" i="2"/>
  <c r="L163" i="2"/>
  <c r="M163" i="2"/>
  <c r="N163" i="2"/>
  <c r="O163" i="2"/>
  <c r="P163" i="2" s="1"/>
  <c r="R163" i="2" s="1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R164" i="2" s="1"/>
  <c r="Q164" i="2"/>
  <c r="B165" i="2"/>
  <c r="C165" i="2"/>
  <c r="Q165" i="2" s="1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 s="1"/>
  <c r="B166" i="2"/>
  <c r="C166" i="2"/>
  <c r="Q166" i="2" s="1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R166" i="2" s="1"/>
  <c r="B167" i="2"/>
  <c r="C167" i="2"/>
  <c r="Q167" i="2" s="1"/>
  <c r="R167" i="2" s="1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B168" i="2"/>
  <c r="C168" i="2"/>
  <c r="Q168" i="2" s="1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R170" i="2" s="1"/>
  <c r="Q170" i="2"/>
  <c r="B171" i="2"/>
  <c r="C171" i="2"/>
  <c r="D171" i="2"/>
  <c r="E171" i="2"/>
  <c r="Q171" i="2" s="1"/>
  <c r="F171" i="2"/>
  <c r="G171" i="2"/>
  <c r="H171" i="2"/>
  <c r="I171" i="2"/>
  <c r="J171" i="2"/>
  <c r="K171" i="2"/>
  <c r="L171" i="2"/>
  <c r="M171" i="2"/>
  <c r="N171" i="2"/>
  <c r="O171" i="2"/>
  <c r="P171" i="2" s="1"/>
  <c r="R171" i="2" s="1"/>
  <c r="B172" i="2"/>
  <c r="C172" i="2"/>
  <c r="Q172" i="2" s="1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B173" i="2"/>
  <c r="C173" i="2"/>
  <c r="Q173" i="2" s="1"/>
  <c r="R173" i="2" s="1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B174" i="2"/>
  <c r="C174" i="2"/>
  <c r="Q174" i="2" s="1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R174" i="2" s="1"/>
  <c r="B175" i="2"/>
  <c r="C175" i="2"/>
  <c r="D175" i="2"/>
  <c r="E175" i="2"/>
  <c r="Q175" i="2" s="1"/>
  <c r="R175" i="2" s="1"/>
  <c r="F175" i="2"/>
  <c r="G175" i="2"/>
  <c r="H175" i="2"/>
  <c r="I175" i="2"/>
  <c r="J175" i="2"/>
  <c r="K175" i="2"/>
  <c r="L175" i="2"/>
  <c r="M175" i="2"/>
  <c r="N175" i="2"/>
  <c r="O175" i="2"/>
  <c r="P175" i="2"/>
  <c r="B176" i="2"/>
  <c r="C176" i="2"/>
  <c r="D176" i="2"/>
  <c r="E176" i="2"/>
  <c r="F176" i="2"/>
  <c r="G176" i="2"/>
  <c r="H176" i="2"/>
  <c r="Q176" i="2" s="1"/>
  <c r="I176" i="2"/>
  <c r="J176" i="2"/>
  <c r="K176" i="2"/>
  <c r="L176" i="2"/>
  <c r="M176" i="2"/>
  <c r="N176" i="2"/>
  <c r="O176" i="2"/>
  <c r="P176" i="2" s="1"/>
  <c r="B177" i="2"/>
  <c r="C177" i="2"/>
  <c r="Q177" i="2" s="1"/>
  <c r="R177" i="2" s="1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B178" i="2"/>
  <c r="C178" i="2"/>
  <c r="Q178" i="2" s="1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 s="1"/>
  <c r="R178" i="2" s="1"/>
  <c r="B179" i="2"/>
  <c r="C179" i="2"/>
  <c r="D179" i="2"/>
  <c r="Q179" i="2" s="1"/>
  <c r="R179" i="2" s="1"/>
  <c r="E179" i="2"/>
  <c r="F179" i="2"/>
  <c r="G179" i="2"/>
  <c r="H179" i="2"/>
  <c r="I179" i="2"/>
  <c r="J179" i="2"/>
  <c r="K179" i="2"/>
  <c r="L179" i="2"/>
  <c r="M179" i="2"/>
  <c r="N179" i="2"/>
  <c r="O179" i="2"/>
  <c r="P179" i="2"/>
  <c r="B180" i="2"/>
  <c r="C180" i="2"/>
  <c r="Q180" i="2" s="1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 s="1"/>
  <c r="B181" i="2"/>
  <c r="C181" i="2"/>
  <c r="Q181" i="2" s="1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R181" i="2" s="1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 s="1"/>
  <c r="B183" i="2"/>
  <c r="C183" i="2"/>
  <c r="Q183" i="2" s="1"/>
  <c r="R183" i="2" s="1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B184" i="2"/>
  <c r="C184" i="2"/>
  <c r="D184" i="2"/>
  <c r="Q184" i="2" s="1"/>
  <c r="E184" i="2"/>
  <c r="F184" i="2"/>
  <c r="G184" i="2"/>
  <c r="H184" i="2"/>
  <c r="I184" i="2"/>
  <c r="J184" i="2"/>
  <c r="K184" i="2"/>
  <c r="L184" i="2"/>
  <c r="M184" i="2"/>
  <c r="N184" i="2"/>
  <c r="O184" i="2"/>
  <c r="P184" i="2" s="1"/>
  <c r="B185" i="2"/>
  <c r="C185" i="2"/>
  <c r="D185" i="2"/>
  <c r="Q185" i="2" s="1"/>
  <c r="R185" i="2" s="1"/>
  <c r="E185" i="2"/>
  <c r="F185" i="2"/>
  <c r="G185" i="2"/>
  <c r="H185" i="2"/>
  <c r="I185" i="2"/>
  <c r="J185" i="2"/>
  <c r="K185" i="2"/>
  <c r="L185" i="2"/>
  <c r="M185" i="2"/>
  <c r="N185" i="2"/>
  <c r="O185" i="2"/>
  <c r="P185" i="2"/>
  <c r="B186" i="2"/>
  <c r="C186" i="2"/>
  <c r="Q186" i="2" s="1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 s="1"/>
  <c r="B187" i="2"/>
  <c r="C187" i="2"/>
  <c r="Q187" i="2" s="1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R187" i="2" s="1"/>
  <c r="B188" i="2"/>
  <c r="C188" i="2"/>
  <c r="D188" i="2"/>
  <c r="E188" i="2"/>
  <c r="F188" i="2"/>
  <c r="G188" i="2"/>
  <c r="Q188" i="2" s="1"/>
  <c r="H188" i="2"/>
  <c r="I188" i="2"/>
  <c r="J188" i="2"/>
  <c r="K188" i="2"/>
  <c r="L188" i="2"/>
  <c r="M188" i="2"/>
  <c r="N188" i="2"/>
  <c r="O188" i="2"/>
  <c r="P188" i="2"/>
  <c r="R188" i="2" s="1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B190" i="2"/>
  <c r="C190" i="2"/>
  <c r="Q190" i="2" s="1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 s="1"/>
  <c r="B191" i="2"/>
  <c r="C191" i="2"/>
  <c r="D191" i="2"/>
  <c r="E191" i="2"/>
  <c r="Q191" i="2" s="1"/>
  <c r="R191" i="2" s="1"/>
  <c r="F191" i="2"/>
  <c r="G191" i="2"/>
  <c r="H191" i="2"/>
  <c r="I191" i="2"/>
  <c r="J191" i="2"/>
  <c r="K191" i="2"/>
  <c r="L191" i="2"/>
  <c r="M191" i="2"/>
  <c r="N191" i="2"/>
  <c r="O191" i="2"/>
  <c r="P191" i="2"/>
  <c r="B192" i="2"/>
  <c r="C192" i="2"/>
  <c r="Q192" i="2" s="1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 s="1"/>
  <c r="R192" i="2" s="1"/>
  <c r="B193" i="2"/>
  <c r="C193" i="2"/>
  <c r="Q193" i="2" s="1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B194" i="2"/>
  <c r="C194" i="2"/>
  <c r="D194" i="2"/>
  <c r="E194" i="2"/>
  <c r="F194" i="2"/>
  <c r="G194" i="2"/>
  <c r="Q194" i="2" s="1"/>
  <c r="H194" i="2"/>
  <c r="I194" i="2"/>
  <c r="J194" i="2"/>
  <c r="K194" i="2"/>
  <c r="L194" i="2"/>
  <c r="M194" i="2"/>
  <c r="N194" i="2"/>
  <c r="O194" i="2"/>
  <c r="P194" i="2" s="1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 s="1"/>
  <c r="B196" i="2"/>
  <c r="C196" i="2"/>
  <c r="D196" i="2"/>
  <c r="Q196" i="2" s="1"/>
  <c r="E196" i="2"/>
  <c r="F196" i="2"/>
  <c r="G196" i="2"/>
  <c r="H196" i="2"/>
  <c r="I196" i="2"/>
  <c r="J196" i="2"/>
  <c r="K196" i="2"/>
  <c r="L196" i="2"/>
  <c r="M196" i="2"/>
  <c r="N196" i="2"/>
  <c r="O196" i="2"/>
  <c r="P196" i="2" s="1"/>
  <c r="R196" i="2" s="1"/>
  <c r="B197" i="2"/>
  <c r="C197" i="2"/>
  <c r="Q197" i="2" s="1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B198" i="2"/>
  <c r="C198" i="2"/>
  <c r="Q198" i="2" s="1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 s="1"/>
  <c r="B199" i="2"/>
  <c r="C199" i="2"/>
  <c r="Q199" i="2" s="1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 s="1"/>
  <c r="R199" i="2" s="1"/>
  <c r="B200" i="2"/>
  <c r="C200" i="2"/>
  <c r="D200" i="2"/>
  <c r="E200" i="2"/>
  <c r="F200" i="2"/>
  <c r="G200" i="2"/>
  <c r="H200" i="2"/>
  <c r="I200" i="2"/>
  <c r="J200" i="2"/>
  <c r="K200" i="2"/>
  <c r="L200" i="2"/>
  <c r="Q200" i="2" s="1"/>
  <c r="M200" i="2"/>
  <c r="N200" i="2"/>
  <c r="O200" i="2"/>
  <c r="P200" i="2" s="1"/>
  <c r="B201" i="2"/>
  <c r="C201" i="2"/>
  <c r="D201" i="2"/>
  <c r="E201" i="2"/>
  <c r="F201" i="2"/>
  <c r="G201" i="2"/>
  <c r="H201" i="2"/>
  <c r="I201" i="2"/>
  <c r="Q201" i="2" s="1"/>
  <c r="J201" i="2"/>
  <c r="K201" i="2"/>
  <c r="L201" i="2"/>
  <c r="M201" i="2"/>
  <c r="N201" i="2"/>
  <c r="O201" i="2"/>
  <c r="P201" i="2"/>
  <c r="R201" i="2" s="1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 s="1"/>
  <c r="B203" i="2"/>
  <c r="C203" i="2"/>
  <c r="Q203" i="2" s="1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R203" i="2" s="1"/>
  <c r="B204" i="2"/>
  <c r="C204" i="2"/>
  <c r="D204" i="2"/>
  <c r="Q204" i="2" s="1"/>
  <c r="E204" i="2"/>
  <c r="F204" i="2"/>
  <c r="G204" i="2"/>
  <c r="H204" i="2"/>
  <c r="I204" i="2"/>
  <c r="J204" i="2"/>
  <c r="K204" i="2"/>
  <c r="L204" i="2"/>
  <c r="M204" i="2"/>
  <c r="N204" i="2"/>
  <c r="O204" i="2"/>
  <c r="P204" i="2" s="1"/>
  <c r="R204" i="2" s="1"/>
  <c r="B205" i="2"/>
  <c r="C205" i="2"/>
  <c r="Q205" i="2" s="1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 s="1"/>
  <c r="B206" i="2"/>
  <c r="C206" i="2"/>
  <c r="D206" i="2"/>
  <c r="E206" i="2"/>
  <c r="F206" i="2"/>
  <c r="G206" i="2"/>
  <c r="H206" i="2"/>
  <c r="I206" i="2"/>
  <c r="J206" i="2"/>
  <c r="K206" i="2"/>
  <c r="L206" i="2"/>
  <c r="Q206" i="2" s="1"/>
  <c r="M206" i="2"/>
  <c r="N206" i="2"/>
  <c r="O206" i="2"/>
  <c r="P206" i="2" s="1"/>
  <c r="B207" i="2"/>
  <c r="C207" i="2"/>
  <c r="D207" i="2"/>
  <c r="E207" i="2"/>
  <c r="F207" i="2"/>
  <c r="G207" i="2"/>
  <c r="H207" i="2"/>
  <c r="I207" i="2"/>
  <c r="Q207" i="2" s="1"/>
  <c r="J207" i="2"/>
  <c r="K207" i="2"/>
  <c r="L207" i="2"/>
  <c r="M207" i="2"/>
  <c r="N207" i="2"/>
  <c r="O207" i="2"/>
  <c r="P207" i="2"/>
  <c r="B208" i="2"/>
  <c r="C208" i="2"/>
  <c r="Q208" i="2" s="1"/>
  <c r="R208" i="2" s="1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 s="1"/>
  <c r="B210" i="2"/>
  <c r="C210" i="2"/>
  <c r="Q210" i="2" s="1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 s="1"/>
  <c r="R210" i="2" s="1"/>
  <c r="B211" i="2"/>
  <c r="C211" i="2"/>
  <c r="D211" i="2"/>
  <c r="E211" i="2"/>
  <c r="Q211" i="2" s="1"/>
  <c r="F211" i="2"/>
  <c r="G211" i="2"/>
  <c r="H211" i="2"/>
  <c r="I211" i="2"/>
  <c r="J211" i="2"/>
  <c r="K211" i="2"/>
  <c r="L211" i="2"/>
  <c r="M211" i="2"/>
  <c r="N211" i="2"/>
  <c r="O211" i="2"/>
  <c r="P211" i="2" s="1"/>
  <c r="R211" i="2" s="1"/>
  <c r="B212" i="2"/>
  <c r="C212" i="2"/>
  <c r="D212" i="2"/>
  <c r="E212" i="2"/>
  <c r="F212" i="2"/>
  <c r="G212" i="2"/>
  <c r="H212" i="2"/>
  <c r="I212" i="2"/>
  <c r="J212" i="2"/>
  <c r="K212" i="2"/>
  <c r="L212" i="2"/>
  <c r="Q212" i="2" s="1"/>
  <c r="M212" i="2"/>
  <c r="N212" i="2"/>
  <c r="O212" i="2"/>
  <c r="P212" i="2" s="1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R213" i="2" s="1"/>
  <c r="Q213" i="2"/>
  <c r="B214" i="2"/>
  <c r="C214" i="2"/>
  <c r="Q214" i="2" s="1"/>
  <c r="R214" i="2" s="1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B215" i="2"/>
  <c r="C215" i="2"/>
  <c r="Q215" i="2" s="1"/>
  <c r="R215" i="2" s="1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B216" i="2"/>
  <c r="C216" i="2"/>
  <c r="D216" i="2"/>
  <c r="Q216" i="2" s="1"/>
  <c r="E216" i="2"/>
  <c r="F216" i="2"/>
  <c r="G216" i="2"/>
  <c r="H216" i="2"/>
  <c r="I216" i="2"/>
  <c r="J216" i="2"/>
  <c r="K216" i="2"/>
  <c r="L216" i="2"/>
  <c r="M216" i="2"/>
  <c r="N216" i="2"/>
  <c r="O216" i="2"/>
  <c r="P216" i="2"/>
  <c r="B217" i="2"/>
  <c r="C217" i="2"/>
  <c r="Q217" i="2" s="1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B218" i="2"/>
  <c r="C218" i="2"/>
  <c r="D218" i="2"/>
  <c r="E218" i="2"/>
  <c r="F218" i="2"/>
  <c r="G218" i="2"/>
  <c r="H218" i="2"/>
  <c r="I218" i="2"/>
  <c r="J218" i="2"/>
  <c r="K218" i="2"/>
  <c r="Q218" i="2" s="1"/>
  <c r="L218" i="2"/>
  <c r="M218" i="2"/>
  <c r="N218" i="2"/>
  <c r="O218" i="2"/>
  <c r="P218" i="2"/>
  <c r="R218" i="2" s="1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 s="1"/>
  <c r="R219" i="2" s="1"/>
  <c r="Q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 s="1"/>
  <c r="R220" i="2" s="1"/>
  <c r="Q220" i="2"/>
  <c r="B221" i="2"/>
  <c r="C221" i="2"/>
  <c r="Q221" i="2" s="1"/>
  <c r="R221" i="2" s="1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 s="1"/>
  <c r="B223" i="2"/>
  <c r="C223" i="2"/>
  <c r="Q223" i="2" s="1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B224" i="2"/>
  <c r="C224" i="2"/>
  <c r="D224" i="2"/>
  <c r="E224" i="2"/>
  <c r="F224" i="2"/>
  <c r="G224" i="2"/>
  <c r="H224" i="2"/>
  <c r="I224" i="2"/>
  <c r="J224" i="2"/>
  <c r="K224" i="2"/>
  <c r="Q224" i="2" s="1"/>
  <c r="L224" i="2"/>
  <c r="M224" i="2"/>
  <c r="N224" i="2"/>
  <c r="O224" i="2"/>
  <c r="P224" i="2"/>
  <c r="R224" i="2" s="1"/>
  <c r="B225" i="2"/>
  <c r="C225" i="2"/>
  <c r="D225" i="2"/>
  <c r="E225" i="2"/>
  <c r="F225" i="2"/>
  <c r="G225" i="2"/>
  <c r="H225" i="2"/>
  <c r="Q225" i="2" s="1"/>
  <c r="I225" i="2"/>
  <c r="J225" i="2"/>
  <c r="K225" i="2"/>
  <c r="L225" i="2"/>
  <c r="M225" i="2"/>
  <c r="N225" i="2"/>
  <c r="O225" i="2"/>
  <c r="P225" i="2" s="1"/>
  <c r="R225" i="2" s="1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 s="1"/>
  <c r="R226" i="2" s="1"/>
  <c r="Q226" i="2"/>
  <c r="B227" i="2"/>
  <c r="C227" i="2"/>
  <c r="Q227" i="2" s="1"/>
  <c r="R227" i="2" s="1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B228" i="2"/>
  <c r="C228" i="2"/>
  <c r="Q228" i="2" s="1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R228" i="2" s="1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 s="1"/>
  <c r="B230" i="2"/>
  <c r="C230" i="2"/>
  <c r="D230" i="2"/>
  <c r="E230" i="2"/>
  <c r="F230" i="2"/>
  <c r="G230" i="2"/>
  <c r="H230" i="2"/>
  <c r="I230" i="2"/>
  <c r="J230" i="2"/>
  <c r="K230" i="2"/>
  <c r="Q230" i="2" s="1"/>
  <c r="L230" i="2"/>
  <c r="M230" i="2"/>
  <c r="N230" i="2"/>
  <c r="O230" i="2"/>
  <c r="P230" i="2"/>
  <c r="R230" i="2" s="1"/>
  <c r="B231" i="2"/>
  <c r="C231" i="2"/>
  <c r="D231" i="2"/>
  <c r="E231" i="2"/>
  <c r="F231" i="2"/>
  <c r="G231" i="2"/>
  <c r="H231" i="2"/>
  <c r="Q231" i="2" s="1"/>
  <c r="I231" i="2"/>
  <c r="J231" i="2"/>
  <c r="K231" i="2"/>
  <c r="L231" i="2"/>
  <c r="M231" i="2"/>
  <c r="N231" i="2"/>
  <c r="O231" i="2"/>
  <c r="P231" i="2" s="1"/>
  <c r="R231" i="2" s="1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 s="1"/>
  <c r="R232" i="2" s="1"/>
  <c r="Q232" i="2"/>
  <c r="B233" i="2"/>
  <c r="C233" i="2"/>
  <c r="Q233" i="2" s="1"/>
  <c r="R233" i="2" s="1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B234" i="2"/>
  <c r="C234" i="2"/>
  <c r="Q234" i="2" s="1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B235" i="2"/>
  <c r="C235" i="2"/>
  <c r="Q235" i="2" s="1"/>
  <c r="R235" i="2" s="1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B236" i="2"/>
  <c r="C236" i="2"/>
  <c r="Q236" i="2" s="1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 s="1"/>
  <c r="B237" i="2"/>
  <c r="C237" i="2"/>
  <c r="D237" i="2"/>
  <c r="E237" i="2"/>
  <c r="F237" i="2"/>
  <c r="G237" i="2"/>
  <c r="Q237" i="2" s="1"/>
  <c r="H237" i="2"/>
  <c r="I237" i="2"/>
  <c r="J237" i="2"/>
  <c r="K237" i="2"/>
  <c r="L237" i="2"/>
  <c r="M237" i="2"/>
  <c r="N237" i="2"/>
  <c r="O237" i="2"/>
  <c r="P237" i="2" s="1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B239" i="2"/>
  <c r="C239" i="2"/>
  <c r="Q239" i="2" s="1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R239" i="2" s="1"/>
  <c r="B240" i="2"/>
  <c r="C240" i="2"/>
  <c r="Q240" i="2" s="1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R240" i="2" s="1"/>
  <c r="B241" i="2"/>
  <c r="C241" i="2"/>
  <c r="Q241" i="2" s="1"/>
  <c r="R241" i="2" s="1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 s="1"/>
  <c r="B243" i="2"/>
  <c r="C243" i="2"/>
  <c r="D243" i="2"/>
  <c r="E243" i="2"/>
  <c r="F243" i="2"/>
  <c r="G243" i="2"/>
  <c r="Q243" i="2" s="1"/>
  <c r="H243" i="2"/>
  <c r="I243" i="2"/>
  <c r="J243" i="2"/>
  <c r="K243" i="2"/>
  <c r="L243" i="2"/>
  <c r="M243" i="2"/>
  <c r="N243" i="2"/>
  <c r="O243" i="2"/>
  <c r="P243" i="2" s="1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B245" i="2"/>
  <c r="C245" i="2"/>
  <c r="Q245" i="2" s="1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R245" i="2" s="1"/>
  <c r="B246" i="2"/>
  <c r="C246" i="2"/>
  <c r="Q246" i="2" s="1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B247" i="2"/>
  <c r="C247" i="2"/>
  <c r="Q247" i="2" s="1"/>
  <c r="R247" i="2" s="1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B248" i="2"/>
  <c r="C248" i="2"/>
  <c r="Q248" i="2" s="1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R248" i="2" s="1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B251" i="2"/>
  <c r="C251" i="2"/>
  <c r="D251" i="2"/>
  <c r="E251" i="2"/>
  <c r="Q251" i="2" s="1"/>
  <c r="F251" i="2"/>
  <c r="G251" i="2"/>
  <c r="H251" i="2"/>
  <c r="I251" i="2"/>
  <c r="J251" i="2"/>
  <c r="K251" i="2"/>
  <c r="L251" i="2"/>
  <c r="M251" i="2"/>
  <c r="N251" i="2"/>
  <c r="O251" i="2"/>
  <c r="P251" i="2"/>
  <c r="B252" i="2"/>
  <c r="C252" i="2"/>
  <c r="Q252" i="2" s="1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R252" i="2" s="1"/>
  <c r="B253" i="2"/>
  <c r="C253" i="2"/>
  <c r="Q253" i="2" s="1"/>
  <c r="R253" i="2" s="1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B254" i="2"/>
  <c r="C254" i="2"/>
  <c r="Q254" i="2" s="1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R254" i="2" s="1"/>
  <c r="B255" i="2"/>
  <c r="C255" i="2"/>
  <c r="D255" i="2"/>
  <c r="E255" i="2"/>
  <c r="F255" i="2"/>
  <c r="G255" i="2"/>
  <c r="H255" i="2"/>
  <c r="I255" i="2"/>
  <c r="J255" i="2"/>
  <c r="K255" i="2"/>
  <c r="L255" i="2"/>
  <c r="Q255" i="2" s="1"/>
  <c r="R255" i="2" s="1"/>
  <c r="M255" i="2"/>
  <c r="N255" i="2"/>
  <c r="O255" i="2"/>
  <c r="P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R256" i="2" s="1"/>
  <c r="Q256" i="2"/>
  <c r="B257" i="2"/>
  <c r="C257" i="2"/>
  <c r="Q257" i="2" s="1"/>
  <c r="R257" i="2" s="1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B258" i="2"/>
  <c r="C258" i="2"/>
  <c r="Q258" i="2" s="1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 s="1"/>
  <c r="R258" i="2" s="1"/>
  <c r="B259" i="2"/>
  <c r="C259" i="2"/>
  <c r="D259" i="2"/>
  <c r="Q259" i="2" s="1"/>
  <c r="R259" i="2" s="1"/>
  <c r="E259" i="2"/>
  <c r="F259" i="2"/>
  <c r="G259" i="2"/>
  <c r="H259" i="2"/>
  <c r="I259" i="2"/>
  <c r="J259" i="2"/>
  <c r="K259" i="2"/>
  <c r="L259" i="2"/>
  <c r="M259" i="2"/>
  <c r="N259" i="2"/>
  <c r="O259" i="2"/>
  <c r="P259" i="2"/>
  <c r="B260" i="2"/>
  <c r="C260" i="2"/>
  <c r="Q260" i="2" s="1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 s="1"/>
  <c r="R260" i="2" s="1"/>
  <c r="B261" i="2"/>
  <c r="C261" i="2"/>
  <c r="Q261" i="2" s="1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R261" i="2" s="1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 s="1"/>
  <c r="B263" i="2"/>
  <c r="C263" i="2"/>
  <c r="Q263" i="2" s="1"/>
  <c r="R263" i="2" s="1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B264" i="2"/>
  <c r="C264" i="2"/>
  <c r="D264" i="2"/>
  <c r="Q264" i="2" s="1"/>
  <c r="E264" i="2"/>
  <c r="F264" i="2"/>
  <c r="G264" i="2"/>
  <c r="H264" i="2"/>
  <c r="I264" i="2"/>
  <c r="J264" i="2"/>
  <c r="K264" i="2"/>
  <c r="L264" i="2"/>
  <c r="M264" i="2"/>
  <c r="N264" i="2"/>
  <c r="O264" i="2"/>
  <c r="P264" i="2" s="1"/>
  <c r="B265" i="2"/>
  <c r="C265" i="2"/>
  <c r="Q265" i="2" s="1"/>
  <c r="R265" i="2" s="1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B266" i="2"/>
  <c r="C266" i="2"/>
  <c r="Q266" i="2" s="1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 s="1"/>
  <c r="B267" i="2"/>
  <c r="C267" i="2"/>
  <c r="Q267" i="2" s="1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B268" i="2"/>
  <c r="C268" i="2"/>
  <c r="D268" i="2"/>
  <c r="E268" i="2"/>
  <c r="F268" i="2"/>
  <c r="G268" i="2"/>
  <c r="Q268" i="2" s="1"/>
  <c r="R268" i="2" s="1"/>
  <c r="H268" i="2"/>
  <c r="I268" i="2"/>
  <c r="J268" i="2"/>
  <c r="K268" i="2"/>
  <c r="L268" i="2"/>
  <c r="M268" i="2"/>
  <c r="N268" i="2"/>
  <c r="O268" i="2"/>
  <c r="P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B270" i="2"/>
  <c r="C270" i="2"/>
  <c r="Q270" i="2" s="1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 s="1"/>
  <c r="G271" i="2"/>
  <c r="Q271" i="2" s="1"/>
  <c r="H271" i="2"/>
  <c r="I271" i="2"/>
  <c r="J271" i="2"/>
  <c r="K271" i="2"/>
  <c r="L271" i="2"/>
  <c r="M271" i="2"/>
  <c r="N271" i="2"/>
  <c r="O271" i="2"/>
  <c r="P271" i="2" s="1"/>
  <c r="R271" i="2" s="1"/>
  <c r="G272" i="2"/>
  <c r="H272" i="2"/>
  <c r="I272" i="2"/>
  <c r="J272" i="2"/>
  <c r="K272" i="2"/>
  <c r="L272" i="2"/>
  <c r="M272" i="2"/>
  <c r="N272" i="2"/>
  <c r="O272" i="2"/>
  <c r="P272" i="2" s="1"/>
  <c r="G273" i="2"/>
  <c r="Q273" i="2" s="1"/>
  <c r="H273" i="2"/>
  <c r="I273" i="2"/>
  <c r="J273" i="2"/>
  <c r="K273" i="2"/>
  <c r="L273" i="2"/>
  <c r="M273" i="2"/>
  <c r="N273" i="2"/>
  <c r="O273" i="2"/>
  <c r="P273" i="2" s="1"/>
  <c r="R273" i="2" s="1"/>
  <c r="G274" i="2"/>
  <c r="H274" i="2"/>
  <c r="I274" i="2"/>
  <c r="J274" i="2"/>
  <c r="K274" i="2"/>
  <c r="L274" i="2"/>
  <c r="M274" i="2"/>
  <c r="N274" i="2"/>
  <c r="O274" i="2"/>
  <c r="P274" i="2"/>
  <c r="R274" i="2" s="1"/>
  <c r="Q274" i="2"/>
  <c r="G275" i="2"/>
  <c r="H275" i="2"/>
  <c r="Q275" i="2" s="1"/>
  <c r="I275" i="2"/>
  <c r="J275" i="2"/>
  <c r="K275" i="2"/>
  <c r="L275" i="2"/>
  <c r="M275" i="2"/>
  <c r="N275" i="2"/>
  <c r="O275" i="2"/>
  <c r="P275" i="2"/>
  <c r="R275" i="2" s="1"/>
  <c r="G276" i="2"/>
  <c r="H276" i="2"/>
  <c r="I276" i="2"/>
  <c r="J276" i="2"/>
  <c r="K276" i="2"/>
  <c r="L276" i="2"/>
  <c r="Q276" i="2" s="1"/>
  <c r="M276" i="2"/>
  <c r="N276" i="2"/>
  <c r="O276" i="2"/>
  <c r="P276" i="2"/>
  <c r="R276" i="2" s="1"/>
  <c r="G277" i="2"/>
  <c r="H277" i="2"/>
  <c r="I277" i="2"/>
  <c r="J277" i="2"/>
  <c r="K277" i="2"/>
  <c r="L277" i="2"/>
  <c r="M277" i="2"/>
  <c r="N277" i="2"/>
  <c r="O277" i="2"/>
  <c r="P277" i="2" s="1"/>
  <c r="G278" i="2"/>
  <c r="Q278" i="2" s="1"/>
  <c r="H278" i="2"/>
  <c r="I278" i="2"/>
  <c r="J278" i="2"/>
  <c r="K278" i="2"/>
  <c r="L278" i="2"/>
  <c r="M278" i="2"/>
  <c r="N278" i="2"/>
  <c r="O278" i="2"/>
  <c r="P278" i="2" s="1"/>
  <c r="G279" i="2"/>
  <c r="H279" i="2"/>
  <c r="I279" i="2"/>
  <c r="J279" i="2"/>
  <c r="K279" i="2"/>
  <c r="L279" i="2"/>
  <c r="M279" i="2"/>
  <c r="N279" i="2"/>
  <c r="O279" i="2"/>
  <c r="P279" i="2" s="1"/>
  <c r="R279" i="2" s="1"/>
  <c r="Q279" i="2"/>
  <c r="G280" i="2"/>
  <c r="Q280" i="2" s="1"/>
  <c r="R280" i="2" s="1"/>
  <c r="H280" i="2"/>
  <c r="I280" i="2"/>
  <c r="J280" i="2"/>
  <c r="K280" i="2"/>
  <c r="L280" i="2"/>
  <c r="M280" i="2"/>
  <c r="N280" i="2"/>
  <c r="O280" i="2"/>
  <c r="P280" i="2"/>
  <c r="G281" i="2"/>
  <c r="Q281" i="2" s="1"/>
  <c r="H281" i="2"/>
  <c r="I281" i="2"/>
  <c r="J281" i="2"/>
  <c r="K281" i="2"/>
  <c r="L281" i="2"/>
  <c r="M281" i="2"/>
  <c r="N281" i="2"/>
  <c r="O281" i="2"/>
  <c r="P281" i="2" s="1"/>
  <c r="R281" i="2" s="1"/>
  <c r="G282" i="2"/>
  <c r="Q282" i="2" s="1"/>
  <c r="H282" i="2"/>
  <c r="I282" i="2"/>
  <c r="J282" i="2"/>
  <c r="K282" i="2"/>
  <c r="L282" i="2"/>
  <c r="M282" i="2"/>
  <c r="N282" i="2"/>
  <c r="O282" i="2"/>
  <c r="P282" i="2" s="1"/>
  <c r="R282" i="2" s="1"/>
  <c r="G283" i="2"/>
  <c r="H283" i="2"/>
  <c r="I283" i="2"/>
  <c r="J283" i="2"/>
  <c r="K283" i="2"/>
  <c r="L283" i="2"/>
  <c r="Q283" i="2" s="1"/>
  <c r="M283" i="2"/>
  <c r="N283" i="2"/>
  <c r="O283" i="2"/>
  <c r="P283" i="2"/>
  <c r="R283" i="2" s="1"/>
  <c r="G284" i="2"/>
  <c r="H284" i="2"/>
  <c r="I284" i="2"/>
  <c r="J284" i="2"/>
  <c r="K284" i="2"/>
  <c r="L284" i="2"/>
  <c r="M284" i="2"/>
  <c r="N284" i="2"/>
  <c r="O284" i="2"/>
  <c r="P284" i="2" s="1"/>
  <c r="R284" i="2" s="1"/>
  <c r="Q284" i="2"/>
  <c r="G285" i="2"/>
  <c r="Q285" i="2" s="1"/>
  <c r="H285" i="2"/>
  <c r="I285" i="2"/>
  <c r="J285" i="2"/>
  <c r="K285" i="2"/>
  <c r="L285" i="2"/>
  <c r="M285" i="2"/>
  <c r="N285" i="2"/>
  <c r="O285" i="2"/>
  <c r="P285" i="2" s="1"/>
  <c r="G286" i="2"/>
  <c r="H286" i="2"/>
  <c r="I286" i="2"/>
  <c r="J286" i="2"/>
  <c r="K286" i="2"/>
  <c r="L286" i="2"/>
  <c r="M286" i="2"/>
  <c r="N286" i="2"/>
  <c r="O286" i="2"/>
  <c r="P286" i="2"/>
  <c r="R286" i="2" s="1"/>
  <c r="Q286" i="2"/>
  <c r="G287" i="2"/>
  <c r="H287" i="2"/>
  <c r="I287" i="2"/>
  <c r="J287" i="2"/>
  <c r="K287" i="2"/>
  <c r="L287" i="2"/>
  <c r="M287" i="2"/>
  <c r="N287" i="2"/>
  <c r="O287" i="2"/>
  <c r="P287" i="2" s="1"/>
  <c r="G288" i="2"/>
  <c r="Q288" i="2" s="1"/>
  <c r="H288" i="2"/>
  <c r="I288" i="2"/>
  <c r="J288" i="2"/>
  <c r="K288" i="2"/>
  <c r="L288" i="2"/>
  <c r="M288" i="2"/>
  <c r="N288" i="2"/>
  <c r="O288" i="2"/>
  <c r="P288" i="2" s="1"/>
  <c r="G289" i="2"/>
  <c r="Q289" i="2" s="1"/>
  <c r="H289" i="2"/>
  <c r="I289" i="2"/>
  <c r="J289" i="2"/>
  <c r="K289" i="2"/>
  <c r="L289" i="2"/>
  <c r="M289" i="2"/>
  <c r="N289" i="2"/>
  <c r="O289" i="2"/>
  <c r="P289" i="2" s="1"/>
  <c r="R289" i="2" s="1"/>
  <c r="G290" i="2"/>
  <c r="Q290" i="2" s="1"/>
  <c r="H290" i="2"/>
  <c r="I290" i="2"/>
  <c r="J290" i="2"/>
  <c r="K290" i="2"/>
  <c r="L290" i="2"/>
  <c r="M290" i="2"/>
  <c r="N290" i="2"/>
  <c r="O290" i="2"/>
  <c r="P290" i="2" s="1"/>
  <c r="R290" i="2" s="1"/>
  <c r="G291" i="2"/>
  <c r="H291" i="2"/>
  <c r="I291" i="2"/>
  <c r="J291" i="2"/>
  <c r="K291" i="2"/>
  <c r="L291" i="2"/>
  <c r="M291" i="2"/>
  <c r="N291" i="2"/>
  <c r="O291" i="2"/>
  <c r="P291" i="2" s="1"/>
  <c r="R291" i="2" s="1"/>
  <c r="Q291" i="2"/>
  <c r="G292" i="2"/>
  <c r="Q292" i="2" s="1"/>
  <c r="R292" i="2" s="1"/>
  <c r="H292" i="2"/>
  <c r="I292" i="2"/>
  <c r="J292" i="2"/>
  <c r="K292" i="2"/>
  <c r="L292" i="2"/>
  <c r="M292" i="2"/>
  <c r="N292" i="2"/>
  <c r="O292" i="2"/>
  <c r="P292" i="2" s="1"/>
  <c r="G293" i="2"/>
  <c r="H293" i="2"/>
  <c r="I293" i="2"/>
  <c r="J293" i="2"/>
  <c r="K293" i="2"/>
  <c r="L293" i="2"/>
  <c r="M293" i="2"/>
  <c r="N293" i="2"/>
  <c r="O293" i="2"/>
  <c r="P293" i="2"/>
  <c r="R293" i="2" s="1"/>
  <c r="Q293" i="2"/>
  <c r="G294" i="2"/>
  <c r="H294" i="2"/>
  <c r="Q294" i="2" s="1"/>
  <c r="R294" i="2" s="1"/>
  <c r="I294" i="2"/>
  <c r="J294" i="2"/>
  <c r="K294" i="2"/>
  <c r="L294" i="2"/>
  <c r="M294" i="2"/>
  <c r="N294" i="2"/>
  <c r="O294" i="2"/>
  <c r="P294" i="2"/>
  <c r="G295" i="2"/>
  <c r="H295" i="2"/>
  <c r="I295" i="2"/>
  <c r="J295" i="2"/>
  <c r="K295" i="2"/>
  <c r="L295" i="2"/>
  <c r="Q295" i="2" s="1"/>
  <c r="M295" i="2"/>
  <c r="N295" i="2"/>
  <c r="O295" i="2"/>
  <c r="P295" i="2"/>
  <c r="R295" i="2" s="1"/>
  <c r="G296" i="2"/>
  <c r="H296" i="2"/>
  <c r="I296" i="2"/>
  <c r="J296" i="2"/>
  <c r="K296" i="2"/>
  <c r="L296" i="2"/>
  <c r="M296" i="2"/>
  <c r="Q296" i="2" s="1"/>
  <c r="N296" i="2"/>
  <c r="O296" i="2"/>
  <c r="P296" i="2" s="1"/>
  <c r="G297" i="2"/>
  <c r="H297" i="2"/>
  <c r="I297" i="2"/>
  <c r="J297" i="2"/>
  <c r="K297" i="2"/>
  <c r="L297" i="2"/>
  <c r="M297" i="2"/>
  <c r="N297" i="2"/>
  <c r="O297" i="2"/>
  <c r="P297" i="2" s="1"/>
  <c r="G298" i="2"/>
  <c r="H298" i="2"/>
  <c r="I298" i="2"/>
  <c r="J298" i="2"/>
  <c r="K298" i="2"/>
  <c r="L298" i="2"/>
  <c r="M298" i="2"/>
  <c r="N298" i="2"/>
  <c r="O298" i="2"/>
  <c r="P298" i="2" s="1"/>
  <c r="R298" i="2" s="1"/>
  <c r="Q298" i="2"/>
  <c r="G299" i="2"/>
  <c r="Q299" i="2" s="1"/>
  <c r="R299" i="2" s="1"/>
  <c r="H299" i="2"/>
  <c r="I299" i="2"/>
  <c r="J299" i="2"/>
  <c r="K299" i="2"/>
  <c r="L299" i="2"/>
  <c r="M299" i="2"/>
  <c r="N299" i="2"/>
  <c r="O299" i="2"/>
  <c r="P299" i="2"/>
  <c r="G300" i="2"/>
  <c r="Q300" i="2" s="1"/>
  <c r="H300" i="2"/>
  <c r="I300" i="2"/>
  <c r="J300" i="2"/>
  <c r="K300" i="2"/>
  <c r="L300" i="2"/>
  <c r="M300" i="2"/>
  <c r="N300" i="2"/>
  <c r="O300" i="2"/>
  <c r="P300" i="2" s="1"/>
  <c r="R300" i="2" s="1"/>
  <c r="P4" i="1"/>
  <c r="Q4" i="1"/>
  <c r="S4" i="1"/>
  <c r="T4" i="1"/>
  <c r="U4" i="1" s="1"/>
  <c r="V4" i="1"/>
  <c r="O4" i="1" s="1"/>
  <c r="W4" i="1"/>
  <c r="P5" i="1"/>
  <c r="Q5" i="1" s="1"/>
  <c r="S5" i="1"/>
  <c r="T5" i="1"/>
  <c r="U5" i="1" s="1"/>
  <c r="V5" i="1"/>
  <c r="O5" i="1" s="1"/>
  <c r="R5" i="1" s="1"/>
  <c r="W5" i="1"/>
  <c r="O6" i="1"/>
  <c r="P6" i="1"/>
  <c r="Q6" i="1" s="1"/>
  <c r="S6" i="1"/>
  <c r="T6" i="1" s="1"/>
  <c r="U6" i="1"/>
  <c r="V6" i="1"/>
  <c r="P7" i="1"/>
  <c r="Q7" i="1"/>
  <c r="W7" i="1" s="1"/>
  <c r="S7" i="1"/>
  <c r="T7" i="1" s="1"/>
  <c r="U7" i="1" s="1"/>
  <c r="V7" i="1"/>
  <c r="O7" i="1" s="1"/>
  <c r="O8" i="1"/>
  <c r="P8" i="1"/>
  <c r="Q8" i="1" s="1"/>
  <c r="W8" i="1" s="1"/>
  <c r="R8" i="1"/>
  <c r="S8" i="1"/>
  <c r="V8" i="1"/>
  <c r="P9" i="1"/>
  <c r="Q9" i="1"/>
  <c r="S9" i="1"/>
  <c r="T9" i="1"/>
  <c r="U9" i="1"/>
  <c r="V9" i="1"/>
  <c r="O10" i="1"/>
  <c r="P10" i="1"/>
  <c r="Q10" i="1"/>
  <c r="W10" i="1" s="1"/>
  <c r="S10" i="1"/>
  <c r="T10" i="1"/>
  <c r="U10" i="1" s="1"/>
  <c r="V10" i="1"/>
  <c r="P11" i="1"/>
  <c r="T11" i="1" s="1"/>
  <c r="Q11" i="1"/>
  <c r="R11" i="1" s="1"/>
  <c r="S11" i="1"/>
  <c r="U11" i="1"/>
  <c r="V11" i="1"/>
  <c r="O11" i="1" s="1"/>
  <c r="W11" i="1"/>
  <c r="O12" i="1"/>
  <c r="P12" i="1"/>
  <c r="Q12" i="1"/>
  <c r="S12" i="1"/>
  <c r="T12" i="1"/>
  <c r="U12" i="1"/>
  <c r="V12" i="1"/>
  <c r="P13" i="1"/>
  <c r="Q13" i="1" s="1"/>
  <c r="R13" i="1"/>
  <c r="S13" i="1"/>
  <c r="T13" i="1" s="1"/>
  <c r="U13" i="1" s="1"/>
  <c r="V13" i="1"/>
  <c r="O13" i="1" s="1"/>
  <c r="W13" i="1"/>
  <c r="O14" i="1"/>
  <c r="P14" i="1"/>
  <c r="Q14" i="1" s="1"/>
  <c r="R14" i="1" s="1"/>
  <c r="S14" i="1"/>
  <c r="T14" i="1" s="1"/>
  <c r="U14" i="1" s="1"/>
  <c r="V14" i="1"/>
  <c r="O15" i="1"/>
  <c r="P15" i="1"/>
  <c r="Q15" i="1" s="1"/>
  <c r="S15" i="1"/>
  <c r="T15" i="1"/>
  <c r="U15" i="1" s="1"/>
  <c r="V15" i="1"/>
  <c r="P16" i="1"/>
  <c r="Q16" i="1" s="1"/>
  <c r="S16" i="1"/>
  <c r="T16" i="1" s="1"/>
  <c r="U16" i="1" s="1"/>
  <c r="V16" i="1"/>
  <c r="O16" i="1" s="1"/>
  <c r="P17" i="1"/>
  <c r="T17" i="1" s="1"/>
  <c r="U17" i="1" s="1"/>
  <c r="Q17" i="1"/>
  <c r="S17" i="1"/>
  <c r="V17" i="1"/>
  <c r="O17" i="1" s="1"/>
  <c r="P18" i="1"/>
  <c r="Q18" i="1"/>
  <c r="R18" i="1"/>
  <c r="S18" i="1"/>
  <c r="T18" i="1" s="1"/>
  <c r="U18" i="1" s="1"/>
  <c r="V18" i="1"/>
  <c r="O18" i="1" s="1"/>
  <c r="O19" i="1"/>
  <c r="P19" i="1"/>
  <c r="Q19" i="1" s="1"/>
  <c r="S19" i="1"/>
  <c r="T19" i="1" s="1"/>
  <c r="U19" i="1" s="1"/>
  <c r="V19" i="1"/>
  <c r="P20" i="1"/>
  <c r="Q20" i="1" s="1"/>
  <c r="R20" i="1" s="1"/>
  <c r="S20" i="1"/>
  <c r="T20" i="1"/>
  <c r="U20" i="1" s="1"/>
  <c r="V20" i="1"/>
  <c r="O20" i="1" s="1"/>
  <c r="W20" i="1"/>
  <c r="O21" i="1"/>
  <c r="P21" i="1"/>
  <c r="S21" i="1"/>
  <c r="V21" i="1"/>
  <c r="P22" i="1"/>
  <c r="Q22" i="1"/>
  <c r="R22" i="1" s="1"/>
  <c r="S22" i="1"/>
  <c r="T22" i="1"/>
  <c r="U22" i="1"/>
  <c r="V22" i="1"/>
  <c r="O22" i="1" s="1"/>
  <c r="W22" i="1"/>
  <c r="O23" i="1"/>
  <c r="P23" i="1"/>
  <c r="T23" i="1" s="1"/>
  <c r="U23" i="1" s="1"/>
  <c r="Q23" i="1"/>
  <c r="S23" i="1"/>
  <c r="V23" i="1"/>
  <c r="P24" i="1"/>
  <c r="Q24" i="1"/>
  <c r="S24" i="1"/>
  <c r="T24" i="1"/>
  <c r="U24" i="1" s="1"/>
  <c r="V24" i="1"/>
  <c r="O24" i="1" s="1"/>
  <c r="R24" i="1" s="1"/>
  <c r="W24" i="1"/>
  <c r="P25" i="1"/>
  <c r="Q25" i="1"/>
  <c r="S25" i="1"/>
  <c r="T25" i="1"/>
  <c r="U25" i="1" s="1"/>
  <c r="V25" i="1"/>
  <c r="O25" i="1" s="1"/>
  <c r="W25" i="1"/>
  <c r="O26" i="1"/>
  <c r="P26" i="1"/>
  <c r="Q26" i="1" s="1"/>
  <c r="S26" i="1"/>
  <c r="V26" i="1"/>
  <c r="P27" i="1"/>
  <c r="Q27" i="1"/>
  <c r="S27" i="1"/>
  <c r="T27" i="1"/>
  <c r="U27" i="1"/>
  <c r="V27" i="1"/>
  <c r="O27" i="1" s="1"/>
  <c r="O28" i="1"/>
  <c r="P28" i="1"/>
  <c r="Q28" i="1"/>
  <c r="R28" i="1" s="1"/>
  <c r="S28" i="1"/>
  <c r="V28" i="1"/>
  <c r="P29" i="1"/>
  <c r="Q29" i="1"/>
  <c r="S29" i="1"/>
  <c r="T29" i="1"/>
  <c r="U29" i="1"/>
  <c r="V29" i="1"/>
  <c r="O30" i="1"/>
  <c r="P30" i="1"/>
  <c r="Q30" i="1"/>
  <c r="W30" i="1" s="1"/>
  <c r="R30" i="1"/>
  <c r="S30" i="1"/>
  <c r="T30" i="1"/>
  <c r="U30" i="1" s="1"/>
  <c r="V30" i="1"/>
  <c r="P31" i="1"/>
  <c r="S31" i="1"/>
  <c r="V31" i="1"/>
  <c r="O31" i="1" s="1"/>
  <c r="P32" i="1"/>
  <c r="Q32" i="1" s="1"/>
  <c r="S32" i="1"/>
  <c r="T32" i="1"/>
  <c r="U32" i="1"/>
  <c r="V32" i="1"/>
  <c r="O32" i="1" s="1"/>
  <c r="P33" i="1"/>
  <c r="Q33" i="1" s="1"/>
  <c r="R33" i="1" s="1"/>
  <c r="S33" i="1"/>
  <c r="T33" i="1" s="1"/>
  <c r="U33" i="1" s="1"/>
  <c r="V33" i="1"/>
  <c r="O33" i="1" s="1"/>
  <c r="P34" i="1"/>
  <c r="Q34" i="1"/>
  <c r="S34" i="1"/>
  <c r="T34" i="1" s="1"/>
  <c r="U34" i="1" s="1"/>
  <c r="V34" i="1"/>
  <c r="O34" i="1" s="1"/>
  <c r="O35" i="1"/>
  <c r="P35" i="1"/>
  <c r="Q35" i="1" s="1"/>
  <c r="S35" i="1"/>
  <c r="T35" i="1"/>
  <c r="U35" i="1" s="1"/>
  <c r="V35" i="1"/>
  <c r="P36" i="1"/>
  <c r="S36" i="1"/>
  <c r="V36" i="1"/>
  <c r="O36" i="1" s="1"/>
  <c r="P37" i="1"/>
  <c r="T37" i="1" s="1"/>
  <c r="U37" i="1" s="1"/>
  <c r="Q37" i="1"/>
  <c r="S37" i="1"/>
  <c r="V37" i="1"/>
  <c r="O37" i="1" s="1"/>
  <c r="W37" i="1"/>
  <c r="P38" i="1"/>
  <c r="Q38" i="1"/>
  <c r="S38" i="1"/>
  <c r="T38" i="1"/>
  <c r="U38" i="1" s="1"/>
  <c r="V38" i="1"/>
  <c r="O39" i="1"/>
  <c r="P39" i="1"/>
  <c r="Q39" i="1"/>
  <c r="W39" i="1" s="1"/>
  <c r="S39" i="1"/>
  <c r="T39" i="1" s="1"/>
  <c r="U39" i="1" s="1"/>
  <c r="V39" i="1"/>
  <c r="O40" i="1"/>
  <c r="P40" i="1"/>
  <c r="Q40" i="1" s="1"/>
  <c r="S40" i="1"/>
  <c r="T40" i="1"/>
  <c r="U40" i="1"/>
  <c r="V40" i="1"/>
  <c r="W40" i="1" s="1"/>
  <c r="O41" i="1"/>
  <c r="P41" i="1"/>
  <c r="Q41" i="1" s="1"/>
  <c r="W41" i="1" s="1"/>
  <c r="R41" i="1"/>
  <c r="S41" i="1"/>
  <c r="T41" i="1" s="1"/>
  <c r="U41" i="1" s="1"/>
  <c r="V41" i="1"/>
  <c r="P42" i="1"/>
  <c r="T42" i="1" s="1"/>
  <c r="U42" i="1" s="1"/>
  <c r="Q42" i="1"/>
  <c r="R42" i="1"/>
  <c r="S42" i="1"/>
  <c r="V42" i="1"/>
  <c r="O42" i="1" s="1"/>
  <c r="W42" i="1"/>
  <c r="P43" i="1"/>
  <c r="Q43" i="1"/>
  <c r="W43" i="1" s="1"/>
  <c r="S43" i="1"/>
  <c r="T43" i="1"/>
  <c r="U43" i="1" s="1"/>
  <c r="V43" i="1"/>
  <c r="O43" i="1" s="1"/>
  <c r="R43" i="1" s="1"/>
  <c r="P44" i="1"/>
  <c r="Q44" i="1"/>
  <c r="R44" i="1" s="1"/>
  <c r="S44" i="1"/>
  <c r="T44" i="1" s="1"/>
  <c r="U44" i="1" s="1"/>
  <c r="V44" i="1"/>
  <c r="O44" i="1" s="1"/>
  <c r="W44" i="1"/>
  <c r="P45" i="1"/>
  <c r="Q45" i="1" s="1"/>
  <c r="R45" i="1" s="1"/>
  <c r="S45" i="1"/>
  <c r="T45" i="1"/>
  <c r="U45" i="1" s="1"/>
  <c r="V45" i="1"/>
  <c r="O45" i="1" s="1"/>
  <c r="W45" i="1"/>
  <c r="O46" i="1"/>
  <c r="P46" i="1"/>
  <c r="Q46" i="1" s="1"/>
  <c r="S46" i="1"/>
  <c r="T46" i="1" s="1"/>
  <c r="U46" i="1"/>
  <c r="V46" i="1"/>
  <c r="P47" i="1"/>
  <c r="Q47" i="1"/>
  <c r="W47" i="1" s="1"/>
  <c r="S47" i="1"/>
  <c r="T47" i="1"/>
  <c r="U47" i="1" s="1"/>
  <c r="V47" i="1"/>
  <c r="O47" i="1" s="1"/>
  <c r="O48" i="1"/>
  <c r="P48" i="1"/>
  <c r="Q48" i="1" s="1"/>
  <c r="S48" i="1"/>
  <c r="T48" i="1" s="1"/>
  <c r="U48" i="1" s="1"/>
  <c r="V48" i="1"/>
  <c r="O49" i="1"/>
  <c r="R49" i="1" s="1"/>
  <c r="P49" i="1"/>
  <c r="Q49" i="1"/>
  <c r="S49" i="1"/>
  <c r="T49" i="1"/>
  <c r="U49" i="1"/>
  <c r="V49" i="1"/>
  <c r="W49" i="1"/>
  <c r="O50" i="1"/>
  <c r="P50" i="1"/>
  <c r="Q50" i="1"/>
  <c r="S50" i="1"/>
  <c r="T50" i="1"/>
  <c r="U50" i="1" s="1"/>
  <c r="V50" i="1"/>
  <c r="P51" i="1"/>
  <c r="T51" i="1" s="1"/>
  <c r="Q51" i="1"/>
  <c r="S51" i="1"/>
  <c r="U51" i="1"/>
  <c r="V51" i="1"/>
  <c r="O51" i="1" s="1"/>
  <c r="W51" i="1"/>
  <c r="P52" i="1"/>
  <c r="Q52" i="1"/>
  <c r="S52" i="1"/>
  <c r="T52" i="1"/>
  <c r="U52" i="1" s="1"/>
  <c r="V52" i="1"/>
  <c r="O52" i="1" s="1"/>
  <c r="P53" i="1"/>
  <c r="Q53" i="1" s="1"/>
  <c r="W53" i="1" s="1"/>
  <c r="R53" i="1"/>
  <c r="S53" i="1"/>
  <c r="T53" i="1" s="1"/>
  <c r="U53" i="1" s="1"/>
  <c r="V53" i="1"/>
  <c r="O53" i="1" s="1"/>
  <c r="P54" i="1"/>
  <c r="Q54" i="1" s="1"/>
  <c r="S54" i="1"/>
  <c r="T54" i="1" s="1"/>
  <c r="U54" i="1" s="1"/>
  <c r="V54" i="1"/>
  <c r="O54" i="1" s="1"/>
  <c r="W54" i="1"/>
  <c r="O55" i="1"/>
  <c r="P55" i="1"/>
  <c r="Q55" i="1" s="1"/>
  <c r="S55" i="1"/>
  <c r="T55" i="1"/>
  <c r="U55" i="1" s="1"/>
  <c r="V55" i="1"/>
  <c r="P56" i="1"/>
  <c r="Q56" i="1"/>
  <c r="W56" i="1" s="1"/>
  <c r="S56" i="1"/>
  <c r="T56" i="1" s="1"/>
  <c r="U56" i="1" s="1"/>
  <c r="V56" i="1"/>
  <c r="O56" i="1" s="1"/>
  <c r="P57" i="1"/>
  <c r="T57" i="1" s="1"/>
  <c r="U57" i="1" s="1"/>
  <c r="Q57" i="1"/>
  <c r="S57" i="1"/>
  <c r="V57" i="1"/>
  <c r="O57" i="1" s="1"/>
  <c r="W57" i="1"/>
  <c r="P58" i="1"/>
  <c r="Q58" i="1"/>
  <c r="R58" i="1"/>
  <c r="S58" i="1"/>
  <c r="T58" i="1"/>
  <c r="U58" i="1" s="1"/>
  <c r="V58" i="1"/>
  <c r="O58" i="1" s="1"/>
  <c r="O59" i="1"/>
  <c r="P59" i="1"/>
  <c r="Q59" i="1" s="1"/>
  <c r="S59" i="1"/>
  <c r="V59" i="1"/>
  <c r="P60" i="1"/>
  <c r="Q60" i="1" s="1"/>
  <c r="S60" i="1"/>
  <c r="T60" i="1"/>
  <c r="U60" i="1" s="1"/>
  <c r="V60" i="1"/>
  <c r="O60" i="1" s="1"/>
  <c r="W60" i="1"/>
  <c r="O61" i="1"/>
  <c r="P61" i="1"/>
  <c r="Q61" i="1" s="1"/>
  <c r="W61" i="1" s="1"/>
  <c r="R61" i="1"/>
  <c r="S61" i="1"/>
  <c r="T61" i="1" s="1"/>
  <c r="U61" i="1"/>
  <c r="V61" i="1"/>
  <c r="P62" i="1"/>
  <c r="T62" i="1" s="1"/>
  <c r="U62" i="1" s="1"/>
  <c r="Q62" i="1"/>
  <c r="S62" i="1"/>
  <c r="V62" i="1"/>
  <c r="O62" i="1" s="1"/>
  <c r="P63" i="1"/>
  <c r="Q63" i="1"/>
  <c r="W63" i="1" s="1"/>
  <c r="S63" i="1"/>
  <c r="T63" i="1"/>
  <c r="U63" i="1" s="1"/>
  <c r="V63" i="1"/>
  <c r="O63" i="1" s="1"/>
  <c r="P64" i="1"/>
  <c r="Q64" i="1"/>
  <c r="S64" i="1"/>
  <c r="T64" i="1"/>
  <c r="U64" i="1" s="1"/>
  <c r="V64" i="1"/>
  <c r="O64" i="1" s="1"/>
  <c r="W64" i="1"/>
  <c r="P65" i="1"/>
  <c r="Q65" i="1"/>
  <c r="S65" i="1"/>
  <c r="T65" i="1"/>
  <c r="U65" i="1"/>
  <c r="V65" i="1"/>
  <c r="O66" i="1"/>
  <c r="P66" i="1"/>
  <c r="Q66" i="1" s="1"/>
  <c r="S66" i="1"/>
  <c r="T66" i="1" s="1"/>
  <c r="U66" i="1" s="1"/>
  <c r="V66" i="1"/>
  <c r="P67" i="1"/>
  <c r="Q67" i="1" s="1"/>
  <c r="W67" i="1" s="1"/>
  <c r="R67" i="1"/>
  <c r="S67" i="1"/>
  <c r="T67" i="1" s="1"/>
  <c r="U67" i="1"/>
  <c r="V67" i="1"/>
  <c r="O67" i="1" s="1"/>
  <c r="O68" i="1"/>
  <c r="P68" i="1"/>
  <c r="Q68" i="1" s="1"/>
  <c r="S68" i="1"/>
  <c r="T68" i="1" s="1"/>
  <c r="U68" i="1" s="1"/>
  <c r="V68" i="1"/>
  <c r="O69" i="1"/>
  <c r="P69" i="1"/>
  <c r="Q69" i="1"/>
  <c r="R69" i="1"/>
  <c r="S69" i="1"/>
  <c r="T69" i="1" s="1"/>
  <c r="U69" i="1" s="1"/>
  <c r="V69" i="1"/>
  <c r="W69" i="1"/>
  <c r="O70" i="1"/>
  <c r="P70" i="1"/>
  <c r="S70" i="1"/>
  <c r="V70" i="1"/>
  <c r="P71" i="1"/>
  <c r="Q71" i="1"/>
  <c r="S71" i="1"/>
  <c r="T71" i="1"/>
  <c r="U71" i="1"/>
  <c r="V71" i="1"/>
  <c r="O71" i="1" s="1"/>
  <c r="W71" i="1"/>
  <c r="O72" i="1"/>
  <c r="P72" i="1"/>
  <c r="Q72" i="1" s="1"/>
  <c r="S72" i="1"/>
  <c r="T72" i="1"/>
  <c r="U72" i="1"/>
  <c r="V72" i="1"/>
  <c r="P73" i="1"/>
  <c r="Q73" i="1" s="1"/>
  <c r="R73" i="1" s="1"/>
  <c r="S73" i="1"/>
  <c r="T73" i="1" s="1"/>
  <c r="U73" i="1" s="1"/>
  <c r="V73" i="1"/>
  <c r="O73" i="1" s="1"/>
  <c r="P74" i="1"/>
  <c r="Q74" i="1" s="1"/>
  <c r="R74" i="1" s="1"/>
  <c r="S74" i="1"/>
  <c r="T74" i="1"/>
  <c r="U74" i="1"/>
  <c r="V74" i="1"/>
  <c r="O74" i="1" s="1"/>
  <c r="O75" i="1"/>
  <c r="P75" i="1"/>
  <c r="Q75" i="1" s="1"/>
  <c r="S75" i="1"/>
  <c r="T75" i="1"/>
  <c r="U75" i="1"/>
  <c r="V75" i="1"/>
  <c r="P76" i="1"/>
  <c r="Q76" i="1"/>
  <c r="S76" i="1"/>
  <c r="T76" i="1"/>
  <c r="U76" i="1"/>
  <c r="V76" i="1"/>
  <c r="P77" i="1"/>
  <c r="T77" i="1" s="1"/>
  <c r="U77" i="1" s="1"/>
  <c r="S77" i="1"/>
  <c r="V77" i="1"/>
  <c r="O77" i="1" s="1"/>
  <c r="P78" i="1"/>
  <c r="Q78" i="1"/>
  <c r="W78" i="1" s="1"/>
  <c r="R78" i="1"/>
  <c r="S78" i="1"/>
  <c r="T78" i="1"/>
  <c r="U78" i="1" s="1"/>
  <c r="V78" i="1"/>
  <c r="O78" i="1" s="1"/>
  <c r="O79" i="1"/>
  <c r="P79" i="1"/>
  <c r="Q79" i="1"/>
  <c r="W79" i="1" s="1"/>
  <c r="R79" i="1"/>
  <c r="S79" i="1"/>
  <c r="T79" i="1" s="1"/>
  <c r="U79" i="1" s="1"/>
  <c r="V79" i="1"/>
  <c r="P80" i="1"/>
  <c r="Q80" i="1" s="1"/>
  <c r="S80" i="1"/>
  <c r="T80" i="1"/>
  <c r="U80" i="1" s="1"/>
  <c r="V80" i="1"/>
  <c r="O80" i="1" s="1"/>
  <c r="O81" i="1"/>
  <c r="P81" i="1"/>
  <c r="Q81" i="1"/>
  <c r="W81" i="1" s="1"/>
  <c r="R81" i="1"/>
  <c r="S81" i="1"/>
  <c r="T81" i="1" s="1"/>
  <c r="U81" i="1" s="1"/>
  <c r="V81" i="1"/>
  <c r="P82" i="1"/>
  <c r="Q82" i="1"/>
  <c r="S82" i="1"/>
  <c r="T82" i="1"/>
  <c r="U82" i="1"/>
  <c r="V82" i="1"/>
  <c r="P83" i="1"/>
  <c r="Q83" i="1" s="1"/>
  <c r="S83" i="1"/>
  <c r="T83" i="1" s="1"/>
  <c r="U83" i="1" s="1"/>
  <c r="V83" i="1"/>
  <c r="O83" i="1" s="1"/>
  <c r="P84" i="1"/>
  <c r="Q84" i="1"/>
  <c r="R84" i="1" s="1"/>
  <c r="S84" i="1"/>
  <c r="T84" i="1" s="1"/>
  <c r="U84" i="1" s="1"/>
  <c r="V84" i="1"/>
  <c r="O84" i="1" s="1"/>
  <c r="W84" i="1"/>
  <c r="O85" i="1"/>
  <c r="P85" i="1"/>
  <c r="Q85" i="1"/>
  <c r="S85" i="1"/>
  <c r="T85" i="1"/>
  <c r="U85" i="1"/>
  <c r="V85" i="1"/>
  <c r="O86" i="1"/>
  <c r="P86" i="1"/>
  <c r="Q86" i="1" s="1"/>
  <c r="S86" i="1"/>
  <c r="V86" i="1"/>
  <c r="P87" i="1"/>
  <c r="Q87" i="1"/>
  <c r="S87" i="1"/>
  <c r="T87" i="1"/>
  <c r="U87" i="1"/>
  <c r="V87" i="1"/>
  <c r="O88" i="1"/>
  <c r="P88" i="1"/>
  <c r="Q88" i="1"/>
  <c r="S88" i="1"/>
  <c r="V88" i="1"/>
  <c r="O89" i="1"/>
  <c r="R89" i="1" s="1"/>
  <c r="P89" i="1"/>
  <c r="Q89" i="1"/>
  <c r="S89" i="1"/>
  <c r="T89" i="1"/>
  <c r="U89" i="1"/>
  <c r="V89" i="1"/>
  <c r="W89" i="1"/>
  <c r="O90" i="1"/>
  <c r="P90" i="1"/>
  <c r="Q90" i="1" s="1"/>
  <c r="R90" i="1" s="1"/>
  <c r="S90" i="1"/>
  <c r="T90" i="1"/>
  <c r="U90" i="1" s="1"/>
  <c r="V90" i="1"/>
  <c r="W90" i="1"/>
  <c r="P91" i="1"/>
  <c r="Q91" i="1" s="1"/>
  <c r="S91" i="1"/>
  <c r="T91" i="1"/>
  <c r="U91" i="1" s="1"/>
  <c r="V91" i="1"/>
  <c r="O91" i="1" s="1"/>
  <c r="P92" i="1"/>
  <c r="Q92" i="1"/>
  <c r="R92" i="1" s="1"/>
  <c r="S92" i="1"/>
  <c r="T92" i="1"/>
  <c r="U92" i="1"/>
  <c r="V92" i="1"/>
  <c r="O92" i="1" s="1"/>
  <c r="P93" i="1"/>
  <c r="Q93" i="1" s="1"/>
  <c r="S93" i="1"/>
  <c r="T93" i="1" s="1"/>
  <c r="U93" i="1"/>
  <c r="V93" i="1"/>
  <c r="O93" i="1" s="1"/>
  <c r="R93" i="1" s="1"/>
  <c r="W93" i="1"/>
  <c r="O94" i="1"/>
  <c r="P94" i="1"/>
  <c r="Q94" i="1"/>
  <c r="W94" i="1" s="1"/>
  <c r="R94" i="1"/>
  <c r="S94" i="1"/>
  <c r="V94" i="1"/>
  <c r="O95" i="1"/>
  <c r="P95" i="1"/>
  <c r="Q95" i="1" s="1"/>
  <c r="R95" i="1"/>
  <c r="S95" i="1"/>
  <c r="T95" i="1"/>
  <c r="U95" i="1"/>
  <c r="V95" i="1"/>
  <c r="W95" i="1"/>
  <c r="P96" i="1"/>
  <c r="Q96" i="1"/>
  <c r="S96" i="1"/>
  <c r="T96" i="1" s="1"/>
  <c r="U96" i="1" s="1"/>
  <c r="V96" i="1"/>
  <c r="O96" i="1" s="1"/>
  <c r="P97" i="1"/>
  <c r="T97" i="1" s="1"/>
  <c r="U97" i="1" s="1"/>
  <c r="Q97" i="1"/>
  <c r="S97" i="1"/>
  <c r="V97" i="1"/>
  <c r="P98" i="1"/>
  <c r="Q98" i="1"/>
  <c r="S98" i="1"/>
  <c r="T98" i="1"/>
  <c r="U98" i="1" s="1"/>
  <c r="V98" i="1"/>
  <c r="O98" i="1" s="1"/>
  <c r="O99" i="1"/>
  <c r="P99" i="1"/>
  <c r="Q99" i="1"/>
  <c r="W99" i="1" s="1"/>
  <c r="R99" i="1"/>
  <c r="S99" i="1"/>
  <c r="T99" i="1" s="1"/>
  <c r="U99" i="1" s="1"/>
  <c r="V99" i="1"/>
  <c r="P100" i="1"/>
  <c r="Q100" i="1" s="1"/>
  <c r="R100" i="1" s="1"/>
  <c r="S100" i="1"/>
  <c r="T100" i="1"/>
  <c r="U100" i="1"/>
  <c r="V100" i="1"/>
  <c r="O100" i="1" s="1"/>
  <c r="W100" i="1"/>
  <c r="O101" i="1"/>
  <c r="P101" i="1"/>
  <c r="Q101" i="1" s="1"/>
  <c r="S101" i="1"/>
  <c r="V101" i="1"/>
  <c r="O102" i="1"/>
  <c r="P102" i="1"/>
  <c r="Q102" i="1"/>
  <c r="R102" i="1" s="1"/>
  <c r="S102" i="1"/>
  <c r="T102" i="1"/>
  <c r="U102" i="1" s="1"/>
  <c r="V102" i="1"/>
  <c r="W102" i="1"/>
  <c r="O103" i="1"/>
  <c r="P103" i="1"/>
  <c r="Q103" i="1"/>
  <c r="W103" i="1" s="1"/>
  <c r="R103" i="1"/>
  <c r="S103" i="1"/>
  <c r="T103" i="1" s="1"/>
  <c r="U103" i="1" s="1"/>
  <c r="V103" i="1"/>
  <c r="P104" i="1"/>
  <c r="Q104" i="1"/>
  <c r="S104" i="1"/>
  <c r="T104" i="1"/>
  <c r="U104" i="1" s="1"/>
  <c r="V104" i="1"/>
  <c r="O104" i="1" s="1"/>
  <c r="P105" i="1"/>
  <c r="Q105" i="1" s="1"/>
  <c r="S105" i="1"/>
  <c r="T105" i="1"/>
  <c r="U105" i="1" s="1"/>
  <c r="V105" i="1"/>
  <c r="O105" i="1" s="1"/>
  <c r="W105" i="1"/>
  <c r="O106" i="1"/>
  <c r="P106" i="1"/>
  <c r="Q106" i="1" s="1"/>
  <c r="S106" i="1"/>
  <c r="T106" i="1" s="1"/>
  <c r="U106" i="1" s="1"/>
  <c r="V106" i="1"/>
  <c r="O107" i="1"/>
  <c r="P107" i="1"/>
  <c r="Q107" i="1" s="1"/>
  <c r="S107" i="1"/>
  <c r="V107" i="1"/>
  <c r="O108" i="1"/>
  <c r="P108" i="1"/>
  <c r="Q108" i="1"/>
  <c r="R108" i="1" s="1"/>
  <c r="S108" i="1"/>
  <c r="V108" i="1"/>
  <c r="W108" i="1"/>
  <c r="P109" i="1"/>
  <c r="Q109" i="1"/>
  <c r="S109" i="1"/>
  <c r="T109" i="1"/>
  <c r="U109" i="1"/>
  <c r="V109" i="1"/>
  <c r="O109" i="1" s="1"/>
  <c r="R109" i="1" s="1"/>
  <c r="O110" i="1"/>
  <c r="P110" i="1"/>
  <c r="Q110" i="1" s="1"/>
  <c r="S110" i="1"/>
  <c r="T110" i="1"/>
  <c r="U110" i="1" s="1"/>
  <c r="V110" i="1"/>
  <c r="P111" i="1"/>
  <c r="Q111" i="1"/>
  <c r="R111" i="1" s="1"/>
  <c r="S111" i="1"/>
  <c r="T111" i="1"/>
  <c r="U111" i="1" s="1"/>
  <c r="V111" i="1"/>
  <c r="O111" i="1" s="1"/>
  <c r="W111" i="1"/>
  <c r="O112" i="1"/>
  <c r="P112" i="1"/>
  <c r="T112" i="1" s="1"/>
  <c r="U112" i="1" s="1"/>
  <c r="Q112" i="1"/>
  <c r="W112" i="1" s="1"/>
  <c r="S112" i="1"/>
  <c r="V112" i="1"/>
  <c r="P113" i="1"/>
  <c r="Q113" i="1" s="1"/>
  <c r="S113" i="1"/>
  <c r="T113" i="1" s="1"/>
  <c r="U113" i="1" s="1"/>
  <c r="V113" i="1"/>
  <c r="O113" i="1" s="1"/>
  <c r="R113" i="1" s="1"/>
  <c r="W113" i="1"/>
  <c r="O114" i="1"/>
  <c r="P114" i="1"/>
  <c r="Q114" i="1" s="1"/>
  <c r="S114" i="1"/>
  <c r="V114" i="1"/>
  <c r="O115" i="1"/>
  <c r="R115" i="1" s="1"/>
  <c r="P115" i="1"/>
  <c r="Q115" i="1" s="1"/>
  <c r="S115" i="1"/>
  <c r="T115" i="1"/>
  <c r="U115" i="1"/>
  <c r="V115" i="1"/>
  <c r="W115" i="1"/>
  <c r="O116" i="1"/>
  <c r="P116" i="1"/>
  <c r="Q116" i="1"/>
  <c r="W116" i="1" s="1"/>
  <c r="R116" i="1"/>
  <c r="S116" i="1"/>
  <c r="T116" i="1" s="1"/>
  <c r="U116" i="1" s="1"/>
  <c r="V116" i="1"/>
  <c r="O117" i="1"/>
  <c r="P117" i="1"/>
  <c r="T117" i="1" s="1"/>
  <c r="U117" i="1" s="1"/>
  <c r="Q117" i="1"/>
  <c r="S117" i="1"/>
  <c r="V117" i="1"/>
  <c r="P118" i="1"/>
  <c r="Q118" i="1"/>
  <c r="R118" i="1"/>
  <c r="S118" i="1"/>
  <c r="T118" i="1" s="1"/>
  <c r="U118" i="1" s="1"/>
  <c r="V118" i="1"/>
  <c r="O118" i="1" s="1"/>
  <c r="W118" i="1"/>
  <c r="O119" i="1"/>
  <c r="P119" i="1"/>
  <c r="Q119" i="1"/>
  <c r="S119" i="1"/>
  <c r="V119" i="1"/>
  <c r="O120" i="1"/>
  <c r="P120" i="1"/>
  <c r="S120" i="1"/>
  <c r="V120" i="1"/>
  <c r="O121" i="1"/>
  <c r="P121" i="1"/>
  <c r="Q121" i="1" s="1"/>
  <c r="W121" i="1" s="1"/>
  <c r="R121" i="1"/>
  <c r="S121" i="1"/>
  <c r="T121" i="1"/>
  <c r="U121" i="1"/>
  <c r="V121" i="1"/>
  <c r="O122" i="1"/>
  <c r="R122" i="1" s="1"/>
  <c r="P122" i="1"/>
  <c r="Q122" i="1"/>
  <c r="W122" i="1" s="1"/>
  <c r="S122" i="1"/>
  <c r="T122" i="1"/>
  <c r="U122" i="1"/>
  <c r="V122" i="1"/>
  <c r="P123" i="1"/>
  <c r="Q123" i="1"/>
  <c r="S123" i="1"/>
  <c r="T123" i="1" s="1"/>
  <c r="U123" i="1" s="1"/>
  <c r="V123" i="1"/>
  <c r="O123" i="1" s="1"/>
  <c r="R123" i="1" s="1"/>
  <c r="W123" i="1"/>
  <c r="P124" i="1"/>
  <c r="Q124" i="1"/>
  <c r="S124" i="1"/>
  <c r="T124" i="1" s="1"/>
  <c r="U124" i="1" s="1"/>
  <c r="V124" i="1"/>
  <c r="O124" i="1" s="1"/>
  <c r="O125" i="1"/>
  <c r="P125" i="1"/>
  <c r="Q125" i="1" s="1"/>
  <c r="S125" i="1"/>
  <c r="V125" i="1"/>
  <c r="O126" i="1"/>
  <c r="P126" i="1"/>
  <c r="Q126" i="1" s="1"/>
  <c r="S126" i="1"/>
  <c r="T126" i="1" s="1"/>
  <c r="U126" i="1"/>
  <c r="V126" i="1"/>
  <c r="P127" i="1"/>
  <c r="Q127" i="1"/>
  <c r="S127" i="1"/>
  <c r="T127" i="1"/>
  <c r="U127" i="1"/>
  <c r="V127" i="1"/>
  <c r="O127" i="1" s="1"/>
  <c r="W127" i="1"/>
  <c r="O128" i="1"/>
  <c r="P128" i="1"/>
  <c r="Q128" i="1" s="1"/>
  <c r="S128" i="1"/>
  <c r="V128" i="1"/>
  <c r="O129" i="1"/>
  <c r="P129" i="1"/>
  <c r="Q129" i="1"/>
  <c r="S129" i="1"/>
  <c r="T129" i="1"/>
  <c r="U129" i="1" s="1"/>
  <c r="V129" i="1"/>
  <c r="O130" i="1"/>
  <c r="P130" i="1"/>
  <c r="Q130" i="1"/>
  <c r="S130" i="1"/>
  <c r="T130" i="1" s="1"/>
  <c r="U130" i="1" s="1"/>
  <c r="V130" i="1"/>
  <c r="P131" i="1"/>
  <c r="Q131" i="1"/>
  <c r="S131" i="1"/>
  <c r="T131" i="1"/>
  <c r="U131" i="1"/>
  <c r="V131" i="1"/>
  <c r="O131" i="1" s="1"/>
  <c r="O132" i="1"/>
  <c r="P132" i="1"/>
  <c r="Q132" i="1" s="1"/>
  <c r="S132" i="1"/>
  <c r="V132" i="1"/>
  <c r="P133" i="1"/>
  <c r="Q133" i="1" s="1"/>
  <c r="R133" i="1"/>
  <c r="S133" i="1"/>
  <c r="T133" i="1" s="1"/>
  <c r="U133" i="1" s="1"/>
  <c r="V133" i="1"/>
  <c r="O133" i="1" s="1"/>
  <c r="W133" i="1"/>
  <c r="P134" i="1"/>
  <c r="Q134" i="1"/>
  <c r="S134" i="1"/>
  <c r="T134" i="1"/>
  <c r="U134" i="1"/>
  <c r="V134" i="1"/>
  <c r="O134" i="1" s="1"/>
  <c r="R134" i="1" s="1"/>
  <c r="O135" i="1"/>
  <c r="P135" i="1"/>
  <c r="Q135" i="1" s="1"/>
  <c r="W135" i="1" s="1"/>
  <c r="R135" i="1"/>
  <c r="S135" i="1"/>
  <c r="T135" i="1"/>
  <c r="U135" i="1" s="1"/>
  <c r="V135" i="1"/>
  <c r="P136" i="1"/>
  <c r="Q136" i="1"/>
  <c r="S136" i="1"/>
  <c r="T136" i="1"/>
  <c r="U136" i="1"/>
  <c r="V136" i="1"/>
  <c r="O136" i="1" s="1"/>
  <c r="R136" i="1" s="1"/>
  <c r="W136" i="1"/>
  <c r="P137" i="1"/>
  <c r="Q137" i="1" s="1"/>
  <c r="S137" i="1"/>
  <c r="T137" i="1"/>
  <c r="U137" i="1" s="1"/>
  <c r="V137" i="1"/>
  <c r="O137" i="1" s="1"/>
  <c r="W137" i="1"/>
  <c r="P138" i="1"/>
  <c r="Q138" i="1" s="1"/>
  <c r="W138" i="1" s="1"/>
  <c r="R138" i="1"/>
  <c r="S138" i="1"/>
  <c r="T138" i="1" s="1"/>
  <c r="U138" i="1" s="1"/>
  <c r="V138" i="1"/>
  <c r="O138" i="1" s="1"/>
  <c r="P139" i="1"/>
  <c r="Q139" i="1" s="1"/>
  <c r="S139" i="1"/>
  <c r="T139" i="1" s="1"/>
  <c r="U139" i="1" s="1"/>
  <c r="V139" i="1"/>
  <c r="O139" i="1" s="1"/>
  <c r="P140" i="1"/>
  <c r="Q140" i="1" s="1"/>
  <c r="S140" i="1"/>
  <c r="T140" i="1" s="1"/>
  <c r="U140" i="1" s="1"/>
  <c r="V140" i="1"/>
  <c r="O140" i="1" s="1"/>
  <c r="R140" i="1" s="1"/>
  <c r="O141" i="1"/>
  <c r="P141" i="1"/>
  <c r="Q141" i="1" s="1"/>
  <c r="S141" i="1"/>
  <c r="T141" i="1"/>
  <c r="U141" i="1"/>
  <c r="V141" i="1"/>
  <c r="P142" i="1"/>
  <c r="Q142" i="1"/>
  <c r="R142" i="1" s="1"/>
  <c r="S142" i="1"/>
  <c r="T142" i="1"/>
  <c r="U142" i="1"/>
  <c r="V142" i="1"/>
  <c r="O142" i="1" s="1"/>
  <c r="W142" i="1"/>
  <c r="O143" i="1"/>
  <c r="P143" i="1"/>
  <c r="Q143" i="1" s="1"/>
  <c r="W143" i="1" s="1"/>
  <c r="R143" i="1"/>
  <c r="S143" i="1"/>
  <c r="T143" i="1" s="1"/>
  <c r="U143" i="1" s="1"/>
  <c r="V143" i="1"/>
  <c r="P144" i="1"/>
  <c r="Q144" i="1"/>
  <c r="S144" i="1"/>
  <c r="T144" i="1" s="1"/>
  <c r="U144" i="1" s="1"/>
  <c r="V144" i="1"/>
  <c r="O144" i="1" s="1"/>
  <c r="O145" i="1"/>
  <c r="P145" i="1"/>
  <c r="Q145" i="1"/>
  <c r="R145" i="1"/>
  <c r="S145" i="1"/>
  <c r="T145" i="1"/>
  <c r="U145" i="1"/>
  <c r="V145" i="1"/>
  <c r="W145" i="1"/>
  <c r="O146" i="1"/>
  <c r="P146" i="1"/>
  <c r="Q146" i="1" s="1"/>
  <c r="S146" i="1"/>
  <c r="T146" i="1" s="1"/>
  <c r="U146" i="1"/>
  <c r="V146" i="1"/>
  <c r="O147" i="1"/>
  <c r="P147" i="1"/>
  <c r="T147" i="1" s="1"/>
  <c r="U147" i="1" s="1"/>
  <c r="Q147" i="1"/>
  <c r="W147" i="1" s="1"/>
  <c r="R147" i="1"/>
  <c r="S147" i="1"/>
  <c r="V147" i="1"/>
  <c r="O148" i="1"/>
  <c r="P148" i="1"/>
  <c r="Q148" i="1"/>
  <c r="W148" i="1" s="1"/>
  <c r="R148" i="1"/>
  <c r="S148" i="1"/>
  <c r="V148" i="1"/>
  <c r="P149" i="1"/>
  <c r="Q149" i="1"/>
  <c r="R149" i="1"/>
  <c r="S149" i="1"/>
  <c r="T149" i="1"/>
  <c r="U149" i="1"/>
  <c r="V149" i="1"/>
  <c r="O149" i="1" s="1"/>
  <c r="W149" i="1"/>
  <c r="O150" i="1"/>
  <c r="P150" i="1"/>
  <c r="Q150" i="1"/>
  <c r="W150" i="1" s="1"/>
  <c r="R150" i="1"/>
  <c r="S150" i="1"/>
  <c r="T150" i="1"/>
  <c r="U150" i="1" s="1"/>
  <c r="V150" i="1"/>
  <c r="P151" i="1"/>
  <c r="T151" i="1" s="1"/>
  <c r="Q151" i="1"/>
  <c r="S151" i="1"/>
  <c r="U151" i="1"/>
  <c r="V151" i="1"/>
  <c r="O151" i="1" s="1"/>
  <c r="P152" i="1"/>
  <c r="Q152" i="1" s="1"/>
  <c r="S152" i="1"/>
  <c r="T152" i="1" s="1"/>
  <c r="U152" i="1" s="1"/>
  <c r="V152" i="1"/>
  <c r="O152" i="1" s="1"/>
  <c r="P153" i="1"/>
  <c r="Q153" i="1" s="1"/>
  <c r="R153" i="1"/>
  <c r="S153" i="1"/>
  <c r="V153" i="1"/>
  <c r="O153" i="1" s="1"/>
  <c r="W153" i="1"/>
  <c r="P154" i="1"/>
  <c r="Q154" i="1"/>
  <c r="S154" i="1"/>
  <c r="T154" i="1"/>
  <c r="U154" i="1"/>
  <c r="V154" i="1"/>
  <c r="O155" i="1"/>
  <c r="P155" i="1"/>
  <c r="Q155" i="1" s="1"/>
  <c r="W155" i="1" s="1"/>
  <c r="S155" i="1"/>
  <c r="T155" i="1"/>
  <c r="U155" i="1" s="1"/>
  <c r="V155" i="1"/>
  <c r="P156" i="1"/>
  <c r="Q156" i="1"/>
  <c r="S156" i="1"/>
  <c r="T156" i="1"/>
  <c r="U156" i="1"/>
  <c r="V156" i="1"/>
  <c r="O156" i="1" s="1"/>
  <c r="R156" i="1" s="1"/>
  <c r="W156" i="1"/>
  <c r="O157" i="1"/>
  <c r="P157" i="1"/>
  <c r="Q157" i="1"/>
  <c r="S157" i="1"/>
  <c r="T157" i="1"/>
  <c r="U157" i="1" s="1"/>
  <c r="V157" i="1"/>
  <c r="P158" i="1"/>
  <c r="Q158" i="1"/>
  <c r="S158" i="1"/>
  <c r="T158" i="1" s="1"/>
  <c r="U158" i="1" s="1"/>
  <c r="V158" i="1"/>
  <c r="O158" i="1" s="1"/>
  <c r="P159" i="1"/>
  <c r="Q159" i="1"/>
  <c r="S159" i="1"/>
  <c r="T159" i="1" s="1"/>
  <c r="U159" i="1" s="1"/>
  <c r="V159" i="1"/>
  <c r="O159" i="1" s="1"/>
  <c r="R159" i="1" s="1"/>
  <c r="P160" i="1"/>
  <c r="Q160" i="1" s="1"/>
  <c r="S160" i="1"/>
  <c r="T160" i="1"/>
  <c r="U160" i="1" s="1"/>
  <c r="V160" i="1"/>
  <c r="O160" i="1" s="1"/>
  <c r="R160" i="1" s="1"/>
  <c r="W160" i="1"/>
  <c r="O161" i="1"/>
  <c r="P161" i="1"/>
  <c r="T161" i="1" s="1"/>
  <c r="U161" i="1" s="1"/>
  <c r="Q161" i="1"/>
  <c r="S161" i="1"/>
  <c r="V161" i="1"/>
  <c r="P162" i="1"/>
  <c r="Q162" i="1"/>
  <c r="S162" i="1"/>
  <c r="T162" i="1"/>
  <c r="U162" i="1"/>
  <c r="V162" i="1"/>
  <c r="O162" i="1" s="1"/>
  <c r="R162" i="1" s="1"/>
  <c r="P163" i="1"/>
  <c r="Q163" i="1"/>
  <c r="S163" i="1"/>
  <c r="T163" i="1"/>
  <c r="U163" i="1" s="1"/>
  <c r="V163" i="1"/>
  <c r="O163" i="1" s="1"/>
  <c r="R163" i="1" s="1"/>
  <c r="W163" i="1"/>
  <c r="P164" i="1"/>
  <c r="Q164" i="1"/>
  <c r="S164" i="1"/>
  <c r="T164" i="1" s="1"/>
  <c r="U164" i="1" s="1"/>
  <c r="V164" i="1"/>
  <c r="O164" i="1" s="1"/>
  <c r="P165" i="1"/>
  <c r="Q165" i="1"/>
  <c r="S165" i="1"/>
  <c r="T165" i="1" s="1"/>
  <c r="U165" i="1"/>
  <c r="V165" i="1"/>
  <c r="O165" i="1" s="1"/>
  <c r="R165" i="1" s="1"/>
  <c r="W165" i="1"/>
  <c r="O166" i="1"/>
  <c r="P166" i="1"/>
  <c r="Q166" i="1" s="1"/>
  <c r="S166" i="1"/>
  <c r="V166" i="1"/>
  <c r="P167" i="1"/>
  <c r="Q167" i="1"/>
  <c r="S167" i="1"/>
  <c r="T167" i="1" s="1"/>
  <c r="U167" i="1" s="1"/>
  <c r="V167" i="1"/>
  <c r="O167" i="1" s="1"/>
  <c r="O168" i="1"/>
  <c r="P168" i="1"/>
  <c r="Q168" i="1" s="1"/>
  <c r="R168" i="1"/>
  <c r="S168" i="1"/>
  <c r="T168" i="1" s="1"/>
  <c r="U168" i="1"/>
  <c r="V168" i="1"/>
  <c r="W168" i="1"/>
  <c r="P169" i="1"/>
  <c r="Q169" i="1"/>
  <c r="R169" i="1" s="1"/>
  <c r="S169" i="1"/>
  <c r="T169" i="1"/>
  <c r="U169" i="1"/>
  <c r="V169" i="1"/>
  <c r="O169" i="1" s="1"/>
  <c r="O170" i="1"/>
  <c r="P170" i="1"/>
  <c r="Q170" i="1" s="1"/>
  <c r="S170" i="1"/>
  <c r="V170" i="1"/>
  <c r="P171" i="1"/>
  <c r="Q171" i="1"/>
  <c r="S171" i="1"/>
  <c r="T171" i="1" s="1"/>
  <c r="U171" i="1"/>
  <c r="V171" i="1"/>
  <c r="O171" i="1" s="1"/>
  <c r="P172" i="1"/>
  <c r="T172" i="1" s="1"/>
  <c r="U172" i="1" s="1"/>
  <c r="S172" i="1"/>
  <c r="V172" i="1"/>
  <c r="O172" i="1" s="1"/>
  <c r="P173" i="1"/>
  <c r="Q173" i="1" s="1"/>
  <c r="S173" i="1"/>
  <c r="V173" i="1"/>
  <c r="O173" i="1" s="1"/>
  <c r="P174" i="1"/>
  <c r="Q174" i="1" s="1"/>
  <c r="S174" i="1"/>
  <c r="T174" i="1" s="1"/>
  <c r="U174" i="1" s="1"/>
  <c r="V174" i="1"/>
  <c r="O174" i="1" s="1"/>
  <c r="R174" i="1" s="1"/>
  <c r="W174" i="1"/>
  <c r="O175" i="1"/>
  <c r="P175" i="1"/>
  <c r="Q175" i="1" s="1"/>
  <c r="R175" i="1"/>
  <c r="S175" i="1"/>
  <c r="T175" i="1"/>
  <c r="U175" i="1"/>
  <c r="V175" i="1"/>
  <c r="W175" i="1"/>
  <c r="O176" i="1"/>
  <c r="P176" i="1"/>
  <c r="Q176" i="1"/>
  <c r="W176" i="1" s="1"/>
  <c r="S176" i="1"/>
  <c r="T176" i="1" s="1"/>
  <c r="U176" i="1" s="1"/>
  <c r="V176" i="1"/>
  <c r="P177" i="1"/>
  <c r="Q177" i="1"/>
  <c r="R177" i="1" s="1"/>
  <c r="S177" i="1"/>
  <c r="T177" i="1"/>
  <c r="U177" i="1" s="1"/>
  <c r="V177" i="1"/>
  <c r="O177" i="1" s="1"/>
  <c r="W177" i="1"/>
  <c r="P178" i="1"/>
  <c r="Q178" i="1"/>
  <c r="S178" i="1"/>
  <c r="T178" i="1"/>
  <c r="U178" i="1"/>
  <c r="V178" i="1"/>
  <c r="O178" i="1" s="1"/>
  <c r="R178" i="1" s="1"/>
  <c r="W178" i="1"/>
  <c r="O179" i="1"/>
  <c r="P179" i="1"/>
  <c r="Q179" i="1"/>
  <c r="W179" i="1" s="1"/>
  <c r="R179" i="1"/>
  <c r="S179" i="1"/>
  <c r="T179" i="1" s="1"/>
  <c r="U179" i="1" s="1"/>
  <c r="V179" i="1"/>
  <c r="P180" i="1"/>
  <c r="Q180" i="1" s="1"/>
  <c r="S180" i="1"/>
  <c r="T180" i="1"/>
  <c r="U180" i="1"/>
  <c r="V180" i="1"/>
  <c r="O180" i="1" s="1"/>
  <c r="R180" i="1" s="1"/>
  <c r="W180" i="1"/>
  <c r="O181" i="1"/>
  <c r="P181" i="1"/>
  <c r="Q181" i="1"/>
  <c r="W181" i="1" s="1"/>
  <c r="R181" i="1"/>
  <c r="S181" i="1"/>
  <c r="T181" i="1"/>
  <c r="U181" i="1" s="1"/>
  <c r="V181" i="1"/>
  <c r="P182" i="1"/>
  <c r="Q182" i="1"/>
  <c r="S182" i="1"/>
  <c r="T182" i="1"/>
  <c r="U182" i="1"/>
  <c r="V182" i="1"/>
  <c r="O182" i="1" s="1"/>
  <c r="R182" i="1" s="1"/>
  <c r="W182" i="1"/>
  <c r="P183" i="1"/>
  <c r="Q183" i="1"/>
  <c r="S183" i="1"/>
  <c r="T183" i="1"/>
  <c r="U183" i="1"/>
  <c r="V183" i="1"/>
  <c r="O183" i="1" s="1"/>
  <c r="R183" i="1" s="1"/>
  <c r="W183" i="1"/>
  <c r="P184" i="1"/>
  <c r="Q184" i="1"/>
  <c r="S184" i="1"/>
  <c r="T184" i="1" s="1"/>
  <c r="U184" i="1" s="1"/>
  <c r="V184" i="1"/>
  <c r="O184" i="1" s="1"/>
  <c r="W184" i="1"/>
  <c r="P185" i="1"/>
  <c r="Q185" i="1"/>
  <c r="S185" i="1"/>
  <c r="T185" i="1" s="1"/>
  <c r="U185" i="1" s="1"/>
  <c r="V185" i="1"/>
  <c r="O185" i="1" s="1"/>
  <c r="R185" i="1" s="1"/>
  <c r="P186" i="1"/>
  <c r="Q186" i="1" s="1"/>
  <c r="S186" i="1"/>
  <c r="T186" i="1" s="1"/>
  <c r="U186" i="1"/>
  <c r="V186" i="1"/>
  <c r="O186" i="1" s="1"/>
  <c r="O187" i="1"/>
  <c r="P187" i="1"/>
  <c r="Q187" i="1"/>
  <c r="S187" i="1"/>
  <c r="T187" i="1"/>
  <c r="U187" i="1"/>
  <c r="V187" i="1"/>
  <c r="W187" i="1"/>
  <c r="O188" i="1"/>
  <c r="P188" i="1"/>
  <c r="Q188" i="1"/>
  <c r="R188" i="1" s="1"/>
  <c r="S188" i="1"/>
  <c r="T188" i="1" s="1"/>
  <c r="U188" i="1"/>
  <c r="V188" i="1"/>
  <c r="O189" i="1"/>
  <c r="P189" i="1"/>
  <c r="Q189" i="1"/>
  <c r="W189" i="1" s="1"/>
  <c r="R189" i="1"/>
  <c r="S189" i="1"/>
  <c r="T189" i="1"/>
  <c r="U189" i="1" s="1"/>
  <c r="V189" i="1"/>
  <c r="O190" i="1"/>
  <c r="P190" i="1"/>
  <c r="Q190" i="1"/>
  <c r="R190" i="1"/>
  <c r="S190" i="1"/>
  <c r="T190" i="1" s="1"/>
  <c r="U190" i="1" s="1"/>
  <c r="V190" i="1"/>
  <c r="W190" i="1"/>
  <c r="P191" i="1"/>
  <c r="Q191" i="1"/>
  <c r="R191" i="1" s="1"/>
  <c r="S191" i="1"/>
  <c r="T191" i="1" s="1"/>
  <c r="U191" i="1" s="1"/>
  <c r="V191" i="1"/>
  <c r="O191" i="1" s="1"/>
  <c r="W191" i="1"/>
  <c r="P192" i="1"/>
  <c r="S192" i="1"/>
  <c r="V192" i="1"/>
  <c r="O192" i="1" s="1"/>
  <c r="P193" i="1"/>
  <c r="Q193" i="1" s="1"/>
  <c r="S193" i="1"/>
  <c r="T193" i="1" s="1"/>
  <c r="U193" i="1"/>
  <c r="V193" i="1"/>
  <c r="O193" i="1" s="1"/>
  <c r="R193" i="1" s="1"/>
  <c r="W193" i="1"/>
  <c r="O194" i="1"/>
  <c r="P194" i="1"/>
  <c r="Q194" i="1" s="1"/>
  <c r="S194" i="1"/>
  <c r="T194" i="1" s="1"/>
  <c r="U194" i="1" s="1"/>
  <c r="V194" i="1"/>
  <c r="O195" i="1"/>
  <c r="P195" i="1"/>
  <c r="Q195" i="1" s="1"/>
  <c r="R195" i="1"/>
  <c r="S195" i="1"/>
  <c r="T195" i="1"/>
  <c r="U195" i="1" s="1"/>
  <c r="V195" i="1"/>
  <c r="W195" i="1"/>
  <c r="O196" i="1"/>
  <c r="P196" i="1"/>
  <c r="Q196" i="1"/>
  <c r="W196" i="1" s="1"/>
  <c r="R196" i="1"/>
  <c r="S196" i="1"/>
  <c r="T196" i="1"/>
  <c r="U196" i="1"/>
  <c r="V196" i="1"/>
  <c r="P197" i="1"/>
  <c r="T197" i="1" s="1"/>
  <c r="U197" i="1" s="1"/>
  <c r="S197" i="1"/>
  <c r="V197" i="1"/>
  <c r="O197" i="1" s="1"/>
  <c r="P198" i="1"/>
  <c r="Q198" i="1" s="1"/>
  <c r="S198" i="1"/>
  <c r="V198" i="1"/>
  <c r="O198" i="1" s="1"/>
  <c r="W198" i="1"/>
  <c r="O199" i="1"/>
  <c r="P199" i="1"/>
  <c r="Q199" i="1"/>
  <c r="W199" i="1" s="1"/>
  <c r="R199" i="1"/>
  <c r="S199" i="1"/>
  <c r="T199" i="1" s="1"/>
  <c r="U199" i="1" s="1"/>
  <c r="V199" i="1"/>
  <c r="O200" i="1"/>
  <c r="P200" i="1"/>
  <c r="Q200" i="1" s="1"/>
  <c r="S200" i="1"/>
  <c r="T200" i="1"/>
  <c r="U200" i="1" s="1"/>
  <c r="V200" i="1"/>
  <c r="O201" i="1"/>
  <c r="P201" i="1"/>
  <c r="Q201" i="1" s="1"/>
  <c r="S201" i="1"/>
  <c r="T201" i="1"/>
  <c r="U201" i="1" s="1"/>
  <c r="V201" i="1"/>
  <c r="O202" i="1"/>
  <c r="P202" i="1"/>
  <c r="Q202" i="1"/>
  <c r="R202" i="1" s="1"/>
  <c r="S202" i="1"/>
  <c r="T202" i="1"/>
  <c r="U202" i="1" s="1"/>
  <c r="V202" i="1"/>
  <c r="W202" i="1"/>
  <c r="O203" i="1"/>
  <c r="P203" i="1"/>
  <c r="Q203" i="1"/>
  <c r="S203" i="1"/>
  <c r="T203" i="1" s="1"/>
  <c r="U203" i="1" s="1"/>
  <c r="V203" i="1"/>
  <c r="P204" i="1"/>
  <c r="Q204" i="1"/>
  <c r="S204" i="1"/>
  <c r="T204" i="1" s="1"/>
  <c r="U204" i="1" s="1"/>
  <c r="V204" i="1"/>
  <c r="O204" i="1" s="1"/>
  <c r="P205" i="1"/>
  <c r="Q205" i="1" s="1"/>
  <c r="S205" i="1"/>
  <c r="T205" i="1"/>
  <c r="U205" i="1"/>
  <c r="V205" i="1"/>
  <c r="O205" i="1" s="1"/>
  <c r="W205" i="1"/>
  <c r="O206" i="1"/>
  <c r="P206" i="1"/>
  <c r="Q206" i="1" s="1"/>
  <c r="S206" i="1"/>
  <c r="V206" i="1"/>
  <c r="P207" i="1"/>
  <c r="Q207" i="1"/>
  <c r="S207" i="1"/>
  <c r="T207" i="1" s="1"/>
  <c r="U207" i="1"/>
  <c r="V207" i="1"/>
  <c r="O207" i="1" s="1"/>
  <c r="R207" i="1" s="1"/>
  <c r="O208" i="1"/>
  <c r="P208" i="1"/>
  <c r="Q208" i="1" s="1"/>
  <c r="S208" i="1"/>
  <c r="T208" i="1" s="1"/>
  <c r="U208" i="1" s="1"/>
  <c r="V208" i="1"/>
  <c r="O209" i="1"/>
  <c r="R209" i="1" s="1"/>
  <c r="P209" i="1"/>
  <c r="Q209" i="1"/>
  <c r="S209" i="1"/>
  <c r="T209" i="1"/>
  <c r="U209" i="1" s="1"/>
  <c r="V209" i="1"/>
  <c r="O210" i="1"/>
  <c r="P210" i="1"/>
  <c r="Q210" i="1" s="1"/>
  <c r="S210" i="1"/>
  <c r="T210" i="1"/>
  <c r="U210" i="1"/>
  <c r="V210" i="1"/>
  <c r="P211" i="1"/>
  <c r="Q211" i="1" s="1"/>
  <c r="S211" i="1"/>
  <c r="T211" i="1"/>
  <c r="U211" i="1" s="1"/>
  <c r="V211" i="1"/>
  <c r="O211" i="1" s="1"/>
  <c r="O212" i="1"/>
  <c r="P212" i="1"/>
  <c r="Q212" i="1" s="1"/>
  <c r="S212" i="1"/>
  <c r="T212" i="1" s="1"/>
  <c r="U212" i="1" s="1"/>
  <c r="V212" i="1"/>
  <c r="P213" i="1"/>
  <c r="Q213" i="1" s="1"/>
  <c r="R213" i="1" s="1"/>
  <c r="S213" i="1"/>
  <c r="V213" i="1"/>
  <c r="O213" i="1" s="1"/>
  <c r="O214" i="1"/>
  <c r="R214" i="1" s="1"/>
  <c r="P214" i="1"/>
  <c r="Q214" i="1"/>
  <c r="W214" i="1" s="1"/>
  <c r="S214" i="1"/>
  <c r="T214" i="1"/>
  <c r="U214" i="1"/>
  <c r="V214" i="1"/>
  <c r="O215" i="1"/>
  <c r="P215" i="1"/>
  <c r="Q215" i="1" s="1"/>
  <c r="S215" i="1"/>
  <c r="T215" i="1"/>
  <c r="U215" i="1"/>
  <c r="V215" i="1"/>
  <c r="W215" i="1"/>
  <c r="O216" i="1"/>
  <c r="R216" i="1" s="1"/>
  <c r="P216" i="1"/>
  <c r="Q216" i="1"/>
  <c r="W216" i="1" s="1"/>
  <c r="S216" i="1"/>
  <c r="T216" i="1"/>
  <c r="U216" i="1" s="1"/>
  <c r="V216" i="1"/>
  <c r="O217" i="1"/>
  <c r="P217" i="1"/>
  <c r="S217" i="1"/>
  <c r="V217" i="1"/>
  <c r="P218" i="1"/>
  <c r="Q218" i="1" s="1"/>
  <c r="S218" i="1"/>
  <c r="T218" i="1"/>
  <c r="U218" i="1"/>
  <c r="V218" i="1"/>
  <c r="O218" i="1" s="1"/>
  <c r="W218" i="1"/>
  <c r="O219" i="1"/>
  <c r="P219" i="1"/>
  <c r="T219" i="1" s="1"/>
  <c r="U219" i="1" s="1"/>
  <c r="Q219" i="1"/>
  <c r="W219" i="1" s="1"/>
  <c r="R219" i="1"/>
  <c r="S219" i="1"/>
  <c r="V219" i="1"/>
  <c r="O220" i="1"/>
  <c r="P220" i="1"/>
  <c r="S220" i="1"/>
  <c r="V220" i="1"/>
  <c r="P221" i="1"/>
  <c r="Q221" i="1"/>
  <c r="S221" i="1"/>
  <c r="T221" i="1"/>
  <c r="U221" i="1"/>
  <c r="V221" i="1"/>
  <c r="O221" i="1" s="1"/>
  <c r="R221" i="1" s="1"/>
  <c r="O222" i="1"/>
  <c r="P222" i="1"/>
  <c r="Q222" i="1"/>
  <c r="R222" i="1" s="1"/>
  <c r="S222" i="1"/>
  <c r="T222" i="1"/>
  <c r="U222" i="1" s="1"/>
  <c r="V222" i="1"/>
  <c r="W222" i="1"/>
  <c r="P223" i="1"/>
  <c r="Q223" i="1" s="1"/>
  <c r="S223" i="1"/>
  <c r="V223" i="1"/>
  <c r="O223" i="1" s="1"/>
  <c r="O224" i="1"/>
  <c r="P224" i="1"/>
  <c r="Q224" i="1"/>
  <c r="R224" i="1" s="1"/>
  <c r="S224" i="1"/>
  <c r="T224" i="1"/>
  <c r="U224" i="1" s="1"/>
  <c r="V224" i="1"/>
  <c r="W224" i="1"/>
  <c r="O225" i="1"/>
  <c r="P225" i="1"/>
  <c r="Q225" i="1"/>
  <c r="R225" i="1"/>
  <c r="S225" i="1"/>
  <c r="T225" i="1"/>
  <c r="U225" i="1" s="1"/>
  <c r="V225" i="1"/>
  <c r="W225" i="1" s="1"/>
  <c r="P226" i="1"/>
  <c r="Q226" i="1"/>
  <c r="S226" i="1"/>
  <c r="T226" i="1" s="1"/>
  <c r="U226" i="1" s="1"/>
  <c r="V226" i="1"/>
  <c r="O226" i="1" s="1"/>
  <c r="O227" i="1"/>
  <c r="P227" i="1"/>
  <c r="Q227" i="1"/>
  <c r="R227" i="1" s="1"/>
  <c r="S227" i="1"/>
  <c r="T227" i="1" s="1"/>
  <c r="U227" i="1" s="1"/>
  <c r="V227" i="1"/>
  <c r="O228" i="1"/>
  <c r="P228" i="1"/>
  <c r="S228" i="1"/>
  <c r="V228" i="1"/>
  <c r="P229" i="1"/>
  <c r="Q229" i="1"/>
  <c r="S229" i="1"/>
  <c r="T229" i="1" s="1"/>
  <c r="U229" i="1"/>
  <c r="V229" i="1"/>
  <c r="O229" i="1" s="1"/>
  <c r="R229" i="1" s="1"/>
  <c r="P230" i="1"/>
  <c r="Q230" i="1"/>
  <c r="W230" i="1" s="1"/>
  <c r="R230" i="1"/>
  <c r="S230" i="1"/>
  <c r="T230" i="1"/>
  <c r="U230" i="1"/>
  <c r="V230" i="1"/>
  <c r="O230" i="1" s="1"/>
  <c r="P231" i="1"/>
  <c r="Q231" i="1"/>
  <c r="S231" i="1"/>
  <c r="T231" i="1"/>
  <c r="U231" i="1"/>
  <c r="V231" i="1"/>
  <c r="O231" i="1" s="1"/>
  <c r="W231" i="1"/>
  <c r="P232" i="1"/>
  <c r="Q232" i="1"/>
  <c r="S232" i="1"/>
  <c r="T232" i="1"/>
  <c r="U232" i="1"/>
  <c r="V232" i="1"/>
  <c r="O232" i="1" s="1"/>
  <c r="O233" i="1"/>
  <c r="P233" i="1"/>
  <c r="Q233" i="1" s="1"/>
  <c r="W233" i="1" s="1"/>
  <c r="S233" i="1"/>
  <c r="T233" i="1" s="1"/>
  <c r="U233" i="1" s="1"/>
  <c r="V233" i="1"/>
  <c r="O234" i="1"/>
  <c r="P234" i="1"/>
  <c r="Q234" i="1"/>
  <c r="W234" i="1" s="1"/>
  <c r="R234" i="1"/>
  <c r="S234" i="1"/>
  <c r="T234" i="1"/>
  <c r="U234" i="1"/>
  <c r="V234" i="1"/>
  <c r="O235" i="1"/>
  <c r="P235" i="1"/>
  <c r="Q235" i="1"/>
  <c r="W235" i="1" s="1"/>
  <c r="R235" i="1"/>
  <c r="S235" i="1"/>
  <c r="T235" i="1"/>
  <c r="U235" i="1" s="1"/>
  <c r="V235" i="1"/>
  <c r="P236" i="1"/>
  <c r="Q236" i="1" s="1"/>
  <c r="W236" i="1" s="1"/>
  <c r="S236" i="1"/>
  <c r="T236" i="1" s="1"/>
  <c r="U236" i="1" s="1"/>
  <c r="V236" i="1"/>
  <c r="O236" i="1" s="1"/>
  <c r="P237" i="1"/>
  <c r="Q237" i="1"/>
  <c r="S237" i="1"/>
  <c r="T237" i="1" s="1"/>
  <c r="U237" i="1" s="1"/>
  <c r="V237" i="1"/>
  <c r="O237" i="1" s="1"/>
  <c r="R237" i="1" s="1"/>
  <c r="W237" i="1"/>
  <c r="P238" i="1"/>
  <c r="T238" i="1" s="1"/>
  <c r="U238" i="1" s="1"/>
  <c r="Q238" i="1"/>
  <c r="W238" i="1" s="1"/>
  <c r="R238" i="1"/>
  <c r="S238" i="1"/>
  <c r="V238" i="1"/>
  <c r="O238" i="1" s="1"/>
  <c r="P239" i="1"/>
  <c r="Q239" i="1"/>
  <c r="W239" i="1" s="1"/>
  <c r="S239" i="1"/>
  <c r="T239" i="1"/>
  <c r="U239" i="1"/>
  <c r="V239" i="1"/>
  <c r="O239" i="1" s="1"/>
  <c r="P240" i="1"/>
  <c r="Q240" i="1" s="1"/>
  <c r="R240" i="1"/>
  <c r="S240" i="1"/>
  <c r="T240" i="1"/>
  <c r="U240" i="1"/>
  <c r="V240" i="1"/>
  <c r="O240" i="1" s="1"/>
  <c r="O241" i="1"/>
  <c r="R241" i="1" s="1"/>
  <c r="P241" i="1"/>
  <c r="Q241" i="1"/>
  <c r="S241" i="1"/>
  <c r="T241" i="1"/>
  <c r="U241" i="1" s="1"/>
  <c r="V241" i="1"/>
  <c r="W241" i="1"/>
  <c r="P242" i="1"/>
  <c r="Q242" i="1" s="1"/>
  <c r="S242" i="1"/>
  <c r="V242" i="1"/>
  <c r="O242" i="1" s="1"/>
  <c r="W242" i="1"/>
  <c r="O243" i="1"/>
  <c r="P243" i="1"/>
  <c r="S243" i="1"/>
  <c r="V243" i="1"/>
  <c r="P244" i="1"/>
  <c r="Q244" i="1"/>
  <c r="S244" i="1"/>
  <c r="T244" i="1" s="1"/>
  <c r="U244" i="1" s="1"/>
  <c r="V244" i="1"/>
  <c r="O244" i="1" s="1"/>
  <c r="R244" i="1" s="1"/>
  <c r="O245" i="1"/>
  <c r="P245" i="1"/>
  <c r="Q245" i="1" s="1"/>
  <c r="S245" i="1"/>
  <c r="T245" i="1" s="1"/>
  <c r="U245" i="1" s="1"/>
  <c r="V245" i="1"/>
  <c r="P246" i="1"/>
  <c r="Q246" i="1" s="1"/>
  <c r="S246" i="1"/>
  <c r="T246" i="1"/>
  <c r="U246" i="1"/>
  <c r="V246" i="1"/>
  <c r="O246" i="1" s="1"/>
  <c r="O247" i="1"/>
  <c r="P247" i="1"/>
  <c r="Q247" i="1"/>
  <c r="W247" i="1" s="1"/>
  <c r="R247" i="1"/>
  <c r="S247" i="1"/>
  <c r="T247" i="1" s="1"/>
  <c r="U247" i="1" s="1"/>
  <c r="V247" i="1"/>
  <c r="O248" i="1"/>
  <c r="P248" i="1"/>
  <c r="Q248" i="1"/>
  <c r="S248" i="1"/>
  <c r="V248" i="1"/>
  <c r="P249" i="1"/>
  <c r="Q249" i="1"/>
  <c r="S249" i="1"/>
  <c r="T249" i="1"/>
  <c r="U249" i="1"/>
  <c r="V249" i="1"/>
  <c r="O249" i="1" s="1"/>
  <c r="R249" i="1" s="1"/>
  <c r="W249" i="1"/>
  <c r="O250" i="1"/>
  <c r="P250" i="1"/>
  <c r="T250" i="1" s="1"/>
  <c r="U250" i="1" s="1"/>
  <c r="Q250" i="1"/>
  <c r="W250" i="1" s="1"/>
  <c r="R250" i="1"/>
  <c r="S250" i="1"/>
  <c r="V250" i="1"/>
  <c r="P251" i="1"/>
  <c r="Q251" i="1"/>
  <c r="S251" i="1"/>
  <c r="T251" i="1"/>
  <c r="U251" i="1"/>
  <c r="V251" i="1"/>
  <c r="O251" i="1" s="1"/>
  <c r="W251" i="1"/>
  <c r="P252" i="1"/>
  <c r="Q252" i="1"/>
  <c r="S252" i="1"/>
  <c r="T252" i="1"/>
  <c r="U252" i="1"/>
  <c r="V252" i="1"/>
  <c r="O252" i="1" s="1"/>
  <c r="R252" i="1" s="1"/>
  <c r="W252" i="1"/>
  <c r="O253" i="1"/>
  <c r="R253" i="1" s="1"/>
  <c r="P253" i="1"/>
  <c r="Q253" i="1"/>
  <c r="S253" i="1"/>
  <c r="T253" i="1" s="1"/>
  <c r="U253" i="1"/>
  <c r="V253" i="1"/>
  <c r="W253" i="1"/>
  <c r="P254" i="1"/>
  <c r="Q254" i="1"/>
  <c r="S254" i="1"/>
  <c r="T254" i="1"/>
  <c r="U254" i="1"/>
  <c r="V254" i="1"/>
  <c r="O254" i="1" s="1"/>
  <c r="R254" i="1" s="1"/>
  <c r="W254" i="1"/>
  <c r="P255" i="1"/>
  <c r="Q255" i="1"/>
  <c r="P256" i="1"/>
  <c r="Q256" i="1"/>
  <c r="P257" i="1"/>
  <c r="Q257" i="1"/>
  <c r="P258" i="1"/>
  <c r="Q258" i="1"/>
  <c r="P259" i="1"/>
  <c r="Q259" i="1"/>
  <c r="P260" i="1"/>
  <c r="Q260" i="1" s="1"/>
  <c r="P261" i="1"/>
  <c r="Q261" i="1"/>
  <c r="P262" i="1"/>
  <c r="Q262" i="1"/>
  <c r="P263" i="1"/>
  <c r="Q263" i="1" s="1"/>
  <c r="P264" i="1"/>
  <c r="Q264" i="1"/>
  <c r="P265" i="1"/>
  <c r="Q265" i="1"/>
  <c r="P266" i="1"/>
  <c r="Q266" i="1"/>
  <c r="P267" i="1"/>
  <c r="Q267" i="1" s="1"/>
  <c r="P268" i="1"/>
  <c r="Q268" i="1" s="1"/>
  <c r="P269" i="1"/>
  <c r="Q269" i="1"/>
  <c r="P270" i="1"/>
  <c r="Q270" i="1"/>
  <c r="P271" i="1"/>
  <c r="Q271" i="1"/>
  <c r="P272" i="1"/>
  <c r="Q272" i="1"/>
  <c r="P273" i="1"/>
  <c r="Q273" i="1" s="1"/>
  <c r="P274" i="1"/>
  <c r="Q274" i="1"/>
  <c r="P275" i="1"/>
  <c r="Q275" i="1"/>
  <c r="P276" i="1"/>
  <c r="Q276" i="1"/>
  <c r="P277" i="1"/>
  <c r="Q277" i="1" s="1"/>
  <c r="P278" i="1"/>
  <c r="Q278" i="1"/>
  <c r="P279" i="1"/>
  <c r="Q279" i="1"/>
  <c r="P280" i="1"/>
  <c r="Q280" i="1"/>
  <c r="P281" i="1"/>
  <c r="Q281" i="1"/>
  <c r="P282" i="1"/>
  <c r="Q282" i="1" s="1"/>
  <c r="P283" i="1"/>
  <c r="Q283" i="1"/>
  <c r="P284" i="1"/>
  <c r="Q284" i="1"/>
  <c r="P285" i="1"/>
  <c r="Q285" i="1"/>
  <c r="P286" i="1"/>
  <c r="Q286" i="1" s="1"/>
  <c r="P287" i="1"/>
  <c r="Q287" i="1" s="1"/>
  <c r="P288" i="1"/>
  <c r="Q288" i="1"/>
  <c r="R237" i="2" l="1"/>
  <c r="R73" i="2"/>
  <c r="R51" i="2"/>
  <c r="R207" i="2"/>
  <c r="R129" i="2"/>
  <c r="R200" i="2"/>
  <c r="R140" i="2"/>
  <c r="R44" i="2"/>
  <c r="R285" i="2"/>
  <c r="R246" i="2"/>
  <c r="R234" i="2"/>
  <c r="R193" i="2"/>
  <c r="R66" i="2"/>
  <c r="R197" i="2"/>
  <c r="R126" i="2"/>
  <c r="R70" i="2"/>
  <c r="R266" i="2"/>
  <c r="R270" i="2"/>
  <c r="R251" i="2"/>
  <c r="R186" i="2"/>
  <c r="R130" i="2"/>
  <c r="R96" i="2"/>
  <c r="R85" i="2"/>
  <c r="R59" i="2"/>
  <c r="R223" i="2"/>
  <c r="R137" i="2"/>
  <c r="R190" i="2"/>
  <c r="R156" i="2"/>
  <c r="R78" i="2"/>
  <c r="R194" i="2"/>
  <c r="R134" i="2"/>
  <c r="R67" i="2"/>
  <c r="R278" i="2"/>
  <c r="R267" i="2"/>
  <c r="R243" i="2"/>
  <c r="R212" i="2"/>
  <c r="R205" i="2"/>
  <c r="R198" i="2"/>
  <c r="R172" i="2"/>
  <c r="R168" i="2"/>
  <c r="R145" i="2"/>
  <c r="R127" i="2"/>
  <c r="R176" i="2"/>
  <c r="R131" i="2"/>
  <c r="R120" i="2"/>
  <c r="R90" i="2"/>
  <c r="R53" i="2"/>
  <c r="R157" i="2"/>
  <c r="R79" i="2"/>
  <c r="R64" i="2"/>
  <c r="R46" i="2"/>
  <c r="R288" i="2"/>
  <c r="R264" i="2"/>
  <c r="R236" i="2"/>
  <c r="R217" i="2"/>
  <c r="R83" i="2"/>
  <c r="R72" i="2"/>
  <c r="R57" i="2"/>
  <c r="R180" i="2"/>
  <c r="R184" i="2"/>
  <c r="R165" i="2"/>
  <c r="R150" i="2"/>
  <c r="R94" i="2"/>
  <c r="R206" i="2"/>
  <c r="R296" i="2"/>
  <c r="R121" i="2"/>
  <c r="R117" i="2"/>
  <c r="R98" i="2"/>
  <c r="Q75" i="2"/>
  <c r="R75" i="2" s="1"/>
  <c r="Q69" i="2"/>
  <c r="R69" i="2" s="1"/>
  <c r="R14" i="2"/>
  <c r="Q202" i="2"/>
  <c r="R202" i="2" s="1"/>
  <c r="Q135" i="2"/>
  <c r="R135" i="2" s="1"/>
  <c r="Q129" i="2"/>
  <c r="R109" i="2"/>
  <c r="R40" i="2"/>
  <c r="Q287" i="2"/>
  <c r="R287" i="2" s="1"/>
  <c r="Q82" i="2"/>
  <c r="R82" i="2" s="1"/>
  <c r="Q209" i="2"/>
  <c r="R209" i="2" s="1"/>
  <c r="Q142" i="2"/>
  <c r="R142" i="2" s="1"/>
  <c r="R62" i="2"/>
  <c r="Q95" i="2"/>
  <c r="R95" i="2" s="1"/>
  <c r="Q89" i="2"/>
  <c r="Q155" i="2"/>
  <c r="R155" i="2" s="1"/>
  <c r="Q149" i="2"/>
  <c r="R34" i="2"/>
  <c r="R8" i="2"/>
  <c r="Q229" i="2"/>
  <c r="R229" i="2" s="1"/>
  <c r="Q102" i="2"/>
  <c r="R102" i="2" s="1"/>
  <c r="Q49" i="2"/>
  <c r="Q32" i="2"/>
  <c r="R32" i="2" s="1"/>
  <c r="R12" i="2"/>
  <c r="Q242" i="2"/>
  <c r="R242" i="2" s="1"/>
  <c r="Q162" i="2"/>
  <c r="R162" i="2" s="1"/>
  <c r="R42" i="2"/>
  <c r="R20" i="2"/>
  <c r="Q55" i="2"/>
  <c r="R55" i="2" s="1"/>
  <c r="Q222" i="2"/>
  <c r="R222" i="2" s="1"/>
  <c r="R216" i="2"/>
  <c r="Q169" i="2"/>
  <c r="R169" i="2" s="1"/>
  <c r="Q115" i="2"/>
  <c r="R115" i="2" s="1"/>
  <c r="Q109" i="2"/>
  <c r="R89" i="2"/>
  <c r="R9" i="2"/>
  <c r="R122" i="2"/>
  <c r="Q297" i="2"/>
  <c r="R297" i="2" s="1"/>
  <c r="R149" i="2"/>
  <c r="R39" i="2"/>
  <c r="R24" i="2"/>
  <c r="R13" i="2"/>
  <c r="R136" i="2"/>
  <c r="Q272" i="2"/>
  <c r="R272" i="2" s="1"/>
  <c r="Q262" i="2"/>
  <c r="R262" i="2" s="1"/>
  <c r="Q182" i="2"/>
  <c r="R182" i="2" s="1"/>
  <c r="Q62" i="2"/>
  <c r="Q50" i="2"/>
  <c r="R50" i="2" s="1"/>
  <c r="Q122" i="2"/>
  <c r="R43" i="2"/>
  <c r="R17" i="2"/>
  <c r="R6" i="2"/>
  <c r="R116" i="2"/>
  <c r="Q277" i="2"/>
  <c r="R277" i="2" s="1"/>
  <c r="R49" i="2"/>
  <c r="R36" i="2"/>
  <c r="R21" i="2"/>
  <c r="Q249" i="2"/>
  <c r="R249" i="2" s="1"/>
  <c r="Q269" i="2"/>
  <c r="R269" i="2" s="1"/>
  <c r="Q189" i="2"/>
  <c r="R189" i="2" s="1"/>
  <c r="W107" i="1"/>
  <c r="R107" i="1"/>
  <c r="R125" i="1"/>
  <c r="W125" i="1"/>
  <c r="Q172" i="1"/>
  <c r="W131" i="1"/>
  <c r="W124" i="1"/>
  <c r="R110" i="1"/>
  <c r="W110" i="1"/>
  <c r="W19" i="1"/>
  <c r="R19" i="1"/>
  <c r="R26" i="1"/>
  <c r="W26" i="1"/>
  <c r="O29" i="1"/>
  <c r="R29" i="1" s="1"/>
  <c r="W29" i="1"/>
  <c r="W132" i="1"/>
  <c r="R132" i="1"/>
  <c r="Q243" i="1"/>
  <c r="T243" i="1"/>
  <c r="U243" i="1" s="1"/>
  <c r="Q192" i="1"/>
  <c r="T192" i="1"/>
  <c r="U192" i="1" s="1"/>
  <c r="R203" i="1"/>
  <c r="W203" i="1"/>
  <c r="R232" i="1"/>
  <c r="W232" i="1"/>
  <c r="R242" i="1"/>
  <c r="R57" i="1"/>
  <c r="W229" i="1"/>
  <c r="R167" i="1"/>
  <c r="W167" i="1"/>
  <c r="R88" i="1"/>
  <c r="W88" i="1"/>
  <c r="R151" i="1"/>
  <c r="W151" i="1"/>
  <c r="W134" i="1"/>
  <c r="O154" i="1"/>
  <c r="R154" i="1" s="1"/>
  <c r="W154" i="1"/>
  <c r="W101" i="1"/>
  <c r="R101" i="1"/>
  <c r="W213" i="1"/>
  <c r="R194" i="1"/>
  <c r="W194" i="1"/>
  <c r="R187" i="1"/>
  <c r="W141" i="1"/>
  <c r="R141" i="1"/>
  <c r="W83" i="1"/>
  <c r="R83" i="1"/>
  <c r="R226" i="1"/>
  <c r="W226" i="1"/>
  <c r="R208" i="1"/>
  <c r="W208" i="1"/>
  <c r="R128" i="1"/>
  <c r="W128" i="1"/>
  <c r="R34" i="1"/>
  <c r="W34" i="1"/>
  <c r="R171" i="1"/>
  <c r="W171" i="1"/>
  <c r="W152" i="1"/>
  <c r="R152" i="1"/>
  <c r="R131" i="1"/>
  <c r="R211" i="1"/>
  <c r="W211" i="1"/>
  <c r="R68" i="1"/>
  <c r="W68" i="1"/>
  <c r="W114" i="1"/>
  <c r="R114" i="1"/>
  <c r="R23" i="1"/>
  <c r="W23" i="1"/>
  <c r="R200" i="1"/>
  <c r="W200" i="1"/>
  <c r="R124" i="1"/>
  <c r="W9" i="1"/>
  <c r="O9" i="1"/>
  <c r="R9" i="1" s="1"/>
  <c r="Q228" i="1"/>
  <c r="T228" i="1"/>
  <c r="U228" i="1" s="1"/>
  <c r="R206" i="1"/>
  <c r="W206" i="1"/>
  <c r="R210" i="1"/>
  <c r="W210" i="1"/>
  <c r="O97" i="1"/>
  <c r="W97" i="1"/>
  <c r="R212" i="1"/>
  <c r="W212" i="1"/>
  <c r="W139" i="1"/>
  <c r="R139" i="1"/>
  <c r="R137" i="1"/>
  <c r="O87" i="1"/>
  <c r="R87" i="1" s="1"/>
  <c r="W87" i="1"/>
  <c r="W72" i="1"/>
  <c r="R72" i="1"/>
  <c r="W245" i="1"/>
  <c r="R245" i="1"/>
  <c r="T107" i="1"/>
  <c r="U107" i="1" s="1"/>
  <c r="O82" i="1"/>
  <c r="R82" i="1" s="1"/>
  <c r="W82" i="1"/>
  <c r="T213" i="1"/>
  <c r="U213" i="1" s="1"/>
  <c r="W161" i="1"/>
  <c r="R161" i="1"/>
  <c r="R157" i="1"/>
  <c r="W157" i="1"/>
  <c r="W244" i="1"/>
  <c r="R223" i="1"/>
  <c r="W223" i="1"/>
  <c r="R170" i="1"/>
  <c r="W170" i="1"/>
  <c r="R144" i="1"/>
  <c r="W144" i="1"/>
  <c r="R106" i="1"/>
  <c r="W106" i="1"/>
  <c r="R17" i="1"/>
  <c r="W17" i="1"/>
  <c r="W240" i="1"/>
  <c r="W227" i="1"/>
  <c r="R218" i="1"/>
  <c r="R186" i="1"/>
  <c r="W186" i="1"/>
  <c r="W32" i="1"/>
  <c r="R32" i="1"/>
  <c r="W188" i="1"/>
  <c r="W169" i="1"/>
  <c r="W74" i="1"/>
  <c r="Q21" i="1"/>
  <c r="T21" i="1"/>
  <c r="U21" i="1" s="1"/>
  <c r="T242" i="1"/>
  <c r="U242" i="1" s="1"/>
  <c r="W221" i="1"/>
  <c r="R205" i="1"/>
  <c r="R198" i="1"/>
  <c r="W185" i="1"/>
  <c r="R166" i="1"/>
  <c r="W166" i="1"/>
  <c r="W162" i="1"/>
  <c r="T119" i="1"/>
  <c r="U119" i="1" s="1"/>
  <c r="R112" i="1"/>
  <c r="W109" i="1"/>
  <c r="R16" i="1"/>
  <c r="W16" i="1"/>
  <c r="W12" i="1"/>
  <c r="R12" i="1"/>
  <c r="Q217" i="1"/>
  <c r="T217" i="1"/>
  <c r="U217" i="1" s="1"/>
  <c r="R236" i="1"/>
  <c r="R233" i="1"/>
  <c r="W201" i="1"/>
  <c r="R201" i="1"/>
  <c r="Q197" i="1"/>
  <c r="R155" i="1"/>
  <c r="W140" i="1"/>
  <c r="W50" i="1"/>
  <c r="R50" i="1"/>
  <c r="W119" i="1"/>
  <c r="R119" i="1"/>
  <c r="R248" i="1"/>
  <c r="W248" i="1"/>
  <c r="Q36" i="1"/>
  <c r="T36" i="1"/>
  <c r="U36" i="1" s="1"/>
  <c r="R173" i="1"/>
  <c r="W173" i="1"/>
  <c r="Q220" i="1"/>
  <c r="T220" i="1"/>
  <c r="U220" i="1" s="1"/>
  <c r="R129" i="1"/>
  <c r="W129" i="1"/>
  <c r="W98" i="1"/>
  <c r="R98" i="1"/>
  <c r="W85" i="1"/>
  <c r="R85" i="1"/>
  <c r="R62" i="1"/>
  <c r="W62" i="1"/>
  <c r="R54" i="1"/>
  <c r="W27" i="1"/>
  <c r="R27" i="1"/>
  <c r="R239" i="1"/>
  <c r="R204" i="1"/>
  <c r="W204" i="1"/>
  <c r="R158" i="1"/>
  <c r="W158" i="1"/>
  <c r="T132" i="1"/>
  <c r="U132" i="1" s="1"/>
  <c r="O65" i="1"/>
  <c r="R65" i="1" s="1"/>
  <c r="W65" i="1"/>
  <c r="T125" i="1"/>
  <c r="U125" i="1" s="1"/>
  <c r="T94" i="1"/>
  <c r="U94" i="1" s="1"/>
  <c r="R91" i="1"/>
  <c r="W91" i="1"/>
  <c r="R46" i="1"/>
  <c r="W46" i="1"/>
  <c r="T88" i="1"/>
  <c r="U88" i="1" s="1"/>
  <c r="R47" i="1"/>
  <c r="R37" i="1"/>
  <c r="W96" i="1"/>
  <c r="R96" i="1"/>
  <c r="R71" i="1"/>
  <c r="R56" i="1"/>
  <c r="W28" i="1"/>
  <c r="R130" i="1"/>
  <c r="W130" i="1"/>
  <c r="T223" i="1"/>
  <c r="U223" i="1" s="1"/>
  <c r="W207" i="1"/>
  <c r="T198" i="1"/>
  <c r="U198" i="1" s="1"/>
  <c r="R127" i="1"/>
  <c r="R117" i="1"/>
  <c r="W117" i="1"/>
  <c r="W52" i="1"/>
  <c r="R52" i="1"/>
  <c r="R25" i="1"/>
  <c r="T170" i="1"/>
  <c r="U170" i="1" s="1"/>
  <c r="W164" i="1"/>
  <c r="Q77" i="1"/>
  <c r="T28" i="1"/>
  <c r="U28" i="1" s="1"/>
  <c r="W14" i="1"/>
  <c r="T8" i="1"/>
  <c r="U8" i="1" s="1"/>
  <c r="R251" i="1"/>
  <c r="W246" i="1"/>
  <c r="R246" i="1"/>
  <c r="R231" i="1"/>
  <c r="T114" i="1"/>
  <c r="U114" i="1" s="1"/>
  <c r="R105" i="1"/>
  <c r="Q70" i="1"/>
  <c r="T70" i="1"/>
  <c r="U70" i="1" s="1"/>
  <c r="O38" i="1"/>
  <c r="R38" i="1" s="1"/>
  <c r="W38" i="1"/>
  <c r="R35" i="1"/>
  <c r="W35" i="1"/>
  <c r="R215" i="1"/>
  <c r="R176" i="1"/>
  <c r="T153" i="1"/>
  <c r="U153" i="1" s="1"/>
  <c r="T108" i="1"/>
  <c r="U108" i="1" s="1"/>
  <c r="T86" i="1"/>
  <c r="U86" i="1" s="1"/>
  <c r="W59" i="1"/>
  <c r="R59" i="1"/>
  <c r="T31" i="1"/>
  <c r="U31" i="1" s="1"/>
  <c r="Q31" i="1"/>
  <c r="Q120" i="1"/>
  <c r="T120" i="1"/>
  <c r="U120" i="1" s="1"/>
  <c r="R86" i="1"/>
  <c r="W86" i="1"/>
  <c r="R80" i="1"/>
  <c r="W80" i="1"/>
  <c r="O76" i="1"/>
  <c r="R76" i="1" s="1"/>
  <c r="W76" i="1"/>
  <c r="R63" i="1"/>
  <c r="W159" i="1"/>
  <c r="T248" i="1"/>
  <c r="U248" i="1" s="1"/>
  <c r="T173" i="1"/>
  <c r="U173" i="1" s="1"/>
  <c r="W209" i="1"/>
  <c r="T206" i="1"/>
  <c r="U206" i="1" s="1"/>
  <c r="T101" i="1"/>
  <c r="U101" i="1" s="1"/>
  <c r="R66" i="1"/>
  <c r="W66" i="1"/>
  <c r="W58" i="1"/>
  <c r="R48" i="1"/>
  <c r="W48" i="1"/>
  <c r="R104" i="1"/>
  <c r="W104" i="1"/>
  <c r="R55" i="1"/>
  <c r="W55" i="1"/>
  <c r="R75" i="1"/>
  <c r="W75" i="1"/>
  <c r="R64" i="1"/>
  <c r="T26" i="1"/>
  <c r="U26" i="1" s="1"/>
  <c r="R15" i="1"/>
  <c r="W15" i="1"/>
  <c r="R6" i="1"/>
  <c r="W6" i="1"/>
  <c r="R126" i="1"/>
  <c r="W126" i="1"/>
  <c r="R40" i="1"/>
  <c r="T128" i="1"/>
  <c r="U128" i="1" s="1"/>
  <c r="R60" i="1"/>
  <c r="R51" i="1"/>
  <c r="R164" i="1"/>
  <c r="R146" i="1"/>
  <c r="W146" i="1"/>
  <c r="W73" i="1"/>
  <c r="R39" i="1"/>
  <c r="W33" i="1"/>
  <c r="R10" i="1"/>
  <c r="R97" i="1"/>
  <c r="W92" i="1"/>
  <c r="T59" i="1"/>
  <c r="U59" i="1" s="1"/>
  <c r="R184" i="1"/>
  <c r="T166" i="1"/>
  <c r="U166" i="1" s="1"/>
  <c r="T148" i="1"/>
  <c r="U148" i="1" s="1"/>
  <c r="W18" i="1"/>
  <c r="R7" i="1"/>
  <c r="R4" i="1"/>
  <c r="R228" i="1" l="1"/>
  <c r="W228" i="1"/>
  <c r="R197" i="1"/>
  <c r="W197" i="1"/>
  <c r="W21" i="1"/>
  <c r="R21" i="1"/>
  <c r="R220" i="1"/>
  <c r="W220" i="1"/>
  <c r="W217" i="1"/>
  <c r="R217" i="1"/>
  <c r="W172" i="1"/>
  <c r="R172" i="1"/>
  <c r="R77" i="1"/>
  <c r="W77" i="1"/>
  <c r="W70" i="1"/>
  <c r="R70" i="1"/>
  <c r="R31" i="1"/>
  <c r="W31" i="1"/>
  <c r="W192" i="1"/>
  <c r="R192" i="1"/>
  <c r="W120" i="1"/>
  <c r="R120" i="1"/>
  <c r="R36" i="1"/>
  <c r="W36" i="1"/>
  <c r="W243" i="1"/>
  <c r="R243" i="1"/>
  <c r="W274" i="1"/>
  <c r="R274" i="1"/>
  <c r="S274" i="1"/>
  <c r="T274" i="1"/>
  <c r="U274" i="1"/>
  <c r="V274" i="1"/>
  <c r="O274" i="1"/>
  <c r="O280" i="1"/>
  <c r="R280" i="1"/>
  <c r="S280" i="1"/>
  <c r="T280" i="1"/>
  <c r="U280" i="1"/>
  <c r="V280" i="1"/>
  <c r="W280" i="1"/>
  <c r="O282" i="1"/>
  <c r="R282" i="1"/>
  <c r="S282" i="1"/>
  <c r="T282" i="1"/>
  <c r="U282" i="1"/>
  <c r="V282" i="1"/>
  <c r="W282" i="1"/>
  <c r="O275" i="1"/>
  <c r="R275" i="1"/>
  <c r="S275" i="1"/>
  <c r="T275" i="1"/>
  <c r="U275" i="1"/>
  <c r="V275" i="1"/>
  <c r="W275" i="1"/>
  <c r="O265" i="1"/>
  <c r="R265" i="1"/>
  <c r="S265" i="1"/>
  <c r="T265" i="1"/>
  <c r="U265" i="1"/>
  <c r="V265" i="1"/>
  <c r="W265" i="1"/>
  <c r="O277" i="1"/>
  <c r="R277" i="1"/>
  <c r="S277" i="1"/>
  <c r="T277" i="1"/>
  <c r="U277" i="1"/>
  <c r="V277" i="1"/>
  <c r="W277" i="1"/>
  <c r="O261" i="1"/>
  <c r="R261" i="1"/>
  <c r="S261" i="1"/>
  <c r="T261" i="1"/>
  <c r="U261" i="1"/>
  <c r="V261" i="1"/>
  <c r="W261" i="1"/>
  <c r="O286" i="1"/>
  <c r="R286" i="1"/>
  <c r="S286" i="1"/>
  <c r="T286" i="1"/>
  <c r="U286" i="1"/>
  <c r="V286" i="1"/>
  <c r="W286" i="1"/>
  <c r="O257" i="1"/>
  <c r="R257" i="1"/>
  <c r="S257" i="1"/>
  <c r="T257" i="1"/>
  <c r="U257" i="1"/>
  <c r="V257" i="1"/>
  <c r="W257" i="1"/>
  <c r="O262" i="1"/>
  <c r="R262" i="1"/>
  <c r="S262" i="1"/>
  <c r="T262" i="1"/>
  <c r="U262" i="1"/>
  <c r="V262" i="1"/>
  <c r="W262" i="1"/>
  <c r="O269" i="1"/>
  <c r="R269" i="1"/>
  <c r="S269" i="1"/>
  <c r="T269" i="1"/>
  <c r="U269" i="1"/>
  <c r="V269" i="1"/>
  <c r="W269" i="1"/>
  <c r="O287" i="1"/>
  <c r="R287" i="1"/>
  <c r="S287" i="1"/>
  <c r="T287" i="1"/>
  <c r="U287" i="1"/>
  <c r="V287" i="1"/>
  <c r="W287" i="1"/>
  <c r="O260" i="1"/>
  <c r="R260" i="1"/>
  <c r="S260" i="1"/>
  <c r="T260" i="1"/>
  <c r="U260" i="1"/>
  <c r="V260" i="1"/>
  <c r="W260" i="1"/>
  <c r="O283" i="1"/>
  <c r="R283" i="1"/>
  <c r="S283" i="1"/>
  <c r="T283" i="1"/>
  <c r="U283" i="1"/>
  <c r="V283" i="1"/>
  <c r="W283" i="1"/>
  <c r="O255" i="1"/>
  <c r="R255" i="1"/>
  <c r="S255" i="1"/>
  <c r="T255" i="1"/>
  <c r="U255" i="1"/>
  <c r="V255" i="1"/>
  <c r="W255" i="1"/>
  <c r="O272" i="1"/>
  <c r="R272" i="1"/>
  <c r="S272" i="1"/>
  <c r="T272" i="1"/>
  <c r="U272" i="1"/>
  <c r="V272" i="1"/>
  <c r="W272" i="1"/>
  <c r="O264" i="1"/>
  <c r="R264" i="1"/>
  <c r="S264" i="1"/>
  <c r="T264" i="1"/>
  <c r="U264" i="1"/>
  <c r="V264" i="1"/>
  <c r="W264" i="1"/>
  <c r="O285" i="1"/>
  <c r="R285" i="1"/>
  <c r="S285" i="1"/>
  <c r="T285" i="1"/>
  <c r="U285" i="1"/>
  <c r="V285" i="1"/>
  <c r="W285" i="1"/>
  <c r="O276" i="1"/>
  <c r="R276" i="1"/>
  <c r="S276" i="1"/>
  <c r="T276" i="1"/>
  <c r="U276" i="1"/>
  <c r="V276" i="1"/>
  <c r="W276" i="1"/>
  <c r="O273" i="1"/>
  <c r="R273" i="1"/>
  <c r="S273" i="1"/>
  <c r="T273" i="1"/>
  <c r="U273" i="1"/>
  <c r="V273" i="1"/>
  <c r="W273" i="1"/>
  <c r="O271" i="1"/>
  <c r="R271" i="1"/>
  <c r="S271" i="1"/>
  <c r="T271" i="1"/>
  <c r="U271" i="1"/>
  <c r="V271" i="1"/>
  <c r="W271" i="1"/>
  <c r="O278" i="1"/>
  <c r="R278" i="1"/>
  <c r="S278" i="1"/>
  <c r="T278" i="1"/>
  <c r="U278" i="1"/>
  <c r="V278" i="1"/>
  <c r="W278" i="1"/>
  <c r="O258" i="1"/>
  <c r="R258" i="1"/>
  <c r="S258" i="1"/>
  <c r="T258" i="1"/>
  <c r="U258" i="1"/>
  <c r="V258" i="1"/>
  <c r="W258" i="1"/>
  <c r="O268" i="1"/>
  <c r="R268" i="1"/>
  <c r="S268" i="1"/>
  <c r="T268" i="1"/>
  <c r="U268" i="1"/>
  <c r="V268" i="1"/>
  <c r="W268" i="1"/>
  <c r="O279" i="1"/>
  <c r="R279" i="1"/>
  <c r="S279" i="1"/>
  <c r="T279" i="1"/>
  <c r="U279" i="1"/>
  <c r="V279" i="1"/>
  <c r="W279" i="1"/>
  <c r="O266" i="1"/>
  <c r="R266" i="1"/>
  <c r="S266" i="1"/>
  <c r="T266" i="1"/>
  <c r="U266" i="1"/>
  <c r="V266" i="1"/>
  <c r="W266" i="1"/>
  <c r="O259" i="1"/>
  <c r="R259" i="1"/>
  <c r="S259" i="1"/>
  <c r="T259" i="1"/>
  <c r="U259" i="1"/>
  <c r="V259" i="1"/>
  <c r="W259" i="1"/>
  <c r="O284" i="1"/>
  <c r="R284" i="1"/>
  <c r="S284" i="1"/>
  <c r="T284" i="1"/>
  <c r="U284" i="1"/>
  <c r="V284" i="1"/>
  <c r="W284" i="1"/>
  <c r="O270" i="1"/>
  <c r="R270" i="1"/>
  <c r="S270" i="1"/>
  <c r="T270" i="1"/>
  <c r="U270" i="1"/>
  <c r="V270" i="1"/>
  <c r="W270" i="1"/>
  <c r="O263" i="1"/>
  <c r="R263" i="1"/>
  <c r="S263" i="1"/>
  <c r="T263" i="1"/>
  <c r="U263" i="1"/>
  <c r="V263" i="1"/>
  <c r="W263" i="1"/>
  <c r="O256" i="1"/>
  <c r="R256" i="1"/>
  <c r="S256" i="1"/>
  <c r="T256" i="1"/>
  <c r="U256" i="1"/>
  <c r="V256" i="1"/>
  <c r="W256" i="1"/>
  <c r="O267" i="1"/>
  <c r="R267" i="1"/>
  <c r="S267" i="1"/>
  <c r="T267" i="1"/>
  <c r="U267" i="1"/>
  <c r="V267" i="1"/>
  <c r="W267" i="1"/>
  <c r="O281" i="1"/>
  <c r="R281" i="1"/>
  <c r="S281" i="1"/>
  <c r="T281" i="1"/>
  <c r="U281" i="1"/>
  <c r="V281" i="1"/>
  <c r="W281" i="1"/>
  <c r="O288" i="1"/>
  <c r="R288" i="1"/>
  <c r="S288" i="1"/>
  <c r="T288" i="1"/>
  <c r="U288" i="1"/>
  <c r="V288" i="1"/>
  <c r="W28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tc={1D59990B-62B4-43E9-B2B0-4D5F2768A9F0}</author>
  </authors>
  <commentList>
    <comment ref="F2" authorId="0" shapeId="0" xr:uid="{1D59990B-62B4-43E9-B2B0-4D5F2768A9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tc={AA09428E-76DB-4ACA-AE8A-C291D7D02E05}</author>
  </authors>
  <commentList>
    <comment ref="F2" authorId="0" shapeId="0" xr:uid="{AA09428E-76DB-4ACA-AE8A-C291D7D02E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tc={B390CE16-EE26-4D25-A317-B3FF2BF9390E}</author>
  </authors>
  <commentList>
    <comment ref="F2" authorId="0" shapeId="0" xr:uid="{B390CE16-EE26-4D25-A317-B3FF2BF939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sharedStrings.xml><?xml version="1.0" encoding="utf-8"?>
<sst xmlns="http://schemas.openxmlformats.org/spreadsheetml/2006/main" count="2130" uniqueCount="396">
  <si>
    <t>SB</t>
  </si>
  <si>
    <t>SH-DVN-ST</t>
  </si>
  <si>
    <t>PU-DRV</t>
  </si>
  <si>
    <t>PU-SUB-ST</t>
  </si>
  <si>
    <t>ST-RDO-ST</t>
  </si>
  <si>
    <t>SR-WMO</t>
  </si>
  <si>
    <t>PU-SUB</t>
  </si>
  <si>
    <t>SH-GTA</t>
  </si>
  <si>
    <t>SF-WBR-4LI</t>
  </si>
  <si>
    <t>SB-VNO</t>
  </si>
  <si>
    <t>TU-SKD-L</t>
  </si>
  <si>
    <t>SR-FYN</t>
  </si>
  <si>
    <t>SB-BNA</t>
  </si>
  <si>
    <t>PU-SNM</t>
  </si>
  <si>
    <t>B-MLT-D30T</t>
  </si>
  <si>
    <t>W-MLT-M</t>
  </si>
  <si>
    <t>W-CLO-5</t>
  </si>
  <si>
    <t>W-CLO-4</t>
  </si>
  <si>
    <t>W-CLO-3</t>
  </si>
  <si>
    <t>W-CLO-345</t>
  </si>
  <si>
    <t>W-BNO</t>
  </si>
  <si>
    <t>SR-MVS-IT</t>
  </si>
  <si>
    <t>SR-BKN-H</t>
  </si>
  <si>
    <t>KC-SRN</t>
  </si>
  <si>
    <t>KC-OPT-1S</t>
  </si>
  <si>
    <t>KC-OPT-1N</t>
  </si>
  <si>
    <t>BT-NHE</t>
  </si>
  <si>
    <t>ST-CBN-P</t>
  </si>
  <si>
    <t>SH-DVN</t>
  </si>
  <si>
    <t>SH-YBO</t>
  </si>
  <si>
    <t>WA-PYS-N</t>
  </si>
  <si>
    <t>WA-PYS-S</t>
  </si>
  <si>
    <t>TS-NL-LA</t>
  </si>
  <si>
    <t>TS-NL-ST</t>
  </si>
  <si>
    <t>SR-BKN-T</t>
  </si>
  <si>
    <t>KH-TOC-40</t>
  </si>
  <si>
    <t>KH-TOC-18</t>
  </si>
  <si>
    <t>TU-WBM-ST</t>
  </si>
  <si>
    <t>TU-BKY-ST</t>
  </si>
  <si>
    <t>KH-SUT-21</t>
  </si>
  <si>
    <t>KH-SUT-10</t>
  </si>
  <si>
    <t>KH-SUT-5</t>
  </si>
  <si>
    <t>ok ( SB-ASG-H )</t>
  </si>
  <si>
    <t>SB-ASG</t>
  </si>
  <si>
    <t>ok</t>
  </si>
  <si>
    <t>KH-WLR</t>
  </si>
  <si>
    <t>phy. not avilable</t>
  </si>
  <si>
    <t> </t>
  </si>
  <si>
    <t>SB-JMY</t>
  </si>
  <si>
    <t>SR-CLM-T</t>
  </si>
  <si>
    <t>MD-TNO-L</t>
  </si>
  <si>
    <t>MD-TNO-S</t>
  </si>
  <si>
    <t>TU-BVN</t>
  </si>
  <si>
    <t>TU-PTL</t>
  </si>
  <si>
    <t>ST-KYA</t>
  </si>
  <si>
    <t>ST-RDO</t>
  </si>
  <si>
    <t>PF-NAH-RTF</t>
  </si>
  <si>
    <t>PF-NAH-RTN</t>
  </si>
  <si>
    <t>PN-NAH-RO</t>
  </si>
  <si>
    <t>PN-MIS-RT</t>
  </si>
  <si>
    <t>PU-SDI-ST</t>
  </si>
  <si>
    <t>CT-KV-RT</t>
  </si>
  <si>
    <t>KH-EDL</t>
  </si>
  <si>
    <t>KH-RMT</t>
  </si>
  <si>
    <t>SH-CHR</t>
  </si>
  <si>
    <t>ST-CBN-LS</t>
  </si>
  <si>
    <t>TU-BKY</t>
  </si>
  <si>
    <t>TP-MTA</t>
  </si>
  <si>
    <t>TU-DSK</t>
  </si>
  <si>
    <t>CT-ATD-M</t>
  </si>
  <si>
    <t>B-RVB-D30N</t>
  </si>
  <si>
    <t>B-RVB-D36N</t>
  </si>
  <si>
    <t>ST-CBN-S</t>
  </si>
  <si>
    <t>SR-MVS</t>
  </si>
  <si>
    <t>CT-TYU</t>
  </si>
  <si>
    <t>CT-ETE</t>
  </si>
  <si>
    <t>SR-PRG</t>
  </si>
  <si>
    <t>TU-AYL</t>
  </si>
  <si>
    <t>SR-CLE</t>
  </si>
  <si>
    <t>TU-WBM</t>
  </si>
  <si>
    <t>TU-SNQ-ST</t>
  </si>
  <si>
    <t>TU-SNQ-LA</t>
  </si>
  <si>
    <t>TU-MYN</t>
  </si>
  <si>
    <t>ok ( TU-HMD )</t>
  </si>
  <si>
    <t>TU-HMD.O</t>
  </si>
  <si>
    <t>ok ( PU-SDI-STMF )</t>
  </si>
  <si>
    <t>TU-DRN</t>
  </si>
  <si>
    <t>ST-WLD</t>
  </si>
  <si>
    <t>ST-CBN</t>
  </si>
  <si>
    <t>S-ERA</t>
  </si>
  <si>
    <t>SB-NBK</t>
  </si>
  <si>
    <t>SB-LGN</t>
  </si>
  <si>
    <t>SB-CB.P-T</t>
  </si>
  <si>
    <t>LT-NN</t>
  </si>
  <si>
    <t>KH-LKN-6</t>
  </si>
  <si>
    <t>NT-EDR</t>
  </si>
  <si>
    <t>DC-MYN-ST</t>
  </si>
  <si>
    <t>MB</t>
  </si>
  <si>
    <t>DC-MYN-LA</t>
  </si>
  <si>
    <t>DC-CLV</t>
  </si>
  <si>
    <t>CT-TLY</t>
  </si>
  <si>
    <t>CT-SH</t>
  </si>
  <si>
    <t>CT-CTA.P-LN</t>
  </si>
  <si>
    <t>S-PTE-W</t>
  </si>
  <si>
    <t>W-MLT-4N</t>
  </si>
  <si>
    <t>W-MLT-3N</t>
  </si>
  <si>
    <t>W-MLT-2N</t>
  </si>
  <si>
    <t>W-AND-4N</t>
  </si>
  <si>
    <t>W-AND-4M</t>
  </si>
  <si>
    <t>W-AND-3N</t>
  </si>
  <si>
    <t>W-AND-3M</t>
  </si>
  <si>
    <t>W-AND-2N</t>
  </si>
  <si>
    <t>W-AND-2M</t>
  </si>
  <si>
    <t>W-AND-12N</t>
  </si>
  <si>
    <t>W-AND-11N</t>
  </si>
  <si>
    <t>W-AND-10N</t>
  </si>
  <si>
    <t>WA-BLS</t>
  </si>
  <si>
    <t>TU-VC</t>
  </si>
  <si>
    <t>TU-TT-S</t>
  </si>
  <si>
    <t>TU-TT-L</t>
  </si>
  <si>
    <t>TU-TP</t>
  </si>
  <si>
    <t>TU-TK-ST</t>
  </si>
  <si>
    <t>TU-TK-LA</t>
  </si>
  <si>
    <t>TU-SKD</t>
  </si>
  <si>
    <t>TU-RYE-ST</t>
  </si>
  <si>
    <t>TU-RYE-LA</t>
  </si>
  <si>
    <t>TU-RWT-M</t>
  </si>
  <si>
    <t>TU-RWT-LA</t>
  </si>
  <si>
    <t>TU-RE-LA</t>
  </si>
  <si>
    <t>TU-PR</t>
  </si>
  <si>
    <t>TU-PM-ST</t>
  </si>
  <si>
    <t>TU-PMS-ST</t>
  </si>
  <si>
    <t>TU-PMS-LA</t>
  </si>
  <si>
    <t>TU-PMP-S</t>
  </si>
  <si>
    <t>TU-PMP-L</t>
  </si>
  <si>
    <t>TU-PMN-ST</t>
  </si>
  <si>
    <t>TU-PM-LA</t>
  </si>
  <si>
    <t>TU-PMG-ST</t>
  </si>
  <si>
    <t>TU-PMG-LA</t>
  </si>
  <si>
    <t>TU-OL</t>
  </si>
  <si>
    <t>TU-NVH-M</t>
  </si>
  <si>
    <t>TU-MLE</t>
  </si>
  <si>
    <t>TU-MA-ST</t>
  </si>
  <si>
    <t>TU-MA-LA</t>
  </si>
  <si>
    <t>TU-LE</t>
  </si>
  <si>
    <t>TU-KVD-ST</t>
  </si>
  <si>
    <t>TU-KVD-LA</t>
  </si>
  <si>
    <t>TU-KU-ST</t>
  </si>
  <si>
    <t>TU-KU-LA</t>
  </si>
  <si>
    <t>TU-HMD</t>
  </si>
  <si>
    <t>TU-GAU</t>
  </si>
  <si>
    <t>TU-FL</t>
  </si>
  <si>
    <t>TU-ETY-ST</t>
  </si>
  <si>
    <t>TU-ETY-M</t>
  </si>
  <si>
    <t>TU-ETY-LA</t>
  </si>
  <si>
    <t>TU-CRL</t>
  </si>
  <si>
    <t>TU-CBR-LA</t>
  </si>
  <si>
    <t>TU-ATD</t>
  </si>
  <si>
    <t>TU-ARO-LA</t>
  </si>
  <si>
    <t>TS-NL-A</t>
  </si>
  <si>
    <t>TS-NL</t>
  </si>
  <si>
    <t>TS-NV</t>
  </si>
  <si>
    <t>S-XD</t>
  </si>
  <si>
    <t>ST-RE</t>
  </si>
  <si>
    <t>ST-MLM-N</t>
  </si>
  <si>
    <t>ST-MLM-L</t>
  </si>
  <si>
    <t>ST-HES</t>
  </si>
  <si>
    <t>ST-HE</t>
  </si>
  <si>
    <t>ST-GSE-WMS</t>
  </si>
  <si>
    <t>ST-GSE-ST</t>
  </si>
  <si>
    <t>ST-ENI-ST</t>
  </si>
  <si>
    <t>ST-ENI-LA</t>
  </si>
  <si>
    <t>S-TCW-10P2</t>
  </si>
  <si>
    <t>ST-CND-ST</t>
  </si>
  <si>
    <t>ST-CND-LA</t>
  </si>
  <si>
    <t>ST-AML</t>
  </si>
  <si>
    <t>S-T-16S4</t>
  </si>
  <si>
    <t>S-SB-S3</t>
  </si>
  <si>
    <t>SR-WHTO</t>
  </si>
  <si>
    <t>NF</t>
  </si>
  <si>
    <t>SR-OLY-2</t>
  </si>
  <si>
    <t>SR-OLY</t>
  </si>
  <si>
    <t>SR-LRL</t>
  </si>
  <si>
    <t>SR-KPN-FW</t>
  </si>
  <si>
    <t>SR-KPN-3</t>
  </si>
  <si>
    <t>SR-KPN</t>
  </si>
  <si>
    <t>SR-CLM-3</t>
  </si>
  <si>
    <t>SR-CLM-2</t>
  </si>
  <si>
    <t>Pending</t>
  </si>
  <si>
    <t>SR-BKN-2</t>
  </si>
  <si>
    <t>S-PTE</t>
  </si>
  <si>
    <t>S-MO-5</t>
  </si>
  <si>
    <t>S-MO-3</t>
  </si>
  <si>
    <t>S-LO</t>
  </si>
  <si>
    <t>S-JVS</t>
  </si>
  <si>
    <t>S-GRB</t>
  </si>
  <si>
    <t>S-NE-W2</t>
  </si>
  <si>
    <t>S-ETN</t>
  </si>
  <si>
    <t>S-CRN</t>
  </si>
  <si>
    <t>S-CK-2</t>
  </si>
  <si>
    <t>S-CC</t>
  </si>
  <si>
    <t>SB-WLB</t>
  </si>
  <si>
    <t>SB-WA-WM</t>
  </si>
  <si>
    <t>SB-WA</t>
  </si>
  <si>
    <t>SB-SN-N</t>
  </si>
  <si>
    <t>SB-SN-D</t>
  </si>
  <si>
    <t>S-BR-N6</t>
  </si>
  <si>
    <t>S-BR-6</t>
  </si>
  <si>
    <t>S-BR-4</t>
  </si>
  <si>
    <t>SB-PH</t>
  </si>
  <si>
    <t>SB-OS</t>
  </si>
  <si>
    <t>SB-MXL-ST</t>
  </si>
  <si>
    <t>SB-MXL-LA</t>
  </si>
  <si>
    <t>SB-MPL</t>
  </si>
  <si>
    <t>SB-MOL</t>
  </si>
  <si>
    <t>SB-CS-ST</t>
  </si>
  <si>
    <t>SB-CS-LA</t>
  </si>
  <si>
    <t>SB-CB</t>
  </si>
  <si>
    <t>SB-CA</t>
  </si>
  <si>
    <t>SB-AXA-52</t>
  </si>
  <si>
    <t>SB-AXA-51</t>
  </si>
  <si>
    <t>SB-AXA-4</t>
  </si>
  <si>
    <t>SB-AL-4</t>
  </si>
  <si>
    <t>SB-AL-2</t>
  </si>
  <si>
    <t>SB-AA</t>
  </si>
  <si>
    <t>S-ATL</t>
  </si>
  <si>
    <t>S-AO</t>
  </si>
  <si>
    <t>S-AI</t>
  </si>
  <si>
    <t>S-AE</t>
  </si>
  <si>
    <t>S-AB</t>
  </si>
  <si>
    <t>RT-T</t>
  </si>
  <si>
    <t>RT-RI-M</t>
  </si>
  <si>
    <t>Chack</t>
  </si>
  <si>
    <t>RT-RI</t>
  </si>
  <si>
    <t>RT-NR</t>
  </si>
  <si>
    <t>RT-DR</t>
  </si>
  <si>
    <t>RT-AT</t>
  </si>
  <si>
    <t>RT-ALY</t>
  </si>
  <si>
    <t>RH-RL</t>
  </si>
  <si>
    <t>RH-OT</t>
  </si>
  <si>
    <t>Ok</t>
  </si>
  <si>
    <t>KR-JSD</t>
  </si>
  <si>
    <t>KH-VD</t>
  </si>
  <si>
    <t>KH-TO-40</t>
  </si>
  <si>
    <t>KH-TO-18</t>
  </si>
  <si>
    <t>KH-SW-WB</t>
  </si>
  <si>
    <t>KH-SW-W21</t>
  </si>
  <si>
    <t>KH-SW-W10</t>
  </si>
  <si>
    <t>KHS-SW-W1</t>
  </si>
  <si>
    <t>KH-RZ</t>
  </si>
  <si>
    <t>GH-IS</t>
  </si>
  <si>
    <t>GH-CE</t>
  </si>
  <si>
    <t>DT-MR</t>
  </si>
  <si>
    <t>DT-HE-4</t>
  </si>
  <si>
    <t>DT-HE-3</t>
  </si>
  <si>
    <t>DT-GRA</t>
  </si>
  <si>
    <t>CT-VC</t>
  </si>
  <si>
    <t>CT-TR-RTS</t>
  </si>
  <si>
    <t>CT-TR-RT</t>
  </si>
  <si>
    <t>CT-SY</t>
  </si>
  <si>
    <t>CT-OSN-RT</t>
  </si>
  <si>
    <t>CT-OSN-OV</t>
  </si>
  <si>
    <t>CT-OL</t>
  </si>
  <si>
    <t>CT-NO-SQ</t>
  </si>
  <si>
    <t>CT-NO-RT</t>
  </si>
  <si>
    <t>CT-MT-SQ</t>
  </si>
  <si>
    <t>CT-MT-RT</t>
  </si>
  <si>
    <t>CT-MT-RO</t>
  </si>
  <si>
    <t>CT-MD-SQ</t>
  </si>
  <si>
    <t>CT-MD-RT</t>
  </si>
  <si>
    <t>CT-LE</t>
  </si>
  <si>
    <t>CT-KV-SQ</t>
  </si>
  <si>
    <t>CT-GSE-SQ2</t>
  </si>
  <si>
    <t>CT-GSE-SQ</t>
  </si>
  <si>
    <t>CT-GSE-RT2</t>
  </si>
  <si>
    <t>CT-GSE-RT</t>
  </si>
  <si>
    <t>CT-DOV</t>
  </si>
  <si>
    <t>CT-ATD-ST</t>
  </si>
  <si>
    <t>CT-ATD-LA</t>
  </si>
  <si>
    <t>BT-OL-D</t>
  </si>
  <si>
    <t>BT-OL</t>
  </si>
  <si>
    <t>BT-LE-B</t>
  </si>
  <si>
    <t>BT-HE</t>
  </si>
  <si>
    <t>BT-CO</t>
  </si>
  <si>
    <t>B-RVB-SN</t>
  </si>
  <si>
    <t>B-RVB-QN</t>
  </si>
  <si>
    <t>B-RVB-KN</t>
  </si>
  <si>
    <t>ok.</t>
  </si>
  <si>
    <t>B-POL-SN</t>
  </si>
  <si>
    <t>B-POL-QT</t>
  </si>
  <si>
    <t>B-POL-QN</t>
  </si>
  <si>
    <t>B-POL-KT</t>
  </si>
  <si>
    <t>B-POL-KN</t>
  </si>
  <si>
    <t>B-MLT-QT</t>
  </si>
  <si>
    <t>B-MLT-KT</t>
  </si>
  <si>
    <t>Kgs</t>
  </si>
  <si>
    <t>Gms</t>
  </si>
  <si>
    <t>PW(gm)</t>
  </si>
  <si>
    <t>Hcm</t>
  </si>
  <si>
    <t>Bcm</t>
  </si>
  <si>
    <t>Lcm</t>
  </si>
  <si>
    <t>SB/MB</t>
  </si>
  <si>
    <t>MTP SKU Code</t>
  </si>
  <si>
    <t>Remark</t>
  </si>
  <si>
    <t>KG/CBF</t>
  </si>
  <si>
    <t>CBF</t>
  </si>
  <si>
    <t>Diff %</t>
  </si>
  <si>
    <t>Difference</t>
  </si>
  <si>
    <t>Wht (Kgs)</t>
  </si>
  <si>
    <t>Actual.Wht</t>
  </si>
  <si>
    <t>Smal</t>
  </si>
  <si>
    <t>Med</t>
  </si>
  <si>
    <t>Long</t>
  </si>
  <si>
    <t>Sys.Wht</t>
  </si>
  <si>
    <t xml:space="preserve">Theoretical Weight </t>
  </si>
  <si>
    <t>Chg.Wht</t>
  </si>
  <si>
    <t>Total Weight</t>
  </si>
  <si>
    <t>Vol.Wht</t>
  </si>
  <si>
    <t>Box 3 Dimension Details</t>
  </si>
  <si>
    <t>Box 2 Dimension Details</t>
  </si>
  <si>
    <t>Box 1 Dimension Details</t>
  </si>
  <si>
    <t>TU-BKMT</t>
  </si>
  <si>
    <t>SR-CLM-T  </t>
  </si>
  <si>
    <t>CT-TYU.E-MI</t>
  </si>
  <si>
    <t>WA-NBA.P-DW</t>
  </si>
  <si>
    <t>WA-CCI.P-DW</t>
  </si>
  <si>
    <t>WT-EA</t>
  </si>
  <si>
    <t>TU-RE-ST</t>
  </si>
  <si>
    <t>TU-NVH-ST</t>
  </si>
  <si>
    <t>TU-NL</t>
  </si>
  <si>
    <t>TU-DAR</t>
  </si>
  <si>
    <t>TU-CBR-ST</t>
  </si>
  <si>
    <t>TU-ARO-ST</t>
  </si>
  <si>
    <t>S-TW12-S4</t>
  </si>
  <si>
    <t>ST-GSE-WMSW</t>
  </si>
  <si>
    <t>ST-GSE-WMSN</t>
  </si>
  <si>
    <t>ST-GSE-WMN</t>
  </si>
  <si>
    <t>ST-GSE-LA</t>
  </si>
  <si>
    <t>S-TCW-8P2</t>
  </si>
  <si>
    <t>S-RY</t>
  </si>
  <si>
    <t>SL-VE-P</t>
  </si>
  <si>
    <t>SL-VE-18</t>
  </si>
  <si>
    <t>S-LC</t>
  </si>
  <si>
    <t>SB-SML</t>
  </si>
  <si>
    <t>RH-SU-4</t>
  </si>
  <si>
    <t>RH-SU-2-2</t>
  </si>
  <si>
    <t>PC-SM-S</t>
  </si>
  <si>
    <t>PC-SM-L</t>
  </si>
  <si>
    <t>M-AK-B</t>
  </si>
  <si>
    <t>LT-GRA</t>
  </si>
  <si>
    <t>LT-NN-WN</t>
  </si>
  <si>
    <t>KH-AM</t>
  </si>
  <si>
    <t>CT-TR-RTL</t>
  </si>
  <si>
    <t>CMB-RELO</t>
  </si>
  <si>
    <t>BT-LE-S</t>
  </si>
  <si>
    <t>KG/CBN</t>
  </si>
  <si>
    <t>CBN</t>
  </si>
  <si>
    <t>Wht(Kgs)</t>
  </si>
  <si>
    <t>MANUAL ENTRIES HERE</t>
  </si>
  <si>
    <t>Phys.Wht</t>
  </si>
  <si>
    <t>Lcm2</t>
  </si>
  <si>
    <t>Bcm3</t>
  </si>
  <si>
    <t>Hcm4</t>
  </si>
  <si>
    <t>PW(gm)5</t>
  </si>
  <si>
    <t>Lcm6</t>
  </si>
  <si>
    <t>Bcm7</t>
  </si>
  <si>
    <t>Hcm8</t>
  </si>
  <si>
    <t>PW(gm)9</t>
  </si>
  <si>
    <t>Column15</t>
  </si>
  <si>
    <t>Kgs10</t>
  </si>
  <si>
    <t>Column11</t>
  </si>
  <si>
    <t>Column12</t>
  </si>
  <si>
    <t>Column13</t>
  </si>
  <si>
    <t>Column14</t>
  </si>
  <si>
    <t>Column16</t>
  </si>
  <si>
    <t>x</t>
  </si>
  <si>
    <t>`</t>
  </si>
  <si>
    <t>CT-ATD</t>
  </si>
  <si>
    <t>FT-EDR</t>
  </si>
  <si>
    <t>LT-FN</t>
  </si>
  <si>
    <t>PF-MIS-RT</t>
  </si>
  <si>
    <t>PF-NAH-RO</t>
  </si>
  <si>
    <t>RT-FR</t>
  </si>
  <si>
    <t>S-BR-F6</t>
  </si>
  <si>
    <t>S-CRF</t>
  </si>
  <si>
    <t>S-FE-W2</t>
  </si>
  <si>
    <t>ST-EFI-LA</t>
  </si>
  <si>
    <t>ST-EFI-ST</t>
  </si>
  <si>
    <t>ST-GSE-WMSF</t>
  </si>
  <si>
    <t>TS-FV</t>
  </si>
  <si>
    <t>WA-FBA.P-DW</t>
  </si>
  <si>
    <t>KC-OPT-2N</t>
  </si>
  <si>
    <t>KC-OPT-2S</t>
  </si>
  <si>
    <t>SR-MVS-I</t>
  </si>
  <si>
    <t>SR-MVS-T</t>
  </si>
  <si>
    <t>TU-SKDL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</si>
</sst>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0.0"/>
    <numFmt numFmtId="168" formatCode="_(* #,##0.00_);_(* \(#,##0.00\);_(* &quot;-&quot;??_);_(@_)"/>
    <numFmt numFmtId="169" formatCode="0.000"/>
    <numFmt numFmtId="170" formatCode="0.0%"/>
    <numFmt numFmtId="171" formatCode="_ * #,##0.00000_ ;_ * \-#,##0.00000_ ;_ * &quot;-&quot;??_ ;_ @_ "/>
    <numFmt numFmtId="172" formatCode="_ * #,##0.00000000_ ;_ * \-#,##0.00000000_ ;_ * &quot;-&quot;??_ ;_ @_ "/>
    <numFmt numFmtId="173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444444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239">
    <xf numFmtId="0" fontId="0" fillId="0" borderId="0" xfId="0"/>
    <xf numFmtId="0" fontId="2" fillId="0" borderId="0" xfId="0" applyFont="1"/>
    <xf numFmtId="2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165" fontId="2" fillId="3" borderId="0" xfId="1" applyNumberFormat="1" applyFont="1" applyFill="1" applyAlignment="1">
      <alignment horizontal="right"/>
    </xf>
    <xf numFmtId="166" fontId="2" fillId="4" borderId="0" xfId="1" applyNumberFormat="1" applyFont="1" applyFill="1" applyAlignment="1">
      <alignment horizontal="right" vertical="center"/>
    </xf>
    <xf numFmtId="166" fontId="2" fillId="4" borderId="0" xfId="1" applyNumberFormat="1" applyFont="1" applyFill="1" applyAlignment="1">
      <alignment horizontal="center" vertical="center"/>
    </xf>
    <xf numFmtId="166" fontId="2" fillId="5" borderId="0" xfId="1" applyNumberFormat="1" applyFont="1" applyFill="1" applyAlignment="1">
      <alignment horizontal="right" vertical="center"/>
    </xf>
    <xf numFmtId="167" fontId="2" fillId="6" borderId="0" xfId="1" applyNumberFormat="1" applyFont="1" applyFill="1" applyAlignment="1">
      <alignment horizontal="right" vertical="center"/>
    </xf>
    <xf numFmtId="166" fontId="2" fillId="7" borderId="0" xfId="1" applyNumberFormat="1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8" fontId="3" fillId="4" borderId="1" xfId="1" applyNumberFormat="1" applyFont="1" applyFill="1" applyBorder="1" applyAlignment="1">
      <alignment horizontal="right" vertical="center"/>
    </xf>
    <xf numFmtId="168" fontId="3" fillId="4" borderId="2" xfId="1" applyNumberFormat="1" applyFont="1" applyFill="1" applyBorder="1" applyAlignment="1">
      <alignment horizontal="right" vertical="center"/>
    </xf>
    <xf numFmtId="166" fontId="3" fillId="4" borderId="2" xfId="1" applyNumberFormat="1" applyFont="1" applyFill="1" applyBorder="1" applyAlignment="1">
      <alignment horizontal="right" vertical="center"/>
    </xf>
    <xf numFmtId="168" fontId="3" fillId="4" borderId="1" xfId="1" applyNumberFormat="1" applyFont="1" applyFill="1" applyBorder="1" applyAlignment="1">
      <alignment horizontal="center" vertical="center"/>
    </xf>
    <xf numFmtId="1" fontId="2" fillId="5" borderId="3" xfId="1" applyNumberFormat="1" applyFont="1" applyFill="1" applyBorder="1" applyAlignment="1">
      <alignment horizontal="right" vertical="center"/>
    </xf>
    <xf numFmtId="1" fontId="2" fillId="6" borderId="3" xfId="1" applyNumberFormat="1" applyFont="1" applyFill="1" applyBorder="1" applyAlignment="1">
      <alignment horizontal="right" vertical="center"/>
    </xf>
    <xf numFmtId="0" fontId="2" fillId="8" borderId="4" xfId="0" applyFont="1" applyFill="1" applyBorder="1" applyAlignment="1">
      <alignment horizontal="center"/>
    </xf>
    <xf numFmtId="1" fontId="4" fillId="9" borderId="5" xfId="0" applyNumberFormat="1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2" xfId="0" applyFont="1" applyBorder="1"/>
    <xf numFmtId="0" fontId="2" fillId="0" borderId="8" xfId="0" applyFont="1" applyBorder="1"/>
    <xf numFmtId="0" fontId="2" fillId="0" borderId="9" xfId="0" applyFont="1" applyBorder="1"/>
    <xf numFmtId="0" fontId="2" fillId="8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4" fillId="10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8" borderId="17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0" fontId="2" fillId="8" borderId="18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left"/>
    </xf>
    <xf numFmtId="0" fontId="6" fillId="0" borderId="0" xfId="0" applyFont="1"/>
    <xf numFmtId="0" fontId="3" fillId="0" borderId="20" xfId="0" applyFont="1" applyBorder="1" applyAlignment="1">
      <alignment horizontal="center"/>
    </xf>
    <xf numFmtId="0" fontId="7" fillId="0" borderId="21" xfId="0" applyFont="1" applyBorder="1"/>
    <xf numFmtId="0" fontId="7" fillId="0" borderId="2" xfId="0" applyFont="1" applyBorder="1"/>
    <xf numFmtId="2" fontId="2" fillId="2" borderId="2" xfId="2" applyNumberFormat="1" applyFont="1" applyFill="1" applyBorder="1" applyAlignment="1">
      <alignment horizontal="right"/>
    </xf>
    <xf numFmtId="169" fontId="2" fillId="2" borderId="2" xfId="2" applyNumberFormat="1" applyFont="1" applyFill="1" applyBorder="1" applyAlignment="1">
      <alignment horizontal="right"/>
    </xf>
    <xf numFmtId="170" fontId="2" fillId="3" borderId="2" xfId="2" applyNumberFormat="1" applyFont="1" applyFill="1" applyBorder="1" applyAlignment="1">
      <alignment horizontal="right"/>
    </xf>
    <xf numFmtId="166" fontId="2" fillId="3" borderId="2" xfId="0" applyNumberFormat="1" applyFont="1" applyFill="1" applyBorder="1" applyAlignment="1">
      <alignment horizontal="right"/>
    </xf>
    <xf numFmtId="165" fontId="2" fillId="3" borderId="1" xfId="1" applyNumberFormat="1" applyFont="1" applyFill="1" applyBorder="1" applyAlignment="1">
      <alignment horizontal="right"/>
    </xf>
    <xf numFmtId="0" fontId="8" fillId="0" borderId="0" xfId="0" applyFont="1"/>
    <xf numFmtId="0" fontId="4" fillId="9" borderId="6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9" fillId="0" borderId="21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4" fillId="9" borderId="5" xfId="0" applyFont="1" applyFill="1" applyBorder="1" applyAlignment="1">
      <alignment horizontal="right"/>
    </xf>
    <xf numFmtId="171" fontId="2" fillId="0" borderId="0" xfId="0" applyNumberFormat="1" applyFont="1"/>
    <xf numFmtId="172" fontId="2" fillId="0" borderId="0" xfId="0" applyNumberFormat="1" applyFont="1"/>
    <xf numFmtId="166" fontId="2" fillId="4" borderId="2" xfId="1" applyNumberFormat="1" applyFont="1" applyFill="1" applyBorder="1" applyAlignment="1">
      <alignment horizontal="right" vertical="center"/>
    </xf>
    <xf numFmtId="43" fontId="2" fillId="0" borderId="0" xfId="0" applyNumberFormat="1" applyFont="1"/>
    <xf numFmtId="0" fontId="2" fillId="12" borderId="0" xfId="0" applyFont="1" applyFill="1"/>
    <xf numFmtId="2" fontId="2" fillId="12" borderId="2" xfId="2" applyNumberFormat="1" applyFont="1" applyFill="1" applyBorder="1" applyAlignment="1">
      <alignment horizontal="right"/>
    </xf>
    <xf numFmtId="169" fontId="2" fillId="12" borderId="2" xfId="2" applyNumberFormat="1" applyFont="1" applyFill="1" applyBorder="1" applyAlignment="1">
      <alignment horizontal="right"/>
    </xf>
    <xf numFmtId="170" fontId="2" fillId="12" borderId="2" xfId="2" applyNumberFormat="1" applyFont="1" applyFill="1" applyBorder="1" applyAlignment="1">
      <alignment horizontal="right"/>
    </xf>
    <xf numFmtId="166" fontId="2" fillId="12" borderId="2" xfId="0" applyNumberFormat="1" applyFont="1" applyFill="1" applyBorder="1" applyAlignment="1">
      <alignment horizontal="right"/>
    </xf>
    <xf numFmtId="165" fontId="2" fillId="12" borderId="1" xfId="1" applyNumberFormat="1" applyFont="1" applyFill="1" applyBorder="1" applyAlignment="1">
      <alignment horizontal="right"/>
    </xf>
    <xf numFmtId="168" fontId="3" fillId="12" borderId="1" xfId="1" applyNumberFormat="1" applyFont="1" applyFill="1" applyBorder="1" applyAlignment="1">
      <alignment horizontal="right" vertical="center"/>
    </xf>
    <xf numFmtId="168" fontId="3" fillId="12" borderId="2" xfId="1" applyNumberFormat="1" applyFont="1" applyFill="1" applyBorder="1" applyAlignment="1">
      <alignment horizontal="right" vertical="center"/>
    </xf>
    <xf numFmtId="166" fontId="3" fillId="12" borderId="2" xfId="1" applyNumberFormat="1" applyFont="1" applyFill="1" applyBorder="1" applyAlignment="1">
      <alignment horizontal="right" vertical="center"/>
    </xf>
    <xf numFmtId="168" fontId="3" fillId="12" borderId="1" xfId="1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21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left"/>
    </xf>
    <xf numFmtId="0" fontId="4" fillId="1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166" fontId="11" fillId="4" borderId="1" xfId="1" applyNumberFormat="1" applyFont="1" applyFill="1" applyBorder="1" applyAlignment="1">
      <alignment horizontal="right" vertical="center"/>
    </xf>
    <xf numFmtId="166" fontId="11" fillId="4" borderId="2" xfId="1" applyNumberFormat="1" applyFont="1" applyFill="1" applyBorder="1" applyAlignment="1">
      <alignment horizontal="right" vertical="center"/>
    </xf>
    <xf numFmtId="166" fontId="11" fillId="4" borderId="1" xfId="1" applyNumberFormat="1" applyFont="1" applyFill="1" applyBorder="1" applyAlignment="1">
      <alignment horizontal="center" vertical="center"/>
    </xf>
    <xf numFmtId="166" fontId="2" fillId="5" borderId="2" xfId="1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167" fontId="2" fillId="6" borderId="2" xfId="1" applyNumberFormat="1" applyFont="1" applyFill="1" applyBorder="1" applyAlignment="1">
      <alignment horizontal="right" vertical="center"/>
    </xf>
    <xf numFmtId="167" fontId="2" fillId="6" borderId="2" xfId="0" applyNumberFormat="1" applyFont="1" applyFill="1" applyBorder="1" applyAlignment="1">
      <alignment horizontal="right" vertical="center"/>
    </xf>
    <xf numFmtId="166" fontId="2" fillId="7" borderId="2" xfId="1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166" fontId="11" fillId="4" borderId="22" xfId="1" applyNumberFormat="1" applyFont="1" applyFill="1" applyBorder="1" applyAlignment="1">
      <alignment horizontal="right" vertical="center"/>
    </xf>
    <xf numFmtId="166" fontId="11" fillId="4" borderId="22" xfId="1" applyNumberFormat="1" applyFont="1" applyFill="1" applyBorder="1" applyAlignment="1">
      <alignment horizontal="center" vertical="center"/>
    </xf>
    <xf numFmtId="2" fontId="2" fillId="2" borderId="6" xfId="1" applyNumberFormat="1" applyFont="1" applyFill="1" applyBorder="1" applyAlignment="1">
      <alignment horizontal="right"/>
    </xf>
    <xf numFmtId="165" fontId="2" fillId="2" borderId="6" xfId="1" applyNumberFormat="1" applyFont="1" applyFill="1" applyBorder="1" applyAlignment="1">
      <alignment horizontal="right"/>
    </xf>
    <xf numFmtId="165" fontId="2" fillId="3" borderId="23" xfId="1" applyNumberFormat="1" applyFont="1" applyFill="1" applyBorder="1" applyAlignment="1">
      <alignment horizontal="right"/>
    </xf>
    <xf numFmtId="166" fontId="11" fillId="4" borderId="19" xfId="1" applyNumberFormat="1" applyFont="1" applyFill="1" applyBorder="1" applyAlignment="1">
      <alignment horizontal="right" vertical="center"/>
    </xf>
    <xf numFmtId="166" fontId="11" fillId="4" borderId="1" xfId="1" applyNumberFormat="1" applyFont="1" applyFill="1" applyBorder="1" applyAlignment="1">
      <alignment horizontal="center" vertical="center"/>
    </xf>
    <xf numFmtId="166" fontId="11" fillId="4" borderId="24" xfId="1" applyNumberFormat="1" applyFont="1" applyFill="1" applyBorder="1" applyAlignment="1">
      <alignment horizontal="center" vertical="center"/>
    </xf>
    <xf numFmtId="166" fontId="11" fillId="5" borderId="2" xfId="1" applyNumberFormat="1" applyFont="1" applyFill="1" applyBorder="1" applyAlignment="1">
      <alignment horizontal="right" vertical="center"/>
    </xf>
    <xf numFmtId="167" fontId="11" fillId="6" borderId="2" xfId="1" applyNumberFormat="1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1" fontId="2" fillId="6" borderId="0" xfId="1" applyNumberFormat="1" applyFont="1" applyFill="1" applyAlignment="1">
      <alignment horizontal="right" vertical="center"/>
    </xf>
    <xf numFmtId="169" fontId="2" fillId="2" borderId="6" xfId="2" applyNumberFormat="1" applyFont="1" applyFill="1" applyBorder="1" applyAlignment="1">
      <alignment horizontal="right"/>
    </xf>
    <xf numFmtId="168" fontId="3" fillId="4" borderId="19" xfId="1" applyNumberFormat="1" applyFont="1" applyFill="1" applyBorder="1" applyAlignment="1">
      <alignment horizontal="right" vertical="center"/>
    </xf>
    <xf numFmtId="166" fontId="3" fillId="4" borderId="19" xfId="1" applyNumberFormat="1" applyFont="1" applyFill="1" applyBorder="1" applyAlignment="1">
      <alignment horizontal="right" vertical="center"/>
    </xf>
    <xf numFmtId="166" fontId="2" fillId="5" borderId="19" xfId="1" applyNumberFormat="1" applyFont="1" applyFill="1" applyBorder="1" applyAlignment="1">
      <alignment horizontal="right" vertical="center"/>
    </xf>
    <xf numFmtId="1" fontId="2" fillId="6" borderId="19" xfId="1" applyNumberFormat="1" applyFont="1" applyFill="1" applyBorder="1" applyAlignment="1">
      <alignment horizontal="right" vertical="center"/>
    </xf>
    <xf numFmtId="167" fontId="2" fillId="6" borderId="19" xfId="1" applyNumberFormat="1" applyFont="1" applyFill="1" applyBorder="1" applyAlignment="1">
      <alignment horizontal="right" vertical="center"/>
    </xf>
    <xf numFmtId="0" fontId="2" fillId="7" borderId="9" xfId="1" applyNumberFormat="1" applyFont="1" applyFill="1" applyBorder="1" applyAlignment="1">
      <alignment horizontal="right" vertical="center"/>
    </xf>
    <xf numFmtId="0" fontId="12" fillId="8" borderId="19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1" fontId="2" fillId="7" borderId="9" xfId="0" applyNumberFormat="1" applyFont="1" applyFill="1" applyBorder="1" applyAlignment="1">
      <alignment horizontal="right" vertical="center"/>
    </xf>
    <xf numFmtId="0" fontId="2" fillId="7" borderId="25" xfId="1" applyNumberFormat="1" applyFont="1" applyFill="1" applyBorder="1" applyAlignment="1">
      <alignment horizontal="right" vertical="center"/>
    </xf>
    <xf numFmtId="1" fontId="2" fillId="7" borderId="25" xfId="0" applyNumberFormat="1" applyFont="1" applyFill="1" applyBorder="1" applyAlignment="1">
      <alignment horizontal="right" vertical="center"/>
    </xf>
    <xf numFmtId="166" fontId="2" fillId="7" borderId="19" xfId="1" applyNumberFormat="1" applyFont="1" applyFill="1" applyBorder="1" applyAlignment="1">
      <alignment horizontal="right" vertical="center"/>
    </xf>
    <xf numFmtId="0" fontId="2" fillId="7" borderId="19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3" fillId="0" borderId="19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/>
    </xf>
    <xf numFmtId="0" fontId="2" fillId="0" borderId="19" xfId="0" applyFont="1" applyBorder="1" applyAlignment="1">
      <alignment horizontal="left" vertical="center" wrapText="1"/>
    </xf>
    <xf numFmtId="0" fontId="2" fillId="0" borderId="19" xfId="3" applyFont="1" applyBorder="1" applyAlignment="1">
      <alignment horizontal="left"/>
    </xf>
    <xf numFmtId="0" fontId="2" fillId="0" borderId="19" xfId="0" applyFont="1" applyBorder="1" applyAlignment="1">
      <alignment horizontal="left" vertical="center"/>
    </xf>
    <xf numFmtId="0" fontId="2" fillId="2" borderId="6" xfId="0" applyFont="1" applyFill="1" applyBorder="1" applyAlignment="1">
      <alignment horizontal="right"/>
    </xf>
    <xf numFmtId="0" fontId="2" fillId="5" borderId="19" xfId="0" applyFont="1" applyFill="1" applyBorder="1" applyAlignment="1">
      <alignment horizontal="right" vertical="center"/>
    </xf>
    <xf numFmtId="167" fontId="2" fillId="6" borderId="19" xfId="0" applyNumberFormat="1" applyFont="1" applyFill="1" applyBorder="1" applyAlignment="1">
      <alignment horizontal="right" vertical="center"/>
    </xf>
    <xf numFmtId="0" fontId="2" fillId="0" borderId="19" xfId="0" applyFont="1" applyBorder="1" applyAlignment="1">
      <alignment horizontal="center"/>
    </xf>
    <xf numFmtId="166" fontId="11" fillId="4" borderId="19" xfId="1" applyNumberFormat="1" applyFont="1" applyFill="1" applyBorder="1" applyAlignment="1">
      <alignment horizontal="right" vertical="center"/>
    </xf>
    <xf numFmtId="166" fontId="11" fillId="5" borderId="19" xfId="1" applyNumberFormat="1" applyFont="1" applyFill="1" applyBorder="1" applyAlignment="1">
      <alignment horizontal="right" vertical="center"/>
    </xf>
    <xf numFmtId="167" fontId="11" fillId="6" borderId="19" xfId="1" applyNumberFormat="1" applyFont="1" applyFill="1" applyBorder="1" applyAlignment="1">
      <alignment horizontal="right" vertical="center"/>
    </xf>
    <xf numFmtId="0" fontId="11" fillId="7" borderId="19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left"/>
    </xf>
    <xf numFmtId="1" fontId="11" fillId="7" borderId="19" xfId="0" applyNumberFormat="1" applyFont="1" applyFill="1" applyBorder="1" applyAlignment="1">
      <alignment horizontal="center" vertical="center"/>
    </xf>
    <xf numFmtId="1" fontId="11" fillId="6" borderId="19" xfId="1" applyNumberFormat="1" applyFont="1" applyFill="1" applyBorder="1" applyAlignment="1">
      <alignment horizontal="right" vertical="center"/>
    </xf>
    <xf numFmtId="1" fontId="11" fillId="5" borderId="19" xfId="1" applyNumberFormat="1" applyFont="1" applyFill="1" applyBorder="1" applyAlignment="1">
      <alignment horizontal="right" vertical="center"/>
    </xf>
    <xf numFmtId="165" fontId="2" fillId="13" borderId="6" xfId="1" applyNumberFormat="1" applyFont="1" applyFill="1" applyBorder="1" applyAlignment="1">
      <alignment horizontal="right"/>
    </xf>
    <xf numFmtId="166" fontId="11" fillId="13" borderId="24" xfId="1" applyNumberFormat="1" applyFont="1" applyFill="1" applyBorder="1" applyAlignment="1">
      <alignment horizontal="center" vertical="center"/>
    </xf>
    <xf numFmtId="166" fontId="11" fillId="13" borderId="19" xfId="1" applyNumberFormat="1" applyFont="1" applyFill="1" applyBorder="1" applyAlignment="1">
      <alignment horizontal="center" vertical="center"/>
    </xf>
    <xf numFmtId="166" fontId="11" fillId="13" borderId="19" xfId="1" applyNumberFormat="1" applyFont="1" applyFill="1" applyBorder="1" applyAlignment="1">
      <alignment horizontal="right" vertical="center"/>
    </xf>
    <xf numFmtId="165" fontId="2" fillId="3" borderId="19" xfId="1" applyNumberFormat="1" applyFont="1" applyFill="1" applyBorder="1" applyAlignment="1">
      <alignment horizontal="right"/>
    </xf>
    <xf numFmtId="1" fontId="2" fillId="7" borderId="19" xfId="0" applyNumberFormat="1" applyFont="1" applyFill="1" applyBorder="1" applyAlignment="1">
      <alignment horizontal="right" vertical="center"/>
    </xf>
    <xf numFmtId="0" fontId="2" fillId="7" borderId="19" xfId="1" applyNumberFormat="1" applyFont="1" applyFill="1" applyBorder="1" applyAlignment="1">
      <alignment horizontal="right" vertical="center"/>
    </xf>
    <xf numFmtId="1" fontId="2" fillId="5" borderId="19" xfId="1" applyNumberFormat="1" applyFont="1" applyFill="1" applyBorder="1" applyAlignment="1">
      <alignment horizontal="right" vertical="center"/>
    </xf>
    <xf numFmtId="0" fontId="2" fillId="13" borderId="6" xfId="0" applyFont="1" applyFill="1" applyBorder="1" applyAlignment="1">
      <alignment horizontal="right"/>
    </xf>
    <xf numFmtId="173" fontId="11" fillId="13" borderId="22" xfId="1" applyNumberFormat="1" applyFont="1" applyFill="1" applyBorder="1" applyAlignment="1">
      <alignment horizontal="right" vertical="center"/>
    </xf>
    <xf numFmtId="165" fontId="2" fillId="3" borderId="19" xfId="1" applyNumberFormat="1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1" fontId="2" fillId="14" borderId="19" xfId="0" applyNumberFormat="1" applyFont="1" applyFill="1" applyBorder="1" applyAlignment="1">
      <alignment horizontal="center" vertical="center"/>
    </xf>
    <xf numFmtId="0" fontId="2" fillId="14" borderId="19" xfId="1" applyNumberFormat="1" applyFont="1" applyFill="1" applyBorder="1" applyAlignment="1">
      <alignment horizontal="right" vertical="center"/>
    </xf>
    <xf numFmtId="1" fontId="2" fillId="14" borderId="19" xfId="1" applyNumberFormat="1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/>
    </xf>
    <xf numFmtId="166" fontId="11" fillId="13" borderId="1" xfId="1" applyNumberFormat="1" applyFont="1" applyFill="1" applyBorder="1" applyAlignment="1">
      <alignment horizontal="center" vertical="center"/>
    </xf>
    <xf numFmtId="166" fontId="11" fillId="13" borderId="19" xfId="1" applyNumberFormat="1" applyFont="1" applyFill="1" applyBorder="1" applyAlignment="1">
      <alignment horizontal="center" vertical="center"/>
    </xf>
    <xf numFmtId="165" fontId="2" fillId="14" borderId="19" xfId="1" applyNumberFormat="1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  <xf numFmtId="2" fontId="2" fillId="14" borderId="2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" fontId="4" fillId="9" borderId="18" xfId="0" applyNumberFormat="1" applyFont="1" applyFill="1" applyBorder="1" applyAlignment="1">
      <alignment horizontal="center"/>
    </xf>
    <xf numFmtId="0" fontId="4" fillId="9" borderId="18" xfId="0" applyFont="1" applyFill="1" applyBorder="1" applyAlignment="1">
      <alignment horizontal="right"/>
    </xf>
    <xf numFmtId="1" fontId="4" fillId="11" borderId="18" xfId="0" applyNumberFormat="1" applyFont="1" applyFill="1" applyBorder="1" applyAlignment="1">
      <alignment horizontal="center"/>
    </xf>
    <xf numFmtId="1" fontId="4" fillId="10" borderId="18" xfId="0" applyNumberFormat="1" applyFont="1" applyFill="1" applyBorder="1" applyAlignment="1">
      <alignment horizontal="center"/>
    </xf>
    <xf numFmtId="169" fontId="2" fillId="13" borderId="6" xfId="2" applyNumberFormat="1" applyFont="1" applyFill="1" applyBorder="1" applyAlignment="1">
      <alignment horizontal="right"/>
    </xf>
    <xf numFmtId="168" fontId="3" fillId="13" borderId="1" xfId="1" applyNumberFormat="1" applyFont="1" applyFill="1" applyBorder="1" applyAlignment="1">
      <alignment horizontal="right" vertical="center"/>
    </xf>
    <xf numFmtId="166" fontId="3" fillId="13" borderId="19" xfId="1" applyNumberFormat="1" applyFont="1" applyFill="1" applyBorder="1" applyAlignment="1">
      <alignment horizontal="right" vertical="center"/>
    </xf>
    <xf numFmtId="168" fontId="3" fillId="13" borderId="19" xfId="1" applyNumberFormat="1" applyFont="1" applyFill="1" applyBorder="1" applyAlignment="1">
      <alignment horizontal="right" vertical="center"/>
    </xf>
    <xf numFmtId="166" fontId="2" fillId="3" borderId="19" xfId="0" applyNumberFormat="1" applyFont="1" applyFill="1" applyBorder="1" applyAlignment="1">
      <alignment horizontal="right"/>
    </xf>
    <xf numFmtId="170" fontId="2" fillId="3" borderId="19" xfId="2" applyNumberFormat="1" applyFont="1" applyFill="1" applyBorder="1" applyAlignment="1">
      <alignment horizontal="right"/>
    </xf>
    <xf numFmtId="0" fontId="4" fillId="0" borderId="26" xfId="0" applyFont="1" applyBorder="1" applyAlignment="1">
      <alignment horizontal="center"/>
    </xf>
    <xf numFmtId="1" fontId="4" fillId="9" borderId="27" xfId="0" applyNumberFormat="1" applyFont="1" applyFill="1" applyBorder="1" applyAlignment="1">
      <alignment horizontal="center"/>
    </xf>
    <xf numFmtId="0" fontId="4" fillId="9" borderId="27" xfId="0" applyFont="1" applyFill="1" applyBorder="1" applyAlignment="1">
      <alignment horizontal="right"/>
    </xf>
    <xf numFmtId="1" fontId="4" fillId="11" borderId="27" xfId="0" applyNumberFormat="1" applyFont="1" applyFill="1" applyBorder="1" applyAlignment="1">
      <alignment horizontal="center"/>
    </xf>
    <xf numFmtId="1" fontId="4" fillId="10" borderId="27" xfId="0" applyNumberFormat="1" applyFont="1" applyFill="1" applyBorder="1" applyAlignment="1">
      <alignment horizontal="center"/>
    </xf>
    <xf numFmtId="166" fontId="2" fillId="13" borderId="19" xfId="1" applyNumberFormat="1" applyFont="1" applyFill="1" applyBorder="1" applyAlignment="1">
      <alignment horizontal="right" vertical="center"/>
    </xf>
    <xf numFmtId="0" fontId="2" fillId="12" borderId="19" xfId="0" applyFont="1" applyFill="1" applyBorder="1" applyAlignment="1">
      <alignment horizontal="left"/>
    </xf>
    <xf numFmtId="0" fontId="4" fillId="12" borderId="26" xfId="0" applyFont="1" applyFill="1" applyBorder="1" applyAlignment="1">
      <alignment horizontal="center"/>
    </xf>
    <xf numFmtId="1" fontId="4" fillId="15" borderId="27" xfId="0" applyNumberFormat="1" applyFont="1" applyFill="1" applyBorder="1" applyAlignment="1">
      <alignment horizontal="center"/>
    </xf>
    <xf numFmtId="0" fontId="4" fillId="15" borderId="27" xfId="0" applyFont="1" applyFill="1" applyBorder="1" applyAlignment="1">
      <alignment horizontal="right"/>
    </xf>
    <xf numFmtId="169" fontId="2" fillId="12" borderId="6" xfId="2" applyNumberFormat="1" applyFont="1" applyFill="1" applyBorder="1" applyAlignment="1">
      <alignment horizontal="right"/>
    </xf>
    <xf numFmtId="166" fontId="2" fillId="12" borderId="19" xfId="1" applyNumberFormat="1" applyFont="1" applyFill="1" applyBorder="1" applyAlignment="1">
      <alignment horizontal="right" vertical="center"/>
    </xf>
    <xf numFmtId="168" fontId="3" fillId="12" borderId="19" xfId="1" applyNumberFormat="1" applyFont="1" applyFill="1" applyBorder="1" applyAlignment="1">
      <alignment horizontal="right" vertical="center"/>
    </xf>
    <xf numFmtId="165" fontId="2" fillId="12" borderId="19" xfId="1" applyNumberFormat="1" applyFont="1" applyFill="1" applyBorder="1" applyAlignment="1">
      <alignment horizontal="right"/>
    </xf>
    <xf numFmtId="166" fontId="2" fillId="12" borderId="19" xfId="0" applyNumberFormat="1" applyFont="1" applyFill="1" applyBorder="1" applyAlignment="1">
      <alignment horizontal="right"/>
    </xf>
    <xf numFmtId="170" fontId="2" fillId="12" borderId="19" xfId="2" applyNumberFormat="1" applyFont="1" applyFill="1" applyBorder="1" applyAlignment="1">
      <alignment horizontal="right"/>
    </xf>
    <xf numFmtId="0" fontId="14" fillId="12" borderId="19" xfId="0" applyFont="1" applyFill="1" applyBorder="1" applyAlignment="1">
      <alignment horizontal="left" vertical="center"/>
    </xf>
    <xf numFmtId="0" fontId="9" fillId="15" borderId="27" xfId="0" applyFont="1" applyFill="1" applyBorder="1" applyAlignment="1">
      <alignment horizontal="right"/>
    </xf>
    <xf numFmtId="0" fontId="2" fillId="12" borderId="19" xfId="0" applyFont="1" applyFill="1" applyBorder="1" applyAlignment="1">
      <alignment horizontal="left" vertical="center"/>
    </xf>
    <xf numFmtId="0" fontId="13" fillId="12" borderId="19" xfId="0" applyFont="1" applyFill="1" applyBorder="1" applyAlignment="1">
      <alignment horizontal="left" vertical="center" wrapText="1"/>
    </xf>
    <xf numFmtId="1" fontId="9" fillId="15" borderId="27" xfId="0" applyNumberFormat="1" applyFont="1" applyFill="1" applyBorder="1" applyAlignment="1">
      <alignment horizontal="center"/>
    </xf>
    <xf numFmtId="0" fontId="11" fillId="12" borderId="19" xfId="0" applyFont="1" applyFill="1" applyBorder="1" applyAlignment="1">
      <alignment horizontal="left"/>
    </xf>
    <xf numFmtId="0" fontId="17" fillId="12" borderId="26" xfId="0" applyFont="1" applyFill="1" applyBorder="1" applyAlignment="1">
      <alignment horizontal="center"/>
    </xf>
    <xf numFmtId="1" fontId="17" fillId="15" borderId="27" xfId="0" applyNumberFormat="1" applyFont="1" applyFill="1" applyBorder="1" applyAlignment="1">
      <alignment horizontal="center"/>
    </xf>
    <xf numFmtId="0" fontId="18" fillId="15" borderId="27" xfId="0" applyFont="1" applyFill="1" applyBorder="1" applyAlignment="1">
      <alignment horizontal="right"/>
    </xf>
    <xf numFmtId="169" fontId="11" fillId="12" borderId="6" xfId="2" applyNumberFormat="1" applyFont="1" applyFill="1" applyBorder="1" applyAlignment="1">
      <alignment horizontal="right"/>
    </xf>
    <xf numFmtId="168" fontId="19" fillId="12" borderId="1" xfId="1" applyNumberFormat="1" applyFont="1" applyFill="1" applyBorder="1" applyAlignment="1">
      <alignment horizontal="right" vertical="center"/>
    </xf>
    <xf numFmtId="166" fontId="11" fillId="12" borderId="19" xfId="1" applyNumberFormat="1" applyFont="1" applyFill="1" applyBorder="1" applyAlignment="1">
      <alignment horizontal="right" vertical="center"/>
    </xf>
    <xf numFmtId="168" fontId="19" fillId="12" borderId="19" xfId="1" applyNumberFormat="1" applyFont="1" applyFill="1" applyBorder="1" applyAlignment="1">
      <alignment horizontal="right" vertical="center"/>
    </xf>
    <xf numFmtId="165" fontId="11" fillId="12" borderId="19" xfId="1" applyNumberFormat="1" applyFont="1" applyFill="1" applyBorder="1" applyAlignment="1">
      <alignment horizontal="right"/>
    </xf>
    <xf numFmtId="166" fontId="11" fillId="12" borderId="19" xfId="0" applyNumberFormat="1" applyFont="1" applyFill="1" applyBorder="1" applyAlignment="1">
      <alignment horizontal="right"/>
    </xf>
    <xf numFmtId="170" fontId="11" fillId="12" borderId="19" xfId="2" applyNumberFormat="1" applyFont="1" applyFill="1" applyBorder="1" applyAlignment="1">
      <alignment horizontal="right"/>
    </xf>
    <xf numFmtId="2" fontId="11" fillId="12" borderId="2" xfId="2" applyNumberFormat="1" applyFont="1" applyFill="1" applyBorder="1" applyAlignment="1">
      <alignment horizontal="right"/>
    </xf>
    <xf numFmtId="0" fontId="11" fillId="12" borderId="0" xfId="0" applyFont="1" applyFill="1"/>
    <xf numFmtId="0" fontId="20" fillId="12" borderId="19" xfId="0" applyFont="1" applyFill="1" applyBorder="1" applyAlignment="1">
      <alignment horizontal="left" vertical="center" wrapText="1"/>
    </xf>
    <xf numFmtId="0" fontId="17" fillId="15" borderId="27" xfId="0" applyFont="1" applyFill="1" applyBorder="1" applyAlignment="1">
      <alignment horizontal="right"/>
    </xf>
    <xf numFmtId="0" fontId="9" fillId="9" borderId="27" xfId="0" applyFont="1" applyFill="1" applyBorder="1" applyAlignment="1">
      <alignment horizontal="right"/>
    </xf>
    <xf numFmtId="0" fontId="21" fillId="0" borderId="0" xfId="0" applyFont="1"/>
    <xf numFmtId="0" fontId="8" fillId="0" borderId="2" xfId="0" applyFont="1" applyBorder="1"/>
    <xf numFmtId="0" fontId="3" fillId="0" borderId="26" xfId="0" applyFont="1" applyBorder="1" applyAlignment="1">
      <alignment horizontal="center"/>
    </xf>
    <xf numFmtId="1" fontId="3" fillId="9" borderId="27" xfId="0" applyNumberFormat="1" applyFont="1" applyFill="1" applyBorder="1" applyAlignment="1">
      <alignment horizontal="center"/>
    </xf>
    <xf numFmtId="0" fontId="3" fillId="9" borderId="27" xfId="0" applyFont="1" applyFill="1" applyBorder="1" applyAlignment="1">
      <alignment horizontal="right"/>
    </xf>
    <xf numFmtId="1" fontId="3" fillId="11" borderId="27" xfId="0" applyNumberFormat="1" applyFont="1" applyFill="1" applyBorder="1" applyAlignment="1">
      <alignment horizontal="center"/>
    </xf>
    <xf numFmtId="1" fontId="3" fillId="10" borderId="27" xfId="0" applyNumberFormat="1" applyFont="1" applyFill="1" applyBorder="1" applyAlignment="1">
      <alignment horizontal="center"/>
    </xf>
    <xf numFmtId="0" fontId="3" fillId="0" borderId="2" xfId="0" applyFont="1" applyBorder="1"/>
    <xf numFmtId="0" fontId="3" fillId="0" borderId="21" xfId="0" applyFont="1" applyBorder="1" applyAlignment="1">
      <alignment horizontal="center"/>
    </xf>
    <xf numFmtId="2" fontId="3" fillId="13" borderId="19" xfId="1" applyNumberFormat="1" applyFont="1" applyFill="1" applyBorder="1" applyAlignment="1">
      <alignment horizontal="right" vertical="center"/>
    </xf>
    <xf numFmtId="2" fontId="3" fillId="13" borderId="28" xfId="1" applyNumberFormat="1" applyFont="1" applyFill="1" applyBorder="1" applyAlignment="1">
      <alignment horizontal="right" vertical="center"/>
    </xf>
    <xf numFmtId="168" fontId="3" fillId="13" borderId="28" xfId="1" applyNumberFormat="1" applyFont="1" applyFill="1" applyBorder="1" applyAlignment="1">
      <alignment horizontal="right" vertical="center"/>
    </xf>
    <xf numFmtId="0" fontId="2" fillId="8" borderId="26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left"/>
    </xf>
    <xf numFmtId="0" fontId="2" fillId="8" borderId="30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left"/>
    </xf>
    <xf numFmtId="168" fontId="3" fillId="13" borderId="31" xfId="1" applyNumberFormat="1" applyFont="1" applyFill="1" applyBorder="1" applyAlignment="1">
      <alignment horizontal="right" vertical="center"/>
    </xf>
    <xf numFmtId="165" fontId="2" fillId="3" borderId="0" xfId="1" applyNumberFormat="1" applyFont="1" applyFill="1" applyBorder="1" applyAlignment="1">
      <alignment horizontal="right"/>
    </xf>
    <xf numFmtId="165" fontId="2" fillId="3" borderId="31" xfId="1" applyNumberFormat="1" applyFont="1" applyFill="1" applyBorder="1" applyAlignment="1">
      <alignment horizontal="right"/>
    </xf>
    <xf numFmtId="168" fontId="2" fillId="3" borderId="31" xfId="1" applyNumberFormat="1" applyFont="1" applyFill="1" applyBorder="1" applyAlignment="1">
      <alignment horizontal="right"/>
    </xf>
    <xf numFmtId="2" fontId="2" fillId="2" borderId="31" xfId="1" applyNumberFormat="1" applyFont="1" applyFill="1" applyBorder="1" applyAlignment="1">
      <alignment horizontal="right"/>
    </xf>
    <xf numFmtId="0" fontId="2" fillId="7" borderId="0" xfId="1" applyNumberFormat="1" applyFont="1" applyFill="1" applyBorder="1" applyAlignment="1">
      <alignment horizontal="right" vertical="center"/>
    </xf>
    <xf numFmtId="1" fontId="2" fillId="6" borderId="0" xfId="1" applyNumberFormat="1" applyFont="1" applyFill="1" applyBorder="1" applyAlignment="1">
      <alignment horizontal="right" vertical="center"/>
    </xf>
    <xf numFmtId="1" fontId="2" fillId="5" borderId="0" xfId="1" applyNumberFormat="1" applyFont="1" applyFill="1" applyBorder="1" applyAlignment="1">
      <alignment horizontal="right" vertical="center"/>
    </xf>
    <xf numFmtId="1" fontId="2" fillId="13" borderId="0" xfId="1" applyNumberFormat="1" applyFont="1" applyFill="1" applyBorder="1" applyAlignment="1">
      <alignment horizontal="right"/>
    </xf>
    <xf numFmtId="166" fontId="2" fillId="13" borderId="0" xfId="1" applyNumberFormat="1" applyFont="1" applyFill="1" applyBorder="1" applyAlignment="1">
      <alignment horizontal="right" vertical="center"/>
    </xf>
    <xf numFmtId="1" fontId="2" fillId="7" borderId="0" xfId="0" applyNumberFormat="1" applyFont="1" applyFill="1" applyAlignment="1">
      <alignment horizontal="right" vertical="center"/>
    </xf>
    <xf numFmtId="0" fontId="2" fillId="7" borderId="0" xfId="1" applyNumberFormat="1" applyFont="1" applyFill="1" applyAlignment="1">
      <alignment horizontal="right" vertical="center"/>
    </xf>
    <xf numFmtId="1" fontId="2" fillId="5" borderId="0" xfId="1" applyNumberFormat="1" applyFont="1" applyFill="1" applyAlignment="1">
      <alignment horizontal="right" vertical="center"/>
    </xf>
  </cellXfs>
  <cellStyles count="4">
    <cellStyle name="Comma" xfId="1" builtinId="3"/>
    <cellStyle name="Normal" xfId="0" builtinId="0"/>
    <cellStyle name="Normal 2 3" xfId="3" xr:uid="{9DD0AAEC-AF0F-48C9-802A-39406D6494C4}"/>
    <cellStyle name="Percent" xfId="2" builtinId="5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_(* #,##0_);_(* \(#,##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8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Bluewud-BOMWorking/Shared%20Documents/BOM%20Working/BOM%20Master%20-%20Bluewud.xlsx" TargetMode="External"/><Relationship Id="rId1" Type="http://schemas.openxmlformats.org/officeDocument/2006/relationships/externalLinkPath" Target="https://bluewud-my.sharepoint.com/sites/Bluewud-BOMWorking/Shared%20Documents/BOM%20Working/BOM%20Master%20-%20Bluewu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VaIxOQb2kSXuf5kQ1oQruj7c3_gdlRAsXOvSkaNgh7xD79GbJL9TLDbSHUHUeIh" itemId="01FK7E6YN7LGKBIXJCGVGICGF664HRCZSX">
      <xxl21:absoluteUrl r:id="rId2"/>
    </xxl21:alternateUrls>
    <sheetNames>
      <sheetName val="Index"/>
      <sheetName val="BOM"/>
      <sheetName val="MPP Sys"/>
      <sheetName val="Item data"/>
      <sheetName val="MP"/>
      <sheetName val="Oth Masters"/>
      <sheetName val="Sheet1"/>
      <sheetName val="App "/>
    </sheetNames>
    <sheetDataSet>
      <sheetData sheetId="0">
        <row r="1">
          <cell r="E1" t="str">
            <v>MTP Code</v>
          </cell>
          <cell r="F1" t="str">
            <v>Chck</v>
          </cell>
          <cell r="G1" t="str">
            <v>BOM</v>
          </cell>
          <cell r="H1" t="str">
            <v>BOM.F</v>
          </cell>
          <cell r="I1" t="str">
            <v>Machining</v>
          </cell>
          <cell r="J1" t="str">
            <v>Manpower</v>
          </cell>
          <cell r="K1" t="str">
            <v>Prod. Cost</v>
          </cell>
          <cell r="L1" t="str">
            <v>T.Weight</v>
          </cell>
          <cell r="M1" t="str">
            <v>P.Cost 10.7.23</v>
          </cell>
        </row>
        <row r="2">
          <cell r="E2" t="str">
            <v>SB-AA</v>
          </cell>
          <cell r="F2" t="str">
            <v>Y</v>
          </cell>
          <cell r="G2">
            <v>97.148352099591222</v>
          </cell>
          <cell r="H2">
            <v>67.420500000000004</v>
          </cell>
          <cell r="I2">
            <v>5.1928540000000005</v>
          </cell>
          <cell r="J2">
            <v>8.9313874999999996</v>
          </cell>
          <cell r="K2">
            <v>111.27259359959122</v>
          </cell>
          <cell r="L2">
            <v>1449</v>
          </cell>
          <cell r="M2">
            <v>111</v>
          </cell>
        </row>
        <row r="3">
          <cell r="E3" t="str">
            <v>B-POL-KN</v>
          </cell>
          <cell r="F3" t="str">
            <v>Y</v>
          </cell>
          <cell r="G3">
            <v>3832.4490318764269</v>
          </cell>
          <cell r="H3">
            <v>2933.2158221648888</v>
          </cell>
          <cell r="I3">
            <v>41.2102644</v>
          </cell>
          <cell r="J3">
            <v>0</v>
          </cell>
          <cell r="K3">
            <v>3873.6592962764271</v>
          </cell>
          <cell r="L3">
            <v>70721.918431760001</v>
          </cell>
          <cell r="M3">
            <v>3809</v>
          </cell>
        </row>
        <row r="4">
          <cell r="E4" t="str">
            <v>B-POL-QN</v>
          </cell>
          <cell r="F4" t="str">
            <v>Y</v>
          </cell>
          <cell r="G4">
            <v>3385.6294953711704</v>
          </cell>
          <cell r="H4">
            <v>2484.7019357019394</v>
          </cell>
          <cell r="I4">
            <v>35.953075600000005</v>
          </cell>
          <cell r="J4">
            <v>0</v>
          </cell>
          <cell r="K4">
            <v>3421.5825709711703</v>
          </cell>
          <cell r="L4">
            <v>60043.683832540002</v>
          </cell>
          <cell r="M4">
            <v>3301</v>
          </cell>
        </row>
        <row r="5">
          <cell r="E5" t="str">
            <v>B-RVB-D30N</v>
          </cell>
          <cell r="F5" t="str">
            <v>Y</v>
          </cell>
          <cell r="G5">
            <v>1419</v>
          </cell>
          <cell r="H5" t="e">
            <v>#N/A</v>
          </cell>
          <cell r="I5" t="e">
            <v>#N/A</v>
          </cell>
          <cell r="J5">
            <v>0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E6" t="str">
            <v>B-RVD-DN</v>
          </cell>
          <cell r="F6" t="str">
            <v>Y</v>
          </cell>
          <cell r="G6" t="e">
            <v>#N/A</v>
          </cell>
          <cell r="H6" t="e">
            <v>#N/A</v>
          </cell>
          <cell r="I6" t="e">
            <v>#N/A</v>
          </cell>
          <cell r="J6">
            <v>0</v>
          </cell>
          <cell r="K6" t="e">
            <v>#N/A</v>
          </cell>
          <cell r="L6" t="e">
            <v>#N/A</v>
          </cell>
          <cell r="M6" t="e">
            <v>#N/A</v>
          </cell>
        </row>
        <row r="7">
          <cell r="E7" t="str">
            <v>B-RVD-QN</v>
          </cell>
          <cell r="F7" t="str">
            <v>Y</v>
          </cell>
          <cell r="G7" t="e">
            <v>#N/A</v>
          </cell>
          <cell r="H7" t="e">
            <v>#N/A</v>
          </cell>
          <cell r="I7" t="e">
            <v>#N/A</v>
          </cell>
          <cell r="J7">
            <v>0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E8" t="str">
            <v>BT-BR</v>
          </cell>
          <cell r="F8" t="str">
            <v>Y</v>
          </cell>
          <cell r="G8" t="e">
            <v>#N/A</v>
          </cell>
          <cell r="H8" t="e">
            <v>#N/A</v>
          </cell>
          <cell r="I8" t="e">
            <v>#N/A</v>
          </cell>
          <cell r="J8">
            <v>0</v>
          </cell>
          <cell r="K8" t="e">
            <v>#N/A</v>
          </cell>
          <cell r="L8" t="e">
            <v>#N/A</v>
          </cell>
          <cell r="M8">
            <v>205</v>
          </cell>
        </row>
        <row r="9">
          <cell r="E9" t="str">
            <v>BT-ML</v>
          </cell>
          <cell r="F9" t="str">
            <v>N</v>
          </cell>
          <cell r="G9" t="e">
            <v>#N/A</v>
          </cell>
          <cell r="H9" t="e">
            <v>#N/A</v>
          </cell>
          <cell r="I9" t="e">
            <v>#N/A</v>
          </cell>
          <cell r="J9">
            <v>0</v>
          </cell>
          <cell r="K9" t="e">
            <v>#N/A</v>
          </cell>
          <cell r="L9" t="e">
            <v>#N/A</v>
          </cell>
          <cell r="M9">
            <v>262</v>
          </cell>
        </row>
        <row r="10">
          <cell r="E10" t="str">
            <v>BT-HE</v>
          </cell>
          <cell r="F10" t="str">
            <v>Y</v>
          </cell>
          <cell r="G10">
            <v>694.46505295876921</v>
          </cell>
          <cell r="H10">
            <v>125.75473372799996</v>
          </cell>
          <cell r="I10">
            <v>3.9679359999999999</v>
          </cell>
          <cell r="J10">
            <v>9.553250000000002</v>
          </cell>
          <cell r="K10">
            <v>707.98623895876926</v>
          </cell>
          <cell r="L10">
            <v>4702.7014006487798</v>
          </cell>
          <cell r="M10">
            <v>719</v>
          </cell>
        </row>
        <row r="11">
          <cell r="E11" t="str">
            <v>BT-LE-B</v>
          </cell>
          <cell r="F11" t="str">
            <v>Y</v>
          </cell>
          <cell r="G11">
            <v>643.47807903299986</v>
          </cell>
          <cell r="H11">
            <v>345.47603778299998</v>
          </cell>
          <cell r="I11">
            <v>7.1580880000000002</v>
          </cell>
          <cell r="J11">
            <v>11.3936025</v>
          </cell>
          <cell r="K11">
            <v>662.02976953299992</v>
          </cell>
          <cell r="L11">
            <v>8821.9178117100982</v>
          </cell>
          <cell r="M11">
            <v>700</v>
          </cell>
        </row>
        <row r="12">
          <cell r="E12" t="str">
            <v>BT-LE-S</v>
          </cell>
          <cell r="F12" t="str">
            <v>Y</v>
          </cell>
          <cell r="G12">
            <v>850.26098820599975</v>
          </cell>
          <cell r="H12">
            <v>536.51275320599996</v>
          </cell>
          <cell r="I12">
            <v>8.8527160000000009</v>
          </cell>
          <cell r="J12">
            <v>0</v>
          </cell>
          <cell r="K12">
            <v>859.11370420599974</v>
          </cell>
          <cell r="L12">
            <v>14061.878569192024</v>
          </cell>
          <cell r="M12">
            <v>960</v>
          </cell>
        </row>
        <row r="13">
          <cell r="E13" t="str">
            <v>BTS-LGC-8x2</v>
          </cell>
          <cell r="F13" t="str">
            <v>N</v>
          </cell>
          <cell r="G13" t="e">
            <v>#N/A</v>
          </cell>
          <cell r="H13" t="e">
            <v>#N/A</v>
          </cell>
          <cell r="I13" t="e">
            <v>#N/A</v>
          </cell>
          <cell r="J13">
            <v>0</v>
          </cell>
          <cell r="K13" t="e">
            <v>#N/A</v>
          </cell>
          <cell r="L13" t="e">
            <v>#N/A</v>
          </cell>
          <cell r="M13">
            <v>146</v>
          </cell>
        </row>
        <row r="14">
          <cell r="E14" t="str">
            <v>CCC</v>
          </cell>
          <cell r="F14" t="str">
            <v>N</v>
          </cell>
          <cell r="G14" t="e">
            <v>#N/A</v>
          </cell>
          <cell r="H14" t="e">
            <v>#N/A</v>
          </cell>
          <cell r="I14" t="e">
            <v>#N/A</v>
          </cell>
          <cell r="J14">
            <v>9.7999999999999989</v>
          </cell>
          <cell r="K14" t="e">
            <v>#N/A</v>
          </cell>
          <cell r="L14" t="e">
            <v>#N/A</v>
          </cell>
          <cell r="M14" t="e">
            <v>#N/A</v>
          </cell>
        </row>
        <row r="15">
          <cell r="E15" t="str">
            <v>BTS-LG-12x2</v>
          </cell>
          <cell r="F15" t="str">
            <v>Y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>
            <v>204</v>
          </cell>
        </row>
        <row r="16">
          <cell r="E16" t="str">
            <v>BTS-LG-18x2</v>
          </cell>
          <cell r="F16" t="str">
            <v>Y</v>
          </cell>
          <cell r="G16" t="e">
            <v>#N/A</v>
          </cell>
          <cell r="H16" t="e">
            <v>#N/A</v>
          </cell>
          <cell r="I16" t="e">
            <v>#N/A</v>
          </cell>
          <cell r="J16">
            <v>0</v>
          </cell>
          <cell r="K16" t="e">
            <v>#N/A</v>
          </cell>
          <cell r="L16" t="e">
            <v>#N/A</v>
          </cell>
          <cell r="M16">
            <v>292</v>
          </cell>
        </row>
        <row r="17">
          <cell r="E17" t="str">
            <v>CS-VW-4</v>
          </cell>
          <cell r="F17" t="str">
            <v>Y</v>
          </cell>
          <cell r="G17">
            <v>48.1277343</v>
          </cell>
          <cell r="H17">
            <v>13.447734299999999</v>
          </cell>
          <cell r="I17">
            <v>0.45151999999999998</v>
          </cell>
          <cell r="J17">
            <v>12.639129999999998</v>
          </cell>
          <cell r="K17">
            <v>61.218384299999997</v>
          </cell>
          <cell r="L17">
            <v>248.84912</v>
          </cell>
          <cell r="M17">
            <v>51</v>
          </cell>
        </row>
        <row r="18">
          <cell r="E18" t="str">
            <v>CS-VW-6</v>
          </cell>
          <cell r="F18" t="str">
            <v>Y</v>
          </cell>
          <cell r="G18">
            <v>104.201573162</v>
          </cell>
          <cell r="H18">
            <v>20.171601450000001</v>
          </cell>
          <cell r="I18">
            <v>0.67727999999999999</v>
          </cell>
          <cell r="J18">
            <v>17.556349999999998</v>
          </cell>
          <cell r="K18">
            <v>122.43520316199999</v>
          </cell>
          <cell r="L18">
            <v>434.13286591999997</v>
          </cell>
          <cell r="M18">
            <v>108</v>
          </cell>
        </row>
        <row r="19">
          <cell r="E19" t="str">
            <v>CT-ATD-LA</v>
          </cell>
          <cell r="F19" t="str">
            <v>Y</v>
          </cell>
          <cell r="G19">
            <v>1203.0124544935381</v>
          </cell>
          <cell r="H19">
            <v>992.55025603199977</v>
          </cell>
          <cell r="I19">
            <v>16.404048</v>
          </cell>
          <cell r="J19">
            <v>0</v>
          </cell>
          <cell r="K19">
            <v>1219.4165024935382</v>
          </cell>
          <cell r="L19">
            <v>23784.663572799996</v>
          </cell>
          <cell r="M19">
            <v>1409</v>
          </cell>
        </row>
        <row r="20">
          <cell r="E20" t="str">
            <v>CT-BR-RT</v>
          </cell>
          <cell r="F20" t="str">
            <v>Y</v>
          </cell>
          <cell r="G20" t="e">
            <v>#N/A</v>
          </cell>
          <cell r="H20" t="e">
            <v>#N/A</v>
          </cell>
          <cell r="I20" t="e">
            <v>#N/A</v>
          </cell>
          <cell r="J20">
            <v>0</v>
          </cell>
          <cell r="K20" t="e">
            <v>#N/A</v>
          </cell>
          <cell r="L20" t="e">
            <v>#N/A</v>
          </cell>
          <cell r="M20">
            <v>464</v>
          </cell>
        </row>
        <row r="21">
          <cell r="E21" t="str">
            <v>CT-BR-SQ</v>
          </cell>
          <cell r="F21" t="str">
            <v>Y</v>
          </cell>
          <cell r="G21" t="e">
            <v>#N/A</v>
          </cell>
          <cell r="H21" t="e">
            <v>#N/A</v>
          </cell>
          <cell r="I21" t="e">
            <v>#N/A</v>
          </cell>
          <cell r="J21">
            <v>0</v>
          </cell>
          <cell r="K21" t="e">
            <v>#N/A</v>
          </cell>
          <cell r="L21" t="e">
            <v>#N/A</v>
          </cell>
          <cell r="M21">
            <v>530</v>
          </cell>
        </row>
        <row r="22">
          <cell r="E22" t="str">
            <v>CT-CTA.P-LF</v>
          </cell>
          <cell r="F22" t="str">
            <v>Y</v>
          </cell>
          <cell r="G22">
            <v>895.64937631415398</v>
          </cell>
          <cell r="H22">
            <v>688.05288596800006</v>
          </cell>
          <cell r="I22">
            <v>9.1414100000000005</v>
          </cell>
          <cell r="J22">
            <v>0</v>
          </cell>
          <cell r="K22">
            <v>904.79078631415393</v>
          </cell>
          <cell r="L22">
            <v>18285.757577200009</v>
          </cell>
          <cell r="M22" t="e">
            <v>#N/A</v>
          </cell>
        </row>
        <row r="23">
          <cell r="E23" t="str">
            <v>CT-ML-RT</v>
          </cell>
          <cell r="F23" t="str">
            <v>N</v>
          </cell>
          <cell r="G23" t="e">
            <v>#N/A</v>
          </cell>
          <cell r="H23" t="e">
            <v>#N/A</v>
          </cell>
          <cell r="I23" t="e">
            <v>#N/A</v>
          </cell>
          <cell r="J23">
            <v>0</v>
          </cell>
          <cell r="K23" t="e">
            <v>#N/A</v>
          </cell>
          <cell r="L23" t="e">
            <v>#N/A</v>
          </cell>
          <cell r="M23">
            <v>414</v>
          </cell>
        </row>
        <row r="24">
          <cell r="E24" t="str">
            <v>CT-ML-SQ</v>
          </cell>
          <cell r="F24" t="str">
            <v>N</v>
          </cell>
          <cell r="G24" t="e">
            <v>#N/A</v>
          </cell>
          <cell r="H24" t="e">
            <v>#N/A</v>
          </cell>
          <cell r="I24" t="e">
            <v>#N/A</v>
          </cell>
          <cell r="J24">
            <v>0</v>
          </cell>
          <cell r="K24" t="e">
            <v>#N/A</v>
          </cell>
          <cell r="L24" t="e">
            <v>#N/A</v>
          </cell>
          <cell r="M24">
            <v>403</v>
          </cell>
        </row>
        <row r="25">
          <cell r="E25" t="str">
            <v>SR-CLM</v>
          </cell>
          <cell r="F25" t="str">
            <v>Y</v>
          </cell>
          <cell r="G25" t="e">
            <v>#N/A</v>
          </cell>
          <cell r="H25" t="e">
            <v>#N/A</v>
          </cell>
          <cell r="I25" t="e">
            <v>#N/A</v>
          </cell>
          <cell r="J25">
            <v>0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E26" t="str">
            <v>CT-MD-RT</v>
          </cell>
          <cell r="F26" t="str">
            <v>Y</v>
          </cell>
          <cell r="G26">
            <v>958.05469494399995</v>
          </cell>
          <cell r="H26">
            <v>742.35064694399989</v>
          </cell>
          <cell r="I26">
            <v>13.584292</v>
          </cell>
          <cell r="J26">
            <v>0</v>
          </cell>
          <cell r="K26">
            <v>971.63898694399995</v>
          </cell>
          <cell r="L26">
            <v>18903.911097599997</v>
          </cell>
          <cell r="M26">
            <v>1108</v>
          </cell>
        </row>
        <row r="27">
          <cell r="E27" t="str">
            <v>CT-MD-SQ</v>
          </cell>
          <cell r="F27" t="str">
            <v>Y</v>
          </cell>
          <cell r="G27">
            <v>956.60431616999995</v>
          </cell>
          <cell r="H27">
            <v>739.80045341999983</v>
          </cell>
          <cell r="I27">
            <v>13.438432000000002</v>
          </cell>
          <cell r="J27">
            <v>17.5</v>
          </cell>
          <cell r="K27">
            <v>987.54274816999998</v>
          </cell>
          <cell r="L27">
            <v>18992.417888</v>
          </cell>
          <cell r="M27">
            <v>1106</v>
          </cell>
        </row>
        <row r="28">
          <cell r="E28" t="str">
            <v>CT-NO-SQ</v>
          </cell>
          <cell r="F28" t="str">
            <v>Y</v>
          </cell>
          <cell r="G28">
            <v>759.63685236552305</v>
          </cell>
          <cell r="H28">
            <v>576.08233078860007</v>
          </cell>
          <cell r="I28">
            <v>10.026355200000001</v>
          </cell>
          <cell r="J28">
            <v>18.142162499999998</v>
          </cell>
          <cell r="K28">
            <v>787.80537006552311</v>
          </cell>
          <cell r="L28">
            <v>14621.767223440002</v>
          </cell>
          <cell r="M28">
            <v>866</v>
          </cell>
        </row>
        <row r="29">
          <cell r="E29" t="str">
            <v>CT-OSN-OV</v>
          </cell>
          <cell r="F29" t="str">
            <v>Y</v>
          </cell>
          <cell r="G29">
            <v>447.51164348549997</v>
          </cell>
          <cell r="H29">
            <v>317.74895348549995</v>
          </cell>
          <cell r="I29">
            <v>2.2773539999999999</v>
          </cell>
          <cell r="J29">
            <v>25.959605000000003</v>
          </cell>
          <cell r="K29">
            <v>475.74860248549999</v>
          </cell>
          <cell r="L29">
            <v>8466.6325268890414</v>
          </cell>
          <cell r="M29">
            <v>634</v>
          </cell>
        </row>
        <row r="30">
          <cell r="E30" t="str">
            <v>CT-SH.E-MI</v>
          </cell>
          <cell r="F30" t="str">
            <v>Y</v>
          </cell>
          <cell r="G30" t="e">
            <v>#N/A</v>
          </cell>
          <cell r="H30" t="e">
            <v>#N/A</v>
          </cell>
          <cell r="I30" t="e">
            <v>#N/A</v>
          </cell>
          <cell r="J30">
            <v>0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E31" t="str">
            <v>CT-TLY.E-MI</v>
          </cell>
          <cell r="F31" t="str">
            <v>Y</v>
          </cell>
          <cell r="G31">
            <v>717</v>
          </cell>
          <cell r="H31" t="e">
            <v>#N/A</v>
          </cell>
          <cell r="I31" t="e">
            <v>#N/A</v>
          </cell>
          <cell r="J31">
            <v>0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E32" t="str">
            <v>CT-TR-RTS</v>
          </cell>
          <cell r="F32" t="str">
            <v>Y</v>
          </cell>
          <cell r="G32">
            <v>720.71345239499988</v>
          </cell>
          <cell r="H32">
            <v>575.08567239499985</v>
          </cell>
          <cell r="I32">
            <v>13.390968000000001</v>
          </cell>
          <cell r="J32">
            <v>0</v>
          </cell>
          <cell r="K32">
            <v>734.10442039499992</v>
          </cell>
          <cell r="L32">
            <v>13032.699022000001</v>
          </cell>
          <cell r="M32">
            <v>847</v>
          </cell>
        </row>
        <row r="33">
          <cell r="E33" t="str">
            <v>DT-GRA</v>
          </cell>
          <cell r="F33" t="str">
            <v>Y</v>
          </cell>
          <cell r="G33">
            <v>392.28881133307686</v>
          </cell>
          <cell r="H33">
            <v>283.20386690999999</v>
          </cell>
          <cell r="I33">
            <v>7.1851520000000004</v>
          </cell>
          <cell r="J33">
            <v>0</v>
          </cell>
          <cell r="K33">
            <v>399.47396333307688</v>
          </cell>
          <cell r="L33">
            <v>6383.7605639999992</v>
          </cell>
          <cell r="M33">
            <v>435</v>
          </cell>
        </row>
        <row r="34">
          <cell r="E34" t="str">
            <v>DT-HE-3</v>
          </cell>
          <cell r="F34" t="str">
            <v>Y</v>
          </cell>
          <cell r="G34">
            <v>1263.0854800830771</v>
          </cell>
          <cell r="H34">
            <v>300.16803515999993</v>
          </cell>
          <cell r="I34">
            <v>4.0723840000000004</v>
          </cell>
          <cell r="J34">
            <v>10.833024999999999</v>
          </cell>
          <cell r="K34">
            <v>1277.990889083077</v>
          </cell>
          <cell r="L34">
            <v>10388.341954032914</v>
          </cell>
          <cell r="M34">
            <v>1355</v>
          </cell>
        </row>
        <row r="35">
          <cell r="E35" t="str">
            <v>DT-MR</v>
          </cell>
          <cell r="F35" t="str">
            <v>Y</v>
          </cell>
          <cell r="G35">
            <v>557.46822789615385</v>
          </cell>
          <cell r="H35">
            <v>177.29662965</v>
          </cell>
          <cell r="I35">
            <v>2.8923799999999997</v>
          </cell>
          <cell r="J35">
            <v>12.4462625</v>
          </cell>
          <cell r="K35">
            <v>572.80687039615384</v>
          </cell>
          <cell r="L35">
            <v>5647.0581513415063</v>
          </cell>
          <cell r="M35">
            <v>578</v>
          </cell>
        </row>
        <row r="36">
          <cell r="E36" t="str">
            <v>FT-EDR</v>
          </cell>
          <cell r="F36" t="str">
            <v>Y</v>
          </cell>
          <cell r="G36">
            <v>547.42100341415824</v>
          </cell>
          <cell r="H36">
            <v>383.72206250000005</v>
          </cell>
          <cell r="I36">
            <v>8.1163440000000016</v>
          </cell>
          <cell r="J36">
            <v>0</v>
          </cell>
          <cell r="K36">
            <v>555.53734741415826</v>
          </cell>
          <cell r="L36">
            <v>9382</v>
          </cell>
          <cell r="M36" t="e">
            <v>#N/A</v>
          </cell>
        </row>
        <row r="37">
          <cell r="E37" t="str">
            <v>GH-CE</v>
          </cell>
          <cell r="F37" t="str">
            <v>Y</v>
          </cell>
          <cell r="G37">
            <v>411.39390306307695</v>
          </cell>
          <cell r="H37">
            <v>109.01221778999999</v>
          </cell>
          <cell r="I37">
            <v>2.4195080000000004</v>
          </cell>
          <cell r="J37">
            <v>11.3287125</v>
          </cell>
          <cell r="K37">
            <v>425.14212356307695</v>
          </cell>
          <cell r="L37">
            <v>3092.7503159999997</v>
          </cell>
          <cell r="M37">
            <v>418</v>
          </cell>
        </row>
        <row r="38">
          <cell r="E38" t="str">
            <v>KH-AM</v>
          </cell>
          <cell r="F38" t="str">
            <v>Y</v>
          </cell>
          <cell r="G38">
            <v>120.4659173226179</v>
          </cell>
          <cell r="H38">
            <v>11.723434000000001</v>
          </cell>
          <cell r="I38">
            <v>36.254399999999997</v>
          </cell>
          <cell r="J38" t="e">
            <v>#N/A</v>
          </cell>
          <cell r="K38" t="e">
            <v>#N/A</v>
          </cell>
          <cell r="L38">
            <v>398.59929200000005</v>
          </cell>
          <cell r="M38">
            <v>124</v>
          </cell>
        </row>
        <row r="39">
          <cell r="E39" t="str">
            <v>KH-RZ</v>
          </cell>
          <cell r="F39" t="str">
            <v>Y</v>
          </cell>
          <cell r="G39">
            <v>118.11357365907691</v>
          </cell>
          <cell r="H39">
            <v>34.850963235999998</v>
          </cell>
          <cell r="I39">
            <v>4.9932400000000001</v>
          </cell>
          <cell r="J39">
            <v>18.244904999999996</v>
          </cell>
          <cell r="K39">
            <v>141.35171865907691</v>
          </cell>
          <cell r="L39">
            <v>130.38297599999999</v>
          </cell>
          <cell r="M39">
            <v>123</v>
          </cell>
        </row>
        <row r="40">
          <cell r="E40" t="str">
            <v>KH-SP-W5</v>
          </cell>
          <cell r="F40" t="str">
            <v>Y</v>
          </cell>
          <cell r="G40">
            <v>124.3133310910313</v>
          </cell>
          <cell r="H40">
            <v>18.980206224</v>
          </cell>
          <cell r="I40">
            <v>58.579599999999999</v>
          </cell>
          <cell r="J40" t="e">
            <v>#N/A</v>
          </cell>
          <cell r="K40" t="e">
            <v>#N/A</v>
          </cell>
          <cell r="L40">
            <v>487.98520959999996</v>
          </cell>
          <cell r="M40">
            <v>117</v>
          </cell>
        </row>
        <row r="41">
          <cell r="E41" t="str">
            <v>KH-SP-W9</v>
          </cell>
          <cell r="F41" t="str">
            <v>Y</v>
          </cell>
          <cell r="G41">
            <v>193.25294051083017</v>
          </cell>
          <cell r="H41">
            <v>42.334915559999999</v>
          </cell>
          <cell r="I41">
            <v>111.19240000000001</v>
          </cell>
          <cell r="J41" t="e">
            <v>#N/A</v>
          </cell>
          <cell r="K41" t="e">
            <v>#N/A</v>
          </cell>
          <cell r="L41">
            <v>992.21502399999986</v>
          </cell>
          <cell r="M41">
            <v>201</v>
          </cell>
        </row>
        <row r="42">
          <cell r="E42" t="str">
            <v>KH-SW-WS</v>
          </cell>
          <cell r="F42" t="str">
            <v>Y</v>
          </cell>
          <cell r="G42">
            <v>64.811319821501598</v>
          </cell>
          <cell r="H42">
            <v>7.6250476190476189</v>
          </cell>
          <cell r="I42">
            <v>12.265714285714287</v>
          </cell>
          <cell r="J42" t="e">
            <v>#N/A</v>
          </cell>
          <cell r="K42" t="e">
            <v>#N/A</v>
          </cell>
          <cell r="L42">
            <v>160.23809523809524</v>
          </cell>
          <cell r="M42">
            <v>65</v>
          </cell>
        </row>
        <row r="43">
          <cell r="E43" t="str">
            <v>LT-FN</v>
          </cell>
          <cell r="F43" t="str">
            <v>Y</v>
          </cell>
          <cell r="G43">
            <v>208.4843805567094</v>
          </cell>
          <cell r="H43">
            <v>135.80920615499997</v>
          </cell>
          <cell r="I43">
            <v>7.4587160000000008</v>
          </cell>
          <cell r="J43">
            <v>0</v>
          </cell>
          <cell r="K43">
            <v>215.94309655670941</v>
          </cell>
          <cell r="L43">
            <v>3546.2762551675946</v>
          </cell>
          <cell r="M43">
            <v>225</v>
          </cell>
        </row>
        <row r="44">
          <cell r="E44" t="str">
            <v>LT-GRA</v>
          </cell>
          <cell r="F44" t="str">
            <v>Y</v>
          </cell>
          <cell r="G44">
            <v>269.57886563499994</v>
          </cell>
          <cell r="H44">
            <v>192.83641663499998</v>
          </cell>
          <cell r="I44">
            <v>6.1559720000000002</v>
          </cell>
          <cell r="J44">
            <v>0</v>
          </cell>
          <cell r="K44">
            <v>275.73483763499996</v>
          </cell>
          <cell r="L44">
            <v>4907.6389160776507</v>
          </cell>
          <cell r="M44">
            <v>304</v>
          </cell>
        </row>
        <row r="45">
          <cell r="E45" t="str">
            <v>LT-MR</v>
          </cell>
          <cell r="F45" t="str">
            <v>Y</v>
          </cell>
          <cell r="G45">
            <v>436.30050890000001</v>
          </cell>
          <cell r="H45">
            <v>98.898888899999974</v>
          </cell>
          <cell r="I45">
            <v>2.2701799999999999</v>
          </cell>
          <cell r="J45">
            <v>0</v>
          </cell>
          <cell r="K45">
            <v>438.57068889999999</v>
          </cell>
          <cell r="L45">
            <v>3429.5108220776501</v>
          </cell>
          <cell r="M45">
            <v>441</v>
          </cell>
        </row>
        <row r="46">
          <cell r="E46" t="str">
            <v>LT-RD-AW</v>
          </cell>
          <cell r="F46" t="str">
            <v>Y</v>
          </cell>
          <cell r="G46">
            <v>441.85599467536048</v>
          </cell>
          <cell r="H46">
            <v>81.652241020832051</v>
          </cell>
          <cell r="I46">
            <v>0.87719999999999998</v>
          </cell>
          <cell r="J46">
            <v>15.362707499999999</v>
          </cell>
          <cell r="K46">
            <v>458.09590217536049</v>
          </cell>
          <cell r="L46">
            <v>2952.6442630900933</v>
          </cell>
          <cell r="M46">
            <v>439</v>
          </cell>
        </row>
        <row r="47">
          <cell r="E47" t="str">
            <v>MH-EA-4</v>
          </cell>
          <cell r="F47" t="str">
            <v>Y</v>
          </cell>
          <cell r="G47" t="e">
            <v>#N/A</v>
          </cell>
          <cell r="H47" t="e">
            <v>#N/A</v>
          </cell>
          <cell r="I47" t="e">
            <v>#N/A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E48" t="str">
            <v>PC-AY-L</v>
          </cell>
          <cell r="F48" t="str">
            <v>Y</v>
          </cell>
          <cell r="G48" t="e">
            <v>#N/A</v>
          </cell>
          <cell r="H48" t="e">
            <v>#N/A</v>
          </cell>
          <cell r="I48" t="e">
            <v>#N/A</v>
          </cell>
          <cell r="J48">
            <v>0</v>
          </cell>
          <cell r="K48" t="e">
            <v>#N/A</v>
          </cell>
          <cell r="L48" t="e">
            <v>#N/A</v>
          </cell>
          <cell r="M48">
            <v>32</v>
          </cell>
        </row>
        <row r="49">
          <cell r="E49" t="str">
            <v>PC-AY-S</v>
          </cell>
          <cell r="F49" t="str">
            <v>Y</v>
          </cell>
          <cell r="G49" t="e">
            <v>#N/A</v>
          </cell>
          <cell r="H49" t="e">
            <v>#N/A</v>
          </cell>
          <cell r="I49" t="e">
            <v>#N/A</v>
          </cell>
          <cell r="J49">
            <v>0</v>
          </cell>
          <cell r="K49" t="e">
            <v>#N/A</v>
          </cell>
          <cell r="L49" t="e">
            <v>#N/A</v>
          </cell>
          <cell r="M49">
            <v>16</v>
          </cell>
        </row>
        <row r="50">
          <cell r="E50" t="str">
            <v>PC-SM-L</v>
          </cell>
          <cell r="F50" t="str">
            <v>Y</v>
          </cell>
          <cell r="G50">
            <v>62.155151577288457</v>
          </cell>
          <cell r="H50">
            <v>9.7387505437499993</v>
          </cell>
          <cell r="I50">
            <v>0.16932</v>
          </cell>
          <cell r="J50">
            <v>0</v>
          </cell>
          <cell r="K50">
            <v>62.324471577288456</v>
          </cell>
          <cell r="L50">
            <v>148.58278111999999</v>
          </cell>
          <cell r="M50">
            <v>62</v>
          </cell>
        </row>
        <row r="51">
          <cell r="E51" t="str">
            <v>PC-SM-S</v>
          </cell>
          <cell r="F51" t="str">
            <v>Y</v>
          </cell>
          <cell r="G51">
            <v>56.894092916230768</v>
          </cell>
          <cell r="H51">
            <v>4.9323335749999995</v>
          </cell>
          <cell r="I51">
            <v>0.11287999999999999</v>
          </cell>
          <cell r="J51">
            <v>0</v>
          </cell>
          <cell r="K51">
            <v>57.006972916230765</v>
          </cell>
          <cell r="L51">
            <v>150.74286112000001</v>
          </cell>
          <cell r="M51">
            <v>56</v>
          </cell>
        </row>
        <row r="52">
          <cell r="E52" t="str">
            <v>RG-SN-NR-P3</v>
          </cell>
          <cell r="F52" t="str">
            <v>Y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K52" t="e">
            <v>#N/A</v>
          </cell>
          <cell r="L52" t="e">
            <v>#N/A</v>
          </cell>
          <cell r="M52">
            <v>191</v>
          </cell>
        </row>
        <row r="53">
          <cell r="E53" t="str">
            <v>RG-SN-TH</v>
          </cell>
          <cell r="F53" t="str">
            <v>Y</v>
          </cell>
          <cell r="G53" t="e">
            <v>#N/A</v>
          </cell>
          <cell r="H53" t="e">
            <v>#N/A</v>
          </cell>
          <cell r="I53" t="e">
            <v>#N/A</v>
          </cell>
          <cell r="J53">
            <v>6.9396249999999995</v>
          </cell>
          <cell r="K53" t="e">
            <v>#N/A</v>
          </cell>
          <cell r="L53" t="e">
            <v>#N/A</v>
          </cell>
          <cell r="M53">
            <v>75</v>
          </cell>
        </row>
        <row r="54">
          <cell r="E54" t="str">
            <v>RH-SU-2-2</v>
          </cell>
          <cell r="F54" t="str">
            <v>Y</v>
          </cell>
          <cell r="G54" t="e">
            <v>#N/A</v>
          </cell>
          <cell r="H54" t="e">
            <v>#N/A</v>
          </cell>
          <cell r="I54" t="e">
            <v>#N/A</v>
          </cell>
          <cell r="J54">
            <v>11.157475</v>
          </cell>
          <cell r="K54" t="e">
            <v>#N/A</v>
          </cell>
          <cell r="L54" t="e">
            <v>#N/A</v>
          </cell>
          <cell r="M54">
            <v>124</v>
          </cell>
        </row>
        <row r="55">
          <cell r="E55" t="str">
            <v>RH-SU-4</v>
          </cell>
          <cell r="F55" t="str">
            <v>Y</v>
          </cell>
          <cell r="G55" t="e">
            <v>#N/A</v>
          </cell>
          <cell r="H55" t="e">
            <v>#N/A</v>
          </cell>
          <cell r="I55" t="e">
            <v>#N/A</v>
          </cell>
          <cell r="J55">
            <v>6.9035749999999991</v>
          </cell>
          <cell r="K55" t="e">
            <v>#N/A</v>
          </cell>
          <cell r="L55" t="e">
            <v>#N/A</v>
          </cell>
          <cell r="M55">
            <v>117</v>
          </cell>
        </row>
        <row r="56">
          <cell r="E56" t="str">
            <v>RT-T1</v>
          </cell>
          <cell r="F56" t="str">
            <v>Y</v>
          </cell>
          <cell r="G56" t="e">
            <v>#N/A</v>
          </cell>
          <cell r="H56" t="e">
            <v>#N/A</v>
          </cell>
          <cell r="I56" t="e">
            <v>#N/A</v>
          </cell>
          <cell r="J56">
            <v>0</v>
          </cell>
          <cell r="K56" t="e">
            <v>#N/A</v>
          </cell>
          <cell r="L56" t="e">
            <v>#N/A</v>
          </cell>
          <cell r="M56">
            <v>111</v>
          </cell>
        </row>
        <row r="57">
          <cell r="E57" t="str">
            <v>SB-AL-2</v>
          </cell>
          <cell r="F57" t="str">
            <v>Y</v>
          </cell>
          <cell r="G57">
            <v>112.5076704773077</v>
          </cell>
          <cell r="H57">
            <v>77.849437784999992</v>
          </cell>
          <cell r="I57">
            <v>7.4883639999999998</v>
          </cell>
          <cell r="J57">
            <v>9.5568550000000005</v>
          </cell>
          <cell r="K57">
            <v>129.5528894773077</v>
          </cell>
          <cell r="L57">
            <v>1555.6004139999998</v>
          </cell>
          <cell r="M57">
            <v>125</v>
          </cell>
        </row>
        <row r="58">
          <cell r="E58" t="str">
            <v>SB-AL-4</v>
          </cell>
          <cell r="F58" t="str">
            <v>Y</v>
          </cell>
          <cell r="G58">
            <v>199.41664105076921</v>
          </cell>
          <cell r="H58">
            <v>155.69887556999998</v>
          </cell>
          <cell r="I58">
            <v>14.976728</v>
          </cell>
          <cell r="J58" t="e">
            <v>#REF!</v>
          </cell>
          <cell r="K58" t="e">
            <v>#REF!</v>
          </cell>
          <cell r="L58">
            <v>3139.4920279999997</v>
          </cell>
          <cell r="M58">
            <v>222</v>
          </cell>
        </row>
        <row r="59">
          <cell r="E59" t="str">
            <v>SB-CB.P-T</v>
          </cell>
          <cell r="F59" t="str">
            <v>Y</v>
          </cell>
          <cell r="G59" t="e">
            <v>#N/A</v>
          </cell>
          <cell r="H59" t="e">
            <v>#N/A</v>
          </cell>
          <cell r="I59" t="e">
            <v>#N/A</v>
          </cell>
          <cell r="J59">
            <v>0</v>
          </cell>
          <cell r="K59" t="e">
            <v>#N/A</v>
          </cell>
          <cell r="L59" t="e">
            <v>#N/A</v>
          </cell>
          <cell r="M59" t="e">
            <v>#N/A</v>
          </cell>
        </row>
        <row r="60">
          <cell r="E60" t="str">
            <v>SB-CS-ISTW</v>
          </cell>
          <cell r="F60" t="str">
            <v>Y</v>
          </cell>
          <cell r="G60" t="e">
            <v>#N/A</v>
          </cell>
          <cell r="H60" t="e">
            <v>#N/A</v>
          </cell>
          <cell r="I60" t="e">
            <v>#N/A</v>
          </cell>
          <cell r="J60">
            <v>0</v>
          </cell>
          <cell r="K60" t="e">
            <v>#N/A</v>
          </cell>
          <cell r="L60" t="e">
            <v>#N/A</v>
          </cell>
          <cell r="M60">
            <v>225</v>
          </cell>
        </row>
        <row r="61">
          <cell r="E61" t="str">
            <v>SB-OS</v>
          </cell>
          <cell r="F61" t="str">
            <v>Y</v>
          </cell>
          <cell r="G61">
            <v>552.65859552093843</v>
          </cell>
          <cell r="H61">
            <v>421.59435105940003</v>
          </cell>
          <cell r="I61">
            <v>15.567144799999999</v>
          </cell>
          <cell r="J61">
            <v>10.768134999999999</v>
          </cell>
          <cell r="K61">
            <v>578.99387532093851</v>
          </cell>
          <cell r="L61">
            <v>10006.43541886843</v>
          </cell>
          <cell r="M61">
            <v>608</v>
          </cell>
        </row>
        <row r="62">
          <cell r="E62" t="str">
            <v>SB-SML</v>
          </cell>
          <cell r="F62" t="str">
            <v>Y</v>
          </cell>
          <cell r="G62" t="e">
            <v>#N/A</v>
          </cell>
          <cell r="H62" t="e">
            <v>#N/A</v>
          </cell>
          <cell r="I62" t="e">
            <v>#N/A</v>
          </cell>
          <cell r="J62">
            <v>0</v>
          </cell>
          <cell r="K62" t="e">
            <v>#N/A</v>
          </cell>
          <cell r="L62" t="e">
            <v>#N/A</v>
          </cell>
          <cell r="M62">
            <v>1187</v>
          </cell>
        </row>
        <row r="63">
          <cell r="E63" t="str">
            <v>S-CK-2</v>
          </cell>
          <cell r="F63" t="str">
            <v>Y</v>
          </cell>
          <cell r="G63">
            <v>77.293193299999999</v>
          </cell>
          <cell r="H63">
            <v>41.993193300000001</v>
          </cell>
          <cell r="I63">
            <v>1.53</v>
          </cell>
          <cell r="J63">
            <v>6.6728549999999984</v>
          </cell>
          <cell r="K63">
            <v>85.496048299999998</v>
          </cell>
          <cell r="L63">
            <v>1054.4381040000001</v>
          </cell>
          <cell r="M63">
            <v>84</v>
          </cell>
        </row>
        <row r="64">
          <cell r="E64" t="str">
            <v>S-CL</v>
          </cell>
          <cell r="F64" t="str">
            <v>Y</v>
          </cell>
          <cell r="G64">
            <v>184.68252308778844</v>
          </cell>
          <cell r="H64">
            <v>0</v>
          </cell>
          <cell r="I64">
            <v>0.34541280000000002</v>
          </cell>
          <cell r="J64">
            <v>0</v>
          </cell>
          <cell r="K64">
            <v>185.02793588778843</v>
          </cell>
          <cell r="L64">
            <v>512.00044869999999</v>
          </cell>
          <cell r="M64">
            <v>184</v>
          </cell>
        </row>
        <row r="65">
          <cell r="E65" t="str">
            <v>S-ED</v>
          </cell>
          <cell r="F65" t="str">
            <v>Y</v>
          </cell>
          <cell r="G65">
            <v>352.49649344423074</v>
          </cell>
          <cell r="H65">
            <v>32.206257674999996</v>
          </cell>
          <cell r="I65">
            <v>2.8278819999999998</v>
          </cell>
          <cell r="J65">
            <v>19.311985</v>
          </cell>
          <cell r="K65">
            <v>374.63636044423072</v>
          </cell>
          <cell r="L65">
            <v>748.77256999999997</v>
          </cell>
          <cell r="M65">
            <v>359</v>
          </cell>
        </row>
        <row r="66">
          <cell r="E66" t="str">
            <v>S-ERA</v>
          </cell>
          <cell r="F66" t="str">
            <v>Y</v>
          </cell>
          <cell r="G66">
            <v>626</v>
          </cell>
          <cell r="H66">
            <v>443.04728496894199</v>
          </cell>
          <cell r="I66">
            <v>19.83934</v>
          </cell>
          <cell r="J66">
            <v>0</v>
          </cell>
          <cell r="K66">
            <v>645.83933999999999</v>
          </cell>
          <cell r="L66">
            <v>10324</v>
          </cell>
          <cell r="M66" t="e">
            <v>#N/A</v>
          </cell>
        </row>
        <row r="67">
          <cell r="E67" t="str">
            <v>S-FE-W2</v>
          </cell>
          <cell r="F67" t="str">
            <v>Y</v>
          </cell>
          <cell r="G67">
            <v>106.10546696151673</v>
          </cell>
          <cell r="H67">
            <v>76.433681428571433</v>
          </cell>
          <cell r="I67">
            <v>90.980400000000017</v>
          </cell>
          <cell r="J67">
            <v>0</v>
          </cell>
          <cell r="K67">
            <v>197.08586696151673</v>
          </cell>
          <cell r="L67">
            <v>1772.2305142857144</v>
          </cell>
          <cell r="M67">
            <v>62</v>
          </cell>
        </row>
        <row r="68">
          <cell r="E68" t="str">
            <v>S-LC</v>
          </cell>
          <cell r="F68" t="str">
            <v>Y</v>
          </cell>
          <cell r="G68">
            <v>185.79247628565994</v>
          </cell>
          <cell r="H68">
            <v>85.471255485659981</v>
          </cell>
          <cell r="I68">
            <v>4.2684212000000006</v>
          </cell>
          <cell r="J68">
            <v>13.61969</v>
          </cell>
          <cell r="K68">
            <v>203.68058748565994</v>
          </cell>
          <cell r="L68">
            <v>1769.1214419072107</v>
          </cell>
          <cell r="M68">
            <v>197</v>
          </cell>
        </row>
        <row r="69">
          <cell r="E69" t="str">
            <v>SL-TY-3</v>
          </cell>
          <cell r="F69" t="str">
            <v>Y</v>
          </cell>
          <cell r="G69" t="e">
            <v>#N/A</v>
          </cell>
          <cell r="H69" t="e">
            <v>#N/A</v>
          </cell>
          <cell r="I69" t="e">
            <v>#N/A</v>
          </cell>
          <cell r="J69">
            <v>0</v>
          </cell>
          <cell r="K69" t="e">
            <v>#N/A</v>
          </cell>
          <cell r="L69" t="e">
            <v>#N/A</v>
          </cell>
          <cell r="M69">
            <v>823</v>
          </cell>
        </row>
        <row r="70">
          <cell r="E70" t="str">
            <v>SL-TY-B</v>
          </cell>
          <cell r="F70" t="str">
            <v>Y</v>
          </cell>
          <cell r="G70">
            <v>227.16514492299993</v>
          </cell>
          <cell r="H70">
            <v>165.34786992299996</v>
          </cell>
          <cell r="I70">
            <v>5.4986296000000001</v>
          </cell>
          <cell r="J70">
            <v>9.6632025000000006</v>
          </cell>
          <cell r="K70">
            <v>242.32697702299993</v>
          </cell>
          <cell r="L70">
            <v>3797.4751091999992</v>
          </cell>
          <cell r="M70">
            <v>258</v>
          </cell>
        </row>
        <row r="71">
          <cell r="E71" t="str">
            <v>SL-TY-S</v>
          </cell>
          <cell r="F71" t="str">
            <v>Y</v>
          </cell>
          <cell r="G71">
            <v>160.81248347829998</v>
          </cell>
          <cell r="H71">
            <v>109.9449294783</v>
          </cell>
          <cell r="I71">
            <v>5.4317448000000006</v>
          </cell>
          <cell r="J71">
            <v>8.9440049999999989</v>
          </cell>
          <cell r="K71">
            <v>175.18823327829998</v>
          </cell>
          <cell r="L71">
            <v>2791.6483737713952</v>
          </cell>
          <cell r="M71">
            <v>204</v>
          </cell>
        </row>
        <row r="72">
          <cell r="E72" t="str">
            <v>SL-VE-18</v>
          </cell>
          <cell r="F72" t="str">
            <v>Y</v>
          </cell>
          <cell r="G72">
            <v>405.58647572500001</v>
          </cell>
          <cell r="H72">
            <v>95.202985725000005</v>
          </cell>
          <cell r="I72">
            <v>2.2079599999999999</v>
          </cell>
          <cell r="J72">
            <v>0</v>
          </cell>
          <cell r="K72">
            <v>407.79443572500003</v>
          </cell>
          <cell r="L72">
            <v>3632.9277899999997</v>
          </cell>
          <cell r="M72">
            <v>424</v>
          </cell>
        </row>
        <row r="73">
          <cell r="E73" t="str">
            <v>SL-VE-24</v>
          </cell>
          <cell r="F73" t="str">
            <v>Y</v>
          </cell>
          <cell r="G73">
            <v>477.34302739999998</v>
          </cell>
          <cell r="H73">
            <v>163.9969524</v>
          </cell>
          <cell r="I73">
            <v>2.5812799999999996</v>
          </cell>
          <cell r="J73">
            <v>0</v>
          </cell>
          <cell r="K73">
            <v>479.92430739999998</v>
          </cell>
          <cell r="L73">
            <v>5073.4449599999998</v>
          </cell>
          <cell r="M73">
            <v>477</v>
          </cell>
        </row>
        <row r="74">
          <cell r="E74" t="str">
            <v>S-MO-3</v>
          </cell>
          <cell r="F74" t="str">
            <v>Y</v>
          </cell>
          <cell r="G74">
            <v>167.938767587</v>
          </cell>
          <cell r="H74">
            <v>131.33614508700001</v>
          </cell>
          <cell r="I74">
            <v>3.8063215899999996</v>
          </cell>
          <cell r="J74">
            <v>0</v>
          </cell>
          <cell r="K74">
            <v>171.74508917700001</v>
          </cell>
          <cell r="L74">
            <v>3004.0621019999999</v>
          </cell>
          <cell r="M74">
            <v>193</v>
          </cell>
        </row>
        <row r="75">
          <cell r="E75" t="str">
            <v>S-MO-5</v>
          </cell>
          <cell r="F75" t="str">
            <v>Y</v>
          </cell>
          <cell r="G75">
            <v>237.18993711675003</v>
          </cell>
          <cell r="H75">
            <v>188.86236111675001</v>
          </cell>
          <cell r="I75">
            <v>5.5265546499999996</v>
          </cell>
          <cell r="J75">
            <v>0</v>
          </cell>
          <cell r="K75">
            <v>242.71649176675004</v>
          </cell>
          <cell r="L75">
            <v>4335.2350237000001</v>
          </cell>
          <cell r="M75">
            <v>271</v>
          </cell>
        </row>
        <row r="76">
          <cell r="E76" t="str">
            <v>SR-BR-3</v>
          </cell>
          <cell r="F76" t="str">
            <v>Y</v>
          </cell>
          <cell r="G76" t="e">
            <v>#N/A</v>
          </cell>
          <cell r="H76" t="e">
            <v>#N/A</v>
          </cell>
          <cell r="I76" t="e">
            <v>#N/A</v>
          </cell>
          <cell r="J76">
            <v>0</v>
          </cell>
          <cell r="K76" t="e">
            <v>#N/A</v>
          </cell>
          <cell r="L76" t="e">
            <v>#N/A</v>
          </cell>
          <cell r="M76">
            <v>302</v>
          </cell>
        </row>
        <row r="77">
          <cell r="E77" t="str">
            <v>SR-BR-4</v>
          </cell>
          <cell r="F77" t="str">
            <v>Y</v>
          </cell>
          <cell r="G77" t="e">
            <v>#N/A</v>
          </cell>
          <cell r="H77" t="e">
            <v>#N/A</v>
          </cell>
          <cell r="I77" t="e">
            <v>#N/A</v>
          </cell>
          <cell r="J77">
            <v>0</v>
          </cell>
          <cell r="K77" t="e">
            <v>#N/A</v>
          </cell>
          <cell r="L77" t="e">
            <v>#N/A</v>
          </cell>
          <cell r="M77">
            <v>498</v>
          </cell>
        </row>
        <row r="78">
          <cell r="E78" t="str">
            <v>SR-DI-2</v>
          </cell>
          <cell r="F78" t="str">
            <v>Y</v>
          </cell>
          <cell r="G78" t="e">
            <v>#N/A</v>
          </cell>
          <cell r="H78" t="e">
            <v>#N/A</v>
          </cell>
          <cell r="I78" t="e">
            <v>#N/A</v>
          </cell>
          <cell r="J78">
            <v>0</v>
          </cell>
          <cell r="K78" t="e">
            <v>#N/A</v>
          </cell>
          <cell r="L78" t="e">
            <v>#N/A</v>
          </cell>
          <cell r="M78">
            <v>336</v>
          </cell>
        </row>
        <row r="79">
          <cell r="E79" t="str">
            <v>SR-DI-4</v>
          </cell>
          <cell r="F79" t="str">
            <v>Y</v>
          </cell>
          <cell r="G79" t="e">
            <v>#N/A</v>
          </cell>
          <cell r="H79" t="e">
            <v>#N/A</v>
          </cell>
          <cell r="I79" t="e">
            <v>#N/A</v>
          </cell>
          <cell r="J79">
            <v>0</v>
          </cell>
          <cell r="K79" t="e">
            <v>#N/A</v>
          </cell>
          <cell r="L79" t="e">
            <v>#N/A</v>
          </cell>
          <cell r="M79">
            <v>897</v>
          </cell>
        </row>
        <row r="80">
          <cell r="E80" t="str">
            <v>S-RG-2</v>
          </cell>
          <cell r="F80" t="str">
            <v>Y</v>
          </cell>
          <cell r="G80" t="e">
            <v>#N/A</v>
          </cell>
          <cell r="H80" t="e">
            <v>#N/A</v>
          </cell>
          <cell r="I80" t="e">
            <v>#N/A</v>
          </cell>
          <cell r="J80">
            <v>9.4559149999999992</v>
          </cell>
          <cell r="K80" t="e">
            <v>#N/A</v>
          </cell>
          <cell r="L80" t="e">
            <v>#N/A</v>
          </cell>
          <cell r="M80">
            <v>150</v>
          </cell>
        </row>
        <row r="81">
          <cell r="E81" t="str">
            <v>SR-KPN-3</v>
          </cell>
          <cell r="F81" t="str">
            <v>Y</v>
          </cell>
          <cell r="G81">
            <v>2549.4802118174912</v>
          </cell>
          <cell r="H81">
            <v>1737.1067193174899</v>
          </cell>
          <cell r="I81">
            <v>28.435386600000001</v>
          </cell>
          <cell r="J81">
            <v>0</v>
          </cell>
          <cell r="K81">
            <v>2577.9155984174913</v>
          </cell>
          <cell r="L81">
            <v>39100.259330756002</v>
          </cell>
          <cell r="M81">
            <v>3057</v>
          </cell>
        </row>
        <row r="82">
          <cell r="E82" t="str">
            <v>SR-LRL</v>
          </cell>
          <cell r="F82" t="str">
            <v>Y</v>
          </cell>
          <cell r="G82">
            <v>602.72825568999986</v>
          </cell>
          <cell r="H82">
            <v>486.29616068999997</v>
          </cell>
          <cell r="I82">
            <v>11.555308</v>
          </cell>
          <cell r="J82">
            <v>0</v>
          </cell>
          <cell r="K82">
            <v>614.28356368999982</v>
          </cell>
          <cell r="L82">
            <v>11882.464976000001</v>
          </cell>
          <cell r="M82">
            <v>696</v>
          </cell>
        </row>
        <row r="83">
          <cell r="E83" t="str">
            <v>SR-OLY-2</v>
          </cell>
          <cell r="F83" t="str">
            <v>Y</v>
          </cell>
          <cell r="G83" t="e">
            <v>#N/A</v>
          </cell>
          <cell r="H83" t="e">
            <v>#N/A</v>
          </cell>
          <cell r="I83" t="e">
            <v>#N/A</v>
          </cell>
          <cell r="J83">
            <v>0</v>
          </cell>
          <cell r="K83" t="e">
            <v>#N/A</v>
          </cell>
          <cell r="L83" t="e">
            <v>#N/A</v>
          </cell>
          <cell r="M83">
            <v>2397</v>
          </cell>
        </row>
        <row r="84">
          <cell r="E84" t="str">
            <v>S-T-16S2</v>
          </cell>
          <cell r="F84" t="str">
            <v>Y</v>
          </cell>
          <cell r="G84">
            <v>95.040305531538465</v>
          </cell>
          <cell r="H84">
            <v>69.315212070000001</v>
          </cell>
          <cell r="I84">
            <v>4.9812719999999997</v>
          </cell>
          <cell r="J84">
            <v>0</v>
          </cell>
          <cell r="K84">
            <v>100.02157753153847</v>
          </cell>
          <cell r="L84">
            <v>1623.0921568429865</v>
          </cell>
          <cell r="M84">
            <v>106</v>
          </cell>
        </row>
        <row r="85">
          <cell r="E85" t="str">
            <v>S-T-16S4</v>
          </cell>
          <cell r="F85" t="str">
            <v>Y</v>
          </cell>
          <cell r="G85">
            <v>195.14364907353848</v>
          </cell>
          <cell r="H85">
            <v>147.81415561200001</v>
          </cell>
          <cell r="I85">
            <v>9.0089392000000004</v>
          </cell>
          <cell r="J85">
            <v>11.362959999999998</v>
          </cell>
          <cell r="K85">
            <v>215.51554827353846</v>
          </cell>
          <cell r="L85">
            <v>3332.1428764370849</v>
          </cell>
          <cell r="M85">
            <v>218</v>
          </cell>
        </row>
        <row r="86">
          <cell r="E86" t="str">
            <v>ST-CND-LA</v>
          </cell>
          <cell r="F86" t="str">
            <v>Y</v>
          </cell>
          <cell r="G86">
            <v>792.43227842120007</v>
          </cell>
          <cell r="H86">
            <v>615.32231303658466</v>
          </cell>
          <cell r="I86">
            <v>0</v>
          </cell>
          <cell r="J86">
            <v>0</v>
          </cell>
          <cell r="K86">
            <v>792.43227842120007</v>
          </cell>
          <cell r="L86">
            <v>15190.641212377917</v>
          </cell>
          <cell r="M86">
            <v>897</v>
          </cell>
        </row>
        <row r="87">
          <cell r="E87" t="str">
            <v>S-TW12-16S2</v>
          </cell>
          <cell r="F87" t="str">
            <v>N</v>
          </cell>
          <cell r="G87" t="e">
            <v>#N/A</v>
          </cell>
          <cell r="H87" t="e">
            <v>#N/A</v>
          </cell>
          <cell r="I87" t="e">
            <v>#N/A</v>
          </cell>
          <cell r="J87">
            <v>5.4291299999999998</v>
          </cell>
          <cell r="K87" t="e">
            <v>#N/A</v>
          </cell>
          <cell r="L87" t="e">
            <v>#N/A</v>
          </cell>
          <cell r="M87">
            <v>85</v>
          </cell>
        </row>
        <row r="88">
          <cell r="E88" t="str">
            <v>ST-CND-ST</v>
          </cell>
          <cell r="F88" t="str">
            <v>Y</v>
          </cell>
          <cell r="G88">
            <v>635.7766082658203</v>
          </cell>
          <cell r="H88">
            <v>510.10419288120482</v>
          </cell>
          <cell r="I88">
            <v>8.6436241600000017</v>
          </cell>
          <cell r="J88">
            <v>0</v>
          </cell>
          <cell r="K88">
            <v>644.42023242582036</v>
          </cell>
          <cell r="L88">
            <v>12400.588493825921</v>
          </cell>
          <cell r="M88">
            <v>721</v>
          </cell>
        </row>
        <row r="89">
          <cell r="E89" t="str">
            <v>ST-GSE-WMN</v>
          </cell>
          <cell r="F89" t="str">
            <v>Y</v>
          </cell>
          <cell r="G89">
            <v>483.68553498575</v>
          </cell>
          <cell r="H89">
            <v>194.93015998575001</v>
          </cell>
          <cell r="I89">
            <v>2.7554959999999999</v>
          </cell>
          <cell r="J89">
            <v>0</v>
          </cell>
          <cell r="K89">
            <v>486.44103098574999</v>
          </cell>
          <cell r="L89">
            <v>5587.7806292999994</v>
          </cell>
          <cell r="M89">
            <v>525</v>
          </cell>
        </row>
        <row r="90">
          <cell r="E90" t="str">
            <v>ST-GSE-WMS</v>
          </cell>
          <cell r="F90" t="str">
            <v>Y</v>
          </cell>
          <cell r="G90">
            <v>557.99892787975</v>
          </cell>
          <cell r="H90">
            <v>246.54355287974994</v>
          </cell>
          <cell r="I90">
            <v>4.9945659999999998</v>
          </cell>
          <cell r="J90">
            <v>0</v>
          </cell>
          <cell r="K90">
            <v>562.99349387974996</v>
          </cell>
          <cell r="L90">
            <v>6633.0811068999992</v>
          </cell>
          <cell r="M90">
            <v>607</v>
          </cell>
        </row>
        <row r="91">
          <cell r="E91" t="str">
            <v>TS-NL</v>
          </cell>
          <cell r="F91" t="str">
            <v>Y</v>
          </cell>
          <cell r="G91">
            <v>59.696128999999999</v>
          </cell>
          <cell r="H91">
            <v>53.786708999999995</v>
          </cell>
          <cell r="I91">
            <v>3.9528400000000001</v>
          </cell>
          <cell r="J91">
            <v>5.9879049999999996</v>
          </cell>
          <cell r="K91">
            <v>69.636874000000006</v>
          </cell>
          <cell r="L91">
            <v>1083.4392</v>
          </cell>
          <cell r="M91">
            <v>83</v>
          </cell>
        </row>
        <row r="92">
          <cell r="E92" t="str">
            <v>TU-ADL</v>
          </cell>
          <cell r="F92" t="str">
            <v>Y</v>
          </cell>
          <cell r="G92">
            <v>1906.9286409027532</v>
          </cell>
          <cell r="H92">
            <v>1568.408625518138</v>
          </cell>
          <cell r="I92">
            <v>23.259346280000003</v>
          </cell>
          <cell r="J92">
            <v>0</v>
          </cell>
          <cell r="K92">
            <v>1930.1879871827532</v>
          </cell>
          <cell r="L92">
            <v>37408.573466987553</v>
          </cell>
          <cell r="M92">
            <v>2167</v>
          </cell>
        </row>
        <row r="93">
          <cell r="E93" t="str">
            <v>TU-BR</v>
          </cell>
          <cell r="F93" t="str">
            <v>Y</v>
          </cell>
          <cell r="G93" t="e">
            <v>#N/A</v>
          </cell>
          <cell r="H93" t="e">
            <v>#N/A</v>
          </cell>
          <cell r="I93" t="e">
            <v>#N/A</v>
          </cell>
          <cell r="J93">
            <v>0</v>
          </cell>
          <cell r="K93" t="e">
            <v>#N/A</v>
          </cell>
          <cell r="L93" t="e">
            <v>#N/A</v>
          </cell>
          <cell r="M93">
            <v>405</v>
          </cell>
        </row>
        <row r="94">
          <cell r="E94" t="str">
            <v>TU-CRL.O</v>
          </cell>
          <cell r="F94" t="str">
            <v>Y</v>
          </cell>
          <cell r="G94" t="e">
            <v>#N/A</v>
          </cell>
          <cell r="H94" t="e">
            <v>#N/A</v>
          </cell>
          <cell r="I94" t="e">
            <v>#N/A</v>
          </cell>
          <cell r="J94">
            <v>0</v>
          </cell>
          <cell r="K94" t="e">
            <v>#N/A</v>
          </cell>
          <cell r="L94" t="e">
            <v>#N/A</v>
          </cell>
          <cell r="M94" t="e">
            <v>#N/A</v>
          </cell>
        </row>
        <row r="95">
          <cell r="E95" t="str">
            <v>TU-DAR</v>
          </cell>
          <cell r="F95" t="str">
            <v>Y</v>
          </cell>
          <cell r="G95">
            <v>2705.1289063714894</v>
          </cell>
          <cell r="H95">
            <v>2188.4035781214893</v>
          </cell>
          <cell r="I95">
            <v>31.707889999999999</v>
          </cell>
          <cell r="J95">
            <v>0</v>
          </cell>
          <cell r="K95">
            <v>2736.8367963714895</v>
          </cell>
          <cell r="L95">
            <v>46233.298290795996</v>
          </cell>
          <cell r="M95">
            <v>3120</v>
          </cell>
        </row>
        <row r="96">
          <cell r="E96" t="str">
            <v>TU-FL.O</v>
          </cell>
          <cell r="F96" t="str">
            <v>Y</v>
          </cell>
          <cell r="G96" t="e">
            <v>#N/A</v>
          </cell>
          <cell r="H96" t="e">
            <v>#N/A</v>
          </cell>
          <cell r="I96" t="e">
            <v>#N/A</v>
          </cell>
          <cell r="J96">
            <v>0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E97" t="str">
            <v>TU-HMD.O</v>
          </cell>
          <cell r="F97" t="str">
            <v>Y</v>
          </cell>
          <cell r="G97" t="e">
            <v>#N/A</v>
          </cell>
          <cell r="H97" t="e">
            <v>#N/A</v>
          </cell>
          <cell r="I97" t="e">
            <v>#N/A</v>
          </cell>
          <cell r="J97">
            <v>0</v>
          </cell>
          <cell r="K97" t="e">
            <v>#N/A</v>
          </cell>
          <cell r="L97" t="e">
            <v>#N/A</v>
          </cell>
          <cell r="M97" t="e">
            <v>#N/A</v>
          </cell>
        </row>
        <row r="98">
          <cell r="E98" t="str">
            <v>TU-RG-L</v>
          </cell>
          <cell r="F98" t="str">
            <v>N</v>
          </cell>
          <cell r="G98" t="e">
            <v>#N/A</v>
          </cell>
          <cell r="H98" t="e">
            <v>#N/A</v>
          </cell>
          <cell r="I98" t="e">
            <v>#N/A</v>
          </cell>
          <cell r="J98">
            <v>0</v>
          </cell>
          <cell r="K98" t="e">
            <v>#N/A</v>
          </cell>
          <cell r="L98" t="e">
            <v>#N/A</v>
          </cell>
          <cell r="M98">
            <v>131</v>
          </cell>
        </row>
        <row r="99">
          <cell r="E99" t="str">
            <v>TU-ML</v>
          </cell>
          <cell r="F99" t="str">
            <v>Y</v>
          </cell>
          <cell r="G99" t="e">
            <v>#N/A</v>
          </cell>
          <cell r="H99" t="e">
            <v>#N/A</v>
          </cell>
          <cell r="I99" t="e">
            <v>#N/A</v>
          </cell>
          <cell r="J99">
            <v>0</v>
          </cell>
          <cell r="K99" t="e">
            <v>#N/A</v>
          </cell>
          <cell r="L99" t="e">
            <v>#N/A</v>
          </cell>
          <cell r="M99">
            <v>476</v>
          </cell>
        </row>
        <row r="100">
          <cell r="E100" t="str">
            <v>TU-NVH-M</v>
          </cell>
          <cell r="F100" t="str">
            <v>Y</v>
          </cell>
          <cell r="G100">
            <v>1251.60029089717</v>
          </cell>
          <cell r="H100">
            <v>894.61303876255499</v>
          </cell>
          <cell r="I100">
            <v>27.498458800000002</v>
          </cell>
          <cell r="J100">
            <v>0</v>
          </cell>
          <cell r="K100">
            <v>1279.09874969717</v>
          </cell>
          <cell r="L100">
            <v>20079.078807711998</v>
          </cell>
          <cell r="M100">
            <v>1437</v>
          </cell>
        </row>
        <row r="101">
          <cell r="E101" t="str">
            <v>TU-NVH-ST</v>
          </cell>
          <cell r="F101" t="str">
            <v>Y</v>
          </cell>
          <cell r="G101">
            <v>1597.1210761115215</v>
          </cell>
          <cell r="H101">
            <v>1220.26530207306</v>
          </cell>
          <cell r="I101">
            <v>34.351519199999991</v>
          </cell>
          <cell r="J101">
            <v>30.402767499999996</v>
          </cell>
          <cell r="K101">
            <v>1661.8753628115214</v>
          </cell>
          <cell r="L101">
            <v>28834.981354664003</v>
          </cell>
          <cell r="M101">
            <v>1852</v>
          </cell>
        </row>
        <row r="102">
          <cell r="E102" t="str">
            <v>TU-PMN-LA</v>
          </cell>
          <cell r="F102" t="str">
            <v>Y</v>
          </cell>
          <cell r="G102" t="e">
            <v>#N/A</v>
          </cell>
          <cell r="H102" t="e">
            <v>#N/A</v>
          </cell>
          <cell r="I102" t="e">
            <v>#N/A</v>
          </cell>
          <cell r="J102">
            <v>0</v>
          </cell>
          <cell r="K102" t="e">
            <v>#N/A</v>
          </cell>
          <cell r="L102" t="e">
            <v>#N/A</v>
          </cell>
          <cell r="M102">
            <v>1118</v>
          </cell>
        </row>
        <row r="103">
          <cell r="E103" t="str">
            <v>TU-PMN-ST</v>
          </cell>
          <cell r="F103" t="str">
            <v>Y</v>
          </cell>
          <cell r="G103">
            <v>805.16807836522321</v>
          </cell>
          <cell r="H103">
            <v>609.65513728830012</v>
          </cell>
          <cell r="I103">
            <v>12.294964400000001</v>
          </cell>
          <cell r="J103">
            <v>0</v>
          </cell>
          <cell r="K103">
            <v>817.46304276522324</v>
          </cell>
          <cell r="L103">
            <v>15087.44167532</v>
          </cell>
          <cell r="M103">
            <v>894</v>
          </cell>
        </row>
        <row r="104">
          <cell r="E104" t="str">
            <v>TU-PMP-S</v>
          </cell>
          <cell r="F104" t="str">
            <v>Y</v>
          </cell>
          <cell r="G104">
            <v>956.54469408820171</v>
          </cell>
          <cell r="H104">
            <v>776.72132816512487</v>
          </cell>
          <cell r="I104">
            <v>18.400766000000001</v>
          </cell>
          <cell r="J104">
            <v>0</v>
          </cell>
          <cell r="K104">
            <v>974.94546008820168</v>
          </cell>
          <cell r="L104">
            <v>18534.571649099991</v>
          </cell>
          <cell r="M104">
            <v>1004</v>
          </cell>
        </row>
        <row r="105">
          <cell r="E105" t="str">
            <v>TU-PM-STWDB</v>
          </cell>
          <cell r="F105" t="str">
            <v>Y</v>
          </cell>
          <cell r="G105" t="e">
            <v>#N/A</v>
          </cell>
          <cell r="H105" t="e">
            <v>#N/A</v>
          </cell>
          <cell r="I105" t="e">
            <v>#N/A</v>
          </cell>
          <cell r="J105">
            <v>0</v>
          </cell>
          <cell r="K105" t="e">
            <v>#N/A</v>
          </cell>
          <cell r="L105" t="e">
            <v>#N/A</v>
          </cell>
          <cell r="M105">
            <v>803</v>
          </cell>
        </row>
        <row r="106">
          <cell r="E106" t="str">
            <v>TU-PR</v>
          </cell>
          <cell r="F106" t="str">
            <v>Y</v>
          </cell>
          <cell r="G106">
            <v>505.05291750118465</v>
          </cell>
          <cell r="H106">
            <v>377.64215588579998</v>
          </cell>
          <cell r="I106">
            <v>10.6210016</v>
          </cell>
          <cell r="J106">
            <v>0</v>
          </cell>
          <cell r="K106">
            <v>515.67391910118465</v>
          </cell>
          <cell r="L106">
            <v>7098.1725015200009</v>
          </cell>
          <cell r="M106">
            <v>551</v>
          </cell>
        </row>
        <row r="107">
          <cell r="E107" t="str">
            <v>TU-RE-ST</v>
          </cell>
          <cell r="F107" t="str">
            <v>Y</v>
          </cell>
          <cell r="G107">
            <v>476.03194145200001</v>
          </cell>
          <cell r="H107">
            <v>346.96753045200006</v>
          </cell>
          <cell r="I107">
            <v>7.6500544000000001</v>
          </cell>
          <cell r="J107">
            <v>10.422055</v>
          </cell>
          <cell r="K107">
            <v>494.104050852</v>
          </cell>
          <cell r="L107">
            <v>8644.3611512958942</v>
          </cell>
          <cell r="M107">
            <v>532</v>
          </cell>
        </row>
        <row r="108">
          <cell r="E108" t="str">
            <v>TU-RG-LP</v>
          </cell>
          <cell r="F108" t="str">
            <v>Y</v>
          </cell>
          <cell r="G108" t="e">
            <v>#N/A</v>
          </cell>
          <cell r="H108" t="e">
            <v>#N/A</v>
          </cell>
          <cell r="I108" t="e">
            <v>#N/A</v>
          </cell>
          <cell r="J108">
            <v>0</v>
          </cell>
          <cell r="K108" t="e">
            <v>#N/A</v>
          </cell>
          <cell r="L108" t="e">
            <v>#N/A</v>
          </cell>
          <cell r="M108">
            <v>449</v>
          </cell>
        </row>
        <row r="109">
          <cell r="E109" t="str">
            <v>TU-SNQ-ST</v>
          </cell>
          <cell r="F109" t="str">
            <v>Y</v>
          </cell>
          <cell r="G109">
            <v>697.14709807692304</v>
          </cell>
          <cell r="H109">
            <v>526.88937499999997</v>
          </cell>
          <cell r="I109">
            <v>8.9606659999999998</v>
          </cell>
          <cell r="J109">
            <v>0</v>
          </cell>
          <cell r="K109">
            <v>706.10776407692299</v>
          </cell>
          <cell r="L109">
            <v>12274.32677966102</v>
          </cell>
          <cell r="M109" t="e">
            <v>#N/A</v>
          </cell>
        </row>
        <row r="110">
          <cell r="E110" t="str">
            <v>TU-TP</v>
          </cell>
          <cell r="F110" t="str">
            <v>Y</v>
          </cell>
          <cell r="G110">
            <v>122.22784105461538</v>
          </cell>
          <cell r="H110">
            <v>86.478695669999993</v>
          </cell>
          <cell r="I110">
            <v>5.0434919999999996</v>
          </cell>
          <cell r="J110">
            <v>5.2272499999999997</v>
          </cell>
          <cell r="K110">
            <v>132.49858305461538</v>
          </cell>
          <cell r="L110">
            <v>2114.3267673164914</v>
          </cell>
          <cell r="M110">
            <v>136</v>
          </cell>
        </row>
        <row r="111">
          <cell r="E111" t="str">
            <v>TU-TT-L</v>
          </cell>
          <cell r="F111" t="str">
            <v>Y</v>
          </cell>
          <cell r="G111">
            <v>163.63310967692311</v>
          </cell>
          <cell r="H111">
            <v>118.26890159999999</v>
          </cell>
          <cell r="I111">
            <v>4.0177119999999995</v>
          </cell>
          <cell r="J111">
            <v>6.3285774999999997</v>
          </cell>
          <cell r="K111">
            <v>173.9793991769231</v>
          </cell>
          <cell r="L111">
            <v>2995.6343667730857</v>
          </cell>
          <cell r="M111">
            <v>185</v>
          </cell>
        </row>
        <row r="112">
          <cell r="E112" t="str">
            <v>TU-TT-S</v>
          </cell>
          <cell r="F112" t="str">
            <v>Y</v>
          </cell>
          <cell r="G112">
            <v>94.258632332692287</v>
          </cell>
          <cell r="H112">
            <v>64.521618524999994</v>
          </cell>
          <cell r="I112">
            <v>3.4826200000000003</v>
          </cell>
          <cell r="J112">
            <v>5.2524849999999992</v>
          </cell>
          <cell r="K112">
            <v>102.99373733269228</v>
          </cell>
          <cell r="L112">
            <v>1605.9583883462319</v>
          </cell>
          <cell r="M112">
            <v>105</v>
          </cell>
        </row>
        <row r="113">
          <cell r="E113" t="str">
            <v>WA-BLS</v>
          </cell>
          <cell r="F113" t="str">
            <v>Y</v>
          </cell>
          <cell r="G113">
            <v>84.876097385999998</v>
          </cell>
          <cell r="H113">
            <v>52.39281738599999</v>
          </cell>
          <cell r="I113">
            <v>1.2191040000000002</v>
          </cell>
          <cell r="J113">
            <v>0</v>
          </cell>
          <cell r="K113">
            <v>86.095201385999999</v>
          </cell>
          <cell r="L113" t="e">
            <v>#N/A</v>
          </cell>
          <cell r="M113">
            <v>112</v>
          </cell>
        </row>
        <row r="114">
          <cell r="E114" t="str">
            <v>WA-CCI</v>
          </cell>
          <cell r="F114" t="str">
            <v>Y</v>
          </cell>
          <cell r="G114" t="e">
            <v>#N/A</v>
          </cell>
          <cell r="H114" t="e">
            <v>#N/A</v>
          </cell>
          <cell r="I114" t="e">
            <v>#N/A</v>
          </cell>
          <cell r="J114">
            <v>0</v>
          </cell>
          <cell r="K114" t="e">
            <v>#N/A</v>
          </cell>
          <cell r="L114" t="e">
            <v>#N/A</v>
          </cell>
          <cell r="M114" t="e">
            <v>#N/A</v>
          </cell>
        </row>
        <row r="115">
          <cell r="E115" t="str">
            <v>WA-FBA.P-DW</v>
          </cell>
          <cell r="F115" t="str">
            <v>Y</v>
          </cell>
          <cell r="G115">
            <v>106.82505783030777</v>
          </cell>
          <cell r="H115">
            <v>46.313413453125001</v>
          </cell>
          <cell r="I115">
            <v>0.98770000000000013</v>
          </cell>
          <cell r="J115">
            <v>0</v>
          </cell>
          <cell r="K115">
            <v>107.81275783030777</v>
          </cell>
          <cell r="L115">
            <v>917.65175000000011</v>
          </cell>
          <cell r="M115" t="e">
            <v>#N/A</v>
          </cell>
        </row>
        <row r="116">
          <cell r="E116" t="str">
            <v>W-AND-11N</v>
          </cell>
          <cell r="F116" t="str">
            <v>Y</v>
          </cell>
          <cell r="G116">
            <v>2753.6004375000002</v>
          </cell>
          <cell r="H116">
            <v>2079.5004374999999</v>
          </cell>
          <cell r="I116">
            <v>29.339518000000002</v>
          </cell>
          <cell r="J116">
            <v>0</v>
          </cell>
          <cell r="K116">
            <v>2782.9399555000005</v>
          </cell>
          <cell r="L116">
            <v>44775</v>
          </cell>
          <cell r="M116">
            <v>3247</v>
          </cell>
        </row>
        <row r="117">
          <cell r="E117" t="str">
            <v>WC-NIA</v>
          </cell>
          <cell r="F117" t="str">
            <v>Y</v>
          </cell>
          <cell r="G117" t="e">
            <v>#N/A</v>
          </cell>
          <cell r="H117" t="e">
            <v>#N/A</v>
          </cell>
          <cell r="I117" t="e">
            <v>#N/A</v>
          </cell>
          <cell r="J117">
            <v>0</v>
          </cell>
          <cell r="K117" t="e">
            <v>#N/A</v>
          </cell>
          <cell r="L117" t="e">
            <v>#N/A</v>
          </cell>
          <cell r="M117">
            <v>94</v>
          </cell>
        </row>
        <row r="118">
          <cell r="E118" t="str">
            <v>WT-EA</v>
          </cell>
          <cell r="F118" t="str">
            <v>Y</v>
          </cell>
          <cell r="G118">
            <v>1114.7350940076922</v>
          </cell>
          <cell r="H118">
            <v>281.17346669999995</v>
          </cell>
          <cell r="I118">
            <v>4.4619560000000007</v>
          </cell>
          <cell r="J118">
            <v>0</v>
          </cell>
          <cell r="K118">
            <v>1119.1970500076923</v>
          </cell>
          <cell r="L118">
            <v>8966.60196</v>
          </cell>
          <cell r="M118">
            <v>1169</v>
          </cell>
        </row>
        <row r="119">
          <cell r="E119" t="str">
            <v>KH-VD</v>
          </cell>
          <cell r="F119" t="str">
            <v>Y</v>
          </cell>
          <cell r="G119" t="e">
            <v>#N/A</v>
          </cell>
          <cell r="H119" t="e">
            <v>#N/A</v>
          </cell>
          <cell r="I119" t="e">
            <v>#N/A</v>
          </cell>
          <cell r="J119">
            <v>0</v>
          </cell>
          <cell r="K119" t="e">
            <v>#N/A</v>
          </cell>
          <cell r="L119" t="e">
            <v>#N/A</v>
          </cell>
          <cell r="M119">
            <v>100</v>
          </cell>
        </row>
        <row r="120">
          <cell r="E120" t="str">
            <v>PC-AY-L</v>
          </cell>
          <cell r="F120" t="str">
            <v>Y</v>
          </cell>
          <cell r="G120" t="e">
            <v>#N/A</v>
          </cell>
          <cell r="H120" t="e">
            <v>#N/A</v>
          </cell>
          <cell r="I120" t="e">
            <v>#N/A</v>
          </cell>
          <cell r="J120">
            <v>0</v>
          </cell>
          <cell r="K120" t="e">
            <v>#N/A</v>
          </cell>
          <cell r="L120" t="e">
            <v>#N/A</v>
          </cell>
          <cell r="M120">
            <v>32</v>
          </cell>
        </row>
        <row r="121">
          <cell r="E121" t="str">
            <v>RG-SN-TH</v>
          </cell>
          <cell r="F121" t="str">
            <v>Y</v>
          </cell>
          <cell r="G121" t="e">
            <v>#N/A</v>
          </cell>
          <cell r="H121" t="e">
            <v>#N/A</v>
          </cell>
          <cell r="I121" t="e">
            <v>#N/A</v>
          </cell>
          <cell r="J121">
            <v>0</v>
          </cell>
          <cell r="K121" t="e">
            <v>#N/A</v>
          </cell>
          <cell r="L121" t="e">
            <v>#N/A</v>
          </cell>
          <cell r="M121">
            <v>75</v>
          </cell>
        </row>
        <row r="122">
          <cell r="E122" t="str">
            <v>S-TCW-10P2</v>
          </cell>
          <cell r="F122" t="str">
            <v>Y</v>
          </cell>
          <cell r="G122" t="e">
            <v>#N/A</v>
          </cell>
          <cell r="H122" t="e">
            <v>#N/A</v>
          </cell>
          <cell r="I122" t="e">
            <v>#N/A</v>
          </cell>
          <cell r="J122">
            <v>0</v>
          </cell>
          <cell r="K122" t="e">
            <v>#N/A</v>
          </cell>
          <cell r="L122" t="e">
            <v>#N/A</v>
          </cell>
          <cell r="M122">
            <v>109</v>
          </cell>
        </row>
        <row r="123">
          <cell r="E123" t="str">
            <v>S-TCW-8P2</v>
          </cell>
          <cell r="F123" t="str">
            <v>Y</v>
          </cell>
          <cell r="G123" t="e">
            <v>#N/A</v>
          </cell>
          <cell r="H123" t="e">
            <v>#N/A</v>
          </cell>
          <cell r="I123" t="e">
            <v>#N/A</v>
          </cell>
          <cell r="J123">
            <v>0</v>
          </cell>
          <cell r="K123" t="e">
            <v>#N/A</v>
          </cell>
          <cell r="L123" t="e">
            <v>#N/A</v>
          </cell>
          <cell r="M123">
            <v>89</v>
          </cell>
        </row>
        <row r="124">
          <cell r="E124" t="str">
            <v>S-TW12-S4</v>
          </cell>
          <cell r="F124" t="str">
            <v>Y</v>
          </cell>
          <cell r="G124" t="e">
            <v>#N/A</v>
          </cell>
          <cell r="H124" t="e">
            <v>#N/A</v>
          </cell>
          <cell r="I124" t="e">
            <v>#N/A</v>
          </cell>
          <cell r="J124">
            <v>0</v>
          </cell>
          <cell r="K124" t="e">
            <v>#N/A</v>
          </cell>
          <cell r="L124" t="e">
            <v>#N/A</v>
          </cell>
          <cell r="M124">
            <v>138</v>
          </cell>
        </row>
        <row r="125">
          <cell r="E125" t="str">
            <v>WA-CCI.P-DW</v>
          </cell>
          <cell r="F125" t="str">
            <v>Y</v>
          </cell>
          <cell r="G125">
            <v>164.0375578303078</v>
          </cell>
          <cell r="H125">
            <v>46.313413453125001</v>
          </cell>
          <cell r="I125">
            <v>8.3475000000000001</v>
          </cell>
          <cell r="J125">
            <v>0</v>
          </cell>
          <cell r="K125">
            <v>172.3850578303078</v>
          </cell>
          <cell r="L125">
            <v>1078.6686991525426</v>
          </cell>
          <cell r="M125" t="e">
            <v>#N/A</v>
          </cell>
        </row>
        <row r="126">
          <cell r="E126" t="str">
            <v>W-AND-2N(O)</v>
          </cell>
          <cell r="F126" t="str">
            <v>Y</v>
          </cell>
          <cell r="G126" t="e">
            <v>#N/A</v>
          </cell>
          <cell r="H126" t="e">
            <v>#N/A</v>
          </cell>
          <cell r="I126" t="e">
            <v>#N/A</v>
          </cell>
          <cell r="J126">
            <v>0</v>
          </cell>
          <cell r="K126" t="e">
            <v>#N/A</v>
          </cell>
          <cell r="L126" t="e">
            <v>#N/A</v>
          </cell>
          <cell r="M126">
            <v>4836</v>
          </cell>
        </row>
        <row r="127">
          <cell r="E127" t="str">
            <v>SR-BKN-MF</v>
          </cell>
          <cell r="F127" t="str">
            <v>Y</v>
          </cell>
          <cell r="G127" t="e">
            <v>#N/A</v>
          </cell>
          <cell r="H127" t="e">
            <v>#N/A</v>
          </cell>
          <cell r="I127" t="e">
            <v>#N/A</v>
          </cell>
          <cell r="J127">
            <v>0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E128" t="str">
            <v>SR-BKN-M</v>
          </cell>
          <cell r="F128" t="str">
            <v>Y</v>
          </cell>
          <cell r="G128" t="e">
            <v>#N/A</v>
          </cell>
          <cell r="H128" t="e">
            <v>#N/A</v>
          </cell>
          <cell r="I128" t="e">
            <v>#N/A</v>
          </cell>
          <cell r="J128">
            <v>0</v>
          </cell>
          <cell r="K128" t="e">
            <v>#N/A</v>
          </cell>
          <cell r="L128" t="e">
            <v>#N/A</v>
          </cell>
          <cell r="M128" t="e">
            <v>#N/A</v>
          </cell>
        </row>
        <row r="129">
          <cell r="E129" t="str">
            <v>PF-MIS-RT</v>
          </cell>
          <cell r="F129" t="str">
            <v>Y</v>
          </cell>
          <cell r="G129">
            <v>190</v>
          </cell>
          <cell r="H129" t="e">
            <v>#N/A</v>
          </cell>
          <cell r="I129" t="e">
            <v>#N/A</v>
          </cell>
          <cell r="J129">
            <v>0</v>
          </cell>
          <cell r="K129" t="e">
            <v>#N/A</v>
          </cell>
          <cell r="L129" t="e">
            <v>#N/A</v>
          </cell>
          <cell r="M129" t="e">
            <v>#N/A</v>
          </cell>
        </row>
        <row r="130">
          <cell r="E130" t="str">
            <v>TU-BKMT</v>
          </cell>
          <cell r="F130" t="str">
            <v>NL</v>
          </cell>
          <cell r="G130">
            <v>2571</v>
          </cell>
          <cell r="H130">
            <v>1926</v>
          </cell>
          <cell r="I130" t="e">
            <v>#N/A</v>
          </cell>
          <cell r="J130">
            <v>0</v>
          </cell>
          <cell r="K130" t="e">
            <v>#N/A</v>
          </cell>
          <cell r="L130" t="e">
            <v>#N/A</v>
          </cell>
          <cell r="M130" t="e">
            <v>#N/A</v>
          </cell>
        </row>
        <row r="131">
          <cell r="E131" t="str">
            <v>B-MLT-KT</v>
          </cell>
          <cell r="F131" t="e">
            <v>#VALUE!</v>
          </cell>
          <cell r="G131">
            <v>4719.522502215731</v>
          </cell>
          <cell r="H131">
            <v>3773.2600140102354</v>
          </cell>
          <cell r="I131">
            <v>38.895265600000002</v>
          </cell>
          <cell r="J131">
            <v>0</v>
          </cell>
          <cell r="K131">
            <v>4758.4177678157312</v>
          </cell>
          <cell r="L131">
            <v>88614.980250199995</v>
          </cell>
          <cell r="M131">
            <v>5086</v>
          </cell>
        </row>
        <row r="132">
          <cell r="E132" t="str">
            <v>B-MLT-QT</v>
          </cell>
          <cell r="F132" t="str">
            <v>Y</v>
          </cell>
          <cell r="G132">
            <v>4354.9893776944418</v>
          </cell>
          <cell r="H132">
            <v>3478.9470565658694</v>
          </cell>
          <cell r="I132">
            <v>36.300338000000011</v>
          </cell>
          <cell r="J132">
            <v>0</v>
          </cell>
          <cell r="K132">
            <v>4391.2897156944418</v>
          </cell>
          <cell r="L132">
            <v>83135.098534551988</v>
          </cell>
          <cell r="M132">
            <v>4557</v>
          </cell>
        </row>
        <row r="133">
          <cell r="E133" t="str">
            <v>B-POL-KT</v>
          </cell>
          <cell r="F133" t="str">
            <v>Y</v>
          </cell>
          <cell r="G133">
            <v>4882.300057268998</v>
          </cell>
          <cell r="H133">
            <v>3742.2631106918166</v>
          </cell>
          <cell r="I133">
            <v>41.898118400000001</v>
          </cell>
          <cell r="J133">
            <v>0</v>
          </cell>
          <cell r="K133">
            <v>4924.1981756689984</v>
          </cell>
          <cell r="L133">
            <v>94601.157959616001</v>
          </cell>
          <cell r="M133">
            <v>5454</v>
          </cell>
        </row>
        <row r="134">
          <cell r="E134" t="str">
            <v>B-POL-QT</v>
          </cell>
          <cell r="F134" t="str">
            <v>Y</v>
          </cell>
          <cell r="G134">
            <v>4276.6108654382915</v>
          </cell>
          <cell r="H134">
            <v>3279.7006582649574</v>
          </cell>
          <cell r="I134">
            <v>38.938323199999999</v>
          </cell>
          <cell r="J134">
            <v>0</v>
          </cell>
          <cell r="K134">
            <v>4315.5491886382915</v>
          </cell>
          <cell r="L134">
            <v>75619.774062335986</v>
          </cell>
          <cell r="M134">
            <v>4665</v>
          </cell>
        </row>
        <row r="135">
          <cell r="E135" t="str">
            <v>B-POL-SN</v>
          </cell>
          <cell r="F135" t="str">
            <v>Y</v>
          </cell>
          <cell r="G135">
            <v>2451.5689380531203</v>
          </cell>
          <cell r="H135">
            <v>1794.01673755312</v>
          </cell>
          <cell r="I135">
            <v>25.093258000000002</v>
          </cell>
          <cell r="J135">
            <v>0</v>
          </cell>
          <cell r="K135">
            <v>2476.6621960531202</v>
          </cell>
          <cell r="L135">
            <v>40998.311804560013</v>
          </cell>
          <cell r="M135">
            <v>2400</v>
          </cell>
        </row>
        <row r="136">
          <cell r="E136" t="str">
            <v>B-RVB-D36N</v>
          </cell>
          <cell r="F136" t="str">
            <v>Y</v>
          </cell>
          <cell r="G136">
            <v>2341.55085158165</v>
          </cell>
          <cell r="H136">
            <v>1538.4116400816497</v>
          </cell>
          <cell r="I136">
            <v>24.859514799999999</v>
          </cell>
          <cell r="J136">
            <v>0</v>
          </cell>
          <cell r="K136">
            <v>2366.41036638165</v>
          </cell>
          <cell r="L136">
            <v>34586.525244060009</v>
          </cell>
          <cell r="M136" t="e">
            <v>#N/A</v>
          </cell>
        </row>
        <row r="137">
          <cell r="E137" t="str">
            <v>B-RVB-KN</v>
          </cell>
          <cell r="F137" t="str">
            <v>Y</v>
          </cell>
          <cell r="G137">
            <v>3799.1851129094398</v>
          </cell>
          <cell r="H137">
            <v>2886.9684691594398</v>
          </cell>
          <cell r="I137">
            <v>39.787758799999999</v>
          </cell>
          <cell r="J137">
            <v>0</v>
          </cell>
          <cell r="K137">
            <v>3838.9728717094399</v>
          </cell>
          <cell r="L137">
            <v>56053.896042839995</v>
          </cell>
          <cell r="M137">
            <v>3726</v>
          </cell>
        </row>
        <row r="138">
          <cell r="E138" t="str">
            <v>B-RVB-QN</v>
          </cell>
          <cell r="F138" t="str">
            <v>Y</v>
          </cell>
          <cell r="G138">
            <v>3388.2119330036098</v>
          </cell>
          <cell r="H138">
            <v>2570.4922816478402</v>
          </cell>
          <cell r="I138">
            <v>38.098577599999999</v>
          </cell>
          <cell r="J138">
            <v>0</v>
          </cell>
          <cell r="K138">
            <v>3426.3105106036101</v>
          </cell>
          <cell r="L138">
            <v>61659.101129619987</v>
          </cell>
          <cell r="M138">
            <v>3394</v>
          </cell>
        </row>
        <row r="139">
          <cell r="E139" t="str">
            <v>B-RVB-SN</v>
          </cell>
          <cell r="F139" t="str">
            <v>Y</v>
          </cell>
          <cell r="G139">
            <v>2489.0618723056004</v>
          </cell>
          <cell r="H139">
            <v>1974.0802908055998</v>
          </cell>
          <cell r="I139">
            <v>29.453152799999998</v>
          </cell>
          <cell r="J139">
            <v>0</v>
          </cell>
          <cell r="K139">
            <v>2518.5150251056002</v>
          </cell>
          <cell r="L139">
            <v>41738.718569060002</v>
          </cell>
          <cell r="M139" t="e">
            <v>#N/A</v>
          </cell>
        </row>
        <row r="140">
          <cell r="E140" t="str">
            <v>BT-CO</v>
          </cell>
          <cell r="F140" t="str">
            <v>Y</v>
          </cell>
          <cell r="G140">
            <v>369.60808916399998</v>
          </cell>
          <cell r="H140">
            <v>284.66554466399998</v>
          </cell>
          <cell r="I140">
            <v>12.306095999999998</v>
          </cell>
          <cell r="J140">
            <v>0</v>
          </cell>
          <cell r="K140">
            <v>381.914185164</v>
          </cell>
          <cell r="L140">
            <v>6060.5377855999996</v>
          </cell>
          <cell r="M140">
            <v>420</v>
          </cell>
        </row>
        <row r="141">
          <cell r="E141" t="str">
            <v>BT-NHE</v>
          </cell>
          <cell r="F141" t="str">
            <v>Y</v>
          </cell>
          <cell r="G141">
            <v>296</v>
          </cell>
          <cell r="H141"/>
          <cell r="I141"/>
          <cell r="J141"/>
          <cell r="K141"/>
          <cell r="L141"/>
          <cell r="M141"/>
        </row>
        <row r="142">
          <cell r="E142" t="str">
            <v>BT-OL</v>
          </cell>
          <cell r="F142" t="str">
            <v>Y</v>
          </cell>
          <cell r="G142">
            <v>458.34725000000009</v>
          </cell>
          <cell r="H142">
            <v>376.19725000000005</v>
          </cell>
          <cell r="I142">
            <v>7.7590720000000015</v>
          </cell>
          <cell r="J142">
            <v>12.815775</v>
          </cell>
          <cell r="K142">
            <v>478.92209700000006</v>
          </cell>
          <cell r="L142">
            <v>8112</v>
          </cell>
          <cell r="M142">
            <v>486</v>
          </cell>
        </row>
        <row r="143">
          <cell r="E143" t="str">
            <v>BT-OL-D</v>
          </cell>
          <cell r="F143" t="str">
            <v>Y</v>
          </cell>
          <cell r="G143">
            <v>575.88694814544976</v>
          </cell>
          <cell r="H143">
            <v>464.92411726544992</v>
          </cell>
          <cell r="I143">
            <v>13.214555600000001</v>
          </cell>
          <cell r="J143">
            <v>0</v>
          </cell>
          <cell r="K143">
            <v>589.1015037454498</v>
          </cell>
          <cell r="L143">
            <v>10252.115625886776</v>
          </cell>
          <cell r="M143">
            <v>677</v>
          </cell>
        </row>
        <row r="144">
          <cell r="E144" t="str">
            <v>CT-ATD</v>
          </cell>
          <cell r="F144" t="str">
            <v>Y</v>
          </cell>
          <cell r="G144">
            <v>562.6857613248078</v>
          </cell>
          <cell r="H144">
            <v>405.2746488825</v>
          </cell>
          <cell r="I144">
            <v>8.3428180000000012</v>
          </cell>
          <cell r="J144">
            <v>0</v>
          </cell>
          <cell r="K144">
            <v>571.02857932480777</v>
          </cell>
          <cell r="L144">
            <v>9356.5605030000006</v>
          </cell>
          <cell r="M144" t="e">
            <v>#N/A</v>
          </cell>
        </row>
        <row r="145">
          <cell r="E145" t="str">
            <v>CT-ATD-ST</v>
          </cell>
          <cell r="F145" t="str">
            <v>Y</v>
          </cell>
          <cell r="G145">
            <v>962.33160357415386</v>
          </cell>
          <cell r="H145">
            <v>405</v>
          </cell>
          <cell r="I145">
            <v>15.168678399999999</v>
          </cell>
          <cell r="J145">
            <v>0</v>
          </cell>
          <cell r="K145">
            <v>977.50028197415384</v>
          </cell>
          <cell r="L145">
            <v>13438.901661199998</v>
          </cell>
          <cell r="M145">
            <v>1138</v>
          </cell>
        </row>
        <row r="146">
          <cell r="E146" t="str">
            <v>CT-DOV</v>
          </cell>
          <cell r="F146" t="str">
            <v>Y</v>
          </cell>
          <cell r="G146">
            <v>1318.0791023999998</v>
          </cell>
          <cell r="H146">
            <v>1019.2791024000001</v>
          </cell>
          <cell r="I146">
            <v>17.813178000000001</v>
          </cell>
          <cell r="J146">
            <v>0</v>
          </cell>
          <cell r="K146">
            <v>1335.8922803999999</v>
          </cell>
          <cell r="L146">
            <v>21457</v>
          </cell>
          <cell r="M146">
            <v>1351</v>
          </cell>
        </row>
        <row r="147">
          <cell r="E147" t="str">
            <v>CT-ETE</v>
          </cell>
          <cell r="F147" t="str">
            <v>Y</v>
          </cell>
          <cell r="G147">
            <v>646.08061262999979</v>
          </cell>
          <cell r="H147">
            <v>451.72779962999988</v>
          </cell>
          <cell r="I147">
            <v>7.6860400000000002</v>
          </cell>
          <cell r="J147">
            <v>0</v>
          </cell>
          <cell r="K147">
            <v>653.76665262999984</v>
          </cell>
          <cell r="L147">
            <v>11446.470851999997</v>
          </cell>
          <cell r="M147" t="e">
            <v>#N/A</v>
          </cell>
        </row>
        <row r="148">
          <cell r="E148" t="str">
            <v>CT-GSE-RT</v>
          </cell>
          <cell r="F148" t="str">
            <v>Y</v>
          </cell>
          <cell r="G148">
            <v>458.26151825349228</v>
          </cell>
          <cell r="H148">
            <v>208.11898094579996</v>
          </cell>
          <cell r="I148">
            <v>3.9431023999999999</v>
          </cell>
          <cell r="J148">
            <v>0</v>
          </cell>
          <cell r="K148">
            <v>462.20462065349227</v>
          </cell>
          <cell r="L148">
            <v>5381.720965999999</v>
          </cell>
          <cell r="M148">
            <v>501</v>
          </cell>
        </row>
        <row r="149">
          <cell r="E149" t="str">
            <v>CT-GSE-RT2</v>
          </cell>
          <cell r="F149" t="str">
            <v>Y</v>
          </cell>
          <cell r="G149">
            <v>707.27552657331989</v>
          </cell>
          <cell r="H149">
            <v>349.26200857331992</v>
          </cell>
          <cell r="I149">
            <v>6.4594423999999995</v>
          </cell>
          <cell r="J149">
            <v>0</v>
          </cell>
          <cell r="K149">
            <v>713.73496897331984</v>
          </cell>
          <cell r="L149">
            <v>9982.9279925279989</v>
          </cell>
          <cell r="M149">
            <v>906</v>
          </cell>
        </row>
        <row r="150">
          <cell r="E150" t="str">
            <v>CT-GSE-SQ</v>
          </cell>
          <cell r="F150" t="str">
            <v>Y</v>
          </cell>
          <cell r="G150">
            <v>497.30363103076917</v>
          </cell>
          <cell r="H150">
            <v>233.84165429999999</v>
          </cell>
          <cell r="I150">
            <v>3.7106240000000001</v>
          </cell>
          <cell r="J150">
            <v>0</v>
          </cell>
          <cell r="K150">
            <v>501.01425503076916</v>
          </cell>
          <cell r="L150">
            <v>6253.3720399999993</v>
          </cell>
          <cell r="M150">
            <v>542</v>
          </cell>
        </row>
        <row r="151">
          <cell r="E151" t="str">
            <v>CT-GSE-SQ2</v>
          </cell>
          <cell r="F151" t="str">
            <v>Y</v>
          </cell>
          <cell r="G151">
            <v>745.54119999999989</v>
          </cell>
          <cell r="H151">
            <v>378.4292999999999</v>
          </cell>
          <cell r="I151">
            <v>6.1674640000000007</v>
          </cell>
          <cell r="J151">
            <v>0</v>
          </cell>
          <cell r="K151">
            <v>751.70866399999989</v>
          </cell>
          <cell r="L151">
            <v>11175.414393220339</v>
          </cell>
          <cell r="M151">
            <v>952</v>
          </cell>
        </row>
        <row r="152">
          <cell r="E152" t="str">
            <v>CT-KV-RT</v>
          </cell>
          <cell r="F152" t="str">
            <v>NL</v>
          </cell>
          <cell r="G152">
            <v>982.61173232237502</v>
          </cell>
          <cell r="H152">
            <v>524</v>
          </cell>
          <cell r="I152">
            <v>11.549731999999999</v>
          </cell>
          <cell r="J152">
            <v>0</v>
          </cell>
          <cell r="K152">
            <v>994.16146432237497</v>
          </cell>
          <cell r="L152">
            <v>523.71019282237501</v>
          </cell>
          <cell r="M152">
            <v>1097</v>
          </cell>
        </row>
        <row r="153">
          <cell r="E153" t="str">
            <v>CT-KV-SQ</v>
          </cell>
          <cell r="F153" t="str">
            <v>Y</v>
          </cell>
          <cell r="G153">
            <v>1307.459181008875</v>
          </cell>
          <cell r="H153">
            <v>823.34300000887492</v>
          </cell>
          <cell r="I153">
            <v>13.064907999999999</v>
          </cell>
          <cell r="J153">
            <v>0</v>
          </cell>
          <cell r="K153">
            <v>1320.5240890088751</v>
          </cell>
          <cell r="L153">
            <v>19715.41320382609</v>
          </cell>
          <cell r="M153">
            <v>1312</v>
          </cell>
        </row>
        <row r="154">
          <cell r="E154" t="str">
            <v>CT-LE</v>
          </cell>
          <cell r="F154" t="str">
            <v>Y</v>
          </cell>
          <cell r="G154">
            <v>661.25685822499986</v>
          </cell>
          <cell r="H154">
            <v>434.21730322499991</v>
          </cell>
          <cell r="I154">
            <v>8.5744600000000002</v>
          </cell>
          <cell r="J154">
            <v>0</v>
          </cell>
          <cell r="K154">
            <v>669.8313182249999</v>
          </cell>
          <cell r="L154">
            <v>11643.574449332853</v>
          </cell>
          <cell r="M154">
            <v>1289</v>
          </cell>
        </row>
        <row r="155">
          <cell r="E155" t="str">
            <v>CT-MT-RO</v>
          </cell>
          <cell r="F155" t="str">
            <v>Y</v>
          </cell>
          <cell r="G155">
            <v>537.67604832460006</v>
          </cell>
          <cell r="H155">
            <v>183.70087413120001</v>
          </cell>
          <cell r="I155">
            <v>4.6910071999999996</v>
          </cell>
          <cell r="J155">
            <v>0</v>
          </cell>
          <cell r="K155">
            <v>542.3670555246</v>
          </cell>
          <cell r="L155">
            <v>4517.9190004799993</v>
          </cell>
          <cell r="M155">
            <v>695</v>
          </cell>
        </row>
        <row r="156">
          <cell r="E156" t="str">
            <v>CT-MT-RT</v>
          </cell>
          <cell r="F156" t="str">
            <v>N</v>
          </cell>
          <cell r="G156">
            <v>492.75217945120005</v>
          </cell>
          <cell r="H156">
            <v>162.86016635999999</v>
          </cell>
          <cell r="I156">
            <v>2.5812799999999996</v>
          </cell>
          <cell r="J156">
            <v>0</v>
          </cell>
          <cell r="K156">
            <v>495.33345945120004</v>
          </cell>
          <cell r="L156">
            <v>3843.35032</v>
          </cell>
          <cell r="M156">
            <v>578</v>
          </cell>
        </row>
        <row r="157">
          <cell r="E157" t="str">
            <v>CT-MT-SQ</v>
          </cell>
          <cell r="F157" t="str">
            <v>N</v>
          </cell>
          <cell r="G157">
            <v>593.98375769120003</v>
          </cell>
          <cell r="H157">
            <v>220.21927409999998</v>
          </cell>
          <cell r="I157">
            <v>2.8301600000000002</v>
          </cell>
          <cell r="J157">
            <v>0</v>
          </cell>
          <cell r="K157">
            <v>596.8139176912</v>
          </cell>
          <cell r="L157">
            <v>5208.6044400000001</v>
          </cell>
          <cell r="M157">
            <v>614</v>
          </cell>
        </row>
        <row r="158">
          <cell r="E158" t="str">
            <v>CT-NO-RT</v>
          </cell>
          <cell r="F158" t="str">
            <v>Y</v>
          </cell>
          <cell r="G158">
            <v>593.73720053992304</v>
          </cell>
          <cell r="H158">
            <v>419.80805196299997</v>
          </cell>
          <cell r="I158">
            <v>9.4270439999999986</v>
          </cell>
          <cell r="J158">
            <v>16.289192499999999</v>
          </cell>
          <cell r="K158">
            <v>619.45343703992307</v>
          </cell>
          <cell r="L158">
            <v>10756.615912551324</v>
          </cell>
          <cell r="M158">
            <v>836</v>
          </cell>
        </row>
        <row r="159">
          <cell r="E159" t="str">
            <v>CT-OL</v>
          </cell>
          <cell r="F159" t="str">
            <v>Y</v>
          </cell>
          <cell r="G159">
            <v>565.86541745600005</v>
          </cell>
          <cell r="H159">
            <v>442.80525795599993</v>
          </cell>
          <cell r="I159">
            <v>8.492519999999999</v>
          </cell>
          <cell r="J159">
            <v>15.860197499999998</v>
          </cell>
          <cell r="K159">
            <v>590.21813495600009</v>
          </cell>
          <cell r="L159">
            <v>11287.168901329636</v>
          </cell>
          <cell r="M159">
            <v>755</v>
          </cell>
        </row>
        <row r="160">
          <cell r="E160" t="str">
            <v>CT-OSN-RT</v>
          </cell>
          <cell r="F160" t="str">
            <v>Y</v>
          </cell>
          <cell r="G160">
            <v>457.44355848549992</v>
          </cell>
          <cell r="H160">
            <v>329.32055348549994</v>
          </cell>
          <cell r="I160">
            <v>8.2647539999999999</v>
          </cell>
          <cell r="J160">
            <v>14.762474999999997</v>
          </cell>
          <cell r="K160">
            <v>480.4707874854999</v>
          </cell>
          <cell r="L160">
            <v>8494.1627246324952</v>
          </cell>
          <cell r="M160">
            <v>603</v>
          </cell>
        </row>
        <row r="161">
          <cell r="E161" t="str">
            <v>CT-SH</v>
          </cell>
          <cell r="F161" t="str">
            <v>Y</v>
          </cell>
          <cell r="G161">
            <v>664</v>
          </cell>
          <cell r="H161">
            <v>502</v>
          </cell>
          <cell r="I161" t="e">
            <v>#N/A</v>
          </cell>
          <cell r="J161">
            <v>0</v>
          </cell>
          <cell r="K161" t="e">
            <v>#N/A</v>
          </cell>
          <cell r="L161">
            <v>12260</v>
          </cell>
          <cell r="M161" t="e">
            <v>#N/A</v>
          </cell>
        </row>
        <row r="162">
          <cell r="E162" t="str">
            <v>CT-SY</v>
          </cell>
          <cell r="F162" t="str">
            <v>Y</v>
          </cell>
          <cell r="G162">
            <v>659.89923818526916</v>
          </cell>
          <cell r="H162">
            <v>426.23578395450005</v>
          </cell>
          <cell r="I162">
            <v>7.5349100000000009</v>
          </cell>
          <cell r="J162">
            <v>17.089502499999998</v>
          </cell>
          <cell r="K162">
            <v>684.5236506852691</v>
          </cell>
          <cell r="L162">
            <v>11447.543830796587</v>
          </cell>
          <cell r="M162">
            <v>1197</v>
          </cell>
        </row>
        <row r="163">
          <cell r="E163" t="str">
            <v>CT-TLY</v>
          </cell>
          <cell r="F163" t="str">
            <v>Y</v>
          </cell>
          <cell r="G163">
            <v>718.01042149815385</v>
          </cell>
          <cell r="H163">
            <v>496.202624652</v>
          </cell>
          <cell r="I163">
            <v>7.1528520000000011</v>
          </cell>
          <cell r="J163">
            <v>0</v>
          </cell>
          <cell r="K163">
            <v>725.1632734981539</v>
          </cell>
          <cell r="L163">
            <v>13437.934720799998</v>
          </cell>
          <cell r="M163" t="e">
            <v>#N/A</v>
          </cell>
        </row>
        <row r="164">
          <cell r="E164" t="str">
            <v>CT-TR-RT</v>
          </cell>
          <cell r="F164"/>
          <cell r="G164">
            <v>701</v>
          </cell>
          <cell r="H164">
            <v>454</v>
          </cell>
          <cell r="I164"/>
          <cell r="J164"/>
          <cell r="K164"/>
          <cell r="L164">
            <v>12000</v>
          </cell>
          <cell r="M164"/>
        </row>
        <row r="165">
          <cell r="E165" t="str">
            <v>CT-TR-RTL</v>
          </cell>
          <cell r="F165" t="str">
            <v>Y</v>
          </cell>
          <cell r="G165">
            <v>885.12643855599993</v>
          </cell>
          <cell r="H165">
            <v>711.52332830599983</v>
          </cell>
          <cell r="I165">
            <v>14.007252000000001</v>
          </cell>
          <cell r="J165">
            <v>0</v>
          </cell>
          <cell r="K165">
            <v>899.13369055599992</v>
          </cell>
          <cell r="L165">
            <v>17694.824566400002</v>
          </cell>
          <cell r="M165">
            <v>1018</v>
          </cell>
        </row>
        <row r="166">
          <cell r="E166" t="str">
            <v>CT-TYU</v>
          </cell>
          <cell r="F166" t="str">
            <v>N</v>
          </cell>
          <cell r="G166">
            <v>822.16693538746893</v>
          </cell>
          <cell r="H166">
            <v>569.99888615669988</v>
          </cell>
          <cell r="I166">
            <v>9.0949728000000007</v>
          </cell>
          <cell r="J166" t="e">
            <v>#N/A</v>
          </cell>
          <cell r="K166" t="e">
            <v>#N/A</v>
          </cell>
          <cell r="L166">
            <v>11000</v>
          </cell>
          <cell r="M166" t="e">
            <v>#N/A</v>
          </cell>
        </row>
        <row r="167">
          <cell r="E167" t="str">
            <v>CT-VC</v>
          </cell>
          <cell r="F167" t="str">
            <v>Y</v>
          </cell>
          <cell r="G167">
            <v>811.26586461538454</v>
          </cell>
          <cell r="H167">
            <v>608.44001700000001</v>
          </cell>
          <cell r="I167">
            <v>13.432380000000002</v>
          </cell>
          <cell r="J167">
            <v>18.068259999999999</v>
          </cell>
          <cell r="K167">
            <v>842.76650461538452</v>
          </cell>
          <cell r="L167">
            <v>15171.843423497628</v>
          </cell>
          <cell r="M167">
            <v>1144</v>
          </cell>
        </row>
        <row r="168">
          <cell r="E168" t="str">
            <v>DC-CLV</v>
          </cell>
          <cell r="F168" t="str">
            <v>Y</v>
          </cell>
          <cell r="G168">
            <v>2418.9321368285691</v>
          </cell>
          <cell r="H168">
            <v>1681.1378891477998</v>
          </cell>
          <cell r="I168">
            <v>33.962899199999995</v>
          </cell>
          <cell r="J168">
            <v>0</v>
          </cell>
          <cell r="K168">
            <v>2452.8950360285689</v>
          </cell>
          <cell r="L168">
            <v>36590.880657599992</v>
          </cell>
          <cell r="M168" t="e">
            <v>#N/A</v>
          </cell>
        </row>
        <row r="169">
          <cell r="E169" t="str">
            <v>DC-MYN-LA</v>
          </cell>
          <cell r="F169" t="str">
            <v>Y</v>
          </cell>
          <cell r="G169">
            <v>3896.3145523467028</v>
          </cell>
          <cell r="H169">
            <v>2636.8172619236252</v>
          </cell>
          <cell r="I169">
            <v>54.95421360000001</v>
          </cell>
          <cell r="J169">
            <v>0</v>
          </cell>
          <cell r="K169">
            <v>3951.2687659467028</v>
          </cell>
          <cell r="L169">
            <v>60545.831617440002</v>
          </cell>
          <cell r="M169" t="e">
            <v>#N/A</v>
          </cell>
        </row>
        <row r="170">
          <cell r="E170" t="str">
            <v>DC-MYN-ST</v>
          </cell>
          <cell r="F170" t="str">
            <v>Y</v>
          </cell>
          <cell r="G170">
            <v>2572.2927285075693</v>
          </cell>
          <cell r="H170">
            <v>1767.8193492767998</v>
          </cell>
          <cell r="I170">
            <v>34.607471199999999</v>
          </cell>
          <cell r="J170">
            <v>0</v>
          </cell>
          <cell r="K170">
            <v>2606.9001997075693</v>
          </cell>
          <cell r="L170">
            <v>38098.171315200008</v>
          </cell>
          <cell r="M170" t="e">
            <v>#N/A</v>
          </cell>
        </row>
        <row r="171">
          <cell r="E171" t="str">
            <v>DT-HE-4</v>
          </cell>
          <cell r="F171" t="str">
            <v>Y</v>
          </cell>
          <cell r="G171">
            <v>1592.4667465292</v>
          </cell>
          <cell r="H171">
            <v>536.43412402919989</v>
          </cell>
          <cell r="I171">
            <v>6.6331416000000001</v>
          </cell>
          <cell r="J171">
            <v>12.653549999999999</v>
          </cell>
          <cell r="K171">
            <v>1611.7534381292</v>
          </cell>
          <cell r="L171">
            <v>16426.759499999996</v>
          </cell>
          <cell r="M171">
            <v>1688</v>
          </cell>
        </row>
        <row r="172">
          <cell r="E172" t="str">
            <v>GH-IS</v>
          </cell>
          <cell r="F172" t="str">
            <v>Y</v>
          </cell>
          <cell r="G172">
            <v>99.754548074538462</v>
          </cell>
          <cell r="H172">
            <v>71.753362113000009</v>
          </cell>
          <cell r="I172">
            <v>6.6118984000000003</v>
          </cell>
          <cell r="J172">
            <v>5.748172499999999</v>
          </cell>
          <cell r="K172">
            <v>112.11461897453846</v>
          </cell>
          <cell r="L172">
            <v>329.12391059612713</v>
          </cell>
          <cell r="M172">
            <v>112</v>
          </cell>
        </row>
        <row r="173">
          <cell r="E173" t="str">
            <v>KC-OPT-1N</v>
          </cell>
          <cell r="F173" t="str">
            <v>Y</v>
          </cell>
          <cell r="G173">
            <v>1038</v>
          </cell>
          <cell r="H173"/>
          <cell r="I173"/>
          <cell r="J173"/>
          <cell r="K173"/>
          <cell r="L173"/>
          <cell r="M173"/>
        </row>
        <row r="174">
          <cell r="E174" t="str">
            <v>KC-OPT-1S</v>
          </cell>
          <cell r="F174" t="str">
            <v>Y</v>
          </cell>
          <cell r="G174">
            <v>1040</v>
          </cell>
          <cell r="H174"/>
          <cell r="I174"/>
          <cell r="J174"/>
          <cell r="K174"/>
          <cell r="L174"/>
          <cell r="M174"/>
        </row>
        <row r="175">
          <cell r="E175" t="str">
            <v>KC-OPT-2N</v>
          </cell>
          <cell r="F175"/>
          <cell r="G175">
            <v>2086</v>
          </cell>
          <cell r="H175"/>
          <cell r="I175"/>
          <cell r="J175"/>
          <cell r="K175"/>
          <cell r="L175"/>
          <cell r="M175"/>
        </row>
        <row r="176">
          <cell r="E176" t="str">
            <v>KC-OPT-2S</v>
          </cell>
          <cell r="F176"/>
          <cell r="G176">
            <v>2080</v>
          </cell>
          <cell r="H176"/>
          <cell r="I176"/>
          <cell r="J176"/>
          <cell r="K176"/>
          <cell r="L176"/>
          <cell r="M176"/>
        </row>
        <row r="177">
          <cell r="E177" t="str">
            <v>KC-SRN</v>
          </cell>
          <cell r="F177" t="str">
            <v>Y</v>
          </cell>
          <cell r="G177">
            <v>2018</v>
          </cell>
          <cell r="H177"/>
          <cell r="I177"/>
          <cell r="J177"/>
          <cell r="K177"/>
          <cell r="L177"/>
          <cell r="M177"/>
        </row>
        <row r="178">
          <cell r="E178" t="str">
            <v>KH-EDL</v>
          </cell>
          <cell r="F178" t="str">
            <v>NL</v>
          </cell>
          <cell r="G178">
            <v>38</v>
          </cell>
          <cell r="H178">
            <v>14</v>
          </cell>
          <cell r="I178" t="e">
            <v>#VALUE!</v>
          </cell>
          <cell r="J178">
            <v>0</v>
          </cell>
          <cell r="K178" t="e">
            <v>#VALUE!</v>
          </cell>
          <cell r="L178">
            <v>14.120121014999997</v>
          </cell>
          <cell r="M178" t="e">
            <v>#N/A</v>
          </cell>
        </row>
        <row r="179">
          <cell r="E179" t="str">
            <v>KH-LKN-6</v>
          </cell>
          <cell r="F179" t="str">
            <v>Y</v>
          </cell>
          <cell r="G179">
            <v>69.248244377182772</v>
          </cell>
          <cell r="H179">
            <v>37.317599999999999</v>
          </cell>
          <cell r="I179">
            <v>1.64798</v>
          </cell>
          <cell r="J179">
            <v>0</v>
          </cell>
          <cell r="K179">
            <v>70.896224377182776</v>
          </cell>
          <cell r="L179">
            <v>1194.0518644067797</v>
          </cell>
          <cell r="M179" t="e">
            <v>#N/A</v>
          </cell>
        </row>
        <row r="180">
          <cell r="E180" t="str">
            <v>KH-RMT</v>
          </cell>
          <cell r="F180" t="str">
            <v>NL</v>
          </cell>
          <cell r="G180">
            <v>33</v>
          </cell>
          <cell r="H180">
            <v>15</v>
          </cell>
          <cell r="I180">
            <v>36.017691999999997</v>
          </cell>
          <cell r="J180">
            <v>0</v>
          </cell>
          <cell r="K180">
            <v>69.017691999999997</v>
          </cell>
          <cell r="L180">
            <v>15.464894444999997</v>
          </cell>
          <cell r="M180" t="e">
            <v>#N/A</v>
          </cell>
        </row>
        <row r="181">
          <cell r="E181" t="str">
            <v>KHS-SW-W1</v>
          </cell>
          <cell r="F181" t="str">
            <v>Y</v>
          </cell>
          <cell r="G181">
            <v>110.56589638147264</v>
          </cell>
          <cell r="H181">
            <v>39.51265111499999</v>
          </cell>
          <cell r="I181">
            <v>72.55203800000001</v>
          </cell>
          <cell r="J181">
            <v>8.6610124999999982</v>
          </cell>
          <cell r="K181">
            <v>191.77894688147265</v>
          </cell>
          <cell r="L181">
            <v>871.60714599999972</v>
          </cell>
          <cell r="M181">
            <v>101</v>
          </cell>
        </row>
        <row r="182">
          <cell r="E182" t="str">
            <v>KH-SUT-10</v>
          </cell>
          <cell r="F182" t="str">
            <v>NL</v>
          </cell>
          <cell r="G182">
            <v>50</v>
          </cell>
          <cell r="H182">
            <v>15</v>
          </cell>
          <cell r="I182">
            <v>47.069775272727277</v>
          </cell>
          <cell r="J182">
            <v>0</v>
          </cell>
          <cell r="K182">
            <v>97.06977527272727</v>
          </cell>
          <cell r="L182">
            <v>14.826127065749997</v>
          </cell>
          <cell r="M182" t="e">
            <v>#N/A</v>
          </cell>
        </row>
        <row r="183">
          <cell r="E183" t="str">
            <v>KH-SUT-21</v>
          </cell>
          <cell r="F183" t="str">
            <v>NL</v>
          </cell>
          <cell r="G183">
            <v>58</v>
          </cell>
          <cell r="H183">
            <v>31</v>
          </cell>
          <cell r="I183" t="e">
            <v>#N/A</v>
          </cell>
          <cell r="J183">
            <v>0</v>
          </cell>
          <cell r="K183" t="e">
            <v>#N/A</v>
          </cell>
          <cell r="L183" t="e">
            <v>#N/A</v>
          </cell>
          <cell r="M183" t="e">
            <v>#N/A</v>
          </cell>
        </row>
        <row r="184">
          <cell r="E184" t="str">
            <v>KH-SUT-5</v>
          </cell>
          <cell r="F184" t="str">
            <v>NL</v>
          </cell>
          <cell r="G184">
            <v>19</v>
          </cell>
          <cell r="H184">
            <v>6</v>
          </cell>
          <cell r="I184">
            <v>17.137357142857141</v>
          </cell>
          <cell r="J184">
            <v>0</v>
          </cell>
          <cell r="K184">
            <v>36.137357142857141</v>
          </cell>
          <cell r="L184">
            <v>7.1389999999999993</v>
          </cell>
          <cell r="M184" t="e">
            <v>#N/A</v>
          </cell>
        </row>
        <row r="185">
          <cell r="E185" t="str">
            <v>KH-SW-W10</v>
          </cell>
          <cell r="F185" t="str">
            <v>Y</v>
          </cell>
          <cell r="G185">
            <v>146</v>
          </cell>
          <cell r="H185">
            <v>24</v>
          </cell>
          <cell r="I185" t="e">
            <v>#N/A</v>
          </cell>
          <cell r="J185">
            <v>7.4262999999999986</v>
          </cell>
          <cell r="K185" t="e">
            <v>#N/A</v>
          </cell>
          <cell r="L185">
            <v>469</v>
          </cell>
          <cell r="M185">
            <v>149</v>
          </cell>
        </row>
        <row r="186">
          <cell r="E186" t="str">
            <v>KH-SW-W21</v>
          </cell>
          <cell r="F186" t="str">
            <v>Y</v>
          </cell>
          <cell r="G186">
            <v>286</v>
          </cell>
          <cell r="H186">
            <v>44</v>
          </cell>
          <cell r="I186" t="e">
            <v>#N/A</v>
          </cell>
          <cell r="J186">
            <v>8.6970624999999995</v>
          </cell>
          <cell r="K186" t="e">
            <v>#N/A</v>
          </cell>
          <cell r="L186">
            <v>916</v>
          </cell>
          <cell r="M186">
            <v>291</v>
          </cell>
        </row>
        <row r="187">
          <cell r="E187" t="str">
            <v>KH-SW-WB</v>
          </cell>
          <cell r="F187" t="str">
            <v>Y</v>
          </cell>
          <cell r="G187">
            <v>72</v>
          </cell>
          <cell r="H187">
            <v>13</v>
          </cell>
          <cell r="I187" t="e">
            <v>#N/A</v>
          </cell>
          <cell r="J187">
            <v>6.6944849999999976</v>
          </cell>
          <cell r="K187" t="e">
            <v>#N/A</v>
          </cell>
          <cell r="L187">
            <v>224</v>
          </cell>
          <cell r="M187">
            <v>71</v>
          </cell>
        </row>
        <row r="188">
          <cell r="E188" t="str">
            <v>KH-TO-18</v>
          </cell>
          <cell r="F188" t="str">
            <v>Y</v>
          </cell>
          <cell r="G188">
            <v>248.43862754236557</v>
          </cell>
          <cell r="H188">
            <v>118.943858003904</v>
          </cell>
          <cell r="I188"/>
          <cell r="J188"/>
          <cell r="K188">
            <v>248.43862754236557</v>
          </cell>
          <cell r="L188">
            <v>2321.5288605440001</v>
          </cell>
          <cell r="M188">
            <v>288</v>
          </cell>
        </row>
        <row r="189">
          <cell r="E189" t="str">
            <v>KH-TO-40</v>
          </cell>
          <cell r="F189" t="str">
            <v>Y</v>
          </cell>
          <cell r="G189">
            <v>387.60838291914996</v>
          </cell>
          <cell r="H189">
            <v>191.92157676530394</v>
          </cell>
          <cell r="I189"/>
          <cell r="J189"/>
          <cell r="K189">
            <v>387.60838291914996</v>
          </cell>
          <cell r="L189">
            <v>3848.6409053440002</v>
          </cell>
          <cell r="M189">
            <v>398</v>
          </cell>
        </row>
        <row r="190">
          <cell r="E190" t="str">
            <v>KH-TOC-18</v>
          </cell>
          <cell r="F190" t="str">
            <v>Y</v>
          </cell>
          <cell r="G190">
            <v>289</v>
          </cell>
          <cell r="H190">
            <v>140</v>
          </cell>
          <cell r="I190" t="e">
            <v>#N/A</v>
          </cell>
          <cell r="J190">
            <v>18.177250000000001</v>
          </cell>
          <cell r="K190" t="e">
            <v>#N/A</v>
          </cell>
          <cell r="L190" t="e">
            <v>#N/A</v>
          </cell>
          <cell r="M190" t="e">
            <v>#N/A</v>
          </cell>
        </row>
        <row r="191">
          <cell r="E191" t="str">
            <v>KH-TOC-40</v>
          </cell>
          <cell r="F191" t="str">
            <v>Y</v>
          </cell>
          <cell r="G191">
            <v>430</v>
          </cell>
          <cell r="H191">
            <v>252</v>
          </cell>
          <cell r="I191" t="e">
            <v>#N/A</v>
          </cell>
          <cell r="J191">
            <v>18.177250000000001</v>
          </cell>
          <cell r="K191" t="e">
            <v>#N/A</v>
          </cell>
          <cell r="L191" t="e">
            <v>#N/A</v>
          </cell>
          <cell r="M191" t="e">
            <v>#N/A</v>
          </cell>
        </row>
        <row r="192">
          <cell r="E192" t="str">
            <v>KH-WLR</v>
          </cell>
          <cell r="F192" t="str">
            <v>NL</v>
          </cell>
          <cell r="G192">
            <v>34</v>
          </cell>
          <cell r="H192">
            <v>11</v>
          </cell>
          <cell r="I192">
            <v>0.23140399999999997</v>
          </cell>
          <cell r="J192">
            <v>0</v>
          </cell>
          <cell r="K192">
            <v>34.231403999999998</v>
          </cell>
          <cell r="L192">
            <v>11.094380797499998</v>
          </cell>
          <cell r="M192" t="e">
            <v>#N/A</v>
          </cell>
        </row>
        <row r="193">
          <cell r="E193" t="str">
            <v>KR-JSD</v>
          </cell>
          <cell r="F193" t="str">
            <v>Y</v>
          </cell>
          <cell r="G193">
            <v>381.76893873927241</v>
          </cell>
          <cell r="H193">
            <v>306.74048583927237</v>
          </cell>
          <cell r="I193">
            <v>7.4449868000000006</v>
          </cell>
          <cell r="J193">
            <v>0</v>
          </cell>
          <cell r="K193">
            <v>389.2139255392724</v>
          </cell>
          <cell r="L193">
            <v>7660.9589589809584</v>
          </cell>
          <cell r="M193">
            <v>437</v>
          </cell>
        </row>
        <row r="194">
          <cell r="E194" t="str">
            <v>MD-TNO-L</v>
          </cell>
          <cell r="F194" t="str">
            <v>Y</v>
          </cell>
          <cell r="G194">
            <v>916</v>
          </cell>
          <cell r="H194">
            <v>379</v>
          </cell>
          <cell r="I194" t="e">
            <v>#N/A</v>
          </cell>
          <cell r="J194">
            <v>0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E195" t="str">
            <v>MD-TNO-S</v>
          </cell>
          <cell r="F195" t="str">
            <v>Y</v>
          </cell>
          <cell r="G195">
            <v>562</v>
          </cell>
          <cell r="H195">
            <v>246</v>
          </cell>
          <cell r="I195" t="e">
            <v>#N/A</v>
          </cell>
          <cell r="J195">
            <v>0</v>
          </cell>
          <cell r="K195" t="e">
            <v>#N/A</v>
          </cell>
          <cell r="L195" t="e">
            <v>#N/A</v>
          </cell>
          <cell r="M195" t="e">
            <v>#N/A</v>
          </cell>
        </row>
        <row r="196">
          <cell r="E196" t="str">
            <v>PF-NAH-RO</v>
          </cell>
          <cell r="F196" t="str">
            <v>Y</v>
          </cell>
          <cell r="G196">
            <v>389</v>
          </cell>
          <cell r="H196" t="e">
            <v>#N/A</v>
          </cell>
          <cell r="I196" t="e">
            <v>#N/A</v>
          </cell>
          <cell r="J196">
            <v>0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E197" t="str">
            <v>PU-SDI-ST</v>
          </cell>
          <cell r="F197" t="str">
            <v>NL</v>
          </cell>
          <cell r="G197">
            <v>608</v>
          </cell>
          <cell r="H197">
            <v>367.55697413932501</v>
          </cell>
          <cell r="I197">
            <v>9.8797404000000029</v>
          </cell>
          <cell r="J197">
            <v>0</v>
          </cell>
          <cell r="K197">
            <v>617.87974039999995</v>
          </cell>
          <cell r="L197">
            <v>367.55697413932501</v>
          </cell>
          <cell r="M197" t="e">
            <v>#N/A</v>
          </cell>
        </row>
        <row r="198">
          <cell r="E198" t="str">
            <v>PU-SDI-ST</v>
          </cell>
          <cell r="F198" t="str">
            <v>Y</v>
          </cell>
          <cell r="G198">
            <v>607.64019654509411</v>
          </cell>
          <cell r="H198">
            <v>367.55697413932501</v>
          </cell>
          <cell r="I198">
            <v>9.8797404000000029</v>
          </cell>
          <cell r="J198">
            <v>5.9879049999999996</v>
          </cell>
          <cell r="K198">
            <v>623.50784194509401</v>
          </cell>
          <cell r="L198">
            <v>4214.1603390600003</v>
          </cell>
          <cell r="M198" t="e">
            <v>#N/A</v>
          </cell>
        </row>
        <row r="199">
          <cell r="E199" t="str">
            <v>RH-OT</v>
          </cell>
          <cell r="F199" t="str">
            <v>Y</v>
          </cell>
          <cell r="G199">
            <v>118.21852163934217</v>
          </cell>
          <cell r="H199">
            <v>60.102020046804988</v>
          </cell>
          <cell r="I199">
            <v>0</v>
          </cell>
          <cell r="J199">
            <v>18.177250000000001</v>
          </cell>
          <cell r="K199">
            <v>136.39577163934217</v>
          </cell>
          <cell r="L199">
            <v>879.81930799999986</v>
          </cell>
          <cell r="M199">
            <v>134</v>
          </cell>
        </row>
        <row r="200">
          <cell r="E200" t="str">
            <v>RH-RL</v>
          </cell>
          <cell r="F200" t="str">
            <v>Y</v>
          </cell>
          <cell r="G200">
            <v>96.240193988182483</v>
          </cell>
          <cell r="H200">
            <v>43.342017488182499</v>
          </cell>
          <cell r="I200">
            <v>0</v>
          </cell>
          <cell r="J200">
            <v>14.095549999999999</v>
          </cell>
          <cell r="K200">
            <v>110.33574398818249</v>
          </cell>
          <cell r="L200">
            <v>629.56397886518505</v>
          </cell>
          <cell r="M200">
            <v>113</v>
          </cell>
        </row>
        <row r="201">
          <cell r="E201" t="str">
            <v>RT-ALY</v>
          </cell>
          <cell r="F201" t="str">
            <v>Y</v>
          </cell>
          <cell r="G201">
            <v>1860.8376315680525</v>
          </cell>
          <cell r="H201">
            <v>905.22643326035984</v>
          </cell>
          <cell r="I201">
            <v>16.371544</v>
          </cell>
          <cell r="J201">
            <v>0</v>
          </cell>
          <cell r="K201">
            <v>1877.2091755680526</v>
          </cell>
          <cell r="L201">
            <v>26799.995162624004</v>
          </cell>
          <cell r="M201">
            <v>2047</v>
          </cell>
        </row>
        <row r="202">
          <cell r="E202" t="str">
            <v>RT-AT</v>
          </cell>
          <cell r="F202" t="str">
            <v>Y</v>
          </cell>
          <cell r="G202">
            <v>1162.6965373698497</v>
          </cell>
          <cell r="H202">
            <v>559.34105036984988</v>
          </cell>
          <cell r="I202">
            <v>12.5590016</v>
          </cell>
          <cell r="J202">
            <v>0</v>
          </cell>
          <cell r="K202">
            <v>1175.2555389698498</v>
          </cell>
          <cell r="L202">
            <v>17933.094356494912</v>
          </cell>
          <cell r="M202">
            <v>1382</v>
          </cell>
        </row>
        <row r="203">
          <cell r="E203" t="str">
            <v>RT-DR</v>
          </cell>
          <cell r="F203" t="str">
            <v>Y</v>
          </cell>
          <cell r="G203">
            <v>2657.9873564557265</v>
          </cell>
          <cell r="H203">
            <v>1321.6009690864948</v>
          </cell>
          <cell r="I203">
            <v>28.396728599999999</v>
          </cell>
          <cell r="J203">
            <v>0</v>
          </cell>
          <cell r="K203">
            <v>2686.3840850557267</v>
          </cell>
          <cell r="L203">
            <v>33515.277733227995</v>
          </cell>
          <cell r="M203">
            <v>3375</v>
          </cell>
        </row>
        <row r="204">
          <cell r="E204" t="str">
            <v>RT-FR</v>
          </cell>
          <cell r="F204" t="str">
            <v>Y</v>
          </cell>
          <cell r="G204">
            <v>1391</v>
          </cell>
          <cell r="H204">
            <v>641.30284839862497</v>
          </cell>
          <cell r="I204">
            <v>13.870504</v>
          </cell>
          <cell r="J204">
            <v>30.858799999999995</v>
          </cell>
          <cell r="K204">
            <v>1435.729304</v>
          </cell>
          <cell r="L204">
            <v>24103.343715999999</v>
          </cell>
          <cell r="M204">
            <v>2054</v>
          </cell>
        </row>
        <row r="205">
          <cell r="E205" t="str">
            <v>RT-RI</v>
          </cell>
          <cell r="F205" t="str">
            <v>Y</v>
          </cell>
          <cell r="G205">
            <v>831.54203085519987</v>
          </cell>
          <cell r="H205">
            <v>270.89621825519998</v>
          </cell>
          <cell r="I205">
            <v>5.4436448000000004</v>
          </cell>
          <cell r="J205">
            <v>19.140747499999996</v>
          </cell>
          <cell r="K205">
            <v>856.12642315519986</v>
          </cell>
          <cell r="L205">
            <v>10292.894447079068</v>
          </cell>
          <cell r="M205">
            <v>843</v>
          </cell>
        </row>
        <row r="206">
          <cell r="E206" t="str">
            <v>RT-RI-M</v>
          </cell>
          <cell r="F206" t="str">
            <v>Y</v>
          </cell>
          <cell r="G206">
            <v>588.62657337213466</v>
          </cell>
          <cell r="H206">
            <v>238.90855380674998</v>
          </cell>
          <cell r="I206">
            <v>7.5427164000000007</v>
          </cell>
          <cell r="J206">
            <v>0</v>
          </cell>
          <cell r="K206">
            <v>596.16928977213468</v>
          </cell>
          <cell r="L206">
            <v>4735.8063780000002</v>
          </cell>
          <cell r="M206">
            <v>581</v>
          </cell>
        </row>
        <row r="207">
          <cell r="E207" t="str">
            <v>S-AB</v>
          </cell>
          <cell r="F207" t="str">
            <v>Y</v>
          </cell>
          <cell r="G207">
            <v>405.648860496</v>
          </cell>
          <cell r="H207">
            <v>316.031310996</v>
          </cell>
          <cell r="I207">
            <v>11.17746464</v>
          </cell>
          <cell r="J207">
            <v>22.933207499999998</v>
          </cell>
          <cell r="K207">
            <v>439.75953263599996</v>
          </cell>
          <cell r="L207">
            <v>7238.5537309279453</v>
          </cell>
          <cell r="M207">
            <v>446</v>
          </cell>
        </row>
        <row r="208">
          <cell r="E208" t="str">
            <v>S-AE</v>
          </cell>
          <cell r="F208" t="str">
            <v>Y</v>
          </cell>
          <cell r="G208">
            <v>1058.416624</v>
          </cell>
          <cell r="H208">
            <v>886.53006400000015</v>
          </cell>
          <cell r="I208">
            <v>30.620230000000006</v>
          </cell>
          <cell r="J208">
            <v>18.313399999999998</v>
          </cell>
          <cell r="K208">
            <v>1107.3502539999999</v>
          </cell>
          <cell r="L208">
            <v>18637.89213152033</v>
          </cell>
          <cell r="M208">
            <v>1345</v>
          </cell>
        </row>
        <row r="209">
          <cell r="E209" t="str">
            <v>S-AI</v>
          </cell>
          <cell r="F209" t="str">
            <v>Y</v>
          </cell>
          <cell r="G209">
            <v>220.53944158999997</v>
          </cell>
          <cell r="H209">
            <v>160.03064859</v>
          </cell>
          <cell r="I209"/>
          <cell r="J209"/>
          <cell r="K209">
            <v>220.53944158999997</v>
          </cell>
          <cell r="L209">
            <v>3692.8785859999994</v>
          </cell>
          <cell r="M209">
            <v>241</v>
          </cell>
        </row>
        <row r="210">
          <cell r="E210" t="str">
            <v>S-AO</v>
          </cell>
          <cell r="F210" t="str">
            <v>Y</v>
          </cell>
          <cell r="G210">
            <v>317.08904994655762</v>
          </cell>
          <cell r="H210">
            <v>250.72676350424996</v>
          </cell>
          <cell r="I210">
            <v>5.8090266499999998</v>
          </cell>
          <cell r="J210">
            <v>14.241552499999999</v>
          </cell>
          <cell r="K210">
            <v>337.13962909655766</v>
          </cell>
          <cell r="L210">
            <v>6248.120050022776</v>
          </cell>
          <cell r="M210">
            <v>767</v>
          </cell>
        </row>
        <row r="211">
          <cell r="E211" t="str">
            <v>S-ATL</v>
          </cell>
          <cell r="F211" t="str">
            <v>Y</v>
          </cell>
          <cell r="G211">
            <v>212.12806767499998</v>
          </cell>
          <cell r="H211">
            <v>161.29283017499998</v>
          </cell>
          <cell r="I211"/>
          <cell r="J211"/>
          <cell r="K211">
            <v>212.12806767499998</v>
          </cell>
          <cell r="L211">
            <v>3369.9475699999994</v>
          </cell>
          <cell r="M211">
            <v>239</v>
          </cell>
        </row>
        <row r="212">
          <cell r="E212" t="str">
            <v>SB-ASG</v>
          </cell>
          <cell r="F212" t="str">
            <v>Y</v>
          </cell>
          <cell r="G212">
            <v>809.06699560427307</v>
          </cell>
          <cell r="H212">
            <v>674.62888425576</v>
          </cell>
          <cell r="I212">
            <v>18.316228399999996</v>
          </cell>
          <cell r="J212">
            <v>0</v>
          </cell>
          <cell r="K212">
            <v>827.38322400427307</v>
          </cell>
          <cell r="L212">
            <v>674.62888425576</v>
          </cell>
          <cell r="M212" t="e">
            <v>#N/A</v>
          </cell>
        </row>
        <row r="213">
          <cell r="E213" t="str">
            <v>SB-AXA-4</v>
          </cell>
          <cell r="F213" t="str">
            <v>Y</v>
          </cell>
          <cell r="G213">
            <v>1436.2303803093098</v>
          </cell>
          <cell r="H213">
            <v>1286.0003351093098</v>
          </cell>
          <cell r="I213">
            <v>15.090124800000002</v>
          </cell>
          <cell r="J213">
            <v>33.97171749999999</v>
          </cell>
          <cell r="K213">
            <v>1485.2922226093099</v>
          </cell>
          <cell r="L213">
            <v>29602.150873460054</v>
          </cell>
          <cell r="M213">
            <v>1513</v>
          </cell>
        </row>
        <row r="214">
          <cell r="E214" t="str">
            <v>SB-AXA-51</v>
          </cell>
          <cell r="F214" t="str">
            <v>Y</v>
          </cell>
          <cell r="G214">
            <v>1111.893768291133</v>
          </cell>
          <cell r="H214">
            <v>925.55268507337485</v>
          </cell>
          <cell r="I214">
            <v>14.538672</v>
          </cell>
          <cell r="J214">
            <v>28.131617499999994</v>
          </cell>
          <cell r="K214">
            <v>1154.5640577911329</v>
          </cell>
          <cell r="L214">
            <v>19400.372871588843</v>
          </cell>
          <cell r="M214">
            <v>1279</v>
          </cell>
        </row>
        <row r="215">
          <cell r="E215" t="str">
            <v>SB-AXA-52</v>
          </cell>
          <cell r="F215" t="str">
            <v>Y</v>
          </cell>
          <cell r="G215">
            <v>1650.8186407874839</v>
          </cell>
          <cell r="H215">
            <v>1456.46611862448</v>
          </cell>
          <cell r="I215">
            <v>19.113555599999998</v>
          </cell>
          <cell r="J215">
            <v>36.6286025</v>
          </cell>
          <cell r="K215">
            <v>1706.5607988874838</v>
          </cell>
          <cell r="L215">
            <v>30973.521165725437</v>
          </cell>
          <cell r="M215">
            <v>1946</v>
          </cell>
        </row>
        <row r="216">
          <cell r="E216" t="str">
            <v>SB-CA</v>
          </cell>
          <cell r="F216" t="str">
            <v>Y</v>
          </cell>
          <cell r="G216">
            <v>170.23521501249999</v>
          </cell>
          <cell r="H216">
            <v>121.53655001249999</v>
          </cell>
          <cell r="I216">
            <v>8.5662660000000006</v>
          </cell>
          <cell r="J216">
            <v>10.281460000000001</v>
          </cell>
          <cell r="K216">
            <v>189.08294101250002</v>
          </cell>
          <cell r="L216">
            <v>2996.66457665915</v>
          </cell>
          <cell r="M216">
            <v>195</v>
          </cell>
        </row>
        <row r="217">
          <cell r="E217" t="str">
            <v>SB-CB</v>
          </cell>
          <cell r="F217" t="str">
            <v>Y</v>
          </cell>
          <cell r="G217">
            <v>1226.6851074344038</v>
          </cell>
          <cell r="H217">
            <v>1047.5376220882499</v>
          </cell>
          <cell r="I217">
            <v>30.290191999999998</v>
          </cell>
          <cell r="J217">
            <v>0</v>
          </cell>
          <cell r="K217">
            <v>1256.9752994344037</v>
          </cell>
          <cell r="L217">
            <v>22345.207717199999</v>
          </cell>
          <cell r="M217">
            <v>1388</v>
          </cell>
        </row>
        <row r="218">
          <cell r="E218" t="str">
            <v>SB-CS-LA</v>
          </cell>
          <cell r="F218" t="str">
            <v>Y</v>
          </cell>
          <cell r="G218">
            <v>432.49121081923073</v>
          </cell>
          <cell r="H218">
            <v>335.54647304999992</v>
          </cell>
          <cell r="I218">
            <v>13.303758000000002</v>
          </cell>
          <cell r="J218">
            <v>12.914912499999998</v>
          </cell>
          <cell r="K218">
            <v>458.70988131923076</v>
          </cell>
          <cell r="L218">
            <v>7783.6330850269624</v>
          </cell>
          <cell r="M218">
            <v>487</v>
          </cell>
        </row>
        <row r="219">
          <cell r="E219" t="str">
            <v>SB-CS-ST</v>
          </cell>
          <cell r="F219" t="str">
            <v>Y</v>
          </cell>
          <cell r="G219">
            <v>219.08719165046153</v>
          </cell>
          <cell r="H219">
            <v>171.65503011199999</v>
          </cell>
          <cell r="I219">
            <v>8.6992875999999999</v>
          </cell>
          <cell r="J219">
            <v>0</v>
          </cell>
          <cell r="K219">
            <v>227.78647925046153</v>
          </cell>
          <cell r="L219">
            <v>3912.0798190786336</v>
          </cell>
          <cell r="M219">
            <v>244</v>
          </cell>
        </row>
        <row r="220">
          <cell r="E220" t="str">
            <v>SB-JMY</v>
          </cell>
          <cell r="F220" t="str">
            <v>NL</v>
          </cell>
          <cell r="G220">
            <v>1214</v>
          </cell>
          <cell r="H220">
            <v>976</v>
          </cell>
          <cell r="I220" t="e">
            <v>#N/A</v>
          </cell>
          <cell r="J220">
            <v>0</v>
          </cell>
          <cell r="K220" t="e">
            <v>#N/A</v>
          </cell>
          <cell r="L220" t="e">
            <v>#N/A</v>
          </cell>
          <cell r="M220" t="e">
            <v>#N/A</v>
          </cell>
        </row>
        <row r="221">
          <cell r="E221" t="str">
            <v>SB-LGN</v>
          </cell>
          <cell r="F221" t="str">
            <v>Y</v>
          </cell>
          <cell r="G221">
            <v>618.73628699046355</v>
          </cell>
          <cell r="H221">
            <v>510.14643191799991</v>
          </cell>
          <cell r="I221">
            <v>12.88532</v>
          </cell>
          <cell r="J221">
            <v>0</v>
          </cell>
          <cell r="K221">
            <v>631.62160699046353</v>
          </cell>
          <cell r="L221">
            <v>12946</v>
          </cell>
          <cell r="M221" t="e">
            <v>#N/A</v>
          </cell>
        </row>
        <row r="222">
          <cell r="E222" t="str">
            <v>SB-MOL</v>
          </cell>
          <cell r="F222" t="str">
            <v>Y</v>
          </cell>
          <cell r="G222">
            <v>1104.7565009086652</v>
          </cell>
          <cell r="H222">
            <v>838.04580177404978</v>
          </cell>
          <cell r="I222"/>
          <cell r="J222"/>
          <cell r="K222">
            <v>1104.7565009086652</v>
          </cell>
          <cell r="L222">
            <v>19357.318716239995</v>
          </cell>
          <cell r="M222">
            <v>1354</v>
          </cell>
        </row>
        <row r="223">
          <cell r="E223" t="str">
            <v>SB-MPL</v>
          </cell>
          <cell r="F223" t="str">
            <v>Y</v>
          </cell>
          <cell r="G223">
            <v>338.83927653499995</v>
          </cell>
          <cell r="H223">
            <v>254.070673785</v>
          </cell>
          <cell r="I223">
            <v>9.4550599999999996</v>
          </cell>
          <cell r="J223">
            <v>0</v>
          </cell>
          <cell r="K223">
            <v>348.29433653499996</v>
          </cell>
          <cell r="L223">
            <v>5887.7036339999995</v>
          </cell>
          <cell r="M223">
            <v>391</v>
          </cell>
        </row>
        <row r="224">
          <cell r="E224" t="str">
            <v>SB-MXL-LA</v>
          </cell>
          <cell r="F224" t="str">
            <v>N</v>
          </cell>
          <cell r="G224">
            <v>1164.7070088800801</v>
          </cell>
          <cell r="H224">
            <v>1024.7375562646955</v>
          </cell>
          <cell r="I224"/>
          <cell r="J224"/>
          <cell r="K224">
            <v>1164.7070088800801</v>
          </cell>
          <cell r="L224">
            <v>24424.470876166873</v>
          </cell>
          <cell r="M224">
            <v>1309</v>
          </cell>
        </row>
        <row r="225">
          <cell r="E225" t="str">
            <v>SB-MXL-ST</v>
          </cell>
          <cell r="F225" t="str">
            <v>Y</v>
          </cell>
          <cell r="G225">
            <v>604.00981841643522</v>
          </cell>
          <cell r="H225">
            <v>492.87396716682002</v>
          </cell>
          <cell r="I225"/>
          <cell r="J225"/>
          <cell r="K225">
            <v>604.00981841643522</v>
          </cell>
          <cell r="L225">
            <v>11627.002038834884</v>
          </cell>
          <cell r="M225">
            <v>681</v>
          </cell>
        </row>
        <row r="226">
          <cell r="E226" t="str">
            <v>SB-NBK</v>
          </cell>
          <cell r="F226" t="str">
            <v>Y</v>
          </cell>
          <cell r="G226">
            <v>1024</v>
          </cell>
          <cell r="H226">
            <v>857</v>
          </cell>
          <cell r="I226">
            <v>17.160582000000002</v>
          </cell>
          <cell r="J226">
            <v>0</v>
          </cell>
          <cell r="K226">
            <v>1041.160582</v>
          </cell>
          <cell r="L226">
            <v>25424</v>
          </cell>
          <cell r="M226" t="e">
            <v>#N/A</v>
          </cell>
        </row>
        <row r="227">
          <cell r="E227" t="str">
            <v>SB-PH</v>
          </cell>
          <cell r="F227" t="str">
            <v>Y</v>
          </cell>
          <cell r="G227">
            <v>120.41628950499999</v>
          </cell>
          <cell r="H227">
            <v>83.340134504999995</v>
          </cell>
          <cell r="I227">
            <v>6.5359219999999993</v>
          </cell>
          <cell r="J227">
            <v>7.410077499999999</v>
          </cell>
          <cell r="K227">
            <v>134.36228900499998</v>
          </cell>
          <cell r="L227">
            <v>1993.5528540139287</v>
          </cell>
          <cell r="M227">
            <v>134</v>
          </cell>
        </row>
        <row r="228">
          <cell r="E228" t="str">
            <v>S-BR-4</v>
          </cell>
          <cell r="F228" t="str">
            <v>Y</v>
          </cell>
          <cell r="G228">
            <v>226.72320183345386</v>
          </cell>
          <cell r="H228">
            <v>162.66988298729999</v>
          </cell>
          <cell r="I228">
            <v>7.9733944000000001</v>
          </cell>
          <cell r="J228">
            <v>0</v>
          </cell>
          <cell r="K228">
            <v>234.69659623345385</v>
          </cell>
          <cell r="L228">
            <v>3966.7730839718715</v>
          </cell>
          <cell r="M228">
            <v>258</v>
          </cell>
        </row>
        <row r="229">
          <cell r="E229" t="str">
            <v>S-BR-6</v>
          </cell>
          <cell r="F229" t="str">
            <v>Y</v>
          </cell>
          <cell r="G229">
            <v>301.08688327289281</v>
          </cell>
          <cell r="H229">
            <v>232.65542802289283</v>
          </cell>
          <cell r="I229">
            <v>10.103576</v>
          </cell>
          <cell r="J229">
            <v>15.822344999999995</v>
          </cell>
          <cell r="K229">
            <v>327.01280427289277</v>
          </cell>
          <cell r="L229">
            <v>5306.443301371256</v>
          </cell>
          <cell r="M229">
            <v>349</v>
          </cell>
        </row>
        <row r="230">
          <cell r="E230" t="str">
            <v>S-BR-F6</v>
          </cell>
          <cell r="F230" t="str">
            <v>Y</v>
          </cell>
          <cell r="G230">
            <v>379.94998580694647</v>
          </cell>
          <cell r="H230">
            <v>286.34103631350001</v>
          </cell>
          <cell r="I230">
            <v>16.341623999999999</v>
          </cell>
          <cell r="J230">
            <v>8.6898524999999989</v>
          </cell>
          <cell r="K230">
            <v>404.98146230694647</v>
          </cell>
          <cell r="L230">
            <v>6641.2181938191115</v>
          </cell>
          <cell r="M230">
            <v>404</v>
          </cell>
        </row>
        <row r="231">
          <cell r="E231" t="str">
            <v>SB-SN-D</v>
          </cell>
          <cell r="F231" t="str">
            <v>Y</v>
          </cell>
          <cell r="G231">
            <v>1833.6400262134832</v>
          </cell>
          <cell r="H231">
            <v>1438.2875723346372</v>
          </cell>
          <cell r="I231"/>
          <cell r="J231"/>
          <cell r="K231">
            <v>1833.6400262134832</v>
          </cell>
          <cell r="L231">
            <v>30989.688886831995</v>
          </cell>
          <cell r="M231">
            <v>2164</v>
          </cell>
        </row>
        <row r="232">
          <cell r="E232" t="str">
            <v>SB-SN-N</v>
          </cell>
          <cell r="F232" t="str">
            <v>Y</v>
          </cell>
          <cell r="G232">
            <v>1310.5117585532223</v>
          </cell>
          <cell r="H232">
            <v>1040.3826050397611</v>
          </cell>
          <cell r="I232"/>
          <cell r="J232"/>
          <cell r="K232">
            <v>1310.5117585532223</v>
          </cell>
          <cell r="L232">
            <v>25251.797173840478</v>
          </cell>
          <cell r="M232">
            <v>1649</v>
          </cell>
        </row>
        <row r="233">
          <cell r="E233" t="str">
            <v>SB-WA</v>
          </cell>
          <cell r="F233" t="str">
            <v>Y</v>
          </cell>
          <cell r="G233">
            <v>439.30734330019499</v>
          </cell>
          <cell r="H233">
            <v>328.06584407699995</v>
          </cell>
          <cell r="I233">
            <v>15.932604000000001</v>
          </cell>
          <cell r="J233">
            <v>0</v>
          </cell>
          <cell r="K233">
            <v>455.23994730019501</v>
          </cell>
          <cell r="L233">
            <v>7755.8802847764855</v>
          </cell>
          <cell r="M233">
            <v>545</v>
          </cell>
        </row>
        <row r="234">
          <cell r="E234" t="str">
            <v>SB-WA-WM</v>
          </cell>
          <cell r="F234" t="str">
            <v>Y</v>
          </cell>
          <cell r="G234">
            <v>440.41000304934613</v>
          </cell>
          <cell r="H234">
            <v>316.59521189550003</v>
          </cell>
          <cell r="I234">
            <v>11.655267999999998</v>
          </cell>
          <cell r="J234">
            <v>10.29588</v>
          </cell>
          <cell r="K234">
            <v>462.36115104934612</v>
          </cell>
          <cell r="L234">
            <v>7575.6294453454093</v>
          </cell>
          <cell r="M234">
            <v>495</v>
          </cell>
        </row>
        <row r="235">
          <cell r="E235" t="str">
            <v>SB-WLB</v>
          </cell>
          <cell r="F235" t="str">
            <v>Y</v>
          </cell>
          <cell r="G235">
            <v>922.2275550166537</v>
          </cell>
          <cell r="H235">
            <v>776.38711492049993</v>
          </cell>
          <cell r="I235">
            <v>24.2321332</v>
          </cell>
          <cell r="J235">
            <v>0</v>
          </cell>
          <cell r="K235">
            <v>946.45968821665372</v>
          </cell>
          <cell r="L235">
            <v>18097.9962682</v>
          </cell>
          <cell r="M235">
            <v>1016</v>
          </cell>
        </row>
        <row r="236">
          <cell r="E236" t="str">
            <v>S-CC</v>
          </cell>
          <cell r="F236" t="str">
            <v>Y</v>
          </cell>
          <cell r="G236">
            <v>800.84363137761522</v>
          </cell>
          <cell r="H236">
            <v>598.62587474299994</v>
          </cell>
          <cell r="I236">
            <v>15.182938</v>
          </cell>
          <cell r="J236">
            <v>0</v>
          </cell>
          <cell r="K236">
            <v>816.02656937761526</v>
          </cell>
          <cell r="L236">
            <v>14955.153386000002</v>
          </cell>
          <cell r="M236">
            <v>859</v>
          </cell>
        </row>
        <row r="237">
          <cell r="E237" t="str">
            <v>S-CRF</v>
          </cell>
          <cell r="F237" t="str">
            <v>Y</v>
          </cell>
          <cell r="G237">
            <v>458.02161925183668</v>
          </cell>
          <cell r="H237">
            <v>361.66040766000003</v>
          </cell>
          <cell r="I237">
            <v>11.530624000000001</v>
          </cell>
          <cell r="J237">
            <v>0</v>
          </cell>
          <cell r="K237">
            <v>469.55224325183667</v>
          </cell>
          <cell r="L237">
            <v>8267.8230640000002</v>
          </cell>
          <cell r="M237">
            <v>555</v>
          </cell>
        </row>
        <row r="238">
          <cell r="E238" t="str">
            <v>S-ETN</v>
          </cell>
          <cell r="F238" t="str">
            <v>Y</v>
          </cell>
          <cell r="G238">
            <v>268.32282980749994</v>
          </cell>
          <cell r="H238">
            <v>181.59772980749997</v>
          </cell>
          <cell r="I238">
            <v>8.7292280000000009</v>
          </cell>
          <cell r="J238">
            <v>0</v>
          </cell>
          <cell r="K238">
            <v>277.05205780749992</v>
          </cell>
          <cell r="L238">
            <v>3956.1227730000001</v>
          </cell>
          <cell r="M238">
            <v>286</v>
          </cell>
        </row>
        <row r="239">
          <cell r="E239" t="str">
            <v>S-GRB</v>
          </cell>
          <cell r="F239" t="str">
            <v>Y</v>
          </cell>
          <cell r="G239">
            <v>251.85780249999999</v>
          </cell>
          <cell r="H239">
            <v>184.26595874999998</v>
          </cell>
          <cell r="I239">
            <v>9.9687999999999999</v>
          </cell>
          <cell r="J239">
            <v>0</v>
          </cell>
          <cell r="K239">
            <v>261.82660249999998</v>
          </cell>
          <cell r="L239">
            <v>4129.1912499999999</v>
          </cell>
          <cell r="M239">
            <v>310</v>
          </cell>
        </row>
        <row r="240">
          <cell r="E240" t="str">
            <v>SH-CHR</v>
          </cell>
          <cell r="F240" t="str">
            <v>NL</v>
          </cell>
          <cell r="G240">
            <v>150</v>
          </cell>
          <cell r="H240">
            <v>134</v>
          </cell>
          <cell r="I240" t="e">
            <v>#N/A</v>
          </cell>
          <cell r="J240">
            <v>0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E241" t="str">
            <v>SH-DVN</v>
          </cell>
          <cell r="F241" t="str">
            <v>Y</v>
          </cell>
          <cell r="G241">
            <v>85</v>
          </cell>
          <cell r="H241">
            <v>53.472500100000005</v>
          </cell>
          <cell r="I241">
            <v>477</v>
          </cell>
          <cell r="J241"/>
          <cell r="K241"/>
          <cell r="L241"/>
          <cell r="M241"/>
        </row>
        <row r="242">
          <cell r="E242" t="str">
            <v>SH-YBO</v>
          </cell>
          <cell r="F242" t="str">
            <v>Y</v>
          </cell>
          <cell r="G242">
            <v>128</v>
          </cell>
          <cell r="H242">
            <v>91.528963046399994</v>
          </cell>
          <cell r="I242">
            <v>707</v>
          </cell>
          <cell r="J242"/>
          <cell r="K242"/>
          <cell r="L242"/>
          <cell r="M242"/>
        </row>
        <row r="243">
          <cell r="E243" t="str">
            <v>S-JVS</v>
          </cell>
          <cell r="F243" t="str">
            <v>Y</v>
          </cell>
          <cell r="G243">
            <v>380.91170280007452</v>
          </cell>
          <cell r="H243">
            <v>268.14176597361597</v>
          </cell>
          <cell r="I243">
            <v>0</v>
          </cell>
          <cell r="J243">
            <v>0</v>
          </cell>
          <cell r="K243">
            <v>380.91170280007452</v>
          </cell>
          <cell r="L243">
            <v>6917</v>
          </cell>
          <cell r="M243">
            <v>414</v>
          </cell>
        </row>
        <row r="244">
          <cell r="E244" t="str">
            <v>S-LO</v>
          </cell>
          <cell r="F244" t="str">
            <v>Y</v>
          </cell>
          <cell r="G244">
            <v>184.68609338999997</v>
          </cell>
          <cell r="H244">
            <v>141.01343588999998</v>
          </cell>
          <cell r="I244">
            <v>11.169204000000001</v>
          </cell>
          <cell r="J244">
            <v>8.8322499999999984</v>
          </cell>
          <cell r="K244">
            <v>204.68754738999996</v>
          </cell>
          <cell r="L244" t="e">
            <v>#REF!</v>
          </cell>
          <cell r="M244">
            <v>205</v>
          </cell>
        </row>
        <row r="245">
          <cell r="E245" t="str">
            <v>SL-VE-P</v>
          </cell>
          <cell r="F245" t="str">
            <v>Y</v>
          </cell>
          <cell r="G245">
            <v>94.02187047999999</v>
          </cell>
          <cell r="H245">
            <v>36.891870480000001</v>
          </cell>
          <cell r="I245">
            <v>1.759976</v>
          </cell>
          <cell r="J245">
            <v>0</v>
          </cell>
          <cell r="K245">
            <v>95.781846479999984</v>
          </cell>
          <cell r="L245">
            <v>1812.3625919999999</v>
          </cell>
          <cell r="M245">
            <v>292</v>
          </cell>
        </row>
        <row r="246">
          <cell r="E246" t="str">
            <v>S-PTE</v>
          </cell>
          <cell r="F246" t="str">
            <v>Y</v>
          </cell>
          <cell r="G246">
            <v>577.85958612937497</v>
          </cell>
          <cell r="H246">
            <v>456.06190557599996</v>
          </cell>
          <cell r="I246">
            <v>12.5219144</v>
          </cell>
          <cell r="J246">
            <v>0</v>
          </cell>
          <cell r="K246">
            <v>590.38150052937499</v>
          </cell>
          <cell r="L246">
            <v>10495.4364104</v>
          </cell>
          <cell r="M246">
            <v>665</v>
          </cell>
        </row>
        <row r="247">
          <cell r="E247" t="str">
            <v>SR-BKN-2</v>
          </cell>
          <cell r="F247" t="str">
            <v>Y</v>
          </cell>
          <cell r="G247">
            <v>1306.5475442947522</v>
          </cell>
          <cell r="H247">
            <v>984.65931743129102</v>
          </cell>
          <cell r="I247">
            <v>16.59696808</v>
          </cell>
          <cell r="J247">
            <v>34.916227499999998</v>
          </cell>
          <cell r="K247">
            <v>1358.0607398747522</v>
          </cell>
          <cell r="L247">
            <v>22110.984838681678</v>
          </cell>
          <cell r="M247">
            <v>1519</v>
          </cell>
        </row>
        <row r="248">
          <cell r="E248" t="str">
            <v>SR-BKN-2</v>
          </cell>
          <cell r="F248" t="str">
            <v>Y</v>
          </cell>
          <cell r="G248">
            <v>1306.5475442947522</v>
          </cell>
          <cell r="H248">
            <v>984.65931743129102</v>
          </cell>
          <cell r="I248">
            <v>16.59696808</v>
          </cell>
          <cell r="J248">
            <v>0</v>
          </cell>
          <cell r="K248">
            <v>1323.1445123747521</v>
          </cell>
          <cell r="L248">
            <v>22110.984838681678</v>
          </cell>
          <cell r="M248">
            <v>1519</v>
          </cell>
        </row>
        <row r="249">
          <cell r="E249" t="str">
            <v>SR-BKN-H</v>
          </cell>
          <cell r="F249" t="str">
            <v>Y</v>
          </cell>
          <cell r="G249">
            <v>3012</v>
          </cell>
          <cell r="H249"/>
          <cell r="I249"/>
          <cell r="J249"/>
          <cell r="K249"/>
          <cell r="L249"/>
          <cell r="M249"/>
        </row>
        <row r="250">
          <cell r="E250" t="str">
            <v>SR-BKN-T</v>
          </cell>
          <cell r="F250" t="str">
            <v>Y</v>
          </cell>
          <cell r="G250">
            <v>2181</v>
          </cell>
          <cell r="H250">
            <v>1765</v>
          </cell>
          <cell r="I250" t="e">
            <v>#N/A</v>
          </cell>
          <cell r="J250">
            <v>18.177250000000001</v>
          </cell>
          <cell r="K250" t="e">
            <v>#N/A</v>
          </cell>
          <cell r="L250" t="e">
            <v>#N/A</v>
          </cell>
          <cell r="M250" t="e">
            <v>#N/A</v>
          </cell>
        </row>
        <row r="251">
          <cell r="E251" t="str">
            <v>SR-CLE</v>
          </cell>
          <cell r="F251" t="str">
            <v>Y</v>
          </cell>
          <cell r="G251">
            <v>1113.04219375</v>
          </cell>
          <cell r="H251">
            <v>881.44219375</v>
          </cell>
          <cell r="I251">
            <v>17.813178000000001</v>
          </cell>
          <cell r="J251">
            <v>0</v>
          </cell>
          <cell r="K251">
            <v>1130.8553717500001</v>
          </cell>
          <cell r="L251">
            <v>21457</v>
          </cell>
          <cell r="M251" t="e">
            <v>#N/A</v>
          </cell>
        </row>
        <row r="252">
          <cell r="E252" t="str">
            <v>SR-CLM-2</v>
          </cell>
          <cell r="F252" t="str">
            <v>Y</v>
          </cell>
          <cell r="G252">
            <v>1177.5051692151364</v>
          </cell>
          <cell r="H252">
            <v>872.03438706128986</v>
          </cell>
          <cell r="I252">
            <v>19.587121199999999</v>
          </cell>
          <cell r="J252">
            <v>0</v>
          </cell>
          <cell r="K252">
            <v>1197.0922904151364</v>
          </cell>
          <cell r="L252">
            <v>17032.668326695999</v>
          </cell>
          <cell r="M252">
            <v>1330</v>
          </cell>
        </row>
        <row r="253">
          <cell r="E253" t="str">
            <v>SR-CLM-3</v>
          </cell>
          <cell r="F253" t="str">
            <v>Y</v>
          </cell>
          <cell r="G253">
            <v>1746.4114773615577</v>
          </cell>
          <cell r="H253">
            <v>1315.1561936692499</v>
          </cell>
          <cell r="I253">
            <v>28.773601599999999</v>
          </cell>
          <cell r="J253">
            <v>0</v>
          </cell>
          <cell r="K253">
            <v>1775.1850789615576</v>
          </cell>
          <cell r="L253">
            <v>25230.272261319995</v>
          </cell>
          <cell r="M253">
            <v>2060</v>
          </cell>
        </row>
        <row r="254">
          <cell r="E254" t="str">
            <v>SR-CLM-T</v>
          </cell>
          <cell r="F254" t="str">
            <v>NL</v>
          </cell>
          <cell r="G254">
            <v>2057</v>
          </cell>
          <cell r="H254">
            <v>1680</v>
          </cell>
          <cell r="I254" t="e">
            <v>#N/A</v>
          </cell>
          <cell r="J254">
            <v>0</v>
          </cell>
          <cell r="K254" t="e">
            <v>#N/A</v>
          </cell>
          <cell r="L254" t="e">
            <v>#N/A</v>
          </cell>
          <cell r="M254" t="e">
            <v>#N/A</v>
          </cell>
        </row>
        <row r="255">
          <cell r="E255" t="str">
            <v>SR-KPN</v>
          </cell>
          <cell r="F255" t="str">
            <v>Y</v>
          </cell>
          <cell r="G255">
            <v>1988.9602597383987</v>
          </cell>
          <cell r="H255">
            <v>1440.7290233922447</v>
          </cell>
          <cell r="I255">
            <v>28.305033999999999</v>
          </cell>
          <cell r="J255">
            <v>0</v>
          </cell>
          <cell r="K255">
            <v>2017.2652937383987</v>
          </cell>
          <cell r="L255">
            <v>30950.800312987994</v>
          </cell>
          <cell r="M255">
            <v>2428</v>
          </cell>
        </row>
        <row r="256">
          <cell r="E256" t="str">
            <v>SR-MVS</v>
          </cell>
          <cell r="F256" t="str">
            <v>Y</v>
          </cell>
          <cell r="G256">
            <v>1759.5879399038461</v>
          </cell>
          <cell r="H256">
            <v>1450.2990937499999</v>
          </cell>
          <cell r="I256">
            <v>17.813178000000001</v>
          </cell>
          <cell r="J256">
            <v>0</v>
          </cell>
          <cell r="K256">
            <v>1777.4011179038462</v>
          </cell>
          <cell r="L256">
            <v>21457</v>
          </cell>
          <cell r="M256" t="e">
            <v>#N/A</v>
          </cell>
        </row>
        <row r="257">
          <cell r="E257" t="str">
            <v>SR-MVS-I</v>
          </cell>
          <cell r="F257"/>
          <cell r="G257">
            <v>1173</v>
          </cell>
          <cell r="H257"/>
          <cell r="I257"/>
          <cell r="J257"/>
          <cell r="K257"/>
          <cell r="L257"/>
          <cell r="M257"/>
        </row>
        <row r="258">
          <cell r="E258" t="str">
            <v>SR-MVS-IT</v>
          </cell>
          <cell r="F258" t="str">
            <v>Y</v>
          </cell>
          <cell r="G258">
            <v>2589</v>
          </cell>
          <cell r="H258"/>
          <cell r="I258"/>
          <cell r="J258"/>
          <cell r="K258"/>
          <cell r="L258"/>
          <cell r="M258"/>
        </row>
        <row r="259">
          <cell r="E259" t="str">
            <v>SR-MVS-T</v>
          </cell>
          <cell r="F259"/>
          <cell r="G259">
            <v>1416</v>
          </cell>
          <cell r="H259"/>
          <cell r="I259"/>
          <cell r="J259"/>
          <cell r="K259"/>
          <cell r="L259"/>
          <cell r="M259"/>
        </row>
        <row r="260">
          <cell r="E260" t="str">
            <v>SR-OLY</v>
          </cell>
          <cell r="F260" t="str">
            <v>Y</v>
          </cell>
          <cell r="G260">
            <v>1764.4130085988943</v>
          </cell>
          <cell r="H260">
            <v>1348.4653468296635</v>
          </cell>
          <cell r="I260">
            <v>26.903693399999998</v>
          </cell>
          <cell r="J260">
            <v>0</v>
          </cell>
          <cell r="K260">
            <v>1791.3167019988944</v>
          </cell>
          <cell r="L260">
            <v>30408.454095567995</v>
          </cell>
          <cell r="M260">
            <v>2015</v>
          </cell>
        </row>
        <row r="261">
          <cell r="E261" t="str">
            <v>SR-PRG</v>
          </cell>
          <cell r="F261" t="str">
            <v>Y</v>
          </cell>
          <cell r="G261">
            <v>1753.7718916031897</v>
          </cell>
          <cell r="H261">
            <v>1401.5791691031898</v>
          </cell>
          <cell r="I261">
            <v>17.813178000000001</v>
          </cell>
          <cell r="J261">
            <v>0</v>
          </cell>
          <cell r="K261">
            <v>1771.5850696031898</v>
          </cell>
          <cell r="L261">
            <v>21457</v>
          </cell>
          <cell r="M261" t="e">
            <v>#N/A</v>
          </cell>
        </row>
        <row r="262">
          <cell r="E262" t="str">
            <v>SR-WHTO</v>
          </cell>
          <cell r="F262" t="str">
            <v>Y</v>
          </cell>
          <cell r="G262">
            <v>1716.2469116045409</v>
          </cell>
          <cell r="H262">
            <v>1332.4064277583873</v>
          </cell>
          <cell r="I262">
            <v>24.669706399999999</v>
          </cell>
          <cell r="J262">
            <v>0</v>
          </cell>
          <cell r="K262">
            <v>1740.9166180045409</v>
          </cell>
          <cell r="L262">
            <v>27779.19879377999</v>
          </cell>
          <cell r="M262">
            <v>1592</v>
          </cell>
        </row>
        <row r="263">
          <cell r="E263" t="str">
            <v>S-RY</v>
          </cell>
          <cell r="F263" t="str">
            <v>Y</v>
          </cell>
          <cell r="G263">
            <v>226.45656198750007</v>
          </cell>
          <cell r="H263">
            <v>157.47354948750001</v>
          </cell>
          <cell r="I263">
            <v>9.4695439999999991</v>
          </cell>
          <cell r="J263">
            <v>11.62252</v>
          </cell>
          <cell r="K263">
            <v>247.54862598750009</v>
          </cell>
          <cell r="L263">
            <v>3875.074100832428</v>
          </cell>
          <cell r="M263">
            <v>261</v>
          </cell>
        </row>
        <row r="264">
          <cell r="E264" t="str">
            <v>ST-AML</v>
          </cell>
          <cell r="F264" t="str">
            <v>Y</v>
          </cell>
          <cell r="G264">
            <v>1201.5199460376064</v>
          </cell>
          <cell r="H264">
            <v>893.57233919999987</v>
          </cell>
          <cell r="I264">
            <v>18.919028000000001</v>
          </cell>
          <cell r="J264">
            <v>0</v>
          </cell>
          <cell r="K264">
            <v>1220.4389740376064</v>
          </cell>
          <cell r="L264">
            <v>21677</v>
          </cell>
          <cell r="M264">
            <v>1557</v>
          </cell>
        </row>
        <row r="265">
          <cell r="E265" t="str">
            <v>ST-CBN</v>
          </cell>
          <cell r="F265" t="str">
            <v>Y</v>
          </cell>
          <cell r="G265">
            <v>1981.5426014275176</v>
          </cell>
          <cell r="H265">
            <v>1201.6549883225175</v>
          </cell>
          <cell r="I265">
            <v>24.0144108</v>
          </cell>
          <cell r="J265">
            <v>0</v>
          </cell>
          <cell r="K265">
            <v>2005.5570122275176</v>
          </cell>
          <cell r="L265">
            <v>26113.615866451993</v>
          </cell>
          <cell r="M265" t="e">
            <v>#N/A</v>
          </cell>
        </row>
        <row r="266">
          <cell r="E266" t="str">
            <v>ST-CBN-LS</v>
          </cell>
          <cell r="F266" t="str">
            <v>NL</v>
          </cell>
          <cell r="G266">
            <v>1183</v>
          </cell>
          <cell r="H266">
            <v>537</v>
          </cell>
          <cell r="I266" t="e">
            <v>#N/A</v>
          </cell>
          <cell r="J266">
            <v>0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E267" t="str">
            <v>ST-CBN-P</v>
          </cell>
          <cell r="F267" t="str">
            <v>Y</v>
          </cell>
          <cell r="G267">
            <v>991</v>
          </cell>
          <cell r="H267">
            <v>499.61004450000001</v>
          </cell>
          <cell r="I267"/>
          <cell r="J267"/>
          <cell r="K267"/>
          <cell r="L267"/>
          <cell r="M267"/>
        </row>
        <row r="268">
          <cell r="E268" t="str">
            <v>ST-CBN-S</v>
          </cell>
          <cell r="F268" t="str">
            <v>Y</v>
          </cell>
          <cell r="G268">
            <v>757.7930803884617</v>
          </cell>
          <cell r="H268">
            <v>359.69492385000001</v>
          </cell>
          <cell r="I268">
            <v>6.9100580000000003</v>
          </cell>
          <cell r="J268">
            <v>0</v>
          </cell>
          <cell r="K268">
            <v>764.70313838846175</v>
          </cell>
          <cell r="L268">
            <v>8159.0102400000014</v>
          </cell>
          <cell r="M268" t="e">
            <v>#N/A</v>
          </cell>
        </row>
        <row r="269">
          <cell r="E269" t="str">
            <v>ST-EFI-LA</v>
          </cell>
          <cell r="F269" t="str">
            <v>Y</v>
          </cell>
          <cell r="G269">
            <v>835.1366200779612</v>
          </cell>
          <cell r="H269">
            <v>610.25387353949986</v>
          </cell>
          <cell r="I269">
            <v>17.54213</v>
          </cell>
          <cell r="J269">
            <v>0</v>
          </cell>
          <cell r="K269">
            <v>852.67875007796124</v>
          </cell>
          <cell r="L269">
            <v>12624.845668199998</v>
          </cell>
          <cell r="M269">
            <v>920</v>
          </cell>
        </row>
        <row r="270">
          <cell r="E270" t="str">
            <v>ST-EFI-ST</v>
          </cell>
          <cell r="F270" t="str">
            <v>Y</v>
          </cell>
          <cell r="G270">
            <v>588.37563179511528</v>
          </cell>
          <cell r="H270">
            <v>438.89160541049995</v>
          </cell>
          <cell r="I270">
            <v>16.9292324</v>
          </cell>
          <cell r="J270">
            <v>0</v>
          </cell>
          <cell r="K270">
            <v>605.30486419511533</v>
          </cell>
          <cell r="L270">
            <v>9437.6034941999987</v>
          </cell>
          <cell r="M270">
            <v>684</v>
          </cell>
        </row>
        <row r="271">
          <cell r="E271" t="str">
            <v>ST-GSE-LA</v>
          </cell>
          <cell r="F271" t="str">
            <v>Y</v>
          </cell>
          <cell r="G271">
            <v>812.19872649023068</v>
          </cell>
          <cell r="H271">
            <v>431.50582472099995</v>
          </cell>
          <cell r="I271">
            <v>10.481009999999999</v>
          </cell>
          <cell r="J271">
            <v>0</v>
          </cell>
          <cell r="K271">
            <v>822.67973649023065</v>
          </cell>
          <cell r="L271">
            <v>14197.136993200002</v>
          </cell>
          <cell r="M271">
            <v>866</v>
          </cell>
        </row>
        <row r="272">
          <cell r="E272" t="str">
            <v>ST-GSE-ST</v>
          </cell>
          <cell r="F272" t="str">
            <v>Y</v>
          </cell>
          <cell r="G272">
            <v>643.25072273730757</v>
          </cell>
          <cell r="H272">
            <v>304.5831075449999</v>
          </cell>
          <cell r="I272">
            <v>7.3977539999999999</v>
          </cell>
          <cell r="J272">
            <v>0</v>
          </cell>
          <cell r="K272">
            <v>650.64847673730753</v>
          </cell>
          <cell r="L272">
            <v>9918.8895500000017</v>
          </cell>
          <cell r="M272">
            <v>726</v>
          </cell>
        </row>
        <row r="273">
          <cell r="E273" t="str">
            <v>ST-HE</v>
          </cell>
          <cell r="F273" t="str">
            <v>Y</v>
          </cell>
          <cell r="G273">
            <v>827.8963166599998</v>
          </cell>
          <cell r="H273">
            <v>192.04652615999998</v>
          </cell>
          <cell r="I273">
            <v>2.7430520000000005</v>
          </cell>
          <cell r="J273">
            <v>9.6974499999999999</v>
          </cell>
          <cell r="K273">
            <v>840.33681865999984</v>
          </cell>
          <cell r="L273">
            <v>7126.2316637976373</v>
          </cell>
          <cell r="M273">
            <v>868</v>
          </cell>
        </row>
        <row r="274">
          <cell r="E274" t="str">
            <v>ST-HES</v>
          </cell>
          <cell r="F274" t="str">
            <v>Y</v>
          </cell>
          <cell r="G274">
            <v>1076.0342863999999</v>
          </cell>
          <cell r="H274">
            <v>300.87512639999994</v>
          </cell>
          <cell r="I274">
            <v>6.2078560000000005</v>
          </cell>
          <cell r="J274">
            <v>11.0313</v>
          </cell>
          <cell r="K274">
            <v>1093.2734424</v>
          </cell>
          <cell r="L274">
            <v>8484.8912923182233</v>
          </cell>
          <cell r="M274">
            <v>1140</v>
          </cell>
        </row>
        <row r="275">
          <cell r="E275" t="str">
            <v>ST-KYA</v>
          </cell>
          <cell r="F275" t="str">
            <v>Y</v>
          </cell>
          <cell r="G275">
            <v>1374.6987002882793</v>
          </cell>
          <cell r="H275">
            <v>1113.3467179421252</v>
          </cell>
          <cell r="I275">
            <v>13.504052</v>
          </cell>
          <cell r="J275">
            <v>0</v>
          </cell>
          <cell r="K275">
            <v>1388.2027522882793</v>
          </cell>
          <cell r="L275">
            <v>1113.3467179421252</v>
          </cell>
          <cell r="M275" t="e">
            <v>#N/A</v>
          </cell>
        </row>
        <row r="276">
          <cell r="E276" t="str">
            <v>ST-MLM-L</v>
          </cell>
          <cell r="F276" t="str">
            <v>Y</v>
          </cell>
          <cell r="G276">
            <v>1086.7273100059374</v>
          </cell>
          <cell r="H276">
            <v>831.05676231362997</v>
          </cell>
          <cell r="I276">
            <v>0</v>
          </cell>
          <cell r="J276">
            <v>0</v>
          </cell>
          <cell r="K276">
            <v>1086.7273100059374</v>
          </cell>
          <cell r="L276">
            <v>19120.121426191999</v>
          </cell>
          <cell r="M276" t="e">
            <v>#N/A</v>
          </cell>
        </row>
        <row r="277">
          <cell r="E277" t="str">
            <v>ST-MLM-N</v>
          </cell>
          <cell r="F277" t="str">
            <v>Y</v>
          </cell>
          <cell r="G277">
            <v>898.89080269178385</v>
          </cell>
          <cell r="H277">
            <v>732.43520509562995</v>
          </cell>
          <cell r="I277">
            <v>11.917883999999999</v>
          </cell>
          <cell r="J277">
            <v>0</v>
          </cell>
          <cell r="K277">
            <v>910.80868669178381</v>
          </cell>
          <cell r="L277">
            <v>17683.295463840001</v>
          </cell>
          <cell r="M277" t="e">
            <v>#N/A</v>
          </cell>
        </row>
        <row r="278">
          <cell r="E278" t="str">
            <v>ST-RDO</v>
          </cell>
          <cell r="F278" t="str">
            <v>Y</v>
          </cell>
          <cell r="G278">
            <v>1301.9777317199041</v>
          </cell>
          <cell r="H278">
            <v>1077.9157493737498</v>
          </cell>
          <cell r="I278">
            <v>12.530632000000001</v>
          </cell>
          <cell r="J278">
            <v>0</v>
          </cell>
          <cell r="K278">
            <v>1314.5083637199041</v>
          </cell>
          <cell r="L278">
            <v>1077.9157493737498</v>
          </cell>
          <cell r="M278" t="e">
            <v>#N/A</v>
          </cell>
        </row>
        <row r="279">
          <cell r="E279" t="str">
            <v>ST-RE</v>
          </cell>
          <cell r="F279" t="str">
            <v>Y</v>
          </cell>
          <cell r="G279">
            <v>909.5218791905902</v>
          </cell>
          <cell r="H279">
            <v>708.34054634443623</v>
          </cell>
          <cell r="I279">
            <v>15.090709599999999</v>
          </cell>
          <cell r="J279">
            <v>0</v>
          </cell>
          <cell r="K279">
            <v>924.61258879059017</v>
          </cell>
          <cell r="L279">
            <v>16988.619626656357</v>
          </cell>
          <cell r="M279">
            <v>1026</v>
          </cell>
        </row>
        <row r="280">
          <cell r="E280" t="str">
            <v>ST-WLD</v>
          </cell>
          <cell r="F280" t="str">
            <v>Y</v>
          </cell>
          <cell r="G280">
            <v>2514.1909403886448</v>
          </cell>
          <cell r="H280">
            <v>2028.33633841749</v>
          </cell>
          <cell r="I280">
            <v>24.065200000000004</v>
          </cell>
          <cell r="J280">
            <v>0</v>
          </cell>
          <cell r="K280">
            <v>2538.2561403886448</v>
          </cell>
          <cell r="L280">
            <v>43405.831073696005</v>
          </cell>
          <cell r="M280" t="e">
            <v>#N/A</v>
          </cell>
        </row>
        <row r="281">
          <cell r="E281" t="str">
            <v>S-XD</v>
          </cell>
          <cell r="F281" t="str">
            <v>Y</v>
          </cell>
          <cell r="G281">
            <v>498.6727472222222</v>
          </cell>
          <cell r="H281">
            <v>357.600525</v>
          </cell>
          <cell r="I281">
            <v>10.500831999999999</v>
          </cell>
          <cell r="J281">
            <v>0</v>
          </cell>
          <cell r="K281">
            <v>509.1735792222222</v>
          </cell>
          <cell r="L281">
            <v>8246</v>
          </cell>
          <cell r="M281">
            <v>540</v>
          </cell>
        </row>
        <row r="282">
          <cell r="E282" t="str">
            <v>TP-MTA</v>
          </cell>
          <cell r="F282" t="str">
            <v>NL</v>
          </cell>
          <cell r="G282">
            <v>888</v>
          </cell>
          <cell r="H282">
            <v>722</v>
          </cell>
          <cell r="I282" t="e">
            <v>#N/A</v>
          </cell>
          <cell r="J282">
            <v>0</v>
          </cell>
          <cell r="K282" t="e">
            <v>#N/A</v>
          </cell>
          <cell r="L282" t="e">
            <v>#N/A</v>
          </cell>
          <cell r="M282" t="e">
            <v>#N/A</v>
          </cell>
        </row>
        <row r="283">
          <cell r="E283" t="str">
            <v>TS-FV</v>
          </cell>
          <cell r="F283" t="str">
            <v>Y</v>
          </cell>
          <cell r="G283">
            <v>314.85998195182839</v>
          </cell>
          <cell r="H283">
            <v>241.36275070182839</v>
          </cell>
          <cell r="I283">
            <v>12.17178376</v>
          </cell>
          <cell r="J283">
            <v>0</v>
          </cell>
          <cell r="K283">
            <v>327.03176571182837</v>
          </cell>
          <cell r="L283">
            <v>5648.73326968336</v>
          </cell>
          <cell r="M283">
            <v>357</v>
          </cell>
        </row>
        <row r="284">
          <cell r="E284" t="str">
            <v>TS-NL-A</v>
          </cell>
          <cell r="F284" t="str">
            <v>Y</v>
          </cell>
          <cell r="G284">
            <v>130.00905230000001</v>
          </cell>
          <cell r="H284">
            <v>53.786708999999995</v>
          </cell>
          <cell r="I284">
            <v>3.9528400000000001</v>
          </cell>
          <cell r="J284">
            <v>6.7089049999999988</v>
          </cell>
          <cell r="K284">
            <v>140.6707973</v>
          </cell>
          <cell r="L284">
            <v>1281.1013680000001</v>
          </cell>
          <cell r="M284">
            <v>153</v>
          </cell>
        </row>
        <row r="285">
          <cell r="E285" t="str">
            <v>TS-NL-LA</v>
          </cell>
          <cell r="F285" t="str">
            <v>Y</v>
          </cell>
          <cell r="G285">
            <v>216.99620587335383</v>
          </cell>
          <cell r="H285">
            <v>152.07350202719999</v>
          </cell>
          <cell r="I285">
            <v>7.2686016000000002</v>
          </cell>
          <cell r="J285">
            <v>5.9879049999999996</v>
          </cell>
          <cell r="K285">
            <v>230.25271247335385</v>
          </cell>
          <cell r="L285">
            <v>3364.420936</v>
          </cell>
          <cell r="M285" t="e">
            <v>#N/A</v>
          </cell>
        </row>
        <row r="286">
          <cell r="E286" t="str">
            <v>TS-NL-ST</v>
          </cell>
          <cell r="F286" t="str">
            <v>Y</v>
          </cell>
          <cell r="G286">
            <v>126.61183440000001</v>
          </cell>
          <cell r="H286">
            <v>83.3539344</v>
          </cell>
          <cell r="I286">
            <v>4.3941600000000003</v>
          </cell>
          <cell r="J286">
            <v>5.9879049999999996</v>
          </cell>
          <cell r="K286">
            <v>136.99389940000003</v>
          </cell>
          <cell r="L286">
            <v>1791.7077600000002</v>
          </cell>
          <cell r="M286" t="e">
            <v>#N/A</v>
          </cell>
        </row>
        <row r="287">
          <cell r="E287" t="str">
            <v>TU-ARO-LA</v>
          </cell>
          <cell r="F287" t="str">
            <v>Y</v>
          </cell>
          <cell r="G287">
            <v>342.38387037076916</v>
          </cell>
          <cell r="H287">
            <v>249.65775113999999</v>
          </cell>
          <cell r="I287">
            <v>6.5379279999999991</v>
          </cell>
          <cell r="J287">
            <v>13.282622499999999</v>
          </cell>
          <cell r="K287">
            <v>362.20442087076918</v>
          </cell>
          <cell r="L287">
            <v>6535.6482758508109</v>
          </cell>
          <cell r="M287">
            <v>390</v>
          </cell>
        </row>
        <row r="288">
          <cell r="E288" t="str">
            <v>TU-ARO-ST</v>
          </cell>
          <cell r="F288" t="str">
            <v>Y</v>
          </cell>
          <cell r="G288">
            <v>218.48413052207692</v>
          </cell>
          <cell r="H288">
            <v>140.51641734899999</v>
          </cell>
          <cell r="I288">
            <v>5.6787480000000006</v>
          </cell>
          <cell r="J288">
            <v>11.189920000000001</v>
          </cell>
          <cell r="K288">
            <v>235.35279852207694</v>
          </cell>
          <cell r="L288">
            <v>3482.8327095999994</v>
          </cell>
          <cell r="M288">
            <v>243</v>
          </cell>
        </row>
        <row r="289">
          <cell r="E289" t="str">
            <v>TU-ATD</v>
          </cell>
          <cell r="F289" t="str">
            <v>Y</v>
          </cell>
          <cell r="G289">
            <v>1180.7936503482017</v>
          </cell>
          <cell r="H289">
            <v>926.71312967512495</v>
          </cell>
          <cell r="I289">
            <v>12.354460999999999</v>
          </cell>
          <cell r="J289">
            <v>0</v>
          </cell>
          <cell r="K289">
            <v>1193.1481113482016</v>
          </cell>
          <cell r="L289">
            <v>20048.157132549994</v>
          </cell>
          <cell r="M289">
            <v>1227</v>
          </cell>
        </row>
        <row r="290">
          <cell r="E290" t="str">
            <v>TU-AYL</v>
          </cell>
          <cell r="F290" t="str">
            <v>Y</v>
          </cell>
          <cell r="G290">
            <v>897.69744740730766</v>
          </cell>
          <cell r="H290">
            <v>647.20613971499995</v>
          </cell>
          <cell r="I290">
            <v>9.9388799999999993</v>
          </cell>
          <cell r="J290">
            <v>0</v>
          </cell>
          <cell r="K290">
            <v>907.6363274073077</v>
          </cell>
          <cell r="L290">
            <v>16312.793256000001</v>
          </cell>
          <cell r="M290" t="e">
            <v>#N/A</v>
          </cell>
        </row>
        <row r="291">
          <cell r="E291" t="str">
            <v>TU-BKY</v>
          </cell>
          <cell r="F291" t="str">
            <v>NL</v>
          </cell>
          <cell r="G291">
            <v>1930</v>
          </cell>
          <cell r="H291">
            <v>1405</v>
          </cell>
          <cell r="I291" t="e">
            <v>#N/A</v>
          </cell>
          <cell r="J291">
            <v>0</v>
          </cell>
          <cell r="K291" t="e">
            <v>#N/A</v>
          </cell>
          <cell r="L291" t="e">
            <v>#N/A</v>
          </cell>
          <cell r="M291" t="e">
            <v>#N/A</v>
          </cell>
        </row>
        <row r="292">
          <cell r="E292" t="str">
            <v>TU-BKY-ST</v>
          </cell>
          <cell r="F292" t="str">
            <v>Y</v>
          </cell>
          <cell r="G292">
            <v>1437</v>
          </cell>
          <cell r="H292">
            <v>1042</v>
          </cell>
          <cell r="I292" t="e">
            <v>#N/A</v>
          </cell>
          <cell r="J292">
            <v>18.177250000000001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E293" t="str">
            <v>TU-BVN</v>
          </cell>
          <cell r="F293" t="str">
            <v>Y</v>
          </cell>
          <cell r="G293">
            <v>1478</v>
          </cell>
          <cell r="H293">
            <v>1235</v>
          </cell>
          <cell r="I293" t="e">
            <v>#N/A</v>
          </cell>
          <cell r="J293">
            <v>0</v>
          </cell>
          <cell r="K293" t="e">
            <v>#N/A</v>
          </cell>
          <cell r="L293" t="e">
            <v>#N/A</v>
          </cell>
          <cell r="M293" t="e">
            <v>#N/A</v>
          </cell>
        </row>
        <row r="294">
          <cell r="E294" t="str">
            <v>TU-CBR-LA</v>
          </cell>
          <cell r="F294" t="str">
            <v>Y</v>
          </cell>
          <cell r="G294">
            <v>464.06048389079984</v>
          </cell>
          <cell r="H294">
            <v>370.93859749079991</v>
          </cell>
          <cell r="I294">
            <v>8.9252175999999999</v>
          </cell>
          <cell r="J294">
            <v>12.141639999999999</v>
          </cell>
          <cell r="K294">
            <v>485.12734149079984</v>
          </cell>
          <cell r="L294">
            <v>8298.5044622708483</v>
          </cell>
          <cell r="M294">
            <v>546</v>
          </cell>
        </row>
        <row r="295">
          <cell r="E295" t="str">
            <v>TU-CBR-ST</v>
          </cell>
          <cell r="F295" t="str">
            <v>Y</v>
          </cell>
          <cell r="G295">
            <v>282.37317390775002</v>
          </cell>
          <cell r="H295">
            <v>222.97654940774999</v>
          </cell>
          <cell r="I295">
            <v>6.6027796000000007</v>
          </cell>
          <cell r="J295">
            <v>9.710067500000001</v>
          </cell>
          <cell r="K295">
            <v>298.68602100775001</v>
          </cell>
          <cell r="L295">
            <v>4987.4665149473858</v>
          </cell>
          <cell r="M295">
            <v>328</v>
          </cell>
        </row>
        <row r="296">
          <cell r="E296" t="str">
            <v>TU-CRL</v>
          </cell>
          <cell r="F296" t="str">
            <v>Y</v>
          </cell>
          <cell r="G296">
            <v>1528.3962882926999</v>
          </cell>
          <cell r="H296">
            <v>1270.3547832926999</v>
          </cell>
          <cell r="I296">
            <v>24.618373200000001</v>
          </cell>
          <cell r="J296">
            <v>0</v>
          </cell>
          <cell r="K296">
            <v>1553.0146614926998</v>
          </cell>
          <cell r="L296">
            <v>24666.917917480001</v>
          </cell>
          <cell r="M296">
            <v>1757</v>
          </cell>
        </row>
        <row r="297">
          <cell r="E297" t="str">
            <v>TU-DRN</v>
          </cell>
          <cell r="F297" t="str">
            <v>Y</v>
          </cell>
          <cell r="G297">
            <v>938.38831693630755</v>
          </cell>
          <cell r="H297">
            <v>713.16378389399983</v>
          </cell>
          <cell r="I297">
            <v>13.217635999999999</v>
          </cell>
          <cell r="J297">
            <v>0</v>
          </cell>
          <cell r="K297">
            <v>951.60595293630752</v>
          </cell>
          <cell r="L297">
            <v>15626.329231599995</v>
          </cell>
          <cell r="M297" t="e">
            <v>#N/A</v>
          </cell>
        </row>
        <row r="298">
          <cell r="E298" t="str">
            <v>TU-DSK</v>
          </cell>
          <cell r="F298" t="str">
            <v>NL</v>
          </cell>
          <cell r="G298">
            <v>1799</v>
          </cell>
          <cell r="H298">
            <v>1139</v>
          </cell>
          <cell r="I298" t="e">
            <v>#N/A</v>
          </cell>
          <cell r="J298">
            <v>0</v>
          </cell>
          <cell r="K298" t="e">
            <v>#N/A</v>
          </cell>
          <cell r="L298" t="e">
            <v>#N/A</v>
          </cell>
          <cell r="M298" t="e">
            <v>#N/A</v>
          </cell>
        </row>
        <row r="299">
          <cell r="E299" t="str">
            <v>TU-ETY-LA</v>
          </cell>
          <cell r="F299" t="str">
            <v>Y</v>
          </cell>
          <cell r="G299">
            <v>734.93757073949996</v>
          </cell>
          <cell r="H299">
            <v>593.68113073949985</v>
          </cell>
          <cell r="I299">
            <v>29.268628</v>
          </cell>
          <cell r="J299">
            <v>0</v>
          </cell>
          <cell r="K299">
            <v>764.2061987395</v>
          </cell>
          <cell r="L299">
            <v>13855.265305800001</v>
          </cell>
          <cell r="M299">
            <v>842</v>
          </cell>
        </row>
        <row r="300">
          <cell r="E300" t="str">
            <v>TU-ETY-M</v>
          </cell>
          <cell r="F300" t="str">
            <v>Y</v>
          </cell>
          <cell r="G300">
            <v>389.82110475999997</v>
          </cell>
          <cell r="H300">
            <v>308.64015726000002</v>
          </cell>
          <cell r="I300">
            <v>17.595748</v>
          </cell>
          <cell r="J300">
            <v>0</v>
          </cell>
          <cell r="K300">
            <v>407.41685275999998</v>
          </cell>
          <cell r="L300">
            <v>5655.1775039999984</v>
          </cell>
          <cell r="M300">
            <v>445</v>
          </cell>
        </row>
        <row r="301">
          <cell r="E301" t="str">
            <v>TU-ETY-ST</v>
          </cell>
          <cell r="F301" t="str">
            <v>Y</v>
          </cell>
          <cell r="G301">
            <v>601.14871930449999</v>
          </cell>
          <cell r="H301">
            <v>474.24751305450002</v>
          </cell>
          <cell r="I301">
            <v>25.158708000000001</v>
          </cell>
          <cell r="J301">
            <v>0</v>
          </cell>
          <cell r="K301">
            <v>626.30742730450004</v>
          </cell>
          <cell r="L301">
            <v>11053.271231799998</v>
          </cell>
          <cell r="M301">
            <v>686</v>
          </cell>
        </row>
        <row r="302">
          <cell r="E302" t="str">
            <v>TU-FL</v>
          </cell>
          <cell r="F302" t="str">
            <v>Y</v>
          </cell>
          <cell r="G302">
            <v>4406.735733330047</v>
          </cell>
          <cell r="H302">
            <v>3506.7991713773549</v>
          </cell>
          <cell r="I302">
            <v>51.912491999999986</v>
          </cell>
          <cell r="J302">
            <v>0</v>
          </cell>
          <cell r="K302">
            <v>4458.6482253300474</v>
          </cell>
          <cell r="L302">
            <v>71563.038988735992</v>
          </cell>
          <cell r="M302">
            <v>4946</v>
          </cell>
        </row>
        <row r="303">
          <cell r="E303" t="str">
            <v>TU-GAU</v>
          </cell>
          <cell r="F303" t="str">
            <v>Y</v>
          </cell>
          <cell r="G303">
            <v>1050.1552215437571</v>
          </cell>
          <cell r="H303">
            <v>818.70711675000007</v>
          </cell>
          <cell r="I303">
            <v>58.056564000000002</v>
          </cell>
          <cell r="J303">
            <v>25.249419999999997</v>
          </cell>
          <cell r="K303">
            <v>1133.4612055437572</v>
          </cell>
          <cell r="L303">
            <v>19574</v>
          </cell>
          <cell r="M303">
            <v>1378</v>
          </cell>
        </row>
        <row r="304">
          <cell r="E304" t="str">
            <v>TU-HMD</v>
          </cell>
          <cell r="F304" t="str">
            <v>Y</v>
          </cell>
          <cell r="G304">
            <v>1529.3419507394844</v>
          </cell>
          <cell r="H304">
            <v>1254.3715346240999</v>
          </cell>
          <cell r="I304">
            <v>22.213240400000004</v>
          </cell>
          <cell r="J304">
            <v>0</v>
          </cell>
          <cell r="K304">
            <v>1551.5551911394844</v>
          </cell>
          <cell r="L304">
            <v>28017.14444964</v>
          </cell>
          <cell r="M304">
            <v>1832</v>
          </cell>
        </row>
        <row r="305">
          <cell r="E305" t="str">
            <v>TU-KU-LA</v>
          </cell>
          <cell r="F305" t="str">
            <v>Y</v>
          </cell>
          <cell r="G305">
            <v>785</v>
          </cell>
          <cell r="H305">
            <v>481.28681556945003</v>
          </cell>
          <cell r="I305">
            <v>7.8228083999999996</v>
          </cell>
          <cell r="J305">
            <v>0</v>
          </cell>
          <cell r="K305">
            <v>792.82280839999999</v>
          </cell>
          <cell r="L305">
            <v>12739.110340423653</v>
          </cell>
          <cell r="M305">
            <v>742</v>
          </cell>
        </row>
        <row r="306">
          <cell r="E306" t="str">
            <v>TU-KU-ST</v>
          </cell>
          <cell r="F306" t="str">
            <v>Y</v>
          </cell>
          <cell r="G306">
            <v>336.68700656453854</v>
          </cell>
          <cell r="H306">
            <v>239.29414485300006</v>
          </cell>
          <cell r="I306">
            <v>5.7377039999999999</v>
          </cell>
          <cell r="J306">
            <v>15.544759999999997</v>
          </cell>
          <cell r="K306">
            <v>357.96947056453854</v>
          </cell>
          <cell r="L306">
            <v>6355.8931959390311</v>
          </cell>
          <cell r="M306">
            <v>381</v>
          </cell>
        </row>
        <row r="307">
          <cell r="E307" t="str">
            <v>TU-KVD-LA</v>
          </cell>
          <cell r="F307" t="str">
            <v>Y</v>
          </cell>
          <cell r="G307">
            <v>275.532556656</v>
          </cell>
          <cell r="H307">
            <v>187.81200843600001</v>
          </cell>
          <cell r="I307">
            <v>4.780672</v>
          </cell>
          <cell r="J307">
            <v>0</v>
          </cell>
          <cell r="K307">
            <v>280.31322865599998</v>
          </cell>
          <cell r="L307">
            <v>1658.5727156</v>
          </cell>
          <cell r="M307">
            <v>317</v>
          </cell>
        </row>
        <row r="308">
          <cell r="E308" t="str">
            <v>TU-KVD-ST</v>
          </cell>
          <cell r="F308" t="str">
            <v>Y</v>
          </cell>
          <cell r="G308">
            <v>196.19259261100004</v>
          </cell>
          <cell r="H308">
            <v>132.01350671099999</v>
          </cell>
          <cell r="I308">
            <v>4.2380320000000005</v>
          </cell>
          <cell r="J308">
            <v>0</v>
          </cell>
          <cell r="K308">
            <v>200.43062461100004</v>
          </cell>
          <cell r="L308">
            <v>1429.1156484000001</v>
          </cell>
          <cell r="M308">
            <v>225</v>
          </cell>
        </row>
        <row r="309">
          <cell r="E309" t="str">
            <v>TU-LE</v>
          </cell>
          <cell r="F309" t="str">
            <v>Y</v>
          </cell>
          <cell r="G309">
            <v>850.96772971525002</v>
          </cell>
          <cell r="H309">
            <v>673.14387471525004</v>
          </cell>
          <cell r="I309">
            <v>10.853718000000001</v>
          </cell>
          <cell r="J309">
            <v>15.335670000000002</v>
          </cell>
          <cell r="K309">
            <v>877.15711771525002</v>
          </cell>
          <cell r="L309">
            <v>16103.083993481443</v>
          </cell>
          <cell r="M309">
            <v>1167</v>
          </cell>
        </row>
        <row r="310">
          <cell r="E310" t="str">
            <v>TU-MA-LA</v>
          </cell>
          <cell r="F310" t="str">
            <v>Y</v>
          </cell>
          <cell r="G310">
            <v>253.12407448400003</v>
          </cell>
          <cell r="H310">
            <v>184.71030698400003</v>
          </cell>
          <cell r="I310" t="e">
            <v>#VALUE!</v>
          </cell>
          <cell r="J310">
            <v>0</v>
          </cell>
          <cell r="K310" t="e">
            <v>#VALUE!</v>
          </cell>
          <cell r="L310">
            <v>5448</v>
          </cell>
          <cell r="M310">
            <v>312</v>
          </cell>
        </row>
        <row r="311">
          <cell r="E311" t="str">
            <v>TU-MA-ST</v>
          </cell>
          <cell r="F311" t="str">
            <v>Y</v>
          </cell>
          <cell r="G311">
            <v>207.18450000000001</v>
          </cell>
          <cell r="H311">
            <v>131.28450000000001</v>
          </cell>
          <cell r="I311">
            <v>4.1515699999999995</v>
          </cell>
          <cell r="J311">
            <v>0</v>
          </cell>
          <cell r="K311">
            <v>211.33607000000001</v>
          </cell>
          <cell r="L311">
            <v>4182</v>
          </cell>
          <cell r="M311">
            <v>232</v>
          </cell>
        </row>
        <row r="312">
          <cell r="E312" t="str">
            <v>TU-MLE</v>
          </cell>
          <cell r="F312" t="str">
            <v>Y</v>
          </cell>
          <cell r="G312">
            <v>430</v>
          </cell>
          <cell r="H312">
            <v>328</v>
          </cell>
          <cell r="I312">
            <v>0</v>
          </cell>
          <cell r="J312">
            <v>0</v>
          </cell>
          <cell r="K312">
            <v>430</v>
          </cell>
          <cell r="L312">
            <v>3700.9682400000006</v>
          </cell>
          <cell r="M312">
            <v>263</v>
          </cell>
        </row>
        <row r="313">
          <cell r="E313" t="str">
            <v>TU-MYN</v>
          </cell>
          <cell r="F313" t="str">
            <v>Y</v>
          </cell>
          <cell r="G313">
            <v>2748.9730097783131</v>
          </cell>
          <cell r="H313">
            <v>1985.1444699706203</v>
          </cell>
          <cell r="I313">
            <v>35.824283600000001</v>
          </cell>
          <cell r="J313">
            <v>0</v>
          </cell>
          <cell r="K313">
            <v>2784.797293378313</v>
          </cell>
          <cell r="L313">
            <v>43885.071975488005</v>
          </cell>
          <cell r="M313" t="e">
            <v>#N/A</v>
          </cell>
        </row>
        <row r="314">
          <cell r="E314" t="str">
            <v>TU-OL</v>
          </cell>
          <cell r="F314" t="str">
            <v>Y</v>
          </cell>
          <cell r="G314">
            <v>614.91672300998061</v>
          </cell>
          <cell r="H314">
            <v>487.06996224074987</v>
          </cell>
          <cell r="I314">
            <v>9.6958819999999992</v>
          </cell>
          <cell r="J314">
            <v>14.461457499999996</v>
          </cell>
          <cell r="K314">
            <v>639.07406250998065</v>
          </cell>
          <cell r="L314">
            <v>12126.538757706037</v>
          </cell>
          <cell r="M314">
            <v>709</v>
          </cell>
        </row>
        <row r="315">
          <cell r="E315" t="str">
            <v>TU-PMG-LA</v>
          </cell>
          <cell r="F315" t="str">
            <v>Y</v>
          </cell>
          <cell r="G315">
            <v>1063</v>
          </cell>
          <cell r="H315">
            <v>836.1243729311999</v>
          </cell>
          <cell r="I315">
            <v>21.588585600000002</v>
          </cell>
          <cell r="J315">
            <v>0</v>
          </cell>
          <cell r="K315">
            <v>1084.5885856</v>
          </cell>
          <cell r="L315">
            <v>19554.898739519995</v>
          </cell>
          <cell r="M315">
            <v>1350</v>
          </cell>
        </row>
        <row r="316">
          <cell r="E316" t="str">
            <v>TU-PMG-ST</v>
          </cell>
          <cell r="F316" t="str">
            <v>Y</v>
          </cell>
          <cell r="G316">
            <v>884.6611318254478</v>
          </cell>
          <cell r="H316">
            <v>683.68447174852486</v>
          </cell>
          <cell r="I316">
            <v>18.4774156</v>
          </cell>
          <cell r="J316">
            <v>0</v>
          </cell>
          <cell r="K316">
            <v>903.13854742544777</v>
          </cell>
          <cell r="L316">
            <v>15160.749681179999</v>
          </cell>
          <cell r="M316">
            <v>1081</v>
          </cell>
        </row>
        <row r="317">
          <cell r="E317" t="str">
            <v>TU-PM-LA</v>
          </cell>
          <cell r="F317" t="str">
            <v>Y</v>
          </cell>
          <cell r="G317">
            <v>832.23420698595385</v>
          </cell>
          <cell r="H317">
            <v>629.7501421398</v>
          </cell>
          <cell r="I317">
            <v>0</v>
          </cell>
          <cell r="J317">
            <v>0</v>
          </cell>
          <cell r="K317">
            <v>832.23420698595385</v>
          </cell>
          <cell r="L317">
            <v>15550.432856239999</v>
          </cell>
          <cell r="M317">
            <v>983</v>
          </cell>
        </row>
        <row r="318">
          <cell r="E318" t="str">
            <v>TU-PMP-L</v>
          </cell>
          <cell r="F318" t="str">
            <v>Y</v>
          </cell>
          <cell r="G318">
            <v>968.39141382477283</v>
          </cell>
          <cell r="H318">
            <v>771.95885074784974</v>
          </cell>
          <cell r="I318">
            <v>20.087403999999999</v>
          </cell>
          <cell r="J318">
            <v>0</v>
          </cell>
          <cell r="K318">
            <v>988.47881782477282</v>
          </cell>
          <cell r="L318">
            <v>18770.268022139997</v>
          </cell>
          <cell r="M318">
            <v>1258</v>
          </cell>
        </row>
        <row r="319">
          <cell r="E319" t="str">
            <v>TU-PMS-LA</v>
          </cell>
          <cell r="F319" t="str">
            <v>Y</v>
          </cell>
          <cell r="G319">
            <v>622.25894975176925</v>
          </cell>
          <cell r="H319">
            <v>423.93094727100004</v>
          </cell>
          <cell r="I319">
            <v>6.0739640000000001</v>
          </cell>
          <cell r="J319">
            <v>0</v>
          </cell>
          <cell r="K319">
            <v>628.3329137517693</v>
          </cell>
          <cell r="L319">
            <v>11078.0083724</v>
          </cell>
          <cell r="M319">
            <v>780</v>
          </cell>
        </row>
        <row r="320">
          <cell r="E320" t="str">
            <v>TU-PMS-ST</v>
          </cell>
          <cell r="F320" t="str">
            <v>Y</v>
          </cell>
          <cell r="G320">
            <v>491.12114402984605</v>
          </cell>
          <cell r="H320">
            <v>333.72960162599992</v>
          </cell>
          <cell r="I320">
            <v>5.5584559999999996</v>
          </cell>
          <cell r="J320">
            <v>0</v>
          </cell>
          <cell r="K320">
            <v>496.67960002984603</v>
          </cell>
          <cell r="L320">
            <v>8735.3525671999996</v>
          </cell>
          <cell r="M320">
            <v>622</v>
          </cell>
        </row>
        <row r="321">
          <cell r="E321" t="str">
            <v>TU-PM-ST</v>
          </cell>
          <cell r="F321" t="str">
            <v>Y</v>
          </cell>
          <cell r="G321">
            <v>647.48517946969218</v>
          </cell>
          <cell r="H321">
            <v>476.72204416199997</v>
          </cell>
          <cell r="I321">
            <v>0</v>
          </cell>
          <cell r="J321">
            <v>0</v>
          </cell>
          <cell r="K321">
            <v>647.48517946969218</v>
          </cell>
          <cell r="L321">
            <v>11839.2643032</v>
          </cell>
          <cell r="M321">
            <v>816</v>
          </cell>
        </row>
        <row r="322">
          <cell r="E322" t="str">
            <v>TU-PTL</v>
          </cell>
          <cell r="F322" t="str">
            <v>Y</v>
          </cell>
          <cell r="G322">
            <v>1094</v>
          </cell>
          <cell r="H322">
            <v>886</v>
          </cell>
          <cell r="I322" t="e">
            <v>#N/A</v>
          </cell>
          <cell r="J322">
            <v>0</v>
          </cell>
          <cell r="K322" t="e">
            <v>#N/A</v>
          </cell>
          <cell r="L322" t="e">
            <v>#N/A</v>
          </cell>
          <cell r="M322" t="e">
            <v>#N/A</v>
          </cell>
        </row>
        <row r="323">
          <cell r="E323" t="str">
            <v>TU-RE-LA</v>
          </cell>
          <cell r="F323" t="str">
            <v>Y</v>
          </cell>
          <cell r="G323">
            <v>696.98359837979217</v>
          </cell>
          <cell r="H323">
            <v>551.19031107210003</v>
          </cell>
          <cell r="I323">
            <v>9.7005808000000009</v>
          </cell>
          <cell r="J323">
            <v>14.693979999999998</v>
          </cell>
          <cell r="K323">
            <v>721.37815917979219</v>
          </cell>
          <cell r="L323">
            <v>14034.912323055623</v>
          </cell>
          <cell r="M323">
            <v>855</v>
          </cell>
        </row>
        <row r="324">
          <cell r="E324" t="str">
            <v>TU-RWT-LA</v>
          </cell>
          <cell r="F324" t="str">
            <v>Y</v>
          </cell>
          <cell r="G324">
            <v>3467.5215302984643</v>
          </cell>
          <cell r="H324">
            <v>2794.8020427023098</v>
          </cell>
          <cell r="I324">
            <v>37.416699440000002</v>
          </cell>
          <cell r="J324">
            <v>0</v>
          </cell>
          <cell r="K324">
            <v>3504.9382297384645</v>
          </cell>
          <cell r="L324">
            <v>66955.838600514719</v>
          </cell>
          <cell r="M324">
            <v>3865</v>
          </cell>
        </row>
        <row r="325">
          <cell r="E325" t="str">
            <v>TU-RWT-M</v>
          </cell>
          <cell r="F325" t="str">
            <v>Y</v>
          </cell>
          <cell r="G325">
            <v>2204.3826619818487</v>
          </cell>
          <cell r="H325">
            <v>1741.7525402510796</v>
          </cell>
          <cell r="I325">
            <v>31.379055600000001</v>
          </cell>
          <cell r="J325">
            <v>0</v>
          </cell>
          <cell r="K325">
            <v>2235.7617175818486</v>
          </cell>
          <cell r="L325">
            <v>41292.035197599987</v>
          </cell>
          <cell r="M325">
            <v>2462</v>
          </cell>
        </row>
        <row r="326">
          <cell r="E326" t="str">
            <v>TU-RYE-LA</v>
          </cell>
          <cell r="F326" t="str">
            <v>Y</v>
          </cell>
          <cell r="G326">
            <v>1345.3211976999999</v>
          </cell>
          <cell r="H326">
            <v>1184.5801377</v>
          </cell>
          <cell r="I326">
            <v>21.701689999999999</v>
          </cell>
          <cell r="J326">
            <v>0</v>
          </cell>
          <cell r="K326">
            <v>1367.0228877</v>
          </cell>
          <cell r="L326">
            <v>29392.67108</v>
          </cell>
          <cell r="M326">
            <v>1572</v>
          </cell>
        </row>
        <row r="327">
          <cell r="E327" t="str">
            <v>TU-RYE-ST</v>
          </cell>
          <cell r="F327" t="str">
            <v>Y</v>
          </cell>
          <cell r="G327">
            <v>991.70649055499996</v>
          </cell>
          <cell r="H327">
            <v>858.93836845500016</v>
          </cell>
          <cell r="I327">
            <v>19.190449999999998</v>
          </cell>
          <cell r="J327">
            <v>0</v>
          </cell>
          <cell r="K327">
            <v>1010.8969405549999</v>
          </cell>
          <cell r="L327">
            <v>21543.485940000006</v>
          </cell>
          <cell r="M327">
            <v>1151</v>
          </cell>
        </row>
        <row r="328">
          <cell r="E328" t="str">
            <v>TU-SKD</v>
          </cell>
          <cell r="F328" t="str">
            <v>Y</v>
          </cell>
          <cell r="G328">
            <v>1480.4888387115689</v>
          </cell>
          <cell r="H328">
            <v>1174.7594789807999</v>
          </cell>
          <cell r="I328">
            <v>19.268085600000003</v>
          </cell>
          <cell r="J328">
            <v>0</v>
          </cell>
          <cell r="K328">
            <v>1499.7569243115688</v>
          </cell>
          <cell r="L328">
            <v>26928.730719120009</v>
          </cell>
          <cell r="M328">
            <v>1698</v>
          </cell>
        </row>
        <row r="329">
          <cell r="E329" t="str">
            <v>TU-SNQ-LA</v>
          </cell>
          <cell r="F329" t="str">
            <v>Y</v>
          </cell>
          <cell r="G329">
            <v>755.78590725638469</v>
          </cell>
          <cell r="H329">
            <v>571.20910739100009</v>
          </cell>
          <cell r="I329">
            <v>10.216456000000001</v>
          </cell>
          <cell r="J329">
            <v>0</v>
          </cell>
          <cell r="K329">
            <v>766.00236325638468</v>
          </cell>
          <cell r="L329">
            <v>13723.544336400004</v>
          </cell>
          <cell r="M329" t="e">
            <v>#N/A</v>
          </cell>
        </row>
        <row r="330">
          <cell r="E330" t="str">
            <v>TU-TK-LA</v>
          </cell>
          <cell r="F330" t="str">
            <v>Y</v>
          </cell>
          <cell r="G330">
            <v>451.52033703000001</v>
          </cell>
          <cell r="H330">
            <v>332.37378903000007</v>
          </cell>
          <cell r="I330">
            <v>14.54928</v>
          </cell>
          <cell r="J330">
            <v>0</v>
          </cell>
          <cell r="K330">
            <v>466.06961703000002</v>
          </cell>
          <cell r="L330">
            <v>8247.8435119999995</v>
          </cell>
          <cell r="M330">
            <v>536</v>
          </cell>
        </row>
        <row r="331">
          <cell r="E331" t="str">
            <v>TU-TK-ST</v>
          </cell>
          <cell r="F331" t="str">
            <v>Y</v>
          </cell>
          <cell r="G331">
            <v>368.59952135999987</v>
          </cell>
          <cell r="H331">
            <v>268.13237060999995</v>
          </cell>
          <cell r="I331">
            <v>13.80264</v>
          </cell>
          <cell r="J331">
            <v>0</v>
          </cell>
          <cell r="K331">
            <v>382.40216135999987</v>
          </cell>
          <cell r="L331">
            <v>5853.3314039999996</v>
          </cell>
          <cell r="M331">
            <v>438</v>
          </cell>
        </row>
        <row r="332">
          <cell r="E332" t="str">
            <v>TU-VCO</v>
          </cell>
          <cell r="F332" t="str">
            <v>Y</v>
          </cell>
          <cell r="G332">
            <v>950</v>
          </cell>
          <cell r="H332" t="e">
            <v>#N/A</v>
          </cell>
          <cell r="I332" t="e">
            <v>#N/A</v>
          </cell>
          <cell r="J332">
            <v>17.814107499999999</v>
          </cell>
          <cell r="K332" t="e">
            <v>#N/A</v>
          </cell>
          <cell r="L332" t="e">
            <v>#N/A</v>
          </cell>
          <cell r="M332" t="e">
            <v>#N/A</v>
          </cell>
        </row>
        <row r="333">
          <cell r="E333" t="str">
            <v>TU-VC</v>
          </cell>
          <cell r="F333" t="str">
            <v>Y</v>
          </cell>
          <cell r="G333">
            <v>751</v>
          </cell>
          <cell r="H333">
            <v>748.26142611224998</v>
          </cell>
          <cell r="I333"/>
          <cell r="J333"/>
          <cell r="K333"/>
          <cell r="L333"/>
          <cell r="M333"/>
        </row>
        <row r="334">
          <cell r="E334" t="str">
            <v>TU-WBM</v>
          </cell>
          <cell r="F334" t="str">
            <v>Y</v>
          </cell>
          <cell r="G334">
            <v>1717.784566453671</v>
          </cell>
          <cell r="H334">
            <v>1393.8970704998251</v>
          </cell>
          <cell r="I334">
            <v>21.226699799999999</v>
          </cell>
          <cell r="J334">
            <v>0</v>
          </cell>
          <cell r="K334">
            <v>1739.011266253671</v>
          </cell>
          <cell r="L334">
            <v>29223.856316510002</v>
          </cell>
          <cell r="M334" t="e">
            <v>#N/A</v>
          </cell>
        </row>
        <row r="335">
          <cell r="E335" t="str">
            <v>TU-WBM-ST</v>
          </cell>
          <cell r="F335" t="str">
            <v>Y</v>
          </cell>
          <cell r="G335">
            <v>1372</v>
          </cell>
          <cell r="H335">
            <v>1104</v>
          </cell>
          <cell r="I335" t="e">
            <v>#N/A</v>
          </cell>
          <cell r="J335">
            <v>18.177250000000001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E336" t="str">
            <v>W-AND-10N</v>
          </cell>
          <cell r="F336" t="str">
            <v>Y</v>
          </cell>
          <cell r="G336">
            <v>2325.1330424089338</v>
          </cell>
          <cell r="H336">
            <v>1902.4333428236498</v>
          </cell>
          <cell r="I336">
            <v>19.308872000000001</v>
          </cell>
          <cell r="J336">
            <v>0</v>
          </cell>
          <cell r="K336">
            <v>2344.4419144089338</v>
          </cell>
          <cell r="L336">
            <v>41683</v>
          </cell>
          <cell r="M336">
            <v>2640</v>
          </cell>
        </row>
        <row r="337">
          <cell r="E337" t="str">
            <v>W-AND-12N</v>
          </cell>
          <cell r="F337" t="str">
            <v>Y</v>
          </cell>
          <cell r="G337">
            <v>2799.914099489999</v>
          </cell>
          <cell r="H337">
            <v>2141.6978124999996</v>
          </cell>
          <cell r="I337">
            <v>28.009675999999999</v>
          </cell>
          <cell r="J337">
            <v>0</v>
          </cell>
          <cell r="K337">
            <v>2827.9237754899991</v>
          </cell>
          <cell r="L337">
            <v>45976</v>
          </cell>
          <cell r="M337">
            <v>3215</v>
          </cell>
        </row>
        <row r="338">
          <cell r="E338" t="str">
            <v>W-AND-2M</v>
          </cell>
          <cell r="F338" t="str">
            <v>Y</v>
          </cell>
          <cell r="G338">
            <v>4753.1964908714108</v>
          </cell>
          <cell r="H338">
            <v>3266.3412192875617</v>
          </cell>
          <cell r="I338">
            <v>38.219780800000002</v>
          </cell>
          <cell r="J338">
            <v>0</v>
          </cell>
          <cell r="K338">
            <v>4791.4162716714109</v>
          </cell>
          <cell r="L338">
            <v>77355.107445756046</v>
          </cell>
          <cell r="M338" t="e">
            <v>#N/A</v>
          </cell>
        </row>
        <row r="339">
          <cell r="E339" t="str">
            <v>W-AND-2N</v>
          </cell>
          <cell r="F339" t="str">
            <v>Y</v>
          </cell>
          <cell r="G339">
            <v>4318.8598398040585</v>
          </cell>
          <cell r="H339">
            <v>3223.4040246502118</v>
          </cell>
          <cell r="I339">
            <v>38.950678800000006</v>
          </cell>
          <cell r="J339">
            <v>0</v>
          </cell>
          <cell r="K339">
            <v>4357.8105186040584</v>
          </cell>
          <cell r="L339">
            <v>74375.364986956032</v>
          </cell>
          <cell r="M339" t="e">
            <v>#N/A</v>
          </cell>
        </row>
        <row r="340">
          <cell r="E340" t="str">
            <v>W-AND-3M</v>
          </cell>
          <cell r="F340" t="str">
            <v>Y</v>
          </cell>
          <cell r="G340">
            <v>6148.8987100003033</v>
          </cell>
          <cell r="H340">
            <v>4312.1705654233783</v>
          </cell>
          <cell r="I340">
            <v>51.411467999999999</v>
          </cell>
          <cell r="J340">
            <v>0</v>
          </cell>
          <cell r="K340">
            <v>6200.3101780003035</v>
          </cell>
          <cell r="L340">
            <v>100722.88016723203</v>
          </cell>
          <cell r="M340" t="e">
            <v>#N/A</v>
          </cell>
        </row>
        <row r="341">
          <cell r="E341" t="str">
            <v>W-AND-3N</v>
          </cell>
          <cell r="F341" t="str">
            <v>Y</v>
          </cell>
          <cell r="G341">
            <v>5841.7099974903022</v>
          </cell>
          <cell r="H341">
            <v>4335.5032576633776</v>
          </cell>
          <cell r="I341">
            <v>51.411467999999999</v>
          </cell>
          <cell r="J341">
            <v>0</v>
          </cell>
          <cell r="K341">
            <v>5893.1214654903024</v>
          </cell>
          <cell r="L341">
            <v>97826.793607232015</v>
          </cell>
          <cell r="M341" t="e">
            <v>#N/A</v>
          </cell>
        </row>
        <row r="342">
          <cell r="E342" t="str">
            <v>W-AND-4M</v>
          </cell>
          <cell r="F342" t="str">
            <v>Y</v>
          </cell>
          <cell r="G342">
            <v>8301.1772925933165</v>
          </cell>
          <cell r="H342">
            <v>5900.9100291050672</v>
          </cell>
          <cell r="I342">
            <v>72.266897999999998</v>
          </cell>
          <cell r="J342">
            <v>0</v>
          </cell>
          <cell r="K342">
            <v>8373.4441905933163</v>
          </cell>
          <cell r="L342">
            <v>134012.77975610146</v>
          </cell>
          <cell r="M342" t="e">
            <v>#N/A</v>
          </cell>
        </row>
        <row r="343">
          <cell r="E343" t="str">
            <v>W-AND-4N</v>
          </cell>
          <cell r="F343" t="str">
            <v>Y</v>
          </cell>
          <cell r="G343">
            <v>7971.0106994306898</v>
          </cell>
          <cell r="H343">
            <v>5900.9100291050672</v>
          </cell>
          <cell r="I343">
            <v>72.266897999999998</v>
          </cell>
          <cell r="J343">
            <v>0</v>
          </cell>
          <cell r="K343">
            <v>8043.2775974306896</v>
          </cell>
          <cell r="L343">
            <v>131155.04334207645</v>
          </cell>
          <cell r="M343" t="e">
            <v>#N/A</v>
          </cell>
        </row>
        <row r="344">
          <cell r="E344" t="str">
            <v>WA-PYS-N</v>
          </cell>
          <cell r="F344" t="str">
            <v>Y</v>
          </cell>
          <cell r="G344">
            <v>158</v>
          </cell>
          <cell r="H344">
            <v>28.613984255999998</v>
          </cell>
        </row>
        <row r="345">
          <cell r="E345" t="str">
            <v>WA-PYS-S</v>
          </cell>
          <cell r="F345" t="str">
            <v>Y</v>
          </cell>
          <cell r="G345">
            <v>194</v>
          </cell>
          <cell r="H345">
            <v>32.065887743999994</v>
          </cell>
        </row>
        <row r="346">
          <cell r="E346" t="str">
            <v>W-BNO</v>
          </cell>
          <cell r="F346" t="str">
            <v>Y</v>
          </cell>
          <cell r="G346">
            <v>2008</v>
          </cell>
          <cell r="H346"/>
        </row>
        <row r="347">
          <cell r="E347" t="str">
            <v>W-CLO-3</v>
          </cell>
          <cell r="F347" t="str">
            <v>Y</v>
          </cell>
          <cell r="G347">
            <v>1041</v>
          </cell>
          <cell r="H347"/>
        </row>
        <row r="348">
          <cell r="E348" t="str">
            <v>W-CLO-345</v>
          </cell>
          <cell r="F348" t="str">
            <v>Y</v>
          </cell>
          <cell r="G348">
            <v>4084</v>
          </cell>
          <cell r="H348"/>
        </row>
        <row r="349">
          <cell r="E349" t="str">
            <v>W-CLO-4</v>
          </cell>
          <cell r="F349" t="str">
            <v>Y</v>
          </cell>
          <cell r="G349">
            <v>1389</v>
          </cell>
          <cell r="H349"/>
        </row>
        <row r="350">
          <cell r="E350" t="str">
            <v>W-CLO-5</v>
          </cell>
          <cell r="F350" t="str">
            <v>Y</v>
          </cell>
          <cell r="G350">
            <v>1654</v>
          </cell>
          <cell r="H350"/>
        </row>
        <row r="351">
          <cell r="E351" t="str">
            <v>W-MLT-2N</v>
          </cell>
          <cell r="F351" t="str">
            <v>Y</v>
          </cell>
          <cell r="G351">
            <v>2718</v>
          </cell>
          <cell r="H351">
            <v>2270.32889022057</v>
          </cell>
          <cell r="I351">
            <v>22.246261199999999</v>
          </cell>
          <cell r="J351">
            <v>0</v>
          </cell>
          <cell r="K351">
            <v>2740.2462611999999</v>
          </cell>
          <cell r="L351">
            <v>51685.688050727993</v>
          </cell>
          <cell r="M351">
            <v>3438</v>
          </cell>
        </row>
        <row r="352">
          <cell r="E352" t="str">
            <v>W-MLT-3N</v>
          </cell>
          <cell r="F352" t="str">
            <v>Y</v>
          </cell>
          <cell r="G352">
            <v>3766</v>
          </cell>
          <cell r="H352">
            <v>3262.3597800215703</v>
          </cell>
          <cell r="I352">
            <v>35.190390999999998</v>
          </cell>
          <cell r="J352">
            <v>0</v>
          </cell>
          <cell r="K352">
            <v>3801.1903910000001</v>
          </cell>
          <cell r="L352">
            <v>72445.742531127966</v>
          </cell>
          <cell r="M352">
            <v>4895</v>
          </cell>
        </row>
        <row r="353">
          <cell r="E353" t="str">
            <v>W-MLT-4N</v>
          </cell>
          <cell r="F353" t="str">
            <v>Y</v>
          </cell>
          <cell r="G353">
            <v>5757</v>
          </cell>
          <cell r="H353">
            <v>4622.9816693850871</v>
          </cell>
          <cell r="I353">
            <v>55.784753360000003</v>
          </cell>
          <cell r="J353">
            <v>0</v>
          </cell>
          <cell r="K353">
            <v>5812.7847533599997</v>
          </cell>
          <cell r="L353">
            <v>100594.17783481549</v>
          </cell>
          <cell r="M353">
            <v>7109</v>
          </cell>
        </row>
        <row r="354">
          <cell r="E354" t="str">
            <v>W-MLT-M</v>
          </cell>
          <cell r="F354" t="str">
            <v>Y</v>
          </cell>
          <cell r="G354">
            <v>2494</v>
          </cell>
          <cell r="H354"/>
        </row>
        <row r="355">
          <cell r="E355" t="str">
            <v>B-MLT-D30T</v>
          </cell>
          <cell r="F355" t="str">
            <v>Y</v>
          </cell>
          <cell r="G355">
            <v>2344</v>
          </cell>
          <cell r="H355"/>
        </row>
        <row r="356">
          <cell r="E356" t="str">
            <v>PU-SNM</v>
          </cell>
          <cell r="F356" t="str">
            <v>Y</v>
          </cell>
          <cell r="G356">
            <v>2567</v>
          </cell>
          <cell r="H356"/>
        </row>
        <row r="357">
          <cell r="E357" t="str">
            <v>SB-BNA</v>
          </cell>
          <cell r="F357" t="str">
            <v>Y</v>
          </cell>
          <cell r="G357">
            <v>840</v>
          </cell>
          <cell r="H357"/>
        </row>
        <row r="358">
          <cell r="E358" t="str">
            <v>SF-WBR-4LI</v>
          </cell>
          <cell r="F358" t="str">
            <v>Y</v>
          </cell>
          <cell r="G358" t="e">
            <v>#N/A</v>
          </cell>
          <cell r="H358"/>
        </row>
        <row r="359">
          <cell r="E359" t="str">
            <v>SR-FYN</v>
          </cell>
          <cell r="F359" t="str">
            <v>Y</v>
          </cell>
          <cell r="G359">
            <v>2193</v>
          </cell>
          <cell r="H359"/>
        </row>
        <row r="360">
          <cell r="E360" t="str">
            <v>TU-SKDL</v>
          </cell>
          <cell r="F360" t="str">
            <v>Y</v>
          </cell>
          <cell r="G360">
            <v>1172</v>
          </cell>
          <cell r="H360"/>
        </row>
        <row r="361">
          <cell r="E361" t="str">
            <v>SB-VNO</v>
          </cell>
          <cell r="F361" t="str">
            <v>Y</v>
          </cell>
          <cell r="G361">
            <v>942</v>
          </cell>
          <cell r="H361"/>
        </row>
        <row r="362">
          <cell r="E362" t="str">
            <v>SH-GTA</v>
          </cell>
          <cell r="F362" t="str">
            <v>Y</v>
          </cell>
          <cell r="G362">
            <v>281</v>
          </cell>
          <cell r="H362"/>
        </row>
        <row r="363">
          <cell r="E363" t="str">
            <v>SR-WMO</v>
          </cell>
          <cell r="F363" t="str">
            <v>Y</v>
          </cell>
          <cell r="G363">
            <v>1894</v>
          </cell>
        </row>
        <row r="364">
          <cell r="E364" t="str">
            <v>PU-SUB</v>
          </cell>
          <cell r="F364" t="str">
            <v>Y</v>
          </cell>
          <cell r="G364">
            <v>1440</v>
          </cell>
        </row>
        <row r="365">
          <cell r="E365" t="str">
            <v>PU-SUB-ST</v>
          </cell>
          <cell r="F365" t="str">
            <v>Y</v>
          </cell>
          <cell r="G365">
            <v>757</v>
          </cell>
        </row>
        <row r="366">
          <cell r="E366" t="str">
            <v>PU-DRV</v>
          </cell>
          <cell r="F366" t="str">
            <v>Y</v>
          </cell>
          <cell r="G366">
            <v>285</v>
          </cell>
        </row>
        <row r="367">
          <cell r="E367" t="str">
            <v>ST-RDO-ST</v>
          </cell>
          <cell r="F367" t="str">
            <v>Y</v>
          </cell>
          <cell r="G367">
            <v>716</v>
          </cell>
        </row>
        <row r="368">
          <cell r="E368" t="str">
            <v>SH-DVN-ST</v>
          </cell>
          <cell r="F368" t="str">
            <v>Y</v>
          </cell>
          <cell r="G368">
            <v>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 Dimensions"/>
    </sheetNames>
    <sheetDataSet>
      <sheetData sheetId="0">
        <row r="1">
          <cell r="A1" t="str">
            <v>MANUAL ENTRIES HERE</v>
          </cell>
          <cell r="C1" t="str">
            <v>Box 1 Dimension Details</v>
          </cell>
          <cell r="G1" t="str">
            <v>Box 2 Dimension Details</v>
          </cell>
          <cell r="K1" t="str">
            <v>Box 3 Dimension Details</v>
          </cell>
          <cell r="P1" t="str">
            <v>Vol.Wht</v>
          </cell>
          <cell r="Q1" t="str">
            <v>Total Weight</v>
          </cell>
        </row>
        <row r="2">
          <cell r="C2" t="str">
            <v>Long</v>
          </cell>
          <cell r="D2" t="str">
            <v>Med</v>
          </cell>
          <cell r="E2" t="str">
            <v>Smal</v>
          </cell>
          <cell r="F2" t="str">
            <v>Actual.Wht</v>
          </cell>
          <cell r="G2" t="str">
            <v>Long</v>
          </cell>
          <cell r="H2" t="str">
            <v>Med</v>
          </cell>
          <cell r="I2" t="str">
            <v>Smal</v>
          </cell>
          <cell r="J2" t="str">
            <v>Actual.Wht</v>
          </cell>
          <cell r="K2" t="str">
            <v>Long</v>
          </cell>
          <cell r="L2" t="str">
            <v>Med</v>
          </cell>
          <cell r="M2" t="str">
            <v>Smal</v>
          </cell>
          <cell r="N2" t="str">
            <v>Actual.Wht</v>
          </cell>
          <cell r="O2" t="str">
            <v>CBF</v>
          </cell>
          <cell r="P2">
            <v>6</v>
          </cell>
          <cell r="Q2" t="str">
            <v>Phys.Wht</v>
          </cell>
        </row>
        <row r="3">
          <cell r="A3" t="str">
            <v>MTP SKU Code</v>
          </cell>
          <cell r="B3" t="str">
            <v>SB/MB</v>
          </cell>
          <cell r="C3" t="str">
            <v>Lcm</v>
          </cell>
          <cell r="D3" t="str">
            <v>Bcm</v>
          </cell>
          <cell r="E3" t="str">
            <v>Hcm</v>
          </cell>
          <cell r="F3" t="str">
            <v>PW(gm)</v>
          </cell>
          <cell r="G3" t="str">
            <v>Lcm2</v>
          </cell>
          <cell r="H3" t="str">
            <v>Bcm3</v>
          </cell>
          <cell r="I3" t="str">
            <v>Hcm4</v>
          </cell>
          <cell r="J3" t="str">
            <v>PW(gm)5</v>
          </cell>
          <cell r="K3" t="str">
            <v>Lcm6</v>
          </cell>
          <cell r="L3" t="str">
            <v>Bcm7</v>
          </cell>
          <cell r="M3" t="str">
            <v>Hcm8</v>
          </cell>
          <cell r="N3" t="str">
            <v>PW(gm)9</v>
          </cell>
          <cell r="O3" t="str">
            <v>Column15</v>
          </cell>
          <cell r="P3" t="str">
            <v>Kgs</v>
          </cell>
          <cell r="Q3" t="str">
            <v>Gms</v>
          </cell>
        </row>
        <row r="4">
          <cell r="A4" t="str">
            <v>B-MLT-KT</v>
          </cell>
          <cell r="B4" t="str">
            <v>MB</v>
          </cell>
          <cell r="C4">
            <v>204</v>
          </cell>
          <cell r="D4">
            <v>39</v>
          </cell>
          <cell r="E4">
            <v>6</v>
          </cell>
          <cell r="F4">
            <v>26800</v>
          </cell>
          <cell r="G4">
            <v>190</v>
          </cell>
          <cell r="H4">
            <v>80</v>
          </cell>
          <cell r="I4">
            <v>6</v>
          </cell>
          <cell r="J4">
            <v>32100</v>
          </cell>
          <cell r="K4">
            <v>107</v>
          </cell>
          <cell r="L4">
            <v>96</v>
          </cell>
          <cell r="M4">
            <v>7</v>
          </cell>
          <cell r="N4">
            <v>40400</v>
          </cell>
          <cell r="O4">
            <v>7.4468687999999998</v>
          </cell>
          <cell r="P4">
            <v>99300</v>
          </cell>
          <cell r="Q4">
            <v>99300</v>
          </cell>
        </row>
        <row r="5">
          <cell r="A5" t="str">
            <v>B-MLT-QT</v>
          </cell>
          <cell r="B5" t="str">
            <v>MB</v>
          </cell>
          <cell r="C5">
            <v>204</v>
          </cell>
          <cell r="D5">
            <v>39</v>
          </cell>
          <cell r="E5">
            <v>7</v>
          </cell>
          <cell r="F5">
            <v>25770</v>
          </cell>
          <cell r="G5">
            <v>162</v>
          </cell>
          <cell r="H5">
            <v>81</v>
          </cell>
          <cell r="I5">
            <v>5</v>
          </cell>
          <cell r="J5">
            <v>28000</v>
          </cell>
          <cell r="K5">
            <v>104</v>
          </cell>
          <cell r="L5">
            <v>80</v>
          </cell>
          <cell r="M5">
            <v>7</v>
          </cell>
          <cell r="N5">
            <v>35000</v>
          </cell>
          <cell r="O5">
            <v>6.3414234400000007</v>
          </cell>
          <cell r="P5">
            <v>88770</v>
          </cell>
          <cell r="Q5">
            <v>88770</v>
          </cell>
        </row>
        <row r="6">
          <cell r="A6" t="str">
            <v>B-POL-KN</v>
          </cell>
          <cell r="B6" t="str">
            <v>MB</v>
          </cell>
          <cell r="C6">
            <v>205</v>
          </cell>
          <cell r="D6">
            <v>54</v>
          </cell>
          <cell r="E6">
            <v>10</v>
          </cell>
          <cell r="F6">
            <v>35000</v>
          </cell>
          <cell r="G6">
            <v>105</v>
          </cell>
          <cell r="H6">
            <v>94</v>
          </cell>
          <cell r="I6">
            <v>5</v>
          </cell>
          <cell r="J6">
            <v>35000</v>
          </cell>
          <cell r="O6">
            <v>5.6529660000000002</v>
          </cell>
          <cell r="P6">
            <v>70000</v>
          </cell>
          <cell r="Q6">
            <v>70000</v>
          </cell>
        </row>
        <row r="7">
          <cell r="A7" t="str">
            <v>B-POL-KT</v>
          </cell>
          <cell r="B7" t="str">
            <v>MB</v>
          </cell>
          <cell r="C7">
            <v>207</v>
          </cell>
          <cell r="D7">
            <v>38</v>
          </cell>
          <cell r="E7">
            <v>8</v>
          </cell>
          <cell r="F7">
            <v>34800</v>
          </cell>
          <cell r="G7">
            <v>192</v>
          </cell>
          <cell r="H7">
            <v>40</v>
          </cell>
          <cell r="I7">
            <v>6</v>
          </cell>
          <cell r="J7">
            <v>22700</v>
          </cell>
          <cell r="K7">
            <v>105</v>
          </cell>
          <cell r="L7">
            <v>96</v>
          </cell>
          <cell r="M7">
            <v>7</v>
          </cell>
          <cell r="N7">
            <v>38800</v>
          </cell>
          <cell r="O7">
            <v>6.3423417600000001</v>
          </cell>
          <cell r="P7">
            <v>96300</v>
          </cell>
          <cell r="Q7">
            <v>96300</v>
          </cell>
        </row>
        <row r="8">
          <cell r="A8" t="str">
            <v>B-POL-QN</v>
          </cell>
          <cell r="B8" t="str">
            <v>MB</v>
          </cell>
          <cell r="C8">
            <v>206</v>
          </cell>
          <cell r="D8">
            <v>50</v>
          </cell>
          <cell r="E8">
            <v>10</v>
          </cell>
          <cell r="F8">
            <v>46000</v>
          </cell>
          <cell r="G8">
            <v>102</v>
          </cell>
          <cell r="H8">
            <v>79</v>
          </cell>
          <cell r="I8">
            <v>5</v>
          </cell>
          <cell r="J8">
            <v>24000</v>
          </cell>
          <cell r="O8">
            <v>5.0610027999999998</v>
          </cell>
          <cell r="P8">
            <v>70000</v>
          </cell>
          <cell r="Q8">
            <v>70000</v>
          </cell>
        </row>
        <row r="9">
          <cell r="A9" t="str">
            <v>B-POL-QT</v>
          </cell>
          <cell r="B9" t="str">
            <v>MB</v>
          </cell>
          <cell r="C9">
            <v>202</v>
          </cell>
          <cell r="D9">
            <v>40</v>
          </cell>
          <cell r="E9">
            <v>9</v>
          </cell>
          <cell r="F9">
            <v>34290</v>
          </cell>
          <cell r="G9">
            <v>162</v>
          </cell>
          <cell r="H9">
            <v>40</v>
          </cell>
          <cell r="I9">
            <v>6</v>
          </cell>
          <cell r="J9">
            <v>18850</v>
          </cell>
          <cell r="K9">
            <v>104</v>
          </cell>
          <cell r="L9">
            <v>82</v>
          </cell>
          <cell r="M9">
            <v>7</v>
          </cell>
          <cell r="N9">
            <v>37400</v>
          </cell>
          <cell r="O9">
            <v>6.0501747200000002</v>
          </cell>
          <cell r="P9">
            <v>90540</v>
          </cell>
          <cell r="Q9">
            <v>90540</v>
          </cell>
        </row>
        <row r="10">
          <cell r="A10" t="str">
            <v>B-POL-SN</v>
          </cell>
          <cell r="B10" t="str">
            <v>MB</v>
          </cell>
          <cell r="C10">
            <v>204</v>
          </cell>
          <cell r="D10">
            <v>48</v>
          </cell>
          <cell r="E10">
            <v>6</v>
          </cell>
          <cell r="F10">
            <v>31000</v>
          </cell>
          <cell r="G10">
            <v>106</v>
          </cell>
          <cell r="H10">
            <v>96</v>
          </cell>
          <cell r="I10">
            <v>3</v>
          </cell>
          <cell r="J10">
            <v>15100</v>
          </cell>
          <cell r="O10">
            <v>3.1533696</v>
          </cell>
          <cell r="P10">
            <v>46100</v>
          </cell>
          <cell r="Q10">
            <v>46100</v>
          </cell>
        </row>
        <row r="11">
          <cell r="A11" t="str">
            <v>B-RVB-D30N</v>
          </cell>
          <cell r="B11" t="str">
            <v> </v>
          </cell>
          <cell r="O11">
            <v>0</v>
          </cell>
          <cell r="P11">
            <v>0</v>
          </cell>
          <cell r="Q11">
            <v>0</v>
          </cell>
        </row>
        <row r="12">
          <cell r="A12" t="str">
            <v>B-RVB-D36N</v>
          </cell>
          <cell r="B12" t="str">
            <v>SB</v>
          </cell>
          <cell r="C12">
            <v>188</v>
          </cell>
          <cell r="D12">
            <v>44</v>
          </cell>
          <cell r="E12">
            <v>9</v>
          </cell>
          <cell r="F12">
            <v>33270</v>
          </cell>
          <cell r="O12">
            <v>2.6295033600000002</v>
          </cell>
          <cell r="P12">
            <v>33270</v>
          </cell>
          <cell r="Q12">
            <v>33270</v>
          </cell>
        </row>
        <row r="13">
          <cell r="A13" t="str">
            <v>B-RVB-KN</v>
          </cell>
          <cell r="B13" t="str">
            <v>MB</v>
          </cell>
          <cell r="C13">
            <v>206</v>
          </cell>
          <cell r="D13">
            <v>50</v>
          </cell>
          <cell r="E13">
            <v>8</v>
          </cell>
          <cell r="F13">
            <v>45600</v>
          </cell>
          <cell r="G13">
            <v>105</v>
          </cell>
          <cell r="H13">
            <v>96</v>
          </cell>
          <cell r="I13">
            <v>5</v>
          </cell>
          <cell r="J13">
            <v>27600</v>
          </cell>
          <cell r="O13">
            <v>4.6904960000000004</v>
          </cell>
          <cell r="P13">
            <v>73200</v>
          </cell>
          <cell r="Q13">
            <v>73200</v>
          </cell>
        </row>
        <row r="14">
          <cell r="A14" t="str">
            <v>B-RVB-QN</v>
          </cell>
          <cell r="B14" t="str">
            <v>MB</v>
          </cell>
          <cell r="C14">
            <v>205</v>
          </cell>
          <cell r="D14">
            <v>50</v>
          </cell>
          <cell r="E14">
            <v>8</v>
          </cell>
          <cell r="F14">
            <v>41950</v>
          </cell>
          <cell r="G14">
            <v>104</v>
          </cell>
          <cell r="H14">
            <v>84</v>
          </cell>
          <cell r="I14">
            <v>5</v>
          </cell>
          <cell r="J14">
            <v>23100</v>
          </cell>
          <cell r="O14">
            <v>4.4390175999999997</v>
          </cell>
          <cell r="P14">
            <v>65050</v>
          </cell>
          <cell r="Q14">
            <v>65050</v>
          </cell>
        </row>
        <row r="15">
          <cell r="A15" t="str">
            <v>B-RVB-SN</v>
          </cell>
          <cell r="B15" t="str">
            <v>MB</v>
          </cell>
          <cell r="C15">
            <v>199</v>
          </cell>
          <cell r="D15">
            <v>38</v>
          </cell>
          <cell r="E15">
            <v>9</v>
          </cell>
          <cell r="F15">
            <v>30460</v>
          </cell>
          <cell r="G15">
            <v>99</v>
          </cell>
          <cell r="H15">
            <v>54</v>
          </cell>
          <cell r="I15">
            <v>5</v>
          </cell>
          <cell r="J15">
            <v>16000</v>
          </cell>
          <cell r="O15">
            <v>3.3479121599999999</v>
          </cell>
          <cell r="P15">
            <v>46460</v>
          </cell>
          <cell r="Q15">
            <v>46460</v>
          </cell>
        </row>
        <row r="16">
          <cell r="A16" t="str">
            <v>BT-CO</v>
          </cell>
          <cell r="B16" t="str">
            <v>SB</v>
          </cell>
          <cell r="C16">
            <v>72</v>
          </cell>
          <cell r="D16">
            <v>39</v>
          </cell>
          <cell r="E16">
            <v>5</v>
          </cell>
          <cell r="F16">
            <v>6470</v>
          </cell>
          <cell r="O16">
            <v>0.49589280000000002</v>
          </cell>
          <cell r="P16">
            <v>6470</v>
          </cell>
          <cell r="Q16">
            <v>6470</v>
          </cell>
        </row>
        <row r="17">
          <cell r="A17" t="str">
            <v>BT-HE</v>
          </cell>
          <cell r="B17" t="str">
            <v>SB</v>
          </cell>
          <cell r="C17">
            <v>42</v>
          </cell>
          <cell r="D17">
            <v>41</v>
          </cell>
          <cell r="E17">
            <v>6</v>
          </cell>
          <cell r="F17">
            <v>4300</v>
          </cell>
          <cell r="O17">
            <v>0.36492623999999996</v>
          </cell>
          <cell r="P17">
            <v>4300</v>
          </cell>
          <cell r="Q17">
            <v>4300</v>
          </cell>
        </row>
        <row r="18">
          <cell r="A18" t="str">
            <v>BT-LE-B</v>
          </cell>
          <cell r="B18" t="str">
            <v>`</v>
          </cell>
          <cell r="C18">
            <v>64</v>
          </cell>
          <cell r="D18">
            <v>58</v>
          </cell>
          <cell r="E18">
            <v>12</v>
          </cell>
          <cell r="F18">
            <v>15000</v>
          </cell>
          <cell r="O18">
            <v>1.5732940799999999</v>
          </cell>
          <cell r="P18">
            <v>15000</v>
          </cell>
          <cell r="Q18">
            <v>15000</v>
          </cell>
        </row>
        <row r="19">
          <cell r="A19" t="str">
            <v>BT-LE-S</v>
          </cell>
          <cell r="B19" t="str">
            <v> </v>
          </cell>
          <cell r="O19">
            <v>0</v>
          </cell>
          <cell r="P19">
            <v>0</v>
          </cell>
          <cell r="Q19">
            <v>0</v>
          </cell>
        </row>
        <row r="20">
          <cell r="A20" t="str">
            <v>BT-OL</v>
          </cell>
          <cell r="B20" t="str">
            <v>SB</v>
          </cell>
          <cell r="C20">
            <v>48</v>
          </cell>
          <cell r="D20">
            <v>45</v>
          </cell>
          <cell r="E20">
            <v>5</v>
          </cell>
          <cell r="F20">
            <v>7700</v>
          </cell>
          <cell r="O20">
            <v>0.38145600000000002</v>
          </cell>
          <cell r="P20">
            <v>7700</v>
          </cell>
          <cell r="Q20">
            <v>7700</v>
          </cell>
        </row>
        <row r="21">
          <cell r="A21" t="str">
            <v>BT-OL-D</v>
          </cell>
          <cell r="B21" t="str">
            <v>SB</v>
          </cell>
          <cell r="C21">
            <v>60</v>
          </cell>
          <cell r="D21">
            <v>44</v>
          </cell>
          <cell r="E21">
            <v>7</v>
          </cell>
          <cell r="F21">
            <v>10490</v>
          </cell>
          <cell r="O21">
            <v>0.6527136</v>
          </cell>
          <cell r="P21">
            <v>10490</v>
          </cell>
          <cell r="Q21">
            <v>10490</v>
          </cell>
        </row>
        <row r="22">
          <cell r="A22" t="str">
            <v>CMB-RELO</v>
          </cell>
          <cell r="B22" t="str">
            <v> </v>
          </cell>
          <cell r="O22">
            <v>0</v>
          </cell>
          <cell r="P22">
            <v>0</v>
          </cell>
          <cell r="Q22">
            <v>0</v>
          </cell>
        </row>
        <row r="23">
          <cell r="A23" t="str">
            <v>CT-ATD-LA</v>
          </cell>
          <cell r="B23" t="str">
            <v>SB</v>
          </cell>
          <cell r="C23">
            <v>123</v>
          </cell>
          <cell r="D23">
            <v>56</v>
          </cell>
          <cell r="E23">
            <v>5</v>
          </cell>
          <cell r="F23">
            <v>24490</v>
          </cell>
          <cell r="O23">
            <v>1.2164207999999999</v>
          </cell>
          <cell r="P23">
            <v>24490</v>
          </cell>
          <cell r="Q23">
            <v>24490</v>
          </cell>
        </row>
        <row r="24">
          <cell r="A24" t="str">
            <v>CT-ATD</v>
          </cell>
          <cell r="B24" t="str">
            <v>SB</v>
          </cell>
          <cell r="F24">
            <v>15800</v>
          </cell>
          <cell r="O24">
            <v>0</v>
          </cell>
          <cell r="P24">
            <v>15800</v>
          </cell>
          <cell r="Q24">
            <v>15800</v>
          </cell>
        </row>
        <row r="25">
          <cell r="A25" t="str">
            <v>CT-ATD-ST</v>
          </cell>
          <cell r="B25" t="str">
            <v>SB</v>
          </cell>
          <cell r="C25">
            <v>112</v>
          </cell>
          <cell r="D25">
            <v>51</v>
          </cell>
          <cell r="E25">
            <v>5</v>
          </cell>
          <cell r="F25">
            <v>14800</v>
          </cell>
          <cell r="O25">
            <v>1.0087391999999999</v>
          </cell>
          <cell r="P25">
            <v>14800</v>
          </cell>
          <cell r="Q25">
            <v>14800</v>
          </cell>
        </row>
        <row r="26">
          <cell r="A26" t="str">
            <v>CT-DOV</v>
          </cell>
          <cell r="B26" t="str">
            <v>SB</v>
          </cell>
          <cell r="C26">
            <v>111</v>
          </cell>
          <cell r="D26">
            <v>50</v>
          </cell>
          <cell r="E26">
            <v>8</v>
          </cell>
          <cell r="F26">
            <v>21750</v>
          </cell>
          <cell r="O26">
            <v>1.568208</v>
          </cell>
          <cell r="P26">
            <v>21750</v>
          </cell>
          <cell r="Q26">
            <v>21750</v>
          </cell>
        </row>
        <row r="27">
          <cell r="A27" t="str">
            <v>CT-ETE</v>
          </cell>
          <cell r="B27" t="str">
            <v>SB</v>
          </cell>
          <cell r="C27">
            <v>106</v>
          </cell>
          <cell r="D27">
            <v>50</v>
          </cell>
          <cell r="E27">
            <v>7</v>
          </cell>
          <cell r="F27">
            <v>12400</v>
          </cell>
          <cell r="O27">
            <v>1.3103720000000001</v>
          </cell>
          <cell r="P27">
            <v>12400</v>
          </cell>
          <cell r="Q27">
            <v>12400</v>
          </cell>
        </row>
        <row r="28">
          <cell r="A28" t="str">
            <v>CT-GSE-RT</v>
          </cell>
          <cell r="B28" t="str">
            <v>SB</v>
          </cell>
          <cell r="C28">
            <v>99</v>
          </cell>
          <cell r="D28">
            <v>50</v>
          </cell>
          <cell r="E28">
            <v>4</v>
          </cell>
          <cell r="F28">
            <v>6120</v>
          </cell>
          <cell r="O28">
            <v>0.69933600000000007</v>
          </cell>
          <cell r="P28">
            <v>6120</v>
          </cell>
          <cell r="Q28">
            <v>6120</v>
          </cell>
        </row>
        <row r="29">
          <cell r="A29" t="str">
            <v>CT-GSE-RT2</v>
          </cell>
          <cell r="B29" t="str">
            <v>SB</v>
          </cell>
          <cell r="C29">
            <v>98</v>
          </cell>
          <cell r="D29">
            <v>51</v>
          </cell>
          <cell r="E29">
            <v>4</v>
          </cell>
          <cell r="F29">
            <v>11390</v>
          </cell>
          <cell r="O29">
            <v>0.70611743999999999</v>
          </cell>
          <cell r="P29">
            <v>11390</v>
          </cell>
          <cell r="Q29">
            <v>11390</v>
          </cell>
        </row>
        <row r="30">
          <cell r="A30" t="str">
            <v>CT-GSE-SQ</v>
          </cell>
          <cell r="B30" t="str">
            <v>SB</v>
          </cell>
          <cell r="C30">
            <v>75</v>
          </cell>
          <cell r="D30">
            <v>75</v>
          </cell>
          <cell r="E30">
            <v>4</v>
          </cell>
          <cell r="F30">
            <v>8200</v>
          </cell>
          <cell r="O30">
            <v>0.79469999999999996</v>
          </cell>
          <cell r="P30">
            <v>8200</v>
          </cell>
          <cell r="Q30">
            <v>8200</v>
          </cell>
        </row>
        <row r="31">
          <cell r="A31" t="str">
            <v>CT-GSE-SQ2</v>
          </cell>
          <cell r="B31" t="str">
            <v>SB</v>
          </cell>
          <cell r="C31">
            <v>76</v>
          </cell>
          <cell r="D31">
            <v>76</v>
          </cell>
          <cell r="E31">
            <v>4</v>
          </cell>
          <cell r="F31">
            <v>12200</v>
          </cell>
          <cell r="O31">
            <v>0.81603327999999997</v>
          </cell>
          <cell r="P31">
            <v>12200</v>
          </cell>
          <cell r="Q31">
            <v>12200</v>
          </cell>
        </row>
        <row r="32">
          <cell r="A32" t="str">
            <v>CT-KV-RT</v>
          </cell>
          <cell r="B32" t="str">
            <v>SB</v>
          </cell>
          <cell r="C32">
            <v>105</v>
          </cell>
          <cell r="D32">
            <v>51</v>
          </cell>
          <cell r="E32">
            <v>7</v>
          </cell>
          <cell r="F32">
            <v>11800</v>
          </cell>
          <cell r="O32">
            <v>1.3239702</v>
          </cell>
          <cell r="P32">
            <v>11800</v>
          </cell>
          <cell r="Q32">
            <v>11800</v>
          </cell>
        </row>
        <row r="33">
          <cell r="A33" t="str">
            <v>CT-KV-SQ</v>
          </cell>
          <cell r="B33" t="str">
            <v>SB</v>
          </cell>
          <cell r="C33">
            <v>81</v>
          </cell>
          <cell r="D33">
            <v>80</v>
          </cell>
          <cell r="E33">
            <v>7</v>
          </cell>
          <cell r="F33">
            <v>16900</v>
          </cell>
          <cell r="O33">
            <v>1.6021151999999999</v>
          </cell>
          <cell r="P33">
            <v>16900</v>
          </cell>
          <cell r="Q33">
            <v>16900</v>
          </cell>
        </row>
        <row r="34">
          <cell r="A34" t="str">
            <v>CT-LE</v>
          </cell>
          <cell r="B34" t="str">
            <v>SB</v>
          </cell>
          <cell r="C34">
            <v>114</v>
          </cell>
          <cell r="D34">
            <v>56</v>
          </cell>
          <cell r="E34">
            <v>7</v>
          </cell>
          <cell r="F34">
            <v>10850</v>
          </cell>
          <cell r="O34">
            <v>1.57838016</v>
          </cell>
          <cell r="P34">
            <v>10850</v>
          </cell>
          <cell r="Q34">
            <v>10850</v>
          </cell>
        </row>
        <row r="35">
          <cell r="A35" t="str">
            <v>CT-MD-RT</v>
          </cell>
          <cell r="B35" t="str">
            <v>SB</v>
          </cell>
          <cell r="C35">
            <v>104</v>
          </cell>
          <cell r="D35">
            <v>60</v>
          </cell>
          <cell r="E35">
            <v>7</v>
          </cell>
          <cell r="F35">
            <v>17700</v>
          </cell>
          <cell r="O35">
            <v>1.5427776</v>
          </cell>
          <cell r="P35">
            <v>17700</v>
          </cell>
          <cell r="Q35">
            <v>17700</v>
          </cell>
        </row>
        <row r="36">
          <cell r="A36" t="str">
            <v>CT-MD-SQ</v>
          </cell>
          <cell r="B36" t="str">
            <v>SB</v>
          </cell>
          <cell r="C36">
            <v>85</v>
          </cell>
          <cell r="D36">
            <v>84</v>
          </cell>
          <cell r="E36">
            <v>6</v>
          </cell>
          <cell r="F36">
            <v>17400</v>
          </cell>
          <cell r="O36">
            <v>1.5131088000000001</v>
          </cell>
          <cell r="P36">
            <v>17400</v>
          </cell>
          <cell r="Q36">
            <v>17400</v>
          </cell>
        </row>
        <row r="37">
          <cell r="A37" t="str">
            <v>CT-MT-RO</v>
          </cell>
          <cell r="B37" t="str">
            <v>MB</v>
          </cell>
          <cell r="C37">
            <v>70</v>
          </cell>
          <cell r="D37">
            <v>68</v>
          </cell>
          <cell r="E37">
            <v>8</v>
          </cell>
          <cell r="F37">
            <v>6920</v>
          </cell>
          <cell r="G37">
            <v>52</v>
          </cell>
          <cell r="H37">
            <v>12</v>
          </cell>
          <cell r="I37">
            <v>12</v>
          </cell>
          <cell r="J37">
            <v>1200</v>
          </cell>
          <cell r="O37">
            <v>1.6094617599999999</v>
          </cell>
          <cell r="P37">
            <v>8120</v>
          </cell>
          <cell r="Q37">
            <v>8120</v>
          </cell>
        </row>
        <row r="38">
          <cell r="A38" t="str">
            <v>CT-MT-RT</v>
          </cell>
          <cell r="B38" t="str">
            <v>MB</v>
          </cell>
          <cell r="C38">
            <v>100</v>
          </cell>
          <cell r="D38">
            <v>54</v>
          </cell>
          <cell r="E38">
            <v>4</v>
          </cell>
          <cell r="F38">
            <v>5400</v>
          </cell>
          <cell r="G38">
            <v>52</v>
          </cell>
          <cell r="H38">
            <v>12</v>
          </cell>
          <cell r="I38">
            <v>12</v>
          </cell>
          <cell r="J38">
            <v>1200</v>
          </cell>
          <cell r="O38">
            <v>1.0273881599999999</v>
          </cell>
          <cell r="P38">
            <v>6600</v>
          </cell>
          <cell r="Q38">
            <v>6600</v>
          </cell>
        </row>
        <row r="39">
          <cell r="A39" t="str">
            <v>CT-MT-SQ</v>
          </cell>
          <cell r="B39" t="str">
            <v>MB</v>
          </cell>
          <cell r="C39">
            <v>80</v>
          </cell>
          <cell r="D39">
            <v>80</v>
          </cell>
          <cell r="E39">
            <v>5</v>
          </cell>
          <cell r="F39">
            <v>6195</v>
          </cell>
          <cell r="G39">
            <v>52</v>
          </cell>
          <cell r="H39">
            <v>12</v>
          </cell>
          <cell r="I39">
            <v>12</v>
          </cell>
          <cell r="J39">
            <v>1200</v>
          </cell>
          <cell r="O39">
            <v>1.39471616</v>
          </cell>
          <cell r="P39">
            <v>7395</v>
          </cell>
          <cell r="Q39">
            <v>7395</v>
          </cell>
        </row>
        <row r="40">
          <cell r="A40" t="str">
            <v>CT-NO-RT</v>
          </cell>
          <cell r="B40" t="str">
            <v>SB</v>
          </cell>
          <cell r="C40">
            <v>85</v>
          </cell>
          <cell r="D40">
            <v>45</v>
          </cell>
          <cell r="E40">
            <v>6</v>
          </cell>
          <cell r="F40">
            <v>10800</v>
          </cell>
          <cell r="O40">
            <v>0.81059400000000004</v>
          </cell>
          <cell r="P40">
            <v>10800</v>
          </cell>
          <cell r="Q40">
            <v>10800</v>
          </cell>
        </row>
        <row r="41">
          <cell r="A41" t="str">
            <v>CT-NO-SQ</v>
          </cell>
          <cell r="B41" t="str">
            <v>SB</v>
          </cell>
          <cell r="C41">
            <v>76</v>
          </cell>
          <cell r="D41">
            <v>76</v>
          </cell>
          <cell r="E41">
            <v>5</v>
          </cell>
          <cell r="F41">
            <v>12460</v>
          </cell>
          <cell r="O41">
            <v>1.0200415999999999</v>
          </cell>
          <cell r="P41">
            <v>12460</v>
          </cell>
          <cell r="Q41">
            <v>12460</v>
          </cell>
        </row>
        <row r="42">
          <cell r="A42" t="str">
            <v>CT-OL</v>
          </cell>
          <cell r="B42" t="str">
            <v>SB</v>
          </cell>
          <cell r="C42">
            <v>101</v>
          </cell>
          <cell r="D42">
            <v>47</v>
          </cell>
          <cell r="E42">
            <v>5</v>
          </cell>
          <cell r="F42">
            <v>12400</v>
          </cell>
          <cell r="O42">
            <v>0.83832019999999996</v>
          </cell>
          <cell r="P42">
            <v>12400</v>
          </cell>
          <cell r="Q42">
            <v>12400</v>
          </cell>
        </row>
        <row r="43">
          <cell r="A43" t="str">
            <v>CT-OSN-OV</v>
          </cell>
          <cell r="B43" t="str">
            <v>SB</v>
          </cell>
          <cell r="C43">
            <v>105</v>
          </cell>
          <cell r="D43">
            <v>65</v>
          </cell>
          <cell r="E43">
            <v>4</v>
          </cell>
          <cell r="F43">
            <v>9640</v>
          </cell>
          <cell r="O43">
            <v>0.96423600000000009</v>
          </cell>
          <cell r="P43">
            <v>9640</v>
          </cell>
          <cell r="Q43">
            <v>9640</v>
          </cell>
        </row>
        <row r="44">
          <cell r="A44" t="str">
            <v>CT-OSN-RT</v>
          </cell>
          <cell r="B44" t="str">
            <v>SB</v>
          </cell>
          <cell r="C44">
            <v>100</v>
          </cell>
          <cell r="D44">
            <v>50</v>
          </cell>
          <cell r="E44">
            <v>5</v>
          </cell>
          <cell r="F44">
            <v>9000</v>
          </cell>
          <cell r="O44">
            <v>0.88300000000000001</v>
          </cell>
          <cell r="P44">
            <v>9000</v>
          </cell>
          <cell r="Q44">
            <v>9000</v>
          </cell>
        </row>
        <row r="45">
          <cell r="A45" t="str">
            <v>CT-SH</v>
          </cell>
          <cell r="B45" t="str">
            <v>SB</v>
          </cell>
          <cell r="C45">
            <v>85</v>
          </cell>
          <cell r="D45">
            <v>49</v>
          </cell>
          <cell r="E45">
            <v>7</v>
          </cell>
          <cell r="F45">
            <v>11890</v>
          </cell>
          <cell r="O45">
            <v>1.0297546</v>
          </cell>
          <cell r="P45">
            <v>11890</v>
          </cell>
          <cell r="Q45">
            <v>11890</v>
          </cell>
        </row>
        <row r="46">
          <cell r="A46" t="str">
            <v>CT-SY</v>
          </cell>
          <cell r="B46" t="str">
            <v>SB</v>
          </cell>
          <cell r="C46">
            <v>80</v>
          </cell>
          <cell r="D46">
            <v>66</v>
          </cell>
          <cell r="E46">
            <v>8</v>
          </cell>
          <cell r="F46">
            <v>11850</v>
          </cell>
          <cell r="O46">
            <v>1.4919168</v>
          </cell>
          <cell r="P46">
            <v>11850</v>
          </cell>
          <cell r="Q46">
            <v>11850</v>
          </cell>
        </row>
        <row r="47">
          <cell r="A47" t="str">
            <v>CT-TLY</v>
          </cell>
          <cell r="B47" t="str">
            <v>SB</v>
          </cell>
          <cell r="C47">
            <v>95</v>
          </cell>
          <cell r="D47">
            <v>50</v>
          </cell>
          <cell r="E47">
            <v>7</v>
          </cell>
          <cell r="F47">
            <v>12850</v>
          </cell>
          <cell r="O47">
            <v>1.17439</v>
          </cell>
          <cell r="P47">
            <v>12850</v>
          </cell>
          <cell r="Q47">
            <v>12850</v>
          </cell>
        </row>
        <row r="48">
          <cell r="A48" t="str">
            <v>CT-TR-RT</v>
          </cell>
          <cell r="B48" t="str">
            <v>SB</v>
          </cell>
          <cell r="C48">
            <v>102</v>
          </cell>
          <cell r="D48">
            <v>57</v>
          </cell>
          <cell r="E48">
            <v>6</v>
          </cell>
          <cell r="F48">
            <v>12000</v>
          </cell>
          <cell r="O48">
            <v>1.23210288</v>
          </cell>
          <cell r="P48">
            <v>12000</v>
          </cell>
          <cell r="Q48">
            <v>12000</v>
          </cell>
        </row>
        <row r="49">
          <cell r="A49" t="str">
            <v>CT-TR-RTS</v>
          </cell>
          <cell r="B49" t="str">
            <v>SB</v>
          </cell>
          <cell r="C49">
            <v>110</v>
          </cell>
          <cell r="D49">
            <v>50</v>
          </cell>
          <cell r="E49">
            <v>5</v>
          </cell>
          <cell r="F49">
            <v>12750</v>
          </cell>
          <cell r="O49">
            <v>0.97130000000000005</v>
          </cell>
          <cell r="P49">
            <v>12750</v>
          </cell>
          <cell r="Q49">
            <v>12750</v>
          </cell>
        </row>
        <row r="50">
          <cell r="A50" t="str">
            <v>CT-TYU</v>
          </cell>
          <cell r="B50" t="str">
            <v>SB</v>
          </cell>
          <cell r="C50">
            <v>87</v>
          </cell>
          <cell r="D50">
            <v>45</v>
          </cell>
          <cell r="E50">
            <v>8</v>
          </cell>
          <cell r="F50">
            <v>9500</v>
          </cell>
          <cell r="O50">
            <v>1.1062224000000001</v>
          </cell>
          <cell r="P50">
            <v>9500</v>
          </cell>
          <cell r="Q50">
            <v>9500</v>
          </cell>
        </row>
        <row r="51">
          <cell r="A51" t="str">
            <v>CT-VC</v>
          </cell>
          <cell r="B51" t="str">
            <v>SB</v>
          </cell>
          <cell r="C51">
            <v>88</v>
          </cell>
          <cell r="D51">
            <v>45</v>
          </cell>
          <cell r="E51">
            <v>9</v>
          </cell>
          <cell r="F51">
            <v>15400</v>
          </cell>
          <cell r="O51">
            <v>1.2588047999999998</v>
          </cell>
          <cell r="P51">
            <v>15400</v>
          </cell>
          <cell r="Q51">
            <v>15400</v>
          </cell>
        </row>
        <row r="52">
          <cell r="A52" t="str">
            <v>DC-CLV</v>
          </cell>
          <cell r="B52" t="str">
            <v>SB</v>
          </cell>
          <cell r="C52">
            <v>85</v>
          </cell>
          <cell r="D52">
            <v>49</v>
          </cell>
          <cell r="E52">
            <v>7</v>
          </cell>
          <cell r="F52">
            <v>35690</v>
          </cell>
          <cell r="O52">
            <v>1.0297546</v>
          </cell>
          <cell r="P52">
            <v>35690</v>
          </cell>
          <cell r="Q52">
            <v>35690</v>
          </cell>
        </row>
        <row r="53">
          <cell r="A53" t="str">
            <v>DC-MYN-LA</v>
          </cell>
          <cell r="B53" t="str">
            <v>MB</v>
          </cell>
          <cell r="C53">
            <v>127</v>
          </cell>
          <cell r="D53">
            <v>45</v>
          </cell>
          <cell r="E53">
            <v>13</v>
          </cell>
          <cell r="F53">
            <v>43220</v>
          </cell>
          <cell r="G53">
            <v>79</v>
          </cell>
          <cell r="H53">
            <v>45</v>
          </cell>
          <cell r="I53">
            <v>15</v>
          </cell>
          <cell r="J53">
            <v>24545</v>
          </cell>
          <cell r="O53">
            <v>4.5075384000000005</v>
          </cell>
          <cell r="P53">
            <v>67765</v>
          </cell>
          <cell r="Q53">
            <v>67765</v>
          </cell>
        </row>
        <row r="54">
          <cell r="A54" t="str">
            <v>DC-MYN-ST</v>
          </cell>
          <cell r="B54" t="str">
            <v>SB</v>
          </cell>
          <cell r="C54">
            <v>85</v>
          </cell>
          <cell r="D54">
            <v>50</v>
          </cell>
          <cell r="E54">
            <v>18</v>
          </cell>
          <cell r="F54">
            <v>40840</v>
          </cell>
          <cell r="O54">
            <v>2.7019799999999998</v>
          </cell>
          <cell r="P54">
            <v>40840</v>
          </cell>
          <cell r="Q54">
            <v>40840</v>
          </cell>
        </row>
        <row r="55">
          <cell r="A55" t="str">
            <v>DT-GRA</v>
          </cell>
          <cell r="B55" t="str">
            <v>SB</v>
          </cell>
          <cell r="C55">
            <v>67</v>
          </cell>
          <cell r="D55">
            <v>40</v>
          </cell>
          <cell r="E55">
            <v>4</v>
          </cell>
          <cell r="F55">
            <v>5350</v>
          </cell>
          <cell r="O55">
            <v>0.37863040000000003</v>
          </cell>
          <cell r="P55">
            <v>5350</v>
          </cell>
          <cell r="Q55">
            <v>5350</v>
          </cell>
        </row>
        <row r="56">
          <cell r="A56" t="str">
            <v>DT-HE-3</v>
          </cell>
          <cell r="B56" t="str">
            <v>SB</v>
          </cell>
          <cell r="C56">
            <v>85</v>
          </cell>
          <cell r="D56">
            <v>85</v>
          </cell>
          <cell r="E56">
            <v>5</v>
          </cell>
          <cell r="F56">
            <v>9920</v>
          </cell>
          <cell r="O56">
            <v>1.2759349999999998</v>
          </cell>
          <cell r="P56">
            <v>9920</v>
          </cell>
          <cell r="Q56">
            <v>9920</v>
          </cell>
        </row>
        <row r="57">
          <cell r="A57" t="str">
            <v>DT-HE-4</v>
          </cell>
          <cell r="B57" t="str">
            <v>SB</v>
          </cell>
          <cell r="C57">
            <v>158</v>
          </cell>
          <cell r="D57">
            <v>80</v>
          </cell>
          <cell r="E57">
            <v>4</v>
          </cell>
          <cell r="F57">
            <v>15110</v>
          </cell>
          <cell r="O57">
            <v>1.7857792000000001</v>
          </cell>
          <cell r="P57">
            <v>15110</v>
          </cell>
          <cell r="Q57">
            <v>15110</v>
          </cell>
        </row>
        <row r="58">
          <cell r="A58" t="str">
            <v>DT-MR</v>
          </cell>
          <cell r="B58" t="str">
            <v>SB</v>
          </cell>
          <cell r="C58">
            <v>116</v>
          </cell>
          <cell r="D58">
            <v>40</v>
          </cell>
          <cell r="E58">
            <v>6</v>
          </cell>
          <cell r="F58">
            <v>6000</v>
          </cell>
          <cell r="O58">
            <v>0.98330879999999998</v>
          </cell>
          <cell r="P58">
            <v>6000</v>
          </cell>
          <cell r="Q58">
            <v>6000</v>
          </cell>
        </row>
        <row r="59">
          <cell r="A59" t="str">
            <v>FT-EDR</v>
          </cell>
          <cell r="B59" t="str">
            <v>SB</v>
          </cell>
          <cell r="C59">
            <v>68</v>
          </cell>
          <cell r="D59">
            <v>46</v>
          </cell>
          <cell r="E59">
            <v>5</v>
          </cell>
          <cell r="F59">
            <v>8810</v>
          </cell>
          <cell r="O59">
            <v>0.55240480000000003</v>
          </cell>
          <cell r="P59">
            <v>8810</v>
          </cell>
          <cell r="Q59">
            <v>8810</v>
          </cell>
        </row>
        <row r="60">
          <cell r="A60" t="str">
            <v>GH-CE</v>
          </cell>
          <cell r="B60" t="str">
            <v>SB</v>
          </cell>
          <cell r="C60">
            <v>83</v>
          </cell>
          <cell r="D60">
            <v>35</v>
          </cell>
          <cell r="E60">
            <v>7</v>
          </cell>
          <cell r="F60">
            <v>3700</v>
          </cell>
          <cell r="O60">
            <v>0.71823219999999999</v>
          </cell>
          <cell r="P60">
            <v>3700</v>
          </cell>
          <cell r="Q60">
            <v>3700</v>
          </cell>
        </row>
        <row r="61">
          <cell r="A61" t="str">
            <v>GH-IS</v>
          </cell>
          <cell r="B61" t="str">
            <v>SB</v>
          </cell>
          <cell r="C61">
            <v>31</v>
          </cell>
          <cell r="D61">
            <v>27</v>
          </cell>
          <cell r="E61">
            <v>6</v>
          </cell>
          <cell r="F61">
            <v>1250</v>
          </cell>
          <cell r="O61">
            <v>0.17737704000000001</v>
          </cell>
          <cell r="P61">
            <v>1250</v>
          </cell>
          <cell r="Q61">
            <v>1250</v>
          </cell>
        </row>
        <row r="62">
          <cell r="A62" t="str">
            <v>KH-EDL</v>
          </cell>
          <cell r="B62" t="str">
            <v>SB</v>
          </cell>
          <cell r="C62">
            <v>24</v>
          </cell>
          <cell r="D62">
            <v>11</v>
          </cell>
          <cell r="E62">
            <v>5</v>
          </cell>
          <cell r="F62">
            <v>300</v>
          </cell>
          <cell r="O62">
            <v>4.6622400000000001E-2</v>
          </cell>
          <cell r="P62">
            <v>300</v>
          </cell>
          <cell r="Q62">
            <v>300</v>
          </cell>
        </row>
        <row r="63">
          <cell r="A63" t="str">
            <v>KH-LKN-6</v>
          </cell>
          <cell r="B63" t="str">
            <v>SB</v>
          </cell>
          <cell r="C63">
            <v>26</v>
          </cell>
          <cell r="D63">
            <v>25</v>
          </cell>
          <cell r="E63">
            <v>5</v>
          </cell>
          <cell r="F63">
            <v>800</v>
          </cell>
          <cell r="O63">
            <v>0.11478999999999999</v>
          </cell>
          <cell r="P63">
            <v>800</v>
          </cell>
          <cell r="Q63">
            <v>800</v>
          </cell>
        </row>
        <row r="64">
          <cell r="A64" t="str">
            <v>KH-RMT</v>
          </cell>
          <cell r="B64" t="str">
            <v>SB</v>
          </cell>
          <cell r="C64">
            <v>22</v>
          </cell>
          <cell r="D64">
            <v>22</v>
          </cell>
          <cell r="E64">
            <v>4</v>
          </cell>
          <cell r="F64">
            <v>400</v>
          </cell>
          <cell r="O64">
            <v>6.8379519999999999E-2</v>
          </cell>
          <cell r="P64">
            <v>400</v>
          </cell>
          <cell r="Q64">
            <v>400</v>
          </cell>
        </row>
        <row r="65">
          <cell r="A65" t="str">
            <v>KH-RZ</v>
          </cell>
          <cell r="B65" t="str">
            <v>SB</v>
          </cell>
          <cell r="C65">
            <v>35</v>
          </cell>
          <cell r="D65">
            <v>32</v>
          </cell>
          <cell r="E65">
            <v>6</v>
          </cell>
          <cell r="F65">
            <v>900</v>
          </cell>
          <cell r="O65">
            <v>0.23735040000000002</v>
          </cell>
          <cell r="P65">
            <v>900</v>
          </cell>
          <cell r="Q65">
            <v>900</v>
          </cell>
        </row>
        <row r="66">
          <cell r="A66" t="str">
            <v>KHS-SW-W1</v>
          </cell>
          <cell r="B66" t="str">
            <v>SB</v>
          </cell>
          <cell r="C66">
            <v>28</v>
          </cell>
          <cell r="D66">
            <v>20</v>
          </cell>
          <cell r="E66">
            <v>6</v>
          </cell>
          <cell r="F66">
            <v>840</v>
          </cell>
          <cell r="O66">
            <v>0.11867520000000001</v>
          </cell>
          <cell r="P66">
            <v>840</v>
          </cell>
          <cell r="Q66">
            <v>840</v>
          </cell>
        </row>
        <row r="67">
          <cell r="A67" t="str">
            <v>KH-SW-W10</v>
          </cell>
          <cell r="B67" t="str">
            <v>SB</v>
          </cell>
          <cell r="C67">
            <v>25</v>
          </cell>
          <cell r="D67">
            <v>24</v>
          </cell>
          <cell r="E67">
            <v>5</v>
          </cell>
          <cell r="F67">
            <v>700</v>
          </cell>
          <cell r="O67">
            <v>0.10596</v>
          </cell>
          <cell r="P67">
            <v>700</v>
          </cell>
          <cell r="Q67">
            <v>700</v>
          </cell>
        </row>
        <row r="68">
          <cell r="A68" t="str">
            <v>KH-SW-W21</v>
          </cell>
          <cell r="B68" t="str">
            <v>SB</v>
          </cell>
          <cell r="C68">
            <v>33</v>
          </cell>
          <cell r="D68">
            <v>32</v>
          </cell>
          <cell r="E68">
            <v>6</v>
          </cell>
          <cell r="F68">
            <v>1200</v>
          </cell>
          <cell r="O68">
            <v>0.22378751999999999</v>
          </cell>
          <cell r="P68">
            <v>1200</v>
          </cell>
          <cell r="Q68">
            <v>1200</v>
          </cell>
        </row>
        <row r="69">
          <cell r="A69" t="str">
            <v>KH-SW-WB</v>
          </cell>
          <cell r="B69" t="str">
            <v>SB</v>
          </cell>
          <cell r="C69">
            <v>24</v>
          </cell>
          <cell r="D69">
            <v>11</v>
          </cell>
          <cell r="E69">
            <v>5</v>
          </cell>
          <cell r="F69">
            <v>195</v>
          </cell>
          <cell r="O69">
            <v>4.6622400000000001E-2</v>
          </cell>
          <cell r="P69">
            <v>195</v>
          </cell>
          <cell r="Q69">
            <v>195</v>
          </cell>
        </row>
        <row r="70">
          <cell r="A70" t="str">
            <v>KH-TO-18</v>
          </cell>
          <cell r="B70" t="str">
            <v>SB</v>
          </cell>
          <cell r="C70">
            <v>39</v>
          </cell>
          <cell r="D70">
            <v>30</v>
          </cell>
          <cell r="E70">
            <v>8</v>
          </cell>
          <cell r="F70">
            <v>3200</v>
          </cell>
          <cell r="O70">
            <v>0.33059520000000003</v>
          </cell>
          <cell r="P70">
            <v>3200</v>
          </cell>
          <cell r="Q70">
            <v>3200</v>
          </cell>
        </row>
        <row r="71">
          <cell r="A71" t="str">
            <v>KH-TO-40</v>
          </cell>
          <cell r="B71" t="str">
            <v>SB</v>
          </cell>
          <cell r="C71">
            <v>60</v>
          </cell>
          <cell r="D71">
            <v>35</v>
          </cell>
          <cell r="E71">
            <v>8</v>
          </cell>
          <cell r="F71">
            <v>5245</v>
          </cell>
          <cell r="O71">
            <v>0.59337600000000001</v>
          </cell>
          <cell r="P71">
            <v>5245</v>
          </cell>
          <cell r="Q71">
            <v>5245</v>
          </cell>
        </row>
        <row r="72">
          <cell r="A72" t="str">
            <v>KH-VD</v>
          </cell>
          <cell r="B72" t="str">
            <v>SB</v>
          </cell>
          <cell r="C72">
            <v>25</v>
          </cell>
          <cell r="D72">
            <v>20</v>
          </cell>
          <cell r="E72">
            <v>5</v>
          </cell>
          <cell r="F72">
            <v>430</v>
          </cell>
          <cell r="O72">
            <v>8.8300000000000003E-2</v>
          </cell>
          <cell r="P72">
            <v>430</v>
          </cell>
          <cell r="Q72">
            <v>430</v>
          </cell>
        </row>
        <row r="73">
          <cell r="A73" t="str">
            <v>KH-WLR</v>
          </cell>
          <cell r="B73" t="str">
            <v>SB</v>
          </cell>
          <cell r="C73">
            <v>35</v>
          </cell>
          <cell r="D73">
            <v>14</v>
          </cell>
          <cell r="E73">
            <v>4</v>
          </cell>
          <cell r="F73">
            <v>390</v>
          </cell>
          <cell r="O73">
            <v>6.9227200000000003E-2</v>
          </cell>
          <cell r="P73">
            <v>390</v>
          </cell>
          <cell r="Q73">
            <v>390</v>
          </cell>
        </row>
        <row r="74">
          <cell r="A74" t="str">
            <v>KR-JSD</v>
          </cell>
          <cell r="B74" t="str">
            <v>SB</v>
          </cell>
          <cell r="C74">
            <v>82</v>
          </cell>
          <cell r="D74">
            <v>20</v>
          </cell>
          <cell r="E74">
            <v>10</v>
          </cell>
          <cell r="F74">
            <v>7500</v>
          </cell>
          <cell r="O74">
            <v>0.5792480000000001</v>
          </cell>
          <cell r="P74">
            <v>7500</v>
          </cell>
          <cell r="Q74">
            <v>7500</v>
          </cell>
        </row>
        <row r="75">
          <cell r="A75" t="str">
            <v>LT-FN</v>
          </cell>
          <cell r="B75" t="str">
            <v>SB</v>
          </cell>
          <cell r="C75">
            <v>67</v>
          </cell>
          <cell r="D75">
            <v>40</v>
          </cell>
          <cell r="E75">
            <v>4</v>
          </cell>
          <cell r="F75">
            <v>3300</v>
          </cell>
          <cell r="O75">
            <v>0.37863040000000003</v>
          </cell>
          <cell r="P75">
            <v>3300</v>
          </cell>
          <cell r="Q75">
            <v>3300</v>
          </cell>
        </row>
        <row r="76">
          <cell r="A76" t="str">
            <v>MD-TNO-L</v>
          </cell>
          <cell r="B76" t="str">
            <v>SB</v>
          </cell>
          <cell r="C76">
            <v>100</v>
          </cell>
          <cell r="D76">
            <v>46</v>
          </cell>
          <cell r="E76">
            <v>9</v>
          </cell>
          <cell r="F76">
            <v>12200</v>
          </cell>
          <cell r="O76">
            <v>1.462248</v>
          </cell>
          <cell r="P76">
            <v>12200</v>
          </cell>
          <cell r="Q76">
            <v>12200</v>
          </cell>
        </row>
        <row r="77">
          <cell r="A77" t="str">
            <v>MD-TNO-S</v>
          </cell>
          <cell r="B77" t="str">
            <v>SB</v>
          </cell>
          <cell r="C77">
            <v>65</v>
          </cell>
          <cell r="D77">
            <v>46</v>
          </cell>
          <cell r="E77">
            <v>9</v>
          </cell>
          <cell r="F77">
            <v>8700</v>
          </cell>
          <cell r="O77">
            <v>0.95046120000000001</v>
          </cell>
          <cell r="P77">
            <v>8700</v>
          </cell>
          <cell r="Q77">
            <v>8700</v>
          </cell>
        </row>
        <row r="78">
          <cell r="A78" t="str">
            <v>PF-MIS-RT</v>
          </cell>
          <cell r="B78" t="str">
            <v>SB</v>
          </cell>
          <cell r="C78">
            <v>38</v>
          </cell>
          <cell r="D78">
            <v>33</v>
          </cell>
          <cell r="E78">
            <v>32</v>
          </cell>
          <cell r="F78">
            <v>1700</v>
          </cell>
          <cell r="O78">
            <v>1.4173209599999999</v>
          </cell>
          <cell r="P78">
            <v>1700</v>
          </cell>
          <cell r="Q78">
            <v>1700</v>
          </cell>
        </row>
        <row r="79">
          <cell r="A79" t="str">
            <v>PF-NAH-RO</v>
          </cell>
          <cell r="B79" t="str">
            <v>SB</v>
          </cell>
          <cell r="C79">
            <v>39</v>
          </cell>
          <cell r="D79">
            <v>27</v>
          </cell>
          <cell r="E79">
            <v>24</v>
          </cell>
          <cell r="F79">
            <v>1700</v>
          </cell>
          <cell r="O79">
            <v>0.89260704000000002</v>
          </cell>
          <cell r="P79">
            <v>1700</v>
          </cell>
          <cell r="Q79">
            <v>1700</v>
          </cell>
        </row>
        <row r="80">
          <cell r="A80" t="str">
            <v>PU-SDI-ST</v>
          </cell>
          <cell r="B80" t="str">
            <v>SB</v>
          </cell>
          <cell r="C80">
            <v>73</v>
          </cell>
          <cell r="D80">
            <v>51</v>
          </cell>
          <cell r="E80">
            <v>8</v>
          </cell>
          <cell r="F80">
            <v>7890</v>
          </cell>
          <cell r="O80">
            <v>1.0519708800000001</v>
          </cell>
          <cell r="P80">
            <v>7890</v>
          </cell>
          <cell r="Q80">
            <v>7890</v>
          </cell>
        </row>
        <row r="81">
          <cell r="A81" t="str">
            <v>RH-OT</v>
          </cell>
          <cell r="B81" t="str">
            <v>SB</v>
          </cell>
          <cell r="C81">
            <v>24</v>
          </cell>
          <cell r="D81">
            <v>19</v>
          </cell>
          <cell r="E81">
            <v>9</v>
          </cell>
          <cell r="F81">
            <v>730</v>
          </cell>
          <cell r="O81">
            <v>0.14495327999999999</v>
          </cell>
          <cell r="P81">
            <v>730</v>
          </cell>
          <cell r="Q81">
            <v>730</v>
          </cell>
        </row>
        <row r="82">
          <cell r="A82" t="str">
            <v>RH-RL</v>
          </cell>
          <cell r="B82" t="str">
            <v>SB</v>
          </cell>
          <cell r="C82">
            <v>20</v>
          </cell>
          <cell r="D82">
            <v>17</v>
          </cell>
          <cell r="E82">
            <v>12</v>
          </cell>
          <cell r="F82">
            <v>710</v>
          </cell>
          <cell r="O82">
            <v>0.1441056</v>
          </cell>
          <cell r="P82">
            <v>710</v>
          </cell>
          <cell r="Q82">
            <v>710</v>
          </cell>
        </row>
        <row r="83">
          <cell r="A83" t="str">
            <v>RH-SU-2-2</v>
          </cell>
          <cell r="B83" t="str">
            <v> 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RH-SU-4</v>
          </cell>
          <cell r="B84" t="str">
            <v>SB</v>
          </cell>
          <cell r="C84">
            <v>37</v>
          </cell>
          <cell r="D84">
            <v>13</v>
          </cell>
          <cell r="E84">
            <v>7</v>
          </cell>
          <cell r="F84">
            <v>1000</v>
          </cell>
          <cell r="O84">
            <v>0.11892244</v>
          </cell>
          <cell r="P84">
            <v>1000</v>
          </cell>
          <cell r="Q84">
            <v>1000</v>
          </cell>
        </row>
        <row r="85">
          <cell r="A85" t="str">
            <v>RT-ALY</v>
          </cell>
          <cell r="B85" t="str">
            <v>SB</v>
          </cell>
          <cell r="C85">
            <v>130</v>
          </cell>
          <cell r="D85">
            <v>54</v>
          </cell>
          <cell r="E85">
            <v>9</v>
          </cell>
          <cell r="F85">
            <v>24450</v>
          </cell>
          <cell r="O85">
            <v>2.2315176000000001</v>
          </cell>
          <cell r="P85">
            <v>24450</v>
          </cell>
          <cell r="Q85">
            <v>24450</v>
          </cell>
        </row>
        <row r="86">
          <cell r="A86" t="str">
            <v>RT-AT</v>
          </cell>
          <cell r="B86" t="str">
            <v>SB</v>
          </cell>
          <cell r="C86">
            <v>130</v>
          </cell>
          <cell r="D86">
            <v>42</v>
          </cell>
          <cell r="E86">
            <v>5</v>
          </cell>
          <cell r="F86">
            <v>17400</v>
          </cell>
          <cell r="O86">
            <v>0.96423600000000009</v>
          </cell>
          <cell r="P86">
            <v>17400</v>
          </cell>
          <cell r="Q86">
            <v>17400</v>
          </cell>
        </row>
        <row r="87">
          <cell r="A87" t="str">
            <v>RT-DR</v>
          </cell>
          <cell r="B87" t="str">
            <v>SB</v>
          </cell>
          <cell r="C87">
            <v>137</v>
          </cell>
          <cell r="D87">
            <v>70</v>
          </cell>
          <cell r="E87">
            <v>9</v>
          </cell>
          <cell r="F87">
            <v>39450</v>
          </cell>
          <cell r="O87">
            <v>3.0484692</v>
          </cell>
          <cell r="P87">
            <v>39450</v>
          </cell>
          <cell r="Q87">
            <v>39450</v>
          </cell>
        </row>
        <row r="88">
          <cell r="A88" t="str">
            <v>RT-FR</v>
          </cell>
          <cell r="B88" t="str">
            <v>SB</v>
          </cell>
          <cell r="C88">
            <v>162</v>
          </cell>
          <cell r="D88">
            <v>73</v>
          </cell>
          <cell r="E88">
            <v>8</v>
          </cell>
          <cell r="F88">
            <v>24450</v>
          </cell>
          <cell r="O88">
            <v>3.3415545600000001</v>
          </cell>
          <cell r="P88">
            <v>24450</v>
          </cell>
          <cell r="Q88">
            <v>24450</v>
          </cell>
        </row>
        <row r="89">
          <cell r="A89" t="str">
            <v>RT-RI</v>
          </cell>
          <cell r="B89" t="str">
            <v>SB</v>
          </cell>
          <cell r="C89">
            <v>103</v>
          </cell>
          <cell r="D89">
            <v>57</v>
          </cell>
          <cell r="E89">
            <v>7</v>
          </cell>
          <cell r="F89">
            <v>10800</v>
          </cell>
          <cell r="O89">
            <v>1.45154604</v>
          </cell>
          <cell r="P89">
            <v>10800</v>
          </cell>
          <cell r="Q89">
            <v>10800</v>
          </cell>
        </row>
        <row r="90">
          <cell r="A90" t="str">
            <v>RT-RI-M</v>
          </cell>
          <cell r="B90" t="str">
            <v>SB</v>
          </cell>
          <cell r="C90">
            <v>78</v>
          </cell>
          <cell r="D90">
            <v>62</v>
          </cell>
          <cell r="E90">
            <v>7</v>
          </cell>
          <cell r="F90">
            <v>7690</v>
          </cell>
          <cell r="O90">
            <v>1.19565264</v>
          </cell>
          <cell r="P90">
            <v>7690</v>
          </cell>
          <cell r="Q90">
            <v>7690</v>
          </cell>
        </row>
        <row r="91">
          <cell r="A91" t="str">
            <v>RT-T</v>
          </cell>
          <cell r="B91" t="str">
            <v>SB</v>
          </cell>
          <cell r="C91">
            <v>51</v>
          </cell>
          <cell r="D91">
            <v>17</v>
          </cell>
          <cell r="E91">
            <v>4</v>
          </cell>
          <cell r="F91">
            <v>1100</v>
          </cell>
          <cell r="O91">
            <v>0.12248976</v>
          </cell>
          <cell r="P91">
            <v>1100</v>
          </cell>
          <cell r="Q91">
            <v>1100</v>
          </cell>
        </row>
        <row r="92">
          <cell r="A92" t="str">
            <v>S-AB</v>
          </cell>
          <cell r="B92" t="str">
            <v>SB</v>
          </cell>
          <cell r="C92">
            <v>94</v>
          </cell>
          <cell r="D92">
            <v>36</v>
          </cell>
          <cell r="E92">
            <v>6</v>
          </cell>
          <cell r="F92">
            <v>5890</v>
          </cell>
          <cell r="O92">
            <v>0.71713727999999999</v>
          </cell>
          <cell r="P92">
            <v>5890</v>
          </cell>
          <cell r="Q92">
            <v>5890</v>
          </cell>
        </row>
        <row r="93">
          <cell r="A93" t="str">
            <v>S-AE</v>
          </cell>
          <cell r="B93" t="str">
            <v>SB</v>
          </cell>
          <cell r="C93">
            <v>144</v>
          </cell>
          <cell r="D93">
            <v>41</v>
          </cell>
          <cell r="E93">
            <v>5</v>
          </cell>
          <cell r="F93">
            <v>13620</v>
          </cell>
          <cell r="O93">
            <v>1.0426464</v>
          </cell>
          <cell r="P93">
            <v>13620</v>
          </cell>
          <cell r="Q93">
            <v>13620</v>
          </cell>
        </row>
        <row r="94">
          <cell r="A94" t="str">
            <v>S-AI</v>
          </cell>
          <cell r="B94" t="str">
            <v>SB</v>
          </cell>
          <cell r="C94">
            <v>134</v>
          </cell>
          <cell r="D94">
            <v>20</v>
          </cell>
          <cell r="E94">
            <v>5</v>
          </cell>
          <cell r="F94">
            <v>3890</v>
          </cell>
          <cell r="O94">
            <v>0.47328800000000004</v>
          </cell>
          <cell r="P94">
            <v>3890</v>
          </cell>
          <cell r="Q94">
            <v>3890</v>
          </cell>
        </row>
        <row r="95">
          <cell r="A95" t="str">
            <v>S-AO</v>
          </cell>
          <cell r="B95" t="str">
            <v>SB</v>
          </cell>
          <cell r="C95">
            <v>95</v>
          </cell>
          <cell r="D95">
            <v>27</v>
          </cell>
          <cell r="E95">
            <v>6</v>
          </cell>
          <cell r="F95">
            <v>5850</v>
          </cell>
          <cell r="O95">
            <v>0.54357480000000002</v>
          </cell>
          <cell r="P95">
            <v>5850</v>
          </cell>
          <cell r="Q95">
            <v>5850</v>
          </cell>
        </row>
        <row r="96">
          <cell r="A96" t="str">
            <v>S-ATL</v>
          </cell>
          <cell r="B96" t="str">
            <v>SB</v>
          </cell>
          <cell r="C96">
            <v>76</v>
          </cell>
          <cell r="D96">
            <v>19</v>
          </cell>
          <cell r="E96">
            <v>9</v>
          </cell>
          <cell r="F96">
            <v>3800</v>
          </cell>
          <cell r="O96">
            <v>0.45901872000000005</v>
          </cell>
          <cell r="P96">
            <v>3800</v>
          </cell>
          <cell r="Q96">
            <v>3800</v>
          </cell>
        </row>
        <row r="97">
          <cell r="A97" t="str">
            <v>SB-AA</v>
          </cell>
          <cell r="B97" t="str">
            <v>SB</v>
          </cell>
          <cell r="C97">
            <v>24</v>
          </cell>
          <cell r="D97">
            <v>19</v>
          </cell>
          <cell r="E97">
            <v>11</v>
          </cell>
          <cell r="F97">
            <v>1640</v>
          </cell>
          <cell r="O97">
            <v>0.17716511999999998</v>
          </cell>
          <cell r="P97">
            <v>1640</v>
          </cell>
          <cell r="Q97">
            <v>1640</v>
          </cell>
        </row>
        <row r="98">
          <cell r="A98" t="str">
            <v>SB-AL-2</v>
          </cell>
          <cell r="B98" t="str">
            <v>SB</v>
          </cell>
          <cell r="C98">
            <v>23</v>
          </cell>
          <cell r="D98">
            <v>19</v>
          </cell>
          <cell r="E98">
            <v>12</v>
          </cell>
          <cell r="F98">
            <v>1890</v>
          </cell>
          <cell r="O98">
            <v>0.18521808000000001</v>
          </cell>
          <cell r="P98">
            <v>1890</v>
          </cell>
          <cell r="Q98">
            <v>1890</v>
          </cell>
        </row>
        <row r="99">
          <cell r="A99" t="str">
            <v>SB-AL-4</v>
          </cell>
          <cell r="B99" t="str">
            <v>SB</v>
          </cell>
          <cell r="C99">
            <v>23</v>
          </cell>
          <cell r="D99">
            <v>19</v>
          </cell>
          <cell r="E99">
            <v>20</v>
          </cell>
          <cell r="F99">
            <v>2890</v>
          </cell>
          <cell r="O99">
            <v>0.30869679999999999</v>
          </cell>
          <cell r="P99">
            <v>2890</v>
          </cell>
          <cell r="Q99">
            <v>2890</v>
          </cell>
        </row>
        <row r="100">
          <cell r="A100" t="str">
            <v>SB-ASG</v>
          </cell>
          <cell r="B100" t="str">
            <v>SB</v>
          </cell>
          <cell r="C100">
            <v>100</v>
          </cell>
          <cell r="D100">
            <v>29</v>
          </cell>
          <cell r="E100">
            <v>8</v>
          </cell>
          <cell r="F100">
            <v>15800</v>
          </cell>
          <cell r="O100">
            <v>0.81942399999999993</v>
          </cell>
          <cell r="P100">
            <v>15800</v>
          </cell>
          <cell r="Q100">
            <v>15800</v>
          </cell>
        </row>
        <row r="101">
          <cell r="A101" t="str">
            <v>SB-AXA-4</v>
          </cell>
          <cell r="B101" t="str">
            <v>SB</v>
          </cell>
          <cell r="C101">
            <v>160</v>
          </cell>
          <cell r="D101">
            <v>34</v>
          </cell>
          <cell r="E101">
            <v>10</v>
          </cell>
          <cell r="F101">
            <v>25790</v>
          </cell>
          <cell r="O101">
            <v>1.921408</v>
          </cell>
          <cell r="P101">
            <v>25790</v>
          </cell>
          <cell r="Q101">
            <v>25790</v>
          </cell>
        </row>
        <row r="102">
          <cell r="A102" t="str">
            <v>SB-AXA-51</v>
          </cell>
          <cell r="B102" t="str">
            <v>SB</v>
          </cell>
          <cell r="C102">
            <v>170</v>
          </cell>
          <cell r="D102">
            <v>32</v>
          </cell>
          <cell r="E102">
            <v>7</v>
          </cell>
          <cell r="F102">
            <v>19850</v>
          </cell>
          <cell r="O102">
            <v>1.3449856</v>
          </cell>
          <cell r="P102">
            <v>19850</v>
          </cell>
          <cell r="Q102">
            <v>19850</v>
          </cell>
        </row>
        <row r="103">
          <cell r="A103" t="str">
            <v>SB-AXA-52</v>
          </cell>
          <cell r="B103" t="str">
            <v>SB</v>
          </cell>
          <cell r="C103">
            <v>173</v>
          </cell>
          <cell r="D103">
            <v>36</v>
          </cell>
          <cell r="E103">
            <v>10</v>
          </cell>
          <cell r="F103">
            <v>30450</v>
          </cell>
          <cell r="O103">
            <v>2.1997296</v>
          </cell>
          <cell r="P103">
            <v>30450</v>
          </cell>
          <cell r="Q103">
            <v>30450</v>
          </cell>
        </row>
        <row r="104">
          <cell r="A104" t="str">
            <v>SB-CA</v>
          </cell>
          <cell r="B104" t="str">
            <v>SB</v>
          </cell>
          <cell r="C104">
            <v>71.5</v>
          </cell>
          <cell r="D104">
            <v>16</v>
          </cell>
          <cell r="E104">
            <v>6</v>
          </cell>
          <cell r="F104">
            <v>2850</v>
          </cell>
          <cell r="O104">
            <v>0.24243648000000001</v>
          </cell>
          <cell r="P104">
            <v>2850</v>
          </cell>
          <cell r="Q104">
            <v>2850</v>
          </cell>
        </row>
        <row r="105">
          <cell r="A105" t="str">
            <v>SB-CB</v>
          </cell>
          <cell r="B105" t="str">
            <v>SB</v>
          </cell>
          <cell r="C105">
            <v>66</v>
          </cell>
          <cell r="D105">
            <v>30</v>
          </cell>
          <cell r="E105">
            <v>23</v>
          </cell>
          <cell r="F105">
            <v>20890</v>
          </cell>
          <cell r="O105">
            <v>1.6084727999999999</v>
          </cell>
          <cell r="P105">
            <v>20890</v>
          </cell>
          <cell r="Q105">
            <v>20890</v>
          </cell>
        </row>
        <row r="106">
          <cell r="A106" t="str">
            <v>SB-CB.P-T</v>
          </cell>
          <cell r="B106" t="str">
            <v>SB</v>
          </cell>
          <cell r="C106">
            <v>128</v>
          </cell>
          <cell r="D106">
            <v>30</v>
          </cell>
          <cell r="E106">
            <v>9</v>
          </cell>
          <cell r="F106">
            <v>24000</v>
          </cell>
          <cell r="O106">
            <v>1.2206592000000001</v>
          </cell>
          <cell r="P106">
            <v>24000</v>
          </cell>
          <cell r="Q106">
            <v>24000</v>
          </cell>
        </row>
        <row r="107">
          <cell r="A107" t="str">
            <v>SB-CS-LA</v>
          </cell>
          <cell r="B107" t="str">
            <v>SB</v>
          </cell>
          <cell r="C107">
            <v>98</v>
          </cell>
          <cell r="D107">
            <v>29</v>
          </cell>
          <cell r="E107">
            <v>8</v>
          </cell>
          <cell r="F107">
            <v>6800</v>
          </cell>
          <cell r="O107">
            <v>0.80303552</v>
          </cell>
          <cell r="P107">
            <v>6800</v>
          </cell>
          <cell r="Q107">
            <v>6800</v>
          </cell>
        </row>
        <row r="108">
          <cell r="A108" t="str">
            <v>SB-CS-ST</v>
          </cell>
          <cell r="B108" t="str">
            <v>SB</v>
          </cell>
          <cell r="C108">
            <v>67</v>
          </cell>
          <cell r="D108">
            <v>19</v>
          </cell>
          <cell r="E108">
            <v>10</v>
          </cell>
          <cell r="F108">
            <v>4300</v>
          </cell>
          <cell r="O108">
            <v>0.44962360000000001</v>
          </cell>
          <cell r="P108">
            <v>4300</v>
          </cell>
          <cell r="Q108">
            <v>4300</v>
          </cell>
        </row>
        <row r="109">
          <cell r="A109" t="str">
            <v>SB-JMY</v>
          </cell>
          <cell r="B109" t="str">
            <v>SB</v>
          </cell>
          <cell r="C109">
            <v>84</v>
          </cell>
          <cell r="D109">
            <v>28</v>
          </cell>
          <cell r="E109">
            <v>19</v>
          </cell>
          <cell r="F109">
            <v>22300</v>
          </cell>
          <cell r="O109">
            <v>1.57838016</v>
          </cell>
          <cell r="P109">
            <v>22300</v>
          </cell>
          <cell r="Q109">
            <v>22300</v>
          </cell>
        </row>
        <row r="110">
          <cell r="A110" t="str">
            <v>SB-LGN</v>
          </cell>
          <cell r="B110" t="str">
            <v>SB</v>
          </cell>
          <cell r="C110">
            <v>143</v>
          </cell>
          <cell r="D110">
            <v>28</v>
          </cell>
          <cell r="E110">
            <v>7</v>
          </cell>
          <cell r="F110">
            <v>10500</v>
          </cell>
          <cell r="O110">
            <v>0.98994895999999999</v>
          </cell>
          <cell r="P110">
            <v>10500</v>
          </cell>
          <cell r="Q110">
            <v>10500</v>
          </cell>
        </row>
        <row r="111">
          <cell r="A111" t="str">
            <v>SB-MOL</v>
          </cell>
          <cell r="B111" t="str">
            <v>SB</v>
          </cell>
          <cell r="C111">
            <v>185</v>
          </cell>
          <cell r="D111">
            <v>32</v>
          </cell>
          <cell r="E111">
            <v>8</v>
          </cell>
          <cell r="F111">
            <v>18850</v>
          </cell>
          <cell r="O111">
            <v>1.6727551999999999</v>
          </cell>
          <cell r="P111">
            <v>18850</v>
          </cell>
          <cell r="Q111">
            <v>18850</v>
          </cell>
        </row>
        <row r="112">
          <cell r="A112" t="str">
            <v>SB-MPL</v>
          </cell>
          <cell r="B112" t="str">
            <v>SB</v>
          </cell>
          <cell r="C112">
            <v>87</v>
          </cell>
          <cell r="D112">
            <v>20</v>
          </cell>
          <cell r="E112">
            <v>9</v>
          </cell>
          <cell r="F112">
            <v>5890</v>
          </cell>
          <cell r="O112">
            <v>0.55311120000000003</v>
          </cell>
          <cell r="P112">
            <v>5890</v>
          </cell>
          <cell r="Q112">
            <v>5890</v>
          </cell>
        </row>
        <row r="113">
          <cell r="A113" t="str">
            <v>SB-MXL-LA</v>
          </cell>
          <cell r="B113" t="str">
            <v>SB</v>
          </cell>
          <cell r="C113">
            <v>159</v>
          </cell>
          <cell r="D113">
            <v>30</v>
          </cell>
          <cell r="E113">
            <v>10</v>
          </cell>
          <cell r="F113">
            <v>24450</v>
          </cell>
          <cell r="O113">
            <v>1.6847639999999999</v>
          </cell>
          <cell r="P113">
            <v>24450</v>
          </cell>
          <cell r="Q113">
            <v>24450</v>
          </cell>
        </row>
        <row r="114">
          <cell r="A114" t="str">
            <v>SB-MXL-ST</v>
          </cell>
          <cell r="B114" t="str">
            <v>SB</v>
          </cell>
          <cell r="C114">
            <v>84</v>
          </cell>
          <cell r="D114">
            <v>29</v>
          </cell>
          <cell r="E114">
            <v>10</v>
          </cell>
          <cell r="F114">
            <v>10850</v>
          </cell>
          <cell r="O114">
            <v>0.86039520000000003</v>
          </cell>
          <cell r="P114">
            <v>10850</v>
          </cell>
          <cell r="Q114">
            <v>10850</v>
          </cell>
        </row>
        <row r="115">
          <cell r="A115" t="str">
            <v>SB-NBK</v>
          </cell>
          <cell r="B115" t="str">
            <v>SB</v>
          </cell>
          <cell r="C115">
            <v>165</v>
          </cell>
          <cell r="D115">
            <v>36</v>
          </cell>
          <cell r="E115">
            <v>9</v>
          </cell>
          <cell r="F115">
            <v>24450</v>
          </cell>
          <cell r="O115">
            <v>1.8882072000000001</v>
          </cell>
          <cell r="P115">
            <v>24450</v>
          </cell>
          <cell r="Q115">
            <v>24450</v>
          </cell>
        </row>
        <row r="116">
          <cell r="A116" t="str">
            <v>SB-OS</v>
          </cell>
          <cell r="B116" t="str">
            <v>SB</v>
          </cell>
          <cell r="C116">
            <v>121</v>
          </cell>
          <cell r="D116">
            <v>45</v>
          </cell>
          <cell r="E116">
            <v>6</v>
          </cell>
          <cell r="F116">
            <v>9850</v>
          </cell>
          <cell r="O116">
            <v>1.1539043999999998</v>
          </cell>
          <cell r="P116">
            <v>9850</v>
          </cell>
          <cell r="Q116">
            <v>9850</v>
          </cell>
        </row>
        <row r="117">
          <cell r="A117" t="str">
            <v>SB-PH</v>
          </cell>
          <cell r="B117" t="str">
            <v>SB</v>
          </cell>
          <cell r="C117">
            <v>74</v>
          </cell>
          <cell r="D117">
            <v>17</v>
          </cell>
          <cell r="E117">
            <v>5</v>
          </cell>
          <cell r="F117">
            <v>2350</v>
          </cell>
          <cell r="O117">
            <v>0.22216279999999999</v>
          </cell>
          <cell r="P117">
            <v>2350</v>
          </cell>
          <cell r="Q117">
            <v>2350</v>
          </cell>
        </row>
        <row r="118">
          <cell r="A118" t="str">
            <v>S-BR-4</v>
          </cell>
          <cell r="B118" t="str">
            <v>SB</v>
          </cell>
          <cell r="C118">
            <v>75</v>
          </cell>
          <cell r="D118">
            <v>36</v>
          </cell>
          <cell r="E118">
            <v>5</v>
          </cell>
          <cell r="F118">
            <v>3725</v>
          </cell>
          <cell r="O118">
            <v>0.47682000000000002</v>
          </cell>
          <cell r="P118">
            <v>3725</v>
          </cell>
          <cell r="Q118">
            <v>3725</v>
          </cell>
        </row>
        <row r="119">
          <cell r="A119" t="str">
            <v>S-BR-6</v>
          </cell>
          <cell r="B119" t="str">
            <v>SB</v>
          </cell>
          <cell r="C119">
            <v>68</v>
          </cell>
          <cell r="D119">
            <v>37</v>
          </cell>
          <cell r="E119">
            <v>6</v>
          </cell>
          <cell r="F119">
            <v>3890</v>
          </cell>
          <cell r="O119">
            <v>0.53319072000000001</v>
          </cell>
          <cell r="P119">
            <v>3890</v>
          </cell>
          <cell r="Q119">
            <v>3890</v>
          </cell>
        </row>
        <row r="120">
          <cell r="A120" t="str">
            <v>S-BR-F6</v>
          </cell>
          <cell r="B120" t="str">
            <v>SB</v>
          </cell>
          <cell r="C120">
            <v>119</v>
          </cell>
          <cell r="D120">
            <v>30</v>
          </cell>
          <cell r="E120">
            <v>6</v>
          </cell>
          <cell r="F120">
            <v>6500</v>
          </cell>
          <cell r="O120">
            <v>0.75655440000000007</v>
          </cell>
          <cell r="P120">
            <v>6500</v>
          </cell>
          <cell r="Q120">
            <v>6500</v>
          </cell>
        </row>
        <row r="121">
          <cell r="A121" t="str">
            <v>SB-SML</v>
          </cell>
          <cell r="B121" t="str">
            <v> </v>
          </cell>
          <cell r="O121">
            <v>0</v>
          </cell>
          <cell r="P121">
            <v>0</v>
          </cell>
          <cell r="Q121">
            <v>0</v>
          </cell>
        </row>
        <row r="122">
          <cell r="A122" t="str">
            <v>SB-SN-D</v>
          </cell>
          <cell r="B122" t="str">
            <v>SB</v>
          </cell>
          <cell r="C122">
            <v>181</v>
          </cell>
          <cell r="D122">
            <v>32</v>
          </cell>
          <cell r="E122">
            <v>9</v>
          </cell>
          <cell r="F122">
            <v>31750</v>
          </cell>
          <cell r="O122">
            <v>1.8411609600000001</v>
          </cell>
          <cell r="P122">
            <v>31750</v>
          </cell>
          <cell r="Q122">
            <v>31750</v>
          </cell>
        </row>
        <row r="123">
          <cell r="A123" t="str">
            <v>SB-SN-N</v>
          </cell>
          <cell r="B123" t="str">
            <v>SB</v>
          </cell>
          <cell r="C123">
            <v>165</v>
          </cell>
          <cell r="D123">
            <v>34</v>
          </cell>
          <cell r="E123">
            <v>9</v>
          </cell>
          <cell r="F123">
            <v>21800</v>
          </cell>
          <cell r="O123">
            <v>1.7833068000000001</v>
          </cell>
          <cell r="P123">
            <v>21800</v>
          </cell>
          <cell r="Q123">
            <v>21800</v>
          </cell>
        </row>
        <row r="124">
          <cell r="A124" t="str">
            <v>SB-WA</v>
          </cell>
          <cell r="B124" t="str">
            <v>SB</v>
          </cell>
          <cell r="C124">
            <v>144</v>
          </cell>
          <cell r="D124">
            <v>31</v>
          </cell>
          <cell r="E124">
            <v>5</v>
          </cell>
          <cell r="F124">
            <v>7600</v>
          </cell>
          <cell r="O124">
            <v>0.7883424</v>
          </cell>
          <cell r="P124">
            <v>7600</v>
          </cell>
          <cell r="Q124">
            <v>7600</v>
          </cell>
        </row>
        <row r="125">
          <cell r="A125" t="str">
            <v>SB-WA-WM</v>
          </cell>
          <cell r="B125" t="str">
            <v>SB</v>
          </cell>
          <cell r="C125">
            <v>144</v>
          </cell>
          <cell r="D125">
            <v>21</v>
          </cell>
          <cell r="E125">
            <v>7</v>
          </cell>
          <cell r="F125">
            <v>7510</v>
          </cell>
          <cell r="O125">
            <v>0.74765375999999995</v>
          </cell>
          <cell r="P125">
            <v>7510</v>
          </cell>
          <cell r="Q125">
            <v>7510</v>
          </cell>
        </row>
        <row r="126">
          <cell r="A126" t="str">
            <v>SB-WLB</v>
          </cell>
          <cell r="B126" t="str">
            <v>SB</v>
          </cell>
          <cell r="C126">
            <v>158</v>
          </cell>
          <cell r="D126">
            <v>31</v>
          </cell>
          <cell r="E126">
            <v>9</v>
          </cell>
          <cell r="F126">
            <v>18485</v>
          </cell>
          <cell r="O126">
            <v>1.5569762400000002</v>
          </cell>
          <cell r="P126">
            <v>18485</v>
          </cell>
          <cell r="Q126">
            <v>18485</v>
          </cell>
        </row>
        <row r="127">
          <cell r="A127" t="str">
            <v>S-CC</v>
          </cell>
          <cell r="B127" t="str">
            <v>SB</v>
          </cell>
          <cell r="C127">
            <v>187</v>
          </cell>
          <cell r="D127">
            <v>43</v>
          </cell>
          <cell r="E127">
            <v>5</v>
          </cell>
          <cell r="F127">
            <v>13800</v>
          </cell>
          <cell r="O127">
            <v>1.4200405999999999</v>
          </cell>
          <cell r="P127">
            <v>13800</v>
          </cell>
          <cell r="Q127">
            <v>13800</v>
          </cell>
        </row>
        <row r="128">
          <cell r="A128" t="str">
            <v>S-CK-2</v>
          </cell>
          <cell r="B128" t="str">
            <v> </v>
          </cell>
          <cell r="O128">
            <v>0</v>
          </cell>
          <cell r="P128">
            <v>0</v>
          </cell>
          <cell r="Q128">
            <v>0</v>
          </cell>
        </row>
        <row r="129">
          <cell r="A129" t="str">
            <v>S-CRF</v>
          </cell>
          <cell r="B129" t="str">
            <v>SB</v>
          </cell>
          <cell r="C129">
            <v>97</v>
          </cell>
          <cell r="D129">
            <v>20</v>
          </cell>
          <cell r="E129">
            <v>10</v>
          </cell>
          <cell r="F129">
            <v>8895</v>
          </cell>
          <cell r="O129">
            <v>0.68520800000000004</v>
          </cell>
          <cell r="P129">
            <v>8895</v>
          </cell>
          <cell r="Q129">
            <v>8895</v>
          </cell>
        </row>
        <row r="130">
          <cell r="A130" t="str">
            <v>S-ERA</v>
          </cell>
          <cell r="B130" t="str">
            <v>SB</v>
          </cell>
          <cell r="C130">
            <v>69</v>
          </cell>
          <cell r="D130">
            <v>35</v>
          </cell>
          <cell r="E130">
            <v>8</v>
          </cell>
          <cell r="F130">
            <v>9890</v>
          </cell>
          <cell r="O130">
            <v>0.68238240000000006</v>
          </cell>
          <cell r="P130">
            <v>9890</v>
          </cell>
          <cell r="Q130">
            <v>9890</v>
          </cell>
        </row>
        <row r="131">
          <cell r="A131" t="str">
            <v>S-ETN</v>
          </cell>
          <cell r="B131" t="str">
            <v>SB</v>
          </cell>
          <cell r="C131">
            <v>87</v>
          </cell>
          <cell r="D131">
            <v>19</v>
          </cell>
          <cell r="E131">
            <v>8</v>
          </cell>
          <cell r="F131">
            <v>4360</v>
          </cell>
          <cell r="O131">
            <v>0.46707167999999999</v>
          </cell>
          <cell r="P131">
            <v>4360</v>
          </cell>
          <cell r="Q131">
            <v>4360</v>
          </cell>
        </row>
        <row r="132">
          <cell r="A132" t="str">
            <v>S-FE-W2</v>
          </cell>
          <cell r="B132" t="str">
            <v>SB</v>
          </cell>
          <cell r="C132">
            <v>19.5</v>
          </cell>
          <cell r="D132">
            <v>19</v>
          </cell>
          <cell r="E132">
            <v>7</v>
          </cell>
          <cell r="F132">
            <v>900</v>
          </cell>
          <cell r="O132">
            <v>9.160241999999999E-2</v>
          </cell>
          <cell r="P132">
            <v>900</v>
          </cell>
          <cell r="Q132">
            <v>900</v>
          </cell>
        </row>
        <row r="133">
          <cell r="A133" t="str">
            <v>S-GRB</v>
          </cell>
          <cell r="B133" t="str">
            <v>SB</v>
          </cell>
          <cell r="C133">
            <v>69</v>
          </cell>
          <cell r="D133">
            <v>19</v>
          </cell>
          <cell r="E133">
            <v>9</v>
          </cell>
          <cell r="F133">
            <v>3890</v>
          </cell>
          <cell r="O133">
            <v>0.41674068000000003</v>
          </cell>
          <cell r="P133">
            <v>3890</v>
          </cell>
          <cell r="Q133">
            <v>3890</v>
          </cell>
        </row>
        <row r="134">
          <cell r="A134" t="str">
            <v>SH-CHR</v>
          </cell>
          <cell r="B134" t="str">
            <v>SB</v>
          </cell>
          <cell r="F134">
            <v>1260</v>
          </cell>
          <cell r="O134">
            <v>0</v>
          </cell>
          <cell r="P134">
            <v>1260</v>
          </cell>
          <cell r="Q134">
            <v>1260</v>
          </cell>
        </row>
        <row r="135">
          <cell r="A135" t="str">
            <v>S-JVS</v>
          </cell>
          <cell r="B135" t="str">
            <v>SB</v>
          </cell>
          <cell r="C135">
            <v>82</v>
          </cell>
          <cell r="D135">
            <v>20</v>
          </cell>
          <cell r="E135">
            <v>9</v>
          </cell>
          <cell r="F135">
            <v>6800</v>
          </cell>
          <cell r="O135">
            <v>0.52132319999999999</v>
          </cell>
          <cell r="P135">
            <v>6800</v>
          </cell>
          <cell r="Q135">
            <v>6800</v>
          </cell>
        </row>
        <row r="136">
          <cell r="A136" t="str">
            <v>S-LC</v>
          </cell>
          <cell r="B136" t="str">
            <v>SB</v>
          </cell>
          <cell r="C136">
            <v>61</v>
          </cell>
          <cell r="D136">
            <v>17</v>
          </cell>
          <cell r="E136">
            <v>6</v>
          </cell>
          <cell r="F136">
            <v>1890</v>
          </cell>
          <cell r="O136">
            <v>0.21976104000000002</v>
          </cell>
          <cell r="P136">
            <v>1890</v>
          </cell>
          <cell r="Q136">
            <v>1890</v>
          </cell>
        </row>
        <row r="137">
          <cell r="A137" t="str">
            <v>S-LO</v>
          </cell>
          <cell r="B137" t="str">
            <v>SB</v>
          </cell>
          <cell r="C137">
            <v>113</v>
          </cell>
          <cell r="D137">
            <v>18</v>
          </cell>
          <cell r="E137">
            <v>4</v>
          </cell>
          <cell r="F137">
            <v>2890</v>
          </cell>
          <cell r="O137">
            <v>0.28736351999999998</v>
          </cell>
          <cell r="P137">
            <v>2890</v>
          </cell>
          <cell r="Q137">
            <v>2890</v>
          </cell>
        </row>
        <row r="138">
          <cell r="A138" t="str">
            <v>SL-VE-18</v>
          </cell>
          <cell r="B138" t="str">
            <v> </v>
          </cell>
          <cell r="O138">
            <v>0</v>
          </cell>
          <cell r="P138">
            <v>0</v>
          </cell>
          <cell r="Q138">
            <v>0</v>
          </cell>
        </row>
        <row r="139">
          <cell r="A139" t="str">
            <v>SL-VE-P</v>
          </cell>
          <cell r="B139" t="str">
            <v>SB</v>
          </cell>
          <cell r="C139">
            <v>50</v>
          </cell>
          <cell r="D139">
            <v>29</v>
          </cell>
          <cell r="E139">
            <v>8</v>
          </cell>
          <cell r="F139">
            <v>1890</v>
          </cell>
          <cell r="O139">
            <v>0.40971199999999997</v>
          </cell>
          <cell r="P139">
            <v>1890</v>
          </cell>
          <cell r="Q139">
            <v>1890</v>
          </cell>
        </row>
        <row r="140">
          <cell r="A140" t="str">
            <v>S-MO-3</v>
          </cell>
          <cell r="B140" t="str">
            <v>SB</v>
          </cell>
          <cell r="C140">
            <v>27.5</v>
          </cell>
          <cell r="D140">
            <v>27.5</v>
          </cell>
          <cell r="E140">
            <v>17.5</v>
          </cell>
          <cell r="F140">
            <v>2890</v>
          </cell>
          <cell r="O140">
            <v>0.46743812499999998</v>
          </cell>
          <cell r="P140">
            <v>2890</v>
          </cell>
          <cell r="Q140">
            <v>2890</v>
          </cell>
        </row>
        <row r="141">
          <cell r="A141" t="str">
            <v>S-MO-5</v>
          </cell>
          <cell r="B141" t="str">
            <v>SB</v>
          </cell>
          <cell r="C141">
            <v>26</v>
          </cell>
          <cell r="D141">
            <v>25</v>
          </cell>
          <cell r="E141">
            <v>25</v>
          </cell>
          <cell r="F141">
            <v>4500</v>
          </cell>
          <cell r="O141">
            <v>0.57395000000000007</v>
          </cell>
          <cell r="P141">
            <v>4500</v>
          </cell>
          <cell r="Q141">
            <v>4500</v>
          </cell>
        </row>
        <row r="142">
          <cell r="A142" t="str">
            <v>S-PTE</v>
          </cell>
          <cell r="B142" t="str">
            <v>SB</v>
          </cell>
          <cell r="C142">
            <v>144</v>
          </cell>
          <cell r="D142">
            <v>20</v>
          </cell>
          <cell r="E142">
            <v>8</v>
          </cell>
          <cell r="F142">
            <v>11600</v>
          </cell>
          <cell r="O142">
            <v>0.81377280000000007</v>
          </cell>
          <cell r="P142">
            <v>11600</v>
          </cell>
          <cell r="Q142">
            <v>11600</v>
          </cell>
        </row>
        <row r="143">
          <cell r="A143" t="str">
            <v>S-PTE-W</v>
          </cell>
          <cell r="B143" t="str">
            <v>SB</v>
          </cell>
          <cell r="C143">
            <v>145</v>
          </cell>
          <cell r="D143">
            <v>22</v>
          </cell>
          <cell r="E143">
            <v>9</v>
          </cell>
          <cell r="F143">
            <v>11430</v>
          </cell>
          <cell r="O143">
            <v>1.0140372</v>
          </cell>
          <cell r="P143">
            <v>11430</v>
          </cell>
          <cell r="Q143">
            <v>11430</v>
          </cell>
        </row>
        <row r="144">
          <cell r="A144" t="str">
            <v>SR-BKN-2</v>
          </cell>
          <cell r="B144" t="str">
            <v>SB</v>
          </cell>
          <cell r="C144">
            <v>83</v>
          </cell>
          <cell r="D144">
            <v>43</v>
          </cell>
          <cell r="E144">
            <v>15</v>
          </cell>
          <cell r="F144">
            <v>19850</v>
          </cell>
          <cell r="O144">
            <v>1.8908562</v>
          </cell>
          <cell r="P144">
            <v>19850</v>
          </cell>
          <cell r="Q144">
            <v>19850</v>
          </cell>
        </row>
        <row r="145">
          <cell r="A145" t="str">
            <v>SR-CLE</v>
          </cell>
          <cell r="B145" t="str">
            <v>SB</v>
          </cell>
          <cell r="C145">
            <v>81</v>
          </cell>
          <cell r="D145">
            <v>43</v>
          </cell>
          <cell r="E145">
            <v>14</v>
          </cell>
          <cell r="F145">
            <v>20800</v>
          </cell>
          <cell r="O145">
            <v>1.7222738399999999</v>
          </cell>
          <cell r="P145">
            <v>20800</v>
          </cell>
          <cell r="Q145">
            <v>20800</v>
          </cell>
        </row>
        <row r="146">
          <cell r="A146" t="str">
            <v>SR-CLM-2</v>
          </cell>
          <cell r="B146" t="str">
            <v>SB</v>
          </cell>
          <cell r="C146">
            <v>82</v>
          </cell>
          <cell r="D146">
            <v>43</v>
          </cell>
          <cell r="E146">
            <v>13</v>
          </cell>
          <cell r="F146">
            <v>16850</v>
          </cell>
          <cell r="O146">
            <v>1.6189981599999999</v>
          </cell>
          <cell r="P146">
            <v>16850</v>
          </cell>
          <cell r="Q146">
            <v>16850</v>
          </cell>
        </row>
        <row r="147">
          <cell r="A147" t="str">
            <v>SR-CLM-3</v>
          </cell>
          <cell r="B147" t="str">
            <v>SB</v>
          </cell>
          <cell r="C147">
            <v>129</v>
          </cell>
          <cell r="D147">
            <v>43</v>
          </cell>
          <cell r="E147">
            <v>13</v>
          </cell>
          <cell r="F147">
            <v>26300</v>
          </cell>
          <cell r="O147">
            <v>2.5469605199999998</v>
          </cell>
          <cell r="P147">
            <v>26300</v>
          </cell>
          <cell r="Q147">
            <v>26300</v>
          </cell>
        </row>
        <row r="148">
          <cell r="A148" t="str">
            <v>SR-CLM-T</v>
          </cell>
          <cell r="B148" t="str">
            <v>SB</v>
          </cell>
          <cell r="C148">
            <v>129</v>
          </cell>
          <cell r="D148">
            <v>43</v>
          </cell>
          <cell r="E148">
            <v>13</v>
          </cell>
          <cell r="F148">
            <v>30000</v>
          </cell>
          <cell r="O148">
            <v>2.5469605199999998</v>
          </cell>
          <cell r="P148">
            <v>30000</v>
          </cell>
          <cell r="Q148">
            <v>30000</v>
          </cell>
        </row>
        <row r="149">
          <cell r="A149" t="str">
            <v>SR-KPN</v>
          </cell>
          <cell r="B149" t="str">
            <v>SB</v>
          </cell>
          <cell r="C149">
            <v>148</v>
          </cell>
          <cell r="D149">
            <v>40</v>
          </cell>
          <cell r="E149">
            <v>12</v>
          </cell>
          <cell r="F149">
            <v>33500</v>
          </cell>
          <cell r="O149">
            <v>2.5091328000000002</v>
          </cell>
          <cell r="P149">
            <v>33500</v>
          </cell>
          <cell r="Q149">
            <v>33500</v>
          </cell>
        </row>
        <row r="150">
          <cell r="A150" t="str">
            <v>SR-LRL</v>
          </cell>
          <cell r="B150" t="str">
            <v>SB</v>
          </cell>
          <cell r="C150">
            <v>103</v>
          </cell>
          <cell r="D150">
            <v>35</v>
          </cell>
          <cell r="E150">
            <v>7</v>
          </cell>
          <cell r="F150">
            <v>12210</v>
          </cell>
          <cell r="O150">
            <v>0.89130019999999999</v>
          </cell>
          <cell r="P150">
            <v>12210</v>
          </cell>
          <cell r="Q150">
            <v>12210</v>
          </cell>
        </row>
        <row r="151">
          <cell r="A151" t="str">
            <v>SR-MVS</v>
          </cell>
          <cell r="B151" t="str">
            <v>SB</v>
          </cell>
          <cell r="C151">
            <v>93</v>
          </cell>
          <cell r="D151">
            <v>42</v>
          </cell>
          <cell r="E151">
            <v>9</v>
          </cell>
          <cell r="F151">
            <v>30650</v>
          </cell>
          <cell r="O151">
            <v>1.24163928</v>
          </cell>
          <cell r="P151">
            <v>30650</v>
          </cell>
          <cell r="Q151">
            <v>30650</v>
          </cell>
        </row>
        <row r="152">
          <cell r="A152" t="str">
            <v>SR-OLY</v>
          </cell>
          <cell r="B152" t="str">
            <v>SB</v>
          </cell>
          <cell r="C152">
            <v>147</v>
          </cell>
          <cell r="D152">
            <v>38</v>
          </cell>
          <cell r="E152">
            <v>11</v>
          </cell>
          <cell r="F152">
            <v>29450</v>
          </cell>
          <cell r="O152">
            <v>2.1702727199999998</v>
          </cell>
          <cell r="P152">
            <v>29450</v>
          </cell>
          <cell r="Q152">
            <v>29450</v>
          </cell>
        </row>
        <row r="153">
          <cell r="A153" t="str">
            <v>SR-PRG</v>
          </cell>
          <cell r="B153" t="str">
            <v>SB</v>
          </cell>
          <cell r="C153">
            <v>140</v>
          </cell>
          <cell r="D153">
            <v>49</v>
          </cell>
          <cell r="E153">
            <v>12</v>
          </cell>
          <cell r="F153">
            <v>35720</v>
          </cell>
          <cell r="O153">
            <v>2.9075424000000001</v>
          </cell>
          <cell r="P153">
            <v>35720</v>
          </cell>
          <cell r="Q153">
            <v>35720</v>
          </cell>
        </row>
        <row r="154">
          <cell r="A154" t="str">
            <v>SR-WHTO</v>
          </cell>
          <cell r="B154" t="str">
            <v>SB</v>
          </cell>
          <cell r="C154">
            <v>117</v>
          </cell>
          <cell r="D154">
            <v>42</v>
          </cell>
          <cell r="E154">
            <v>17</v>
          </cell>
          <cell r="F154">
            <v>24400</v>
          </cell>
          <cell r="O154">
            <v>2.95056216</v>
          </cell>
          <cell r="P154">
            <v>24400</v>
          </cell>
          <cell r="Q154">
            <v>24400</v>
          </cell>
        </row>
        <row r="155">
          <cell r="A155" t="str">
            <v>S-RY</v>
          </cell>
          <cell r="B155" t="str">
            <v>SB</v>
          </cell>
          <cell r="C155">
            <v>67</v>
          </cell>
          <cell r="D155">
            <v>19</v>
          </cell>
          <cell r="E155">
            <v>9</v>
          </cell>
          <cell r="F155">
            <v>3890</v>
          </cell>
          <cell r="O155">
            <v>0.40466124000000003</v>
          </cell>
          <cell r="P155">
            <v>3890</v>
          </cell>
          <cell r="Q155">
            <v>3890</v>
          </cell>
        </row>
        <row r="156">
          <cell r="A156" t="str">
            <v>S-SB-S3</v>
          </cell>
          <cell r="B156" t="str">
            <v>SB</v>
          </cell>
          <cell r="C156">
            <v>32</v>
          </cell>
          <cell r="D156">
            <v>32</v>
          </cell>
          <cell r="E156">
            <v>12</v>
          </cell>
          <cell r="F156">
            <v>1890</v>
          </cell>
          <cell r="O156">
            <v>0.43401216000000004</v>
          </cell>
          <cell r="P156">
            <v>1890</v>
          </cell>
          <cell r="Q156">
            <v>1890</v>
          </cell>
        </row>
        <row r="157">
          <cell r="A157" t="str">
            <v>S-T-16S4</v>
          </cell>
          <cell r="B157" t="str">
            <v>SB</v>
          </cell>
          <cell r="C157">
            <v>86.5</v>
          </cell>
          <cell r="D157">
            <v>16</v>
          </cell>
          <cell r="E157">
            <v>6</v>
          </cell>
          <cell r="F157">
            <v>3890</v>
          </cell>
          <cell r="O157">
            <v>0.29329728000000005</v>
          </cell>
          <cell r="P157">
            <v>3890</v>
          </cell>
          <cell r="Q157">
            <v>3890</v>
          </cell>
        </row>
        <row r="158">
          <cell r="A158" t="str">
            <v>ST-AML</v>
          </cell>
          <cell r="B158" t="str">
            <v>SB</v>
          </cell>
          <cell r="C158">
            <v>122</v>
          </cell>
          <cell r="D158">
            <v>63</v>
          </cell>
          <cell r="E158">
            <v>8</v>
          </cell>
          <cell r="F158">
            <v>18890</v>
          </cell>
          <cell r="O158">
            <v>2.1717561600000002</v>
          </cell>
          <cell r="P158">
            <v>18890</v>
          </cell>
          <cell r="Q158">
            <v>18890</v>
          </cell>
        </row>
        <row r="159">
          <cell r="A159" t="str">
            <v>ST-CBN</v>
          </cell>
          <cell r="B159" t="str">
            <v>SB</v>
          </cell>
          <cell r="C159">
            <v>152</v>
          </cell>
          <cell r="D159">
            <v>58</v>
          </cell>
          <cell r="E159">
            <v>9</v>
          </cell>
          <cell r="F159">
            <v>31890</v>
          </cell>
          <cell r="O159">
            <v>2.8024300800000002</v>
          </cell>
          <cell r="P159">
            <v>31890</v>
          </cell>
          <cell r="Q159">
            <v>31890</v>
          </cell>
        </row>
        <row r="160">
          <cell r="A160" t="str">
            <v>ST-CBN-LS</v>
          </cell>
          <cell r="B160" t="str">
            <v>SB</v>
          </cell>
          <cell r="C160">
            <v>125</v>
          </cell>
          <cell r="D160">
            <v>53</v>
          </cell>
          <cell r="E160">
            <v>13</v>
          </cell>
          <cell r="F160">
            <v>17600</v>
          </cell>
          <cell r="O160">
            <v>3.0419349999999996</v>
          </cell>
          <cell r="P160">
            <v>17600</v>
          </cell>
          <cell r="Q160">
            <v>17600</v>
          </cell>
        </row>
        <row r="161">
          <cell r="A161" t="str">
            <v>ST-CBN-S</v>
          </cell>
          <cell r="B161" t="str">
            <v>SB</v>
          </cell>
          <cell r="C161">
            <v>107</v>
          </cell>
          <cell r="D161">
            <v>59</v>
          </cell>
          <cell r="E161">
            <v>8</v>
          </cell>
          <cell r="F161">
            <v>12700</v>
          </cell>
          <cell r="O161">
            <v>1.78380128</v>
          </cell>
          <cell r="P161">
            <v>12700</v>
          </cell>
          <cell r="Q161">
            <v>12700</v>
          </cell>
        </row>
        <row r="162">
          <cell r="A162" t="str">
            <v>ST-CND-LA</v>
          </cell>
          <cell r="B162" t="str">
            <v>SB</v>
          </cell>
          <cell r="C162">
            <v>112</v>
          </cell>
          <cell r="D162">
            <v>51</v>
          </cell>
          <cell r="E162">
            <v>8</v>
          </cell>
          <cell r="F162">
            <v>14550</v>
          </cell>
          <cell r="O162">
            <v>1.6139827200000001</v>
          </cell>
          <cell r="P162">
            <v>14550</v>
          </cell>
          <cell r="Q162">
            <v>14550</v>
          </cell>
        </row>
        <row r="163">
          <cell r="A163" t="str">
            <v>ST-CND-ST</v>
          </cell>
          <cell r="B163" t="str">
            <v>SB</v>
          </cell>
          <cell r="C163">
            <v>85.7</v>
          </cell>
          <cell r="D163">
            <v>45.7</v>
          </cell>
          <cell r="E163">
            <v>6.5</v>
          </cell>
          <cell r="F163">
            <v>12000</v>
          </cell>
          <cell r="O163">
            <v>0.89914777420000003</v>
          </cell>
          <cell r="P163">
            <v>12000</v>
          </cell>
          <cell r="Q163">
            <v>12000</v>
          </cell>
        </row>
        <row r="164">
          <cell r="A164" t="str">
            <v>S-TCW-10P2</v>
          </cell>
          <cell r="B164" t="str">
            <v>SB</v>
          </cell>
          <cell r="C164">
            <v>35</v>
          </cell>
          <cell r="D164">
            <v>33</v>
          </cell>
          <cell r="E164">
            <v>7</v>
          </cell>
          <cell r="F164">
            <v>1535</v>
          </cell>
          <cell r="O164">
            <v>0.28556219999999999</v>
          </cell>
          <cell r="P164">
            <v>1535</v>
          </cell>
          <cell r="Q164">
            <v>1535</v>
          </cell>
        </row>
        <row r="165">
          <cell r="A165" t="str">
            <v>S-TCW-8P2</v>
          </cell>
          <cell r="B165" t="str">
            <v>SB</v>
          </cell>
          <cell r="C165">
            <v>76</v>
          </cell>
          <cell r="D165">
            <v>26</v>
          </cell>
          <cell r="E165">
            <v>5</v>
          </cell>
          <cell r="F165">
            <v>945</v>
          </cell>
          <cell r="O165">
            <v>0.34896159999999998</v>
          </cell>
          <cell r="P165">
            <v>945</v>
          </cell>
          <cell r="Q165">
            <v>945</v>
          </cell>
        </row>
        <row r="166">
          <cell r="A166" t="str">
            <v>ST-EFI-LA</v>
          </cell>
          <cell r="B166" t="str">
            <v>SB</v>
          </cell>
          <cell r="C166">
            <v>114</v>
          </cell>
          <cell r="D166">
            <v>60</v>
          </cell>
          <cell r="E166">
            <v>5</v>
          </cell>
          <cell r="F166">
            <v>13200</v>
          </cell>
          <cell r="O166">
            <v>1.2079440000000001</v>
          </cell>
          <cell r="P166">
            <v>13200</v>
          </cell>
          <cell r="Q166">
            <v>13200</v>
          </cell>
        </row>
        <row r="167">
          <cell r="A167" t="str">
            <v>ST-EFI-ST</v>
          </cell>
          <cell r="B167" t="str">
            <v>SB</v>
          </cell>
          <cell r="C167">
            <v>97</v>
          </cell>
          <cell r="D167">
            <v>51</v>
          </cell>
          <cell r="E167">
            <v>5</v>
          </cell>
          <cell r="F167">
            <v>9140</v>
          </cell>
          <cell r="O167">
            <v>0.87364019999999998</v>
          </cell>
          <cell r="P167">
            <v>9140</v>
          </cell>
          <cell r="Q167">
            <v>9140</v>
          </cell>
        </row>
        <row r="168">
          <cell r="A168" t="str">
            <v>ST-GSE-LA</v>
          </cell>
          <cell r="B168" t="str">
            <v>SB</v>
          </cell>
          <cell r="C168">
            <v>121</v>
          </cell>
          <cell r="D168">
            <v>63</v>
          </cell>
          <cell r="E168">
            <v>5</v>
          </cell>
          <cell r="F168">
            <v>13215</v>
          </cell>
          <cell r="O168">
            <v>1.3462218000000001</v>
          </cell>
          <cell r="P168">
            <v>13215</v>
          </cell>
          <cell r="Q168">
            <v>13215</v>
          </cell>
        </row>
        <row r="169">
          <cell r="A169" t="str">
            <v>ST-GSE-ST</v>
          </cell>
          <cell r="B169" t="str">
            <v>SB</v>
          </cell>
          <cell r="C169">
            <v>97</v>
          </cell>
          <cell r="D169">
            <v>56</v>
          </cell>
          <cell r="E169">
            <v>4</v>
          </cell>
          <cell r="F169">
            <v>9550</v>
          </cell>
          <cell r="O169">
            <v>0.76743296000000005</v>
          </cell>
          <cell r="P169">
            <v>9550</v>
          </cell>
          <cell r="Q169">
            <v>9550</v>
          </cell>
        </row>
        <row r="170">
          <cell r="A170" t="str">
            <v>ST-GSE-WMN</v>
          </cell>
          <cell r="B170" t="str">
            <v>SB</v>
          </cell>
          <cell r="C170">
            <v>87</v>
          </cell>
          <cell r="D170">
            <v>59</v>
          </cell>
          <cell r="E170">
            <v>5</v>
          </cell>
          <cell r="F170">
            <v>6360</v>
          </cell>
          <cell r="O170">
            <v>0.90648780000000007</v>
          </cell>
          <cell r="P170">
            <v>6360</v>
          </cell>
          <cell r="Q170">
            <v>6360</v>
          </cell>
        </row>
        <row r="171">
          <cell r="A171" t="str">
            <v>ST-GSE-WMS</v>
          </cell>
          <cell r="B171" t="str">
            <v>SB</v>
          </cell>
          <cell r="C171">
            <v>86</v>
          </cell>
          <cell r="D171">
            <v>60</v>
          </cell>
          <cell r="E171">
            <v>5</v>
          </cell>
          <cell r="F171">
            <v>8000</v>
          </cell>
          <cell r="O171">
            <v>0.91125599999999995</v>
          </cell>
          <cell r="P171">
            <v>8000</v>
          </cell>
          <cell r="Q171">
            <v>8000</v>
          </cell>
        </row>
        <row r="172">
          <cell r="A172" t="str">
            <v>ST-GSE-WMSF</v>
          </cell>
          <cell r="B172" t="str">
            <v>SB</v>
          </cell>
          <cell r="O172">
            <v>0</v>
          </cell>
          <cell r="P172">
            <v>0</v>
          </cell>
          <cell r="Q172">
            <v>0</v>
          </cell>
        </row>
        <row r="173">
          <cell r="A173" t="str">
            <v>ST-GSE-WMSW</v>
          </cell>
          <cell r="B173" t="str">
            <v>SB</v>
          </cell>
          <cell r="C173">
            <v>87</v>
          </cell>
          <cell r="D173">
            <v>59</v>
          </cell>
          <cell r="E173">
            <v>5</v>
          </cell>
          <cell r="F173">
            <v>6360</v>
          </cell>
          <cell r="O173">
            <v>0.90648780000000007</v>
          </cell>
          <cell r="P173">
            <v>6360</v>
          </cell>
          <cell r="Q173">
            <v>6360</v>
          </cell>
        </row>
        <row r="174">
          <cell r="A174" t="str">
            <v>ST-HE</v>
          </cell>
          <cell r="B174" t="str">
            <v>SB</v>
          </cell>
          <cell r="C174">
            <v>85</v>
          </cell>
          <cell r="D174">
            <v>58</v>
          </cell>
          <cell r="E174">
            <v>4</v>
          </cell>
          <cell r="F174">
            <v>7000</v>
          </cell>
          <cell r="O174">
            <v>0.69651040000000009</v>
          </cell>
          <cell r="P174">
            <v>7000</v>
          </cell>
          <cell r="Q174">
            <v>7000</v>
          </cell>
        </row>
        <row r="175">
          <cell r="A175" t="str">
            <v>ST-HES</v>
          </cell>
          <cell r="B175" t="str">
            <v>SB</v>
          </cell>
          <cell r="C175">
            <v>85</v>
          </cell>
          <cell r="D175">
            <v>66</v>
          </cell>
          <cell r="E175">
            <v>5</v>
          </cell>
          <cell r="F175">
            <v>10750</v>
          </cell>
          <cell r="O175">
            <v>0.990726</v>
          </cell>
          <cell r="P175">
            <v>10750</v>
          </cell>
          <cell r="Q175">
            <v>10750</v>
          </cell>
        </row>
        <row r="176">
          <cell r="A176" t="str">
            <v>ST-KYA</v>
          </cell>
          <cell r="B176" t="str">
            <v>SB</v>
          </cell>
          <cell r="C176">
            <v>85</v>
          </cell>
          <cell r="D176">
            <v>54</v>
          </cell>
          <cell r="E176">
            <v>11</v>
          </cell>
          <cell r="F176">
            <v>24500</v>
          </cell>
          <cell r="O176">
            <v>1.7833068000000001</v>
          </cell>
          <cell r="P176">
            <v>24500</v>
          </cell>
          <cell r="Q176">
            <v>24500</v>
          </cell>
        </row>
        <row r="177">
          <cell r="A177" t="str">
            <v>ST-MLM-L</v>
          </cell>
          <cell r="B177" t="str">
            <v>SB</v>
          </cell>
          <cell r="C177">
            <v>111</v>
          </cell>
          <cell r="D177">
            <v>48</v>
          </cell>
          <cell r="E177">
            <v>10</v>
          </cell>
          <cell r="F177">
            <v>20500</v>
          </cell>
          <cell r="O177">
            <v>1.8818496</v>
          </cell>
          <cell r="P177">
            <v>20500</v>
          </cell>
          <cell r="Q177">
            <v>20500</v>
          </cell>
        </row>
        <row r="178">
          <cell r="A178" t="str">
            <v>ST-MLM-N</v>
          </cell>
          <cell r="B178" t="str">
            <v>SB</v>
          </cell>
          <cell r="C178">
            <v>109</v>
          </cell>
          <cell r="D178">
            <v>47</v>
          </cell>
          <cell r="E178">
            <v>9</v>
          </cell>
          <cell r="F178">
            <v>18300</v>
          </cell>
          <cell r="O178">
            <v>1.62849924</v>
          </cell>
          <cell r="P178">
            <v>18300</v>
          </cell>
          <cell r="Q178">
            <v>18300</v>
          </cell>
        </row>
        <row r="179">
          <cell r="A179" t="str">
            <v>ST-RDO</v>
          </cell>
          <cell r="B179" t="str">
            <v>SB</v>
          </cell>
          <cell r="C179">
            <v>123</v>
          </cell>
          <cell r="D179">
            <v>30</v>
          </cell>
          <cell r="E179">
            <v>13</v>
          </cell>
          <cell r="F179">
            <v>25000</v>
          </cell>
          <cell r="O179">
            <v>1.6943003999999999</v>
          </cell>
          <cell r="P179">
            <v>25000</v>
          </cell>
          <cell r="Q179">
            <v>25000</v>
          </cell>
        </row>
        <row r="180">
          <cell r="A180" t="str">
            <v>ST-RE</v>
          </cell>
          <cell r="B180" t="str">
            <v>SB</v>
          </cell>
          <cell r="C180">
            <v>97</v>
          </cell>
          <cell r="D180">
            <v>49</v>
          </cell>
          <cell r="E180">
            <v>8</v>
          </cell>
          <cell r="F180">
            <v>16992</v>
          </cell>
          <cell r="O180">
            <v>1.3430076800000001</v>
          </cell>
          <cell r="P180">
            <v>16992</v>
          </cell>
          <cell r="Q180">
            <v>16992</v>
          </cell>
        </row>
        <row r="181">
          <cell r="A181" t="str">
            <v>S-TW12-S4</v>
          </cell>
          <cell r="B181" t="str">
            <v>SB</v>
          </cell>
          <cell r="C181">
            <v>55</v>
          </cell>
          <cell r="D181">
            <v>17</v>
          </cell>
          <cell r="E181">
            <v>5</v>
          </cell>
          <cell r="F181">
            <v>1790</v>
          </cell>
          <cell r="O181">
            <v>0.16512100000000002</v>
          </cell>
          <cell r="P181">
            <v>1790</v>
          </cell>
          <cell r="Q181">
            <v>1790</v>
          </cell>
        </row>
        <row r="182">
          <cell r="A182" t="str">
            <v>ST-WLD</v>
          </cell>
          <cell r="B182" t="str">
            <v>SB</v>
          </cell>
          <cell r="C182">
            <v>136</v>
          </cell>
          <cell r="D182">
            <v>77</v>
          </cell>
          <cell r="E182">
            <v>10</v>
          </cell>
          <cell r="F182">
            <v>47550</v>
          </cell>
          <cell r="O182">
            <v>3.6987104</v>
          </cell>
          <cell r="P182">
            <v>47550</v>
          </cell>
          <cell r="Q182">
            <v>47550</v>
          </cell>
        </row>
        <row r="183">
          <cell r="A183" t="str">
            <v>S-XD</v>
          </cell>
          <cell r="B183" t="str">
            <v>SB</v>
          </cell>
          <cell r="C183">
            <v>98</v>
          </cell>
          <cell r="D183">
            <v>25</v>
          </cell>
          <cell r="E183">
            <v>10</v>
          </cell>
          <cell r="F183">
            <v>9700</v>
          </cell>
          <cell r="O183">
            <v>0.86534</v>
          </cell>
          <cell r="P183">
            <v>9700</v>
          </cell>
          <cell r="Q183">
            <v>9700</v>
          </cell>
        </row>
        <row r="184">
          <cell r="A184" t="str">
            <v>TP-MTA</v>
          </cell>
          <cell r="B184" t="str">
            <v>SB</v>
          </cell>
          <cell r="C184">
            <v>145</v>
          </cell>
          <cell r="D184">
            <v>26</v>
          </cell>
          <cell r="E184">
            <v>10</v>
          </cell>
          <cell r="F184">
            <v>16000</v>
          </cell>
          <cell r="O184">
            <v>1.331564</v>
          </cell>
          <cell r="P184">
            <v>16000</v>
          </cell>
          <cell r="Q184">
            <v>16000</v>
          </cell>
        </row>
        <row r="185">
          <cell r="A185" t="str">
            <v>TS-FV</v>
          </cell>
          <cell r="B185" t="str">
            <v>SB</v>
          </cell>
          <cell r="C185">
            <v>56</v>
          </cell>
          <cell r="D185">
            <v>29</v>
          </cell>
          <cell r="E185">
            <v>9</v>
          </cell>
          <cell r="F185">
            <v>5525</v>
          </cell>
          <cell r="O185">
            <v>0.51623711999999999</v>
          </cell>
          <cell r="P185">
            <v>5525</v>
          </cell>
          <cell r="Q185">
            <v>5525</v>
          </cell>
        </row>
        <row r="186">
          <cell r="A186" t="str">
            <v>TS-NL</v>
          </cell>
          <cell r="B186" t="str">
            <v>SB</v>
          </cell>
          <cell r="C186">
            <v>35</v>
          </cell>
          <cell r="D186">
            <v>25</v>
          </cell>
          <cell r="E186">
            <v>5</v>
          </cell>
          <cell r="F186">
            <v>1100</v>
          </cell>
          <cell r="O186">
            <v>0.15452500000000002</v>
          </cell>
          <cell r="P186">
            <v>1100</v>
          </cell>
          <cell r="Q186">
            <v>1100</v>
          </cell>
        </row>
        <row r="187">
          <cell r="A187" t="str">
            <v>TS-NL-A</v>
          </cell>
          <cell r="B187" t="str">
            <v>SB</v>
          </cell>
          <cell r="C187">
            <v>36</v>
          </cell>
          <cell r="D187">
            <v>25</v>
          </cell>
          <cell r="E187">
            <v>5</v>
          </cell>
          <cell r="F187">
            <v>1515</v>
          </cell>
          <cell r="O187">
            <v>0.15894</v>
          </cell>
          <cell r="P187">
            <v>1515</v>
          </cell>
          <cell r="Q187">
            <v>1515</v>
          </cell>
        </row>
        <row r="188">
          <cell r="A188" t="str">
            <v>TU-ARO-LA</v>
          </cell>
          <cell r="B188" t="str">
            <v>SB</v>
          </cell>
          <cell r="C188">
            <v>47</v>
          </cell>
          <cell r="D188">
            <v>35</v>
          </cell>
          <cell r="E188">
            <v>8</v>
          </cell>
          <cell r="F188">
            <v>6000</v>
          </cell>
          <cell r="O188">
            <v>0.46481119999999998</v>
          </cell>
          <cell r="P188">
            <v>6000</v>
          </cell>
          <cell r="Q188">
            <v>6000</v>
          </cell>
        </row>
        <row r="189">
          <cell r="A189" t="str">
            <v>TU-ARO-ST</v>
          </cell>
          <cell r="B189" t="str">
            <v>SB</v>
          </cell>
          <cell r="C189">
            <v>35</v>
          </cell>
          <cell r="D189">
            <v>30</v>
          </cell>
          <cell r="E189">
            <v>9</v>
          </cell>
          <cell r="F189">
            <v>3725</v>
          </cell>
          <cell r="O189">
            <v>0.33377400000000002</v>
          </cell>
          <cell r="P189">
            <v>3725</v>
          </cell>
          <cell r="Q189">
            <v>3725</v>
          </cell>
        </row>
        <row r="190">
          <cell r="A190" t="str">
            <v>TU-ATD</v>
          </cell>
          <cell r="B190" t="str">
            <v>SB</v>
          </cell>
          <cell r="C190">
            <v>175</v>
          </cell>
          <cell r="D190">
            <v>42</v>
          </cell>
          <cell r="E190">
            <v>6</v>
          </cell>
          <cell r="F190">
            <v>21430</v>
          </cell>
          <cell r="O190">
            <v>1.557612</v>
          </cell>
          <cell r="P190">
            <v>21430</v>
          </cell>
          <cell r="Q190">
            <v>21430</v>
          </cell>
        </row>
        <row r="191">
          <cell r="A191" t="str">
            <v>TU-AYL</v>
          </cell>
          <cell r="B191" t="str">
            <v>SB</v>
          </cell>
          <cell r="C191">
            <v>156</v>
          </cell>
          <cell r="D191">
            <v>40</v>
          </cell>
          <cell r="E191">
            <v>7</v>
          </cell>
          <cell r="F191">
            <v>16800</v>
          </cell>
          <cell r="O191">
            <v>1.5427776</v>
          </cell>
          <cell r="P191">
            <v>16800</v>
          </cell>
          <cell r="Q191">
            <v>16800</v>
          </cell>
        </row>
        <row r="192">
          <cell r="A192" t="str">
            <v>TU-BKMT</v>
          </cell>
          <cell r="B192" t="str">
            <v>SB</v>
          </cell>
          <cell r="C192">
            <v>195</v>
          </cell>
          <cell r="D192">
            <v>40</v>
          </cell>
          <cell r="E192">
            <v>10</v>
          </cell>
          <cell r="F192">
            <v>32700</v>
          </cell>
          <cell r="G192">
            <v>145</v>
          </cell>
          <cell r="H192">
            <v>26</v>
          </cell>
          <cell r="I192">
            <v>10</v>
          </cell>
          <cell r="J192">
            <v>16000</v>
          </cell>
          <cell r="O192">
            <v>4.0865239999999998</v>
          </cell>
          <cell r="P192">
            <v>48700</v>
          </cell>
          <cell r="Q192">
            <v>48700</v>
          </cell>
        </row>
        <row r="193">
          <cell r="A193" t="str">
            <v>TU-BKY</v>
          </cell>
          <cell r="B193" t="str">
            <v>SB</v>
          </cell>
          <cell r="C193">
            <v>195</v>
          </cell>
          <cell r="D193">
            <v>40</v>
          </cell>
          <cell r="E193">
            <v>10</v>
          </cell>
          <cell r="F193">
            <v>32700</v>
          </cell>
          <cell r="O193">
            <v>2.7549600000000001</v>
          </cell>
          <cell r="P193">
            <v>32700</v>
          </cell>
          <cell r="Q193">
            <v>32700</v>
          </cell>
        </row>
        <row r="194">
          <cell r="A194" t="str">
            <v>TU-BVN</v>
          </cell>
          <cell r="B194" t="str">
            <v>SB</v>
          </cell>
          <cell r="C194">
            <v>91</v>
          </cell>
          <cell r="D194">
            <v>54</v>
          </cell>
          <cell r="E194">
            <v>9</v>
          </cell>
          <cell r="F194">
            <v>28300</v>
          </cell>
          <cell r="O194">
            <v>1.5620623200000001</v>
          </cell>
          <cell r="P194">
            <v>28300</v>
          </cell>
          <cell r="Q194">
            <v>28300</v>
          </cell>
        </row>
        <row r="195">
          <cell r="A195" t="str">
            <v>TU-CBR-LA</v>
          </cell>
          <cell r="B195" t="str">
            <v>SB</v>
          </cell>
          <cell r="C195">
            <v>117</v>
          </cell>
          <cell r="D195">
            <v>30</v>
          </cell>
          <cell r="E195">
            <v>6</v>
          </cell>
          <cell r="F195">
            <v>8500</v>
          </cell>
          <cell r="O195">
            <v>0.74383919999999992</v>
          </cell>
          <cell r="P195">
            <v>8500</v>
          </cell>
          <cell r="Q195">
            <v>8500</v>
          </cell>
        </row>
        <row r="196">
          <cell r="A196" t="str">
            <v>TU-CBR-ST</v>
          </cell>
          <cell r="B196" t="str">
            <v>SB</v>
          </cell>
          <cell r="C196">
            <v>69</v>
          </cell>
          <cell r="D196">
            <v>28</v>
          </cell>
          <cell r="E196">
            <v>6</v>
          </cell>
          <cell r="F196">
            <v>5000</v>
          </cell>
          <cell r="O196">
            <v>0.40942943999999998</v>
          </cell>
          <cell r="P196">
            <v>5000</v>
          </cell>
          <cell r="Q196">
            <v>5000</v>
          </cell>
        </row>
        <row r="197">
          <cell r="A197" t="str">
            <v>TU-CRL</v>
          </cell>
          <cell r="B197" t="str">
            <v>SB</v>
          </cell>
          <cell r="C197">
            <v>144</v>
          </cell>
          <cell r="D197">
            <v>42</v>
          </cell>
          <cell r="E197">
            <v>10</v>
          </cell>
          <cell r="F197">
            <v>27500</v>
          </cell>
          <cell r="O197">
            <v>2.1361536000000001</v>
          </cell>
          <cell r="P197">
            <v>27500</v>
          </cell>
          <cell r="Q197">
            <v>27500</v>
          </cell>
        </row>
        <row r="198">
          <cell r="A198" t="str">
            <v>TU-DAR</v>
          </cell>
          <cell r="B198" t="str">
            <v>SB</v>
          </cell>
          <cell r="C198">
            <v>149</v>
          </cell>
          <cell r="D198">
            <v>46</v>
          </cell>
          <cell r="E198">
            <v>7</v>
          </cell>
          <cell r="F198">
            <v>23500</v>
          </cell>
          <cell r="O198">
            <v>1.69458296</v>
          </cell>
          <cell r="P198">
            <v>23500</v>
          </cell>
          <cell r="Q198">
            <v>23500</v>
          </cell>
        </row>
        <row r="199">
          <cell r="A199" t="str">
            <v>TU-DRN</v>
          </cell>
          <cell r="B199" t="str">
            <v>SB</v>
          </cell>
          <cell r="C199">
            <v>164</v>
          </cell>
          <cell r="D199">
            <v>40</v>
          </cell>
          <cell r="E199">
            <v>7</v>
          </cell>
          <cell r="F199">
            <v>17400</v>
          </cell>
          <cell r="O199">
            <v>1.6218944000000002</v>
          </cell>
          <cell r="P199">
            <v>17400</v>
          </cell>
          <cell r="Q199">
            <v>17400</v>
          </cell>
        </row>
        <row r="200">
          <cell r="A200" t="str">
            <v>TU-DSK</v>
          </cell>
          <cell r="B200" t="str">
            <v>SB</v>
          </cell>
          <cell r="C200">
            <v>100</v>
          </cell>
          <cell r="D200">
            <v>53</v>
          </cell>
          <cell r="E200">
            <v>9</v>
          </cell>
          <cell r="F200">
            <v>28500</v>
          </cell>
          <cell r="O200">
            <v>1.6847639999999999</v>
          </cell>
          <cell r="P200">
            <v>28500</v>
          </cell>
          <cell r="Q200">
            <v>28500</v>
          </cell>
        </row>
        <row r="201">
          <cell r="A201" t="str">
            <v>TU-ETY-LA</v>
          </cell>
          <cell r="B201" t="str">
            <v>SB</v>
          </cell>
          <cell r="C201">
            <v>127</v>
          </cell>
          <cell r="D201">
            <v>30</v>
          </cell>
          <cell r="E201">
            <v>9</v>
          </cell>
          <cell r="F201">
            <v>13400</v>
          </cell>
          <cell r="O201">
            <v>1.2111228000000001</v>
          </cell>
          <cell r="P201">
            <v>13400</v>
          </cell>
          <cell r="Q201">
            <v>13400</v>
          </cell>
        </row>
        <row r="202">
          <cell r="A202" t="str">
            <v>TU-ETY-M</v>
          </cell>
          <cell r="B202" t="str">
            <v>SB</v>
          </cell>
          <cell r="C202">
            <v>98</v>
          </cell>
          <cell r="D202">
            <v>27</v>
          </cell>
          <cell r="E202">
            <v>6</v>
          </cell>
          <cell r="F202">
            <v>6230</v>
          </cell>
          <cell r="O202">
            <v>0.56074032000000007</v>
          </cell>
          <cell r="P202">
            <v>6230</v>
          </cell>
          <cell r="Q202">
            <v>6230</v>
          </cell>
        </row>
        <row r="203">
          <cell r="A203" t="str">
            <v>TU-ETY-ST</v>
          </cell>
          <cell r="B203" t="str">
            <v>SB</v>
          </cell>
          <cell r="C203">
            <v>97</v>
          </cell>
          <cell r="D203">
            <v>31</v>
          </cell>
          <cell r="E203">
            <v>8</v>
          </cell>
          <cell r="F203">
            <v>11500</v>
          </cell>
          <cell r="O203">
            <v>0.84965792000000007</v>
          </cell>
          <cell r="P203">
            <v>11500</v>
          </cell>
          <cell r="Q203">
            <v>11500</v>
          </cell>
        </row>
        <row r="204">
          <cell r="A204" t="str">
            <v>TU-FL</v>
          </cell>
          <cell r="B204" t="str">
            <v>MB</v>
          </cell>
          <cell r="C204">
            <v>207</v>
          </cell>
          <cell r="D204">
            <v>45</v>
          </cell>
          <cell r="E204">
            <v>10</v>
          </cell>
          <cell r="F204">
            <v>47400</v>
          </cell>
          <cell r="G204">
            <v>146</v>
          </cell>
          <cell r="H204">
            <v>28</v>
          </cell>
          <cell r="I204">
            <v>10</v>
          </cell>
          <cell r="J204">
            <v>20000</v>
          </cell>
          <cell r="K204">
            <v>158</v>
          </cell>
          <cell r="L204">
            <v>28</v>
          </cell>
          <cell r="M204">
            <v>7</v>
          </cell>
          <cell r="N204">
            <v>15180</v>
          </cell>
          <cell r="O204">
            <v>5.8277293600000002</v>
          </cell>
          <cell r="P204">
            <v>82580</v>
          </cell>
          <cell r="Q204">
            <v>82580</v>
          </cell>
        </row>
        <row r="205">
          <cell r="A205" t="str">
            <v>TU-GAU</v>
          </cell>
          <cell r="B205" t="str">
            <v>SB</v>
          </cell>
          <cell r="C205">
            <v>92</v>
          </cell>
          <cell r="D205">
            <v>53</v>
          </cell>
          <cell r="E205">
            <v>9</v>
          </cell>
          <cell r="F205">
            <v>19000</v>
          </cell>
          <cell r="O205">
            <v>1.54998288</v>
          </cell>
          <cell r="P205">
            <v>19000</v>
          </cell>
          <cell r="Q205">
            <v>19000</v>
          </cell>
        </row>
        <row r="206">
          <cell r="A206" t="str">
            <v>TU-HMD</v>
          </cell>
          <cell r="B206" t="str">
            <v>SB</v>
          </cell>
          <cell r="C206">
            <v>134</v>
          </cell>
          <cell r="D206">
            <v>44</v>
          </cell>
          <cell r="E206">
            <v>10</v>
          </cell>
          <cell r="F206">
            <v>26500</v>
          </cell>
          <cell r="O206">
            <v>2.0824672</v>
          </cell>
          <cell r="P206">
            <v>26500</v>
          </cell>
          <cell r="Q206">
            <v>26500</v>
          </cell>
        </row>
        <row r="207">
          <cell r="A207" t="str">
            <v>TU-KU-LA</v>
          </cell>
          <cell r="B207" t="str">
            <v>SB</v>
          </cell>
          <cell r="C207">
            <v>127</v>
          </cell>
          <cell r="D207">
            <v>35</v>
          </cell>
          <cell r="E207">
            <v>7</v>
          </cell>
          <cell r="F207">
            <v>12000</v>
          </cell>
          <cell r="O207">
            <v>1.0989818</v>
          </cell>
          <cell r="P207">
            <v>12000</v>
          </cell>
          <cell r="Q207">
            <v>12000</v>
          </cell>
        </row>
        <row r="208">
          <cell r="A208" t="str">
            <v>TU-KU-ST</v>
          </cell>
          <cell r="B208" t="str">
            <v>SB</v>
          </cell>
          <cell r="C208">
            <v>85</v>
          </cell>
          <cell r="D208">
            <v>29</v>
          </cell>
          <cell r="E208">
            <v>6</v>
          </cell>
          <cell r="F208">
            <v>6000</v>
          </cell>
          <cell r="O208">
            <v>0.52238279999999992</v>
          </cell>
          <cell r="P208">
            <v>6000</v>
          </cell>
          <cell r="Q208">
            <v>6000</v>
          </cell>
        </row>
        <row r="209">
          <cell r="A209" t="str">
            <v>TU-KVD-LA</v>
          </cell>
          <cell r="B209" t="str">
            <v>SB</v>
          </cell>
          <cell r="C209">
            <v>97</v>
          </cell>
          <cell r="D209">
            <v>30</v>
          </cell>
          <cell r="E209">
            <v>5</v>
          </cell>
          <cell r="F209">
            <v>4000</v>
          </cell>
          <cell r="O209">
            <v>0.51390599999999997</v>
          </cell>
          <cell r="P209">
            <v>4000</v>
          </cell>
          <cell r="Q209">
            <v>4000</v>
          </cell>
        </row>
        <row r="210">
          <cell r="A210" t="str">
            <v>TU-KVD-ST</v>
          </cell>
          <cell r="B210" t="str">
            <v>SB</v>
          </cell>
          <cell r="C210">
            <v>66</v>
          </cell>
          <cell r="D210">
            <v>29</v>
          </cell>
          <cell r="E210">
            <v>5</v>
          </cell>
          <cell r="F210">
            <v>3310</v>
          </cell>
          <cell r="O210">
            <v>0.33801239999999999</v>
          </cell>
          <cell r="P210">
            <v>3310</v>
          </cell>
          <cell r="Q210">
            <v>3310</v>
          </cell>
        </row>
        <row r="211">
          <cell r="A211" t="str">
            <v>TU-LE</v>
          </cell>
          <cell r="B211" t="str">
            <v>SB</v>
          </cell>
          <cell r="C211">
            <v>123</v>
          </cell>
          <cell r="D211">
            <v>40</v>
          </cell>
          <cell r="E211">
            <v>9</v>
          </cell>
          <cell r="F211">
            <v>16000</v>
          </cell>
          <cell r="O211">
            <v>1.5639696000000001</v>
          </cell>
          <cell r="P211">
            <v>16000</v>
          </cell>
          <cell r="Q211">
            <v>16000</v>
          </cell>
        </row>
        <row r="212">
          <cell r="A212" t="str">
            <v>TU-MA-LA</v>
          </cell>
          <cell r="B212" t="str">
            <v>SB</v>
          </cell>
          <cell r="C212">
            <v>96</v>
          </cell>
          <cell r="D212">
            <v>31</v>
          </cell>
          <cell r="E212">
            <v>4</v>
          </cell>
          <cell r="F212">
            <v>4500</v>
          </cell>
          <cell r="O212">
            <v>0.42044927999999998</v>
          </cell>
          <cell r="P212">
            <v>4500</v>
          </cell>
          <cell r="Q212">
            <v>4500</v>
          </cell>
        </row>
        <row r="213">
          <cell r="A213" t="str">
            <v>TU-MA-ST</v>
          </cell>
          <cell r="B213" t="str">
            <v>SB</v>
          </cell>
          <cell r="C213">
            <v>68</v>
          </cell>
          <cell r="D213">
            <v>31</v>
          </cell>
          <cell r="E213">
            <v>5</v>
          </cell>
          <cell r="F213">
            <v>3000</v>
          </cell>
          <cell r="O213">
            <v>0.37227280000000001</v>
          </cell>
          <cell r="P213">
            <v>3000</v>
          </cell>
          <cell r="Q213">
            <v>3000</v>
          </cell>
        </row>
        <row r="214">
          <cell r="A214" t="str">
            <v>TU-MLE</v>
          </cell>
          <cell r="B214" t="str">
            <v>SB</v>
          </cell>
          <cell r="C214">
            <v>65.7</v>
          </cell>
          <cell r="D214">
            <v>29.2</v>
          </cell>
          <cell r="E214">
            <v>5</v>
          </cell>
          <cell r="F214">
            <v>4000</v>
          </cell>
          <cell r="O214">
            <v>0.338796504</v>
          </cell>
          <cell r="P214">
            <v>4000</v>
          </cell>
          <cell r="Q214">
            <v>4000</v>
          </cell>
        </row>
        <row r="215">
          <cell r="A215" t="str">
            <v>TU-MYN</v>
          </cell>
          <cell r="B215" t="str">
            <v>SB</v>
          </cell>
          <cell r="C215">
            <v>194</v>
          </cell>
          <cell r="D215">
            <v>44</v>
          </cell>
          <cell r="E215">
            <v>8</v>
          </cell>
          <cell r="F215">
            <v>31500</v>
          </cell>
          <cell r="O215">
            <v>2.4119321600000001</v>
          </cell>
          <cell r="P215">
            <v>31500</v>
          </cell>
          <cell r="Q215">
            <v>31500</v>
          </cell>
        </row>
        <row r="216">
          <cell r="A216" t="str">
            <v>TU-NVH-M</v>
          </cell>
          <cell r="B216" t="str">
            <v>SB</v>
          </cell>
          <cell r="C216">
            <v>127</v>
          </cell>
          <cell r="D216">
            <v>46</v>
          </cell>
          <cell r="E216">
            <v>7</v>
          </cell>
          <cell r="F216">
            <v>22400</v>
          </cell>
          <cell r="O216">
            <v>1.4443760800000001</v>
          </cell>
          <cell r="P216">
            <v>22400</v>
          </cell>
          <cell r="Q216">
            <v>22400</v>
          </cell>
        </row>
        <row r="217">
          <cell r="A217" t="str">
            <v>TU-NVH-ST</v>
          </cell>
          <cell r="B217" t="str">
            <v> </v>
          </cell>
          <cell r="O217">
            <v>0</v>
          </cell>
          <cell r="P217">
            <v>0</v>
          </cell>
          <cell r="Q217">
            <v>0</v>
          </cell>
        </row>
        <row r="218">
          <cell r="A218" t="str">
            <v>TU-OL</v>
          </cell>
          <cell r="B218" t="str">
            <v>SB</v>
          </cell>
          <cell r="C218">
            <v>116</v>
          </cell>
          <cell r="D218">
            <v>40</v>
          </cell>
          <cell r="E218">
            <v>7</v>
          </cell>
          <cell r="F218">
            <v>12500</v>
          </cell>
          <cell r="O218">
            <v>1.1471936</v>
          </cell>
          <cell r="P218">
            <v>12500</v>
          </cell>
          <cell r="Q218">
            <v>12500</v>
          </cell>
        </row>
        <row r="219">
          <cell r="A219" t="str">
            <v>TU-PMG-LA</v>
          </cell>
          <cell r="B219" t="str">
            <v>SB</v>
          </cell>
          <cell r="C219">
            <v>163</v>
          </cell>
          <cell r="D219">
            <v>30</v>
          </cell>
          <cell r="E219">
            <v>9</v>
          </cell>
          <cell r="F219">
            <v>20850</v>
          </cell>
          <cell r="O219">
            <v>1.5544332000000001</v>
          </cell>
          <cell r="P219">
            <v>20850</v>
          </cell>
          <cell r="Q219">
            <v>20850</v>
          </cell>
        </row>
        <row r="220">
          <cell r="A220" t="str">
            <v>TU-PMG-ST</v>
          </cell>
          <cell r="B220" t="str">
            <v>SB</v>
          </cell>
          <cell r="C220">
            <v>135</v>
          </cell>
          <cell r="D220">
            <v>35</v>
          </cell>
          <cell r="E220">
            <v>8</v>
          </cell>
          <cell r="F220">
            <v>14850</v>
          </cell>
          <cell r="O220">
            <v>1.3350960000000001</v>
          </cell>
          <cell r="P220">
            <v>14850</v>
          </cell>
          <cell r="Q220">
            <v>14850</v>
          </cell>
        </row>
        <row r="221">
          <cell r="A221" t="str">
            <v>TU-PM-LA</v>
          </cell>
          <cell r="B221" t="str">
            <v>SB</v>
          </cell>
          <cell r="C221">
            <v>165</v>
          </cell>
          <cell r="D221">
            <v>36</v>
          </cell>
          <cell r="E221">
            <v>7</v>
          </cell>
          <cell r="F221">
            <v>15850</v>
          </cell>
          <cell r="O221">
            <v>1.4686056000000001</v>
          </cell>
          <cell r="P221">
            <v>15850</v>
          </cell>
          <cell r="Q221">
            <v>15850</v>
          </cell>
        </row>
        <row r="222">
          <cell r="A222" t="str">
            <v>TU-PMP-L</v>
          </cell>
          <cell r="B222" t="str">
            <v>SB</v>
          </cell>
          <cell r="C222">
            <v>166</v>
          </cell>
          <cell r="D222">
            <v>37</v>
          </cell>
          <cell r="E222">
            <v>8</v>
          </cell>
          <cell r="F222">
            <v>18770</v>
          </cell>
          <cell r="O222">
            <v>1.7354835200000001</v>
          </cell>
          <cell r="P222">
            <v>18770</v>
          </cell>
          <cell r="Q222">
            <v>18770</v>
          </cell>
        </row>
        <row r="223">
          <cell r="A223" t="str">
            <v>TU-PMP-S</v>
          </cell>
          <cell r="B223" t="str">
            <v>SB</v>
          </cell>
          <cell r="C223">
            <v>136</v>
          </cell>
          <cell r="D223">
            <v>35</v>
          </cell>
          <cell r="E223">
            <v>8</v>
          </cell>
          <cell r="F223">
            <v>17600</v>
          </cell>
          <cell r="O223">
            <v>1.3449856</v>
          </cell>
          <cell r="P223">
            <v>17600</v>
          </cell>
          <cell r="Q223">
            <v>17600</v>
          </cell>
        </row>
        <row r="224">
          <cell r="A224" t="str">
            <v>TU-PMS-LA</v>
          </cell>
          <cell r="B224" t="str">
            <v>SB</v>
          </cell>
          <cell r="C224">
            <v>154</v>
          </cell>
          <cell r="D224">
            <v>37</v>
          </cell>
          <cell r="E224">
            <v>6</v>
          </cell>
          <cell r="F224">
            <v>10850</v>
          </cell>
          <cell r="O224">
            <v>1.2075201600000001</v>
          </cell>
          <cell r="P224">
            <v>10850</v>
          </cell>
          <cell r="Q224">
            <v>10850</v>
          </cell>
        </row>
        <row r="225">
          <cell r="A225" t="str">
            <v>TU-PMS-ST</v>
          </cell>
          <cell r="B225" t="str">
            <v>SB</v>
          </cell>
          <cell r="C225">
            <v>135</v>
          </cell>
          <cell r="D225">
            <v>36</v>
          </cell>
          <cell r="E225">
            <v>7</v>
          </cell>
          <cell r="F225">
            <v>8735</v>
          </cell>
          <cell r="O225">
            <v>1.2015864000000001</v>
          </cell>
          <cell r="P225">
            <v>8735</v>
          </cell>
          <cell r="Q225">
            <v>8735</v>
          </cell>
        </row>
        <row r="226">
          <cell r="A226" t="str">
            <v>TU-PM-ST</v>
          </cell>
          <cell r="B226" t="str">
            <v>SB</v>
          </cell>
          <cell r="C226">
            <v>135</v>
          </cell>
          <cell r="D226">
            <v>36</v>
          </cell>
          <cell r="E226">
            <v>7</v>
          </cell>
          <cell r="F226">
            <v>10800</v>
          </cell>
          <cell r="O226">
            <v>1.2015864000000001</v>
          </cell>
          <cell r="P226">
            <v>10800</v>
          </cell>
          <cell r="Q226">
            <v>10800</v>
          </cell>
        </row>
        <row r="227">
          <cell r="A227" t="str">
            <v>TU-PR</v>
          </cell>
          <cell r="B227" t="str">
            <v>SB</v>
          </cell>
          <cell r="C227">
            <v>126</v>
          </cell>
          <cell r="D227">
            <v>29</v>
          </cell>
          <cell r="E227">
            <v>6</v>
          </cell>
          <cell r="F227">
            <v>7700</v>
          </cell>
          <cell r="O227">
            <v>0.77435567999999999</v>
          </cell>
          <cell r="P227">
            <v>7700</v>
          </cell>
          <cell r="Q227">
            <v>7700</v>
          </cell>
        </row>
        <row r="228">
          <cell r="A228" t="str">
            <v>TU-PTL</v>
          </cell>
          <cell r="B228" t="str">
            <v>SB</v>
          </cell>
          <cell r="C228">
            <v>100</v>
          </cell>
          <cell r="D228">
            <v>30</v>
          </cell>
          <cell r="E228">
            <v>8</v>
          </cell>
          <cell r="F228">
            <v>20000</v>
          </cell>
          <cell r="O228">
            <v>0.84767999999999999</v>
          </cell>
          <cell r="P228">
            <v>20000</v>
          </cell>
          <cell r="Q228">
            <v>20000</v>
          </cell>
        </row>
        <row r="229">
          <cell r="A229" t="str">
            <v>TU-RE-LA</v>
          </cell>
          <cell r="B229" t="str">
            <v>SB</v>
          </cell>
          <cell r="C229">
            <v>148</v>
          </cell>
          <cell r="D229">
            <v>35</v>
          </cell>
          <cell r="E229">
            <v>6</v>
          </cell>
          <cell r="F229">
            <v>12800</v>
          </cell>
          <cell r="O229">
            <v>1.0977456000000001</v>
          </cell>
          <cell r="P229">
            <v>12800</v>
          </cell>
          <cell r="Q229">
            <v>12800</v>
          </cell>
        </row>
        <row r="230">
          <cell r="A230" t="str">
            <v>TU-RE-ST</v>
          </cell>
          <cell r="B230" t="str">
            <v>SB</v>
          </cell>
          <cell r="C230">
            <v>82</v>
          </cell>
          <cell r="D230">
            <v>36</v>
          </cell>
          <cell r="E230">
            <v>7</v>
          </cell>
          <cell r="F230">
            <v>8000</v>
          </cell>
          <cell r="O230">
            <v>0.72985247999999991</v>
          </cell>
          <cell r="P230">
            <v>8000</v>
          </cell>
          <cell r="Q230">
            <v>8000</v>
          </cell>
        </row>
        <row r="231">
          <cell r="A231" t="str">
            <v>TU-RWT-LA</v>
          </cell>
          <cell r="B231" t="str">
            <v>MB</v>
          </cell>
          <cell r="C231">
            <v>188</v>
          </cell>
          <cell r="D231">
            <v>48</v>
          </cell>
          <cell r="E231">
            <v>9</v>
          </cell>
          <cell r="F231">
            <v>37800</v>
          </cell>
          <cell r="G231">
            <v>148</v>
          </cell>
          <cell r="H231">
            <v>53</v>
          </cell>
          <cell r="I231">
            <v>8</v>
          </cell>
          <cell r="J231">
            <v>30400</v>
          </cell>
          <cell r="O231">
            <v>5.0849497600000007</v>
          </cell>
          <cell r="P231">
            <v>68200</v>
          </cell>
          <cell r="Q231">
            <v>68200</v>
          </cell>
        </row>
        <row r="232">
          <cell r="A232" t="str">
            <v>TU-RWT-M</v>
          </cell>
          <cell r="B232" t="str">
            <v>SB</v>
          </cell>
          <cell r="C232">
            <v>158</v>
          </cell>
          <cell r="D232">
            <v>45</v>
          </cell>
          <cell r="E232">
            <v>13</v>
          </cell>
          <cell r="F232">
            <v>42600</v>
          </cell>
          <cell r="O232">
            <v>3.2646275999999999</v>
          </cell>
          <cell r="P232">
            <v>42600</v>
          </cell>
          <cell r="Q232">
            <v>42600</v>
          </cell>
        </row>
        <row r="233">
          <cell r="A233" t="str">
            <v>TU-RYE-LA</v>
          </cell>
          <cell r="B233" t="str">
            <v>SB</v>
          </cell>
          <cell r="C233">
            <v>167</v>
          </cell>
          <cell r="D233">
            <v>40</v>
          </cell>
          <cell r="E233">
            <v>8</v>
          </cell>
          <cell r="F233">
            <v>28560</v>
          </cell>
          <cell r="O233">
            <v>1.8875008</v>
          </cell>
          <cell r="P233">
            <v>28560</v>
          </cell>
          <cell r="Q233">
            <v>28560</v>
          </cell>
        </row>
        <row r="234">
          <cell r="A234" t="str">
            <v>TU-RYE-ST</v>
          </cell>
          <cell r="B234" t="str">
            <v>SB</v>
          </cell>
          <cell r="C234">
            <v>137</v>
          </cell>
          <cell r="D234">
            <v>30</v>
          </cell>
          <cell r="E234">
            <v>10</v>
          </cell>
          <cell r="F234">
            <v>18445</v>
          </cell>
          <cell r="O234">
            <v>1.4516519999999999</v>
          </cell>
          <cell r="P234">
            <v>18445</v>
          </cell>
          <cell r="Q234">
            <v>18445</v>
          </cell>
        </row>
        <row r="235">
          <cell r="A235" t="str">
            <v>TU-SKD</v>
          </cell>
          <cell r="B235" t="str">
            <v>SB</v>
          </cell>
          <cell r="C235">
            <v>153</v>
          </cell>
          <cell r="D235">
            <v>43</v>
          </cell>
          <cell r="E235">
            <v>9</v>
          </cell>
          <cell r="F235">
            <v>27630</v>
          </cell>
          <cell r="O235">
            <v>2.0913325199999999</v>
          </cell>
          <cell r="P235">
            <v>27630</v>
          </cell>
          <cell r="Q235">
            <v>27630</v>
          </cell>
        </row>
        <row r="236">
          <cell r="A236" t="str">
            <v>TU-SNQ-LA</v>
          </cell>
          <cell r="B236" t="str">
            <v>SB</v>
          </cell>
          <cell r="C236">
            <v>150</v>
          </cell>
          <cell r="D236">
            <v>34</v>
          </cell>
          <cell r="E236">
            <v>5</v>
          </cell>
          <cell r="F236">
            <v>15500</v>
          </cell>
          <cell r="O236">
            <v>0.90065999999999991</v>
          </cell>
          <cell r="P236">
            <v>15500</v>
          </cell>
          <cell r="Q236">
            <v>15500</v>
          </cell>
        </row>
        <row r="237">
          <cell r="A237" t="str">
            <v>TU-TK-LA</v>
          </cell>
          <cell r="B237" t="str">
            <v>SB</v>
          </cell>
          <cell r="C237">
            <v>87</v>
          </cell>
          <cell r="D237">
            <v>29</v>
          </cell>
          <cell r="E237">
            <v>9</v>
          </cell>
          <cell r="F237">
            <v>7800</v>
          </cell>
          <cell r="O237">
            <v>0.80201124000000001</v>
          </cell>
          <cell r="P237">
            <v>7800</v>
          </cell>
          <cell r="Q237">
            <v>7800</v>
          </cell>
        </row>
        <row r="238">
          <cell r="A238" t="str">
            <v>TU-TK-ST</v>
          </cell>
          <cell r="B238" t="str">
            <v>SB</v>
          </cell>
          <cell r="C238">
            <v>58</v>
          </cell>
          <cell r="D238">
            <v>30</v>
          </cell>
          <cell r="E238">
            <v>9</v>
          </cell>
          <cell r="F238">
            <v>6500</v>
          </cell>
          <cell r="O238">
            <v>0.55311120000000003</v>
          </cell>
          <cell r="P238">
            <v>6500</v>
          </cell>
          <cell r="Q238">
            <v>6500</v>
          </cell>
        </row>
        <row r="239">
          <cell r="A239" t="str">
            <v>TU-TP</v>
          </cell>
          <cell r="B239" t="str">
            <v>SB</v>
          </cell>
          <cell r="C239">
            <v>45</v>
          </cell>
          <cell r="D239">
            <v>24.5</v>
          </cell>
          <cell r="E239">
            <v>5</v>
          </cell>
          <cell r="F239">
            <v>2000</v>
          </cell>
          <cell r="O239">
            <v>0.1947015</v>
          </cell>
          <cell r="P239">
            <v>2000</v>
          </cell>
          <cell r="Q239">
            <v>2000</v>
          </cell>
        </row>
        <row r="240">
          <cell r="A240" t="str">
            <v>TU-TT-L</v>
          </cell>
          <cell r="B240" t="str">
            <v>SB</v>
          </cell>
          <cell r="C240">
            <v>55</v>
          </cell>
          <cell r="D240">
            <v>32</v>
          </cell>
          <cell r="E240">
            <v>3.5</v>
          </cell>
          <cell r="F240">
            <v>2000</v>
          </cell>
          <cell r="O240">
            <v>0.21757119999999999</v>
          </cell>
          <cell r="P240">
            <v>2000</v>
          </cell>
          <cell r="Q240">
            <v>2000</v>
          </cell>
        </row>
        <row r="241">
          <cell r="A241" t="str">
            <v>TU-TT-S</v>
          </cell>
          <cell r="B241" t="str">
            <v>SB</v>
          </cell>
          <cell r="C241">
            <v>41</v>
          </cell>
          <cell r="D241">
            <v>25</v>
          </cell>
          <cell r="E241">
            <v>4</v>
          </cell>
          <cell r="F241">
            <v>1000</v>
          </cell>
          <cell r="O241">
            <v>0.14481200000000002</v>
          </cell>
          <cell r="P241">
            <v>1000</v>
          </cell>
          <cell r="Q241">
            <v>1000</v>
          </cell>
        </row>
        <row r="242">
          <cell r="A242" t="str">
            <v>TU-VC</v>
          </cell>
          <cell r="B242" t="str">
            <v>SB</v>
          </cell>
          <cell r="C242">
            <v>120</v>
          </cell>
          <cell r="D242">
            <v>36</v>
          </cell>
          <cell r="E242">
            <v>7</v>
          </cell>
          <cell r="F242">
            <v>10000</v>
          </cell>
          <cell r="O242">
            <v>1.0680768</v>
          </cell>
          <cell r="P242">
            <v>10000</v>
          </cell>
          <cell r="Q242">
            <v>10000</v>
          </cell>
        </row>
        <row r="243">
          <cell r="A243" t="str">
            <v>TU-WBM</v>
          </cell>
          <cell r="B243" t="str">
            <v>SB</v>
          </cell>
          <cell r="C243">
            <v>196</v>
          </cell>
          <cell r="D243">
            <v>43</v>
          </cell>
          <cell r="E243">
            <v>8</v>
          </cell>
          <cell r="F243">
            <v>31955</v>
          </cell>
          <cell r="O243">
            <v>2.3814156799999999</v>
          </cell>
          <cell r="P243">
            <v>31955</v>
          </cell>
          <cell r="Q243">
            <v>31955</v>
          </cell>
        </row>
        <row r="244">
          <cell r="A244" t="str">
            <v>WA-BLS</v>
          </cell>
          <cell r="B244" t="str">
            <v> </v>
          </cell>
          <cell r="O244">
            <v>0</v>
          </cell>
          <cell r="P244">
            <v>0</v>
          </cell>
          <cell r="Q244">
            <v>0</v>
          </cell>
        </row>
        <row r="245">
          <cell r="A245" t="str">
            <v>WA-CCI.P-DW</v>
          </cell>
          <cell r="B245" t="str">
            <v>SB</v>
          </cell>
          <cell r="O245">
            <v>0</v>
          </cell>
          <cell r="P245">
            <v>0</v>
          </cell>
          <cell r="Q245">
            <v>0</v>
          </cell>
        </row>
        <row r="246">
          <cell r="A246" t="str">
            <v>WA-FBA.P-DW</v>
          </cell>
          <cell r="B246" t="str">
            <v>SB</v>
          </cell>
          <cell r="C246">
            <v>24</v>
          </cell>
          <cell r="D246">
            <v>23</v>
          </cell>
          <cell r="E246">
            <v>9</v>
          </cell>
          <cell r="F246">
            <v>755</v>
          </cell>
          <cell r="O246">
            <v>0.17546976</v>
          </cell>
          <cell r="P246">
            <v>755</v>
          </cell>
          <cell r="Q246">
            <v>755</v>
          </cell>
        </row>
        <row r="247">
          <cell r="A247" t="str">
            <v>W-AND-10N</v>
          </cell>
          <cell r="B247" t="str">
            <v>SB</v>
          </cell>
          <cell r="C247">
            <v>185</v>
          </cell>
          <cell r="D247">
            <v>50</v>
          </cell>
          <cell r="E247">
            <v>9</v>
          </cell>
          <cell r="F247">
            <v>45000</v>
          </cell>
          <cell r="O247">
            <v>2.9403900000000003</v>
          </cell>
          <cell r="P247">
            <v>45000</v>
          </cell>
          <cell r="Q247">
            <v>45000</v>
          </cell>
        </row>
        <row r="248">
          <cell r="A248" t="str">
            <v>W-AND-11N</v>
          </cell>
          <cell r="B248" t="str">
            <v>SB</v>
          </cell>
          <cell r="C248">
            <v>185</v>
          </cell>
          <cell r="D248">
            <v>51</v>
          </cell>
          <cell r="E248">
            <v>10</v>
          </cell>
          <cell r="F248">
            <v>47900</v>
          </cell>
          <cell r="O248">
            <v>3.3324420000000003</v>
          </cell>
          <cell r="P248">
            <v>47900</v>
          </cell>
          <cell r="Q248">
            <v>47900</v>
          </cell>
        </row>
        <row r="249">
          <cell r="A249" t="str">
            <v>W-AND-12N</v>
          </cell>
          <cell r="B249" t="str">
            <v>SB</v>
          </cell>
          <cell r="C249">
            <v>186</v>
          </cell>
          <cell r="D249">
            <v>51</v>
          </cell>
          <cell r="E249">
            <v>10</v>
          </cell>
          <cell r="F249">
            <v>48400</v>
          </cell>
          <cell r="O249">
            <v>3.3504551999999999</v>
          </cell>
          <cell r="P249">
            <v>48400</v>
          </cell>
          <cell r="Q249">
            <v>48400</v>
          </cell>
        </row>
        <row r="250">
          <cell r="A250" t="str">
            <v>W-AND-2M</v>
          </cell>
          <cell r="B250" t="str">
            <v>MB</v>
          </cell>
          <cell r="C250">
            <v>123</v>
          </cell>
          <cell r="D250">
            <v>53</v>
          </cell>
          <cell r="E250">
            <v>11</v>
          </cell>
          <cell r="F250">
            <v>33900</v>
          </cell>
          <cell r="G250">
            <v>186</v>
          </cell>
          <cell r="H250">
            <v>51</v>
          </cell>
          <cell r="I250">
            <v>10</v>
          </cell>
          <cell r="J250">
            <v>44100</v>
          </cell>
          <cell r="O250">
            <v>5.8832170799999997</v>
          </cell>
          <cell r="P250">
            <v>78000</v>
          </cell>
          <cell r="Q250">
            <v>78000</v>
          </cell>
        </row>
        <row r="251">
          <cell r="A251" t="str">
            <v>W-AND-2N</v>
          </cell>
          <cell r="B251" t="str">
            <v>MB</v>
          </cell>
          <cell r="C251">
            <v>123</v>
          </cell>
          <cell r="D251">
            <v>53</v>
          </cell>
          <cell r="E251">
            <v>11</v>
          </cell>
          <cell r="F251">
            <v>33901</v>
          </cell>
          <cell r="G251">
            <v>186</v>
          </cell>
          <cell r="H251">
            <v>51</v>
          </cell>
          <cell r="I251">
            <v>10</v>
          </cell>
          <cell r="J251">
            <v>44100</v>
          </cell>
          <cell r="O251">
            <v>5.8832170799999997</v>
          </cell>
          <cell r="P251">
            <v>78001</v>
          </cell>
          <cell r="Q251">
            <v>78001</v>
          </cell>
        </row>
        <row r="252">
          <cell r="A252" t="str">
            <v>W-AND-3M</v>
          </cell>
          <cell r="B252" t="str">
            <v>MB</v>
          </cell>
          <cell r="C252">
            <v>130</v>
          </cell>
          <cell r="D252">
            <v>54</v>
          </cell>
          <cell r="E252">
            <v>9</v>
          </cell>
          <cell r="F252">
            <v>29140</v>
          </cell>
          <cell r="G252">
            <v>182</v>
          </cell>
          <cell r="H252">
            <v>49</v>
          </cell>
          <cell r="I252">
            <v>10</v>
          </cell>
          <cell r="J252">
            <v>40230</v>
          </cell>
          <cell r="K252">
            <v>188</v>
          </cell>
          <cell r="L252">
            <v>51</v>
          </cell>
          <cell r="M252">
            <v>8</v>
          </cell>
          <cell r="N252">
            <v>35650</v>
          </cell>
          <cell r="O252">
            <v>8.0905404799999996</v>
          </cell>
          <cell r="P252">
            <v>105020</v>
          </cell>
          <cell r="Q252">
            <v>105020</v>
          </cell>
        </row>
        <row r="253">
          <cell r="A253" t="str">
            <v>W-AND-3N</v>
          </cell>
          <cell r="B253" t="str">
            <v>MB</v>
          </cell>
          <cell r="C253">
            <v>130</v>
          </cell>
          <cell r="D253">
            <v>54</v>
          </cell>
          <cell r="E253">
            <v>9</v>
          </cell>
          <cell r="F253">
            <v>29140</v>
          </cell>
          <cell r="G253">
            <v>180</v>
          </cell>
          <cell r="H253">
            <v>48</v>
          </cell>
          <cell r="I253">
            <v>10</v>
          </cell>
          <cell r="J253">
            <v>37000</v>
          </cell>
          <cell r="K253">
            <v>188</v>
          </cell>
          <cell r="L253">
            <v>51</v>
          </cell>
          <cell r="M253">
            <v>8</v>
          </cell>
          <cell r="N253">
            <v>35650</v>
          </cell>
          <cell r="O253">
            <v>7.9923508800000009</v>
          </cell>
          <cell r="P253">
            <v>101790</v>
          </cell>
          <cell r="Q253">
            <v>101790</v>
          </cell>
        </row>
        <row r="254">
          <cell r="A254" t="str">
            <v>W-AND-4M</v>
          </cell>
          <cell r="B254" t="str">
            <v>MB</v>
          </cell>
          <cell r="C254">
            <v>166</v>
          </cell>
          <cell r="D254">
            <v>53</v>
          </cell>
          <cell r="E254">
            <v>10</v>
          </cell>
          <cell r="F254">
            <v>44650</v>
          </cell>
          <cell r="G254">
            <v>180</v>
          </cell>
          <cell r="H254">
            <v>47</v>
          </cell>
          <cell r="I254">
            <v>10</v>
          </cell>
          <cell r="J254">
            <v>47370</v>
          </cell>
          <cell r="K254">
            <v>185</v>
          </cell>
          <cell r="L254">
            <v>50</v>
          </cell>
          <cell r="M254">
            <v>8</v>
          </cell>
          <cell r="N254">
            <v>44800</v>
          </cell>
          <cell r="O254">
            <v>8.7092056000000007</v>
          </cell>
          <cell r="P254">
            <v>136820</v>
          </cell>
          <cell r="Q254">
            <v>136820</v>
          </cell>
        </row>
        <row r="255">
          <cell r="A255" t="str">
            <v>W-AND-4N</v>
          </cell>
          <cell r="B255" t="str">
            <v>MB</v>
          </cell>
          <cell r="C255">
            <v>166</v>
          </cell>
          <cell r="D255">
            <v>53</v>
          </cell>
          <cell r="E255">
            <v>10</v>
          </cell>
          <cell r="F255">
            <v>44650</v>
          </cell>
          <cell r="G255">
            <v>180</v>
          </cell>
          <cell r="H255">
            <v>48</v>
          </cell>
          <cell r="I255">
            <v>10</v>
          </cell>
          <cell r="J255">
            <v>44300</v>
          </cell>
          <cell r="K255">
            <v>186</v>
          </cell>
          <cell r="L255">
            <v>50</v>
          </cell>
          <cell r="M255">
            <v>9</v>
          </cell>
          <cell r="N255">
            <v>42900</v>
          </cell>
          <cell r="O255">
            <v>9.1153855999999998</v>
          </cell>
          <cell r="P255">
            <v>131850</v>
          </cell>
          <cell r="Q255">
            <v>131850</v>
          </cell>
        </row>
        <row r="256">
          <cell r="A256" t="str">
            <v>W-MLT-2N</v>
          </cell>
          <cell r="B256" t="str">
            <v>MB</v>
          </cell>
          <cell r="C256">
            <v>185</v>
          </cell>
          <cell r="D256">
            <v>49</v>
          </cell>
          <cell r="E256">
            <v>13</v>
          </cell>
          <cell r="F256">
            <v>51900</v>
          </cell>
          <cell r="O256">
            <v>4.1622854</v>
          </cell>
          <cell r="P256">
            <v>51900</v>
          </cell>
          <cell r="Q256">
            <v>51900</v>
          </cell>
        </row>
        <row r="257">
          <cell r="A257" t="str">
            <v>W-MLT-3N</v>
          </cell>
          <cell r="B257" t="str">
            <v>MB</v>
          </cell>
          <cell r="C257">
            <v>192</v>
          </cell>
          <cell r="D257">
            <v>46</v>
          </cell>
          <cell r="E257">
            <v>12</v>
          </cell>
          <cell r="F257">
            <v>48550</v>
          </cell>
          <cell r="G257">
            <v>178</v>
          </cell>
          <cell r="H257">
            <v>40</v>
          </cell>
          <cell r="I257">
            <v>8</v>
          </cell>
          <cell r="J257">
            <v>28500</v>
          </cell>
          <cell r="O257">
            <v>5.75518208</v>
          </cell>
          <cell r="P257">
            <v>77050</v>
          </cell>
          <cell r="Q257">
            <v>77050</v>
          </cell>
        </row>
        <row r="258">
          <cell r="A258" t="str">
            <v>W-MLT-4N</v>
          </cell>
          <cell r="B258" t="str">
            <v>MB</v>
          </cell>
          <cell r="C258">
            <v>157</v>
          </cell>
          <cell r="D258">
            <v>47</v>
          </cell>
          <cell r="E258">
            <v>9</v>
          </cell>
          <cell r="F258">
            <v>32000</v>
          </cell>
          <cell r="G258">
            <v>179</v>
          </cell>
          <cell r="H258">
            <v>41</v>
          </cell>
          <cell r="I258">
            <v>10</v>
          </cell>
          <cell r="J258">
            <v>39000</v>
          </cell>
          <cell r="K258">
            <v>185</v>
          </cell>
          <cell r="L258">
            <v>46</v>
          </cell>
          <cell r="M258">
            <v>8</v>
          </cell>
          <cell r="N258">
            <v>40000</v>
          </cell>
          <cell r="O258">
            <v>7.3423569200000003</v>
          </cell>
          <cell r="P258">
            <v>111000</v>
          </cell>
          <cell r="Q258">
            <v>111000</v>
          </cell>
        </row>
        <row r="259">
          <cell r="A259" t="str">
            <v>WT-EA</v>
          </cell>
          <cell r="B259" t="str">
            <v>SB</v>
          </cell>
          <cell r="O259">
            <v>0</v>
          </cell>
          <cell r="P259">
            <v>0</v>
          </cell>
          <cell r="Q259">
            <v>0</v>
          </cell>
        </row>
        <row r="260">
          <cell r="A260" t="str">
            <v>KH-SUT-5</v>
          </cell>
          <cell r="B260" t="str">
            <v>SB</v>
          </cell>
          <cell r="C260">
            <v>24</v>
          </cell>
          <cell r="D260">
            <v>11</v>
          </cell>
          <cell r="E260">
            <v>5</v>
          </cell>
          <cell r="F260">
            <v>300</v>
          </cell>
          <cell r="O260">
            <v>4.6622400000000001E-2</v>
          </cell>
          <cell r="P260">
            <v>300</v>
          </cell>
          <cell r="Q260">
            <v>300</v>
          </cell>
        </row>
        <row r="261">
          <cell r="A261" t="str">
            <v>KH-SUT-10</v>
          </cell>
          <cell r="B261" t="str">
            <v>SB</v>
          </cell>
          <cell r="C261">
            <v>25</v>
          </cell>
          <cell r="D261">
            <v>25</v>
          </cell>
          <cell r="E261">
            <v>6</v>
          </cell>
          <cell r="F261">
            <v>700</v>
          </cell>
          <cell r="O261">
            <v>0.13244999999999998</v>
          </cell>
          <cell r="P261">
            <v>700</v>
          </cell>
          <cell r="Q261">
            <v>700</v>
          </cell>
        </row>
        <row r="262">
          <cell r="A262" t="str">
            <v>KH-SUT-21</v>
          </cell>
          <cell r="B262" t="str">
            <v>SB</v>
          </cell>
          <cell r="C262">
            <v>36</v>
          </cell>
          <cell r="D262">
            <v>33</v>
          </cell>
          <cell r="E262">
            <v>6</v>
          </cell>
          <cell r="F262">
            <v>1360</v>
          </cell>
          <cell r="O262">
            <v>0.25176095999999998</v>
          </cell>
          <cell r="P262">
            <v>1360</v>
          </cell>
          <cell r="Q262">
            <v>1360</v>
          </cell>
        </row>
        <row r="263">
          <cell r="A263" t="str">
            <v>TU-BKY-ST</v>
          </cell>
          <cell r="B263" t="str">
            <v>SB</v>
          </cell>
          <cell r="C263">
            <v>153</v>
          </cell>
          <cell r="D263">
            <v>43</v>
          </cell>
          <cell r="E263">
            <v>9</v>
          </cell>
          <cell r="F263">
            <v>26000</v>
          </cell>
          <cell r="O263">
            <v>2.0913325199999999</v>
          </cell>
          <cell r="P263">
            <v>26000</v>
          </cell>
          <cell r="Q263">
            <v>26000</v>
          </cell>
        </row>
        <row r="264">
          <cell r="A264" t="str">
            <v>TU-WBM-ST</v>
          </cell>
          <cell r="B264" t="str">
            <v>SB</v>
          </cell>
          <cell r="C264">
            <v>153</v>
          </cell>
          <cell r="D264">
            <v>43</v>
          </cell>
          <cell r="E264">
            <v>9</v>
          </cell>
          <cell r="F264">
            <v>23000</v>
          </cell>
          <cell r="O264">
            <v>2.0913325199999999</v>
          </cell>
          <cell r="P264">
            <v>23000</v>
          </cell>
          <cell r="Q264">
            <v>23000</v>
          </cell>
        </row>
        <row r="265">
          <cell r="A265" t="str">
            <v>KH-TOC-18</v>
          </cell>
          <cell r="B265" t="str">
            <v>SB</v>
          </cell>
          <cell r="C265">
            <v>39</v>
          </cell>
          <cell r="D265">
            <v>30</v>
          </cell>
          <cell r="E265">
            <v>8</v>
          </cell>
          <cell r="F265">
            <v>3000</v>
          </cell>
          <cell r="O265">
            <v>0.33059520000000003</v>
          </cell>
          <cell r="P265">
            <v>3000</v>
          </cell>
          <cell r="Q265">
            <v>3000</v>
          </cell>
        </row>
        <row r="266">
          <cell r="A266" t="str">
            <v>KH-TOC-40</v>
          </cell>
          <cell r="B266" t="str">
            <v>SB</v>
          </cell>
          <cell r="C266">
            <v>65</v>
          </cell>
          <cell r="D266">
            <v>35</v>
          </cell>
          <cell r="E266">
            <v>8</v>
          </cell>
          <cell r="F266">
            <v>5000</v>
          </cell>
          <cell r="O266">
            <v>0.64282400000000006</v>
          </cell>
          <cell r="P266">
            <v>5000</v>
          </cell>
          <cell r="Q266">
            <v>5000</v>
          </cell>
        </row>
        <row r="267">
          <cell r="A267" t="str">
            <v>SR-BKN-T</v>
          </cell>
          <cell r="B267" t="str">
            <v>SB</v>
          </cell>
          <cell r="C267">
            <v>150</v>
          </cell>
          <cell r="D267">
            <v>42</v>
          </cell>
          <cell r="E267">
            <v>14</v>
          </cell>
          <cell r="F267">
            <v>40000</v>
          </cell>
          <cell r="O267">
            <v>3.115224</v>
          </cell>
          <cell r="P267">
            <v>40000</v>
          </cell>
          <cell r="Q267">
            <v>40000</v>
          </cell>
        </row>
        <row r="268">
          <cell r="A268" t="str">
            <v>TS-NL-ST</v>
          </cell>
          <cell r="B268" t="str">
            <v>SB</v>
          </cell>
          <cell r="C268">
            <v>112</v>
          </cell>
          <cell r="D268">
            <v>28</v>
          </cell>
          <cell r="E268">
            <v>4</v>
          </cell>
          <cell r="F268">
            <v>4000</v>
          </cell>
          <cell r="O268">
            <v>0.44305408000000002</v>
          </cell>
          <cell r="P268">
            <v>4000</v>
          </cell>
          <cell r="Q268">
            <v>4000</v>
          </cell>
        </row>
        <row r="269">
          <cell r="A269" t="str">
            <v>TS-NL-LA</v>
          </cell>
          <cell r="B269" t="str">
            <v>SB</v>
          </cell>
          <cell r="C269">
            <v>36</v>
          </cell>
          <cell r="D269">
            <v>25</v>
          </cell>
          <cell r="E269">
            <v>5</v>
          </cell>
          <cell r="F269">
            <v>3800</v>
          </cell>
          <cell r="O269">
            <v>0.15894</v>
          </cell>
          <cell r="P269">
            <v>3800</v>
          </cell>
          <cell r="Q269">
            <v>3800</v>
          </cell>
        </row>
        <row r="270">
          <cell r="A270" t="str">
            <v>WA-PYS-S</v>
          </cell>
          <cell r="B270" t="str">
            <v>SB</v>
          </cell>
          <cell r="C270">
            <v>70</v>
          </cell>
          <cell r="D270">
            <v>25</v>
          </cell>
          <cell r="E270">
            <v>5</v>
          </cell>
          <cell r="F270">
            <v>2500</v>
          </cell>
          <cell r="O270">
            <v>0.30905000000000005</v>
          </cell>
          <cell r="P270">
            <v>2500</v>
          </cell>
          <cell r="Q270">
            <v>2500</v>
          </cell>
        </row>
        <row r="271">
          <cell r="A271" t="str">
            <v>WA-PYS-N</v>
          </cell>
          <cell r="B271" t="str">
            <v>SB</v>
          </cell>
          <cell r="C271">
            <v>78</v>
          </cell>
          <cell r="D271">
            <v>23</v>
          </cell>
          <cell r="E271">
            <v>6</v>
          </cell>
          <cell r="F271">
            <v>2200</v>
          </cell>
          <cell r="O271">
            <v>0.38018447999999999</v>
          </cell>
          <cell r="P271">
            <v>2200</v>
          </cell>
          <cell r="Q271">
            <v>2200</v>
          </cell>
        </row>
        <row r="272">
          <cell r="A272" t="str">
            <v>SH-YBO</v>
          </cell>
          <cell r="B272" t="str">
            <v>SB</v>
          </cell>
          <cell r="C272">
            <v>55</v>
          </cell>
          <cell r="D272">
            <v>17</v>
          </cell>
          <cell r="E272">
            <v>8</v>
          </cell>
          <cell r="F272">
            <v>2500</v>
          </cell>
          <cell r="O272">
            <v>0.26419359999999997</v>
          </cell>
          <cell r="P272">
            <v>2500</v>
          </cell>
          <cell r="Q272">
            <v>2500</v>
          </cell>
        </row>
        <row r="273">
          <cell r="A273" t="str">
            <v>SH-DVN</v>
          </cell>
          <cell r="B273" t="str">
            <v>SB</v>
          </cell>
          <cell r="C273">
            <v>40</v>
          </cell>
          <cell r="D273">
            <v>20</v>
          </cell>
          <cell r="E273">
            <v>5</v>
          </cell>
          <cell r="F273">
            <v>1700</v>
          </cell>
          <cell r="O273">
            <v>0.14128000000000002</v>
          </cell>
          <cell r="P273">
            <v>1700</v>
          </cell>
          <cell r="Q273">
            <v>1700</v>
          </cell>
        </row>
        <row r="274">
          <cell r="A274" t="str">
            <v>ST-CBN-P</v>
          </cell>
          <cell r="B274" t="str">
            <v>SB</v>
          </cell>
          <cell r="C274">
            <v>152</v>
          </cell>
          <cell r="D274">
            <v>58</v>
          </cell>
          <cell r="E274">
            <v>9</v>
          </cell>
          <cell r="F274">
            <v>25000</v>
          </cell>
          <cell r="O274">
            <v>2.8024300800000002</v>
          </cell>
          <cell r="P274">
            <v>25000</v>
          </cell>
          <cell r="Q274">
            <v>25000</v>
          </cell>
        </row>
        <row r="275">
          <cell r="A275" t="str">
            <v>BT-NHE</v>
          </cell>
          <cell r="B275" t="str">
            <v>SB</v>
          </cell>
          <cell r="C275">
            <v>56</v>
          </cell>
          <cell r="D275">
            <v>30</v>
          </cell>
          <cell r="E275">
            <v>11</v>
          </cell>
          <cell r="F275">
            <v>7100</v>
          </cell>
          <cell r="O275">
            <v>0.6527136</v>
          </cell>
          <cell r="P275">
            <v>7100</v>
          </cell>
          <cell r="Q275">
            <v>7100</v>
          </cell>
        </row>
        <row r="276">
          <cell r="A276" t="str">
            <v>KC-OPT-1N</v>
          </cell>
          <cell r="B276" t="str">
            <v>SB</v>
          </cell>
          <cell r="C276">
            <v>78</v>
          </cell>
          <cell r="D276">
            <v>36</v>
          </cell>
          <cell r="E276">
            <v>15</v>
          </cell>
          <cell r="F276">
            <v>16100</v>
          </cell>
          <cell r="O276">
            <v>1.4876783999999998</v>
          </cell>
          <cell r="P276">
            <v>16100</v>
          </cell>
          <cell r="Q276">
            <v>16100</v>
          </cell>
        </row>
        <row r="277">
          <cell r="A277" t="str">
            <v>KC-OPT-1S</v>
          </cell>
          <cell r="B277" t="str">
            <v>SB</v>
          </cell>
          <cell r="C277">
            <v>86</v>
          </cell>
          <cell r="D277">
            <v>36</v>
          </cell>
          <cell r="E277">
            <v>15</v>
          </cell>
          <cell r="F277">
            <v>18000</v>
          </cell>
          <cell r="O277">
            <v>1.6402608000000001</v>
          </cell>
          <cell r="P277">
            <v>18000</v>
          </cell>
          <cell r="Q277">
            <v>18000</v>
          </cell>
        </row>
        <row r="278">
          <cell r="A278" t="str">
            <v>KC-SRN</v>
          </cell>
          <cell r="B278" t="str">
            <v>SB</v>
          </cell>
          <cell r="C278">
            <v>136</v>
          </cell>
          <cell r="D278">
            <v>44</v>
          </cell>
          <cell r="E278">
            <v>14</v>
          </cell>
          <cell r="F278">
            <v>40000</v>
          </cell>
          <cell r="O278">
            <v>2.9589683200000003</v>
          </cell>
          <cell r="P278">
            <v>40000</v>
          </cell>
          <cell r="Q278">
            <v>40000</v>
          </cell>
        </row>
        <row r="279">
          <cell r="A279" t="str">
            <v>SR-BKN-H</v>
          </cell>
          <cell r="B279" t="str">
            <v>SB</v>
          </cell>
          <cell r="C279">
            <v>187</v>
          </cell>
          <cell r="D279">
            <v>43</v>
          </cell>
          <cell r="E279">
            <v>14</v>
          </cell>
          <cell r="F279">
            <v>59900</v>
          </cell>
          <cell r="O279">
            <v>3.9761136799999997</v>
          </cell>
          <cell r="P279">
            <v>59900</v>
          </cell>
          <cell r="Q279">
            <v>59900</v>
          </cell>
        </row>
        <row r="280">
          <cell r="A280" t="str">
            <v>SR-MVS-IT</v>
          </cell>
          <cell r="B280" t="str">
            <v>SB</v>
          </cell>
          <cell r="C280">
            <v>146</v>
          </cell>
          <cell r="D280">
            <v>48</v>
          </cell>
          <cell r="E280">
            <v>10</v>
          </cell>
          <cell r="F280">
            <v>29000</v>
          </cell>
          <cell r="G280">
            <v>104</v>
          </cell>
          <cell r="H280">
            <v>42</v>
          </cell>
          <cell r="I280">
            <v>16</v>
          </cell>
          <cell r="J280">
            <v>23000</v>
          </cell>
          <cell r="O280">
            <v>4.9436697600000006</v>
          </cell>
          <cell r="P280">
            <v>52000</v>
          </cell>
          <cell r="Q280">
            <v>52000</v>
          </cell>
        </row>
        <row r="281">
          <cell r="A281" t="str">
            <v>W-BNO</v>
          </cell>
          <cell r="B281" t="str">
            <v>SB</v>
          </cell>
          <cell r="C281">
            <v>154</v>
          </cell>
          <cell r="D281">
            <v>49</v>
          </cell>
          <cell r="E281">
            <v>13</v>
          </cell>
          <cell r="F281">
            <v>39000</v>
          </cell>
          <cell r="O281">
            <v>3.4648213600000002</v>
          </cell>
          <cell r="P281">
            <v>39000</v>
          </cell>
          <cell r="Q281">
            <v>39000</v>
          </cell>
        </row>
        <row r="282">
          <cell r="A282" t="str">
            <v>W-CLO-345</v>
          </cell>
          <cell r="B282" t="str">
            <v>SB</v>
          </cell>
          <cell r="C282">
            <v>106</v>
          </cell>
          <cell r="D282">
            <v>44</v>
          </cell>
          <cell r="E282">
            <v>10</v>
          </cell>
          <cell r="F282">
            <v>19000</v>
          </cell>
          <cell r="G282">
            <v>145</v>
          </cell>
          <cell r="H282">
            <v>44</v>
          </cell>
          <cell r="I282">
            <v>9</v>
          </cell>
          <cell r="J282">
            <v>25800</v>
          </cell>
          <cell r="K282">
            <v>169</v>
          </cell>
          <cell r="L282">
            <v>36</v>
          </cell>
          <cell r="M282">
            <v>9</v>
          </cell>
          <cell r="N282">
            <v>28000</v>
          </cell>
          <cell r="O282">
            <v>5.6093811200000001</v>
          </cell>
          <cell r="P282">
            <v>72800</v>
          </cell>
          <cell r="Q282">
            <v>72800</v>
          </cell>
        </row>
        <row r="283">
          <cell r="A283" t="str">
            <v>W-CLO-3</v>
          </cell>
          <cell r="B283" t="str">
            <v>SB</v>
          </cell>
          <cell r="C283">
            <v>106</v>
          </cell>
          <cell r="D283">
            <v>44</v>
          </cell>
          <cell r="E283">
            <v>10</v>
          </cell>
          <cell r="F283">
            <v>19000</v>
          </cell>
          <cell r="O283">
            <v>1.6473248</v>
          </cell>
          <cell r="P283">
            <v>19000</v>
          </cell>
          <cell r="Q283">
            <v>19000</v>
          </cell>
        </row>
        <row r="284">
          <cell r="A284" t="str">
            <v>W-CLO-4</v>
          </cell>
          <cell r="B284" t="str">
            <v>SB</v>
          </cell>
          <cell r="C284">
            <v>145</v>
          </cell>
          <cell r="D284">
            <v>44</v>
          </cell>
          <cell r="E284">
            <v>9</v>
          </cell>
          <cell r="F284">
            <v>25800</v>
          </cell>
          <cell r="O284">
            <v>2.0280743999999999</v>
          </cell>
          <cell r="P284">
            <v>25800</v>
          </cell>
          <cell r="Q284">
            <v>25800</v>
          </cell>
        </row>
        <row r="285">
          <cell r="A285" t="str">
            <v>W-CLO-5</v>
          </cell>
          <cell r="B285" t="str">
            <v>SB</v>
          </cell>
          <cell r="C285">
            <v>169</v>
          </cell>
          <cell r="D285">
            <v>36</v>
          </cell>
          <cell r="E285">
            <v>9</v>
          </cell>
          <cell r="F285">
            <v>28000</v>
          </cell>
          <cell r="O285">
            <v>1.9339819199999999</v>
          </cell>
          <cell r="P285">
            <v>28000</v>
          </cell>
          <cell r="Q285">
            <v>28000</v>
          </cell>
        </row>
        <row r="286">
          <cell r="A286" t="str">
            <v>W-MLT-M</v>
          </cell>
          <cell r="B286" t="str">
            <v>SB</v>
          </cell>
          <cell r="C286">
            <v>185</v>
          </cell>
          <cell r="D286">
            <v>46</v>
          </cell>
          <cell r="E286">
            <v>12</v>
          </cell>
          <cell r="F286">
            <v>50000</v>
          </cell>
          <cell r="O286">
            <v>3.6068784000000003</v>
          </cell>
          <cell r="P286">
            <v>50000</v>
          </cell>
          <cell r="Q286">
            <v>50000</v>
          </cell>
        </row>
        <row r="287">
          <cell r="A287" t="str">
            <v>KC-OPT-2N</v>
          </cell>
          <cell r="B287" t="str">
            <v>SB</v>
          </cell>
          <cell r="C287">
            <v>78</v>
          </cell>
          <cell r="D287">
            <v>36</v>
          </cell>
          <cell r="E287">
            <v>15</v>
          </cell>
          <cell r="F287">
            <v>16100</v>
          </cell>
          <cell r="G287">
            <v>78</v>
          </cell>
          <cell r="H287">
            <v>36</v>
          </cell>
          <cell r="I287">
            <v>15</v>
          </cell>
          <cell r="J287">
            <v>16100</v>
          </cell>
          <cell r="O287">
            <v>2.9753567999999997</v>
          </cell>
          <cell r="P287">
            <v>32200</v>
          </cell>
          <cell r="Q287">
            <v>32200</v>
          </cell>
        </row>
        <row r="288">
          <cell r="A288" t="str">
            <v>KC-OPT-2S</v>
          </cell>
          <cell r="B288" t="str">
            <v>SB</v>
          </cell>
          <cell r="C288">
            <v>86</v>
          </cell>
          <cell r="D288">
            <v>36</v>
          </cell>
          <cell r="E288">
            <v>15</v>
          </cell>
          <cell r="F288">
            <v>18000</v>
          </cell>
          <cell r="G288">
            <v>86</v>
          </cell>
          <cell r="H288">
            <v>36</v>
          </cell>
          <cell r="I288">
            <v>15</v>
          </cell>
          <cell r="J288">
            <v>18000</v>
          </cell>
          <cell r="O288">
            <v>3.2805216000000001</v>
          </cell>
          <cell r="P288">
            <v>36000</v>
          </cell>
          <cell r="Q288">
            <v>36000</v>
          </cell>
        </row>
        <row r="289">
          <cell r="A289" t="str">
            <v>SR-MVS-I</v>
          </cell>
          <cell r="B289" t="str">
            <v>SB</v>
          </cell>
          <cell r="C289">
            <v>104</v>
          </cell>
          <cell r="D289">
            <v>42</v>
          </cell>
          <cell r="E289">
            <v>16</v>
          </cell>
          <cell r="F289">
            <v>20000</v>
          </cell>
          <cell r="O289">
            <v>2.4684441600000002</v>
          </cell>
          <cell r="P289">
            <v>20000</v>
          </cell>
          <cell r="Q289">
            <v>20000</v>
          </cell>
        </row>
        <row r="290">
          <cell r="A290" t="str">
            <v>SR-MVS-T</v>
          </cell>
          <cell r="B290" t="str">
            <v>SB</v>
          </cell>
          <cell r="C290">
            <v>146</v>
          </cell>
          <cell r="D290">
            <v>48</v>
          </cell>
          <cell r="E290">
            <v>10</v>
          </cell>
          <cell r="F290">
            <v>29000</v>
          </cell>
          <cell r="O290">
            <v>2.4752256000000004</v>
          </cell>
          <cell r="P290">
            <v>29000</v>
          </cell>
          <cell r="Q290">
            <v>29000</v>
          </cell>
        </row>
        <row r="291">
          <cell r="A291" t="str">
            <v>B-MLT-D30T</v>
          </cell>
          <cell r="B291" t="str">
            <v>SB</v>
          </cell>
          <cell r="C291">
            <v>190</v>
          </cell>
          <cell r="D291">
            <v>43</v>
          </cell>
          <cell r="E291">
            <v>9</v>
          </cell>
          <cell r="F291">
            <v>25000</v>
          </cell>
          <cell r="O291">
            <v>2.5970795999999998</v>
          </cell>
          <cell r="P291">
            <v>25000</v>
          </cell>
          <cell r="Q291">
            <v>25000</v>
          </cell>
        </row>
        <row r="292">
          <cell r="A292" t="str">
            <v>PU-SNM</v>
          </cell>
          <cell r="B292" t="str">
            <v>SB</v>
          </cell>
          <cell r="C292">
            <v>85</v>
          </cell>
          <cell r="D292">
            <v>50</v>
          </cell>
          <cell r="E292">
            <v>23</v>
          </cell>
          <cell r="F292">
            <v>28200</v>
          </cell>
          <cell r="O292">
            <v>3.4525300000000003</v>
          </cell>
          <cell r="P292">
            <v>28200</v>
          </cell>
          <cell r="Q292">
            <v>28200</v>
          </cell>
        </row>
        <row r="293">
          <cell r="A293" t="str">
            <v>SB-BNA</v>
          </cell>
          <cell r="B293" t="str">
            <v>SB</v>
          </cell>
          <cell r="C293">
            <v>85</v>
          </cell>
          <cell r="D293">
            <v>37</v>
          </cell>
          <cell r="E293">
            <v>15</v>
          </cell>
          <cell r="F293">
            <v>16000</v>
          </cell>
          <cell r="O293">
            <v>1.6662210000000002</v>
          </cell>
          <cell r="P293">
            <v>16000</v>
          </cell>
          <cell r="Q293">
            <v>16000</v>
          </cell>
        </row>
        <row r="294">
          <cell r="A294" t="str">
            <v>SR-FYN</v>
          </cell>
          <cell r="B294" t="str">
            <v>SB</v>
          </cell>
          <cell r="C294">
            <v>120</v>
          </cell>
          <cell r="D294">
            <v>50</v>
          </cell>
          <cell r="E294">
            <v>18</v>
          </cell>
          <cell r="F294">
            <v>47000</v>
          </cell>
          <cell r="O294">
            <v>3.8145600000000002</v>
          </cell>
          <cell r="P294">
            <v>47000</v>
          </cell>
          <cell r="Q294">
            <v>47000</v>
          </cell>
        </row>
        <row r="295">
          <cell r="A295" t="str">
            <v>TU-SKDL</v>
          </cell>
          <cell r="B295" t="str">
            <v>SB</v>
          </cell>
          <cell r="C295">
            <v>158</v>
          </cell>
          <cell r="D295">
            <v>38</v>
          </cell>
          <cell r="E295">
            <v>9</v>
          </cell>
          <cell r="F295">
            <v>22900</v>
          </cell>
          <cell r="O295">
            <v>1.9085515200000001</v>
          </cell>
          <cell r="P295">
            <v>22900</v>
          </cell>
          <cell r="Q295">
            <v>22900</v>
          </cell>
        </row>
        <row r="296">
          <cell r="A296" t="str">
            <v>SB-VNO</v>
          </cell>
          <cell r="B296" t="str">
            <v>SB</v>
          </cell>
          <cell r="C296">
            <v>90</v>
          </cell>
          <cell r="D296">
            <v>36</v>
          </cell>
          <cell r="E296">
            <v>14</v>
          </cell>
          <cell r="F296">
            <v>18000</v>
          </cell>
          <cell r="O296">
            <v>1.6021151999999999</v>
          </cell>
          <cell r="P296">
            <v>18000</v>
          </cell>
          <cell r="Q296">
            <v>18000</v>
          </cell>
        </row>
        <row r="297">
          <cell r="A297" t="str">
            <v>SF-WBR-4LI</v>
          </cell>
          <cell r="B297" t="str">
            <v>SB</v>
          </cell>
          <cell r="C297">
            <v>1</v>
          </cell>
          <cell r="D297">
            <v>1</v>
          </cell>
          <cell r="E297">
            <v>1</v>
          </cell>
          <cell r="F297">
            <v>56000</v>
          </cell>
          <cell r="O297">
            <v>3.5320000000000001E-5</v>
          </cell>
          <cell r="P297">
            <v>56000</v>
          </cell>
          <cell r="Q297">
            <v>56000</v>
          </cell>
        </row>
        <row r="298">
          <cell r="A298" t="str">
            <v>SH-GTA</v>
          </cell>
          <cell r="B298" t="str">
            <v>SB</v>
          </cell>
          <cell r="C298">
            <v>52</v>
          </cell>
          <cell r="D298">
            <v>32</v>
          </cell>
          <cell r="E298">
            <v>10</v>
          </cell>
          <cell r="F298">
            <v>3650</v>
          </cell>
          <cell r="O298">
            <v>0.58772479999999994</v>
          </cell>
          <cell r="P298">
            <v>3650</v>
          </cell>
          <cell r="Q298">
            <v>3650</v>
          </cell>
        </row>
        <row r="299">
          <cell r="A299" t="str">
            <v>PU-SUB</v>
          </cell>
          <cell r="B299" t="str">
            <v>SB</v>
          </cell>
          <cell r="C299">
            <v>87</v>
          </cell>
          <cell r="D299">
            <v>42</v>
          </cell>
          <cell r="E299">
            <v>1</v>
          </cell>
          <cell r="F299">
            <v>25300</v>
          </cell>
          <cell r="O299">
            <v>0.12905928</v>
          </cell>
          <cell r="P299">
            <v>25300</v>
          </cell>
          <cell r="Q299">
            <v>25300</v>
          </cell>
        </row>
        <row r="300">
          <cell r="A300" t="str">
            <v>SR-WMO</v>
          </cell>
          <cell r="B300" t="str">
            <v>SB</v>
          </cell>
          <cell r="C300">
            <v>129</v>
          </cell>
          <cell r="D300">
            <v>43</v>
          </cell>
          <cell r="E300">
            <v>13</v>
          </cell>
          <cell r="F300">
            <v>26500</v>
          </cell>
          <cell r="O300">
            <v>2.5469605199999998</v>
          </cell>
          <cell r="P300">
            <v>26500</v>
          </cell>
          <cell r="Q300">
            <v>26500</v>
          </cell>
        </row>
        <row r="301">
          <cell r="A301" t="str">
            <v>ST-RDO-ST</v>
          </cell>
          <cell r="B301" t="str">
            <v>SB</v>
          </cell>
          <cell r="C301">
            <v>87</v>
          </cell>
          <cell r="D301">
            <v>45</v>
          </cell>
          <cell r="E301">
            <v>8</v>
          </cell>
          <cell r="F301">
            <v>14700</v>
          </cell>
          <cell r="O301">
            <v>1.1062224000000001</v>
          </cell>
          <cell r="P301">
            <v>14700</v>
          </cell>
          <cell r="Q301">
            <v>14700</v>
          </cell>
        </row>
        <row r="302">
          <cell r="A302" t="str">
            <v>PU-SUB-ST</v>
          </cell>
          <cell r="B302" t="str">
            <v>SB</v>
          </cell>
          <cell r="C302">
            <v>82</v>
          </cell>
          <cell r="D302">
            <v>42</v>
          </cell>
          <cell r="E302">
            <v>11</v>
          </cell>
          <cell r="F302">
            <v>13200</v>
          </cell>
          <cell r="O302">
            <v>1.3380628800000001</v>
          </cell>
          <cell r="P302">
            <v>13200</v>
          </cell>
          <cell r="Q302">
            <v>13200</v>
          </cell>
        </row>
        <row r="303">
          <cell r="A303" t="str">
            <v>PU-DRV</v>
          </cell>
          <cell r="B303" t="str">
            <v>SB</v>
          </cell>
          <cell r="C303">
            <v>48</v>
          </cell>
          <cell r="D303">
            <v>30</v>
          </cell>
          <cell r="E303">
            <v>8</v>
          </cell>
          <cell r="F303">
            <v>4800</v>
          </cell>
          <cell r="O303">
            <v>0.40688640000000004</v>
          </cell>
          <cell r="P303">
            <v>4800</v>
          </cell>
          <cell r="Q303">
            <v>4800</v>
          </cell>
        </row>
        <row r="304">
          <cell r="A304" t="str">
            <v>SH-DVN-ST</v>
          </cell>
          <cell r="B304" t="str">
            <v>SB</v>
          </cell>
          <cell r="C304">
            <v>37</v>
          </cell>
          <cell r="D304">
            <v>10</v>
          </cell>
          <cell r="E304">
            <v>6</v>
          </cell>
          <cell r="F304">
            <v>600</v>
          </cell>
          <cell r="O304">
            <v>7.8410400000000005E-2</v>
          </cell>
          <cell r="P304">
            <v>600</v>
          </cell>
          <cell r="Q304">
            <v>600</v>
          </cell>
        </row>
        <row r="305">
          <cell r="P305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47345-98BC-4636-A6FB-93744D07FE04}" name="Table1" displayName="Table1" ref="A3:Y305" totalsRowShown="0">
  <autoFilter ref="A3:Y305" xr:uid="{F0381096-01E0-44FC-B505-5C70C2CBC082}">
    <filterColumn colId="0">
      <filters>
        <filter val="SR-MVS"/>
        <filter val="SR-MVS-I"/>
        <filter val="SR-MVS-IT"/>
        <filter val="SR-MVS-T"/>
      </filters>
    </filterColumn>
  </autoFilter>
  <sortState xmlns:xlrd2="http://schemas.microsoft.com/office/spreadsheetml/2017/richdata2" ref="A4:Y283">
    <sortCondition ref="A3:A283"/>
  </sortState>
  <tableColumns count="25">
    <tableColumn id="1" xr3:uid="{8B15DBF8-52C8-4B5B-9EE2-8F30C6165336}" name="MTP SKU Code" dataDxfId="24"/>
    <tableColumn id="2" xr3:uid="{EF885500-4152-47D7-BB91-4CAC39BDF9BB}" name="SB/MB" dataDxfId="23"/>
    <tableColumn id="3" xr3:uid="{A98C9DEB-6617-4842-BEC9-0541F2BDFD89}" name="Lcm" dataDxfId="22"/>
    <tableColumn id="4" xr3:uid="{B57DDEB2-2D37-4BCA-ABCB-BB182A26A2BA}" name="Bcm" dataDxfId="21"/>
    <tableColumn id="5" xr3:uid="{7A1D4BAF-C5A1-4116-8BD3-A2C20B997627}" name="Hcm" dataDxfId="20"/>
    <tableColumn id="6" xr3:uid="{D4713401-3464-48DC-B085-47B55858A7C2}" name="PW(gm)" dataDxfId="19" dataCellStyle="Comma"/>
    <tableColumn id="7" xr3:uid="{E58C4D0F-7B24-4278-B101-2C348F5DF15D}" name="Lcm2" dataDxfId="18" dataCellStyle="Comma"/>
    <tableColumn id="8" xr3:uid="{B2104A34-ED63-4B00-AFA1-72EF01A72E55}" name="Bcm3" dataDxfId="17" dataCellStyle="Comma"/>
    <tableColumn id="9" xr3:uid="{7A5F85A8-1991-40A4-A900-C91A1EC09ECB}" name="Hcm4" dataDxfId="16" dataCellStyle="Comma"/>
    <tableColumn id="10" xr3:uid="{A0B823E5-8E01-40DE-A801-0E1C296AD953}" name="PW(gm)5" dataDxfId="15" dataCellStyle="Comma"/>
    <tableColumn id="11" xr3:uid="{054D526C-5D99-44E3-9F55-56C040B5D576}" name="Lcm6" dataDxfId="14" dataCellStyle="Comma"/>
    <tableColumn id="12" xr3:uid="{FFA7E29C-45A6-48B2-A3D3-E4F2A4F074B6}" name="Bcm7" dataDxfId="13" dataCellStyle="Comma"/>
    <tableColumn id="13" xr3:uid="{8D29FA0F-E4E9-438E-90B0-078D5D943F3F}" name="Hcm8" dataDxfId="12" dataCellStyle="Comma"/>
    <tableColumn id="14" xr3:uid="{0E99591B-C687-4360-95B1-04B18CAF7A9E}" name="PW(gm)9" dataDxfId="11" dataCellStyle="Comma"/>
    <tableColumn id="22" xr3:uid="{917AB02C-8E8B-44D0-B96F-17C5B602AF62}" name="Column15" dataDxfId="10" dataCellStyle="Comma"/>
    <tableColumn id="15" xr3:uid="{17798BB1-30B9-41EA-8A29-B38AE4A8FC86}" name="Kgs" dataDxfId="9" dataCellStyle="Comma">
      <calculatedColumnFormula>F4+J4+N4</calculatedColumnFormula>
    </tableColumn>
    <tableColumn id="16" xr3:uid="{24DB23A9-5FE8-4C71-ABEB-E626E96DF0F8}" name="Gms" dataDxfId="8" dataCellStyle="Comma"/>
    <tableColumn id="17" xr3:uid="{A86840E8-1F0F-4C63-B096-34C0DE728E28}" name="Kgs10" dataDxfId="7" dataCellStyle="Comma">
      <calculatedColumnFormula>MAX(Q4,O4)</calculatedColumnFormula>
    </tableColumn>
    <tableColumn id="18" xr3:uid="{9AF4DBD9-2EB5-422D-94F1-52F0C1AF16D2}" name="Column11" dataDxfId="6" dataCellStyle="Comma">
      <calculatedColumnFormula>MAX(R4,P4)</calculatedColumnFormula>
    </tableColumn>
    <tableColumn id="19" xr3:uid="{AF30560F-E973-47E9-BBFD-45E8F298841C}" name="Column12" dataDxfId="5" dataCellStyle="Comma">
      <calculatedColumnFormula>MAX(S4,Q4)</calculatedColumnFormula>
    </tableColumn>
    <tableColumn id="20" xr3:uid="{1C4AF3E7-68F4-4551-AA04-CF74876529EB}" name="Column13" dataDxfId="4"/>
    <tableColumn id="21" xr3:uid="{0F37479B-69C1-4CC4-8CFA-71E5D82987FB}" name="Column14" dataDxfId="3"/>
    <tableColumn id="23" xr3:uid="{652665AB-E9EE-427A-9814-40EDD6BCFB7E}" name="Column16" dataDxfId="2"/>
    <tableColumn id="24" xr3:uid="{0971B08C-85D3-44CF-B486-9D0A921755CB}" name="x" dataDxfId="1"/>
    <tableColumn id="25" xr3:uid="{EE6F1DDE-2803-477C-95C8-6265A85C739B}" name="Remark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1D59990B-62B4-43E9-B2B0-4D5F2768A9F0}">
    <text xml:space="preserve">Physical Weight (variable)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AA09428E-76DB-4ACA-AE8A-C291D7D02E05}">
    <text xml:space="preserve">Physical Weight (variable)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B390CE16-EE26-4D25-A317-B3FF2BF9390E}">
    <text xml:space="preserve">Physical Weight (variable)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ellercentral.amazon.in/skucentral?mSku=TU-PMP-SWF&amp;ref=myi_sku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sellercentral.amazon.in/skucentral?mSku=TU-PMP-SWF&amp;ref=myi_skuc" TargetMode="Externa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ED2E-79AA-4C8A-84DE-AD8634BDE14A}">
  <dimension ref="A1:Y305"/>
  <sheetViews>
    <sheetView tabSelected="1" workbookViewId="0">
      <pane ySplit="3" topLeftCell="A4" activePane="bottomLeft" state="frozen"/>
      <selection pane="bottomLeft" activeCell="C331" sqref="C331"/>
    </sheetView>
  </sheetViews>
  <sheetFormatPr defaultColWidth="8.88671875" defaultRowHeight="13.8" x14ac:dyDescent="0.3"/>
  <cols>
    <col min="1" max="1" width="14.88671875" style="13" customWidth="1"/>
    <col min="2" max="2" width="6.6640625" style="12" customWidth="1"/>
    <col min="3" max="5" width="6.109375" style="236" customWidth="1"/>
    <col min="6" max="6" width="7.44140625" style="237" customWidth="1"/>
    <col min="7" max="10" width="6.5546875" style="101" customWidth="1"/>
    <col min="11" max="14" width="7.109375" style="238" customWidth="1"/>
    <col min="15" max="15" width="8.44140625" style="3" customWidth="1"/>
    <col min="16" max="16" width="10.5546875" style="6" customWidth="1"/>
    <col min="17" max="18" width="8.44140625" style="6" customWidth="1"/>
    <col min="19" max="19" width="10" style="6" customWidth="1"/>
    <col min="20" max="20" width="8.44140625" style="5" customWidth="1"/>
    <col min="21" max="22" width="8.44140625" style="4" customWidth="1"/>
    <col min="23" max="23" width="13.44140625" style="2" customWidth="1"/>
    <col min="24" max="24" width="6.5546875" style="1" customWidth="1"/>
    <col min="25" max="16384" width="8.88671875" style="1"/>
  </cols>
  <sheetData>
    <row r="1" spans="1:25" ht="12.75" customHeight="1" x14ac:dyDescent="0.3">
      <c r="A1" s="136" t="s">
        <v>358</v>
      </c>
      <c r="B1" s="131"/>
      <c r="C1" s="137" t="s">
        <v>320</v>
      </c>
      <c r="D1" s="137"/>
      <c r="E1" s="137"/>
      <c r="F1" s="137"/>
      <c r="G1" s="138" t="s">
        <v>319</v>
      </c>
      <c r="H1" s="138"/>
      <c r="I1" s="138"/>
      <c r="J1" s="138"/>
      <c r="K1" s="139" t="s">
        <v>318</v>
      </c>
      <c r="L1" s="139"/>
      <c r="M1" s="139"/>
      <c r="N1" s="139"/>
      <c r="O1" s="140"/>
      <c r="P1" s="141" t="s">
        <v>317</v>
      </c>
      <c r="Q1" s="142" t="s">
        <v>316</v>
      </c>
      <c r="R1" s="142"/>
      <c r="S1" s="143" t="s">
        <v>315</v>
      </c>
      <c r="T1" s="144" t="s">
        <v>314</v>
      </c>
      <c r="U1" s="144"/>
      <c r="V1" s="144"/>
      <c r="W1" s="91"/>
    </row>
    <row r="2" spans="1:25" x14ac:dyDescent="0.3">
      <c r="A2" s="122"/>
      <c r="B2" s="131"/>
      <c r="C2" s="145" t="s">
        <v>312</v>
      </c>
      <c r="D2" s="145" t="s">
        <v>311</v>
      </c>
      <c r="E2" s="145" t="s">
        <v>310</v>
      </c>
      <c r="F2" s="146" t="s">
        <v>309</v>
      </c>
      <c r="G2" s="106" t="s">
        <v>312</v>
      </c>
      <c r="H2" s="106" t="s">
        <v>311</v>
      </c>
      <c r="I2" s="106" t="s">
        <v>310</v>
      </c>
      <c r="J2" s="106" t="s">
        <v>309</v>
      </c>
      <c r="K2" s="147" t="s">
        <v>312</v>
      </c>
      <c r="L2" s="147" t="s">
        <v>311</v>
      </c>
      <c r="M2" s="147" t="s">
        <v>310</v>
      </c>
      <c r="N2" s="147" t="s">
        <v>309</v>
      </c>
      <c r="O2" s="148" t="s">
        <v>305</v>
      </c>
      <c r="P2" s="149">
        <v>6</v>
      </c>
      <c r="Q2" s="143" t="s">
        <v>359</v>
      </c>
      <c r="R2" s="143" t="s">
        <v>357</v>
      </c>
      <c r="S2" s="143"/>
      <c r="T2" s="150"/>
      <c r="U2" s="151" t="s">
        <v>307</v>
      </c>
      <c r="V2" s="151" t="s">
        <v>306</v>
      </c>
      <c r="W2" s="76" t="s">
        <v>304</v>
      </c>
      <c r="Y2" s="1" t="s">
        <v>303</v>
      </c>
    </row>
    <row r="3" spans="1:25" x14ac:dyDescent="0.3">
      <c r="A3" s="122" t="s">
        <v>302</v>
      </c>
      <c r="B3" s="131" t="s">
        <v>301</v>
      </c>
      <c r="C3" s="152" t="s">
        <v>300</v>
      </c>
      <c r="D3" s="152" t="s">
        <v>299</v>
      </c>
      <c r="E3" s="152" t="s">
        <v>298</v>
      </c>
      <c r="F3" s="153" t="s">
        <v>297</v>
      </c>
      <c r="G3" s="152" t="s">
        <v>360</v>
      </c>
      <c r="H3" s="152" t="s">
        <v>361</v>
      </c>
      <c r="I3" s="152" t="s">
        <v>362</v>
      </c>
      <c r="J3" s="154" t="s">
        <v>363</v>
      </c>
      <c r="K3" s="152" t="s">
        <v>364</v>
      </c>
      <c r="L3" s="152" t="s">
        <v>365</v>
      </c>
      <c r="M3" s="152" t="s">
        <v>366</v>
      </c>
      <c r="N3" s="154" t="s">
        <v>367</v>
      </c>
      <c r="O3" s="155" t="s">
        <v>368</v>
      </c>
      <c r="P3" s="156" t="s">
        <v>295</v>
      </c>
      <c r="Q3" s="157" t="s">
        <v>296</v>
      </c>
      <c r="R3" s="157" t="s">
        <v>369</v>
      </c>
      <c r="S3" s="157" t="s">
        <v>370</v>
      </c>
      <c r="T3" s="158" t="s">
        <v>371</v>
      </c>
      <c r="U3" s="159" t="s">
        <v>372</v>
      </c>
      <c r="V3" s="159" t="s">
        <v>373</v>
      </c>
      <c r="W3" s="160" t="s">
        <v>374</v>
      </c>
      <c r="X3" s="1" t="s">
        <v>375</v>
      </c>
      <c r="Y3" s="1" t="s">
        <v>303</v>
      </c>
    </row>
    <row r="4" spans="1:25" ht="12.45" hidden="1" customHeight="1" x14ac:dyDescent="0.3">
      <c r="A4" s="122" t="s">
        <v>294</v>
      </c>
      <c r="B4" s="161" t="s">
        <v>97</v>
      </c>
      <c r="C4" s="162">
        <v>204</v>
      </c>
      <c r="D4" s="162">
        <v>39</v>
      </c>
      <c r="E4" s="162">
        <v>6</v>
      </c>
      <c r="F4" s="163">
        <v>26800</v>
      </c>
      <c r="G4" s="164">
        <v>190</v>
      </c>
      <c r="H4" s="164">
        <v>80</v>
      </c>
      <c r="I4" s="164">
        <v>6</v>
      </c>
      <c r="J4" s="164">
        <v>32100</v>
      </c>
      <c r="K4" s="165">
        <v>107</v>
      </c>
      <c r="L4" s="165">
        <v>96</v>
      </c>
      <c r="M4" s="165">
        <v>7</v>
      </c>
      <c r="N4" s="165">
        <v>40400</v>
      </c>
      <c r="O4" s="166">
        <f t="shared" ref="O4:O67" si="0">((IFERROR((C4*D4*E4),0)+IFERROR((G4*H4*I4),0)+IFERROR((K4*L4*M4),0))/1000000)*35.32</f>
        <v>7.4468687999999998</v>
      </c>
      <c r="P4" s="167">
        <f t="shared" ref="P4:P67" si="1">F4+J4+N4</f>
        <v>99300</v>
      </c>
      <c r="Q4" s="168">
        <f t="shared" ref="Q4:Q12" si="2">F4+J4+N4</f>
        <v>99300</v>
      </c>
      <c r="R4" s="169">
        <f t="shared" ref="R4:T67" si="3">MAX(Q4,O4)</f>
        <v>99300</v>
      </c>
      <c r="S4" s="169">
        <f t="shared" si="3"/>
        <v>99300</v>
      </c>
      <c r="T4" s="150">
        <f t="shared" si="3"/>
        <v>99300</v>
      </c>
      <c r="U4" s="170">
        <f t="shared" ref="U4:U67" si="4">T4-Q4</f>
        <v>0</v>
      </c>
      <c r="V4" s="171">
        <f t="shared" ref="V4:V67" si="5">U4/T4</f>
        <v>0</v>
      </c>
      <c r="W4" s="46">
        <f t="shared" ref="W4:W67" si="6">R4/O4</f>
        <v>13334.463472755153</v>
      </c>
      <c r="Y4" s="1" t="s">
        <v>46</v>
      </c>
    </row>
    <row r="5" spans="1:25" ht="12.45" hidden="1" customHeight="1" x14ac:dyDescent="0.3">
      <c r="A5" s="122" t="s">
        <v>293</v>
      </c>
      <c r="B5" s="172" t="s">
        <v>97</v>
      </c>
      <c r="C5" s="173">
        <v>204</v>
      </c>
      <c r="D5" s="173">
        <v>39</v>
      </c>
      <c r="E5" s="173">
        <v>7</v>
      </c>
      <c r="F5" s="174">
        <v>25770</v>
      </c>
      <c r="G5" s="175">
        <v>162</v>
      </c>
      <c r="H5" s="175">
        <v>81</v>
      </c>
      <c r="I5" s="175">
        <v>5</v>
      </c>
      <c r="J5" s="175">
        <v>28000</v>
      </c>
      <c r="K5" s="176">
        <v>104</v>
      </c>
      <c r="L5" s="176">
        <v>80</v>
      </c>
      <c r="M5" s="176">
        <v>7</v>
      </c>
      <c r="N5" s="176">
        <v>35000</v>
      </c>
      <c r="O5" s="166">
        <f t="shared" si="0"/>
        <v>6.3414234400000007</v>
      </c>
      <c r="P5" s="167">
        <f t="shared" si="1"/>
        <v>88770</v>
      </c>
      <c r="Q5" s="168">
        <f t="shared" si="2"/>
        <v>88770</v>
      </c>
      <c r="R5" s="169">
        <f t="shared" si="3"/>
        <v>88770</v>
      </c>
      <c r="S5" s="169">
        <f t="shared" si="3"/>
        <v>88770</v>
      </c>
      <c r="T5" s="150">
        <f t="shared" si="3"/>
        <v>88770</v>
      </c>
      <c r="U5" s="170">
        <f t="shared" si="4"/>
        <v>0</v>
      </c>
      <c r="V5" s="171">
        <f t="shared" si="5"/>
        <v>0</v>
      </c>
      <c r="W5" s="46">
        <f t="shared" si="6"/>
        <v>13998.434395669372</v>
      </c>
      <c r="Y5" s="1" t="s">
        <v>44</v>
      </c>
    </row>
    <row r="6" spans="1:25" hidden="1" x14ac:dyDescent="0.3">
      <c r="A6" s="122" t="s">
        <v>292</v>
      </c>
      <c r="B6" s="172" t="s">
        <v>97</v>
      </c>
      <c r="C6" s="173">
        <v>205</v>
      </c>
      <c r="D6" s="173">
        <v>54</v>
      </c>
      <c r="E6" s="173">
        <v>10</v>
      </c>
      <c r="F6" s="174">
        <v>35000</v>
      </c>
      <c r="G6" s="175">
        <v>105</v>
      </c>
      <c r="H6" s="175">
        <v>94</v>
      </c>
      <c r="I6" s="175">
        <v>5</v>
      </c>
      <c r="J6" s="175">
        <v>35000</v>
      </c>
      <c r="K6" s="176"/>
      <c r="L6" s="176"/>
      <c r="M6" s="176"/>
      <c r="N6" s="176"/>
      <c r="O6" s="166">
        <f t="shared" si="0"/>
        <v>5.6529660000000002</v>
      </c>
      <c r="P6" s="167">
        <f t="shared" si="1"/>
        <v>70000</v>
      </c>
      <c r="Q6" s="168">
        <f t="shared" si="2"/>
        <v>70000</v>
      </c>
      <c r="R6" s="169">
        <f t="shared" si="3"/>
        <v>70000</v>
      </c>
      <c r="S6" s="169">
        <f t="shared" si="3"/>
        <v>70000</v>
      </c>
      <c r="T6" s="150">
        <f t="shared" si="3"/>
        <v>70000</v>
      </c>
      <c r="U6" s="170">
        <f t="shared" si="4"/>
        <v>0</v>
      </c>
      <c r="V6" s="171">
        <f t="shared" si="5"/>
        <v>0</v>
      </c>
      <c r="W6" s="46">
        <f t="shared" si="6"/>
        <v>12382.8800668534</v>
      </c>
      <c r="Y6" s="1" t="s">
        <v>46</v>
      </c>
    </row>
    <row r="7" spans="1:25" hidden="1" x14ac:dyDescent="0.3">
      <c r="A7" s="122" t="s">
        <v>291</v>
      </c>
      <c r="B7" s="172" t="s">
        <v>97</v>
      </c>
      <c r="C7" s="173">
        <v>207</v>
      </c>
      <c r="D7" s="173">
        <v>38</v>
      </c>
      <c r="E7" s="173">
        <v>8</v>
      </c>
      <c r="F7" s="174">
        <v>34800</v>
      </c>
      <c r="G7" s="175">
        <v>192</v>
      </c>
      <c r="H7" s="175">
        <v>40</v>
      </c>
      <c r="I7" s="175">
        <v>6</v>
      </c>
      <c r="J7" s="175">
        <v>22700</v>
      </c>
      <c r="K7" s="176">
        <v>105</v>
      </c>
      <c r="L7" s="176">
        <v>96</v>
      </c>
      <c r="M7" s="176">
        <v>7</v>
      </c>
      <c r="N7" s="176">
        <v>38800</v>
      </c>
      <c r="O7" s="166">
        <f t="shared" si="0"/>
        <v>6.3423417600000001</v>
      </c>
      <c r="P7" s="167">
        <f t="shared" si="1"/>
        <v>96300</v>
      </c>
      <c r="Q7" s="168">
        <f t="shared" si="2"/>
        <v>96300</v>
      </c>
      <c r="R7" s="169">
        <f t="shared" si="3"/>
        <v>96300</v>
      </c>
      <c r="S7" s="169">
        <f t="shared" si="3"/>
        <v>96300</v>
      </c>
      <c r="T7" s="150">
        <f t="shared" si="3"/>
        <v>96300</v>
      </c>
      <c r="U7" s="170">
        <f t="shared" si="4"/>
        <v>0</v>
      </c>
      <c r="V7" s="171">
        <f t="shared" si="5"/>
        <v>0</v>
      </c>
      <c r="W7" s="46">
        <f t="shared" si="6"/>
        <v>15183.666166863894</v>
      </c>
      <c r="Y7" s="1" t="s">
        <v>44</v>
      </c>
    </row>
    <row r="8" spans="1:25" hidden="1" x14ac:dyDescent="0.3">
      <c r="A8" s="122" t="s">
        <v>290</v>
      </c>
      <c r="B8" s="172" t="s">
        <v>97</v>
      </c>
      <c r="C8" s="173">
        <v>206</v>
      </c>
      <c r="D8" s="173">
        <v>50</v>
      </c>
      <c r="E8" s="173">
        <v>10</v>
      </c>
      <c r="F8" s="174">
        <v>46000</v>
      </c>
      <c r="G8" s="175">
        <v>102</v>
      </c>
      <c r="H8" s="175">
        <v>79</v>
      </c>
      <c r="I8" s="175">
        <v>5</v>
      </c>
      <c r="J8" s="175">
        <v>24000</v>
      </c>
      <c r="K8" s="176"/>
      <c r="L8" s="176"/>
      <c r="M8" s="176"/>
      <c r="N8" s="176"/>
      <c r="O8" s="166">
        <f t="shared" si="0"/>
        <v>5.0610027999999998</v>
      </c>
      <c r="P8" s="167">
        <f t="shared" si="1"/>
        <v>70000</v>
      </c>
      <c r="Q8" s="168">
        <f t="shared" si="2"/>
        <v>70000</v>
      </c>
      <c r="R8" s="169">
        <f t="shared" si="3"/>
        <v>70000</v>
      </c>
      <c r="S8" s="169">
        <f t="shared" si="3"/>
        <v>70000</v>
      </c>
      <c r="T8" s="150">
        <f t="shared" si="3"/>
        <v>70000</v>
      </c>
      <c r="U8" s="170">
        <f t="shared" si="4"/>
        <v>0</v>
      </c>
      <c r="V8" s="171">
        <f t="shared" si="5"/>
        <v>0</v>
      </c>
      <c r="W8" s="46">
        <f t="shared" si="6"/>
        <v>13831.250992392259</v>
      </c>
      <c r="Y8" s="1" t="s">
        <v>46</v>
      </c>
    </row>
    <row r="9" spans="1:25" hidden="1" x14ac:dyDescent="0.3">
      <c r="A9" s="122" t="s">
        <v>289</v>
      </c>
      <c r="B9" s="172" t="s">
        <v>97</v>
      </c>
      <c r="C9" s="173">
        <v>202</v>
      </c>
      <c r="D9" s="173">
        <v>40</v>
      </c>
      <c r="E9" s="173">
        <v>9</v>
      </c>
      <c r="F9" s="174">
        <v>34290</v>
      </c>
      <c r="G9" s="175">
        <v>162</v>
      </c>
      <c r="H9" s="175">
        <v>40</v>
      </c>
      <c r="I9" s="175">
        <v>6</v>
      </c>
      <c r="J9" s="175">
        <v>18850</v>
      </c>
      <c r="K9" s="176">
        <v>104</v>
      </c>
      <c r="L9" s="176">
        <v>82</v>
      </c>
      <c r="M9" s="176">
        <v>7</v>
      </c>
      <c r="N9" s="176">
        <v>37400</v>
      </c>
      <c r="O9" s="166">
        <f t="shared" si="0"/>
        <v>6.0501747200000002</v>
      </c>
      <c r="P9" s="167">
        <f t="shared" si="1"/>
        <v>90540</v>
      </c>
      <c r="Q9" s="168">
        <f t="shared" si="2"/>
        <v>90540</v>
      </c>
      <c r="R9" s="169">
        <f t="shared" si="3"/>
        <v>90540</v>
      </c>
      <c r="S9" s="169">
        <f t="shared" si="3"/>
        <v>90540</v>
      </c>
      <c r="T9" s="150">
        <f t="shared" si="3"/>
        <v>90540</v>
      </c>
      <c r="U9" s="170">
        <f t="shared" si="4"/>
        <v>0</v>
      </c>
      <c r="V9" s="171">
        <f t="shared" si="5"/>
        <v>0</v>
      </c>
      <c r="W9" s="46">
        <f t="shared" si="6"/>
        <v>14964.857081019967</v>
      </c>
      <c r="Y9" s="1" t="s">
        <v>44</v>
      </c>
    </row>
    <row r="10" spans="1:25" hidden="1" x14ac:dyDescent="0.3">
      <c r="A10" s="124" t="s">
        <v>288</v>
      </c>
      <c r="B10" s="172" t="s">
        <v>97</v>
      </c>
      <c r="C10" s="173">
        <v>204</v>
      </c>
      <c r="D10" s="173">
        <v>48</v>
      </c>
      <c r="E10" s="173">
        <v>6</v>
      </c>
      <c r="F10" s="174">
        <v>31000</v>
      </c>
      <c r="G10" s="175">
        <v>106</v>
      </c>
      <c r="H10" s="175">
        <v>96</v>
      </c>
      <c r="I10" s="175">
        <v>3</v>
      </c>
      <c r="J10" s="175">
        <v>15100</v>
      </c>
      <c r="K10" s="176"/>
      <c r="L10" s="176"/>
      <c r="M10" s="176"/>
      <c r="N10" s="176"/>
      <c r="O10" s="166">
        <f t="shared" si="0"/>
        <v>3.1533696</v>
      </c>
      <c r="P10" s="167">
        <f t="shared" si="1"/>
        <v>46100</v>
      </c>
      <c r="Q10" s="177">
        <f t="shared" si="2"/>
        <v>46100</v>
      </c>
      <c r="R10" s="169">
        <f t="shared" si="3"/>
        <v>46100</v>
      </c>
      <c r="S10" s="169">
        <f t="shared" si="3"/>
        <v>46100</v>
      </c>
      <c r="T10" s="150">
        <f t="shared" si="3"/>
        <v>46100</v>
      </c>
      <c r="U10" s="170">
        <f t="shared" si="4"/>
        <v>0</v>
      </c>
      <c r="V10" s="171">
        <f t="shared" si="5"/>
        <v>0</v>
      </c>
      <c r="W10" s="46">
        <f t="shared" si="6"/>
        <v>14619.28217992588</v>
      </c>
      <c r="Y10" s="1" t="s">
        <v>44</v>
      </c>
    </row>
    <row r="11" spans="1:25" ht="12.45" hidden="1" customHeight="1" x14ac:dyDescent="0.3">
      <c r="A11" s="116" t="s">
        <v>70</v>
      </c>
      <c r="B11" s="172" t="s">
        <v>47</v>
      </c>
      <c r="C11" s="173"/>
      <c r="D11" s="173"/>
      <c r="E11" s="173"/>
      <c r="F11" s="174"/>
      <c r="G11" s="175"/>
      <c r="H11" s="175"/>
      <c r="I11" s="175"/>
      <c r="J11" s="175"/>
      <c r="K11" s="176"/>
      <c r="L11" s="176"/>
      <c r="M11" s="176"/>
      <c r="N11" s="176"/>
      <c r="O11" s="166">
        <f t="shared" si="0"/>
        <v>0</v>
      </c>
      <c r="P11" s="167">
        <f t="shared" si="1"/>
        <v>0</v>
      </c>
      <c r="Q11" s="177">
        <f t="shared" si="2"/>
        <v>0</v>
      </c>
      <c r="R11" s="169">
        <f t="shared" si="3"/>
        <v>0</v>
      </c>
      <c r="S11" s="169">
        <f t="shared" si="3"/>
        <v>0</v>
      </c>
      <c r="T11" s="150">
        <f t="shared" si="3"/>
        <v>0</v>
      </c>
      <c r="U11" s="170">
        <f t="shared" si="4"/>
        <v>0</v>
      </c>
      <c r="V11" s="171" t="e">
        <f t="shared" si="5"/>
        <v>#DIV/0!</v>
      </c>
      <c r="W11" s="46" t="e">
        <f t="shared" si="6"/>
        <v>#DIV/0!</v>
      </c>
      <c r="Y11" s="1" t="s">
        <v>46</v>
      </c>
    </row>
    <row r="12" spans="1:25" ht="12.45" hidden="1" customHeight="1" x14ac:dyDescent="0.3">
      <c r="A12" s="116" t="s">
        <v>71</v>
      </c>
      <c r="B12" s="172" t="s">
        <v>0</v>
      </c>
      <c r="C12" s="173">
        <v>188</v>
      </c>
      <c r="D12" s="173">
        <v>44</v>
      </c>
      <c r="E12" s="173">
        <v>9</v>
      </c>
      <c r="F12" s="174">
        <v>33270</v>
      </c>
      <c r="G12" s="175"/>
      <c r="H12" s="175"/>
      <c r="I12" s="175"/>
      <c r="J12" s="175"/>
      <c r="K12" s="176"/>
      <c r="L12" s="176"/>
      <c r="M12" s="176"/>
      <c r="N12" s="176"/>
      <c r="O12" s="166">
        <f t="shared" si="0"/>
        <v>2.6295033600000002</v>
      </c>
      <c r="P12" s="167">
        <f t="shared" si="1"/>
        <v>33270</v>
      </c>
      <c r="Q12" s="177">
        <f t="shared" si="2"/>
        <v>33270</v>
      </c>
      <c r="R12" s="169">
        <f t="shared" si="3"/>
        <v>33270</v>
      </c>
      <c r="S12" s="169">
        <f t="shared" si="3"/>
        <v>33270</v>
      </c>
      <c r="T12" s="150">
        <f t="shared" si="3"/>
        <v>33270</v>
      </c>
      <c r="U12" s="170">
        <f t="shared" si="4"/>
        <v>0</v>
      </c>
      <c r="V12" s="171">
        <f t="shared" si="5"/>
        <v>0</v>
      </c>
      <c r="W12" s="46">
        <f t="shared" si="6"/>
        <v>12652.579382899134</v>
      </c>
      <c r="Y12" s="1" t="s">
        <v>44</v>
      </c>
    </row>
    <row r="13" spans="1:25" hidden="1" x14ac:dyDescent="0.3">
      <c r="A13" s="122" t="s">
        <v>286</v>
      </c>
      <c r="B13" s="172" t="s">
        <v>97</v>
      </c>
      <c r="C13" s="173">
        <v>206</v>
      </c>
      <c r="D13" s="173">
        <v>50</v>
      </c>
      <c r="E13" s="173">
        <v>8</v>
      </c>
      <c r="F13" s="174">
        <v>45600</v>
      </c>
      <c r="G13" s="175">
        <v>105</v>
      </c>
      <c r="H13" s="175">
        <v>96</v>
      </c>
      <c r="I13" s="175">
        <v>5</v>
      </c>
      <c r="J13" s="175">
        <v>27600</v>
      </c>
      <c r="K13" s="176"/>
      <c r="L13" s="176"/>
      <c r="M13" s="176"/>
      <c r="N13" s="176"/>
      <c r="O13" s="166">
        <f t="shared" si="0"/>
        <v>4.6904960000000004</v>
      </c>
      <c r="P13" s="167">
        <f t="shared" si="1"/>
        <v>73200</v>
      </c>
      <c r="Q13" s="177">
        <f>IFERROR(F13,0)+IFERROR(J13,0)+IFERROR(N13,0)</f>
        <v>73200</v>
      </c>
      <c r="R13" s="169">
        <f t="shared" si="3"/>
        <v>73200</v>
      </c>
      <c r="S13" s="169">
        <f t="shared" si="3"/>
        <v>73200</v>
      </c>
      <c r="T13" s="150">
        <f t="shared" si="3"/>
        <v>73200</v>
      </c>
      <c r="U13" s="170">
        <f t="shared" si="4"/>
        <v>0</v>
      </c>
      <c r="V13" s="171">
        <f t="shared" si="5"/>
        <v>0</v>
      </c>
      <c r="W13" s="46">
        <f t="shared" si="6"/>
        <v>15606.025460846784</v>
      </c>
      <c r="Y13" s="1" t="s">
        <v>44</v>
      </c>
    </row>
    <row r="14" spans="1:25" hidden="1" x14ac:dyDescent="0.3">
      <c r="A14" s="122" t="s">
        <v>285</v>
      </c>
      <c r="B14" s="172" t="s">
        <v>97</v>
      </c>
      <c r="C14" s="173">
        <v>205</v>
      </c>
      <c r="D14" s="173">
        <v>50</v>
      </c>
      <c r="E14" s="173">
        <v>8</v>
      </c>
      <c r="F14" s="174">
        <v>41950</v>
      </c>
      <c r="G14" s="175">
        <v>104</v>
      </c>
      <c r="H14" s="175">
        <v>84</v>
      </c>
      <c r="I14" s="175">
        <v>5</v>
      </c>
      <c r="J14" s="175">
        <v>23100</v>
      </c>
      <c r="K14" s="176"/>
      <c r="L14" s="176"/>
      <c r="M14" s="176"/>
      <c r="N14" s="176"/>
      <c r="O14" s="166">
        <f t="shared" si="0"/>
        <v>4.4390175999999997</v>
      </c>
      <c r="P14" s="167">
        <f t="shared" si="1"/>
        <v>65050</v>
      </c>
      <c r="Q14" s="177">
        <f t="shared" ref="Q14:Q77" si="7">F14+J14+N14</f>
        <v>65050</v>
      </c>
      <c r="R14" s="169">
        <f t="shared" si="3"/>
        <v>65050</v>
      </c>
      <c r="S14" s="169">
        <f t="shared" si="3"/>
        <v>65050</v>
      </c>
      <c r="T14" s="150">
        <f t="shared" si="3"/>
        <v>65050</v>
      </c>
      <c r="U14" s="170">
        <f t="shared" si="4"/>
        <v>0</v>
      </c>
      <c r="V14" s="171">
        <f t="shared" si="5"/>
        <v>0</v>
      </c>
      <c r="W14" s="46">
        <f t="shared" si="6"/>
        <v>14654.143295129086</v>
      </c>
      <c r="Y14" s="1" t="s">
        <v>44</v>
      </c>
    </row>
    <row r="15" spans="1:25" hidden="1" x14ac:dyDescent="0.3">
      <c r="A15" s="122" t="s">
        <v>284</v>
      </c>
      <c r="B15" s="172" t="s">
        <v>97</v>
      </c>
      <c r="C15" s="173">
        <v>199</v>
      </c>
      <c r="D15" s="173">
        <v>38</v>
      </c>
      <c r="E15" s="173">
        <v>9</v>
      </c>
      <c r="F15" s="174">
        <v>30460</v>
      </c>
      <c r="G15" s="175">
        <v>99</v>
      </c>
      <c r="H15" s="175">
        <v>54</v>
      </c>
      <c r="I15" s="175">
        <v>5</v>
      </c>
      <c r="J15" s="175">
        <v>16000</v>
      </c>
      <c r="K15" s="176"/>
      <c r="L15" s="176"/>
      <c r="M15" s="176"/>
      <c r="N15" s="176"/>
      <c r="O15" s="166">
        <f t="shared" si="0"/>
        <v>3.3479121599999999</v>
      </c>
      <c r="P15" s="167">
        <f t="shared" si="1"/>
        <v>46460</v>
      </c>
      <c r="Q15" s="177">
        <f t="shared" si="7"/>
        <v>46460</v>
      </c>
      <c r="R15" s="169">
        <f t="shared" si="3"/>
        <v>46460</v>
      </c>
      <c r="S15" s="169">
        <f t="shared" si="3"/>
        <v>46460</v>
      </c>
      <c r="T15" s="150">
        <f t="shared" si="3"/>
        <v>46460</v>
      </c>
      <c r="U15" s="170">
        <f t="shared" si="4"/>
        <v>0</v>
      </c>
      <c r="V15" s="171">
        <f t="shared" si="5"/>
        <v>0</v>
      </c>
      <c r="W15" s="46">
        <f t="shared" si="6"/>
        <v>13877.305550334391</v>
      </c>
      <c r="Y15" s="1" t="s">
        <v>44</v>
      </c>
    </row>
    <row r="16" spans="1:25" hidden="1" x14ac:dyDescent="0.3">
      <c r="A16" s="122" t="s">
        <v>283</v>
      </c>
      <c r="B16" s="172" t="s">
        <v>0</v>
      </c>
      <c r="C16" s="173">
        <v>72</v>
      </c>
      <c r="D16" s="173">
        <v>39</v>
      </c>
      <c r="E16" s="173">
        <v>5</v>
      </c>
      <c r="F16" s="174">
        <v>6470</v>
      </c>
      <c r="G16" s="175"/>
      <c r="H16" s="175"/>
      <c r="I16" s="175"/>
      <c r="J16" s="175"/>
      <c r="K16" s="176"/>
      <c r="L16" s="176"/>
      <c r="M16" s="176"/>
      <c r="N16" s="176"/>
      <c r="O16" s="166">
        <f t="shared" si="0"/>
        <v>0.49589280000000002</v>
      </c>
      <c r="P16" s="167">
        <f t="shared" si="1"/>
        <v>6470</v>
      </c>
      <c r="Q16" s="177">
        <f t="shared" si="7"/>
        <v>6470</v>
      </c>
      <c r="R16" s="169">
        <f t="shared" si="3"/>
        <v>6470</v>
      </c>
      <c r="S16" s="169">
        <f t="shared" si="3"/>
        <v>6470</v>
      </c>
      <c r="T16" s="150">
        <f t="shared" si="3"/>
        <v>6470</v>
      </c>
      <c r="U16" s="170">
        <f t="shared" si="4"/>
        <v>0</v>
      </c>
      <c r="V16" s="171">
        <f t="shared" si="5"/>
        <v>0</v>
      </c>
      <c r="W16" s="46">
        <f t="shared" si="6"/>
        <v>13047.174711953874</v>
      </c>
      <c r="Y16" s="1" t="s">
        <v>44</v>
      </c>
    </row>
    <row r="17" spans="1:25" hidden="1" x14ac:dyDescent="0.3">
      <c r="A17" s="122" t="s">
        <v>282</v>
      </c>
      <c r="B17" s="172" t="s">
        <v>0</v>
      </c>
      <c r="C17" s="173">
        <v>42</v>
      </c>
      <c r="D17" s="173">
        <v>41</v>
      </c>
      <c r="E17" s="173">
        <v>6</v>
      </c>
      <c r="F17" s="174">
        <v>4300</v>
      </c>
      <c r="G17" s="175"/>
      <c r="H17" s="175"/>
      <c r="I17" s="175"/>
      <c r="J17" s="175"/>
      <c r="K17" s="176"/>
      <c r="L17" s="176"/>
      <c r="M17" s="176"/>
      <c r="N17" s="176"/>
      <c r="O17" s="166">
        <f t="shared" si="0"/>
        <v>0.36492623999999996</v>
      </c>
      <c r="P17" s="167">
        <f t="shared" si="1"/>
        <v>4300</v>
      </c>
      <c r="Q17" s="177">
        <f t="shared" si="7"/>
        <v>4300</v>
      </c>
      <c r="R17" s="169">
        <f t="shared" si="3"/>
        <v>4300</v>
      </c>
      <c r="S17" s="169">
        <f t="shared" si="3"/>
        <v>4300</v>
      </c>
      <c r="T17" s="150">
        <f t="shared" si="3"/>
        <v>4300</v>
      </c>
      <c r="U17" s="170">
        <f t="shared" si="4"/>
        <v>0</v>
      </c>
      <c r="V17" s="171">
        <f t="shared" si="5"/>
        <v>0</v>
      </c>
      <c r="W17" s="46">
        <f t="shared" si="6"/>
        <v>11783.203093315517</v>
      </c>
      <c r="Y17" s="1" t="s">
        <v>44</v>
      </c>
    </row>
    <row r="18" spans="1:25" hidden="1" x14ac:dyDescent="0.3">
      <c r="A18" s="122" t="s">
        <v>281</v>
      </c>
      <c r="B18" s="172" t="s">
        <v>376</v>
      </c>
      <c r="C18" s="173">
        <v>64</v>
      </c>
      <c r="D18" s="173">
        <v>58</v>
      </c>
      <c r="E18" s="173">
        <v>12</v>
      </c>
      <c r="F18" s="174">
        <v>15000</v>
      </c>
      <c r="G18" s="175"/>
      <c r="H18" s="175"/>
      <c r="I18" s="175"/>
      <c r="J18" s="175"/>
      <c r="K18" s="176"/>
      <c r="L18" s="176"/>
      <c r="M18" s="176"/>
      <c r="N18" s="176"/>
      <c r="O18" s="166">
        <f t="shared" si="0"/>
        <v>1.5732940799999999</v>
      </c>
      <c r="P18" s="167">
        <f t="shared" si="1"/>
        <v>15000</v>
      </c>
      <c r="Q18" s="177">
        <f t="shared" si="7"/>
        <v>15000</v>
      </c>
      <c r="R18" s="169">
        <f t="shared" si="3"/>
        <v>15000</v>
      </c>
      <c r="S18" s="169">
        <f t="shared" si="3"/>
        <v>15000</v>
      </c>
      <c r="T18" s="150">
        <f t="shared" si="3"/>
        <v>15000</v>
      </c>
      <c r="U18" s="170">
        <f t="shared" si="4"/>
        <v>0</v>
      </c>
      <c r="V18" s="171">
        <f t="shared" si="5"/>
        <v>0</v>
      </c>
      <c r="W18" s="46">
        <f t="shared" si="6"/>
        <v>9534.1361737025036</v>
      </c>
      <c r="Y18" s="1" t="s">
        <v>46</v>
      </c>
    </row>
    <row r="19" spans="1:25" hidden="1" x14ac:dyDescent="0.3">
      <c r="A19" s="122" t="s">
        <v>354</v>
      </c>
      <c r="B19" s="172" t="s">
        <v>47</v>
      </c>
      <c r="C19" s="173"/>
      <c r="D19" s="173"/>
      <c r="E19" s="173"/>
      <c r="F19" s="174"/>
      <c r="G19" s="175"/>
      <c r="H19" s="175"/>
      <c r="I19" s="175"/>
      <c r="J19" s="175"/>
      <c r="K19" s="176"/>
      <c r="L19" s="176"/>
      <c r="M19" s="176"/>
      <c r="N19" s="176"/>
      <c r="O19" s="166">
        <f t="shared" si="0"/>
        <v>0</v>
      </c>
      <c r="P19" s="167">
        <f t="shared" si="1"/>
        <v>0</v>
      </c>
      <c r="Q19" s="177">
        <f t="shared" si="7"/>
        <v>0</v>
      </c>
      <c r="R19" s="169">
        <f t="shared" si="3"/>
        <v>0</v>
      </c>
      <c r="S19" s="169">
        <f t="shared" si="3"/>
        <v>0</v>
      </c>
      <c r="T19" s="150">
        <f t="shared" si="3"/>
        <v>0</v>
      </c>
      <c r="U19" s="170">
        <f t="shared" si="4"/>
        <v>0</v>
      </c>
      <c r="V19" s="171" t="e">
        <f t="shared" si="5"/>
        <v>#DIV/0!</v>
      </c>
      <c r="W19" s="46" t="e">
        <f t="shared" si="6"/>
        <v>#DIV/0!</v>
      </c>
      <c r="Y19" s="1" t="s">
        <v>46</v>
      </c>
    </row>
    <row r="20" spans="1:25" hidden="1" x14ac:dyDescent="0.3">
      <c r="A20" s="122" t="s">
        <v>280</v>
      </c>
      <c r="B20" s="172" t="s">
        <v>0</v>
      </c>
      <c r="C20" s="173">
        <v>48</v>
      </c>
      <c r="D20" s="173">
        <v>45</v>
      </c>
      <c r="E20" s="173">
        <v>5</v>
      </c>
      <c r="F20" s="174">
        <v>7700</v>
      </c>
      <c r="G20" s="175"/>
      <c r="H20" s="175"/>
      <c r="I20" s="175"/>
      <c r="J20" s="175"/>
      <c r="K20" s="176"/>
      <c r="L20" s="176"/>
      <c r="M20" s="176"/>
      <c r="N20" s="176"/>
      <c r="O20" s="166">
        <f t="shared" si="0"/>
        <v>0.38145600000000002</v>
      </c>
      <c r="P20" s="167">
        <f t="shared" si="1"/>
        <v>7700</v>
      </c>
      <c r="Q20" s="177">
        <f t="shared" si="7"/>
        <v>7700</v>
      </c>
      <c r="R20" s="169">
        <f t="shared" si="3"/>
        <v>7700</v>
      </c>
      <c r="S20" s="169">
        <f t="shared" si="3"/>
        <v>7700</v>
      </c>
      <c r="T20" s="150">
        <f t="shared" si="3"/>
        <v>7700</v>
      </c>
      <c r="U20" s="170">
        <f t="shared" si="4"/>
        <v>0</v>
      </c>
      <c r="V20" s="171">
        <f t="shared" si="5"/>
        <v>0</v>
      </c>
      <c r="W20" s="46">
        <f t="shared" si="6"/>
        <v>20185.814353424772</v>
      </c>
      <c r="Y20" s="1" t="s">
        <v>44</v>
      </c>
    </row>
    <row r="21" spans="1:25" hidden="1" x14ac:dyDescent="0.3">
      <c r="A21" s="125" t="s">
        <v>279</v>
      </c>
      <c r="B21" s="172" t="s">
        <v>0</v>
      </c>
      <c r="C21" s="173">
        <v>60</v>
      </c>
      <c r="D21" s="173">
        <v>44</v>
      </c>
      <c r="E21" s="173">
        <v>7</v>
      </c>
      <c r="F21" s="174">
        <v>10490</v>
      </c>
      <c r="G21" s="175"/>
      <c r="H21" s="175"/>
      <c r="I21" s="175"/>
      <c r="J21" s="175"/>
      <c r="K21" s="176"/>
      <c r="L21" s="176"/>
      <c r="M21" s="176"/>
      <c r="N21" s="176"/>
      <c r="O21" s="166">
        <f t="shared" si="0"/>
        <v>0.6527136</v>
      </c>
      <c r="P21" s="167">
        <f t="shared" si="1"/>
        <v>10490</v>
      </c>
      <c r="Q21" s="177">
        <f t="shared" si="7"/>
        <v>10490</v>
      </c>
      <c r="R21" s="169">
        <f t="shared" si="3"/>
        <v>10490</v>
      </c>
      <c r="S21" s="169">
        <f t="shared" si="3"/>
        <v>10490</v>
      </c>
      <c r="T21" s="150">
        <f t="shared" si="3"/>
        <v>10490</v>
      </c>
      <c r="U21" s="170">
        <f t="shared" si="4"/>
        <v>0</v>
      </c>
      <c r="V21" s="171">
        <f t="shared" si="5"/>
        <v>0</v>
      </c>
      <c r="W21" s="46">
        <f t="shared" si="6"/>
        <v>16071.367288807833</v>
      </c>
      <c r="Y21" s="1" t="s">
        <v>44</v>
      </c>
    </row>
    <row r="22" spans="1:25" ht="12.45" hidden="1" customHeight="1" x14ac:dyDescent="0.3">
      <c r="A22" s="122" t="s">
        <v>353</v>
      </c>
      <c r="B22" s="172" t="s">
        <v>47</v>
      </c>
      <c r="C22" s="173"/>
      <c r="D22" s="173"/>
      <c r="E22" s="173"/>
      <c r="F22" s="174"/>
      <c r="G22" s="175"/>
      <c r="H22" s="175"/>
      <c r="I22" s="175"/>
      <c r="J22" s="175"/>
      <c r="K22" s="176"/>
      <c r="L22" s="176"/>
      <c r="M22" s="176"/>
      <c r="N22" s="176"/>
      <c r="O22" s="166">
        <f t="shared" si="0"/>
        <v>0</v>
      </c>
      <c r="P22" s="167">
        <f t="shared" si="1"/>
        <v>0</v>
      </c>
      <c r="Q22" s="177">
        <f t="shared" si="7"/>
        <v>0</v>
      </c>
      <c r="R22" s="169">
        <f t="shared" si="3"/>
        <v>0</v>
      </c>
      <c r="S22" s="169">
        <f t="shared" si="3"/>
        <v>0</v>
      </c>
      <c r="T22" s="150">
        <f t="shared" si="3"/>
        <v>0</v>
      </c>
      <c r="U22" s="170">
        <f t="shared" si="4"/>
        <v>0</v>
      </c>
      <c r="V22" s="171" t="e">
        <f t="shared" si="5"/>
        <v>#DIV/0!</v>
      </c>
      <c r="W22" s="46" t="e">
        <f t="shared" si="6"/>
        <v>#DIV/0!</v>
      </c>
      <c r="Y22" s="1" t="s">
        <v>46</v>
      </c>
    </row>
    <row r="23" spans="1:25" s="62" customFormat="1" hidden="1" x14ac:dyDescent="0.3">
      <c r="A23" s="178" t="s">
        <v>278</v>
      </c>
      <c r="B23" s="179" t="s">
        <v>0</v>
      </c>
      <c r="C23" s="180">
        <v>123</v>
      </c>
      <c r="D23" s="180">
        <v>56</v>
      </c>
      <c r="E23" s="180">
        <v>5</v>
      </c>
      <c r="F23" s="181">
        <v>24490</v>
      </c>
      <c r="G23" s="180"/>
      <c r="H23" s="180"/>
      <c r="I23" s="180"/>
      <c r="J23" s="180"/>
      <c r="K23" s="180"/>
      <c r="L23" s="180"/>
      <c r="M23" s="180"/>
      <c r="N23" s="180"/>
      <c r="O23" s="182">
        <f t="shared" si="0"/>
        <v>1.2164207999999999</v>
      </c>
      <c r="P23" s="68">
        <f t="shared" si="1"/>
        <v>24490</v>
      </c>
      <c r="Q23" s="183">
        <f t="shared" si="7"/>
        <v>24490</v>
      </c>
      <c r="R23" s="184">
        <f t="shared" si="3"/>
        <v>24490</v>
      </c>
      <c r="S23" s="184">
        <f t="shared" si="3"/>
        <v>24490</v>
      </c>
      <c r="T23" s="185">
        <f t="shared" si="3"/>
        <v>24490</v>
      </c>
      <c r="U23" s="186">
        <f t="shared" si="4"/>
        <v>0</v>
      </c>
      <c r="V23" s="187">
        <f t="shared" si="5"/>
        <v>0</v>
      </c>
      <c r="W23" s="63">
        <f t="shared" si="6"/>
        <v>20132.835610834674</v>
      </c>
      <c r="Y23" s="62" t="s">
        <v>46</v>
      </c>
    </row>
    <row r="24" spans="1:25" s="62" customFormat="1" ht="12.45" hidden="1" customHeight="1" x14ac:dyDescent="0.3">
      <c r="A24" s="188" t="s">
        <v>377</v>
      </c>
      <c r="B24" s="179" t="s">
        <v>0</v>
      </c>
      <c r="C24" s="180"/>
      <c r="D24" s="180"/>
      <c r="E24" s="180"/>
      <c r="F24" s="189">
        <v>15800</v>
      </c>
      <c r="G24" s="180"/>
      <c r="H24" s="180"/>
      <c r="I24" s="180"/>
      <c r="J24" s="180"/>
      <c r="K24" s="180"/>
      <c r="L24" s="180"/>
      <c r="M24" s="180"/>
      <c r="N24" s="180"/>
      <c r="O24" s="182">
        <f t="shared" si="0"/>
        <v>0</v>
      </c>
      <c r="P24" s="68">
        <f t="shared" si="1"/>
        <v>15800</v>
      </c>
      <c r="Q24" s="183">
        <f t="shared" si="7"/>
        <v>15800</v>
      </c>
      <c r="R24" s="184">
        <f t="shared" si="3"/>
        <v>15800</v>
      </c>
      <c r="S24" s="184">
        <f t="shared" si="3"/>
        <v>15800</v>
      </c>
      <c r="T24" s="185">
        <f t="shared" si="3"/>
        <v>15800</v>
      </c>
      <c r="U24" s="186">
        <f t="shared" si="4"/>
        <v>0</v>
      </c>
      <c r="V24" s="187">
        <f t="shared" si="5"/>
        <v>0</v>
      </c>
      <c r="W24" s="63" t="e">
        <f t="shared" si="6"/>
        <v>#DIV/0!</v>
      </c>
      <c r="Y24" s="62" t="s">
        <v>46</v>
      </c>
    </row>
    <row r="25" spans="1:25" s="62" customFormat="1" hidden="1" x14ac:dyDescent="0.3">
      <c r="A25" s="190" t="s">
        <v>277</v>
      </c>
      <c r="B25" s="179" t="s">
        <v>0</v>
      </c>
      <c r="C25" s="180">
        <v>112</v>
      </c>
      <c r="D25" s="180">
        <v>51</v>
      </c>
      <c r="E25" s="180">
        <v>5</v>
      </c>
      <c r="F25" s="181">
        <v>14800</v>
      </c>
      <c r="G25" s="180"/>
      <c r="H25" s="180"/>
      <c r="I25" s="180"/>
      <c r="J25" s="180"/>
      <c r="K25" s="180"/>
      <c r="L25" s="180"/>
      <c r="M25" s="180"/>
      <c r="N25" s="180"/>
      <c r="O25" s="182">
        <f t="shared" si="0"/>
        <v>1.0087391999999999</v>
      </c>
      <c r="P25" s="68">
        <f t="shared" si="1"/>
        <v>14800</v>
      </c>
      <c r="Q25" s="183">
        <f t="shared" si="7"/>
        <v>14800</v>
      </c>
      <c r="R25" s="184">
        <f t="shared" si="3"/>
        <v>14800</v>
      </c>
      <c r="S25" s="184">
        <f t="shared" si="3"/>
        <v>14800</v>
      </c>
      <c r="T25" s="185">
        <f t="shared" si="3"/>
        <v>14800</v>
      </c>
      <c r="U25" s="186">
        <f t="shared" si="4"/>
        <v>0</v>
      </c>
      <c r="V25" s="187">
        <f t="shared" si="5"/>
        <v>0</v>
      </c>
      <c r="W25" s="63">
        <f t="shared" si="6"/>
        <v>14671.780376929935</v>
      </c>
      <c r="Y25" s="62" t="s">
        <v>44</v>
      </c>
    </row>
    <row r="26" spans="1:25" s="62" customFormat="1" hidden="1" x14ac:dyDescent="0.3">
      <c r="A26" s="178" t="s">
        <v>276</v>
      </c>
      <c r="B26" s="179" t="s">
        <v>0</v>
      </c>
      <c r="C26" s="180">
        <v>111</v>
      </c>
      <c r="D26" s="180">
        <v>50</v>
      </c>
      <c r="E26" s="180">
        <v>8</v>
      </c>
      <c r="F26" s="181">
        <v>21750</v>
      </c>
      <c r="G26" s="180"/>
      <c r="H26" s="180"/>
      <c r="I26" s="180"/>
      <c r="J26" s="180"/>
      <c r="K26" s="180"/>
      <c r="L26" s="180"/>
      <c r="M26" s="180"/>
      <c r="N26" s="180"/>
      <c r="O26" s="182">
        <f t="shared" si="0"/>
        <v>1.568208</v>
      </c>
      <c r="P26" s="68">
        <f t="shared" si="1"/>
        <v>21750</v>
      </c>
      <c r="Q26" s="183">
        <f t="shared" si="7"/>
        <v>21750</v>
      </c>
      <c r="R26" s="184">
        <f t="shared" si="3"/>
        <v>21750</v>
      </c>
      <c r="S26" s="184">
        <f t="shared" si="3"/>
        <v>21750</v>
      </c>
      <c r="T26" s="185">
        <f t="shared" si="3"/>
        <v>21750</v>
      </c>
      <c r="U26" s="186">
        <f t="shared" si="4"/>
        <v>0</v>
      </c>
      <c r="V26" s="187">
        <f t="shared" si="5"/>
        <v>0</v>
      </c>
      <c r="W26" s="63">
        <f t="shared" si="6"/>
        <v>13869.333659820635</v>
      </c>
      <c r="Y26" s="62" t="s">
        <v>44</v>
      </c>
    </row>
    <row r="27" spans="1:25" s="62" customFormat="1" ht="12.45" hidden="1" customHeight="1" x14ac:dyDescent="0.3">
      <c r="A27" s="191" t="s">
        <v>75</v>
      </c>
      <c r="B27" s="179" t="s">
        <v>0</v>
      </c>
      <c r="C27" s="180">
        <v>106</v>
      </c>
      <c r="D27" s="180">
        <v>50</v>
      </c>
      <c r="E27" s="180">
        <v>7</v>
      </c>
      <c r="F27" s="181">
        <v>12400</v>
      </c>
      <c r="G27" s="180"/>
      <c r="H27" s="180"/>
      <c r="I27" s="180"/>
      <c r="J27" s="180"/>
      <c r="K27" s="180"/>
      <c r="L27" s="180"/>
      <c r="M27" s="180"/>
      <c r="N27" s="180"/>
      <c r="O27" s="182">
        <f t="shared" si="0"/>
        <v>1.3103720000000001</v>
      </c>
      <c r="P27" s="68">
        <f t="shared" si="1"/>
        <v>12400</v>
      </c>
      <c r="Q27" s="183">
        <f t="shared" si="7"/>
        <v>12400</v>
      </c>
      <c r="R27" s="184">
        <f t="shared" si="3"/>
        <v>12400</v>
      </c>
      <c r="S27" s="184">
        <f t="shared" si="3"/>
        <v>12400</v>
      </c>
      <c r="T27" s="185">
        <f t="shared" si="3"/>
        <v>12400</v>
      </c>
      <c r="U27" s="186">
        <f t="shared" si="4"/>
        <v>0</v>
      </c>
      <c r="V27" s="187">
        <f t="shared" si="5"/>
        <v>0</v>
      </c>
      <c r="W27" s="63">
        <f t="shared" si="6"/>
        <v>9462.9616627949927</v>
      </c>
      <c r="Y27" s="62" t="s">
        <v>44</v>
      </c>
    </row>
    <row r="28" spans="1:25" s="62" customFormat="1" hidden="1" x14ac:dyDescent="0.3">
      <c r="A28" s="178" t="s">
        <v>275</v>
      </c>
      <c r="B28" s="179" t="s">
        <v>0</v>
      </c>
      <c r="C28" s="180">
        <v>99</v>
      </c>
      <c r="D28" s="180">
        <v>50</v>
      </c>
      <c r="E28" s="180">
        <v>4</v>
      </c>
      <c r="F28" s="181">
        <v>6120</v>
      </c>
      <c r="G28" s="180"/>
      <c r="H28" s="180"/>
      <c r="I28" s="180"/>
      <c r="J28" s="180"/>
      <c r="K28" s="180"/>
      <c r="L28" s="180"/>
      <c r="M28" s="180"/>
      <c r="N28" s="180"/>
      <c r="O28" s="182">
        <f t="shared" si="0"/>
        <v>0.69933600000000007</v>
      </c>
      <c r="P28" s="68">
        <f t="shared" si="1"/>
        <v>6120</v>
      </c>
      <c r="Q28" s="183">
        <f t="shared" si="7"/>
        <v>6120</v>
      </c>
      <c r="R28" s="184">
        <f t="shared" si="3"/>
        <v>6120</v>
      </c>
      <c r="S28" s="184">
        <f t="shared" si="3"/>
        <v>6120</v>
      </c>
      <c r="T28" s="185">
        <f t="shared" si="3"/>
        <v>6120</v>
      </c>
      <c r="U28" s="186">
        <f t="shared" si="4"/>
        <v>0</v>
      </c>
      <c r="V28" s="187">
        <f t="shared" si="5"/>
        <v>0</v>
      </c>
      <c r="W28" s="63">
        <f t="shared" si="6"/>
        <v>8751.1582415319663</v>
      </c>
      <c r="Y28" s="62" t="s">
        <v>44</v>
      </c>
    </row>
    <row r="29" spans="1:25" s="62" customFormat="1" ht="12.45" hidden="1" customHeight="1" x14ac:dyDescent="0.3">
      <c r="A29" s="178" t="s">
        <v>274</v>
      </c>
      <c r="B29" s="179" t="s">
        <v>0</v>
      </c>
      <c r="C29" s="180">
        <v>98</v>
      </c>
      <c r="D29" s="180">
        <v>51</v>
      </c>
      <c r="E29" s="180">
        <v>4</v>
      </c>
      <c r="F29" s="181">
        <v>11390</v>
      </c>
      <c r="G29" s="180"/>
      <c r="H29" s="180"/>
      <c r="I29" s="180"/>
      <c r="J29" s="180"/>
      <c r="K29" s="180"/>
      <c r="L29" s="180"/>
      <c r="M29" s="180"/>
      <c r="N29" s="180"/>
      <c r="O29" s="182">
        <f t="shared" si="0"/>
        <v>0.70611743999999999</v>
      </c>
      <c r="P29" s="68">
        <f t="shared" si="1"/>
        <v>11390</v>
      </c>
      <c r="Q29" s="183">
        <f t="shared" si="7"/>
        <v>11390</v>
      </c>
      <c r="R29" s="184">
        <f t="shared" si="3"/>
        <v>11390</v>
      </c>
      <c r="S29" s="184">
        <f t="shared" si="3"/>
        <v>11390</v>
      </c>
      <c r="T29" s="185">
        <f t="shared" si="3"/>
        <v>11390</v>
      </c>
      <c r="U29" s="186">
        <f t="shared" si="4"/>
        <v>0</v>
      </c>
      <c r="V29" s="187">
        <f t="shared" si="5"/>
        <v>0</v>
      </c>
      <c r="W29" s="63">
        <f t="shared" si="6"/>
        <v>16130.461244520458</v>
      </c>
      <c r="Y29" s="62" t="s">
        <v>44</v>
      </c>
    </row>
    <row r="30" spans="1:25" s="62" customFormat="1" hidden="1" x14ac:dyDescent="0.3">
      <c r="A30" s="178" t="s">
        <v>273</v>
      </c>
      <c r="B30" s="179" t="s">
        <v>0</v>
      </c>
      <c r="C30" s="180">
        <v>75</v>
      </c>
      <c r="D30" s="180">
        <v>75</v>
      </c>
      <c r="E30" s="180">
        <v>4</v>
      </c>
      <c r="F30" s="181">
        <v>8200</v>
      </c>
      <c r="G30" s="180"/>
      <c r="H30" s="180"/>
      <c r="I30" s="180"/>
      <c r="J30" s="180"/>
      <c r="K30" s="180"/>
      <c r="L30" s="180"/>
      <c r="M30" s="180"/>
      <c r="N30" s="180"/>
      <c r="O30" s="182">
        <f t="shared" si="0"/>
        <v>0.79469999999999996</v>
      </c>
      <c r="P30" s="68">
        <f t="shared" si="1"/>
        <v>8200</v>
      </c>
      <c r="Q30" s="183">
        <f t="shared" si="7"/>
        <v>8200</v>
      </c>
      <c r="R30" s="184">
        <f t="shared" si="3"/>
        <v>8200</v>
      </c>
      <c r="S30" s="184">
        <f t="shared" si="3"/>
        <v>8200</v>
      </c>
      <c r="T30" s="185">
        <f t="shared" si="3"/>
        <v>8200</v>
      </c>
      <c r="U30" s="186">
        <f t="shared" si="4"/>
        <v>0</v>
      </c>
      <c r="V30" s="187">
        <f t="shared" si="5"/>
        <v>0</v>
      </c>
      <c r="W30" s="63">
        <f t="shared" si="6"/>
        <v>10318.359129231158</v>
      </c>
      <c r="Y30" s="62" t="s">
        <v>44</v>
      </c>
    </row>
    <row r="31" spans="1:25" s="62" customFormat="1" ht="12.45" hidden="1" customHeight="1" x14ac:dyDescent="0.3">
      <c r="A31" s="178" t="s">
        <v>272</v>
      </c>
      <c r="B31" s="179" t="s">
        <v>0</v>
      </c>
      <c r="C31" s="180">
        <v>76</v>
      </c>
      <c r="D31" s="180">
        <v>76</v>
      </c>
      <c r="E31" s="180">
        <v>4</v>
      </c>
      <c r="F31" s="181">
        <v>12200</v>
      </c>
      <c r="G31" s="180"/>
      <c r="H31" s="180"/>
      <c r="I31" s="180"/>
      <c r="J31" s="180"/>
      <c r="K31" s="180"/>
      <c r="L31" s="180"/>
      <c r="M31" s="180"/>
      <c r="N31" s="180"/>
      <c r="O31" s="182">
        <f t="shared" si="0"/>
        <v>0.81603327999999997</v>
      </c>
      <c r="P31" s="68">
        <f t="shared" si="1"/>
        <v>12200</v>
      </c>
      <c r="Q31" s="183">
        <f t="shared" si="7"/>
        <v>12200</v>
      </c>
      <c r="R31" s="184">
        <f t="shared" si="3"/>
        <v>12200</v>
      </c>
      <c r="S31" s="184">
        <f t="shared" si="3"/>
        <v>12200</v>
      </c>
      <c r="T31" s="185">
        <f t="shared" si="3"/>
        <v>12200</v>
      </c>
      <c r="U31" s="186">
        <f t="shared" si="4"/>
        <v>0</v>
      </c>
      <c r="V31" s="187">
        <f t="shared" si="5"/>
        <v>0</v>
      </c>
      <c r="W31" s="63">
        <f t="shared" si="6"/>
        <v>14950.370651549898</v>
      </c>
      <c r="Y31" s="62" t="s">
        <v>44</v>
      </c>
    </row>
    <row r="32" spans="1:25" s="62" customFormat="1" hidden="1" x14ac:dyDescent="0.3">
      <c r="A32" s="178" t="s">
        <v>61</v>
      </c>
      <c r="B32" s="179" t="s">
        <v>0</v>
      </c>
      <c r="C32" s="180">
        <v>105</v>
      </c>
      <c r="D32" s="180">
        <v>51</v>
      </c>
      <c r="E32" s="180">
        <v>7</v>
      </c>
      <c r="F32" s="189">
        <v>11800</v>
      </c>
      <c r="G32" s="180"/>
      <c r="H32" s="180"/>
      <c r="I32" s="180"/>
      <c r="J32" s="180"/>
      <c r="K32" s="180"/>
      <c r="L32" s="180"/>
      <c r="M32" s="180"/>
      <c r="N32" s="180"/>
      <c r="O32" s="182">
        <f t="shared" si="0"/>
        <v>1.3239702</v>
      </c>
      <c r="P32" s="68">
        <f t="shared" si="1"/>
        <v>11800</v>
      </c>
      <c r="Q32" s="183">
        <f t="shared" si="7"/>
        <v>11800</v>
      </c>
      <c r="R32" s="184">
        <f t="shared" si="3"/>
        <v>11800</v>
      </c>
      <c r="S32" s="184">
        <f t="shared" si="3"/>
        <v>11800</v>
      </c>
      <c r="T32" s="185">
        <f t="shared" si="3"/>
        <v>11800</v>
      </c>
      <c r="U32" s="186">
        <f t="shared" si="4"/>
        <v>0</v>
      </c>
      <c r="V32" s="187">
        <f t="shared" si="5"/>
        <v>0</v>
      </c>
      <c r="W32" s="63">
        <f t="shared" si="6"/>
        <v>8912.5873074786723</v>
      </c>
      <c r="Y32" s="62" t="s">
        <v>46</v>
      </c>
    </row>
    <row r="33" spans="1:25" s="62" customFormat="1" hidden="1" x14ac:dyDescent="0.3">
      <c r="A33" s="178" t="s">
        <v>271</v>
      </c>
      <c r="B33" s="179" t="s">
        <v>0</v>
      </c>
      <c r="C33" s="180">
        <v>81</v>
      </c>
      <c r="D33" s="180">
        <v>80</v>
      </c>
      <c r="E33" s="180">
        <v>7</v>
      </c>
      <c r="F33" s="181">
        <v>16900</v>
      </c>
      <c r="G33" s="180"/>
      <c r="H33" s="180"/>
      <c r="I33" s="180"/>
      <c r="J33" s="180"/>
      <c r="K33" s="180"/>
      <c r="L33" s="180"/>
      <c r="M33" s="180"/>
      <c r="N33" s="180"/>
      <c r="O33" s="182">
        <f t="shared" si="0"/>
        <v>1.6021151999999999</v>
      </c>
      <c r="P33" s="68">
        <f t="shared" si="1"/>
        <v>16900</v>
      </c>
      <c r="Q33" s="183">
        <f t="shared" si="7"/>
        <v>16900</v>
      </c>
      <c r="R33" s="184">
        <f t="shared" si="3"/>
        <v>16900</v>
      </c>
      <c r="S33" s="184">
        <f t="shared" si="3"/>
        <v>16900</v>
      </c>
      <c r="T33" s="185">
        <f t="shared" si="3"/>
        <v>16900</v>
      </c>
      <c r="U33" s="186">
        <f t="shared" si="4"/>
        <v>0</v>
      </c>
      <c r="V33" s="187">
        <f t="shared" si="5"/>
        <v>0</v>
      </c>
      <c r="W33" s="63">
        <f t="shared" si="6"/>
        <v>10548.554810540467</v>
      </c>
      <c r="Y33" s="62" t="s">
        <v>44</v>
      </c>
    </row>
    <row r="34" spans="1:25" s="62" customFormat="1" hidden="1" x14ac:dyDescent="0.3">
      <c r="A34" s="178" t="s">
        <v>270</v>
      </c>
      <c r="B34" s="179" t="s">
        <v>0</v>
      </c>
      <c r="C34" s="180">
        <v>114</v>
      </c>
      <c r="D34" s="180">
        <v>56</v>
      </c>
      <c r="E34" s="180">
        <v>7</v>
      </c>
      <c r="F34" s="189">
        <v>10850</v>
      </c>
      <c r="G34" s="180"/>
      <c r="H34" s="180"/>
      <c r="I34" s="180"/>
      <c r="J34" s="180"/>
      <c r="K34" s="180"/>
      <c r="L34" s="180"/>
      <c r="M34" s="180"/>
      <c r="N34" s="180"/>
      <c r="O34" s="182">
        <f t="shared" si="0"/>
        <v>1.57838016</v>
      </c>
      <c r="P34" s="68">
        <f t="shared" si="1"/>
        <v>10850</v>
      </c>
      <c r="Q34" s="183">
        <f t="shared" si="7"/>
        <v>10850</v>
      </c>
      <c r="R34" s="184">
        <f t="shared" si="3"/>
        <v>10850</v>
      </c>
      <c r="S34" s="184">
        <f t="shared" si="3"/>
        <v>10850</v>
      </c>
      <c r="T34" s="185">
        <f t="shared" si="3"/>
        <v>10850</v>
      </c>
      <c r="U34" s="186">
        <f t="shared" si="4"/>
        <v>0</v>
      </c>
      <c r="V34" s="187">
        <f t="shared" si="5"/>
        <v>0</v>
      </c>
      <c r="W34" s="63">
        <f t="shared" si="6"/>
        <v>6874.1360763176344</v>
      </c>
      <c r="Y34" s="62" t="s">
        <v>46</v>
      </c>
    </row>
    <row r="35" spans="1:25" s="62" customFormat="1" hidden="1" x14ac:dyDescent="0.3">
      <c r="A35" s="178" t="s">
        <v>269</v>
      </c>
      <c r="B35" s="179" t="s">
        <v>0</v>
      </c>
      <c r="C35" s="180">
        <v>104</v>
      </c>
      <c r="D35" s="180">
        <v>60</v>
      </c>
      <c r="E35" s="180">
        <v>7</v>
      </c>
      <c r="F35" s="181">
        <v>17700</v>
      </c>
      <c r="G35" s="180"/>
      <c r="H35" s="180"/>
      <c r="I35" s="180"/>
      <c r="J35" s="180"/>
      <c r="K35" s="180"/>
      <c r="L35" s="180"/>
      <c r="M35" s="180"/>
      <c r="N35" s="180"/>
      <c r="O35" s="182">
        <f t="shared" si="0"/>
        <v>1.5427776</v>
      </c>
      <c r="P35" s="68">
        <f t="shared" si="1"/>
        <v>17700</v>
      </c>
      <c r="Q35" s="183">
        <f t="shared" si="7"/>
        <v>17700</v>
      </c>
      <c r="R35" s="184">
        <f t="shared" si="3"/>
        <v>17700</v>
      </c>
      <c r="S35" s="184">
        <f t="shared" si="3"/>
        <v>17700</v>
      </c>
      <c r="T35" s="185">
        <f t="shared" si="3"/>
        <v>17700</v>
      </c>
      <c r="U35" s="186">
        <f t="shared" si="4"/>
        <v>0</v>
      </c>
      <c r="V35" s="187">
        <f t="shared" si="5"/>
        <v>0</v>
      </c>
      <c r="W35" s="63">
        <f t="shared" si="6"/>
        <v>11472.813709506801</v>
      </c>
      <c r="Y35" s="62" t="s">
        <v>46</v>
      </c>
    </row>
    <row r="36" spans="1:25" s="62" customFormat="1" hidden="1" x14ac:dyDescent="0.3">
      <c r="A36" s="178" t="s">
        <v>268</v>
      </c>
      <c r="B36" s="179" t="s">
        <v>0</v>
      </c>
      <c r="C36" s="180">
        <v>85</v>
      </c>
      <c r="D36" s="180">
        <v>84</v>
      </c>
      <c r="E36" s="180">
        <v>6</v>
      </c>
      <c r="F36" s="181">
        <v>17400</v>
      </c>
      <c r="G36" s="180"/>
      <c r="H36" s="180"/>
      <c r="I36" s="180"/>
      <c r="J36" s="180"/>
      <c r="K36" s="180"/>
      <c r="L36" s="180"/>
      <c r="M36" s="180"/>
      <c r="N36" s="180"/>
      <c r="O36" s="182">
        <f t="shared" si="0"/>
        <v>1.5131088000000001</v>
      </c>
      <c r="P36" s="68">
        <f t="shared" si="1"/>
        <v>17400</v>
      </c>
      <c r="Q36" s="183">
        <f t="shared" si="7"/>
        <v>17400</v>
      </c>
      <c r="R36" s="184">
        <f t="shared" si="3"/>
        <v>17400</v>
      </c>
      <c r="S36" s="184">
        <f t="shared" si="3"/>
        <v>17400</v>
      </c>
      <c r="T36" s="185">
        <f t="shared" si="3"/>
        <v>17400</v>
      </c>
      <c r="U36" s="186">
        <f t="shared" si="4"/>
        <v>0</v>
      </c>
      <c r="V36" s="187">
        <f t="shared" si="5"/>
        <v>0</v>
      </c>
      <c r="W36" s="63">
        <f t="shared" si="6"/>
        <v>11499.503538674811</v>
      </c>
      <c r="Y36" s="62" t="s">
        <v>46</v>
      </c>
    </row>
    <row r="37" spans="1:25" s="62" customFormat="1" hidden="1" x14ac:dyDescent="0.3">
      <c r="A37" s="190" t="s">
        <v>267</v>
      </c>
      <c r="B37" s="179" t="s">
        <v>97</v>
      </c>
      <c r="C37" s="180">
        <v>70</v>
      </c>
      <c r="D37" s="180">
        <v>68</v>
      </c>
      <c r="E37" s="180">
        <v>8</v>
      </c>
      <c r="F37" s="181">
        <v>6920</v>
      </c>
      <c r="G37" s="180">
        <v>52</v>
      </c>
      <c r="H37" s="180">
        <v>12</v>
      </c>
      <c r="I37" s="180">
        <v>12</v>
      </c>
      <c r="J37" s="180">
        <v>1200</v>
      </c>
      <c r="K37" s="180"/>
      <c r="L37" s="180"/>
      <c r="M37" s="180"/>
      <c r="N37" s="180"/>
      <c r="O37" s="182">
        <f t="shared" si="0"/>
        <v>1.6094617599999999</v>
      </c>
      <c r="P37" s="68">
        <f t="shared" si="1"/>
        <v>8120</v>
      </c>
      <c r="Q37" s="183">
        <f t="shared" si="7"/>
        <v>8120</v>
      </c>
      <c r="R37" s="184">
        <f t="shared" si="3"/>
        <v>8120</v>
      </c>
      <c r="S37" s="184">
        <f t="shared" si="3"/>
        <v>8120</v>
      </c>
      <c r="T37" s="185">
        <f t="shared" si="3"/>
        <v>8120</v>
      </c>
      <c r="U37" s="186">
        <f t="shared" si="4"/>
        <v>0</v>
      </c>
      <c r="V37" s="187">
        <f t="shared" si="5"/>
        <v>0</v>
      </c>
      <c r="W37" s="63">
        <f t="shared" si="6"/>
        <v>5045.1649127718329</v>
      </c>
      <c r="Y37" s="62" t="s">
        <v>44</v>
      </c>
    </row>
    <row r="38" spans="1:25" s="62" customFormat="1" ht="12.45" hidden="1" customHeight="1" x14ac:dyDescent="0.3">
      <c r="A38" s="190" t="s">
        <v>266</v>
      </c>
      <c r="B38" s="179" t="s">
        <v>97</v>
      </c>
      <c r="C38" s="180">
        <v>100</v>
      </c>
      <c r="D38" s="180">
        <v>54</v>
      </c>
      <c r="E38" s="180">
        <v>4</v>
      </c>
      <c r="F38" s="181">
        <v>5400</v>
      </c>
      <c r="G38" s="180">
        <v>52</v>
      </c>
      <c r="H38" s="180">
        <v>12</v>
      </c>
      <c r="I38" s="180">
        <v>12</v>
      </c>
      <c r="J38" s="180">
        <v>1200</v>
      </c>
      <c r="K38" s="180"/>
      <c r="L38" s="180"/>
      <c r="M38" s="180"/>
      <c r="N38" s="180"/>
      <c r="O38" s="182">
        <f t="shared" si="0"/>
        <v>1.0273881599999999</v>
      </c>
      <c r="P38" s="68">
        <f t="shared" si="1"/>
        <v>6600</v>
      </c>
      <c r="Q38" s="183">
        <f t="shared" si="7"/>
        <v>6600</v>
      </c>
      <c r="R38" s="184">
        <f t="shared" si="3"/>
        <v>6600</v>
      </c>
      <c r="S38" s="184">
        <f t="shared" si="3"/>
        <v>6600</v>
      </c>
      <c r="T38" s="185">
        <f t="shared" si="3"/>
        <v>6600</v>
      </c>
      <c r="U38" s="186">
        <f t="shared" si="4"/>
        <v>0</v>
      </c>
      <c r="V38" s="187">
        <f t="shared" si="5"/>
        <v>0</v>
      </c>
      <c r="W38" s="63">
        <f t="shared" si="6"/>
        <v>6424.0569017264133</v>
      </c>
      <c r="Y38" s="62" t="s">
        <v>44</v>
      </c>
    </row>
    <row r="39" spans="1:25" s="62" customFormat="1" hidden="1" x14ac:dyDescent="0.3">
      <c r="A39" s="190" t="s">
        <v>265</v>
      </c>
      <c r="B39" s="179" t="s">
        <v>97</v>
      </c>
      <c r="C39" s="180">
        <v>80</v>
      </c>
      <c r="D39" s="180">
        <v>80</v>
      </c>
      <c r="E39" s="180">
        <v>5</v>
      </c>
      <c r="F39" s="181">
        <v>6195</v>
      </c>
      <c r="G39" s="180">
        <v>52</v>
      </c>
      <c r="H39" s="180">
        <v>12</v>
      </c>
      <c r="I39" s="180">
        <v>12</v>
      </c>
      <c r="J39" s="180">
        <v>1200</v>
      </c>
      <c r="K39" s="180"/>
      <c r="L39" s="180"/>
      <c r="M39" s="180"/>
      <c r="N39" s="180"/>
      <c r="O39" s="182">
        <f t="shared" si="0"/>
        <v>1.39471616</v>
      </c>
      <c r="P39" s="68">
        <f t="shared" si="1"/>
        <v>7395</v>
      </c>
      <c r="Q39" s="183">
        <f t="shared" si="7"/>
        <v>7395</v>
      </c>
      <c r="R39" s="184">
        <f t="shared" si="3"/>
        <v>7395</v>
      </c>
      <c r="S39" s="184">
        <f t="shared" si="3"/>
        <v>7395</v>
      </c>
      <c r="T39" s="185">
        <f t="shared" si="3"/>
        <v>7395</v>
      </c>
      <c r="U39" s="186">
        <f t="shared" si="4"/>
        <v>0</v>
      </c>
      <c r="V39" s="187">
        <f t="shared" si="5"/>
        <v>0</v>
      </c>
      <c r="W39" s="63">
        <f t="shared" si="6"/>
        <v>5302.154095640507</v>
      </c>
      <c r="Y39" s="62" t="s">
        <v>44</v>
      </c>
    </row>
    <row r="40" spans="1:25" s="62" customFormat="1" ht="12.45" hidden="1" customHeight="1" x14ac:dyDescent="0.3">
      <c r="A40" s="178" t="s">
        <v>264</v>
      </c>
      <c r="B40" s="179" t="s">
        <v>0</v>
      </c>
      <c r="C40" s="180">
        <v>85</v>
      </c>
      <c r="D40" s="180">
        <v>45</v>
      </c>
      <c r="E40" s="180">
        <v>6</v>
      </c>
      <c r="F40" s="181">
        <v>10800</v>
      </c>
      <c r="G40" s="180"/>
      <c r="H40" s="180"/>
      <c r="I40" s="180"/>
      <c r="J40" s="180"/>
      <c r="K40" s="180"/>
      <c r="L40" s="180"/>
      <c r="M40" s="180"/>
      <c r="N40" s="180"/>
      <c r="O40" s="182">
        <f t="shared" si="0"/>
        <v>0.81059400000000004</v>
      </c>
      <c r="P40" s="68">
        <f t="shared" si="1"/>
        <v>10800</v>
      </c>
      <c r="Q40" s="183">
        <f t="shared" si="7"/>
        <v>10800</v>
      </c>
      <c r="R40" s="184">
        <f t="shared" si="3"/>
        <v>10800</v>
      </c>
      <c r="S40" s="184">
        <f t="shared" si="3"/>
        <v>10800</v>
      </c>
      <c r="T40" s="185">
        <f t="shared" si="3"/>
        <v>10800</v>
      </c>
      <c r="U40" s="186">
        <f t="shared" si="4"/>
        <v>0</v>
      </c>
      <c r="V40" s="187">
        <f t="shared" si="5"/>
        <v>0</v>
      </c>
      <c r="W40" s="63">
        <f t="shared" si="6"/>
        <v>13323.562720671507</v>
      </c>
      <c r="Y40" s="62" t="s">
        <v>44</v>
      </c>
    </row>
    <row r="41" spans="1:25" s="62" customFormat="1" hidden="1" x14ac:dyDescent="0.3">
      <c r="A41" s="178" t="s">
        <v>263</v>
      </c>
      <c r="B41" s="179" t="s">
        <v>0</v>
      </c>
      <c r="C41" s="180">
        <v>76</v>
      </c>
      <c r="D41" s="180">
        <v>76</v>
      </c>
      <c r="E41" s="180">
        <v>5</v>
      </c>
      <c r="F41" s="181">
        <v>12460</v>
      </c>
      <c r="G41" s="180"/>
      <c r="H41" s="180"/>
      <c r="I41" s="180"/>
      <c r="J41" s="180"/>
      <c r="K41" s="180"/>
      <c r="L41" s="180"/>
      <c r="M41" s="180"/>
      <c r="N41" s="180"/>
      <c r="O41" s="182">
        <f t="shared" si="0"/>
        <v>1.0200415999999999</v>
      </c>
      <c r="P41" s="68">
        <f t="shared" si="1"/>
        <v>12460</v>
      </c>
      <c r="Q41" s="183">
        <f t="shared" si="7"/>
        <v>12460</v>
      </c>
      <c r="R41" s="184">
        <f t="shared" si="3"/>
        <v>12460</v>
      </c>
      <c r="S41" s="184">
        <f t="shared" si="3"/>
        <v>12460</v>
      </c>
      <c r="T41" s="185">
        <f t="shared" si="3"/>
        <v>12460</v>
      </c>
      <c r="U41" s="186">
        <f t="shared" si="4"/>
        <v>0</v>
      </c>
      <c r="V41" s="187">
        <f t="shared" si="5"/>
        <v>0</v>
      </c>
      <c r="W41" s="63">
        <f t="shared" si="6"/>
        <v>12215.188086446671</v>
      </c>
      <c r="Y41" s="62" t="s">
        <v>44</v>
      </c>
    </row>
    <row r="42" spans="1:25" s="62" customFormat="1" hidden="1" x14ac:dyDescent="0.3">
      <c r="A42" s="178" t="s">
        <v>262</v>
      </c>
      <c r="B42" s="179" t="s">
        <v>0</v>
      </c>
      <c r="C42" s="180">
        <v>101</v>
      </c>
      <c r="D42" s="180">
        <v>47</v>
      </c>
      <c r="E42" s="180">
        <v>5</v>
      </c>
      <c r="F42" s="181">
        <v>12400</v>
      </c>
      <c r="G42" s="180"/>
      <c r="H42" s="180"/>
      <c r="I42" s="180"/>
      <c r="J42" s="180"/>
      <c r="K42" s="180"/>
      <c r="L42" s="180"/>
      <c r="M42" s="180"/>
      <c r="N42" s="180"/>
      <c r="O42" s="182">
        <f t="shared" si="0"/>
        <v>0.83832019999999996</v>
      </c>
      <c r="P42" s="68">
        <f t="shared" si="1"/>
        <v>12400</v>
      </c>
      <c r="Q42" s="183">
        <f t="shared" si="7"/>
        <v>12400</v>
      </c>
      <c r="R42" s="184">
        <f t="shared" si="3"/>
        <v>12400</v>
      </c>
      <c r="S42" s="184">
        <f t="shared" si="3"/>
        <v>12400</v>
      </c>
      <c r="T42" s="185">
        <f t="shared" si="3"/>
        <v>12400</v>
      </c>
      <c r="U42" s="186">
        <f t="shared" si="4"/>
        <v>0</v>
      </c>
      <c r="V42" s="187">
        <f t="shared" si="5"/>
        <v>0</v>
      </c>
      <c r="W42" s="63">
        <f t="shared" si="6"/>
        <v>14791.484208539889</v>
      </c>
      <c r="Y42" s="62" t="s">
        <v>46</v>
      </c>
    </row>
    <row r="43" spans="1:25" s="62" customFormat="1" hidden="1" x14ac:dyDescent="0.3">
      <c r="A43" s="178" t="s">
        <v>261</v>
      </c>
      <c r="B43" s="179" t="s">
        <v>0</v>
      </c>
      <c r="C43" s="192">
        <v>105</v>
      </c>
      <c r="D43" s="192">
        <v>65</v>
      </c>
      <c r="E43" s="192">
        <v>4</v>
      </c>
      <c r="F43" s="189">
        <v>9640</v>
      </c>
      <c r="G43" s="180"/>
      <c r="H43" s="180"/>
      <c r="I43" s="180"/>
      <c r="J43" s="180"/>
      <c r="K43" s="180"/>
      <c r="L43" s="180"/>
      <c r="M43" s="180"/>
      <c r="N43" s="180"/>
      <c r="O43" s="182">
        <f t="shared" si="0"/>
        <v>0.96423600000000009</v>
      </c>
      <c r="P43" s="68">
        <f t="shared" si="1"/>
        <v>9640</v>
      </c>
      <c r="Q43" s="183">
        <f t="shared" si="7"/>
        <v>9640</v>
      </c>
      <c r="R43" s="184">
        <f t="shared" si="3"/>
        <v>9640</v>
      </c>
      <c r="S43" s="184">
        <f t="shared" si="3"/>
        <v>9640</v>
      </c>
      <c r="T43" s="185">
        <f t="shared" si="3"/>
        <v>9640</v>
      </c>
      <c r="U43" s="186">
        <f t="shared" si="4"/>
        <v>0</v>
      </c>
      <c r="V43" s="187">
        <f t="shared" si="5"/>
        <v>0</v>
      </c>
      <c r="W43" s="63">
        <f t="shared" si="6"/>
        <v>9997.552466408637</v>
      </c>
      <c r="Y43" s="62" t="s">
        <v>46</v>
      </c>
    </row>
    <row r="44" spans="1:25" s="205" customFormat="1" hidden="1" x14ac:dyDescent="0.3">
      <c r="A44" s="193" t="s">
        <v>260</v>
      </c>
      <c r="B44" s="194" t="s">
        <v>0</v>
      </c>
      <c r="C44" s="195">
        <v>100</v>
      </c>
      <c r="D44" s="195">
        <v>50</v>
      </c>
      <c r="E44" s="195">
        <v>5</v>
      </c>
      <c r="F44" s="196">
        <v>9000</v>
      </c>
      <c r="G44" s="195"/>
      <c r="H44" s="195"/>
      <c r="I44" s="195"/>
      <c r="J44" s="195"/>
      <c r="K44" s="195"/>
      <c r="L44" s="195"/>
      <c r="M44" s="195"/>
      <c r="N44" s="195"/>
      <c r="O44" s="197">
        <f t="shared" si="0"/>
        <v>0.88300000000000001</v>
      </c>
      <c r="P44" s="198">
        <f t="shared" si="1"/>
        <v>9000</v>
      </c>
      <c r="Q44" s="199">
        <f t="shared" si="7"/>
        <v>9000</v>
      </c>
      <c r="R44" s="200">
        <f t="shared" si="3"/>
        <v>9000</v>
      </c>
      <c r="S44" s="200">
        <f t="shared" si="3"/>
        <v>9000</v>
      </c>
      <c r="T44" s="201">
        <f t="shared" si="3"/>
        <v>9000</v>
      </c>
      <c r="U44" s="202">
        <f t="shared" si="4"/>
        <v>0</v>
      </c>
      <c r="V44" s="203">
        <f t="shared" si="5"/>
        <v>0</v>
      </c>
      <c r="W44" s="204">
        <f t="shared" si="6"/>
        <v>10192.525481313703</v>
      </c>
      <c r="Y44" s="205" t="s">
        <v>46</v>
      </c>
    </row>
    <row r="45" spans="1:25" s="62" customFormat="1" hidden="1" x14ac:dyDescent="0.3">
      <c r="A45" s="178" t="s">
        <v>101</v>
      </c>
      <c r="B45" s="179" t="s">
        <v>0</v>
      </c>
      <c r="C45" s="180">
        <v>85</v>
      </c>
      <c r="D45" s="180">
        <v>49</v>
      </c>
      <c r="E45" s="180">
        <v>7</v>
      </c>
      <c r="F45" s="181">
        <v>11890</v>
      </c>
      <c r="G45" s="180"/>
      <c r="H45" s="180"/>
      <c r="I45" s="180"/>
      <c r="J45" s="180"/>
      <c r="K45" s="180"/>
      <c r="L45" s="180"/>
      <c r="M45" s="180"/>
      <c r="N45" s="180"/>
      <c r="O45" s="182">
        <f t="shared" si="0"/>
        <v>1.0297546</v>
      </c>
      <c r="P45" s="68">
        <f t="shared" si="1"/>
        <v>11890</v>
      </c>
      <c r="Q45" s="183">
        <f t="shared" si="7"/>
        <v>11890</v>
      </c>
      <c r="R45" s="184">
        <f t="shared" si="3"/>
        <v>11890</v>
      </c>
      <c r="S45" s="184">
        <f t="shared" si="3"/>
        <v>11890</v>
      </c>
      <c r="T45" s="185">
        <f t="shared" si="3"/>
        <v>11890</v>
      </c>
      <c r="U45" s="186">
        <f t="shared" si="4"/>
        <v>0</v>
      </c>
      <c r="V45" s="187">
        <f t="shared" si="5"/>
        <v>0</v>
      </c>
      <c r="W45" s="63">
        <f t="shared" si="6"/>
        <v>11546.440287812262</v>
      </c>
      <c r="Y45" s="62" t="s">
        <v>44</v>
      </c>
    </row>
    <row r="46" spans="1:25" s="62" customFormat="1" hidden="1" x14ac:dyDescent="0.3">
      <c r="A46" s="178" t="s">
        <v>259</v>
      </c>
      <c r="B46" s="179" t="s">
        <v>0</v>
      </c>
      <c r="C46" s="180">
        <v>80</v>
      </c>
      <c r="D46" s="180">
        <v>66</v>
      </c>
      <c r="E46" s="180">
        <v>8</v>
      </c>
      <c r="F46" s="181">
        <v>11850</v>
      </c>
      <c r="G46" s="180"/>
      <c r="H46" s="180"/>
      <c r="I46" s="180"/>
      <c r="J46" s="180"/>
      <c r="K46" s="180"/>
      <c r="L46" s="180"/>
      <c r="M46" s="180"/>
      <c r="N46" s="180"/>
      <c r="O46" s="182">
        <f t="shared" si="0"/>
        <v>1.4919168</v>
      </c>
      <c r="P46" s="68">
        <f t="shared" si="1"/>
        <v>11850</v>
      </c>
      <c r="Q46" s="183">
        <f t="shared" si="7"/>
        <v>11850</v>
      </c>
      <c r="R46" s="184">
        <f t="shared" si="3"/>
        <v>11850</v>
      </c>
      <c r="S46" s="184">
        <f t="shared" si="3"/>
        <v>11850</v>
      </c>
      <c r="T46" s="185">
        <f t="shared" si="3"/>
        <v>11850</v>
      </c>
      <c r="U46" s="186">
        <f t="shared" si="4"/>
        <v>0</v>
      </c>
      <c r="V46" s="187">
        <f t="shared" si="5"/>
        <v>0</v>
      </c>
      <c r="W46" s="63">
        <f t="shared" si="6"/>
        <v>7942.8021723463398</v>
      </c>
      <c r="Y46" s="62" t="s">
        <v>44</v>
      </c>
    </row>
    <row r="47" spans="1:25" s="62" customFormat="1" hidden="1" x14ac:dyDescent="0.3">
      <c r="A47" s="178" t="s">
        <v>100</v>
      </c>
      <c r="B47" s="179" t="s">
        <v>0</v>
      </c>
      <c r="C47" s="180">
        <v>95</v>
      </c>
      <c r="D47" s="180">
        <v>50</v>
      </c>
      <c r="E47" s="180">
        <v>7</v>
      </c>
      <c r="F47" s="189">
        <v>12850</v>
      </c>
      <c r="G47" s="180"/>
      <c r="H47" s="180"/>
      <c r="I47" s="180"/>
      <c r="J47" s="180"/>
      <c r="K47" s="180"/>
      <c r="L47" s="180"/>
      <c r="M47" s="180"/>
      <c r="N47" s="180"/>
      <c r="O47" s="182">
        <f t="shared" si="0"/>
        <v>1.17439</v>
      </c>
      <c r="P47" s="68">
        <f t="shared" si="1"/>
        <v>12850</v>
      </c>
      <c r="Q47" s="183">
        <f t="shared" si="7"/>
        <v>12850</v>
      </c>
      <c r="R47" s="184">
        <f t="shared" si="3"/>
        <v>12850</v>
      </c>
      <c r="S47" s="184">
        <f t="shared" si="3"/>
        <v>12850</v>
      </c>
      <c r="T47" s="185">
        <f t="shared" si="3"/>
        <v>12850</v>
      </c>
      <c r="U47" s="186">
        <f t="shared" si="4"/>
        <v>0</v>
      </c>
      <c r="V47" s="187">
        <f t="shared" si="5"/>
        <v>0</v>
      </c>
      <c r="W47" s="63">
        <f t="shared" si="6"/>
        <v>10941.850662897334</v>
      </c>
      <c r="Y47" s="62" t="s">
        <v>46</v>
      </c>
    </row>
    <row r="48" spans="1:25" s="62" customFormat="1" hidden="1" x14ac:dyDescent="0.3">
      <c r="A48" s="178" t="s">
        <v>258</v>
      </c>
      <c r="B48" s="179" t="s">
        <v>0</v>
      </c>
      <c r="C48" s="180">
        <v>102</v>
      </c>
      <c r="D48" s="180">
        <v>57</v>
      </c>
      <c r="E48" s="180">
        <v>6</v>
      </c>
      <c r="F48" s="181">
        <v>12000</v>
      </c>
      <c r="G48" s="180"/>
      <c r="H48" s="180"/>
      <c r="I48" s="180"/>
      <c r="J48" s="180"/>
      <c r="K48" s="180"/>
      <c r="L48" s="180"/>
      <c r="M48" s="180"/>
      <c r="N48" s="180"/>
      <c r="O48" s="182">
        <f>((IFERROR((C48*D48*E48),0)+IFERROR((G48*H48*I48),0)+IFERROR((K48*L48*M48),0))/1000000)*35.32</f>
        <v>1.23210288</v>
      </c>
      <c r="P48" s="68">
        <f t="shared" si="1"/>
        <v>12000</v>
      </c>
      <c r="Q48" s="183">
        <f t="shared" si="7"/>
        <v>12000</v>
      </c>
      <c r="R48" s="184">
        <f t="shared" si="3"/>
        <v>12000</v>
      </c>
      <c r="S48" s="184">
        <f t="shared" si="3"/>
        <v>12000</v>
      </c>
      <c r="T48" s="185">
        <f t="shared" si="3"/>
        <v>12000</v>
      </c>
      <c r="U48" s="186">
        <f t="shared" si="4"/>
        <v>0</v>
      </c>
      <c r="V48" s="187">
        <f t="shared" si="5"/>
        <v>0</v>
      </c>
      <c r="W48" s="63">
        <f t="shared" si="6"/>
        <v>9739.4464332394055</v>
      </c>
      <c r="Y48" s="62" t="s">
        <v>46</v>
      </c>
    </row>
    <row r="49" spans="1:25" s="62" customFormat="1" hidden="1" x14ac:dyDescent="0.3">
      <c r="A49" s="178" t="s">
        <v>257</v>
      </c>
      <c r="B49" s="179" t="s">
        <v>0</v>
      </c>
      <c r="C49" s="180">
        <v>110</v>
      </c>
      <c r="D49" s="180">
        <v>50</v>
      </c>
      <c r="E49" s="180">
        <v>5</v>
      </c>
      <c r="F49" s="181">
        <v>12750</v>
      </c>
      <c r="G49" s="180"/>
      <c r="H49" s="180"/>
      <c r="I49" s="180"/>
      <c r="J49" s="180"/>
      <c r="K49" s="180"/>
      <c r="L49" s="180"/>
      <c r="M49" s="180"/>
      <c r="N49" s="180"/>
      <c r="O49" s="182">
        <f t="shared" si="0"/>
        <v>0.97130000000000005</v>
      </c>
      <c r="P49" s="68">
        <f t="shared" si="1"/>
        <v>12750</v>
      </c>
      <c r="Q49" s="183">
        <f t="shared" si="7"/>
        <v>12750</v>
      </c>
      <c r="R49" s="184">
        <f t="shared" si="3"/>
        <v>12750</v>
      </c>
      <c r="S49" s="184">
        <f t="shared" si="3"/>
        <v>12750</v>
      </c>
      <c r="T49" s="185">
        <f t="shared" si="3"/>
        <v>12750</v>
      </c>
      <c r="U49" s="186">
        <f t="shared" si="4"/>
        <v>0</v>
      </c>
      <c r="V49" s="187">
        <f t="shared" si="5"/>
        <v>0</v>
      </c>
      <c r="W49" s="63">
        <f t="shared" si="6"/>
        <v>13126.73736229795</v>
      </c>
      <c r="Y49" s="62" t="s">
        <v>46</v>
      </c>
    </row>
    <row r="50" spans="1:25" s="205" customFormat="1" ht="14.4" hidden="1" x14ac:dyDescent="0.3">
      <c r="A50" s="206" t="s">
        <v>74</v>
      </c>
      <c r="B50" s="194" t="s">
        <v>0</v>
      </c>
      <c r="C50" s="24">
        <v>87</v>
      </c>
      <c r="D50" s="24">
        <v>45</v>
      </c>
      <c r="E50" s="24">
        <v>8</v>
      </c>
      <c r="F50" s="24">
        <v>9500</v>
      </c>
      <c r="G50" s="195"/>
      <c r="H50" s="195"/>
      <c r="I50" s="195"/>
      <c r="J50" s="195"/>
      <c r="K50" s="195"/>
      <c r="L50" s="195"/>
      <c r="M50" s="195"/>
      <c r="N50" s="195"/>
      <c r="O50" s="197">
        <f t="shared" si="0"/>
        <v>1.1062224000000001</v>
      </c>
      <c r="P50" s="198">
        <f t="shared" si="1"/>
        <v>9500</v>
      </c>
      <c r="Q50" s="199">
        <f t="shared" si="7"/>
        <v>9500</v>
      </c>
      <c r="R50" s="200">
        <f t="shared" si="3"/>
        <v>9500</v>
      </c>
      <c r="S50" s="200">
        <f t="shared" si="3"/>
        <v>9500</v>
      </c>
      <c r="T50" s="201">
        <f t="shared" si="3"/>
        <v>9500</v>
      </c>
      <c r="U50" s="202">
        <f t="shared" si="4"/>
        <v>0</v>
      </c>
      <c r="V50" s="203">
        <f t="shared" si="5"/>
        <v>0</v>
      </c>
      <c r="W50" s="204">
        <f t="shared" si="6"/>
        <v>8587.7848794238835</v>
      </c>
      <c r="Y50" s="205" t="s">
        <v>46</v>
      </c>
    </row>
    <row r="51" spans="1:25" s="205" customFormat="1" hidden="1" x14ac:dyDescent="0.3">
      <c r="A51" s="193" t="s">
        <v>256</v>
      </c>
      <c r="B51" s="194" t="s">
        <v>0</v>
      </c>
      <c r="C51" s="195">
        <v>88</v>
      </c>
      <c r="D51" s="195">
        <v>45</v>
      </c>
      <c r="E51" s="195">
        <v>9</v>
      </c>
      <c r="F51" s="207">
        <v>15400</v>
      </c>
      <c r="G51" s="195"/>
      <c r="H51" s="195"/>
      <c r="I51" s="195"/>
      <c r="J51" s="195"/>
      <c r="K51" s="195"/>
      <c r="L51" s="195"/>
      <c r="M51" s="195"/>
      <c r="N51" s="195"/>
      <c r="O51" s="197">
        <f t="shared" si="0"/>
        <v>1.2588047999999998</v>
      </c>
      <c r="P51" s="198">
        <f t="shared" si="1"/>
        <v>15400</v>
      </c>
      <c r="Q51" s="199">
        <f t="shared" si="7"/>
        <v>15400</v>
      </c>
      <c r="R51" s="200">
        <f t="shared" si="3"/>
        <v>15400</v>
      </c>
      <c r="S51" s="200">
        <f t="shared" si="3"/>
        <v>15400</v>
      </c>
      <c r="T51" s="201">
        <f t="shared" si="3"/>
        <v>15400</v>
      </c>
      <c r="U51" s="202">
        <f t="shared" si="4"/>
        <v>0</v>
      </c>
      <c r="V51" s="203">
        <f t="shared" si="5"/>
        <v>0</v>
      </c>
      <c r="W51" s="204">
        <f t="shared" si="6"/>
        <v>12233.8268808635</v>
      </c>
      <c r="Y51" s="205" t="s">
        <v>44</v>
      </c>
    </row>
    <row r="52" spans="1:25" hidden="1" x14ac:dyDescent="0.3">
      <c r="A52" s="123" t="s">
        <v>99</v>
      </c>
      <c r="B52" s="172" t="s">
        <v>0</v>
      </c>
      <c r="C52" s="173">
        <v>85</v>
      </c>
      <c r="D52" s="173">
        <v>49</v>
      </c>
      <c r="E52" s="173">
        <v>7</v>
      </c>
      <c r="F52" s="174">
        <v>35690</v>
      </c>
      <c r="G52" s="175"/>
      <c r="H52" s="175"/>
      <c r="I52" s="175"/>
      <c r="J52" s="175"/>
      <c r="K52" s="176"/>
      <c r="L52" s="176"/>
      <c r="M52" s="176"/>
      <c r="N52" s="176"/>
      <c r="O52" s="166">
        <f t="shared" si="0"/>
        <v>1.0297546</v>
      </c>
      <c r="P52" s="167">
        <f t="shared" si="1"/>
        <v>35690</v>
      </c>
      <c r="Q52" s="177">
        <f t="shared" si="7"/>
        <v>35690</v>
      </c>
      <c r="R52" s="169">
        <f t="shared" si="3"/>
        <v>35690</v>
      </c>
      <c r="S52" s="169">
        <f t="shared" si="3"/>
        <v>35690</v>
      </c>
      <c r="T52" s="150">
        <f t="shared" si="3"/>
        <v>35690</v>
      </c>
      <c r="U52" s="170">
        <f t="shared" si="4"/>
        <v>0</v>
      </c>
      <c r="V52" s="171">
        <f t="shared" si="5"/>
        <v>0</v>
      </c>
      <c r="W52" s="46">
        <f t="shared" si="6"/>
        <v>34658.742966528145</v>
      </c>
      <c r="Y52" s="1" t="s">
        <v>44</v>
      </c>
    </row>
    <row r="53" spans="1:25" hidden="1" x14ac:dyDescent="0.3">
      <c r="A53" s="123" t="s">
        <v>98</v>
      </c>
      <c r="B53" s="172" t="s">
        <v>97</v>
      </c>
      <c r="C53" s="173">
        <v>127</v>
      </c>
      <c r="D53" s="173">
        <v>45</v>
      </c>
      <c r="E53" s="173">
        <v>13</v>
      </c>
      <c r="F53" s="174">
        <v>43220</v>
      </c>
      <c r="G53" s="175">
        <v>79</v>
      </c>
      <c r="H53" s="175">
        <v>45</v>
      </c>
      <c r="I53" s="175">
        <v>15</v>
      </c>
      <c r="J53" s="175">
        <v>24545</v>
      </c>
      <c r="K53" s="176"/>
      <c r="L53" s="176"/>
      <c r="M53" s="176"/>
      <c r="N53" s="176"/>
      <c r="O53" s="166">
        <f t="shared" si="0"/>
        <v>4.5075384000000005</v>
      </c>
      <c r="P53" s="167">
        <f t="shared" si="1"/>
        <v>67765</v>
      </c>
      <c r="Q53" s="177">
        <f t="shared" si="7"/>
        <v>67765</v>
      </c>
      <c r="R53" s="169">
        <f t="shared" si="3"/>
        <v>67765</v>
      </c>
      <c r="S53" s="169">
        <f t="shared" si="3"/>
        <v>67765</v>
      </c>
      <c r="T53" s="150">
        <f t="shared" si="3"/>
        <v>67765</v>
      </c>
      <c r="U53" s="170">
        <f t="shared" si="4"/>
        <v>0</v>
      </c>
      <c r="V53" s="171">
        <f t="shared" si="5"/>
        <v>0</v>
      </c>
      <c r="W53" s="46">
        <f t="shared" si="6"/>
        <v>15033.704427232387</v>
      </c>
      <c r="Y53" s="1" t="s">
        <v>44</v>
      </c>
    </row>
    <row r="54" spans="1:25" hidden="1" x14ac:dyDescent="0.3">
      <c r="A54" s="123" t="s">
        <v>96</v>
      </c>
      <c r="B54" s="172" t="s">
        <v>0</v>
      </c>
      <c r="C54" s="173">
        <v>85</v>
      </c>
      <c r="D54" s="173">
        <v>50</v>
      </c>
      <c r="E54" s="173">
        <v>18</v>
      </c>
      <c r="F54" s="174">
        <v>40840</v>
      </c>
      <c r="G54" s="175"/>
      <c r="H54" s="175"/>
      <c r="I54" s="175"/>
      <c r="J54" s="175"/>
      <c r="K54" s="176"/>
      <c r="L54" s="176"/>
      <c r="M54" s="176"/>
      <c r="N54" s="176"/>
      <c r="O54" s="166">
        <f t="shared" si="0"/>
        <v>2.7019799999999998</v>
      </c>
      <c r="P54" s="167">
        <f t="shared" si="1"/>
        <v>40840</v>
      </c>
      <c r="Q54" s="177">
        <f t="shared" si="7"/>
        <v>40840</v>
      </c>
      <c r="R54" s="169">
        <f t="shared" si="3"/>
        <v>40840</v>
      </c>
      <c r="S54" s="169">
        <f t="shared" si="3"/>
        <v>40840</v>
      </c>
      <c r="T54" s="150">
        <f t="shared" si="3"/>
        <v>40840</v>
      </c>
      <c r="U54" s="170">
        <f t="shared" si="4"/>
        <v>0</v>
      </c>
      <c r="V54" s="171">
        <f t="shared" si="5"/>
        <v>0</v>
      </c>
      <c r="W54" s="46">
        <f t="shared" si="6"/>
        <v>15114.8417086729</v>
      </c>
      <c r="Y54" s="1" t="s">
        <v>44</v>
      </c>
    </row>
    <row r="55" spans="1:25" ht="12.45" hidden="1" customHeight="1" x14ac:dyDescent="0.3">
      <c r="A55" s="122" t="s">
        <v>255</v>
      </c>
      <c r="B55" s="172" t="s">
        <v>0</v>
      </c>
      <c r="C55" s="173">
        <v>67</v>
      </c>
      <c r="D55" s="173">
        <v>40</v>
      </c>
      <c r="E55" s="173">
        <v>4</v>
      </c>
      <c r="F55" s="174">
        <v>5350</v>
      </c>
      <c r="G55" s="175"/>
      <c r="H55" s="175"/>
      <c r="I55" s="175"/>
      <c r="J55" s="175"/>
      <c r="K55" s="176"/>
      <c r="L55" s="176"/>
      <c r="M55" s="176"/>
      <c r="N55" s="176"/>
      <c r="O55" s="166">
        <f t="shared" si="0"/>
        <v>0.37863040000000003</v>
      </c>
      <c r="P55" s="167">
        <f t="shared" si="1"/>
        <v>5350</v>
      </c>
      <c r="Q55" s="177">
        <f t="shared" si="7"/>
        <v>5350</v>
      </c>
      <c r="R55" s="169">
        <f t="shared" si="3"/>
        <v>5350</v>
      </c>
      <c r="S55" s="169">
        <f t="shared" si="3"/>
        <v>5350</v>
      </c>
      <c r="T55" s="150">
        <f t="shared" si="3"/>
        <v>5350</v>
      </c>
      <c r="U55" s="170">
        <f t="shared" si="4"/>
        <v>0</v>
      </c>
      <c r="V55" s="171">
        <f t="shared" si="5"/>
        <v>0</v>
      </c>
      <c r="W55" s="46">
        <f t="shared" si="6"/>
        <v>14129.87441050692</v>
      </c>
      <c r="Y55" s="1" t="s">
        <v>46</v>
      </c>
    </row>
    <row r="56" spans="1:25" hidden="1" x14ac:dyDescent="0.3">
      <c r="A56" s="122" t="s">
        <v>254</v>
      </c>
      <c r="B56" s="172" t="s">
        <v>0</v>
      </c>
      <c r="C56" s="173">
        <v>85</v>
      </c>
      <c r="D56" s="173">
        <v>85</v>
      </c>
      <c r="E56" s="173">
        <v>5</v>
      </c>
      <c r="F56" s="174">
        <v>9920</v>
      </c>
      <c r="G56" s="175"/>
      <c r="H56" s="175"/>
      <c r="I56" s="175"/>
      <c r="J56" s="175"/>
      <c r="K56" s="176"/>
      <c r="L56" s="176"/>
      <c r="M56" s="176"/>
      <c r="N56" s="176"/>
      <c r="O56" s="166">
        <f t="shared" si="0"/>
        <v>1.2759349999999998</v>
      </c>
      <c r="P56" s="167">
        <f t="shared" si="1"/>
        <v>9920</v>
      </c>
      <c r="Q56" s="177">
        <f t="shared" si="7"/>
        <v>9920</v>
      </c>
      <c r="R56" s="169">
        <f t="shared" si="3"/>
        <v>9920</v>
      </c>
      <c r="S56" s="169">
        <f t="shared" si="3"/>
        <v>9920</v>
      </c>
      <c r="T56" s="150">
        <f t="shared" si="3"/>
        <v>9920</v>
      </c>
      <c r="U56" s="170">
        <f t="shared" si="4"/>
        <v>0</v>
      </c>
      <c r="V56" s="171">
        <f t="shared" si="5"/>
        <v>0</v>
      </c>
      <c r="W56" s="46">
        <f t="shared" si="6"/>
        <v>7774.6907170036102</v>
      </c>
      <c r="Y56" s="1" t="s">
        <v>46</v>
      </c>
    </row>
    <row r="57" spans="1:25" hidden="1" x14ac:dyDescent="0.3">
      <c r="A57" s="122" t="s">
        <v>253</v>
      </c>
      <c r="B57" s="172" t="s">
        <v>0</v>
      </c>
      <c r="C57" s="173">
        <v>158</v>
      </c>
      <c r="D57" s="173">
        <v>80</v>
      </c>
      <c r="E57" s="173">
        <v>4</v>
      </c>
      <c r="F57" s="174">
        <v>15110</v>
      </c>
      <c r="G57" s="175"/>
      <c r="H57" s="175"/>
      <c r="I57" s="175"/>
      <c r="J57" s="175"/>
      <c r="K57" s="176"/>
      <c r="L57" s="176"/>
      <c r="M57" s="176"/>
      <c r="N57" s="176"/>
      <c r="O57" s="166">
        <f t="shared" si="0"/>
        <v>1.7857792000000001</v>
      </c>
      <c r="P57" s="167">
        <f t="shared" si="1"/>
        <v>15110</v>
      </c>
      <c r="Q57" s="177">
        <f t="shared" si="7"/>
        <v>15110</v>
      </c>
      <c r="R57" s="169">
        <f t="shared" si="3"/>
        <v>15110</v>
      </c>
      <c r="S57" s="169">
        <f t="shared" si="3"/>
        <v>15110</v>
      </c>
      <c r="T57" s="150">
        <f t="shared" si="3"/>
        <v>15110</v>
      </c>
      <c r="U57" s="170">
        <f t="shared" si="4"/>
        <v>0</v>
      </c>
      <c r="V57" s="171">
        <f t="shared" si="5"/>
        <v>0</v>
      </c>
      <c r="W57" s="46">
        <f t="shared" si="6"/>
        <v>8461.2924150981253</v>
      </c>
      <c r="Y57" s="1" t="s">
        <v>44</v>
      </c>
    </row>
    <row r="58" spans="1:25" hidden="1" x14ac:dyDescent="0.3">
      <c r="A58" s="122" t="s">
        <v>252</v>
      </c>
      <c r="B58" s="172" t="s">
        <v>0</v>
      </c>
      <c r="C58" s="173">
        <v>116</v>
      </c>
      <c r="D58" s="173">
        <v>40</v>
      </c>
      <c r="E58" s="173">
        <v>6</v>
      </c>
      <c r="F58" s="174">
        <v>6000</v>
      </c>
      <c r="G58" s="175"/>
      <c r="H58" s="175"/>
      <c r="I58" s="175"/>
      <c r="J58" s="175"/>
      <c r="K58" s="176"/>
      <c r="L58" s="176"/>
      <c r="M58" s="176"/>
      <c r="N58" s="176"/>
      <c r="O58" s="166">
        <f t="shared" si="0"/>
        <v>0.98330879999999998</v>
      </c>
      <c r="P58" s="167">
        <f t="shared" si="1"/>
        <v>6000</v>
      </c>
      <c r="Q58" s="177">
        <f t="shared" si="7"/>
        <v>6000</v>
      </c>
      <c r="R58" s="169">
        <f t="shared" si="3"/>
        <v>6000</v>
      </c>
      <c r="S58" s="169">
        <f t="shared" si="3"/>
        <v>6000</v>
      </c>
      <c r="T58" s="150">
        <f t="shared" si="3"/>
        <v>6000</v>
      </c>
      <c r="U58" s="170">
        <f t="shared" si="4"/>
        <v>0</v>
      </c>
      <c r="V58" s="171">
        <f t="shared" si="5"/>
        <v>0</v>
      </c>
      <c r="W58" s="46">
        <f t="shared" si="6"/>
        <v>6101.8471511696025</v>
      </c>
      <c r="Y58" s="1" t="s">
        <v>44</v>
      </c>
    </row>
    <row r="59" spans="1:25" hidden="1" x14ac:dyDescent="0.3">
      <c r="A59" s="123" t="s">
        <v>378</v>
      </c>
      <c r="B59" s="172" t="s">
        <v>0</v>
      </c>
      <c r="C59" s="173">
        <v>68</v>
      </c>
      <c r="D59" s="173">
        <v>46</v>
      </c>
      <c r="E59" s="173">
        <v>5</v>
      </c>
      <c r="F59" s="174">
        <v>8810</v>
      </c>
      <c r="G59" s="175"/>
      <c r="H59" s="175"/>
      <c r="I59" s="175"/>
      <c r="J59" s="175"/>
      <c r="K59" s="176"/>
      <c r="L59" s="176"/>
      <c r="M59" s="176"/>
      <c r="N59" s="176"/>
      <c r="O59" s="166">
        <f t="shared" si="0"/>
        <v>0.55240480000000003</v>
      </c>
      <c r="P59" s="167">
        <f t="shared" si="1"/>
        <v>8810</v>
      </c>
      <c r="Q59" s="177">
        <f t="shared" si="7"/>
        <v>8810</v>
      </c>
      <c r="R59" s="169">
        <f t="shared" si="3"/>
        <v>8810</v>
      </c>
      <c r="S59" s="169">
        <f t="shared" si="3"/>
        <v>8810</v>
      </c>
      <c r="T59" s="150">
        <f t="shared" si="3"/>
        <v>8810</v>
      </c>
      <c r="U59" s="170">
        <f t="shared" si="4"/>
        <v>0</v>
      </c>
      <c r="V59" s="171">
        <f t="shared" si="5"/>
        <v>0</v>
      </c>
      <c r="W59" s="46">
        <f t="shared" si="6"/>
        <v>15948.449397977714</v>
      </c>
      <c r="Y59" s="1" t="s">
        <v>44</v>
      </c>
    </row>
    <row r="60" spans="1:25" hidden="1" x14ac:dyDescent="0.3">
      <c r="A60" s="122" t="s">
        <v>251</v>
      </c>
      <c r="B60" s="172" t="s">
        <v>0</v>
      </c>
      <c r="C60" s="173">
        <v>83</v>
      </c>
      <c r="D60" s="173">
        <v>35</v>
      </c>
      <c r="E60" s="173">
        <v>7</v>
      </c>
      <c r="F60" s="174">
        <v>3700</v>
      </c>
      <c r="G60" s="175"/>
      <c r="H60" s="175"/>
      <c r="I60" s="175"/>
      <c r="J60" s="175"/>
      <c r="K60" s="176"/>
      <c r="L60" s="176"/>
      <c r="M60" s="176"/>
      <c r="N60" s="176"/>
      <c r="O60" s="166">
        <f t="shared" si="0"/>
        <v>0.71823219999999999</v>
      </c>
      <c r="P60" s="167">
        <f t="shared" si="1"/>
        <v>3700</v>
      </c>
      <c r="Q60" s="177">
        <f t="shared" si="7"/>
        <v>3700</v>
      </c>
      <c r="R60" s="169">
        <f t="shared" si="3"/>
        <v>3700</v>
      </c>
      <c r="S60" s="169">
        <f t="shared" si="3"/>
        <v>3700</v>
      </c>
      <c r="T60" s="150">
        <f t="shared" si="3"/>
        <v>3700</v>
      </c>
      <c r="U60" s="170">
        <f t="shared" si="4"/>
        <v>0</v>
      </c>
      <c r="V60" s="171">
        <f t="shared" si="5"/>
        <v>0</v>
      </c>
      <c r="W60" s="46">
        <f t="shared" si="6"/>
        <v>5151.5373440511303</v>
      </c>
      <c r="Y60" s="1" t="s">
        <v>44</v>
      </c>
    </row>
    <row r="61" spans="1:25" hidden="1" x14ac:dyDescent="0.3">
      <c r="A61" s="122" t="s">
        <v>250</v>
      </c>
      <c r="B61" s="172" t="s">
        <v>0</v>
      </c>
      <c r="C61" s="173">
        <v>31</v>
      </c>
      <c r="D61" s="173">
        <v>27</v>
      </c>
      <c r="E61" s="173">
        <v>6</v>
      </c>
      <c r="F61" s="174">
        <v>1250</v>
      </c>
      <c r="G61" s="175"/>
      <c r="H61" s="175"/>
      <c r="I61" s="175"/>
      <c r="J61" s="175"/>
      <c r="K61" s="176"/>
      <c r="L61" s="176"/>
      <c r="M61" s="176"/>
      <c r="N61" s="176"/>
      <c r="O61" s="166">
        <f t="shared" si="0"/>
        <v>0.17737704000000001</v>
      </c>
      <c r="P61" s="167">
        <f t="shared" si="1"/>
        <v>1250</v>
      </c>
      <c r="Q61" s="177">
        <f t="shared" si="7"/>
        <v>1250</v>
      </c>
      <c r="R61" s="169">
        <f t="shared" si="3"/>
        <v>1250</v>
      </c>
      <c r="S61" s="169">
        <f t="shared" si="3"/>
        <v>1250</v>
      </c>
      <c r="T61" s="150">
        <f t="shared" si="3"/>
        <v>1250</v>
      </c>
      <c r="U61" s="170">
        <f t="shared" si="4"/>
        <v>0</v>
      </c>
      <c r="V61" s="171">
        <f t="shared" si="5"/>
        <v>0</v>
      </c>
      <c r="W61" s="46">
        <f t="shared" si="6"/>
        <v>7047.1353000365771</v>
      </c>
      <c r="Y61" s="1" t="s">
        <v>44</v>
      </c>
    </row>
    <row r="62" spans="1:25" ht="14.4" hidden="1" x14ac:dyDescent="0.3">
      <c r="A62" s="120" t="s">
        <v>62</v>
      </c>
      <c r="B62" s="172" t="s">
        <v>0</v>
      </c>
      <c r="C62" s="173">
        <v>24</v>
      </c>
      <c r="D62" s="173">
        <v>11</v>
      </c>
      <c r="E62" s="173">
        <v>5</v>
      </c>
      <c r="F62" s="208">
        <v>300</v>
      </c>
      <c r="G62" s="175"/>
      <c r="H62" s="175"/>
      <c r="I62" s="175"/>
      <c r="J62" s="175"/>
      <c r="K62" s="176"/>
      <c r="L62" s="176"/>
      <c r="M62" s="176"/>
      <c r="N62" s="176"/>
      <c r="O62" s="166">
        <f t="shared" si="0"/>
        <v>4.6622400000000001E-2</v>
      </c>
      <c r="P62" s="167">
        <f t="shared" si="1"/>
        <v>300</v>
      </c>
      <c r="Q62" s="177">
        <f t="shared" si="7"/>
        <v>300</v>
      </c>
      <c r="R62" s="169">
        <f t="shared" si="3"/>
        <v>300</v>
      </c>
      <c r="S62" s="169">
        <f t="shared" si="3"/>
        <v>300</v>
      </c>
      <c r="T62" s="150">
        <f t="shared" si="3"/>
        <v>300</v>
      </c>
      <c r="U62" s="170">
        <f t="shared" si="4"/>
        <v>0</v>
      </c>
      <c r="V62" s="171">
        <f t="shared" si="5"/>
        <v>0</v>
      </c>
      <c r="W62" s="46">
        <f t="shared" si="6"/>
        <v>6434.6751775970351</v>
      </c>
      <c r="Y62" s="1" t="s">
        <v>46</v>
      </c>
    </row>
    <row r="63" spans="1:25" hidden="1" x14ac:dyDescent="0.3">
      <c r="A63" s="123" t="s">
        <v>94</v>
      </c>
      <c r="B63" s="172" t="s">
        <v>0</v>
      </c>
      <c r="C63" s="173">
        <v>26</v>
      </c>
      <c r="D63" s="173">
        <v>25</v>
      </c>
      <c r="E63" s="173">
        <v>5</v>
      </c>
      <c r="F63" s="174">
        <v>800</v>
      </c>
      <c r="G63" s="175"/>
      <c r="H63" s="175"/>
      <c r="I63" s="175"/>
      <c r="J63" s="175"/>
      <c r="K63" s="176"/>
      <c r="L63" s="176"/>
      <c r="M63" s="176"/>
      <c r="N63" s="176"/>
      <c r="O63" s="166">
        <f t="shared" si="0"/>
        <v>0.11478999999999999</v>
      </c>
      <c r="P63" s="167">
        <f t="shared" si="1"/>
        <v>800</v>
      </c>
      <c r="Q63" s="177">
        <f t="shared" si="7"/>
        <v>800</v>
      </c>
      <c r="R63" s="169">
        <f t="shared" si="3"/>
        <v>800</v>
      </c>
      <c r="S63" s="169">
        <f t="shared" si="3"/>
        <v>800</v>
      </c>
      <c r="T63" s="150">
        <f t="shared" si="3"/>
        <v>800</v>
      </c>
      <c r="U63" s="170">
        <f t="shared" si="4"/>
        <v>0</v>
      </c>
      <c r="V63" s="171">
        <f t="shared" si="5"/>
        <v>0</v>
      </c>
      <c r="W63" s="46">
        <f t="shared" si="6"/>
        <v>6969.2481923512505</v>
      </c>
      <c r="Y63" s="1" t="s">
        <v>46</v>
      </c>
    </row>
    <row r="64" spans="1:25" ht="12.45" hidden="1" customHeight="1" x14ac:dyDescent="0.3">
      <c r="A64" s="120" t="s">
        <v>63</v>
      </c>
      <c r="B64" s="172" t="s">
        <v>0</v>
      </c>
      <c r="C64" s="173">
        <v>22</v>
      </c>
      <c r="D64" s="173">
        <v>22</v>
      </c>
      <c r="E64" s="173">
        <v>4</v>
      </c>
      <c r="F64" s="208">
        <v>400</v>
      </c>
      <c r="G64" s="175"/>
      <c r="H64" s="175"/>
      <c r="I64" s="175"/>
      <c r="J64" s="175"/>
      <c r="K64" s="176"/>
      <c r="L64" s="176"/>
      <c r="M64" s="176"/>
      <c r="N64" s="176"/>
      <c r="O64" s="166">
        <f t="shared" si="0"/>
        <v>6.8379519999999999E-2</v>
      </c>
      <c r="P64" s="167">
        <f t="shared" si="1"/>
        <v>400</v>
      </c>
      <c r="Q64" s="177">
        <f t="shared" si="7"/>
        <v>400</v>
      </c>
      <c r="R64" s="169">
        <f t="shared" si="3"/>
        <v>400</v>
      </c>
      <c r="S64" s="169">
        <f t="shared" si="3"/>
        <v>400</v>
      </c>
      <c r="T64" s="150">
        <f t="shared" si="3"/>
        <v>400</v>
      </c>
      <c r="U64" s="170">
        <f t="shared" si="4"/>
        <v>0</v>
      </c>
      <c r="V64" s="171">
        <f t="shared" si="5"/>
        <v>0</v>
      </c>
      <c r="W64" s="46">
        <f t="shared" si="6"/>
        <v>5849.7047069063956</v>
      </c>
      <c r="Y64" s="1" t="s">
        <v>46</v>
      </c>
    </row>
    <row r="65" spans="1:25" hidden="1" x14ac:dyDescent="0.3">
      <c r="A65" s="122" t="s">
        <v>249</v>
      </c>
      <c r="B65" s="172" t="s">
        <v>0</v>
      </c>
      <c r="C65" s="173">
        <v>35</v>
      </c>
      <c r="D65" s="173">
        <v>32</v>
      </c>
      <c r="E65" s="173">
        <v>6</v>
      </c>
      <c r="F65" s="174">
        <v>900</v>
      </c>
      <c r="G65" s="175"/>
      <c r="H65" s="175"/>
      <c r="I65" s="175"/>
      <c r="J65" s="175"/>
      <c r="K65" s="176"/>
      <c r="L65" s="176"/>
      <c r="M65" s="176"/>
      <c r="N65" s="176"/>
      <c r="O65" s="166">
        <f t="shared" si="0"/>
        <v>0.23735040000000002</v>
      </c>
      <c r="P65" s="167">
        <f t="shared" si="1"/>
        <v>900</v>
      </c>
      <c r="Q65" s="177">
        <f t="shared" si="7"/>
        <v>900</v>
      </c>
      <c r="R65" s="169">
        <f t="shared" si="3"/>
        <v>900</v>
      </c>
      <c r="S65" s="169">
        <f t="shared" si="3"/>
        <v>900</v>
      </c>
      <c r="T65" s="150">
        <f t="shared" si="3"/>
        <v>900</v>
      </c>
      <c r="U65" s="170">
        <f t="shared" si="4"/>
        <v>0</v>
      </c>
      <c r="V65" s="171">
        <f t="shared" si="5"/>
        <v>0</v>
      </c>
      <c r="W65" s="46">
        <f t="shared" si="6"/>
        <v>3791.8621582268238</v>
      </c>
      <c r="Y65" s="1" t="s">
        <v>44</v>
      </c>
    </row>
    <row r="66" spans="1:25" hidden="1" x14ac:dyDescent="0.3">
      <c r="A66" s="122" t="s">
        <v>248</v>
      </c>
      <c r="B66" s="172" t="s">
        <v>0</v>
      </c>
      <c r="C66" s="173">
        <v>28</v>
      </c>
      <c r="D66" s="173">
        <v>20</v>
      </c>
      <c r="E66" s="173">
        <v>6</v>
      </c>
      <c r="F66" s="174">
        <v>840</v>
      </c>
      <c r="G66" s="175"/>
      <c r="H66" s="175"/>
      <c r="I66" s="175"/>
      <c r="J66" s="175"/>
      <c r="K66" s="176"/>
      <c r="L66" s="176"/>
      <c r="M66" s="176"/>
      <c r="N66" s="176"/>
      <c r="O66" s="166">
        <f t="shared" si="0"/>
        <v>0.11867520000000001</v>
      </c>
      <c r="P66" s="167">
        <f t="shared" si="1"/>
        <v>840</v>
      </c>
      <c r="Q66" s="177">
        <f t="shared" si="7"/>
        <v>840</v>
      </c>
      <c r="R66" s="169">
        <f t="shared" si="3"/>
        <v>840</v>
      </c>
      <c r="S66" s="169">
        <f t="shared" si="3"/>
        <v>840</v>
      </c>
      <c r="T66" s="150">
        <f t="shared" si="3"/>
        <v>840</v>
      </c>
      <c r="U66" s="170">
        <f t="shared" si="4"/>
        <v>0</v>
      </c>
      <c r="V66" s="171">
        <f t="shared" si="5"/>
        <v>0</v>
      </c>
      <c r="W66" s="46">
        <f t="shared" si="6"/>
        <v>7078.1426953567379</v>
      </c>
      <c r="Y66" s="1" t="s">
        <v>44</v>
      </c>
    </row>
    <row r="67" spans="1:25" hidden="1" x14ac:dyDescent="0.3">
      <c r="A67" s="122" t="s">
        <v>247</v>
      </c>
      <c r="B67" s="172" t="s">
        <v>0</v>
      </c>
      <c r="C67" s="173">
        <v>25</v>
      </c>
      <c r="D67" s="173">
        <v>24</v>
      </c>
      <c r="E67" s="173">
        <v>5</v>
      </c>
      <c r="F67" s="174">
        <v>700</v>
      </c>
      <c r="G67" s="175"/>
      <c r="H67" s="175"/>
      <c r="I67" s="175"/>
      <c r="J67" s="175"/>
      <c r="K67" s="176"/>
      <c r="L67" s="176"/>
      <c r="M67" s="176"/>
      <c r="N67" s="176"/>
      <c r="O67" s="166">
        <f t="shared" si="0"/>
        <v>0.10596</v>
      </c>
      <c r="P67" s="167">
        <f t="shared" si="1"/>
        <v>700</v>
      </c>
      <c r="Q67" s="177">
        <f t="shared" si="7"/>
        <v>700</v>
      </c>
      <c r="R67" s="169">
        <f t="shared" si="3"/>
        <v>700</v>
      </c>
      <c r="S67" s="169">
        <f t="shared" si="3"/>
        <v>700</v>
      </c>
      <c r="T67" s="150">
        <f t="shared" si="3"/>
        <v>700</v>
      </c>
      <c r="U67" s="170">
        <f t="shared" si="4"/>
        <v>0</v>
      </c>
      <c r="V67" s="171">
        <f t="shared" si="5"/>
        <v>0</v>
      </c>
      <c r="W67" s="46">
        <f t="shared" si="6"/>
        <v>6606.2665156662888</v>
      </c>
      <c r="Y67" s="1" t="s">
        <v>44</v>
      </c>
    </row>
    <row r="68" spans="1:25" hidden="1" x14ac:dyDescent="0.3">
      <c r="A68" s="122" t="s">
        <v>246</v>
      </c>
      <c r="B68" s="172" t="s">
        <v>0</v>
      </c>
      <c r="C68" s="173">
        <v>33</v>
      </c>
      <c r="D68" s="173">
        <v>32</v>
      </c>
      <c r="E68" s="173">
        <v>6</v>
      </c>
      <c r="F68" s="174">
        <v>1200</v>
      </c>
      <c r="G68" s="175"/>
      <c r="H68" s="175"/>
      <c r="I68" s="175"/>
      <c r="J68" s="175"/>
      <c r="K68" s="176"/>
      <c r="L68" s="176"/>
      <c r="M68" s="176"/>
      <c r="N68" s="176"/>
      <c r="O68" s="166">
        <f t="shared" ref="O68:O131" si="8">((IFERROR((C68*D68*E68),0)+IFERROR((G68*H68*I68),0)+IFERROR((K68*L68*M68),0))/1000000)*35.32</f>
        <v>0.22378751999999999</v>
      </c>
      <c r="P68" s="167">
        <f t="shared" ref="P68:P131" si="9">F68+J68+N68</f>
        <v>1200</v>
      </c>
      <c r="Q68" s="177">
        <f t="shared" si="7"/>
        <v>1200</v>
      </c>
      <c r="R68" s="169">
        <f t="shared" ref="R68:T131" si="10">MAX(Q68,O68)</f>
        <v>1200</v>
      </c>
      <c r="S68" s="169">
        <f t="shared" si="10"/>
        <v>1200</v>
      </c>
      <c r="T68" s="150">
        <f t="shared" si="10"/>
        <v>1200</v>
      </c>
      <c r="U68" s="170">
        <f t="shared" ref="U68:U131" si="11">T68-Q68</f>
        <v>0</v>
      </c>
      <c r="V68" s="171">
        <f t="shared" ref="V68:V131" si="12">U68/T68</f>
        <v>0</v>
      </c>
      <c r="W68" s="46">
        <f t="shared" ref="W68:W131" si="13">R68/O68</f>
        <v>5362.229314664196</v>
      </c>
      <c r="Y68" s="1" t="s">
        <v>44</v>
      </c>
    </row>
    <row r="69" spans="1:25" hidden="1" x14ac:dyDescent="0.3">
      <c r="A69" s="122" t="s">
        <v>245</v>
      </c>
      <c r="B69" s="172" t="s">
        <v>0</v>
      </c>
      <c r="C69" s="173">
        <v>24</v>
      </c>
      <c r="D69" s="173">
        <v>11</v>
      </c>
      <c r="E69" s="173">
        <v>5</v>
      </c>
      <c r="F69" s="174">
        <v>195</v>
      </c>
      <c r="G69" s="175"/>
      <c r="H69" s="175"/>
      <c r="I69" s="175"/>
      <c r="J69" s="175"/>
      <c r="K69" s="176"/>
      <c r="L69" s="176"/>
      <c r="M69" s="176"/>
      <c r="N69" s="176"/>
      <c r="O69" s="166">
        <f t="shared" si="8"/>
        <v>4.6622400000000001E-2</v>
      </c>
      <c r="P69" s="167">
        <f t="shared" si="9"/>
        <v>195</v>
      </c>
      <c r="Q69" s="177">
        <f t="shared" si="7"/>
        <v>195</v>
      </c>
      <c r="R69" s="169">
        <f t="shared" si="10"/>
        <v>195</v>
      </c>
      <c r="S69" s="169">
        <f t="shared" si="10"/>
        <v>195</v>
      </c>
      <c r="T69" s="150">
        <f t="shared" si="10"/>
        <v>195</v>
      </c>
      <c r="U69" s="170">
        <f t="shared" si="11"/>
        <v>0</v>
      </c>
      <c r="V69" s="171">
        <f t="shared" si="12"/>
        <v>0</v>
      </c>
      <c r="W69" s="46">
        <f t="shared" si="13"/>
        <v>4182.5388654380722</v>
      </c>
      <c r="Y69" s="1" t="s">
        <v>44</v>
      </c>
    </row>
    <row r="70" spans="1:25" hidden="1" x14ac:dyDescent="0.3">
      <c r="A70" s="122" t="s">
        <v>244</v>
      </c>
      <c r="B70" s="172" t="s">
        <v>0</v>
      </c>
      <c r="C70" s="173">
        <v>39</v>
      </c>
      <c r="D70" s="173">
        <v>30</v>
      </c>
      <c r="E70" s="173">
        <v>8</v>
      </c>
      <c r="F70" s="174">
        <v>3200</v>
      </c>
      <c r="G70" s="175"/>
      <c r="H70" s="175"/>
      <c r="I70" s="175"/>
      <c r="J70" s="175"/>
      <c r="K70" s="176"/>
      <c r="L70" s="176"/>
      <c r="M70" s="176"/>
      <c r="N70" s="176"/>
      <c r="O70" s="166">
        <f t="shared" si="8"/>
        <v>0.33059520000000003</v>
      </c>
      <c r="P70" s="167">
        <f t="shared" si="9"/>
        <v>3200</v>
      </c>
      <c r="Q70" s="177">
        <f t="shared" si="7"/>
        <v>3200</v>
      </c>
      <c r="R70" s="169">
        <f t="shared" si="10"/>
        <v>3200</v>
      </c>
      <c r="S70" s="169">
        <f t="shared" si="10"/>
        <v>3200</v>
      </c>
      <c r="T70" s="150">
        <f t="shared" si="10"/>
        <v>3200</v>
      </c>
      <c r="U70" s="170">
        <f t="shared" si="11"/>
        <v>0</v>
      </c>
      <c r="V70" s="171">
        <f t="shared" si="12"/>
        <v>0</v>
      </c>
      <c r="W70" s="46">
        <f t="shared" si="13"/>
        <v>9679.5113782656244</v>
      </c>
      <c r="Y70" s="1" t="s">
        <v>44</v>
      </c>
    </row>
    <row r="71" spans="1:25" hidden="1" x14ac:dyDescent="0.3">
      <c r="A71" s="122" t="s">
        <v>243</v>
      </c>
      <c r="B71" s="172" t="s">
        <v>0</v>
      </c>
      <c r="C71" s="173">
        <v>60</v>
      </c>
      <c r="D71" s="173">
        <v>35</v>
      </c>
      <c r="E71" s="173">
        <v>8</v>
      </c>
      <c r="F71" s="174">
        <v>5245</v>
      </c>
      <c r="G71" s="175"/>
      <c r="H71" s="175"/>
      <c r="I71" s="175"/>
      <c r="J71" s="175"/>
      <c r="K71" s="176"/>
      <c r="L71" s="176"/>
      <c r="M71" s="176"/>
      <c r="N71" s="176"/>
      <c r="O71" s="166">
        <f t="shared" si="8"/>
        <v>0.59337600000000001</v>
      </c>
      <c r="P71" s="167">
        <f t="shared" si="9"/>
        <v>5245</v>
      </c>
      <c r="Q71" s="177">
        <f t="shared" si="7"/>
        <v>5245</v>
      </c>
      <c r="R71" s="169">
        <f t="shared" si="10"/>
        <v>5245</v>
      </c>
      <c r="S71" s="169">
        <f t="shared" si="10"/>
        <v>5245</v>
      </c>
      <c r="T71" s="150">
        <f t="shared" si="10"/>
        <v>5245</v>
      </c>
      <c r="U71" s="170">
        <f t="shared" si="11"/>
        <v>0</v>
      </c>
      <c r="V71" s="171">
        <f t="shared" si="12"/>
        <v>0</v>
      </c>
      <c r="W71" s="46">
        <f t="shared" si="13"/>
        <v>8839.2520088443071</v>
      </c>
      <c r="Y71" s="1" t="s">
        <v>44</v>
      </c>
    </row>
    <row r="72" spans="1:25" hidden="1" x14ac:dyDescent="0.3">
      <c r="A72" s="122" t="s">
        <v>242</v>
      </c>
      <c r="B72" s="172" t="s">
        <v>0</v>
      </c>
      <c r="C72" s="173">
        <v>25</v>
      </c>
      <c r="D72" s="173">
        <v>20</v>
      </c>
      <c r="E72" s="173">
        <v>5</v>
      </c>
      <c r="F72" s="174">
        <v>430</v>
      </c>
      <c r="G72" s="175"/>
      <c r="H72" s="175"/>
      <c r="I72" s="175"/>
      <c r="J72" s="175"/>
      <c r="K72" s="176"/>
      <c r="L72" s="176"/>
      <c r="M72" s="176"/>
      <c r="N72" s="176"/>
      <c r="O72" s="166">
        <f t="shared" si="8"/>
        <v>8.8300000000000003E-2</v>
      </c>
      <c r="P72" s="167">
        <f t="shared" si="9"/>
        <v>430</v>
      </c>
      <c r="Q72" s="177">
        <f t="shared" si="7"/>
        <v>430</v>
      </c>
      <c r="R72" s="169">
        <f t="shared" si="10"/>
        <v>430</v>
      </c>
      <c r="S72" s="169">
        <f t="shared" si="10"/>
        <v>430</v>
      </c>
      <c r="T72" s="150">
        <f t="shared" si="10"/>
        <v>430</v>
      </c>
      <c r="U72" s="170">
        <f t="shared" si="11"/>
        <v>0</v>
      </c>
      <c r="V72" s="171">
        <f t="shared" si="12"/>
        <v>0</v>
      </c>
      <c r="W72" s="46">
        <f t="shared" si="13"/>
        <v>4869.7621744054359</v>
      </c>
      <c r="Y72" s="1" t="s">
        <v>44</v>
      </c>
    </row>
    <row r="73" spans="1:25" ht="12.75" hidden="1" customHeight="1" x14ac:dyDescent="0.3">
      <c r="A73" s="117" t="s">
        <v>45</v>
      </c>
      <c r="B73" s="172" t="s">
        <v>0</v>
      </c>
      <c r="C73" s="173">
        <v>35</v>
      </c>
      <c r="D73" s="173">
        <v>14</v>
      </c>
      <c r="E73" s="173">
        <v>4</v>
      </c>
      <c r="F73" s="174">
        <v>390</v>
      </c>
      <c r="G73" s="175"/>
      <c r="H73" s="175"/>
      <c r="I73" s="175"/>
      <c r="J73" s="175"/>
      <c r="K73" s="176"/>
      <c r="L73" s="176"/>
      <c r="M73" s="176"/>
      <c r="N73" s="176"/>
      <c r="O73" s="166">
        <f t="shared" si="8"/>
        <v>6.9227200000000003E-2</v>
      </c>
      <c r="P73" s="167">
        <f t="shared" si="9"/>
        <v>390</v>
      </c>
      <c r="Q73" s="177">
        <f t="shared" si="7"/>
        <v>390</v>
      </c>
      <c r="R73" s="169">
        <f t="shared" si="10"/>
        <v>390</v>
      </c>
      <c r="S73" s="169">
        <f t="shared" si="10"/>
        <v>390</v>
      </c>
      <c r="T73" s="150">
        <f t="shared" si="10"/>
        <v>390</v>
      </c>
      <c r="U73" s="170">
        <f t="shared" si="11"/>
        <v>0</v>
      </c>
      <c r="V73" s="171">
        <f t="shared" si="12"/>
        <v>0</v>
      </c>
      <c r="W73" s="46">
        <f t="shared" si="13"/>
        <v>5633.6237779369958</v>
      </c>
      <c r="Y73" s="1" t="s">
        <v>44</v>
      </c>
    </row>
    <row r="74" spans="1:25" hidden="1" x14ac:dyDescent="0.3">
      <c r="A74" s="122" t="s">
        <v>241</v>
      </c>
      <c r="B74" s="172" t="s">
        <v>0</v>
      </c>
      <c r="C74" s="173">
        <v>82</v>
      </c>
      <c r="D74" s="173">
        <v>20</v>
      </c>
      <c r="E74" s="173">
        <v>10</v>
      </c>
      <c r="F74" s="174">
        <v>7500</v>
      </c>
      <c r="G74" s="175"/>
      <c r="H74" s="175"/>
      <c r="I74" s="175"/>
      <c r="J74" s="175"/>
      <c r="K74" s="176"/>
      <c r="L74" s="176"/>
      <c r="M74" s="176"/>
      <c r="N74" s="176"/>
      <c r="O74" s="166">
        <f t="shared" si="8"/>
        <v>0.5792480000000001</v>
      </c>
      <c r="P74" s="167">
        <f t="shared" si="9"/>
        <v>7500</v>
      </c>
      <c r="Q74" s="177">
        <f t="shared" si="7"/>
        <v>7500</v>
      </c>
      <c r="R74" s="169">
        <f t="shared" si="10"/>
        <v>7500</v>
      </c>
      <c r="S74" s="169">
        <f t="shared" si="10"/>
        <v>7500</v>
      </c>
      <c r="T74" s="150">
        <f t="shared" si="10"/>
        <v>7500</v>
      </c>
      <c r="U74" s="170">
        <f t="shared" si="11"/>
        <v>0</v>
      </c>
      <c r="V74" s="171">
        <f t="shared" si="12"/>
        <v>0</v>
      </c>
      <c r="W74" s="46">
        <f t="shared" si="13"/>
        <v>12947.822003701349</v>
      </c>
      <c r="Y74" s="1" t="s">
        <v>44</v>
      </c>
    </row>
    <row r="75" spans="1:25" hidden="1" x14ac:dyDescent="0.3">
      <c r="A75" s="118" t="s">
        <v>379</v>
      </c>
      <c r="B75" s="172" t="s">
        <v>0</v>
      </c>
      <c r="C75" s="173">
        <v>67</v>
      </c>
      <c r="D75" s="173">
        <v>40</v>
      </c>
      <c r="E75" s="173">
        <v>4</v>
      </c>
      <c r="F75" s="174">
        <v>3300</v>
      </c>
      <c r="G75" s="175"/>
      <c r="H75" s="175"/>
      <c r="I75" s="175"/>
      <c r="J75" s="175"/>
      <c r="K75" s="176"/>
      <c r="L75" s="176"/>
      <c r="M75" s="176"/>
      <c r="N75" s="176"/>
      <c r="O75" s="166">
        <f t="shared" si="8"/>
        <v>0.37863040000000003</v>
      </c>
      <c r="P75" s="167">
        <f t="shared" si="9"/>
        <v>3300</v>
      </c>
      <c r="Q75" s="177">
        <f t="shared" si="7"/>
        <v>3300</v>
      </c>
      <c r="R75" s="169">
        <f t="shared" si="10"/>
        <v>3300</v>
      </c>
      <c r="S75" s="169">
        <f t="shared" si="10"/>
        <v>3300</v>
      </c>
      <c r="T75" s="150">
        <f t="shared" si="10"/>
        <v>3300</v>
      </c>
      <c r="U75" s="170">
        <f t="shared" si="11"/>
        <v>0</v>
      </c>
      <c r="V75" s="171">
        <f t="shared" si="12"/>
        <v>0</v>
      </c>
      <c r="W75" s="46">
        <f t="shared" si="13"/>
        <v>8715.6234681631468</v>
      </c>
      <c r="Y75" s="1" t="s">
        <v>46</v>
      </c>
    </row>
    <row r="76" spans="1:25" ht="12.75" hidden="1" customHeight="1" x14ac:dyDescent="0.3">
      <c r="A76" s="117" t="s">
        <v>50</v>
      </c>
      <c r="B76" s="172" t="s">
        <v>0</v>
      </c>
      <c r="C76" s="173">
        <v>100</v>
      </c>
      <c r="D76" s="173">
        <v>46</v>
      </c>
      <c r="E76" s="173">
        <v>9</v>
      </c>
      <c r="F76" s="174">
        <v>12200</v>
      </c>
      <c r="G76" s="175"/>
      <c r="H76" s="175"/>
      <c r="I76" s="175"/>
      <c r="J76" s="175"/>
      <c r="K76" s="176"/>
      <c r="L76" s="176"/>
      <c r="M76" s="176"/>
      <c r="N76" s="176"/>
      <c r="O76" s="166">
        <f t="shared" si="8"/>
        <v>1.462248</v>
      </c>
      <c r="P76" s="167">
        <f t="shared" si="9"/>
        <v>12200</v>
      </c>
      <c r="Q76" s="177">
        <f t="shared" si="7"/>
        <v>12200</v>
      </c>
      <c r="R76" s="169">
        <f t="shared" si="10"/>
        <v>12200</v>
      </c>
      <c r="S76" s="169">
        <f t="shared" si="10"/>
        <v>12200</v>
      </c>
      <c r="T76" s="150">
        <f t="shared" si="10"/>
        <v>12200</v>
      </c>
      <c r="U76" s="170">
        <f t="shared" si="11"/>
        <v>0</v>
      </c>
      <c r="V76" s="171">
        <f t="shared" si="12"/>
        <v>0</v>
      </c>
      <c r="W76" s="46">
        <f t="shared" si="13"/>
        <v>8343.317959744174</v>
      </c>
      <c r="Y76" s="1" t="s">
        <v>44</v>
      </c>
    </row>
    <row r="77" spans="1:25" ht="12.75" hidden="1" customHeight="1" x14ac:dyDescent="0.3">
      <c r="A77" s="117" t="s">
        <v>51</v>
      </c>
      <c r="B77" s="172" t="s">
        <v>0</v>
      </c>
      <c r="C77" s="173">
        <v>65</v>
      </c>
      <c r="D77" s="173">
        <v>46</v>
      </c>
      <c r="E77" s="173">
        <v>9</v>
      </c>
      <c r="F77" s="174">
        <v>8700</v>
      </c>
      <c r="G77" s="175"/>
      <c r="H77" s="175"/>
      <c r="I77" s="175"/>
      <c r="J77" s="175"/>
      <c r="K77" s="176"/>
      <c r="L77" s="176"/>
      <c r="M77" s="176"/>
      <c r="N77" s="176"/>
      <c r="O77" s="166">
        <f t="shared" si="8"/>
        <v>0.95046120000000001</v>
      </c>
      <c r="P77" s="167">
        <f t="shared" si="9"/>
        <v>8700</v>
      </c>
      <c r="Q77" s="177">
        <f t="shared" si="7"/>
        <v>8700</v>
      </c>
      <c r="R77" s="169">
        <f t="shared" si="10"/>
        <v>8700</v>
      </c>
      <c r="S77" s="169">
        <f t="shared" si="10"/>
        <v>8700</v>
      </c>
      <c r="T77" s="150">
        <f t="shared" si="10"/>
        <v>8700</v>
      </c>
      <c r="U77" s="170">
        <f t="shared" si="11"/>
        <v>0</v>
      </c>
      <c r="V77" s="171">
        <f t="shared" si="12"/>
        <v>0</v>
      </c>
      <c r="W77" s="46">
        <f t="shared" si="13"/>
        <v>9153.4509772729289</v>
      </c>
      <c r="Y77" s="1" t="s">
        <v>44</v>
      </c>
    </row>
    <row r="78" spans="1:25" ht="13.5" hidden="1" customHeight="1" x14ac:dyDescent="0.3">
      <c r="A78" s="117" t="s">
        <v>380</v>
      </c>
      <c r="B78" s="172" t="s">
        <v>0</v>
      </c>
      <c r="C78" s="173">
        <v>38</v>
      </c>
      <c r="D78" s="173">
        <v>33</v>
      </c>
      <c r="E78" s="173">
        <v>32</v>
      </c>
      <c r="F78" s="174">
        <v>1700</v>
      </c>
      <c r="G78" s="175"/>
      <c r="H78" s="175"/>
      <c r="I78" s="175"/>
      <c r="J78" s="175"/>
      <c r="K78" s="176"/>
      <c r="L78" s="176"/>
      <c r="M78" s="176"/>
      <c r="N78" s="176"/>
      <c r="O78" s="166">
        <f t="shared" si="8"/>
        <v>1.4173209599999999</v>
      </c>
      <c r="P78" s="167">
        <f t="shared" si="9"/>
        <v>1700</v>
      </c>
      <c r="Q78" s="177">
        <f t="shared" ref="Q78:Q141" si="14">F78+J78+N78</f>
        <v>1700</v>
      </c>
      <c r="R78" s="169">
        <f t="shared" si="10"/>
        <v>1700</v>
      </c>
      <c r="S78" s="169">
        <f t="shared" si="10"/>
        <v>1700</v>
      </c>
      <c r="T78" s="150">
        <f t="shared" si="10"/>
        <v>1700</v>
      </c>
      <c r="U78" s="170">
        <f t="shared" si="11"/>
        <v>0</v>
      </c>
      <c r="V78" s="171">
        <f t="shared" si="12"/>
        <v>0</v>
      </c>
      <c r="W78" s="46">
        <f t="shared" si="13"/>
        <v>1199.446030911728</v>
      </c>
      <c r="Y78" s="1" t="s">
        <v>46</v>
      </c>
    </row>
    <row r="79" spans="1:25" ht="12.75" hidden="1" customHeight="1" x14ac:dyDescent="0.3">
      <c r="A79" s="117" t="s">
        <v>381</v>
      </c>
      <c r="B79" s="172" t="s">
        <v>0</v>
      </c>
      <c r="C79" s="173">
        <v>39</v>
      </c>
      <c r="D79" s="173">
        <v>27</v>
      </c>
      <c r="E79" s="173">
        <v>24</v>
      </c>
      <c r="F79" s="174">
        <v>1700</v>
      </c>
      <c r="G79" s="175"/>
      <c r="H79" s="175"/>
      <c r="I79" s="175"/>
      <c r="J79" s="175"/>
      <c r="K79" s="176"/>
      <c r="L79" s="176"/>
      <c r="M79" s="176"/>
      <c r="N79" s="176"/>
      <c r="O79" s="166">
        <f t="shared" si="8"/>
        <v>0.89260704000000002</v>
      </c>
      <c r="P79" s="167">
        <f t="shared" si="9"/>
        <v>1700</v>
      </c>
      <c r="Q79" s="177">
        <f t="shared" si="14"/>
        <v>1700</v>
      </c>
      <c r="R79" s="169">
        <f t="shared" si="10"/>
        <v>1700</v>
      </c>
      <c r="S79" s="169">
        <f t="shared" si="10"/>
        <v>1700</v>
      </c>
      <c r="T79" s="150">
        <f t="shared" si="10"/>
        <v>1700</v>
      </c>
      <c r="U79" s="170">
        <f t="shared" si="11"/>
        <v>0</v>
      </c>
      <c r="V79" s="171">
        <f t="shared" si="12"/>
        <v>0</v>
      </c>
      <c r="W79" s="46">
        <f t="shared" si="13"/>
        <v>1904.5334887791159</v>
      </c>
      <c r="Y79" s="1" t="s">
        <v>46</v>
      </c>
    </row>
    <row r="80" spans="1:25" hidden="1" x14ac:dyDescent="0.3">
      <c r="A80" s="122" t="s">
        <v>60</v>
      </c>
      <c r="B80" s="172" t="s">
        <v>0</v>
      </c>
      <c r="C80" s="173">
        <v>73</v>
      </c>
      <c r="D80" s="173">
        <v>51</v>
      </c>
      <c r="E80" s="173">
        <v>8</v>
      </c>
      <c r="F80" s="174">
        <v>7890</v>
      </c>
      <c r="G80" s="175"/>
      <c r="H80" s="175"/>
      <c r="I80" s="175"/>
      <c r="J80" s="175"/>
      <c r="K80" s="176"/>
      <c r="L80" s="176"/>
      <c r="M80" s="176"/>
      <c r="N80" s="176"/>
      <c r="O80" s="166">
        <f t="shared" si="8"/>
        <v>1.0519708800000001</v>
      </c>
      <c r="P80" s="167">
        <f t="shared" si="9"/>
        <v>7890</v>
      </c>
      <c r="Q80" s="177">
        <f t="shared" si="14"/>
        <v>7890</v>
      </c>
      <c r="R80" s="169">
        <f t="shared" si="10"/>
        <v>7890</v>
      </c>
      <c r="S80" s="169">
        <f t="shared" si="10"/>
        <v>7890</v>
      </c>
      <c r="T80" s="150">
        <f t="shared" si="10"/>
        <v>7890</v>
      </c>
      <c r="U80" s="170">
        <f t="shared" si="11"/>
        <v>0</v>
      </c>
      <c r="V80" s="171">
        <f t="shared" si="12"/>
        <v>0</v>
      </c>
      <c r="W80" s="46">
        <f t="shared" si="13"/>
        <v>7500.2076103095169</v>
      </c>
      <c r="Y80" s="1" t="s">
        <v>44</v>
      </c>
    </row>
    <row r="81" spans="1:25" ht="12.45" hidden="1" customHeight="1" x14ac:dyDescent="0.3">
      <c r="A81" s="122" t="s">
        <v>239</v>
      </c>
      <c r="B81" s="172" t="s">
        <v>0</v>
      </c>
      <c r="C81" s="173">
        <v>24</v>
      </c>
      <c r="D81" s="173">
        <v>19</v>
      </c>
      <c r="E81" s="173">
        <v>9</v>
      </c>
      <c r="F81" s="174">
        <v>730</v>
      </c>
      <c r="G81" s="175"/>
      <c r="H81" s="175"/>
      <c r="I81" s="175"/>
      <c r="J81" s="175"/>
      <c r="K81" s="176"/>
      <c r="L81" s="176"/>
      <c r="M81" s="176"/>
      <c r="N81" s="176"/>
      <c r="O81" s="166">
        <f t="shared" si="8"/>
        <v>0.14495327999999999</v>
      </c>
      <c r="P81" s="167">
        <f t="shared" si="9"/>
        <v>730</v>
      </c>
      <c r="Q81" s="177">
        <f t="shared" si="14"/>
        <v>730</v>
      </c>
      <c r="R81" s="169">
        <f t="shared" si="10"/>
        <v>730</v>
      </c>
      <c r="S81" s="169">
        <f t="shared" si="10"/>
        <v>730</v>
      </c>
      <c r="T81" s="150">
        <f t="shared" si="10"/>
        <v>730</v>
      </c>
      <c r="U81" s="170">
        <f t="shared" si="11"/>
        <v>0</v>
      </c>
      <c r="V81" s="171">
        <f t="shared" si="12"/>
        <v>0</v>
      </c>
      <c r="W81" s="46">
        <f t="shared" si="13"/>
        <v>5036.1054265208768</v>
      </c>
      <c r="Y81" s="1" t="s">
        <v>44</v>
      </c>
    </row>
    <row r="82" spans="1:25" hidden="1" x14ac:dyDescent="0.3">
      <c r="A82" s="122" t="s">
        <v>238</v>
      </c>
      <c r="B82" s="172" t="s">
        <v>0</v>
      </c>
      <c r="C82" s="173">
        <v>20</v>
      </c>
      <c r="D82" s="173">
        <v>17</v>
      </c>
      <c r="E82" s="173">
        <v>12</v>
      </c>
      <c r="F82" s="174">
        <v>710</v>
      </c>
      <c r="G82" s="175"/>
      <c r="H82" s="175"/>
      <c r="I82" s="175"/>
      <c r="J82" s="175"/>
      <c r="K82" s="176"/>
      <c r="L82" s="176"/>
      <c r="M82" s="176"/>
      <c r="N82" s="176"/>
      <c r="O82" s="166">
        <f t="shared" si="8"/>
        <v>0.1441056</v>
      </c>
      <c r="P82" s="167">
        <f t="shared" si="9"/>
        <v>710</v>
      </c>
      <c r="Q82" s="177">
        <f t="shared" si="14"/>
        <v>710</v>
      </c>
      <c r="R82" s="169">
        <f t="shared" si="10"/>
        <v>710</v>
      </c>
      <c r="S82" s="169">
        <f t="shared" si="10"/>
        <v>710</v>
      </c>
      <c r="T82" s="150">
        <f t="shared" si="10"/>
        <v>710</v>
      </c>
      <c r="U82" s="170">
        <f t="shared" si="11"/>
        <v>0</v>
      </c>
      <c r="V82" s="171">
        <f t="shared" si="12"/>
        <v>0</v>
      </c>
      <c r="W82" s="46">
        <f t="shared" si="13"/>
        <v>4926.9424644149849</v>
      </c>
      <c r="Y82" s="1" t="s">
        <v>44</v>
      </c>
    </row>
    <row r="83" spans="1:25" hidden="1" x14ac:dyDescent="0.3">
      <c r="A83" s="122" t="s">
        <v>345</v>
      </c>
      <c r="B83" s="172" t="s">
        <v>47</v>
      </c>
      <c r="C83" s="173"/>
      <c r="D83" s="173"/>
      <c r="E83" s="173"/>
      <c r="F83" s="174"/>
      <c r="G83" s="175"/>
      <c r="H83" s="175"/>
      <c r="I83" s="175"/>
      <c r="J83" s="175"/>
      <c r="K83" s="176"/>
      <c r="L83" s="176"/>
      <c r="M83" s="176"/>
      <c r="N83" s="176"/>
      <c r="O83" s="166">
        <f t="shared" si="8"/>
        <v>0</v>
      </c>
      <c r="P83" s="167">
        <f t="shared" si="9"/>
        <v>0</v>
      </c>
      <c r="Q83" s="177">
        <f t="shared" si="14"/>
        <v>0</v>
      </c>
      <c r="R83" s="169">
        <f t="shared" si="10"/>
        <v>0</v>
      </c>
      <c r="S83" s="169">
        <f t="shared" si="10"/>
        <v>0</v>
      </c>
      <c r="T83" s="150">
        <f t="shared" si="10"/>
        <v>0</v>
      </c>
      <c r="U83" s="170">
        <f t="shared" si="11"/>
        <v>0</v>
      </c>
      <c r="V83" s="171" t="e">
        <f t="shared" si="12"/>
        <v>#DIV/0!</v>
      </c>
      <c r="W83" s="46" t="e">
        <f t="shared" si="13"/>
        <v>#DIV/0!</v>
      </c>
      <c r="Y83" s="1" t="s">
        <v>46</v>
      </c>
    </row>
    <row r="84" spans="1:25" hidden="1" x14ac:dyDescent="0.3">
      <c r="A84" s="122" t="s">
        <v>344</v>
      </c>
      <c r="B84" s="172" t="s">
        <v>0</v>
      </c>
      <c r="C84" s="173">
        <v>37</v>
      </c>
      <c r="D84" s="173">
        <v>13</v>
      </c>
      <c r="E84" s="173">
        <v>7</v>
      </c>
      <c r="F84" s="174">
        <v>1000</v>
      </c>
      <c r="G84" s="175"/>
      <c r="H84" s="175"/>
      <c r="I84" s="175"/>
      <c r="J84" s="175"/>
      <c r="K84" s="176"/>
      <c r="L84" s="176"/>
      <c r="M84" s="176"/>
      <c r="N84" s="176"/>
      <c r="O84" s="166">
        <f t="shared" si="8"/>
        <v>0.11892244</v>
      </c>
      <c r="P84" s="167">
        <f t="shared" si="9"/>
        <v>1000</v>
      </c>
      <c r="Q84" s="177">
        <f t="shared" si="14"/>
        <v>1000</v>
      </c>
      <c r="R84" s="169">
        <f t="shared" si="10"/>
        <v>1000</v>
      </c>
      <c r="S84" s="169">
        <f t="shared" si="10"/>
        <v>1000</v>
      </c>
      <c r="T84" s="150">
        <f t="shared" si="10"/>
        <v>1000</v>
      </c>
      <c r="U84" s="170">
        <f t="shared" si="11"/>
        <v>0</v>
      </c>
      <c r="V84" s="171">
        <f t="shared" si="12"/>
        <v>0</v>
      </c>
      <c r="W84" s="46">
        <f t="shared" si="13"/>
        <v>8408.8419309257351</v>
      </c>
      <c r="Y84" s="1" t="s">
        <v>46</v>
      </c>
    </row>
    <row r="85" spans="1:25" hidden="1" x14ac:dyDescent="0.3">
      <c r="A85" s="122" t="s">
        <v>237</v>
      </c>
      <c r="B85" s="172" t="s">
        <v>0</v>
      </c>
      <c r="C85" s="173">
        <v>130</v>
      </c>
      <c r="D85" s="173">
        <v>54</v>
      </c>
      <c r="E85" s="173">
        <v>9</v>
      </c>
      <c r="F85" s="174">
        <v>24450</v>
      </c>
      <c r="G85" s="175"/>
      <c r="H85" s="175"/>
      <c r="I85" s="175"/>
      <c r="J85" s="175"/>
      <c r="K85" s="176"/>
      <c r="L85" s="176"/>
      <c r="M85" s="176"/>
      <c r="N85" s="176"/>
      <c r="O85" s="166">
        <f t="shared" si="8"/>
        <v>2.2315176000000001</v>
      </c>
      <c r="P85" s="167">
        <f t="shared" si="9"/>
        <v>24450</v>
      </c>
      <c r="Q85" s="177">
        <f t="shared" si="14"/>
        <v>24450</v>
      </c>
      <c r="R85" s="169">
        <f t="shared" si="10"/>
        <v>24450</v>
      </c>
      <c r="S85" s="169">
        <f t="shared" si="10"/>
        <v>24450</v>
      </c>
      <c r="T85" s="150">
        <f t="shared" si="10"/>
        <v>24450</v>
      </c>
      <c r="U85" s="170">
        <f t="shared" si="11"/>
        <v>0</v>
      </c>
      <c r="V85" s="171">
        <f t="shared" si="12"/>
        <v>0</v>
      </c>
      <c r="W85" s="46">
        <f t="shared" si="13"/>
        <v>10956.669129564561</v>
      </c>
      <c r="Y85" s="1" t="s">
        <v>44</v>
      </c>
    </row>
    <row r="86" spans="1:25" hidden="1" x14ac:dyDescent="0.3">
      <c r="A86" s="122" t="s">
        <v>236</v>
      </c>
      <c r="B86" s="172" t="s">
        <v>0</v>
      </c>
      <c r="C86" s="173">
        <v>130</v>
      </c>
      <c r="D86" s="173">
        <v>42</v>
      </c>
      <c r="E86" s="173">
        <v>5</v>
      </c>
      <c r="F86" s="174">
        <v>17400</v>
      </c>
      <c r="G86" s="175"/>
      <c r="H86" s="175"/>
      <c r="I86" s="175"/>
      <c r="J86" s="175"/>
      <c r="K86" s="176"/>
      <c r="L86" s="176"/>
      <c r="M86" s="176"/>
      <c r="N86" s="176"/>
      <c r="O86" s="166">
        <f t="shared" si="8"/>
        <v>0.96423600000000009</v>
      </c>
      <c r="P86" s="167">
        <f t="shared" si="9"/>
        <v>17400</v>
      </c>
      <c r="Q86" s="177">
        <f t="shared" si="14"/>
        <v>17400</v>
      </c>
      <c r="R86" s="169">
        <f t="shared" si="10"/>
        <v>17400</v>
      </c>
      <c r="S86" s="169">
        <f t="shared" si="10"/>
        <v>17400</v>
      </c>
      <c r="T86" s="150">
        <f t="shared" si="10"/>
        <v>17400</v>
      </c>
      <c r="U86" s="170">
        <f t="shared" si="11"/>
        <v>0</v>
      </c>
      <c r="V86" s="171">
        <f t="shared" si="12"/>
        <v>0</v>
      </c>
      <c r="W86" s="46">
        <f t="shared" si="13"/>
        <v>18045.374783766627</v>
      </c>
      <c r="Y86" s="1" t="s">
        <v>44</v>
      </c>
    </row>
    <row r="87" spans="1:25" hidden="1" x14ac:dyDescent="0.3">
      <c r="A87" s="122" t="s">
        <v>235</v>
      </c>
      <c r="B87" s="172" t="s">
        <v>0</v>
      </c>
      <c r="C87" s="173">
        <v>137</v>
      </c>
      <c r="D87" s="173">
        <v>70</v>
      </c>
      <c r="E87" s="173">
        <v>9</v>
      </c>
      <c r="F87" s="174">
        <v>39450</v>
      </c>
      <c r="G87" s="175"/>
      <c r="H87" s="175"/>
      <c r="I87" s="175"/>
      <c r="J87" s="175"/>
      <c r="K87" s="176"/>
      <c r="L87" s="176"/>
      <c r="M87" s="176"/>
      <c r="N87" s="176"/>
      <c r="O87" s="166">
        <f t="shared" si="8"/>
        <v>3.0484692</v>
      </c>
      <c r="P87" s="167">
        <f t="shared" si="9"/>
        <v>39450</v>
      </c>
      <c r="Q87" s="177">
        <f t="shared" si="14"/>
        <v>39450</v>
      </c>
      <c r="R87" s="169">
        <f t="shared" si="10"/>
        <v>39450</v>
      </c>
      <c r="S87" s="169">
        <f t="shared" si="10"/>
        <v>39450</v>
      </c>
      <c r="T87" s="150">
        <f t="shared" si="10"/>
        <v>39450</v>
      </c>
      <c r="U87" s="170">
        <f t="shared" si="11"/>
        <v>0</v>
      </c>
      <c r="V87" s="171">
        <f t="shared" si="12"/>
        <v>0</v>
      </c>
      <c r="W87" s="46">
        <f t="shared" si="13"/>
        <v>12940.921299122852</v>
      </c>
      <c r="Y87" s="1" t="s">
        <v>44</v>
      </c>
    </row>
    <row r="88" spans="1:25" s="62" customFormat="1" hidden="1" x14ac:dyDescent="0.3">
      <c r="A88" s="178" t="s">
        <v>382</v>
      </c>
      <c r="B88" s="179" t="s">
        <v>0</v>
      </c>
      <c r="C88" s="180">
        <v>162</v>
      </c>
      <c r="D88" s="180">
        <v>73</v>
      </c>
      <c r="E88" s="180">
        <v>8</v>
      </c>
      <c r="F88" s="181">
        <v>24450</v>
      </c>
      <c r="G88" s="180"/>
      <c r="H88" s="180"/>
      <c r="I88" s="180"/>
      <c r="J88" s="180"/>
      <c r="K88" s="180"/>
      <c r="L88" s="180"/>
      <c r="M88" s="180"/>
      <c r="N88" s="180"/>
      <c r="O88" s="182">
        <f t="shared" si="8"/>
        <v>3.3415545600000001</v>
      </c>
      <c r="P88" s="68">
        <f t="shared" si="9"/>
        <v>24450</v>
      </c>
      <c r="Q88" s="183">
        <f t="shared" si="14"/>
        <v>24450</v>
      </c>
      <c r="R88" s="184">
        <f t="shared" si="10"/>
        <v>24450</v>
      </c>
      <c r="S88" s="184">
        <f t="shared" si="10"/>
        <v>24450</v>
      </c>
      <c r="T88" s="185">
        <f t="shared" si="10"/>
        <v>24450</v>
      </c>
      <c r="U88" s="186">
        <f t="shared" si="11"/>
        <v>0</v>
      </c>
      <c r="V88" s="187">
        <f t="shared" si="12"/>
        <v>0</v>
      </c>
      <c r="W88" s="63">
        <f t="shared" si="13"/>
        <v>7316.9536995379776</v>
      </c>
      <c r="Y88" s="62" t="s">
        <v>44</v>
      </c>
    </row>
    <row r="89" spans="1:25" hidden="1" x14ac:dyDescent="0.3">
      <c r="A89" s="122" t="s">
        <v>233</v>
      </c>
      <c r="B89" s="172" t="s">
        <v>0</v>
      </c>
      <c r="C89" s="173">
        <v>103</v>
      </c>
      <c r="D89" s="173">
        <v>57</v>
      </c>
      <c r="E89" s="173">
        <v>7</v>
      </c>
      <c r="F89" s="174">
        <v>10800</v>
      </c>
      <c r="G89" s="175"/>
      <c r="H89" s="175"/>
      <c r="I89" s="175"/>
      <c r="J89" s="175"/>
      <c r="K89" s="176"/>
      <c r="L89" s="176"/>
      <c r="M89" s="176"/>
      <c r="N89" s="176"/>
      <c r="O89" s="166">
        <f t="shared" si="8"/>
        <v>1.45154604</v>
      </c>
      <c r="P89" s="167">
        <f t="shared" si="9"/>
        <v>10800</v>
      </c>
      <c r="Q89" s="177">
        <f t="shared" si="14"/>
        <v>10800</v>
      </c>
      <c r="R89" s="169">
        <f t="shared" si="10"/>
        <v>10800</v>
      </c>
      <c r="S89" s="169">
        <f t="shared" si="10"/>
        <v>10800</v>
      </c>
      <c r="T89" s="150">
        <f t="shared" si="10"/>
        <v>10800</v>
      </c>
      <c r="U89" s="170">
        <f t="shared" si="11"/>
        <v>0</v>
      </c>
      <c r="V89" s="171">
        <f t="shared" si="12"/>
        <v>0</v>
      </c>
      <c r="W89" s="46">
        <f t="shared" si="13"/>
        <v>7440.3427121057766</v>
      </c>
      <c r="Y89" s="1" t="s">
        <v>44</v>
      </c>
    </row>
    <row r="90" spans="1:25" hidden="1" x14ac:dyDescent="0.3">
      <c r="A90" s="122" t="s">
        <v>231</v>
      </c>
      <c r="B90" s="172" t="s">
        <v>0</v>
      </c>
      <c r="C90" s="173">
        <v>78</v>
      </c>
      <c r="D90" s="173">
        <v>62</v>
      </c>
      <c r="E90" s="173">
        <v>7</v>
      </c>
      <c r="F90" s="174">
        <v>7690</v>
      </c>
      <c r="G90" s="175"/>
      <c r="H90" s="175"/>
      <c r="I90" s="175"/>
      <c r="J90" s="175"/>
      <c r="K90" s="176"/>
      <c r="L90" s="176"/>
      <c r="M90" s="176"/>
      <c r="N90" s="176"/>
      <c r="O90" s="166">
        <f t="shared" si="8"/>
        <v>1.19565264</v>
      </c>
      <c r="P90" s="167">
        <f t="shared" si="9"/>
        <v>7690</v>
      </c>
      <c r="Q90" s="177">
        <f t="shared" si="14"/>
        <v>7690</v>
      </c>
      <c r="R90" s="169">
        <f t="shared" si="10"/>
        <v>7690</v>
      </c>
      <c r="S90" s="169">
        <f t="shared" si="10"/>
        <v>7690</v>
      </c>
      <c r="T90" s="150">
        <f t="shared" si="10"/>
        <v>7690</v>
      </c>
      <c r="U90" s="170">
        <f t="shared" si="11"/>
        <v>0</v>
      </c>
      <c r="V90" s="171">
        <f t="shared" si="12"/>
        <v>0</v>
      </c>
      <c r="W90" s="46">
        <f t="shared" si="13"/>
        <v>6431.6338564685475</v>
      </c>
      <c r="Y90" s="1" t="s">
        <v>44</v>
      </c>
    </row>
    <row r="91" spans="1:25" hidden="1" x14ac:dyDescent="0.3">
      <c r="A91" s="122" t="s">
        <v>230</v>
      </c>
      <c r="B91" s="172" t="s">
        <v>0</v>
      </c>
      <c r="C91" s="173">
        <v>51</v>
      </c>
      <c r="D91" s="173">
        <v>17</v>
      </c>
      <c r="E91" s="173">
        <v>4</v>
      </c>
      <c r="F91" s="174">
        <v>1100</v>
      </c>
      <c r="G91" s="175"/>
      <c r="H91" s="175"/>
      <c r="I91" s="175"/>
      <c r="J91" s="175"/>
      <c r="K91" s="176"/>
      <c r="L91" s="176"/>
      <c r="M91" s="176"/>
      <c r="N91" s="176"/>
      <c r="O91" s="166">
        <f t="shared" si="8"/>
        <v>0.12248976</v>
      </c>
      <c r="P91" s="167">
        <f t="shared" si="9"/>
        <v>1100</v>
      </c>
      <c r="Q91" s="177">
        <f t="shared" si="14"/>
        <v>1100</v>
      </c>
      <c r="R91" s="169">
        <f t="shared" si="10"/>
        <v>1100</v>
      </c>
      <c r="S91" s="169">
        <f t="shared" si="10"/>
        <v>1100</v>
      </c>
      <c r="T91" s="150">
        <f t="shared" si="10"/>
        <v>1100</v>
      </c>
      <c r="U91" s="170">
        <f t="shared" si="11"/>
        <v>0</v>
      </c>
      <c r="V91" s="171">
        <f t="shared" si="12"/>
        <v>0</v>
      </c>
      <c r="W91" s="46">
        <f t="shared" si="13"/>
        <v>8980.3425200604524</v>
      </c>
      <c r="Y91" s="1" t="s">
        <v>44</v>
      </c>
    </row>
    <row r="92" spans="1:25" hidden="1" x14ac:dyDescent="0.3">
      <c r="A92" s="122" t="s">
        <v>229</v>
      </c>
      <c r="B92" s="172" t="s">
        <v>0</v>
      </c>
      <c r="C92" s="173">
        <v>94</v>
      </c>
      <c r="D92" s="173">
        <v>36</v>
      </c>
      <c r="E92" s="173">
        <v>6</v>
      </c>
      <c r="F92" s="174">
        <v>5890</v>
      </c>
      <c r="G92" s="175"/>
      <c r="H92" s="175"/>
      <c r="I92" s="175"/>
      <c r="J92" s="175"/>
      <c r="K92" s="176"/>
      <c r="L92" s="176"/>
      <c r="M92" s="176"/>
      <c r="N92" s="176"/>
      <c r="O92" s="166">
        <f t="shared" si="8"/>
        <v>0.71713727999999999</v>
      </c>
      <c r="P92" s="167">
        <f t="shared" si="9"/>
        <v>5890</v>
      </c>
      <c r="Q92" s="177">
        <f t="shared" si="14"/>
        <v>5890</v>
      </c>
      <c r="R92" s="169">
        <f t="shared" si="10"/>
        <v>5890</v>
      </c>
      <c r="S92" s="169">
        <f t="shared" si="10"/>
        <v>5890</v>
      </c>
      <c r="T92" s="150">
        <f t="shared" si="10"/>
        <v>5890</v>
      </c>
      <c r="U92" s="170">
        <f t="shared" si="11"/>
        <v>0</v>
      </c>
      <c r="V92" s="171">
        <f t="shared" si="12"/>
        <v>0</v>
      </c>
      <c r="W92" s="46">
        <f t="shared" si="13"/>
        <v>8213.2112836192264</v>
      </c>
      <c r="Y92" s="1" t="s">
        <v>44</v>
      </c>
    </row>
    <row r="93" spans="1:25" hidden="1" x14ac:dyDescent="0.3">
      <c r="A93" s="122" t="s">
        <v>228</v>
      </c>
      <c r="B93" s="172" t="s">
        <v>0</v>
      </c>
      <c r="C93" s="173">
        <v>144</v>
      </c>
      <c r="D93" s="173">
        <v>41</v>
      </c>
      <c r="E93" s="173">
        <v>5</v>
      </c>
      <c r="F93" s="174">
        <v>13620</v>
      </c>
      <c r="G93" s="175"/>
      <c r="H93" s="175"/>
      <c r="I93" s="175"/>
      <c r="J93" s="175"/>
      <c r="K93" s="176"/>
      <c r="L93" s="176"/>
      <c r="M93" s="176"/>
      <c r="N93" s="176"/>
      <c r="O93" s="166">
        <f t="shared" si="8"/>
        <v>1.0426464</v>
      </c>
      <c r="P93" s="167">
        <f t="shared" si="9"/>
        <v>13620</v>
      </c>
      <c r="Q93" s="177">
        <f t="shared" si="14"/>
        <v>13620</v>
      </c>
      <c r="R93" s="169">
        <f t="shared" si="10"/>
        <v>13620</v>
      </c>
      <c r="S93" s="169">
        <f t="shared" si="10"/>
        <v>13620</v>
      </c>
      <c r="T93" s="150">
        <f t="shared" si="10"/>
        <v>13620</v>
      </c>
      <c r="U93" s="170">
        <f t="shared" si="11"/>
        <v>0</v>
      </c>
      <c r="V93" s="171">
        <f t="shared" si="12"/>
        <v>0</v>
      </c>
      <c r="W93" s="46">
        <f t="shared" si="13"/>
        <v>13062.913754845364</v>
      </c>
      <c r="Y93" s="1" t="s">
        <v>44</v>
      </c>
    </row>
    <row r="94" spans="1:25" hidden="1" x14ac:dyDescent="0.3">
      <c r="A94" s="122" t="s">
        <v>227</v>
      </c>
      <c r="B94" s="172" t="s">
        <v>0</v>
      </c>
      <c r="C94" s="173">
        <v>134</v>
      </c>
      <c r="D94" s="173">
        <v>20</v>
      </c>
      <c r="E94" s="173">
        <v>5</v>
      </c>
      <c r="F94" s="174">
        <v>3890</v>
      </c>
      <c r="G94" s="175"/>
      <c r="H94" s="175"/>
      <c r="I94" s="175"/>
      <c r="J94" s="175"/>
      <c r="K94" s="176"/>
      <c r="L94" s="176"/>
      <c r="M94" s="176"/>
      <c r="N94" s="176"/>
      <c r="O94" s="166">
        <f t="shared" si="8"/>
        <v>0.47328800000000004</v>
      </c>
      <c r="P94" s="167">
        <f t="shared" si="9"/>
        <v>3890</v>
      </c>
      <c r="Q94" s="177">
        <f t="shared" si="14"/>
        <v>3890</v>
      </c>
      <c r="R94" s="169">
        <f t="shared" si="10"/>
        <v>3890</v>
      </c>
      <c r="S94" s="169">
        <f t="shared" si="10"/>
        <v>3890</v>
      </c>
      <c r="T94" s="150">
        <f t="shared" si="10"/>
        <v>3890</v>
      </c>
      <c r="U94" s="170">
        <f t="shared" si="11"/>
        <v>0</v>
      </c>
      <c r="V94" s="171">
        <f t="shared" si="12"/>
        <v>0</v>
      </c>
      <c r="W94" s="46">
        <f t="shared" si="13"/>
        <v>8219.0970402799139</v>
      </c>
      <c r="Y94" s="1" t="s">
        <v>44</v>
      </c>
    </row>
    <row r="95" spans="1:25" ht="12.45" hidden="1" customHeight="1" x14ac:dyDescent="0.3">
      <c r="A95" s="122" t="s">
        <v>226</v>
      </c>
      <c r="B95" s="172" t="s">
        <v>0</v>
      </c>
      <c r="C95" s="173">
        <v>95</v>
      </c>
      <c r="D95" s="173">
        <v>27</v>
      </c>
      <c r="E95" s="173">
        <v>6</v>
      </c>
      <c r="F95" s="174">
        <v>5850</v>
      </c>
      <c r="G95" s="175"/>
      <c r="H95" s="175"/>
      <c r="I95" s="175"/>
      <c r="J95" s="175"/>
      <c r="K95" s="176"/>
      <c r="L95" s="176"/>
      <c r="M95" s="176"/>
      <c r="N95" s="176"/>
      <c r="O95" s="166">
        <f t="shared" si="8"/>
        <v>0.54357480000000002</v>
      </c>
      <c r="P95" s="167">
        <f t="shared" si="9"/>
        <v>5850</v>
      </c>
      <c r="Q95" s="177">
        <f t="shared" si="14"/>
        <v>5850</v>
      </c>
      <c r="R95" s="169">
        <f t="shared" si="10"/>
        <v>5850</v>
      </c>
      <c r="S95" s="169">
        <f t="shared" si="10"/>
        <v>5850</v>
      </c>
      <c r="T95" s="150">
        <f t="shared" si="10"/>
        <v>5850</v>
      </c>
      <c r="U95" s="170">
        <f t="shared" si="11"/>
        <v>0</v>
      </c>
      <c r="V95" s="171">
        <f t="shared" si="12"/>
        <v>0</v>
      </c>
      <c r="W95" s="46">
        <f t="shared" si="13"/>
        <v>10762.088308729542</v>
      </c>
      <c r="Y95" s="1" t="s">
        <v>44</v>
      </c>
    </row>
    <row r="96" spans="1:25" ht="14.4" hidden="1" customHeight="1" x14ac:dyDescent="0.3">
      <c r="A96" s="122" t="s">
        <v>225</v>
      </c>
      <c r="B96" s="172" t="s">
        <v>0</v>
      </c>
      <c r="C96" s="173">
        <v>76</v>
      </c>
      <c r="D96" s="173">
        <v>19</v>
      </c>
      <c r="E96" s="173">
        <v>9</v>
      </c>
      <c r="F96" s="174">
        <v>3800</v>
      </c>
      <c r="G96" s="175"/>
      <c r="H96" s="175"/>
      <c r="I96" s="175"/>
      <c r="J96" s="175"/>
      <c r="K96" s="176"/>
      <c r="L96" s="176"/>
      <c r="M96" s="176"/>
      <c r="N96" s="176"/>
      <c r="O96" s="166">
        <f t="shared" si="8"/>
        <v>0.45901872000000005</v>
      </c>
      <c r="P96" s="167">
        <f t="shared" si="9"/>
        <v>3800</v>
      </c>
      <c r="Q96" s="177">
        <f t="shared" si="14"/>
        <v>3800</v>
      </c>
      <c r="R96" s="169">
        <f t="shared" si="10"/>
        <v>3800</v>
      </c>
      <c r="S96" s="169">
        <f t="shared" si="10"/>
        <v>3800</v>
      </c>
      <c r="T96" s="150">
        <f t="shared" si="10"/>
        <v>3800</v>
      </c>
      <c r="U96" s="170">
        <f t="shared" si="11"/>
        <v>0</v>
      </c>
      <c r="V96" s="171">
        <f t="shared" si="12"/>
        <v>0</v>
      </c>
      <c r="W96" s="46">
        <f t="shared" si="13"/>
        <v>8278.529468253495</v>
      </c>
      <c r="Y96" s="1" t="s">
        <v>44</v>
      </c>
    </row>
    <row r="97" spans="1:25" hidden="1" x14ac:dyDescent="0.3">
      <c r="A97" s="122" t="s">
        <v>224</v>
      </c>
      <c r="B97" s="172" t="s">
        <v>0</v>
      </c>
      <c r="C97" s="173">
        <v>24</v>
      </c>
      <c r="D97" s="173">
        <v>19</v>
      </c>
      <c r="E97" s="173">
        <v>11</v>
      </c>
      <c r="F97" s="174">
        <v>1640</v>
      </c>
      <c r="G97" s="175"/>
      <c r="H97" s="175"/>
      <c r="I97" s="175"/>
      <c r="J97" s="175"/>
      <c r="K97" s="176"/>
      <c r="L97" s="176"/>
      <c r="M97" s="176"/>
      <c r="N97" s="176"/>
      <c r="O97" s="166">
        <f t="shared" si="8"/>
        <v>0.17716511999999998</v>
      </c>
      <c r="P97" s="167">
        <f t="shared" si="9"/>
        <v>1640</v>
      </c>
      <c r="Q97" s="177">
        <f t="shared" si="14"/>
        <v>1640</v>
      </c>
      <c r="R97" s="169">
        <f t="shared" si="10"/>
        <v>1640</v>
      </c>
      <c r="S97" s="169">
        <f t="shared" si="10"/>
        <v>1640</v>
      </c>
      <c r="T97" s="150">
        <f t="shared" si="10"/>
        <v>1640</v>
      </c>
      <c r="U97" s="170">
        <f t="shared" si="11"/>
        <v>0</v>
      </c>
      <c r="V97" s="171">
        <f t="shared" si="12"/>
        <v>0</v>
      </c>
      <c r="W97" s="46">
        <f t="shared" si="13"/>
        <v>9256.9011326834552</v>
      </c>
      <c r="Y97" s="1" t="s">
        <v>46</v>
      </c>
    </row>
    <row r="98" spans="1:25" hidden="1" x14ac:dyDescent="0.3">
      <c r="A98" s="122" t="s">
        <v>223</v>
      </c>
      <c r="B98" s="172" t="s">
        <v>0</v>
      </c>
      <c r="C98" s="173">
        <v>23</v>
      </c>
      <c r="D98" s="173">
        <v>19</v>
      </c>
      <c r="E98" s="173">
        <v>12</v>
      </c>
      <c r="F98" s="174">
        <v>1890</v>
      </c>
      <c r="G98" s="175"/>
      <c r="H98" s="175"/>
      <c r="I98" s="175"/>
      <c r="J98" s="175"/>
      <c r="K98" s="176"/>
      <c r="L98" s="176"/>
      <c r="M98" s="176"/>
      <c r="N98" s="176"/>
      <c r="O98" s="166">
        <f t="shared" si="8"/>
        <v>0.18521808000000001</v>
      </c>
      <c r="P98" s="167">
        <f t="shared" si="9"/>
        <v>1890</v>
      </c>
      <c r="Q98" s="177">
        <f t="shared" si="14"/>
        <v>1890</v>
      </c>
      <c r="R98" s="169">
        <f t="shared" si="10"/>
        <v>1890</v>
      </c>
      <c r="S98" s="169">
        <f t="shared" si="10"/>
        <v>1890</v>
      </c>
      <c r="T98" s="150">
        <f t="shared" si="10"/>
        <v>1890</v>
      </c>
      <c r="U98" s="170">
        <f t="shared" si="11"/>
        <v>0</v>
      </c>
      <c r="V98" s="171">
        <f t="shared" si="12"/>
        <v>0</v>
      </c>
      <c r="W98" s="46">
        <f t="shared" si="13"/>
        <v>10204.187409782025</v>
      </c>
      <c r="Y98" s="1" t="s">
        <v>46</v>
      </c>
    </row>
    <row r="99" spans="1:25" ht="14.4" hidden="1" customHeight="1" x14ac:dyDescent="0.3">
      <c r="A99" s="122" t="s">
        <v>222</v>
      </c>
      <c r="B99" s="172" t="s">
        <v>0</v>
      </c>
      <c r="C99" s="173">
        <v>23</v>
      </c>
      <c r="D99" s="173">
        <v>19</v>
      </c>
      <c r="E99" s="173">
        <v>20</v>
      </c>
      <c r="F99" s="174">
        <v>2890</v>
      </c>
      <c r="G99" s="175"/>
      <c r="H99" s="175"/>
      <c r="I99" s="175"/>
      <c r="J99" s="175"/>
      <c r="K99" s="176"/>
      <c r="L99" s="176"/>
      <c r="M99" s="176"/>
      <c r="N99" s="176"/>
      <c r="O99" s="166">
        <f t="shared" si="8"/>
        <v>0.30869679999999999</v>
      </c>
      <c r="P99" s="167">
        <f t="shared" si="9"/>
        <v>2890</v>
      </c>
      <c r="Q99" s="177">
        <f t="shared" si="14"/>
        <v>2890</v>
      </c>
      <c r="R99" s="169">
        <f t="shared" si="10"/>
        <v>2890</v>
      </c>
      <c r="S99" s="169">
        <f t="shared" si="10"/>
        <v>2890</v>
      </c>
      <c r="T99" s="150">
        <f t="shared" si="10"/>
        <v>2890</v>
      </c>
      <c r="U99" s="170">
        <f t="shared" si="11"/>
        <v>0</v>
      </c>
      <c r="V99" s="171">
        <f t="shared" si="12"/>
        <v>0</v>
      </c>
      <c r="W99" s="46">
        <f t="shared" si="13"/>
        <v>9361.9370204031911</v>
      </c>
      <c r="Y99" s="1" t="s">
        <v>46</v>
      </c>
    </row>
    <row r="100" spans="1:25" hidden="1" x14ac:dyDescent="0.3">
      <c r="A100" s="116" t="s">
        <v>43</v>
      </c>
      <c r="B100" s="172" t="s">
        <v>0</v>
      </c>
      <c r="C100" s="173">
        <v>100</v>
      </c>
      <c r="D100" s="173">
        <v>29</v>
      </c>
      <c r="E100" s="173">
        <v>8</v>
      </c>
      <c r="F100" s="174">
        <v>15800</v>
      </c>
      <c r="G100" s="175"/>
      <c r="H100" s="175"/>
      <c r="I100" s="175"/>
      <c r="J100" s="175"/>
      <c r="K100" s="176"/>
      <c r="L100" s="176"/>
      <c r="M100" s="176"/>
      <c r="N100" s="176"/>
      <c r="O100" s="166">
        <f t="shared" si="8"/>
        <v>0.81942399999999993</v>
      </c>
      <c r="P100" s="167">
        <f t="shared" si="9"/>
        <v>15800</v>
      </c>
      <c r="Q100" s="177">
        <f t="shared" si="14"/>
        <v>15800</v>
      </c>
      <c r="R100" s="169">
        <f t="shared" si="10"/>
        <v>15800</v>
      </c>
      <c r="S100" s="169">
        <f t="shared" si="10"/>
        <v>15800</v>
      </c>
      <c r="T100" s="150">
        <f t="shared" si="10"/>
        <v>15800</v>
      </c>
      <c r="U100" s="170">
        <f t="shared" si="11"/>
        <v>0</v>
      </c>
      <c r="V100" s="171">
        <f t="shared" si="12"/>
        <v>0</v>
      </c>
      <c r="W100" s="46">
        <f t="shared" si="13"/>
        <v>19281.836997695944</v>
      </c>
      <c r="Y100" s="1" t="s">
        <v>44</v>
      </c>
    </row>
    <row r="101" spans="1:25" ht="14.4" hidden="1" customHeight="1" x14ac:dyDescent="0.3">
      <c r="A101" s="122" t="s">
        <v>221</v>
      </c>
      <c r="B101" s="172" t="s">
        <v>0</v>
      </c>
      <c r="C101" s="173">
        <v>160</v>
      </c>
      <c r="D101" s="173">
        <v>34</v>
      </c>
      <c r="E101" s="173">
        <v>10</v>
      </c>
      <c r="F101" s="174">
        <v>25790</v>
      </c>
      <c r="G101" s="175"/>
      <c r="H101" s="175"/>
      <c r="I101" s="175"/>
      <c r="J101" s="175"/>
      <c r="K101" s="176"/>
      <c r="L101" s="176"/>
      <c r="M101" s="176"/>
      <c r="N101" s="176"/>
      <c r="O101" s="166">
        <f t="shared" si="8"/>
        <v>1.921408</v>
      </c>
      <c r="P101" s="167">
        <f t="shared" si="9"/>
        <v>25790</v>
      </c>
      <c r="Q101" s="177">
        <f t="shared" si="14"/>
        <v>25790</v>
      </c>
      <c r="R101" s="169">
        <f t="shared" si="10"/>
        <v>25790</v>
      </c>
      <c r="S101" s="169">
        <f t="shared" si="10"/>
        <v>25790</v>
      </c>
      <c r="T101" s="150">
        <f t="shared" si="10"/>
        <v>25790</v>
      </c>
      <c r="U101" s="170">
        <f t="shared" si="11"/>
        <v>0</v>
      </c>
      <c r="V101" s="171">
        <f t="shared" si="12"/>
        <v>0</v>
      </c>
      <c r="W101" s="46">
        <f t="shared" si="13"/>
        <v>13422.448537738992</v>
      </c>
      <c r="Y101" s="1" t="s">
        <v>44</v>
      </c>
    </row>
    <row r="102" spans="1:25" ht="14.4" hidden="1" customHeight="1" x14ac:dyDescent="0.3">
      <c r="A102" s="122" t="s">
        <v>220</v>
      </c>
      <c r="B102" s="172" t="s">
        <v>0</v>
      </c>
      <c r="C102" s="173">
        <v>170</v>
      </c>
      <c r="D102" s="173">
        <v>32</v>
      </c>
      <c r="E102" s="173">
        <v>7</v>
      </c>
      <c r="F102" s="174">
        <v>19850</v>
      </c>
      <c r="G102" s="175"/>
      <c r="H102" s="175"/>
      <c r="I102" s="175"/>
      <c r="J102" s="175"/>
      <c r="K102" s="176"/>
      <c r="L102" s="176"/>
      <c r="M102" s="176"/>
      <c r="N102" s="176"/>
      <c r="O102" s="166">
        <f t="shared" si="8"/>
        <v>1.3449856</v>
      </c>
      <c r="P102" s="167">
        <f t="shared" si="9"/>
        <v>19850</v>
      </c>
      <c r="Q102" s="177">
        <f t="shared" si="14"/>
        <v>19850</v>
      </c>
      <c r="R102" s="169">
        <f t="shared" si="10"/>
        <v>19850</v>
      </c>
      <c r="S102" s="169">
        <f t="shared" si="10"/>
        <v>19850</v>
      </c>
      <c r="T102" s="150">
        <f t="shared" si="10"/>
        <v>19850</v>
      </c>
      <c r="U102" s="170">
        <f t="shared" si="11"/>
        <v>0</v>
      </c>
      <c r="V102" s="171">
        <f t="shared" si="12"/>
        <v>0</v>
      </c>
      <c r="W102" s="46">
        <f t="shared" si="13"/>
        <v>14758.522321725972</v>
      </c>
      <c r="Y102" s="1" t="s">
        <v>44</v>
      </c>
    </row>
    <row r="103" spans="1:25" ht="14.4" hidden="1" customHeight="1" x14ac:dyDescent="0.3">
      <c r="A103" s="122" t="s">
        <v>219</v>
      </c>
      <c r="B103" s="172" t="s">
        <v>0</v>
      </c>
      <c r="C103" s="173">
        <v>173</v>
      </c>
      <c r="D103" s="173">
        <v>36</v>
      </c>
      <c r="E103" s="173">
        <v>10</v>
      </c>
      <c r="F103" s="174">
        <v>30450</v>
      </c>
      <c r="G103" s="175"/>
      <c r="H103" s="175"/>
      <c r="I103" s="175"/>
      <c r="J103" s="175"/>
      <c r="K103" s="176"/>
      <c r="L103" s="176"/>
      <c r="M103" s="176"/>
      <c r="N103" s="176"/>
      <c r="O103" s="166">
        <f t="shared" si="8"/>
        <v>2.1997296</v>
      </c>
      <c r="P103" s="167">
        <f t="shared" si="9"/>
        <v>30450</v>
      </c>
      <c r="Q103" s="177">
        <f t="shared" si="14"/>
        <v>30450</v>
      </c>
      <c r="R103" s="169">
        <f t="shared" si="10"/>
        <v>30450</v>
      </c>
      <c r="S103" s="169">
        <f t="shared" si="10"/>
        <v>30450</v>
      </c>
      <c r="T103" s="150">
        <f t="shared" si="10"/>
        <v>30450</v>
      </c>
      <c r="U103" s="170">
        <f t="shared" si="11"/>
        <v>0</v>
      </c>
      <c r="V103" s="171">
        <f t="shared" si="12"/>
        <v>0</v>
      </c>
      <c r="W103" s="46">
        <f t="shared" si="13"/>
        <v>13842.610473578208</v>
      </c>
      <c r="Y103" s="1" t="s">
        <v>44</v>
      </c>
    </row>
    <row r="104" spans="1:25" ht="14.4" hidden="1" customHeight="1" x14ac:dyDescent="0.3">
      <c r="A104" s="122" t="s">
        <v>218</v>
      </c>
      <c r="B104" s="172" t="s">
        <v>0</v>
      </c>
      <c r="C104" s="173">
        <v>71.5</v>
      </c>
      <c r="D104" s="173">
        <v>16</v>
      </c>
      <c r="E104" s="173">
        <v>6</v>
      </c>
      <c r="F104" s="174">
        <v>2850</v>
      </c>
      <c r="G104" s="175"/>
      <c r="H104" s="175"/>
      <c r="I104" s="175"/>
      <c r="J104" s="175"/>
      <c r="K104" s="176"/>
      <c r="L104" s="176"/>
      <c r="M104" s="176"/>
      <c r="N104" s="176"/>
      <c r="O104" s="166">
        <f t="shared" si="8"/>
        <v>0.24243648000000001</v>
      </c>
      <c r="P104" s="167">
        <f t="shared" si="9"/>
        <v>2850</v>
      </c>
      <c r="Q104" s="177">
        <f t="shared" si="14"/>
        <v>2850</v>
      </c>
      <c r="R104" s="169">
        <f t="shared" si="10"/>
        <v>2850</v>
      </c>
      <c r="S104" s="169">
        <f t="shared" si="10"/>
        <v>2850</v>
      </c>
      <c r="T104" s="150">
        <f t="shared" si="10"/>
        <v>2850</v>
      </c>
      <c r="U104" s="170">
        <f t="shared" si="11"/>
        <v>0</v>
      </c>
      <c r="V104" s="171">
        <f t="shared" si="12"/>
        <v>0</v>
      </c>
      <c r="W104" s="46">
        <f t="shared" si="13"/>
        <v>11755.656574456121</v>
      </c>
      <c r="Y104" s="1" t="s">
        <v>46</v>
      </c>
    </row>
    <row r="105" spans="1:25" ht="14.4" hidden="1" customHeight="1" x14ac:dyDescent="0.3">
      <c r="A105" s="122" t="s">
        <v>217</v>
      </c>
      <c r="B105" s="172" t="s">
        <v>0</v>
      </c>
      <c r="C105" s="173">
        <v>66</v>
      </c>
      <c r="D105" s="173">
        <v>30</v>
      </c>
      <c r="E105" s="173">
        <v>23</v>
      </c>
      <c r="F105" s="174">
        <v>20890</v>
      </c>
      <c r="G105" s="175"/>
      <c r="H105" s="175"/>
      <c r="I105" s="175"/>
      <c r="J105" s="175"/>
      <c r="K105" s="176"/>
      <c r="L105" s="176"/>
      <c r="M105" s="176"/>
      <c r="N105" s="176"/>
      <c r="O105" s="166">
        <f t="shared" si="8"/>
        <v>1.6084727999999999</v>
      </c>
      <c r="P105" s="167">
        <f t="shared" si="9"/>
        <v>20890</v>
      </c>
      <c r="Q105" s="177">
        <f t="shared" si="14"/>
        <v>20890</v>
      </c>
      <c r="R105" s="169">
        <f t="shared" si="10"/>
        <v>20890</v>
      </c>
      <c r="S105" s="169">
        <f t="shared" si="10"/>
        <v>20890</v>
      </c>
      <c r="T105" s="150">
        <f t="shared" si="10"/>
        <v>20890</v>
      </c>
      <c r="U105" s="170">
        <f t="shared" si="11"/>
        <v>0</v>
      </c>
      <c r="V105" s="171">
        <f t="shared" si="12"/>
        <v>0</v>
      </c>
      <c r="W105" s="46">
        <f t="shared" si="13"/>
        <v>12987.47482705334</v>
      </c>
      <c r="Y105" s="1" t="s">
        <v>44</v>
      </c>
    </row>
    <row r="106" spans="1:25" ht="14.4" hidden="1" customHeight="1" x14ac:dyDescent="0.3">
      <c r="A106" s="122" t="s">
        <v>92</v>
      </c>
      <c r="B106" s="172" t="s">
        <v>0</v>
      </c>
      <c r="C106" s="173">
        <v>128</v>
      </c>
      <c r="D106" s="173">
        <v>30</v>
      </c>
      <c r="E106" s="173">
        <v>9</v>
      </c>
      <c r="F106" s="174">
        <v>24000</v>
      </c>
      <c r="G106" s="175"/>
      <c r="H106" s="175"/>
      <c r="I106" s="175"/>
      <c r="J106" s="175"/>
      <c r="K106" s="176"/>
      <c r="L106" s="176"/>
      <c r="M106" s="176"/>
      <c r="N106" s="176"/>
      <c r="O106" s="166">
        <f t="shared" si="8"/>
        <v>1.2206592000000001</v>
      </c>
      <c r="P106" s="167">
        <f t="shared" si="9"/>
        <v>24000</v>
      </c>
      <c r="Q106" s="177">
        <f t="shared" si="14"/>
        <v>24000</v>
      </c>
      <c r="R106" s="169">
        <f t="shared" si="10"/>
        <v>24000</v>
      </c>
      <c r="S106" s="169">
        <f t="shared" si="10"/>
        <v>24000</v>
      </c>
      <c r="T106" s="150">
        <f t="shared" si="10"/>
        <v>24000</v>
      </c>
      <c r="U106" s="170">
        <f t="shared" si="11"/>
        <v>0</v>
      </c>
      <c r="V106" s="171">
        <f t="shared" si="12"/>
        <v>0</v>
      </c>
      <c r="W106" s="46">
        <f t="shared" si="13"/>
        <v>19661.507487102052</v>
      </c>
      <c r="Y106" s="1" t="s">
        <v>46</v>
      </c>
    </row>
    <row r="107" spans="1:25" ht="14.4" hidden="1" customHeight="1" x14ac:dyDescent="0.3">
      <c r="A107" s="122" t="s">
        <v>216</v>
      </c>
      <c r="B107" s="172" t="s">
        <v>0</v>
      </c>
      <c r="C107" s="173">
        <v>98</v>
      </c>
      <c r="D107" s="173">
        <v>29</v>
      </c>
      <c r="E107" s="173">
        <v>8</v>
      </c>
      <c r="F107" s="174">
        <v>6800</v>
      </c>
      <c r="G107" s="175"/>
      <c r="H107" s="175"/>
      <c r="I107" s="175"/>
      <c r="J107" s="175"/>
      <c r="K107" s="176"/>
      <c r="L107" s="176"/>
      <c r="M107" s="176"/>
      <c r="N107" s="176"/>
      <c r="O107" s="166">
        <f t="shared" si="8"/>
        <v>0.80303552</v>
      </c>
      <c r="P107" s="167">
        <f t="shared" si="9"/>
        <v>6800</v>
      </c>
      <c r="Q107" s="177">
        <f t="shared" si="14"/>
        <v>6800</v>
      </c>
      <c r="R107" s="169">
        <f t="shared" si="10"/>
        <v>6800</v>
      </c>
      <c r="S107" s="169">
        <f t="shared" si="10"/>
        <v>6800</v>
      </c>
      <c r="T107" s="150">
        <f t="shared" si="10"/>
        <v>6800</v>
      </c>
      <c r="U107" s="170">
        <f t="shared" si="11"/>
        <v>0</v>
      </c>
      <c r="V107" s="171">
        <f t="shared" si="12"/>
        <v>0</v>
      </c>
      <c r="W107" s="46">
        <f t="shared" si="13"/>
        <v>8467.8695159088347</v>
      </c>
      <c r="Y107" s="1" t="s">
        <v>44</v>
      </c>
    </row>
    <row r="108" spans="1:25" hidden="1" x14ac:dyDescent="0.3">
      <c r="A108" s="122" t="s">
        <v>215</v>
      </c>
      <c r="B108" s="172" t="s">
        <v>0</v>
      </c>
      <c r="C108" s="173">
        <v>67</v>
      </c>
      <c r="D108" s="173">
        <v>19</v>
      </c>
      <c r="E108" s="173">
        <v>10</v>
      </c>
      <c r="F108" s="174">
        <v>4300</v>
      </c>
      <c r="G108" s="175"/>
      <c r="H108" s="175"/>
      <c r="I108" s="175"/>
      <c r="J108" s="175"/>
      <c r="K108" s="176"/>
      <c r="L108" s="176"/>
      <c r="M108" s="176"/>
      <c r="N108" s="176"/>
      <c r="O108" s="166">
        <f t="shared" si="8"/>
        <v>0.44962360000000001</v>
      </c>
      <c r="P108" s="167">
        <f t="shared" si="9"/>
        <v>4300</v>
      </c>
      <c r="Q108" s="177">
        <f t="shared" si="14"/>
        <v>4300</v>
      </c>
      <c r="R108" s="169">
        <f t="shared" si="10"/>
        <v>4300</v>
      </c>
      <c r="S108" s="169">
        <f t="shared" si="10"/>
        <v>4300</v>
      </c>
      <c r="T108" s="150">
        <f t="shared" si="10"/>
        <v>4300</v>
      </c>
      <c r="U108" s="170">
        <f t="shared" si="11"/>
        <v>0</v>
      </c>
      <c r="V108" s="171">
        <f t="shared" si="12"/>
        <v>0</v>
      </c>
      <c r="W108" s="46">
        <f t="shared" si="13"/>
        <v>9563.5549379525455</v>
      </c>
      <c r="Y108" s="1" t="s">
        <v>46</v>
      </c>
    </row>
    <row r="109" spans="1:25" ht="14.4" hidden="1" customHeight="1" x14ac:dyDescent="0.3">
      <c r="A109" s="117" t="s">
        <v>48</v>
      </c>
      <c r="B109" s="172" t="s">
        <v>0</v>
      </c>
      <c r="C109" s="173">
        <v>84</v>
      </c>
      <c r="D109" s="173">
        <v>28</v>
      </c>
      <c r="E109" s="173">
        <v>19</v>
      </c>
      <c r="F109" s="208">
        <v>22300</v>
      </c>
      <c r="G109" s="175"/>
      <c r="H109" s="175"/>
      <c r="I109" s="175"/>
      <c r="J109" s="175"/>
      <c r="K109" s="176"/>
      <c r="L109" s="176"/>
      <c r="M109" s="176"/>
      <c r="N109" s="176"/>
      <c r="O109" s="166">
        <f t="shared" si="8"/>
        <v>1.57838016</v>
      </c>
      <c r="P109" s="167">
        <f t="shared" si="9"/>
        <v>22300</v>
      </c>
      <c r="Q109" s="177">
        <f t="shared" si="14"/>
        <v>22300</v>
      </c>
      <c r="R109" s="169">
        <f t="shared" si="10"/>
        <v>22300</v>
      </c>
      <c r="S109" s="169">
        <f t="shared" si="10"/>
        <v>22300</v>
      </c>
      <c r="T109" s="150">
        <f t="shared" si="10"/>
        <v>22300</v>
      </c>
      <c r="U109" s="170">
        <f t="shared" si="11"/>
        <v>0</v>
      </c>
      <c r="V109" s="171">
        <f t="shared" si="12"/>
        <v>0</v>
      </c>
      <c r="W109" s="46">
        <f t="shared" si="13"/>
        <v>14128.40870985099</v>
      </c>
      <c r="Y109" s="1" t="s">
        <v>46</v>
      </c>
    </row>
    <row r="110" spans="1:25" hidden="1" x14ac:dyDescent="0.3">
      <c r="A110" s="123" t="s">
        <v>91</v>
      </c>
      <c r="B110" s="172" t="s">
        <v>0</v>
      </c>
      <c r="C110" s="173">
        <v>143</v>
      </c>
      <c r="D110" s="173">
        <v>28</v>
      </c>
      <c r="E110" s="173">
        <v>7</v>
      </c>
      <c r="F110" s="174">
        <v>10500</v>
      </c>
      <c r="G110" s="175"/>
      <c r="H110" s="175"/>
      <c r="I110" s="175"/>
      <c r="J110" s="175"/>
      <c r="K110" s="176"/>
      <c r="L110" s="176"/>
      <c r="M110" s="176"/>
      <c r="N110" s="176"/>
      <c r="O110" s="166">
        <f t="shared" si="8"/>
        <v>0.98994895999999999</v>
      </c>
      <c r="P110" s="167">
        <f t="shared" si="9"/>
        <v>10500</v>
      </c>
      <c r="Q110" s="177">
        <f t="shared" si="14"/>
        <v>10500</v>
      </c>
      <c r="R110" s="169">
        <f t="shared" si="10"/>
        <v>10500</v>
      </c>
      <c r="S110" s="169">
        <f t="shared" si="10"/>
        <v>10500</v>
      </c>
      <c r="T110" s="150">
        <f t="shared" si="10"/>
        <v>10500</v>
      </c>
      <c r="U110" s="170">
        <f t="shared" si="11"/>
        <v>0</v>
      </c>
      <c r="V110" s="171">
        <f t="shared" si="12"/>
        <v>0</v>
      </c>
      <c r="W110" s="46">
        <f t="shared" si="13"/>
        <v>10606.607435599508</v>
      </c>
      <c r="Y110" s="1" t="s">
        <v>44</v>
      </c>
    </row>
    <row r="111" spans="1:25" hidden="1" x14ac:dyDescent="0.3">
      <c r="A111" s="122" t="s">
        <v>214</v>
      </c>
      <c r="B111" s="172" t="s">
        <v>0</v>
      </c>
      <c r="C111" s="173">
        <v>185</v>
      </c>
      <c r="D111" s="173">
        <v>32</v>
      </c>
      <c r="E111" s="173">
        <v>8</v>
      </c>
      <c r="F111" s="174">
        <v>18850</v>
      </c>
      <c r="G111" s="175"/>
      <c r="H111" s="175"/>
      <c r="I111" s="175"/>
      <c r="J111" s="175"/>
      <c r="K111" s="176"/>
      <c r="L111" s="176"/>
      <c r="M111" s="176"/>
      <c r="N111" s="176"/>
      <c r="O111" s="166">
        <f t="shared" si="8"/>
        <v>1.6727551999999999</v>
      </c>
      <c r="P111" s="167">
        <f t="shared" si="9"/>
        <v>18850</v>
      </c>
      <c r="Q111" s="177">
        <f t="shared" si="14"/>
        <v>18850</v>
      </c>
      <c r="R111" s="169">
        <f t="shared" si="10"/>
        <v>18850</v>
      </c>
      <c r="S111" s="169">
        <f t="shared" si="10"/>
        <v>18850</v>
      </c>
      <c r="T111" s="150">
        <f t="shared" si="10"/>
        <v>18850</v>
      </c>
      <c r="U111" s="170">
        <f t="shared" si="11"/>
        <v>0</v>
      </c>
      <c r="V111" s="171">
        <f t="shared" si="12"/>
        <v>0</v>
      </c>
      <c r="W111" s="46">
        <f t="shared" si="13"/>
        <v>11268.833598604268</v>
      </c>
      <c r="Y111" s="1" t="s">
        <v>46</v>
      </c>
    </row>
    <row r="112" spans="1:25" hidden="1" x14ac:dyDescent="0.3">
      <c r="A112" s="122" t="s">
        <v>213</v>
      </c>
      <c r="B112" s="172" t="s">
        <v>0</v>
      </c>
      <c r="C112" s="173">
        <v>87</v>
      </c>
      <c r="D112" s="173">
        <v>20</v>
      </c>
      <c r="E112" s="173">
        <v>9</v>
      </c>
      <c r="F112" s="174">
        <v>5890</v>
      </c>
      <c r="G112" s="175"/>
      <c r="H112" s="175"/>
      <c r="I112" s="175"/>
      <c r="J112" s="175"/>
      <c r="K112" s="176"/>
      <c r="L112" s="176"/>
      <c r="M112" s="176"/>
      <c r="N112" s="176"/>
      <c r="O112" s="166">
        <f t="shared" si="8"/>
        <v>0.55311120000000003</v>
      </c>
      <c r="P112" s="167">
        <f t="shared" si="9"/>
        <v>5890</v>
      </c>
      <c r="Q112" s="177">
        <f t="shared" si="14"/>
        <v>5890</v>
      </c>
      <c r="R112" s="169">
        <f t="shared" si="10"/>
        <v>5890</v>
      </c>
      <c r="S112" s="169">
        <f t="shared" si="10"/>
        <v>5890</v>
      </c>
      <c r="T112" s="150">
        <f t="shared" si="10"/>
        <v>5890</v>
      </c>
      <c r="U112" s="170">
        <f t="shared" si="11"/>
        <v>0</v>
      </c>
      <c r="V112" s="171">
        <f t="shared" si="12"/>
        <v>0</v>
      </c>
      <c r="W112" s="46">
        <f t="shared" si="13"/>
        <v>10648.853250485616</v>
      </c>
      <c r="Y112" s="1" t="s">
        <v>44</v>
      </c>
    </row>
    <row r="113" spans="1:25" ht="14.4" hidden="1" customHeight="1" x14ac:dyDescent="0.3">
      <c r="A113" s="122" t="s">
        <v>212</v>
      </c>
      <c r="B113" s="172" t="s">
        <v>0</v>
      </c>
      <c r="C113" s="173">
        <v>159</v>
      </c>
      <c r="D113" s="173">
        <v>30</v>
      </c>
      <c r="E113" s="173">
        <v>10</v>
      </c>
      <c r="F113" s="174">
        <v>24450</v>
      </c>
      <c r="G113" s="175"/>
      <c r="H113" s="175"/>
      <c r="I113" s="175"/>
      <c r="J113" s="175"/>
      <c r="K113" s="176"/>
      <c r="L113" s="176"/>
      <c r="M113" s="176"/>
      <c r="N113" s="176"/>
      <c r="O113" s="166">
        <f t="shared" si="8"/>
        <v>1.6847639999999999</v>
      </c>
      <c r="P113" s="167">
        <f t="shared" si="9"/>
        <v>24450</v>
      </c>
      <c r="Q113" s="177">
        <f t="shared" si="14"/>
        <v>24450</v>
      </c>
      <c r="R113" s="169">
        <f t="shared" si="10"/>
        <v>24450</v>
      </c>
      <c r="S113" s="169">
        <f t="shared" si="10"/>
        <v>24450</v>
      </c>
      <c r="T113" s="150">
        <f t="shared" si="10"/>
        <v>24450</v>
      </c>
      <c r="U113" s="170">
        <f t="shared" si="11"/>
        <v>0</v>
      </c>
      <c r="V113" s="171">
        <f t="shared" si="12"/>
        <v>0</v>
      </c>
      <c r="W113" s="46">
        <f t="shared" si="13"/>
        <v>14512.41835651759</v>
      </c>
      <c r="Y113" s="1" t="s">
        <v>44</v>
      </c>
    </row>
    <row r="114" spans="1:25" hidden="1" x14ac:dyDescent="0.3">
      <c r="A114" s="122" t="s">
        <v>211</v>
      </c>
      <c r="B114" s="172" t="s">
        <v>0</v>
      </c>
      <c r="C114" s="173">
        <v>84</v>
      </c>
      <c r="D114" s="173">
        <v>29</v>
      </c>
      <c r="E114" s="173">
        <v>10</v>
      </c>
      <c r="F114" s="174">
        <v>10850</v>
      </c>
      <c r="G114" s="175"/>
      <c r="H114" s="175"/>
      <c r="I114" s="175"/>
      <c r="J114" s="175"/>
      <c r="K114" s="176"/>
      <c r="L114" s="176"/>
      <c r="M114" s="176"/>
      <c r="N114" s="176"/>
      <c r="O114" s="166">
        <f t="shared" si="8"/>
        <v>0.86039520000000003</v>
      </c>
      <c r="P114" s="167">
        <f t="shared" si="9"/>
        <v>10850</v>
      </c>
      <c r="Q114" s="177">
        <f t="shared" si="14"/>
        <v>10850</v>
      </c>
      <c r="R114" s="169">
        <f t="shared" si="10"/>
        <v>10850</v>
      </c>
      <c r="S114" s="169">
        <f t="shared" si="10"/>
        <v>10850</v>
      </c>
      <c r="T114" s="150">
        <f t="shared" si="10"/>
        <v>10850</v>
      </c>
      <c r="U114" s="170">
        <f t="shared" si="11"/>
        <v>0</v>
      </c>
      <c r="V114" s="171">
        <f t="shared" si="12"/>
        <v>0</v>
      </c>
      <c r="W114" s="46">
        <f t="shared" si="13"/>
        <v>12610.484112417178</v>
      </c>
      <c r="Y114" s="1" t="s">
        <v>46</v>
      </c>
    </row>
    <row r="115" spans="1:25" ht="14.4" hidden="1" customHeight="1" x14ac:dyDescent="0.3">
      <c r="A115" s="123" t="s">
        <v>90</v>
      </c>
      <c r="B115" s="172" t="s">
        <v>0</v>
      </c>
      <c r="C115" s="173">
        <v>165</v>
      </c>
      <c r="D115" s="173">
        <v>36</v>
      </c>
      <c r="E115" s="173">
        <v>9</v>
      </c>
      <c r="F115" s="174">
        <v>24450</v>
      </c>
      <c r="G115" s="175"/>
      <c r="H115" s="175"/>
      <c r="I115" s="175"/>
      <c r="J115" s="175"/>
      <c r="K115" s="176"/>
      <c r="L115" s="176"/>
      <c r="M115" s="176"/>
      <c r="N115" s="176"/>
      <c r="O115" s="166">
        <f t="shared" si="8"/>
        <v>1.8882072000000001</v>
      </c>
      <c r="P115" s="167">
        <f t="shared" si="9"/>
        <v>24450</v>
      </c>
      <c r="Q115" s="177">
        <f t="shared" si="14"/>
        <v>24450</v>
      </c>
      <c r="R115" s="169">
        <f t="shared" si="10"/>
        <v>24450</v>
      </c>
      <c r="S115" s="169">
        <f t="shared" si="10"/>
        <v>24450</v>
      </c>
      <c r="T115" s="150">
        <f t="shared" si="10"/>
        <v>24450</v>
      </c>
      <c r="U115" s="170">
        <f t="shared" si="11"/>
        <v>0</v>
      </c>
      <c r="V115" s="171">
        <f t="shared" si="12"/>
        <v>0</v>
      </c>
      <c r="W115" s="46">
        <f t="shared" si="13"/>
        <v>12948.790789485391</v>
      </c>
      <c r="Y115" s="1" t="s">
        <v>44</v>
      </c>
    </row>
    <row r="116" spans="1:25" ht="14.4" hidden="1" customHeight="1" x14ac:dyDescent="0.3">
      <c r="A116" s="122" t="s">
        <v>210</v>
      </c>
      <c r="B116" s="172" t="s">
        <v>0</v>
      </c>
      <c r="C116" s="173">
        <v>121</v>
      </c>
      <c r="D116" s="173">
        <v>45</v>
      </c>
      <c r="E116" s="173">
        <v>6</v>
      </c>
      <c r="F116" s="174">
        <v>9850</v>
      </c>
      <c r="G116" s="175"/>
      <c r="H116" s="175"/>
      <c r="I116" s="175"/>
      <c r="J116" s="175"/>
      <c r="K116" s="176"/>
      <c r="L116" s="176"/>
      <c r="M116" s="176"/>
      <c r="N116" s="176"/>
      <c r="O116" s="166">
        <f t="shared" si="8"/>
        <v>1.1539043999999998</v>
      </c>
      <c r="P116" s="167">
        <f t="shared" si="9"/>
        <v>9850</v>
      </c>
      <c r="Q116" s="177">
        <f t="shared" si="14"/>
        <v>9850</v>
      </c>
      <c r="R116" s="169">
        <f t="shared" si="10"/>
        <v>9850</v>
      </c>
      <c r="S116" s="169">
        <f t="shared" si="10"/>
        <v>9850</v>
      </c>
      <c r="T116" s="150">
        <f t="shared" si="10"/>
        <v>9850</v>
      </c>
      <c r="U116" s="170">
        <f t="shared" si="11"/>
        <v>0</v>
      </c>
      <c r="V116" s="171">
        <f t="shared" si="12"/>
        <v>0</v>
      </c>
      <c r="W116" s="46">
        <f t="shared" si="13"/>
        <v>8536.2357574856305</v>
      </c>
      <c r="Y116" s="1" t="s">
        <v>46</v>
      </c>
    </row>
    <row r="117" spans="1:25" ht="14.4" hidden="1" customHeight="1" x14ac:dyDescent="0.3">
      <c r="A117" s="122" t="s">
        <v>209</v>
      </c>
      <c r="B117" s="172" t="s">
        <v>0</v>
      </c>
      <c r="C117" s="173">
        <v>74</v>
      </c>
      <c r="D117" s="173">
        <v>17</v>
      </c>
      <c r="E117" s="173">
        <v>5</v>
      </c>
      <c r="F117" s="174">
        <v>2350</v>
      </c>
      <c r="G117" s="175"/>
      <c r="H117" s="175"/>
      <c r="I117" s="175"/>
      <c r="J117" s="175"/>
      <c r="K117" s="176"/>
      <c r="L117" s="176"/>
      <c r="M117" s="176"/>
      <c r="N117" s="176"/>
      <c r="O117" s="166">
        <f t="shared" si="8"/>
        <v>0.22216279999999999</v>
      </c>
      <c r="P117" s="167">
        <f t="shared" si="9"/>
        <v>2350</v>
      </c>
      <c r="Q117" s="177">
        <f t="shared" si="14"/>
        <v>2350</v>
      </c>
      <c r="R117" s="169">
        <f t="shared" si="10"/>
        <v>2350</v>
      </c>
      <c r="S117" s="169">
        <f t="shared" si="10"/>
        <v>2350</v>
      </c>
      <c r="T117" s="150">
        <f t="shared" si="10"/>
        <v>2350</v>
      </c>
      <c r="U117" s="170">
        <f t="shared" si="11"/>
        <v>0</v>
      </c>
      <c r="V117" s="171">
        <f t="shared" si="12"/>
        <v>0</v>
      </c>
      <c r="W117" s="46">
        <f t="shared" si="13"/>
        <v>10577.828511343934</v>
      </c>
      <c r="Y117" s="1" t="s">
        <v>44</v>
      </c>
    </row>
    <row r="118" spans="1:25" ht="14.4" hidden="1" customHeight="1" x14ac:dyDescent="0.3">
      <c r="A118" s="122" t="s">
        <v>208</v>
      </c>
      <c r="B118" s="172" t="s">
        <v>0</v>
      </c>
      <c r="C118" s="173">
        <v>75</v>
      </c>
      <c r="D118" s="173">
        <v>36</v>
      </c>
      <c r="E118" s="173">
        <v>5</v>
      </c>
      <c r="F118" s="174">
        <v>3725</v>
      </c>
      <c r="G118" s="175"/>
      <c r="H118" s="175"/>
      <c r="I118" s="175"/>
      <c r="J118" s="175"/>
      <c r="K118" s="176"/>
      <c r="L118" s="176"/>
      <c r="M118" s="176"/>
      <c r="N118" s="176"/>
      <c r="O118" s="166">
        <f t="shared" si="8"/>
        <v>0.47682000000000002</v>
      </c>
      <c r="P118" s="167">
        <f t="shared" si="9"/>
        <v>3725</v>
      </c>
      <c r="Q118" s="177">
        <f t="shared" si="14"/>
        <v>3725</v>
      </c>
      <c r="R118" s="169">
        <f t="shared" si="10"/>
        <v>3725</v>
      </c>
      <c r="S118" s="169">
        <f t="shared" si="10"/>
        <v>3725</v>
      </c>
      <c r="T118" s="150">
        <f t="shared" si="10"/>
        <v>3725</v>
      </c>
      <c r="U118" s="170">
        <f t="shared" si="11"/>
        <v>0</v>
      </c>
      <c r="V118" s="171">
        <f t="shared" si="12"/>
        <v>0</v>
      </c>
      <c r="W118" s="46">
        <f t="shared" si="13"/>
        <v>7812.1723082085482</v>
      </c>
      <c r="Y118" s="1" t="s">
        <v>46</v>
      </c>
    </row>
    <row r="119" spans="1:25" ht="14.4" hidden="1" customHeight="1" x14ac:dyDescent="0.3">
      <c r="A119" s="122" t="s">
        <v>207</v>
      </c>
      <c r="B119" s="172" t="s">
        <v>0</v>
      </c>
      <c r="C119" s="173">
        <v>68</v>
      </c>
      <c r="D119" s="173">
        <v>37</v>
      </c>
      <c r="E119" s="173">
        <v>6</v>
      </c>
      <c r="F119" s="174">
        <v>3890</v>
      </c>
      <c r="G119" s="175"/>
      <c r="H119" s="175"/>
      <c r="I119" s="175"/>
      <c r="J119" s="175"/>
      <c r="K119" s="176"/>
      <c r="L119" s="176"/>
      <c r="M119" s="176"/>
      <c r="N119" s="176"/>
      <c r="O119" s="166">
        <f t="shared" si="8"/>
        <v>0.53319072000000001</v>
      </c>
      <c r="P119" s="167">
        <f t="shared" si="9"/>
        <v>3890</v>
      </c>
      <c r="Q119" s="177">
        <f t="shared" si="14"/>
        <v>3890</v>
      </c>
      <c r="R119" s="169">
        <f t="shared" si="10"/>
        <v>3890</v>
      </c>
      <c r="S119" s="169">
        <f t="shared" si="10"/>
        <v>3890</v>
      </c>
      <c r="T119" s="150">
        <f t="shared" si="10"/>
        <v>3890</v>
      </c>
      <c r="U119" s="170">
        <f t="shared" si="11"/>
        <v>0</v>
      </c>
      <c r="V119" s="171">
        <f t="shared" si="12"/>
        <v>0</v>
      </c>
      <c r="W119" s="46">
        <f t="shared" si="13"/>
        <v>7295.7008704127484</v>
      </c>
      <c r="Y119" s="1" t="s">
        <v>44</v>
      </c>
    </row>
    <row r="120" spans="1:25" ht="14.4" hidden="1" customHeight="1" x14ac:dyDescent="0.3">
      <c r="A120" s="122" t="s">
        <v>383</v>
      </c>
      <c r="B120" s="172" t="s">
        <v>0</v>
      </c>
      <c r="C120" s="173">
        <v>119</v>
      </c>
      <c r="D120" s="173">
        <v>30</v>
      </c>
      <c r="E120" s="173">
        <v>6</v>
      </c>
      <c r="F120" s="174">
        <v>6500</v>
      </c>
      <c r="G120" s="175"/>
      <c r="H120" s="175"/>
      <c r="I120" s="175"/>
      <c r="J120" s="175"/>
      <c r="K120" s="176"/>
      <c r="L120" s="176"/>
      <c r="M120" s="176"/>
      <c r="N120" s="176"/>
      <c r="O120" s="166">
        <f t="shared" si="8"/>
        <v>0.75655440000000007</v>
      </c>
      <c r="P120" s="167">
        <f t="shared" si="9"/>
        <v>6500</v>
      </c>
      <c r="Q120" s="177">
        <f t="shared" si="14"/>
        <v>6500</v>
      </c>
      <c r="R120" s="169">
        <f t="shared" si="10"/>
        <v>6500</v>
      </c>
      <c r="S120" s="169">
        <f t="shared" si="10"/>
        <v>6500</v>
      </c>
      <c r="T120" s="150">
        <f t="shared" si="10"/>
        <v>6500</v>
      </c>
      <c r="U120" s="170">
        <f t="shared" si="11"/>
        <v>0</v>
      </c>
      <c r="V120" s="171">
        <f t="shared" si="12"/>
        <v>0</v>
      </c>
      <c r="W120" s="46">
        <f t="shared" si="13"/>
        <v>8591.5831036076179</v>
      </c>
      <c r="Y120" s="1" t="s">
        <v>44</v>
      </c>
    </row>
    <row r="121" spans="1:25" ht="14.4" hidden="1" customHeight="1" x14ac:dyDescent="0.3">
      <c r="A121" s="122" t="s">
        <v>343</v>
      </c>
      <c r="B121" s="172" t="s">
        <v>47</v>
      </c>
      <c r="C121" s="173"/>
      <c r="D121" s="173"/>
      <c r="E121" s="173"/>
      <c r="F121" s="174"/>
      <c r="G121" s="175"/>
      <c r="H121" s="175"/>
      <c r="I121" s="175"/>
      <c r="J121" s="175"/>
      <c r="K121" s="176"/>
      <c r="L121" s="176"/>
      <c r="M121" s="176"/>
      <c r="N121" s="176"/>
      <c r="O121" s="166">
        <f t="shared" si="8"/>
        <v>0</v>
      </c>
      <c r="P121" s="167">
        <f t="shared" si="9"/>
        <v>0</v>
      </c>
      <c r="Q121" s="177">
        <f t="shared" si="14"/>
        <v>0</v>
      </c>
      <c r="R121" s="169">
        <f t="shared" si="10"/>
        <v>0</v>
      </c>
      <c r="S121" s="169">
        <f t="shared" si="10"/>
        <v>0</v>
      </c>
      <c r="T121" s="150">
        <f t="shared" si="10"/>
        <v>0</v>
      </c>
      <c r="U121" s="170">
        <f t="shared" si="11"/>
        <v>0</v>
      </c>
      <c r="V121" s="171" t="e">
        <f t="shared" si="12"/>
        <v>#DIV/0!</v>
      </c>
      <c r="W121" s="46" t="e">
        <f t="shared" si="13"/>
        <v>#DIV/0!</v>
      </c>
      <c r="Y121" s="1" t="s">
        <v>46</v>
      </c>
    </row>
    <row r="122" spans="1:25" ht="14.4" hidden="1" customHeight="1" x14ac:dyDescent="0.3">
      <c r="A122" s="122" t="s">
        <v>205</v>
      </c>
      <c r="B122" s="172" t="s">
        <v>0</v>
      </c>
      <c r="C122" s="173">
        <v>181</v>
      </c>
      <c r="D122" s="173">
        <v>32</v>
      </c>
      <c r="E122" s="173">
        <v>9</v>
      </c>
      <c r="F122" s="174">
        <v>31750</v>
      </c>
      <c r="G122" s="175"/>
      <c r="H122" s="175"/>
      <c r="I122" s="175"/>
      <c r="J122" s="175"/>
      <c r="K122" s="176"/>
      <c r="L122" s="176"/>
      <c r="M122" s="176"/>
      <c r="N122" s="176"/>
      <c r="O122" s="166">
        <f t="shared" si="8"/>
        <v>1.8411609600000001</v>
      </c>
      <c r="P122" s="167">
        <f t="shared" si="9"/>
        <v>31750</v>
      </c>
      <c r="Q122" s="177">
        <f t="shared" si="14"/>
        <v>31750</v>
      </c>
      <c r="R122" s="169">
        <f t="shared" si="10"/>
        <v>31750</v>
      </c>
      <c r="S122" s="169">
        <f t="shared" si="10"/>
        <v>31750</v>
      </c>
      <c r="T122" s="150">
        <f t="shared" si="10"/>
        <v>31750</v>
      </c>
      <c r="U122" s="170">
        <f t="shared" si="11"/>
        <v>0</v>
      </c>
      <c r="V122" s="171">
        <f t="shared" si="12"/>
        <v>0</v>
      </c>
      <c r="W122" s="46">
        <f t="shared" si="13"/>
        <v>17244.554218659949</v>
      </c>
      <c r="Y122" s="1" t="s">
        <v>44</v>
      </c>
    </row>
    <row r="123" spans="1:25" ht="14.4" hidden="1" customHeight="1" x14ac:dyDescent="0.3">
      <c r="A123" s="122" t="s">
        <v>204</v>
      </c>
      <c r="B123" s="172" t="s">
        <v>0</v>
      </c>
      <c r="C123" s="173">
        <v>165</v>
      </c>
      <c r="D123" s="173">
        <v>34</v>
      </c>
      <c r="E123" s="173">
        <v>9</v>
      </c>
      <c r="F123" s="174">
        <v>21800</v>
      </c>
      <c r="G123" s="175"/>
      <c r="H123" s="175"/>
      <c r="I123" s="175"/>
      <c r="J123" s="175"/>
      <c r="K123" s="176"/>
      <c r="L123" s="176"/>
      <c r="M123" s="176"/>
      <c r="N123" s="176"/>
      <c r="O123" s="166">
        <f t="shared" si="8"/>
        <v>1.7833068000000001</v>
      </c>
      <c r="P123" s="167">
        <f t="shared" si="9"/>
        <v>21800</v>
      </c>
      <c r="Q123" s="177">
        <f t="shared" si="14"/>
        <v>21800</v>
      </c>
      <c r="R123" s="169">
        <f t="shared" si="10"/>
        <v>21800</v>
      </c>
      <c r="S123" s="169">
        <f t="shared" si="10"/>
        <v>21800</v>
      </c>
      <c r="T123" s="150">
        <f t="shared" si="10"/>
        <v>21800</v>
      </c>
      <c r="U123" s="170">
        <f t="shared" si="11"/>
        <v>0</v>
      </c>
      <c r="V123" s="171">
        <f t="shared" si="12"/>
        <v>0</v>
      </c>
      <c r="W123" s="46">
        <f t="shared" si="13"/>
        <v>12224.48094741746</v>
      </c>
      <c r="Y123" s="1" t="s">
        <v>44</v>
      </c>
    </row>
    <row r="124" spans="1:25" ht="14.4" hidden="1" customHeight="1" x14ac:dyDescent="0.3">
      <c r="A124" s="122" t="s">
        <v>203</v>
      </c>
      <c r="B124" s="172" t="s">
        <v>0</v>
      </c>
      <c r="C124" s="173">
        <v>144</v>
      </c>
      <c r="D124" s="173">
        <v>31</v>
      </c>
      <c r="E124" s="173">
        <v>5</v>
      </c>
      <c r="F124" s="174">
        <v>7600</v>
      </c>
      <c r="G124" s="175"/>
      <c r="H124" s="175"/>
      <c r="I124" s="175"/>
      <c r="J124" s="175"/>
      <c r="K124" s="176"/>
      <c r="L124" s="176"/>
      <c r="M124" s="176"/>
      <c r="N124" s="176"/>
      <c r="O124" s="166">
        <f t="shared" si="8"/>
        <v>0.7883424</v>
      </c>
      <c r="P124" s="167">
        <f t="shared" si="9"/>
        <v>7600</v>
      </c>
      <c r="Q124" s="177">
        <f t="shared" si="14"/>
        <v>7600</v>
      </c>
      <c r="R124" s="169">
        <f t="shared" si="10"/>
        <v>7600</v>
      </c>
      <c r="S124" s="169">
        <f t="shared" si="10"/>
        <v>7600</v>
      </c>
      <c r="T124" s="150">
        <f t="shared" si="10"/>
        <v>7600</v>
      </c>
      <c r="U124" s="170">
        <f t="shared" si="11"/>
        <v>0</v>
      </c>
      <c r="V124" s="171">
        <f t="shared" si="12"/>
        <v>0</v>
      </c>
      <c r="W124" s="46">
        <f t="shared" si="13"/>
        <v>9640.4810904500373</v>
      </c>
      <c r="Y124" s="1" t="s">
        <v>44</v>
      </c>
    </row>
    <row r="125" spans="1:25" ht="14.4" hidden="1" customHeight="1" x14ac:dyDescent="0.3">
      <c r="A125" s="122" t="s">
        <v>202</v>
      </c>
      <c r="B125" s="172" t="s">
        <v>0</v>
      </c>
      <c r="C125" s="173">
        <v>144</v>
      </c>
      <c r="D125" s="173">
        <v>21</v>
      </c>
      <c r="E125" s="173">
        <v>7</v>
      </c>
      <c r="F125" s="174">
        <v>7510</v>
      </c>
      <c r="G125" s="175"/>
      <c r="H125" s="175"/>
      <c r="I125" s="175"/>
      <c r="J125" s="175"/>
      <c r="K125" s="176"/>
      <c r="L125" s="176"/>
      <c r="M125" s="176"/>
      <c r="N125" s="176"/>
      <c r="O125" s="166">
        <f t="shared" si="8"/>
        <v>0.74765375999999995</v>
      </c>
      <c r="P125" s="167">
        <f t="shared" si="9"/>
        <v>7510</v>
      </c>
      <c r="Q125" s="177">
        <f t="shared" si="14"/>
        <v>7510</v>
      </c>
      <c r="R125" s="169">
        <f t="shared" si="10"/>
        <v>7510</v>
      </c>
      <c r="S125" s="169">
        <f t="shared" si="10"/>
        <v>7510</v>
      </c>
      <c r="T125" s="150">
        <f t="shared" si="10"/>
        <v>7510</v>
      </c>
      <c r="U125" s="170">
        <f t="shared" si="11"/>
        <v>0</v>
      </c>
      <c r="V125" s="171">
        <f t="shared" si="12"/>
        <v>0</v>
      </c>
      <c r="W125" s="46">
        <f t="shared" si="13"/>
        <v>10044.756546131728</v>
      </c>
      <c r="Y125" s="1" t="s">
        <v>44</v>
      </c>
    </row>
    <row r="126" spans="1:25" ht="14.4" hidden="1" customHeight="1" x14ac:dyDescent="0.3">
      <c r="A126" s="122" t="s">
        <v>201</v>
      </c>
      <c r="B126" s="172" t="s">
        <v>0</v>
      </c>
      <c r="C126" s="173">
        <v>158</v>
      </c>
      <c r="D126" s="173">
        <v>31</v>
      </c>
      <c r="E126" s="173">
        <v>9</v>
      </c>
      <c r="F126" s="174">
        <v>18485</v>
      </c>
      <c r="G126" s="175"/>
      <c r="H126" s="175"/>
      <c r="I126" s="175"/>
      <c r="J126" s="175"/>
      <c r="K126" s="176"/>
      <c r="L126" s="176"/>
      <c r="M126" s="176"/>
      <c r="N126" s="176"/>
      <c r="O126" s="166">
        <f t="shared" si="8"/>
        <v>1.5569762400000002</v>
      </c>
      <c r="P126" s="167">
        <f t="shared" si="9"/>
        <v>18485</v>
      </c>
      <c r="Q126" s="177">
        <f t="shared" si="14"/>
        <v>18485</v>
      </c>
      <c r="R126" s="169">
        <f t="shared" si="10"/>
        <v>18485</v>
      </c>
      <c r="S126" s="169">
        <f t="shared" si="10"/>
        <v>18485</v>
      </c>
      <c r="T126" s="150">
        <f t="shared" si="10"/>
        <v>18485</v>
      </c>
      <c r="U126" s="170">
        <f t="shared" si="11"/>
        <v>0</v>
      </c>
      <c r="V126" s="171">
        <f t="shared" si="12"/>
        <v>0</v>
      </c>
      <c r="W126" s="46">
        <f t="shared" si="13"/>
        <v>11872.371282942633</v>
      </c>
      <c r="Y126" s="1" t="s">
        <v>44</v>
      </c>
    </row>
    <row r="127" spans="1:25" ht="14.4" hidden="1" customHeight="1" x14ac:dyDescent="0.3">
      <c r="A127" s="122" t="s">
        <v>200</v>
      </c>
      <c r="B127" s="172" t="s">
        <v>0</v>
      </c>
      <c r="C127" s="173">
        <v>187</v>
      </c>
      <c r="D127" s="173">
        <v>43</v>
      </c>
      <c r="E127" s="173">
        <v>5</v>
      </c>
      <c r="F127" s="174">
        <v>13800</v>
      </c>
      <c r="G127" s="175"/>
      <c r="H127" s="175"/>
      <c r="I127" s="175"/>
      <c r="J127" s="175"/>
      <c r="K127" s="176"/>
      <c r="L127" s="176"/>
      <c r="M127" s="176"/>
      <c r="N127" s="176"/>
      <c r="O127" s="166">
        <f t="shared" si="8"/>
        <v>1.4200405999999999</v>
      </c>
      <c r="P127" s="167">
        <f t="shared" si="9"/>
        <v>13800</v>
      </c>
      <c r="Q127" s="177">
        <f t="shared" si="14"/>
        <v>13800</v>
      </c>
      <c r="R127" s="169">
        <f t="shared" si="10"/>
        <v>13800</v>
      </c>
      <c r="S127" s="169">
        <f t="shared" si="10"/>
        <v>13800</v>
      </c>
      <c r="T127" s="150">
        <f t="shared" si="10"/>
        <v>13800</v>
      </c>
      <c r="U127" s="170">
        <f t="shared" si="11"/>
        <v>0</v>
      </c>
      <c r="V127" s="171">
        <f t="shared" si="12"/>
        <v>0</v>
      </c>
      <c r="W127" s="46">
        <f t="shared" si="13"/>
        <v>9718.0320055637858</v>
      </c>
      <c r="Y127" s="1" t="s">
        <v>46</v>
      </c>
    </row>
    <row r="128" spans="1:25" ht="14.4" hidden="1" customHeight="1" x14ac:dyDescent="0.3">
      <c r="A128" s="122" t="s">
        <v>199</v>
      </c>
      <c r="B128" s="172" t="s">
        <v>47</v>
      </c>
      <c r="C128" s="173"/>
      <c r="D128" s="173"/>
      <c r="E128" s="173"/>
      <c r="F128" s="174"/>
      <c r="G128" s="175"/>
      <c r="H128" s="175"/>
      <c r="I128" s="175"/>
      <c r="J128" s="175"/>
      <c r="K128" s="176"/>
      <c r="L128" s="176"/>
      <c r="M128" s="176"/>
      <c r="N128" s="176"/>
      <c r="O128" s="166">
        <f t="shared" si="8"/>
        <v>0</v>
      </c>
      <c r="P128" s="167">
        <f t="shared" si="9"/>
        <v>0</v>
      </c>
      <c r="Q128" s="177">
        <f t="shared" si="14"/>
        <v>0</v>
      </c>
      <c r="R128" s="169">
        <f t="shared" si="10"/>
        <v>0</v>
      </c>
      <c r="S128" s="169">
        <f t="shared" si="10"/>
        <v>0</v>
      </c>
      <c r="T128" s="150">
        <f t="shared" si="10"/>
        <v>0</v>
      </c>
      <c r="U128" s="170">
        <f t="shared" si="11"/>
        <v>0</v>
      </c>
      <c r="V128" s="171" t="e">
        <f t="shared" si="12"/>
        <v>#DIV/0!</v>
      </c>
      <c r="W128" s="46" t="e">
        <f t="shared" si="13"/>
        <v>#DIV/0!</v>
      </c>
      <c r="Y128" s="1" t="s">
        <v>46</v>
      </c>
    </row>
    <row r="129" spans="1:25" ht="14.4" hidden="1" customHeight="1" x14ac:dyDescent="0.3">
      <c r="A129" s="122" t="s">
        <v>384</v>
      </c>
      <c r="B129" s="172" t="s">
        <v>0</v>
      </c>
      <c r="C129" s="173">
        <v>97</v>
      </c>
      <c r="D129" s="173">
        <v>20</v>
      </c>
      <c r="E129" s="173">
        <v>10</v>
      </c>
      <c r="F129" s="174">
        <v>8895</v>
      </c>
      <c r="G129" s="175"/>
      <c r="H129" s="175"/>
      <c r="I129" s="175"/>
      <c r="J129" s="175"/>
      <c r="K129" s="176"/>
      <c r="L129" s="176"/>
      <c r="M129" s="176"/>
      <c r="N129" s="176"/>
      <c r="O129" s="166">
        <f t="shared" si="8"/>
        <v>0.68520800000000004</v>
      </c>
      <c r="P129" s="167">
        <f t="shared" si="9"/>
        <v>8895</v>
      </c>
      <c r="Q129" s="177">
        <f t="shared" si="14"/>
        <v>8895</v>
      </c>
      <c r="R129" s="169">
        <f t="shared" si="10"/>
        <v>8895</v>
      </c>
      <c r="S129" s="169">
        <f t="shared" si="10"/>
        <v>8895</v>
      </c>
      <c r="T129" s="150">
        <f t="shared" si="10"/>
        <v>8895</v>
      </c>
      <c r="U129" s="170">
        <f t="shared" si="11"/>
        <v>0</v>
      </c>
      <c r="V129" s="171">
        <f t="shared" si="12"/>
        <v>0</v>
      </c>
      <c r="W129" s="46">
        <f t="shared" si="13"/>
        <v>12981.45964437076</v>
      </c>
      <c r="Y129" s="1" t="s">
        <v>44</v>
      </c>
    </row>
    <row r="130" spans="1:25" ht="14.4" hidden="1" customHeight="1" x14ac:dyDescent="0.3">
      <c r="A130" s="123" t="s">
        <v>89</v>
      </c>
      <c r="B130" s="172" t="s">
        <v>0</v>
      </c>
      <c r="C130" s="173">
        <v>69</v>
      </c>
      <c r="D130" s="173">
        <v>35</v>
      </c>
      <c r="E130" s="173">
        <v>8</v>
      </c>
      <c r="F130" s="174">
        <v>9890</v>
      </c>
      <c r="G130" s="175"/>
      <c r="H130" s="175"/>
      <c r="I130" s="175"/>
      <c r="J130" s="175"/>
      <c r="K130" s="176"/>
      <c r="L130" s="176"/>
      <c r="M130" s="176"/>
      <c r="N130" s="176"/>
      <c r="O130" s="166">
        <f t="shared" si="8"/>
        <v>0.68238240000000006</v>
      </c>
      <c r="P130" s="167">
        <f t="shared" si="9"/>
        <v>9890</v>
      </c>
      <c r="Q130" s="177">
        <f t="shared" si="14"/>
        <v>9890</v>
      </c>
      <c r="R130" s="169">
        <f t="shared" si="10"/>
        <v>9890</v>
      </c>
      <c r="S130" s="169">
        <f t="shared" si="10"/>
        <v>9890</v>
      </c>
      <c r="T130" s="150">
        <f t="shared" si="10"/>
        <v>9890</v>
      </c>
      <c r="U130" s="170">
        <f t="shared" si="11"/>
        <v>0</v>
      </c>
      <c r="V130" s="171">
        <f t="shared" si="12"/>
        <v>0</v>
      </c>
      <c r="W130" s="46">
        <f t="shared" si="13"/>
        <v>14493.339804778083</v>
      </c>
      <c r="Y130" s="1" t="s">
        <v>44</v>
      </c>
    </row>
    <row r="131" spans="1:25" ht="14.4" hidden="1" customHeight="1" x14ac:dyDescent="0.3">
      <c r="A131" s="122" t="s">
        <v>197</v>
      </c>
      <c r="B131" s="172" t="s">
        <v>0</v>
      </c>
      <c r="C131" s="173">
        <v>87</v>
      </c>
      <c r="D131" s="173">
        <v>19</v>
      </c>
      <c r="E131" s="173">
        <v>8</v>
      </c>
      <c r="F131" s="174">
        <v>4360</v>
      </c>
      <c r="G131" s="175"/>
      <c r="H131" s="175"/>
      <c r="I131" s="175"/>
      <c r="J131" s="175"/>
      <c r="K131" s="176"/>
      <c r="L131" s="176"/>
      <c r="M131" s="176"/>
      <c r="N131" s="176"/>
      <c r="O131" s="166">
        <f t="shared" si="8"/>
        <v>0.46707167999999999</v>
      </c>
      <c r="P131" s="167">
        <f t="shared" si="9"/>
        <v>4360</v>
      </c>
      <c r="Q131" s="177">
        <f t="shared" si="14"/>
        <v>4360</v>
      </c>
      <c r="R131" s="169">
        <f t="shared" si="10"/>
        <v>4360</v>
      </c>
      <c r="S131" s="169">
        <f t="shared" si="10"/>
        <v>4360</v>
      </c>
      <c r="T131" s="150">
        <f t="shared" si="10"/>
        <v>4360</v>
      </c>
      <c r="U131" s="170">
        <f t="shared" si="11"/>
        <v>0</v>
      </c>
      <c r="V131" s="171">
        <f t="shared" si="12"/>
        <v>0</v>
      </c>
      <c r="W131" s="46">
        <f t="shared" si="13"/>
        <v>9334.7556417892865</v>
      </c>
      <c r="Y131" s="1" t="s">
        <v>44</v>
      </c>
    </row>
    <row r="132" spans="1:25" ht="14.4" hidden="1" customHeight="1" x14ac:dyDescent="0.3">
      <c r="A132" s="122" t="s">
        <v>385</v>
      </c>
      <c r="B132" s="172" t="s">
        <v>0</v>
      </c>
      <c r="C132" s="173">
        <v>19.5</v>
      </c>
      <c r="D132" s="173">
        <v>19</v>
      </c>
      <c r="E132" s="173">
        <v>7</v>
      </c>
      <c r="F132" s="174">
        <v>900</v>
      </c>
      <c r="G132" s="175"/>
      <c r="H132" s="175"/>
      <c r="I132" s="175"/>
      <c r="J132" s="175"/>
      <c r="K132" s="176"/>
      <c r="L132" s="176"/>
      <c r="M132" s="176"/>
      <c r="N132" s="176"/>
      <c r="O132" s="166">
        <f t="shared" ref="O132:O195" si="15">((IFERROR((C132*D132*E132),0)+IFERROR((G132*H132*I132),0)+IFERROR((K132*L132*M132),0))/1000000)*35.32</f>
        <v>9.160241999999999E-2</v>
      </c>
      <c r="P132" s="167">
        <f t="shared" ref="P132:P195" si="16">F132+J132+N132</f>
        <v>900</v>
      </c>
      <c r="Q132" s="177">
        <f t="shared" si="14"/>
        <v>900</v>
      </c>
      <c r="R132" s="169">
        <f t="shared" ref="R132:T195" si="17">MAX(Q132,O132)</f>
        <v>900</v>
      </c>
      <c r="S132" s="169">
        <f t="shared" si="17"/>
        <v>900</v>
      </c>
      <c r="T132" s="150">
        <f t="shared" si="17"/>
        <v>900</v>
      </c>
      <c r="U132" s="170">
        <f t="shared" ref="U132:U195" si="18">T132-Q132</f>
        <v>0</v>
      </c>
      <c r="V132" s="171">
        <f t="shared" ref="V132:V195" si="19">U132/T132</f>
        <v>0</v>
      </c>
      <c r="W132" s="46">
        <f t="shared" ref="W132:W195" si="20">R132/O132</f>
        <v>9825.0679403448084</v>
      </c>
      <c r="Y132" s="1" t="s">
        <v>46</v>
      </c>
    </row>
    <row r="133" spans="1:25" ht="14.4" hidden="1" customHeight="1" x14ac:dyDescent="0.3">
      <c r="A133" s="122" t="s">
        <v>195</v>
      </c>
      <c r="B133" s="172" t="s">
        <v>0</v>
      </c>
      <c r="C133" s="173">
        <v>69</v>
      </c>
      <c r="D133" s="173">
        <v>19</v>
      </c>
      <c r="E133" s="173">
        <v>9</v>
      </c>
      <c r="F133" s="174">
        <v>3890</v>
      </c>
      <c r="G133" s="175"/>
      <c r="H133" s="175"/>
      <c r="I133" s="175"/>
      <c r="J133" s="175"/>
      <c r="K133" s="176"/>
      <c r="L133" s="176"/>
      <c r="M133" s="176"/>
      <c r="N133" s="176"/>
      <c r="O133" s="166">
        <f t="shared" si="15"/>
        <v>0.41674068000000003</v>
      </c>
      <c r="P133" s="167">
        <f t="shared" si="16"/>
        <v>3890</v>
      </c>
      <c r="Q133" s="177">
        <f t="shared" si="14"/>
        <v>3890</v>
      </c>
      <c r="R133" s="169">
        <f t="shared" si="17"/>
        <v>3890</v>
      </c>
      <c r="S133" s="169">
        <f t="shared" si="17"/>
        <v>3890</v>
      </c>
      <c r="T133" s="150">
        <f t="shared" si="17"/>
        <v>3890</v>
      </c>
      <c r="U133" s="170">
        <f t="shared" si="18"/>
        <v>0</v>
      </c>
      <c r="V133" s="171">
        <f t="shared" si="19"/>
        <v>0</v>
      </c>
      <c r="W133" s="46">
        <f t="shared" si="20"/>
        <v>9334.3419221756794</v>
      </c>
      <c r="Y133" s="1" t="s">
        <v>46</v>
      </c>
    </row>
    <row r="134" spans="1:25" ht="14.4" hidden="1" customHeight="1" x14ac:dyDescent="0.3">
      <c r="A134" s="120" t="s">
        <v>64</v>
      </c>
      <c r="B134" s="172" t="s">
        <v>0</v>
      </c>
      <c r="C134" s="173"/>
      <c r="D134" s="173"/>
      <c r="E134" s="173"/>
      <c r="F134" s="208">
        <v>1260</v>
      </c>
      <c r="G134" s="175"/>
      <c r="H134" s="175"/>
      <c r="I134" s="175"/>
      <c r="J134" s="175"/>
      <c r="K134" s="176"/>
      <c r="L134" s="176"/>
      <c r="M134" s="176"/>
      <c r="N134" s="176"/>
      <c r="O134" s="166">
        <f t="shared" si="15"/>
        <v>0</v>
      </c>
      <c r="P134" s="167">
        <f t="shared" si="16"/>
        <v>1260</v>
      </c>
      <c r="Q134" s="177">
        <f t="shared" si="14"/>
        <v>1260</v>
      </c>
      <c r="R134" s="169">
        <f t="shared" si="17"/>
        <v>1260</v>
      </c>
      <c r="S134" s="169">
        <f t="shared" si="17"/>
        <v>1260</v>
      </c>
      <c r="T134" s="150">
        <f t="shared" si="17"/>
        <v>1260</v>
      </c>
      <c r="U134" s="170">
        <f t="shared" si="18"/>
        <v>0</v>
      </c>
      <c r="V134" s="171">
        <f t="shared" si="19"/>
        <v>0</v>
      </c>
      <c r="W134" s="46" t="e">
        <f t="shared" si="20"/>
        <v>#DIV/0!</v>
      </c>
      <c r="Y134" s="1" t="s">
        <v>46</v>
      </c>
    </row>
    <row r="135" spans="1:25" ht="14.4" hidden="1" customHeight="1" x14ac:dyDescent="0.3">
      <c r="A135" s="122" t="s">
        <v>194</v>
      </c>
      <c r="B135" s="172" t="s">
        <v>0</v>
      </c>
      <c r="C135" s="173">
        <v>82</v>
      </c>
      <c r="D135" s="173">
        <v>20</v>
      </c>
      <c r="E135" s="173">
        <v>9</v>
      </c>
      <c r="F135" s="174">
        <v>6800</v>
      </c>
      <c r="G135" s="175"/>
      <c r="H135" s="175"/>
      <c r="I135" s="175"/>
      <c r="J135" s="175"/>
      <c r="K135" s="176"/>
      <c r="L135" s="176"/>
      <c r="M135" s="176"/>
      <c r="N135" s="176"/>
      <c r="O135" s="166">
        <f t="shared" si="15"/>
        <v>0.52132319999999999</v>
      </c>
      <c r="P135" s="167">
        <f t="shared" si="16"/>
        <v>6800</v>
      </c>
      <c r="Q135" s="177">
        <f t="shared" si="14"/>
        <v>6800</v>
      </c>
      <c r="R135" s="169">
        <f t="shared" si="17"/>
        <v>6800</v>
      </c>
      <c r="S135" s="169">
        <f t="shared" si="17"/>
        <v>6800</v>
      </c>
      <c r="T135" s="150">
        <f t="shared" si="17"/>
        <v>6800</v>
      </c>
      <c r="U135" s="170">
        <f t="shared" si="18"/>
        <v>0</v>
      </c>
      <c r="V135" s="171">
        <f t="shared" si="19"/>
        <v>0</v>
      </c>
      <c r="W135" s="46">
        <f t="shared" si="20"/>
        <v>13043.731796321361</v>
      </c>
      <c r="Y135" s="1" t="s">
        <v>44</v>
      </c>
    </row>
    <row r="136" spans="1:25" ht="14.4" hidden="1" customHeight="1" x14ac:dyDescent="0.3">
      <c r="A136" s="122" t="s">
        <v>342</v>
      </c>
      <c r="B136" s="172" t="s">
        <v>0</v>
      </c>
      <c r="C136" s="173">
        <v>61</v>
      </c>
      <c r="D136" s="173">
        <v>17</v>
      </c>
      <c r="E136" s="173">
        <v>6</v>
      </c>
      <c r="F136" s="174">
        <v>1890</v>
      </c>
      <c r="G136" s="175"/>
      <c r="H136" s="175"/>
      <c r="I136" s="175"/>
      <c r="J136" s="175"/>
      <c r="K136" s="176"/>
      <c r="L136" s="176"/>
      <c r="M136" s="176"/>
      <c r="N136" s="176"/>
      <c r="O136" s="166">
        <f t="shared" si="15"/>
        <v>0.21976104000000002</v>
      </c>
      <c r="P136" s="167">
        <f t="shared" si="16"/>
        <v>1890</v>
      </c>
      <c r="Q136" s="177">
        <f t="shared" si="14"/>
        <v>1890</v>
      </c>
      <c r="R136" s="169">
        <f t="shared" si="17"/>
        <v>1890</v>
      </c>
      <c r="S136" s="169">
        <f t="shared" si="17"/>
        <v>1890</v>
      </c>
      <c r="T136" s="150">
        <f t="shared" si="17"/>
        <v>1890</v>
      </c>
      <c r="U136" s="170">
        <f t="shared" si="18"/>
        <v>0</v>
      </c>
      <c r="V136" s="171">
        <f t="shared" si="19"/>
        <v>0</v>
      </c>
      <c r="W136" s="46">
        <f t="shared" si="20"/>
        <v>8600.2505266629596</v>
      </c>
      <c r="Y136" s="1" t="s">
        <v>46</v>
      </c>
    </row>
    <row r="137" spans="1:25" hidden="1" x14ac:dyDescent="0.3">
      <c r="A137" s="122" t="s">
        <v>193</v>
      </c>
      <c r="B137" s="172" t="s">
        <v>0</v>
      </c>
      <c r="C137" s="173">
        <v>113</v>
      </c>
      <c r="D137" s="173">
        <v>18</v>
      </c>
      <c r="E137" s="173">
        <v>4</v>
      </c>
      <c r="F137" s="174">
        <v>2890</v>
      </c>
      <c r="G137" s="175"/>
      <c r="H137" s="175"/>
      <c r="I137" s="175"/>
      <c r="J137" s="175"/>
      <c r="K137" s="176"/>
      <c r="L137" s="176"/>
      <c r="M137" s="176"/>
      <c r="N137" s="176"/>
      <c r="O137" s="166">
        <f t="shared" si="15"/>
        <v>0.28736351999999998</v>
      </c>
      <c r="P137" s="167">
        <f t="shared" si="16"/>
        <v>2890</v>
      </c>
      <c r="Q137" s="177">
        <f t="shared" si="14"/>
        <v>2890</v>
      </c>
      <c r="R137" s="169">
        <f t="shared" si="17"/>
        <v>2890</v>
      </c>
      <c r="S137" s="169">
        <f t="shared" si="17"/>
        <v>2890</v>
      </c>
      <c r="T137" s="150">
        <f t="shared" si="17"/>
        <v>2890</v>
      </c>
      <c r="U137" s="170">
        <f t="shared" si="18"/>
        <v>0</v>
      </c>
      <c r="V137" s="171">
        <f t="shared" si="19"/>
        <v>0</v>
      </c>
      <c r="W137" s="46">
        <f t="shared" si="20"/>
        <v>10056.948077473438</v>
      </c>
      <c r="Y137" s="1" t="s">
        <v>44</v>
      </c>
    </row>
    <row r="138" spans="1:25" ht="12.45" hidden="1" customHeight="1" x14ac:dyDescent="0.3">
      <c r="A138" s="122" t="s">
        <v>341</v>
      </c>
      <c r="B138" s="172" t="s">
        <v>47</v>
      </c>
      <c r="C138" s="173"/>
      <c r="D138" s="173"/>
      <c r="E138" s="173"/>
      <c r="F138" s="174"/>
      <c r="G138" s="175"/>
      <c r="H138" s="175"/>
      <c r="I138" s="175"/>
      <c r="J138" s="175"/>
      <c r="K138" s="176"/>
      <c r="L138" s="176"/>
      <c r="M138" s="176"/>
      <c r="N138" s="176"/>
      <c r="O138" s="166">
        <f t="shared" si="15"/>
        <v>0</v>
      </c>
      <c r="P138" s="167">
        <f t="shared" si="16"/>
        <v>0</v>
      </c>
      <c r="Q138" s="177">
        <f t="shared" si="14"/>
        <v>0</v>
      </c>
      <c r="R138" s="169">
        <f t="shared" si="17"/>
        <v>0</v>
      </c>
      <c r="S138" s="169">
        <f t="shared" si="17"/>
        <v>0</v>
      </c>
      <c r="T138" s="150">
        <f t="shared" si="17"/>
        <v>0</v>
      </c>
      <c r="U138" s="170">
        <f t="shared" si="18"/>
        <v>0</v>
      </c>
      <c r="V138" s="171" t="e">
        <f t="shared" si="19"/>
        <v>#DIV/0!</v>
      </c>
      <c r="W138" s="46" t="e">
        <f t="shared" si="20"/>
        <v>#DIV/0!</v>
      </c>
      <c r="Y138" s="1" t="s">
        <v>46</v>
      </c>
    </row>
    <row r="139" spans="1:25" hidden="1" x14ac:dyDescent="0.3">
      <c r="A139" s="122" t="s">
        <v>340</v>
      </c>
      <c r="B139" s="172" t="s">
        <v>0</v>
      </c>
      <c r="C139" s="173">
        <v>50</v>
      </c>
      <c r="D139" s="173">
        <v>29</v>
      </c>
      <c r="E139" s="173">
        <v>8</v>
      </c>
      <c r="F139" s="174">
        <v>1890</v>
      </c>
      <c r="G139" s="175"/>
      <c r="H139" s="175"/>
      <c r="I139" s="175"/>
      <c r="J139" s="175"/>
      <c r="K139" s="176"/>
      <c r="L139" s="176"/>
      <c r="M139" s="176"/>
      <c r="N139" s="176"/>
      <c r="O139" s="166">
        <f t="shared" si="15"/>
        <v>0.40971199999999997</v>
      </c>
      <c r="P139" s="167">
        <f t="shared" si="16"/>
        <v>1890</v>
      </c>
      <c r="Q139" s="177">
        <f t="shared" si="14"/>
        <v>1890</v>
      </c>
      <c r="R139" s="169">
        <f t="shared" si="17"/>
        <v>1890</v>
      </c>
      <c r="S139" s="169">
        <f t="shared" si="17"/>
        <v>1890</v>
      </c>
      <c r="T139" s="150">
        <f t="shared" si="17"/>
        <v>1890</v>
      </c>
      <c r="U139" s="170">
        <f t="shared" si="18"/>
        <v>0</v>
      </c>
      <c r="V139" s="171">
        <f t="shared" si="19"/>
        <v>0</v>
      </c>
      <c r="W139" s="46">
        <f t="shared" si="20"/>
        <v>4612.9964462842199</v>
      </c>
      <c r="Y139" s="1" t="s">
        <v>46</v>
      </c>
    </row>
    <row r="140" spans="1:25" hidden="1" x14ac:dyDescent="0.3">
      <c r="A140" s="122" t="s">
        <v>192</v>
      </c>
      <c r="B140" s="172" t="s">
        <v>0</v>
      </c>
      <c r="C140" s="173">
        <v>27.5</v>
      </c>
      <c r="D140" s="173">
        <v>27.5</v>
      </c>
      <c r="E140" s="173">
        <v>17.5</v>
      </c>
      <c r="F140" s="174">
        <v>2890</v>
      </c>
      <c r="G140" s="175"/>
      <c r="H140" s="175"/>
      <c r="I140" s="175"/>
      <c r="J140" s="175"/>
      <c r="K140" s="176"/>
      <c r="L140" s="176"/>
      <c r="M140" s="176"/>
      <c r="N140" s="176"/>
      <c r="O140" s="166">
        <f t="shared" si="15"/>
        <v>0.46743812499999998</v>
      </c>
      <c r="P140" s="167">
        <f t="shared" si="16"/>
        <v>2890</v>
      </c>
      <c r="Q140" s="177">
        <f t="shared" si="14"/>
        <v>2890</v>
      </c>
      <c r="R140" s="169">
        <f t="shared" si="17"/>
        <v>2890</v>
      </c>
      <c r="S140" s="169">
        <f t="shared" si="17"/>
        <v>2890</v>
      </c>
      <c r="T140" s="150">
        <f t="shared" si="17"/>
        <v>2890</v>
      </c>
      <c r="U140" s="170">
        <f t="shared" si="18"/>
        <v>0</v>
      </c>
      <c r="V140" s="171">
        <f t="shared" si="19"/>
        <v>0</v>
      </c>
      <c r="W140" s="46">
        <f t="shared" si="20"/>
        <v>6182.6364719394678</v>
      </c>
      <c r="Y140" s="1" t="s">
        <v>46</v>
      </c>
    </row>
    <row r="141" spans="1:25" hidden="1" x14ac:dyDescent="0.3">
      <c r="A141" s="122" t="s">
        <v>191</v>
      </c>
      <c r="B141" s="172" t="s">
        <v>0</v>
      </c>
      <c r="C141" s="173">
        <v>26</v>
      </c>
      <c r="D141" s="173">
        <v>25</v>
      </c>
      <c r="E141" s="173">
        <v>25</v>
      </c>
      <c r="F141" s="174">
        <v>4500</v>
      </c>
      <c r="G141" s="175"/>
      <c r="H141" s="175"/>
      <c r="I141" s="175"/>
      <c r="J141" s="175"/>
      <c r="K141" s="176"/>
      <c r="L141" s="176"/>
      <c r="M141" s="176"/>
      <c r="N141" s="176"/>
      <c r="O141" s="166">
        <f t="shared" si="15"/>
        <v>0.57395000000000007</v>
      </c>
      <c r="P141" s="167">
        <f t="shared" si="16"/>
        <v>4500</v>
      </c>
      <c r="Q141" s="177">
        <f t="shared" si="14"/>
        <v>4500</v>
      </c>
      <c r="R141" s="169">
        <f t="shared" si="17"/>
        <v>4500</v>
      </c>
      <c r="S141" s="169">
        <f t="shared" si="17"/>
        <v>4500</v>
      </c>
      <c r="T141" s="150">
        <f t="shared" si="17"/>
        <v>4500</v>
      </c>
      <c r="U141" s="170">
        <f t="shared" si="18"/>
        <v>0</v>
      </c>
      <c r="V141" s="171">
        <f t="shared" si="19"/>
        <v>0</v>
      </c>
      <c r="W141" s="46">
        <f t="shared" si="20"/>
        <v>7840.4042163951553</v>
      </c>
      <c r="Y141" s="1" t="s">
        <v>46</v>
      </c>
    </row>
    <row r="142" spans="1:25" hidden="1" x14ac:dyDescent="0.3">
      <c r="A142" s="122" t="s">
        <v>190</v>
      </c>
      <c r="B142" s="172" t="s">
        <v>0</v>
      </c>
      <c r="C142" s="173">
        <v>144</v>
      </c>
      <c r="D142" s="173">
        <v>20</v>
      </c>
      <c r="E142" s="173">
        <v>8</v>
      </c>
      <c r="F142" s="174">
        <v>11600</v>
      </c>
      <c r="G142" s="175"/>
      <c r="H142" s="175"/>
      <c r="I142" s="175"/>
      <c r="J142" s="175"/>
      <c r="K142" s="176"/>
      <c r="L142" s="176"/>
      <c r="M142" s="176"/>
      <c r="N142" s="176"/>
      <c r="O142" s="166">
        <f t="shared" si="15"/>
        <v>0.81377280000000007</v>
      </c>
      <c r="P142" s="167">
        <f t="shared" si="16"/>
        <v>11600</v>
      </c>
      <c r="Q142" s="177">
        <f t="shared" ref="Q142:Q205" si="21">F142+J142+N142</f>
        <v>11600</v>
      </c>
      <c r="R142" s="169">
        <f t="shared" si="17"/>
        <v>11600</v>
      </c>
      <c r="S142" s="169">
        <f t="shared" si="17"/>
        <v>11600</v>
      </c>
      <c r="T142" s="150">
        <f t="shared" si="17"/>
        <v>11600</v>
      </c>
      <c r="U142" s="170">
        <f t="shared" si="18"/>
        <v>0</v>
      </c>
      <c r="V142" s="171">
        <f t="shared" si="19"/>
        <v>0</v>
      </c>
      <c r="W142" s="46">
        <f t="shared" si="20"/>
        <v>14254.592928148986</v>
      </c>
      <c r="Y142" s="1" t="s">
        <v>44</v>
      </c>
    </row>
    <row r="143" spans="1:25" hidden="1" x14ac:dyDescent="0.3">
      <c r="A143" s="122" t="s">
        <v>103</v>
      </c>
      <c r="B143" s="172" t="s">
        <v>0</v>
      </c>
      <c r="C143" s="173">
        <v>145</v>
      </c>
      <c r="D143" s="173">
        <v>22</v>
      </c>
      <c r="E143" s="173">
        <v>9</v>
      </c>
      <c r="F143" s="174">
        <v>11430</v>
      </c>
      <c r="G143" s="175"/>
      <c r="H143" s="175"/>
      <c r="I143" s="175"/>
      <c r="J143" s="175"/>
      <c r="K143" s="176"/>
      <c r="L143" s="176"/>
      <c r="M143" s="176"/>
      <c r="N143" s="176"/>
      <c r="O143" s="166">
        <f t="shared" si="15"/>
        <v>1.0140372</v>
      </c>
      <c r="P143" s="167">
        <f t="shared" si="16"/>
        <v>11430</v>
      </c>
      <c r="Q143" s="177">
        <f t="shared" si="21"/>
        <v>11430</v>
      </c>
      <c r="R143" s="169">
        <f t="shared" si="17"/>
        <v>11430</v>
      </c>
      <c r="S143" s="169">
        <f t="shared" si="17"/>
        <v>11430</v>
      </c>
      <c r="T143" s="150">
        <f t="shared" si="17"/>
        <v>11430</v>
      </c>
      <c r="U143" s="170">
        <f t="shared" si="18"/>
        <v>0</v>
      </c>
      <c r="V143" s="171">
        <f t="shared" si="19"/>
        <v>0</v>
      </c>
      <c r="W143" s="46">
        <f t="shared" si="20"/>
        <v>11271.775828342392</v>
      </c>
      <c r="Y143" s="1" t="s">
        <v>44</v>
      </c>
    </row>
    <row r="144" spans="1:25" hidden="1" x14ac:dyDescent="0.3">
      <c r="A144" s="122" t="s">
        <v>189</v>
      </c>
      <c r="B144" s="172" t="s">
        <v>0</v>
      </c>
      <c r="C144" s="173">
        <v>83</v>
      </c>
      <c r="D144" s="173">
        <v>43</v>
      </c>
      <c r="E144" s="173">
        <v>15</v>
      </c>
      <c r="F144" s="174">
        <v>19850</v>
      </c>
      <c r="G144" s="175"/>
      <c r="H144" s="175"/>
      <c r="I144" s="175"/>
      <c r="J144" s="175"/>
      <c r="K144" s="176"/>
      <c r="L144" s="176"/>
      <c r="M144" s="176"/>
      <c r="N144" s="176"/>
      <c r="O144" s="166">
        <f t="shared" si="15"/>
        <v>1.8908562</v>
      </c>
      <c r="P144" s="167">
        <f t="shared" si="16"/>
        <v>19850</v>
      </c>
      <c r="Q144" s="177">
        <f t="shared" si="21"/>
        <v>19850</v>
      </c>
      <c r="R144" s="169">
        <f t="shared" si="17"/>
        <v>19850</v>
      </c>
      <c r="S144" s="169">
        <f t="shared" si="17"/>
        <v>19850</v>
      </c>
      <c r="T144" s="150">
        <f t="shared" si="17"/>
        <v>19850</v>
      </c>
      <c r="U144" s="170">
        <f t="shared" si="18"/>
        <v>0</v>
      </c>
      <c r="V144" s="171">
        <f t="shared" si="19"/>
        <v>0</v>
      </c>
      <c r="W144" s="46">
        <f t="shared" si="20"/>
        <v>10497.889791936585</v>
      </c>
      <c r="Y144" s="1" t="s">
        <v>46</v>
      </c>
    </row>
    <row r="145" spans="1:25" ht="12.9" hidden="1" customHeight="1" x14ac:dyDescent="0.3">
      <c r="A145" s="120" t="s">
        <v>78</v>
      </c>
      <c r="B145" s="172" t="s">
        <v>0</v>
      </c>
      <c r="C145" s="173">
        <v>81</v>
      </c>
      <c r="D145" s="173">
        <v>43</v>
      </c>
      <c r="E145" s="173">
        <v>14</v>
      </c>
      <c r="F145" s="174">
        <v>20800</v>
      </c>
      <c r="G145" s="175"/>
      <c r="H145" s="175"/>
      <c r="I145" s="175"/>
      <c r="J145" s="175"/>
      <c r="K145" s="176"/>
      <c r="L145" s="176"/>
      <c r="M145" s="176"/>
      <c r="N145" s="176"/>
      <c r="O145" s="166">
        <f t="shared" si="15"/>
        <v>1.7222738399999999</v>
      </c>
      <c r="P145" s="167">
        <f t="shared" si="16"/>
        <v>20800</v>
      </c>
      <c r="Q145" s="177">
        <f t="shared" si="21"/>
        <v>20800</v>
      </c>
      <c r="R145" s="169">
        <f t="shared" si="17"/>
        <v>20800</v>
      </c>
      <c r="S145" s="169">
        <f t="shared" si="17"/>
        <v>20800</v>
      </c>
      <c r="T145" s="150">
        <f t="shared" si="17"/>
        <v>20800</v>
      </c>
      <c r="U145" s="170">
        <f t="shared" si="18"/>
        <v>0</v>
      </c>
      <c r="V145" s="171">
        <f t="shared" si="19"/>
        <v>0</v>
      </c>
      <c r="W145" s="46">
        <f t="shared" si="20"/>
        <v>12077.057385949729</v>
      </c>
      <c r="Y145" s="1" t="s">
        <v>44</v>
      </c>
    </row>
    <row r="146" spans="1:25" hidden="1" x14ac:dyDescent="0.3">
      <c r="A146" s="122" t="s">
        <v>187</v>
      </c>
      <c r="B146" s="172" t="s">
        <v>0</v>
      </c>
      <c r="C146" s="173">
        <v>82</v>
      </c>
      <c r="D146" s="173">
        <v>43</v>
      </c>
      <c r="E146" s="173">
        <v>13</v>
      </c>
      <c r="F146" s="174">
        <v>16850</v>
      </c>
      <c r="G146" s="175"/>
      <c r="H146" s="175"/>
      <c r="I146" s="175"/>
      <c r="J146" s="175"/>
      <c r="K146" s="176"/>
      <c r="L146" s="176"/>
      <c r="M146" s="176"/>
      <c r="N146" s="176"/>
      <c r="O146" s="166">
        <f t="shared" si="15"/>
        <v>1.6189981599999999</v>
      </c>
      <c r="P146" s="167">
        <f t="shared" si="16"/>
        <v>16850</v>
      </c>
      <c r="Q146" s="177">
        <f t="shared" si="21"/>
        <v>16850</v>
      </c>
      <c r="R146" s="169">
        <f t="shared" si="17"/>
        <v>16850</v>
      </c>
      <c r="S146" s="169">
        <f t="shared" si="17"/>
        <v>16850</v>
      </c>
      <c r="T146" s="150">
        <f t="shared" si="17"/>
        <v>16850</v>
      </c>
      <c r="U146" s="170">
        <f t="shared" si="18"/>
        <v>0</v>
      </c>
      <c r="V146" s="171">
        <f t="shared" si="19"/>
        <v>0</v>
      </c>
      <c r="W146" s="46">
        <f t="shared" si="20"/>
        <v>10407.670877155291</v>
      </c>
      <c r="Y146" s="1" t="s">
        <v>44</v>
      </c>
    </row>
    <row r="147" spans="1:25" ht="14.4" hidden="1" customHeight="1" x14ac:dyDescent="0.3">
      <c r="A147" s="122" t="s">
        <v>186</v>
      </c>
      <c r="B147" s="172" t="s">
        <v>0</v>
      </c>
      <c r="C147" s="173">
        <v>129</v>
      </c>
      <c r="D147" s="173">
        <v>43</v>
      </c>
      <c r="E147" s="173">
        <v>13</v>
      </c>
      <c r="F147" s="174">
        <v>26300</v>
      </c>
      <c r="G147" s="175"/>
      <c r="H147" s="175"/>
      <c r="I147" s="175"/>
      <c r="J147" s="175"/>
      <c r="K147" s="176"/>
      <c r="L147" s="176"/>
      <c r="M147" s="176"/>
      <c r="N147" s="176"/>
      <c r="O147" s="166">
        <f t="shared" si="15"/>
        <v>2.5469605199999998</v>
      </c>
      <c r="P147" s="167">
        <f t="shared" si="16"/>
        <v>26300</v>
      </c>
      <c r="Q147" s="177">
        <f t="shared" si="21"/>
        <v>26300</v>
      </c>
      <c r="R147" s="169">
        <f t="shared" si="17"/>
        <v>26300</v>
      </c>
      <c r="S147" s="169">
        <f t="shared" si="17"/>
        <v>26300</v>
      </c>
      <c r="T147" s="150">
        <f t="shared" si="17"/>
        <v>26300</v>
      </c>
      <c r="U147" s="170">
        <f t="shared" si="18"/>
        <v>0</v>
      </c>
      <c r="V147" s="171">
        <f t="shared" si="19"/>
        <v>0</v>
      </c>
      <c r="W147" s="46">
        <f t="shared" si="20"/>
        <v>10326.033636359625</v>
      </c>
      <c r="Y147" s="1" t="s">
        <v>44</v>
      </c>
    </row>
    <row r="148" spans="1:25" ht="12.75" hidden="1" customHeight="1" x14ac:dyDescent="0.3">
      <c r="A148" s="117" t="s">
        <v>49</v>
      </c>
      <c r="B148" s="172" t="s">
        <v>0</v>
      </c>
      <c r="C148" s="173">
        <v>129</v>
      </c>
      <c r="D148" s="173">
        <v>43</v>
      </c>
      <c r="E148" s="173">
        <v>13</v>
      </c>
      <c r="F148" s="174">
        <v>30000</v>
      </c>
      <c r="G148" s="175"/>
      <c r="H148" s="175"/>
      <c r="I148" s="175"/>
      <c r="J148" s="175"/>
      <c r="K148" s="176"/>
      <c r="L148" s="176"/>
      <c r="M148" s="176"/>
      <c r="N148" s="176"/>
      <c r="O148" s="166">
        <f t="shared" si="15"/>
        <v>2.5469605199999998</v>
      </c>
      <c r="P148" s="167">
        <f t="shared" si="16"/>
        <v>30000</v>
      </c>
      <c r="Q148" s="177">
        <f t="shared" si="21"/>
        <v>30000</v>
      </c>
      <c r="R148" s="169">
        <f t="shared" si="17"/>
        <v>30000</v>
      </c>
      <c r="S148" s="169">
        <f t="shared" si="17"/>
        <v>30000</v>
      </c>
      <c r="T148" s="150">
        <f t="shared" si="17"/>
        <v>30000</v>
      </c>
      <c r="U148" s="170">
        <f t="shared" si="18"/>
        <v>0</v>
      </c>
      <c r="V148" s="171">
        <f t="shared" si="19"/>
        <v>0</v>
      </c>
      <c r="W148" s="46">
        <f t="shared" si="20"/>
        <v>11778.745592805655</v>
      </c>
      <c r="Y148" s="1" t="s">
        <v>44</v>
      </c>
    </row>
    <row r="149" spans="1:25" ht="14.4" hidden="1" customHeight="1" x14ac:dyDescent="0.3">
      <c r="A149" s="122" t="s">
        <v>185</v>
      </c>
      <c r="B149" s="172" t="s">
        <v>0</v>
      </c>
      <c r="C149" s="173">
        <v>148</v>
      </c>
      <c r="D149" s="173">
        <v>40</v>
      </c>
      <c r="E149" s="173">
        <v>12</v>
      </c>
      <c r="F149" s="174">
        <v>33500</v>
      </c>
      <c r="G149" s="175"/>
      <c r="H149" s="175"/>
      <c r="I149" s="175"/>
      <c r="J149" s="175"/>
      <c r="K149" s="176"/>
      <c r="L149" s="176"/>
      <c r="M149" s="176"/>
      <c r="N149" s="176"/>
      <c r="O149" s="166">
        <f t="shared" si="15"/>
        <v>2.5091328000000002</v>
      </c>
      <c r="P149" s="167">
        <f t="shared" si="16"/>
        <v>33500</v>
      </c>
      <c r="Q149" s="177">
        <f t="shared" si="21"/>
        <v>33500</v>
      </c>
      <c r="R149" s="169">
        <f t="shared" si="17"/>
        <v>33500</v>
      </c>
      <c r="S149" s="169">
        <f t="shared" si="17"/>
        <v>33500</v>
      </c>
      <c r="T149" s="150">
        <f t="shared" si="17"/>
        <v>33500</v>
      </c>
      <c r="U149" s="170">
        <f t="shared" si="18"/>
        <v>0</v>
      </c>
      <c r="V149" s="171">
        <f t="shared" si="19"/>
        <v>0</v>
      </c>
      <c r="W149" s="46">
        <f t="shared" si="20"/>
        <v>13351.226367930783</v>
      </c>
      <c r="Y149" s="1" t="s">
        <v>44</v>
      </c>
    </row>
    <row r="150" spans="1:25" hidden="1" x14ac:dyDescent="0.3">
      <c r="A150" s="122" t="s">
        <v>182</v>
      </c>
      <c r="B150" s="172" t="s">
        <v>0</v>
      </c>
      <c r="C150" s="173">
        <v>103</v>
      </c>
      <c r="D150" s="173">
        <v>35</v>
      </c>
      <c r="E150" s="173">
        <v>7</v>
      </c>
      <c r="F150" s="174">
        <v>12210</v>
      </c>
      <c r="G150" s="175"/>
      <c r="H150" s="175"/>
      <c r="I150" s="175"/>
      <c r="J150" s="175"/>
      <c r="K150" s="176"/>
      <c r="L150" s="176"/>
      <c r="M150" s="176"/>
      <c r="N150" s="176"/>
      <c r="O150" s="166">
        <f t="shared" si="15"/>
        <v>0.89130019999999999</v>
      </c>
      <c r="P150" s="167">
        <f t="shared" si="16"/>
        <v>12210</v>
      </c>
      <c r="Q150" s="177">
        <f t="shared" si="21"/>
        <v>12210</v>
      </c>
      <c r="R150" s="169">
        <f t="shared" si="17"/>
        <v>12210</v>
      </c>
      <c r="S150" s="169">
        <f t="shared" si="17"/>
        <v>12210</v>
      </c>
      <c r="T150" s="150">
        <f t="shared" si="17"/>
        <v>12210</v>
      </c>
      <c r="U150" s="170">
        <f t="shared" si="18"/>
        <v>0</v>
      </c>
      <c r="V150" s="171">
        <f t="shared" si="19"/>
        <v>0</v>
      </c>
      <c r="W150" s="46">
        <f t="shared" si="20"/>
        <v>13699.088141122375</v>
      </c>
      <c r="Y150" s="1" t="s">
        <v>46</v>
      </c>
    </row>
    <row r="151" spans="1:25" ht="14.4" customHeight="1" x14ac:dyDescent="0.3">
      <c r="A151" s="120" t="s">
        <v>73</v>
      </c>
      <c r="B151" s="172" t="s">
        <v>0</v>
      </c>
      <c r="C151" s="173">
        <v>93</v>
      </c>
      <c r="D151" s="173">
        <v>42</v>
      </c>
      <c r="E151" s="173">
        <v>9</v>
      </c>
      <c r="F151" s="174">
        <v>30650</v>
      </c>
      <c r="G151" s="175"/>
      <c r="H151" s="175"/>
      <c r="I151" s="175"/>
      <c r="J151" s="175"/>
      <c r="K151" s="176"/>
      <c r="L151" s="176"/>
      <c r="M151" s="176"/>
      <c r="N151" s="176"/>
      <c r="O151" s="166">
        <f t="shared" si="15"/>
        <v>1.24163928</v>
      </c>
      <c r="P151" s="167">
        <f t="shared" si="16"/>
        <v>30650</v>
      </c>
      <c r="Q151" s="177">
        <f t="shared" si="21"/>
        <v>30650</v>
      </c>
      <c r="R151" s="169">
        <f t="shared" si="17"/>
        <v>30650</v>
      </c>
      <c r="S151" s="169">
        <f t="shared" si="17"/>
        <v>30650</v>
      </c>
      <c r="T151" s="150">
        <f t="shared" si="17"/>
        <v>30650</v>
      </c>
      <c r="U151" s="170">
        <f t="shared" si="18"/>
        <v>0</v>
      </c>
      <c r="V151" s="171">
        <f t="shared" si="19"/>
        <v>0</v>
      </c>
      <c r="W151" s="46">
        <f t="shared" si="20"/>
        <v>24685.108222413841</v>
      </c>
      <c r="Y151" s="1" t="s">
        <v>44</v>
      </c>
    </row>
    <row r="152" spans="1:25" hidden="1" x14ac:dyDescent="0.3">
      <c r="A152" s="122" t="s">
        <v>181</v>
      </c>
      <c r="B152" s="172" t="s">
        <v>0</v>
      </c>
      <c r="C152" s="173">
        <v>147</v>
      </c>
      <c r="D152" s="173">
        <v>38</v>
      </c>
      <c r="E152" s="173">
        <v>11</v>
      </c>
      <c r="F152" s="174">
        <v>29450</v>
      </c>
      <c r="G152" s="175"/>
      <c r="H152" s="175"/>
      <c r="I152" s="175"/>
      <c r="J152" s="175"/>
      <c r="K152" s="176"/>
      <c r="L152" s="176"/>
      <c r="M152" s="176"/>
      <c r="N152" s="176"/>
      <c r="O152" s="166">
        <f t="shared" si="15"/>
        <v>2.1702727199999998</v>
      </c>
      <c r="P152" s="167">
        <f t="shared" si="16"/>
        <v>29450</v>
      </c>
      <c r="Q152" s="177">
        <f t="shared" si="21"/>
        <v>29450</v>
      </c>
      <c r="R152" s="169">
        <f t="shared" si="17"/>
        <v>29450</v>
      </c>
      <c r="S152" s="169">
        <f t="shared" si="17"/>
        <v>29450</v>
      </c>
      <c r="T152" s="150">
        <f t="shared" si="17"/>
        <v>29450</v>
      </c>
      <c r="U152" s="170">
        <f t="shared" si="18"/>
        <v>0</v>
      </c>
      <c r="V152" s="171">
        <f t="shared" si="19"/>
        <v>0</v>
      </c>
      <c r="W152" s="46">
        <f t="shared" si="20"/>
        <v>13569.723163640007</v>
      </c>
      <c r="Y152" s="1" t="s">
        <v>44</v>
      </c>
    </row>
    <row r="153" spans="1:25" ht="14.4" hidden="1" customHeight="1" x14ac:dyDescent="0.3">
      <c r="A153" s="120" t="s">
        <v>76</v>
      </c>
      <c r="B153" s="172" t="s">
        <v>0</v>
      </c>
      <c r="C153" s="173">
        <v>140</v>
      </c>
      <c r="D153" s="173">
        <v>49</v>
      </c>
      <c r="E153" s="173">
        <v>12</v>
      </c>
      <c r="F153" s="174">
        <v>35720</v>
      </c>
      <c r="G153" s="175"/>
      <c r="H153" s="175"/>
      <c r="I153" s="175"/>
      <c r="J153" s="175"/>
      <c r="K153" s="176"/>
      <c r="L153" s="176"/>
      <c r="M153" s="176"/>
      <c r="N153" s="176"/>
      <c r="O153" s="166">
        <f t="shared" si="15"/>
        <v>2.9075424000000001</v>
      </c>
      <c r="P153" s="167">
        <f t="shared" si="16"/>
        <v>35720</v>
      </c>
      <c r="Q153" s="177">
        <f t="shared" si="21"/>
        <v>35720</v>
      </c>
      <c r="R153" s="169">
        <f t="shared" si="17"/>
        <v>35720</v>
      </c>
      <c r="S153" s="169">
        <f t="shared" si="17"/>
        <v>35720</v>
      </c>
      <c r="T153" s="150">
        <f t="shared" si="17"/>
        <v>35720</v>
      </c>
      <c r="U153" s="170">
        <f t="shared" si="18"/>
        <v>0</v>
      </c>
      <c r="V153" s="171">
        <f t="shared" si="19"/>
        <v>0</v>
      </c>
      <c r="W153" s="46">
        <f t="shared" si="20"/>
        <v>12285.289459579333</v>
      </c>
      <c r="Y153" s="1" t="s">
        <v>44</v>
      </c>
    </row>
    <row r="154" spans="1:25" ht="14.4" hidden="1" customHeight="1" x14ac:dyDescent="0.3">
      <c r="A154" s="122" t="s">
        <v>178</v>
      </c>
      <c r="B154" s="172" t="s">
        <v>0</v>
      </c>
      <c r="C154" s="173">
        <v>117</v>
      </c>
      <c r="D154" s="173">
        <v>42</v>
      </c>
      <c r="E154" s="173">
        <v>17</v>
      </c>
      <c r="F154" s="174">
        <v>24400</v>
      </c>
      <c r="G154" s="175"/>
      <c r="H154" s="175"/>
      <c r="I154" s="175"/>
      <c r="J154" s="175"/>
      <c r="K154" s="176"/>
      <c r="L154" s="176"/>
      <c r="M154" s="176"/>
      <c r="N154" s="176"/>
      <c r="O154" s="166">
        <f t="shared" si="15"/>
        <v>2.95056216</v>
      </c>
      <c r="P154" s="167">
        <f t="shared" si="16"/>
        <v>24400</v>
      </c>
      <c r="Q154" s="177">
        <f t="shared" si="21"/>
        <v>24400</v>
      </c>
      <c r="R154" s="169">
        <f t="shared" si="17"/>
        <v>24400</v>
      </c>
      <c r="S154" s="169">
        <f t="shared" si="17"/>
        <v>24400</v>
      </c>
      <c r="T154" s="150">
        <f t="shared" si="17"/>
        <v>24400</v>
      </c>
      <c r="U154" s="170">
        <f t="shared" si="18"/>
        <v>0</v>
      </c>
      <c r="V154" s="171">
        <f t="shared" si="19"/>
        <v>0</v>
      </c>
      <c r="W154" s="46">
        <f t="shared" si="20"/>
        <v>8269.6105612633492</v>
      </c>
      <c r="Y154" s="1" t="s">
        <v>44</v>
      </c>
    </row>
    <row r="155" spans="1:25" ht="14.4" hidden="1" customHeight="1" x14ac:dyDescent="0.3">
      <c r="A155" s="122" t="s">
        <v>339</v>
      </c>
      <c r="B155" s="172" t="s">
        <v>0</v>
      </c>
      <c r="C155" s="173">
        <v>67</v>
      </c>
      <c r="D155" s="173">
        <v>19</v>
      </c>
      <c r="E155" s="173">
        <v>9</v>
      </c>
      <c r="F155" s="174">
        <v>3890</v>
      </c>
      <c r="G155" s="175"/>
      <c r="H155" s="175"/>
      <c r="I155" s="175"/>
      <c r="J155" s="175"/>
      <c r="K155" s="176"/>
      <c r="L155" s="176"/>
      <c r="M155" s="176"/>
      <c r="N155" s="176"/>
      <c r="O155" s="166">
        <f t="shared" si="15"/>
        <v>0.40466124000000003</v>
      </c>
      <c r="P155" s="167">
        <f t="shared" si="16"/>
        <v>3890</v>
      </c>
      <c r="Q155" s="177">
        <f t="shared" si="21"/>
        <v>3890</v>
      </c>
      <c r="R155" s="169">
        <f t="shared" si="17"/>
        <v>3890</v>
      </c>
      <c r="S155" s="169">
        <f t="shared" si="17"/>
        <v>3890</v>
      </c>
      <c r="T155" s="150">
        <f t="shared" si="17"/>
        <v>3890</v>
      </c>
      <c r="U155" s="170">
        <f t="shared" si="18"/>
        <v>0</v>
      </c>
      <c r="V155" s="171">
        <f t="shared" si="19"/>
        <v>0</v>
      </c>
      <c r="W155" s="46">
        <f t="shared" si="20"/>
        <v>9612.9789944794302</v>
      </c>
      <c r="Y155" s="1" t="s">
        <v>46</v>
      </c>
    </row>
    <row r="156" spans="1:25" ht="14.4" hidden="1" customHeight="1" x14ac:dyDescent="0.3">
      <c r="A156" s="122" t="s">
        <v>177</v>
      </c>
      <c r="B156" s="172" t="s">
        <v>0</v>
      </c>
      <c r="C156" s="173">
        <v>32</v>
      </c>
      <c r="D156" s="173">
        <v>32</v>
      </c>
      <c r="E156" s="173">
        <v>12</v>
      </c>
      <c r="F156" s="174">
        <v>1890</v>
      </c>
      <c r="G156" s="175"/>
      <c r="H156" s="175"/>
      <c r="I156" s="175"/>
      <c r="J156" s="175"/>
      <c r="K156" s="176"/>
      <c r="L156" s="176"/>
      <c r="M156" s="176"/>
      <c r="N156" s="176"/>
      <c r="O156" s="166">
        <f t="shared" si="15"/>
        <v>0.43401216000000004</v>
      </c>
      <c r="P156" s="167">
        <f t="shared" si="16"/>
        <v>1890</v>
      </c>
      <c r="Q156" s="177">
        <f t="shared" si="21"/>
        <v>1890</v>
      </c>
      <c r="R156" s="169">
        <f t="shared" si="17"/>
        <v>1890</v>
      </c>
      <c r="S156" s="169">
        <f t="shared" si="17"/>
        <v>1890</v>
      </c>
      <c r="T156" s="150">
        <f t="shared" si="17"/>
        <v>1890</v>
      </c>
      <c r="U156" s="170">
        <f t="shared" si="18"/>
        <v>0</v>
      </c>
      <c r="V156" s="171">
        <f t="shared" si="19"/>
        <v>0</v>
      </c>
      <c r="W156" s="46">
        <f t="shared" si="20"/>
        <v>4354.7166973386184</v>
      </c>
      <c r="Y156" s="1" t="s">
        <v>46</v>
      </c>
    </row>
    <row r="157" spans="1:25" ht="15" hidden="1" customHeight="1" x14ac:dyDescent="0.3">
      <c r="A157" s="122" t="s">
        <v>176</v>
      </c>
      <c r="B157" s="172" t="s">
        <v>0</v>
      </c>
      <c r="C157" s="173">
        <v>86.5</v>
      </c>
      <c r="D157" s="173">
        <v>16</v>
      </c>
      <c r="E157" s="173">
        <v>6</v>
      </c>
      <c r="F157" s="174">
        <v>3890</v>
      </c>
      <c r="G157" s="175"/>
      <c r="H157" s="175"/>
      <c r="I157" s="175"/>
      <c r="J157" s="175"/>
      <c r="K157" s="176"/>
      <c r="L157" s="176"/>
      <c r="M157" s="176"/>
      <c r="N157" s="176"/>
      <c r="O157" s="166">
        <f t="shared" si="15"/>
        <v>0.29329728000000005</v>
      </c>
      <c r="P157" s="167">
        <f t="shared" si="16"/>
        <v>3890</v>
      </c>
      <c r="Q157" s="177">
        <f t="shared" si="21"/>
        <v>3890</v>
      </c>
      <c r="R157" s="169">
        <f t="shared" si="17"/>
        <v>3890</v>
      </c>
      <c r="S157" s="169">
        <f t="shared" si="17"/>
        <v>3890</v>
      </c>
      <c r="T157" s="150">
        <f t="shared" si="17"/>
        <v>3890</v>
      </c>
      <c r="U157" s="170">
        <f t="shared" si="18"/>
        <v>0</v>
      </c>
      <c r="V157" s="171">
        <f t="shared" si="19"/>
        <v>0</v>
      </c>
      <c r="W157" s="46">
        <f t="shared" si="20"/>
        <v>13262.993778871729</v>
      </c>
      <c r="Y157" s="1" t="s">
        <v>46</v>
      </c>
    </row>
    <row r="158" spans="1:25" ht="14.4" hidden="1" customHeight="1" x14ac:dyDescent="0.3">
      <c r="A158" s="122" t="s">
        <v>175</v>
      </c>
      <c r="B158" s="172" t="s">
        <v>0</v>
      </c>
      <c r="C158" s="173">
        <v>122</v>
      </c>
      <c r="D158" s="173">
        <v>63</v>
      </c>
      <c r="E158" s="173">
        <v>8</v>
      </c>
      <c r="F158" s="174">
        <v>18890</v>
      </c>
      <c r="G158" s="175"/>
      <c r="H158" s="175"/>
      <c r="I158" s="175"/>
      <c r="J158" s="175"/>
      <c r="K158" s="176"/>
      <c r="L158" s="176"/>
      <c r="M158" s="176"/>
      <c r="N158" s="176"/>
      <c r="O158" s="166">
        <f t="shared" si="15"/>
        <v>2.1717561600000002</v>
      </c>
      <c r="P158" s="167">
        <f t="shared" si="16"/>
        <v>18890</v>
      </c>
      <c r="Q158" s="177">
        <f t="shared" si="21"/>
        <v>18890</v>
      </c>
      <c r="R158" s="169">
        <f t="shared" si="17"/>
        <v>18890</v>
      </c>
      <c r="S158" s="169">
        <f t="shared" si="17"/>
        <v>18890</v>
      </c>
      <c r="T158" s="150">
        <f t="shared" si="17"/>
        <v>18890</v>
      </c>
      <c r="U158" s="170">
        <f t="shared" si="18"/>
        <v>0</v>
      </c>
      <c r="V158" s="171">
        <f t="shared" si="19"/>
        <v>0</v>
      </c>
      <c r="W158" s="46">
        <f t="shared" si="20"/>
        <v>8698.0298930060362</v>
      </c>
      <c r="Y158" s="1" t="s">
        <v>44</v>
      </c>
    </row>
    <row r="159" spans="1:25" ht="14.4" hidden="1" customHeight="1" x14ac:dyDescent="0.3">
      <c r="A159" s="123" t="s">
        <v>88</v>
      </c>
      <c r="B159" s="172" t="s">
        <v>0</v>
      </c>
      <c r="C159" s="173">
        <v>152</v>
      </c>
      <c r="D159" s="173">
        <v>58</v>
      </c>
      <c r="E159" s="173">
        <v>9</v>
      </c>
      <c r="F159" s="174">
        <v>31890</v>
      </c>
      <c r="G159" s="175"/>
      <c r="H159" s="175"/>
      <c r="I159" s="175"/>
      <c r="J159" s="175"/>
      <c r="K159" s="176"/>
      <c r="L159" s="176"/>
      <c r="M159" s="176"/>
      <c r="N159" s="176"/>
      <c r="O159" s="166">
        <f t="shared" si="15"/>
        <v>2.8024300800000002</v>
      </c>
      <c r="P159" s="167">
        <f t="shared" si="16"/>
        <v>31890</v>
      </c>
      <c r="Q159" s="177">
        <f t="shared" si="21"/>
        <v>31890</v>
      </c>
      <c r="R159" s="169">
        <f t="shared" si="17"/>
        <v>31890</v>
      </c>
      <c r="S159" s="169">
        <f t="shared" si="17"/>
        <v>31890</v>
      </c>
      <c r="T159" s="150">
        <f t="shared" si="17"/>
        <v>31890</v>
      </c>
      <c r="U159" s="170">
        <f t="shared" si="18"/>
        <v>0</v>
      </c>
      <c r="V159" s="171">
        <f t="shared" si="19"/>
        <v>0</v>
      </c>
      <c r="W159" s="46">
        <f t="shared" si="20"/>
        <v>11379.409687181205</v>
      </c>
      <c r="Y159" s="1" t="s">
        <v>44</v>
      </c>
    </row>
    <row r="160" spans="1:25" ht="14.4" hidden="1" x14ac:dyDescent="0.3">
      <c r="A160" s="120" t="s">
        <v>65</v>
      </c>
      <c r="B160" s="172" t="s">
        <v>0</v>
      </c>
      <c r="C160" s="173">
        <v>125</v>
      </c>
      <c r="D160" s="173">
        <v>53</v>
      </c>
      <c r="E160" s="173">
        <v>13</v>
      </c>
      <c r="F160" s="208">
        <v>17600</v>
      </c>
      <c r="G160" s="175"/>
      <c r="H160" s="175"/>
      <c r="I160" s="175"/>
      <c r="J160" s="175"/>
      <c r="K160" s="176"/>
      <c r="L160" s="176"/>
      <c r="M160" s="176"/>
      <c r="N160" s="176"/>
      <c r="O160" s="166">
        <f t="shared" si="15"/>
        <v>3.0419349999999996</v>
      </c>
      <c r="P160" s="167">
        <f t="shared" si="16"/>
        <v>17600</v>
      </c>
      <c r="Q160" s="177">
        <f t="shared" si="21"/>
        <v>17600</v>
      </c>
      <c r="R160" s="169">
        <f t="shared" si="17"/>
        <v>17600</v>
      </c>
      <c r="S160" s="169">
        <f t="shared" si="17"/>
        <v>17600</v>
      </c>
      <c r="T160" s="150">
        <f t="shared" si="17"/>
        <v>17600</v>
      </c>
      <c r="U160" s="170">
        <f t="shared" si="18"/>
        <v>0</v>
      </c>
      <c r="V160" s="171">
        <f t="shared" si="19"/>
        <v>0</v>
      </c>
      <c r="W160" s="46">
        <f t="shared" si="20"/>
        <v>5785.7909521406609</v>
      </c>
      <c r="Y160" s="1" t="s">
        <v>46</v>
      </c>
    </row>
    <row r="161" spans="1:25" ht="14.4" hidden="1" customHeight="1" x14ac:dyDescent="0.3">
      <c r="A161" s="120" t="s">
        <v>72</v>
      </c>
      <c r="B161" s="172" t="s">
        <v>0</v>
      </c>
      <c r="C161" s="173">
        <v>107</v>
      </c>
      <c r="D161" s="173">
        <v>59</v>
      </c>
      <c r="E161" s="173">
        <v>8</v>
      </c>
      <c r="F161" s="174">
        <v>12700</v>
      </c>
      <c r="G161" s="175"/>
      <c r="H161" s="175"/>
      <c r="I161" s="175"/>
      <c r="J161" s="175"/>
      <c r="K161" s="176"/>
      <c r="L161" s="176"/>
      <c r="M161" s="176"/>
      <c r="N161" s="176"/>
      <c r="O161" s="166">
        <f t="shared" si="15"/>
        <v>1.78380128</v>
      </c>
      <c r="P161" s="167">
        <f t="shared" si="16"/>
        <v>12700</v>
      </c>
      <c r="Q161" s="177">
        <f t="shared" si="21"/>
        <v>12700</v>
      </c>
      <c r="R161" s="169">
        <f t="shared" si="17"/>
        <v>12700</v>
      </c>
      <c r="S161" s="169">
        <f t="shared" si="17"/>
        <v>12700</v>
      </c>
      <c r="T161" s="150">
        <f t="shared" si="17"/>
        <v>12700</v>
      </c>
      <c r="U161" s="170">
        <f t="shared" si="18"/>
        <v>0</v>
      </c>
      <c r="V161" s="171">
        <f t="shared" si="19"/>
        <v>0</v>
      </c>
      <c r="W161" s="46">
        <f t="shared" si="20"/>
        <v>7119.6271369420701</v>
      </c>
      <c r="Y161" s="1" t="s">
        <v>44</v>
      </c>
    </row>
    <row r="162" spans="1:25" ht="14.4" hidden="1" customHeight="1" x14ac:dyDescent="0.3">
      <c r="A162" s="122" t="s">
        <v>174</v>
      </c>
      <c r="B162" s="172" t="s">
        <v>0</v>
      </c>
      <c r="C162" s="173">
        <v>112</v>
      </c>
      <c r="D162" s="173">
        <v>51</v>
      </c>
      <c r="E162" s="173">
        <v>8</v>
      </c>
      <c r="F162" s="174">
        <v>14550</v>
      </c>
      <c r="G162" s="175"/>
      <c r="H162" s="175"/>
      <c r="I162" s="175"/>
      <c r="J162" s="175"/>
      <c r="K162" s="176"/>
      <c r="L162" s="176"/>
      <c r="M162" s="176"/>
      <c r="N162" s="176"/>
      <c r="O162" s="166">
        <f t="shared" si="15"/>
        <v>1.6139827200000001</v>
      </c>
      <c r="P162" s="167">
        <f t="shared" si="16"/>
        <v>14550</v>
      </c>
      <c r="Q162" s="177">
        <f t="shared" si="21"/>
        <v>14550</v>
      </c>
      <c r="R162" s="169">
        <f t="shared" si="17"/>
        <v>14550</v>
      </c>
      <c r="S162" s="169">
        <f t="shared" si="17"/>
        <v>14550</v>
      </c>
      <c r="T162" s="150">
        <f t="shared" si="17"/>
        <v>14550</v>
      </c>
      <c r="U162" s="170">
        <f t="shared" si="18"/>
        <v>0</v>
      </c>
      <c r="V162" s="171">
        <f t="shared" si="19"/>
        <v>0</v>
      </c>
      <c r="W162" s="46">
        <f t="shared" si="20"/>
        <v>9014.9664055882822</v>
      </c>
      <c r="Y162" s="1" t="s">
        <v>46</v>
      </c>
    </row>
    <row r="163" spans="1:25" ht="14.4" hidden="1" customHeight="1" x14ac:dyDescent="0.3">
      <c r="A163" s="122" t="s">
        <v>173</v>
      </c>
      <c r="B163" s="172" t="s">
        <v>0</v>
      </c>
      <c r="C163" s="173">
        <v>85.7</v>
      </c>
      <c r="D163" s="173">
        <v>45.7</v>
      </c>
      <c r="E163" s="173">
        <v>6.5</v>
      </c>
      <c r="F163" s="174">
        <v>12000</v>
      </c>
      <c r="G163" s="175"/>
      <c r="H163" s="175"/>
      <c r="I163" s="175"/>
      <c r="J163" s="175"/>
      <c r="K163" s="176"/>
      <c r="L163" s="176"/>
      <c r="M163" s="176"/>
      <c r="N163" s="176"/>
      <c r="O163" s="166">
        <f t="shared" si="15"/>
        <v>0.89914777420000003</v>
      </c>
      <c r="P163" s="167">
        <f t="shared" si="16"/>
        <v>12000</v>
      </c>
      <c r="Q163" s="177">
        <f t="shared" si="21"/>
        <v>12000</v>
      </c>
      <c r="R163" s="169">
        <f t="shared" si="17"/>
        <v>12000</v>
      </c>
      <c r="S163" s="169">
        <f t="shared" si="17"/>
        <v>12000</v>
      </c>
      <c r="T163" s="150">
        <f t="shared" si="17"/>
        <v>12000</v>
      </c>
      <c r="U163" s="170">
        <f t="shared" si="18"/>
        <v>0</v>
      </c>
      <c r="V163" s="171">
        <f t="shared" si="19"/>
        <v>0</v>
      </c>
      <c r="W163" s="46">
        <f t="shared" si="20"/>
        <v>13345.970867443648</v>
      </c>
      <c r="Y163" s="1" t="s">
        <v>46</v>
      </c>
    </row>
    <row r="164" spans="1:25" hidden="1" x14ac:dyDescent="0.3">
      <c r="A164" s="122" t="s">
        <v>172</v>
      </c>
      <c r="B164" s="172" t="s">
        <v>0</v>
      </c>
      <c r="C164" s="173">
        <v>35</v>
      </c>
      <c r="D164" s="173">
        <v>33</v>
      </c>
      <c r="E164" s="173">
        <v>7</v>
      </c>
      <c r="F164" s="174">
        <v>1535</v>
      </c>
      <c r="G164" s="175"/>
      <c r="H164" s="175"/>
      <c r="I164" s="175"/>
      <c r="J164" s="175"/>
      <c r="K164" s="176"/>
      <c r="L164" s="176"/>
      <c r="M164" s="176"/>
      <c r="N164" s="176"/>
      <c r="O164" s="166">
        <f t="shared" si="15"/>
        <v>0.28556219999999999</v>
      </c>
      <c r="P164" s="167">
        <f t="shared" si="16"/>
        <v>1535</v>
      </c>
      <c r="Q164" s="177">
        <f t="shared" si="21"/>
        <v>1535</v>
      </c>
      <c r="R164" s="169">
        <f t="shared" si="17"/>
        <v>1535</v>
      </c>
      <c r="S164" s="169">
        <f t="shared" si="17"/>
        <v>1535</v>
      </c>
      <c r="T164" s="150">
        <f t="shared" si="17"/>
        <v>1535</v>
      </c>
      <c r="U164" s="170">
        <f t="shared" si="18"/>
        <v>0</v>
      </c>
      <c r="V164" s="171">
        <f t="shared" si="19"/>
        <v>0</v>
      </c>
      <c r="W164" s="46">
        <f t="shared" si="20"/>
        <v>5375.361304822557</v>
      </c>
      <c r="Y164" s="1" t="s">
        <v>44</v>
      </c>
    </row>
    <row r="165" spans="1:25" ht="14.4" hidden="1" customHeight="1" x14ac:dyDescent="0.3">
      <c r="A165" s="122" t="s">
        <v>338</v>
      </c>
      <c r="B165" s="172" t="s">
        <v>0</v>
      </c>
      <c r="C165" s="173">
        <v>76</v>
      </c>
      <c r="D165" s="173">
        <v>26</v>
      </c>
      <c r="E165" s="173">
        <v>5</v>
      </c>
      <c r="F165" s="174">
        <v>945</v>
      </c>
      <c r="G165" s="175"/>
      <c r="H165" s="175"/>
      <c r="I165" s="175"/>
      <c r="J165" s="175"/>
      <c r="K165" s="176"/>
      <c r="L165" s="176"/>
      <c r="M165" s="176"/>
      <c r="N165" s="176"/>
      <c r="O165" s="166">
        <f t="shared" si="15"/>
        <v>0.34896159999999998</v>
      </c>
      <c r="P165" s="167">
        <f t="shared" si="16"/>
        <v>945</v>
      </c>
      <c r="Q165" s="177">
        <f t="shared" si="21"/>
        <v>945</v>
      </c>
      <c r="R165" s="169">
        <f t="shared" si="17"/>
        <v>945</v>
      </c>
      <c r="S165" s="169">
        <f t="shared" si="17"/>
        <v>945</v>
      </c>
      <c r="T165" s="150">
        <f t="shared" si="17"/>
        <v>945</v>
      </c>
      <c r="U165" s="170">
        <f t="shared" si="18"/>
        <v>0</v>
      </c>
      <c r="V165" s="171">
        <f t="shared" si="19"/>
        <v>0</v>
      </c>
      <c r="W165" s="46">
        <f t="shared" si="20"/>
        <v>2708.0343510575376</v>
      </c>
      <c r="Y165" s="1" t="s">
        <v>46</v>
      </c>
    </row>
    <row r="166" spans="1:25" hidden="1" x14ac:dyDescent="0.3">
      <c r="A166" s="122" t="s">
        <v>386</v>
      </c>
      <c r="B166" s="172" t="s">
        <v>0</v>
      </c>
      <c r="C166" s="173">
        <v>114</v>
      </c>
      <c r="D166" s="173">
        <v>60</v>
      </c>
      <c r="E166" s="173">
        <v>5</v>
      </c>
      <c r="F166" s="174">
        <v>13200</v>
      </c>
      <c r="G166" s="175"/>
      <c r="H166" s="175"/>
      <c r="I166" s="175"/>
      <c r="J166" s="175"/>
      <c r="K166" s="176"/>
      <c r="L166" s="176"/>
      <c r="M166" s="176"/>
      <c r="N166" s="176"/>
      <c r="O166" s="166">
        <f t="shared" si="15"/>
        <v>1.2079440000000001</v>
      </c>
      <c r="P166" s="167">
        <f t="shared" si="16"/>
        <v>13200</v>
      </c>
      <c r="Q166" s="177">
        <f t="shared" si="21"/>
        <v>13200</v>
      </c>
      <c r="R166" s="169">
        <f t="shared" si="17"/>
        <v>13200</v>
      </c>
      <c r="S166" s="169">
        <f t="shared" si="17"/>
        <v>13200</v>
      </c>
      <c r="T166" s="150">
        <f t="shared" si="17"/>
        <v>13200</v>
      </c>
      <c r="U166" s="170">
        <f t="shared" si="18"/>
        <v>0</v>
      </c>
      <c r="V166" s="171">
        <f t="shared" si="19"/>
        <v>0</v>
      </c>
      <c r="W166" s="46">
        <f t="shared" si="20"/>
        <v>10927.658898094613</v>
      </c>
      <c r="Y166" s="1" t="s">
        <v>44</v>
      </c>
    </row>
    <row r="167" spans="1:25" ht="14.4" hidden="1" customHeight="1" x14ac:dyDescent="0.3">
      <c r="A167" s="122" t="s">
        <v>387</v>
      </c>
      <c r="B167" s="172" t="s">
        <v>0</v>
      </c>
      <c r="C167" s="173">
        <v>97</v>
      </c>
      <c r="D167" s="173">
        <v>51</v>
      </c>
      <c r="E167" s="173">
        <v>5</v>
      </c>
      <c r="F167" s="174">
        <v>9140</v>
      </c>
      <c r="G167" s="175"/>
      <c r="H167" s="175"/>
      <c r="I167" s="175"/>
      <c r="J167" s="175"/>
      <c r="K167" s="176"/>
      <c r="L167" s="176"/>
      <c r="M167" s="176"/>
      <c r="N167" s="176"/>
      <c r="O167" s="166">
        <f t="shared" si="15"/>
        <v>0.87364019999999998</v>
      </c>
      <c r="P167" s="167">
        <f t="shared" si="16"/>
        <v>9140</v>
      </c>
      <c r="Q167" s="177">
        <f t="shared" si="21"/>
        <v>9140</v>
      </c>
      <c r="R167" s="169">
        <f t="shared" si="17"/>
        <v>9140</v>
      </c>
      <c r="S167" s="169">
        <f t="shared" si="17"/>
        <v>9140</v>
      </c>
      <c r="T167" s="150">
        <f t="shared" si="17"/>
        <v>9140</v>
      </c>
      <c r="U167" s="170">
        <f t="shared" si="18"/>
        <v>0</v>
      </c>
      <c r="V167" s="171">
        <f t="shared" si="19"/>
        <v>0</v>
      </c>
      <c r="W167" s="46">
        <f t="shared" si="20"/>
        <v>10461.972789255806</v>
      </c>
      <c r="Y167" s="1" t="s">
        <v>46</v>
      </c>
    </row>
    <row r="168" spans="1:25" hidden="1" x14ac:dyDescent="0.3">
      <c r="A168" s="122" t="s">
        <v>337</v>
      </c>
      <c r="B168" s="172" t="s">
        <v>0</v>
      </c>
      <c r="C168" s="173">
        <v>121</v>
      </c>
      <c r="D168" s="173">
        <v>63</v>
      </c>
      <c r="E168" s="173">
        <v>5</v>
      </c>
      <c r="F168" s="174">
        <v>13215</v>
      </c>
      <c r="G168" s="175"/>
      <c r="H168" s="175"/>
      <c r="I168" s="175"/>
      <c r="J168" s="175"/>
      <c r="K168" s="176"/>
      <c r="L168" s="176"/>
      <c r="M168" s="176"/>
      <c r="N168" s="176"/>
      <c r="O168" s="166">
        <f t="shared" si="15"/>
        <v>1.3462218000000001</v>
      </c>
      <c r="P168" s="167">
        <f t="shared" si="16"/>
        <v>13215</v>
      </c>
      <c r="Q168" s="177">
        <f t="shared" si="21"/>
        <v>13215</v>
      </c>
      <c r="R168" s="169">
        <f t="shared" si="17"/>
        <v>13215</v>
      </c>
      <c r="S168" s="169">
        <f t="shared" si="17"/>
        <v>13215</v>
      </c>
      <c r="T168" s="150">
        <f t="shared" si="17"/>
        <v>13215</v>
      </c>
      <c r="U168" s="170">
        <f t="shared" si="18"/>
        <v>0</v>
      </c>
      <c r="V168" s="171">
        <f t="shared" si="19"/>
        <v>0</v>
      </c>
      <c r="W168" s="46">
        <f t="shared" si="20"/>
        <v>9816.3616129229213</v>
      </c>
      <c r="Y168" s="1" t="s">
        <v>44</v>
      </c>
    </row>
    <row r="169" spans="1:25" ht="14.4" hidden="1" customHeight="1" x14ac:dyDescent="0.3">
      <c r="A169" s="122" t="s">
        <v>169</v>
      </c>
      <c r="B169" s="172" t="s">
        <v>0</v>
      </c>
      <c r="C169" s="173">
        <v>97</v>
      </c>
      <c r="D169" s="173">
        <v>56</v>
      </c>
      <c r="E169" s="173">
        <v>4</v>
      </c>
      <c r="F169" s="174">
        <v>9550</v>
      </c>
      <c r="G169" s="175"/>
      <c r="H169" s="175"/>
      <c r="I169" s="175"/>
      <c r="J169" s="175"/>
      <c r="K169" s="176"/>
      <c r="L169" s="176"/>
      <c r="M169" s="176"/>
      <c r="N169" s="176"/>
      <c r="O169" s="166">
        <f t="shared" si="15"/>
        <v>0.76743296000000005</v>
      </c>
      <c r="P169" s="167">
        <f t="shared" si="16"/>
        <v>9550</v>
      </c>
      <c r="Q169" s="177">
        <f t="shared" si="21"/>
        <v>9550</v>
      </c>
      <c r="R169" s="169">
        <f t="shared" si="17"/>
        <v>9550</v>
      </c>
      <c r="S169" s="169">
        <f t="shared" si="17"/>
        <v>9550</v>
      </c>
      <c r="T169" s="150">
        <f t="shared" si="17"/>
        <v>9550</v>
      </c>
      <c r="U169" s="170">
        <f t="shared" si="18"/>
        <v>0</v>
      </c>
      <c r="V169" s="171">
        <f t="shared" si="19"/>
        <v>0</v>
      </c>
      <c r="W169" s="46">
        <f t="shared" si="20"/>
        <v>12444.083715143013</v>
      </c>
      <c r="Y169" s="1" t="s">
        <v>44</v>
      </c>
    </row>
    <row r="170" spans="1:25" ht="12.9" hidden="1" customHeight="1" x14ac:dyDescent="0.3">
      <c r="A170" s="122" t="s">
        <v>336</v>
      </c>
      <c r="B170" s="172" t="s">
        <v>0</v>
      </c>
      <c r="C170" s="173">
        <v>87</v>
      </c>
      <c r="D170" s="173">
        <v>59</v>
      </c>
      <c r="E170" s="173">
        <v>5</v>
      </c>
      <c r="F170" s="174">
        <v>6360</v>
      </c>
      <c r="G170" s="175"/>
      <c r="H170" s="175"/>
      <c r="I170" s="175"/>
      <c r="J170" s="175"/>
      <c r="K170" s="176"/>
      <c r="L170" s="176"/>
      <c r="M170" s="176"/>
      <c r="N170" s="176"/>
      <c r="O170" s="166">
        <f t="shared" si="15"/>
        <v>0.90648780000000007</v>
      </c>
      <c r="P170" s="167">
        <f t="shared" si="16"/>
        <v>6360</v>
      </c>
      <c r="Q170" s="177">
        <f t="shared" si="21"/>
        <v>6360</v>
      </c>
      <c r="R170" s="169">
        <f t="shared" si="17"/>
        <v>6360</v>
      </c>
      <c r="S170" s="169">
        <f t="shared" si="17"/>
        <v>6360</v>
      </c>
      <c r="T170" s="150">
        <f t="shared" si="17"/>
        <v>6360</v>
      </c>
      <c r="U170" s="170">
        <f t="shared" si="18"/>
        <v>0</v>
      </c>
      <c r="V170" s="171">
        <f t="shared" si="19"/>
        <v>0</v>
      </c>
      <c r="W170" s="46">
        <f t="shared" si="20"/>
        <v>7016.0900124634873</v>
      </c>
      <c r="Y170" s="1" t="s">
        <v>44</v>
      </c>
    </row>
    <row r="171" spans="1:25" ht="12.9" hidden="1" customHeight="1" x14ac:dyDescent="0.3">
      <c r="A171" s="122" t="s">
        <v>168</v>
      </c>
      <c r="B171" s="172" t="s">
        <v>0</v>
      </c>
      <c r="C171" s="173">
        <v>86</v>
      </c>
      <c r="D171" s="173">
        <v>60</v>
      </c>
      <c r="E171" s="173">
        <v>5</v>
      </c>
      <c r="F171" s="174">
        <v>8000</v>
      </c>
      <c r="G171" s="175"/>
      <c r="H171" s="175"/>
      <c r="I171" s="175"/>
      <c r="J171" s="175"/>
      <c r="K171" s="176"/>
      <c r="L171" s="176"/>
      <c r="M171" s="176"/>
      <c r="N171" s="176"/>
      <c r="O171" s="166">
        <f t="shared" si="15"/>
        <v>0.91125599999999995</v>
      </c>
      <c r="P171" s="167">
        <f t="shared" si="16"/>
        <v>8000</v>
      </c>
      <c r="Q171" s="177">
        <f t="shared" si="21"/>
        <v>8000</v>
      </c>
      <c r="R171" s="169">
        <f t="shared" si="17"/>
        <v>8000</v>
      </c>
      <c r="S171" s="169">
        <f t="shared" si="17"/>
        <v>8000</v>
      </c>
      <c r="T171" s="150">
        <f t="shared" si="17"/>
        <v>8000</v>
      </c>
      <c r="U171" s="170">
        <f t="shared" si="18"/>
        <v>0</v>
      </c>
      <c r="V171" s="171">
        <f t="shared" si="19"/>
        <v>0</v>
      </c>
      <c r="W171" s="46">
        <f t="shared" si="20"/>
        <v>8779.0917151711492</v>
      </c>
      <c r="Y171" s="1" t="s">
        <v>46</v>
      </c>
    </row>
    <row r="172" spans="1:25" ht="12.9" hidden="1" customHeight="1" x14ac:dyDescent="0.3">
      <c r="A172" s="122" t="s">
        <v>388</v>
      </c>
      <c r="B172" s="172" t="s">
        <v>0</v>
      </c>
      <c r="C172" s="173"/>
      <c r="D172" s="173"/>
      <c r="E172" s="173"/>
      <c r="F172" s="174"/>
      <c r="G172" s="175"/>
      <c r="H172" s="175"/>
      <c r="I172" s="175"/>
      <c r="J172" s="175"/>
      <c r="K172" s="176"/>
      <c r="L172" s="176"/>
      <c r="M172" s="176"/>
      <c r="N172" s="176"/>
      <c r="O172" s="166">
        <f t="shared" si="15"/>
        <v>0</v>
      </c>
      <c r="P172" s="167">
        <f t="shared" si="16"/>
        <v>0</v>
      </c>
      <c r="Q172" s="177">
        <f t="shared" si="21"/>
        <v>0</v>
      </c>
      <c r="R172" s="169">
        <f t="shared" si="17"/>
        <v>0</v>
      </c>
      <c r="S172" s="169">
        <f t="shared" si="17"/>
        <v>0</v>
      </c>
      <c r="T172" s="150">
        <f t="shared" si="17"/>
        <v>0</v>
      </c>
      <c r="U172" s="170">
        <f t="shared" si="18"/>
        <v>0</v>
      </c>
      <c r="V172" s="171" t="e">
        <f t="shared" si="19"/>
        <v>#DIV/0!</v>
      </c>
      <c r="W172" s="46" t="e">
        <f t="shared" si="20"/>
        <v>#DIV/0!</v>
      </c>
      <c r="Y172" s="1" t="s">
        <v>46</v>
      </c>
    </row>
    <row r="173" spans="1:25" hidden="1" x14ac:dyDescent="0.3">
      <c r="A173" s="122" t="s">
        <v>334</v>
      </c>
      <c r="B173" s="172" t="s">
        <v>0</v>
      </c>
      <c r="C173" s="173">
        <v>87</v>
      </c>
      <c r="D173" s="173">
        <v>59</v>
      </c>
      <c r="E173" s="173">
        <v>5</v>
      </c>
      <c r="F173" s="174">
        <v>6360</v>
      </c>
      <c r="G173" s="175"/>
      <c r="H173" s="175"/>
      <c r="I173" s="175"/>
      <c r="J173" s="175"/>
      <c r="K173" s="176"/>
      <c r="L173" s="176"/>
      <c r="M173" s="176"/>
      <c r="N173" s="176"/>
      <c r="O173" s="166">
        <f t="shared" si="15"/>
        <v>0.90648780000000007</v>
      </c>
      <c r="P173" s="167">
        <f t="shared" si="16"/>
        <v>6360</v>
      </c>
      <c r="Q173" s="177">
        <f t="shared" si="21"/>
        <v>6360</v>
      </c>
      <c r="R173" s="169">
        <f t="shared" si="17"/>
        <v>6360</v>
      </c>
      <c r="S173" s="169">
        <f t="shared" si="17"/>
        <v>6360</v>
      </c>
      <c r="T173" s="150">
        <f t="shared" si="17"/>
        <v>6360</v>
      </c>
      <c r="U173" s="170">
        <f t="shared" si="18"/>
        <v>0</v>
      </c>
      <c r="V173" s="171">
        <f t="shared" si="19"/>
        <v>0</v>
      </c>
      <c r="W173" s="46">
        <f t="shared" si="20"/>
        <v>7016.0900124634873</v>
      </c>
      <c r="Y173" s="1" t="s">
        <v>46</v>
      </c>
    </row>
    <row r="174" spans="1:25" ht="14.4" hidden="1" customHeight="1" x14ac:dyDescent="0.3">
      <c r="A174" s="122" t="s">
        <v>167</v>
      </c>
      <c r="B174" s="172" t="s">
        <v>0</v>
      </c>
      <c r="C174" s="173">
        <v>85</v>
      </c>
      <c r="D174" s="173">
        <v>58</v>
      </c>
      <c r="E174" s="173">
        <v>4</v>
      </c>
      <c r="F174" s="174">
        <v>7000</v>
      </c>
      <c r="G174" s="175"/>
      <c r="H174" s="175"/>
      <c r="I174" s="175"/>
      <c r="J174" s="175"/>
      <c r="K174" s="176"/>
      <c r="L174" s="176"/>
      <c r="M174" s="176"/>
      <c r="N174" s="176"/>
      <c r="O174" s="166">
        <f t="shared" si="15"/>
        <v>0.69651040000000009</v>
      </c>
      <c r="P174" s="167">
        <f t="shared" si="16"/>
        <v>7000</v>
      </c>
      <c r="Q174" s="177">
        <f t="shared" si="21"/>
        <v>7000</v>
      </c>
      <c r="R174" s="169">
        <f t="shared" si="17"/>
        <v>7000</v>
      </c>
      <c r="S174" s="169">
        <f t="shared" si="17"/>
        <v>7000</v>
      </c>
      <c r="T174" s="150">
        <f t="shared" si="17"/>
        <v>7000</v>
      </c>
      <c r="U174" s="170">
        <f t="shared" si="18"/>
        <v>0</v>
      </c>
      <c r="V174" s="171">
        <f t="shared" si="19"/>
        <v>0</v>
      </c>
      <c r="W174" s="46">
        <f t="shared" si="20"/>
        <v>10050.101190161697</v>
      </c>
      <c r="Y174" s="1" t="s">
        <v>44</v>
      </c>
    </row>
    <row r="175" spans="1:25" ht="14.4" hidden="1" customHeight="1" x14ac:dyDescent="0.3">
      <c r="A175" s="122" t="s">
        <v>166</v>
      </c>
      <c r="B175" s="172" t="s">
        <v>0</v>
      </c>
      <c r="C175" s="173">
        <v>85</v>
      </c>
      <c r="D175" s="173">
        <v>66</v>
      </c>
      <c r="E175" s="173">
        <v>5</v>
      </c>
      <c r="F175" s="174">
        <v>10750</v>
      </c>
      <c r="G175" s="175"/>
      <c r="H175" s="175"/>
      <c r="I175" s="175"/>
      <c r="J175" s="175"/>
      <c r="K175" s="176"/>
      <c r="L175" s="176"/>
      <c r="M175" s="176"/>
      <c r="N175" s="176"/>
      <c r="O175" s="166">
        <f t="shared" si="15"/>
        <v>0.990726</v>
      </c>
      <c r="P175" s="167">
        <f t="shared" si="16"/>
        <v>10750</v>
      </c>
      <c r="Q175" s="177">
        <f t="shared" si="21"/>
        <v>10750</v>
      </c>
      <c r="R175" s="169">
        <f t="shared" si="17"/>
        <v>10750</v>
      </c>
      <c r="S175" s="169">
        <f t="shared" si="17"/>
        <v>10750</v>
      </c>
      <c r="T175" s="150">
        <f t="shared" si="17"/>
        <v>10750</v>
      </c>
      <c r="U175" s="170">
        <f t="shared" si="18"/>
        <v>0</v>
      </c>
      <c r="V175" s="171">
        <f t="shared" si="19"/>
        <v>0</v>
      </c>
      <c r="W175" s="46">
        <f t="shared" si="20"/>
        <v>10850.628730849901</v>
      </c>
      <c r="Y175" s="1" t="s">
        <v>44</v>
      </c>
    </row>
    <row r="176" spans="1:25" ht="12.75" hidden="1" customHeight="1" x14ac:dyDescent="0.3">
      <c r="A176" s="117" t="s">
        <v>54</v>
      </c>
      <c r="B176" s="172" t="s">
        <v>0</v>
      </c>
      <c r="C176" s="173">
        <v>85</v>
      </c>
      <c r="D176" s="173">
        <v>54</v>
      </c>
      <c r="E176" s="173">
        <v>11</v>
      </c>
      <c r="F176" s="174">
        <v>24500</v>
      </c>
      <c r="G176" s="175"/>
      <c r="H176" s="175"/>
      <c r="I176" s="175"/>
      <c r="J176" s="175"/>
      <c r="K176" s="176"/>
      <c r="L176" s="176"/>
      <c r="M176" s="176"/>
      <c r="N176" s="176"/>
      <c r="O176" s="166">
        <f t="shared" si="15"/>
        <v>1.7833068000000001</v>
      </c>
      <c r="P176" s="167">
        <f t="shared" si="16"/>
        <v>24500</v>
      </c>
      <c r="Q176" s="177">
        <f t="shared" si="21"/>
        <v>24500</v>
      </c>
      <c r="R176" s="169">
        <f t="shared" si="17"/>
        <v>24500</v>
      </c>
      <c r="S176" s="169">
        <f t="shared" si="17"/>
        <v>24500</v>
      </c>
      <c r="T176" s="150">
        <f t="shared" si="17"/>
        <v>24500</v>
      </c>
      <c r="U176" s="170">
        <f t="shared" si="18"/>
        <v>0</v>
      </c>
      <c r="V176" s="171">
        <f t="shared" si="19"/>
        <v>0</v>
      </c>
      <c r="W176" s="46">
        <f t="shared" si="20"/>
        <v>13738.522165675586</v>
      </c>
      <c r="Y176" s="1" t="s">
        <v>44</v>
      </c>
    </row>
    <row r="177" spans="1:25" ht="14.4" hidden="1" customHeight="1" x14ac:dyDescent="0.3">
      <c r="A177" s="118" t="s">
        <v>165</v>
      </c>
      <c r="B177" s="172" t="s">
        <v>0</v>
      </c>
      <c r="C177" s="173">
        <v>111</v>
      </c>
      <c r="D177" s="173">
        <v>48</v>
      </c>
      <c r="E177" s="173">
        <v>10</v>
      </c>
      <c r="F177" s="174">
        <v>20500</v>
      </c>
      <c r="G177" s="175"/>
      <c r="H177" s="175"/>
      <c r="I177" s="175"/>
      <c r="J177" s="175"/>
      <c r="K177" s="176"/>
      <c r="L177" s="176"/>
      <c r="M177" s="176"/>
      <c r="N177" s="176"/>
      <c r="O177" s="166">
        <f t="shared" si="15"/>
        <v>1.8818496</v>
      </c>
      <c r="P177" s="167">
        <f t="shared" si="16"/>
        <v>20500</v>
      </c>
      <c r="Q177" s="177">
        <f t="shared" si="21"/>
        <v>20500</v>
      </c>
      <c r="R177" s="169">
        <f t="shared" si="17"/>
        <v>20500</v>
      </c>
      <c r="S177" s="169">
        <f t="shared" si="17"/>
        <v>20500</v>
      </c>
      <c r="T177" s="150">
        <f t="shared" si="17"/>
        <v>20500</v>
      </c>
      <c r="U177" s="170">
        <f t="shared" si="18"/>
        <v>0</v>
      </c>
      <c r="V177" s="171">
        <f t="shared" si="19"/>
        <v>0</v>
      </c>
      <c r="W177" s="46">
        <f t="shared" si="20"/>
        <v>10893.537932043027</v>
      </c>
      <c r="Y177" s="1" t="s">
        <v>44</v>
      </c>
    </row>
    <row r="178" spans="1:25" ht="14.4" hidden="1" customHeight="1" x14ac:dyDescent="0.3">
      <c r="A178" s="122" t="s">
        <v>164</v>
      </c>
      <c r="B178" s="172" t="s">
        <v>0</v>
      </c>
      <c r="C178" s="173">
        <v>109</v>
      </c>
      <c r="D178" s="173">
        <v>47</v>
      </c>
      <c r="E178" s="173">
        <v>9</v>
      </c>
      <c r="F178" s="174">
        <v>18300</v>
      </c>
      <c r="G178" s="175"/>
      <c r="H178" s="175"/>
      <c r="I178" s="175"/>
      <c r="J178" s="175"/>
      <c r="K178" s="176"/>
      <c r="L178" s="176"/>
      <c r="M178" s="176"/>
      <c r="N178" s="176"/>
      <c r="O178" s="166">
        <f t="shared" si="15"/>
        <v>1.62849924</v>
      </c>
      <c r="P178" s="167">
        <f t="shared" si="16"/>
        <v>18300</v>
      </c>
      <c r="Q178" s="177">
        <f t="shared" si="21"/>
        <v>18300</v>
      </c>
      <c r="R178" s="169">
        <f t="shared" si="17"/>
        <v>18300</v>
      </c>
      <c r="S178" s="169">
        <f t="shared" si="17"/>
        <v>18300</v>
      </c>
      <c r="T178" s="150">
        <f t="shared" si="17"/>
        <v>18300</v>
      </c>
      <c r="U178" s="170">
        <f t="shared" si="18"/>
        <v>0</v>
      </c>
      <c r="V178" s="171">
        <f t="shared" si="19"/>
        <v>0</v>
      </c>
      <c r="W178" s="46">
        <f t="shared" si="20"/>
        <v>11237.340215154169</v>
      </c>
      <c r="Y178" s="1" t="s">
        <v>44</v>
      </c>
    </row>
    <row r="179" spans="1:25" ht="14.4" hidden="1" customHeight="1" x14ac:dyDescent="0.3">
      <c r="A179" s="117" t="s">
        <v>55</v>
      </c>
      <c r="B179" s="172" t="s">
        <v>0</v>
      </c>
      <c r="C179" s="173">
        <v>123</v>
      </c>
      <c r="D179" s="173">
        <v>30</v>
      </c>
      <c r="E179" s="173">
        <v>13</v>
      </c>
      <c r="F179" s="174">
        <v>25000</v>
      </c>
      <c r="G179" s="175"/>
      <c r="H179" s="175"/>
      <c r="I179" s="175"/>
      <c r="J179" s="175"/>
      <c r="K179" s="176"/>
      <c r="L179" s="176"/>
      <c r="M179" s="176"/>
      <c r="N179" s="176"/>
      <c r="O179" s="166">
        <f t="shared" si="15"/>
        <v>1.6943003999999999</v>
      </c>
      <c r="P179" s="167">
        <f t="shared" si="16"/>
        <v>25000</v>
      </c>
      <c r="Q179" s="177">
        <f t="shared" si="21"/>
        <v>25000</v>
      </c>
      <c r="R179" s="169">
        <f t="shared" si="17"/>
        <v>25000</v>
      </c>
      <c r="S179" s="169">
        <f t="shared" si="17"/>
        <v>25000</v>
      </c>
      <c r="T179" s="150">
        <f t="shared" si="17"/>
        <v>25000</v>
      </c>
      <c r="U179" s="170">
        <f t="shared" si="18"/>
        <v>0</v>
      </c>
      <c r="V179" s="171">
        <f t="shared" si="19"/>
        <v>0</v>
      </c>
      <c r="W179" s="46">
        <f t="shared" si="20"/>
        <v>14755.35271077077</v>
      </c>
      <c r="Y179" s="1" t="s">
        <v>44</v>
      </c>
    </row>
    <row r="180" spans="1:25" ht="14.4" hidden="1" customHeight="1" x14ac:dyDescent="0.3">
      <c r="A180" s="122" t="s">
        <v>163</v>
      </c>
      <c r="B180" s="172" t="s">
        <v>0</v>
      </c>
      <c r="C180" s="173">
        <v>97</v>
      </c>
      <c r="D180" s="173">
        <v>49</v>
      </c>
      <c r="E180" s="173">
        <v>8</v>
      </c>
      <c r="F180" s="174">
        <v>16992</v>
      </c>
      <c r="G180" s="175"/>
      <c r="H180" s="175"/>
      <c r="I180" s="175"/>
      <c r="J180" s="175"/>
      <c r="K180" s="176"/>
      <c r="L180" s="176"/>
      <c r="M180" s="176"/>
      <c r="N180" s="176"/>
      <c r="O180" s="166">
        <f t="shared" si="15"/>
        <v>1.3430076800000001</v>
      </c>
      <c r="P180" s="167">
        <f t="shared" si="16"/>
        <v>16992</v>
      </c>
      <c r="Q180" s="177">
        <f t="shared" si="21"/>
        <v>16992</v>
      </c>
      <c r="R180" s="169">
        <f t="shared" si="17"/>
        <v>16992</v>
      </c>
      <c r="S180" s="169">
        <f t="shared" si="17"/>
        <v>16992</v>
      </c>
      <c r="T180" s="150">
        <f t="shared" si="17"/>
        <v>16992</v>
      </c>
      <c r="U180" s="170">
        <f t="shared" si="18"/>
        <v>0</v>
      </c>
      <c r="V180" s="171">
        <f t="shared" si="19"/>
        <v>0</v>
      </c>
      <c r="W180" s="46">
        <f t="shared" si="20"/>
        <v>12652.198682884671</v>
      </c>
      <c r="Y180" s="1" t="s">
        <v>44</v>
      </c>
    </row>
    <row r="181" spans="1:25" hidden="1" x14ac:dyDescent="0.3">
      <c r="A181" s="122" t="s">
        <v>333</v>
      </c>
      <c r="B181" s="172" t="s">
        <v>0</v>
      </c>
      <c r="C181" s="173">
        <v>55</v>
      </c>
      <c r="D181" s="173">
        <v>17</v>
      </c>
      <c r="E181" s="173">
        <v>5</v>
      </c>
      <c r="F181" s="174">
        <v>1790</v>
      </c>
      <c r="G181" s="175"/>
      <c r="H181" s="175"/>
      <c r="I181" s="175"/>
      <c r="J181" s="175"/>
      <c r="K181" s="176"/>
      <c r="L181" s="176"/>
      <c r="M181" s="176"/>
      <c r="N181" s="176"/>
      <c r="O181" s="166">
        <f t="shared" si="15"/>
        <v>0.16512100000000002</v>
      </c>
      <c r="P181" s="167">
        <f t="shared" si="16"/>
        <v>1790</v>
      </c>
      <c r="Q181" s="177">
        <f t="shared" si="21"/>
        <v>1790</v>
      </c>
      <c r="R181" s="169">
        <f t="shared" si="17"/>
        <v>1790</v>
      </c>
      <c r="S181" s="169">
        <f t="shared" si="17"/>
        <v>1790</v>
      </c>
      <c r="T181" s="150">
        <f t="shared" si="17"/>
        <v>1790</v>
      </c>
      <c r="U181" s="170">
        <f t="shared" si="18"/>
        <v>0</v>
      </c>
      <c r="V181" s="171">
        <f t="shared" si="19"/>
        <v>0</v>
      </c>
      <c r="W181" s="46">
        <f t="shared" si="20"/>
        <v>10840.535122728181</v>
      </c>
      <c r="Y181" s="1" t="s">
        <v>46</v>
      </c>
    </row>
    <row r="182" spans="1:25" ht="14.4" hidden="1" customHeight="1" x14ac:dyDescent="0.3">
      <c r="A182" s="123" t="s">
        <v>87</v>
      </c>
      <c r="B182" s="172" t="s">
        <v>0</v>
      </c>
      <c r="C182" s="173">
        <v>136</v>
      </c>
      <c r="D182" s="173">
        <v>77</v>
      </c>
      <c r="E182" s="173">
        <v>10</v>
      </c>
      <c r="F182" s="174">
        <v>47550</v>
      </c>
      <c r="G182" s="175"/>
      <c r="H182" s="175"/>
      <c r="I182" s="175"/>
      <c r="J182" s="175"/>
      <c r="K182" s="176"/>
      <c r="L182" s="176"/>
      <c r="M182" s="176"/>
      <c r="N182" s="176"/>
      <c r="O182" s="166">
        <f t="shared" si="15"/>
        <v>3.6987104</v>
      </c>
      <c r="P182" s="167">
        <f t="shared" si="16"/>
        <v>47550</v>
      </c>
      <c r="Q182" s="177">
        <f t="shared" si="21"/>
        <v>47550</v>
      </c>
      <c r="R182" s="169">
        <f t="shared" si="17"/>
        <v>47550</v>
      </c>
      <c r="S182" s="169">
        <f t="shared" si="17"/>
        <v>47550</v>
      </c>
      <c r="T182" s="150">
        <f t="shared" si="17"/>
        <v>47550</v>
      </c>
      <c r="U182" s="170">
        <f t="shared" si="18"/>
        <v>0</v>
      </c>
      <c r="V182" s="171">
        <f t="shared" si="19"/>
        <v>0</v>
      </c>
      <c r="W182" s="46">
        <f t="shared" si="20"/>
        <v>12855.832130031051</v>
      </c>
      <c r="Y182" s="1" t="s">
        <v>46</v>
      </c>
    </row>
    <row r="183" spans="1:25" ht="14.4" hidden="1" customHeight="1" x14ac:dyDescent="0.3">
      <c r="A183" s="122" t="s">
        <v>162</v>
      </c>
      <c r="B183" s="172" t="s">
        <v>0</v>
      </c>
      <c r="C183" s="173">
        <v>98</v>
      </c>
      <c r="D183" s="173">
        <v>25</v>
      </c>
      <c r="E183" s="173">
        <v>10</v>
      </c>
      <c r="F183" s="174">
        <v>9700</v>
      </c>
      <c r="G183" s="175"/>
      <c r="H183" s="175"/>
      <c r="I183" s="175"/>
      <c r="J183" s="175"/>
      <c r="K183" s="176"/>
      <c r="L183" s="176"/>
      <c r="M183" s="176"/>
      <c r="N183" s="176"/>
      <c r="O183" s="166">
        <f t="shared" si="15"/>
        <v>0.86534</v>
      </c>
      <c r="P183" s="167">
        <f t="shared" si="16"/>
        <v>9700</v>
      </c>
      <c r="Q183" s="177">
        <f t="shared" si="21"/>
        <v>9700</v>
      </c>
      <c r="R183" s="169">
        <f t="shared" si="17"/>
        <v>9700</v>
      </c>
      <c r="S183" s="169">
        <f t="shared" si="17"/>
        <v>9700</v>
      </c>
      <c r="T183" s="150">
        <f t="shared" si="17"/>
        <v>9700</v>
      </c>
      <c r="U183" s="170">
        <f t="shared" si="18"/>
        <v>0</v>
      </c>
      <c r="V183" s="171">
        <f t="shared" si="19"/>
        <v>0</v>
      </c>
      <c r="W183" s="46">
        <f t="shared" si="20"/>
        <v>11209.466799177202</v>
      </c>
      <c r="Y183" s="1" t="s">
        <v>44</v>
      </c>
    </row>
    <row r="184" spans="1:25" ht="14.4" hidden="1" customHeight="1" x14ac:dyDescent="0.3">
      <c r="A184" s="120" t="s">
        <v>67</v>
      </c>
      <c r="B184" s="172" t="s">
        <v>0</v>
      </c>
      <c r="C184" s="173">
        <v>145</v>
      </c>
      <c r="D184" s="173">
        <v>26</v>
      </c>
      <c r="E184" s="173">
        <v>10</v>
      </c>
      <c r="F184" s="208">
        <v>16000</v>
      </c>
      <c r="G184" s="175"/>
      <c r="H184" s="175"/>
      <c r="I184" s="175"/>
      <c r="J184" s="175"/>
      <c r="K184" s="176"/>
      <c r="L184" s="176"/>
      <c r="M184" s="176"/>
      <c r="N184" s="176"/>
      <c r="O184" s="166">
        <f t="shared" si="15"/>
        <v>1.331564</v>
      </c>
      <c r="P184" s="167">
        <f t="shared" si="16"/>
        <v>16000</v>
      </c>
      <c r="Q184" s="177">
        <f t="shared" si="21"/>
        <v>16000</v>
      </c>
      <c r="R184" s="169">
        <f t="shared" si="17"/>
        <v>16000</v>
      </c>
      <c r="S184" s="169">
        <f t="shared" si="17"/>
        <v>16000</v>
      </c>
      <c r="T184" s="150">
        <f t="shared" si="17"/>
        <v>16000</v>
      </c>
      <c r="U184" s="170">
        <f t="shared" si="18"/>
        <v>0</v>
      </c>
      <c r="V184" s="171">
        <f t="shared" si="19"/>
        <v>0</v>
      </c>
      <c r="W184" s="46">
        <f t="shared" si="20"/>
        <v>12015.945159226294</v>
      </c>
      <c r="Y184" s="1" t="s">
        <v>46</v>
      </c>
    </row>
    <row r="185" spans="1:25" ht="14.4" hidden="1" customHeight="1" x14ac:dyDescent="0.3">
      <c r="A185" s="122" t="s">
        <v>389</v>
      </c>
      <c r="B185" s="172" t="s">
        <v>0</v>
      </c>
      <c r="C185" s="173">
        <v>56</v>
      </c>
      <c r="D185" s="173">
        <v>29</v>
      </c>
      <c r="E185" s="173">
        <v>9</v>
      </c>
      <c r="F185" s="174">
        <v>5525</v>
      </c>
      <c r="G185" s="175"/>
      <c r="H185" s="175"/>
      <c r="I185" s="175"/>
      <c r="J185" s="175"/>
      <c r="K185" s="176"/>
      <c r="L185" s="176"/>
      <c r="M185" s="176"/>
      <c r="N185" s="176"/>
      <c r="O185" s="166">
        <f t="shared" si="15"/>
        <v>0.51623711999999999</v>
      </c>
      <c r="P185" s="167">
        <f t="shared" si="16"/>
        <v>5525</v>
      </c>
      <c r="Q185" s="177">
        <f t="shared" si="21"/>
        <v>5525</v>
      </c>
      <c r="R185" s="169">
        <f t="shared" si="17"/>
        <v>5525</v>
      </c>
      <c r="S185" s="169">
        <f t="shared" si="17"/>
        <v>5525</v>
      </c>
      <c r="T185" s="150">
        <f t="shared" si="17"/>
        <v>5525</v>
      </c>
      <c r="U185" s="170">
        <f t="shared" si="18"/>
        <v>0</v>
      </c>
      <c r="V185" s="171">
        <f t="shared" si="19"/>
        <v>0</v>
      </c>
      <c r="W185" s="46">
        <f t="shared" si="20"/>
        <v>10702.446193718111</v>
      </c>
      <c r="Y185" s="1" t="s">
        <v>44</v>
      </c>
    </row>
    <row r="186" spans="1:25" ht="14.4" hidden="1" customHeight="1" x14ac:dyDescent="0.3">
      <c r="A186" s="126" t="s">
        <v>160</v>
      </c>
      <c r="B186" s="172" t="s">
        <v>0</v>
      </c>
      <c r="C186" s="173">
        <v>35</v>
      </c>
      <c r="D186" s="173">
        <v>25</v>
      </c>
      <c r="E186" s="173">
        <v>5</v>
      </c>
      <c r="F186" s="174">
        <v>1100</v>
      </c>
      <c r="G186" s="175"/>
      <c r="H186" s="175"/>
      <c r="I186" s="175"/>
      <c r="J186" s="175"/>
      <c r="K186" s="176"/>
      <c r="L186" s="176"/>
      <c r="M186" s="176"/>
      <c r="N186" s="176"/>
      <c r="O186" s="166">
        <f t="shared" si="15"/>
        <v>0.15452500000000002</v>
      </c>
      <c r="P186" s="167">
        <f t="shared" si="16"/>
        <v>1100</v>
      </c>
      <c r="Q186" s="177">
        <f t="shared" si="21"/>
        <v>1100</v>
      </c>
      <c r="R186" s="169">
        <f t="shared" si="17"/>
        <v>1100</v>
      </c>
      <c r="S186" s="169">
        <f t="shared" si="17"/>
        <v>1100</v>
      </c>
      <c r="T186" s="150">
        <f t="shared" si="17"/>
        <v>1100</v>
      </c>
      <c r="U186" s="170">
        <f t="shared" si="18"/>
        <v>0</v>
      </c>
      <c r="V186" s="171">
        <f t="shared" si="19"/>
        <v>0</v>
      </c>
      <c r="W186" s="46">
        <f t="shared" si="20"/>
        <v>7118.5892250444904</v>
      </c>
      <c r="Y186" s="1" t="s">
        <v>44</v>
      </c>
    </row>
    <row r="187" spans="1:25" ht="14.4" hidden="1" customHeight="1" x14ac:dyDescent="0.3">
      <c r="A187" s="126" t="s">
        <v>159</v>
      </c>
      <c r="B187" s="172" t="s">
        <v>0</v>
      </c>
      <c r="C187" s="173">
        <v>36</v>
      </c>
      <c r="D187" s="173">
        <v>25</v>
      </c>
      <c r="E187" s="173">
        <v>5</v>
      </c>
      <c r="F187" s="174">
        <v>1515</v>
      </c>
      <c r="G187" s="175"/>
      <c r="H187" s="175"/>
      <c r="I187" s="175"/>
      <c r="J187" s="175"/>
      <c r="K187" s="176"/>
      <c r="L187" s="176"/>
      <c r="M187" s="176"/>
      <c r="N187" s="176"/>
      <c r="O187" s="166">
        <f t="shared" si="15"/>
        <v>0.15894</v>
      </c>
      <c r="P187" s="167">
        <f t="shared" si="16"/>
        <v>1515</v>
      </c>
      <c r="Q187" s="177">
        <f t="shared" si="21"/>
        <v>1515</v>
      </c>
      <c r="R187" s="169">
        <f t="shared" si="17"/>
        <v>1515</v>
      </c>
      <c r="S187" s="169">
        <f t="shared" si="17"/>
        <v>1515</v>
      </c>
      <c r="T187" s="150">
        <f t="shared" si="17"/>
        <v>1515</v>
      </c>
      <c r="U187" s="170">
        <f t="shared" si="18"/>
        <v>0</v>
      </c>
      <c r="V187" s="171">
        <f t="shared" si="19"/>
        <v>0</v>
      </c>
      <c r="W187" s="46">
        <f t="shared" si="20"/>
        <v>9531.8988297470751</v>
      </c>
      <c r="Y187" s="1" t="s">
        <v>44</v>
      </c>
    </row>
    <row r="188" spans="1:25" s="62" customFormat="1" ht="14.4" hidden="1" customHeight="1" x14ac:dyDescent="0.3">
      <c r="A188" s="178" t="s">
        <v>158</v>
      </c>
      <c r="B188" s="179" t="s">
        <v>0</v>
      </c>
      <c r="C188" s="180">
        <v>47</v>
      </c>
      <c r="D188" s="180">
        <v>35</v>
      </c>
      <c r="E188" s="180">
        <v>8</v>
      </c>
      <c r="F188" s="181">
        <v>6000</v>
      </c>
      <c r="G188" s="180"/>
      <c r="H188" s="180"/>
      <c r="I188" s="180"/>
      <c r="J188" s="180"/>
      <c r="K188" s="180"/>
      <c r="L188" s="180"/>
      <c r="M188" s="180"/>
      <c r="N188" s="180"/>
      <c r="O188" s="182">
        <f t="shared" si="15"/>
        <v>0.46481119999999998</v>
      </c>
      <c r="P188" s="68">
        <f t="shared" si="16"/>
        <v>6000</v>
      </c>
      <c r="Q188" s="183">
        <f t="shared" si="21"/>
        <v>6000</v>
      </c>
      <c r="R188" s="184">
        <f t="shared" si="17"/>
        <v>6000</v>
      </c>
      <c r="S188" s="184">
        <f t="shared" si="17"/>
        <v>6000</v>
      </c>
      <c r="T188" s="185">
        <f t="shared" si="17"/>
        <v>6000</v>
      </c>
      <c r="U188" s="186">
        <f t="shared" si="18"/>
        <v>0</v>
      </c>
      <c r="V188" s="187">
        <f t="shared" si="19"/>
        <v>0</v>
      </c>
      <c r="W188" s="63">
        <f t="shared" si="20"/>
        <v>12908.466921623232</v>
      </c>
      <c r="Y188" s="62" t="s">
        <v>44</v>
      </c>
    </row>
    <row r="189" spans="1:25" ht="14.4" hidden="1" customHeight="1" x14ac:dyDescent="0.3">
      <c r="A189" s="122" t="s">
        <v>332</v>
      </c>
      <c r="B189" s="172" t="s">
        <v>0</v>
      </c>
      <c r="C189" s="173">
        <v>35</v>
      </c>
      <c r="D189" s="173">
        <v>30</v>
      </c>
      <c r="E189" s="173">
        <v>9</v>
      </c>
      <c r="F189" s="174">
        <v>3725</v>
      </c>
      <c r="G189" s="175"/>
      <c r="H189" s="175"/>
      <c r="I189" s="175"/>
      <c r="J189" s="175"/>
      <c r="K189" s="176"/>
      <c r="L189" s="176"/>
      <c r="M189" s="176"/>
      <c r="N189" s="176"/>
      <c r="O189" s="166">
        <f t="shared" si="15"/>
        <v>0.33377400000000002</v>
      </c>
      <c r="P189" s="167">
        <f t="shared" si="16"/>
        <v>3725</v>
      </c>
      <c r="Q189" s="177">
        <f t="shared" si="21"/>
        <v>3725</v>
      </c>
      <c r="R189" s="169">
        <f t="shared" si="17"/>
        <v>3725</v>
      </c>
      <c r="S189" s="169">
        <f t="shared" si="17"/>
        <v>3725</v>
      </c>
      <c r="T189" s="150">
        <f t="shared" si="17"/>
        <v>3725</v>
      </c>
      <c r="U189" s="170">
        <f t="shared" si="18"/>
        <v>0</v>
      </c>
      <c r="V189" s="171">
        <f t="shared" si="19"/>
        <v>0</v>
      </c>
      <c r="W189" s="46">
        <f t="shared" si="20"/>
        <v>11160.24615458364</v>
      </c>
      <c r="Y189" s="1" t="s">
        <v>46</v>
      </c>
    </row>
    <row r="190" spans="1:25" ht="14.4" hidden="1" customHeight="1" x14ac:dyDescent="0.3">
      <c r="A190" s="122" t="s">
        <v>157</v>
      </c>
      <c r="B190" s="172" t="s">
        <v>0</v>
      </c>
      <c r="C190" s="173">
        <v>175</v>
      </c>
      <c r="D190" s="173">
        <v>42</v>
      </c>
      <c r="E190" s="173">
        <v>6</v>
      </c>
      <c r="F190" s="174">
        <v>21430</v>
      </c>
      <c r="G190" s="175"/>
      <c r="H190" s="175"/>
      <c r="I190" s="175"/>
      <c r="J190" s="175"/>
      <c r="K190" s="176"/>
      <c r="L190" s="176"/>
      <c r="M190" s="176"/>
      <c r="N190" s="176"/>
      <c r="O190" s="166">
        <f t="shared" si="15"/>
        <v>1.557612</v>
      </c>
      <c r="P190" s="167">
        <f t="shared" si="16"/>
        <v>21430</v>
      </c>
      <c r="Q190" s="177">
        <f t="shared" si="21"/>
        <v>21430</v>
      </c>
      <c r="R190" s="169">
        <f t="shared" si="17"/>
        <v>21430</v>
      </c>
      <c r="S190" s="169">
        <f t="shared" si="17"/>
        <v>21430</v>
      </c>
      <c r="T190" s="150">
        <f t="shared" si="17"/>
        <v>21430</v>
      </c>
      <c r="U190" s="170">
        <f t="shared" si="18"/>
        <v>0</v>
      </c>
      <c r="V190" s="171">
        <f t="shared" si="19"/>
        <v>0</v>
      </c>
      <c r="W190" s="46">
        <f t="shared" si="20"/>
        <v>13758.240177913371</v>
      </c>
      <c r="Y190" s="1" t="s">
        <v>44</v>
      </c>
    </row>
    <row r="191" spans="1:25" ht="14.4" hidden="1" x14ac:dyDescent="0.3">
      <c r="A191" s="120" t="s">
        <v>77</v>
      </c>
      <c r="B191" s="172" t="s">
        <v>0</v>
      </c>
      <c r="C191" s="173">
        <v>156</v>
      </c>
      <c r="D191" s="173">
        <v>40</v>
      </c>
      <c r="E191" s="173">
        <v>7</v>
      </c>
      <c r="F191" s="174">
        <v>16800</v>
      </c>
      <c r="G191" s="175"/>
      <c r="H191" s="175"/>
      <c r="I191" s="175"/>
      <c r="J191" s="175"/>
      <c r="K191" s="176"/>
      <c r="L191" s="176"/>
      <c r="M191" s="176"/>
      <c r="N191" s="176"/>
      <c r="O191" s="166">
        <f t="shared" si="15"/>
        <v>1.5427776</v>
      </c>
      <c r="P191" s="167">
        <f t="shared" si="16"/>
        <v>16800</v>
      </c>
      <c r="Q191" s="177">
        <f t="shared" si="21"/>
        <v>16800</v>
      </c>
      <c r="R191" s="169">
        <f t="shared" si="17"/>
        <v>16800</v>
      </c>
      <c r="S191" s="169">
        <f t="shared" si="17"/>
        <v>16800</v>
      </c>
      <c r="T191" s="150">
        <f t="shared" si="17"/>
        <v>16800</v>
      </c>
      <c r="U191" s="170">
        <f t="shared" si="18"/>
        <v>0</v>
      </c>
      <c r="V191" s="171">
        <f t="shared" si="19"/>
        <v>0</v>
      </c>
      <c r="W191" s="46">
        <f t="shared" si="20"/>
        <v>10889.450300548828</v>
      </c>
      <c r="Y191" s="1" t="s">
        <v>44</v>
      </c>
    </row>
    <row r="192" spans="1:25" ht="14.4" hidden="1" customHeight="1" x14ac:dyDescent="0.3">
      <c r="A192" s="116" t="s">
        <v>321</v>
      </c>
      <c r="B192" s="172" t="s">
        <v>0</v>
      </c>
      <c r="C192" s="173">
        <v>195</v>
      </c>
      <c r="D192" s="173">
        <v>40</v>
      </c>
      <c r="E192" s="173">
        <v>10</v>
      </c>
      <c r="F192" s="174">
        <v>32700</v>
      </c>
      <c r="G192" s="175">
        <v>145</v>
      </c>
      <c r="H192" s="175">
        <v>26</v>
      </c>
      <c r="I192" s="175">
        <v>10</v>
      </c>
      <c r="J192" s="175">
        <v>16000</v>
      </c>
      <c r="K192" s="176"/>
      <c r="L192" s="176"/>
      <c r="M192" s="176"/>
      <c r="N192" s="176"/>
      <c r="O192" s="166">
        <f t="shared" si="15"/>
        <v>4.0865239999999998</v>
      </c>
      <c r="P192" s="167">
        <f t="shared" si="16"/>
        <v>48700</v>
      </c>
      <c r="Q192" s="177">
        <f t="shared" si="21"/>
        <v>48700</v>
      </c>
      <c r="R192" s="169">
        <f t="shared" si="17"/>
        <v>48700</v>
      </c>
      <c r="S192" s="169">
        <f t="shared" si="17"/>
        <v>48700</v>
      </c>
      <c r="T192" s="150">
        <f t="shared" si="17"/>
        <v>48700</v>
      </c>
      <c r="U192" s="170">
        <f t="shared" si="18"/>
        <v>0</v>
      </c>
      <c r="V192" s="171">
        <f t="shared" si="19"/>
        <v>0</v>
      </c>
      <c r="W192" s="46">
        <f t="shared" si="20"/>
        <v>11917.218643521977</v>
      </c>
    </row>
    <row r="193" spans="1:25" ht="14.4" hidden="1" x14ac:dyDescent="0.3">
      <c r="A193" s="120" t="s">
        <v>66</v>
      </c>
      <c r="B193" s="172" t="s">
        <v>0</v>
      </c>
      <c r="C193" s="173">
        <v>195</v>
      </c>
      <c r="D193" s="173">
        <v>40</v>
      </c>
      <c r="E193" s="173">
        <v>10</v>
      </c>
      <c r="F193" s="208">
        <v>32700</v>
      </c>
      <c r="G193" s="175"/>
      <c r="H193" s="175"/>
      <c r="I193" s="175"/>
      <c r="J193" s="175"/>
      <c r="K193" s="176"/>
      <c r="L193" s="176"/>
      <c r="M193" s="176"/>
      <c r="N193" s="176"/>
      <c r="O193" s="166">
        <f t="shared" si="15"/>
        <v>2.7549600000000001</v>
      </c>
      <c r="P193" s="167">
        <f t="shared" si="16"/>
        <v>32700</v>
      </c>
      <c r="Q193" s="177">
        <f t="shared" si="21"/>
        <v>32700</v>
      </c>
      <c r="R193" s="169">
        <f t="shared" si="17"/>
        <v>32700</v>
      </c>
      <c r="S193" s="169">
        <f t="shared" si="17"/>
        <v>32700</v>
      </c>
      <c r="T193" s="150">
        <f t="shared" si="17"/>
        <v>32700</v>
      </c>
      <c r="U193" s="170">
        <f t="shared" si="18"/>
        <v>0</v>
      </c>
      <c r="V193" s="171">
        <f t="shared" si="19"/>
        <v>0</v>
      </c>
      <c r="W193" s="46">
        <f t="shared" si="20"/>
        <v>11869.500827598222</v>
      </c>
      <c r="Y193" s="1" t="s">
        <v>46</v>
      </c>
    </row>
    <row r="194" spans="1:25" ht="12.75" hidden="1" customHeight="1" x14ac:dyDescent="0.3">
      <c r="A194" s="117" t="s">
        <v>52</v>
      </c>
      <c r="B194" s="172" t="s">
        <v>0</v>
      </c>
      <c r="C194" s="173">
        <v>91</v>
      </c>
      <c r="D194" s="173">
        <v>54</v>
      </c>
      <c r="E194" s="173">
        <v>9</v>
      </c>
      <c r="F194" s="174">
        <v>28300</v>
      </c>
      <c r="G194" s="175"/>
      <c r="H194" s="175"/>
      <c r="I194" s="175"/>
      <c r="J194" s="175"/>
      <c r="K194" s="176"/>
      <c r="L194" s="176"/>
      <c r="M194" s="176"/>
      <c r="N194" s="176"/>
      <c r="O194" s="166">
        <f t="shared" si="15"/>
        <v>1.5620623200000001</v>
      </c>
      <c r="P194" s="167">
        <f t="shared" si="16"/>
        <v>28300</v>
      </c>
      <c r="Q194" s="177">
        <f t="shared" si="21"/>
        <v>28300</v>
      </c>
      <c r="R194" s="169">
        <f t="shared" si="17"/>
        <v>28300</v>
      </c>
      <c r="S194" s="169">
        <f t="shared" si="17"/>
        <v>28300</v>
      </c>
      <c r="T194" s="150">
        <f t="shared" si="17"/>
        <v>28300</v>
      </c>
      <c r="U194" s="170">
        <f t="shared" si="18"/>
        <v>0</v>
      </c>
      <c r="V194" s="171">
        <f t="shared" si="19"/>
        <v>0</v>
      </c>
      <c r="W194" s="46">
        <f t="shared" si="20"/>
        <v>18117.074868050076</v>
      </c>
      <c r="Y194" s="1" t="s">
        <v>44</v>
      </c>
    </row>
    <row r="195" spans="1:25" hidden="1" x14ac:dyDescent="0.3">
      <c r="A195" s="122" t="s">
        <v>156</v>
      </c>
      <c r="B195" s="172" t="s">
        <v>0</v>
      </c>
      <c r="C195" s="173">
        <v>117</v>
      </c>
      <c r="D195" s="173">
        <v>30</v>
      </c>
      <c r="E195" s="173">
        <v>6</v>
      </c>
      <c r="F195" s="174">
        <v>8500</v>
      </c>
      <c r="G195" s="175"/>
      <c r="H195" s="175"/>
      <c r="I195" s="175"/>
      <c r="J195" s="175"/>
      <c r="K195" s="176"/>
      <c r="L195" s="176"/>
      <c r="M195" s="176"/>
      <c r="N195" s="176"/>
      <c r="O195" s="166">
        <f t="shared" si="15"/>
        <v>0.74383919999999992</v>
      </c>
      <c r="P195" s="167">
        <f t="shared" si="16"/>
        <v>8500</v>
      </c>
      <c r="Q195" s="177">
        <f t="shared" si="21"/>
        <v>8500</v>
      </c>
      <c r="R195" s="169">
        <f t="shared" si="17"/>
        <v>8500</v>
      </c>
      <c r="S195" s="169">
        <f t="shared" si="17"/>
        <v>8500</v>
      </c>
      <c r="T195" s="150">
        <f t="shared" si="17"/>
        <v>8500</v>
      </c>
      <c r="U195" s="170">
        <f t="shared" si="18"/>
        <v>0</v>
      </c>
      <c r="V195" s="171">
        <f t="shared" si="19"/>
        <v>0</v>
      </c>
      <c r="W195" s="46">
        <f t="shared" si="20"/>
        <v>11427.200932674697</v>
      </c>
      <c r="Y195" s="1" t="s">
        <v>44</v>
      </c>
    </row>
    <row r="196" spans="1:25" hidden="1" x14ac:dyDescent="0.3">
      <c r="A196" s="122" t="s">
        <v>331</v>
      </c>
      <c r="B196" s="172" t="s">
        <v>0</v>
      </c>
      <c r="C196" s="173">
        <v>69</v>
      </c>
      <c r="D196" s="173">
        <v>28</v>
      </c>
      <c r="E196" s="173">
        <v>6</v>
      </c>
      <c r="F196" s="174">
        <v>5000</v>
      </c>
      <c r="G196" s="175"/>
      <c r="H196" s="175"/>
      <c r="I196" s="175"/>
      <c r="J196" s="175"/>
      <c r="K196" s="176"/>
      <c r="L196" s="176"/>
      <c r="M196" s="176"/>
      <c r="N196" s="176"/>
      <c r="O196" s="166">
        <f t="shared" ref="O196:O259" si="22">((IFERROR((C196*D196*E196),0)+IFERROR((G196*H196*I196),0)+IFERROR((K196*L196*M196),0))/1000000)*35.32</f>
        <v>0.40942943999999998</v>
      </c>
      <c r="P196" s="167">
        <f t="shared" ref="P196:P259" si="23">F196+J196+N196</f>
        <v>5000</v>
      </c>
      <c r="Q196" s="177">
        <f t="shared" si="21"/>
        <v>5000</v>
      </c>
      <c r="R196" s="169">
        <f t="shared" ref="R196:T259" si="24">MAX(Q196,O196)</f>
        <v>5000</v>
      </c>
      <c r="S196" s="169">
        <f t="shared" si="24"/>
        <v>5000</v>
      </c>
      <c r="T196" s="150">
        <f t="shared" si="24"/>
        <v>5000</v>
      </c>
      <c r="U196" s="170">
        <f t="shared" ref="U196:U259" si="25">T196-Q196</f>
        <v>0</v>
      </c>
      <c r="V196" s="171">
        <f t="shared" ref="V196:V259" si="26">U196/T196</f>
        <v>0</v>
      </c>
      <c r="W196" s="46">
        <f t="shared" ref="W196:W259" si="27">R196/O196</f>
        <v>12212.116451616181</v>
      </c>
      <c r="Y196" s="1" t="s">
        <v>46</v>
      </c>
    </row>
    <row r="197" spans="1:25" hidden="1" x14ac:dyDescent="0.3">
      <c r="A197" s="122" t="s">
        <v>155</v>
      </c>
      <c r="B197" s="172" t="s">
        <v>0</v>
      </c>
      <c r="C197" s="173">
        <v>144</v>
      </c>
      <c r="D197" s="173">
        <v>42</v>
      </c>
      <c r="E197" s="173">
        <v>10</v>
      </c>
      <c r="F197" s="174">
        <v>27500</v>
      </c>
      <c r="G197" s="175"/>
      <c r="H197" s="175"/>
      <c r="I197" s="175"/>
      <c r="J197" s="175"/>
      <c r="K197" s="176"/>
      <c r="L197" s="176"/>
      <c r="M197" s="176"/>
      <c r="N197" s="176"/>
      <c r="O197" s="166">
        <f t="shared" si="22"/>
        <v>2.1361536000000001</v>
      </c>
      <c r="P197" s="167">
        <f t="shared" si="23"/>
        <v>27500</v>
      </c>
      <c r="Q197" s="177">
        <f t="shared" si="21"/>
        <v>27500</v>
      </c>
      <c r="R197" s="169">
        <f t="shared" si="24"/>
        <v>27500</v>
      </c>
      <c r="S197" s="169">
        <f t="shared" si="24"/>
        <v>27500</v>
      </c>
      <c r="T197" s="150">
        <f t="shared" si="24"/>
        <v>27500</v>
      </c>
      <c r="U197" s="170">
        <f t="shared" si="25"/>
        <v>0</v>
      </c>
      <c r="V197" s="171">
        <f t="shared" si="26"/>
        <v>0</v>
      </c>
      <c r="W197" s="46">
        <f t="shared" si="27"/>
        <v>12873.606092745389</v>
      </c>
      <c r="Y197" s="1" t="s">
        <v>44</v>
      </c>
    </row>
    <row r="198" spans="1:25" hidden="1" x14ac:dyDescent="0.3">
      <c r="A198" s="122" t="s">
        <v>330</v>
      </c>
      <c r="B198" s="172" t="s">
        <v>0</v>
      </c>
      <c r="C198" s="173">
        <v>149</v>
      </c>
      <c r="D198" s="173">
        <v>46</v>
      </c>
      <c r="E198" s="173">
        <v>7</v>
      </c>
      <c r="F198" s="174">
        <v>23500</v>
      </c>
      <c r="G198" s="175"/>
      <c r="H198" s="175"/>
      <c r="I198" s="175"/>
      <c r="J198" s="175"/>
      <c r="K198" s="176"/>
      <c r="L198" s="176"/>
      <c r="M198" s="176"/>
      <c r="N198" s="176"/>
      <c r="O198" s="166">
        <f t="shared" si="22"/>
        <v>1.69458296</v>
      </c>
      <c r="P198" s="167">
        <f t="shared" si="23"/>
        <v>23500</v>
      </c>
      <c r="Q198" s="177">
        <f t="shared" si="21"/>
        <v>23500</v>
      </c>
      <c r="R198" s="169">
        <f t="shared" si="24"/>
        <v>23500</v>
      </c>
      <c r="S198" s="169">
        <f t="shared" si="24"/>
        <v>23500</v>
      </c>
      <c r="T198" s="150">
        <f t="shared" si="24"/>
        <v>23500</v>
      </c>
      <c r="U198" s="170">
        <f t="shared" si="25"/>
        <v>0</v>
      </c>
      <c r="V198" s="171">
        <f t="shared" si="26"/>
        <v>0</v>
      </c>
      <c r="W198" s="46">
        <f t="shared" si="27"/>
        <v>13867.718816197703</v>
      </c>
      <c r="Y198" s="1" t="s">
        <v>46</v>
      </c>
    </row>
    <row r="199" spans="1:25" hidden="1" x14ac:dyDescent="0.3">
      <c r="A199" s="123" t="s">
        <v>86</v>
      </c>
      <c r="B199" s="172" t="s">
        <v>0</v>
      </c>
      <c r="C199" s="173">
        <v>164</v>
      </c>
      <c r="D199" s="173">
        <v>40</v>
      </c>
      <c r="E199" s="173">
        <v>7</v>
      </c>
      <c r="F199" s="174">
        <v>17400</v>
      </c>
      <c r="G199" s="175"/>
      <c r="H199" s="175"/>
      <c r="I199" s="175"/>
      <c r="J199" s="175"/>
      <c r="K199" s="176"/>
      <c r="L199" s="176"/>
      <c r="M199" s="176"/>
      <c r="N199" s="176"/>
      <c r="O199" s="166">
        <f t="shared" si="22"/>
        <v>1.6218944000000002</v>
      </c>
      <c r="P199" s="167">
        <f t="shared" si="23"/>
        <v>17400</v>
      </c>
      <c r="Q199" s="177">
        <f t="shared" si="21"/>
        <v>17400</v>
      </c>
      <c r="R199" s="169">
        <f t="shared" si="24"/>
        <v>17400</v>
      </c>
      <c r="S199" s="169">
        <f t="shared" si="24"/>
        <v>17400</v>
      </c>
      <c r="T199" s="150">
        <f t="shared" si="24"/>
        <v>17400</v>
      </c>
      <c r="U199" s="170">
        <f t="shared" si="25"/>
        <v>0</v>
      </c>
      <c r="V199" s="171">
        <f t="shared" si="26"/>
        <v>0</v>
      </c>
      <c r="W199" s="46">
        <f t="shared" si="27"/>
        <v>10728.195374495404</v>
      </c>
      <c r="Y199" s="1" t="s">
        <v>44</v>
      </c>
    </row>
    <row r="200" spans="1:25" ht="14.4" hidden="1" x14ac:dyDescent="0.3">
      <c r="A200" s="120" t="s">
        <v>68</v>
      </c>
      <c r="B200" s="172" t="s">
        <v>0</v>
      </c>
      <c r="C200" s="173">
        <v>100</v>
      </c>
      <c r="D200" s="173">
        <v>53</v>
      </c>
      <c r="E200" s="173">
        <v>9</v>
      </c>
      <c r="F200" s="208">
        <v>28500</v>
      </c>
      <c r="G200" s="175"/>
      <c r="H200" s="175"/>
      <c r="I200" s="175"/>
      <c r="J200" s="175"/>
      <c r="K200" s="176"/>
      <c r="L200" s="176"/>
      <c r="M200" s="176"/>
      <c r="N200" s="176"/>
      <c r="O200" s="166">
        <f t="shared" si="22"/>
        <v>1.6847639999999999</v>
      </c>
      <c r="P200" s="167">
        <f t="shared" si="23"/>
        <v>28500</v>
      </c>
      <c r="Q200" s="177">
        <f t="shared" si="21"/>
        <v>28500</v>
      </c>
      <c r="R200" s="169">
        <f t="shared" si="24"/>
        <v>28500</v>
      </c>
      <c r="S200" s="169">
        <f t="shared" si="24"/>
        <v>28500</v>
      </c>
      <c r="T200" s="150">
        <f t="shared" si="24"/>
        <v>28500</v>
      </c>
      <c r="U200" s="170">
        <f t="shared" si="25"/>
        <v>0</v>
      </c>
      <c r="V200" s="171">
        <f t="shared" si="26"/>
        <v>0</v>
      </c>
      <c r="W200" s="46">
        <f t="shared" si="27"/>
        <v>16916.315875695349</v>
      </c>
      <c r="Y200" s="1" t="s">
        <v>46</v>
      </c>
    </row>
    <row r="201" spans="1:25" hidden="1" x14ac:dyDescent="0.3">
      <c r="A201" s="122" t="s">
        <v>154</v>
      </c>
      <c r="B201" s="172" t="s">
        <v>0</v>
      </c>
      <c r="C201" s="173">
        <v>127</v>
      </c>
      <c r="D201" s="173">
        <v>30</v>
      </c>
      <c r="E201" s="173">
        <v>9</v>
      </c>
      <c r="F201" s="174">
        <v>13400</v>
      </c>
      <c r="G201" s="175"/>
      <c r="H201" s="175"/>
      <c r="I201" s="175"/>
      <c r="J201" s="175"/>
      <c r="K201" s="176"/>
      <c r="L201" s="176"/>
      <c r="M201" s="176"/>
      <c r="N201" s="176"/>
      <c r="O201" s="166">
        <f t="shared" si="22"/>
        <v>1.2111228000000001</v>
      </c>
      <c r="P201" s="167">
        <f t="shared" si="23"/>
        <v>13400</v>
      </c>
      <c r="Q201" s="177">
        <f t="shared" si="21"/>
        <v>13400</v>
      </c>
      <c r="R201" s="169">
        <f t="shared" si="24"/>
        <v>13400</v>
      </c>
      <c r="S201" s="169">
        <f t="shared" si="24"/>
        <v>13400</v>
      </c>
      <c r="T201" s="150">
        <f t="shared" si="24"/>
        <v>13400</v>
      </c>
      <c r="U201" s="170">
        <f t="shared" si="25"/>
        <v>0</v>
      </c>
      <c r="V201" s="171">
        <f t="shared" si="26"/>
        <v>0</v>
      </c>
      <c r="W201" s="46">
        <f t="shared" si="27"/>
        <v>11064.113399566088</v>
      </c>
      <c r="Y201" s="1" t="s">
        <v>44</v>
      </c>
    </row>
    <row r="202" spans="1:25" hidden="1" x14ac:dyDescent="0.3">
      <c r="A202" s="122" t="s">
        <v>153</v>
      </c>
      <c r="B202" s="172" t="s">
        <v>0</v>
      </c>
      <c r="C202" s="173">
        <v>98</v>
      </c>
      <c r="D202" s="173">
        <v>27</v>
      </c>
      <c r="E202" s="173">
        <v>6</v>
      </c>
      <c r="F202" s="174">
        <v>6230</v>
      </c>
      <c r="G202" s="175"/>
      <c r="H202" s="175"/>
      <c r="I202" s="175"/>
      <c r="J202" s="175"/>
      <c r="K202" s="176"/>
      <c r="L202" s="176"/>
      <c r="M202" s="176"/>
      <c r="N202" s="176"/>
      <c r="O202" s="166">
        <f t="shared" si="22"/>
        <v>0.56074032000000007</v>
      </c>
      <c r="P202" s="167">
        <f t="shared" si="23"/>
        <v>6230</v>
      </c>
      <c r="Q202" s="177">
        <f t="shared" si="21"/>
        <v>6230</v>
      </c>
      <c r="R202" s="169">
        <f t="shared" si="24"/>
        <v>6230</v>
      </c>
      <c r="S202" s="169">
        <f t="shared" si="24"/>
        <v>6230</v>
      </c>
      <c r="T202" s="150">
        <f t="shared" si="24"/>
        <v>6230</v>
      </c>
      <c r="U202" s="170">
        <f t="shared" si="25"/>
        <v>0</v>
      </c>
      <c r="V202" s="171">
        <f t="shared" si="26"/>
        <v>0</v>
      </c>
      <c r="W202" s="46">
        <f t="shared" si="27"/>
        <v>11110.312167314809</v>
      </c>
      <c r="Y202" s="1" t="s">
        <v>44</v>
      </c>
    </row>
    <row r="203" spans="1:25" hidden="1" x14ac:dyDescent="0.3">
      <c r="A203" s="122" t="s">
        <v>152</v>
      </c>
      <c r="B203" s="172" t="s">
        <v>0</v>
      </c>
      <c r="C203" s="173">
        <v>97</v>
      </c>
      <c r="D203" s="173">
        <v>31</v>
      </c>
      <c r="E203" s="173">
        <v>8</v>
      </c>
      <c r="F203" s="174">
        <v>11500</v>
      </c>
      <c r="G203" s="175"/>
      <c r="H203" s="175"/>
      <c r="I203" s="175"/>
      <c r="J203" s="175"/>
      <c r="K203" s="176"/>
      <c r="L203" s="176"/>
      <c r="M203" s="176"/>
      <c r="N203" s="176"/>
      <c r="O203" s="166">
        <f t="shared" si="22"/>
        <v>0.84965792000000007</v>
      </c>
      <c r="P203" s="167">
        <f t="shared" si="23"/>
        <v>11500</v>
      </c>
      <c r="Q203" s="177">
        <f t="shared" si="21"/>
        <v>11500</v>
      </c>
      <c r="R203" s="169">
        <f t="shared" si="24"/>
        <v>11500</v>
      </c>
      <c r="S203" s="169">
        <f t="shared" si="24"/>
        <v>11500</v>
      </c>
      <c r="T203" s="150">
        <f t="shared" si="24"/>
        <v>11500</v>
      </c>
      <c r="U203" s="170">
        <f t="shared" si="25"/>
        <v>0</v>
      </c>
      <c r="V203" s="171">
        <f t="shared" si="26"/>
        <v>0</v>
      </c>
      <c r="W203" s="46">
        <f t="shared" si="27"/>
        <v>13534.858828833138</v>
      </c>
      <c r="Y203" s="1" t="s">
        <v>44</v>
      </c>
    </row>
    <row r="204" spans="1:25" hidden="1" x14ac:dyDescent="0.3">
      <c r="A204" s="122" t="s">
        <v>151</v>
      </c>
      <c r="B204" s="172" t="s">
        <v>97</v>
      </c>
      <c r="C204" s="173">
        <v>207</v>
      </c>
      <c r="D204" s="173">
        <v>45</v>
      </c>
      <c r="E204" s="173">
        <v>10</v>
      </c>
      <c r="F204" s="174">
        <v>47400</v>
      </c>
      <c r="G204" s="175">
        <v>146</v>
      </c>
      <c r="H204" s="175">
        <v>28</v>
      </c>
      <c r="I204" s="175">
        <v>10</v>
      </c>
      <c r="J204" s="175">
        <v>20000</v>
      </c>
      <c r="K204" s="176">
        <v>158</v>
      </c>
      <c r="L204" s="176">
        <v>28</v>
      </c>
      <c r="M204" s="176">
        <v>7</v>
      </c>
      <c r="N204" s="176">
        <v>15180</v>
      </c>
      <c r="O204" s="166">
        <f t="shared" si="22"/>
        <v>5.8277293600000002</v>
      </c>
      <c r="P204" s="167">
        <f t="shared" si="23"/>
        <v>82580</v>
      </c>
      <c r="Q204" s="177">
        <f t="shared" si="21"/>
        <v>82580</v>
      </c>
      <c r="R204" s="169">
        <f t="shared" si="24"/>
        <v>82580</v>
      </c>
      <c r="S204" s="169">
        <f t="shared" si="24"/>
        <v>82580</v>
      </c>
      <c r="T204" s="150">
        <f t="shared" si="24"/>
        <v>82580</v>
      </c>
      <c r="U204" s="170">
        <f t="shared" si="25"/>
        <v>0</v>
      </c>
      <c r="V204" s="171">
        <f t="shared" si="26"/>
        <v>0</v>
      </c>
      <c r="W204" s="46">
        <f t="shared" si="27"/>
        <v>14170.184457570624</v>
      </c>
      <c r="Y204" s="1" t="s">
        <v>44</v>
      </c>
    </row>
    <row r="205" spans="1:25" hidden="1" x14ac:dyDescent="0.3">
      <c r="A205" s="122" t="s">
        <v>150</v>
      </c>
      <c r="B205" s="172" t="s">
        <v>0</v>
      </c>
      <c r="C205" s="173">
        <v>92</v>
      </c>
      <c r="D205" s="173">
        <v>53</v>
      </c>
      <c r="E205" s="173">
        <v>9</v>
      </c>
      <c r="F205" s="174">
        <v>19000</v>
      </c>
      <c r="G205" s="175"/>
      <c r="H205" s="175"/>
      <c r="I205" s="175"/>
      <c r="J205" s="175"/>
      <c r="K205" s="176"/>
      <c r="L205" s="176"/>
      <c r="M205" s="176"/>
      <c r="N205" s="176"/>
      <c r="O205" s="166">
        <f t="shared" si="22"/>
        <v>1.54998288</v>
      </c>
      <c r="P205" s="167">
        <f t="shared" si="23"/>
        <v>19000</v>
      </c>
      <c r="Q205" s="177">
        <f t="shared" si="21"/>
        <v>19000</v>
      </c>
      <c r="R205" s="169">
        <f t="shared" si="24"/>
        <v>19000</v>
      </c>
      <c r="S205" s="169">
        <f t="shared" si="24"/>
        <v>19000</v>
      </c>
      <c r="T205" s="150">
        <f t="shared" si="24"/>
        <v>19000</v>
      </c>
      <c r="U205" s="170">
        <f t="shared" si="25"/>
        <v>0</v>
      </c>
      <c r="V205" s="171">
        <f t="shared" si="26"/>
        <v>0</v>
      </c>
      <c r="W205" s="46">
        <f t="shared" si="27"/>
        <v>12258.199909924168</v>
      </c>
      <c r="Y205" s="1" t="s">
        <v>44</v>
      </c>
    </row>
    <row r="206" spans="1:25" hidden="1" x14ac:dyDescent="0.3">
      <c r="A206" s="122" t="s">
        <v>149</v>
      </c>
      <c r="B206" s="172" t="s">
        <v>0</v>
      </c>
      <c r="C206" s="173">
        <v>134</v>
      </c>
      <c r="D206" s="173">
        <v>44</v>
      </c>
      <c r="E206" s="173">
        <v>10</v>
      </c>
      <c r="F206" s="174">
        <v>26500</v>
      </c>
      <c r="G206" s="175"/>
      <c r="H206" s="175"/>
      <c r="I206" s="175"/>
      <c r="J206" s="175"/>
      <c r="K206" s="176"/>
      <c r="L206" s="176"/>
      <c r="M206" s="176"/>
      <c r="N206" s="176"/>
      <c r="O206" s="166">
        <f t="shared" si="22"/>
        <v>2.0824672</v>
      </c>
      <c r="P206" s="167">
        <f t="shared" si="23"/>
        <v>26500</v>
      </c>
      <c r="Q206" s="177">
        <f t="shared" ref="Q206:Q267" si="28">F206+J206+N206</f>
        <v>26500</v>
      </c>
      <c r="R206" s="169">
        <f t="shared" si="24"/>
        <v>26500</v>
      </c>
      <c r="S206" s="169">
        <f t="shared" si="24"/>
        <v>26500</v>
      </c>
      <c r="T206" s="150">
        <f t="shared" si="24"/>
        <v>26500</v>
      </c>
      <c r="U206" s="170">
        <f t="shared" si="25"/>
        <v>0</v>
      </c>
      <c r="V206" s="171">
        <f t="shared" si="26"/>
        <v>0</v>
      </c>
      <c r="W206" s="46">
        <f t="shared" si="27"/>
        <v>12725.290463158315</v>
      </c>
      <c r="Y206" s="1" t="s">
        <v>44</v>
      </c>
    </row>
    <row r="207" spans="1:25" hidden="1" x14ac:dyDescent="0.3">
      <c r="A207" s="122" t="s">
        <v>148</v>
      </c>
      <c r="B207" s="172" t="s">
        <v>0</v>
      </c>
      <c r="C207" s="173">
        <v>127</v>
      </c>
      <c r="D207" s="173">
        <v>35</v>
      </c>
      <c r="E207" s="173">
        <v>7</v>
      </c>
      <c r="F207" s="174">
        <v>12000</v>
      </c>
      <c r="G207" s="175"/>
      <c r="H207" s="175"/>
      <c r="I207" s="175"/>
      <c r="J207" s="175"/>
      <c r="K207" s="176"/>
      <c r="L207" s="176"/>
      <c r="M207" s="176"/>
      <c r="N207" s="176"/>
      <c r="O207" s="166">
        <f t="shared" si="22"/>
        <v>1.0989818</v>
      </c>
      <c r="P207" s="167">
        <f t="shared" si="23"/>
        <v>12000</v>
      </c>
      <c r="Q207" s="177">
        <f t="shared" si="28"/>
        <v>12000</v>
      </c>
      <c r="R207" s="169">
        <f t="shared" si="24"/>
        <v>12000</v>
      </c>
      <c r="S207" s="169">
        <f t="shared" si="24"/>
        <v>12000</v>
      </c>
      <c r="T207" s="150">
        <f t="shared" si="24"/>
        <v>12000</v>
      </c>
      <c r="U207" s="170">
        <f t="shared" si="25"/>
        <v>0</v>
      </c>
      <c r="V207" s="171">
        <f t="shared" si="26"/>
        <v>0</v>
      </c>
      <c r="W207" s="46">
        <f t="shared" si="27"/>
        <v>10919.198115928762</v>
      </c>
      <c r="Y207" s="1" t="s">
        <v>46</v>
      </c>
    </row>
    <row r="208" spans="1:25" hidden="1" x14ac:dyDescent="0.3">
      <c r="A208" s="122" t="s">
        <v>147</v>
      </c>
      <c r="B208" s="172" t="s">
        <v>0</v>
      </c>
      <c r="C208" s="173">
        <v>85</v>
      </c>
      <c r="D208" s="173">
        <v>29</v>
      </c>
      <c r="E208" s="173">
        <v>6</v>
      </c>
      <c r="F208" s="174">
        <v>6000</v>
      </c>
      <c r="G208" s="175"/>
      <c r="H208" s="175"/>
      <c r="I208" s="175"/>
      <c r="J208" s="175"/>
      <c r="K208" s="176"/>
      <c r="L208" s="176"/>
      <c r="M208" s="176"/>
      <c r="N208" s="176"/>
      <c r="O208" s="166">
        <f t="shared" si="22"/>
        <v>0.52238279999999992</v>
      </c>
      <c r="P208" s="167">
        <f t="shared" si="23"/>
        <v>6000</v>
      </c>
      <c r="Q208" s="177">
        <f t="shared" si="28"/>
        <v>6000</v>
      </c>
      <c r="R208" s="169">
        <f t="shared" si="24"/>
        <v>6000</v>
      </c>
      <c r="S208" s="169">
        <f t="shared" si="24"/>
        <v>6000</v>
      </c>
      <c r="T208" s="150">
        <f t="shared" si="24"/>
        <v>6000</v>
      </c>
      <c r="U208" s="170">
        <f t="shared" si="25"/>
        <v>0</v>
      </c>
      <c r="V208" s="171">
        <f t="shared" si="26"/>
        <v>0</v>
      </c>
      <c r="W208" s="46">
        <f t="shared" si="27"/>
        <v>11485.829931613371</v>
      </c>
      <c r="Y208" s="1" t="s">
        <v>46</v>
      </c>
    </row>
    <row r="209" spans="1:25" hidden="1" x14ac:dyDescent="0.3">
      <c r="A209" s="122" t="s">
        <v>146</v>
      </c>
      <c r="B209" s="172" t="s">
        <v>0</v>
      </c>
      <c r="C209" s="173">
        <v>97</v>
      </c>
      <c r="D209" s="173">
        <v>30</v>
      </c>
      <c r="E209" s="173">
        <v>5</v>
      </c>
      <c r="F209" s="174">
        <v>4000</v>
      </c>
      <c r="G209" s="175"/>
      <c r="H209" s="175"/>
      <c r="I209" s="175"/>
      <c r="J209" s="175"/>
      <c r="K209" s="176"/>
      <c r="L209" s="176"/>
      <c r="M209" s="176"/>
      <c r="N209" s="176"/>
      <c r="O209" s="166">
        <f t="shared" si="22"/>
        <v>0.51390599999999997</v>
      </c>
      <c r="P209" s="167">
        <f t="shared" si="23"/>
        <v>4000</v>
      </c>
      <c r="Q209" s="177">
        <f t="shared" si="28"/>
        <v>4000</v>
      </c>
      <c r="R209" s="169">
        <f t="shared" si="24"/>
        <v>4000</v>
      </c>
      <c r="S209" s="169">
        <f t="shared" si="24"/>
        <v>4000</v>
      </c>
      <c r="T209" s="150">
        <f t="shared" si="24"/>
        <v>4000</v>
      </c>
      <c r="U209" s="170">
        <f t="shared" si="25"/>
        <v>0</v>
      </c>
      <c r="V209" s="171">
        <f t="shared" si="26"/>
        <v>0</v>
      </c>
      <c r="W209" s="46">
        <f t="shared" si="27"/>
        <v>7783.5246134507097</v>
      </c>
      <c r="Y209" s="1" t="s">
        <v>44</v>
      </c>
    </row>
    <row r="210" spans="1:25" hidden="1" x14ac:dyDescent="0.3">
      <c r="A210" s="122" t="s">
        <v>145</v>
      </c>
      <c r="B210" s="172" t="s">
        <v>0</v>
      </c>
      <c r="C210" s="173">
        <v>66</v>
      </c>
      <c r="D210" s="173">
        <v>29</v>
      </c>
      <c r="E210" s="173">
        <v>5</v>
      </c>
      <c r="F210" s="174">
        <v>3310</v>
      </c>
      <c r="G210" s="175"/>
      <c r="H210" s="175"/>
      <c r="I210" s="175"/>
      <c r="J210" s="175"/>
      <c r="K210" s="176"/>
      <c r="L210" s="176"/>
      <c r="M210" s="176"/>
      <c r="N210" s="176"/>
      <c r="O210" s="166">
        <f t="shared" si="22"/>
        <v>0.33801239999999999</v>
      </c>
      <c r="P210" s="167">
        <f t="shared" si="23"/>
        <v>3310</v>
      </c>
      <c r="Q210" s="177">
        <f t="shared" si="28"/>
        <v>3310</v>
      </c>
      <c r="R210" s="169">
        <f t="shared" si="24"/>
        <v>3310</v>
      </c>
      <c r="S210" s="169">
        <f t="shared" si="24"/>
        <v>3310</v>
      </c>
      <c r="T210" s="150">
        <f t="shared" si="24"/>
        <v>3310</v>
      </c>
      <c r="U210" s="170">
        <f t="shared" si="25"/>
        <v>0</v>
      </c>
      <c r="V210" s="171">
        <f t="shared" si="26"/>
        <v>0</v>
      </c>
      <c r="W210" s="46">
        <f t="shared" si="27"/>
        <v>9792.5401553315805</v>
      </c>
      <c r="Y210" s="1" t="s">
        <v>44</v>
      </c>
    </row>
    <row r="211" spans="1:25" hidden="1" x14ac:dyDescent="0.3">
      <c r="A211" s="122" t="s">
        <v>144</v>
      </c>
      <c r="B211" s="172" t="s">
        <v>0</v>
      </c>
      <c r="C211" s="173">
        <v>123</v>
      </c>
      <c r="D211" s="173">
        <v>40</v>
      </c>
      <c r="E211" s="173">
        <v>9</v>
      </c>
      <c r="F211" s="174">
        <v>16000</v>
      </c>
      <c r="G211" s="175"/>
      <c r="H211" s="175"/>
      <c r="I211" s="175"/>
      <c r="J211" s="175"/>
      <c r="K211" s="176"/>
      <c r="L211" s="176"/>
      <c r="M211" s="176"/>
      <c r="N211" s="176"/>
      <c r="O211" s="166">
        <f t="shared" si="22"/>
        <v>1.5639696000000001</v>
      </c>
      <c r="P211" s="167">
        <f t="shared" si="23"/>
        <v>16000</v>
      </c>
      <c r="Q211" s="177">
        <f t="shared" si="28"/>
        <v>16000</v>
      </c>
      <c r="R211" s="169">
        <f t="shared" si="24"/>
        <v>16000</v>
      </c>
      <c r="S211" s="169">
        <f t="shared" si="24"/>
        <v>16000</v>
      </c>
      <c r="T211" s="150">
        <f t="shared" si="24"/>
        <v>16000</v>
      </c>
      <c r="U211" s="170">
        <f t="shared" si="25"/>
        <v>0</v>
      </c>
      <c r="V211" s="171">
        <f t="shared" si="26"/>
        <v>0</v>
      </c>
      <c r="W211" s="46">
        <f t="shared" si="27"/>
        <v>10230.377879467733</v>
      </c>
      <c r="Y211" s="1" t="s">
        <v>46</v>
      </c>
    </row>
    <row r="212" spans="1:25" hidden="1" x14ac:dyDescent="0.3">
      <c r="A212" s="125" t="s">
        <v>143</v>
      </c>
      <c r="B212" s="172" t="s">
        <v>0</v>
      </c>
      <c r="C212" s="173">
        <v>96</v>
      </c>
      <c r="D212" s="173">
        <v>31</v>
      </c>
      <c r="E212" s="173">
        <v>4</v>
      </c>
      <c r="F212" s="174">
        <v>4500</v>
      </c>
      <c r="G212" s="175"/>
      <c r="H212" s="175"/>
      <c r="I212" s="175"/>
      <c r="J212" s="175"/>
      <c r="K212" s="176"/>
      <c r="L212" s="176"/>
      <c r="M212" s="176"/>
      <c r="N212" s="176"/>
      <c r="O212" s="166">
        <f t="shared" si="22"/>
        <v>0.42044927999999998</v>
      </c>
      <c r="P212" s="167">
        <f t="shared" si="23"/>
        <v>4500</v>
      </c>
      <c r="Q212" s="177">
        <f t="shared" si="28"/>
        <v>4500</v>
      </c>
      <c r="R212" s="169">
        <f t="shared" si="24"/>
        <v>4500</v>
      </c>
      <c r="S212" s="169">
        <f t="shared" si="24"/>
        <v>4500</v>
      </c>
      <c r="T212" s="150">
        <f t="shared" si="24"/>
        <v>4500</v>
      </c>
      <c r="U212" s="170">
        <f t="shared" si="25"/>
        <v>0</v>
      </c>
      <c r="V212" s="171">
        <f t="shared" si="26"/>
        <v>0</v>
      </c>
      <c r="W212" s="46">
        <f t="shared" si="27"/>
        <v>10702.836736930552</v>
      </c>
      <c r="Y212" s="1" t="s">
        <v>44</v>
      </c>
    </row>
    <row r="213" spans="1:25" hidden="1" x14ac:dyDescent="0.3">
      <c r="A213" s="125" t="s">
        <v>142</v>
      </c>
      <c r="B213" s="172" t="s">
        <v>0</v>
      </c>
      <c r="C213" s="173">
        <v>68</v>
      </c>
      <c r="D213" s="173">
        <v>31</v>
      </c>
      <c r="E213" s="173">
        <v>5</v>
      </c>
      <c r="F213" s="174">
        <v>3000</v>
      </c>
      <c r="G213" s="175"/>
      <c r="H213" s="175"/>
      <c r="I213" s="175"/>
      <c r="J213" s="175"/>
      <c r="K213" s="176"/>
      <c r="L213" s="176"/>
      <c r="M213" s="176"/>
      <c r="N213" s="176"/>
      <c r="O213" s="166">
        <f t="shared" si="22"/>
        <v>0.37227280000000001</v>
      </c>
      <c r="P213" s="167">
        <f t="shared" si="23"/>
        <v>3000</v>
      </c>
      <c r="Q213" s="177">
        <f t="shared" si="28"/>
        <v>3000</v>
      </c>
      <c r="R213" s="169">
        <f t="shared" si="24"/>
        <v>3000</v>
      </c>
      <c r="S213" s="169">
        <f t="shared" si="24"/>
        <v>3000</v>
      </c>
      <c r="T213" s="150">
        <f t="shared" si="24"/>
        <v>3000</v>
      </c>
      <c r="U213" s="170">
        <f t="shared" si="25"/>
        <v>0</v>
      </c>
      <c r="V213" s="171">
        <f t="shared" si="26"/>
        <v>0</v>
      </c>
      <c r="W213" s="46">
        <f t="shared" si="27"/>
        <v>8058.6064842771211</v>
      </c>
      <c r="Y213" s="1" t="s">
        <v>44</v>
      </c>
    </row>
    <row r="214" spans="1:25" hidden="1" x14ac:dyDescent="0.3">
      <c r="A214" s="122" t="s">
        <v>141</v>
      </c>
      <c r="B214" s="172" t="s">
        <v>0</v>
      </c>
      <c r="C214" s="173">
        <v>65.7</v>
      </c>
      <c r="D214" s="173">
        <v>29.2</v>
      </c>
      <c r="E214" s="173">
        <v>5</v>
      </c>
      <c r="F214" s="174">
        <v>4000</v>
      </c>
      <c r="G214" s="175"/>
      <c r="H214" s="175"/>
      <c r="I214" s="175"/>
      <c r="J214" s="175"/>
      <c r="K214" s="176"/>
      <c r="L214" s="176"/>
      <c r="M214" s="176"/>
      <c r="N214" s="176"/>
      <c r="O214" s="166">
        <f t="shared" si="22"/>
        <v>0.338796504</v>
      </c>
      <c r="P214" s="167">
        <f t="shared" si="23"/>
        <v>4000</v>
      </c>
      <c r="Q214" s="177">
        <f t="shared" si="28"/>
        <v>4000</v>
      </c>
      <c r="R214" s="169">
        <f t="shared" si="24"/>
        <v>4000</v>
      </c>
      <c r="S214" s="169">
        <f t="shared" si="24"/>
        <v>4000</v>
      </c>
      <c r="T214" s="150">
        <f t="shared" si="24"/>
        <v>4000</v>
      </c>
      <c r="U214" s="170">
        <f t="shared" si="25"/>
        <v>0</v>
      </c>
      <c r="V214" s="171">
        <f t="shared" si="26"/>
        <v>0</v>
      </c>
      <c r="W214" s="46">
        <f t="shared" si="27"/>
        <v>11806.497271294158</v>
      </c>
      <c r="Y214" s="1" t="s">
        <v>46</v>
      </c>
    </row>
    <row r="215" spans="1:25" hidden="1" x14ac:dyDescent="0.3">
      <c r="A215" s="123" t="s">
        <v>82</v>
      </c>
      <c r="B215" s="172" t="s">
        <v>0</v>
      </c>
      <c r="C215" s="173">
        <v>194</v>
      </c>
      <c r="D215" s="173">
        <v>44</v>
      </c>
      <c r="E215" s="173">
        <v>8</v>
      </c>
      <c r="F215" s="174">
        <v>31500</v>
      </c>
      <c r="G215" s="175"/>
      <c r="H215" s="175"/>
      <c r="I215" s="175"/>
      <c r="J215" s="175"/>
      <c r="K215" s="176"/>
      <c r="L215" s="176"/>
      <c r="M215" s="176"/>
      <c r="N215" s="176"/>
      <c r="O215" s="166">
        <f t="shared" si="22"/>
        <v>2.4119321600000001</v>
      </c>
      <c r="P215" s="167">
        <f t="shared" si="23"/>
        <v>31500</v>
      </c>
      <c r="Q215" s="177">
        <f t="shared" si="28"/>
        <v>31500</v>
      </c>
      <c r="R215" s="169">
        <f t="shared" si="24"/>
        <v>31500</v>
      </c>
      <c r="S215" s="169">
        <f t="shared" si="24"/>
        <v>31500</v>
      </c>
      <c r="T215" s="150">
        <f t="shared" si="24"/>
        <v>31500</v>
      </c>
      <c r="U215" s="170">
        <f t="shared" si="25"/>
        <v>0</v>
      </c>
      <c r="V215" s="171">
        <f t="shared" si="26"/>
        <v>0</v>
      </c>
      <c r="W215" s="46">
        <f t="shared" si="27"/>
        <v>13060.068820509445</v>
      </c>
      <c r="Y215" s="1" t="s">
        <v>44</v>
      </c>
    </row>
    <row r="216" spans="1:25" hidden="1" x14ac:dyDescent="0.3">
      <c r="A216" s="122" t="s">
        <v>140</v>
      </c>
      <c r="B216" s="172" t="s">
        <v>0</v>
      </c>
      <c r="C216" s="173">
        <v>127</v>
      </c>
      <c r="D216" s="173">
        <v>46</v>
      </c>
      <c r="E216" s="173">
        <v>7</v>
      </c>
      <c r="F216" s="174">
        <v>22400</v>
      </c>
      <c r="G216" s="175"/>
      <c r="H216" s="175"/>
      <c r="I216" s="175"/>
      <c r="J216" s="175"/>
      <c r="K216" s="176"/>
      <c r="L216" s="176"/>
      <c r="M216" s="176"/>
      <c r="N216" s="176"/>
      <c r="O216" s="166">
        <f t="shared" si="22"/>
        <v>1.4443760800000001</v>
      </c>
      <c r="P216" s="167">
        <f t="shared" si="23"/>
        <v>22400</v>
      </c>
      <c r="Q216" s="177">
        <f t="shared" si="28"/>
        <v>22400</v>
      </c>
      <c r="R216" s="169">
        <f t="shared" si="24"/>
        <v>22400</v>
      </c>
      <c r="S216" s="169">
        <f t="shared" si="24"/>
        <v>22400</v>
      </c>
      <c r="T216" s="150">
        <f t="shared" si="24"/>
        <v>22400</v>
      </c>
      <c r="U216" s="170">
        <f t="shared" si="25"/>
        <v>0</v>
      </c>
      <c r="V216" s="171">
        <f t="shared" si="26"/>
        <v>0</v>
      </c>
      <c r="W216" s="46">
        <f t="shared" si="27"/>
        <v>15508.426309579982</v>
      </c>
      <c r="Y216" s="1" t="s">
        <v>46</v>
      </c>
    </row>
    <row r="217" spans="1:25" hidden="1" x14ac:dyDescent="0.3">
      <c r="A217" s="122" t="s">
        <v>328</v>
      </c>
      <c r="B217" s="172" t="s">
        <v>47</v>
      </c>
      <c r="C217" s="173"/>
      <c r="D217" s="173"/>
      <c r="E217" s="173"/>
      <c r="F217" s="174"/>
      <c r="G217" s="175"/>
      <c r="H217" s="175"/>
      <c r="I217" s="175"/>
      <c r="J217" s="175"/>
      <c r="K217" s="176"/>
      <c r="L217" s="176"/>
      <c r="M217" s="176"/>
      <c r="N217" s="176"/>
      <c r="O217" s="166">
        <f t="shared" si="22"/>
        <v>0</v>
      </c>
      <c r="P217" s="167">
        <f t="shared" si="23"/>
        <v>0</v>
      </c>
      <c r="Q217" s="177">
        <f t="shared" si="28"/>
        <v>0</v>
      </c>
      <c r="R217" s="169">
        <f t="shared" si="24"/>
        <v>0</v>
      </c>
      <c r="S217" s="169">
        <f t="shared" si="24"/>
        <v>0</v>
      </c>
      <c r="T217" s="150">
        <f t="shared" si="24"/>
        <v>0</v>
      </c>
      <c r="U217" s="170">
        <f t="shared" si="25"/>
        <v>0</v>
      </c>
      <c r="V217" s="171" t="e">
        <f t="shared" si="26"/>
        <v>#DIV/0!</v>
      </c>
      <c r="W217" s="46" t="e">
        <f t="shared" si="27"/>
        <v>#DIV/0!</v>
      </c>
      <c r="Y217" s="1" t="s">
        <v>46</v>
      </c>
    </row>
    <row r="218" spans="1:25" hidden="1" x14ac:dyDescent="0.3">
      <c r="A218" s="122" t="s">
        <v>139</v>
      </c>
      <c r="B218" s="172" t="s">
        <v>0</v>
      </c>
      <c r="C218" s="173">
        <v>116</v>
      </c>
      <c r="D218" s="173">
        <v>40</v>
      </c>
      <c r="E218" s="173">
        <v>7</v>
      </c>
      <c r="F218" s="174">
        <v>12500</v>
      </c>
      <c r="G218" s="175"/>
      <c r="H218" s="175"/>
      <c r="I218" s="175"/>
      <c r="J218" s="175"/>
      <c r="K218" s="176"/>
      <c r="L218" s="176"/>
      <c r="M218" s="176"/>
      <c r="N218" s="176"/>
      <c r="O218" s="166">
        <f t="shared" si="22"/>
        <v>1.1471936</v>
      </c>
      <c r="P218" s="167">
        <f t="shared" si="23"/>
        <v>12500</v>
      </c>
      <c r="Q218" s="177">
        <f t="shared" si="28"/>
        <v>12500</v>
      </c>
      <c r="R218" s="169">
        <f t="shared" si="24"/>
        <v>12500</v>
      </c>
      <c r="S218" s="169">
        <f t="shared" si="24"/>
        <v>12500</v>
      </c>
      <c r="T218" s="150">
        <f t="shared" si="24"/>
        <v>12500</v>
      </c>
      <c r="U218" s="170">
        <f t="shared" si="25"/>
        <v>0</v>
      </c>
      <c r="V218" s="171">
        <f t="shared" si="26"/>
        <v>0</v>
      </c>
      <c r="W218" s="46">
        <f t="shared" si="27"/>
        <v>10896.155627088574</v>
      </c>
      <c r="Y218" s="1" t="s">
        <v>44</v>
      </c>
    </row>
    <row r="219" spans="1:25" hidden="1" x14ac:dyDescent="0.3">
      <c r="A219" s="122" t="s">
        <v>138</v>
      </c>
      <c r="B219" s="172" t="s">
        <v>0</v>
      </c>
      <c r="C219" s="173">
        <v>163</v>
      </c>
      <c r="D219" s="173">
        <v>30</v>
      </c>
      <c r="E219" s="173">
        <v>9</v>
      </c>
      <c r="F219" s="174">
        <v>20850</v>
      </c>
      <c r="G219" s="175"/>
      <c r="H219" s="175"/>
      <c r="I219" s="175"/>
      <c r="J219" s="175"/>
      <c r="K219" s="176"/>
      <c r="L219" s="176"/>
      <c r="M219" s="176"/>
      <c r="N219" s="176"/>
      <c r="O219" s="166">
        <f t="shared" si="22"/>
        <v>1.5544332000000001</v>
      </c>
      <c r="P219" s="167">
        <f t="shared" si="23"/>
        <v>20850</v>
      </c>
      <c r="Q219" s="177">
        <f t="shared" si="28"/>
        <v>20850</v>
      </c>
      <c r="R219" s="169">
        <f t="shared" si="24"/>
        <v>20850</v>
      </c>
      <c r="S219" s="169">
        <f t="shared" si="24"/>
        <v>20850</v>
      </c>
      <c r="T219" s="150">
        <f t="shared" si="24"/>
        <v>20850</v>
      </c>
      <c r="U219" s="170">
        <f t="shared" si="25"/>
        <v>0</v>
      </c>
      <c r="V219" s="171">
        <f t="shared" si="26"/>
        <v>0</v>
      </c>
      <c r="W219" s="46">
        <f t="shared" si="27"/>
        <v>13413.249279544467</v>
      </c>
      <c r="Y219" s="1" t="s">
        <v>44</v>
      </c>
    </row>
    <row r="220" spans="1:25" hidden="1" x14ac:dyDescent="0.3">
      <c r="A220" s="122" t="s">
        <v>137</v>
      </c>
      <c r="B220" s="172" t="s">
        <v>0</v>
      </c>
      <c r="C220" s="173">
        <v>135</v>
      </c>
      <c r="D220" s="173">
        <v>35</v>
      </c>
      <c r="E220" s="173">
        <v>8</v>
      </c>
      <c r="F220" s="208">
        <v>14850</v>
      </c>
      <c r="G220" s="175"/>
      <c r="H220" s="175"/>
      <c r="I220" s="175"/>
      <c r="J220" s="175"/>
      <c r="K220" s="176"/>
      <c r="L220" s="176"/>
      <c r="M220" s="176"/>
      <c r="N220" s="176"/>
      <c r="O220" s="166">
        <f t="shared" si="22"/>
        <v>1.3350960000000001</v>
      </c>
      <c r="P220" s="167">
        <f t="shared" si="23"/>
        <v>14850</v>
      </c>
      <c r="Q220" s="177">
        <f t="shared" si="28"/>
        <v>14850</v>
      </c>
      <c r="R220" s="169">
        <f t="shared" si="24"/>
        <v>14850</v>
      </c>
      <c r="S220" s="169">
        <f t="shared" si="24"/>
        <v>14850</v>
      </c>
      <c r="T220" s="150">
        <f t="shared" si="24"/>
        <v>14850</v>
      </c>
      <c r="U220" s="170">
        <f t="shared" si="25"/>
        <v>0</v>
      </c>
      <c r="V220" s="171">
        <f t="shared" si="26"/>
        <v>0</v>
      </c>
      <c r="W220" s="46">
        <f t="shared" si="27"/>
        <v>11122.795664132016</v>
      </c>
      <c r="Y220" s="1" t="s">
        <v>44</v>
      </c>
    </row>
    <row r="221" spans="1:25" hidden="1" x14ac:dyDescent="0.3">
      <c r="A221" s="122" t="s">
        <v>136</v>
      </c>
      <c r="B221" s="172" t="s">
        <v>0</v>
      </c>
      <c r="C221" s="173">
        <v>165</v>
      </c>
      <c r="D221" s="173">
        <v>36</v>
      </c>
      <c r="E221" s="173">
        <v>7</v>
      </c>
      <c r="F221" s="208">
        <v>15850</v>
      </c>
      <c r="G221" s="175"/>
      <c r="H221" s="175"/>
      <c r="I221" s="175"/>
      <c r="J221" s="175"/>
      <c r="K221" s="176"/>
      <c r="L221" s="176"/>
      <c r="M221" s="176"/>
      <c r="N221" s="176"/>
      <c r="O221" s="166">
        <f t="shared" si="22"/>
        <v>1.4686056000000001</v>
      </c>
      <c r="P221" s="167">
        <f t="shared" si="23"/>
        <v>15850</v>
      </c>
      <c r="Q221" s="177">
        <f t="shared" si="28"/>
        <v>15850</v>
      </c>
      <c r="R221" s="169">
        <f t="shared" si="24"/>
        <v>15850</v>
      </c>
      <c r="S221" s="169">
        <f t="shared" si="24"/>
        <v>15850</v>
      </c>
      <c r="T221" s="150">
        <f t="shared" si="24"/>
        <v>15850</v>
      </c>
      <c r="U221" s="170">
        <f t="shared" si="25"/>
        <v>0</v>
      </c>
      <c r="V221" s="171">
        <f t="shared" si="26"/>
        <v>0</v>
      </c>
      <c r="W221" s="46">
        <f t="shared" si="27"/>
        <v>10792.550430149524</v>
      </c>
      <c r="Y221" s="1" t="s">
        <v>46</v>
      </c>
    </row>
    <row r="222" spans="1:25" hidden="1" x14ac:dyDescent="0.3">
      <c r="A222" s="122" t="s">
        <v>134</v>
      </c>
      <c r="B222" s="172" t="s">
        <v>0</v>
      </c>
      <c r="C222" s="173">
        <v>166</v>
      </c>
      <c r="D222" s="173">
        <v>37</v>
      </c>
      <c r="E222" s="173">
        <v>8</v>
      </c>
      <c r="F222" s="208">
        <v>18770</v>
      </c>
      <c r="G222" s="175"/>
      <c r="H222" s="175"/>
      <c r="I222" s="175"/>
      <c r="J222" s="175"/>
      <c r="K222" s="176"/>
      <c r="L222" s="176"/>
      <c r="M222" s="176"/>
      <c r="N222" s="176"/>
      <c r="O222" s="166">
        <f t="shared" si="22"/>
        <v>1.7354835200000001</v>
      </c>
      <c r="P222" s="167">
        <f t="shared" si="23"/>
        <v>18770</v>
      </c>
      <c r="Q222" s="177">
        <f t="shared" si="28"/>
        <v>18770</v>
      </c>
      <c r="R222" s="169">
        <f t="shared" si="24"/>
        <v>18770</v>
      </c>
      <c r="S222" s="169">
        <f t="shared" si="24"/>
        <v>18770</v>
      </c>
      <c r="T222" s="150">
        <f t="shared" si="24"/>
        <v>18770</v>
      </c>
      <c r="U222" s="170">
        <f t="shared" si="25"/>
        <v>0</v>
      </c>
      <c r="V222" s="171">
        <f t="shared" si="26"/>
        <v>0</v>
      </c>
      <c r="W222" s="46">
        <f t="shared" si="27"/>
        <v>10815.429696503254</v>
      </c>
      <c r="Y222" s="1" t="s">
        <v>46</v>
      </c>
    </row>
    <row r="223" spans="1:25" hidden="1" x14ac:dyDescent="0.3">
      <c r="A223" s="124" t="s">
        <v>133</v>
      </c>
      <c r="B223" s="172" t="s">
        <v>0</v>
      </c>
      <c r="C223" s="173">
        <v>136</v>
      </c>
      <c r="D223" s="173">
        <v>35</v>
      </c>
      <c r="E223" s="173">
        <v>8</v>
      </c>
      <c r="F223" s="174">
        <v>17600</v>
      </c>
      <c r="G223" s="175"/>
      <c r="H223" s="175"/>
      <c r="I223" s="175"/>
      <c r="J223" s="175"/>
      <c r="K223" s="176"/>
      <c r="L223" s="176"/>
      <c r="M223" s="176"/>
      <c r="N223" s="176"/>
      <c r="O223" s="166">
        <f t="shared" si="22"/>
        <v>1.3449856</v>
      </c>
      <c r="P223" s="167">
        <f t="shared" si="23"/>
        <v>17600</v>
      </c>
      <c r="Q223" s="177">
        <f t="shared" si="28"/>
        <v>17600</v>
      </c>
      <c r="R223" s="169">
        <f t="shared" si="24"/>
        <v>17600</v>
      </c>
      <c r="S223" s="169">
        <f t="shared" si="24"/>
        <v>17600</v>
      </c>
      <c r="T223" s="150">
        <f t="shared" si="24"/>
        <v>17600</v>
      </c>
      <c r="U223" s="170">
        <f t="shared" si="25"/>
        <v>0</v>
      </c>
      <c r="V223" s="171">
        <f t="shared" si="26"/>
        <v>0</v>
      </c>
      <c r="W223" s="46">
        <f t="shared" si="27"/>
        <v>13085.641957802374</v>
      </c>
      <c r="Y223" s="1" t="s">
        <v>46</v>
      </c>
    </row>
    <row r="224" spans="1:25" hidden="1" x14ac:dyDescent="0.3">
      <c r="A224" s="122" t="s">
        <v>132</v>
      </c>
      <c r="B224" s="172" t="s">
        <v>0</v>
      </c>
      <c r="C224" s="173">
        <v>154</v>
      </c>
      <c r="D224" s="173">
        <v>37</v>
      </c>
      <c r="E224" s="173">
        <v>6</v>
      </c>
      <c r="F224" s="208">
        <v>10850</v>
      </c>
      <c r="G224" s="175"/>
      <c r="H224" s="175"/>
      <c r="I224" s="175"/>
      <c r="J224" s="175"/>
      <c r="K224" s="176"/>
      <c r="L224" s="176"/>
      <c r="M224" s="176"/>
      <c r="N224" s="176"/>
      <c r="O224" s="166">
        <f t="shared" si="22"/>
        <v>1.2075201600000001</v>
      </c>
      <c r="P224" s="167">
        <f t="shared" si="23"/>
        <v>10850</v>
      </c>
      <c r="Q224" s="177">
        <f t="shared" si="28"/>
        <v>10850</v>
      </c>
      <c r="R224" s="169">
        <f t="shared" si="24"/>
        <v>10850</v>
      </c>
      <c r="S224" s="169">
        <f t="shared" si="24"/>
        <v>10850</v>
      </c>
      <c r="T224" s="150">
        <f t="shared" si="24"/>
        <v>10850</v>
      </c>
      <c r="U224" s="170">
        <f t="shared" si="25"/>
        <v>0</v>
      </c>
      <c r="V224" s="171">
        <f t="shared" si="26"/>
        <v>0</v>
      </c>
      <c r="W224" s="46">
        <f t="shared" si="27"/>
        <v>8985.3572299778407</v>
      </c>
      <c r="Y224" s="1" t="s">
        <v>44</v>
      </c>
    </row>
    <row r="225" spans="1:25" hidden="1" x14ac:dyDescent="0.3">
      <c r="A225" s="122" t="s">
        <v>131</v>
      </c>
      <c r="B225" s="172" t="s">
        <v>0</v>
      </c>
      <c r="C225" s="173">
        <v>135</v>
      </c>
      <c r="D225" s="173">
        <v>36</v>
      </c>
      <c r="E225" s="173">
        <v>7</v>
      </c>
      <c r="F225" s="208">
        <v>8735</v>
      </c>
      <c r="G225" s="175"/>
      <c r="H225" s="175"/>
      <c r="I225" s="175"/>
      <c r="J225" s="175"/>
      <c r="K225" s="176"/>
      <c r="L225" s="176"/>
      <c r="M225" s="176"/>
      <c r="N225" s="176"/>
      <c r="O225" s="166">
        <f t="shared" si="22"/>
        <v>1.2015864000000001</v>
      </c>
      <c r="P225" s="167">
        <f t="shared" si="23"/>
        <v>8735</v>
      </c>
      <c r="Q225" s="177">
        <f t="shared" si="28"/>
        <v>8735</v>
      </c>
      <c r="R225" s="169">
        <f t="shared" si="24"/>
        <v>8735</v>
      </c>
      <c r="S225" s="169">
        <f t="shared" si="24"/>
        <v>8735</v>
      </c>
      <c r="T225" s="150">
        <f t="shared" si="24"/>
        <v>8735</v>
      </c>
      <c r="U225" s="170">
        <f t="shared" si="25"/>
        <v>0</v>
      </c>
      <c r="V225" s="171">
        <f t="shared" si="26"/>
        <v>0</v>
      </c>
      <c r="W225" s="46">
        <f t="shared" si="27"/>
        <v>7269.5563132205889</v>
      </c>
      <c r="Y225" s="1" t="s">
        <v>44</v>
      </c>
    </row>
    <row r="226" spans="1:25" hidden="1" x14ac:dyDescent="0.3">
      <c r="A226" s="122" t="s">
        <v>130</v>
      </c>
      <c r="B226" s="172" t="s">
        <v>0</v>
      </c>
      <c r="C226" s="173">
        <v>135</v>
      </c>
      <c r="D226" s="173">
        <v>36</v>
      </c>
      <c r="E226" s="173">
        <v>7</v>
      </c>
      <c r="F226" s="208">
        <v>10800</v>
      </c>
      <c r="G226" s="175"/>
      <c r="H226" s="175"/>
      <c r="I226" s="175"/>
      <c r="J226" s="175"/>
      <c r="K226" s="176"/>
      <c r="L226" s="176"/>
      <c r="M226" s="176"/>
      <c r="N226" s="176"/>
      <c r="O226" s="166">
        <f t="shared" si="22"/>
        <v>1.2015864000000001</v>
      </c>
      <c r="P226" s="167">
        <f t="shared" si="23"/>
        <v>10800</v>
      </c>
      <c r="Q226" s="177">
        <f t="shared" si="28"/>
        <v>10800</v>
      </c>
      <c r="R226" s="169">
        <f t="shared" si="24"/>
        <v>10800</v>
      </c>
      <c r="S226" s="169">
        <f t="shared" si="24"/>
        <v>10800</v>
      </c>
      <c r="T226" s="150">
        <f t="shared" si="24"/>
        <v>10800</v>
      </c>
      <c r="U226" s="170">
        <f t="shared" si="25"/>
        <v>0</v>
      </c>
      <c r="V226" s="171">
        <f t="shared" si="26"/>
        <v>0</v>
      </c>
      <c r="W226" s="46">
        <f t="shared" si="27"/>
        <v>8988.1177083895091</v>
      </c>
      <c r="Y226" s="1" t="s">
        <v>44</v>
      </c>
    </row>
    <row r="227" spans="1:25" hidden="1" x14ac:dyDescent="0.3">
      <c r="A227" s="122" t="s">
        <v>129</v>
      </c>
      <c r="B227" s="172" t="s">
        <v>0</v>
      </c>
      <c r="C227" s="173">
        <v>126</v>
      </c>
      <c r="D227" s="173">
        <v>29</v>
      </c>
      <c r="E227" s="173">
        <v>6</v>
      </c>
      <c r="F227" s="174">
        <v>7700</v>
      </c>
      <c r="G227" s="175"/>
      <c r="H227" s="175"/>
      <c r="I227" s="175"/>
      <c r="J227" s="175"/>
      <c r="K227" s="176"/>
      <c r="L227" s="176"/>
      <c r="M227" s="176"/>
      <c r="N227" s="176"/>
      <c r="O227" s="166">
        <f t="shared" si="22"/>
        <v>0.77435567999999999</v>
      </c>
      <c r="P227" s="167">
        <f t="shared" si="23"/>
        <v>7700</v>
      </c>
      <c r="Q227" s="177">
        <f t="shared" si="28"/>
        <v>7700</v>
      </c>
      <c r="R227" s="169">
        <f t="shared" si="24"/>
        <v>7700</v>
      </c>
      <c r="S227" s="169">
        <f t="shared" si="24"/>
        <v>7700</v>
      </c>
      <c r="T227" s="150">
        <f t="shared" si="24"/>
        <v>7700</v>
      </c>
      <c r="U227" s="170">
        <f t="shared" si="25"/>
        <v>0</v>
      </c>
      <c r="V227" s="171">
        <f t="shared" si="26"/>
        <v>0</v>
      </c>
      <c r="W227" s="46">
        <f t="shared" si="27"/>
        <v>9943.7509130171293</v>
      </c>
      <c r="Y227" s="1" t="s">
        <v>44</v>
      </c>
    </row>
    <row r="228" spans="1:25" ht="15" hidden="1" customHeight="1" x14ac:dyDescent="0.3">
      <c r="A228" s="117" t="s">
        <v>53</v>
      </c>
      <c r="B228" s="172" t="s">
        <v>0</v>
      </c>
      <c r="C228" s="173">
        <v>100</v>
      </c>
      <c r="D228" s="173">
        <v>30</v>
      </c>
      <c r="E228" s="173">
        <v>8</v>
      </c>
      <c r="F228" s="174">
        <v>20000</v>
      </c>
      <c r="G228" s="175"/>
      <c r="H228" s="175"/>
      <c r="I228" s="175"/>
      <c r="J228" s="175"/>
      <c r="K228" s="176"/>
      <c r="L228" s="176"/>
      <c r="M228" s="176"/>
      <c r="N228" s="176"/>
      <c r="O228" s="166">
        <f t="shared" si="22"/>
        <v>0.84767999999999999</v>
      </c>
      <c r="P228" s="167">
        <f t="shared" si="23"/>
        <v>20000</v>
      </c>
      <c r="Q228" s="177">
        <f t="shared" si="28"/>
        <v>20000</v>
      </c>
      <c r="R228" s="169">
        <f t="shared" si="24"/>
        <v>20000</v>
      </c>
      <c r="S228" s="169">
        <f t="shared" si="24"/>
        <v>20000</v>
      </c>
      <c r="T228" s="150">
        <f t="shared" si="24"/>
        <v>20000</v>
      </c>
      <c r="U228" s="170">
        <f t="shared" si="25"/>
        <v>0</v>
      </c>
      <c r="V228" s="171">
        <f t="shared" si="26"/>
        <v>0</v>
      </c>
      <c r="W228" s="46">
        <f t="shared" si="27"/>
        <v>23593.80898452246</v>
      </c>
      <c r="Y228" s="1" t="s">
        <v>44</v>
      </c>
    </row>
    <row r="229" spans="1:25" hidden="1" x14ac:dyDescent="0.3">
      <c r="A229" s="122" t="s">
        <v>128</v>
      </c>
      <c r="B229" s="172" t="s">
        <v>0</v>
      </c>
      <c r="C229" s="173">
        <v>148</v>
      </c>
      <c r="D229" s="173">
        <v>35</v>
      </c>
      <c r="E229" s="173">
        <v>6</v>
      </c>
      <c r="F229" s="174">
        <v>12800</v>
      </c>
      <c r="G229" s="175"/>
      <c r="H229" s="175"/>
      <c r="I229" s="175"/>
      <c r="J229" s="175"/>
      <c r="K229" s="176"/>
      <c r="L229" s="176"/>
      <c r="M229" s="176"/>
      <c r="N229" s="176"/>
      <c r="O229" s="166">
        <f t="shared" si="22"/>
        <v>1.0977456000000001</v>
      </c>
      <c r="P229" s="167">
        <f t="shared" si="23"/>
        <v>12800</v>
      </c>
      <c r="Q229" s="177">
        <f t="shared" si="28"/>
        <v>12800</v>
      </c>
      <c r="R229" s="169">
        <f t="shared" si="24"/>
        <v>12800</v>
      </c>
      <c r="S229" s="169">
        <f t="shared" si="24"/>
        <v>12800</v>
      </c>
      <c r="T229" s="150">
        <f t="shared" si="24"/>
        <v>12800</v>
      </c>
      <c r="U229" s="170">
        <f t="shared" si="25"/>
        <v>0</v>
      </c>
      <c r="V229" s="171">
        <f t="shared" si="26"/>
        <v>0</v>
      </c>
      <c r="W229" s="46">
        <f t="shared" si="27"/>
        <v>11660.260810883687</v>
      </c>
      <c r="Y229" s="1" t="s">
        <v>44</v>
      </c>
    </row>
    <row r="230" spans="1:25" hidden="1" x14ac:dyDescent="0.3">
      <c r="A230" s="122" t="s">
        <v>327</v>
      </c>
      <c r="B230" s="172" t="s">
        <v>0</v>
      </c>
      <c r="C230" s="173">
        <v>82</v>
      </c>
      <c r="D230" s="173">
        <v>36</v>
      </c>
      <c r="E230" s="173">
        <v>7</v>
      </c>
      <c r="F230" s="174">
        <v>8000</v>
      </c>
      <c r="G230" s="175"/>
      <c r="H230" s="175"/>
      <c r="I230" s="175"/>
      <c r="J230" s="175"/>
      <c r="K230" s="176"/>
      <c r="L230" s="176"/>
      <c r="M230" s="176"/>
      <c r="N230" s="176"/>
      <c r="O230" s="166">
        <f t="shared" si="22"/>
        <v>0.72985247999999991</v>
      </c>
      <c r="P230" s="167">
        <f t="shared" si="23"/>
        <v>8000</v>
      </c>
      <c r="Q230" s="177">
        <f t="shared" si="28"/>
        <v>8000</v>
      </c>
      <c r="R230" s="169">
        <f t="shared" si="24"/>
        <v>8000</v>
      </c>
      <c r="S230" s="169">
        <f t="shared" si="24"/>
        <v>8000</v>
      </c>
      <c r="T230" s="150">
        <f t="shared" si="24"/>
        <v>8000</v>
      </c>
      <c r="U230" s="170">
        <f t="shared" si="25"/>
        <v>0</v>
      </c>
      <c r="V230" s="171">
        <f t="shared" si="26"/>
        <v>0</v>
      </c>
      <c r="W230" s="46">
        <f t="shared" si="27"/>
        <v>10961.119156572573</v>
      </c>
      <c r="Y230" s="1" t="s">
        <v>46</v>
      </c>
    </row>
    <row r="231" spans="1:25" hidden="1" x14ac:dyDescent="0.3">
      <c r="A231" s="122" t="s">
        <v>127</v>
      </c>
      <c r="B231" s="172" t="s">
        <v>97</v>
      </c>
      <c r="C231" s="173">
        <v>188</v>
      </c>
      <c r="D231" s="173">
        <v>48</v>
      </c>
      <c r="E231" s="173">
        <v>9</v>
      </c>
      <c r="F231" s="174">
        <v>37800</v>
      </c>
      <c r="G231" s="175">
        <v>148</v>
      </c>
      <c r="H231" s="175">
        <v>53</v>
      </c>
      <c r="I231" s="175">
        <v>8</v>
      </c>
      <c r="J231" s="175">
        <v>30400</v>
      </c>
      <c r="K231" s="176"/>
      <c r="L231" s="176"/>
      <c r="M231" s="176"/>
      <c r="N231" s="176"/>
      <c r="O231" s="166">
        <f t="shared" si="22"/>
        <v>5.0849497600000007</v>
      </c>
      <c r="P231" s="167">
        <f t="shared" si="23"/>
        <v>68200</v>
      </c>
      <c r="Q231" s="177">
        <f t="shared" si="28"/>
        <v>68200</v>
      </c>
      <c r="R231" s="169">
        <f t="shared" si="24"/>
        <v>68200</v>
      </c>
      <c r="S231" s="169">
        <f t="shared" si="24"/>
        <v>68200</v>
      </c>
      <c r="T231" s="150">
        <f t="shared" si="24"/>
        <v>68200</v>
      </c>
      <c r="U231" s="170">
        <f t="shared" si="25"/>
        <v>0</v>
      </c>
      <c r="V231" s="171">
        <f t="shared" si="26"/>
        <v>0</v>
      </c>
      <c r="W231" s="46">
        <f t="shared" si="27"/>
        <v>13412.128579221202</v>
      </c>
      <c r="Y231" s="1" t="s">
        <v>44</v>
      </c>
    </row>
    <row r="232" spans="1:25" hidden="1" x14ac:dyDescent="0.3">
      <c r="A232" s="122" t="s">
        <v>126</v>
      </c>
      <c r="B232" s="172" t="s">
        <v>0</v>
      </c>
      <c r="C232" s="173">
        <v>158</v>
      </c>
      <c r="D232" s="173">
        <v>45</v>
      </c>
      <c r="E232" s="173">
        <v>13</v>
      </c>
      <c r="F232" s="174">
        <v>42600</v>
      </c>
      <c r="G232" s="175"/>
      <c r="H232" s="175"/>
      <c r="I232" s="175"/>
      <c r="J232" s="175"/>
      <c r="K232" s="176"/>
      <c r="L232" s="176"/>
      <c r="M232" s="176"/>
      <c r="N232" s="176"/>
      <c r="O232" s="166">
        <f t="shared" si="22"/>
        <v>3.2646275999999999</v>
      </c>
      <c r="P232" s="167">
        <f t="shared" si="23"/>
        <v>42600</v>
      </c>
      <c r="Q232" s="177">
        <f t="shared" si="28"/>
        <v>42600</v>
      </c>
      <c r="R232" s="169">
        <f t="shared" si="24"/>
        <v>42600</v>
      </c>
      <c r="S232" s="169">
        <f t="shared" si="24"/>
        <v>42600</v>
      </c>
      <c r="T232" s="150">
        <f t="shared" si="24"/>
        <v>42600</v>
      </c>
      <c r="U232" s="170">
        <f t="shared" si="25"/>
        <v>0</v>
      </c>
      <c r="V232" s="171">
        <f t="shared" si="26"/>
        <v>0</v>
      </c>
      <c r="W232" s="46">
        <f t="shared" si="27"/>
        <v>13048.961541585939</v>
      </c>
      <c r="Y232" s="1" t="s">
        <v>44</v>
      </c>
    </row>
    <row r="233" spans="1:25" hidden="1" x14ac:dyDescent="0.3">
      <c r="A233" s="122" t="s">
        <v>125</v>
      </c>
      <c r="B233" s="172" t="s">
        <v>0</v>
      </c>
      <c r="C233" s="173">
        <v>167</v>
      </c>
      <c r="D233" s="173">
        <v>40</v>
      </c>
      <c r="E233" s="173">
        <v>8</v>
      </c>
      <c r="F233" s="174">
        <v>28560</v>
      </c>
      <c r="G233" s="175"/>
      <c r="H233" s="175"/>
      <c r="I233" s="175"/>
      <c r="J233" s="175"/>
      <c r="K233" s="176"/>
      <c r="L233" s="176"/>
      <c r="M233" s="176"/>
      <c r="N233" s="176"/>
      <c r="O233" s="166">
        <f t="shared" si="22"/>
        <v>1.8875008</v>
      </c>
      <c r="P233" s="167">
        <f t="shared" si="23"/>
        <v>28560</v>
      </c>
      <c r="Q233" s="177">
        <f t="shared" si="28"/>
        <v>28560</v>
      </c>
      <c r="R233" s="169">
        <f t="shared" si="24"/>
        <v>28560</v>
      </c>
      <c r="S233" s="169">
        <f t="shared" si="24"/>
        <v>28560</v>
      </c>
      <c r="T233" s="150">
        <f t="shared" si="24"/>
        <v>28560</v>
      </c>
      <c r="U233" s="170">
        <f t="shared" si="25"/>
        <v>0</v>
      </c>
      <c r="V233" s="171">
        <f t="shared" si="26"/>
        <v>0</v>
      </c>
      <c r="W233" s="46">
        <f t="shared" si="27"/>
        <v>15131.119414624884</v>
      </c>
      <c r="Y233" s="1" t="s">
        <v>44</v>
      </c>
    </row>
    <row r="234" spans="1:25" hidden="1" x14ac:dyDescent="0.3">
      <c r="A234" s="122" t="s">
        <v>124</v>
      </c>
      <c r="B234" s="172" t="s">
        <v>0</v>
      </c>
      <c r="C234" s="173">
        <v>137</v>
      </c>
      <c r="D234" s="173">
        <v>30</v>
      </c>
      <c r="E234" s="173">
        <v>10</v>
      </c>
      <c r="F234" s="174">
        <v>18445</v>
      </c>
      <c r="G234" s="175"/>
      <c r="H234" s="175"/>
      <c r="I234" s="175"/>
      <c r="J234" s="175"/>
      <c r="K234" s="176"/>
      <c r="L234" s="176"/>
      <c r="M234" s="176"/>
      <c r="N234" s="176"/>
      <c r="O234" s="166">
        <f t="shared" si="22"/>
        <v>1.4516519999999999</v>
      </c>
      <c r="P234" s="167">
        <f t="shared" si="23"/>
        <v>18445</v>
      </c>
      <c r="Q234" s="177">
        <f t="shared" si="28"/>
        <v>18445</v>
      </c>
      <c r="R234" s="169">
        <f t="shared" si="24"/>
        <v>18445</v>
      </c>
      <c r="S234" s="169">
        <f t="shared" si="24"/>
        <v>18445</v>
      </c>
      <c r="T234" s="150">
        <f t="shared" si="24"/>
        <v>18445</v>
      </c>
      <c r="U234" s="170">
        <f t="shared" si="25"/>
        <v>0</v>
      </c>
      <c r="V234" s="171">
        <f t="shared" si="26"/>
        <v>0</v>
      </c>
      <c r="W234" s="46">
        <f t="shared" si="27"/>
        <v>12706.213334876404</v>
      </c>
      <c r="Y234" s="1" t="s">
        <v>44</v>
      </c>
    </row>
    <row r="235" spans="1:25" hidden="1" x14ac:dyDescent="0.3">
      <c r="A235" s="124" t="s">
        <v>123</v>
      </c>
      <c r="B235" s="172" t="s">
        <v>0</v>
      </c>
      <c r="C235" s="173">
        <v>153</v>
      </c>
      <c r="D235" s="173">
        <v>43</v>
      </c>
      <c r="E235" s="173">
        <v>9</v>
      </c>
      <c r="F235" s="174">
        <v>27630</v>
      </c>
      <c r="G235" s="175"/>
      <c r="H235" s="175"/>
      <c r="I235" s="175"/>
      <c r="J235" s="175"/>
      <c r="K235" s="176"/>
      <c r="L235" s="176"/>
      <c r="M235" s="176"/>
      <c r="N235" s="176"/>
      <c r="O235" s="166">
        <f t="shared" si="22"/>
        <v>2.0913325199999999</v>
      </c>
      <c r="P235" s="167">
        <f t="shared" si="23"/>
        <v>27630</v>
      </c>
      <c r="Q235" s="177">
        <f t="shared" si="28"/>
        <v>27630</v>
      </c>
      <c r="R235" s="169">
        <f t="shared" si="24"/>
        <v>27630</v>
      </c>
      <c r="S235" s="169">
        <f t="shared" si="24"/>
        <v>27630</v>
      </c>
      <c r="T235" s="150">
        <f t="shared" si="24"/>
        <v>27630</v>
      </c>
      <c r="U235" s="170">
        <f t="shared" si="25"/>
        <v>0</v>
      </c>
      <c r="V235" s="171">
        <f t="shared" si="26"/>
        <v>0</v>
      </c>
      <c r="W235" s="46">
        <f t="shared" si="27"/>
        <v>13211.672336066385</v>
      </c>
      <c r="Y235" s="1" t="s">
        <v>44</v>
      </c>
    </row>
    <row r="236" spans="1:25" hidden="1" x14ac:dyDescent="0.3">
      <c r="A236" s="123" t="s">
        <v>81</v>
      </c>
      <c r="B236" s="172" t="s">
        <v>0</v>
      </c>
      <c r="C236" s="173">
        <v>150</v>
      </c>
      <c r="D236" s="173">
        <v>34</v>
      </c>
      <c r="E236" s="173">
        <v>5</v>
      </c>
      <c r="F236" s="208">
        <v>15500</v>
      </c>
      <c r="G236" s="175"/>
      <c r="H236" s="175"/>
      <c r="I236" s="175"/>
      <c r="J236" s="175"/>
      <c r="K236" s="176"/>
      <c r="L236" s="176"/>
      <c r="M236" s="176"/>
      <c r="N236" s="176"/>
      <c r="O236" s="166">
        <f t="shared" si="22"/>
        <v>0.90065999999999991</v>
      </c>
      <c r="P236" s="167">
        <f t="shared" si="23"/>
        <v>15500</v>
      </c>
      <c r="Q236" s="177">
        <f t="shared" si="28"/>
        <v>15500</v>
      </c>
      <c r="R236" s="169">
        <f t="shared" si="24"/>
        <v>15500</v>
      </c>
      <c r="S236" s="169">
        <f t="shared" si="24"/>
        <v>15500</v>
      </c>
      <c r="T236" s="150">
        <f t="shared" si="24"/>
        <v>15500</v>
      </c>
      <c r="U236" s="170">
        <f t="shared" si="25"/>
        <v>0</v>
      </c>
      <c r="V236" s="171">
        <f t="shared" si="26"/>
        <v>0</v>
      </c>
      <c r="W236" s="46">
        <f t="shared" si="27"/>
        <v>17209.601847534032</v>
      </c>
      <c r="Y236" s="1" t="s">
        <v>46</v>
      </c>
    </row>
    <row r="237" spans="1:25" hidden="1" x14ac:dyDescent="0.3">
      <c r="A237" s="125" t="s">
        <v>122</v>
      </c>
      <c r="B237" s="172" t="s">
        <v>0</v>
      </c>
      <c r="C237" s="173">
        <v>87</v>
      </c>
      <c r="D237" s="173">
        <v>29</v>
      </c>
      <c r="E237" s="173">
        <v>9</v>
      </c>
      <c r="F237" s="174">
        <v>7800</v>
      </c>
      <c r="G237" s="175"/>
      <c r="H237" s="175"/>
      <c r="I237" s="175"/>
      <c r="J237" s="175"/>
      <c r="K237" s="176"/>
      <c r="L237" s="176"/>
      <c r="M237" s="176"/>
      <c r="N237" s="176"/>
      <c r="O237" s="166">
        <f t="shared" si="22"/>
        <v>0.80201124000000001</v>
      </c>
      <c r="P237" s="167">
        <f t="shared" si="23"/>
        <v>7800</v>
      </c>
      <c r="Q237" s="177">
        <f t="shared" si="28"/>
        <v>7800</v>
      </c>
      <c r="R237" s="169">
        <f t="shared" si="24"/>
        <v>7800</v>
      </c>
      <c r="S237" s="169">
        <f t="shared" si="24"/>
        <v>7800</v>
      </c>
      <c r="T237" s="150">
        <f t="shared" si="24"/>
        <v>7800</v>
      </c>
      <c r="U237" s="170">
        <f t="shared" si="25"/>
        <v>0</v>
      </c>
      <c r="V237" s="171">
        <f t="shared" si="26"/>
        <v>0</v>
      </c>
      <c r="W237" s="46">
        <f t="shared" si="27"/>
        <v>9725.5494823239624</v>
      </c>
      <c r="Y237" s="1" t="s">
        <v>44</v>
      </c>
    </row>
    <row r="238" spans="1:25" hidden="1" x14ac:dyDescent="0.3">
      <c r="A238" s="122" t="s">
        <v>121</v>
      </c>
      <c r="B238" s="172" t="s">
        <v>0</v>
      </c>
      <c r="C238" s="173">
        <v>58</v>
      </c>
      <c r="D238" s="173">
        <v>30</v>
      </c>
      <c r="E238" s="173">
        <v>9</v>
      </c>
      <c r="F238" s="174">
        <v>6500</v>
      </c>
      <c r="G238" s="175"/>
      <c r="H238" s="175"/>
      <c r="I238" s="175"/>
      <c r="J238" s="175"/>
      <c r="K238" s="176"/>
      <c r="L238" s="176"/>
      <c r="M238" s="176"/>
      <c r="N238" s="176"/>
      <c r="O238" s="166">
        <f t="shared" si="22"/>
        <v>0.55311120000000003</v>
      </c>
      <c r="P238" s="167">
        <f t="shared" si="23"/>
        <v>6500</v>
      </c>
      <c r="Q238" s="177">
        <f t="shared" si="28"/>
        <v>6500</v>
      </c>
      <c r="R238" s="169">
        <f t="shared" si="24"/>
        <v>6500</v>
      </c>
      <c r="S238" s="169">
        <f t="shared" si="24"/>
        <v>6500</v>
      </c>
      <c r="T238" s="150">
        <f t="shared" si="24"/>
        <v>6500</v>
      </c>
      <c r="U238" s="170">
        <f t="shared" si="25"/>
        <v>0</v>
      </c>
      <c r="V238" s="171">
        <f t="shared" si="26"/>
        <v>0</v>
      </c>
      <c r="W238" s="46">
        <f t="shared" si="27"/>
        <v>11751.705624474789</v>
      </c>
      <c r="Y238" s="1" t="s">
        <v>44</v>
      </c>
    </row>
    <row r="239" spans="1:25" hidden="1" x14ac:dyDescent="0.3">
      <c r="A239" s="122" t="s">
        <v>120</v>
      </c>
      <c r="B239" s="172" t="s">
        <v>0</v>
      </c>
      <c r="C239" s="173">
        <v>45</v>
      </c>
      <c r="D239" s="173">
        <v>24.5</v>
      </c>
      <c r="E239" s="173">
        <v>5</v>
      </c>
      <c r="F239" s="174">
        <v>2000</v>
      </c>
      <c r="G239" s="175"/>
      <c r="H239" s="175"/>
      <c r="I239" s="175"/>
      <c r="J239" s="175"/>
      <c r="K239" s="176"/>
      <c r="L239" s="176"/>
      <c r="M239" s="176"/>
      <c r="N239" s="176"/>
      <c r="O239" s="166">
        <f t="shared" si="22"/>
        <v>0.1947015</v>
      </c>
      <c r="P239" s="167">
        <f t="shared" si="23"/>
        <v>2000</v>
      </c>
      <c r="Q239" s="177">
        <f t="shared" si="28"/>
        <v>2000</v>
      </c>
      <c r="R239" s="169">
        <f t="shared" si="24"/>
        <v>2000</v>
      </c>
      <c r="S239" s="169">
        <f t="shared" si="24"/>
        <v>2000</v>
      </c>
      <c r="T239" s="150">
        <f t="shared" si="24"/>
        <v>2000</v>
      </c>
      <c r="U239" s="170">
        <f t="shared" si="25"/>
        <v>0</v>
      </c>
      <c r="V239" s="171">
        <f t="shared" si="26"/>
        <v>0</v>
      </c>
      <c r="W239" s="46">
        <f t="shared" si="27"/>
        <v>10272.134523873725</v>
      </c>
      <c r="Y239" s="1" t="s">
        <v>46</v>
      </c>
    </row>
    <row r="240" spans="1:25" hidden="1" x14ac:dyDescent="0.3">
      <c r="A240" s="122" t="s">
        <v>119</v>
      </c>
      <c r="B240" s="172" t="s">
        <v>0</v>
      </c>
      <c r="C240" s="173">
        <v>55</v>
      </c>
      <c r="D240" s="173">
        <v>32</v>
      </c>
      <c r="E240" s="173">
        <v>3.5</v>
      </c>
      <c r="F240" s="174">
        <v>2000</v>
      </c>
      <c r="G240" s="175"/>
      <c r="H240" s="175"/>
      <c r="I240" s="175"/>
      <c r="J240" s="175"/>
      <c r="K240" s="176"/>
      <c r="L240" s="176"/>
      <c r="M240" s="176"/>
      <c r="N240" s="176"/>
      <c r="O240" s="166">
        <f t="shared" si="22"/>
        <v>0.21757119999999999</v>
      </c>
      <c r="P240" s="167">
        <f t="shared" si="23"/>
        <v>2000</v>
      </c>
      <c r="Q240" s="177">
        <f t="shared" si="28"/>
        <v>2000</v>
      </c>
      <c r="R240" s="169">
        <f t="shared" si="24"/>
        <v>2000</v>
      </c>
      <c r="S240" s="169">
        <f t="shared" si="24"/>
        <v>2000</v>
      </c>
      <c r="T240" s="150">
        <f t="shared" si="24"/>
        <v>2000</v>
      </c>
      <c r="U240" s="170">
        <f t="shared" si="25"/>
        <v>0</v>
      </c>
      <c r="V240" s="171">
        <f t="shared" si="26"/>
        <v>0</v>
      </c>
      <c r="W240" s="46">
        <f t="shared" si="27"/>
        <v>9192.3931108529068</v>
      </c>
      <c r="Y240" s="1" t="s">
        <v>46</v>
      </c>
    </row>
    <row r="241" spans="1:25" hidden="1" x14ac:dyDescent="0.3">
      <c r="A241" s="122" t="s">
        <v>118</v>
      </c>
      <c r="B241" s="172" t="s">
        <v>0</v>
      </c>
      <c r="C241" s="173">
        <v>41</v>
      </c>
      <c r="D241" s="173">
        <v>25</v>
      </c>
      <c r="E241" s="173">
        <v>4</v>
      </c>
      <c r="F241" s="174">
        <v>1000</v>
      </c>
      <c r="G241" s="175"/>
      <c r="H241" s="175"/>
      <c r="I241" s="175"/>
      <c r="J241" s="175"/>
      <c r="K241" s="176"/>
      <c r="L241" s="176"/>
      <c r="M241" s="176"/>
      <c r="N241" s="176"/>
      <c r="O241" s="166">
        <f t="shared" si="22"/>
        <v>0.14481200000000002</v>
      </c>
      <c r="P241" s="167">
        <f t="shared" si="23"/>
        <v>1000</v>
      </c>
      <c r="Q241" s="177">
        <f t="shared" si="28"/>
        <v>1000</v>
      </c>
      <c r="R241" s="169">
        <f t="shared" si="24"/>
        <v>1000</v>
      </c>
      <c r="S241" s="169">
        <f t="shared" si="24"/>
        <v>1000</v>
      </c>
      <c r="T241" s="150">
        <f t="shared" si="24"/>
        <v>1000</v>
      </c>
      <c r="U241" s="170">
        <f t="shared" si="25"/>
        <v>0</v>
      </c>
      <c r="V241" s="171">
        <f t="shared" si="26"/>
        <v>0</v>
      </c>
      <c r="W241" s="46">
        <f t="shared" si="27"/>
        <v>6905.5050686407194</v>
      </c>
      <c r="Y241" s="1" t="s">
        <v>46</v>
      </c>
    </row>
    <row r="242" spans="1:25" hidden="1" x14ac:dyDescent="0.3">
      <c r="A242" s="122" t="s">
        <v>117</v>
      </c>
      <c r="B242" s="172" t="s">
        <v>0</v>
      </c>
      <c r="C242" s="173">
        <v>120</v>
      </c>
      <c r="D242" s="173">
        <v>36</v>
      </c>
      <c r="E242" s="173">
        <v>7</v>
      </c>
      <c r="F242" s="174">
        <v>10000</v>
      </c>
      <c r="G242" s="175"/>
      <c r="H242" s="175"/>
      <c r="I242" s="175"/>
      <c r="J242" s="175"/>
      <c r="K242" s="176"/>
      <c r="L242" s="176"/>
      <c r="M242" s="176"/>
      <c r="N242" s="176"/>
      <c r="O242" s="166">
        <f t="shared" si="22"/>
        <v>1.0680768</v>
      </c>
      <c r="P242" s="167">
        <f t="shared" si="23"/>
        <v>10000</v>
      </c>
      <c r="Q242" s="177">
        <f t="shared" si="28"/>
        <v>10000</v>
      </c>
      <c r="R242" s="169">
        <f t="shared" si="24"/>
        <v>10000</v>
      </c>
      <c r="S242" s="169">
        <f t="shared" si="24"/>
        <v>10000</v>
      </c>
      <c r="T242" s="150">
        <f t="shared" si="24"/>
        <v>10000</v>
      </c>
      <c r="U242" s="170">
        <f t="shared" si="25"/>
        <v>0</v>
      </c>
      <c r="V242" s="171">
        <f t="shared" si="26"/>
        <v>0</v>
      </c>
      <c r="W242" s="46">
        <f t="shared" si="27"/>
        <v>9362.6226129057377</v>
      </c>
      <c r="Y242" s="1" t="s">
        <v>46</v>
      </c>
    </row>
    <row r="243" spans="1:25" hidden="1" x14ac:dyDescent="0.3">
      <c r="A243" s="123" t="s">
        <v>79</v>
      </c>
      <c r="B243" s="172" t="s">
        <v>0</v>
      </c>
      <c r="C243" s="173">
        <v>196</v>
      </c>
      <c r="D243" s="173">
        <v>43</v>
      </c>
      <c r="E243" s="173">
        <v>8</v>
      </c>
      <c r="F243" s="174">
        <v>31955</v>
      </c>
      <c r="G243" s="175"/>
      <c r="H243" s="175"/>
      <c r="I243" s="175"/>
      <c r="J243" s="175"/>
      <c r="K243" s="176"/>
      <c r="L243" s="176"/>
      <c r="M243" s="176"/>
      <c r="N243" s="176"/>
      <c r="O243" s="166">
        <f t="shared" si="22"/>
        <v>2.3814156799999999</v>
      </c>
      <c r="P243" s="167">
        <f t="shared" si="23"/>
        <v>31955</v>
      </c>
      <c r="Q243" s="177">
        <f t="shared" si="28"/>
        <v>31955</v>
      </c>
      <c r="R243" s="169">
        <f t="shared" si="24"/>
        <v>31955</v>
      </c>
      <c r="S243" s="169">
        <f t="shared" si="24"/>
        <v>31955</v>
      </c>
      <c r="T243" s="150">
        <f t="shared" si="24"/>
        <v>31955</v>
      </c>
      <c r="U243" s="170">
        <f t="shared" si="25"/>
        <v>0</v>
      </c>
      <c r="V243" s="171">
        <f t="shared" si="26"/>
        <v>0</v>
      </c>
      <c r="W243" s="46">
        <f t="shared" si="27"/>
        <v>13418.488955275545</v>
      </c>
      <c r="Y243" s="1" t="s">
        <v>44</v>
      </c>
    </row>
    <row r="244" spans="1:25" hidden="1" x14ac:dyDescent="0.3">
      <c r="A244" s="122" t="s">
        <v>116</v>
      </c>
      <c r="B244" s="172" t="s">
        <v>47</v>
      </c>
      <c r="C244" s="173"/>
      <c r="D244" s="173"/>
      <c r="E244" s="173"/>
      <c r="F244" s="174"/>
      <c r="G244" s="175"/>
      <c r="H244" s="175"/>
      <c r="I244" s="175"/>
      <c r="J244" s="175"/>
      <c r="K244" s="176"/>
      <c r="L244" s="176"/>
      <c r="M244" s="176"/>
      <c r="N244" s="176"/>
      <c r="O244" s="166">
        <f t="shared" si="22"/>
        <v>0</v>
      </c>
      <c r="P244" s="167">
        <f t="shared" si="23"/>
        <v>0</v>
      </c>
      <c r="Q244" s="177">
        <f t="shared" si="28"/>
        <v>0</v>
      </c>
      <c r="R244" s="169">
        <f t="shared" si="24"/>
        <v>0</v>
      </c>
      <c r="S244" s="169">
        <f t="shared" si="24"/>
        <v>0</v>
      </c>
      <c r="T244" s="150">
        <f t="shared" si="24"/>
        <v>0</v>
      </c>
      <c r="U244" s="170">
        <f t="shared" si="25"/>
        <v>0</v>
      </c>
      <c r="V244" s="171" t="e">
        <f t="shared" si="26"/>
        <v>#DIV/0!</v>
      </c>
      <c r="W244" s="46" t="e">
        <f t="shared" si="27"/>
        <v>#DIV/0!</v>
      </c>
      <c r="Y244" s="1" t="s">
        <v>46</v>
      </c>
    </row>
    <row r="245" spans="1:25" ht="13.5" hidden="1" customHeight="1" x14ac:dyDescent="0.3">
      <c r="A245" s="122" t="s">
        <v>325</v>
      </c>
      <c r="B245" s="172" t="s">
        <v>0</v>
      </c>
      <c r="C245" s="173"/>
      <c r="D245" s="173"/>
      <c r="E245" s="173"/>
      <c r="F245" s="174"/>
      <c r="G245" s="175"/>
      <c r="H245" s="175"/>
      <c r="I245" s="175"/>
      <c r="J245" s="175"/>
      <c r="K245" s="176"/>
      <c r="L245" s="176"/>
      <c r="M245" s="176"/>
      <c r="N245" s="176"/>
      <c r="O245" s="166">
        <f t="shared" si="22"/>
        <v>0</v>
      </c>
      <c r="P245" s="167">
        <f t="shared" si="23"/>
        <v>0</v>
      </c>
      <c r="Q245" s="177">
        <f t="shared" si="28"/>
        <v>0</v>
      </c>
      <c r="R245" s="169">
        <f t="shared" si="24"/>
        <v>0</v>
      </c>
      <c r="S245" s="169">
        <f t="shared" si="24"/>
        <v>0</v>
      </c>
      <c r="T245" s="150">
        <f t="shared" si="24"/>
        <v>0</v>
      </c>
      <c r="U245" s="170">
        <f t="shared" si="25"/>
        <v>0</v>
      </c>
      <c r="V245" s="171" t="e">
        <f t="shared" si="26"/>
        <v>#DIV/0!</v>
      </c>
      <c r="W245" s="46" t="e">
        <f t="shared" si="27"/>
        <v>#DIV/0!</v>
      </c>
      <c r="Y245" s="1" t="s">
        <v>46</v>
      </c>
    </row>
    <row r="246" spans="1:25" hidden="1" x14ac:dyDescent="0.3">
      <c r="A246" s="122" t="s">
        <v>390</v>
      </c>
      <c r="B246" s="172" t="s">
        <v>0</v>
      </c>
      <c r="C246" s="173">
        <v>24</v>
      </c>
      <c r="D246" s="173">
        <v>23</v>
      </c>
      <c r="E246" s="173">
        <v>9</v>
      </c>
      <c r="F246" s="174">
        <v>755</v>
      </c>
      <c r="G246" s="175"/>
      <c r="H246" s="175"/>
      <c r="I246" s="175"/>
      <c r="J246" s="175"/>
      <c r="K246" s="176"/>
      <c r="L246" s="176"/>
      <c r="M246" s="176"/>
      <c r="N246" s="176"/>
      <c r="O246" s="166">
        <f t="shared" si="22"/>
        <v>0.17546976</v>
      </c>
      <c r="P246" s="167">
        <f t="shared" si="23"/>
        <v>755</v>
      </c>
      <c r="Q246" s="177">
        <f t="shared" si="28"/>
        <v>755</v>
      </c>
      <c r="R246" s="169">
        <f t="shared" si="24"/>
        <v>755</v>
      </c>
      <c r="S246" s="169">
        <f t="shared" si="24"/>
        <v>755</v>
      </c>
      <c r="T246" s="150">
        <f t="shared" si="24"/>
        <v>755</v>
      </c>
      <c r="U246" s="170">
        <f t="shared" si="25"/>
        <v>0</v>
      </c>
      <c r="V246" s="171">
        <f t="shared" si="26"/>
        <v>0</v>
      </c>
      <c r="W246" s="46">
        <f t="shared" si="27"/>
        <v>4302.735696452768</v>
      </c>
      <c r="Y246" s="1" t="s">
        <v>44</v>
      </c>
    </row>
    <row r="247" spans="1:25" ht="15" hidden="1" customHeight="1" x14ac:dyDescent="0.3">
      <c r="A247" s="124" t="s">
        <v>115</v>
      </c>
      <c r="B247" s="172" t="s">
        <v>0</v>
      </c>
      <c r="C247" s="173">
        <v>185</v>
      </c>
      <c r="D247" s="173">
        <v>50</v>
      </c>
      <c r="E247" s="173">
        <v>9</v>
      </c>
      <c r="F247" s="174">
        <v>45000</v>
      </c>
      <c r="G247" s="175"/>
      <c r="H247" s="175"/>
      <c r="I247" s="175"/>
      <c r="J247" s="175"/>
      <c r="K247" s="176"/>
      <c r="L247" s="176"/>
      <c r="M247" s="176"/>
      <c r="N247" s="176"/>
      <c r="O247" s="166">
        <f t="shared" si="22"/>
        <v>2.9403900000000003</v>
      </c>
      <c r="P247" s="167">
        <f t="shared" si="23"/>
        <v>45000</v>
      </c>
      <c r="Q247" s="177">
        <f t="shared" si="28"/>
        <v>45000</v>
      </c>
      <c r="R247" s="169">
        <f t="shared" si="24"/>
        <v>45000</v>
      </c>
      <c r="S247" s="169">
        <f t="shared" si="24"/>
        <v>45000</v>
      </c>
      <c r="T247" s="150">
        <f t="shared" si="24"/>
        <v>45000</v>
      </c>
      <c r="U247" s="170">
        <f t="shared" si="25"/>
        <v>0</v>
      </c>
      <c r="V247" s="171">
        <f t="shared" si="26"/>
        <v>0</v>
      </c>
      <c r="W247" s="46">
        <f t="shared" si="27"/>
        <v>15304.092314284839</v>
      </c>
      <c r="Y247" s="1" t="s">
        <v>44</v>
      </c>
    </row>
    <row r="248" spans="1:25" ht="15" hidden="1" customHeight="1" x14ac:dyDescent="0.3">
      <c r="A248" s="124" t="s">
        <v>114</v>
      </c>
      <c r="B248" s="172" t="s">
        <v>0</v>
      </c>
      <c r="C248" s="173">
        <v>185</v>
      </c>
      <c r="D248" s="173">
        <v>51</v>
      </c>
      <c r="E248" s="173">
        <v>10</v>
      </c>
      <c r="F248" s="174">
        <v>47900</v>
      </c>
      <c r="G248" s="175"/>
      <c r="H248" s="175"/>
      <c r="I248" s="175"/>
      <c r="J248" s="175"/>
      <c r="K248" s="176"/>
      <c r="L248" s="176"/>
      <c r="M248" s="176"/>
      <c r="N248" s="176"/>
      <c r="O248" s="166">
        <f t="shared" si="22"/>
        <v>3.3324420000000003</v>
      </c>
      <c r="P248" s="167">
        <f t="shared" si="23"/>
        <v>47900</v>
      </c>
      <c r="Q248" s="177">
        <f t="shared" si="28"/>
        <v>47900</v>
      </c>
      <c r="R248" s="169">
        <f t="shared" si="24"/>
        <v>47900</v>
      </c>
      <c r="S248" s="169">
        <f t="shared" si="24"/>
        <v>47900</v>
      </c>
      <c r="T248" s="150">
        <f t="shared" si="24"/>
        <v>47900</v>
      </c>
      <c r="U248" s="170">
        <f t="shared" si="25"/>
        <v>0</v>
      </c>
      <c r="V248" s="171">
        <f t="shared" si="26"/>
        <v>0</v>
      </c>
      <c r="W248" s="46">
        <f t="shared" si="27"/>
        <v>14373.843565769484</v>
      </c>
      <c r="Y248" s="1" t="s">
        <v>44</v>
      </c>
    </row>
    <row r="249" spans="1:25" ht="15" hidden="1" customHeight="1" x14ac:dyDescent="0.3">
      <c r="A249" s="124" t="s">
        <v>113</v>
      </c>
      <c r="B249" s="172" t="s">
        <v>0</v>
      </c>
      <c r="C249" s="173">
        <v>186</v>
      </c>
      <c r="D249" s="173">
        <v>51</v>
      </c>
      <c r="E249" s="173">
        <v>10</v>
      </c>
      <c r="F249" s="174">
        <v>48400</v>
      </c>
      <c r="G249" s="175"/>
      <c r="H249" s="175"/>
      <c r="I249" s="175"/>
      <c r="J249" s="175"/>
      <c r="K249" s="176"/>
      <c r="L249" s="176"/>
      <c r="M249" s="176"/>
      <c r="N249" s="176"/>
      <c r="O249" s="166">
        <f t="shared" si="22"/>
        <v>3.3504551999999999</v>
      </c>
      <c r="P249" s="167">
        <f t="shared" si="23"/>
        <v>48400</v>
      </c>
      <c r="Q249" s="177">
        <f t="shared" si="28"/>
        <v>48400</v>
      </c>
      <c r="R249" s="169">
        <f t="shared" si="24"/>
        <v>48400</v>
      </c>
      <c r="S249" s="169">
        <f t="shared" si="24"/>
        <v>48400</v>
      </c>
      <c r="T249" s="150">
        <f t="shared" si="24"/>
        <v>48400</v>
      </c>
      <c r="U249" s="170">
        <f t="shared" si="25"/>
        <v>0</v>
      </c>
      <c r="V249" s="171">
        <f t="shared" si="26"/>
        <v>0</v>
      </c>
      <c r="W249" s="46">
        <f t="shared" si="27"/>
        <v>14445.798290333803</v>
      </c>
      <c r="Y249" s="1" t="s">
        <v>44</v>
      </c>
    </row>
    <row r="250" spans="1:25" ht="15" hidden="1" customHeight="1" x14ac:dyDescent="0.3">
      <c r="A250" s="122" t="s">
        <v>112</v>
      </c>
      <c r="B250" s="172" t="s">
        <v>97</v>
      </c>
      <c r="C250" s="173">
        <v>123</v>
      </c>
      <c r="D250" s="173">
        <v>53</v>
      </c>
      <c r="E250" s="173">
        <v>11</v>
      </c>
      <c r="F250" s="174">
        <v>33900</v>
      </c>
      <c r="G250" s="175">
        <v>186</v>
      </c>
      <c r="H250" s="175">
        <v>51</v>
      </c>
      <c r="I250" s="175">
        <v>10</v>
      </c>
      <c r="J250" s="175">
        <v>44100</v>
      </c>
      <c r="K250" s="176"/>
      <c r="L250" s="176"/>
      <c r="M250" s="176"/>
      <c r="N250" s="176"/>
      <c r="O250" s="166">
        <f t="shared" si="22"/>
        <v>5.8832170799999997</v>
      </c>
      <c r="P250" s="167">
        <f t="shared" si="23"/>
        <v>78000</v>
      </c>
      <c r="Q250" s="177">
        <f t="shared" si="28"/>
        <v>78000</v>
      </c>
      <c r="R250" s="169">
        <f t="shared" si="24"/>
        <v>78000</v>
      </c>
      <c r="S250" s="169">
        <f t="shared" si="24"/>
        <v>78000</v>
      </c>
      <c r="T250" s="150">
        <f t="shared" si="24"/>
        <v>78000</v>
      </c>
      <c r="U250" s="170">
        <f t="shared" si="25"/>
        <v>0</v>
      </c>
      <c r="V250" s="171">
        <f t="shared" si="26"/>
        <v>0</v>
      </c>
      <c r="W250" s="46">
        <f t="shared" si="27"/>
        <v>13258.052344381622</v>
      </c>
      <c r="Y250" s="1" t="s">
        <v>44</v>
      </c>
    </row>
    <row r="251" spans="1:25" ht="15" hidden="1" customHeight="1" x14ac:dyDescent="0.3">
      <c r="A251" s="122" t="s">
        <v>111</v>
      </c>
      <c r="B251" s="172" t="s">
        <v>97</v>
      </c>
      <c r="C251" s="173">
        <v>123</v>
      </c>
      <c r="D251" s="173">
        <v>53</v>
      </c>
      <c r="E251" s="173">
        <v>11</v>
      </c>
      <c r="F251" s="174">
        <v>33901</v>
      </c>
      <c r="G251" s="175">
        <v>186</v>
      </c>
      <c r="H251" s="175">
        <v>51</v>
      </c>
      <c r="I251" s="175">
        <v>10</v>
      </c>
      <c r="J251" s="175">
        <v>44100</v>
      </c>
      <c r="K251" s="176"/>
      <c r="L251" s="176"/>
      <c r="M251" s="176"/>
      <c r="N251" s="176"/>
      <c r="O251" s="166">
        <f t="shared" si="22"/>
        <v>5.8832170799999997</v>
      </c>
      <c r="P251" s="167">
        <f t="shared" si="23"/>
        <v>78001</v>
      </c>
      <c r="Q251" s="177">
        <f t="shared" si="28"/>
        <v>78001</v>
      </c>
      <c r="R251" s="169">
        <f t="shared" si="24"/>
        <v>78001</v>
      </c>
      <c r="S251" s="169">
        <f t="shared" si="24"/>
        <v>78001</v>
      </c>
      <c r="T251" s="150">
        <f t="shared" si="24"/>
        <v>78001</v>
      </c>
      <c r="U251" s="170">
        <f t="shared" si="25"/>
        <v>0</v>
      </c>
      <c r="V251" s="171">
        <f t="shared" si="26"/>
        <v>0</v>
      </c>
      <c r="W251" s="46">
        <f t="shared" si="27"/>
        <v>13258.22231941168</v>
      </c>
      <c r="Y251" s="1" t="s">
        <v>46</v>
      </c>
    </row>
    <row r="252" spans="1:25" ht="15" hidden="1" customHeight="1" x14ac:dyDescent="0.3">
      <c r="A252" s="122" t="s">
        <v>110</v>
      </c>
      <c r="B252" s="172" t="s">
        <v>97</v>
      </c>
      <c r="C252" s="173">
        <v>130</v>
      </c>
      <c r="D252" s="173">
        <v>54</v>
      </c>
      <c r="E252" s="173">
        <v>9</v>
      </c>
      <c r="F252" s="174">
        <v>29140</v>
      </c>
      <c r="G252" s="175">
        <v>182</v>
      </c>
      <c r="H252" s="175">
        <v>49</v>
      </c>
      <c r="I252" s="175">
        <v>10</v>
      </c>
      <c r="J252" s="175">
        <v>40230</v>
      </c>
      <c r="K252" s="176">
        <v>188</v>
      </c>
      <c r="L252" s="176">
        <v>51</v>
      </c>
      <c r="M252" s="176">
        <v>8</v>
      </c>
      <c r="N252" s="176">
        <v>35650</v>
      </c>
      <c r="O252" s="166">
        <f t="shared" si="22"/>
        <v>8.0905404799999996</v>
      </c>
      <c r="P252" s="167">
        <f t="shared" si="23"/>
        <v>105020</v>
      </c>
      <c r="Q252" s="177">
        <f t="shared" si="28"/>
        <v>105020</v>
      </c>
      <c r="R252" s="169">
        <f t="shared" si="24"/>
        <v>105020</v>
      </c>
      <c r="S252" s="169">
        <f t="shared" si="24"/>
        <v>105020</v>
      </c>
      <c r="T252" s="150">
        <f t="shared" si="24"/>
        <v>105020</v>
      </c>
      <c r="U252" s="170">
        <f t="shared" si="25"/>
        <v>0</v>
      </c>
      <c r="V252" s="171">
        <f t="shared" si="26"/>
        <v>0</v>
      </c>
      <c r="W252" s="46">
        <f t="shared" si="27"/>
        <v>12980.591378241272</v>
      </c>
      <c r="Y252" s="1" t="s">
        <v>44</v>
      </c>
    </row>
    <row r="253" spans="1:25" ht="15" hidden="1" customHeight="1" x14ac:dyDescent="0.3">
      <c r="A253" s="122" t="s">
        <v>109</v>
      </c>
      <c r="B253" s="172" t="s">
        <v>97</v>
      </c>
      <c r="C253" s="173">
        <v>130</v>
      </c>
      <c r="D253" s="173">
        <v>54</v>
      </c>
      <c r="E253" s="173">
        <v>9</v>
      </c>
      <c r="F253" s="174">
        <v>29140</v>
      </c>
      <c r="G253" s="175">
        <v>180</v>
      </c>
      <c r="H253" s="175">
        <v>48</v>
      </c>
      <c r="I253" s="175">
        <v>10</v>
      </c>
      <c r="J253" s="175">
        <v>37000</v>
      </c>
      <c r="K253" s="176">
        <v>188</v>
      </c>
      <c r="L253" s="176">
        <v>51</v>
      </c>
      <c r="M253" s="176">
        <v>8</v>
      </c>
      <c r="N253" s="176">
        <v>35650</v>
      </c>
      <c r="O253" s="166">
        <f t="shared" si="22"/>
        <v>7.9923508800000009</v>
      </c>
      <c r="P253" s="167">
        <f t="shared" si="23"/>
        <v>101790</v>
      </c>
      <c r="Q253" s="177">
        <f t="shared" si="28"/>
        <v>101790</v>
      </c>
      <c r="R253" s="169">
        <f t="shared" si="24"/>
        <v>101790</v>
      </c>
      <c r="S253" s="169">
        <f t="shared" si="24"/>
        <v>101790</v>
      </c>
      <c r="T253" s="150">
        <f t="shared" si="24"/>
        <v>101790</v>
      </c>
      <c r="U253" s="170">
        <f t="shared" si="25"/>
        <v>0</v>
      </c>
      <c r="V253" s="171">
        <f t="shared" si="26"/>
        <v>0</v>
      </c>
      <c r="W253" s="46">
        <f t="shared" si="27"/>
        <v>12735.927329556882</v>
      </c>
      <c r="Y253" s="1" t="s">
        <v>44</v>
      </c>
    </row>
    <row r="254" spans="1:25" ht="15" hidden="1" customHeight="1" x14ac:dyDescent="0.3">
      <c r="A254" s="122" t="s">
        <v>108</v>
      </c>
      <c r="B254" s="172" t="s">
        <v>97</v>
      </c>
      <c r="C254" s="173">
        <v>166</v>
      </c>
      <c r="D254" s="173">
        <v>53</v>
      </c>
      <c r="E254" s="173">
        <v>10</v>
      </c>
      <c r="F254" s="174">
        <v>44650</v>
      </c>
      <c r="G254" s="175">
        <v>180</v>
      </c>
      <c r="H254" s="175">
        <v>47</v>
      </c>
      <c r="I254" s="175">
        <v>10</v>
      </c>
      <c r="J254" s="175">
        <v>47370</v>
      </c>
      <c r="K254" s="176">
        <v>185</v>
      </c>
      <c r="L254" s="176">
        <v>50</v>
      </c>
      <c r="M254" s="176">
        <v>8</v>
      </c>
      <c r="N254" s="176">
        <v>44800</v>
      </c>
      <c r="O254" s="166">
        <f t="shared" si="22"/>
        <v>8.7092056000000007</v>
      </c>
      <c r="P254" s="167">
        <f t="shared" si="23"/>
        <v>136820</v>
      </c>
      <c r="Q254" s="177">
        <f t="shared" si="28"/>
        <v>136820</v>
      </c>
      <c r="R254" s="169">
        <f t="shared" si="24"/>
        <v>136820</v>
      </c>
      <c r="S254" s="169">
        <f t="shared" si="24"/>
        <v>136820</v>
      </c>
      <c r="T254" s="150">
        <f t="shared" si="24"/>
        <v>136820</v>
      </c>
      <c r="U254" s="170">
        <f t="shared" si="25"/>
        <v>0</v>
      </c>
      <c r="V254" s="171">
        <f t="shared" si="26"/>
        <v>0</v>
      </c>
      <c r="W254" s="46">
        <f t="shared" si="27"/>
        <v>15709.813992679194</v>
      </c>
      <c r="Y254" s="1" t="s">
        <v>44</v>
      </c>
    </row>
    <row r="255" spans="1:25" ht="15" hidden="1" customHeight="1" x14ac:dyDescent="0.3">
      <c r="A255" s="122" t="s">
        <v>107</v>
      </c>
      <c r="B255" s="172" t="s">
        <v>97</v>
      </c>
      <c r="C255" s="173">
        <v>166</v>
      </c>
      <c r="D255" s="173">
        <v>53</v>
      </c>
      <c r="E255" s="173">
        <v>10</v>
      </c>
      <c r="F255" s="174">
        <v>44650</v>
      </c>
      <c r="G255" s="175">
        <v>180</v>
      </c>
      <c r="H255" s="175">
        <v>48</v>
      </c>
      <c r="I255" s="175">
        <v>10</v>
      </c>
      <c r="J255" s="175">
        <v>44300</v>
      </c>
      <c r="K255" s="176">
        <v>186</v>
      </c>
      <c r="L255" s="176">
        <v>50</v>
      </c>
      <c r="M255" s="176">
        <v>9</v>
      </c>
      <c r="N255" s="176">
        <v>42900</v>
      </c>
      <c r="O255" s="166">
        <f t="shared" si="22"/>
        <v>9.1153855999999998</v>
      </c>
      <c r="P255" s="167">
        <f t="shared" si="23"/>
        <v>131850</v>
      </c>
      <c r="Q255" s="177">
        <f t="shared" si="28"/>
        <v>131850</v>
      </c>
      <c r="R255" s="169">
        <f t="shared" si="24"/>
        <v>131850</v>
      </c>
      <c r="S255" s="169">
        <f t="shared" si="24"/>
        <v>131850</v>
      </c>
      <c r="T255" s="150">
        <f t="shared" si="24"/>
        <v>131850</v>
      </c>
      <c r="U255" s="170">
        <f t="shared" si="25"/>
        <v>0</v>
      </c>
      <c r="V255" s="171">
        <f t="shared" si="26"/>
        <v>0</v>
      </c>
      <c r="W255" s="46">
        <f t="shared" si="27"/>
        <v>14464.555399609206</v>
      </c>
      <c r="Y255" s="1" t="s">
        <v>44</v>
      </c>
    </row>
    <row r="256" spans="1:25" ht="15" hidden="1" customHeight="1" x14ac:dyDescent="0.3">
      <c r="A256" s="209" t="s">
        <v>106</v>
      </c>
      <c r="B256" s="172" t="s">
        <v>97</v>
      </c>
      <c r="C256" s="173">
        <v>185</v>
      </c>
      <c r="D256" s="173">
        <v>49</v>
      </c>
      <c r="E256" s="173">
        <v>13</v>
      </c>
      <c r="F256" s="174">
        <v>51900</v>
      </c>
      <c r="G256" s="175"/>
      <c r="H256" s="175"/>
      <c r="I256" s="175"/>
      <c r="J256" s="175"/>
      <c r="K256" s="176"/>
      <c r="L256" s="176"/>
      <c r="M256" s="176"/>
      <c r="N256" s="176"/>
      <c r="O256" s="166">
        <f t="shared" si="22"/>
        <v>4.1622854</v>
      </c>
      <c r="P256" s="167">
        <f t="shared" si="23"/>
        <v>51900</v>
      </c>
      <c r="Q256" s="177">
        <f t="shared" si="28"/>
        <v>51900</v>
      </c>
      <c r="R256" s="169">
        <f t="shared" si="24"/>
        <v>51900</v>
      </c>
      <c r="S256" s="169">
        <f t="shared" si="24"/>
        <v>51900</v>
      </c>
      <c r="T256" s="150">
        <f t="shared" si="24"/>
        <v>51900</v>
      </c>
      <c r="U256" s="170">
        <f t="shared" si="25"/>
        <v>0</v>
      </c>
      <c r="V256" s="171">
        <f t="shared" si="26"/>
        <v>0</v>
      </c>
      <c r="W256" s="46">
        <f t="shared" si="27"/>
        <v>12469.111320429878</v>
      </c>
      <c r="Y256" s="1" t="s">
        <v>46</v>
      </c>
    </row>
    <row r="257" spans="1:25" ht="15" hidden="1" customHeight="1" x14ac:dyDescent="0.3">
      <c r="A257" s="209" t="s">
        <v>105</v>
      </c>
      <c r="B257" s="172" t="s">
        <v>97</v>
      </c>
      <c r="C257" s="173">
        <v>192</v>
      </c>
      <c r="D257" s="173">
        <v>46</v>
      </c>
      <c r="E257" s="173">
        <v>12</v>
      </c>
      <c r="F257" s="174">
        <v>48550</v>
      </c>
      <c r="G257" s="175">
        <v>178</v>
      </c>
      <c r="H257" s="175">
        <v>40</v>
      </c>
      <c r="I257" s="175">
        <v>8</v>
      </c>
      <c r="J257" s="175">
        <v>28500</v>
      </c>
      <c r="K257" s="176"/>
      <c r="L257" s="176"/>
      <c r="M257" s="176"/>
      <c r="N257" s="176"/>
      <c r="O257" s="166">
        <f t="shared" si="22"/>
        <v>5.75518208</v>
      </c>
      <c r="P257" s="167">
        <f t="shared" si="23"/>
        <v>77050</v>
      </c>
      <c r="Q257" s="177">
        <f t="shared" si="28"/>
        <v>77050</v>
      </c>
      <c r="R257" s="169">
        <f t="shared" si="24"/>
        <v>77050</v>
      </c>
      <c r="S257" s="169">
        <f t="shared" si="24"/>
        <v>77050</v>
      </c>
      <c r="T257" s="150">
        <f t="shared" si="24"/>
        <v>77050</v>
      </c>
      <c r="U257" s="170">
        <f t="shared" si="25"/>
        <v>0</v>
      </c>
      <c r="V257" s="171">
        <f t="shared" si="26"/>
        <v>0</v>
      </c>
      <c r="W257" s="46">
        <f t="shared" si="27"/>
        <v>13387.9343744412</v>
      </c>
      <c r="Y257" s="1" t="s">
        <v>46</v>
      </c>
    </row>
    <row r="258" spans="1:25" ht="14.4" hidden="1" x14ac:dyDescent="0.3">
      <c r="A258" s="209" t="s">
        <v>104</v>
      </c>
      <c r="B258" s="172" t="s">
        <v>97</v>
      </c>
      <c r="C258" s="173">
        <v>157</v>
      </c>
      <c r="D258" s="173">
        <v>47</v>
      </c>
      <c r="E258" s="173">
        <v>9</v>
      </c>
      <c r="F258" s="210">
        <v>32000</v>
      </c>
      <c r="G258" s="175">
        <v>179</v>
      </c>
      <c r="H258" s="175">
        <v>41</v>
      </c>
      <c r="I258" s="175">
        <v>10</v>
      </c>
      <c r="J258" s="175">
        <v>39000</v>
      </c>
      <c r="K258" s="176">
        <v>185</v>
      </c>
      <c r="L258" s="176">
        <v>46</v>
      </c>
      <c r="M258" s="176">
        <v>8</v>
      </c>
      <c r="N258" s="176">
        <v>40000</v>
      </c>
      <c r="O258" s="166">
        <f t="shared" si="22"/>
        <v>7.3423569200000003</v>
      </c>
      <c r="P258" s="167">
        <f t="shared" si="23"/>
        <v>111000</v>
      </c>
      <c r="Q258" s="177">
        <f t="shared" si="28"/>
        <v>111000</v>
      </c>
      <c r="R258" s="169">
        <f t="shared" si="24"/>
        <v>111000</v>
      </c>
      <c r="S258" s="169">
        <f t="shared" si="24"/>
        <v>111000</v>
      </c>
      <c r="T258" s="150">
        <f t="shared" si="24"/>
        <v>111000</v>
      </c>
      <c r="U258" s="170">
        <f t="shared" si="25"/>
        <v>0</v>
      </c>
      <c r="V258" s="171">
        <f t="shared" si="26"/>
        <v>0</v>
      </c>
      <c r="W258" s="46">
        <f t="shared" si="27"/>
        <v>15117.76139588703</v>
      </c>
      <c r="Y258" s="1" t="s">
        <v>46</v>
      </c>
    </row>
    <row r="259" spans="1:25" hidden="1" x14ac:dyDescent="0.3">
      <c r="A259" s="122" t="s">
        <v>326</v>
      </c>
      <c r="B259" s="211" t="s">
        <v>0</v>
      </c>
      <c r="C259" s="212"/>
      <c r="D259" s="212"/>
      <c r="E259" s="212"/>
      <c r="F259" s="213"/>
      <c r="G259" s="214"/>
      <c r="H259" s="214"/>
      <c r="I259" s="214"/>
      <c r="J259" s="214"/>
      <c r="K259" s="215"/>
      <c r="L259" s="215"/>
      <c r="M259" s="215"/>
      <c r="N259" s="215"/>
      <c r="O259" s="166">
        <f t="shared" si="22"/>
        <v>0</v>
      </c>
      <c r="P259" s="167">
        <f t="shared" si="23"/>
        <v>0</v>
      </c>
      <c r="Q259" s="177">
        <f t="shared" si="28"/>
        <v>0</v>
      </c>
      <c r="R259" s="169">
        <f t="shared" si="24"/>
        <v>0</v>
      </c>
      <c r="S259" s="169">
        <f t="shared" si="24"/>
        <v>0</v>
      </c>
      <c r="T259" s="150">
        <f t="shared" si="24"/>
        <v>0</v>
      </c>
      <c r="U259" s="170">
        <f t="shared" si="25"/>
        <v>0</v>
      </c>
      <c r="V259" s="171" t="e">
        <f t="shared" si="26"/>
        <v>#DIV/0!</v>
      </c>
      <c r="W259" s="46" t="e">
        <f t="shared" si="27"/>
        <v>#DIV/0!</v>
      </c>
      <c r="Y259" s="1" t="s">
        <v>46</v>
      </c>
    </row>
    <row r="260" spans="1:25" hidden="1" x14ac:dyDescent="0.3">
      <c r="A260" s="216" t="s">
        <v>41</v>
      </c>
      <c r="B260" s="217" t="s">
        <v>0</v>
      </c>
      <c r="C260" s="22">
        <v>24</v>
      </c>
      <c r="D260" s="22">
        <v>11</v>
      </c>
      <c r="E260" s="22">
        <v>5</v>
      </c>
      <c r="F260" s="22">
        <v>300</v>
      </c>
      <c r="G260" s="214"/>
      <c r="H260" s="214"/>
      <c r="I260" s="214"/>
      <c r="J260" s="214"/>
      <c r="K260" s="215"/>
      <c r="L260" s="215"/>
      <c r="M260" s="215"/>
      <c r="N260" s="215"/>
      <c r="O260" s="166">
        <f t="shared" ref="O260:O304" si="29">((IFERROR((C260*D260*E260),0)+IFERROR((G260*H260*I260),0)+IFERROR((K260*L260*M260),0))/1000000)*35.32</f>
        <v>4.6622400000000001E-2</v>
      </c>
      <c r="P260" s="167">
        <f t="shared" ref="P260:P304" si="30">F260+J260+N260</f>
        <v>300</v>
      </c>
      <c r="Q260" s="177">
        <f t="shared" si="28"/>
        <v>300</v>
      </c>
      <c r="R260" s="169">
        <f t="shared" ref="R260:W303" si="31">MAX(Q260,O260)</f>
        <v>300</v>
      </c>
      <c r="S260" s="169">
        <f t="shared" si="31"/>
        <v>300</v>
      </c>
      <c r="T260" s="150">
        <f t="shared" si="31"/>
        <v>300</v>
      </c>
      <c r="U260" s="170">
        <f t="shared" ref="U260:U301" si="32">T260-Q260</f>
        <v>0</v>
      </c>
      <c r="V260" s="171">
        <f t="shared" ref="V260:V301" si="33">U260/T260</f>
        <v>0</v>
      </c>
      <c r="W260" s="46">
        <f t="shared" ref="W260:W301" si="34">R260/O260</f>
        <v>6434.6751775970351</v>
      </c>
    </row>
    <row r="261" spans="1:25" hidden="1" x14ac:dyDescent="0.3">
      <c r="A261" s="216" t="s">
        <v>40</v>
      </c>
      <c r="B261" s="217" t="s">
        <v>0</v>
      </c>
      <c r="C261" s="22">
        <v>25</v>
      </c>
      <c r="D261" s="22">
        <v>25</v>
      </c>
      <c r="E261" s="22">
        <v>6</v>
      </c>
      <c r="F261" s="22">
        <v>700</v>
      </c>
      <c r="G261" s="214"/>
      <c r="H261" s="214"/>
      <c r="I261" s="214"/>
      <c r="J261" s="214"/>
      <c r="K261" s="215"/>
      <c r="L261" s="215"/>
      <c r="M261" s="215"/>
      <c r="N261" s="215"/>
      <c r="O261" s="166">
        <f t="shared" si="29"/>
        <v>0.13244999999999998</v>
      </c>
      <c r="P261" s="167">
        <f t="shared" si="30"/>
        <v>700</v>
      </c>
      <c r="Q261" s="177">
        <f t="shared" si="28"/>
        <v>700</v>
      </c>
      <c r="R261" s="169">
        <f t="shared" si="31"/>
        <v>700</v>
      </c>
      <c r="S261" s="169">
        <f t="shared" si="31"/>
        <v>700</v>
      </c>
      <c r="T261" s="150">
        <f t="shared" si="31"/>
        <v>700</v>
      </c>
      <c r="U261" s="170">
        <f t="shared" si="32"/>
        <v>0</v>
      </c>
      <c r="V261" s="171">
        <f t="shared" si="33"/>
        <v>0</v>
      </c>
      <c r="W261" s="46">
        <f t="shared" si="34"/>
        <v>5285.0132125330319</v>
      </c>
    </row>
    <row r="262" spans="1:25" hidden="1" x14ac:dyDescent="0.3">
      <c r="A262" s="216" t="s">
        <v>39</v>
      </c>
      <c r="B262" s="217" t="s">
        <v>0</v>
      </c>
      <c r="C262" s="22">
        <v>36</v>
      </c>
      <c r="D262" s="22">
        <v>33</v>
      </c>
      <c r="E262" s="22">
        <v>6</v>
      </c>
      <c r="F262" s="22">
        <v>1360</v>
      </c>
      <c r="G262" s="214"/>
      <c r="H262" s="214"/>
      <c r="I262" s="214"/>
      <c r="J262" s="214"/>
      <c r="K262" s="215"/>
      <c r="L262" s="215"/>
      <c r="M262" s="215"/>
      <c r="N262" s="215"/>
      <c r="O262" s="166">
        <f t="shared" si="29"/>
        <v>0.25176095999999998</v>
      </c>
      <c r="P262" s="167">
        <f t="shared" si="30"/>
        <v>1360</v>
      </c>
      <c r="Q262" s="177">
        <f t="shared" si="28"/>
        <v>1360</v>
      </c>
      <c r="R262" s="169">
        <f t="shared" si="31"/>
        <v>1360</v>
      </c>
      <c r="S262" s="169">
        <f t="shared" si="31"/>
        <v>1360</v>
      </c>
      <c r="T262" s="150">
        <f t="shared" si="31"/>
        <v>1360</v>
      </c>
      <c r="U262" s="170">
        <f t="shared" si="32"/>
        <v>0</v>
      </c>
      <c r="V262" s="171">
        <f t="shared" si="33"/>
        <v>0</v>
      </c>
      <c r="W262" s="46">
        <f t="shared" si="34"/>
        <v>5401.949531809857</v>
      </c>
    </row>
    <row r="263" spans="1:25" hidden="1" x14ac:dyDescent="0.3">
      <c r="A263" s="13" t="s">
        <v>38</v>
      </c>
      <c r="B263" s="217" t="s">
        <v>0</v>
      </c>
      <c r="C263" s="22">
        <v>153</v>
      </c>
      <c r="D263" s="173">
        <v>43</v>
      </c>
      <c r="E263" s="173">
        <v>9</v>
      </c>
      <c r="F263" s="22">
        <v>26000</v>
      </c>
      <c r="G263" s="214"/>
      <c r="H263" s="214"/>
      <c r="I263" s="214"/>
      <c r="J263" s="214"/>
      <c r="K263" s="215"/>
      <c r="L263" s="215"/>
      <c r="M263" s="215"/>
      <c r="N263" s="215"/>
      <c r="O263" s="166">
        <f t="shared" si="29"/>
        <v>2.0913325199999999</v>
      </c>
      <c r="P263" s="167">
        <f t="shared" si="30"/>
        <v>26000</v>
      </c>
      <c r="Q263" s="177">
        <f t="shared" si="28"/>
        <v>26000</v>
      </c>
      <c r="R263" s="169">
        <f t="shared" si="31"/>
        <v>26000</v>
      </c>
      <c r="S263" s="169">
        <f t="shared" si="31"/>
        <v>26000</v>
      </c>
      <c r="T263" s="150">
        <f t="shared" si="31"/>
        <v>26000</v>
      </c>
      <c r="U263" s="170">
        <f t="shared" si="32"/>
        <v>0</v>
      </c>
      <c r="V263" s="171">
        <f t="shared" si="33"/>
        <v>0</v>
      </c>
      <c r="W263" s="46">
        <f t="shared" si="34"/>
        <v>12432.26495612472</v>
      </c>
    </row>
    <row r="264" spans="1:25" hidden="1" x14ac:dyDescent="0.3">
      <c r="A264" s="13" t="s">
        <v>37</v>
      </c>
      <c r="B264" s="217" t="s">
        <v>0</v>
      </c>
      <c r="C264" s="22">
        <v>153</v>
      </c>
      <c r="D264" s="173">
        <v>43</v>
      </c>
      <c r="E264" s="173">
        <v>9</v>
      </c>
      <c r="F264" s="22">
        <v>23000</v>
      </c>
      <c r="G264" s="214"/>
      <c r="H264" s="214"/>
      <c r="I264" s="214"/>
      <c r="J264" s="214"/>
      <c r="K264" s="215"/>
      <c r="L264" s="215"/>
      <c r="M264" s="215"/>
      <c r="N264" s="215"/>
      <c r="O264" s="166">
        <f t="shared" si="29"/>
        <v>2.0913325199999999</v>
      </c>
      <c r="P264" s="167">
        <f t="shared" si="30"/>
        <v>23000</v>
      </c>
      <c r="Q264" s="177">
        <f t="shared" si="28"/>
        <v>23000</v>
      </c>
      <c r="R264" s="169">
        <f t="shared" si="31"/>
        <v>23000</v>
      </c>
      <c r="S264" s="169">
        <f t="shared" si="31"/>
        <v>23000</v>
      </c>
      <c r="T264" s="150">
        <f t="shared" si="31"/>
        <v>23000</v>
      </c>
      <c r="U264" s="170">
        <f t="shared" si="32"/>
        <v>0</v>
      </c>
      <c r="V264" s="171">
        <f t="shared" si="33"/>
        <v>0</v>
      </c>
      <c r="W264" s="46">
        <f t="shared" si="34"/>
        <v>10997.772845802638</v>
      </c>
    </row>
    <row r="265" spans="1:25" ht="14.4" hidden="1" x14ac:dyDescent="0.3">
      <c r="A265" s="51" t="s">
        <v>36</v>
      </c>
      <c r="B265" s="172" t="s">
        <v>0</v>
      </c>
      <c r="C265" s="22">
        <v>39</v>
      </c>
      <c r="D265" s="173">
        <v>30</v>
      </c>
      <c r="E265" s="173">
        <v>8</v>
      </c>
      <c r="F265" s="22">
        <v>3000</v>
      </c>
      <c r="G265" s="214"/>
      <c r="H265" s="214"/>
      <c r="I265" s="214"/>
      <c r="J265" s="214"/>
      <c r="K265" s="215"/>
      <c r="L265" s="215"/>
      <c r="M265" s="215"/>
      <c r="N265" s="215"/>
      <c r="O265" s="166">
        <f t="shared" si="29"/>
        <v>0.33059520000000003</v>
      </c>
      <c r="P265" s="167">
        <f t="shared" si="30"/>
        <v>3000</v>
      </c>
      <c r="Q265" s="177">
        <f t="shared" si="28"/>
        <v>3000</v>
      </c>
      <c r="R265" s="169">
        <f t="shared" si="31"/>
        <v>3000</v>
      </c>
      <c r="S265" s="169">
        <f t="shared" si="31"/>
        <v>3000</v>
      </c>
      <c r="T265" s="150">
        <f t="shared" si="31"/>
        <v>3000</v>
      </c>
      <c r="U265" s="170">
        <f t="shared" si="32"/>
        <v>0</v>
      </c>
      <c r="V265" s="171">
        <f t="shared" si="33"/>
        <v>0</v>
      </c>
      <c r="W265" s="46">
        <f t="shared" si="34"/>
        <v>9074.5419171240228</v>
      </c>
    </row>
    <row r="266" spans="1:25" ht="14.4" hidden="1" x14ac:dyDescent="0.3">
      <c r="A266" s="51" t="s">
        <v>35</v>
      </c>
      <c r="B266" s="172" t="s">
        <v>0</v>
      </c>
      <c r="C266" s="22">
        <v>65</v>
      </c>
      <c r="D266" s="173">
        <v>35</v>
      </c>
      <c r="E266" s="173">
        <v>8</v>
      </c>
      <c r="F266" s="22">
        <v>5000</v>
      </c>
      <c r="G266" s="214"/>
      <c r="H266" s="214"/>
      <c r="I266" s="214"/>
      <c r="J266" s="214"/>
      <c r="K266" s="215"/>
      <c r="L266" s="215"/>
      <c r="M266" s="215"/>
      <c r="N266" s="215"/>
      <c r="O266" s="166">
        <f t="shared" si="29"/>
        <v>0.64282400000000006</v>
      </c>
      <c r="P266" s="167">
        <f t="shared" si="30"/>
        <v>5000</v>
      </c>
      <c r="Q266" s="177">
        <f t="shared" si="28"/>
        <v>5000</v>
      </c>
      <c r="R266" s="169">
        <f t="shared" si="31"/>
        <v>5000</v>
      </c>
      <c r="S266" s="169">
        <f t="shared" si="31"/>
        <v>5000</v>
      </c>
      <c r="T266" s="150">
        <f t="shared" si="31"/>
        <v>5000</v>
      </c>
      <c r="U266" s="170">
        <f t="shared" si="32"/>
        <v>0</v>
      </c>
      <c r="V266" s="171">
        <f t="shared" si="33"/>
        <v>0</v>
      </c>
      <c r="W266" s="46">
        <f t="shared" si="34"/>
        <v>7778.1787861063049</v>
      </c>
    </row>
    <row r="267" spans="1:25" hidden="1" x14ac:dyDescent="0.3">
      <c r="A267" s="35" t="s">
        <v>34</v>
      </c>
      <c r="B267" s="32" t="s">
        <v>0</v>
      </c>
      <c r="C267" s="22">
        <v>150</v>
      </c>
      <c r="D267" s="173">
        <v>42</v>
      </c>
      <c r="E267" s="173">
        <v>14</v>
      </c>
      <c r="F267" s="22">
        <v>40000</v>
      </c>
      <c r="G267" s="214"/>
      <c r="H267" s="214"/>
      <c r="I267" s="214"/>
      <c r="J267" s="214"/>
      <c r="K267" s="215"/>
      <c r="L267" s="215"/>
      <c r="M267" s="215"/>
      <c r="N267" s="215"/>
      <c r="O267" s="166">
        <f>((IFERROR((C267*D267*E267),0)+IFERROR((G267*H267*I267),0)+IFERROR((K267*L267*M267),0))/1000000)*35.32</f>
        <v>3.115224</v>
      </c>
      <c r="P267" s="167">
        <f t="shared" si="30"/>
        <v>40000</v>
      </c>
      <c r="Q267" s="177">
        <f t="shared" si="28"/>
        <v>40000</v>
      </c>
      <c r="R267" s="169">
        <f t="shared" si="31"/>
        <v>40000</v>
      </c>
      <c r="S267" s="169">
        <f t="shared" si="31"/>
        <v>40000</v>
      </c>
      <c r="T267" s="150">
        <f t="shared" si="31"/>
        <v>40000</v>
      </c>
      <c r="U267" s="170">
        <f t="shared" si="32"/>
        <v>0</v>
      </c>
      <c r="V267" s="171">
        <f t="shared" si="33"/>
        <v>0</v>
      </c>
      <c r="W267" s="46">
        <f t="shared" si="34"/>
        <v>12840.168154842157</v>
      </c>
    </row>
    <row r="268" spans="1:25" hidden="1" x14ac:dyDescent="0.3">
      <c r="A268" s="35" t="s">
        <v>33</v>
      </c>
      <c r="B268" s="32" t="s">
        <v>0</v>
      </c>
      <c r="C268" s="22">
        <v>112</v>
      </c>
      <c r="D268" s="173">
        <v>28</v>
      </c>
      <c r="E268" s="173">
        <v>4</v>
      </c>
      <c r="F268" s="22">
        <v>4000</v>
      </c>
      <c r="G268" s="214"/>
      <c r="H268" s="214"/>
      <c r="I268" s="214"/>
      <c r="J268" s="214"/>
      <c r="K268" s="215"/>
      <c r="L268" s="215"/>
      <c r="M268" s="215"/>
      <c r="N268" s="215"/>
      <c r="O268" s="166">
        <f t="shared" si="29"/>
        <v>0.44305408000000002</v>
      </c>
      <c r="P268" s="167">
        <f t="shared" si="30"/>
        <v>4000</v>
      </c>
      <c r="Q268" s="177">
        <f>F268+J268+N268</f>
        <v>4000</v>
      </c>
      <c r="R268" s="169">
        <f t="shared" si="31"/>
        <v>4000</v>
      </c>
      <c r="S268" s="169">
        <f t="shared" si="31"/>
        <v>4000</v>
      </c>
      <c r="T268" s="150">
        <f t="shared" si="31"/>
        <v>4000</v>
      </c>
      <c r="U268" s="170">
        <f t="shared" si="32"/>
        <v>0</v>
      </c>
      <c r="V268" s="171">
        <f t="shared" si="33"/>
        <v>0</v>
      </c>
      <c r="W268" s="46">
        <f t="shared" si="34"/>
        <v>9028.2432338733906</v>
      </c>
    </row>
    <row r="269" spans="1:25" hidden="1" x14ac:dyDescent="0.3">
      <c r="A269" s="35" t="s">
        <v>32</v>
      </c>
      <c r="B269" s="32" t="s">
        <v>0</v>
      </c>
      <c r="C269" s="22">
        <v>36</v>
      </c>
      <c r="D269" s="173">
        <v>25</v>
      </c>
      <c r="E269" s="173">
        <v>5</v>
      </c>
      <c r="F269" s="22">
        <v>3800</v>
      </c>
      <c r="G269" s="214"/>
      <c r="H269" s="214"/>
      <c r="I269" s="214"/>
      <c r="J269" s="214"/>
      <c r="K269" s="215"/>
      <c r="L269" s="215"/>
      <c r="M269" s="215"/>
      <c r="N269" s="215"/>
      <c r="O269" s="166">
        <f t="shared" si="29"/>
        <v>0.15894</v>
      </c>
      <c r="P269" s="167">
        <f t="shared" si="30"/>
        <v>3800</v>
      </c>
      <c r="Q269" s="177">
        <f>F269+J269+N269</f>
        <v>3800</v>
      </c>
      <c r="R269" s="169">
        <f t="shared" si="31"/>
        <v>3800</v>
      </c>
      <c r="S269" s="169">
        <f t="shared" si="31"/>
        <v>3800</v>
      </c>
      <c r="T269" s="150">
        <f t="shared" si="31"/>
        <v>3800</v>
      </c>
      <c r="U269" s="170">
        <f t="shared" si="32"/>
        <v>0</v>
      </c>
      <c r="V269" s="171">
        <f t="shared" si="33"/>
        <v>0</v>
      </c>
      <c r="W269" s="46">
        <f t="shared" si="34"/>
        <v>23908.393104316096</v>
      </c>
    </row>
    <row r="270" spans="1:25" hidden="1" x14ac:dyDescent="0.3">
      <c r="A270" s="35" t="s">
        <v>31</v>
      </c>
      <c r="B270" s="32" t="s">
        <v>0</v>
      </c>
      <c r="C270" s="22">
        <v>70</v>
      </c>
      <c r="D270" s="173">
        <v>25</v>
      </c>
      <c r="E270" s="173">
        <v>5</v>
      </c>
      <c r="F270" s="22">
        <v>2500</v>
      </c>
      <c r="G270" s="214"/>
      <c r="H270" s="214"/>
      <c r="I270" s="214"/>
      <c r="J270" s="214"/>
      <c r="K270" s="215"/>
      <c r="L270" s="215"/>
      <c r="M270" s="215"/>
      <c r="N270" s="215"/>
      <c r="O270" s="166">
        <f t="shared" si="29"/>
        <v>0.30905000000000005</v>
      </c>
      <c r="P270" s="167">
        <f t="shared" si="30"/>
        <v>2500</v>
      </c>
      <c r="Q270" s="177">
        <f t="shared" ref="Q270:Q304" si="35">F270+J270+N270</f>
        <v>2500</v>
      </c>
      <c r="R270" s="169">
        <f t="shared" si="31"/>
        <v>2500</v>
      </c>
      <c r="S270" s="169">
        <f t="shared" si="31"/>
        <v>2500</v>
      </c>
      <c r="T270" s="150">
        <f t="shared" si="31"/>
        <v>2500</v>
      </c>
      <c r="U270" s="170">
        <f t="shared" si="32"/>
        <v>0</v>
      </c>
      <c r="V270" s="171">
        <f t="shared" si="33"/>
        <v>0</v>
      </c>
      <c r="W270" s="46">
        <f t="shared" si="34"/>
        <v>8089.3059375505572</v>
      </c>
    </row>
    <row r="271" spans="1:25" hidden="1" x14ac:dyDescent="0.3">
      <c r="A271" s="35" t="s">
        <v>30</v>
      </c>
      <c r="B271" s="32" t="s">
        <v>0</v>
      </c>
      <c r="C271" s="22">
        <v>78</v>
      </c>
      <c r="D271" s="173">
        <v>23</v>
      </c>
      <c r="E271" s="173">
        <v>6</v>
      </c>
      <c r="F271" s="22">
        <v>2200</v>
      </c>
      <c r="G271" s="214"/>
      <c r="H271" s="214"/>
      <c r="I271" s="214"/>
      <c r="J271" s="214"/>
      <c r="K271" s="215"/>
      <c r="L271" s="215"/>
      <c r="M271" s="215"/>
      <c r="N271" s="215"/>
      <c r="O271" s="166">
        <f t="shared" si="29"/>
        <v>0.38018447999999999</v>
      </c>
      <c r="P271" s="167">
        <f t="shared" si="30"/>
        <v>2200</v>
      </c>
      <c r="Q271" s="177">
        <f t="shared" si="35"/>
        <v>2200</v>
      </c>
      <c r="R271" s="169">
        <f t="shared" si="31"/>
        <v>2200</v>
      </c>
      <c r="S271" s="169">
        <f t="shared" si="31"/>
        <v>2200</v>
      </c>
      <c r="T271" s="150">
        <f t="shared" si="31"/>
        <v>2200</v>
      </c>
      <c r="U271" s="170">
        <f t="shared" si="32"/>
        <v>0</v>
      </c>
      <c r="V271" s="171">
        <f t="shared" si="33"/>
        <v>0</v>
      </c>
      <c r="W271" s="46">
        <f t="shared" si="34"/>
        <v>5786.6644109196677</v>
      </c>
    </row>
    <row r="272" spans="1:25" hidden="1" x14ac:dyDescent="0.3">
      <c r="A272" s="35" t="s">
        <v>29</v>
      </c>
      <c r="B272" s="32" t="s">
        <v>0</v>
      </c>
      <c r="C272" s="22">
        <v>55</v>
      </c>
      <c r="D272" s="173">
        <v>17</v>
      </c>
      <c r="E272" s="173">
        <v>8</v>
      </c>
      <c r="F272" s="22">
        <v>2500</v>
      </c>
      <c r="G272" s="214"/>
      <c r="H272" s="214"/>
      <c r="I272" s="214"/>
      <c r="J272" s="214"/>
      <c r="K272" s="215"/>
      <c r="L272" s="215"/>
      <c r="M272" s="215"/>
      <c r="N272" s="215"/>
      <c r="O272" s="166">
        <f t="shared" si="29"/>
        <v>0.26419359999999997</v>
      </c>
      <c r="P272" s="167">
        <f t="shared" si="30"/>
        <v>2500</v>
      </c>
      <c r="Q272" s="177">
        <f t="shared" si="35"/>
        <v>2500</v>
      </c>
      <c r="R272" s="169">
        <f t="shared" si="31"/>
        <v>2500</v>
      </c>
      <c r="S272" s="169">
        <f t="shared" si="31"/>
        <v>2500</v>
      </c>
      <c r="T272" s="150">
        <f t="shared" si="31"/>
        <v>2500</v>
      </c>
      <c r="U272" s="170">
        <f t="shared" si="32"/>
        <v>0</v>
      </c>
      <c r="V272" s="171">
        <f t="shared" si="33"/>
        <v>0</v>
      </c>
      <c r="W272" s="46">
        <f t="shared" si="34"/>
        <v>9462.7576141132868</v>
      </c>
    </row>
    <row r="273" spans="1:23" hidden="1" x14ac:dyDescent="0.3">
      <c r="A273" s="35" t="s">
        <v>28</v>
      </c>
      <c r="B273" s="32" t="s">
        <v>0</v>
      </c>
      <c r="C273" s="22">
        <v>40</v>
      </c>
      <c r="D273" s="173">
        <v>20</v>
      </c>
      <c r="E273" s="173">
        <v>5</v>
      </c>
      <c r="F273" s="22">
        <v>1700</v>
      </c>
      <c r="G273" s="214"/>
      <c r="H273" s="214"/>
      <c r="I273" s="214"/>
      <c r="J273" s="214"/>
      <c r="K273" s="215"/>
      <c r="L273" s="215"/>
      <c r="M273" s="215"/>
      <c r="N273" s="215"/>
      <c r="O273" s="166">
        <f t="shared" si="29"/>
        <v>0.14128000000000002</v>
      </c>
      <c r="P273" s="167">
        <f t="shared" si="30"/>
        <v>1700</v>
      </c>
      <c r="Q273" s="177">
        <f t="shared" si="35"/>
        <v>1700</v>
      </c>
      <c r="R273" s="169">
        <f t="shared" si="31"/>
        <v>1700</v>
      </c>
      <c r="S273" s="169">
        <f t="shared" si="31"/>
        <v>1700</v>
      </c>
      <c r="T273" s="150">
        <f t="shared" si="31"/>
        <v>1700</v>
      </c>
      <c r="U273" s="170">
        <f t="shared" si="32"/>
        <v>0</v>
      </c>
      <c r="V273" s="171">
        <f t="shared" si="33"/>
        <v>0</v>
      </c>
      <c r="W273" s="46">
        <f t="shared" si="34"/>
        <v>12032.842582106454</v>
      </c>
    </row>
    <row r="274" spans="1:23" hidden="1" x14ac:dyDescent="0.3">
      <c r="A274" s="35" t="s">
        <v>27</v>
      </c>
      <c r="B274" s="32" t="s">
        <v>0</v>
      </c>
      <c r="C274" s="22">
        <v>152</v>
      </c>
      <c r="D274" s="173">
        <v>58</v>
      </c>
      <c r="E274" s="173">
        <v>9</v>
      </c>
      <c r="F274" s="22">
        <v>25000</v>
      </c>
      <c r="G274" s="214"/>
      <c r="H274" s="214"/>
      <c r="I274" s="214"/>
      <c r="J274" s="214"/>
      <c r="K274" s="215"/>
      <c r="L274" s="215"/>
      <c r="M274" s="215"/>
      <c r="N274" s="215"/>
      <c r="O274" s="166">
        <f t="shared" si="29"/>
        <v>2.8024300800000002</v>
      </c>
      <c r="P274" s="167">
        <f t="shared" si="30"/>
        <v>25000</v>
      </c>
      <c r="Q274" s="177">
        <f t="shared" si="35"/>
        <v>25000</v>
      </c>
      <c r="R274" s="169">
        <f t="shared" si="31"/>
        <v>25000</v>
      </c>
      <c r="S274" s="169">
        <f t="shared" si="31"/>
        <v>25000</v>
      </c>
      <c r="T274" s="150">
        <f t="shared" si="31"/>
        <v>25000</v>
      </c>
      <c r="U274" s="170">
        <f t="shared" si="32"/>
        <v>0</v>
      </c>
      <c r="V274" s="171">
        <f t="shared" si="33"/>
        <v>0</v>
      </c>
      <c r="W274" s="46">
        <f t="shared" si="34"/>
        <v>8920.8291683766111</v>
      </c>
    </row>
    <row r="275" spans="1:23" ht="14.4" hidden="1" x14ac:dyDescent="0.3">
      <c r="A275" s="42" t="s">
        <v>26</v>
      </c>
      <c r="B275" s="32" t="s">
        <v>0</v>
      </c>
      <c r="C275" s="22">
        <v>56</v>
      </c>
      <c r="D275" s="21">
        <v>30</v>
      </c>
      <c r="E275" s="21">
        <v>11</v>
      </c>
      <c r="F275" s="22">
        <v>7100</v>
      </c>
      <c r="G275" s="214"/>
      <c r="H275" s="214"/>
      <c r="I275" s="214"/>
      <c r="J275" s="214"/>
      <c r="K275" s="215"/>
      <c r="L275" s="215"/>
      <c r="M275" s="215"/>
      <c r="N275" s="215"/>
      <c r="O275" s="166">
        <f t="shared" si="29"/>
        <v>0.6527136</v>
      </c>
      <c r="P275" s="167">
        <f t="shared" si="30"/>
        <v>7100</v>
      </c>
      <c r="Q275" s="177">
        <f t="shared" si="35"/>
        <v>7100</v>
      </c>
      <c r="R275" s="169">
        <f t="shared" si="31"/>
        <v>7100</v>
      </c>
      <c r="S275" s="169">
        <f t="shared" si="31"/>
        <v>7100</v>
      </c>
      <c r="T275" s="150">
        <f t="shared" si="31"/>
        <v>7100</v>
      </c>
      <c r="U275" s="170">
        <f t="shared" si="32"/>
        <v>0</v>
      </c>
      <c r="V275" s="171">
        <f t="shared" si="33"/>
        <v>0</v>
      </c>
      <c r="W275" s="46">
        <f t="shared" si="34"/>
        <v>10877.66518117594</v>
      </c>
    </row>
    <row r="276" spans="1:23" ht="14.4" hidden="1" x14ac:dyDescent="0.3">
      <c r="A276" s="42" t="s">
        <v>25</v>
      </c>
      <c r="B276" s="32" t="s">
        <v>0</v>
      </c>
      <c r="C276" s="22">
        <v>78</v>
      </c>
      <c r="D276" s="21">
        <v>36</v>
      </c>
      <c r="E276" s="21">
        <v>15</v>
      </c>
      <c r="F276" s="22">
        <v>16100</v>
      </c>
      <c r="G276" s="214"/>
      <c r="H276" s="214"/>
      <c r="I276" s="214"/>
      <c r="J276" s="214"/>
      <c r="K276" s="215"/>
      <c r="L276" s="215"/>
      <c r="M276" s="215"/>
      <c r="N276" s="215"/>
      <c r="O276" s="166">
        <f t="shared" si="29"/>
        <v>1.4876783999999998</v>
      </c>
      <c r="P276" s="167">
        <f t="shared" si="30"/>
        <v>16100</v>
      </c>
      <c r="Q276" s="177">
        <f t="shared" si="35"/>
        <v>16100</v>
      </c>
      <c r="R276" s="169">
        <f t="shared" si="31"/>
        <v>16100</v>
      </c>
      <c r="S276" s="169">
        <f t="shared" si="31"/>
        <v>16100</v>
      </c>
      <c r="T276" s="150">
        <f t="shared" si="31"/>
        <v>16100</v>
      </c>
      <c r="U276" s="170">
        <f t="shared" si="32"/>
        <v>0</v>
      </c>
      <c r="V276" s="171">
        <f t="shared" si="33"/>
        <v>0</v>
      </c>
      <c r="W276" s="46">
        <f t="shared" si="34"/>
        <v>10822.231471533096</v>
      </c>
    </row>
    <row r="277" spans="1:23" ht="14.4" hidden="1" x14ac:dyDescent="0.3">
      <c r="A277" s="42" t="s">
        <v>24</v>
      </c>
      <c r="B277" s="32" t="s">
        <v>0</v>
      </c>
      <c r="C277" s="22">
        <v>86</v>
      </c>
      <c r="D277" s="21">
        <v>36</v>
      </c>
      <c r="E277" s="21">
        <v>15</v>
      </c>
      <c r="F277" s="22">
        <v>18000</v>
      </c>
      <c r="G277" s="214"/>
      <c r="H277" s="214"/>
      <c r="I277" s="214"/>
      <c r="J277" s="214"/>
      <c r="K277" s="215"/>
      <c r="L277" s="215"/>
      <c r="M277" s="215"/>
      <c r="N277" s="215"/>
      <c r="O277" s="166">
        <f t="shared" si="29"/>
        <v>1.6402608000000001</v>
      </c>
      <c r="P277" s="167">
        <f t="shared" si="30"/>
        <v>18000</v>
      </c>
      <c r="Q277" s="177">
        <f t="shared" si="35"/>
        <v>18000</v>
      </c>
      <c r="R277" s="169">
        <f t="shared" si="31"/>
        <v>18000</v>
      </c>
      <c r="S277" s="169">
        <f t="shared" si="31"/>
        <v>18000</v>
      </c>
      <c r="T277" s="150">
        <f t="shared" si="31"/>
        <v>18000</v>
      </c>
      <c r="U277" s="170">
        <f t="shared" si="32"/>
        <v>0</v>
      </c>
      <c r="V277" s="171">
        <f t="shared" si="33"/>
        <v>0</v>
      </c>
      <c r="W277" s="46">
        <f t="shared" si="34"/>
        <v>10973.864643963934</v>
      </c>
    </row>
    <row r="278" spans="1:23" ht="14.4" hidden="1" x14ac:dyDescent="0.3">
      <c r="A278" s="42" t="s">
        <v>23</v>
      </c>
      <c r="B278" s="32" t="s">
        <v>0</v>
      </c>
      <c r="C278" s="22">
        <v>136</v>
      </c>
      <c r="D278" s="21">
        <v>44</v>
      </c>
      <c r="E278" s="21">
        <v>14</v>
      </c>
      <c r="F278" s="22">
        <v>40000</v>
      </c>
      <c r="G278" s="214"/>
      <c r="H278" s="214"/>
      <c r="I278" s="214"/>
      <c r="J278" s="214"/>
      <c r="K278" s="215"/>
      <c r="L278" s="215"/>
      <c r="M278" s="215"/>
      <c r="N278" s="215"/>
      <c r="O278" s="166">
        <f t="shared" si="29"/>
        <v>2.9589683200000003</v>
      </c>
      <c r="P278" s="167">
        <f t="shared" si="30"/>
        <v>40000</v>
      </c>
      <c r="Q278" s="177">
        <f t="shared" si="35"/>
        <v>40000</v>
      </c>
      <c r="R278" s="169">
        <f t="shared" si="31"/>
        <v>40000</v>
      </c>
      <c r="S278" s="169">
        <f t="shared" si="31"/>
        <v>40000</v>
      </c>
      <c r="T278" s="150">
        <f t="shared" si="31"/>
        <v>40000</v>
      </c>
      <c r="U278" s="170">
        <f t="shared" si="32"/>
        <v>0</v>
      </c>
      <c r="V278" s="171">
        <f t="shared" si="33"/>
        <v>0</v>
      </c>
      <c r="W278" s="46">
        <f t="shared" si="34"/>
        <v>13518.22516301898</v>
      </c>
    </row>
    <row r="279" spans="1:23" ht="14.4" hidden="1" x14ac:dyDescent="0.3">
      <c r="A279" s="42" t="s">
        <v>22</v>
      </c>
      <c r="B279" s="32" t="s">
        <v>0</v>
      </c>
      <c r="C279" s="22">
        <v>187</v>
      </c>
      <c r="D279" s="21">
        <v>43</v>
      </c>
      <c r="E279" s="21">
        <v>14</v>
      </c>
      <c r="F279" s="22">
        <v>59900</v>
      </c>
      <c r="G279" s="214"/>
      <c r="H279" s="214"/>
      <c r="I279" s="214"/>
      <c r="J279" s="214"/>
      <c r="K279" s="215"/>
      <c r="L279" s="215"/>
      <c r="M279" s="215"/>
      <c r="N279" s="215"/>
      <c r="O279" s="166">
        <f t="shared" si="29"/>
        <v>3.9761136799999997</v>
      </c>
      <c r="P279" s="167">
        <f t="shared" si="30"/>
        <v>59900</v>
      </c>
      <c r="Q279" s="177">
        <f t="shared" si="35"/>
        <v>59900</v>
      </c>
      <c r="R279" s="169">
        <f t="shared" si="31"/>
        <v>59900</v>
      </c>
      <c r="S279" s="169">
        <f t="shared" si="31"/>
        <v>59900</v>
      </c>
      <c r="T279" s="150">
        <f t="shared" si="31"/>
        <v>59900</v>
      </c>
      <c r="U279" s="170">
        <f t="shared" si="32"/>
        <v>0</v>
      </c>
      <c r="V279" s="171">
        <f t="shared" si="33"/>
        <v>0</v>
      </c>
      <c r="W279" s="46">
        <f t="shared" si="34"/>
        <v>15064.961623531852</v>
      </c>
    </row>
    <row r="280" spans="1:23" ht="14.4" x14ac:dyDescent="0.3">
      <c r="A280" s="42" t="s">
        <v>21</v>
      </c>
      <c r="B280" s="32" t="s">
        <v>0</v>
      </c>
      <c r="C280" s="22">
        <v>146</v>
      </c>
      <c r="D280" s="21">
        <v>48</v>
      </c>
      <c r="E280" s="21">
        <v>10</v>
      </c>
      <c r="F280" s="22">
        <v>29000</v>
      </c>
      <c r="G280" s="214">
        <v>104</v>
      </c>
      <c r="H280" s="214">
        <v>42</v>
      </c>
      <c r="I280" s="214">
        <v>16</v>
      </c>
      <c r="J280" s="214">
        <v>23000</v>
      </c>
      <c r="K280" s="215"/>
      <c r="L280" s="215"/>
      <c r="M280" s="215"/>
      <c r="N280" s="215"/>
      <c r="O280" s="166">
        <f t="shared" si="29"/>
        <v>4.9436697600000006</v>
      </c>
      <c r="P280" s="167">
        <f t="shared" si="30"/>
        <v>52000</v>
      </c>
      <c r="Q280" s="177">
        <f t="shared" si="35"/>
        <v>52000</v>
      </c>
      <c r="R280" s="169">
        <f t="shared" si="31"/>
        <v>52000</v>
      </c>
      <c r="S280" s="169">
        <f t="shared" si="31"/>
        <v>52000</v>
      </c>
      <c r="T280" s="150">
        <f t="shared" si="31"/>
        <v>52000</v>
      </c>
      <c r="U280" s="170">
        <f t="shared" si="32"/>
        <v>0</v>
      </c>
      <c r="V280" s="171">
        <f t="shared" si="33"/>
        <v>0</v>
      </c>
      <c r="W280" s="46">
        <f t="shared" si="34"/>
        <v>10518.501947832372</v>
      </c>
    </row>
    <row r="281" spans="1:23" ht="14.4" hidden="1" x14ac:dyDescent="0.3">
      <c r="A281" s="42" t="s">
        <v>20</v>
      </c>
      <c r="B281" s="32" t="s">
        <v>0</v>
      </c>
      <c r="C281" s="22">
        <v>154</v>
      </c>
      <c r="D281" s="21">
        <v>49</v>
      </c>
      <c r="E281" s="21">
        <v>13</v>
      </c>
      <c r="F281" s="22">
        <v>39000</v>
      </c>
      <c r="G281" s="214"/>
      <c r="H281" s="214"/>
      <c r="I281" s="214"/>
      <c r="J281" s="214"/>
      <c r="K281" s="215"/>
      <c r="L281" s="215"/>
      <c r="M281" s="215"/>
      <c r="N281" s="215"/>
      <c r="O281" s="166">
        <f t="shared" si="29"/>
        <v>3.4648213600000002</v>
      </c>
      <c r="P281" s="167">
        <f t="shared" si="30"/>
        <v>39000</v>
      </c>
      <c r="Q281" s="177">
        <f t="shared" si="35"/>
        <v>39000</v>
      </c>
      <c r="R281" s="169">
        <f t="shared" si="31"/>
        <v>39000</v>
      </c>
      <c r="S281" s="169">
        <f t="shared" si="31"/>
        <v>39000</v>
      </c>
      <c r="T281" s="150">
        <f t="shared" si="31"/>
        <v>39000</v>
      </c>
      <c r="U281" s="170">
        <f t="shared" si="32"/>
        <v>0</v>
      </c>
      <c r="V281" s="171">
        <f t="shared" si="33"/>
        <v>0</v>
      </c>
      <c r="W281" s="46">
        <f t="shared" si="34"/>
        <v>11255.991564309681</v>
      </c>
    </row>
    <row r="282" spans="1:23" ht="14.4" hidden="1" x14ac:dyDescent="0.3">
      <c r="A282" s="42" t="s">
        <v>19</v>
      </c>
      <c r="B282" s="32" t="s">
        <v>0</v>
      </c>
      <c r="C282" s="22">
        <v>106</v>
      </c>
      <c r="D282" s="21">
        <v>44</v>
      </c>
      <c r="E282" s="21">
        <v>10</v>
      </c>
      <c r="F282" s="22">
        <v>19000</v>
      </c>
      <c r="G282" s="214">
        <v>145</v>
      </c>
      <c r="H282" s="214">
        <v>44</v>
      </c>
      <c r="I282" s="214">
        <v>9</v>
      </c>
      <c r="J282" s="214">
        <v>25800</v>
      </c>
      <c r="K282" s="215">
        <v>169</v>
      </c>
      <c r="L282" s="215">
        <v>36</v>
      </c>
      <c r="M282" s="215">
        <v>9</v>
      </c>
      <c r="N282" s="215">
        <v>28000</v>
      </c>
      <c r="O282" s="166">
        <f t="shared" si="29"/>
        <v>5.6093811200000001</v>
      </c>
      <c r="P282" s="167">
        <f t="shared" si="30"/>
        <v>72800</v>
      </c>
      <c r="Q282" s="177">
        <f t="shared" si="35"/>
        <v>72800</v>
      </c>
      <c r="R282" s="169">
        <f t="shared" si="31"/>
        <v>72800</v>
      </c>
      <c r="S282" s="169">
        <f t="shared" si="31"/>
        <v>72800</v>
      </c>
      <c r="T282" s="150">
        <f t="shared" si="31"/>
        <v>72800</v>
      </c>
      <c r="U282" s="170">
        <f t="shared" si="32"/>
        <v>0</v>
      </c>
      <c r="V282" s="171">
        <f t="shared" si="33"/>
        <v>0</v>
      </c>
      <c r="W282" s="46">
        <f t="shared" si="34"/>
        <v>12978.258820823356</v>
      </c>
    </row>
    <row r="283" spans="1:23" ht="14.4" hidden="1" x14ac:dyDescent="0.3">
      <c r="A283" s="42" t="s">
        <v>18</v>
      </c>
      <c r="B283" s="32" t="s">
        <v>0</v>
      </c>
      <c r="C283" s="22">
        <v>106</v>
      </c>
      <c r="D283" s="21">
        <v>44</v>
      </c>
      <c r="E283" s="21">
        <v>10</v>
      </c>
      <c r="F283" s="22">
        <v>19000</v>
      </c>
      <c r="G283" s="214"/>
      <c r="H283" s="214"/>
      <c r="I283" s="214"/>
      <c r="J283" s="214"/>
      <c r="K283" s="215"/>
      <c r="L283" s="215"/>
      <c r="M283" s="215"/>
      <c r="N283" s="215"/>
      <c r="O283" s="166">
        <f t="shared" si="29"/>
        <v>1.6473248</v>
      </c>
      <c r="P283" s="167">
        <f t="shared" si="30"/>
        <v>19000</v>
      </c>
      <c r="Q283" s="177">
        <f t="shared" si="35"/>
        <v>19000</v>
      </c>
      <c r="R283" s="169">
        <f t="shared" si="31"/>
        <v>19000</v>
      </c>
      <c r="S283" s="169">
        <f t="shared" si="31"/>
        <v>19000</v>
      </c>
      <c r="T283" s="150">
        <f t="shared" si="31"/>
        <v>19000</v>
      </c>
      <c r="U283" s="170">
        <f t="shared" si="32"/>
        <v>0</v>
      </c>
      <c r="V283" s="171">
        <f t="shared" si="33"/>
        <v>0</v>
      </c>
      <c r="W283" s="46">
        <f t="shared" si="34"/>
        <v>11533.851733428648</v>
      </c>
    </row>
    <row r="284" spans="1:23" hidden="1" x14ac:dyDescent="0.3">
      <c r="A284" s="13" t="s">
        <v>17</v>
      </c>
      <c r="B284" s="32" t="s">
        <v>0</v>
      </c>
      <c r="C284" s="22">
        <v>145</v>
      </c>
      <c r="D284" s="21">
        <v>44</v>
      </c>
      <c r="E284" s="21">
        <v>9</v>
      </c>
      <c r="F284" s="22">
        <v>25800</v>
      </c>
      <c r="G284" s="214"/>
      <c r="H284" s="214"/>
      <c r="I284" s="214"/>
      <c r="J284" s="214"/>
      <c r="K284" s="215"/>
      <c r="L284" s="215"/>
      <c r="M284" s="215"/>
      <c r="N284" s="215"/>
      <c r="O284" s="166">
        <f t="shared" si="29"/>
        <v>2.0280743999999999</v>
      </c>
      <c r="P284" s="167">
        <f t="shared" si="30"/>
        <v>25800</v>
      </c>
      <c r="Q284" s="177">
        <f t="shared" si="35"/>
        <v>25800</v>
      </c>
      <c r="R284" s="169">
        <f t="shared" si="31"/>
        <v>25800</v>
      </c>
      <c r="S284" s="169">
        <f t="shared" si="31"/>
        <v>25800</v>
      </c>
      <c r="T284" s="150">
        <f t="shared" si="31"/>
        <v>25800</v>
      </c>
      <c r="U284" s="170">
        <f t="shared" si="32"/>
        <v>0</v>
      </c>
      <c r="V284" s="171">
        <f t="shared" si="33"/>
        <v>0</v>
      </c>
      <c r="W284" s="46">
        <f t="shared" si="34"/>
        <v>12721.42678789299</v>
      </c>
    </row>
    <row r="285" spans="1:23" hidden="1" x14ac:dyDescent="0.3">
      <c r="A285" s="13" t="s">
        <v>16</v>
      </c>
      <c r="B285" s="32" t="s">
        <v>0</v>
      </c>
      <c r="C285" s="22">
        <v>169</v>
      </c>
      <c r="D285" s="21">
        <v>36</v>
      </c>
      <c r="E285" s="21">
        <v>9</v>
      </c>
      <c r="F285" s="22">
        <v>28000</v>
      </c>
      <c r="G285" s="214"/>
      <c r="H285" s="214"/>
      <c r="I285" s="214"/>
      <c r="J285" s="214"/>
      <c r="K285" s="215"/>
      <c r="L285" s="215"/>
      <c r="M285" s="215"/>
      <c r="N285" s="215"/>
      <c r="O285" s="166">
        <f t="shared" si="29"/>
        <v>1.9339819199999999</v>
      </c>
      <c r="P285" s="167">
        <f t="shared" si="30"/>
        <v>28000</v>
      </c>
      <c r="Q285" s="177">
        <f t="shared" si="35"/>
        <v>28000</v>
      </c>
      <c r="R285" s="169">
        <f t="shared" si="31"/>
        <v>28000</v>
      </c>
      <c r="S285" s="169">
        <f t="shared" si="31"/>
        <v>28000</v>
      </c>
      <c r="T285" s="150">
        <f t="shared" si="31"/>
        <v>28000</v>
      </c>
      <c r="U285" s="170">
        <f t="shared" si="32"/>
        <v>0</v>
      </c>
      <c r="V285" s="171">
        <f t="shared" si="33"/>
        <v>0</v>
      </c>
      <c r="W285" s="46">
        <f t="shared" si="34"/>
        <v>14477.901634157986</v>
      </c>
    </row>
    <row r="286" spans="1:23" hidden="1" x14ac:dyDescent="0.3">
      <c r="A286" s="13" t="s">
        <v>15</v>
      </c>
      <c r="B286" s="32" t="s">
        <v>0</v>
      </c>
      <c r="C286" s="22">
        <v>185</v>
      </c>
      <c r="D286" s="21">
        <v>46</v>
      </c>
      <c r="E286" s="21">
        <v>12</v>
      </c>
      <c r="F286" s="22">
        <v>50000</v>
      </c>
      <c r="G286" s="214"/>
      <c r="H286" s="214"/>
      <c r="I286" s="214"/>
      <c r="J286" s="214"/>
      <c r="K286" s="215"/>
      <c r="L286" s="215"/>
      <c r="M286" s="215"/>
      <c r="N286" s="215"/>
      <c r="O286" s="166">
        <f t="shared" si="29"/>
        <v>3.6068784000000003</v>
      </c>
      <c r="P286" s="167">
        <f t="shared" si="30"/>
        <v>50000</v>
      </c>
      <c r="Q286" s="177">
        <f t="shared" si="35"/>
        <v>50000</v>
      </c>
      <c r="R286" s="169">
        <f t="shared" si="31"/>
        <v>50000</v>
      </c>
      <c r="S286" s="169">
        <f t="shared" si="31"/>
        <v>50000</v>
      </c>
      <c r="T286" s="150">
        <f t="shared" si="31"/>
        <v>50000</v>
      </c>
      <c r="U286" s="170">
        <f t="shared" si="32"/>
        <v>0</v>
      </c>
      <c r="V286" s="171">
        <f t="shared" si="33"/>
        <v>0</v>
      </c>
      <c r="W286" s="46">
        <f t="shared" si="34"/>
        <v>13862.402458591339</v>
      </c>
    </row>
    <row r="287" spans="1:23" hidden="1" x14ac:dyDescent="0.3">
      <c r="A287" s="13" t="s">
        <v>391</v>
      </c>
      <c r="B287" s="32" t="s">
        <v>0</v>
      </c>
      <c r="C287" s="22">
        <v>78</v>
      </c>
      <c r="D287" s="21">
        <v>36</v>
      </c>
      <c r="E287" s="21">
        <v>15</v>
      </c>
      <c r="F287" s="22">
        <v>16100</v>
      </c>
      <c r="G287" s="214">
        <v>78</v>
      </c>
      <c r="H287" s="214">
        <v>36</v>
      </c>
      <c r="I287" s="214">
        <v>15</v>
      </c>
      <c r="J287" s="214">
        <v>16100</v>
      </c>
      <c r="K287" s="215"/>
      <c r="L287" s="215"/>
      <c r="M287" s="215"/>
      <c r="N287" s="215"/>
      <c r="O287" s="166">
        <f t="shared" si="29"/>
        <v>2.9753567999999997</v>
      </c>
      <c r="P287" s="167">
        <f t="shared" si="30"/>
        <v>32200</v>
      </c>
      <c r="Q287" s="177">
        <f t="shared" si="35"/>
        <v>32200</v>
      </c>
      <c r="R287" s="218">
        <f t="shared" si="31"/>
        <v>32200</v>
      </c>
      <c r="S287" s="169">
        <f t="shared" si="31"/>
        <v>32200</v>
      </c>
      <c r="T287" s="150">
        <f t="shared" si="31"/>
        <v>32200</v>
      </c>
      <c r="U287" s="170">
        <f t="shared" si="32"/>
        <v>0</v>
      </c>
      <c r="V287" s="171">
        <f t="shared" si="33"/>
        <v>0</v>
      </c>
      <c r="W287" s="46">
        <f t="shared" si="34"/>
        <v>10822.231471533096</v>
      </c>
    </row>
    <row r="288" spans="1:23" hidden="1" x14ac:dyDescent="0.3">
      <c r="A288" s="13" t="s">
        <v>392</v>
      </c>
      <c r="B288" s="32" t="s">
        <v>0</v>
      </c>
      <c r="C288" s="22">
        <v>86</v>
      </c>
      <c r="D288" s="21">
        <v>36</v>
      </c>
      <c r="E288" s="21">
        <v>15</v>
      </c>
      <c r="F288" s="22">
        <v>18000</v>
      </c>
      <c r="G288" s="214">
        <v>86</v>
      </c>
      <c r="H288" s="214">
        <v>36</v>
      </c>
      <c r="I288" s="214">
        <v>15</v>
      </c>
      <c r="J288" s="214">
        <v>18000</v>
      </c>
      <c r="K288" s="215"/>
      <c r="L288" s="215"/>
      <c r="M288" s="215"/>
      <c r="N288" s="215"/>
      <c r="O288" s="166">
        <f t="shared" si="29"/>
        <v>3.2805216000000001</v>
      </c>
      <c r="P288" s="167">
        <f t="shared" si="30"/>
        <v>36000</v>
      </c>
      <c r="Q288" s="177">
        <f t="shared" si="35"/>
        <v>36000</v>
      </c>
      <c r="R288" s="218">
        <f t="shared" si="31"/>
        <v>36000</v>
      </c>
      <c r="S288" s="169">
        <f t="shared" si="31"/>
        <v>36000</v>
      </c>
      <c r="T288" s="150">
        <f t="shared" si="31"/>
        <v>36000</v>
      </c>
      <c r="U288" s="170">
        <f t="shared" si="32"/>
        <v>0</v>
      </c>
      <c r="V288" s="171">
        <f t="shared" si="33"/>
        <v>0</v>
      </c>
      <c r="W288" s="46">
        <f t="shared" si="34"/>
        <v>10973.864643963934</v>
      </c>
    </row>
    <row r="289" spans="1:23" x14ac:dyDescent="0.3">
      <c r="A289" s="13" t="s">
        <v>393</v>
      </c>
      <c r="B289" s="32" t="s">
        <v>0</v>
      </c>
      <c r="C289" s="22">
        <v>104</v>
      </c>
      <c r="D289" s="21">
        <v>42</v>
      </c>
      <c r="E289" s="21">
        <v>16</v>
      </c>
      <c r="F289" s="22">
        <v>20000</v>
      </c>
      <c r="G289" s="214"/>
      <c r="H289" s="214"/>
      <c r="I289" s="214"/>
      <c r="J289" s="214"/>
      <c r="K289" s="215"/>
      <c r="L289" s="215"/>
      <c r="M289" s="215"/>
      <c r="N289" s="215"/>
      <c r="O289" s="166">
        <f t="shared" si="29"/>
        <v>2.4684441600000002</v>
      </c>
      <c r="P289" s="167">
        <f t="shared" si="30"/>
        <v>20000</v>
      </c>
      <c r="Q289" s="177">
        <f t="shared" si="35"/>
        <v>20000</v>
      </c>
      <c r="R289" s="218">
        <f t="shared" si="31"/>
        <v>20000</v>
      </c>
      <c r="S289" s="169">
        <f t="shared" si="31"/>
        <v>20000</v>
      </c>
      <c r="T289" s="150">
        <f t="shared" si="31"/>
        <v>20000</v>
      </c>
      <c r="U289" s="170">
        <f t="shared" si="32"/>
        <v>0</v>
      </c>
      <c r="V289" s="171">
        <f t="shared" si="33"/>
        <v>0</v>
      </c>
      <c r="W289" s="46">
        <f t="shared" si="34"/>
        <v>8102.2695688607346</v>
      </c>
    </row>
    <row r="290" spans="1:23" x14ac:dyDescent="0.3">
      <c r="A290" s="13" t="s">
        <v>394</v>
      </c>
      <c r="B290" s="32" t="s">
        <v>0</v>
      </c>
      <c r="C290" s="22">
        <v>146</v>
      </c>
      <c r="D290" s="21">
        <v>48</v>
      </c>
      <c r="E290" s="21">
        <v>10</v>
      </c>
      <c r="F290" s="22">
        <v>29000</v>
      </c>
      <c r="G290" s="214"/>
      <c r="H290" s="214"/>
      <c r="I290" s="214"/>
      <c r="J290" s="214"/>
      <c r="K290" s="215"/>
      <c r="L290" s="215"/>
      <c r="M290" s="215"/>
      <c r="N290" s="215"/>
      <c r="O290" s="166">
        <f t="shared" si="29"/>
        <v>2.4752256000000004</v>
      </c>
      <c r="P290" s="167">
        <f t="shared" si="30"/>
        <v>29000</v>
      </c>
      <c r="Q290" s="177">
        <f t="shared" si="35"/>
        <v>29000</v>
      </c>
      <c r="R290" s="219">
        <f t="shared" si="31"/>
        <v>29000</v>
      </c>
      <c r="S290" s="220">
        <f t="shared" si="31"/>
        <v>29000</v>
      </c>
      <c r="T290" s="150">
        <f t="shared" si="31"/>
        <v>29000</v>
      </c>
      <c r="U290" s="170">
        <f t="shared" si="32"/>
        <v>0</v>
      </c>
      <c r="V290" s="171">
        <f t="shared" si="33"/>
        <v>0</v>
      </c>
      <c r="W290" s="46">
        <f t="shared" si="34"/>
        <v>11716.103776560809</v>
      </c>
    </row>
    <row r="291" spans="1:23" hidden="1" x14ac:dyDescent="0.3">
      <c r="A291" s="41" t="s">
        <v>14</v>
      </c>
      <c r="B291" s="32" t="s">
        <v>0</v>
      </c>
      <c r="C291" s="22">
        <v>190</v>
      </c>
      <c r="D291" s="21">
        <v>43</v>
      </c>
      <c r="E291" s="21">
        <v>9</v>
      </c>
      <c r="F291" s="40">
        <v>25000</v>
      </c>
      <c r="G291" s="214"/>
      <c r="H291" s="214"/>
      <c r="I291" s="214"/>
      <c r="J291" s="214"/>
      <c r="K291" s="215"/>
      <c r="L291" s="215"/>
      <c r="M291" s="215"/>
      <c r="N291" s="215"/>
      <c r="O291" s="166">
        <f t="shared" si="29"/>
        <v>2.5970795999999998</v>
      </c>
      <c r="P291" s="167">
        <f t="shared" si="30"/>
        <v>25000</v>
      </c>
      <c r="Q291" s="177">
        <f t="shared" si="35"/>
        <v>25000</v>
      </c>
      <c r="R291" s="219">
        <f t="shared" si="31"/>
        <v>25000</v>
      </c>
      <c r="S291" s="220">
        <f t="shared" si="31"/>
        <v>25000</v>
      </c>
      <c r="T291" s="150">
        <f t="shared" si="31"/>
        <v>25000</v>
      </c>
      <c r="U291" s="170">
        <f t="shared" si="32"/>
        <v>0</v>
      </c>
      <c r="V291" s="171">
        <f t="shared" si="33"/>
        <v>0</v>
      </c>
      <c r="W291" s="46">
        <f t="shared" si="34"/>
        <v>9626.1970561087164</v>
      </c>
    </row>
    <row r="292" spans="1:23" hidden="1" x14ac:dyDescent="0.3">
      <c r="A292" s="221" t="s">
        <v>13</v>
      </c>
      <c r="B292" s="32" t="s">
        <v>0</v>
      </c>
      <c r="C292" s="22">
        <v>85</v>
      </c>
      <c r="D292" s="21">
        <v>50</v>
      </c>
      <c r="E292" s="21">
        <v>23</v>
      </c>
      <c r="F292" s="222">
        <v>28200</v>
      </c>
      <c r="G292" s="214"/>
      <c r="H292" s="214"/>
      <c r="I292" s="214"/>
      <c r="J292" s="214"/>
      <c r="K292" s="215"/>
      <c r="L292" s="215"/>
      <c r="M292" s="215"/>
      <c r="N292" s="215"/>
      <c r="O292" s="166">
        <f t="shared" si="29"/>
        <v>3.4525300000000003</v>
      </c>
      <c r="P292" s="167">
        <f t="shared" si="30"/>
        <v>28200</v>
      </c>
      <c r="Q292" s="177">
        <f t="shared" si="35"/>
        <v>28200</v>
      </c>
      <c r="R292" s="219">
        <f t="shared" si="31"/>
        <v>28200</v>
      </c>
      <c r="S292" s="220">
        <f t="shared" si="31"/>
        <v>28200</v>
      </c>
      <c r="T292" s="150">
        <f t="shared" si="31"/>
        <v>28200</v>
      </c>
      <c r="U292" s="170">
        <f t="shared" si="32"/>
        <v>0</v>
      </c>
      <c r="V292" s="171">
        <f t="shared" si="33"/>
        <v>0</v>
      </c>
      <c r="W292" s="46">
        <f t="shared" si="34"/>
        <v>8167.9232331073144</v>
      </c>
    </row>
    <row r="293" spans="1:23" hidden="1" x14ac:dyDescent="0.3">
      <c r="A293" s="221" t="s">
        <v>12</v>
      </c>
      <c r="B293" s="32" t="s">
        <v>0</v>
      </c>
      <c r="C293" s="22">
        <v>85</v>
      </c>
      <c r="D293" s="21">
        <v>37</v>
      </c>
      <c r="E293" s="21">
        <v>15</v>
      </c>
      <c r="F293" s="222">
        <v>16000</v>
      </c>
      <c r="G293" s="214"/>
      <c r="H293" s="214"/>
      <c r="I293" s="214"/>
      <c r="J293" s="214"/>
      <c r="K293" s="215"/>
      <c r="L293" s="215"/>
      <c r="M293" s="215"/>
      <c r="N293" s="215"/>
      <c r="O293" s="166">
        <f t="shared" si="29"/>
        <v>1.6662210000000002</v>
      </c>
      <c r="P293" s="167">
        <f t="shared" si="30"/>
        <v>16000</v>
      </c>
      <c r="Q293" s="177">
        <f t="shared" si="35"/>
        <v>16000</v>
      </c>
      <c r="R293" s="219">
        <f t="shared" si="31"/>
        <v>16000</v>
      </c>
      <c r="S293" s="220">
        <f t="shared" si="31"/>
        <v>16000</v>
      </c>
      <c r="T293" s="150">
        <f t="shared" si="31"/>
        <v>16000</v>
      </c>
      <c r="U293" s="170">
        <f t="shared" si="32"/>
        <v>0</v>
      </c>
      <c r="V293" s="171">
        <f t="shared" si="33"/>
        <v>0</v>
      </c>
      <c r="W293" s="46">
        <f t="shared" si="34"/>
        <v>9602.5677266100938</v>
      </c>
    </row>
    <row r="294" spans="1:23" hidden="1" x14ac:dyDescent="0.3">
      <c r="A294" s="41" t="s">
        <v>11</v>
      </c>
      <c r="B294" s="32" t="s">
        <v>0</v>
      </c>
      <c r="C294" s="22">
        <v>120</v>
      </c>
      <c r="D294" s="21">
        <v>50</v>
      </c>
      <c r="E294" s="21">
        <v>18</v>
      </c>
      <c r="F294" s="40">
        <v>47000</v>
      </c>
      <c r="G294" s="214"/>
      <c r="H294" s="214"/>
      <c r="I294" s="214"/>
      <c r="J294" s="214"/>
      <c r="K294" s="215"/>
      <c r="L294" s="215"/>
      <c r="M294" s="215"/>
      <c r="N294" s="215"/>
      <c r="O294" s="166">
        <f t="shared" si="29"/>
        <v>3.8145600000000002</v>
      </c>
      <c r="P294" s="167">
        <f t="shared" si="30"/>
        <v>47000</v>
      </c>
      <c r="Q294" s="177">
        <f t="shared" si="35"/>
        <v>47000</v>
      </c>
      <c r="R294" s="219">
        <f t="shared" si="31"/>
        <v>47000</v>
      </c>
      <c r="S294" s="220">
        <f t="shared" si="31"/>
        <v>47000</v>
      </c>
      <c r="T294" s="150">
        <f t="shared" si="31"/>
        <v>47000</v>
      </c>
      <c r="U294" s="170">
        <f t="shared" si="32"/>
        <v>0</v>
      </c>
      <c r="V294" s="171">
        <f t="shared" si="33"/>
        <v>0</v>
      </c>
      <c r="W294" s="46">
        <f t="shared" si="34"/>
        <v>12321.211358583951</v>
      </c>
    </row>
    <row r="295" spans="1:23" hidden="1" x14ac:dyDescent="0.3">
      <c r="A295" s="221" t="s">
        <v>395</v>
      </c>
      <c r="B295" s="32" t="s">
        <v>0</v>
      </c>
      <c r="C295" s="22">
        <v>158</v>
      </c>
      <c r="D295" s="21">
        <v>38</v>
      </c>
      <c r="E295" s="21">
        <v>9</v>
      </c>
      <c r="F295" s="222">
        <v>22900</v>
      </c>
      <c r="G295" s="214"/>
      <c r="H295" s="214"/>
      <c r="I295" s="214"/>
      <c r="J295" s="214"/>
      <c r="K295" s="215"/>
      <c r="L295" s="215"/>
      <c r="M295" s="215"/>
      <c r="N295" s="215"/>
      <c r="O295" s="166">
        <f t="shared" si="29"/>
        <v>1.9085515200000001</v>
      </c>
      <c r="P295" s="167">
        <f t="shared" si="30"/>
        <v>22900</v>
      </c>
      <c r="Q295" s="177">
        <f t="shared" si="35"/>
        <v>22900</v>
      </c>
      <c r="R295" s="219">
        <f t="shared" si="31"/>
        <v>22900</v>
      </c>
      <c r="S295" s="220">
        <f t="shared" si="31"/>
        <v>22900</v>
      </c>
      <c r="T295" s="150">
        <f t="shared" si="31"/>
        <v>22900</v>
      </c>
      <c r="U295" s="170">
        <f t="shared" si="32"/>
        <v>0</v>
      </c>
      <c r="V295" s="171">
        <f t="shared" si="33"/>
        <v>0</v>
      </c>
      <c r="W295" s="46">
        <f t="shared" si="34"/>
        <v>11998.62815335475</v>
      </c>
    </row>
    <row r="296" spans="1:23" hidden="1" x14ac:dyDescent="0.3">
      <c r="A296" s="223" t="s">
        <v>9</v>
      </c>
      <c r="B296" s="32" t="s">
        <v>0</v>
      </c>
      <c r="C296" s="22">
        <v>90</v>
      </c>
      <c r="D296" s="21">
        <v>36</v>
      </c>
      <c r="E296" s="21">
        <v>14</v>
      </c>
      <c r="F296" s="224">
        <v>18000</v>
      </c>
      <c r="G296" s="214"/>
      <c r="H296" s="214"/>
      <c r="I296" s="214"/>
      <c r="J296" s="214"/>
      <c r="K296" s="215"/>
      <c r="L296" s="215"/>
      <c r="M296" s="215"/>
      <c r="N296" s="215"/>
      <c r="O296" s="166">
        <f t="shared" si="29"/>
        <v>1.6021151999999999</v>
      </c>
      <c r="P296" s="167">
        <f t="shared" si="30"/>
        <v>18000</v>
      </c>
      <c r="Q296" s="177">
        <f t="shared" si="35"/>
        <v>18000</v>
      </c>
      <c r="R296" s="219">
        <f t="shared" si="31"/>
        <v>18000</v>
      </c>
      <c r="S296" s="220">
        <f t="shared" si="31"/>
        <v>18000</v>
      </c>
      <c r="T296" s="150">
        <f t="shared" si="31"/>
        <v>18000</v>
      </c>
      <c r="U296" s="170">
        <f t="shared" si="32"/>
        <v>0</v>
      </c>
      <c r="V296" s="171">
        <f t="shared" si="33"/>
        <v>0</v>
      </c>
      <c r="W296" s="46">
        <f t="shared" si="34"/>
        <v>11235.147135486888</v>
      </c>
    </row>
    <row r="297" spans="1:23" hidden="1" x14ac:dyDescent="0.3">
      <c r="A297" s="13" t="s">
        <v>8</v>
      </c>
      <c r="B297" s="32" t="s">
        <v>0</v>
      </c>
      <c r="C297" s="22">
        <v>1</v>
      </c>
      <c r="D297" s="21">
        <v>1</v>
      </c>
      <c r="E297" s="21">
        <v>1</v>
      </c>
      <c r="F297" s="224">
        <v>56000</v>
      </c>
      <c r="G297" s="214"/>
      <c r="H297" s="214"/>
      <c r="I297" s="214"/>
      <c r="J297" s="214"/>
      <c r="K297" s="215"/>
      <c r="L297" s="215"/>
      <c r="M297" s="215"/>
      <c r="N297" s="215"/>
      <c r="O297" s="166">
        <f t="shared" si="29"/>
        <v>3.5320000000000001E-5</v>
      </c>
      <c r="P297" s="167">
        <f t="shared" si="30"/>
        <v>56000</v>
      </c>
      <c r="Q297" s="177">
        <f t="shared" si="35"/>
        <v>56000</v>
      </c>
      <c r="R297" s="219">
        <f t="shared" si="31"/>
        <v>56000</v>
      </c>
      <c r="S297" s="220">
        <f t="shared" si="31"/>
        <v>56000</v>
      </c>
      <c r="T297" s="150">
        <f t="shared" si="31"/>
        <v>56000</v>
      </c>
      <c r="U297" s="170">
        <f t="shared" si="32"/>
        <v>0</v>
      </c>
      <c r="V297" s="171">
        <f t="shared" si="33"/>
        <v>0</v>
      </c>
      <c r="W297" s="46">
        <f t="shared" si="34"/>
        <v>1585503963.7599094</v>
      </c>
    </row>
    <row r="298" spans="1:23" hidden="1" x14ac:dyDescent="0.3">
      <c r="A298" s="225" t="s">
        <v>7</v>
      </c>
      <c r="B298" s="32" t="s">
        <v>0</v>
      </c>
      <c r="C298" s="22">
        <v>52</v>
      </c>
      <c r="D298" s="21">
        <v>32</v>
      </c>
      <c r="E298" s="21">
        <v>10</v>
      </c>
      <c r="F298" s="224">
        <v>3650</v>
      </c>
      <c r="G298" s="214"/>
      <c r="H298" s="214"/>
      <c r="I298" s="214"/>
      <c r="J298" s="214"/>
      <c r="K298" s="215"/>
      <c r="L298" s="215"/>
      <c r="M298" s="215"/>
      <c r="N298" s="215"/>
      <c r="O298" s="166">
        <f t="shared" si="29"/>
        <v>0.58772479999999994</v>
      </c>
      <c r="P298" s="226">
        <f t="shared" si="30"/>
        <v>3650</v>
      </c>
      <c r="Q298" s="177">
        <f t="shared" si="35"/>
        <v>3650</v>
      </c>
      <c r="R298" s="219">
        <f t="shared" si="31"/>
        <v>3650</v>
      </c>
      <c r="S298" s="220">
        <f t="shared" si="31"/>
        <v>3650</v>
      </c>
      <c r="T298" s="227">
        <f t="shared" si="31"/>
        <v>3650</v>
      </c>
      <c r="U298" s="170">
        <f t="shared" si="32"/>
        <v>0</v>
      </c>
      <c r="V298" s="171">
        <f t="shared" si="33"/>
        <v>0</v>
      </c>
      <c r="W298" s="46">
        <f t="shared" si="34"/>
        <v>6210.3896245317546</v>
      </c>
    </row>
    <row r="299" spans="1:23" hidden="1" x14ac:dyDescent="0.3">
      <c r="A299" s="13" t="s">
        <v>6</v>
      </c>
      <c r="B299" s="32" t="s">
        <v>0</v>
      </c>
      <c r="C299" s="22">
        <v>87</v>
      </c>
      <c r="D299" s="21">
        <v>42</v>
      </c>
      <c r="E299" s="21">
        <v>1</v>
      </c>
      <c r="F299" s="224">
        <v>25300</v>
      </c>
      <c r="G299" s="214"/>
      <c r="H299" s="214"/>
      <c r="I299" s="214"/>
      <c r="J299" s="214"/>
      <c r="K299" s="215"/>
      <c r="L299" s="215"/>
      <c r="M299" s="215"/>
      <c r="N299" s="215"/>
      <c r="O299" s="166">
        <f t="shared" si="29"/>
        <v>0.12905928</v>
      </c>
      <c r="P299" s="226">
        <f t="shared" si="30"/>
        <v>25300</v>
      </c>
      <c r="Q299" s="177">
        <f t="shared" si="35"/>
        <v>25300</v>
      </c>
      <c r="R299" s="219">
        <f t="shared" si="31"/>
        <v>25300</v>
      </c>
      <c r="S299" s="220">
        <f t="shared" si="31"/>
        <v>25300</v>
      </c>
      <c r="T299" s="227">
        <f t="shared" si="31"/>
        <v>25300</v>
      </c>
      <c r="U299" s="170">
        <f t="shared" si="32"/>
        <v>0</v>
      </c>
      <c r="V299" s="171">
        <f t="shared" si="33"/>
        <v>0</v>
      </c>
      <c r="W299" s="46">
        <f t="shared" si="34"/>
        <v>196033.94657090912</v>
      </c>
    </row>
    <row r="300" spans="1:23" hidden="1" x14ac:dyDescent="0.3">
      <c r="A300" s="13" t="s">
        <v>5</v>
      </c>
      <c r="B300" s="32" t="s">
        <v>0</v>
      </c>
      <c r="C300" s="22">
        <v>129</v>
      </c>
      <c r="D300" s="21">
        <v>43</v>
      </c>
      <c r="E300" s="21">
        <v>13</v>
      </c>
      <c r="F300" s="224">
        <v>26500</v>
      </c>
      <c r="G300" s="214"/>
      <c r="H300" s="214"/>
      <c r="I300" s="214"/>
      <c r="J300" s="214"/>
      <c r="K300" s="215"/>
      <c r="L300" s="215"/>
      <c r="M300" s="215"/>
      <c r="N300" s="215"/>
      <c r="O300" s="166">
        <f t="shared" si="29"/>
        <v>2.5469605199999998</v>
      </c>
      <c r="P300" s="226">
        <f t="shared" si="30"/>
        <v>26500</v>
      </c>
      <c r="Q300" s="177">
        <f t="shared" si="35"/>
        <v>26500</v>
      </c>
      <c r="R300" s="219">
        <f t="shared" si="31"/>
        <v>26500</v>
      </c>
      <c r="S300" s="220">
        <f t="shared" si="31"/>
        <v>26500</v>
      </c>
      <c r="T300" s="227">
        <f t="shared" si="31"/>
        <v>26500</v>
      </c>
      <c r="U300" s="170">
        <f t="shared" si="32"/>
        <v>0</v>
      </c>
      <c r="V300" s="171">
        <f t="shared" si="33"/>
        <v>0</v>
      </c>
      <c r="W300" s="46">
        <f t="shared" si="34"/>
        <v>10404.558606978329</v>
      </c>
    </row>
    <row r="301" spans="1:23" hidden="1" x14ac:dyDescent="0.3">
      <c r="A301" s="29" t="s">
        <v>4</v>
      </c>
      <c r="B301" s="32" t="s">
        <v>0</v>
      </c>
      <c r="C301" s="22">
        <v>87</v>
      </c>
      <c r="D301" s="21">
        <v>45</v>
      </c>
      <c r="E301" s="21">
        <v>8</v>
      </c>
      <c r="F301" s="224">
        <v>14700</v>
      </c>
      <c r="G301" s="214"/>
      <c r="H301" s="214"/>
      <c r="I301" s="214"/>
      <c r="J301" s="214"/>
      <c r="K301" s="215"/>
      <c r="L301" s="215"/>
      <c r="M301" s="215"/>
      <c r="N301" s="215"/>
      <c r="O301" s="166">
        <f t="shared" si="29"/>
        <v>1.1062224000000001</v>
      </c>
      <c r="P301" s="226">
        <f t="shared" si="30"/>
        <v>14700</v>
      </c>
      <c r="Q301" s="177">
        <f t="shared" si="35"/>
        <v>14700</v>
      </c>
      <c r="R301" s="219">
        <f t="shared" si="31"/>
        <v>14700</v>
      </c>
      <c r="S301" s="220">
        <f t="shared" si="31"/>
        <v>14700</v>
      </c>
      <c r="T301" s="227">
        <f t="shared" si="31"/>
        <v>14700</v>
      </c>
      <c r="U301" s="170">
        <f t="shared" si="32"/>
        <v>0</v>
      </c>
      <c r="V301" s="171">
        <f t="shared" si="33"/>
        <v>0</v>
      </c>
      <c r="W301" s="46">
        <f t="shared" si="34"/>
        <v>13288.467129213799</v>
      </c>
    </row>
    <row r="302" spans="1:23" hidden="1" x14ac:dyDescent="0.3">
      <c r="A302" s="29" t="s">
        <v>3</v>
      </c>
      <c r="B302" s="28" t="s">
        <v>0</v>
      </c>
      <c r="C302" s="22">
        <v>82</v>
      </c>
      <c r="D302" s="21">
        <v>42</v>
      </c>
      <c r="E302" s="21">
        <v>11</v>
      </c>
      <c r="F302" s="224">
        <v>13200</v>
      </c>
      <c r="G302" s="214"/>
      <c r="H302" s="214"/>
      <c r="I302" s="214"/>
      <c r="J302" s="214"/>
      <c r="K302" s="215"/>
      <c r="L302" s="215"/>
      <c r="M302" s="215"/>
      <c r="N302" s="215"/>
      <c r="O302" s="166">
        <f t="shared" si="29"/>
        <v>1.3380628800000001</v>
      </c>
      <c r="P302" s="226">
        <f t="shared" si="30"/>
        <v>13200</v>
      </c>
      <c r="Q302" s="177">
        <f t="shared" si="35"/>
        <v>13200</v>
      </c>
      <c r="R302" s="219">
        <f t="shared" si="31"/>
        <v>13200</v>
      </c>
      <c r="S302" s="220">
        <f t="shared" si="31"/>
        <v>13200</v>
      </c>
      <c r="T302" s="228">
        <f t="shared" si="31"/>
        <v>13200</v>
      </c>
      <c r="U302" s="229">
        <f t="shared" si="31"/>
        <v>13200</v>
      </c>
      <c r="V302" s="229">
        <f t="shared" si="31"/>
        <v>13200</v>
      </c>
      <c r="W302" s="230">
        <f t="shared" si="31"/>
        <v>13200</v>
      </c>
    </row>
    <row r="303" spans="1:23" hidden="1" x14ac:dyDescent="0.3">
      <c r="A303" s="29" t="s">
        <v>2</v>
      </c>
      <c r="B303" s="28" t="s">
        <v>0</v>
      </c>
      <c r="C303" s="22">
        <v>48</v>
      </c>
      <c r="D303" s="21">
        <v>30</v>
      </c>
      <c r="E303" s="21">
        <v>8</v>
      </c>
      <c r="F303" s="224">
        <v>4800</v>
      </c>
      <c r="G303" s="214"/>
      <c r="H303" s="214"/>
      <c r="I303" s="214"/>
      <c r="J303" s="214"/>
      <c r="K303" s="215"/>
      <c r="L303" s="215"/>
      <c r="M303" s="215"/>
      <c r="N303" s="215"/>
      <c r="O303" s="166">
        <f t="shared" si="29"/>
        <v>0.40688640000000004</v>
      </c>
      <c r="P303" s="226">
        <f t="shared" si="30"/>
        <v>4800</v>
      </c>
      <c r="Q303" s="177">
        <f t="shared" si="35"/>
        <v>4800</v>
      </c>
      <c r="R303" s="219">
        <f t="shared" si="31"/>
        <v>4800</v>
      </c>
      <c r="S303" s="220">
        <f t="shared" si="31"/>
        <v>4800</v>
      </c>
      <c r="T303" s="228">
        <f t="shared" si="31"/>
        <v>4800</v>
      </c>
      <c r="U303" s="229">
        <f t="shared" si="31"/>
        <v>4800</v>
      </c>
      <c r="V303" s="229">
        <f t="shared" si="31"/>
        <v>4800</v>
      </c>
      <c r="W303" s="230">
        <f t="shared" si="31"/>
        <v>4800</v>
      </c>
    </row>
    <row r="304" spans="1:23" ht="14.4" hidden="1" x14ac:dyDescent="0.3">
      <c r="A304" s="24" t="s">
        <v>1</v>
      </c>
      <c r="B304" s="28" t="s">
        <v>0</v>
      </c>
      <c r="C304" s="22">
        <v>37</v>
      </c>
      <c r="D304" s="21">
        <v>10</v>
      </c>
      <c r="E304" s="21">
        <v>6</v>
      </c>
      <c r="F304" s="224">
        <v>600</v>
      </c>
      <c r="G304" s="214"/>
      <c r="H304" s="214"/>
      <c r="I304" s="214"/>
      <c r="J304" s="214"/>
      <c r="K304" s="215"/>
      <c r="L304" s="215"/>
      <c r="M304" s="215"/>
      <c r="N304" s="215"/>
      <c r="O304" s="166">
        <f t="shared" si="29"/>
        <v>7.8410400000000005E-2</v>
      </c>
      <c r="P304" s="226">
        <f t="shared" si="30"/>
        <v>600</v>
      </c>
      <c r="Q304" s="177">
        <f t="shared" si="35"/>
        <v>600</v>
      </c>
      <c r="R304" s="219">
        <f t="shared" ref="R304:W304" si="36">MAX(Q304,O304)</f>
        <v>600</v>
      </c>
      <c r="S304" s="220">
        <f t="shared" si="36"/>
        <v>600</v>
      </c>
      <c r="T304" s="228">
        <f t="shared" si="36"/>
        <v>600</v>
      </c>
      <c r="U304" s="229">
        <f t="shared" si="36"/>
        <v>600</v>
      </c>
      <c r="V304" s="229">
        <f t="shared" si="36"/>
        <v>600</v>
      </c>
      <c r="W304" s="230">
        <f t="shared" si="36"/>
        <v>600</v>
      </c>
    </row>
    <row r="305" spans="6:20" hidden="1" x14ac:dyDescent="0.3">
      <c r="F305" s="231"/>
      <c r="G305" s="232"/>
      <c r="H305" s="232"/>
      <c r="I305" s="232"/>
      <c r="J305" s="232"/>
      <c r="K305" s="233"/>
      <c r="L305" s="233"/>
      <c r="M305" s="233"/>
      <c r="N305" s="233"/>
      <c r="O305" s="234"/>
      <c r="P305" s="226">
        <f>F305+J305+N305</f>
        <v>0</v>
      </c>
      <c r="Q305" s="235"/>
      <c r="R305" s="219">
        <f>MAX(Q305,O305)</f>
        <v>0</v>
      </c>
      <c r="S305" s="220">
        <f>MAX(R305,P305)</f>
        <v>0</v>
      </c>
      <c r="T305" s="227">
        <f>MAX(S305,Q305)</f>
        <v>0</v>
      </c>
    </row>
  </sheetData>
  <mergeCells count="5">
    <mergeCell ref="C1:F1"/>
    <mergeCell ref="G1:J1"/>
    <mergeCell ref="K1:N1"/>
    <mergeCell ref="Q1:R1"/>
    <mergeCell ref="T1:V1"/>
  </mergeCells>
  <conditionalFormatting sqref="A207">
    <cfRule type="duplicateValues" dxfId="59" priority="6"/>
  </conditionalFormatting>
  <conditionalFormatting sqref="A208"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A209">
    <cfRule type="duplicateValues" dxfId="54" priority="11"/>
    <cfRule type="duplicateValues" dxfId="53" priority="12"/>
    <cfRule type="duplicateValues" dxfId="52" priority="13"/>
  </conditionalFormatting>
  <conditionalFormatting sqref="A210:A212">
    <cfRule type="duplicateValues" dxfId="51" priority="14"/>
  </conditionalFormatting>
  <conditionalFormatting sqref="A213">
    <cfRule type="duplicateValues" dxfId="49" priority="15"/>
    <cfRule type="duplicateValues" dxfId="48" priority="16"/>
    <cfRule type="duplicateValues" dxfId="50" priority="17"/>
  </conditionalFormatting>
  <conditionalFormatting sqref="A214">
    <cfRule type="duplicateValues" dxfId="47" priority="18"/>
  </conditionalFormatting>
  <conditionalFormatting sqref="A221">
    <cfRule type="duplicateValues" dxfId="46" priority="19"/>
  </conditionalFormatting>
  <conditionalFormatting sqref="A222">
    <cfRule type="duplicateValues" dxfId="45" priority="20"/>
  </conditionalFormatting>
  <conditionalFormatting sqref="A223">
    <cfRule type="duplicateValues" dxfId="44" priority="21"/>
  </conditionalFormatting>
  <conditionalFormatting sqref="A223:A225 A207 A209:A221">
    <cfRule type="duplicateValues" dxfId="43" priority="35"/>
  </conditionalFormatting>
  <conditionalFormatting sqref="A225">
    <cfRule type="duplicateValues" dxfId="42" priority="22"/>
    <cfRule type="duplicateValues" dxfId="41" priority="23"/>
  </conditionalFormatting>
  <conditionalFormatting sqref="A226">
    <cfRule type="duplicateValues" dxfId="40" priority="24"/>
    <cfRule type="duplicateValues" dxfId="39" priority="25"/>
    <cfRule type="duplicateValues" dxfId="38" priority="26"/>
  </conditionalFormatting>
  <conditionalFormatting sqref="A227">
    <cfRule type="duplicateValues" dxfId="37" priority="27"/>
    <cfRule type="duplicateValues" dxfId="36" priority="28"/>
    <cfRule type="duplicateValues" dxfId="35" priority="29"/>
  </conditionalFormatting>
  <conditionalFormatting sqref="A237">
    <cfRule type="duplicateValues" dxfId="34" priority="30"/>
    <cfRule type="duplicateValues" dxfId="33" priority="31"/>
  </conditionalFormatting>
  <conditionalFormatting sqref="A238:A244">
    <cfRule type="duplicateValues" dxfId="32" priority="32"/>
  </conditionalFormatting>
  <conditionalFormatting sqref="A246">
    <cfRule type="duplicateValues" dxfId="31" priority="33"/>
  </conditionalFormatting>
  <conditionalFormatting sqref="A267:A274">
    <cfRule type="duplicateValues" dxfId="29" priority="1"/>
    <cfRule type="duplicateValues" dxfId="30" priority="2"/>
  </conditionalFormatting>
  <conditionalFormatting sqref="A305:A1048576 A299:A300 A1:A255 A263:A264 A287:A290 A259">
    <cfRule type="duplicateValues" dxfId="28" priority="3"/>
  </conditionalFormatting>
  <conditionalFormatting sqref="A305:A1048576 A299:A300 A263:A264 A1:A12 A138:A206 A14:A136 A287:A290">
    <cfRule type="duplicateValues" dxfId="27" priority="34"/>
  </conditionalFormatting>
  <conditionalFormatting sqref="S4:S9994">
    <cfRule type="expression" dxfId="26" priority="4">
      <formula>$P4&gt;$R4</formula>
    </cfRule>
  </conditionalFormatting>
  <conditionalFormatting sqref="W1:W301 W305:W1048576">
    <cfRule type="cellIs" dxfId="25" priority="5" operator="lessThan">
      <formula>6</formula>
    </cfRule>
  </conditionalFormatting>
  <hyperlinks>
    <hyperlink ref="A223" r:id="rId1" display="https://sellercentral.amazon.in/skucentral?mSku=TU-PMP-SWF&amp;ref=myi_skuc" xr:uid="{4F9A48B9-1D01-4A20-BC38-BBDCE76C31CC}"/>
  </hyperlinks>
  <pageMargins left="0.7" right="0.7" top="0.75" bottom="0.75" header="0.3" footer="0.3"/>
  <pageSetup orientation="portrait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AED4-ED67-48C3-A19F-65AD1992F1A9}">
  <dimension ref="A1:Y288"/>
  <sheetViews>
    <sheetView workbookViewId="0">
      <pane ySplit="3" topLeftCell="A268" activePane="bottomLeft" state="frozen"/>
      <selection pane="bottomLeft" activeCell="F287" sqref="F287"/>
    </sheetView>
  </sheetViews>
  <sheetFormatPr defaultColWidth="8.88671875" defaultRowHeight="12.75" customHeight="1" x14ac:dyDescent="0.3"/>
  <cols>
    <col min="1" max="1" width="13.88671875" style="13" customWidth="1"/>
    <col min="2" max="2" width="6.33203125" style="12" bestFit="1" customWidth="1"/>
    <col min="3" max="5" width="6.33203125" style="11" customWidth="1"/>
    <col min="6" max="6" width="6.33203125" style="10" customWidth="1"/>
    <col min="7" max="10" width="6.33203125" style="9" customWidth="1"/>
    <col min="11" max="14" width="6.33203125" style="8" customWidth="1"/>
    <col min="15" max="15" width="12.33203125" style="7" customWidth="1"/>
    <col min="16" max="16" width="10.6640625" style="6" bestFit="1" customWidth="1"/>
    <col min="17" max="17" width="9.5546875" style="6" bestFit="1" customWidth="1"/>
    <col min="18" max="18" width="11" style="6" bestFit="1" customWidth="1"/>
    <col min="19" max="19" width="8.5546875" style="5" bestFit="1" customWidth="1"/>
    <col min="20" max="20" width="9.33203125" style="4" bestFit="1" customWidth="1"/>
    <col min="21" max="21" width="8.109375" style="4" bestFit="1" customWidth="1"/>
    <col min="22" max="22" width="7.6640625" style="3" bestFit="1" customWidth="1"/>
    <col min="23" max="23" width="8.5546875" style="2" customWidth="1"/>
    <col min="24" max="24" width="20.6640625" style="1" customWidth="1"/>
    <col min="25" max="25" width="11" style="1" bestFit="1" customWidth="1"/>
    <col min="26" max="16384" width="8.88671875" style="1"/>
  </cols>
  <sheetData>
    <row r="1" spans="1:25" ht="12.75" customHeight="1" x14ac:dyDescent="0.3">
      <c r="A1" s="100"/>
      <c r="B1" s="88"/>
      <c r="C1" s="99" t="s">
        <v>320</v>
      </c>
      <c r="D1" s="99"/>
      <c r="E1" s="99"/>
      <c r="F1" s="99"/>
      <c r="G1" s="98" t="s">
        <v>319</v>
      </c>
      <c r="H1" s="98"/>
      <c r="I1" s="98"/>
      <c r="J1" s="98"/>
      <c r="K1" s="97" t="s">
        <v>318</v>
      </c>
      <c r="L1" s="97"/>
      <c r="M1" s="97"/>
      <c r="N1" s="97"/>
      <c r="O1" s="96" t="s">
        <v>317</v>
      </c>
      <c r="P1" s="95" t="s">
        <v>316</v>
      </c>
      <c r="Q1" s="95"/>
      <c r="R1" s="94" t="s">
        <v>315</v>
      </c>
      <c r="S1" s="93" t="s">
        <v>314</v>
      </c>
      <c r="T1" s="93"/>
      <c r="U1" s="93"/>
      <c r="V1" s="92"/>
      <c r="W1" s="91"/>
    </row>
    <row r="2" spans="1:25" ht="13.8" x14ac:dyDescent="0.3">
      <c r="A2" s="54"/>
      <c r="B2" s="88"/>
      <c r="C2" s="87" t="s">
        <v>312</v>
      </c>
      <c r="D2" s="87" t="s">
        <v>311</v>
      </c>
      <c r="E2" s="87" t="s">
        <v>310</v>
      </c>
      <c r="F2" s="86" t="s">
        <v>313</v>
      </c>
      <c r="G2" s="84" t="s">
        <v>312</v>
      </c>
      <c r="H2" s="84" t="s">
        <v>311</v>
      </c>
      <c r="I2" s="84" t="s">
        <v>310</v>
      </c>
      <c r="J2" s="84" t="s">
        <v>313</v>
      </c>
      <c r="K2" s="82" t="s">
        <v>312</v>
      </c>
      <c r="L2" s="82" t="s">
        <v>311</v>
      </c>
      <c r="M2" s="82" t="s">
        <v>310</v>
      </c>
      <c r="N2" s="82" t="s">
        <v>309</v>
      </c>
      <c r="O2" s="90">
        <v>6</v>
      </c>
      <c r="P2" s="80" t="s">
        <v>309</v>
      </c>
      <c r="Q2" s="80" t="s">
        <v>308</v>
      </c>
      <c r="R2" s="89"/>
      <c r="S2" s="50"/>
      <c r="T2" s="78" t="s">
        <v>307</v>
      </c>
      <c r="U2" s="78" t="s">
        <v>306</v>
      </c>
      <c r="V2" s="77" t="s">
        <v>305</v>
      </c>
      <c r="W2" s="76" t="s">
        <v>304</v>
      </c>
      <c r="X2" s="1" t="s">
        <v>303</v>
      </c>
    </row>
    <row r="3" spans="1:25" ht="13.8" x14ac:dyDescent="0.3">
      <c r="A3" s="54" t="s">
        <v>302</v>
      </c>
      <c r="B3" s="88" t="s">
        <v>301</v>
      </c>
      <c r="C3" s="87" t="s">
        <v>300</v>
      </c>
      <c r="D3" s="87" t="s">
        <v>299</v>
      </c>
      <c r="E3" s="87" t="s">
        <v>298</v>
      </c>
      <c r="F3" s="86" t="s">
        <v>297</v>
      </c>
      <c r="G3" s="85" t="s">
        <v>300</v>
      </c>
      <c r="H3" s="85" t="s">
        <v>299</v>
      </c>
      <c r="I3" s="85" t="s">
        <v>298</v>
      </c>
      <c r="J3" s="84" t="s">
        <v>297</v>
      </c>
      <c r="K3" s="83" t="s">
        <v>300</v>
      </c>
      <c r="L3" s="83" t="s">
        <v>299</v>
      </c>
      <c r="M3" s="83" t="s">
        <v>298</v>
      </c>
      <c r="N3" s="82" t="s">
        <v>297</v>
      </c>
      <c r="O3" s="81" t="s">
        <v>295</v>
      </c>
      <c r="P3" s="80" t="s">
        <v>296</v>
      </c>
      <c r="Q3" s="80" t="s">
        <v>295</v>
      </c>
      <c r="R3" s="79"/>
      <c r="S3" s="50"/>
      <c r="T3" s="78"/>
      <c r="U3" s="78"/>
      <c r="V3" s="77"/>
      <c r="W3" s="76"/>
    </row>
    <row r="4" spans="1:25" s="62" customFormat="1" ht="12.45" customHeight="1" x14ac:dyDescent="0.3">
      <c r="A4" s="74" t="s">
        <v>294</v>
      </c>
      <c r="B4" s="75" t="s">
        <v>97</v>
      </c>
      <c r="C4" s="72">
        <v>203</v>
      </c>
      <c r="D4" s="72">
        <v>39</v>
      </c>
      <c r="E4" s="72">
        <v>7</v>
      </c>
      <c r="F4" s="72">
        <v>26950</v>
      </c>
      <c r="G4" s="72">
        <v>194</v>
      </c>
      <c r="H4" s="72">
        <v>80</v>
      </c>
      <c r="I4" s="72">
        <v>5</v>
      </c>
      <c r="J4" s="72">
        <v>33000</v>
      </c>
      <c r="K4" s="72">
        <v>102</v>
      </c>
      <c r="L4" s="72">
        <v>93</v>
      </c>
      <c r="M4" s="72">
        <v>6</v>
      </c>
      <c r="N4" s="72">
        <v>38750</v>
      </c>
      <c r="O4" s="71">
        <f>V4*$O$2</f>
        <v>2270.3553307200004</v>
      </c>
      <c r="P4" s="70">
        <f>F4+J4+N4</f>
        <v>98700</v>
      </c>
      <c r="Q4" s="69">
        <f>P4/1000</f>
        <v>98.7</v>
      </c>
      <c r="R4" s="68">
        <f>MAX(Q4,O4)</f>
        <v>2270.3553307200004</v>
      </c>
      <c r="S4" s="67">
        <f>VLOOKUP(A4,[1]Index!$E:$M,8,)</f>
        <v>88614.980250199995</v>
      </c>
      <c r="T4" s="66">
        <f>S4-P4</f>
        <v>-10085.019749800005</v>
      </c>
      <c r="U4" s="65">
        <f>T4/S4</f>
        <v>-0.11380716580114844</v>
      </c>
      <c r="V4" s="64">
        <f>(((N4*D4*E4)+(G4*H4*I4)+(K4*L4*M4))/1000000)*35.32</f>
        <v>378.39255512000005</v>
      </c>
      <c r="W4" s="63">
        <f>Q4/V4</f>
        <v>0.26084022707238297</v>
      </c>
      <c r="X4" s="62" t="s">
        <v>46</v>
      </c>
    </row>
    <row r="5" spans="1:25" s="62" customFormat="1" ht="12.45" customHeight="1" x14ac:dyDescent="0.3">
      <c r="A5" s="74" t="s">
        <v>293</v>
      </c>
      <c r="B5" s="73" t="s">
        <v>97</v>
      </c>
      <c r="C5" s="72">
        <v>205</v>
      </c>
      <c r="D5" s="72">
        <v>40</v>
      </c>
      <c r="E5" s="72">
        <v>7</v>
      </c>
      <c r="F5" s="72">
        <v>27250</v>
      </c>
      <c r="G5" s="72">
        <v>164</v>
      </c>
      <c r="H5" s="72">
        <v>63</v>
      </c>
      <c r="I5" s="72">
        <v>4</v>
      </c>
      <c r="J5" s="72">
        <v>23300</v>
      </c>
      <c r="K5" s="72">
        <v>102</v>
      </c>
      <c r="L5" s="72">
        <v>79</v>
      </c>
      <c r="M5" s="72">
        <v>6</v>
      </c>
      <c r="N5" s="72">
        <v>37750</v>
      </c>
      <c r="O5" s="71">
        <f>V5*$O$2</f>
        <v>31.168345920000004</v>
      </c>
      <c r="P5" s="70">
        <f>F5+J5+N5</f>
        <v>88300</v>
      </c>
      <c r="Q5" s="69">
        <f>P5/1000</f>
        <v>88.3</v>
      </c>
      <c r="R5" s="68">
        <f>MAX(Q5,O5)</f>
        <v>88.3</v>
      </c>
      <c r="S5" s="67">
        <f>VLOOKUP(A5,[1]Index!$E:$M,8,)</f>
        <v>83135.098534551988</v>
      </c>
      <c r="T5" s="66">
        <f>S5-P5</f>
        <v>-5164.9014654480125</v>
      </c>
      <c r="U5" s="65">
        <f>T5/S5</f>
        <v>-6.2126605446933041E-2</v>
      </c>
      <c r="V5" s="64">
        <f>(((C5*D5*E5)+(G5*H5*I5)+(K5*L5*M5))/1000000)*35.32</f>
        <v>5.1947243200000006</v>
      </c>
      <c r="W5" s="63">
        <f>Q5/V5</f>
        <v>16.998014631890992</v>
      </c>
      <c r="X5" s="62" t="s">
        <v>240</v>
      </c>
    </row>
    <row r="6" spans="1:25" ht="13.8" x14ac:dyDescent="0.3">
      <c r="A6" s="54" t="s">
        <v>292</v>
      </c>
      <c r="B6" s="53" t="s">
        <v>97</v>
      </c>
      <c r="C6" s="52"/>
      <c r="D6" s="52"/>
      <c r="E6" s="52"/>
      <c r="F6" s="52"/>
      <c r="G6" s="31"/>
      <c r="H6" s="31"/>
      <c r="I6" s="31"/>
      <c r="J6" s="31"/>
      <c r="K6" s="30"/>
      <c r="L6" s="30"/>
      <c r="M6" s="30"/>
      <c r="N6" s="30"/>
      <c r="O6" s="17">
        <f>V6*$O$2</f>
        <v>0</v>
      </c>
      <c r="P6" s="16">
        <f>F6+J6+N6</f>
        <v>0</v>
      </c>
      <c r="Q6" s="15">
        <f>P6/1000</f>
        <v>0</v>
      </c>
      <c r="R6" s="14">
        <f>MAX(Q6,O6)</f>
        <v>0</v>
      </c>
      <c r="S6" s="50">
        <f>VLOOKUP(A6,[1]Index!$E:$M,8,)</f>
        <v>70721.918431760001</v>
      </c>
      <c r="T6" s="49">
        <f>S6-P6</f>
        <v>70721.918431760001</v>
      </c>
      <c r="U6" s="48">
        <f>T6/S6</f>
        <v>1</v>
      </c>
      <c r="V6" s="47">
        <f>(((C6*D6*E6)+(G6*H6*I6)+(K6*L6*M6))/1000000)*35.32</f>
        <v>0</v>
      </c>
      <c r="W6" s="46" t="e">
        <f>Q6/V6</f>
        <v>#DIV/0!</v>
      </c>
      <c r="X6" s="1" t="s">
        <v>46</v>
      </c>
    </row>
    <row r="7" spans="1:25" ht="13.8" x14ac:dyDescent="0.3">
      <c r="A7" s="54" t="s">
        <v>291</v>
      </c>
      <c r="B7" s="53" t="s">
        <v>97</v>
      </c>
      <c r="C7" s="52">
        <v>206</v>
      </c>
      <c r="D7" s="52">
        <v>40</v>
      </c>
      <c r="E7" s="52">
        <v>7</v>
      </c>
      <c r="F7" s="52">
        <v>36100</v>
      </c>
      <c r="G7" s="31">
        <v>149</v>
      </c>
      <c r="H7" s="31">
        <v>40</v>
      </c>
      <c r="I7" s="31">
        <v>6</v>
      </c>
      <c r="J7" s="31">
        <v>23600</v>
      </c>
      <c r="K7" s="30">
        <v>104</v>
      </c>
      <c r="L7" s="30">
        <v>79</v>
      </c>
      <c r="M7" s="30">
        <v>7</v>
      </c>
      <c r="N7" s="30">
        <v>37460</v>
      </c>
      <c r="O7" s="17">
        <f>V7*$O$2</f>
        <v>31.98974784</v>
      </c>
      <c r="P7" s="16">
        <f>F7+J7+N7</f>
        <v>97160</v>
      </c>
      <c r="Q7" s="15">
        <f>P7/1000</f>
        <v>97.16</v>
      </c>
      <c r="R7" s="14">
        <f>MAX(Q7,O7)</f>
        <v>97.16</v>
      </c>
      <c r="S7" s="50">
        <f>VLOOKUP(A7,[1]Index!$E:$M,8,)</f>
        <v>94601.157959616001</v>
      </c>
      <c r="T7" s="49">
        <f>S7-P7</f>
        <v>-2558.8420403839991</v>
      </c>
      <c r="U7" s="48">
        <f>T7/S7</f>
        <v>-2.7048739101865279E-2</v>
      </c>
      <c r="V7" s="47">
        <f>(((C7*D7*E7)+(G7*H7*I7)+(K7*L7*M7))/1000000)*35.32</f>
        <v>5.3316246400000002</v>
      </c>
      <c r="W7" s="46">
        <f>Q7/V7</f>
        <v>18.223338393154396</v>
      </c>
      <c r="X7" s="61" t="s">
        <v>44</v>
      </c>
    </row>
    <row r="8" spans="1:25" ht="13.8" x14ac:dyDescent="0.3">
      <c r="A8" s="54" t="s">
        <v>290</v>
      </c>
      <c r="B8" s="53" t="s">
        <v>97</v>
      </c>
      <c r="C8" s="52"/>
      <c r="D8" s="52"/>
      <c r="E8" s="52"/>
      <c r="F8" s="52"/>
      <c r="G8" s="31"/>
      <c r="H8" s="31"/>
      <c r="I8" s="31"/>
      <c r="J8" s="31"/>
      <c r="K8" s="30"/>
      <c r="L8" s="30"/>
      <c r="M8" s="30"/>
      <c r="N8" s="30"/>
      <c r="O8" s="17">
        <f>V8*$O$2</f>
        <v>0</v>
      </c>
      <c r="P8" s="16">
        <f>F8+J8+N8</f>
        <v>0</v>
      </c>
      <c r="Q8" s="15">
        <f>P8/1000</f>
        <v>0</v>
      </c>
      <c r="R8" s="14">
        <f>MAX(Q8,O8)</f>
        <v>0</v>
      </c>
      <c r="S8" s="50">
        <f>VLOOKUP(A8,[1]Index!$E:$M,8,)</f>
        <v>60043.683832540002</v>
      </c>
      <c r="T8" s="49">
        <f>S8-P8</f>
        <v>60043.683832540002</v>
      </c>
      <c r="U8" s="48">
        <f>T8/S8</f>
        <v>1</v>
      </c>
      <c r="V8" s="47">
        <f>(((C8*D8*E8)+(G8*H8*I8)+(K8*L8*M8))/1000000)*35.32</f>
        <v>0</v>
      </c>
      <c r="W8" s="46" t="e">
        <f>Q8/V8</f>
        <v>#DIV/0!</v>
      </c>
      <c r="X8" s="1" t="s">
        <v>46</v>
      </c>
    </row>
    <row r="9" spans="1:25" ht="13.8" x14ac:dyDescent="0.3">
      <c r="A9" s="54" t="s">
        <v>289</v>
      </c>
      <c r="B9" s="53" t="s">
        <v>97</v>
      </c>
      <c r="C9" s="52">
        <v>208</v>
      </c>
      <c r="D9" s="52">
        <v>49</v>
      </c>
      <c r="E9" s="52">
        <v>7</v>
      </c>
      <c r="F9" s="52">
        <v>33800</v>
      </c>
      <c r="G9" s="31">
        <v>163</v>
      </c>
      <c r="H9" s="31">
        <v>40</v>
      </c>
      <c r="I9" s="31">
        <v>6</v>
      </c>
      <c r="J9" s="31">
        <v>20600</v>
      </c>
      <c r="K9" s="30">
        <v>101</v>
      </c>
      <c r="L9" s="30">
        <v>80</v>
      </c>
      <c r="M9" s="30">
        <v>6</v>
      </c>
      <c r="N9" s="30">
        <v>37000</v>
      </c>
      <c r="O9" s="17">
        <f>V9*$O$2</f>
        <v>33.683412480000001</v>
      </c>
      <c r="P9" s="16">
        <f>F9+J9+N9</f>
        <v>91400</v>
      </c>
      <c r="Q9" s="15">
        <f>P9/1000</f>
        <v>91.4</v>
      </c>
      <c r="R9" s="14">
        <f>MAX(Q9,O9)</f>
        <v>91.4</v>
      </c>
      <c r="S9" s="50">
        <f>VLOOKUP(A9,[1]Index!$E:$M,8,)</f>
        <v>75619.774062335986</v>
      </c>
      <c r="T9" s="49">
        <f>S9-P9</f>
        <v>-15780.225937664014</v>
      </c>
      <c r="U9" s="48">
        <f>T9/S9</f>
        <v>-0.20867856500940918</v>
      </c>
      <c r="V9" s="47">
        <f>(((C9*D9*E9)+(G9*H9*I9)+(K9*L9*M9))/1000000)*35.32</f>
        <v>5.6139020799999999</v>
      </c>
      <c r="W9" s="46">
        <f>Q9/V9</f>
        <v>16.28101072970621</v>
      </c>
      <c r="X9" s="1" t="s">
        <v>44</v>
      </c>
    </row>
    <row r="10" spans="1:25" ht="13.8" x14ac:dyDescent="0.3">
      <c r="A10" s="54" t="s">
        <v>288</v>
      </c>
      <c r="B10" s="53" t="s">
        <v>97</v>
      </c>
      <c r="C10" s="52">
        <v>206</v>
      </c>
      <c r="D10" s="52">
        <v>48</v>
      </c>
      <c r="E10" s="52">
        <v>6</v>
      </c>
      <c r="F10" s="52">
        <v>33550</v>
      </c>
      <c r="G10" s="31">
        <v>105</v>
      </c>
      <c r="H10" s="31">
        <v>97</v>
      </c>
      <c r="I10" s="31">
        <v>3</v>
      </c>
      <c r="J10" s="31">
        <v>14800</v>
      </c>
      <c r="K10" s="30"/>
      <c r="L10" s="30"/>
      <c r="M10" s="30"/>
      <c r="N10" s="30"/>
      <c r="O10" s="17">
        <f>V10*$O$2</f>
        <v>19.048005360000001</v>
      </c>
      <c r="P10" s="60">
        <f>F10+J10+N10</f>
        <v>48350</v>
      </c>
      <c r="Q10" s="15">
        <f>P10/1000</f>
        <v>48.35</v>
      </c>
      <c r="R10" s="14">
        <f>MAX(Q10,O10)</f>
        <v>48.35</v>
      </c>
      <c r="S10" s="50">
        <f>VLOOKUP(A10,[1]Index!$E:$M,8,)</f>
        <v>40998.311804560013</v>
      </c>
      <c r="T10" s="49">
        <f>S10-P10</f>
        <v>-7351.6881954399869</v>
      </c>
      <c r="U10" s="48">
        <f>T10/S10</f>
        <v>-0.17931685164222541</v>
      </c>
      <c r="V10" s="47">
        <f>(((C10*D10*E10)+(G10*H10*I10)+(K10*L10*M10))/1000000)*35.32</f>
        <v>3.1746675600000001</v>
      </c>
      <c r="W10" s="46">
        <f>Q10/V10</f>
        <v>15.229941115472261</v>
      </c>
      <c r="X10" s="59" t="s">
        <v>287</v>
      </c>
      <c r="Y10" s="58"/>
    </row>
    <row r="11" spans="1:25" ht="12.45" customHeight="1" x14ac:dyDescent="0.3">
      <c r="A11" s="54" t="s">
        <v>286</v>
      </c>
      <c r="B11" s="53" t="s">
        <v>97</v>
      </c>
      <c r="C11" s="52">
        <v>207</v>
      </c>
      <c r="D11" s="52">
        <v>50</v>
      </c>
      <c r="E11" s="52">
        <v>8</v>
      </c>
      <c r="F11" s="52">
        <v>46400</v>
      </c>
      <c r="G11" s="31">
        <v>106</v>
      </c>
      <c r="H11" s="31">
        <v>98</v>
      </c>
      <c r="I11" s="31">
        <v>5</v>
      </c>
      <c r="J11" s="31">
        <v>29850</v>
      </c>
      <c r="K11" s="30"/>
      <c r="L11" s="30"/>
      <c r="M11" s="30"/>
      <c r="N11" s="30"/>
      <c r="O11" s="17">
        <f>V11*$O$2</f>
        <v>28.554100800000001</v>
      </c>
      <c r="P11" s="16">
        <f>F11+J11+N11</f>
        <v>76250</v>
      </c>
      <c r="Q11" s="15">
        <f>P11/1000</f>
        <v>76.25</v>
      </c>
      <c r="R11" s="14">
        <f>MAX(Q11,O11)</f>
        <v>76.25</v>
      </c>
      <c r="S11" s="50">
        <f>VLOOKUP(A11,[1]Index!$E:$M,8,)</f>
        <v>56053.896042839995</v>
      </c>
      <c r="T11" s="49">
        <f>S11-P11</f>
        <v>-20196.103957160005</v>
      </c>
      <c r="U11" s="48">
        <f>T11/S11</f>
        <v>-0.36029795220166039</v>
      </c>
      <c r="V11" s="47">
        <f>(((C11*D11*E11)+(G11*H11*I11)+(K11*L11*M11))/1000000)*35.32</f>
        <v>4.7590168000000004</v>
      </c>
      <c r="W11" s="46">
        <f>Q11/V11</f>
        <v>16.022217026004192</v>
      </c>
      <c r="X11" s="1" t="s">
        <v>44</v>
      </c>
    </row>
    <row r="12" spans="1:25" ht="12.45" customHeight="1" x14ac:dyDescent="0.3">
      <c r="A12" s="54" t="s">
        <v>285</v>
      </c>
      <c r="B12" s="53" t="s">
        <v>97</v>
      </c>
      <c r="C12" s="52">
        <v>207</v>
      </c>
      <c r="D12" s="52">
        <v>51</v>
      </c>
      <c r="E12" s="52">
        <v>8</v>
      </c>
      <c r="F12" s="52">
        <v>42600</v>
      </c>
      <c r="G12" s="31">
        <v>107</v>
      </c>
      <c r="H12" s="31">
        <v>80</v>
      </c>
      <c r="I12" s="31">
        <v>5</v>
      </c>
      <c r="J12" s="31">
        <v>54000</v>
      </c>
      <c r="K12" s="30"/>
      <c r="L12" s="30"/>
      <c r="M12" s="30"/>
      <c r="N12" s="30"/>
      <c r="O12" s="17">
        <f>V12*$O$2</f>
        <v>26.968091520000002</v>
      </c>
      <c r="P12" s="16">
        <f>F12+J12+N12</f>
        <v>96600</v>
      </c>
      <c r="Q12" s="15">
        <f>P12/1000</f>
        <v>96.6</v>
      </c>
      <c r="R12" s="14">
        <f>MAX(Q12,O12)</f>
        <v>96.6</v>
      </c>
      <c r="S12" s="50">
        <f>VLOOKUP(A12,[1]Index!$E:$M,8,)</f>
        <v>61659.101129619987</v>
      </c>
      <c r="T12" s="49">
        <f>S12-P12</f>
        <v>-34940.898870380013</v>
      </c>
      <c r="U12" s="48">
        <f>T12/S12</f>
        <v>-0.56667869349777134</v>
      </c>
      <c r="V12" s="47">
        <f>(((C12*D12*E12)+(G12*H12*I12)+(K12*L12*M12))/1000000)*35.32</f>
        <v>4.4946819200000006</v>
      </c>
      <c r="W12" s="46">
        <f>Q12/V12</f>
        <v>21.492065894620634</v>
      </c>
      <c r="X12" s="1" t="s">
        <v>44</v>
      </c>
    </row>
    <row r="13" spans="1:25" ht="13.8" x14ac:dyDescent="0.3">
      <c r="A13" s="54" t="s">
        <v>284</v>
      </c>
      <c r="B13" s="53" t="s">
        <v>97</v>
      </c>
      <c r="C13" s="52">
        <v>120</v>
      </c>
      <c r="D13" s="52">
        <v>39</v>
      </c>
      <c r="E13" s="52">
        <v>8</v>
      </c>
      <c r="F13" s="52">
        <v>33000</v>
      </c>
      <c r="G13" s="31">
        <v>97</v>
      </c>
      <c r="H13" s="31">
        <v>56</v>
      </c>
      <c r="I13" s="31">
        <v>5</v>
      </c>
      <c r="J13" s="31">
        <v>14900</v>
      </c>
      <c r="K13" s="30"/>
      <c r="L13" s="30"/>
      <c r="M13" s="30"/>
      <c r="N13" s="30"/>
      <c r="O13" s="17">
        <f>V13*$O$2</f>
        <v>13.690032000000002</v>
      </c>
      <c r="P13" s="16">
        <f>F13+J13+N13</f>
        <v>47900</v>
      </c>
      <c r="Q13" s="15">
        <f>P13/1000</f>
        <v>47.9</v>
      </c>
      <c r="R13" s="14">
        <f>MAX(Q13,O13)</f>
        <v>47.9</v>
      </c>
      <c r="S13" s="50">
        <f>VLOOKUP(A13,[1]Index!$E:$M,8,)</f>
        <v>41738.718569060002</v>
      </c>
      <c r="T13" s="49">
        <f>S13-P13</f>
        <v>-6161.2814309399982</v>
      </c>
      <c r="U13" s="48">
        <f>T13/S13</f>
        <v>-0.14761549089595724</v>
      </c>
      <c r="V13" s="47">
        <f>(((C13*D13*E13)+(G13*H13*I13)+(K13*L13*M13))/1000000)*35.32</f>
        <v>2.2816720000000004</v>
      </c>
      <c r="W13" s="46">
        <f>Q13/V13</f>
        <v>20.993376786847534</v>
      </c>
      <c r="X13" s="1" t="s">
        <v>44</v>
      </c>
    </row>
    <row r="14" spans="1:25" ht="13.8" x14ac:dyDescent="0.3">
      <c r="A14" s="54" t="s">
        <v>71</v>
      </c>
      <c r="B14" s="53" t="s">
        <v>0</v>
      </c>
      <c r="C14" s="52">
        <v>188</v>
      </c>
      <c r="D14" s="52">
        <v>44</v>
      </c>
      <c r="E14" s="52">
        <v>9</v>
      </c>
      <c r="F14" s="52">
        <v>37300</v>
      </c>
      <c r="G14" s="31"/>
      <c r="H14" s="31"/>
      <c r="I14" s="31"/>
      <c r="J14" s="31"/>
      <c r="K14" s="30"/>
      <c r="L14" s="30"/>
      <c r="M14" s="30"/>
      <c r="N14" s="30"/>
      <c r="O14" s="17">
        <f>V14*$O$2</f>
        <v>15.777020160000001</v>
      </c>
      <c r="P14" s="16">
        <f>F14+J14+N14</f>
        <v>37300</v>
      </c>
      <c r="Q14" s="15">
        <f>P14/1000</f>
        <v>37.299999999999997</v>
      </c>
      <c r="R14" s="14">
        <f>MAX(Q14,O14)</f>
        <v>37.299999999999997</v>
      </c>
      <c r="S14" s="50">
        <f>VLOOKUP(A14,[1]Index!$E:$M,8,)</f>
        <v>34586.525244060009</v>
      </c>
      <c r="T14" s="49">
        <f>S14-P14</f>
        <v>-2713.4747559399912</v>
      </c>
      <c r="U14" s="48">
        <f>T14/S14</f>
        <v>-7.8454679583807321E-2</v>
      </c>
      <c r="V14" s="47">
        <f>(((C14*D14*E14)+(G14*H14*I14)+(K14*L14*M14))/1000000)*35.32</f>
        <v>2.6295033600000002</v>
      </c>
      <c r="W14" s="46">
        <f>Q14/V14</f>
        <v>14.185188187019467</v>
      </c>
      <c r="X14" s="1" t="s">
        <v>44</v>
      </c>
    </row>
    <row r="15" spans="1:25" ht="13.8" x14ac:dyDescent="0.3">
      <c r="A15" s="54" t="s">
        <v>283</v>
      </c>
      <c r="B15" s="53" t="s">
        <v>0</v>
      </c>
      <c r="C15" s="52">
        <v>74</v>
      </c>
      <c r="D15" s="52">
        <v>40</v>
      </c>
      <c r="E15" s="52">
        <v>6</v>
      </c>
      <c r="F15" s="52">
        <v>6600</v>
      </c>
      <c r="G15" s="31"/>
      <c r="H15" s="31"/>
      <c r="I15" s="31"/>
      <c r="J15" s="31"/>
      <c r="K15" s="30"/>
      <c r="L15" s="30"/>
      <c r="M15" s="30"/>
      <c r="N15" s="30"/>
      <c r="O15" s="17">
        <f>V15*$O$2</f>
        <v>3.7636992000000005</v>
      </c>
      <c r="P15" s="16">
        <f>F15+J15+N15</f>
        <v>6600</v>
      </c>
      <c r="Q15" s="15">
        <f>P15/1000</f>
        <v>6.6</v>
      </c>
      <c r="R15" s="14">
        <f>MAX(Q15,O15)</f>
        <v>6.6</v>
      </c>
      <c r="S15" s="50">
        <f>VLOOKUP(A15,[1]Index!$E:$M,8,)</f>
        <v>6060.5377855999996</v>
      </c>
      <c r="T15" s="49">
        <f>S15-P15</f>
        <v>-539.46221440000045</v>
      </c>
      <c r="U15" s="48">
        <f>T15/S15</f>
        <v>-8.9012268132669214E-2</v>
      </c>
      <c r="V15" s="47">
        <f>(((C15*D15*E15)+(G15*H15*I15)+(K15*L15*M15))/1000000)*35.32</f>
        <v>0.62728320000000004</v>
      </c>
      <c r="W15" s="46">
        <f>Q15/V15</f>
        <v>10.521563466070827</v>
      </c>
      <c r="X15" s="1" t="s">
        <v>44</v>
      </c>
    </row>
    <row r="16" spans="1:25" ht="13.8" x14ac:dyDescent="0.3">
      <c r="A16" s="54" t="s">
        <v>282</v>
      </c>
      <c r="B16" s="53" t="s">
        <v>0</v>
      </c>
      <c r="C16" s="52">
        <v>42</v>
      </c>
      <c r="D16" s="52">
        <v>41</v>
      </c>
      <c r="E16" s="52">
        <v>6</v>
      </c>
      <c r="F16" s="52">
        <v>4780</v>
      </c>
      <c r="G16" s="31"/>
      <c r="H16" s="31"/>
      <c r="I16" s="31"/>
      <c r="J16" s="31"/>
      <c r="K16" s="30"/>
      <c r="L16" s="30"/>
      <c r="M16" s="30"/>
      <c r="N16" s="30"/>
      <c r="O16" s="17">
        <f>V16*$O$2</f>
        <v>2.1895574399999997</v>
      </c>
      <c r="P16" s="16">
        <f>F16+J16+N16</f>
        <v>4780</v>
      </c>
      <c r="Q16" s="15">
        <f>P16/1000</f>
        <v>4.78</v>
      </c>
      <c r="R16" s="14">
        <f>MAX(Q16,O16)</f>
        <v>4.78</v>
      </c>
      <c r="S16" s="50">
        <f>VLOOKUP(A16,[1]Index!$E:$M,8,)</f>
        <v>4702.7014006487798</v>
      </c>
      <c r="T16" s="49">
        <f>S16-P16</f>
        <v>-77.298599351220219</v>
      </c>
      <c r="U16" s="48">
        <f>T16/S16</f>
        <v>-1.6437063033718488E-2</v>
      </c>
      <c r="V16" s="47">
        <f>(((C16*D16*E16)+(G16*H16*I16)+(K16*L16*M16))/1000000)*35.32</f>
        <v>0.36492623999999996</v>
      </c>
      <c r="W16" s="46">
        <f>Q16/V16</f>
        <v>13.098537392104225</v>
      </c>
      <c r="X16" s="1" t="s">
        <v>44</v>
      </c>
    </row>
    <row r="17" spans="1:24" ht="13.8" x14ac:dyDescent="0.3">
      <c r="A17" s="54" t="s">
        <v>281</v>
      </c>
      <c r="B17" s="53" t="s">
        <v>0</v>
      </c>
      <c r="C17" s="52">
        <v>64</v>
      </c>
      <c r="D17" s="52">
        <v>58</v>
      </c>
      <c r="E17" s="52">
        <v>12</v>
      </c>
      <c r="F17" s="52">
        <v>15000</v>
      </c>
      <c r="G17" s="31"/>
      <c r="H17" s="31"/>
      <c r="I17" s="31"/>
      <c r="J17" s="31"/>
      <c r="K17" s="30"/>
      <c r="L17" s="30"/>
      <c r="M17" s="30"/>
      <c r="N17" s="30"/>
      <c r="O17" s="17">
        <f>V17*$O$2</f>
        <v>9.4397644799999991</v>
      </c>
      <c r="P17" s="16">
        <f>F17+J17+N17</f>
        <v>15000</v>
      </c>
      <c r="Q17" s="15">
        <f>P17/1000</f>
        <v>15</v>
      </c>
      <c r="R17" s="14">
        <f>MAX(Q17,O17)</f>
        <v>15</v>
      </c>
      <c r="S17" s="50">
        <f>VLOOKUP(A17,[1]Index!$E:$M,8,)</f>
        <v>8821.9178117100982</v>
      </c>
      <c r="T17" s="49">
        <f>S17-P17</f>
        <v>-6178.0821882899018</v>
      </c>
      <c r="U17" s="48">
        <f>T17/S17</f>
        <v>-0.70031055833338152</v>
      </c>
      <c r="V17" s="47">
        <f>(((C17*D17*E17)+(G17*H17*I17)+(K17*L17*M17))/1000000)*35.32</f>
        <v>1.5732940799999999</v>
      </c>
      <c r="W17" s="46">
        <f>Q17/V17</f>
        <v>9.5341361737025032</v>
      </c>
      <c r="X17" s="1" t="s">
        <v>46</v>
      </c>
    </row>
    <row r="18" spans="1:24" ht="13.8" x14ac:dyDescent="0.3">
      <c r="A18" s="54" t="s">
        <v>280</v>
      </c>
      <c r="B18" s="53" t="s">
        <v>0</v>
      </c>
      <c r="C18" s="52">
        <v>50</v>
      </c>
      <c r="D18" s="52">
        <v>45</v>
      </c>
      <c r="E18" s="52">
        <v>8</v>
      </c>
      <c r="F18" s="52">
        <v>8250</v>
      </c>
      <c r="G18" s="31"/>
      <c r="H18" s="31"/>
      <c r="I18" s="31"/>
      <c r="J18" s="31"/>
      <c r="K18" s="30"/>
      <c r="L18" s="30"/>
      <c r="M18" s="30"/>
      <c r="N18" s="30"/>
      <c r="O18" s="17">
        <f>V18*$O$2</f>
        <v>3.8145600000000002</v>
      </c>
      <c r="P18" s="16">
        <f>F18+J18+N18</f>
        <v>8250</v>
      </c>
      <c r="Q18" s="15">
        <f>P18/1000</f>
        <v>8.25</v>
      </c>
      <c r="R18" s="14">
        <f>MAX(Q18,O18)</f>
        <v>8.25</v>
      </c>
      <c r="S18" s="50">
        <f>VLOOKUP(A18,[1]Index!$E:$M,8,)</f>
        <v>8112</v>
      </c>
      <c r="T18" s="49">
        <f>S18-P18</f>
        <v>-138</v>
      </c>
      <c r="U18" s="48">
        <f>T18/S18</f>
        <v>-1.7011834319526627E-2</v>
      </c>
      <c r="V18" s="47">
        <f>(((C18*D18*E18)+(G18*H18*I18)+(K18*L18*M18))/1000000)*35.32</f>
        <v>0.63575999999999999</v>
      </c>
      <c r="W18" s="46">
        <f>Q18/V18</f>
        <v>12.976594941487354</v>
      </c>
      <c r="X18" s="1" t="s">
        <v>44</v>
      </c>
    </row>
    <row r="19" spans="1:24" ht="13.8" x14ac:dyDescent="0.3">
      <c r="A19" s="54" t="s">
        <v>279</v>
      </c>
      <c r="B19" s="53" t="s">
        <v>0</v>
      </c>
      <c r="C19" s="52">
        <v>49</v>
      </c>
      <c r="D19" s="52">
        <v>43</v>
      </c>
      <c r="E19" s="52">
        <v>12</v>
      </c>
      <c r="F19" s="52">
        <v>10900</v>
      </c>
      <c r="G19" s="31"/>
      <c r="H19" s="31"/>
      <c r="I19" s="31"/>
      <c r="J19" s="31"/>
      <c r="K19" s="30"/>
      <c r="L19" s="30"/>
      <c r="M19" s="30"/>
      <c r="N19" s="30"/>
      <c r="O19" s="17">
        <f>V19*$O$2</f>
        <v>5.3581852800000007</v>
      </c>
      <c r="P19" s="16">
        <f>F19+J19+N19</f>
        <v>10900</v>
      </c>
      <c r="Q19" s="15">
        <f>P19/1000</f>
        <v>10.9</v>
      </c>
      <c r="R19" s="14">
        <f>MAX(Q19,O19)</f>
        <v>10.9</v>
      </c>
      <c r="S19" s="50">
        <f>VLOOKUP(A19,[1]Index!$E:$M,8,)</f>
        <v>10252.115625886776</v>
      </c>
      <c r="T19" s="49">
        <f>S19-P19</f>
        <v>-647.88437411322411</v>
      </c>
      <c r="U19" s="48">
        <f>T19/S19</f>
        <v>-6.3195187974402517E-2</v>
      </c>
      <c r="V19" s="47">
        <f>(((C19*D19*E19)+(G19*H19*I19)+(K19*L19*M19))/1000000)*35.32</f>
        <v>0.89303088000000008</v>
      </c>
      <c r="W19" s="46">
        <f>Q19/V19</f>
        <v>12.20562496114356</v>
      </c>
      <c r="X19" s="1" t="s">
        <v>44</v>
      </c>
    </row>
    <row r="20" spans="1:24" ht="13.8" x14ac:dyDescent="0.3">
      <c r="A20" s="54" t="s">
        <v>278</v>
      </c>
      <c r="B20" s="53" t="s">
        <v>0</v>
      </c>
      <c r="C20" s="52">
        <v>123</v>
      </c>
      <c r="D20" s="52">
        <v>56</v>
      </c>
      <c r="E20" s="52">
        <v>5</v>
      </c>
      <c r="F20" s="52">
        <v>24490</v>
      </c>
      <c r="G20" s="31"/>
      <c r="H20" s="31"/>
      <c r="I20" s="31"/>
      <c r="J20" s="31"/>
      <c r="K20" s="30"/>
      <c r="L20" s="30"/>
      <c r="M20" s="30"/>
      <c r="N20" s="30"/>
      <c r="O20" s="17">
        <f>V20*$O$2</f>
        <v>7.2985247999999991</v>
      </c>
      <c r="P20" s="16">
        <f>F20+J20+N20</f>
        <v>24490</v>
      </c>
      <c r="Q20" s="15">
        <f>P20/1000</f>
        <v>24.49</v>
      </c>
      <c r="R20" s="14">
        <f>MAX(Q20,O20)</f>
        <v>24.49</v>
      </c>
      <c r="S20" s="50">
        <f>VLOOKUP(A20,[1]Index!$E:$M,8,)</f>
        <v>23784.663572799996</v>
      </c>
      <c r="T20" s="49">
        <f>S20-P20</f>
        <v>-705.33642720000353</v>
      </c>
      <c r="U20" s="48">
        <f>T20/S20</f>
        <v>-2.9655093713691294E-2</v>
      </c>
      <c r="V20" s="47">
        <f>(((C20*D20*E20)+(G20*H20*I20)+(K20*L20*M20))/1000000)*35.32</f>
        <v>1.2164207999999999</v>
      </c>
      <c r="W20" s="46">
        <f>Q20/V20</f>
        <v>20.132835610834672</v>
      </c>
      <c r="X20" s="1" t="s">
        <v>46</v>
      </c>
    </row>
    <row r="21" spans="1:24" ht="12.45" customHeight="1" x14ac:dyDescent="0.3">
      <c r="A21" s="54" t="s">
        <v>277</v>
      </c>
      <c r="B21" s="53" t="s">
        <v>0</v>
      </c>
      <c r="C21" s="52">
        <v>96</v>
      </c>
      <c r="D21" s="52">
        <v>44</v>
      </c>
      <c r="E21" s="52">
        <v>8</v>
      </c>
      <c r="F21" s="52">
        <v>11100</v>
      </c>
      <c r="G21" s="31"/>
      <c r="H21" s="31"/>
      <c r="I21" s="31"/>
      <c r="J21" s="31"/>
      <c r="K21" s="30"/>
      <c r="L21" s="30"/>
      <c r="M21" s="30"/>
      <c r="N21" s="30"/>
      <c r="O21" s="17">
        <f>V21*$O$2</f>
        <v>7.1612006400000006</v>
      </c>
      <c r="P21" s="16">
        <f>F21+J21+N21</f>
        <v>11100</v>
      </c>
      <c r="Q21" s="15">
        <f>P21/1000</f>
        <v>11.1</v>
      </c>
      <c r="R21" s="14">
        <f>MAX(Q21,O21)</f>
        <v>11.1</v>
      </c>
      <c r="S21" s="50">
        <f>VLOOKUP(A21,[1]Index!$E:$M,8,)</f>
        <v>13438.901661199998</v>
      </c>
      <c r="T21" s="49">
        <f>S21-P21</f>
        <v>2338.9016611999978</v>
      </c>
      <c r="U21" s="48">
        <f>T21/S21</f>
        <v>0.17403964402483399</v>
      </c>
      <c r="V21" s="47">
        <f>(((C21*D21*E21)+(G21*H21*I21)+(K21*L21*M21))/1000000)*35.32</f>
        <v>1.1935334400000002</v>
      </c>
      <c r="W21" s="46">
        <f>Q21/V21</f>
        <v>9.3001164676207129</v>
      </c>
      <c r="X21" s="1" t="s">
        <v>44</v>
      </c>
    </row>
    <row r="22" spans="1:24" ht="13.8" x14ac:dyDescent="0.3">
      <c r="A22" s="54" t="s">
        <v>276</v>
      </c>
      <c r="B22" s="53" t="s">
        <v>0</v>
      </c>
      <c r="C22" s="52">
        <v>111</v>
      </c>
      <c r="D22" s="52">
        <v>54</v>
      </c>
      <c r="E22" s="52">
        <v>8</v>
      </c>
      <c r="F22" s="52">
        <v>23800</v>
      </c>
      <c r="G22" s="31"/>
      <c r="H22" s="31"/>
      <c r="I22" s="31"/>
      <c r="J22" s="31"/>
      <c r="K22" s="30"/>
      <c r="L22" s="30"/>
      <c r="M22" s="30"/>
      <c r="N22" s="30"/>
      <c r="O22" s="17">
        <f>V22*$O$2</f>
        <v>10.161987840000002</v>
      </c>
      <c r="P22" s="16">
        <f>F22+J22+N22</f>
        <v>23800</v>
      </c>
      <c r="Q22" s="15">
        <f>P22/1000</f>
        <v>23.8</v>
      </c>
      <c r="R22" s="14">
        <f>MAX(Q22,O22)</f>
        <v>23.8</v>
      </c>
      <c r="S22" s="50">
        <f>VLOOKUP(A22,[1]Index!$E:$M,8,)</f>
        <v>21457</v>
      </c>
      <c r="T22" s="49">
        <f>S22-P22</f>
        <v>-2343</v>
      </c>
      <c r="U22" s="48">
        <f>T22/S22</f>
        <v>-0.10919513445495642</v>
      </c>
      <c r="V22" s="47">
        <f>(((C22*D22*E22)+(G22*H22*I22)+(K22*L22*M22))/1000000)*35.32</f>
        <v>1.6936646400000002</v>
      </c>
      <c r="W22" s="46">
        <f>Q22/V22</f>
        <v>14.052368714505368</v>
      </c>
      <c r="X22" s="1" t="s">
        <v>44</v>
      </c>
    </row>
    <row r="23" spans="1:24" ht="12.45" customHeight="1" x14ac:dyDescent="0.3">
      <c r="A23" s="54" t="s">
        <v>275</v>
      </c>
      <c r="B23" s="53" t="s">
        <v>0</v>
      </c>
      <c r="C23" s="52">
        <v>100</v>
      </c>
      <c r="D23" s="52">
        <v>50</v>
      </c>
      <c r="E23" s="52">
        <v>4</v>
      </c>
      <c r="F23" s="52">
        <v>7100</v>
      </c>
      <c r="G23" s="31"/>
      <c r="H23" s="31"/>
      <c r="I23" s="31"/>
      <c r="J23" s="31"/>
      <c r="K23" s="30"/>
      <c r="L23" s="30"/>
      <c r="M23" s="30"/>
      <c r="N23" s="30"/>
      <c r="O23" s="17">
        <f>V23*$O$2</f>
        <v>4.2384000000000004</v>
      </c>
      <c r="P23" s="16">
        <f>F23+J23+N23</f>
        <v>7100</v>
      </c>
      <c r="Q23" s="15">
        <f>P23/1000</f>
        <v>7.1</v>
      </c>
      <c r="R23" s="14">
        <f>MAX(Q23,O23)</f>
        <v>7.1</v>
      </c>
      <c r="S23" s="50">
        <f>VLOOKUP(A23,[1]Index!$E:$M,8,)</f>
        <v>5381.720965999999</v>
      </c>
      <c r="T23" s="49">
        <f>S23-P23</f>
        <v>-1718.279034000001</v>
      </c>
      <c r="U23" s="48">
        <f>T23/S23</f>
        <v>-0.3192805879114769</v>
      </c>
      <c r="V23" s="47">
        <f>(((C23*D23*E23)+(G23*H23*I23)+(K23*L23*M23))/1000000)*35.32</f>
        <v>0.70640000000000003</v>
      </c>
      <c r="W23" s="46">
        <f>Q23/V23</f>
        <v>10.050962627406568</v>
      </c>
      <c r="X23" s="1" t="s">
        <v>44</v>
      </c>
    </row>
    <row r="24" spans="1:24" ht="13.8" x14ac:dyDescent="0.3">
      <c r="A24" s="54" t="s">
        <v>274</v>
      </c>
      <c r="B24" s="53" t="s">
        <v>0</v>
      </c>
      <c r="C24" s="52">
        <v>100</v>
      </c>
      <c r="D24" s="52">
        <v>50</v>
      </c>
      <c r="E24" s="52">
        <v>4</v>
      </c>
      <c r="F24" s="52">
        <v>11550</v>
      </c>
      <c r="G24" s="31"/>
      <c r="H24" s="31"/>
      <c r="I24" s="31"/>
      <c r="J24" s="31"/>
      <c r="K24" s="30"/>
      <c r="L24" s="30"/>
      <c r="M24" s="30"/>
      <c r="N24" s="30"/>
      <c r="O24" s="17">
        <f>V24*$O$2</f>
        <v>4.2384000000000004</v>
      </c>
      <c r="P24" s="16">
        <f>F24+J24+N24</f>
        <v>11550</v>
      </c>
      <c r="Q24" s="15">
        <f>P24/1000</f>
        <v>11.55</v>
      </c>
      <c r="R24" s="14">
        <f>MAX(Q24,O24)</f>
        <v>11.55</v>
      </c>
      <c r="S24" s="50">
        <f>VLOOKUP(A24,[1]Index!$E:$M,8,)</f>
        <v>9982.9279925279989</v>
      </c>
      <c r="T24" s="49">
        <f>S24-P24</f>
        <v>-1567.0720074720011</v>
      </c>
      <c r="U24" s="48">
        <f>T24/S24</f>
        <v>-0.15697518890699402</v>
      </c>
      <c r="V24" s="47">
        <f>(((C24*D24*E24)+(G24*H24*I24)+(K24*L24*M24))/1000000)*35.32</f>
        <v>0.70640000000000003</v>
      </c>
      <c r="W24" s="46">
        <f>Q24/V24</f>
        <v>16.350509626274064</v>
      </c>
      <c r="X24" s="1" t="s">
        <v>44</v>
      </c>
    </row>
    <row r="25" spans="1:24" ht="12.45" customHeight="1" x14ac:dyDescent="0.3">
      <c r="A25" s="54" t="s">
        <v>273</v>
      </c>
      <c r="B25" s="53" t="s">
        <v>0</v>
      </c>
      <c r="C25" s="52">
        <v>77</v>
      </c>
      <c r="D25" s="52">
        <v>77</v>
      </c>
      <c r="E25" s="52">
        <v>4</v>
      </c>
      <c r="F25" s="52">
        <v>8050</v>
      </c>
      <c r="G25" s="31"/>
      <c r="H25" s="31"/>
      <c r="I25" s="31"/>
      <c r="J25" s="31"/>
      <c r="K25" s="30"/>
      <c r="L25" s="30"/>
      <c r="M25" s="30"/>
      <c r="N25" s="30"/>
      <c r="O25" s="17">
        <f>V25*$O$2</f>
        <v>5.0258947200000001</v>
      </c>
      <c r="P25" s="16">
        <f>F25+J25+N25</f>
        <v>8050</v>
      </c>
      <c r="Q25" s="15">
        <f>P25/1000</f>
        <v>8.0500000000000007</v>
      </c>
      <c r="R25" s="14">
        <f>MAX(Q25,O25)</f>
        <v>8.0500000000000007</v>
      </c>
      <c r="S25" s="50">
        <f>VLOOKUP(A25,[1]Index!$E:$M,8,)</f>
        <v>6253.3720399999993</v>
      </c>
      <c r="T25" s="49">
        <f>S25-P25</f>
        <v>-1796.6279600000007</v>
      </c>
      <c r="U25" s="48">
        <f>T25/S25</f>
        <v>-0.28730546471692109</v>
      </c>
      <c r="V25" s="47">
        <f>(((C25*D25*E25)+(G25*H25*I25)+(K25*L25*M25))/1000000)*35.32</f>
        <v>0.83764912000000002</v>
      </c>
      <c r="W25" s="46">
        <f>Q25/V25</f>
        <v>9.6102291613462221</v>
      </c>
      <c r="X25" s="1" t="s">
        <v>44</v>
      </c>
    </row>
    <row r="26" spans="1:24" ht="13.8" x14ac:dyDescent="0.3">
      <c r="A26" s="54" t="s">
        <v>272</v>
      </c>
      <c r="B26" s="53" t="s">
        <v>0</v>
      </c>
      <c r="C26" s="52">
        <v>79</v>
      </c>
      <c r="D26" s="52">
        <v>78</v>
      </c>
      <c r="E26" s="52">
        <v>4</v>
      </c>
      <c r="F26" s="52">
        <v>8100</v>
      </c>
      <c r="G26" s="31"/>
      <c r="H26" s="31"/>
      <c r="I26" s="31"/>
      <c r="J26" s="31"/>
      <c r="K26" s="30"/>
      <c r="L26" s="30"/>
      <c r="M26" s="30"/>
      <c r="N26" s="30"/>
      <c r="O26" s="17">
        <f>V26*$O$2</f>
        <v>5.2234041600000003</v>
      </c>
      <c r="P26" s="16">
        <f>F26+J26+N26</f>
        <v>8100</v>
      </c>
      <c r="Q26" s="15">
        <f>P26/1000</f>
        <v>8.1</v>
      </c>
      <c r="R26" s="14">
        <f>MAX(Q26,O26)</f>
        <v>8.1</v>
      </c>
      <c r="S26" s="50">
        <f>VLOOKUP(A26,[1]Index!$E:$M,8,)</f>
        <v>11175.414393220339</v>
      </c>
      <c r="T26" s="49">
        <f>S26-P26</f>
        <v>3075.4143932203388</v>
      </c>
      <c r="U26" s="48">
        <f>T26/S26</f>
        <v>0.27519466258773057</v>
      </c>
      <c r="V26" s="47">
        <f>(((C26*D26*E26)+(G26*H26*I26)+(K26*L26*M26))/1000000)*35.32</f>
        <v>0.87056736000000001</v>
      </c>
      <c r="W26" s="46">
        <f>Q26/V26</f>
        <v>9.3042771555322261</v>
      </c>
      <c r="X26" s="1" t="s">
        <v>46</v>
      </c>
    </row>
    <row r="27" spans="1:24" ht="12.45" customHeight="1" x14ac:dyDescent="0.3">
      <c r="A27" s="54" t="s">
        <v>61</v>
      </c>
      <c r="B27" s="53" t="s">
        <v>0</v>
      </c>
      <c r="C27" s="52">
        <v>95</v>
      </c>
      <c r="D27" s="52">
        <v>45</v>
      </c>
      <c r="E27" s="52">
        <v>8</v>
      </c>
      <c r="F27" s="52">
        <v>14500</v>
      </c>
      <c r="G27" s="31"/>
      <c r="H27" s="31"/>
      <c r="I27" s="31"/>
      <c r="J27" s="31"/>
      <c r="K27" s="30"/>
      <c r="L27" s="30"/>
      <c r="M27" s="30"/>
      <c r="N27" s="30"/>
      <c r="O27" s="17">
        <f>V27*$O$2</f>
        <v>7.2476640000000003</v>
      </c>
      <c r="P27" s="16">
        <f>F27+J27+N27</f>
        <v>14500</v>
      </c>
      <c r="Q27" s="15">
        <f>P27/1000</f>
        <v>14.5</v>
      </c>
      <c r="R27" s="14">
        <f>MAX(Q27,O27)</f>
        <v>14.5</v>
      </c>
      <c r="S27" s="50">
        <f>VLOOKUP(A27,[1]Index!$E:$M,8,)</f>
        <v>523.71019282237501</v>
      </c>
      <c r="T27" s="49">
        <f>S27-P27</f>
        <v>-13976.289807177625</v>
      </c>
      <c r="U27" s="48">
        <f>T27/S27</f>
        <v>-26.687068532801913</v>
      </c>
      <c r="V27" s="47">
        <f>(((C27*D27*E27)+(G27*H27*I27)+(K27*L27*M27))/1000000)*35.32</f>
        <v>1.2079440000000001</v>
      </c>
      <c r="W27" s="46">
        <f>Q27/V27</f>
        <v>12.003867728967567</v>
      </c>
      <c r="X27" s="1" t="s">
        <v>46</v>
      </c>
    </row>
    <row r="28" spans="1:24" ht="13.8" x14ac:dyDescent="0.3">
      <c r="A28" s="54" t="s">
        <v>271</v>
      </c>
      <c r="B28" s="53" t="s">
        <v>0</v>
      </c>
      <c r="C28" s="52">
        <v>81</v>
      </c>
      <c r="D28" s="52">
        <v>81</v>
      </c>
      <c r="E28" s="52">
        <v>8</v>
      </c>
      <c r="F28" s="52">
        <v>21508</v>
      </c>
      <c r="G28" s="31"/>
      <c r="H28" s="31"/>
      <c r="I28" s="31"/>
      <c r="J28" s="31"/>
      <c r="K28" s="30"/>
      <c r="L28" s="30"/>
      <c r="M28" s="30"/>
      <c r="N28" s="30"/>
      <c r="O28" s="17">
        <f>V28*$O$2</f>
        <v>11.123256959999999</v>
      </c>
      <c r="P28" s="16">
        <f>F28+J28+N28</f>
        <v>21508</v>
      </c>
      <c r="Q28" s="15">
        <f>P28/1000</f>
        <v>21.507999999999999</v>
      </c>
      <c r="R28" s="14">
        <f>MAX(Q28,O28)</f>
        <v>21.507999999999999</v>
      </c>
      <c r="S28" s="50">
        <f>VLOOKUP(A28,[1]Index!$E:$M,8,)</f>
        <v>19715.41320382609</v>
      </c>
      <c r="T28" s="49">
        <f>S28-P28</f>
        <v>-1792.5867961739095</v>
      </c>
      <c r="U28" s="48">
        <f>T28/S28</f>
        <v>-9.0923115718722525E-2</v>
      </c>
      <c r="V28" s="47">
        <f>(((C28*D28*E28)+(G28*H28*I28)+(K28*L28*M28))/1000000)*35.32</f>
        <v>1.85387616</v>
      </c>
      <c r="W28" s="46">
        <f>Q28/V28</f>
        <v>11.601637943280958</v>
      </c>
      <c r="X28" s="1" t="s">
        <v>44</v>
      </c>
    </row>
    <row r="29" spans="1:24" ht="12.45" customHeight="1" x14ac:dyDescent="0.3">
      <c r="A29" s="54" t="s">
        <v>270</v>
      </c>
      <c r="B29" s="53" t="s">
        <v>0</v>
      </c>
      <c r="C29" s="52">
        <v>97</v>
      </c>
      <c r="D29" s="52">
        <v>45</v>
      </c>
      <c r="E29" s="52">
        <v>8</v>
      </c>
      <c r="F29" s="52">
        <v>12200</v>
      </c>
      <c r="G29" s="31"/>
      <c r="H29" s="31"/>
      <c r="I29" s="31"/>
      <c r="J29" s="31"/>
      <c r="K29" s="30"/>
      <c r="L29" s="30"/>
      <c r="M29" s="30"/>
      <c r="N29" s="30"/>
      <c r="O29" s="17">
        <f>V29*$O$2</f>
        <v>7.4002464000000003</v>
      </c>
      <c r="P29" s="16">
        <f>F29+J29+N29</f>
        <v>12200</v>
      </c>
      <c r="Q29" s="15">
        <f>P29/1000</f>
        <v>12.2</v>
      </c>
      <c r="R29" s="14">
        <f>MAX(Q29,O29)</f>
        <v>12.2</v>
      </c>
      <c r="S29" s="50">
        <f>VLOOKUP(A29,[1]Index!$E:$M,8,)</f>
        <v>11643.574449332853</v>
      </c>
      <c r="T29" s="49">
        <f>S29-P29</f>
        <v>-556.42555066714704</v>
      </c>
      <c r="U29" s="48">
        <f>T29/S29</f>
        <v>-4.7788207400436968E-2</v>
      </c>
      <c r="V29" s="47">
        <f>(((C29*D29*E29)+(G29*H29*I29)+(K29*L29*M29))/1000000)*35.32</f>
        <v>1.2333744</v>
      </c>
      <c r="W29" s="46">
        <f>Q29/V29</f>
        <v>9.8915625295936085</v>
      </c>
      <c r="X29" s="1" t="s">
        <v>46</v>
      </c>
    </row>
    <row r="30" spans="1:24" ht="13.8" x14ac:dyDescent="0.3">
      <c r="A30" s="54" t="s">
        <v>269</v>
      </c>
      <c r="B30" s="53" t="s">
        <v>0</v>
      </c>
      <c r="C30" s="52">
        <v>104</v>
      </c>
      <c r="D30" s="52">
        <v>60</v>
      </c>
      <c r="E30" s="52">
        <v>7</v>
      </c>
      <c r="F30" s="52">
        <v>17700</v>
      </c>
      <c r="G30" s="31"/>
      <c r="H30" s="31"/>
      <c r="I30" s="31"/>
      <c r="J30" s="31"/>
      <c r="K30" s="30"/>
      <c r="L30" s="30"/>
      <c r="M30" s="30"/>
      <c r="N30" s="30"/>
      <c r="O30" s="17">
        <f>V30*$O$2</f>
        <v>9.2566655999999998</v>
      </c>
      <c r="P30" s="16">
        <f>F30+J30+N30</f>
        <v>17700</v>
      </c>
      <c r="Q30" s="15">
        <f>P30/1000</f>
        <v>17.7</v>
      </c>
      <c r="R30" s="14">
        <f>MAX(Q30,O30)</f>
        <v>17.7</v>
      </c>
      <c r="S30" s="50">
        <f>VLOOKUP(A30,[1]Index!$E:$M,8,)</f>
        <v>18903.911097599997</v>
      </c>
      <c r="T30" s="49">
        <f>S30-P30</f>
        <v>1203.9110975999974</v>
      </c>
      <c r="U30" s="48">
        <f>T30/S30</f>
        <v>6.3685820959708359E-2</v>
      </c>
      <c r="V30" s="47">
        <f>(((C30*D30*E30)+(G30*H30*I30)+(K30*L30*M30))/1000000)*35.32</f>
        <v>1.5427776</v>
      </c>
      <c r="W30" s="46">
        <f>Q30/V30</f>
        <v>11.4728137095068</v>
      </c>
      <c r="X30" s="1" t="s">
        <v>46</v>
      </c>
    </row>
    <row r="31" spans="1:24" ht="12.45" customHeight="1" x14ac:dyDescent="0.3">
      <c r="A31" s="54" t="s">
        <v>268</v>
      </c>
      <c r="B31" s="53" t="s">
        <v>0</v>
      </c>
      <c r="C31" s="52">
        <v>85</v>
      </c>
      <c r="D31" s="52">
        <v>84</v>
      </c>
      <c r="E31" s="52">
        <v>6</v>
      </c>
      <c r="F31" s="52">
        <v>17400</v>
      </c>
      <c r="G31" s="31"/>
      <c r="H31" s="31"/>
      <c r="I31" s="31"/>
      <c r="J31" s="31"/>
      <c r="K31" s="30"/>
      <c r="L31" s="30"/>
      <c r="M31" s="30"/>
      <c r="N31" s="30"/>
      <c r="O31" s="17">
        <f>V31*$O$2</f>
        <v>9.0786528000000004</v>
      </c>
      <c r="P31" s="16">
        <f>F31+J31+N31</f>
        <v>17400</v>
      </c>
      <c r="Q31" s="15">
        <f>P31/1000</f>
        <v>17.399999999999999</v>
      </c>
      <c r="R31" s="14">
        <f>MAX(Q31,O31)</f>
        <v>17.399999999999999</v>
      </c>
      <c r="S31" s="50">
        <f>VLOOKUP(A31,[1]Index!$E:$M,8,)</f>
        <v>18992.417888</v>
      </c>
      <c r="T31" s="49">
        <f>S31-P31</f>
        <v>1592.4178879999999</v>
      </c>
      <c r="U31" s="48">
        <f>T31/S31</f>
        <v>8.3844926822410487E-2</v>
      </c>
      <c r="V31" s="47">
        <f>(((C31*D31*E31)+(G31*H31*I31)+(K31*L31*M31))/1000000)*35.32</f>
        <v>1.5131088000000001</v>
      </c>
      <c r="W31" s="46">
        <f>Q31/V31</f>
        <v>11.49950353867481</v>
      </c>
      <c r="X31" s="1" t="s">
        <v>46</v>
      </c>
    </row>
    <row r="32" spans="1:24" ht="13.8" x14ac:dyDescent="0.3">
      <c r="A32" s="54" t="s">
        <v>267</v>
      </c>
      <c r="B32" s="53" t="s">
        <v>97</v>
      </c>
      <c r="C32" s="52">
        <v>70</v>
      </c>
      <c r="D32" s="52">
        <v>68</v>
      </c>
      <c r="E32" s="52">
        <v>3</v>
      </c>
      <c r="F32" s="52">
        <v>4300</v>
      </c>
      <c r="G32" s="31">
        <v>51</v>
      </c>
      <c r="H32" s="31">
        <v>12</v>
      </c>
      <c r="I32" s="31">
        <v>10</v>
      </c>
      <c r="J32" s="31">
        <v>1500</v>
      </c>
      <c r="K32" s="30"/>
      <c r="L32" s="30"/>
      <c r="M32" s="30"/>
      <c r="N32" s="30"/>
      <c r="O32" s="17">
        <f>V32*$O$2</f>
        <v>4.3231680000000008</v>
      </c>
      <c r="P32" s="16">
        <f>F32+J32+N32</f>
        <v>5800</v>
      </c>
      <c r="Q32" s="15">
        <f>P32/1000</f>
        <v>5.8</v>
      </c>
      <c r="R32" s="14">
        <f>MAX(Q32,O32)</f>
        <v>5.8</v>
      </c>
      <c r="S32" s="50">
        <f>VLOOKUP(A32,[1]Index!$E:$M,8,)</f>
        <v>4517.9190004799993</v>
      </c>
      <c r="T32" s="49">
        <f>S32-P32</f>
        <v>-1282.0809995200007</v>
      </c>
      <c r="U32" s="48">
        <f>T32/S32</f>
        <v>-0.28377688917924115</v>
      </c>
      <c r="V32" s="47">
        <f>(((C32*D32*E32)+(G32*H32*I32)+(K32*L32*M32))/1000000)*35.32</f>
        <v>0.72052800000000006</v>
      </c>
      <c r="W32" s="46">
        <f>Q32/V32</f>
        <v>8.0496524770723674</v>
      </c>
      <c r="X32" s="1" t="s">
        <v>44</v>
      </c>
    </row>
    <row r="33" spans="1:24" ht="13.8" x14ac:dyDescent="0.3">
      <c r="A33" s="54" t="s">
        <v>266</v>
      </c>
      <c r="B33" s="53" t="s">
        <v>97</v>
      </c>
      <c r="C33" s="52">
        <v>86</v>
      </c>
      <c r="D33" s="52">
        <v>46</v>
      </c>
      <c r="E33" s="52">
        <v>5</v>
      </c>
      <c r="F33" s="52">
        <v>4700</v>
      </c>
      <c r="G33" s="31">
        <v>51</v>
      </c>
      <c r="H33" s="31">
        <v>12</v>
      </c>
      <c r="I33" s="31">
        <v>10</v>
      </c>
      <c r="J33" s="31">
        <v>1500</v>
      </c>
      <c r="K33" s="30"/>
      <c r="L33" s="30"/>
      <c r="M33" s="30"/>
      <c r="N33" s="30"/>
      <c r="O33" s="17">
        <f>V33*$O$2</f>
        <v>5.4887280000000001</v>
      </c>
      <c r="P33" s="16">
        <f>F33+J33+N33</f>
        <v>6200</v>
      </c>
      <c r="Q33" s="15">
        <f>P33/1000</f>
        <v>6.2</v>
      </c>
      <c r="R33" s="14">
        <f>MAX(Q33,O33)</f>
        <v>6.2</v>
      </c>
      <c r="S33" s="50">
        <f>VLOOKUP(A33,[1]Index!$E:$M,8,)</f>
        <v>3843.35032</v>
      </c>
      <c r="T33" s="49">
        <f>S33-P33</f>
        <v>-2356.64968</v>
      </c>
      <c r="U33" s="48">
        <f>T33/S33</f>
        <v>-0.61317587099372195</v>
      </c>
      <c r="V33" s="47">
        <f>(((C33*D33*E33)+(G33*H33*I33)+(K33*L33*M33))/1000000)*35.32</f>
        <v>0.91478799999999993</v>
      </c>
      <c r="W33" s="46">
        <f>Q33/V33</f>
        <v>6.777526596326144</v>
      </c>
      <c r="X33" s="1" t="s">
        <v>44</v>
      </c>
    </row>
    <row r="34" spans="1:24" ht="13.8" x14ac:dyDescent="0.3">
      <c r="A34" s="54" t="s">
        <v>265</v>
      </c>
      <c r="B34" s="53" t="s">
        <v>97</v>
      </c>
      <c r="C34" s="52">
        <v>100</v>
      </c>
      <c r="D34" s="52">
        <v>50</v>
      </c>
      <c r="E34" s="52">
        <v>4</v>
      </c>
      <c r="F34" s="52">
        <v>8900</v>
      </c>
      <c r="G34" s="31">
        <v>51</v>
      </c>
      <c r="H34" s="31">
        <v>12</v>
      </c>
      <c r="I34" s="31">
        <v>10</v>
      </c>
      <c r="J34" s="31">
        <v>1500</v>
      </c>
      <c r="K34" s="30"/>
      <c r="L34" s="30"/>
      <c r="M34" s="30"/>
      <c r="N34" s="30"/>
      <c r="O34" s="17">
        <f>V34*$O$2</f>
        <v>5.5353504000000004</v>
      </c>
      <c r="P34" s="16">
        <f>F34+J34+N34</f>
        <v>10400</v>
      </c>
      <c r="Q34" s="15">
        <f>P34/1000</f>
        <v>10.4</v>
      </c>
      <c r="R34" s="14">
        <f>MAX(Q34,O34)</f>
        <v>10.4</v>
      </c>
      <c r="S34" s="50">
        <f>VLOOKUP(A34,[1]Index!$E:$M,8,)</f>
        <v>5208.6044400000001</v>
      </c>
      <c r="T34" s="49">
        <f>S34-P34</f>
        <v>-5191.3955599999999</v>
      </c>
      <c r="U34" s="48">
        <f>T34/S34</f>
        <v>-0.99669606701790547</v>
      </c>
      <c r="V34" s="47">
        <f>(((C34*D34*E34)+(G34*H34*I34)+(K34*L34*M34))/1000000)*35.32</f>
        <v>0.9225584</v>
      </c>
      <c r="W34" s="46">
        <f>Q34/V34</f>
        <v>11.272999086019921</v>
      </c>
      <c r="X34" s="1" t="s">
        <v>240</v>
      </c>
    </row>
    <row r="35" spans="1:24" ht="13.8" x14ac:dyDescent="0.3">
      <c r="A35" s="54" t="s">
        <v>264</v>
      </c>
      <c r="B35" s="53" t="s">
        <v>0</v>
      </c>
      <c r="C35" s="52">
        <v>85</v>
      </c>
      <c r="D35" s="52">
        <v>45</v>
      </c>
      <c r="E35" s="52">
        <v>6</v>
      </c>
      <c r="F35" s="52">
        <v>10700</v>
      </c>
      <c r="G35" s="31">
        <v>51</v>
      </c>
      <c r="H35" s="31">
        <v>12</v>
      </c>
      <c r="I35" s="31">
        <v>10</v>
      </c>
      <c r="J35" s="31">
        <v>1500</v>
      </c>
      <c r="K35" s="30"/>
      <c r="L35" s="30"/>
      <c r="M35" s="30"/>
      <c r="N35" s="30"/>
      <c r="O35" s="17">
        <f>V35*$O$2</f>
        <v>6.1605143999999994</v>
      </c>
      <c r="P35" s="16">
        <f>F35+J35+N35</f>
        <v>12200</v>
      </c>
      <c r="Q35" s="15">
        <f>P35/1000</f>
        <v>12.2</v>
      </c>
      <c r="R35" s="14">
        <f>MAX(Q35,O35)</f>
        <v>12.2</v>
      </c>
      <c r="S35" s="50">
        <f>VLOOKUP(A35,[1]Index!$E:$M,8,)</f>
        <v>10756.615912551324</v>
      </c>
      <c r="T35" s="49">
        <f>S35-P35</f>
        <v>-1443.3840874486759</v>
      </c>
      <c r="U35" s="48">
        <f>T35/S35</f>
        <v>-0.13418570479628891</v>
      </c>
      <c r="V35" s="47">
        <f>(((C35*D35*E35)+(G35*H35*I35)+(K35*L35*M35))/1000000)*35.32</f>
        <v>1.0267523999999999</v>
      </c>
      <c r="W35" s="46">
        <f>Q35/V35</f>
        <v>11.882124648552075</v>
      </c>
      <c r="X35" s="1" t="s">
        <v>240</v>
      </c>
    </row>
    <row r="36" spans="1:24" ht="13.8" x14ac:dyDescent="0.3">
      <c r="A36" s="54" t="s">
        <v>263</v>
      </c>
      <c r="B36" s="53" t="s">
        <v>0</v>
      </c>
      <c r="C36" s="52">
        <v>76</v>
      </c>
      <c r="D36" s="52">
        <v>76</v>
      </c>
      <c r="E36" s="52">
        <v>6</v>
      </c>
      <c r="F36" s="52">
        <v>13560</v>
      </c>
      <c r="G36" s="31"/>
      <c r="H36" s="31"/>
      <c r="I36" s="31"/>
      <c r="J36" s="31"/>
      <c r="K36" s="30"/>
      <c r="L36" s="30"/>
      <c r="M36" s="30"/>
      <c r="N36" s="30"/>
      <c r="O36" s="17">
        <f>V36*$O$2</f>
        <v>7.3442995199999999</v>
      </c>
      <c r="P36" s="16">
        <f>F36+J36+N36</f>
        <v>13560</v>
      </c>
      <c r="Q36" s="15">
        <f>P36/1000</f>
        <v>13.56</v>
      </c>
      <c r="R36" s="14">
        <f>MAX(Q36,O36)</f>
        <v>13.56</v>
      </c>
      <c r="S36" s="50">
        <f>VLOOKUP(A36,[1]Index!$E:$M,8,)</f>
        <v>14621.767223440002</v>
      </c>
      <c r="T36" s="49">
        <f>S36-P36</f>
        <v>1061.7672234400015</v>
      </c>
      <c r="U36" s="48">
        <f>T36/S36</f>
        <v>7.2615519534320966E-2</v>
      </c>
      <c r="V36" s="47">
        <f>(((C36*D36*E36)+(G36*H36*I36)+(K36*L36*M36))/1000000)*35.32</f>
        <v>1.2240499199999999</v>
      </c>
      <c r="W36" s="46">
        <f>Q36/V36</f>
        <v>11.077979564755008</v>
      </c>
      <c r="X36" s="1" t="s">
        <v>240</v>
      </c>
    </row>
    <row r="37" spans="1:24" ht="13.8" x14ac:dyDescent="0.3">
      <c r="A37" s="54" t="s">
        <v>262</v>
      </c>
      <c r="B37" s="53" t="s">
        <v>0</v>
      </c>
      <c r="C37" s="52">
        <v>85</v>
      </c>
      <c r="D37" s="52">
        <v>48</v>
      </c>
      <c r="E37" s="52">
        <v>8</v>
      </c>
      <c r="F37" s="52">
        <v>11500</v>
      </c>
      <c r="G37" s="31"/>
      <c r="H37" s="31"/>
      <c r="I37" s="31"/>
      <c r="J37" s="31"/>
      <c r="K37" s="30"/>
      <c r="L37" s="30"/>
      <c r="M37" s="30"/>
      <c r="N37" s="30"/>
      <c r="O37" s="17">
        <f>V37*$O$2</f>
        <v>6.9170688</v>
      </c>
      <c r="P37" s="16">
        <f>F37+J37+N37</f>
        <v>11500</v>
      </c>
      <c r="Q37" s="15">
        <f>P37/1000</f>
        <v>11.5</v>
      </c>
      <c r="R37" s="14">
        <f>MAX(Q37,O37)</f>
        <v>11.5</v>
      </c>
      <c r="S37" s="50">
        <f>VLOOKUP(A37,[1]Index!$E:$M,8,)</f>
        <v>11287.168901329636</v>
      </c>
      <c r="T37" s="49">
        <f>S37-P37</f>
        <v>-212.83109867036364</v>
      </c>
      <c r="U37" s="48">
        <f>T37/S37</f>
        <v>-1.8856021428481681E-2</v>
      </c>
      <c r="V37" s="47">
        <f>(((C37*D37*E37)+(G37*H37*I37)+(K37*L37*M37))/1000000)*35.32</f>
        <v>1.1528448</v>
      </c>
      <c r="W37" s="46">
        <f>Q37/V37</f>
        <v>9.9753236515444232</v>
      </c>
      <c r="X37" s="1" t="s">
        <v>46</v>
      </c>
    </row>
    <row r="38" spans="1:24" ht="13.8" x14ac:dyDescent="0.3">
      <c r="A38" s="54" t="s">
        <v>261</v>
      </c>
      <c r="B38" s="53" t="s">
        <v>0</v>
      </c>
      <c r="C38" s="52">
        <v>105</v>
      </c>
      <c r="D38" s="52">
        <v>65</v>
      </c>
      <c r="E38" s="52">
        <v>4</v>
      </c>
      <c r="F38" s="52">
        <v>96400</v>
      </c>
      <c r="G38" s="31"/>
      <c r="H38" s="31"/>
      <c r="I38" s="31"/>
      <c r="J38" s="31"/>
      <c r="K38" s="30"/>
      <c r="L38" s="30"/>
      <c r="M38" s="30"/>
      <c r="N38" s="30"/>
      <c r="O38" s="17">
        <f>V38*$O$2</f>
        <v>5.7854160000000006</v>
      </c>
      <c r="P38" s="16">
        <f>F38+J38+N38</f>
        <v>96400</v>
      </c>
      <c r="Q38" s="15">
        <f>P38/1000</f>
        <v>96.4</v>
      </c>
      <c r="R38" s="14">
        <f>MAX(Q38,O38)</f>
        <v>96.4</v>
      </c>
      <c r="S38" s="50">
        <f>VLOOKUP(A38,[1]Index!$E:$M,8,)</f>
        <v>8466.6325268890414</v>
      </c>
      <c r="T38" s="49">
        <f>S38-P38</f>
        <v>-87933.367473110964</v>
      </c>
      <c r="U38" s="48">
        <f>T38/S38</f>
        <v>-10.385872682420644</v>
      </c>
      <c r="V38" s="47">
        <f>(((C38*D38*E38)+(G38*H38*I38)+(K38*L38*M38))/1000000)*35.32</f>
        <v>0.96423600000000009</v>
      </c>
      <c r="W38" s="46">
        <f>Q38/V38</f>
        <v>99.975524664086379</v>
      </c>
      <c r="X38" s="1" t="s">
        <v>46</v>
      </c>
    </row>
    <row r="39" spans="1:24" ht="12.45" customHeight="1" x14ac:dyDescent="0.3">
      <c r="A39" s="54" t="s">
        <v>260</v>
      </c>
      <c r="B39" s="53" t="s">
        <v>0</v>
      </c>
      <c r="C39" s="52">
        <v>100</v>
      </c>
      <c r="D39" s="52">
        <v>50</v>
      </c>
      <c r="E39" s="52">
        <v>5</v>
      </c>
      <c r="F39" s="52">
        <v>8800</v>
      </c>
      <c r="G39" s="31"/>
      <c r="H39" s="31"/>
      <c r="I39" s="31"/>
      <c r="J39" s="31"/>
      <c r="K39" s="30"/>
      <c r="L39" s="30"/>
      <c r="M39" s="30"/>
      <c r="N39" s="30"/>
      <c r="O39" s="17">
        <f>V39*$O$2</f>
        <v>5.298</v>
      </c>
      <c r="P39" s="16">
        <f>F39+J39+N39</f>
        <v>8800</v>
      </c>
      <c r="Q39" s="15">
        <f>P39/1000</f>
        <v>8.8000000000000007</v>
      </c>
      <c r="R39" s="14">
        <f>MAX(Q39,O39)</f>
        <v>8.8000000000000007</v>
      </c>
      <c r="S39" s="50">
        <f>VLOOKUP(A39,[1]Index!$E:$M,8,)</f>
        <v>8494.1627246324952</v>
      </c>
      <c r="T39" s="49">
        <f>S39-P39</f>
        <v>-305.83727536750484</v>
      </c>
      <c r="U39" s="48">
        <f>T39/S39</f>
        <v>-3.6005582337220537E-2</v>
      </c>
      <c r="V39" s="47">
        <f>(((C39*D39*E39)+(G39*H39*I39)+(K39*L39*M39))/1000000)*35.32</f>
        <v>0.88300000000000001</v>
      </c>
      <c r="W39" s="46">
        <f>Q39/V39</f>
        <v>9.9660249150622882</v>
      </c>
      <c r="X39" s="1" t="s">
        <v>46</v>
      </c>
    </row>
    <row r="40" spans="1:24" ht="13.8" x14ac:dyDescent="0.3">
      <c r="A40" s="54" t="s">
        <v>259</v>
      </c>
      <c r="B40" s="53" t="s">
        <v>0</v>
      </c>
      <c r="C40" s="52">
        <v>79</v>
      </c>
      <c r="D40" s="52">
        <v>66</v>
      </c>
      <c r="E40" s="52">
        <v>8</v>
      </c>
      <c r="F40" s="52">
        <v>11800</v>
      </c>
      <c r="G40" s="31"/>
      <c r="H40" s="31"/>
      <c r="I40" s="31"/>
      <c r="J40" s="31"/>
      <c r="K40" s="30"/>
      <c r="L40" s="30"/>
      <c r="M40" s="30"/>
      <c r="N40" s="30"/>
      <c r="O40" s="17">
        <f>V40*$O$2</f>
        <v>8.8396070399999989</v>
      </c>
      <c r="P40" s="16">
        <f>F40+J40+N40</f>
        <v>11800</v>
      </c>
      <c r="Q40" s="15">
        <f>P40/1000</f>
        <v>11.8</v>
      </c>
      <c r="R40" s="14">
        <f>MAX(Q40,O40)</f>
        <v>11.8</v>
      </c>
      <c r="S40" s="50">
        <f>VLOOKUP(A40,[1]Index!$E:$M,8,)</f>
        <v>11447.543830796587</v>
      </c>
      <c r="T40" s="49">
        <f>S40-P40</f>
        <v>-352.45616920341308</v>
      </c>
      <c r="U40" s="48">
        <f>T40/S40</f>
        <v>-3.0788802769658154E-2</v>
      </c>
      <c r="V40" s="47">
        <f>(((C40*D40*E40)+(G40*H40*I40)+(K40*L40*M40))/1000000)*35.32</f>
        <v>1.4732678399999999</v>
      </c>
      <c r="W40" s="46">
        <f>Q40/V40</f>
        <v>8.0094058117769009</v>
      </c>
      <c r="X40" s="1" t="s">
        <v>240</v>
      </c>
    </row>
    <row r="41" spans="1:24" ht="12.45" customHeight="1" x14ac:dyDescent="0.3">
      <c r="A41" s="54" t="s">
        <v>258</v>
      </c>
      <c r="B41" s="53" t="s">
        <v>0</v>
      </c>
      <c r="C41" s="52">
        <v>97</v>
      </c>
      <c r="D41" s="52">
        <v>45</v>
      </c>
      <c r="E41" s="52">
        <v>8</v>
      </c>
      <c r="F41" s="52">
        <v>12200</v>
      </c>
      <c r="G41" s="31"/>
      <c r="H41" s="31"/>
      <c r="I41" s="31"/>
      <c r="J41" s="31"/>
      <c r="K41" s="30"/>
      <c r="L41" s="30"/>
      <c r="M41" s="30"/>
      <c r="N41" s="30"/>
      <c r="O41" s="17">
        <f>V41*$O$2</f>
        <v>7.4002464000000003</v>
      </c>
      <c r="P41" s="16">
        <f>F41+J41+N41</f>
        <v>12200</v>
      </c>
      <c r="Q41" s="15">
        <f>P41/1000</f>
        <v>12.2</v>
      </c>
      <c r="R41" s="14">
        <f>MAX(Q41,O41)</f>
        <v>12.2</v>
      </c>
      <c r="S41" s="50">
        <f>VLOOKUP(A41,[1]Index!$E:$M,8,)</f>
        <v>12000</v>
      </c>
      <c r="T41" s="49">
        <f>S41-P41</f>
        <v>-200</v>
      </c>
      <c r="U41" s="48">
        <f>T41/S41</f>
        <v>-1.6666666666666666E-2</v>
      </c>
      <c r="V41" s="47">
        <f>(((C41*D41*E41)+(G41*H41*I41)+(K41*L41*M41))/1000000)*35.32</f>
        <v>1.2333744</v>
      </c>
      <c r="W41" s="46">
        <f>Q41/V41</f>
        <v>9.8915625295936085</v>
      </c>
      <c r="X41" s="1" t="s">
        <v>46</v>
      </c>
    </row>
    <row r="42" spans="1:24" ht="13.8" x14ac:dyDescent="0.3">
      <c r="A42" s="54" t="s">
        <v>257</v>
      </c>
      <c r="B42" s="53" t="s">
        <v>0</v>
      </c>
      <c r="C42" s="52">
        <v>110</v>
      </c>
      <c r="D42" s="52">
        <v>50</v>
      </c>
      <c r="E42" s="52">
        <v>5</v>
      </c>
      <c r="F42" s="52">
        <v>12750</v>
      </c>
      <c r="G42" s="31"/>
      <c r="H42" s="31"/>
      <c r="I42" s="31"/>
      <c r="J42" s="31"/>
      <c r="K42" s="30"/>
      <c r="L42" s="30"/>
      <c r="M42" s="30"/>
      <c r="N42" s="30"/>
      <c r="O42" s="17">
        <f>V42*$O$2</f>
        <v>5.8277999999999999</v>
      </c>
      <c r="P42" s="16">
        <f>F42+J42+N42</f>
        <v>12750</v>
      </c>
      <c r="Q42" s="15">
        <f>P42/1000</f>
        <v>12.75</v>
      </c>
      <c r="R42" s="14">
        <f>MAX(Q42,O42)</f>
        <v>12.75</v>
      </c>
      <c r="S42" s="50">
        <f>VLOOKUP(A42,[1]Index!$E:$M,8,)</f>
        <v>13032.699022000001</v>
      </c>
      <c r="T42" s="49">
        <f>S42-P42</f>
        <v>282.6990220000007</v>
      </c>
      <c r="U42" s="48">
        <f>T42/S42</f>
        <v>2.1691517737253602E-2</v>
      </c>
      <c r="V42" s="47">
        <f>(((C42*D42*E42)+(G42*H42*I42)+(K42*L42*M42))/1000000)*35.32</f>
        <v>0.97130000000000005</v>
      </c>
      <c r="W42" s="46">
        <f>Q42/V42</f>
        <v>13.12673736229795</v>
      </c>
      <c r="X42" s="1" t="s">
        <v>46</v>
      </c>
    </row>
    <row r="43" spans="1:24" ht="13.8" x14ac:dyDescent="0.3">
      <c r="A43" s="54" t="s">
        <v>256</v>
      </c>
      <c r="B43" s="53" t="s">
        <v>0</v>
      </c>
      <c r="C43" s="52">
        <v>88</v>
      </c>
      <c r="D43" s="52">
        <v>45</v>
      </c>
      <c r="E43" s="52">
        <v>9</v>
      </c>
      <c r="F43" s="52">
        <v>15400</v>
      </c>
      <c r="G43" s="31"/>
      <c r="H43" s="31"/>
      <c r="I43" s="31"/>
      <c r="J43" s="31"/>
      <c r="K43" s="30"/>
      <c r="L43" s="30"/>
      <c r="M43" s="30"/>
      <c r="N43" s="30"/>
      <c r="O43" s="17">
        <f>V43*$O$2</f>
        <v>7.5528287999999986</v>
      </c>
      <c r="P43" s="16">
        <f>F43+J43+N43</f>
        <v>15400</v>
      </c>
      <c r="Q43" s="15">
        <f>P43/1000</f>
        <v>15.4</v>
      </c>
      <c r="R43" s="14">
        <f>MAX(Q43,O43)</f>
        <v>15.4</v>
      </c>
      <c r="S43" s="50">
        <f>VLOOKUP(A43,[1]Index!$E:$M,8,)</f>
        <v>15171.843423497628</v>
      </c>
      <c r="T43" s="49">
        <f>S43-P43</f>
        <v>-228.15657650237154</v>
      </c>
      <c r="U43" s="48">
        <f>T43/S43</f>
        <v>-1.5038157864785929E-2</v>
      </c>
      <c r="V43" s="47">
        <f>(((C43*D43*E43)+(G43*H43*I43)+(K43*L43*M43))/1000000)*35.32</f>
        <v>1.2588047999999998</v>
      </c>
      <c r="W43" s="46">
        <f>Q43/V43</f>
        <v>12.2338268808635</v>
      </c>
      <c r="X43" s="1" t="s">
        <v>240</v>
      </c>
    </row>
    <row r="44" spans="1:24" ht="13.8" x14ac:dyDescent="0.3">
      <c r="A44" s="54" t="s">
        <v>255</v>
      </c>
      <c r="B44" s="53" t="s">
        <v>0</v>
      </c>
      <c r="C44" s="52">
        <v>67</v>
      </c>
      <c r="D44" s="52">
        <v>40</v>
      </c>
      <c r="E44" s="52">
        <v>4</v>
      </c>
      <c r="F44" s="52">
        <v>5350</v>
      </c>
      <c r="G44" s="31"/>
      <c r="H44" s="31"/>
      <c r="I44" s="31"/>
      <c r="J44" s="31"/>
      <c r="K44" s="30"/>
      <c r="L44" s="30"/>
      <c r="M44" s="30"/>
      <c r="N44" s="30"/>
      <c r="O44" s="17">
        <f>V44*$O$2</f>
        <v>2.2717824000000002</v>
      </c>
      <c r="P44" s="16">
        <f>F44+J44+N44</f>
        <v>5350</v>
      </c>
      <c r="Q44" s="15">
        <f>P44/1000</f>
        <v>5.35</v>
      </c>
      <c r="R44" s="14">
        <f>MAX(Q44,O44)</f>
        <v>5.35</v>
      </c>
      <c r="S44" s="50">
        <f>VLOOKUP(A44,[1]Index!$E:$M,8,)</f>
        <v>6383.7605639999992</v>
      </c>
      <c r="T44" s="49">
        <f>S44-P44</f>
        <v>1033.7605639999992</v>
      </c>
      <c r="U44" s="48">
        <f>T44/S44</f>
        <v>0.16193598641993168</v>
      </c>
      <c r="V44" s="47">
        <f>(((C44*D44*E44)+(G44*H44*I44)+(K44*L44*M44))/1000000)*35.32</f>
        <v>0.37863040000000003</v>
      </c>
      <c r="W44" s="46">
        <f>Q44/V44</f>
        <v>14.12987441050692</v>
      </c>
      <c r="X44" s="1" t="s">
        <v>46</v>
      </c>
    </row>
    <row r="45" spans="1:24" ht="13.8" x14ac:dyDescent="0.3">
      <c r="A45" s="54" t="s">
        <v>254</v>
      </c>
      <c r="B45" s="53" t="s">
        <v>0</v>
      </c>
      <c r="C45" s="52">
        <v>85</v>
      </c>
      <c r="D45" s="52">
        <v>85</v>
      </c>
      <c r="E45" s="52">
        <v>5</v>
      </c>
      <c r="F45" s="52">
        <v>9920</v>
      </c>
      <c r="G45" s="31"/>
      <c r="H45" s="31"/>
      <c r="I45" s="31"/>
      <c r="J45" s="31"/>
      <c r="K45" s="30"/>
      <c r="L45" s="30"/>
      <c r="M45" s="30"/>
      <c r="N45" s="30"/>
      <c r="O45" s="17">
        <f>V45*$O$2</f>
        <v>7.6556099999999994</v>
      </c>
      <c r="P45" s="16">
        <f>F45+J45+N45</f>
        <v>9920</v>
      </c>
      <c r="Q45" s="15">
        <f>P45/1000</f>
        <v>9.92</v>
      </c>
      <c r="R45" s="14">
        <f>MAX(Q45,O45)</f>
        <v>9.92</v>
      </c>
      <c r="S45" s="50">
        <f>VLOOKUP(A45,[1]Index!$E:$M,8,)</f>
        <v>10388.341954032914</v>
      </c>
      <c r="T45" s="49">
        <f>S45-P45</f>
        <v>468.34195403291415</v>
      </c>
      <c r="U45" s="48">
        <f>T45/S45</f>
        <v>4.5083417171408818E-2</v>
      </c>
      <c r="V45" s="47">
        <f>(((C45*D45*E45)+(G45*H45*I45)+(K45*L45*M45))/1000000)*35.32</f>
        <v>1.2759349999999998</v>
      </c>
      <c r="W45" s="46">
        <f>Q45/V45</f>
        <v>7.7746907170036099</v>
      </c>
      <c r="X45" s="1" t="s">
        <v>46</v>
      </c>
    </row>
    <row r="46" spans="1:24" ht="13.8" x14ac:dyDescent="0.3">
      <c r="A46" s="54" t="s">
        <v>253</v>
      </c>
      <c r="B46" s="53" t="s">
        <v>0</v>
      </c>
      <c r="C46" s="52">
        <v>157</v>
      </c>
      <c r="D46" s="52">
        <v>82</v>
      </c>
      <c r="E46" s="52">
        <v>6</v>
      </c>
      <c r="F46" s="52">
        <v>18350</v>
      </c>
      <c r="G46" s="31"/>
      <c r="H46" s="31"/>
      <c r="I46" s="31"/>
      <c r="J46" s="31"/>
      <c r="K46" s="30"/>
      <c r="L46" s="30"/>
      <c r="M46" s="30"/>
      <c r="N46" s="30"/>
      <c r="O46" s="17">
        <f>V46*$O$2</f>
        <v>16.369548479999999</v>
      </c>
      <c r="P46" s="16">
        <f>F46+J46+N46</f>
        <v>18350</v>
      </c>
      <c r="Q46" s="15">
        <f>P46/1000</f>
        <v>18.350000000000001</v>
      </c>
      <c r="R46" s="14">
        <f>MAX(Q46,O46)</f>
        <v>18.350000000000001</v>
      </c>
      <c r="S46" s="50">
        <f>VLOOKUP(A46,[1]Index!$E:$M,8,)</f>
        <v>16426.759499999996</v>
      </c>
      <c r="T46" s="49">
        <f>S46-P46</f>
        <v>-1923.2405000000035</v>
      </c>
      <c r="U46" s="48">
        <f>T46/S46</f>
        <v>-0.11707972591916281</v>
      </c>
      <c r="V46" s="47">
        <f>(((C46*D46*E46)+(G46*H46*I46)+(K46*L46*M46))/1000000)*35.32</f>
        <v>2.7282580799999998</v>
      </c>
      <c r="W46" s="46">
        <f>Q46/V46</f>
        <v>6.7259032913777723</v>
      </c>
      <c r="X46" s="1" t="s">
        <v>240</v>
      </c>
    </row>
    <row r="47" spans="1:24" ht="13.8" x14ac:dyDescent="0.3">
      <c r="A47" s="54" t="s">
        <v>252</v>
      </c>
      <c r="B47" s="53" t="s">
        <v>0</v>
      </c>
      <c r="C47" s="52">
        <v>116</v>
      </c>
      <c r="D47" s="52">
        <v>40</v>
      </c>
      <c r="E47" s="52">
        <v>6</v>
      </c>
      <c r="F47" s="52">
        <v>6000</v>
      </c>
      <c r="G47" s="31"/>
      <c r="H47" s="31"/>
      <c r="I47" s="31"/>
      <c r="J47" s="31"/>
      <c r="K47" s="30"/>
      <c r="L47" s="30"/>
      <c r="M47" s="30"/>
      <c r="N47" s="30"/>
      <c r="O47" s="17">
        <f>V47*$O$2</f>
        <v>5.8998527999999997</v>
      </c>
      <c r="P47" s="16">
        <f>F47+J47+N47</f>
        <v>6000</v>
      </c>
      <c r="Q47" s="15">
        <f>P47/1000</f>
        <v>6</v>
      </c>
      <c r="R47" s="14">
        <f>MAX(Q47,O47)</f>
        <v>6</v>
      </c>
      <c r="S47" s="50">
        <f>VLOOKUP(A47,[1]Index!$E:$M,8,)</f>
        <v>5647.0581513415063</v>
      </c>
      <c r="T47" s="49">
        <f>S47-P47</f>
        <v>-352.94184865849365</v>
      </c>
      <c r="U47" s="48">
        <f>T47/S47</f>
        <v>-6.2500126472869649E-2</v>
      </c>
      <c r="V47" s="47">
        <f>(((C47*D47*E47)+(G47*H47*I47)+(K47*L47*M47))/1000000)*35.32</f>
        <v>0.98330879999999998</v>
      </c>
      <c r="W47" s="46">
        <f>Q47/V47</f>
        <v>6.1018471511696024</v>
      </c>
      <c r="X47" s="1" t="s">
        <v>46</v>
      </c>
    </row>
    <row r="48" spans="1:24" ht="13.8" x14ac:dyDescent="0.3">
      <c r="A48" s="54" t="s">
        <v>251</v>
      </c>
      <c r="B48" s="53" t="s">
        <v>0</v>
      </c>
      <c r="C48" s="52">
        <v>85</v>
      </c>
      <c r="D48" s="52">
        <v>35</v>
      </c>
      <c r="E48" s="52">
        <v>7</v>
      </c>
      <c r="F48" s="52">
        <v>3700</v>
      </c>
      <c r="G48" s="31"/>
      <c r="H48" s="31"/>
      <c r="I48" s="31"/>
      <c r="J48" s="31"/>
      <c r="K48" s="30"/>
      <c r="L48" s="30"/>
      <c r="M48" s="30"/>
      <c r="N48" s="30"/>
      <c r="O48" s="17">
        <f>V48*$O$2</f>
        <v>4.4132339999999992</v>
      </c>
      <c r="P48" s="16">
        <f>F48+J48+N48</f>
        <v>3700</v>
      </c>
      <c r="Q48" s="15">
        <f>P48/1000</f>
        <v>3.7</v>
      </c>
      <c r="R48" s="14">
        <f>MAX(Q48,O48)</f>
        <v>4.4132339999999992</v>
      </c>
      <c r="S48" s="50">
        <f>VLOOKUP(A48,[1]Index!$E:$M,8,)</f>
        <v>3092.7503159999997</v>
      </c>
      <c r="T48" s="49">
        <f>S48-P48</f>
        <v>-607.24968400000034</v>
      </c>
      <c r="U48" s="48">
        <f>T48/S48</f>
        <v>-0.19634617151551539</v>
      </c>
      <c r="V48" s="47">
        <f>(((C48*D48*E48)+(G48*H48*I48)+(K48*L48*M48))/1000000)*35.32</f>
        <v>0.73553899999999994</v>
      </c>
      <c r="W48" s="46">
        <f>Q48/V48</f>
        <v>5.0303247006616925</v>
      </c>
      <c r="X48" s="1" t="s">
        <v>46</v>
      </c>
    </row>
    <row r="49" spans="1:24" ht="13.8" x14ac:dyDescent="0.3">
      <c r="A49" s="54" t="s">
        <v>250</v>
      </c>
      <c r="B49" s="53" t="s">
        <v>0</v>
      </c>
      <c r="C49" s="52">
        <v>30</v>
      </c>
      <c r="D49" s="52">
        <v>29</v>
      </c>
      <c r="E49" s="52">
        <v>4</v>
      </c>
      <c r="F49" s="52">
        <v>1400</v>
      </c>
      <c r="G49" s="31"/>
      <c r="H49" s="31"/>
      <c r="I49" s="31"/>
      <c r="J49" s="31"/>
      <c r="K49" s="30"/>
      <c r="L49" s="30"/>
      <c r="M49" s="30"/>
      <c r="N49" s="30"/>
      <c r="O49" s="17">
        <f>V49*$O$2</f>
        <v>0.73748159999999996</v>
      </c>
      <c r="P49" s="16">
        <f>F49+J49+N49</f>
        <v>1400</v>
      </c>
      <c r="Q49" s="15">
        <f>P49/1000</f>
        <v>1.4</v>
      </c>
      <c r="R49" s="14">
        <f>MAX(Q49,O49)</f>
        <v>1.4</v>
      </c>
      <c r="S49" s="50">
        <f>VLOOKUP(A49,[1]Index!$E:$M,8,)</f>
        <v>329.12391059612713</v>
      </c>
      <c r="T49" s="49">
        <f>S49-P49</f>
        <v>-1070.8760894038728</v>
      </c>
      <c r="U49" s="48">
        <f>T49/S49</f>
        <v>-3.2537170801849182</v>
      </c>
      <c r="V49" s="47">
        <f>(((C49*D49*E49)+(G49*H49*I49)+(K49*L49*M49))/1000000)*35.32</f>
        <v>0.1229136</v>
      </c>
      <c r="W49" s="46">
        <f>Q49/V49</f>
        <v>11.390114682183256</v>
      </c>
      <c r="X49" s="1" t="s">
        <v>232</v>
      </c>
    </row>
    <row r="50" spans="1:24" ht="13.8" x14ac:dyDescent="0.3">
      <c r="A50" s="54" t="s">
        <v>249</v>
      </c>
      <c r="B50" s="53" t="s">
        <v>0</v>
      </c>
      <c r="C50" s="52">
        <v>35</v>
      </c>
      <c r="D50" s="52">
        <v>32</v>
      </c>
      <c r="E50" s="52">
        <v>6</v>
      </c>
      <c r="F50" s="52">
        <v>900</v>
      </c>
      <c r="G50" s="31"/>
      <c r="H50" s="31"/>
      <c r="I50" s="31"/>
      <c r="J50" s="31"/>
      <c r="K50" s="30"/>
      <c r="L50" s="30"/>
      <c r="M50" s="30"/>
      <c r="N50" s="30"/>
      <c r="O50" s="17">
        <f>V50*$O$2</f>
        <v>1.4241024000000002</v>
      </c>
      <c r="P50" s="16">
        <f>F50+J50+N50</f>
        <v>900</v>
      </c>
      <c r="Q50" s="15">
        <f>P50/1000</f>
        <v>0.9</v>
      </c>
      <c r="R50" s="14">
        <f>MAX(Q50,O50)</f>
        <v>1.4241024000000002</v>
      </c>
      <c r="S50" s="50">
        <f>VLOOKUP(A50,[1]Index!$E:$M,8,)</f>
        <v>130.38297599999999</v>
      </c>
      <c r="T50" s="49">
        <f>S50-P50</f>
        <v>-769.61702400000001</v>
      </c>
      <c r="U50" s="48">
        <f>T50/S50</f>
        <v>-5.9027416585429071</v>
      </c>
      <c r="V50" s="47">
        <f>(((C50*D50*E50)+(G50*H50*I50)+(K50*L50*M50))/1000000)*35.32</f>
        <v>0.23735040000000002</v>
      </c>
      <c r="W50" s="46">
        <f>Q50/V50</f>
        <v>3.7918621582268242</v>
      </c>
      <c r="X50" s="1" t="s">
        <v>46</v>
      </c>
    </row>
    <row r="51" spans="1:24" ht="13.8" x14ac:dyDescent="0.3">
      <c r="A51" s="54" t="s">
        <v>248</v>
      </c>
      <c r="B51" s="53" t="s">
        <v>0</v>
      </c>
      <c r="C51" s="52">
        <v>29</v>
      </c>
      <c r="D51" s="52">
        <v>20</v>
      </c>
      <c r="E51" s="52">
        <v>6</v>
      </c>
      <c r="F51" s="52">
        <v>800</v>
      </c>
      <c r="G51" s="31"/>
      <c r="H51" s="31"/>
      <c r="I51" s="31"/>
      <c r="J51" s="31"/>
      <c r="K51" s="30"/>
      <c r="L51" s="30"/>
      <c r="M51" s="30"/>
      <c r="N51" s="30"/>
      <c r="O51" s="17">
        <f>V51*$O$2</f>
        <v>0.73748159999999996</v>
      </c>
      <c r="P51" s="16">
        <f>F51+J51+N51</f>
        <v>800</v>
      </c>
      <c r="Q51" s="15">
        <f>P51/1000</f>
        <v>0.8</v>
      </c>
      <c r="R51" s="14">
        <f>MAX(Q51,O51)</f>
        <v>0.8</v>
      </c>
      <c r="S51" s="50">
        <f>VLOOKUP(A51,[1]Index!$E:$M,8,)</f>
        <v>871.60714599999972</v>
      </c>
      <c r="T51" s="49">
        <f>S51-P51</f>
        <v>71.607145999999716</v>
      </c>
      <c r="U51" s="48">
        <f>T51/S51</f>
        <v>8.2155299355473319E-2</v>
      </c>
      <c r="V51" s="47">
        <f>(((C51*D51*E51)+(G51*H51*I51)+(K51*L51*M51))/1000000)*35.32</f>
        <v>0.1229136</v>
      </c>
      <c r="W51" s="46">
        <f>Q51/V51</f>
        <v>6.5086369612475758</v>
      </c>
      <c r="X51" s="1" t="s">
        <v>240</v>
      </c>
    </row>
    <row r="52" spans="1:24" ht="13.8" x14ac:dyDescent="0.3">
      <c r="A52" s="54" t="s">
        <v>247</v>
      </c>
      <c r="B52" s="53" t="s">
        <v>0</v>
      </c>
      <c r="C52" s="52">
        <v>24</v>
      </c>
      <c r="D52" s="52">
        <v>26</v>
      </c>
      <c r="E52" s="52">
        <v>5</v>
      </c>
      <c r="F52" s="52">
        <v>700</v>
      </c>
      <c r="G52" s="31"/>
      <c r="H52" s="31"/>
      <c r="I52" s="31"/>
      <c r="J52" s="31"/>
      <c r="K52" s="30"/>
      <c r="L52" s="30"/>
      <c r="M52" s="30"/>
      <c r="N52" s="30"/>
      <c r="O52" s="17">
        <f>V52*$O$2</f>
        <v>0.66119039999999996</v>
      </c>
      <c r="P52" s="16">
        <f>F52+J52+N52</f>
        <v>700</v>
      </c>
      <c r="Q52" s="15">
        <f>P52/1000</f>
        <v>0.7</v>
      </c>
      <c r="R52" s="14">
        <f>MAX(Q52,O52)</f>
        <v>0.7</v>
      </c>
      <c r="S52" s="50">
        <f>VLOOKUP(A52,[1]Index!$E:$M,8,)</f>
        <v>469</v>
      </c>
      <c r="T52" s="49">
        <f>S52-P52</f>
        <v>-231</v>
      </c>
      <c r="U52" s="48">
        <f>T52/S52</f>
        <v>-0.4925373134328358</v>
      </c>
      <c r="V52" s="47">
        <f>(((C52*D52*E52)+(G52*H52*I52)+(K52*L52*M52))/1000000)*35.32</f>
        <v>0.1101984</v>
      </c>
      <c r="W52" s="46">
        <f>Q52/V52</f>
        <v>6.3521793419868162</v>
      </c>
      <c r="X52" s="1" t="s">
        <v>240</v>
      </c>
    </row>
    <row r="53" spans="1:24" ht="13.8" x14ac:dyDescent="0.3">
      <c r="A53" s="54" t="s">
        <v>246</v>
      </c>
      <c r="B53" s="53" t="s">
        <v>0</v>
      </c>
      <c r="C53" s="52">
        <v>34</v>
      </c>
      <c r="D53" s="52">
        <v>33</v>
      </c>
      <c r="E53" s="52">
        <v>6</v>
      </c>
      <c r="F53" s="52">
        <v>1350</v>
      </c>
      <c r="G53" s="31"/>
      <c r="H53" s="31"/>
      <c r="I53" s="31"/>
      <c r="J53" s="31"/>
      <c r="K53" s="30"/>
      <c r="L53" s="30"/>
      <c r="M53" s="30"/>
      <c r="N53" s="30"/>
      <c r="O53" s="17">
        <f>V53*$O$2</f>
        <v>1.4266454399999999</v>
      </c>
      <c r="P53" s="16">
        <f>F53+J53+N53</f>
        <v>1350</v>
      </c>
      <c r="Q53" s="15">
        <f>P53/1000</f>
        <v>1.35</v>
      </c>
      <c r="R53" s="14">
        <f>MAX(Q53,O53)</f>
        <v>1.4266454399999999</v>
      </c>
      <c r="S53" s="50">
        <f>VLOOKUP(A53,[1]Index!$E:$M,8,)</f>
        <v>916</v>
      </c>
      <c r="T53" s="49">
        <f>S53-P53</f>
        <v>-434</v>
      </c>
      <c r="U53" s="48">
        <f>T53/S53</f>
        <v>-0.47379912663755458</v>
      </c>
      <c r="V53" s="47">
        <f>(((C53*D53*E53)+(G53*H53*I53)+(K53*L53*M53))/1000000)*35.32</f>
        <v>0.23777424</v>
      </c>
      <c r="W53" s="46">
        <f>Q53/V53</f>
        <v>5.6776545684679727</v>
      </c>
      <c r="X53" s="1" t="s">
        <v>240</v>
      </c>
    </row>
    <row r="54" spans="1:24" ht="13.8" x14ac:dyDescent="0.3">
      <c r="A54" s="54" t="s">
        <v>245</v>
      </c>
      <c r="B54" s="53" t="s">
        <v>0</v>
      </c>
      <c r="C54" s="52">
        <v>24</v>
      </c>
      <c r="D54" s="52">
        <v>11</v>
      </c>
      <c r="E54" s="52">
        <v>5</v>
      </c>
      <c r="F54" s="52">
        <v>300</v>
      </c>
      <c r="G54" s="31"/>
      <c r="H54" s="31"/>
      <c r="I54" s="31"/>
      <c r="J54" s="31"/>
      <c r="K54" s="30"/>
      <c r="L54" s="30"/>
      <c r="M54" s="30"/>
      <c r="N54" s="30"/>
      <c r="O54" s="17">
        <f>V54*$O$2</f>
        <v>0.27973439999999999</v>
      </c>
      <c r="P54" s="16">
        <f>F54+J54+N54</f>
        <v>300</v>
      </c>
      <c r="Q54" s="15">
        <f>P54/1000</f>
        <v>0.3</v>
      </c>
      <c r="R54" s="14">
        <f>MAX(Q54,O54)</f>
        <v>0.3</v>
      </c>
      <c r="S54" s="50">
        <f>VLOOKUP(A54,[1]Index!$E:$M,8,)</f>
        <v>224</v>
      </c>
      <c r="T54" s="49">
        <f>S54-P54</f>
        <v>-76</v>
      </c>
      <c r="U54" s="48">
        <f>T54/S54</f>
        <v>-0.3392857142857143</v>
      </c>
      <c r="V54" s="47">
        <f>(((C54*D54*E54)+(G54*H54*I54)+(K54*L54*M54))/1000000)*35.32</f>
        <v>4.6622400000000001E-2</v>
      </c>
      <c r="W54" s="46">
        <f>Q54/V54</f>
        <v>6.4346751775970343</v>
      </c>
      <c r="X54" s="1" t="s">
        <v>240</v>
      </c>
    </row>
    <row r="55" spans="1:24" ht="13.8" x14ac:dyDescent="0.3">
      <c r="A55" s="54" t="s">
        <v>244</v>
      </c>
      <c r="B55" s="53" t="s">
        <v>0</v>
      </c>
      <c r="C55" s="52">
        <v>39</v>
      </c>
      <c r="D55" s="52">
        <v>30</v>
      </c>
      <c r="E55" s="52">
        <v>9</v>
      </c>
      <c r="F55" s="52">
        <v>3500</v>
      </c>
      <c r="G55" s="31"/>
      <c r="H55" s="31"/>
      <c r="I55" s="31"/>
      <c r="J55" s="31"/>
      <c r="K55" s="30"/>
      <c r="L55" s="30"/>
      <c r="M55" s="30"/>
      <c r="N55" s="30"/>
      <c r="O55" s="17">
        <f>V55*$O$2</f>
        <v>2.2315175999999997</v>
      </c>
      <c r="P55" s="16">
        <f>F55+J55+N55</f>
        <v>3500</v>
      </c>
      <c r="Q55" s="15">
        <f>P55/1000</f>
        <v>3.5</v>
      </c>
      <c r="R55" s="14">
        <f>MAX(Q55,O55)</f>
        <v>3.5</v>
      </c>
      <c r="S55" s="50">
        <f>VLOOKUP(A55,[1]Index!$E:$M,8,)</f>
        <v>2321.5288605440001</v>
      </c>
      <c r="T55" s="49">
        <f>S55-P55</f>
        <v>-1178.4711394559999</v>
      </c>
      <c r="U55" s="48">
        <f>T55/S55</f>
        <v>-0.50762717598946872</v>
      </c>
      <c r="V55" s="47">
        <f>(((C55*D55*E55)+(G55*H55*I55)+(K55*L55*M55))/1000000)*35.32</f>
        <v>0.37191959999999996</v>
      </c>
      <c r="W55" s="46">
        <f>Q55/V55</f>
        <v>9.4106360622026912</v>
      </c>
      <c r="X55" s="1" t="s">
        <v>240</v>
      </c>
    </row>
    <row r="56" spans="1:24" ht="12.45" customHeight="1" x14ac:dyDescent="0.3">
      <c r="A56" s="54" t="s">
        <v>243</v>
      </c>
      <c r="B56" s="53" t="s">
        <v>0</v>
      </c>
      <c r="C56" s="52">
        <v>58</v>
      </c>
      <c r="D56" s="52">
        <v>37</v>
      </c>
      <c r="E56" s="52">
        <v>10</v>
      </c>
      <c r="F56" s="52">
        <v>5700</v>
      </c>
      <c r="G56" s="31"/>
      <c r="H56" s="31"/>
      <c r="I56" s="31"/>
      <c r="J56" s="31"/>
      <c r="K56" s="30"/>
      <c r="L56" s="30"/>
      <c r="M56" s="30"/>
      <c r="N56" s="30"/>
      <c r="O56" s="17">
        <f>V56*$O$2</f>
        <v>4.5478031999999997</v>
      </c>
      <c r="P56" s="16">
        <f>F56+J56+N56</f>
        <v>5700</v>
      </c>
      <c r="Q56" s="15">
        <f>P56/1000</f>
        <v>5.7</v>
      </c>
      <c r="R56" s="14">
        <f>MAX(Q56,O56)</f>
        <v>5.7</v>
      </c>
      <c r="S56" s="50">
        <f>VLOOKUP(A56,[1]Index!$E:$M,8,)</f>
        <v>3848.6409053440002</v>
      </c>
      <c r="T56" s="49">
        <f>S56-P56</f>
        <v>-1851.3590946559998</v>
      </c>
      <c r="U56" s="48">
        <f>T56/S56</f>
        <v>-0.48104230563192052</v>
      </c>
      <c r="V56" s="47">
        <f>(((C56*D56*E56)+(G56*H56*I56)+(K56*L56*M56))/1000000)*35.32</f>
        <v>0.75796719999999995</v>
      </c>
      <c r="W56" s="46">
        <f>Q56/V56</f>
        <v>7.520114326846862</v>
      </c>
      <c r="X56" s="1" t="s">
        <v>240</v>
      </c>
    </row>
    <row r="57" spans="1:24" ht="13.8" x14ac:dyDescent="0.3">
      <c r="A57" s="54" t="s">
        <v>242</v>
      </c>
      <c r="B57" s="53" t="s">
        <v>0</v>
      </c>
      <c r="C57" s="52">
        <v>25</v>
      </c>
      <c r="D57" s="52">
        <v>20</v>
      </c>
      <c r="E57" s="52">
        <v>5</v>
      </c>
      <c r="F57" s="52">
        <v>440</v>
      </c>
      <c r="G57" s="31"/>
      <c r="H57" s="31"/>
      <c r="I57" s="31"/>
      <c r="J57" s="31"/>
      <c r="K57" s="30"/>
      <c r="L57" s="30"/>
      <c r="M57" s="30"/>
      <c r="N57" s="30"/>
      <c r="O57" s="17">
        <f>V57*$O$2</f>
        <v>0.52980000000000005</v>
      </c>
      <c r="P57" s="16">
        <f>F57+J57+N57</f>
        <v>440</v>
      </c>
      <c r="Q57" s="15">
        <f>P57/1000</f>
        <v>0.44</v>
      </c>
      <c r="R57" s="14">
        <f>MAX(Q57,O57)</f>
        <v>0.52980000000000005</v>
      </c>
      <c r="S57" s="50" t="e">
        <f>VLOOKUP(A57,[1]Index!$E:$M,8,)</f>
        <v>#N/A</v>
      </c>
      <c r="T57" s="49" t="e">
        <f>S57-P57</f>
        <v>#N/A</v>
      </c>
      <c r="U57" s="48" t="e">
        <f>T57/S57</f>
        <v>#N/A</v>
      </c>
      <c r="V57" s="47">
        <f>(((C57*D57*E57)+(G57*H57*I57)+(K57*L57*M57))/1000000)*35.32</f>
        <v>8.8300000000000003E-2</v>
      </c>
      <c r="W57" s="46">
        <f>Q57/V57</f>
        <v>4.9830124575311441</v>
      </c>
      <c r="X57" s="1" t="s">
        <v>240</v>
      </c>
    </row>
    <row r="58" spans="1:24" ht="13.8" x14ac:dyDescent="0.3">
      <c r="A58" s="54" t="s">
        <v>241</v>
      </c>
      <c r="B58" s="53" t="s">
        <v>0</v>
      </c>
      <c r="C58" s="52">
        <v>82</v>
      </c>
      <c r="D58" s="52">
        <v>30</v>
      </c>
      <c r="E58" s="52">
        <v>10</v>
      </c>
      <c r="F58" s="52">
        <v>8400</v>
      </c>
      <c r="G58" s="31"/>
      <c r="H58" s="31"/>
      <c r="I58" s="31"/>
      <c r="J58" s="31"/>
      <c r="K58" s="30"/>
      <c r="L58" s="30"/>
      <c r="M58" s="30"/>
      <c r="N58" s="30"/>
      <c r="O58" s="17">
        <f>V58*$O$2</f>
        <v>5.2132319999999996</v>
      </c>
      <c r="P58" s="16">
        <f>F58+J58+N58</f>
        <v>8400</v>
      </c>
      <c r="Q58" s="15">
        <f>P58/1000</f>
        <v>8.4</v>
      </c>
      <c r="R58" s="14">
        <f>MAX(Q58,O58)</f>
        <v>8.4</v>
      </c>
      <c r="S58" s="50">
        <f>VLOOKUP(A58,[1]Index!$E:$M,8,)</f>
        <v>7660.9589589809584</v>
      </c>
      <c r="T58" s="49">
        <f>S58-P58</f>
        <v>-739.04104101904159</v>
      </c>
      <c r="U58" s="48">
        <f>T58/S58</f>
        <v>-9.6468476724139371E-2</v>
      </c>
      <c r="V58" s="47">
        <f>(((C58*D58*E58)+(G58*H58*I58)+(K58*L58*M58))/1000000)*35.32</f>
        <v>0.86887199999999998</v>
      </c>
      <c r="W58" s="46">
        <f>Q58/V58</f>
        <v>9.6677070960970095</v>
      </c>
      <c r="X58" s="1" t="s">
        <v>240</v>
      </c>
    </row>
    <row r="59" spans="1:24" ht="13.8" x14ac:dyDescent="0.3">
      <c r="A59" s="54" t="s">
        <v>239</v>
      </c>
      <c r="B59" s="53" t="s">
        <v>0</v>
      </c>
      <c r="C59" s="52">
        <v>23</v>
      </c>
      <c r="D59" s="52">
        <v>25</v>
      </c>
      <c r="E59" s="52">
        <v>11</v>
      </c>
      <c r="F59" s="52">
        <v>1100</v>
      </c>
      <c r="G59" s="31"/>
      <c r="H59" s="31"/>
      <c r="I59" s="31"/>
      <c r="J59" s="31"/>
      <c r="K59" s="30"/>
      <c r="L59" s="30"/>
      <c r="M59" s="30"/>
      <c r="N59" s="30"/>
      <c r="O59" s="17">
        <f>V59*$O$2</f>
        <v>1.3403939999999999</v>
      </c>
      <c r="P59" s="16">
        <f>F59+J59+N59</f>
        <v>1100</v>
      </c>
      <c r="Q59" s="15">
        <f>P59/1000</f>
        <v>1.1000000000000001</v>
      </c>
      <c r="R59" s="14">
        <f>MAX(Q59,O59)</f>
        <v>1.3403939999999999</v>
      </c>
      <c r="S59" s="50">
        <f>VLOOKUP(A59,[1]Index!$E:$M,8,)</f>
        <v>879.81930799999986</v>
      </c>
      <c r="T59" s="49">
        <f>S59-P59</f>
        <v>-220.18069200000014</v>
      </c>
      <c r="U59" s="48">
        <f>T59/S59</f>
        <v>-0.25025671748499539</v>
      </c>
      <c r="V59" s="47">
        <f>(((C59*D59*E59)+(G59*H59*I59)+(K59*L59*M59))/1000000)*35.32</f>
        <v>0.22339899999999999</v>
      </c>
      <c r="W59" s="46">
        <f>Q59/V59</f>
        <v>4.9239253532916445</v>
      </c>
      <c r="X59" s="1" t="s">
        <v>44</v>
      </c>
    </row>
    <row r="60" spans="1:24" ht="13.8" x14ac:dyDescent="0.3">
      <c r="A60" s="54" t="s">
        <v>238</v>
      </c>
      <c r="B60" s="53" t="s">
        <v>0</v>
      </c>
      <c r="C60" s="52">
        <v>21</v>
      </c>
      <c r="D60" s="52">
        <v>21</v>
      </c>
      <c r="E60" s="52">
        <v>15</v>
      </c>
      <c r="F60" s="52">
        <v>9500</v>
      </c>
      <c r="G60" s="31"/>
      <c r="H60" s="31"/>
      <c r="I60" s="31"/>
      <c r="J60" s="31"/>
      <c r="K60" s="30"/>
      <c r="L60" s="30"/>
      <c r="M60" s="30"/>
      <c r="N60" s="30"/>
      <c r="O60" s="17">
        <f>V60*$O$2</f>
        <v>1.4018508000000001</v>
      </c>
      <c r="P60" s="16">
        <f>F60+J60+N60</f>
        <v>9500</v>
      </c>
      <c r="Q60" s="15">
        <f>P60/1000</f>
        <v>9.5</v>
      </c>
      <c r="R60" s="14">
        <f>MAX(Q60,O60)</f>
        <v>9.5</v>
      </c>
      <c r="S60" s="50">
        <f>VLOOKUP(A60,[1]Index!$E:$M,8,)</f>
        <v>629.56397886518505</v>
      </c>
      <c r="T60" s="49">
        <f>S60-P60</f>
        <v>-8870.4360211348157</v>
      </c>
      <c r="U60" s="48">
        <f>T60/S60</f>
        <v>-14.089808691285263</v>
      </c>
      <c r="V60" s="47">
        <f>(((C60*D60*E60)+(G60*H60*I60)+(K60*L60*M60))/1000000)*35.32</f>
        <v>0.23364180000000001</v>
      </c>
      <c r="W60" s="46">
        <f>Q60/V60</f>
        <v>40.660532490333495</v>
      </c>
      <c r="X60" s="1" t="s">
        <v>44</v>
      </c>
    </row>
    <row r="61" spans="1:24" ht="13.8" x14ac:dyDescent="0.3">
      <c r="A61" s="54" t="s">
        <v>237</v>
      </c>
      <c r="B61" s="53" t="s">
        <v>0</v>
      </c>
      <c r="C61" s="52">
        <v>127</v>
      </c>
      <c r="D61" s="52">
        <v>51</v>
      </c>
      <c r="E61" s="52">
        <v>10</v>
      </c>
      <c r="F61" s="52">
        <v>26050</v>
      </c>
      <c r="G61" s="31"/>
      <c r="H61" s="31"/>
      <c r="I61" s="31"/>
      <c r="J61" s="31"/>
      <c r="K61" s="30"/>
      <c r="L61" s="30"/>
      <c r="M61" s="30"/>
      <c r="N61" s="30"/>
      <c r="O61" s="17">
        <f>V61*$O$2</f>
        <v>13.726058399999998</v>
      </c>
      <c r="P61" s="16">
        <f>F61+J61+N61</f>
        <v>26050</v>
      </c>
      <c r="Q61" s="15">
        <f>P61/1000</f>
        <v>26.05</v>
      </c>
      <c r="R61" s="14">
        <f>MAX(Q61,O61)</f>
        <v>26.05</v>
      </c>
      <c r="S61" s="50">
        <f>VLOOKUP(A61,[1]Index!$E:$M,8,)</f>
        <v>26799.995162624004</v>
      </c>
      <c r="T61" s="49">
        <f>S61-P61</f>
        <v>749.99516262400357</v>
      </c>
      <c r="U61" s="48">
        <f>T61/S61</f>
        <v>2.7984899179010564E-2</v>
      </c>
      <c r="V61" s="47">
        <f>(((C61*D61*E61)+(G61*H61*I61)+(K61*L61*M61))/1000000)*35.32</f>
        <v>2.2876763999999996</v>
      </c>
      <c r="W61" s="46">
        <f>Q61/V61</f>
        <v>11.387100028657901</v>
      </c>
      <c r="X61" s="1" t="s">
        <v>44</v>
      </c>
    </row>
    <row r="62" spans="1:24" ht="13.8" x14ac:dyDescent="0.3">
      <c r="A62" s="54" t="s">
        <v>236</v>
      </c>
      <c r="B62" s="53" t="s">
        <v>0</v>
      </c>
      <c r="C62" s="52">
        <v>129</v>
      </c>
      <c r="D62" s="52">
        <v>42</v>
      </c>
      <c r="E62" s="52">
        <v>8</v>
      </c>
      <c r="F62" s="52">
        <v>18300</v>
      </c>
      <c r="G62" s="31"/>
      <c r="H62" s="31"/>
      <c r="I62" s="31"/>
      <c r="J62" s="31"/>
      <c r="K62" s="30"/>
      <c r="L62" s="30"/>
      <c r="M62" s="30"/>
      <c r="N62" s="30"/>
      <c r="O62" s="17">
        <f>V62*$O$2</f>
        <v>9.1854604799999997</v>
      </c>
      <c r="P62" s="16">
        <f>F62+J62+N62</f>
        <v>18300</v>
      </c>
      <c r="Q62" s="15">
        <f>P62/1000</f>
        <v>18.3</v>
      </c>
      <c r="R62" s="14">
        <f>MAX(Q62,O62)</f>
        <v>18.3</v>
      </c>
      <c r="S62" s="50">
        <f>VLOOKUP(A62,[1]Index!$E:$M,8,)</f>
        <v>17933.094356494912</v>
      </c>
      <c r="T62" s="49">
        <f>S62-P62</f>
        <v>-366.90564350508794</v>
      </c>
      <c r="U62" s="48">
        <f>T62/S62</f>
        <v>-2.0459695143030573E-2</v>
      </c>
      <c r="V62" s="47">
        <f>(((C62*D62*E62)+(G62*H62*I62)+(K62*L62*M62))/1000000)*35.32</f>
        <v>1.53091008</v>
      </c>
      <c r="W62" s="46">
        <f>Q62/V62</f>
        <v>11.953673987175002</v>
      </c>
      <c r="X62" s="1" t="s">
        <v>44</v>
      </c>
    </row>
    <row r="63" spans="1:24" ht="12.45" customHeight="1" x14ac:dyDescent="0.3">
      <c r="A63" s="54" t="s">
        <v>235</v>
      </c>
      <c r="B63" s="53" t="s">
        <v>0</v>
      </c>
      <c r="C63" s="52">
        <v>137</v>
      </c>
      <c r="D63" s="52">
        <v>70</v>
      </c>
      <c r="E63" s="52">
        <v>9</v>
      </c>
      <c r="F63" s="52">
        <v>38750</v>
      </c>
      <c r="G63" s="31"/>
      <c r="H63" s="31"/>
      <c r="I63" s="31"/>
      <c r="J63" s="31"/>
      <c r="K63" s="30"/>
      <c r="L63" s="30"/>
      <c r="M63" s="30"/>
      <c r="N63" s="30"/>
      <c r="O63" s="17">
        <f>V63*$O$2</f>
        <v>18.290815200000001</v>
      </c>
      <c r="P63" s="16">
        <f>F63+J63+N63</f>
        <v>38750</v>
      </c>
      <c r="Q63" s="15">
        <f>P63/1000</f>
        <v>38.75</v>
      </c>
      <c r="R63" s="14">
        <f>MAX(Q63,O63)</f>
        <v>38.75</v>
      </c>
      <c r="S63" s="50">
        <f>VLOOKUP(A63,[1]Index!$E:$M,8,)</f>
        <v>33515.277733227995</v>
      </c>
      <c r="T63" s="49">
        <f>S63-P63</f>
        <v>-5234.7222667720052</v>
      </c>
      <c r="U63" s="48">
        <f>T63/S63</f>
        <v>-0.15618913584541635</v>
      </c>
      <c r="V63" s="47">
        <f>(((C63*D63*E63)+(G63*H63*I63)+(K63*L63*M63))/1000000)*35.32</f>
        <v>3.0484692</v>
      </c>
      <c r="W63" s="46">
        <f>Q63/V63</f>
        <v>12.71129785401801</v>
      </c>
      <c r="X63" s="1" t="s">
        <v>44</v>
      </c>
    </row>
    <row r="64" spans="1:24" ht="13.8" x14ac:dyDescent="0.3">
      <c r="A64" s="54" t="s">
        <v>234</v>
      </c>
      <c r="B64" s="53" t="s">
        <v>0</v>
      </c>
      <c r="C64" s="52">
        <v>162</v>
      </c>
      <c r="D64" s="52">
        <v>73</v>
      </c>
      <c r="E64" s="52">
        <v>8</v>
      </c>
      <c r="F64" s="52">
        <v>25620</v>
      </c>
      <c r="G64" s="31"/>
      <c r="H64" s="31"/>
      <c r="I64" s="31"/>
      <c r="J64" s="31"/>
      <c r="K64" s="30"/>
      <c r="L64" s="30"/>
      <c r="M64" s="30"/>
      <c r="N64" s="30"/>
      <c r="O64" s="17">
        <f>V64*$O$2</f>
        <v>20.049327359999999</v>
      </c>
      <c r="P64" s="16">
        <f>F64+J64+N64</f>
        <v>25620</v>
      </c>
      <c r="Q64" s="15">
        <f>P64/1000</f>
        <v>25.62</v>
      </c>
      <c r="R64" s="14">
        <f>MAX(Q64,O64)</f>
        <v>25.62</v>
      </c>
      <c r="S64" s="50" t="e">
        <f>VLOOKUP(A64,[1]Index!$E:$M,8,)</f>
        <v>#N/A</v>
      </c>
      <c r="T64" s="49" t="e">
        <f>S64-P64</f>
        <v>#N/A</v>
      </c>
      <c r="U64" s="48" t="e">
        <f>T64/S64</f>
        <v>#N/A</v>
      </c>
      <c r="V64" s="47">
        <f>(((C64*D64*E64)+(G64*H64*I64)+(K64*L64*M64))/1000000)*35.32</f>
        <v>3.3415545600000001</v>
      </c>
      <c r="W64" s="46">
        <f>Q64/V64</f>
        <v>7.6670901342397952</v>
      </c>
      <c r="X64" s="1" t="s">
        <v>46</v>
      </c>
    </row>
    <row r="65" spans="1:24" ht="13.8" x14ac:dyDescent="0.3">
      <c r="A65" s="54" t="s">
        <v>233</v>
      </c>
      <c r="B65" s="53" t="s">
        <v>0</v>
      </c>
      <c r="C65" s="52">
        <v>102</v>
      </c>
      <c r="D65" s="52">
        <v>56</v>
      </c>
      <c r="E65" s="52">
        <v>5</v>
      </c>
      <c r="F65" s="52">
        <v>10650</v>
      </c>
      <c r="G65" s="31"/>
      <c r="H65" s="31"/>
      <c r="I65" s="31"/>
      <c r="J65" s="31"/>
      <c r="K65" s="30"/>
      <c r="L65" s="30"/>
      <c r="M65" s="30"/>
      <c r="N65" s="30"/>
      <c r="O65" s="17">
        <f>V65*$O$2</f>
        <v>6.0524351999999997</v>
      </c>
      <c r="P65" s="16">
        <f>F65+J65+N65</f>
        <v>10650</v>
      </c>
      <c r="Q65" s="15">
        <f>P65/1000</f>
        <v>10.65</v>
      </c>
      <c r="R65" s="14">
        <f>MAX(Q65,O65)</f>
        <v>10.65</v>
      </c>
      <c r="S65" s="50">
        <f>VLOOKUP(A65,[1]Index!$E:$M,8,)</f>
        <v>10292.894447079068</v>
      </c>
      <c r="T65" s="49">
        <f>S65-P65</f>
        <v>-357.10555292093159</v>
      </c>
      <c r="U65" s="48">
        <f>T65/S65</f>
        <v>-3.4694376276468229E-2</v>
      </c>
      <c r="V65" s="47">
        <f>(((C65*D65*E65)+(G65*H65*I65)+(K65*L65*M65))/1000000)*35.32</f>
        <v>1.0087391999999999</v>
      </c>
      <c r="W65" s="46">
        <f>Q65/V65</f>
        <v>10.557733852317824</v>
      </c>
      <c r="X65" s="1" t="s">
        <v>232</v>
      </c>
    </row>
    <row r="66" spans="1:24" ht="13.8" x14ac:dyDescent="0.3">
      <c r="A66" s="54" t="s">
        <v>231</v>
      </c>
      <c r="B66" s="53" t="s">
        <v>0</v>
      </c>
      <c r="C66" s="52">
        <v>77</v>
      </c>
      <c r="D66" s="52">
        <v>63</v>
      </c>
      <c r="E66" s="52">
        <v>7</v>
      </c>
      <c r="F66" s="52">
        <v>7600</v>
      </c>
      <c r="G66" s="31"/>
      <c r="H66" s="31"/>
      <c r="I66" s="31"/>
      <c r="J66" s="31"/>
      <c r="K66" s="30"/>
      <c r="L66" s="30"/>
      <c r="M66" s="30"/>
      <c r="N66" s="30"/>
      <c r="O66" s="17">
        <f>V66*$O$2</f>
        <v>7.19616744</v>
      </c>
      <c r="P66" s="16">
        <f>F66+J66+N66</f>
        <v>7600</v>
      </c>
      <c r="Q66" s="15">
        <f>P66/1000</f>
        <v>7.6</v>
      </c>
      <c r="R66" s="14">
        <f>MAX(Q66,O66)</f>
        <v>7.6</v>
      </c>
      <c r="S66" s="50">
        <f>VLOOKUP(A66,[1]Index!$E:$M,8,)</f>
        <v>4735.8063780000002</v>
      </c>
      <c r="T66" s="49">
        <f>S66-P66</f>
        <v>-2864.1936219999998</v>
      </c>
      <c r="U66" s="48">
        <f>T66/S66</f>
        <v>-0.60479533861550949</v>
      </c>
      <c r="V66" s="47">
        <f>(((C66*D66*E66)+(G66*H66*I66)+(K66*L66*M66))/1000000)*35.32</f>
        <v>1.19936124</v>
      </c>
      <c r="W66" s="46">
        <f>Q66/V66</f>
        <v>6.3367063621298945</v>
      </c>
      <c r="X66" s="1" t="s">
        <v>44</v>
      </c>
    </row>
    <row r="67" spans="1:24" ht="13.8" x14ac:dyDescent="0.3">
      <c r="A67" s="54" t="s">
        <v>230</v>
      </c>
      <c r="B67" s="53" t="s">
        <v>0</v>
      </c>
      <c r="C67" s="52">
        <v>51</v>
      </c>
      <c r="D67" s="52">
        <v>17</v>
      </c>
      <c r="E67" s="52">
        <v>4</v>
      </c>
      <c r="F67" s="52">
        <v>1350</v>
      </c>
      <c r="G67" s="31"/>
      <c r="H67" s="31"/>
      <c r="I67" s="31"/>
      <c r="J67" s="31"/>
      <c r="K67" s="30"/>
      <c r="L67" s="30"/>
      <c r="M67" s="30"/>
      <c r="N67" s="30"/>
      <c r="O67" s="17">
        <f>V67*$O$2</f>
        <v>0.73493856000000002</v>
      </c>
      <c r="P67" s="16">
        <f>F67+J67+N67</f>
        <v>1350</v>
      </c>
      <c r="Q67" s="15">
        <f>P67/1000</f>
        <v>1.35</v>
      </c>
      <c r="R67" s="14">
        <f>MAX(Q67,O67)</f>
        <v>1.35</v>
      </c>
      <c r="S67" s="50" t="e">
        <f>VLOOKUP(A67,[1]Index!$E:$M,8,)</f>
        <v>#N/A</v>
      </c>
      <c r="T67" s="49" t="e">
        <f>S67-P67</f>
        <v>#N/A</v>
      </c>
      <c r="U67" s="48" t="e">
        <f>T67/S67</f>
        <v>#N/A</v>
      </c>
      <c r="V67" s="47">
        <f>(((C67*D67*E67)+(G67*H67*I67)+(K67*L67*M67))/1000000)*35.32</f>
        <v>0.12248976</v>
      </c>
      <c r="W67" s="46">
        <f>Q67/V67</f>
        <v>11.021329456437828</v>
      </c>
      <c r="X67" s="1" t="s">
        <v>44</v>
      </c>
    </row>
    <row r="68" spans="1:24" ht="13.8" x14ac:dyDescent="0.3">
      <c r="A68" s="54" t="s">
        <v>229</v>
      </c>
      <c r="B68" s="53" t="s">
        <v>0</v>
      </c>
      <c r="C68" s="52">
        <v>94</v>
      </c>
      <c r="D68" s="52">
        <v>33</v>
      </c>
      <c r="E68" s="52">
        <v>6</v>
      </c>
      <c r="F68" s="52">
        <v>5400</v>
      </c>
      <c r="G68" s="31"/>
      <c r="H68" s="31"/>
      <c r="I68" s="31"/>
      <c r="J68" s="31"/>
      <c r="K68" s="30"/>
      <c r="L68" s="30"/>
      <c r="M68" s="30"/>
      <c r="N68" s="30"/>
      <c r="O68" s="17">
        <f>V68*$O$2</f>
        <v>3.9442550400000003</v>
      </c>
      <c r="P68" s="16">
        <f>F68+J68+N68</f>
        <v>5400</v>
      </c>
      <c r="Q68" s="15">
        <f>P68/1000</f>
        <v>5.4</v>
      </c>
      <c r="R68" s="14">
        <f>MAX(Q68,O68)</f>
        <v>5.4</v>
      </c>
      <c r="S68" s="50">
        <f>VLOOKUP(A68,[1]Index!$E:$M,8,)</f>
        <v>7238.5537309279453</v>
      </c>
      <c r="T68" s="49">
        <f>S68-P68</f>
        <v>1838.5537309279453</v>
      </c>
      <c r="U68" s="48">
        <f>T68/S68</f>
        <v>0.25399462368738296</v>
      </c>
      <c r="V68" s="47">
        <f>(((C68*D68*E68)+(G68*H68*I68)+(K68*L68*M68))/1000000)*35.32</f>
        <v>0.65737584000000004</v>
      </c>
      <c r="W68" s="46">
        <f>Q68/V68</f>
        <v>8.2144789501238744</v>
      </c>
      <c r="X68" s="1" t="s">
        <v>44</v>
      </c>
    </row>
    <row r="69" spans="1:24" ht="13.8" x14ac:dyDescent="0.3">
      <c r="A69" s="54" t="s">
        <v>228</v>
      </c>
      <c r="B69" s="53" t="s">
        <v>0</v>
      </c>
      <c r="C69" s="52">
        <v>104</v>
      </c>
      <c r="D69" s="52">
        <v>40</v>
      </c>
      <c r="E69" s="52">
        <v>7</v>
      </c>
      <c r="F69" s="52">
        <v>14400</v>
      </c>
      <c r="G69" s="31"/>
      <c r="H69" s="31"/>
      <c r="I69" s="31"/>
      <c r="J69" s="31"/>
      <c r="K69" s="30"/>
      <c r="L69" s="30"/>
      <c r="M69" s="30"/>
      <c r="N69" s="30"/>
      <c r="O69" s="17">
        <f>V69*$O$2</f>
        <v>6.1711103999999999</v>
      </c>
      <c r="P69" s="16">
        <f>F69+J69+N69</f>
        <v>14400</v>
      </c>
      <c r="Q69" s="15">
        <f>P69/1000</f>
        <v>14.4</v>
      </c>
      <c r="R69" s="14">
        <f>MAX(Q69,O69)</f>
        <v>14.4</v>
      </c>
      <c r="S69" s="50">
        <f>VLOOKUP(A69,[1]Index!$E:$M,8,)</f>
        <v>18637.89213152033</v>
      </c>
      <c r="T69" s="49">
        <f>S69-P69</f>
        <v>4237.8921315203297</v>
      </c>
      <c r="U69" s="48">
        <f>T69/S69</f>
        <v>0.22738044096484619</v>
      </c>
      <c r="V69" s="47">
        <f>(((C69*D69*E69)+(G69*H69*I69)+(K69*L69*M69))/1000000)*35.32</f>
        <v>1.0285184000000001</v>
      </c>
      <c r="W69" s="46">
        <f>Q69/V69</f>
        <v>14.000721814991349</v>
      </c>
      <c r="X69" s="1" t="s">
        <v>44</v>
      </c>
    </row>
    <row r="70" spans="1:24" ht="13.8" x14ac:dyDescent="0.3">
      <c r="A70" s="54" t="s">
        <v>227</v>
      </c>
      <c r="B70" s="53" t="s">
        <v>0</v>
      </c>
      <c r="C70" s="52">
        <v>134</v>
      </c>
      <c r="D70" s="52">
        <v>20</v>
      </c>
      <c r="E70" s="52">
        <v>4</v>
      </c>
      <c r="F70" s="52">
        <v>3850</v>
      </c>
      <c r="G70" s="31"/>
      <c r="H70" s="31"/>
      <c r="I70" s="31"/>
      <c r="J70" s="31"/>
      <c r="K70" s="30"/>
      <c r="L70" s="30"/>
      <c r="M70" s="30"/>
      <c r="N70" s="30"/>
      <c r="O70" s="17">
        <f>V70*$O$2</f>
        <v>2.2717824000000002</v>
      </c>
      <c r="P70" s="16">
        <f>F70+J70+N70</f>
        <v>3850</v>
      </c>
      <c r="Q70" s="15">
        <f>P70/1000</f>
        <v>3.85</v>
      </c>
      <c r="R70" s="14">
        <f>MAX(Q70,O70)</f>
        <v>3.85</v>
      </c>
      <c r="S70" s="50">
        <f>VLOOKUP(A70,[1]Index!$E:$M,8,)</f>
        <v>3692.8785859999994</v>
      </c>
      <c r="T70" s="49">
        <f>S70-P70</f>
        <v>-157.12141400000064</v>
      </c>
      <c r="U70" s="48">
        <f>T70/S70</f>
        <v>-4.254713777909206E-2</v>
      </c>
      <c r="V70" s="47">
        <f>(((C70*D70*E70)+(G70*H70*I70)+(K70*L70*M70))/1000000)*35.32</f>
        <v>0.37863040000000003</v>
      </c>
      <c r="W70" s="46">
        <f>Q70/V70</f>
        <v>10.168227379523673</v>
      </c>
      <c r="X70" s="1" t="s">
        <v>44</v>
      </c>
    </row>
    <row r="71" spans="1:24" ht="13.8" x14ac:dyDescent="0.3">
      <c r="A71" s="54" t="s">
        <v>226</v>
      </c>
      <c r="B71" s="53" t="s">
        <v>0</v>
      </c>
      <c r="C71" s="52">
        <v>96</v>
      </c>
      <c r="D71" s="52">
        <v>27</v>
      </c>
      <c r="E71" s="52">
        <v>10</v>
      </c>
      <c r="F71" s="52">
        <v>5850</v>
      </c>
      <c r="G71" s="31"/>
      <c r="H71" s="31"/>
      <c r="I71" s="31"/>
      <c r="J71" s="31"/>
      <c r="K71" s="30"/>
      <c r="L71" s="30"/>
      <c r="M71" s="30"/>
      <c r="N71" s="30"/>
      <c r="O71" s="17">
        <f>V71*$O$2</f>
        <v>5.4929663999999994</v>
      </c>
      <c r="P71" s="16">
        <f>F71+J71+N71</f>
        <v>5850</v>
      </c>
      <c r="Q71" s="15">
        <f>P71/1000</f>
        <v>5.85</v>
      </c>
      <c r="R71" s="14">
        <f>MAX(Q71,O71)</f>
        <v>5.85</v>
      </c>
      <c r="S71" s="50">
        <f>VLOOKUP(A71,[1]Index!$E:$M,8,)</f>
        <v>6248.120050022776</v>
      </c>
      <c r="T71" s="49">
        <f>S71-P71</f>
        <v>398.12005002277601</v>
      </c>
      <c r="U71" s="48">
        <f>T71/S71</f>
        <v>6.3718373980558324E-2</v>
      </c>
      <c r="V71" s="47">
        <f>(((C71*D71*E71)+(G71*H71*I71)+(K71*L71*M71))/1000000)*35.32</f>
        <v>0.91549439999999993</v>
      </c>
      <c r="W71" s="46">
        <f>Q71/V71</f>
        <v>6.3899899333081667</v>
      </c>
      <c r="X71" s="1" t="s">
        <v>44</v>
      </c>
    </row>
    <row r="72" spans="1:24" ht="13.8" x14ac:dyDescent="0.3">
      <c r="A72" s="54" t="s">
        <v>225</v>
      </c>
      <c r="B72" s="53" t="s">
        <v>0</v>
      </c>
      <c r="C72" s="52">
        <v>73</v>
      </c>
      <c r="D72" s="52">
        <v>18</v>
      </c>
      <c r="E72" s="52">
        <v>9</v>
      </c>
      <c r="F72" s="52">
        <v>4250</v>
      </c>
      <c r="G72" s="31"/>
      <c r="H72" s="31"/>
      <c r="I72" s="31"/>
      <c r="J72" s="31"/>
      <c r="K72" s="30"/>
      <c r="L72" s="30"/>
      <c r="M72" s="30"/>
      <c r="N72" s="30"/>
      <c r="O72" s="17">
        <f>V72*$O$2</f>
        <v>2.5061659199999999</v>
      </c>
      <c r="P72" s="16">
        <f>F72+J72+N72</f>
        <v>4250</v>
      </c>
      <c r="Q72" s="15">
        <f>P72/1000</f>
        <v>4.25</v>
      </c>
      <c r="R72" s="14">
        <f>MAX(Q72,O72)</f>
        <v>4.25</v>
      </c>
      <c r="S72" s="50">
        <f>VLOOKUP(A72,[1]Index!$E:$M,8,)</f>
        <v>3369.9475699999994</v>
      </c>
      <c r="T72" s="49">
        <f>S72-P72</f>
        <v>-880.05243000000064</v>
      </c>
      <c r="U72" s="48">
        <f>T72/S72</f>
        <v>-0.26114721719542977</v>
      </c>
      <c r="V72" s="47">
        <f>(((C72*D72*E72)+(G72*H72*I72)+(K72*L72*M72))/1000000)*35.32</f>
        <v>0.41769432000000001</v>
      </c>
      <c r="W72" s="46">
        <f>Q72/V72</f>
        <v>10.174904940052812</v>
      </c>
      <c r="X72" s="1" t="s">
        <v>44</v>
      </c>
    </row>
    <row r="73" spans="1:24" ht="13.8" x14ac:dyDescent="0.3">
      <c r="A73" s="54" t="s">
        <v>224</v>
      </c>
      <c r="B73" s="53" t="s">
        <v>0</v>
      </c>
      <c r="C73" s="52">
        <v>24</v>
      </c>
      <c r="D73" s="52">
        <v>21</v>
      </c>
      <c r="E73" s="52">
        <v>10</v>
      </c>
      <c r="F73" s="52">
        <v>1500</v>
      </c>
      <c r="G73" s="31"/>
      <c r="H73" s="31"/>
      <c r="I73" s="31"/>
      <c r="J73" s="31"/>
      <c r="K73" s="30"/>
      <c r="L73" s="30"/>
      <c r="M73" s="30"/>
      <c r="N73" s="30"/>
      <c r="O73" s="17">
        <f>V73*$O$2</f>
        <v>1.0680768</v>
      </c>
      <c r="P73" s="16">
        <f>F73+J73+N73</f>
        <v>1500</v>
      </c>
      <c r="Q73" s="15">
        <f>P73/1000</f>
        <v>1.5</v>
      </c>
      <c r="R73" s="14">
        <f>MAX(Q73,O73)</f>
        <v>1.5</v>
      </c>
      <c r="S73" s="50">
        <f>VLOOKUP(A73,[1]Index!$E:$M,8,)</f>
        <v>1449</v>
      </c>
      <c r="T73" s="49">
        <f>S73-P73</f>
        <v>-51</v>
      </c>
      <c r="U73" s="48">
        <f>T73/S73</f>
        <v>-3.5196687370600416E-2</v>
      </c>
      <c r="V73" s="47">
        <f>(((C73*D73*E73)+(G73*H73*I73)+(K73*L73*M73))/1000000)*35.32</f>
        <v>0.1780128</v>
      </c>
      <c r="W73" s="46">
        <f>Q73/V73</f>
        <v>8.4263603516151644</v>
      </c>
      <c r="X73" s="1" t="s">
        <v>46</v>
      </c>
    </row>
    <row r="74" spans="1:24" ht="13.8" x14ac:dyDescent="0.3">
      <c r="A74" s="54" t="s">
        <v>223</v>
      </c>
      <c r="B74" s="53" t="s">
        <v>0</v>
      </c>
      <c r="C74" s="52">
        <v>23</v>
      </c>
      <c r="D74" s="52">
        <v>19</v>
      </c>
      <c r="E74" s="52">
        <v>12</v>
      </c>
      <c r="F74" s="52">
        <v>2000</v>
      </c>
      <c r="G74" s="31"/>
      <c r="H74" s="31"/>
      <c r="I74" s="31"/>
      <c r="J74" s="31"/>
      <c r="K74" s="30"/>
      <c r="L74" s="30"/>
      <c r="M74" s="30"/>
      <c r="N74" s="30"/>
      <c r="O74" s="17">
        <f>V74*$O$2</f>
        <v>1.1113084799999999</v>
      </c>
      <c r="P74" s="16">
        <f>F74+J74+N74</f>
        <v>2000</v>
      </c>
      <c r="Q74" s="15">
        <f>P74/1000</f>
        <v>2</v>
      </c>
      <c r="R74" s="14">
        <f>MAX(Q74,O74)</f>
        <v>2</v>
      </c>
      <c r="S74" s="50">
        <f>VLOOKUP(A74,[1]Index!$E:$M,8,)</f>
        <v>1555.6004139999998</v>
      </c>
      <c r="T74" s="49">
        <f>S74-P74</f>
        <v>-444.39958600000023</v>
      </c>
      <c r="U74" s="48">
        <f>T74/S74</f>
        <v>-0.28567720990591117</v>
      </c>
      <c r="V74" s="47">
        <f>(((C74*D74*E74)+(G74*H74*I74)+(K74*L74*M74))/1000000)*35.32</f>
        <v>0.18521808000000001</v>
      </c>
      <c r="W74" s="46">
        <f>Q74/V74</f>
        <v>10.798081915113254</v>
      </c>
      <c r="X74" s="1" t="s">
        <v>46</v>
      </c>
    </row>
    <row r="75" spans="1:24" ht="13.8" x14ac:dyDescent="0.3">
      <c r="A75" s="54" t="s">
        <v>222</v>
      </c>
      <c r="B75" s="53" t="s">
        <v>0</v>
      </c>
      <c r="C75" s="52">
        <v>23</v>
      </c>
      <c r="D75" s="52">
        <v>19</v>
      </c>
      <c r="E75" s="52">
        <v>20</v>
      </c>
      <c r="F75" s="52">
        <v>3000</v>
      </c>
      <c r="G75" s="31"/>
      <c r="H75" s="31"/>
      <c r="I75" s="31"/>
      <c r="J75" s="31"/>
      <c r="K75" s="30"/>
      <c r="L75" s="30"/>
      <c r="M75" s="30"/>
      <c r="N75" s="30"/>
      <c r="O75" s="17">
        <f>V75*$O$2</f>
        <v>1.8521808</v>
      </c>
      <c r="P75" s="16">
        <f>F75+J75+N75</f>
        <v>3000</v>
      </c>
      <c r="Q75" s="15">
        <f>P75/1000</f>
        <v>3</v>
      </c>
      <c r="R75" s="14">
        <f>MAX(Q75,O75)</f>
        <v>3</v>
      </c>
      <c r="S75" s="50">
        <f>VLOOKUP(A75,[1]Index!$E:$M,8,)</f>
        <v>3139.4920279999997</v>
      </c>
      <c r="T75" s="49">
        <f>S75-P75</f>
        <v>139.49202799999966</v>
      </c>
      <c r="U75" s="48">
        <f>T75/S75</f>
        <v>4.443140060746148E-2</v>
      </c>
      <c r="V75" s="47">
        <f>(((C75*D75*E75)+(G75*H75*I75)+(K75*L75*M75))/1000000)*35.32</f>
        <v>0.30869679999999999</v>
      </c>
      <c r="W75" s="46">
        <f>Q75/V75</f>
        <v>9.7182737236019285</v>
      </c>
      <c r="X75" s="1" t="s">
        <v>46</v>
      </c>
    </row>
    <row r="76" spans="1:24" ht="13.8" x14ac:dyDescent="0.3">
      <c r="A76" s="54" t="s">
        <v>221</v>
      </c>
      <c r="B76" s="53" t="s">
        <v>0</v>
      </c>
      <c r="C76" s="52">
        <v>104</v>
      </c>
      <c r="D76" s="52">
        <v>35</v>
      </c>
      <c r="E76" s="52">
        <v>10</v>
      </c>
      <c r="F76" s="52">
        <v>26000</v>
      </c>
      <c r="G76" s="31"/>
      <c r="H76" s="31"/>
      <c r="I76" s="31"/>
      <c r="J76" s="31"/>
      <c r="K76" s="30"/>
      <c r="L76" s="30"/>
      <c r="M76" s="30"/>
      <c r="N76" s="30"/>
      <c r="O76" s="17">
        <f>V76*$O$2</f>
        <v>7.7138880000000007</v>
      </c>
      <c r="P76" s="16">
        <f>F76+J76+N76</f>
        <v>26000</v>
      </c>
      <c r="Q76" s="15">
        <f>P76/1000</f>
        <v>26</v>
      </c>
      <c r="R76" s="14">
        <f>MAX(Q76,O76)</f>
        <v>26</v>
      </c>
      <c r="S76" s="50">
        <f>VLOOKUP(A76,[1]Index!$E:$M,8,)</f>
        <v>29602.150873460054</v>
      </c>
      <c r="T76" s="49">
        <f>S76-P76</f>
        <v>3602.1508734600538</v>
      </c>
      <c r="U76" s="48">
        <f>T76/S76</f>
        <v>0.12168544403608114</v>
      </c>
      <c r="V76" s="47">
        <f>(((C76*D76*E76)+(G76*H76*I76)+(K76*L76*M76))/1000000)*35.32</f>
        <v>1.2856480000000001</v>
      </c>
      <c r="W76" s="46">
        <f>Q76/V76</f>
        <v>20.223264843876393</v>
      </c>
      <c r="X76" s="1" t="s">
        <v>44</v>
      </c>
    </row>
    <row r="77" spans="1:24" ht="13.5" customHeight="1" x14ac:dyDescent="0.3">
      <c r="A77" s="54" t="s">
        <v>220</v>
      </c>
      <c r="B77" s="53" t="s">
        <v>0</v>
      </c>
      <c r="C77" s="52">
        <v>171</v>
      </c>
      <c r="D77" s="52">
        <v>33</v>
      </c>
      <c r="E77" s="52">
        <v>8</v>
      </c>
      <c r="F77" s="52">
        <v>21700</v>
      </c>
      <c r="G77" s="31"/>
      <c r="H77" s="31"/>
      <c r="I77" s="31"/>
      <c r="J77" s="31"/>
      <c r="K77" s="30"/>
      <c r="L77" s="30"/>
      <c r="M77" s="30"/>
      <c r="N77" s="30"/>
      <c r="O77" s="17">
        <f>V77*$O$2</f>
        <v>9.5669164799999997</v>
      </c>
      <c r="P77" s="16">
        <f>F77+J77+N77</f>
        <v>21700</v>
      </c>
      <c r="Q77" s="15">
        <f>P77/1000</f>
        <v>21.7</v>
      </c>
      <c r="R77" s="14">
        <f>MAX(Q77,O77)</f>
        <v>21.7</v>
      </c>
      <c r="S77" s="50">
        <f>VLOOKUP(A77,[1]Index!$E:$M,8,)</f>
        <v>19400.372871588843</v>
      </c>
      <c r="T77" s="49">
        <f>S77-P77</f>
        <v>-2299.6271284111572</v>
      </c>
      <c r="U77" s="48">
        <f>T77/S77</f>
        <v>-0.11853520257741434</v>
      </c>
      <c r="V77" s="47">
        <f>(((C77*D77*E77)+(G77*H77*I77)+(K77*L77*M77))/1000000)*35.32</f>
        <v>1.5944860799999998</v>
      </c>
      <c r="W77" s="46">
        <f>Q77/V77</f>
        <v>13.609400716750065</v>
      </c>
      <c r="X77" s="1" t="s">
        <v>44</v>
      </c>
    </row>
    <row r="78" spans="1:24" ht="13.8" x14ac:dyDescent="0.3">
      <c r="A78" s="54" t="s">
        <v>219</v>
      </c>
      <c r="B78" s="53" t="s">
        <v>0</v>
      </c>
      <c r="C78" s="52">
        <v>173</v>
      </c>
      <c r="D78" s="52">
        <v>35</v>
      </c>
      <c r="E78" s="52">
        <v>10</v>
      </c>
      <c r="F78" s="52">
        <v>31600</v>
      </c>
      <c r="G78" s="31"/>
      <c r="H78" s="31"/>
      <c r="I78" s="31"/>
      <c r="J78" s="31"/>
      <c r="K78" s="30"/>
      <c r="L78" s="30"/>
      <c r="M78" s="30"/>
      <c r="N78" s="30"/>
      <c r="O78" s="17">
        <f>V78*$O$2</f>
        <v>12.831755999999999</v>
      </c>
      <c r="P78" s="16">
        <f>F78+J78+N78</f>
        <v>31600</v>
      </c>
      <c r="Q78" s="15">
        <f>P78/1000</f>
        <v>31.6</v>
      </c>
      <c r="R78" s="14">
        <f>MAX(Q78,O78)</f>
        <v>31.6</v>
      </c>
      <c r="S78" s="50">
        <f>VLOOKUP(A78,[1]Index!$E:$M,8,)</f>
        <v>30973.521165725437</v>
      </c>
      <c r="T78" s="49">
        <f>S78-P78</f>
        <v>-626.47883427456327</v>
      </c>
      <c r="U78" s="48">
        <f>T78/S78</f>
        <v>-2.022627104366196E-2</v>
      </c>
      <c r="V78" s="47">
        <f>(((C78*D78*E78)+(G78*H78*I78)+(K78*L78*M78))/1000000)*35.32</f>
        <v>2.1386259999999999</v>
      </c>
      <c r="W78" s="46">
        <f>Q78/V78</f>
        <v>14.775842059340905</v>
      </c>
      <c r="X78" s="1" t="s">
        <v>44</v>
      </c>
    </row>
    <row r="79" spans="1:24" ht="13.8" x14ac:dyDescent="0.3">
      <c r="A79" s="54" t="s">
        <v>218</v>
      </c>
      <c r="B79" s="53" t="s">
        <v>0</v>
      </c>
      <c r="C79" s="52">
        <v>71.5</v>
      </c>
      <c r="D79" s="52">
        <v>16</v>
      </c>
      <c r="E79" s="52">
        <v>6</v>
      </c>
      <c r="F79" s="52">
        <v>3000</v>
      </c>
      <c r="G79" s="31"/>
      <c r="H79" s="31"/>
      <c r="I79" s="31"/>
      <c r="J79" s="31"/>
      <c r="K79" s="30"/>
      <c r="L79" s="30"/>
      <c r="M79" s="30"/>
      <c r="N79" s="30"/>
      <c r="O79" s="17">
        <f>V79*$O$2</f>
        <v>1.4546188799999999</v>
      </c>
      <c r="P79" s="16">
        <f>F79+J79+N79</f>
        <v>3000</v>
      </c>
      <c r="Q79" s="15">
        <f>P79/1000</f>
        <v>3</v>
      </c>
      <c r="R79" s="14">
        <f>MAX(Q79,O79)</f>
        <v>3</v>
      </c>
      <c r="S79" s="50">
        <f>VLOOKUP(A79,[1]Index!$E:$M,8,)</f>
        <v>2996.66457665915</v>
      </c>
      <c r="T79" s="49">
        <f>S79-P79</f>
        <v>-3.3354233408499567</v>
      </c>
      <c r="U79" s="48">
        <f>T79/S79</f>
        <v>-1.1130452726772892E-3</v>
      </c>
      <c r="V79" s="47">
        <f>(((C79*D79*E79)+(G79*H79*I79)+(K79*L79*M79))/1000000)*35.32</f>
        <v>0.24243648000000001</v>
      </c>
      <c r="W79" s="46">
        <f>Q79/V79</f>
        <v>12.374375341532758</v>
      </c>
      <c r="X79" s="1" t="s">
        <v>46</v>
      </c>
    </row>
    <row r="80" spans="1:24" ht="13.8" x14ac:dyDescent="0.3">
      <c r="A80" s="54" t="s">
        <v>217</v>
      </c>
      <c r="B80" s="53" t="s">
        <v>0</v>
      </c>
      <c r="C80" s="52">
        <v>68</v>
      </c>
      <c r="D80" s="52">
        <v>29</v>
      </c>
      <c r="E80" s="52">
        <v>23</v>
      </c>
      <c r="F80" s="52">
        <v>23450</v>
      </c>
      <c r="G80" s="31"/>
      <c r="H80" s="31"/>
      <c r="I80" s="31"/>
      <c r="J80" s="31"/>
      <c r="K80" s="30"/>
      <c r="L80" s="30"/>
      <c r="M80" s="30"/>
      <c r="N80" s="30"/>
      <c r="O80" s="17">
        <f>V80*$O$2</f>
        <v>9.6118435200000008</v>
      </c>
      <c r="P80" s="16">
        <f>F80+J80+N80</f>
        <v>23450</v>
      </c>
      <c r="Q80" s="15">
        <f>P80/1000</f>
        <v>23.45</v>
      </c>
      <c r="R80" s="14">
        <f>MAX(Q80,O80)</f>
        <v>23.45</v>
      </c>
      <c r="S80" s="50">
        <f>VLOOKUP(A80,[1]Index!$E:$M,8,)</f>
        <v>22345.207717199999</v>
      </c>
      <c r="T80" s="49">
        <f>S80-P80</f>
        <v>-1104.792282800001</v>
      </c>
      <c r="U80" s="48">
        <f>T80/S80</f>
        <v>-4.9442023398583057E-2</v>
      </c>
      <c r="V80" s="47">
        <f>(((C80*D80*E80)+(G80*H80*I80)+(K80*L80*M80))/1000000)*35.32</f>
        <v>1.6019739200000001</v>
      </c>
      <c r="W80" s="46">
        <f>Q80/V80</f>
        <v>14.638190863931166</v>
      </c>
      <c r="X80" s="1" t="s">
        <v>44</v>
      </c>
    </row>
    <row r="81" spans="1:24" ht="12.45" customHeight="1" x14ac:dyDescent="0.3">
      <c r="A81" s="54" t="s">
        <v>216</v>
      </c>
      <c r="B81" s="53" t="s">
        <v>0</v>
      </c>
      <c r="C81" s="52">
        <v>96</v>
      </c>
      <c r="D81" s="52">
        <v>23</v>
      </c>
      <c r="E81" s="52">
        <v>10</v>
      </c>
      <c r="F81" s="52">
        <v>8200</v>
      </c>
      <c r="G81" s="31"/>
      <c r="H81" s="31"/>
      <c r="I81" s="31"/>
      <c r="J81" s="31"/>
      <c r="K81" s="30"/>
      <c r="L81" s="30"/>
      <c r="M81" s="30"/>
      <c r="N81" s="30"/>
      <c r="O81" s="17">
        <f>V81*$O$2</f>
        <v>4.6791935999999996</v>
      </c>
      <c r="P81" s="16">
        <f>F81+J81+N81</f>
        <v>8200</v>
      </c>
      <c r="Q81" s="15">
        <f>P81/1000</f>
        <v>8.1999999999999993</v>
      </c>
      <c r="R81" s="14">
        <f>MAX(Q81,O81)</f>
        <v>8.1999999999999993</v>
      </c>
      <c r="S81" s="50">
        <f>VLOOKUP(A81,[1]Index!$E:$M,8,)</f>
        <v>7783.6330850269624</v>
      </c>
      <c r="T81" s="49">
        <f>S81-P81</f>
        <v>-416.36691497303764</v>
      </c>
      <c r="U81" s="48">
        <f>T81/S81</f>
        <v>-5.3492618475809786E-2</v>
      </c>
      <c r="V81" s="47">
        <f>(((C81*D81*E81)+(G81*H81*I81)+(K81*L81*M81))/1000000)*35.32</f>
        <v>0.77986559999999994</v>
      </c>
      <c r="W81" s="46">
        <f>Q81/V81</f>
        <v>10.514632264841532</v>
      </c>
      <c r="X81" s="1" t="s">
        <v>44</v>
      </c>
    </row>
    <row r="82" spans="1:24" ht="13.8" x14ac:dyDescent="0.3">
      <c r="A82" s="54" t="s">
        <v>215</v>
      </c>
      <c r="B82" s="53" t="s">
        <v>0</v>
      </c>
      <c r="C82" s="52">
        <v>67</v>
      </c>
      <c r="D82" s="52">
        <v>19</v>
      </c>
      <c r="E82" s="52">
        <v>10</v>
      </c>
      <c r="F82" s="52">
        <v>4300</v>
      </c>
      <c r="G82" s="31"/>
      <c r="H82" s="31"/>
      <c r="I82" s="31"/>
      <c r="J82" s="31"/>
      <c r="K82" s="30"/>
      <c r="L82" s="30"/>
      <c r="M82" s="30"/>
      <c r="N82" s="30"/>
      <c r="O82" s="17">
        <f>V82*$O$2</f>
        <v>2.6977416000000001</v>
      </c>
      <c r="P82" s="16">
        <f>F82+J82+N82</f>
        <v>4300</v>
      </c>
      <c r="Q82" s="15">
        <f>P82/1000</f>
        <v>4.3</v>
      </c>
      <c r="R82" s="14">
        <f>MAX(Q82,O82)</f>
        <v>4.3</v>
      </c>
      <c r="S82" s="50">
        <f>VLOOKUP(A82,[1]Index!$E:$M,8,)</f>
        <v>3912.0798190786336</v>
      </c>
      <c r="T82" s="49">
        <f>S82-P82</f>
        <v>-387.92018092136641</v>
      </c>
      <c r="U82" s="48">
        <f>T82/S82</f>
        <v>-9.9159577222718509E-2</v>
      </c>
      <c r="V82" s="47">
        <f>(((C82*D82*E82)+(G82*H82*I82)+(K82*L82*M82))/1000000)*35.32</f>
        <v>0.44962360000000001</v>
      </c>
      <c r="W82" s="46">
        <f>Q82/V82</f>
        <v>9.563554937952544</v>
      </c>
      <c r="X82" s="1" t="s">
        <v>46</v>
      </c>
    </row>
    <row r="83" spans="1:24" ht="13.8" x14ac:dyDescent="0.3">
      <c r="A83" s="54" t="s">
        <v>214</v>
      </c>
      <c r="B83" s="53" t="s">
        <v>0</v>
      </c>
      <c r="C83" s="52">
        <v>156</v>
      </c>
      <c r="D83" s="52">
        <v>36</v>
      </c>
      <c r="E83" s="52">
        <v>10</v>
      </c>
      <c r="F83" s="52">
        <v>22900</v>
      </c>
      <c r="G83" s="31"/>
      <c r="H83" s="31"/>
      <c r="I83" s="31"/>
      <c r="J83" s="31"/>
      <c r="K83" s="30"/>
      <c r="L83" s="30"/>
      <c r="M83" s="30"/>
      <c r="N83" s="30"/>
      <c r="O83" s="17">
        <f>V83*$O$2</f>
        <v>11.901427200000001</v>
      </c>
      <c r="P83" s="16">
        <f>F83+J83+N83</f>
        <v>22900</v>
      </c>
      <c r="Q83" s="15">
        <f>P83/1000</f>
        <v>22.9</v>
      </c>
      <c r="R83" s="14">
        <f>MAX(Q83,O83)</f>
        <v>22.9</v>
      </c>
      <c r="S83" s="50">
        <f>VLOOKUP(A83,[1]Index!$E:$M,8,)</f>
        <v>19357.318716239995</v>
      </c>
      <c r="T83" s="49">
        <f>S83-P83</f>
        <v>-3542.6812837600046</v>
      </c>
      <c r="U83" s="48">
        <f>T83/S83</f>
        <v>-0.18301508259962887</v>
      </c>
      <c r="V83" s="47">
        <f>(((C83*D83*E83)+(G83*H83*I83)+(K83*L83*M83))/1000000)*35.32</f>
        <v>1.9835712000000001</v>
      </c>
      <c r="W83" s="46">
        <f>Q83/V83</f>
        <v>11.544833883452229</v>
      </c>
      <c r="X83" s="1" t="s">
        <v>46</v>
      </c>
    </row>
    <row r="84" spans="1:24" ht="13.8" x14ac:dyDescent="0.3">
      <c r="A84" s="54" t="s">
        <v>213</v>
      </c>
      <c r="B84" s="53" t="s">
        <v>0</v>
      </c>
      <c r="C84" s="52">
        <v>87</v>
      </c>
      <c r="D84" s="52">
        <v>22</v>
      </c>
      <c r="E84" s="52">
        <v>9</v>
      </c>
      <c r="F84" s="52">
        <v>6800</v>
      </c>
      <c r="G84" s="31"/>
      <c r="H84" s="31"/>
      <c r="I84" s="31"/>
      <c r="J84" s="31"/>
      <c r="K84" s="30"/>
      <c r="L84" s="30"/>
      <c r="M84" s="30"/>
      <c r="N84" s="30"/>
      <c r="O84" s="17">
        <f>V84*$O$2</f>
        <v>3.6505339200000004</v>
      </c>
      <c r="P84" s="16">
        <f>F84+J84+N84</f>
        <v>6800</v>
      </c>
      <c r="Q84" s="15">
        <f>P84/1000</f>
        <v>6.8</v>
      </c>
      <c r="R84" s="14">
        <f>MAX(Q84,O84)</f>
        <v>6.8</v>
      </c>
      <c r="S84" s="50">
        <f>VLOOKUP(A84,[1]Index!$E:$M,8,)</f>
        <v>5887.7036339999995</v>
      </c>
      <c r="T84" s="49">
        <f>S84-P84</f>
        <v>-912.29636600000049</v>
      </c>
      <c r="U84" s="48">
        <f>T84/S84</f>
        <v>-0.15494943745668849</v>
      </c>
      <c r="V84" s="47">
        <f>(((C84*D84*E84)+(G84*H84*I84)+(K84*L84*M84))/1000000)*35.32</f>
        <v>0.60842232000000007</v>
      </c>
      <c r="W84" s="46">
        <f>Q84/V84</f>
        <v>11.176447307192804</v>
      </c>
      <c r="X84" s="1" t="s">
        <v>44</v>
      </c>
    </row>
    <row r="85" spans="1:24" ht="13.8" x14ac:dyDescent="0.3">
      <c r="A85" s="54" t="s">
        <v>212</v>
      </c>
      <c r="B85" s="53" t="s">
        <v>0</v>
      </c>
      <c r="C85" s="52">
        <v>159</v>
      </c>
      <c r="D85" s="52">
        <v>29</v>
      </c>
      <c r="E85" s="52">
        <v>10</v>
      </c>
      <c r="F85" s="52">
        <v>25600</v>
      </c>
      <c r="G85" s="31"/>
      <c r="H85" s="31"/>
      <c r="I85" s="31"/>
      <c r="J85" s="31"/>
      <c r="K85" s="30"/>
      <c r="L85" s="30"/>
      <c r="M85" s="30"/>
      <c r="N85" s="30"/>
      <c r="O85" s="17">
        <f>V85*$O$2</f>
        <v>9.7716311999999999</v>
      </c>
      <c r="P85" s="16">
        <f>F85+J85+N85</f>
        <v>25600</v>
      </c>
      <c r="Q85" s="15">
        <f>P85/1000</f>
        <v>25.6</v>
      </c>
      <c r="R85" s="14">
        <f>MAX(Q85,O85)</f>
        <v>25.6</v>
      </c>
      <c r="S85" s="50">
        <f>VLOOKUP(A85,[1]Index!$E:$M,8,)</f>
        <v>24424.470876166873</v>
      </c>
      <c r="T85" s="49">
        <f>S85-P85</f>
        <v>-1175.5291238331265</v>
      </c>
      <c r="U85" s="48">
        <f>T85/S85</f>
        <v>-4.8129154150078013E-2</v>
      </c>
      <c r="V85" s="47">
        <f>(((C85*D85*E85)+(G85*H85*I85)+(K85*L85*M85))/1000000)*35.32</f>
        <v>1.6286052</v>
      </c>
      <c r="W85" s="46">
        <f>Q85/V85</f>
        <v>15.71897228376773</v>
      </c>
      <c r="X85" s="1" t="s">
        <v>44</v>
      </c>
    </row>
    <row r="86" spans="1:24" ht="13.8" x14ac:dyDescent="0.3">
      <c r="A86" s="54" t="s">
        <v>211</v>
      </c>
      <c r="B86" s="53" t="s">
        <v>0</v>
      </c>
      <c r="C86" s="52">
        <v>84</v>
      </c>
      <c r="D86" s="52">
        <v>29</v>
      </c>
      <c r="E86" s="52">
        <v>10</v>
      </c>
      <c r="F86" s="52">
        <v>11000</v>
      </c>
      <c r="G86" s="31"/>
      <c r="H86" s="31"/>
      <c r="I86" s="31"/>
      <c r="J86" s="31"/>
      <c r="K86" s="30"/>
      <c r="L86" s="30"/>
      <c r="M86" s="30"/>
      <c r="N86" s="30"/>
      <c r="O86" s="17">
        <f>V86*$O$2</f>
        <v>5.1623711999999999</v>
      </c>
      <c r="P86" s="16">
        <f>F86+J86+N86</f>
        <v>11000</v>
      </c>
      <c r="Q86" s="15">
        <f>P86/1000</f>
        <v>11</v>
      </c>
      <c r="R86" s="14">
        <f>MAX(Q86,O86)</f>
        <v>11</v>
      </c>
      <c r="S86" s="50">
        <f>VLOOKUP(A86,[1]Index!$E:$M,8,)</f>
        <v>11627.002038834884</v>
      </c>
      <c r="T86" s="49">
        <f>S86-P86</f>
        <v>627.00203883488393</v>
      </c>
      <c r="U86" s="48">
        <f>T86/S86</f>
        <v>5.3926372141387742E-2</v>
      </c>
      <c r="V86" s="47">
        <f>(((C86*D86*E86)+(G86*H86*I86)+(K86*L86*M86))/1000000)*35.32</f>
        <v>0.86039520000000003</v>
      </c>
      <c r="W86" s="46">
        <f>Q86/V86</f>
        <v>12.784822602450594</v>
      </c>
      <c r="X86" s="1" t="s">
        <v>46</v>
      </c>
    </row>
    <row r="87" spans="1:24" ht="13.8" x14ac:dyDescent="0.3">
      <c r="A87" s="54" t="s">
        <v>210</v>
      </c>
      <c r="B87" s="53" t="s">
        <v>0</v>
      </c>
      <c r="C87" s="52">
        <v>121</v>
      </c>
      <c r="D87" s="52">
        <v>45</v>
      </c>
      <c r="E87" s="52">
        <v>6</v>
      </c>
      <c r="F87" s="52">
        <v>10000</v>
      </c>
      <c r="G87" s="31"/>
      <c r="H87" s="31"/>
      <c r="I87" s="31"/>
      <c r="J87" s="31"/>
      <c r="K87" s="30"/>
      <c r="L87" s="30"/>
      <c r="M87" s="30"/>
      <c r="N87" s="30"/>
      <c r="O87" s="17">
        <f>V87*$O$2</f>
        <v>6.9234263999999985</v>
      </c>
      <c r="P87" s="16">
        <f>F87+J87+N87</f>
        <v>10000</v>
      </c>
      <c r="Q87" s="15">
        <f>P87/1000</f>
        <v>10</v>
      </c>
      <c r="R87" s="14">
        <f>MAX(Q87,O87)</f>
        <v>10</v>
      </c>
      <c r="S87" s="50">
        <f>VLOOKUP(A87,[1]Index!$E:$M,8,)</f>
        <v>10006.43541886843</v>
      </c>
      <c r="T87" s="49">
        <f>S87-P87</f>
        <v>6.4354188684301334</v>
      </c>
      <c r="U87" s="48">
        <f>T87/S87</f>
        <v>6.4312800703188644E-4</v>
      </c>
      <c r="V87" s="47">
        <f>(((C87*D87*E87)+(G87*H87*I87)+(K87*L87*M87))/1000000)*35.32</f>
        <v>1.1539043999999998</v>
      </c>
      <c r="W87" s="46">
        <f>Q87/V87</f>
        <v>8.666229195416884</v>
      </c>
      <c r="X87" s="1" t="s">
        <v>46</v>
      </c>
    </row>
    <row r="88" spans="1:24" ht="13.8" x14ac:dyDescent="0.3">
      <c r="A88" s="54" t="s">
        <v>209</v>
      </c>
      <c r="B88" s="53" t="s">
        <v>0</v>
      </c>
      <c r="C88" s="52">
        <v>70</v>
      </c>
      <c r="D88" s="52">
        <v>13</v>
      </c>
      <c r="E88" s="52">
        <v>5</v>
      </c>
      <c r="F88" s="52">
        <v>2200</v>
      </c>
      <c r="G88" s="31"/>
      <c r="H88" s="31"/>
      <c r="I88" s="31"/>
      <c r="J88" s="31"/>
      <c r="K88" s="30"/>
      <c r="L88" s="30"/>
      <c r="M88" s="30"/>
      <c r="N88" s="30"/>
      <c r="O88" s="17">
        <f>V88*$O$2</f>
        <v>0.96423600000000009</v>
      </c>
      <c r="P88" s="16">
        <f>F88+J88+N88</f>
        <v>2200</v>
      </c>
      <c r="Q88" s="15">
        <f>P88/1000</f>
        <v>2.2000000000000002</v>
      </c>
      <c r="R88" s="14">
        <f>MAX(Q88,O88)</f>
        <v>2.2000000000000002</v>
      </c>
      <c r="S88" s="50">
        <f>VLOOKUP(A88,[1]Index!$E:$M,8,)</f>
        <v>1993.5528540139287</v>
      </c>
      <c r="T88" s="49">
        <f>S88-P88</f>
        <v>-206.44714598607129</v>
      </c>
      <c r="U88" s="48">
        <f>T88/S88</f>
        <v>-0.10355739782388979</v>
      </c>
      <c r="V88" s="47">
        <f>(((C88*D88*E88)+(G88*H88*I88)+(K88*L88*M88))/1000000)*35.32</f>
        <v>0.16070600000000002</v>
      </c>
      <c r="W88" s="46">
        <f>Q88/V88</f>
        <v>13.689594663547098</v>
      </c>
      <c r="X88" s="1" t="s">
        <v>44</v>
      </c>
    </row>
    <row r="89" spans="1:24" ht="13.8" x14ac:dyDescent="0.3">
      <c r="A89" s="54" t="s">
        <v>208</v>
      </c>
      <c r="B89" s="53" t="s">
        <v>0</v>
      </c>
      <c r="C89" s="52">
        <v>75</v>
      </c>
      <c r="D89" s="52">
        <v>36</v>
      </c>
      <c r="E89" s="52">
        <v>5</v>
      </c>
      <c r="F89" s="52">
        <v>3725</v>
      </c>
      <c r="G89" s="31"/>
      <c r="H89" s="31"/>
      <c r="I89" s="31"/>
      <c r="J89" s="31"/>
      <c r="K89" s="30"/>
      <c r="L89" s="30"/>
      <c r="M89" s="30"/>
      <c r="N89" s="30"/>
      <c r="O89" s="17">
        <f>V89*$O$2</f>
        <v>2.8609200000000001</v>
      </c>
      <c r="P89" s="16">
        <f>F89+J89+N89</f>
        <v>3725</v>
      </c>
      <c r="Q89" s="15">
        <f>P89/1000</f>
        <v>3.7250000000000001</v>
      </c>
      <c r="R89" s="14">
        <f>MAX(Q89,O89)</f>
        <v>3.7250000000000001</v>
      </c>
      <c r="S89" s="50">
        <f>VLOOKUP(A89,[1]Index!$E:$M,8,)</f>
        <v>3966.7730839718715</v>
      </c>
      <c r="T89" s="49">
        <f>S89-P89</f>
        <v>241.77308397187153</v>
      </c>
      <c r="U89" s="48">
        <f>T89/S89</f>
        <v>6.0949562491683464E-2</v>
      </c>
      <c r="V89" s="47">
        <f>(((C89*D89*E89)+(G89*H89*I89)+(K89*L89*M89))/1000000)*35.32</f>
        <v>0.47682000000000002</v>
      </c>
      <c r="W89" s="46">
        <f>Q89/V89</f>
        <v>7.8121723082085479</v>
      </c>
      <c r="X89" s="1" t="s">
        <v>46</v>
      </c>
    </row>
    <row r="90" spans="1:24" ht="13.8" x14ac:dyDescent="0.3">
      <c r="A90" s="54" t="s">
        <v>207</v>
      </c>
      <c r="B90" s="53" t="s">
        <v>0</v>
      </c>
      <c r="C90" s="52">
        <v>65</v>
      </c>
      <c r="D90" s="52">
        <v>35</v>
      </c>
      <c r="E90" s="52">
        <v>6</v>
      </c>
      <c r="F90" s="52">
        <v>5700</v>
      </c>
      <c r="G90" s="31"/>
      <c r="H90" s="31"/>
      <c r="I90" s="31"/>
      <c r="J90" s="31"/>
      <c r="K90" s="30"/>
      <c r="L90" s="30"/>
      <c r="M90" s="30"/>
      <c r="N90" s="30"/>
      <c r="O90" s="17">
        <f>V90*$O$2</f>
        <v>2.8927080000000003</v>
      </c>
      <c r="P90" s="16">
        <f>F90+J90+N90</f>
        <v>5700</v>
      </c>
      <c r="Q90" s="15">
        <f>P90/1000</f>
        <v>5.7</v>
      </c>
      <c r="R90" s="14">
        <f>MAX(Q90,O90)</f>
        <v>5.7</v>
      </c>
      <c r="S90" s="50">
        <f>VLOOKUP(A90,[1]Index!$E:$M,8,)</f>
        <v>5306.443301371256</v>
      </c>
      <c r="T90" s="49">
        <f>S90-P90</f>
        <v>-393.55669862874402</v>
      </c>
      <c r="U90" s="48">
        <f>T90/S90</f>
        <v>-7.416581621197077E-2</v>
      </c>
      <c r="V90" s="47">
        <f>(((C90*D90*E90)+(G90*H90*I90)+(K90*L90*M90))/1000000)*35.32</f>
        <v>0.48211800000000005</v>
      </c>
      <c r="W90" s="46">
        <f>Q90/V90</f>
        <v>11.822831754881584</v>
      </c>
      <c r="X90" s="1" t="s">
        <v>44</v>
      </c>
    </row>
    <row r="91" spans="1:24" ht="13.8" x14ac:dyDescent="0.3">
      <c r="A91" s="54" t="s">
        <v>206</v>
      </c>
      <c r="B91" s="53" t="s">
        <v>0</v>
      </c>
      <c r="C91" s="52">
        <v>119</v>
      </c>
      <c r="D91" s="52">
        <v>35</v>
      </c>
      <c r="E91" s="52">
        <v>6</v>
      </c>
      <c r="F91" s="52">
        <v>6900</v>
      </c>
      <c r="G91" s="31"/>
      <c r="H91" s="31"/>
      <c r="I91" s="31"/>
      <c r="J91" s="31"/>
      <c r="K91" s="30"/>
      <c r="L91" s="30"/>
      <c r="M91" s="30"/>
      <c r="N91" s="30"/>
      <c r="O91" s="17">
        <f>V91*$O$2</f>
        <v>5.2958807999999999</v>
      </c>
      <c r="P91" s="16">
        <f>F91+J91+N91</f>
        <v>6900</v>
      </c>
      <c r="Q91" s="15">
        <f>P91/1000</f>
        <v>6.9</v>
      </c>
      <c r="R91" s="14">
        <f>MAX(Q91,O91)</f>
        <v>6.9</v>
      </c>
      <c r="S91" s="50" t="e">
        <f>VLOOKUP(A91,[1]Index!$E:$M,8,)</f>
        <v>#N/A</v>
      </c>
      <c r="T91" s="49" t="e">
        <f>S91-P91</f>
        <v>#N/A</v>
      </c>
      <c r="U91" s="48" t="e">
        <f>T91/S91</f>
        <v>#N/A</v>
      </c>
      <c r="V91" s="47">
        <f>(((C91*D91*E91)+(G91*H91*I91)+(K91*L91*M91))/1000000)*35.32</f>
        <v>0.88264679999999995</v>
      </c>
      <c r="W91" s="46">
        <f>Q91/V91</f>
        <v>7.8173964942715486</v>
      </c>
      <c r="X91" s="1" t="s">
        <v>46</v>
      </c>
    </row>
    <row r="92" spans="1:24" ht="13.8" x14ac:dyDescent="0.3">
      <c r="A92" s="54" t="s">
        <v>205</v>
      </c>
      <c r="B92" s="53" t="s">
        <v>0</v>
      </c>
      <c r="C92" s="52">
        <v>179</v>
      </c>
      <c r="D92" s="52">
        <v>34</v>
      </c>
      <c r="E92" s="52">
        <v>10</v>
      </c>
      <c r="F92" s="52">
        <v>31650</v>
      </c>
      <c r="G92" s="31"/>
      <c r="H92" s="31"/>
      <c r="I92" s="31"/>
      <c r="J92" s="31"/>
      <c r="K92" s="30"/>
      <c r="L92" s="30"/>
      <c r="M92" s="30"/>
      <c r="N92" s="30"/>
      <c r="O92" s="17">
        <f>V92*$O$2</f>
        <v>12.897451200000001</v>
      </c>
      <c r="P92" s="16">
        <f>F92+J92+N92</f>
        <v>31650</v>
      </c>
      <c r="Q92" s="15">
        <f>P92/1000</f>
        <v>31.65</v>
      </c>
      <c r="R92" s="14">
        <f>MAX(Q92,O92)</f>
        <v>31.65</v>
      </c>
      <c r="S92" s="50">
        <f>VLOOKUP(A92,[1]Index!$E:$M,8,)</f>
        <v>30989.688886831995</v>
      </c>
      <c r="T92" s="49">
        <f>S92-P92</f>
        <v>-660.31111316800525</v>
      </c>
      <c r="U92" s="48">
        <f>T92/S92</f>
        <v>-2.1307445698449133E-2</v>
      </c>
      <c r="V92" s="47">
        <f>(((C92*D92*E92)+(G92*H92*I92)+(K92*L92*M92))/1000000)*35.32</f>
        <v>2.1495752000000001</v>
      </c>
      <c r="W92" s="46">
        <f>Q92/V92</f>
        <v>14.723839389289566</v>
      </c>
      <c r="X92" s="1" t="s">
        <v>46</v>
      </c>
    </row>
    <row r="93" spans="1:24" ht="13.8" x14ac:dyDescent="0.3">
      <c r="A93" s="54" t="s">
        <v>204</v>
      </c>
      <c r="B93" s="53" t="s">
        <v>0</v>
      </c>
      <c r="C93" s="52">
        <v>163</v>
      </c>
      <c r="D93" s="52">
        <v>35</v>
      </c>
      <c r="E93" s="52">
        <v>10</v>
      </c>
      <c r="F93" s="52">
        <v>24250</v>
      </c>
      <c r="G93" s="31"/>
      <c r="H93" s="31"/>
      <c r="I93" s="31"/>
      <c r="J93" s="31"/>
      <c r="K93" s="30"/>
      <c r="L93" s="30"/>
      <c r="M93" s="30"/>
      <c r="N93" s="30"/>
      <c r="O93" s="17">
        <f>V93*$O$2</f>
        <v>12.090036000000001</v>
      </c>
      <c r="P93" s="16">
        <f>F93+J93+N93</f>
        <v>24250</v>
      </c>
      <c r="Q93" s="15">
        <f>P93/1000</f>
        <v>24.25</v>
      </c>
      <c r="R93" s="14">
        <f>MAX(Q93,O93)</f>
        <v>24.25</v>
      </c>
      <c r="S93" s="50">
        <f>VLOOKUP(A93,[1]Index!$E:$M,8,)</f>
        <v>25251.797173840478</v>
      </c>
      <c r="T93" s="49">
        <f>S93-P93</f>
        <v>1001.7971738404776</v>
      </c>
      <c r="U93" s="48">
        <f>T93/S93</f>
        <v>3.9672311912844219E-2</v>
      </c>
      <c r="V93" s="47">
        <f>(((C93*D93*E93)+(G93*H93*I93)+(K93*L93*M93))/1000000)*35.32</f>
        <v>2.0150060000000001</v>
      </c>
      <c r="W93" s="46">
        <f>Q93/V93</f>
        <v>12.03470361874853</v>
      </c>
      <c r="X93" s="1" t="s">
        <v>44</v>
      </c>
    </row>
    <row r="94" spans="1:24" ht="12.45" customHeight="1" x14ac:dyDescent="0.3">
      <c r="A94" s="54" t="s">
        <v>203</v>
      </c>
      <c r="B94" s="53" t="s">
        <v>0</v>
      </c>
      <c r="C94" s="52">
        <v>149</v>
      </c>
      <c r="D94" s="52">
        <v>32</v>
      </c>
      <c r="E94" s="52">
        <v>4</v>
      </c>
      <c r="F94" s="52">
        <v>8000</v>
      </c>
      <c r="G94" s="31"/>
      <c r="H94" s="31"/>
      <c r="I94" s="31"/>
      <c r="J94" s="31"/>
      <c r="K94" s="30"/>
      <c r="L94" s="30"/>
      <c r="M94" s="30"/>
      <c r="N94" s="30"/>
      <c r="O94" s="17">
        <f>V94*$O$2</f>
        <v>4.0417382399999999</v>
      </c>
      <c r="P94" s="16">
        <f>F94+J94+N94</f>
        <v>8000</v>
      </c>
      <c r="Q94" s="15">
        <f>P94/1000</f>
        <v>8</v>
      </c>
      <c r="R94" s="14">
        <f>MAX(Q94,O94)</f>
        <v>8</v>
      </c>
      <c r="S94" s="50">
        <f>VLOOKUP(A94,[1]Index!$E:$M,8,)</f>
        <v>7755.8802847764855</v>
      </c>
      <c r="T94" s="49">
        <f>S94-P94</f>
        <v>-244.1197152235145</v>
      </c>
      <c r="U94" s="48">
        <f>T94/S94</f>
        <v>-3.1475436218720558E-2</v>
      </c>
      <c r="V94" s="47">
        <f>(((C94*D94*E94)+(G94*H94*I94)+(K94*L94*M94))/1000000)*35.32</f>
        <v>0.67362303999999995</v>
      </c>
      <c r="W94" s="46">
        <f>Q94/V94</f>
        <v>11.876078347913991</v>
      </c>
      <c r="X94" s="1" t="s">
        <v>44</v>
      </c>
    </row>
    <row r="95" spans="1:24" ht="14.4" customHeight="1" x14ac:dyDescent="0.3">
      <c r="A95" s="54" t="s">
        <v>202</v>
      </c>
      <c r="B95" s="53" t="s">
        <v>0</v>
      </c>
      <c r="C95" s="52">
        <v>144</v>
      </c>
      <c r="D95" s="52">
        <v>20</v>
      </c>
      <c r="E95" s="52">
        <v>7</v>
      </c>
      <c r="F95" s="52">
        <v>7915</v>
      </c>
      <c r="G95" s="31"/>
      <c r="H95" s="31"/>
      <c r="I95" s="31"/>
      <c r="J95" s="31"/>
      <c r="K95" s="30"/>
      <c r="L95" s="30"/>
      <c r="M95" s="30"/>
      <c r="N95" s="30"/>
      <c r="O95" s="17">
        <f>V95*$O$2</f>
        <v>4.2723072000000002</v>
      </c>
      <c r="P95" s="16">
        <f>F95+J95+N95</f>
        <v>7915</v>
      </c>
      <c r="Q95" s="15">
        <f>P95/1000</f>
        <v>7.915</v>
      </c>
      <c r="R95" s="14">
        <f>MAX(Q95,O95)</f>
        <v>7.915</v>
      </c>
      <c r="S95" s="50">
        <f>VLOOKUP(A95,[1]Index!$E:$M,8,)</f>
        <v>7575.6294453454093</v>
      </c>
      <c r="T95" s="49">
        <f>S95-P95</f>
        <v>-339.37055465459071</v>
      </c>
      <c r="U95" s="48">
        <f>T95/S95</f>
        <v>-4.4797670887018574E-2</v>
      </c>
      <c r="V95" s="47">
        <f>(((C95*D95*E95)+(G95*H95*I95)+(K95*L95*M95))/1000000)*35.32</f>
        <v>0.7120512</v>
      </c>
      <c r="W95" s="46">
        <f>Q95/V95</f>
        <v>11.115773697172338</v>
      </c>
      <c r="X95" s="1" t="s">
        <v>44</v>
      </c>
    </row>
    <row r="96" spans="1:24" ht="13.8" x14ac:dyDescent="0.3">
      <c r="A96" s="54" t="s">
        <v>201</v>
      </c>
      <c r="B96" s="53" t="s">
        <v>0</v>
      </c>
      <c r="C96" s="52">
        <v>159</v>
      </c>
      <c r="D96" s="52">
        <v>30</v>
      </c>
      <c r="E96" s="52">
        <v>9</v>
      </c>
      <c r="F96" s="52">
        <v>19700</v>
      </c>
      <c r="G96" s="31"/>
      <c r="H96" s="31"/>
      <c r="I96" s="31"/>
      <c r="J96" s="31"/>
      <c r="K96" s="30"/>
      <c r="L96" s="30"/>
      <c r="M96" s="30"/>
      <c r="N96" s="30"/>
      <c r="O96" s="17">
        <f>V96*$O$2</f>
        <v>9.0977256000000004</v>
      </c>
      <c r="P96" s="16">
        <f>F96+J96+N96</f>
        <v>19700</v>
      </c>
      <c r="Q96" s="15">
        <f>P96/1000</f>
        <v>19.7</v>
      </c>
      <c r="R96" s="14">
        <f>MAX(Q96,O96)</f>
        <v>19.7</v>
      </c>
      <c r="S96" s="50">
        <f>VLOOKUP(A96,[1]Index!$E:$M,8,)</f>
        <v>18097.9962682</v>
      </c>
      <c r="T96" s="49">
        <f>S96-P96</f>
        <v>-1602.0037317999995</v>
      </c>
      <c r="U96" s="48">
        <f>T96/S96</f>
        <v>-8.8518292746854035E-2</v>
      </c>
      <c r="V96" s="47">
        <f>(((C96*D96*E96)+(G96*H96*I96)+(K96*L96*M96))/1000000)*35.32</f>
        <v>1.5162876000000001</v>
      </c>
      <c r="W96" s="46">
        <f>Q96/V96</f>
        <v>12.992258196927811</v>
      </c>
      <c r="X96" s="1" t="s">
        <v>44</v>
      </c>
    </row>
    <row r="97" spans="1:24" ht="13.8" x14ac:dyDescent="0.3">
      <c r="A97" s="54" t="s">
        <v>200</v>
      </c>
      <c r="B97" s="53" t="s">
        <v>0</v>
      </c>
      <c r="C97" s="52">
        <v>187</v>
      </c>
      <c r="D97" s="52">
        <v>43</v>
      </c>
      <c r="E97" s="52">
        <v>5</v>
      </c>
      <c r="F97" s="52">
        <v>14800</v>
      </c>
      <c r="G97" s="31"/>
      <c r="H97" s="31"/>
      <c r="I97" s="31"/>
      <c r="J97" s="31"/>
      <c r="K97" s="30"/>
      <c r="L97" s="30"/>
      <c r="M97" s="30"/>
      <c r="N97" s="30"/>
      <c r="O97" s="17">
        <f>V97*$O$2</f>
        <v>8.5202435999999988</v>
      </c>
      <c r="P97" s="16">
        <f>F97+J97+N97</f>
        <v>14800</v>
      </c>
      <c r="Q97" s="15">
        <f>P97/1000</f>
        <v>14.8</v>
      </c>
      <c r="R97" s="14">
        <f>MAX(Q97,O97)</f>
        <v>14.8</v>
      </c>
      <c r="S97" s="50">
        <f>VLOOKUP(A97,[1]Index!$E:$M,8,)</f>
        <v>14955.153386000002</v>
      </c>
      <c r="T97" s="49">
        <f>S97-P97</f>
        <v>155.15338600000177</v>
      </c>
      <c r="U97" s="48">
        <f>T97/S97</f>
        <v>1.0374576709139327E-2</v>
      </c>
      <c r="V97" s="47">
        <f>(((C97*D97*E97)+(G97*H97*I97)+(K97*L97*M97))/1000000)*35.32</f>
        <v>1.4200405999999999</v>
      </c>
      <c r="W97" s="46">
        <f>Q97/V97</f>
        <v>10.422237223358263</v>
      </c>
      <c r="X97" s="1" t="s">
        <v>46</v>
      </c>
    </row>
    <row r="98" spans="1:24" ht="14.4" customHeight="1" x14ac:dyDescent="0.3">
      <c r="A98" s="54" t="s">
        <v>199</v>
      </c>
      <c r="B98" s="53" t="s">
        <v>0</v>
      </c>
      <c r="C98" s="52"/>
      <c r="D98" s="52"/>
      <c r="E98" s="52"/>
      <c r="F98" s="52"/>
      <c r="G98" s="31"/>
      <c r="H98" s="31"/>
      <c r="I98" s="31"/>
      <c r="J98" s="31"/>
      <c r="K98" s="30"/>
      <c r="L98" s="30"/>
      <c r="M98" s="30"/>
      <c r="N98" s="30"/>
      <c r="O98" s="17">
        <f>V98*$O$2</f>
        <v>0</v>
      </c>
      <c r="P98" s="16">
        <f>F98+J98+N98</f>
        <v>0</v>
      </c>
      <c r="Q98" s="15">
        <f>P98/1000</f>
        <v>0</v>
      </c>
      <c r="R98" s="14">
        <f>MAX(Q98,O98)</f>
        <v>0</v>
      </c>
      <c r="S98" s="50">
        <f>VLOOKUP(A98,[1]Index!$E:$M,8,)</f>
        <v>1054.4381040000001</v>
      </c>
      <c r="T98" s="49">
        <f>S98-P98</f>
        <v>1054.4381040000001</v>
      </c>
      <c r="U98" s="48">
        <f>T98/S98</f>
        <v>1</v>
      </c>
      <c r="V98" s="47">
        <f>(((C98*D98*E98)+(G98*H98*I98)+(K98*L98*M98))/1000000)*35.32</f>
        <v>0</v>
      </c>
      <c r="W98" s="46" t="e">
        <f>Q98/V98</f>
        <v>#DIV/0!</v>
      </c>
      <c r="X98" s="1" t="s">
        <v>46</v>
      </c>
    </row>
    <row r="99" spans="1:24" ht="13.8" x14ac:dyDescent="0.3">
      <c r="A99" s="54" t="s">
        <v>198</v>
      </c>
      <c r="B99" s="53" t="s">
        <v>0</v>
      </c>
      <c r="C99" s="52">
        <v>97</v>
      </c>
      <c r="D99" s="52">
        <v>20</v>
      </c>
      <c r="E99" s="52">
        <v>10</v>
      </c>
      <c r="F99" s="52">
        <v>9320</v>
      </c>
      <c r="G99" s="31"/>
      <c r="H99" s="31"/>
      <c r="I99" s="31"/>
      <c r="J99" s="31"/>
      <c r="K99" s="30"/>
      <c r="L99" s="30"/>
      <c r="M99" s="30"/>
      <c r="N99" s="30"/>
      <c r="O99" s="17">
        <f>V99*$O$2</f>
        <v>4.1112479999999998</v>
      </c>
      <c r="P99" s="16">
        <f>F99+J99+N99</f>
        <v>9320</v>
      </c>
      <c r="Q99" s="15">
        <f>P99/1000</f>
        <v>9.32</v>
      </c>
      <c r="R99" s="14">
        <f>MAX(Q99,O99)</f>
        <v>9.32</v>
      </c>
      <c r="S99" s="50" t="e">
        <f>VLOOKUP(A99,[1]Index!$E:$M,8,)</f>
        <v>#N/A</v>
      </c>
      <c r="T99" s="49" t="e">
        <f>S99-P99</f>
        <v>#N/A</v>
      </c>
      <c r="U99" s="48" t="e">
        <f>T99/S99</f>
        <v>#N/A</v>
      </c>
      <c r="V99" s="47">
        <f>(((C99*D99*E99)+(G99*H99*I99)+(K99*L99*M99))/1000000)*35.32</f>
        <v>0.68520800000000004</v>
      </c>
      <c r="W99" s="46">
        <f>Q99/V99</f>
        <v>13.601709262005114</v>
      </c>
      <c r="X99" s="1" t="s">
        <v>46</v>
      </c>
    </row>
    <row r="100" spans="1:24" ht="14.4" customHeight="1" x14ac:dyDescent="0.3">
      <c r="A100" s="54" t="s">
        <v>197</v>
      </c>
      <c r="B100" s="53" t="s">
        <v>0</v>
      </c>
      <c r="C100" s="52">
        <v>84</v>
      </c>
      <c r="D100" s="52">
        <v>19</v>
      </c>
      <c r="E100" s="52">
        <v>7</v>
      </c>
      <c r="F100" s="52">
        <v>4750</v>
      </c>
      <c r="G100" s="31"/>
      <c r="H100" s="31"/>
      <c r="I100" s="31"/>
      <c r="J100" s="31"/>
      <c r="K100" s="30"/>
      <c r="L100" s="30"/>
      <c r="M100" s="30"/>
      <c r="N100" s="30"/>
      <c r="O100" s="17">
        <f>V100*$O$2</f>
        <v>2.36757024</v>
      </c>
      <c r="P100" s="16">
        <f>F100+J100+N100</f>
        <v>4750</v>
      </c>
      <c r="Q100" s="15">
        <f>P100/1000</f>
        <v>4.75</v>
      </c>
      <c r="R100" s="14">
        <f>MAX(Q100,O100)</f>
        <v>4.75</v>
      </c>
      <c r="S100" s="50">
        <f>VLOOKUP(A100,[1]Index!$E:$M,8,)</f>
        <v>3956.1227730000001</v>
      </c>
      <c r="T100" s="49">
        <f>S100-P100</f>
        <v>-793.87722699999995</v>
      </c>
      <c r="U100" s="48">
        <f>T100/S100</f>
        <v>-0.20067052327549187</v>
      </c>
      <c r="V100" s="47">
        <f>(((C100*D100*E100)+(G100*H100*I100)+(K100*L100*M100))/1000000)*35.32</f>
        <v>0.39459504000000001</v>
      </c>
      <c r="W100" s="46">
        <f>Q100/V100</f>
        <v>12.03765764516452</v>
      </c>
      <c r="X100" s="1" t="s">
        <v>44</v>
      </c>
    </row>
    <row r="101" spans="1:24" ht="14.4" customHeight="1" x14ac:dyDescent="0.3">
      <c r="A101" s="54" t="s">
        <v>196</v>
      </c>
      <c r="B101" s="53" t="s">
        <v>0</v>
      </c>
      <c r="C101" s="52"/>
      <c r="D101" s="52"/>
      <c r="E101" s="52"/>
      <c r="F101" s="52"/>
      <c r="G101" s="31"/>
      <c r="H101" s="31"/>
      <c r="I101" s="31"/>
      <c r="J101" s="31"/>
      <c r="K101" s="30"/>
      <c r="L101" s="30"/>
      <c r="M101" s="30"/>
      <c r="N101" s="30"/>
      <c r="O101" s="17">
        <f>V101*$O$2</f>
        <v>0</v>
      </c>
      <c r="P101" s="16">
        <f>F101+J101+N101</f>
        <v>0</v>
      </c>
      <c r="Q101" s="15">
        <f>P101/1000</f>
        <v>0</v>
      </c>
      <c r="R101" s="14">
        <f>MAX(Q101,O101)</f>
        <v>0</v>
      </c>
      <c r="S101" s="50" t="e">
        <f>VLOOKUP(A101,[1]Index!$E:$M,8,)</f>
        <v>#N/A</v>
      </c>
      <c r="T101" s="49" t="e">
        <f>S101-P101</f>
        <v>#N/A</v>
      </c>
      <c r="U101" s="48" t="e">
        <f>T101/S101</f>
        <v>#N/A</v>
      </c>
      <c r="V101" s="47">
        <f>(((C101*D101*E101)+(G101*H101*I101)+(K101*L101*M101))/1000000)*35.32</f>
        <v>0</v>
      </c>
      <c r="W101" s="46" t="e">
        <f>Q101/V101</f>
        <v>#DIV/0!</v>
      </c>
      <c r="X101" s="1" t="s">
        <v>46</v>
      </c>
    </row>
    <row r="102" spans="1:24" ht="14.4" customHeight="1" x14ac:dyDescent="0.3">
      <c r="A102" s="54" t="s">
        <v>195</v>
      </c>
      <c r="B102" s="53" t="s">
        <v>0</v>
      </c>
      <c r="C102" s="52">
        <v>68</v>
      </c>
      <c r="D102" s="52">
        <v>21</v>
      </c>
      <c r="E102" s="52">
        <v>8</v>
      </c>
      <c r="F102" s="52">
        <v>4850</v>
      </c>
      <c r="G102" s="31"/>
      <c r="H102" s="31"/>
      <c r="I102" s="31"/>
      <c r="J102" s="31"/>
      <c r="K102" s="30"/>
      <c r="L102" s="30"/>
      <c r="M102" s="30"/>
      <c r="N102" s="30"/>
      <c r="O102" s="17">
        <f>V102*$O$2</f>
        <v>2.4209740800000001</v>
      </c>
      <c r="P102" s="16">
        <f>F102+J102+N102</f>
        <v>4850</v>
      </c>
      <c r="Q102" s="15">
        <f>P102/1000</f>
        <v>4.8499999999999996</v>
      </c>
      <c r="R102" s="14">
        <f>MAX(Q102,O102)</f>
        <v>4.8499999999999996</v>
      </c>
      <c r="S102" s="50">
        <f>VLOOKUP(A102,[1]Index!$E:$M,8,)</f>
        <v>4129.1912499999999</v>
      </c>
      <c r="T102" s="49">
        <f>S102-P102</f>
        <v>-720.80875000000015</v>
      </c>
      <c r="U102" s="48">
        <f>T102/S102</f>
        <v>-0.17456414739811341</v>
      </c>
      <c r="V102" s="47">
        <f>(((C102*D102*E102)+(G102*H102*I102)+(K102*L102*M102))/1000000)*35.32</f>
        <v>0.40349568000000002</v>
      </c>
      <c r="W102" s="46">
        <f>Q102/V102</f>
        <v>12.019955207451043</v>
      </c>
      <c r="X102" s="1" t="s">
        <v>46</v>
      </c>
    </row>
    <row r="103" spans="1:24" ht="14.4" customHeight="1" x14ac:dyDescent="0.3">
      <c r="A103" s="54" t="s">
        <v>194</v>
      </c>
      <c r="B103" s="53" t="s">
        <v>0</v>
      </c>
      <c r="C103" s="52">
        <v>82</v>
      </c>
      <c r="D103" s="52">
        <v>20</v>
      </c>
      <c r="E103" s="52">
        <v>10</v>
      </c>
      <c r="F103" s="52">
        <v>7350</v>
      </c>
      <c r="G103" s="31"/>
      <c r="H103" s="31"/>
      <c r="I103" s="31"/>
      <c r="J103" s="31"/>
      <c r="K103" s="30"/>
      <c r="L103" s="30"/>
      <c r="M103" s="30"/>
      <c r="N103" s="30"/>
      <c r="O103" s="17">
        <f>V103*$O$2</f>
        <v>3.4754880000000004</v>
      </c>
      <c r="P103" s="16">
        <f>F103+J103+N103</f>
        <v>7350</v>
      </c>
      <c r="Q103" s="15">
        <f>P103/1000</f>
        <v>7.35</v>
      </c>
      <c r="R103" s="14">
        <f>MAX(Q103,O103)</f>
        <v>7.35</v>
      </c>
      <c r="S103" s="50">
        <f>VLOOKUP(A103,[1]Index!$E:$M,8,)</f>
        <v>6917</v>
      </c>
      <c r="T103" s="49">
        <f>S103-P103</f>
        <v>-433</v>
      </c>
      <c r="U103" s="48">
        <f>T103/S103</f>
        <v>-6.2599392800346973E-2</v>
      </c>
      <c r="V103" s="47">
        <f>(((C103*D103*E103)+(G103*H103*I103)+(K103*L103*M103))/1000000)*35.32</f>
        <v>0.5792480000000001</v>
      </c>
      <c r="W103" s="46">
        <f>Q103/V103</f>
        <v>12.688865563627321</v>
      </c>
      <c r="X103" s="1" t="s">
        <v>44</v>
      </c>
    </row>
    <row r="104" spans="1:24" ht="14.4" customHeight="1" x14ac:dyDescent="0.3">
      <c r="A104" s="54" t="s">
        <v>193</v>
      </c>
      <c r="B104" s="53" t="s">
        <v>0</v>
      </c>
      <c r="C104" s="52">
        <v>110</v>
      </c>
      <c r="D104" s="52">
        <v>21</v>
      </c>
      <c r="E104" s="52">
        <v>4</v>
      </c>
      <c r="F104" s="52">
        <v>3750</v>
      </c>
      <c r="G104" s="31"/>
      <c r="H104" s="31"/>
      <c r="I104" s="31"/>
      <c r="J104" s="31"/>
      <c r="K104" s="30"/>
      <c r="L104" s="30"/>
      <c r="M104" s="30"/>
      <c r="N104" s="30"/>
      <c r="O104" s="17">
        <f>V104*$O$2</f>
        <v>1.9581408</v>
      </c>
      <c r="P104" s="16">
        <f>F104+J104+N104</f>
        <v>3750</v>
      </c>
      <c r="Q104" s="15">
        <f>P104/1000</f>
        <v>3.75</v>
      </c>
      <c r="R104" s="14">
        <f>MAX(Q104,O104)</f>
        <v>3.75</v>
      </c>
      <c r="S104" s="50" t="e">
        <f>VLOOKUP(A104,[1]Index!$E:$M,8,)</f>
        <v>#REF!</v>
      </c>
      <c r="T104" s="49" t="e">
        <f>S104-P104</f>
        <v>#REF!</v>
      </c>
      <c r="U104" s="48" t="e">
        <f>T104/S104</f>
        <v>#REF!</v>
      </c>
      <c r="V104" s="47">
        <f>(((C104*D104*E104)+(G104*H104*I104)+(K104*L104*M104))/1000000)*35.32</f>
        <v>0.3263568</v>
      </c>
      <c r="W104" s="46">
        <f>Q104/V104</f>
        <v>11.490491388566134</v>
      </c>
      <c r="X104" s="1" t="s">
        <v>44</v>
      </c>
    </row>
    <row r="105" spans="1:24" ht="14.4" customHeight="1" x14ac:dyDescent="0.3">
      <c r="A105" s="54" t="s">
        <v>192</v>
      </c>
      <c r="B105" s="53" t="s">
        <v>0</v>
      </c>
      <c r="C105" s="52">
        <v>27.5</v>
      </c>
      <c r="D105" s="52">
        <v>27.5</v>
      </c>
      <c r="E105" s="52">
        <v>17.5</v>
      </c>
      <c r="F105" s="52">
        <v>3000</v>
      </c>
      <c r="G105" s="31"/>
      <c r="H105" s="31"/>
      <c r="I105" s="31"/>
      <c r="J105" s="31"/>
      <c r="K105" s="30"/>
      <c r="L105" s="30"/>
      <c r="M105" s="30"/>
      <c r="N105" s="30"/>
      <c r="O105" s="17">
        <f>V105*$O$2</f>
        <v>2.80462875</v>
      </c>
      <c r="P105" s="16">
        <f>F105+J105+N105</f>
        <v>3000</v>
      </c>
      <c r="Q105" s="15">
        <f>P105/1000</f>
        <v>3</v>
      </c>
      <c r="R105" s="14">
        <f>MAX(Q105,O105)</f>
        <v>3</v>
      </c>
      <c r="S105" s="50">
        <f>VLOOKUP(A105,[1]Index!$E:$M,8,)</f>
        <v>3004.0621019999999</v>
      </c>
      <c r="T105" s="49">
        <f>S105-P105</f>
        <v>4.062101999999868</v>
      </c>
      <c r="U105" s="48">
        <f>T105/S105</f>
        <v>1.3522030710668271E-3</v>
      </c>
      <c r="V105" s="47">
        <f>(((C105*D105*E105)+(G105*H105*I105)+(K105*L105*M105))/1000000)*35.32</f>
        <v>0.46743812499999998</v>
      </c>
      <c r="W105" s="46">
        <f>Q105/V105</f>
        <v>6.4179617355773022</v>
      </c>
      <c r="X105" s="1" t="s">
        <v>46</v>
      </c>
    </row>
    <row r="106" spans="1:24" ht="13.8" x14ac:dyDescent="0.3">
      <c r="A106" s="54" t="s">
        <v>191</v>
      </c>
      <c r="B106" s="53" t="s">
        <v>0</v>
      </c>
      <c r="C106" s="52">
        <v>25</v>
      </c>
      <c r="D106" s="52">
        <v>25</v>
      </c>
      <c r="E106" s="52">
        <v>18</v>
      </c>
      <c r="F106" s="52">
        <v>4000</v>
      </c>
      <c r="G106" s="31"/>
      <c r="H106" s="31"/>
      <c r="I106" s="31"/>
      <c r="J106" s="31"/>
      <c r="K106" s="30"/>
      <c r="L106" s="30"/>
      <c r="M106" s="30"/>
      <c r="N106" s="30"/>
      <c r="O106" s="17">
        <f>V106*$O$2</f>
        <v>2.3841000000000001</v>
      </c>
      <c r="P106" s="16">
        <f>F106+J106+N106</f>
        <v>4000</v>
      </c>
      <c r="Q106" s="15">
        <f>P106/1000</f>
        <v>4</v>
      </c>
      <c r="R106" s="14">
        <f>MAX(Q106,O106)</f>
        <v>4</v>
      </c>
      <c r="S106" s="50">
        <f>VLOOKUP(A106,[1]Index!$E:$M,8,)</f>
        <v>4335.2350237000001</v>
      </c>
      <c r="T106" s="49">
        <f>S106-P106</f>
        <v>335.23502370000006</v>
      </c>
      <c r="U106" s="48">
        <f>T106/S106</f>
        <v>7.7327993030902972E-2</v>
      </c>
      <c r="V106" s="47">
        <f>(((C106*D106*E106)+(G106*H106*I106)+(K106*L106*M106))/1000000)*35.32</f>
        <v>0.39734999999999998</v>
      </c>
      <c r="W106" s="46">
        <f>Q106/V106</f>
        <v>10.06669183339625</v>
      </c>
      <c r="X106" s="1" t="s">
        <v>46</v>
      </c>
    </row>
    <row r="107" spans="1:24" ht="13.8" x14ac:dyDescent="0.3">
      <c r="A107" s="54" t="s">
        <v>190</v>
      </c>
      <c r="B107" s="53" t="s">
        <v>0</v>
      </c>
      <c r="C107" s="52">
        <v>143</v>
      </c>
      <c r="D107" s="52">
        <v>20</v>
      </c>
      <c r="E107" s="52">
        <v>8</v>
      </c>
      <c r="F107" s="52">
        <v>11500</v>
      </c>
      <c r="G107" s="31"/>
      <c r="H107" s="31"/>
      <c r="I107" s="31"/>
      <c r="J107" s="31"/>
      <c r="K107" s="30"/>
      <c r="L107" s="30"/>
      <c r="M107" s="30"/>
      <c r="N107" s="30"/>
      <c r="O107" s="17">
        <f>V107*$O$2</f>
        <v>4.8487296000000004</v>
      </c>
      <c r="P107" s="16">
        <f>F107+J107+N107</f>
        <v>11500</v>
      </c>
      <c r="Q107" s="15">
        <f>P107/1000</f>
        <v>11.5</v>
      </c>
      <c r="R107" s="14">
        <f>MAX(Q107,O107)</f>
        <v>11.5</v>
      </c>
      <c r="S107" s="50">
        <f>VLOOKUP(A107,[1]Index!$E:$M,8,)</f>
        <v>10495.4364104</v>
      </c>
      <c r="T107" s="49">
        <f>S107-P107</f>
        <v>-1004.5635896000003</v>
      </c>
      <c r="U107" s="48">
        <f>T107/S107</f>
        <v>-9.5714322903673779E-2</v>
      </c>
      <c r="V107" s="47">
        <f>(((C107*D107*E107)+(G107*H107*I107)+(K107*L107*M107))/1000000)*35.32</f>
        <v>0.8081216</v>
      </c>
      <c r="W107" s="46">
        <f>Q107/V107</f>
        <v>14.230531642762674</v>
      </c>
      <c r="X107" s="1" t="s">
        <v>44</v>
      </c>
    </row>
    <row r="108" spans="1:24" ht="13.8" x14ac:dyDescent="0.3">
      <c r="A108" s="56" t="s">
        <v>189</v>
      </c>
      <c r="B108" s="55" t="s">
        <v>0</v>
      </c>
      <c r="C108" s="52">
        <v>152</v>
      </c>
      <c r="D108" s="52">
        <v>58</v>
      </c>
      <c r="E108" s="52">
        <v>9</v>
      </c>
      <c r="F108" s="52">
        <v>32810</v>
      </c>
      <c r="G108" s="31"/>
      <c r="H108" s="31"/>
      <c r="I108" s="31"/>
      <c r="J108" s="31"/>
      <c r="K108" s="30"/>
      <c r="L108" s="30"/>
      <c r="M108" s="30"/>
      <c r="N108" s="30"/>
      <c r="O108" s="17">
        <f>V108*$O$2</f>
        <v>16.81458048</v>
      </c>
      <c r="P108" s="16">
        <f>F108+J108+N108</f>
        <v>32810</v>
      </c>
      <c r="Q108" s="15">
        <f>P108/1000</f>
        <v>32.81</v>
      </c>
      <c r="R108" s="14">
        <f>MAX(Q108,O108)</f>
        <v>32.81</v>
      </c>
      <c r="S108" s="50">
        <f>VLOOKUP(A108,[1]Index!$E:$M,8,)</f>
        <v>22110.984838681678</v>
      </c>
      <c r="T108" s="49">
        <f>S108-P108</f>
        <v>-10699.015161318322</v>
      </c>
      <c r="U108" s="48">
        <f>T108/S108</f>
        <v>-0.48387782088299913</v>
      </c>
      <c r="V108" s="47">
        <f>(((C108*D108*E108)+(G108*H108*I108)+(K108*L108*M108))/1000000)*35.32</f>
        <v>2.8024300800000002</v>
      </c>
      <c r="W108" s="46">
        <f>Q108/V108</f>
        <v>11.707696200577464</v>
      </c>
      <c r="X108" s="1" t="s">
        <v>188</v>
      </c>
    </row>
    <row r="109" spans="1:24" ht="14.4" customHeight="1" x14ac:dyDescent="0.3">
      <c r="A109" s="54" t="s">
        <v>187</v>
      </c>
      <c r="B109" s="53" t="s">
        <v>0</v>
      </c>
      <c r="C109" s="52">
        <v>81</v>
      </c>
      <c r="D109" s="52">
        <v>42</v>
      </c>
      <c r="E109" s="52">
        <v>13</v>
      </c>
      <c r="F109" s="52">
        <v>18350</v>
      </c>
      <c r="G109" s="31"/>
      <c r="H109" s="31"/>
      <c r="I109" s="31"/>
      <c r="J109" s="31"/>
      <c r="K109" s="30"/>
      <c r="L109" s="30"/>
      <c r="M109" s="30"/>
      <c r="N109" s="30"/>
      <c r="O109" s="17">
        <f>V109*$O$2</f>
        <v>9.3723739200000011</v>
      </c>
      <c r="P109" s="16">
        <f>F109+J109+N109</f>
        <v>18350</v>
      </c>
      <c r="Q109" s="15">
        <f>P109/1000</f>
        <v>18.350000000000001</v>
      </c>
      <c r="R109" s="14">
        <f>MAX(Q109,O109)</f>
        <v>18.350000000000001</v>
      </c>
      <c r="S109" s="50">
        <f>VLOOKUP(A109,[1]Index!$E:$M,8,)</f>
        <v>17032.668326695999</v>
      </c>
      <c r="T109" s="49">
        <f>S109-P109</f>
        <v>-1317.331673304001</v>
      </c>
      <c r="U109" s="48">
        <f>T109/S109</f>
        <v>-7.7341473927446419E-2</v>
      </c>
      <c r="V109" s="47">
        <f>(((C109*D109*E109)+(G109*H109*I109)+(K109*L109*M109))/1000000)*35.32</f>
        <v>1.5620623200000001</v>
      </c>
      <c r="W109" s="46">
        <f>Q109/V109</f>
        <v>11.74729059465438</v>
      </c>
      <c r="X109" s="1" t="s">
        <v>44</v>
      </c>
    </row>
    <row r="110" spans="1:24" ht="13.8" x14ac:dyDescent="0.3">
      <c r="A110" s="54" t="s">
        <v>186</v>
      </c>
      <c r="B110" s="53" t="s">
        <v>0</v>
      </c>
      <c r="C110" s="52">
        <v>128</v>
      </c>
      <c r="D110" s="52">
        <v>43</v>
      </c>
      <c r="E110" s="52">
        <v>11</v>
      </c>
      <c r="F110" s="52">
        <v>29800</v>
      </c>
      <c r="G110" s="31"/>
      <c r="H110" s="31"/>
      <c r="I110" s="31"/>
      <c r="J110" s="31"/>
      <c r="K110" s="30"/>
      <c r="L110" s="30"/>
      <c r="M110" s="30"/>
      <c r="N110" s="30"/>
      <c r="O110" s="17">
        <f>V110*$O$2</f>
        <v>12.830484479999999</v>
      </c>
      <c r="P110" s="16">
        <f>F110+J110+N110</f>
        <v>29800</v>
      </c>
      <c r="Q110" s="15">
        <f>P110/1000</f>
        <v>29.8</v>
      </c>
      <c r="R110" s="14">
        <f>MAX(Q110,O110)</f>
        <v>29.8</v>
      </c>
      <c r="S110" s="50">
        <f>VLOOKUP(A110,[1]Index!$E:$M,8,)</f>
        <v>25230.272261319995</v>
      </c>
      <c r="T110" s="49">
        <f>S110-P110</f>
        <v>-4569.7277386800051</v>
      </c>
      <c r="U110" s="48">
        <f>T110/S110</f>
        <v>-0.18112082546512032</v>
      </c>
      <c r="V110" s="47">
        <f>(((C110*D110*E110)+(G110*H110*I110)+(K110*L110*M110))/1000000)*35.32</f>
        <v>2.13841408</v>
      </c>
      <c r="W110" s="46">
        <f>Q110/V110</f>
        <v>13.935561067761022</v>
      </c>
      <c r="X110" s="1" t="s">
        <v>44</v>
      </c>
    </row>
    <row r="111" spans="1:24" ht="14.4" customHeight="1" x14ac:dyDescent="0.3">
      <c r="A111" s="54" t="s">
        <v>185</v>
      </c>
      <c r="B111" s="53" t="s">
        <v>0</v>
      </c>
      <c r="C111" s="52">
        <v>147</v>
      </c>
      <c r="D111" s="52">
        <v>39</v>
      </c>
      <c r="E111" s="52">
        <v>12</v>
      </c>
      <c r="F111" s="52">
        <v>34850</v>
      </c>
      <c r="G111" s="31"/>
      <c r="H111" s="31"/>
      <c r="I111" s="31"/>
      <c r="J111" s="31"/>
      <c r="K111" s="30"/>
      <c r="L111" s="30"/>
      <c r="M111" s="30"/>
      <c r="N111" s="30"/>
      <c r="O111" s="17">
        <f>V111*$O$2</f>
        <v>14.57924832</v>
      </c>
      <c r="P111" s="16">
        <f>F111+J111+N111</f>
        <v>34850</v>
      </c>
      <c r="Q111" s="15">
        <f>P111/1000</f>
        <v>34.85</v>
      </c>
      <c r="R111" s="14">
        <f>MAX(Q111,O111)</f>
        <v>34.85</v>
      </c>
      <c r="S111" s="50">
        <f>VLOOKUP(A111,[1]Index!$E:$M,8,)</f>
        <v>30950.800312987994</v>
      </c>
      <c r="T111" s="49">
        <f>S111-P111</f>
        <v>-3899.1996870120056</v>
      </c>
      <c r="U111" s="48">
        <f>T111/S111</f>
        <v>-0.12598057716057734</v>
      </c>
      <c r="V111" s="47">
        <f>(((C111*D111*E111)+(G111*H111*I111)+(K111*L111*M111))/1000000)*35.32</f>
        <v>2.4298747199999999</v>
      </c>
      <c r="W111" s="46">
        <f>Q111/V111</f>
        <v>14.342303211418242</v>
      </c>
      <c r="X111" s="1" t="s">
        <v>44</v>
      </c>
    </row>
    <row r="112" spans="1:24" ht="13.8" x14ac:dyDescent="0.3">
      <c r="A112" s="54" t="s">
        <v>184</v>
      </c>
      <c r="B112" s="53" t="s">
        <v>0</v>
      </c>
      <c r="C112" s="52">
        <v>148</v>
      </c>
      <c r="D112" s="52">
        <v>40</v>
      </c>
      <c r="E112" s="52">
        <v>12</v>
      </c>
      <c r="F112" s="52">
        <v>34000</v>
      </c>
      <c r="G112" s="31"/>
      <c r="H112" s="31"/>
      <c r="I112" s="31"/>
      <c r="J112" s="31"/>
      <c r="K112" s="30"/>
      <c r="L112" s="30"/>
      <c r="M112" s="30"/>
      <c r="N112" s="30"/>
      <c r="O112" s="17">
        <f>V112*$O$2</f>
        <v>15.054796800000002</v>
      </c>
      <c r="P112" s="16">
        <f>F112+J112+N112</f>
        <v>34000</v>
      </c>
      <c r="Q112" s="15">
        <f>P112/1000</f>
        <v>34</v>
      </c>
      <c r="R112" s="14">
        <f>MAX(Q112,O112)</f>
        <v>34</v>
      </c>
      <c r="S112" s="50">
        <f>VLOOKUP(A112,[1]Index!$E:$M,8,)</f>
        <v>39100.259330756002</v>
      </c>
      <c r="T112" s="49">
        <f>S112-P112</f>
        <v>5100.2593307560019</v>
      </c>
      <c r="U112" s="48">
        <f>T112/S112</f>
        <v>0.13044054996188151</v>
      </c>
      <c r="V112" s="47">
        <f>(((C112*D112*E112)+(G112*H112*I112)+(K112*L112*M112))/1000000)*35.32</f>
        <v>2.5091328000000002</v>
      </c>
      <c r="W112" s="46">
        <f>Q112/V112</f>
        <v>13.550498403273034</v>
      </c>
      <c r="X112" s="1" t="s">
        <v>179</v>
      </c>
    </row>
    <row r="113" spans="1:24" ht="14.4" customHeight="1" x14ac:dyDescent="0.3">
      <c r="A113" s="54" t="s">
        <v>183</v>
      </c>
      <c r="B113" s="53" t="s">
        <v>0</v>
      </c>
      <c r="C113" s="52">
        <v>147</v>
      </c>
      <c r="D113" s="52">
        <v>40</v>
      </c>
      <c r="E113" s="52">
        <v>12</v>
      </c>
      <c r="F113" s="52">
        <v>34600</v>
      </c>
      <c r="G113" s="31"/>
      <c r="H113" s="31"/>
      <c r="I113" s="31"/>
      <c r="J113" s="31"/>
      <c r="K113" s="30"/>
      <c r="L113" s="30"/>
      <c r="M113" s="30"/>
      <c r="N113" s="30"/>
      <c r="O113" s="17">
        <f>V113*$O$2</f>
        <v>14.953075199999999</v>
      </c>
      <c r="P113" s="16">
        <f>F113+J113+N113</f>
        <v>34600</v>
      </c>
      <c r="Q113" s="15">
        <f>P113/1000</f>
        <v>34.6</v>
      </c>
      <c r="R113" s="14">
        <f>MAX(Q113,O113)</f>
        <v>34.6</v>
      </c>
      <c r="S113" s="50" t="e">
        <f>VLOOKUP(A113,[1]Index!$E:$M,8,)</f>
        <v>#N/A</v>
      </c>
      <c r="T113" s="49" t="e">
        <f>S113-P113</f>
        <v>#N/A</v>
      </c>
      <c r="U113" s="48" t="e">
        <f>T113/S113</f>
        <v>#N/A</v>
      </c>
      <c r="V113" s="47">
        <f>(((C113*D113*E113)+(G113*H113*I113)+(K113*L113*M113))/1000000)*35.32</f>
        <v>2.4921791999999998</v>
      </c>
      <c r="W113" s="46">
        <f>Q113/V113</f>
        <v>13.883431817423082</v>
      </c>
      <c r="X113" s="1" t="s">
        <v>46</v>
      </c>
    </row>
    <row r="114" spans="1:24" ht="14.4" customHeight="1" x14ac:dyDescent="0.3">
      <c r="A114" s="54" t="s">
        <v>182</v>
      </c>
      <c r="B114" s="53" t="s">
        <v>0</v>
      </c>
      <c r="C114" s="52">
        <v>103</v>
      </c>
      <c r="D114" s="52">
        <v>35</v>
      </c>
      <c r="E114" s="52">
        <v>7</v>
      </c>
      <c r="F114" s="52">
        <v>12210</v>
      </c>
      <c r="G114" s="31"/>
      <c r="H114" s="31"/>
      <c r="I114" s="31"/>
      <c r="J114" s="31"/>
      <c r="K114" s="30"/>
      <c r="L114" s="30"/>
      <c r="M114" s="30"/>
      <c r="N114" s="30"/>
      <c r="O114" s="17">
        <f>V114*$O$2</f>
        <v>5.3478012000000001</v>
      </c>
      <c r="P114" s="16">
        <f>F114+J114+N114</f>
        <v>12210</v>
      </c>
      <c r="Q114" s="15">
        <f>P114/1000</f>
        <v>12.21</v>
      </c>
      <c r="R114" s="14">
        <f>MAX(Q114,O114)</f>
        <v>12.21</v>
      </c>
      <c r="S114" s="50">
        <f>VLOOKUP(A114,[1]Index!$E:$M,8,)</f>
        <v>11882.464976000001</v>
      </c>
      <c r="T114" s="49">
        <f>S114-P114</f>
        <v>-327.53502399999888</v>
      </c>
      <c r="U114" s="48">
        <f>T114/S114</f>
        <v>-2.7564568855161661E-2</v>
      </c>
      <c r="V114" s="47">
        <f>(((C114*D114*E114)+(G114*H114*I114)+(K114*L114*M114))/1000000)*35.32</f>
        <v>0.89130019999999999</v>
      </c>
      <c r="W114" s="46">
        <f>Q114/V114</f>
        <v>13.699088141122376</v>
      </c>
      <c r="X114" s="1" t="s">
        <v>46</v>
      </c>
    </row>
    <row r="115" spans="1:24" ht="14.4" customHeight="1" x14ac:dyDescent="0.3">
      <c r="A115" s="54" t="s">
        <v>181</v>
      </c>
      <c r="B115" s="53" t="s">
        <v>0</v>
      </c>
      <c r="C115" s="52">
        <v>147</v>
      </c>
      <c r="D115" s="52">
        <v>38</v>
      </c>
      <c r="E115" s="52">
        <v>11</v>
      </c>
      <c r="F115" s="52">
        <v>31400</v>
      </c>
      <c r="G115" s="31"/>
      <c r="H115" s="31"/>
      <c r="I115" s="31"/>
      <c r="J115" s="31"/>
      <c r="K115" s="30"/>
      <c r="L115" s="30"/>
      <c r="M115" s="30"/>
      <c r="N115" s="30"/>
      <c r="O115" s="17">
        <f>V115*$O$2</f>
        <v>13.021636319999999</v>
      </c>
      <c r="P115" s="16">
        <f>F115+J115+N115</f>
        <v>31400</v>
      </c>
      <c r="Q115" s="15">
        <f>P115/1000</f>
        <v>31.4</v>
      </c>
      <c r="R115" s="14">
        <f>MAX(Q115,O115)</f>
        <v>31.4</v>
      </c>
      <c r="S115" s="50">
        <f>VLOOKUP(A115,[1]Index!$E:$M,8,)</f>
        <v>30408.454095567995</v>
      </c>
      <c r="T115" s="49">
        <f>S115-P115</f>
        <v>-991.54590443200505</v>
      </c>
      <c r="U115" s="48">
        <f>T115/S115</f>
        <v>-3.2607573581865244E-2</v>
      </c>
      <c r="V115" s="47">
        <f>(((C115*D115*E115)+(G115*H115*I115)+(K115*L115*M115))/1000000)*35.32</f>
        <v>2.1702727199999998</v>
      </c>
      <c r="W115" s="46">
        <f>Q115/V115</f>
        <v>14.468227753422621</v>
      </c>
      <c r="X115" s="1" t="s">
        <v>44</v>
      </c>
    </row>
    <row r="116" spans="1:24" ht="14.4" customHeight="1" x14ac:dyDescent="0.3">
      <c r="A116" s="54" t="s">
        <v>180</v>
      </c>
      <c r="B116" s="53" t="s">
        <v>0</v>
      </c>
      <c r="C116" s="52">
        <v>138</v>
      </c>
      <c r="D116" s="52">
        <v>39</v>
      </c>
      <c r="E116" s="52">
        <v>13</v>
      </c>
      <c r="F116" s="52">
        <v>30000</v>
      </c>
      <c r="G116" s="31"/>
      <c r="H116" s="31"/>
      <c r="I116" s="31"/>
      <c r="J116" s="31"/>
      <c r="K116" s="30"/>
      <c r="L116" s="30"/>
      <c r="M116" s="30"/>
      <c r="N116" s="30"/>
      <c r="O116" s="17">
        <f>V116*$O$2</f>
        <v>14.827194720000001</v>
      </c>
      <c r="P116" s="16">
        <f>F116+J116+N116</f>
        <v>30000</v>
      </c>
      <c r="Q116" s="15">
        <f>P116/1000</f>
        <v>30</v>
      </c>
      <c r="R116" s="14">
        <f>MAX(Q116,O116)</f>
        <v>30</v>
      </c>
      <c r="S116" s="50" t="e">
        <f>VLOOKUP(A116,[1]Index!$E:$M,8,)</f>
        <v>#N/A</v>
      </c>
      <c r="T116" s="49" t="e">
        <f>S116-P116</f>
        <v>#N/A</v>
      </c>
      <c r="U116" s="48" t="e">
        <f>T116/S116</f>
        <v>#N/A</v>
      </c>
      <c r="V116" s="47">
        <f>(((C116*D116*E116)+(G116*H116*I116)+(K116*L116*M116))/1000000)*35.32</f>
        <v>2.4711991200000001</v>
      </c>
      <c r="W116" s="46">
        <f>Q116/V116</f>
        <v>12.139855407523777</v>
      </c>
      <c r="X116" s="1" t="s">
        <v>179</v>
      </c>
    </row>
    <row r="117" spans="1:24" ht="14.4" customHeight="1" x14ac:dyDescent="0.3">
      <c r="A117" s="54" t="s">
        <v>178</v>
      </c>
      <c r="B117" s="53" t="s">
        <v>0</v>
      </c>
      <c r="C117" s="52">
        <v>118</v>
      </c>
      <c r="D117" s="52">
        <v>42</v>
      </c>
      <c r="E117" s="52">
        <v>16</v>
      </c>
      <c r="F117" s="52">
        <v>29450</v>
      </c>
      <c r="G117" s="31"/>
      <c r="H117" s="31"/>
      <c r="I117" s="31"/>
      <c r="J117" s="31"/>
      <c r="K117" s="30"/>
      <c r="L117" s="30"/>
      <c r="M117" s="30"/>
      <c r="N117" s="30"/>
      <c r="O117" s="17">
        <f>V117*$O$2</f>
        <v>16.80440832</v>
      </c>
      <c r="P117" s="16">
        <f>F117+J117+N117</f>
        <v>29450</v>
      </c>
      <c r="Q117" s="15">
        <f>P117/1000</f>
        <v>29.45</v>
      </c>
      <c r="R117" s="14">
        <f>MAX(Q117,O117)</f>
        <v>29.45</v>
      </c>
      <c r="S117" s="50">
        <f>VLOOKUP(A117,[1]Index!$E:$M,8,)</f>
        <v>27779.19879377999</v>
      </c>
      <c r="T117" s="49">
        <f>S117-P117</f>
        <v>-1670.8012062200105</v>
      </c>
      <c r="U117" s="48">
        <f>T117/S117</f>
        <v>-6.0145766572436851E-2</v>
      </c>
      <c r="V117" s="47">
        <f>(((C117*D117*E117)+(G117*H117*I117)+(K117*L117*M117))/1000000)*35.32</f>
        <v>2.8007347200000003</v>
      </c>
      <c r="W117" s="46">
        <f>Q117/V117</f>
        <v>10.515097981146889</v>
      </c>
      <c r="X117" s="1" t="s">
        <v>44</v>
      </c>
    </row>
    <row r="118" spans="1:24" ht="14.4" customHeight="1" x14ac:dyDescent="0.3">
      <c r="A118" s="54" t="s">
        <v>177</v>
      </c>
      <c r="B118" s="53" t="s">
        <v>0</v>
      </c>
      <c r="C118" s="52">
        <v>32</v>
      </c>
      <c r="D118" s="52">
        <v>32</v>
      </c>
      <c r="E118" s="52">
        <v>12</v>
      </c>
      <c r="F118" s="52">
        <v>2450</v>
      </c>
      <c r="G118" s="31"/>
      <c r="H118" s="31"/>
      <c r="I118" s="31"/>
      <c r="J118" s="31"/>
      <c r="K118" s="30"/>
      <c r="L118" s="30"/>
      <c r="M118" s="30"/>
      <c r="N118" s="30"/>
      <c r="O118" s="17">
        <f>V118*$O$2</f>
        <v>2.6040729600000003</v>
      </c>
      <c r="P118" s="16">
        <f>F118+J118+N118</f>
        <v>2450</v>
      </c>
      <c r="Q118" s="15">
        <f>P118/1000</f>
        <v>2.4500000000000002</v>
      </c>
      <c r="R118" s="14">
        <f>MAX(Q118,O118)</f>
        <v>2.6040729600000003</v>
      </c>
      <c r="S118" s="50" t="e">
        <f>VLOOKUP(A118,[1]Index!$E:$M,8,)</f>
        <v>#N/A</v>
      </c>
      <c r="T118" s="49" t="e">
        <f>S118-P118</f>
        <v>#N/A</v>
      </c>
      <c r="U118" s="48" t="e">
        <f>T118/S118</f>
        <v>#N/A</v>
      </c>
      <c r="V118" s="47">
        <f>(((C118*D118*E118)+(G118*H118*I118)+(K118*L118*M118))/1000000)*35.32</f>
        <v>0.43401216000000004</v>
      </c>
      <c r="W118" s="46">
        <f>Q118/V118</f>
        <v>5.6450031261796907</v>
      </c>
      <c r="X118" s="1" t="s">
        <v>46</v>
      </c>
    </row>
    <row r="119" spans="1:24" ht="14.4" customHeight="1" x14ac:dyDescent="0.3">
      <c r="A119" s="54" t="s">
        <v>176</v>
      </c>
      <c r="B119" s="53" t="s">
        <v>0</v>
      </c>
      <c r="C119" s="52">
        <v>87</v>
      </c>
      <c r="D119" s="52">
        <v>18</v>
      </c>
      <c r="E119" s="52">
        <v>6</v>
      </c>
      <c r="F119" s="52">
        <v>3200</v>
      </c>
      <c r="G119" s="31"/>
      <c r="H119" s="31"/>
      <c r="I119" s="31"/>
      <c r="J119" s="31"/>
      <c r="K119" s="30"/>
      <c r="L119" s="30"/>
      <c r="M119" s="30"/>
      <c r="N119" s="30"/>
      <c r="O119" s="17">
        <f>V119*$O$2</f>
        <v>1.9912003199999999</v>
      </c>
      <c r="P119" s="16">
        <f>F119+J119+N119</f>
        <v>3200</v>
      </c>
      <c r="Q119" s="15">
        <f>P119/1000</f>
        <v>3.2</v>
      </c>
      <c r="R119" s="14">
        <f>MAX(Q119,O119)</f>
        <v>3.2</v>
      </c>
      <c r="S119" s="50">
        <f>VLOOKUP(A119,[1]Index!$E:$M,8,)</f>
        <v>3332.1428764370849</v>
      </c>
      <c r="T119" s="49">
        <f>S119-P119</f>
        <v>132.14287643708485</v>
      </c>
      <c r="U119" s="48">
        <f>T119/S119</f>
        <v>3.9657025925124635E-2</v>
      </c>
      <c r="V119" s="47">
        <f>(((C119*D119*E119)+(G119*H119*I119)+(K119*L119*M119))/1000000)*35.32</f>
        <v>0.33186672</v>
      </c>
      <c r="W119" s="46">
        <f>Q119/V119</f>
        <v>9.642425127774187</v>
      </c>
      <c r="X119" s="1" t="s">
        <v>44</v>
      </c>
    </row>
    <row r="120" spans="1:24" ht="14.4" customHeight="1" x14ac:dyDescent="0.3">
      <c r="A120" s="54" t="s">
        <v>175</v>
      </c>
      <c r="B120" s="53" t="s">
        <v>0</v>
      </c>
      <c r="C120" s="52">
        <v>122</v>
      </c>
      <c r="D120" s="52">
        <v>63</v>
      </c>
      <c r="E120" s="52">
        <v>7</v>
      </c>
      <c r="F120" s="52">
        <v>21750</v>
      </c>
      <c r="G120" s="31"/>
      <c r="H120" s="31"/>
      <c r="I120" s="31"/>
      <c r="J120" s="31"/>
      <c r="K120" s="30"/>
      <c r="L120" s="30"/>
      <c r="M120" s="30"/>
      <c r="N120" s="30"/>
      <c r="O120" s="17">
        <f>V120*$O$2</f>
        <v>11.40171984</v>
      </c>
      <c r="P120" s="16">
        <f>F120+J120+N120</f>
        <v>21750</v>
      </c>
      <c r="Q120" s="15">
        <f>P120/1000</f>
        <v>21.75</v>
      </c>
      <c r="R120" s="14">
        <f>MAX(Q120,O120)</f>
        <v>21.75</v>
      </c>
      <c r="S120" s="50">
        <f>VLOOKUP(A120,[1]Index!$E:$M,8,)</f>
        <v>21677</v>
      </c>
      <c r="T120" s="49">
        <f>S120-P120</f>
        <v>-73</v>
      </c>
      <c r="U120" s="48">
        <f>T120/S120</f>
        <v>-3.3676246713106057E-3</v>
      </c>
      <c r="V120" s="47">
        <f>(((C120*D120*E120)+(G120*H120*I120)+(K120*L120*M120))/1000000)*35.32</f>
        <v>1.90028664</v>
      </c>
      <c r="W120" s="46">
        <f>Q120/V120</f>
        <v>11.445641695402331</v>
      </c>
      <c r="X120" s="1" t="s">
        <v>44</v>
      </c>
    </row>
    <row r="121" spans="1:24" ht="14.4" customHeight="1" x14ac:dyDescent="0.3">
      <c r="A121" s="54" t="s">
        <v>174</v>
      </c>
      <c r="B121" s="53" t="s">
        <v>0</v>
      </c>
      <c r="C121" s="52">
        <v>112</v>
      </c>
      <c r="D121" s="52">
        <v>51</v>
      </c>
      <c r="E121" s="52">
        <v>8</v>
      </c>
      <c r="F121" s="52">
        <v>14550</v>
      </c>
      <c r="G121" s="31"/>
      <c r="H121" s="31"/>
      <c r="I121" s="31"/>
      <c r="J121" s="31"/>
      <c r="K121" s="30"/>
      <c r="L121" s="30"/>
      <c r="M121" s="30"/>
      <c r="N121" s="30"/>
      <c r="O121" s="17">
        <f>V121*$O$2</f>
        <v>9.6838963200000006</v>
      </c>
      <c r="P121" s="16">
        <f>F121+J121+N121</f>
        <v>14550</v>
      </c>
      <c r="Q121" s="15">
        <f>P121/1000</f>
        <v>14.55</v>
      </c>
      <c r="R121" s="14">
        <f>MAX(Q121,O121)</f>
        <v>14.55</v>
      </c>
      <c r="S121" s="50">
        <f>VLOOKUP(A121,[1]Index!$E:$M,8,)</f>
        <v>15190.641212377917</v>
      </c>
      <c r="T121" s="49">
        <f>S121-P121</f>
        <v>640.64121237791733</v>
      </c>
      <c r="U121" s="48">
        <f>T121/S121</f>
        <v>4.2173414763815122E-2</v>
      </c>
      <c r="V121" s="47">
        <f>(((C121*D121*E121)+(G121*H121*I121)+(K121*L121*M121))/1000000)*35.32</f>
        <v>1.6139827200000001</v>
      </c>
      <c r="W121" s="46">
        <f>Q121/V121</f>
        <v>9.0149664055882823</v>
      </c>
      <c r="X121" s="1" t="s">
        <v>46</v>
      </c>
    </row>
    <row r="122" spans="1:24" ht="14.4" customHeight="1" x14ac:dyDescent="0.3">
      <c r="A122" s="54" t="s">
        <v>173</v>
      </c>
      <c r="B122" s="53" t="s">
        <v>0</v>
      </c>
      <c r="C122" s="52">
        <v>85.7</v>
      </c>
      <c r="D122" s="52">
        <v>45.7</v>
      </c>
      <c r="E122" s="52">
        <v>6.5</v>
      </c>
      <c r="F122" s="52">
        <v>12000</v>
      </c>
      <c r="G122" s="31"/>
      <c r="H122" s="31"/>
      <c r="I122" s="31"/>
      <c r="J122" s="31"/>
      <c r="K122" s="30"/>
      <c r="L122" s="30"/>
      <c r="M122" s="30"/>
      <c r="N122" s="30"/>
      <c r="O122" s="17">
        <f>V122*$O$2</f>
        <v>5.3948866451999997</v>
      </c>
      <c r="P122" s="16">
        <f>F122+J122+N122</f>
        <v>12000</v>
      </c>
      <c r="Q122" s="15">
        <f>P122/1000</f>
        <v>12</v>
      </c>
      <c r="R122" s="14">
        <f>MAX(Q122,O122)</f>
        <v>12</v>
      </c>
      <c r="S122" s="50">
        <f>VLOOKUP(A122,[1]Index!$E:$M,8,)</f>
        <v>12400.588493825921</v>
      </c>
      <c r="T122" s="49">
        <f>S122-P122</f>
        <v>400.58849382592052</v>
      </c>
      <c r="U122" s="48">
        <f>T122/S122</f>
        <v>3.2303990574751182E-2</v>
      </c>
      <c r="V122" s="47">
        <f>(((C122*D122*E122)+(G122*H122*I122)+(K122*L122*M122))/1000000)*35.32</f>
        <v>0.89914777420000003</v>
      </c>
      <c r="W122" s="46">
        <f>Q122/V122</f>
        <v>13.345970867443649</v>
      </c>
      <c r="X122" s="1" t="s">
        <v>44</v>
      </c>
    </row>
    <row r="123" spans="1:24" ht="14.4" customHeight="1" x14ac:dyDescent="0.3">
      <c r="A123" s="54" t="s">
        <v>172</v>
      </c>
      <c r="B123" s="53" t="s">
        <v>0</v>
      </c>
      <c r="C123" s="52">
        <v>37</v>
      </c>
      <c r="D123" s="52">
        <v>35</v>
      </c>
      <c r="E123" s="52">
        <v>7</v>
      </c>
      <c r="F123" s="52">
        <v>1500</v>
      </c>
      <c r="G123" s="31"/>
      <c r="H123" s="31"/>
      <c r="I123" s="31"/>
      <c r="J123" s="31"/>
      <c r="K123" s="30"/>
      <c r="L123" s="30"/>
      <c r="M123" s="30"/>
      <c r="N123" s="30"/>
      <c r="O123" s="17">
        <f>V123*$O$2</f>
        <v>1.9210548000000001</v>
      </c>
      <c r="P123" s="16">
        <f>F123+J123+N123</f>
        <v>1500</v>
      </c>
      <c r="Q123" s="15">
        <f>P123/1000</f>
        <v>1.5</v>
      </c>
      <c r="R123" s="14">
        <f>MAX(Q123,O123)</f>
        <v>1.9210548000000001</v>
      </c>
      <c r="S123" s="50" t="e">
        <f>VLOOKUP(A123,[1]Index!$E:$M,8,)</f>
        <v>#N/A</v>
      </c>
      <c r="T123" s="49" t="e">
        <f>S123-P123</f>
        <v>#N/A</v>
      </c>
      <c r="U123" s="48" t="e">
        <f>T123/S123</f>
        <v>#N/A</v>
      </c>
      <c r="V123" s="47">
        <f>(((C123*D123*E123)+(G123*H123*I123)+(K123*L123*M123))/1000000)*35.32</f>
        <v>0.32017580000000001</v>
      </c>
      <c r="W123" s="46">
        <f>Q123/V123</f>
        <v>4.6849262186586245</v>
      </c>
      <c r="X123" s="1" t="s">
        <v>44</v>
      </c>
    </row>
    <row r="124" spans="1:24" ht="14.4" customHeight="1" x14ac:dyDescent="0.3">
      <c r="A124" s="54" t="s">
        <v>171</v>
      </c>
      <c r="B124" s="53" t="s">
        <v>0</v>
      </c>
      <c r="C124" s="52">
        <v>116</v>
      </c>
      <c r="D124" s="52">
        <v>60</v>
      </c>
      <c r="E124" s="52">
        <v>6</v>
      </c>
      <c r="F124" s="52">
        <v>15500</v>
      </c>
      <c r="G124" s="31"/>
      <c r="H124" s="31"/>
      <c r="I124" s="31"/>
      <c r="J124" s="31"/>
      <c r="K124" s="30"/>
      <c r="L124" s="30"/>
      <c r="M124" s="30"/>
      <c r="N124" s="30"/>
      <c r="O124" s="17">
        <f>V124*$O$2</f>
        <v>8.8497792000000004</v>
      </c>
      <c r="P124" s="16">
        <f>F124+J124+N124</f>
        <v>15500</v>
      </c>
      <c r="Q124" s="15">
        <f>P124/1000</f>
        <v>15.5</v>
      </c>
      <c r="R124" s="14">
        <f>MAX(Q124,O124)</f>
        <v>15.5</v>
      </c>
      <c r="S124" s="50" t="e">
        <f>VLOOKUP(A124,[1]Index!$E:$M,8,)</f>
        <v>#N/A</v>
      </c>
      <c r="T124" s="49" t="e">
        <f>S124-P124</f>
        <v>#N/A</v>
      </c>
      <c r="U124" s="48" t="e">
        <f>T124/S124</f>
        <v>#N/A</v>
      </c>
      <c r="V124" s="47">
        <f>(((C124*D124*E124)+(G124*H124*I124)+(K124*L124*M124))/1000000)*35.32</f>
        <v>1.4749631999999999</v>
      </c>
      <c r="W124" s="46">
        <f>Q124/V124</f>
        <v>10.508736760347649</v>
      </c>
      <c r="X124" s="1" t="s">
        <v>46</v>
      </c>
    </row>
    <row r="125" spans="1:24" ht="14.4" customHeight="1" x14ac:dyDescent="0.3">
      <c r="A125" s="54" t="s">
        <v>170</v>
      </c>
      <c r="B125" s="53" t="s">
        <v>0</v>
      </c>
      <c r="C125" s="52"/>
      <c r="D125" s="52"/>
      <c r="E125" s="52"/>
      <c r="F125" s="52"/>
      <c r="G125" s="31"/>
      <c r="H125" s="31"/>
      <c r="I125" s="31"/>
      <c r="J125" s="31"/>
      <c r="K125" s="30"/>
      <c r="L125" s="30"/>
      <c r="M125" s="30"/>
      <c r="N125" s="30"/>
      <c r="O125" s="17">
        <f>V125*$O$2</f>
        <v>0</v>
      </c>
      <c r="P125" s="16">
        <f>F125+J125+N125</f>
        <v>0</v>
      </c>
      <c r="Q125" s="15">
        <f>P125/1000</f>
        <v>0</v>
      </c>
      <c r="R125" s="14">
        <f>MAX(Q125,O125)</f>
        <v>0</v>
      </c>
      <c r="S125" s="50" t="e">
        <f>VLOOKUP(A125,[1]Index!$E:$M,8,)</f>
        <v>#N/A</v>
      </c>
      <c r="T125" s="49" t="e">
        <f>S125-P125</f>
        <v>#N/A</v>
      </c>
      <c r="U125" s="48" t="e">
        <f>T125/S125</f>
        <v>#N/A</v>
      </c>
      <c r="V125" s="47">
        <f>(((C125*D125*E125)+(G125*H125*I125)+(K125*L125*M125))/1000000)*35.32</f>
        <v>0</v>
      </c>
      <c r="W125" s="46" t="e">
        <f>Q125/V125</f>
        <v>#DIV/0!</v>
      </c>
      <c r="X125" s="1" t="s">
        <v>46</v>
      </c>
    </row>
    <row r="126" spans="1:24" ht="14.4" customHeight="1" x14ac:dyDescent="0.3">
      <c r="A126" s="54" t="s">
        <v>169</v>
      </c>
      <c r="B126" s="53" t="s">
        <v>0</v>
      </c>
      <c r="C126" s="52">
        <v>97</v>
      </c>
      <c r="D126" s="52">
        <v>58</v>
      </c>
      <c r="E126" s="52">
        <v>5</v>
      </c>
      <c r="F126" s="52">
        <v>10805</v>
      </c>
      <c r="G126" s="31"/>
      <c r="H126" s="31"/>
      <c r="I126" s="31"/>
      <c r="J126" s="31"/>
      <c r="K126" s="30"/>
      <c r="L126" s="30"/>
      <c r="M126" s="30"/>
      <c r="N126" s="30"/>
      <c r="O126" s="17">
        <f>V126*$O$2</f>
        <v>5.9613095999999999</v>
      </c>
      <c r="P126" s="16">
        <f>F126+J126+N126</f>
        <v>10805</v>
      </c>
      <c r="Q126" s="15">
        <f>P126/1000</f>
        <v>10.805</v>
      </c>
      <c r="R126" s="14">
        <f>MAX(Q126,O126)</f>
        <v>10.805</v>
      </c>
      <c r="S126" s="50">
        <f>VLOOKUP(A126,[1]Index!$E:$M,8,)</f>
        <v>9918.8895500000017</v>
      </c>
      <c r="T126" s="49">
        <f>S126-P126</f>
        <v>-886.11044999999831</v>
      </c>
      <c r="U126" s="48">
        <f>T126/S126</f>
        <v>-8.9335650481156756E-2</v>
      </c>
      <c r="V126" s="47">
        <f>(((C126*D126*E126)+(G126*H126*I126)+(K126*L126*M126))/1000000)*35.32</f>
        <v>0.99355159999999998</v>
      </c>
      <c r="W126" s="46">
        <f>Q126/V126</f>
        <v>10.875127170043307</v>
      </c>
      <c r="X126" s="1" t="s">
        <v>44</v>
      </c>
    </row>
    <row r="127" spans="1:24" ht="14.4" customHeight="1" x14ac:dyDescent="0.3">
      <c r="A127" s="54" t="s">
        <v>168</v>
      </c>
      <c r="B127" s="53" t="s">
        <v>0</v>
      </c>
      <c r="C127" s="52">
        <v>87</v>
      </c>
      <c r="D127" s="52">
        <v>59</v>
      </c>
      <c r="E127" s="52">
        <v>5</v>
      </c>
      <c r="F127" s="52">
        <v>6415</v>
      </c>
      <c r="G127" s="31"/>
      <c r="H127" s="31"/>
      <c r="I127" s="31"/>
      <c r="J127" s="31"/>
      <c r="K127" s="30"/>
      <c r="L127" s="30"/>
      <c r="M127" s="30"/>
      <c r="N127" s="30"/>
      <c r="O127" s="17">
        <f>V127*$O$2</f>
        <v>5.4389268000000008</v>
      </c>
      <c r="P127" s="16">
        <f>F127+J127+N127</f>
        <v>6415</v>
      </c>
      <c r="Q127" s="15">
        <f>P127/1000</f>
        <v>6.415</v>
      </c>
      <c r="R127" s="14">
        <f>MAX(Q127,O127)</f>
        <v>6.415</v>
      </c>
      <c r="S127" s="50">
        <f>VLOOKUP(A127,[1]Index!$E:$M,8,)</f>
        <v>6633.0811068999992</v>
      </c>
      <c r="T127" s="49">
        <f>S127-P127</f>
        <v>218.08110689999921</v>
      </c>
      <c r="U127" s="48">
        <f>T127/S127</f>
        <v>3.2877798927129422E-2</v>
      </c>
      <c r="V127" s="47">
        <f>(((C127*D127*E127)+(G127*H127*I127)+(K127*L127*M127))/1000000)*35.32</f>
        <v>0.90648780000000007</v>
      </c>
      <c r="W127" s="46">
        <f>Q127/V127</f>
        <v>7.0767637468479991</v>
      </c>
      <c r="X127" s="1" t="s">
        <v>46</v>
      </c>
    </row>
    <row r="128" spans="1:24" ht="14.4" customHeight="1" x14ac:dyDescent="0.3">
      <c r="A128" s="54" t="s">
        <v>167</v>
      </c>
      <c r="B128" s="53" t="s">
        <v>0</v>
      </c>
      <c r="C128" s="52">
        <v>87</v>
      </c>
      <c r="D128" s="52">
        <v>58</v>
      </c>
      <c r="E128" s="52">
        <v>5</v>
      </c>
      <c r="F128" s="52">
        <v>6900</v>
      </c>
      <c r="G128" s="31"/>
      <c r="H128" s="31"/>
      <c r="I128" s="31"/>
      <c r="J128" s="31"/>
      <c r="K128" s="30"/>
      <c r="L128" s="30"/>
      <c r="M128" s="30"/>
      <c r="N128" s="30"/>
      <c r="O128" s="17">
        <f>V128*$O$2</f>
        <v>5.3467415999999997</v>
      </c>
      <c r="P128" s="16">
        <f>F128+J128+N128</f>
        <v>6900</v>
      </c>
      <c r="Q128" s="15">
        <f>P128/1000</f>
        <v>6.9</v>
      </c>
      <c r="R128" s="14">
        <f>MAX(Q128,O128)</f>
        <v>6.9</v>
      </c>
      <c r="S128" s="50">
        <f>VLOOKUP(A128,[1]Index!$E:$M,8,)</f>
        <v>7126.2316637976373</v>
      </c>
      <c r="T128" s="49">
        <f>S128-P128</f>
        <v>226.23166379763734</v>
      </c>
      <c r="U128" s="48">
        <f>T128/S128</f>
        <v>3.1746324631421866E-2</v>
      </c>
      <c r="V128" s="47">
        <f>(((C128*D128*E128)+(G128*H128*I128)+(K128*L128*M128))/1000000)*35.32</f>
        <v>0.89112360000000002</v>
      </c>
      <c r="W128" s="46">
        <f>Q128/V128</f>
        <v>7.7430336263117709</v>
      </c>
      <c r="X128" s="1" t="s">
        <v>44</v>
      </c>
    </row>
    <row r="129" spans="1:24" ht="14.4" customHeight="1" x14ac:dyDescent="0.3">
      <c r="A129" s="54" t="s">
        <v>166</v>
      </c>
      <c r="B129" s="53" t="s">
        <v>0</v>
      </c>
      <c r="C129" s="52">
        <v>86</v>
      </c>
      <c r="D129" s="52">
        <v>66</v>
      </c>
      <c r="E129" s="52">
        <v>5</v>
      </c>
      <c r="F129" s="52">
        <v>10210</v>
      </c>
      <c r="G129" s="31"/>
      <c r="H129" s="31"/>
      <c r="I129" s="31"/>
      <c r="J129" s="31"/>
      <c r="K129" s="30"/>
      <c r="L129" s="30"/>
      <c r="M129" s="30"/>
      <c r="N129" s="30"/>
      <c r="O129" s="17">
        <f>V129*$O$2</f>
        <v>6.0142895999999997</v>
      </c>
      <c r="P129" s="16">
        <f>F129+J129+N129</f>
        <v>10210</v>
      </c>
      <c r="Q129" s="15">
        <f>P129/1000</f>
        <v>10.210000000000001</v>
      </c>
      <c r="R129" s="14">
        <f>MAX(Q129,O129)</f>
        <v>10.210000000000001</v>
      </c>
      <c r="S129" s="50">
        <f>VLOOKUP(A129,[1]Index!$E:$M,8,)</f>
        <v>8484.8912923182233</v>
      </c>
      <c r="T129" s="49">
        <f>S129-P129</f>
        <v>-1725.1087076817767</v>
      </c>
      <c r="U129" s="48">
        <f>T129/S129</f>
        <v>-0.20331535764560707</v>
      </c>
      <c r="V129" s="47">
        <f>(((C129*D129*E129)+(G129*H129*I129)+(K129*L129*M129))/1000000)*35.32</f>
        <v>1.0023815999999999</v>
      </c>
      <c r="W129" s="46">
        <f>Q129/V129</f>
        <v>10.185741637715619</v>
      </c>
      <c r="X129" s="1" t="s">
        <v>44</v>
      </c>
    </row>
    <row r="130" spans="1:24" ht="13.8" x14ac:dyDescent="0.3">
      <c r="A130" s="54" t="s">
        <v>165</v>
      </c>
      <c r="B130" s="53" t="s">
        <v>0</v>
      </c>
      <c r="C130" s="52">
        <v>110</v>
      </c>
      <c r="D130" s="52">
        <v>45</v>
      </c>
      <c r="E130" s="52">
        <v>8</v>
      </c>
      <c r="F130" s="52">
        <v>17500</v>
      </c>
      <c r="G130" s="31"/>
      <c r="H130" s="31"/>
      <c r="I130" s="31"/>
      <c r="J130" s="31"/>
      <c r="K130" s="30"/>
      <c r="L130" s="30"/>
      <c r="M130" s="30"/>
      <c r="N130" s="30"/>
      <c r="O130" s="17">
        <f>V130*$O$2</f>
        <v>8.3920320000000004</v>
      </c>
      <c r="P130" s="16">
        <f>F130+J130+N130</f>
        <v>17500</v>
      </c>
      <c r="Q130" s="15">
        <f>P130/1000</f>
        <v>17.5</v>
      </c>
      <c r="R130" s="14">
        <f>MAX(Q130,O130)</f>
        <v>17.5</v>
      </c>
      <c r="S130" s="50">
        <f>VLOOKUP(A130,[1]Index!$E:$M,8,)</f>
        <v>19120.121426191999</v>
      </c>
      <c r="T130" s="49">
        <f>S130-P130</f>
        <v>1620.1214261919995</v>
      </c>
      <c r="U130" s="48">
        <f>T130/S130</f>
        <v>8.473384609224556E-2</v>
      </c>
      <c r="V130" s="47">
        <f>(((C130*D130*E130)+(G130*H130*I130)+(K130*L130*M130))/1000000)*35.32</f>
        <v>1.3986720000000001</v>
      </c>
      <c r="W130" s="46">
        <f>Q130/V130</f>
        <v>12.511868400883122</v>
      </c>
      <c r="X130" s="1" t="s">
        <v>44</v>
      </c>
    </row>
    <row r="131" spans="1:24" ht="12.45" customHeight="1" x14ac:dyDescent="0.3">
      <c r="A131" s="54" t="s">
        <v>164</v>
      </c>
      <c r="B131" s="53" t="s">
        <v>0</v>
      </c>
      <c r="C131" s="52">
        <v>110</v>
      </c>
      <c r="D131" s="52">
        <v>46</v>
      </c>
      <c r="E131" s="52">
        <v>8</v>
      </c>
      <c r="F131" s="52">
        <v>18450</v>
      </c>
      <c r="G131" s="31"/>
      <c r="H131" s="31"/>
      <c r="I131" s="31"/>
      <c r="J131" s="31"/>
      <c r="K131" s="30"/>
      <c r="L131" s="30"/>
      <c r="M131" s="30"/>
      <c r="N131" s="30"/>
      <c r="O131" s="17">
        <f>V131*$O$2</f>
        <v>8.578521600000002</v>
      </c>
      <c r="P131" s="16">
        <f>F131+J131+N131</f>
        <v>18450</v>
      </c>
      <c r="Q131" s="15">
        <f>P131/1000</f>
        <v>18.45</v>
      </c>
      <c r="R131" s="14">
        <f>MAX(Q131,O131)</f>
        <v>18.45</v>
      </c>
      <c r="S131" s="50">
        <f>VLOOKUP(A131,[1]Index!$E:$M,8,)</f>
        <v>17683.295463840001</v>
      </c>
      <c r="T131" s="49">
        <f>S131-P131</f>
        <v>-766.70453615999941</v>
      </c>
      <c r="U131" s="48">
        <f>T131/S131</f>
        <v>-4.3357559552618954E-2</v>
      </c>
      <c r="V131" s="47">
        <f>(((C131*D131*E131)+(G131*H131*I131)+(K131*L131*M131))/1000000)*35.32</f>
        <v>1.4297536000000002</v>
      </c>
      <c r="W131" s="46">
        <f>Q131/V131</f>
        <v>12.904321415941878</v>
      </c>
      <c r="X131" s="1" t="s">
        <v>44</v>
      </c>
    </row>
    <row r="132" spans="1:24" ht="13.8" x14ac:dyDescent="0.3">
      <c r="A132" s="54" t="s">
        <v>163</v>
      </c>
      <c r="B132" s="53" t="s">
        <v>0</v>
      </c>
      <c r="C132" s="52">
        <v>97</v>
      </c>
      <c r="D132" s="52">
        <v>50</v>
      </c>
      <c r="E132" s="52">
        <v>7</v>
      </c>
      <c r="F132" s="52">
        <v>17600</v>
      </c>
      <c r="G132" s="31"/>
      <c r="H132" s="31"/>
      <c r="I132" s="31"/>
      <c r="J132" s="31"/>
      <c r="K132" s="30"/>
      <c r="L132" s="30"/>
      <c r="M132" s="30"/>
      <c r="N132" s="30"/>
      <c r="O132" s="17">
        <f>V132*$O$2</f>
        <v>7.1946840000000005</v>
      </c>
      <c r="P132" s="16">
        <f>F132+J132+N132</f>
        <v>17600</v>
      </c>
      <c r="Q132" s="15">
        <f>P132/1000</f>
        <v>17.600000000000001</v>
      </c>
      <c r="R132" s="14">
        <f>MAX(Q132,O132)</f>
        <v>17.600000000000001</v>
      </c>
      <c r="S132" s="50">
        <f>VLOOKUP(A132,[1]Index!$E:$M,8,)</f>
        <v>16988.619626656357</v>
      </c>
      <c r="T132" s="49">
        <f>S132-P132</f>
        <v>-611.38037334364344</v>
      </c>
      <c r="U132" s="48">
        <f>T132/S132</f>
        <v>-3.5987642714911575E-2</v>
      </c>
      <c r="V132" s="47">
        <f>(((C132*D132*E132)+(G132*H132*I132)+(K132*L132*M132))/1000000)*35.32</f>
        <v>1.199114</v>
      </c>
      <c r="W132" s="46">
        <f>Q132/V132</f>
        <v>14.677503556792766</v>
      </c>
      <c r="X132" s="1" t="s">
        <v>44</v>
      </c>
    </row>
    <row r="133" spans="1:24" ht="13.8" x14ac:dyDescent="0.3">
      <c r="A133" s="54" t="s">
        <v>162</v>
      </c>
      <c r="B133" s="53" t="s">
        <v>0</v>
      </c>
      <c r="C133" s="52">
        <v>95</v>
      </c>
      <c r="D133" s="52">
        <v>22</v>
      </c>
      <c r="E133" s="52">
        <v>12</v>
      </c>
      <c r="F133" s="52">
        <v>2600</v>
      </c>
      <c r="G133" s="31"/>
      <c r="H133" s="31"/>
      <c r="I133" s="31"/>
      <c r="J133" s="31"/>
      <c r="K133" s="30"/>
      <c r="L133" s="30"/>
      <c r="M133" s="30"/>
      <c r="N133" s="30"/>
      <c r="O133" s="17">
        <f>V133*$O$2</f>
        <v>5.3149536000000008</v>
      </c>
      <c r="P133" s="16">
        <f>F133+J133+N133</f>
        <v>2600</v>
      </c>
      <c r="Q133" s="15">
        <f>P133/1000</f>
        <v>2.6</v>
      </c>
      <c r="R133" s="14">
        <f>MAX(Q133,O133)</f>
        <v>5.3149536000000008</v>
      </c>
      <c r="S133" s="50">
        <f>VLOOKUP(A133,[1]Index!$E:$M,8,)</f>
        <v>8246</v>
      </c>
      <c r="T133" s="49">
        <f>S133-P133</f>
        <v>5646</v>
      </c>
      <c r="U133" s="48">
        <f>T133/S133</f>
        <v>0.68469560999272372</v>
      </c>
      <c r="V133" s="47">
        <f>(((C133*D133*E133)+(G133*H133*I133)+(K133*L133*M133))/1000000)*35.32</f>
        <v>0.8858256000000001</v>
      </c>
      <c r="W133" s="46">
        <f>Q133/V133</f>
        <v>2.9351149932898752</v>
      </c>
      <c r="X133" s="1" t="s">
        <v>44</v>
      </c>
    </row>
    <row r="134" spans="1:24" ht="13.8" x14ac:dyDescent="0.3">
      <c r="A134" s="54" t="s">
        <v>161</v>
      </c>
      <c r="B134" s="53" t="s">
        <v>0</v>
      </c>
      <c r="C134" s="52">
        <v>55</v>
      </c>
      <c r="D134" s="52">
        <v>29</v>
      </c>
      <c r="E134" s="52">
        <v>8</v>
      </c>
      <c r="F134" s="52"/>
      <c r="G134" s="31"/>
      <c r="H134" s="31"/>
      <c r="I134" s="31"/>
      <c r="J134" s="31"/>
      <c r="K134" s="30"/>
      <c r="L134" s="30"/>
      <c r="M134" s="30"/>
      <c r="N134" s="30"/>
      <c r="O134" s="17">
        <f>V134*$O$2</f>
        <v>2.7040991999999999</v>
      </c>
      <c r="P134" s="16">
        <f>F134+J134+N134</f>
        <v>0</v>
      </c>
      <c r="Q134" s="15">
        <f>P134/1000</f>
        <v>0</v>
      </c>
      <c r="R134" s="14">
        <f>MAX(Q134,O134)</f>
        <v>2.7040991999999999</v>
      </c>
      <c r="S134" s="50" t="e">
        <f>VLOOKUP(A134,[1]Index!$E:$M,8,)</f>
        <v>#N/A</v>
      </c>
      <c r="T134" s="49" t="e">
        <f>S134-P134</f>
        <v>#N/A</v>
      </c>
      <c r="U134" s="48" t="e">
        <f>T134/S134</f>
        <v>#N/A</v>
      </c>
      <c r="V134" s="47">
        <f>(((C134*D134*E134)+(G134*H134*I134)+(K134*L134*M134))/1000000)*35.32</f>
        <v>0.45068320000000001</v>
      </c>
      <c r="W134" s="46">
        <f>Q134/V134</f>
        <v>0</v>
      </c>
      <c r="X134" s="1" t="s">
        <v>46</v>
      </c>
    </row>
    <row r="135" spans="1:24" ht="13.8" x14ac:dyDescent="0.3">
      <c r="A135" s="54" t="s">
        <v>160</v>
      </c>
      <c r="B135" s="53" t="s">
        <v>0</v>
      </c>
      <c r="C135" s="52">
        <v>36</v>
      </c>
      <c r="D135" s="52">
        <v>25</v>
      </c>
      <c r="E135" s="52">
        <v>4</v>
      </c>
      <c r="F135" s="52">
        <v>12500</v>
      </c>
      <c r="G135" s="31"/>
      <c r="H135" s="31"/>
      <c r="I135" s="31"/>
      <c r="J135" s="31"/>
      <c r="K135" s="30"/>
      <c r="L135" s="30"/>
      <c r="M135" s="30"/>
      <c r="N135" s="30"/>
      <c r="O135" s="17">
        <f>V135*$O$2</f>
        <v>0.76291199999999992</v>
      </c>
      <c r="P135" s="16">
        <f>F135+J135+N135</f>
        <v>12500</v>
      </c>
      <c r="Q135" s="15">
        <f>P135/1000</f>
        <v>12.5</v>
      </c>
      <c r="R135" s="14">
        <f>MAX(Q135,O135)</f>
        <v>12.5</v>
      </c>
      <c r="S135" s="50">
        <f>VLOOKUP(A135,[1]Index!$E:$M,8,)</f>
        <v>1083.4392</v>
      </c>
      <c r="T135" s="49">
        <f>S135-P135</f>
        <v>-11416.560799999999</v>
      </c>
      <c r="U135" s="48">
        <f>T135/S135</f>
        <v>-10.53733407467627</v>
      </c>
      <c r="V135" s="47">
        <f>(((C135*D135*E135)+(G135*H135*I135)+(K135*L135*M135))/1000000)*35.32</f>
        <v>0.12715199999999999</v>
      </c>
      <c r="W135" s="46">
        <f>Q135/V135</f>
        <v>98.30753743551027</v>
      </c>
      <c r="X135" s="1" t="s">
        <v>44</v>
      </c>
    </row>
    <row r="136" spans="1:24" ht="13.8" x14ac:dyDescent="0.3">
      <c r="A136" s="54" t="s">
        <v>159</v>
      </c>
      <c r="B136" s="53" t="s">
        <v>0</v>
      </c>
      <c r="C136" s="52">
        <v>36</v>
      </c>
      <c r="D136" s="52">
        <v>25</v>
      </c>
      <c r="E136" s="52">
        <v>4</v>
      </c>
      <c r="F136" s="52">
        <v>1900</v>
      </c>
      <c r="G136" s="31"/>
      <c r="H136" s="31"/>
      <c r="I136" s="31"/>
      <c r="J136" s="31"/>
      <c r="K136" s="30"/>
      <c r="L136" s="30"/>
      <c r="M136" s="30"/>
      <c r="N136" s="30"/>
      <c r="O136" s="17">
        <f>V136*$O$2</f>
        <v>0.76291199999999992</v>
      </c>
      <c r="P136" s="16">
        <f>F136+J136+N136</f>
        <v>1900</v>
      </c>
      <c r="Q136" s="15">
        <f>P136/1000</f>
        <v>1.9</v>
      </c>
      <c r="R136" s="14">
        <f>MAX(Q136,O136)</f>
        <v>1.9</v>
      </c>
      <c r="S136" s="50">
        <f>VLOOKUP(A136,[1]Index!$E:$M,8,)</f>
        <v>1281.1013680000001</v>
      </c>
      <c r="T136" s="49">
        <f>S136-P136</f>
        <v>-618.89863199999991</v>
      </c>
      <c r="U136" s="48">
        <f>T136/S136</f>
        <v>-0.48309887684079023</v>
      </c>
      <c r="V136" s="47">
        <f>(((C136*D136*E136)+(G136*H136*I136)+(K136*L136*M136))/1000000)*35.32</f>
        <v>0.12715199999999999</v>
      </c>
      <c r="W136" s="46">
        <f>Q136/V136</f>
        <v>14.94274569019756</v>
      </c>
      <c r="X136" s="1" t="s">
        <v>44</v>
      </c>
    </row>
    <row r="137" spans="1:24" ht="12.9" customHeight="1" x14ac:dyDescent="0.3">
      <c r="A137" s="54" t="s">
        <v>158</v>
      </c>
      <c r="B137" s="53" t="s">
        <v>0</v>
      </c>
      <c r="C137" s="52">
        <v>46</v>
      </c>
      <c r="D137" s="52">
        <v>35</v>
      </c>
      <c r="E137" s="52">
        <v>9</v>
      </c>
      <c r="F137" s="52">
        <v>6860</v>
      </c>
      <c r="G137" s="31"/>
      <c r="H137" s="31"/>
      <c r="I137" s="31"/>
      <c r="J137" s="31"/>
      <c r="K137" s="30"/>
      <c r="L137" s="30"/>
      <c r="M137" s="30"/>
      <c r="N137" s="30"/>
      <c r="O137" s="17">
        <f>V137*$O$2</f>
        <v>3.0707208000000001</v>
      </c>
      <c r="P137" s="16">
        <f>F137+J137+N137</f>
        <v>6860</v>
      </c>
      <c r="Q137" s="15">
        <f>P137/1000</f>
        <v>6.86</v>
      </c>
      <c r="R137" s="14">
        <f>MAX(Q137,O137)</f>
        <v>6.86</v>
      </c>
      <c r="S137" s="50">
        <f>VLOOKUP(A137,[1]Index!$E:$M,8,)</f>
        <v>6535.6482758508109</v>
      </c>
      <c r="T137" s="49">
        <f>S137-P137</f>
        <v>-324.35172414918907</v>
      </c>
      <c r="U137" s="48">
        <f>T137/S137</f>
        <v>-4.9628087445841775E-2</v>
      </c>
      <c r="V137" s="47">
        <f>(((C137*D137*E137)+(G137*H137*I137)+(K137*L137*M137))/1000000)*35.32</f>
        <v>0.51178679999999999</v>
      </c>
      <c r="W137" s="46">
        <f>Q137/V137</f>
        <v>13.404019017293921</v>
      </c>
      <c r="X137" s="1" t="s">
        <v>44</v>
      </c>
    </row>
    <row r="138" spans="1:24" ht="14.4" customHeight="1" x14ac:dyDescent="0.3">
      <c r="A138" s="54" t="s">
        <v>157</v>
      </c>
      <c r="B138" s="53" t="s">
        <v>0</v>
      </c>
      <c r="C138" s="52">
        <v>175</v>
      </c>
      <c r="D138" s="52">
        <v>41</v>
      </c>
      <c r="E138" s="52">
        <v>7</v>
      </c>
      <c r="F138" s="52">
        <v>23150</v>
      </c>
      <c r="G138" s="31"/>
      <c r="H138" s="31"/>
      <c r="I138" s="31"/>
      <c r="J138" s="31"/>
      <c r="K138" s="30"/>
      <c r="L138" s="30"/>
      <c r="M138" s="30"/>
      <c r="N138" s="30"/>
      <c r="O138" s="17">
        <f>V138*$O$2</f>
        <v>10.643682</v>
      </c>
      <c r="P138" s="16">
        <f>F138+J138+N138</f>
        <v>23150</v>
      </c>
      <c r="Q138" s="15">
        <f>P138/1000</f>
        <v>23.15</v>
      </c>
      <c r="R138" s="14">
        <f>MAX(Q138,O138)</f>
        <v>23.15</v>
      </c>
      <c r="S138" s="50">
        <f>VLOOKUP(A138,[1]Index!$E:$M,8,)</f>
        <v>20048.157132549994</v>
      </c>
      <c r="T138" s="49">
        <f>S138-P138</f>
        <v>-3101.8428674500065</v>
      </c>
      <c r="U138" s="48">
        <f>T138/S138</f>
        <v>-0.15471960075641489</v>
      </c>
      <c r="V138" s="47">
        <f>(((C138*D138*E138)+(G138*H138*I138)+(K138*L138*M138))/1000000)*35.32</f>
        <v>1.7739469999999999</v>
      </c>
      <c r="W138" s="46">
        <f>Q138/V138</f>
        <v>13.04999529298226</v>
      </c>
      <c r="X138" s="1" t="s">
        <v>44</v>
      </c>
    </row>
    <row r="139" spans="1:24" ht="13.8" x14ac:dyDescent="0.3">
      <c r="A139" s="54" t="s">
        <v>156</v>
      </c>
      <c r="B139" s="53" t="s">
        <v>0</v>
      </c>
      <c r="C139" s="52">
        <v>117</v>
      </c>
      <c r="D139" s="52">
        <v>28</v>
      </c>
      <c r="E139" s="52">
        <v>6</v>
      </c>
      <c r="F139" s="52">
        <v>8850</v>
      </c>
      <c r="G139" s="31"/>
      <c r="H139" s="31"/>
      <c r="I139" s="31"/>
      <c r="J139" s="31"/>
      <c r="K139" s="30"/>
      <c r="L139" s="30"/>
      <c r="M139" s="30"/>
      <c r="N139" s="30"/>
      <c r="O139" s="17">
        <f>V139*$O$2</f>
        <v>4.16549952</v>
      </c>
      <c r="P139" s="16">
        <f>F139+J139+N139</f>
        <v>8850</v>
      </c>
      <c r="Q139" s="15">
        <f>P139/1000</f>
        <v>8.85</v>
      </c>
      <c r="R139" s="14">
        <f>MAX(Q139,O139)</f>
        <v>8.85</v>
      </c>
      <c r="S139" s="50">
        <f>VLOOKUP(A139,[1]Index!$E:$M,8,)</f>
        <v>8298.5044622708483</v>
      </c>
      <c r="T139" s="49">
        <f>S139-P139</f>
        <v>-551.49553772915169</v>
      </c>
      <c r="U139" s="48">
        <f>T139/S139</f>
        <v>-6.6457220121592539E-2</v>
      </c>
      <c r="V139" s="47">
        <f>(((C139*D139*E139)+(G139*H139*I139)+(K139*L139*M139))/1000000)*35.32</f>
        <v>0.69424991999999996</v>
      </c>
      <c r="W139" s="46">
        <f>Q139/V139</f>
        <v>12.747570788340891</v>
      </c>
      <c r="X139" s="1" t="s">
        <v>44</v>
      </c>
    </row>
    <row r="140" spans="1:24" ht="13.8" x14ac:dyDescent="0.3">
      <c r="A140" s="54" t="s">
        <v>155</v>
      </c>
      <c r="B140" s="53" t="s">
        <v>0</v>
      </c>
      <c r="C140" s="52">
        <v>144</v>
      </c>
      <c r="D140" s="52">
        <v>40</v>
      </c>
      <c r="E140" s="52">
        <v>10</v>
      </c>
      <c r="F140" s="52">
        <v>30000</v>
      </c>
      <c r="G140" s="31"/>
      <c r="H140" s="31"/>
      <c r="I140" s="31"/>
      <c r="J140" s="31"/>
      <c r="K140" s="30"/>
      <c r="L140" s="30"/>
      <c r="M140" s="30"/>
      <c r="N140" s="30"/>
      <c r="O140" s="17">
        <f>V140*$O$2</f>
        <v>12.206591999999999</v>
      </c>
      <c r="P140" s="16">
        <f>F140+J140+N140</f>
        <v>30000</v>
      </c>
      <c r="Q140" s="15">
        <f>P140/1000</f>
        <v>30</v>
      </c>
      <c r="R140" s="14">
        <f>MAX(Q140,O140)</f>
        <v>30</v>
      </c>
      <c r="S140" s="50">
        <f>VLOOKUP(A140,[1]Index!$E:$M,8,)</f>
        <v>24666.917917480001</v>
      </c>
      <c r="T140" s="49">
        <f>S140-P140</f>
        <v>-5333.0820825199989</v>
      </c>
      <c r="U140" s="48">
        <f>T140/S140</f>
        <v>-0.21620382815401334</v>
      </c>
      <c r="V140" s="47">
        <f>(((C140*D140*E140)+(G140*H140*I140)+(K140*L140*M140))/1000000)*35.32</f>
        <v>2.0344319999999998</v>
      </c>
      <c r="W140" s="46">
        <f>Q140/V140</f>
        <v>14.746130615326539</v>
      </c>
      <c r="X140" s="1" t="s">
        <v>44</v>
      </c>
    </row>
    <row r="141" spans="1:24" ht="13.8" x14ac:dyDescent="0.3">
      <c r="A141" s="54" t="s">
        <v>154</v>
      </c>
      <c r="B141" s="53" t="s">
        <v>0</v>
      </c>
      <c r="C141" s="52">
        <v>127</v>
      </c>
      <c r="D141" s="52">
        <v>34</v>
      </c>
      <c r="E141" s="52">
        <v>8</v>
      </c>
      <c r="F141" s="52">
        <v>14700</v>
      </c>
      <c r="G141" s="31"/>
      <c r="H141" s="31"/>
      <c r="I141" s="31"/>
      <c r="J141" s="31"/>
      <c r="K141" s="30"/>
      <c r="L141" s="30"/>
      <c r="M141" s="30"/>
      <c r="N141" s="30"/>
      <c r="O141" s="17">
        <f>V141*$O$2</f>
        <v>7.3205644799999998</v>
      </c>
      <c r="P141" s="16">
        <f>F141+J141+N141</f>
        <v>14700</v>
      </c>
      <c r="Q141" s="15">
        <f>P141/1000</f>
        <v>14.7</v>
      </c>
      <c r="R141" s="14">
        <f>MAX(Q141,O141)</f>
        <v>14.7</v>
      </c>
      <c r="S141" s="50">
        <f>VLOOKUP(A141,[1]Index!$E:$M,8,)</f>
        <v>13855.265305800001</v>
      </c>
      <c r="T141" s="49">
        <f>S141-P141</f>
        <v>-844.73469419999856</v>
      </c>
      <c r="U141" s="48">
        <f>T141/S141</f>
        <v>-6.0968496492548666E-2</v>
      </c>
      <c r="V141" s="47">
        <f>(((C141*D141*E141)+(G141*H141*I141)+(K141*L141*M141))/1000000)*35.32</f>
        <v>1.22009408</v>
      </c>
      <c r="W141" s="46">
        <f>Q141/V141</f>
        <v>12.048251229937939</v>
      </c>
      <c r="X141" s="1" t="s">
        <v>44</v>
      </c>
    </row>
    <row r="142" spans="1:24" ht="14.4" customHeight="1" x14ac:dyDescent="0.3">
      <c r="A142" s="54" t="s">
        <v>153</v>
      </c>
      <c r="B142" s="53" t="s">
        <v>0</v>
      </c>
      <c r="C142" s="52">
        <v>99</v>
      </c>
      <c r="D142" s="52">
        <v>27</v>
      </c>
      <c r="E142" s="52">
        <v>6</v>
      </c>
      <c r="F142" s="52">
        <v>6600</v>
      </c>
      <c r="G142" s="31"/>
      <c r="H142" s="31"/>
      <c r="I142" s="31"/>
      <c r="J142" s="31"/>
      <c r="K142" s="30"/>
      <c r="L142" s="30"/>
      <c r="M142" s="30"/>
      <c r="N142" s="30"/>
      <c r="O142" s="17">
        <f>V142*$O$2</f>
        <v>3.3987729600000005</v>
      </c>
      <c r="P142" s="16">
        <f>F142+J142+N142</f>
        <v>6600</v>
      </c>
      <c r="Q142" s="15">
        <f>P142/1000</f>
        <v>6.6</v>
      </c>
      <c r="R142" s="14">
        <f>MAX(Q142,O142)</f>
        <v>6.6</v>
      </c>
      <c r="S142" s="50">
        <f>VLOOKUP(A142,[1]Index!$E:$M,8,)</f>
        <v>5655.1775039999984</v>
      </c>
      <c r="T142" s="49">
        <f>S142-P142</f>
        <v>-944.82249600000159</v>
      </c>
      <c r="U142" s="48">
        <f>T142/S142</f>
        <v>-0.16707212025293872</v>
      </c>
      <c r="V142" s="47">
        <f>(((C142*D142*E142)+(G142*H142*I142)+(K142*L142*M142))/1000000)*35.32</f>
        <v>0.56646216000000005</v>
      </c>
      <c r="W142" s="46">
        <f>Q142/V142</f>
        <v>11.651263696060473</v>
      </c>
      <c r="X142" s="1" t="s">
        <v>44</v>
      </c>
    </row>
    <row r="143" spans="1:24" ht="14.4" customHeight="1" x14ac:dyDescent="0.3">
      <c r="A143" s="54" t="s">
        <v>152</v>
      </c>
      <c r="B143" s="53" t="s">
        <v>0</v>
      </c>
      <c r="C143" s="52">
        <v>97</v>
      </c>
      <c r="D143" s="52">
        <v>28</v>
      </c>
      <c r="E143" s="52">
        <v>9</v>
      </c>
      <c r="F143" s="52">
        <v>11150</v>
      </c>
      <c r="G143" s="31"/>
      <c r="H143" s="31"/>
      <c r="I143" s="31"/>
      <c r="J143" s="31"/>
      <c r="K143" s="30"/>
      <c r="L143" s="30"/>
      <c r="M143" s="30"/>
      <c r="N143" s="30"/>
      <c r="O143" s="17">
        <f>V143*$O$2</f>
        <v>5.1801724800000004</v>
      </c>
      <c r="P143" s="16">
        <f>F143+J143+N143</f>
        <v>11150</v>
      </c>
      <c r="Q143" s="15">
        <f>P143/1000</f>
        <v>11.15</v>
      </c>
      <c r="R143" s="14">
        <f>MAX(Q143,O143)</f>
        <v>11.15</v>
      </c>
      <c r="S143" s="50">
        <f>VLOOKUP(A143,[1]Index!$E:$M,8,)</f>
        <v>11053.271231799998</v>
      </c>
      <c r="T143" s="49">
        <f>S143-P143</f>
        <v>-96.728768200002378</v>
      </c>
      <c r="U143" s="48">
        <f>T143/S143</f>
        <v>-8.7511439981420181E-3</v>
      </c>
      <c r="V143" s="47">
        <f>(((C143*D143*E143)+(G143*H143*I143)+(K143*L143*M143))/1000000)*35.32</f>
        <v>0.86336208000000003</v>
      </c>
      <c r="W143" s="46">
        <f>Q143/V143</f>
        <v>12.914627892853483</v>
      </c>
      <c r="X143" s="1" t="s">
        <v>44</v>
      </c>
    </row>
    <row r="144" spans="1:24" ht="14.4" customHeight="1" x14ac:dyDescent="0.3">
      <c r="A144" s="54" t="s">
        <v>151</v>
      </c>
      <c r="B144" s="53" t="s">
        <v>97</v>
      </c>
      <c r="C144" s="52">
        <v>228</v>
      </c>
      <c r="D144" s="52">
        <v>46</v>
      </c>
      <c r="E144" s="52">
        <v>9</v>
      </c>
      <c r="F144" s="52">
        <v>49050</v>
      </c>
      <c r="G144" s="31">
        <v>148</v>
      </c>
      <c r="H144" s="31">
        <v>26</v>
      </c>
      <c r="I144" s="31">
        <v>9</v>
      </c>
      <c r="J144" s="31">
        <v>19850</v>
      </c>
      <c r="K144" s="30">
        <v>158</v>
      </c>
      <c r="L144" s="30">
        <v>29</v>
      </c>
      <c r="M144" s="30">
        <v>7</v>
      </c>
      <c r="N144" s="30">
        <v>15000</v>
      </c>
      <c r="O144" s="17">
        <f>V144*$O$2</f>
        <v>34.139888159999998</v>
      </c>
      <c r="P144" s="16">
        <f>F144+J144+N144</f>
        <v>83900</v>
      </c>
      <c r="Q144" s="15">
        <f>P144/1000</f>
        <v>83.9</v>
      </c>
      <c r="R144" s="14">
        <f>MAX(Q144,O144)</f>
        <v>83.9</v>
      </c>
      <c r="S144" s="50">
        <f>VLOOKUP(A144,[1]Index!$E:$M,8,)</f>
        <v>71563.038988735992</v>
      </c>
      <c r="T144" s="49">
        <f>S144-P144</f>
        <v>-12336.961011264008</v>
      </c>
      <c r="U144" s="48">
        <f>T144/S144</f>
        <v>-0.17239291658932823</v>
      </c>
      <c r="V144" s="47">
        <f>(((C144*D144*E144)+(G144*H144*I144)+(K144*L144*M144))/1000000)*35.32</f>
        <v>5.68998136</v>
      </c>
      <c r="W144" s="46">
        <f>Q144/V144</f>
        <v>14.745215263763185</v>
      </c>
      <c r="X144" s="1" t="s">
        <v>44</v>
      </c>
    </row>
    <row r="145" spans="1:24" ht="14.4" customHeight="1" x14ac:dyDescent="0.3">
      <c r="A145" s="54" t="s">
        <v>150</v>
      </c>
      <c r="B145" s="53" t="s">
        <v>0</v>
      </c>
      <c r="C145" s="52">
        <v>91</v>
      </c>
      <c r="D145" s="52">
        <v>53</v>
      </c>
      <c r="E145" s="52">
        <v>9</v>
      </c>
      <c r="F145" s="52">
        <v>19750</v>
      </c>
      <c r="G145" s="31"/>
      <c r="H145" s="31"/>
      <c r="I145" s="31"/>
      <c r="J145" s="31"/>
      <c r="K145" s="30"/>
      <c r="L145" s="30"/>
      <c r="M145" s="30"/>
      <c r="N145" s="30"/>
      <c r="O145" s="17">
        <f>V145*$O$2</f>
        <v>9.1988114400000001</v>
      </c>
      <c r="P145" s="16">
        <f>F145+J145+N145</f>
        <v>19750</v>
      </c>
      <c r="Q145" s="15">
        <f>P145/1000</f>
        <v>19.75</v>
      </c>
      <c r="R145" s="14">
        <f>MAX(Q145,O145)</f>
        <v>19.75</v>
      </c>
      <c r="S145" s="50">
        <f>VLOOKUP(A145,[1]Index!$E:$M,8,)</f>
        <v>19574</v>
      </c>
      <c r="T145" s="49">
        <f>S145-P145</f>
        <v>-176</v>
      </c>
      <c r="U145" s="48">
        <f>T145/S145</f>
        <v>-8.9915193624195353E-3</v>
      </c>
      <c r="V145" s="47">
        <f>(((C145*D145*E145)+(G145*H145*I145)+(K145*L145*M145))/1000000)*35.32</f>
        <v>1.53313524</v>
      </c>
      <c r="W145" s="46">
        <f>Q145/V145</f>
        <v>12.882099037786125</v>
      </c>
      <c r="X145" s="1" t="s">
        <v>44</v>
      </c>
    </row>
    <row r="146" spans="1:24" ht="15" customHeight="1" x14ac:dyDescent="0.3">
      <c r="A146" s="54" t="s">
        <v>149</v>
      </c>
      <c r="B146" s="53" t="s">
        <v>0</v>
      </c>
      <c r="C146" s="52">
        <v>153</v>
      </c>
      <c r="D146" s="52">
        <v>45</v>
      </c>
      <c r="E146" s="52">
        <v>9</v>
      </c>
      <c r="F146" s="52">
        <v>30700</v>
      </c>
      <c r="G146" s="31"/>
      <c r="H146" s="31"/>
      <c r="I146" s="31"/>
      <c r="J146" s="31"/>
      <c r="K146" s="30"/>
      <c r="L146" s="30"/>
      <c r="M146" s="30"/>
      <c r="N146" s="30"/>
      <c r="O146" s="17">
        <f>V146*$O$2</f>
        <v>13.131622800000001</v>
      </c>
      <c r="P146" s="16">
        <f>F146+J146+N146</f>
        <v>30700</v>
      </c>
      <c r="Q146" s="15">
        <f>P146/1000</f>
        <v>30.7</v>
      </c>
      <c r="R146" s="14">
        <f>MAX(Q146,O146)</f>
        <v>30.7</v>
      </c>
      <c r="S146" s="50">
        <f>VLOOKUP(A146,[1]Index!$E:$M,8,)</f>
        <v>28017.14444964</v>
      </c>
      <c r="T146" s="49">
        <f>S146-P146</f>
        <v>-2682.8555503600001</v>
      </c>
      <c r="U146" s="48">
        <f>T146/S146</f>
        <v>-9.5757637084762676E-2</v>
      </c>
      <c r="V146" s="47">
        <f>(((C146*D146*E146)+(G146*H146*I146)+(K146*L146*M146))/1000000)*35.32</f>
        <v>2.1886038000000001</v>
      </c>
      <c r="W146" s="46">
        <f>Q146/V146</f>
        <v>14.027207665453197</v>
      </c>
      <c r="X146" s="1" t="s">
        <v>44</v>
      </c>
    </row>
    <row r="147" spans="1:24" ht="14.4" customHeight="1" x14ac:dyDescent="0.3">
      <c r="A147" s="54" t="s">
        <v>148</v>
      </c>
      <c r="B147" s="53" t="s">
        <v>0</v>
      </c>
      <c r="C147" s="52">
        <v>145</v>
      </c>
      <c r="D147" s="52">
        <v>30</v>
      </c>
      <c r="E147" s="52">
        <v>7</v>
      </c>
      <c r="F147" s="52">
        <v>15050</v>
      </c>
      <c r="G147" s="31"/>
      <c r="H147" s="31"/>
      <c r="I147" s="31"/>
      <c r="J147" s="31"/>
      <c r="K147" s="30"/>
      <c r="L147" s="30"/>
      <c r="M147" s="30"/>
      <c r="N147" s="30"/>
      <c r="O147" s="17">
        <f>V147*$O$2</f>
        <v>6.4529639999999997</v>
      </c>
      <c r="P147" s="16">
        <f>F147+J147+N147</f>
        <v>15050</v>
      </c>
      <c r="Q147" s="15">
        <f>P147/1000</f>
        <v>15.05</v>
      </c>
      <c r="R147" s="14">
        <f>MAX(Q147,O147)</f>
        <v>15.05</v>
      </c>
      <c r="S147" s="50">
        <f>VLOOKUP(A147,[1]Index!$E:$M,8,)</f>
        <v>12739.110340423653</v>
      </c>
      <c r="T147" s="49">
        <f>S147-P147</f>
        <v>-2310.8896595763472</v>
      </c>
      <c r="U147" s="48">
        <f>T147/S147</f>
        <v>-0.18140118091633517</v>
      </c>
      <c r="V147" s="47">
        <f>(((C147*D147*E147)+(G147*H147*I147)+(K147*L147*M147))/1000000)*35.32</f>
        <v>1.075494</v>
      </c>
      <c r="W147" s="46">
        <f>Q147/V147</f>
        <v>13.993569466682288</v>
      </c>
      <c r="X147" s="1" t="s">
        <v>46</v>
      </c>
    </row>
    <row r="148" spans="1:24" ht="14.4" customHeight="1" x14ac:dyDescent="0.3">
      <c r="A148" s="54" t="s">
        <v>147</v>
      </c>
      <c r="B148" s="53" t="s">
        <v>0</v>
      </c>
      <c r="C148" s="52">
        <v>70</v>
      </c>
      <c r="D148" s="52">
        <v>30</v>
      </c>
      <c r="E148" s="52">
        <v>6</v>
      </c>
      <c r="F148" s="52">
        <v>3310</v>
      </c>
      <c r="G148" s="31"/>
      <c r="H148" s="31"/>
      <c r="I148" s="31"/>
      <c r="J148" s="31"/>
      <c r="K148" s="30"/>
      <c r="L148" s="30"/>
      <c r="M148" s="30"/>
      <c r="N148" s="30"/>
      <c r="O148" s="17">
        <f>V148*$O$2</f>
        <v>2.6701920000000001</v>
      </c>
      <c r="P148" s="16">
        <f>F148+J148+N148</f>
        <v>3310</v>
      </c>
      <c r="Q148" s="15">
        <f>P148/1000</f>
        <v>3.31</v>
      </c>
      <c r="R148" s="14">
        <f>MAX(Q148,O148)</f>
        <v>3.31</v>
      </c>
      <c r="S148" s="50">
        <f>VLOOKUP(A148,[1]Index!$E:$M,8,)</f>
        <v>6355.8931959390311</v>
      </c>
      <c r="T148" s="49">
        <f>S148-P148</f>
        <v>3045.8931959390311</v>
      </c>
      <c r="U148" s="48">
        <f>T148/S148</f>
        <v>0.47922347057139708</v>
      </c>
      <c r="V148" s="47">
        <f>(((C148*D148*E148)+(G148*H148*I148)+(K148*L148*M148))/1000000)*35.32</f>
        <v>0.44503199999999998</v>
      </c>
      <c r="W148" s="46">
        <f>Q148/V148</f>
        <v>7.4376674036923189</v>
      </c>
      <c r="X148" s="1" t="s">
        <v>46</v>
      </c>
    </row>
    <row r="149" spans="1:24" ht="13.8" x14ac:dyDescent="0.3">
      <c r="A149" s="54" t="s">
        <v>146</v>
      </c>
      <c r="B149" s="53" t="s">
        <v>0</v>
      </c>
      <c r="C149" s="52">
        <v>97</v>
      </c>
      <c r="D149" s="52">
        <v>30</v>
      </c>
      <c r="E149" s="52">
        <v>6</v>
      </c>
      <c r="F149" s="52">
        <v>4800</v>
      </c>
      <c r="G149" s="31"/>
      <c r="H149" s="31"/>
      <c r="I149" s="31"/>
      <c r="J149" s="31"/>
      <c r="K149" s="30"/>
      <c r="L149" s="30"/>
      <c r="M149" s="30"/>
      <c r="N149" s="30"/>
      <c r="O149" s="17">
        <f>V149*$O$2</f>
        <v>3.7001232000000002</v>
      </c>
      <c r="P149" s="16">
        <f>F149+J149+N149</f>
        <v>4800</v>
      </c>
      <c r="Q149" s="15">
        <f>P149/1000</f>
        <v>4.8</v>
      </c>
      <c r="R149" s="14">
        <f>MAX(Q149,O149)</f>
        <v>4.8</v>
      </c>
      <c r="S149" s="50">
        <f>VLOOKUP(A149,[1]Index!$E:$M,8,)</f>
        <v>1658.5727156</v>
      </c>
      <c r="T149" s="49">
        <f>S149-P149</f>
        <v>-3141.4272843999997</v>
      </c>
      <c r="U149" s="48">
        <f>T149/S149</f>
        <v>-1.8940546017987321</v>
      </c>
      <c r="V149" s="47">
        <f>(((C149*D149*E149)+(G149*H149*I149)+(K149*L149*M149))/1000000)*35.32</f>
        <v>0.61668719999999999</v>
      </c>
      <c r="W149" s="46">
        <f>Q149/V149</f>
        <v>7.7835246134507088</v>
      </c>
      <c r="X149" s="1" t="s">
        <v>44</v>
      </c>
    </row>
    <row r="150" spans="1:24" ht="14.4" customHeight="1" x14ac:dyDescent="0.3">
      <c r="A150" s="54" t="s">
        <v>145</v>
      </c>
      <c r="B150" s="53" t="s">
        <v>0</v>
      </c>
      <c r="C150" s="52">
        <v>65</v>
      </c>
      <c r="D150" s="52">
        <v>28</v>
      </c>
      <c r="E150" s="52">
        <v>5</v>
      </c>
      <c r="F150" s="52">
        <v>3500</v>
      </c>
      <c r="G150" s="31"/>
      <c r="H150" s="31"/>
      <c r="I150" s="31"/>
      <c r="J150" s="31"/>
      <c r="K150" s="30"/>
      <c r="L150" s="30"/>
      <c r="M150" s="30"/>
      <c r="N150" s="30"/>
      <c r="O150" s="17">
        <f>V150*$O$2</f>
        <v>1.9284720000000002</v>
      </c>
      <c r="P150" s="16">
        <f>F150+J150+N150</f>
        <v>3500</v>
      </c>
      <c r="Q150" s="15">
        <f>P150/1000</f>
        <v>3.5</v>
      </c>
      <c r="R150" s="14">
        <f>MAX(Q150,O150)</f>
        <v>3.5</v>
      </c>
      <c r="S150" s="50">
        <f>VLOOKUP(A150,[1]Index!$E:$M,8,)</f>
        <v>1429.1156484000001</v>
      </c>
      <c r="T150" s="49">
        <f>S150-P150</f>
        <v>-2070.8843515999997</v>
      </c>
      <c r="U150" s="48">
        <f>T150/S150</f>
        <v>-1.4490670184169538</v>
      </c>
      <c r="V150" s="47">
        <f>(((C150*D150*E150)+(G150*H150*I150)+(K150*L150*M150))/1000000)*35.32</f>
        <v>0.32141200000000003</v>
      </c>
      <c r="W150" s="46">
        <f>Q150/V150</f>
        <v>10.889450300548827</v>
      </c>
      <c r="X150" s="1" t="s">
        <v>44</v>
      </c>
    </row>
    <row r="151" spans="1:24" ht="14.4" customHeight="1" x14ac:dyDescent="0.3">
      <c r="A151" s="54" t="s">
        <v>144</v>
      </c>
      <c r="B151" s="53" t="s">
        <v>0</v>
      </c>
      <c r="C151" s="52">
        <v>125</v>
      </c>
      <c r="D151" s="52">
        <v>42</v>
      </c>
      <c r="E151" s="52">
        <v>8</v>
      </c>
      <c r="F151" s="52">
        <v>16900</v>
      </c>
      <c r="G151" s="31"/>
      <c r="H151" s="31"/>
      <c r="I151" s="31"/>
      <c r="J151" s="31"/>
      <c r="K151" s="30"/>
      <c r="L151" s="30"/>
      <c r="M151" s="30"/>
      <c r="N151" s="30"/>
      <c r="O151" s="17">
        <f>V151*$O$2</f>
        <v>8.900640000000001</v>
      </c>
      <c r="P151" s="16">
        <f>F151+J151+N151</f>
        <v>16900</v>
      </c>
      <c r="Q151" s="15">
        <f>P151/1000</f>
        <v>16.899999999999999</v>
      </c>
      <c r="R151" s="14">
        <f>MAX(Q151,O151)</f>
        <v>16.899999999999999</v>
      </c>
      <c r="S151" s="50">
        <f>VLOOKUP(A151,[1]Index!$E:$M,8,)</f>
        <v>16103.083993481443</v>
      </c>
      <c r="T151" s="49">
        <f>S151-P151</f>
        <v>-796.91600651855697</v>
      </c>
      <c r="U151" s="48">
        <f>T151/S151</f>
        <v>-4.9488408980612034E-2</v>
      </c>
      <c r="V151" s="47">
        <f>(((C151*D151*E151)+(G151*H151*I151)+(K151*L151*M151))/1000000)*35.32</f>
        <v>1.4834400000000001</v>
      </c>
      <c r="W151" s="46">
        <f>Q151/V151</f>
        <v>11.392439195383702</v>
      </c>
      <c r="X151" s="1" t="s">
        <v>46</v>
      </c>
    </row>
    <row r="152" spans="1:24" ht="14.4" customHeight="1" x14ac:dyDescent="0.3">
      <c r="A152" s="54" t="s">
        <v>143</v>
      </c>
      <c r="B152" s="53" t="s">
        <v>0</v>
      </c>
      <c r="C152" s="52">
        <v>96</v>
      </c>
      <c r="D152" s="52">
        <v>30</v>
      </c>
      <c r="E152" s="52">
        <v>4</v>
      </c>
      <c r="F152" s="52">
        <v>5200</v>
      </c>
      <c r="G152" s="31"/>
      <c r="H152" s="31"/>
      <c r="I152" s="31"/>
      <c r="J152" s="31"/>
      <c r="K152" s="30"/>
      <c r="L152" s="30"/>
      <c r="M152" s="30"/>
      <c r="N152" s="30"/>
      <c r="O152" s="17">
        <f>V152*$O$2</f>
        <v>2.4413184000000001</v>
      </c>
      <c r="P152" s="16">
        <f>F152+J152+N152</f>
        <v>5200</v>
      </c>
      <c r="Q152" s="15">
        <f>P152/1000</f>
        <v>5.2</v>
      </c>
      <c r="R152" s="14">
        <f>MAX(Q152,O152)</f>
        <v>5.2</v>
      </c>
      <c r="S152" s="50">
        <f>VLOOKUP(A152,[1]Index!$E:$M,8,)</f>
        <v>5448</v>
      </c>
      <c r="T152" s="49">
        <f>S152-P152</f>
        <v>248</v>
      </c>
      <c r="U152" s="48">
        <f>T152/S152</f>
        <v>4.552129221732746E-2</v>
      </c>
      <c r="V152" s="47">
        <f>(((C152*D152*E152)+(G152*H152*I152)+(K152*L152*M152))/1000000)*35.32</f>
        <v>0.40688640000000004</v>
      </c>
      <c r="W152" s="46">
        <f>Q152/V152</f>
        <v>12.779979866616333</v>
      </c>
      <c r="X152" s="1" t="s">
        <v>44</v>
      </c>
    </row>
    <row r="153" spans="1:24" ht="13.8" x14ac:dyDescent="0.3">
      <c r="A153" s="54" t="s">
        <v>142</v>
      </c>
      <c r="B153" s="53" t="s">
        <v>0</v>
      </c>
      <c r="C153" s="52">
        <v>67</v>
      </c>
      <c r="D153" s="52">
        <v>29</v>
      </c>
      <c r="E153" s="52">
        <v>4</v>
      </c>
      <c r="F153" s="52">
        <v>3200</v>
      </c>
      <c r="G153" s="31"/>
      <c r="H153" s="31"/>
      <c r="I153" s="31"/>
      <c r="J153" s="31"/>
      <c r="K153" s="30"/>
      <c r="L153" s="30"/>
      <c r="M153" s="30"/>
      <c r="N153" s="30"/>
      <c r="O153" s="17">
        <f>V153*$O$2</f>
        <v>1.6470422400000002</v>
      </c>
      <c r="P153" s="16">
        <f>F153+J153+N153</f>
        <v>3200</v>
      </c>
      <c r="Q153" s="15">
        <f>P153/1000</f>
        <v>3.2</v>
      </c>
      <c r="R153" s="14">
        <f>MAX(Q153,O153)</f>
        <v>3.2</v>
      </c>
      <c r="S153" s="50">
        <f>VLOOKUP(A153,[1]Index!$E:$M,8,)</f>
        <v>4182</v>
      </c>
      <c r="T153" s="49">
        <f>S153-P153</f>
        <v>982</v>
      </c>
      <c r="U153" s="48">
        <f>T153/S153</f>
        <v>0.2348158775705404</v>
      </c>
      <c r="V153" s="47">
        <f>(((C153*D153*E153)+(G153*H153*I153)+(K153*L153*M153))/1000000)*35.32</f>
        <v>0.27450704000000004</v>
      </c>
      <c r="W153" s="46">
        <f>Q153/V153</f>
        <v>11.657260229100135</v>
      </c>
      <c r="X153" s="1" t="s">
        <v>44</v>
      </c>
    </row>
    <row r="154" spans="1:24" ht="14.4" customHeight="1" x14ac:dyDescent="0.3">
      <c r="A154" s="54" t="s">
        <v>141</v>
      </c>
      <c r="B154" s="53" t="s">
        <v>0</v>
      </c>
      <c r="C154" s="52">
        <v>125</v>
      </c>
      <c r="D154" s="52">
        <v>34</v>
      </c>
      <c r="E154" s="52">
        <v>6</v>
      </c>
      <c r="F154" s="52">
        <v>8750</v>
      </c>
      <c r="G154" s="31"/>
      <c r="H154" s="31"/>
      <c r="I154" s="31"/>
      <c r="J154" s="31"/>
      <c r="K154" s="30"/>
      <c r="L154" s="30"/>
      <c r="M154" s="30"/>
      <c r="N154" s="30"/>
      <c r="O154" s="17">
        <f>V154*$O$2</f>
        <v>5.4039599999999997</v>
      </c>
      <c r="P154" s="16">
        <f>F154+J154+N154</f>
        <v>8750</v>
      </c>
      <c r="Q154" s="15">
        <f>P154/1000</f>
        <v>8.75</v>
      </c>
      <c r="R154" s="14">
        <f>MAX(Q154,O154)</f>
        <v>8.75</v>
      </c>
      <c r="S154" s="50">
        <f>VLOOKUP(A154,[1]Index!$E:$M,8,)</f>
        <v>3700.9682400000006</v>
      </c>
      <c r="T154" s="49">
        <f>S154-P154</f>
        <v>-5049.0317599999998</v>
      </c>
      <c r="U154" s="48">
        <f>T154/S154</f>
        <v>-1.3642461735905085</v>
      </c>
      <c r="V154" s="47">
        <f>(((C154*D154*E154)+(G154*H154*I154)+(K154*L154*M154))/1000000)*35.32</f>
        <v>0.90065999999999991</v>
      </c>
      <c r="W154" s="46">
        <f>Q154/V154</f>
        <v>9.7150978171563089</v>
      </c>
      <c r="X154" s="1" t="s">
        <v>46</v>
      </c>
    </row>
    <row r="155" spans="1:24" ht="13.8" x14ac:dyDescent="0.3">
      <c r="A155" s="54" t="s">
        <v>140</v>
      </c>
      <c r="B155" s="53" t="s">
        <v>0</v>
      </c>
      <c r="C155" s="52">
        <v>127</v>
      </c>
      <c r="D155" s="52">
        <v>46</v>
      </c>
      <c r="E155" s="52">
        <v>7</v>
      </c>
      <c r="F155" s="52">
        <v>22400</v>
      </c>
      <c r="G155" s="31"/>
      <c r="H155" s="31"/>
      <c r="I155" s="31"/>
      <c r="J155" s="31"/>
      <c r="K155" s="30"/>
      <c r="L155" s="30"/>
      <c r="M155" s="30"/>
      <c r="N155" s="30"/>
      <c r="O155" s="17">
        <f>V155*$O$2</f>
        <v>8.6662564800000013</v>
      </c>
      <c r="P155" s="16">
        <f>F155+J155+N155</f>
        <v>22400</v>
      </c>
      <c r="Q155" s="15">
        <f>P155/1000</f>
        <v>22.4</v>
      </c>
      <c r="R155" s="14">
        <f>MAX(Q155,O155)</f>
        <v>22.4</v>
      </c>
      <c r="S155" s="50">
        <f>VLOOKUP(A155,[1]Index!$E:$M,8,)</f>
        <v>20079.078807711998</v>
      </c>
      <c r="T155" s="49">
        <f>S155-P155</f>
        <v>-2320.9211922880022</v>
      </c>
      <c r="U155" s="48">
        <f>T155/S155</f>
        <v>-0.11558902749047331</v>
      </c>
      <c r="V155" s="47">
        <f>(((C155*D155*E155)+(G155*H155*I155)+(K155*L155*M155))/1000000)*35.32</f>
        <v>1.4443760800000001</v>
      </c>
      <c r="W155" s="46">
        <f>Q155/V155</f>
        <v>15.508426309579979</v>
      </c>
      <c r="X155" s="1" t="s">
        <v>46</v>
      </c>
    </row>
    <row r="156" spans="1:24" ht="13.8" x14ac:dyDescent="0.3">
      <c r="A156" s="54" t="s">
        <v>139</v>
      </c>
      <c r="B156" s="53" t="s">
        <v>0</v>
      </c>
      <c r="C156" s="52">
        <v>116</v>
      </c>
      <c r="D156" s="52">
        <v>9</v>
      </c>
      <c r="E156" s="52">
        <v>7</v>
      </c>
      <c r="F156" s="52">
        <v>12250</v>
      </c>
      <c r="G156" s="31"/>
      <c r="H156" s="31"/>
      <c r="I156" s="31"/>
      <c r="J156" s="31"/>
      <c r="K156" s="30"/>
      <c r="L156" s="30"/>
      <c r="M156" s="30"/>
      <c r="N156" s="30"/>
      <c r="O156" s="17">
        <f>V156*$O$2</f>
        <v>1.54871136</v>
      </c>
      <c r="P156" s="16">
        <f>F156+J156+N156</f>
        <v>12250</v>
      </c>
      <c r="Q156" s="15">
        <f>P156/1000</f>
        <v>12.25</v>
      </c>
      <c r="R156" s="14">
        <f>MAX(Q156,O156)</f>
        <v>12.25</v>
      </c>
      <c r="S156" s="50">
        <f>VLOOKUP(A156,[1]Index!$E:$M,8,)</f>
        <v>12126.538757706037</v>
      </c>
      <c r="T156" s="49">
        <f>S156-P156</f>
        <v>-123.46124229396264</v>
      </c>
      <c r="U156" s="48">
        <f>T156/S156</f>
        <v>-1.0181078439674873E-2</v>
      </c>
      <c r="V156" s="47">
        <f>(((C156*D156*E156)+(G156*H156*I156)+(K156*L156*M156))/1000000)*35.32</f>
        <v>0.25811856</v>
      </c>
      <c r="W156" s="46">
        <f>Q156/V156</f>
        <v>47.458811175763572</v>
      </c>
      <c r="X156" s="1" t="s">
        <v>44</v>
      </c>
    </row>
    <row r="157" spans="1:24" ht="14.4" customHeight="1" x14ac:dyDescent="0.3">
      <c r="A157" s="54" t="s">
        <v>138</v>
      </c>
      <c r="B157" s="53" t="s">
        <v>0</v>
      </c>
      <c r="C157" s="52">
        <v>164</v>
      </c>
      <c r="D157" s="52">
        <v>28</v>
      </c>
      <c r="E157" s="52">
        <v>9</v>
      </c>
      <c r="F157" s="52">
        <v>21150</v>
      </c>
      <c r="G157" s="31"/>
      <c r="H157" s="31"/>
      <c r="I157" s="31"/>
      <c r="J157" s="31"/>
      <c r="K157" s="30"/>
      <c r="L157" s="30"/>
      <c r="M157" s="30"/>
      <c r="N157" s="30"/>
      <c r="O157" s="17">
        <f>V157*$O$2</f>
        <v>8.758229759999999</v>
      </c>
      <c r="P157" s="16">
        <f>F157+J157+N157</f>
        <v>21150</v>
      </c>
      <c r="Q157" s="15">
        <f>P157/1000</f>
        <v>21.15</v>
      </c>
      <c r="R157" s="14">
        <f>MAX(Q157,O157)</f>
        <v>21.15</v>
      </c>
      <c r="S157" s="50">
        <f>VLOOKUP(A157,[1]Index!$E:$M,8,)</f>
        <v>19554.898739519995</v>
      </c>
      <c r="T157" s="49">
        <f>S157-P157</f>
        <v>-1595.1012604800053</v>
      </c>
      <c r="U157" s="48">
        <f>T157/S157</f>
        <v>-8.1570417813329951E-2</v>
      </c>
      <c r="V157" s="47">
        <f>(((C157*D157*E157)+(G157*H157*I157)+(K157*L157*M157))/1000000)*35.32</f>
        <v>1.4597049599999998</v>
      </c>
      <c r="W157" s="46">
        <f>Q157/V157</f>
        <v>14.489229385094369</v>
      </c>
      <c r="X157" s="1" t="s">
        <v>44</v>
      </c>
    </row>
    <row r="158" spans="1:24" ht="12.9" customHeight="1" x14ac:dyDescent="0.3">
      <c r="A158" s="54" t="s">
        <v>137</v>
      </c>
      <c r="B158" s="53" t="s">
        <v>0</v>
      </c>
      <c r="C158" s="52">
        <v>126</v>
      </c>
      <c r="D158" s="52">
        <v>32</v>
      </c>
      <c r="E158" s="52">
        <v>9</v>
      </c>
      <c r="F158" s="52">
        <v>16650</v>
      </c>
      <c r="G158" s="31"/>
      <c r="H158" s="31"/>
      <c r="I158" s="31"/>
      <c r="J158" s="31"/>
      <c r="K158" s="30"/>
      <c r="L158" s="30"/>
      <c r="M158" s="30"/>
      <c r="N158" s="30"/>
      <c r="O158" s="17">
        <f>V158*$O$2</f>
        <v>7.6901529599999998</v>
      </c>
      <c r="P158" s="16">
        <f>F158+J158+N158</f>
        <v>16650</v>
      </c>
      <c r="Q158" s="15">
        <f>P158/1000</f>
        <v>16.649999999999999</v>
      </c>
      <c r="R158" s="14">
        <f>MAX(Q158,O158)</f>
        <v>16.649999999999999</v>
      </c>
      <c r="S158" s="50">
        <f>VLOOKUP(A158,[1]Index!$E:$M,8,)</f>
        <v>15160.749681179999</v>
      </c>
      <c r="T158" s="49">
        <f>S158-P158</f>
        <v>-1489.2503188200008</v>
      </c>
      <c r="U158" s="48">
        <f>T158/S158</f>
        <v>-9.8230651526995505E-2</v>
      </c>
      <c r="V158" s="47">
        <f>(((C158*D158*E158)+(G158*H158*I158)+(K158*L158*M158))/1000000)*35.32</f>
        <v>1.28169216</v>
      </c>
      <c r="W158" s="46">
        <f>Q158/V158</f>
        <v>12.990638875406711</v>
      </c>
      <c r="X158" s="1" t="s">
        <v>44</v>
      </c>
    </row>
    <row r="159" spans="1:24" ht="12.9" customHeight="1" x14ac:dyDescent="0.3">
      <c r="A159" s="54" t="s">
        <v>136</v>
      </c>
      <c r="B159" s="53" t="s">
        <v>0</v>
      </c>
      <c r="C159" s="52">
        <v>164</v>
      </c>
      <c r="D159" s="52">
        <v>33</v>
      </c>
      <c r="E159" s="52">
        <v>6</v>
      </c>
      <c r="F159" s="52">
        <v>15600</v>
      </c>
      <c r="G159" s="31"/>
      <c r="H159" s="31"/>
      <c r="I159" s="31"/>
      <c r="J159" s="31"/>
      <c r="K159" s="30"/>
      <c r="L159" s="30"/>
      <c r="M159" s="30"/>
      <c r="N159" s="30"/>
      <c r="O159" s="17">
        <f>V159*$O$2</f>
        <v>6.88146624</v>
      </c>
      <c r="P159" s="16">
        <f>F159+J159+N159</f>
        <v>15600</v>
      </c>
      <c r="Q159" s="15">
        <f>P159/1000</f>
        <v>15.6</v>
      </c>
      <c r="R159" s="14">
        <f>MAX(Q159,O159)</f>
        <v>15.6</v>
      </c>
      <c r="S159" s="50">
        <f>VLOOKUP(A159,[1]Index!$E:$M,8,)</f>
        <v>15550.432856239999</v>
      </c>
      <c r="T159" s="49">
        <f>S159-P159</f>
        <v>-49.567143760001272</v>
      </c>
      <c r="U159" s="48">
        <f>T159/S159</f>
        <v>-3.1875089406344865E-3</v>
      </c>
      <c r="V159" s="47">
        <f>(((C159*D159*E159)+(G159*H159*I159)+(K159*L159*M159))/1000000)*35.32</f>
        <v>1.14691104</v>
      </c>
      <c r="W159" s="46">
        <f>Q159/V159</f>
        <v>13.601752407928691</v>
      </c>
      <c r="X159" s="1" t="s">
        <v>46</v>
      </c>
    </row>
    <row r="160" spans="1:24" ht="12.9" customHeight="1" x14ac:dyDescent="0.3">
      <c r="A160" s="54" t="s">
        <v>135</v>
      </c>
      <c r="B160" s="53" t="s">
        <v>0</v>
      </c>
      <c r="C160" s="52"/>
      <c r="D160" s="52"/>
      <c r="E160" s="52"/>
      <c r="F160" s="52"/>
      <c r="G160" s="31"/>
      <c r="H160" s="31"/>
      <c r="I160" s="31"/>
      <c r="J160" s="31"/>
      <c r="K160" s="30"/>
      <c r="L160" s="30"/>
      <c r="M160" s="30"/>
      <c r="N160" s="30"/>
      <c r="O160" s="17">
        <f>V160*$O$2</f>
        <v>0</v>
      </c>
      <c r="P160" s="16">
        <f>F160+J160+N160</f>
        <v>0</v>
      </c>
      <c r="Q160" s="15">
        <f>P160/1000</f>
        <v>0</v>
      </c>
      <c r="R160" s="14">
        <f>MAX(Q160,O160)</f>
        <v>0</v>
      </c>
      <c r="S160" s="50">
        <f>VLOOKUP(A160,[1]Index!$E:$M,8,)</f>
        <v>15087.44167532</v>
      </c>
      <c r="T160" s="49">
        <f>S160-P160</f>
        <v>15087.44167532</v>
      </c>
      <c r="U160" s="48">
        <f>T160/S160</f>
        <v>1</v>
      </c>
      <c r="V160" s="47">
        <f>(((C160*D160*E160)+(G160*H160*I160)+(K160*L160*M160))/1000000)*35.32</f>
        <v>0</v>
      </c>
      <c r="W160" s="46" t="e">
        <f>Q160/V160</f>
        <v>#DIV/0!</v>
      </c>
      <c r="X160" s="1" t="s">
        <v>46</v>
      </c>
    </row>
    <row r="161" spans="1:24" ht="13.8" x14ac:dyDescent="0.3">
      <c r="A161" s="54" t="s">
        <v>134</v>
      </c>
      <c r="B161" s="53" t="s">
        <v>0</v>
      </c>
      <c r="C161" s="52">
        <v>164</v>
      </c>
      <c r="D161" s="52">
        <v>20</v>
      </c>
      <c r="E161" s="52">
        <v>9</v>
      </c>
      <c r="F161" s="52">
        <v>20600</v>
      </c>
      <c r="G161" s="31"/>
      <c r="H161" s="31"/>
      <c r="I161" s="31"/>
      <c r="J161" s="31"/>
      <c r="K161" s="30"/>
      <c r="L161" s="30"/>
      <c r="M161" s="30"/>
      <c r="N161" s="30"/>
      <c r="O161" s="17">
        <f>V161*$O$2</f>
        <v>6.2558784000000003</v>
      </c>
      <c r="P161" s="16">
        <f>F161+J161+N161</f>
        <v>20600</v>
      </c>
      <c r="Q161" s="15">
        <f>P161/1000</f>
        <v>20.6</v>
      </c>
      <c r="R161" s="14">
        <f>MAX(Q161,O161)</f>
        <v>20.6</v>
      </c>
      <c r="S161" s="50">
        <f>VLOOKUP(A161,[1]Index!$E:$M,8,)</f>
        <v>18770.268022139997</v>
      </c>
      <c r="T161" s="49">
        <f>S161-P161</f>
        <v>-1829.7319778600031</v>
      </c>
      <c r="U161" s="48">
        <f>T161/S161</f>
        <v>-9.7480333029970001E-2</v>
      </c>
      <c r="V161" s="47">
        <f>(((C161*D161*E161)+(G161*H161*I161)+(K161*L161*M161))/1000000)*35.32</f>
        <v>1.0426464</v>
      </c>
      <c r="W161" s="46">
        <f>Q161/V161</f>
        <v>19.757417279722063</v>
      </c>
      <c r="X161" s="1" t="s">
        <v>46</v>
      </c>
    </row>
    <row r="162" spans="1:24" ht="14.4" customHeight="1" x14ac:dyDescent="0.3">
      <c r="A162" s="54" t="s">
        <v>133</v>
      </c>
      <c r="B162" s="53" t="s">
        <v>0</v>
      </c>
      <c r="C162" s="52"/>
      <c r="D162" s="52"/>
      <c r="E162" s="52"/>
      <c r="F162" s="52"/>
      <c r="G162" s="31"/>
      <c r="H162" s="31"/>
      <c r="I162" s="31"/>
      <c r="J162" s="31"/>
      <c r="K162" s="30"/>
      <c r="L162" s="30"/>
      <c r="M162" s="30"/>
      <c r="N162" s="30"/>
      <c r="O162" s="17">
        <f>V162*$O$2</f>
        <v>0</v>
      </c>
      <c r="P162" s="16">
        <f>F162+J162+N162</f>
        <v>0</v>
      </c>
      <c r="Q162" s="15">
        <f>P162/1000</f>
        <v>0</v>
      </c>
      <c r="R162" s="14">
        <f>MAX(Q162,O162)</f>
        <v>0</v>
      </c>
      <c r="S162" s="50">
        <f>VLOOKUP(A162,[1]Index!$E:$M,8,)</f>
        <v>18534.571649099991</v>
      </c>
      <c r="T162" s="49">
        <f>S162-P162</f>
        <v>18534.571649099991</v>
      </c>
      <c r="U162" s="48">
        <f>T162/S162</f>
        <v>1</v>
      </c>
      <c r="V162" s="47">
        <f>(((C162*D162*E162)+(G162*H162*I162)+(K162*L162*M162))/1000000)*35.32</f>
        <v>0</v>
      </c>
      <c r="W162" s="46" t="e">
        <f>Q162/V162</f>
        <v>#DIV/0!</v>
      </c>
      <c r="X162" s="1" t="s">
        <v>46</v>
      </c>
    </row>
    <row r="163" spans="1:24" ht="14.4" customHeight="1" x14ac:dyDescent="0.3">
      <c r="A163" s="54" t="s">
        <v>132</v>
      </c>
      <c r="B163" s="53" t="s">
        <v>0</v>
      </c>
      <c r="C163" s="52">
        <v>165</v>
      </c>
      <c r="D163" s="52">
        <v>33</v>
      </c>
      <c r="E163" s="52">
        <v>5</v>
      </c>
      <c r="F163" s="52">
        <v>11750</v>
      </c>
      <c r="G163" s="31"/>
      <c r="H163" s="31"/>
      <c r="I163" s="31"/>
      <c r="J163" s="31"/>
      <c r="K163" s="30"/>
      <c r="L163" s="30"/>
      <c r="M163" s="30"/>
      <c r="N163" s="30"/>
      <c r="O163" s="17">
        <f>V163*$O$2</f>
        <v>5.7695220000000003</v>
      </c>
      <c r="P163" s="16">
        <f>F163+J163+N163</f>
        <v>11750</v>
      </c>
      <c r="Q163" s="15">
        <f>P163/1000</f>
        <v>11.75</v>
      </c>
      <c r="R163" s="14">
        <f>MAX(Q163,O163)</f>
        <v>11.75</v>
      </c>
      <c r="S163" s="50">
        <f>VLOOKUP(A163,[1]Index!$E:$M,8,)</f>
        <v>11078.0083724</v>
      </c>
      <c r="T163" s="49">
        <f>S163-P163</f>
        <v>-671.99162760000036</v>
      </c>
      <c r="U163" s="48">
        <f>T163/S163</f>
        <v>-6.0659967478830894E-2</v>
      </c>
      <c r="V163" s="47">
        <f>(((C163*D163*E163)+(G163*H163*I163)+(K163*L163*M163))/1000000)*35.32</f>
        <v>0.96158699999999997</v>
      </c>
      <c r="W163" s="46">
        <f>Q163/V163</f>
        <v>12.219383165537804</v>
      </c>
      <c r="X163" s="1" t="s">
        <v>44</v>
      </c>
    </row>
    <row r="164" spans="1:24" ht="13.8" x14ac:dyDescent="0.3">
      <c r="A164" s="54" t="s">
        <v>131</v>
      </c>
      <c r="B164" s="53" t="s">
        <v>0</v>
      </c>
      <c r="C164" s="52">
        <v>137</v>
      </c>
      <c r="D164" s="52">
        <v>30</v>
      </c>
      <c r="E164" s="52">
        <v>6</v>
      </c>
      <c r="F164" s="52">
        <v>8760</v>
      </c>
      <c r="G164" s="31"/>
      <c r="H164" s="31"/>
      <c r="I164" s="31"/>
      <c r="J164" s="31"/>
      <c r="K164" s="30"/>
      <c r="L164" s="30"/>
      <c r="M164" s="30"/>
      <c r="N164" s="30"/>
      <c r="O164" s="17">
        <f>V164*$O$2</f>
        <v>5.2259472000000002</v>
      </c>
      <c r="P164" s="16">
        <f>F164+J164+N164</f>
        <v>8760</v>
      </c>
      <c r="Q164" s="15">
        <f>P164/1000</f>
        <v>8.76</v>
      </c>
      <c r="R164" s="14">
        <f>MAX(Q164,O164)</f>
        <v>8.76</v>
      </c>
      <c r="S164" s="50">
        <f>VLOOKUP(A164,[1]Index!$E:$M,8,)</f>
        <v>8735.3525671999996</v>
      </c>
      <c r="T164" s="49">
        <f>S164-P164</f>
        <v>-24.647432800000388</v>
      </c>
      <c r="U164" s="48">
        <f>T164/S164</f>
        <v>-2.8215727539776672E-3</v>
      </c>
      <c r="V164" s="47">
        <f>(((C164*D164*E164)+(G164*H164*I164)+(K164*L164*M164))/1000000)*35.32</f>
        <v>0.87099120000000008</v>
      </c>
      <c r="W164" s="46">
        <f>Q164/V164</f>
        <v>10.057506895592056</v>
      </c>
      <c r="X164" s="1" t="s">
        <v>44</v>
      </c>
    </row>
    <row r="165" spans="1:24" ht="14.4" customHeight="1" x14ac:dyDescent="0.3">
      <c r="A165" s="54" t="s">
        <v>130</v>
      </c>
      <c r="B165" s="53" t="s">
        <v>0</v>
      </c>
      <c r="C165" s="52">
        <v>136</v>
      </c>
      <c r="D165" s="52">
        <v>33</v>
      </c>
      <c r="E165" s="52">
        <v>8</v>
      </c>
      <c r="F165" s="52">
        <v>12100</v>
      </c>
      <c r="G165" s="31"/>
      <c r="H165" s="31"/>
      <c r="I165" s="31"/>
      <c r="J165" s="31"/>
      <c r="K165" s="30"/>
      <c r="L165" s="30"/>
      <c r="M165" s="30"/>
      <c r="N165" s="30"/>
      <c r="O165" s="17">
        <f>V165*$O$2</f>
        <v>7.608775679999999</v>
      </c>
      <c r="P165" s="16">
        <f>F165+J165+N165</f>
        <v>12100</v>
      </c>
      <c r="Q165" s="15">
        <f>P165/1000</f>
        <v>12.1</v>
      </c>
      <c r="R165" s="14">
        <f>MAX(Q165,O165)</f>
        <v>12.1</v>
      </c>
      <c r="S165" s="50">
        <f>VLOOKUP(A165,[1]Index!$E:$M,8,)</f>
        <v>11839.2643032</v>
      </c>
      <c r="T165" s="49">
        <f>S165-P165</f>
        <v>-260.73569680000037</v>
      </c>
      <c r="U165" s="48">
        <f>T165/S165</f>
        <v>-2.202296444463419E-2</v>
      </c>
      <c r="V165" s="47">
        <f>(((C165*D165*E165)+(G165*H165*I165)+(K165*L165*M165))/1000000)*35.32</f>
        <v>1.2681292799999999</v>
      </c>
      <c r="W165" s="46">
        <f>Q165/V165</f>
        <v>9.5416139275642315</v>
      </c>
      <c r="X165" s="1" t="s">
        <v>44</v>
      </c>
    </row>
    <row r="166" spans="1:24" ht="14.4" customHeight="1" x14ac:dyDescent="0.3">
      <c r="A166" s="54" t="s">
        <v>129</v>
      </c>
      <c r="B166" s="53" t="s">
        <v>0</v>
      </c>
      <c r="C166" s="52">
        <v>127</v>
      </c>
      <c r="D166" s="52">
        <v>30</v>
      </c>
      <c r="E166" s="52">
        <v>6</v>
      </c>
      <c r="F166" s="52">
        <v>8360</v>
      </c>
      <c r="G166" s="31"/>
      <c r="H166" s="31"/>
      <c r="I166" s="31"/>
      <c r="J166" s="31"/>
      <c r="K166" s="30"/>
      <c r="L166" s="30"/>
      <c r="M166" s="30"/>
      <c r="N166" s="30"/>
      <c r="O166" s="17">
        <f>V166*$O$2</f>
        <v>4.8444912000000002</v>
      </c>
      <c r="P166" s="16">
        <f>F166+J166+N166</f>
        <v>8360</v>
      </c>
      <c r="Q166" s="15">
        <f>P166/1000</f>
        <v>8.36</v>
      </c>
      <c r="R166" s="14">
        <f>MAX(Q166,O166)</f>
        <v>8.36</v>
      </c>
      <c r="S166" s="50">
        <f>VLOOKUP(A166,[1]Index!$E:$M,8,)</f>
        <v>7098.1725015200009</v>
      </c>
      <c r="T166" s="49">
        <f>S166-P166</f>
        <v>-1261.8274984799991</v>
      </c>
      <c r="U166" s="48">
        <f>T166/S166</f>
        <v>-0.17776793931251905</v>
      </c>
      <c r="V166" s="47">
        <f>(((C166*D166*E166)+(G166*H166*I166)+(K166*L166*M166))/1000000)*35.32</f>
        <v>0.8074152</v>
      </c>
      <c r="W166" s="46">
        <f>Q166/V166</f>
        <v>10.354028509743189</v>
      </c>
      <c r="X166" s="1" t="s">
        <v>44</v>
      </c>
    </row>
    <row r="167" spans="1:24" ht="14.4" customHeight="1" x14ac:dyDescent="0.3">
      <c r="A167" s="54" t="s">
        <v>128</v>
      </c>
      <c r="B167" s="53" t="s">
        <v>0</v>
      </c>
      <c r="C167" s="52">
        <v>150</v>
      </c>
      <c r="D167" s="52">
        <v>36</v>
      </c>
      <c r="E167" s="52">
        <v>5</v>
      </c>
      <c r="F167" s="52">
        <v>14050</v>
      </c>
      <c r="G167" s="31"/>
      <c r="H167" s="31"/>
      <c r="I167" s="31"/>
      <c r="J167" s="31"/>
      <c r="K167" s="30"/>
      <c r="L167" s="30"/>
      <c r="M167" s="30"/>
      <c r="N167" s="30"/>
      <c r="O167" s="17">
        <f>V167*$O$2</f>
        <v>5.7218400000000003</v>
      </c>
      <c r="P167" s="16">
        <f>F167+J167+N167</f>
        <v>14050</v>
      </c>
      <c r="Q167" s="15">
        <f>P167/1000</f>
        <v>14.05</v>
      </c>
      <c r="R167" s="14">
        <f>MAX(Q167,O167)</f>
        <v>14.05</v>
      </c>
      <c r="S167" s="50">
        <f>VLOOKUP(A167,[1]Index!$E:$M,8,)</f>
        <v>14034.912323055623</v>
      </c>
      <c r="T167" s="49">
        <f>S167-P167</f>
        <v>-15.087676944376653</v>
      </c>
      <c r="U167" s="48">
        <f>T167/S167</f>
        <v>-1.0750104166729719E-3</v>
      </c>
      <c r="V167" s="47">
        <f>(((C167*D167*E167)+(G167*H167*I167)+(K167*L167*M167))/1000000)*35.32</f>
        <v>0.95364000000000004</v>
      </c>
      <c r="W167" s="46">
        <f>Q167/V167</f>
        <v>14.73302294366847</v>
      </c>
      <c r="X167" s="1" t="s">
        <v>44</v>
      </c>
    </row>
    <row r="168" spans="1:24" ht="13.8" x14ac:dyDescent="0.3">
      <c r="A168" s="54" t="s">
        <v>127</v>
      </c>
      <c r="B168" s="53" t="s">
        <v>97</v>
      </c>
      <c r="C168" s="52">
        <v>188</v>
      </c>
      <c r="D168" s="52">
        <v>48</v>
      </c>
      <c r="E168" s="52">
        <v>9</v>
      </c>
      <c r="F168" s="52">
        <v>48350</v>
      </c>
      <c r="G168" s="31">
        <v>148</v>
      </c>
      <c r="H168" s="31">
        <v>52</v>
      </c>
      <c r="I168" s="31">
        <v>9</v>
      </c>
      <c r="J168" s="31">
        <v>30700</v>
      </c>
      <c r="K168" s="30"/>
      <c r="L168" s="30"/>
      <c r="M168" s="30"/>
      <c r="N168" s="30"/>
      <c r="O168" s="17">
        <f>V168*$O$2</f>
        <v>31.889721600000001</v>
      </c>
      <c r="P168" s="16">
        <f>F168+J168+N168</f>
        <v>79050</v>
      </c>
      <c r="Q168" s="15">
        <f>P168/1000</f>
        <v>79.05</v>
      </c>
      <c r="R168" s="14">
        <f>MAX(Q168,O168)</f>
        <v>79.05</v>
      </c>
      <c r="S168" s="50">
        <f>VLOOKUP(A168,[1]Index!$E:$M,8,)</f>
        <v>66955.838600514719</v>
      </c>
      <c r="T168" s="49">
        <f>S168-P168</f>
        <v>-12094.161399485281</v>
      </c>
      <c r="U168" s="48">
        <f>T168/S168</f>
        <v>-0.18062892874277744</v>
      </c>
      <c r="V168" s="47">
        <f>(((C168*D168*E168)+(G168*H168*I168)+(K168*L168*M168))/1000000)*35.32</f>
        <v>5.3149535999999999</v>
      </c>
      <c r="W168" s="46">
        <f>Q168/V168</f>
        <v>14.873130783305427</v>
      </c>
      <c r="X168" s="1" t="s">
        <v>44</v>
      </c>
    </row>
    <row r="169" spans="1:24" ht="14.4" customHeight="1" x14ac:dyDescent="0.3">
      <c r="A169" s="54" t="s">
        <v>126</v>
      </c>
      <c r="B169" s="53" t="s">
        <v>0</v>
      </c>
      <c r="C169" s="52">
        <v>154</v>
      </c>
      <c r="D169" s="52">
        <v>45</v>
      </c>
      <c r="E169" s="52">
        <v>13</v>
      </c>
      <c r="F169" s="52">
        <v>43500</v>
      </c>
      <c r="G169" s="31"/>
      <c r="H169" s="31"/>
      <c r="I169" s="31"/>
      <c r="J169" s="31"/>
      <c r="K169" s="30"/>
      <c r="L169" s="30"/>
      <c r="M169" s="30"/>
      <c r="N169" s="30"/>
      <c r="O169" s="17">
        <f>V169*$O$2</f>
        <v>19.091872800000001</v>
      </c>
      <c r="P169" s="16">
        <f>F169+J169+N169</f>
        <v>43500</v>
      </c>
      <c r="Q169" s="15">
        <f>P169/1000</f>
        <v>43.5</v>
      </c>
      <c r="R169" s="14">
        <f>MAX(Q169,O169)</f>
        <v>43.5</v>
      </c>
      <c r="S169" s="50">
        <f>VLOOKUP(A169,[1]Index!$E:$M,8,)</f>
        <v>41292.035197599987</v>
      </c>
      <c r="T169" s="49">
        <f>S169-P169</f>
        <v>-2207.9648024000126</v>
      </c>
      <c r="U169" s="48">
        <f>T169/S169</f>
        <v>-5.3471929679270107E-2</v>
      </c>
      <c r="V169" s="47">
        <f>(((C169*D169*E169)+(G169*H169*I169)+(K169*L169*M169))/1000000)*35.32</f>
        <v>3.1819788</v>
      </c>
      <c r="W169" s="46">
        <f>Q169/V169</f>
        <v>13.670738472550477</v>
      </c>
      <c r="X169" s="1" t="s">
        <v>44</v>
      </c>
    </row>
    <row r="170" spans="1:24" ht="14.4" customHeight="1" x14ac:dyDescent="0.3">
      <c r="A170" s="54" t="s">
        <v>125</v>
      </c>
      <c r="B170" s="53" t="s">
        <v>0</v>
      </c>
      <c r="C170" s="52">
        <v>158</v>
      </c>
      <c r="D170" s="52">
        <v>37</v>
      </c>
      <c r="E170" s="52">
        <v>10</v>
      </c>
      <c r="F170" s="52">
        <v>28300</v>
      </c>
      <c r="G170" s="31"/>
      <c r="H170" s="31"/>
      <c r="I170" s="31"/>
      <c r="J170" s="31"/>
      <c r="K170" s="30"/>
      <c r="L170" s="30"/>
      <c r="M170" s="30"/>
      <c r="N170" s="30"/>
      <c r="O170" s="17">
        <f>V170*$O$2</f>
        <v>12.388843199999998</v>
      </c>
      <c r="P170" s="16">
        <f>F170+J170+N170</f>
        <v>28300</v>
      </c>
      <c r="Q170" s="15">
        <f>P170/1000</f>
        <v>28.3</v>
      </c>
      <c r="R170" s="14">
        <f>MAX(Q170,O170)</f>
        <v>28.3</v>
      </c>
      <c r="S170" s="50">
        <f>VLOOKUP(A170,[1]Index!$E:$M,8,)</f>
        <v>29392.67108</v>
      </c>
      <c r="T170" s="49">
        <f>S170-P170</f>
        <v>1092.6710800000001</v>
      </c>
      <c r="U170" s="48">
        <f>T170/S170</f>
        <v>3.7174950076024192E-2</v>
      </c>
      <c r="V170" s="47">
        <f>(((C170*D170*E170)+(G170*H170*I170)+(K170*L170*M170))/1000000)*35.32</f>
        <v>2.0648071999999997</v>
      </c>
      <c r="W170" s="46">
        <f>Q170/V170</f>
        <v>13.70588014222345</v>
      </c>
      <c r="X170" s="1" t="s">
        <v>44</v>
      </c>
    </row>
    <row r="171" spans="1:24" ht="14.4" customHeight="1" x14ac:dyDescent="0.3">
      <c r="A171" s="54" t="s">
        <v>124</v>
      </c>
      <c r="B171" s="53" t="s">
        <v>0</v>
      </c>
      <c r="C171" s="52">
        <v>138</v>
      </c>
      <c r="D171" s="52">
        <v>30</v>
      </c>
      <c r="E171" s="52">
        <v>10</v>
      </c>
      <c r="F171" s="52">
        <v>20600</v>
      </c>
      <c r="G171" s="31"/>
      <c r="H171" s="31"/>
      <c r="I171" s="31"/>
      <c r="J171" s="31"/>
      <c r="K171" s="30"/>
      <c r="L171" s="30"/>
      <c r="M171" s="30"/>
      <c r="N171" s="30"/>
      <c r="O171" s="17">
        <f>V171*$O$2</f>
        <v>8.7734880000000004</v>
      </c>
      <c r="P171" s="16">
        <f>F171+J171+N171</f>
        <v>20600</v>
      </c>
      <c r="Q171" s="15">
        <f>P171/1000</f>
        <v>20.6</v>
      </c>
      <c r="R171" s="14">
        <f>MAX(Q171,O171)</f>
        <v>20.6</v>
      </c>
      <c r="S171" s="50">
        <f>VLOOKUP(A171,[1]Index!$E:$M,8,)</f>
        <v>21543.485940000006</v>
      </c>
      <c r="T171" s="49">
        <f>S171-P171</f>
        <v>943.48594000000594</v>
      </c>
      <c r="U171" s="48">
        <f>T171/S171</f>
        <v>4.3794488163506826E-2</v>
      </c>
      <c r="V171" s="47">
        <f>(((C171*D171*E171)+(G171*H171*I171)+(K171*L171*M171))/1000000)*35.32</f>
        <v>1.462248</v>
      </c>
      <c r="W171" s="46">
        <f>Q171/V171</f>
        <v>14.087897538584427</v>
      </c>
      <c r="X171" s="1" t="s">
        <v>44</v>
      </c>
    </row>
    <row r="172" spans="1:24" ht="14.4" customHeight="1" x14ac:dyDescent="0.3">
      <c r="A172" s="54" t="s">
        <v>123</v>
      </c>
      <c r="B172" s="53" t="s">
        <v>0</v>
      </c>
      <c r="C172" s="52">
        <v>153</v>
      </c>
      <c r="D172" s="52">
        <v>43</v>
      </c>
      <c r="E172" s="52">
        <v>9</v>
      </c>
      <c r="F172" s="52">
        <v>30200</v>
      </c>
      <c r="G172" s="31"/>
      <c r="H172" s="31"/>
      <c r="I172" s="31"/>
      <c r="J172" s="31"/>
      <c r="K172" s="30"/>
      <c r="L172" s="30"/>
      <c r="M172" s="30"/>
      <c r="N172" s="30"/>
      <c r="O172" s="17">
        <f>V172*$O$2</f>
        <v>12.54799512</v>
      </c>
      <c r="P172" s="16">
        <f>F172+J172+N172</f>
        <v>30200</v>
      </c>
      <c r="Q172" s="15">
        <f>P172/1000</f>
        <v>30.2</v>
      </c>
      <c r="R172" s="14">
        <f>MAX(Q172,O172)</f>
        <v>30.2</v>
      </c>
      <c r="S172" s="50">
        <f>VLOOKUP(A172,[1]Index!$E:$M,8,)</f>
        <v>26928.730719120009</v>
      </c>
      <c r="T172" s="49">
        <f>S172-P172</f>
        <v>-3271.2692808799911</v>
      </c>
      <c r="U172" s="48">
        <f>T172/S172</f>
        <v>-0.12147877725842146</v>
      </c>
      <c r="V172" s="47">
        <f>(((C172*D172*E172)+(G172*H172*I172)+(K172*L172*M172))/1000000)*35.32</f>
        <v>2.0913325199999999</v>
      </c>
      <c r="W172" s="46">
        <f>Q172/V172</f>
        <v>14.440553910575636</v>
      </c>
      <c r="X172" s="1" t="s">
        <v>44</v>
      </c>
    </row>
    <row r="173" spans="1:24" ht="14.4" customHeight="1" x14ac:dyDescent="0.3">
      <c r="A173" s="54" t="s">
        <v>122</v>
      </c>
      <c r="B173" s="53" t="s">
        <v>0</v>
      </c>
      <c r="C173" s="52">
        <v>83</v>
      </c>
      <c r="D173" s="52">
        <v>28</v>
      </c>
      <c r="E173" s="52">
        <v>8</v>
      </c>
      <c r="F173" s="52">
        <v>8150</v>
      </c>
      <c r="G173" s="31"/>
      <c r="H173" s="31"/>
      <c r="I173" s="31"/>
      <c r="J173" s="31"/>
      <c r="K173" s="30"/>
      <c r="L173" s="30"/>
      <c r="M173" s="30"/>
      <c r="N173" s="30"/>
      <c r="O173" s="17">
        <f>V173*$O$2</f>
        <v>3.9400166400000005</v>
      </c>
      <c r="P173" s="16">
        <f>F173+J173+N173</f>
        <v>8150</v>
      </c>
      <c r="Q173" s="15">
        <f>P173/1000</f>
        <v>8.15</v>
      </c>
      <c r="R173" s="14">
        <f>MAX(Q173,O173)</f>
        <v>8.15</v>
      </c>
      <c r="S173" s="50">
        <f>VLOOKUP(A173,[1]Index!$E:$M,8,)</f>
        <v>8247.8435119999995</v>
      </c>
      <c r="T173" s="49">
        <f>S173-P173</f>
        <v>97.843511999999464</v>
      </c>
      <c r="U173" s="48">
        <f>T173/S173</f>
        <v>1.1862920514634452E-2</v>
      </c>
      <c r="V173" s="47">
        <f>(((C173*D173*E173)+(G173*H173*I173)+(K173*L173*M173))/1000000)*35.32</f>
        <v>0.65666944000000005</v>
      </c>
      <c r="W173" s="46">
        <f>Q173/V173</f>
        <v>12.411115096204263</v>
      </c>
      <c r="X173" s="1" t="s">
        <v>44</v>
      </c>
    </row>
    <row r="174" spans="1:24" ht="14.4" customHeight="1" x14ac:dyDescent="0.3">
      <c r="A174" s="54" t="s">
        <v>121</v>
      </c>
      <c r="B174" s="53" t="s">
        <v>0</v>
      </c>
      <c r="C174" s="52">
        <v>57</v>
      </c>
      <c r="D174" s="52">
        <v>29</v>
      </c>
      <c r="E174" s="52">
        <v>9</v>
      </c>
      <c r="F174" s="52">
        <v>6550</v>
      </c>
      <c r="G174" s="31"/>
      <c r="H174" s="31"/>
      <c r="I174" s="31"/>
      <c r="J174" s="31"/>
      <c r="K174" s="30"/>
      <c r="L174" s="30"/>
      <c r="M174" s="30"/>
      <c r="N174" s="30"/>
      <c r="O174" s="17">
        <f>V174*$O$2</f>
        <v>3.1527338399999998</v>
      </c>
      <c r="P174" s="16">
        <f>F174+J174+N174</f>
        <v>6550</v>
      </c>
      <c r="Q174" s="15">
        <f>P174/1000</f>
        <v>6.55</v>
      </c>
      <c r="R174" s="14">
        <f>MAX(Q174,O174)</f>
        <v>6.55</v>
      </c>
      <c r="S174" s="50">
        <f>VLOOKUP(A174,[1]Index!$E:$M,8,)</f>
        <v>5853.3314039999996</v>
      </c>
      <c r="T174" s="49">
        <f>S174-P174</f>
        <v>-696.66859600000043</v>
      </c>
      <c r="U174" s="48">
        <f>T174/S174</f>
        <v>-0.11902086998250552</v>
      </c>
      <c r="V174" s="47">
        <f>(((C174*D174*E174)+(G174*H174*I174)+(K174*L174*M174))/1000000)*35.32</f>
        <v>0.52545564</v>
      </c>
      <c r="W174" s="46">
        <f>Q174/V174</f>
        <v>12.465371957944917</v>
      </c>
      <c r="X174" s="1" t="s">
        <v>44</v>
      </c>
    </row>
    <row r="175" spans="1:24" ht="14.4" customHeight="1" x14ac:dyDescent="0.3">
      <c r="A175" s="54" t="s">
        <v>120</v>
      </c>
      <c r="B175" s="53" t="s">
        <v>0</v>
      </c>
      <c r="C175" s="52">
        <v>45</v>
      </c>
      <c r="D175" s="52">
        <v>24.5</v>
      </c>
      <c r="E175" s="52">
        <v>5</v>
      </c>
      <c r="F175" s="52">
        <v>2000</v>
      </c>
      <c r="G175" s="31"/>
      <c r="H175" s="31"/>
      <c r="I175" s="31"/>
      <c r="J175" s="31"/>
      <c r="K175" s="30"/>
      <c r="L175" s="30"/>
      <c r="M175" s="30"/>
      <c r="N175" s="30"/>
      <c r="O175" s="17">
        <f>V175*$O$2</f>
        <v>1.1682090000000001</v>
      </c>
      <c r="P175" s="16">
        <f>F175+J175+N175</f>
        <v>2000</v>
      </c>
      <c r="Q175" s="15">
        <f>P175/1000</f>
        <v>2</v>
      </c>
      <c r="R175" s="14">
        <f>MAX(Q175,O175)</f>
        <v>2</v>
      </c>
      <c r="S175" s="50">
        <f>VLOOKUP(A175,[1]Index!$E:$M,8,)</f>
        <v>2114.3267673164914</v>
      </c>
      <c r="T175" s="49">
        <f>S175-P175</f>
        <v>114.32676731649144</v>
      </c>
      <c r="U175" s="48">
        <f>T175/S175</f>
        <v>5.407242110527468E-2</v>
      </c>
      <c r="V175" s="47">
        <f>(((C175*D175*E175)+(G175*H175*I175)+(K175*L175*M175))/1000000)*35.32</f>
        <v>0.1947015</v>
      </c>
      <c r="W175" s="46">
        <f>Q175/V175</f>
        <v>10.272134523873724</v>
      </c>
      <c r="X175" s="1" t="s">
        <v>46</v>
      </c>
    </row>
    <row r="176" spans="1:24" ht="14.4" customHeight="1" x14ac:dyDescent="0.3">
      <c r="A176" s="54" t="s">
        <v>119</v>
      </c>
      <c r="B176" s="53" t="s">
        <v>0</v>
      </c>
      <c r="C176" s="52">
        <v>55</v>
      </c>
      <c r="D176" s="52">
        <v>32</v>
      </c>
      <c r="E176" s="52">
        <v>3.5</v>
      </c>
      <c r="F176" s="52">
        <v>2000</v>
      </c>
      <c r="G176" s="31"/>
      <c r="H176" s="31"/>
      <c r="I176" s="31"/>
      <c r="J176" s="31"/>
      <c r="K176" s="30"/>
      <c r="L176" s="30"/>
      <c r="M176" s="30"/>
      <c r="N176" s="30"/>
      <c r="O176" s="17">
        <f>V176*$O$2</f>
        <v>1.3054272</v>
      </c>
      <c r="P176" s="16">
        <f>F176+J176+N176</f>
        <v>2000</v>
      </c>
      <c r="Q176" s="15">
        <f>P176/1000</f>
        <v>2</v>
      </c>
      <c r="R176" s="14">
        <f>MAX(Q176,O176)</f>
        <v>2</v>
      </c>
      <c r="S176" s="50">
        <f>VLOOKUP(A176,[1]Index!$E:$M,8,)</f>
        <v>2995.6343667730857</v>
      </c>
      <c r="T176" s="49">
        <f>S176-P176</f>
        <v>995.63436677308573</v>
      </c>
      <c r="U176" s="48">
        <f>T176/S176</f>
        <v>0.33236177879932277</v>
      </c>
      <c r="V176" s="47">
        <f>(((C176*D176*E176)+(G176*H176*I176)+(K176*L176*M176))/1000000)*35.32</f>
        <v>0.21757119999999999</v>
      </c>
      <c r="W176" s="46">
        <f>Q176/V176</f>
        <v>9.1923931108529064</v>
      </c>
      <c r="X176" s="1" t="s">
        <v>46</v>
      </c>
    </row>
    <row r="177" spans="1:24" ht="14.4" customHeight="1" x14ac:dyDescent="0.3">
      <c r="A177" s="54" t="s">
        <v>118</v>
      </c>
      <c r="B177" s="53" t="s">
        <v>0</v>
      </c>
      <c r="C177" s="52">
        <v>41</v>
      </c>
      <c r="D177" s="52">
        <v>25</v>
      </c>
      <c r="E177" s="52">
        <v>4</v>
      </c>
      <c r="F177" s="52">
        <v>1000</v>
      </c>
      <c r="G177" s="31"/>
      <c r="H177" s="31"/>
      <c r="I177" s="31"/>
      <c r="J177" s="31"/>
      <c r="K177" s="30"/>
      <c r="L177" s="30"/>
      <c r="M177" s="30"/>
      <c r="N177" s="30"/>
      <c r="O177" s="17">
        <f>V177*$O$2</f>
        <v>0.86887200000000009</v>
      </c>
      <c r="P177" s="16">
        <f>F177+J177+N177</f>
        <v>1000</v>
      </c>
      <c r="Q177" s="15">
        <f>P177/1000</f>
        <v>1</v>
      </c>
      <c r="R177" s="14">
        <f>MAX(Q177,O177)</f>
        <v>1</v>
      </c>
      <c r="S177" s="50">
        <f>VLOOKUP(A177,[1]Index!$E:$M,8,)</f>
        <v>1605.9583883462319</v>
      </c>
      <c r="T177" s="49">
        <f>S177-P177</f>
        <v>605.95838834623191</v>
      </c>
      <c r="U177" s="48">
        <f>T177/S177</f>
        <v>0.37731886002988518</v>
      </c>
      <c r="V177" s="47">
        <f>(((C177*D177*E177)+(G177*H177*I177)+(K177*L177*M177))/1000000)*35.32</f>
        <v>0.14481200000000002</v>
      </c>
      <c r="W177" s="46">
        <f>Q177/V177</f>
        <v>6.9055050686407196</v>
      </c>
      <c r="X177" s="1" t="s">
        <v>46</v>
      </c>
    </row>
    <row r="178" spans="1:24" ht="13.8" x14ac:dyDescent="0.3">
      <c r="A178" s="54" t="s">
        <v>117</v>
      </c>
      <c r="B178" s="53" t="s">
        <v>0</v>
      </c>
      <c r="C178" s="52">
        <v>147</v>
      </c>
      <c r="D178" s="52">
        <v>47</v>
      </c>
      <c r="E178" s="52">
        <v>7</v>
      </c>
      <c r="F178" s="52">
        <v>13700</v>
      </c>
      <c r="G178" s="31"/>
      <c r="H178" s="31"/>
      <c r="I178" s="31"/>
      <c r="J178" s="31"/>
      <c r="K178" s="30"/>
      <c r="L178" s="30"/>
      <c r="M178" s="30"/>
      <c r="N178" s="30"/>
      <c r="O178" s="17">
        <f>V178*$O$2</f>
        <v>10.24908696</v>
      </c>
      <c r="P178" s="16">
        <f>F178+J178+N178</f>
        <v>13700</v>
      </c>
      <c r="Q178" s="15">
        <f>P178/1000</f>
        <v>13.7</v>
      </c>
      <c r="R178" s="14">
        <f>MAX(Q178,O178)</f>
        <v>13.7</v>
      </c>
      <c r="S178" s="50">
        <f>VLOOKUP(A178,[1]Index!$E:$M,8,)</f>
        <v>0</v>
      </c>
      <c r="T178" s="49">
        <f>S178-P178</f>
        <v>-13700</v>
      </c>
      <c r="U178" s="48" t="e">
        <f>T178/S178</f>
        <v>#DIV/0!</v>
      </c>
      <c r="V178" s="47">
        <f>(((C178*D178*E178)+(G178*H178*I178)+(K178*L178*M178))/1000000)*35.32</f>
        <v>1.7081811600000001</v>
      </c>
      <c r="W178" s="46">
        <f>Q178/V178</f>
        <v>8.0202266134348417</v>
      </c>
      <c r="X178" s="1" t="s">
        <v>46</v>
      </c>
    </row>
    <row r="179" spans="1:24" ht="14.4" customHeight="1" x14ac:dyDescent="0.3">
      <c r="A179" s="54" t="s">
        <v>116</v>
      </c>
      <c r="B179" s="53" t="s">
        <v>47</v>
      </c>
      <c r="C179" s="52"/>
      <c r="D179" s="52"/>
      <c r="E179" s="52"/>
      <c r="F179" s="52"/>
      <c r="G179" s="31"/>
      <c r="H179" s="31"/>
      <c r="I179" s="31"/>
      <c r="J179" s="31"/>
      <c r="K179" s="30"/>
      <c r="L179" s="30"/>
      <c r="M179" s="30"/>
      <c r="N179" s="30"/>
      <c r="O179" s="17">
        <f>V179*$O$2</f>
        <v>0</v>
      </c>
      <c r="P179" s="16">
        <f>F179+J179+N179</f>
        <v>0</v>
      </c>
      <c r="Q179" s="15">
        <f>P179/1000</f>
        <v>0</v>
      </c>
      <c r="R179" s="14">
        <f>MAX(Q179,O179)</f>
        <v>0</v>
      </c>
      <c r="S179" s="50" t="e">
        <f>VLOOKUP(A179,[1]Index!$E:$M,8,)</f>
        <v>#N/A</v>
      </c>
      <c r="T179" s="49" t="e">
        <f>S179-P179</f>
        <v>#N/A</v>
      </c>
      <c r="U179" s="48" t="e">
        <f>T179/S179</f>
        <v>#N/A</v>
      </c>
      <c r="V179" s="47">
        <f>(((C179*D179*E179)+(G179*H179*I179)+(K179*L179*M179))/1000000)*35.32</f>
        <v>0</v>
      </c>
      <c r="W179" s="46" t="e">
        <f>Q179/V179</f>
        <v>#DIV/0!</v>
      </c>
      <c r="X179" s="1" t="s">
        <v>46</v>
      </c>
    </row>
    <row r="180" spans="1:24" ht="13.8" x14ac:dyDescent="0.3">
      <c r="A180" s="54" t="s">
        <v>115</v>
      </c>
      <c r="B180" s="53" t="s">
        <v>0</v>
      </c>
      <c r="C180" s="52">
        <v>186</v>
      </c>
      <c r="D180" s="52">
        <v>51</v>
      </c>
      <c r="E180" s="52">
        <v>9</v>
      </c>
      <c r="F180" s="52">
        <v>45450</v>
      </c>
      <c r="G180" s="31"/>
      <c r="H180" s="31"/>
      <c r="I180" s="31"/>
      <c r="J180" s="31"/>
      <c r="K180" s="30"/>
      <c r="L180" s="30"/>
      <c r="M180" s="30"/>
      <c r="N180" s="30"/>
      <c r="O180" s="17">
        <f>V180*$O$2</f>
        <v>18.09245808</v>
      </c>
      <c r="P180" s="16">
        <f>F180+J180+N180</f>
        <v>45450</v>
      </c>
      <c r="Q180" s="15">
        <f>P180/1000</f>
        <v>45.45</v>
      </c>
      <c r="R180" s="14">
        <f>MAX(Q180,O180)</f>
        <v>45.45</v>
      </c>
      <c r="S180" s="50">
        <f>VLOOKUP(A180,[1]Index!$E:$M,8,)</f>
        <v>41683</v>
      </c>
      <c r="T180" s="49">
        <f>S180-P180</f>
        <v>-3767</v>
      </c>
      <c r="U180" s="48">
        <f>T180/S180</f>
        <v>-9.0372573951011198E-2</v>
      </c>
      <c r="V180" s="47">
        <f>(((C180*D180*E180)+(G180*H180*I180)+(K180*L180*M180))/1000000)*35.32</f>
        <v>3.0154096800000003</v>
      </c>
      <c r="W180" s="46">
        <f>Q180/V180</f>
        <v>15.072578794666468</v>
      </c>
      <c r="X180" s="1" t="s">
        <v>44</v>
      </c>
    </row>
    <row r="181" spans="1:24" ht="13.8" x14ac:dyDescent="0.3">
      <c r="A181" s="54" t="s">
        <v>114</v>
      </c>
      <c r="B181" s="53" t="s">
        <v>0</v>
      </c>
      <c r="C181" s="52">
        <v>188</v>
      </c>
      <c r="D181" s="52">
        <v>50</v>
      </c>
      <c r="E181" s="52">
        <v>10</v>
      </c>
      <c r="F181" s="52">
        <v>50710</v>
      </c>
      <c r="G181" s="31"/>
      <c r="H181" s="31"/>
      <c r="I181" s="31"/>
      <c r="J181" s="31"/>
      <c r="K181" s="30"/>
      <c r="L181" s="30"/>
      <c r="M181" s="30"/>
      <c r="N181" s="30"/>
      <c r="O181" s="17">
        <f>V181*$O$2</f>
        <v>19.920479999999998</v>
      </c>
      <c r="P181" s="16">
        <f>F181+J181+N181</f>
        <v>50710</v>
      </c>
      <c r="Q181" s="15">
        <f>P181/1000</f>
        <v>50.71</v>
      </c>
      <c r="R181" s="14">
        <f>MAX(Q181,O181)</f>
        <v>50.71</v>
      </c>
      <c r="S181" s="50">
        <f>VLOOKUP(A181,[1]Index!$E:$M,8,)</f>
        <v>44775</v>
      </c>
      <c r="T181" s="49">
        <f>S181-P181</f>
        <v>-5935</v>
      </c>
      <c r="U181" s="48">
        <f>T181/S181</f>
        <v>-0.13255164712451145</v>
      </c>
      <c r="V181" s="47">
        <f>(((C181*D181*E181)+(G181*H181*I181)+(K181*L181*M181))/1000000)*35.32</f>
        <v>3.3200799999999999</v>
      </c>
      <c r="W181" s="46">
        <f>Q181/V181</f>
        <v>15.273728343895328</v>
      </c>
      <c r="X181" s="1" t="s">
        <v>44</v>
      </c>
    </row>
    <row r="182" spans="1:24" ht="13.8" x14ac:dyDescent="0.3">
      <c r="A182" s="54" t="s">
        <v>113</v>
      </c>
      <c r="B182" s="53" t="s">
        <v>0</v>
      </c>
      <c r="C182" s="52">
        <v>186</v>
      </c>
      <c r="D182" s="52">
        <v>53</v>
      </c>
      <c r="E182" s="52">
        <v>10</v>
      </c>
      <c r="F182" s="52">
        <v>52050</v>
      </c>
      <c r="G182" s="31"/>
      <c r="H182" s="31"/>
      <c r="I182" s="31"/>
      <c r="J182" s="31"/>
      <c r="K182" s="30"/>
      <c r="L182" s="30"/>
      <c r="M182" s="30"/>
      <c r="N182" s="30"/>
      <c r="O182" s="17">
        <f>V182*$O$2</f>
        <v>20.891073600000002</v>
      </c>
      <c r="P182" s="16">
        <f>F182+J182+N182</f>
        <v>52050</v>
      </c>
      <c r="Q182" s="15">
        <f>P182/1000</f>
        <v>52.05</v>
      </c>
      <c r="R182" s="14">
        <f>MAX(Q182,O182)</f>
        <v>52.05</v>
      </c>
      <c r="S182" s="50">
        <f>VLOOKUP(A182,[1]Index!$E:$M,8,)</f>
        <v>45976</v>
      </c>
      <c r="T182" s="49">
        <f>S182-P182</f>
        <v>-6074</v>
      </c>
      <c r="U182" s="48">
        <f>T182/S182</f>
        <v>-0.1321124064729424</v>
      </c>
      <c r="V182" s="47">
        <f>(((C182*D182*E182)+(G182*H182*I182)+(K182*L182*M182))/1000000)*35.32</f>
        <v>3.4818456000000002</v>
      </c>
      <c r="W182" s="46">
        <f>Q182/V182</f>
        <v>14.948968443632307</v>
      </c>
      <c r="X182" s="1" t="s">
        <v>44</v>
      </c>
    </row>
    <row r="183" spans="1:24" ht="13.8" x14ac:dyDescent="0.3">
      <c r="A183" s="54" t="s">
        <v>112</v>
      </c>
      <c r="B183" s="53" t="s">
        <v>97</v>
      </c>
      <c r="C183" s="52">
        <v>124</v>
      </c>
      <c r="D183" s="52">
        <v>52</v>
      </c>
      <c r="E183" s="52">
        <v>12</v>
      </c>
      <c r="F183" s="52">
        <v>33500</v>
      </c>
      <c r="G183" s="31">
        <v>188</v>
      </c>
      <c r="H183" s="31">
        <v>53</v>
      </c>
      <c r="I183" s="31">
        <v>10</v>
      </c>
      <c r="J183" s="31">
        <v>47200</v>
      </c>
      <c r="K183" s="30"/>
      <c r="L183" s="30"/>
      <c r="M183" s="30"/>
      <c r="N183" s="30"/>
      <c r="O183" s="17">
        <f>V183*$O$2</f>
        <v>37.513230720000003</v>
      </c>
      <c r="P183" s="16">
        <f>F183+J183+N183</f>
        <v>80700</v>
      </c>
      <c r="Q183" s="15">
        <f>P183/1000</f>
        <v>80.7</v>
      </c>
      <c r="R183" s="14">
        <f>MAX(Q183,O183)</f>
        <v>80.7</v>
      </c>
      <c r="S183" s="50">
        <f>VLOOKUP(A183,[1]Index!$E:$M,8,)</f>
        <v>77355.107445756046</v>
      </c>
      <c r="T183" s="49">
        <f>S183-P183</f>
        <v>-3344.8925542439538</v>
      </c>
      <c r="U183" s="48">
        <f>T183/S183</f>
        <v>-4.3240746017830858E-2</v>
      </c>
      <c r="V183" s="47">
        <f>(((C183*D183*E183)+(G183*H183*I183)+(K183*L183*M183))/1000000)*35.32</f>
        <v>6.2522051200000002</v>
      </c>
      <c r="W183" s="46">
        <f>Q183/V183</f>
        <v>12.907446005226394</v>
      </c>
      <c r="X183" s="1" t="s">
        <v>44</v>
      </c>
    </row>
    <row r="184" spans="1:24" ht="13.8" x14ac:dyDescent="0.3">
      <c r="A184" s="54" t="s">
        <v>111</v>
      </c>
      <c r="B184" s="53" t="s">
        <v>97</v>
      </c>
      <c r="C184" s="52">
        <v>124</v>
      </c>
      <c r="D184" s="52">
        <v>52</v>
      </c>
      <c r="E184" s="52">
        <v>12</v>
      </c>
      <c r="F184" s="52">
        <v>33500</v>
      </c>
      <c r="G184" s="31">
        <v>186</v>
      </c>
      <c r="H184" s="31">
        <v>52</v>
      </c>
      <c r="I184" s="31">
        <v>10</v>
      </c>
      <c r="J184" s="31">
        <v>43800</v>
      </c>
      <c r="K184" s="30"/>
      <c r="L184" s="30"/>
      <c r="M184" s="30"/>
      <c r="N184" s="30"/>
      <c r="O184" s="17">
        <f>V184*$O$2</f>
        <v>36.894424319999999</v>
      </c>
      <c r="P184" s="16">
        <f>F184+J184+N184</f>
        <v>77300</v>
      </c>
      <c r="Q184" s="15">
        <f>P184/1000</f>
        <v>77.3</v>
      </c>
      <c r="R184" s="14">
        <f>MAX(Q184,O184)</f>
        <v>77.3</v>
      </c>
      <c r="S184" s="50">
        <f>VLOOKUP(A184,[1]Index!$E:$M,8,)</f>
        <v>74375.364986956032</v>
      </c>
      <c r="T184" s="49">
        <f>S184-P184</f>
        <v>-2924.6350130439678</v>
      </c>
      <c r="U184" s="48">
        <f>T184/S184</f>
        <v>-3.932263073340065E-2</v>
      </c>
      <c r="V184" s="47">
        <f>(((C184*D184*E184)+(G184*H184*I184)+(K184*L184*M184))/1000000)*35.32</f>
        <v>6.1490707200000001</v>
      </c>
      <c r="W184" s="46">
        <f>Q184/V184</f>
        <v>12.571005200603709</v>
      </c>
      <c r="X184" s="1" t="s">
        <v>44</v>
      </c>
    </row>
    <row r="185" spans="1:24" ht="13.8" x14ac:dyDescent="0.3">
      <c r="A185" s="54" t="s">
        <v>110</v>
      </c>
      <c r="B185" s="53" t="s">
        <v>97</v>
      </c>
      <c r="C185" s="52">
        <v>126</v>
      </c>
      <c r="D185" s="52">
        <v>54</v>
      </c>
      <c r="E185" s="52">
        <v>9</v>
      </c>
      <c r="F185" s="52">
        <v>29500</v>
      </c>
      <c r="G185" s="31">
        <v>185</v>
      </c>
      <c r="H185" s="31">
        <v>50</v>
      </c>
      <c r="I185" s="31">
        <v>10</v>
      </c>
      <c r="J185" s="31">
        <v>39150</v>
      </c>
      <c r="K185" s="30">
        <v>189</v>
      </c>
      <c r="L185" s="30">
        <v>49</v>
      </c>
      <c r="M185" s="30">
        <v>8</v>
      </c>
      <c r="N185" s="30">
        <v>36100</v>
      </c>
      <c r="O185" s="17">
        <f>V185*$O$2</f>
        <v>48.280462080000007</v>
      </c>
      <c r="P185" s="16">
        <f>F185+J185+N185</f>
        <v>104750</v>
      </c>
      <c r="Q185" s="15">
        <f>P185/1000</f>
        <v>104.75</v>
      </c>
      <c r="R185" s="14">
        <f>MAX(Q185,O185)</f>
        <v>104.75</v>
      </c>
      <c r="S185" s="50">
        <f>VLOOKUP(A185,[1]Index!$E:$M,8,)</f>
        <v>100722.88016723203</v>
      </c>
      <c r="T185" s="49">
        <f>S185-P185</f>
        <v>-4027.119832767974</v>
      </c>
      <c r="U185" s="48">
        <f>T185/S185</f>
        <v>-3.9982175113357304E-2</v>
      </c>
      <c r="V185" s="47">
        <f>(((C185*D185*E185)+(G185*H185*I185)+(K185*L185*M185))/1000000)*35.32</f>
        <v>8.0467436800000005</v>
      </c>
      <c r="W185" s="46">
        <f>Q185/V185</f>
        <v>13.017688168737592</v>
      </c>
      <c r="X185" s="1" t="s">
        <v>44</v>
      </c>
    </row>
    <row r="186" spans="1:24" ht="13.8" x14ac:dyDescent="0.3">
      <c r="A186" s="54" t="s">
        <v>109</v>
      </c>
      <c r="B186" s="53" t="s">
        <v>97</v>
      </c>
      <c r="C186" s="52">
        <v>126</v>
      </c>
      <c r="D186" s="52">
        <v>54</v>
      </c>
      <c r="E186" s="52">
        <v>9</v>
      </c>
      <c r="F186" s="52">
        <v>29500</v>
      </c>
      <c r="G186" s="31">
        <v>180</v>
      </c>
      <c r="H186" s="31">
        <v>49</v>
      </c>
      <c r="I186" s="31">
        <v>10</v>
      </c>
      <c r="J186" s="31">
        <v>34250</v>
      </c>
      <c r="K186" s="30">
        <v>189</v>
      </c>
      <c r="L186" s="30">
        <v>49</v>
      </c>
      <c r="M186" s="30">
        <v>8</v>
      </c>
      <c r="N186" s="30">
        <v>36100</v>
      </c>
      <c r="O186" s="17">
        <f>V186*$O$2</f>
        <v>47.369206079999998</v>
      </c>
      <c r="P186" s="16">
        <f>F186+J186+N186</f>
        <v>99850</v>
      </c>
      <c r="Q186" s="15">
        <f>P186/1000</f>
        <v>99.85</v>
      </c>
      <c r="R186" s="14">
        <f>MAX(Q186,O186)</f>
        <v>99.85</v>
      </c>
      <c r="S186" s="50">
        <f>VLOOKUP(A186,[1]Index!$E:$M,8,)</f>
        <v>97826.793607232015</v>
      </c>
      <c r="T186" s="49">
        <f>S186-P186</f>
        <v>-2023.2063927679847</v>
      </c>
      <c r="U186" s="48">
        <f>T186/S186</f>
        <v>-2.0681515954524912E-2</v>
      </c>
      <c r="V186" s="47">
        <f>(((C186*D186*E186)+(G186*H186*I186)+(K186*L186*M186))/1000000)*35.32</f>
        <v>7.8948676799999999</v>
      </c>
      <c r="W186" s="46">
        <f>Q186/V186</f>
        <v>12.647457062890254</v>
      </c>
      <c r="X186" s="1" t="s">
        <v>44</v>
      </c>
    </row>
    <row r="187" spans="1:24" ht="13.8" x14ac:dyDescent="0.3">
      <c r="A187" s="54" t="s">
        <v>108</v>
      </c>
      <c r="B187" s="53" t="s">
        <v>97</v>
      </c>
      <c r="C187" s="52">
        <v>164</v>
      </c>
      <c r="D187" s="52">
        <v>51</v>
      </c>
      <c r="E187" s="52">
        <v>11</v>
      </c>
      <c r="F187" s="52">
        <v>45760</v>
      </c>
      <c r="G187" s="31">
        <v>178</v>
      </c>
      <c r="H187" s="31">
        <v>48</v>
      </c>
      <c r="I187" s="31">
        <v>12</v>
      </c>
      <c r="J187" s="31">
        <v>49600</v>
      </c>
      <c r="K187" s="30">
        <v>188</v>
      </c>
      <c r="L187" s="30">
        <v>50</v>
      </c>
      <c r="M187" s="30">
        <v>8</v>
      </c>
      <c r="N187" s="30">
        <v>46000</v>
      </c>
      <c r="O187" s="17">
        <f>V187*$O$2</f>
        <v>57.161605440000002</v>
      </c>
      <c r="P187" s="16">
        <f>F187+J187+N187</f>
        <v>141360</v>
      </c>
      <c r="Q187" s="15">
        <f>P187/1000</f>
        <v>141.36000000000001</v>
      </c>
      <c r="R187" s="14">
        <f>MAX(Q187,O187)</f>
        <v>141.36000000000001</v>
      </c>
      <c r="S187" s="50">
        <f>VLOOKUP(A187,[1]Index!$E:$M,8,)</f>
        <v>134012.77975610146</v>
      </c>
      <c r="T187" s="49">
        <f>S187-P187</f>
        <v>-7347.2202438985405</v>
      </c>
      <c r="U187" s="48">
        <f>T187/S187</f>
        <v>-5.482477310947674E-2</v>
      </c>
      <c r="V187" s="47">
        <f>(((C187*D187*E187)+(G187*H187*I187)+(K187*L187*M187))/1000000)*35.32</f>
        <v>9.526934240000001</v>
      </c>
      <c r="W187" s="46">
        <f>Q187/V187</f>
        <v>14.83793174581627</v>
      </c>
      <c r="X187" s="1" t="s">
        <v>44</v>
      </c>
    </row>
    <row r="188" spans="1:24" ht="13.8" x14ac:dyDescent="0.3">
      <c r="A188" s="54" t="s">
        <v>107</v>
      </c>
      <c r="B188" s="53" t="s">
        <v>97</v>
      </c>
      <c r="C188" s="52">
        <v>164</v>
      </c>
      <c r="D188" s="52">
        <v>51</v>
      </c>
      <c r="E188" s="52">
        <v>11</v>
      </c>
      <c r="F188" s="52">
        <v>45760</v>
      </c>
      <c r="G188" s="31">
        <v>179</v>
      </c>
      <c r="H188" s="31">
        <v>48</v>
      </c>
      <c r="I188" s="31">
        <v>12</v>
      </c>
      <c r="J188" s="31">
        <v>46750</v>
      </c>
      <c r="K188" s="30">
        <v>188</v>
      </c>
      <c r="L188" s="30">
        <v>50</v>
      </c>
      <c r="M188" s="30">
        <v>8</v>
      </c>
      <c r="N188" s="30">
        <v>46000</v>
      </c>
      <c r="O188" s="17">
        <f>V188*$O$2</f>
        <v>57.28367136</v>
      </c>
      <c r="P188" s="16">
        <f>F188+J188+N188</f>
        <v>138510</v>
      </c>
      <c r="Q188" s="15">
        <f>P188/1000</f>
        <v>138.51</v>
      </c>
      <c r="R188" s="14">
        <f>MAX(Q188,O188)</f>
        <v>138.51</v>
      </c>
      <c r="S188" s="50">
        <f>VLOOKUP(A188,[1]Index!$E:$M,8,)</f>
        <v>131155.04334207645</v>
      </c>
      <c r="T188" s="49">
        <f>S188-P188</f>
        <v>-7354.9566579235543</v>
      </c>
      <c r="U188" s="48">
        <f>T188/S188</f>
        <v>-5.6078336528321497E-2</v>
      </c>
      <c r="V188" s="47">
        <f>(((C188*D188*E188)+(G188*H188*I188)+(K188*L188*M188))/1000000)*35.32</f>
        <v>9.5472785600000005</v>
      </c>
      <c r="W188" s="46">
        <f>Q188/V188</f>
        <v>14.507799173296561</v>
      </c>
      <c r="X188" s="1" t="s">
        <v>44</v>
      </c>
    </row>
    <row r="189" spans="1:24" ht="13.8" x14ac:dyDescent="0.3">
      <c r="A189" s="54" t="s">
        <v>106</v>
      </c>
      <c r="B189" s="53" t="s">
        <v>0</v>
      </c>
      <c r="C189" s="21">
        <v>1</v>
      </c>
      <c r="D189" s="21">
        <v>1</v>
      </c>
      <c r="E189" s="21">
        <v>1</v>
      </c>
      <c r="F189" s="57">
        <v>47000</v>
      </c>
      <c r="G189" s="31"/>
      <c r="H189" s="31"/>
      <c r="I189" s="31"/>
      <c r="J189" s="31"/>
      <c r="K189" s="30"/>
      <c r="L189" s="30"/>
      <c r="M189" s="30"/>
      <c r="N189" s="30"/>
      <c r="O189" s="17">
        <f>V189*$O$2</f>
        <v>2.1191999999999999E-4</v>
      </c>
      <c r="P189" s="16">
        <f>F189+J189+N189</f>
        <v>47000</v>
      </c>
      <c r="Q189" s="15">
        <f>P189/1000</f>
        <v>47</v>
      </c>
      <c r="R189" s="14">
        <f>MAX(Q189,O189)</f>
        <v>47</v>
      </c>
      <c r="S189" s="50">
        <f>VLOOKUP(A189,[1]Index!$E:$M,8,)</f>
        <v>51685.688050727993</v>
      </c>
      <c r="T189" s="49">
        <f>S189-P189</f>
        <v>4685.688050727993</v>
      </c>
      <c r="U189" s="48">
        <f>T189/S189</f>
        <v>9.0657360430785539E-2</v>
      </c>
      <c r="V189" s="47">
        <f>(((C189*D189*E189)+(G189*H189*I189)+(K189*L189*M189))/1000000)*35.32</f>
        <v>3.5320000000000001E-5</v>
      </c>
      <c r="W189" s="46">
        <f>Q189/V189</f>
        <v>1330690.8267270669</v>
      </c>
      <c r="X189" s="1" t="s">
        <v>46</v>
      </c>
    </row>
    <row r="190" spans="1:24" ht="13.8" x14ac:dyDescent="0.3">
      <c r="A190" s="54" t="s">
        <v>105</v>
      </c>
      <c r="B190" s="53" t="s">
        <v>97</v>
      </c>
      <c r="C190" s="21">
        <v>1</v>
      </c>
      <c r="D190" s="21">
        <v>1</v>
      </c>
      <c r="E190" s="21">
        <v>1</v>
      </c>
      <c r="F190" s="57">
        <v>65000</v>
      </c>
      <c r="G190" s="31"/>
      <c r="H190" s="31"/>
      <c r="I190" s="31"/>
      <c r="J190" s="31"/>
      <c r="K190" s="30"/>
      <c r="L190" s="30"/>
      <c r="M190" s="30"/>
      <c r="N190" s="30"/>
      <c r="O190" s="17">
        <f>V190*$O$2</f>
        <v>2.1191999999999999E-4</v>
      </c>
      <c r="P190" s="16">
        <f>F190+J190+N190</f>
        <v>65000</v>
      </c>
      <c r="Q190" s="15">
        <f>P190/1000</f>
        <v>65</v>
      </c>
      <c r="R190" s="14">
        <f>MAX(Q190,O190)</f>
        <v>65</v>
      </c>
      <c r="S190" s="50">
        <f>VLOOKUP(A190,[1]Index!$E:$M,8,)</f>
        <v>72445.742531127966</v>
      </c>
      <c r="T190" s="49">
        <f>S190-P190</f>
        <v>7445.7425311279658</v>
      </c>
      <c r="U190" s="48">
        <f>T190/S190</f>
        <v>0.10277681297736348</v>
      </c>
      <c r="V190" s="47">
        <f>(((C190*D190*E190)+(G190*H190*I190)+(K190*L190*M190))/1000000)*35.32</f>
        <v>3.5320000000000001E-5</v>
      </c>
      <c r="W190" s="46">
        <f>Q190/V190</f>
        <v>1840317.1007927519</v>
      </c>
      <c r="X190" s="1" t="s">
        <v>44</v>
      </c>
    </row>
    <row r="191" spans="1:24" ht="13.8" x14ac:dyDescent="0.3">
      <c r="A191" s="54" t="s">
        <v>104</v>
      </c>
      <c r="B191" s="53" t="s">
        <v>97</v>
      </c>
      <c r="C191" s="21">
        <v>1</v>
      </c>
      <c r="D191" s="21">
        <v>1</v>
      </c>
      <c r="E191" s="21">
        <v>1</v>
      </c>
      <c r="F191" s="57">
        <v>98500</v>
      </c>
      <c r="G191" s="31"/>
      <c r="H191" s="31"/>
      <c r="I191" s="31"/>
      <c r="J191" s="31"/>
      <c r="K191" s="30"/>
      <c r="L191" s="30"/>
      <c r="M191" s="30"/>
      <c r="N191" s="30"/>
      <c r="O191" s="17">
        <f>V191*$O$2</f>
        <v>2.1191999999999999E-4</v>
      </c>
      <c r="P191" s="16">
        <f>F191+J191+N191</f>
        <v>98500</v>
      </c>
      <c r="Q191" s="15">
        <f>P191/1000</f>
        <v>98.5</v>
      </c>
      <c r="R191" s="14">
        <f>MAX(Q191,O191)</f>
        <v>98.5</v>
      </c>
      <c r="S191" s="50">
        <f>VLOOKUP(A191,[1]Index!$E:$M,8,)</f>
        <v>100594.17783481549</v>
      </c>
      <c r="T191" s="49">
        <f>S191-P191</f>
        <v>2094.1778348154912</v>
      </c>
      <c r="U191" s="48">
        <f>T191/S191</f>
        <v>2.0818081919754004E-2</v>
      </c>
      <c r="V191" s="47">
        <f>(((C191*D191*E191)+(G191*H191*I191)+(K191*L191*M191))/1000000)*35.32</f>
        <v>3.5320000000000001E-5</v>
      </c>
      <c r="W191" s="46">
        <f>Q191/V191</f>
        <v>2788788.2219705549</v>
      </c>
      <c r="X191" s="1" t="s">
        <v>46</v>
      </c>
    </row>
    <row r="192" spans="1:24" ht="13.8" x14ac:dyDescent="0.3">
      <c r="A192" s="54" t="s">
        <v>103</v>
      </c>
      <c r="B192" s="53" t="s">
        <v>0</v>
      </c>
      <c r="C192" s="52">
        <v>144</v>
      </c>
      <c r="D192" s="52">
        <v>20</v>
      </c>
      <c r="E192" s="52">
        <v>8</v>
      </c>
      <c r="F192" s="52">
        <v>11500</v>
      </c>
      <c r="G192" s="31"/>
      <c r="H192" s="31"/>
      <c r="I192" s="31"/>
      <c r="J192" s="31"/>
      <c r="K192" s="30"/>
      <c r="L192" s="30"/>
      <c r="M192" s="30"/>
      <c r="N192" s="30"/>
      <c r="O192" s="17">
        <f>V192*$O$2</f>
        <v>4.8826368000000002</v>
      </c>
      <c r="P192" s="16">
        <f>F192+J192+N192</f>
        <v>11500</v>
      </c>
      <c r="Q192" s="15">
        <f>P192/1000</f>
        <v>11.5</v>
      </c>
      <c r="R192" s="14">
        <f>MAX(Q192,O192)</f>
        <v>11.5</v>
      </c>
      <c r="S192" s="50" t="e">
        <f>VLOOKUP(A192,[1]Index!$E:$M,8,)</f>
        <v>#N/A</v>
      </c>
      <c r="T192" s="49" t="e">
        <f>S192-P192</f>
        <v>#N/A</v>
      </c>
      <c r="U192" s="48" t="e">
        <f>T192/S192</f>
        <v>#N/A</v>
      </c>
      <c r="V192" s="47">
        <f>(((C192*D192*E192)+(G192*H192*I192)+(K192*L192*M192))/1000000)*35.32</f>
        <v>0.81377280000000007</v>
      </c>
      <c r="W192" s="46">
        <f>Q192/V192</f>
        <v>14.131708506354597</v>
      </c>
      <c r="X192" s="1" t="s">
        <v>44</v>
      </c>
    </row>
    <row r="193" spans="1:24" ht="13.8" x14ac:dyDescent="0.3">
      <c r="A193" s="54" t="s">
        <v>102</v>
      </c>
      <c r="B193" s="53" t="s">
        <v>47</v>
      </c>
      <c r="C193" s="52"/>
      <c r="D193" s="52"/>
      <c r="E193" s="52"/>
      <c r="F193" s="52"/>
      <c r="G193" s="31"/>
      <c r="H193" s="31"/>
      <c r="I193" s="31"/>
      <c r="J193" s="31"/>
      <c r="K193" s="30"/>
      <c r="L193" s="30"/>
      <c r="M193" s="30"/>
      <c r="N193" s="30"/>
      <c r="O193" s="17">
        <f>V193*$O$2</f>
        <v>0</v>
      </c>
      <c r="P193" s="16">
        <f>F193+J193+N193</f>
        <v>0</v>
      </c>
      <c r="Q193" s="15">
        <f>P193/1000</f>
        <v>0</v>
      </c>
      <c r="R193" s="14">
        <f>MAX(Q193,O193)</f>
        <v>0</v>
      </c>
      <c r="S193" s="50" t="e">
        <f>VLOOKUP(A193,[1]Index!$E:$M,8,)</f>
        <v>#N/A</v>
      </c>
      <c r="T193" s="49" t="e">
        <f>S193-P193</f>
        <v>#N/A</v>
      </c>
      <c r="U193" s="48" t="e">
        <f>T193/S193</f>
        <v>#N/A</v>
      </c>
      <c r="V193" s="47">
        <f>(((C193*D193*E193)+(G193*H193*I193)+(K193*L193*M193))/1000000)*35.32</f>
        <v>0</v>
      </c>
      <c r="W193" s="46" t="e">
        <f>Q193/V193</f>
        <v>#DIV/0!</v>
      </c>
      <c r="X193" s="1" t="s">
        <v>46</v>
      </c>
    </row>
    <row r="194" spans="1:24" ht="13.8" x14ac:dyDescent="0.3">
      <c r="A194" s="54" t="s">
        <v>101</v>
      </c>
      <c r="B194" s="53" t="s">
        <v>0</v>
      </c>
      <c r="C194" s="52">
        <v>87</v>
      </c>
      <c r="D194" s="52">
        <v>45</v>
      </c>
      <c r="E194" s="52">
        <v>3</v>
      </c>
      <c r="F194" s="52">
        <v>13400</v>
      </c>
      <c r="G194" s="31"/>
      <c r="H194" s="31"/>
      <c r="I194" s="31"/>
      <c r="J194" s="31"/>
      <c r="K194" s="30"/>
      <c r="L194" s="30"/>
      <c r="M194" s="30"/>
      <c r="N194" s="30"/>
      <c r="O194" s="17">
        <f>V194*$O$2</f>
        <v>2.4890004000000001</v>
      </c>
      <c r="P194" s="16">
        <f>F194+J194+N194</f>
        <v>13400</v>
      </c>
      <c r="Q194" s="15">
        <f>P194/1000</f>
        <v>13.4</v>
      </c>
      <c r="R194" s="14">
        <f>MAX(Q194,O194)</f>
        <v>13.4</v>
      </c>
      <c r="S194" s="50">
        <f>VLOOKUP(A194,[1]Index!$E:$M,8,)</f>
        <v>12260</v>
      </c>
      <c r="T194" s="49">
        <f>S194-P194</f>
        <v>-1140</v>
      </c>
      <c r="U194" s="48">
        <f>T194/S194</f>
        <v>-9.2985318107667206E-2</v>
      </c>
      <c r="V194" s="47">
        <f>(((C194*D194*E194)+(G194*H194*I194)+(K194*L194*M194))/1000000)*35.32</f>
        <v>0.41483340000000002</v>
      </c>
      <c r="W194" s="46">
        <f>Q194/V194</f>
        <v>32.30212417804352</v>
      </c>
      <c r="X194" s="1" t="s">
        <v>44</v>
      </c>
    </row>
    <row r="195" spans="1:24" ht="13.8" x14ac:dyDescent="0.3">
      <c r="A195" s="54" t="s">
        <v>100</v>
      </c>
      <c r="B195" s="53" t="s">
        <v>47</v>
      </c>
      <c r="C195" s="52">
        <v>87</v>
      </c>
      <c r="D195" s="52">
        <v>45</v>
      </c>
      <c r="E195" s="52">
        <v>8</v>
      </c>
      <c r="F195" s="52">
        <v>11600</v>
      </c>
      <c r="G195" s="31"/>
      <c r="H195" s="31"/>
      <c r="I195" s="31"/>
      <c r="J195" s="31"/>
      <c r="K195" s="30"/>
      <c r="L195" s="30"/>
      <c r="M195" s="30"/>
      <c r="N195" s="30"/>
      <c r="O195" s="17">
        <f>V195*$O$2</f>
        <v>6.6373344000000003</v>
      </c>
      <c r="P195" s="16">
        <f>F195+J195+N195</f>
        <v>11600</v>
      </c>
      <c r="Q195" s="15">
        <f>P195/1000</f>
        <v>11.6</v>
      </c>
      <c r="R195" s="14">
        <f>MAX(Q195,O195)</f>
        <v>11.6</v>
      </c>
      <c r="S195" s="50">
        <f>VLOOKUP(A195,[1]Index!$E:$M,8,)</f>
        <v>13437.934720799998</v>
      </c>
      <c r="T195" s="49">
        <f>S195-P195</f>
        <v>1837.9347207999981</v>
      </c>
      <c r="U195" s="48">
        <f>T195/S195</f>
        <v>0.13677211260411457</v>
      </c>
      <c r="V195" s="47">
        <f>(((C195*D195*E195)+(G195*H195*I195)+(K195*L195*M195))/1000000)*35.32</f>
        <v>1.1062224000000001</v>
      </c>
      <c r="W195" s="46">
        <f>Q195/V195</f>
        <v>10.486137326454427</v>
      </c>
      <c r="X195" s="1" t="s">
        <v>46</v>
      </c>
    </row>
    <row r="196" spans="1:24" ht="13.8" x14ac:dyDescent="0.3">
      <c r="A196" s="54" t="s">
        <v>99</v>
      </c>
      <c r="B196" s="53" t="s">
        <v>0</v>
      </c>
      <c r="C196" s="52">
        <v>89</v>
      </c>
      <c r="D196" s="52">
        <v>50</v>
      </c>
      <c r="E196" s="52">
        <v>17</v>
      </c>
      <c r="F196" s="52">
        <v>39400</v>
      </c>
      <c r="G196" s="31"/>
      <c r="H196" s="31"/>
      <c r="I196" s="31"/>
      <c r="J196" s="31"/>
      <c r="K196" s="30"/>
      <c r="L196" s="30"/>
      <c r="M196" s="30"/>
      <c r="N196" s="30"/>
      <c r="O196" s="17">
        <f>V196*$O$2</f>
        <v>16.031748</v>
      </c>
      <c r="P196" s="16">
        <f>F196+J196+N196</f>
        <v>39400</v>
      </c>
      <c r="Q196" s="15">
        <f>P196/1000</f>
        <v>39.4</v>
      </c>
      <c r="R196" s="14">
        <f>MAX(Q196,O196)</f>
        <v>39.4</v>
      </c>
      <c r="S196" s="50">
        <f>VLOOKUP(A196,[1]Index!$E:$M,8,)</f>
        <v>36590.880657599992</v>
      </c>
      <c r="T196" s="49">
        <f>S196-P196</f>
        <v>-2809.1193424000085</v>
      </c>
      <c r="U196" s="48">
        <f>T196/S196</f>
        <v>-7.6771023050426351E-2</v>
      </c>
      <c r="V196" s="47">
        <f>(((C196*D196*E196)+(G196*H196*I196)+(K196*L196*M196))/1000000)*35.32</f>
        <v>2.6719580000000001</v>
      </c>
      <c r="W196" s="46">
        <f>Q196/V196</f>
        <v>14.745740763889252</v>
      </c>
      <c r="X196" s="1" t="s">
        <v>44</v>
      </c>
    </row>
    <row r="197" spans="1:24" ht="13.8" x14ac:dyDescent="0.3">
      <c r="A197" s="54" t="s">
        <v>98</v>
      </c>
      <c r="B197" s="53" t="s">
        <v>97</v>
      </c>
      <c r="C197" s="52">
        <v>126</v>
      </c>
      <c r="D197" s="52">
        <v>46</v>
      </c>
      <c r="E197" s="52">
        <v>13</v>
      </c>
      <c r="F197" s="52">
        <v>45000</v>
      </c>
      <c r="G197" s="31">
        <v>79</v>
      </c>
      <c r="H197" s="31">
        <v>46</v>
      </c>
      <c r="I197" s="31">
        <v>15</v>
      </c>
      <c r="J197" s="31">
        <v>24900</v>
      </c>
      <c r="K197" s="30"/>
      <c r="L197" s="30"/>
      <c r="M197" s="30"/>
      <c r="N197" s="30"/>
      <c r="O197" s="17">
        <f>V197*$O$2</f>
        <v>27.519507360000002</v>
      </c>
      <c r="P197" s="16">
        <f>F197+J197+N197</f>
        <v>69900</v>
      </c>
      <c r="Q197" s="15">
        <f>P197/1000</f>
        <v>69.900000000000006</v>
      </c>
      <c r="R197" s="14">
        <f>MAX(Q197,O197)</f>
        <v>69.900000000000006</v>
      </c>
      <c r="S197" s="50">
        <f>VLOOKUP(A197,[1]Index!$E:$M,8,)</f>
        <v>60545.831617440002</v>
      </c>
      <c r="T197" s="49">
        <f>S197-P197</f>
        <v>-9354.1683825599976</v>
      </c>
      <c r="U197" s="48">
        <f>T197/S197</f>
        <v>-0.15449731439258263</v>
      </c>
      <c r="V197" s="47">
        <f>(((C197*D197*E197)+(G197*H197*I197)+(K197*L197*M197))/1000000)*35.32</f>
        <v>4.5865845600000004</v>
      </c>
      <c r="W197" s="46">
        <f>Q197/V197</f>
        <v>15.240098396877698</v>
      </c>
      <c r="X197" s="1" t="s">
        <v>44</v>
      </c>
    </row>
    <row r="198" spans="1:24" ht="13.8" x14ac:dyDescent="0.3">
      <c r="A198" s="54" t="s">
        <v>96</v>
      </c>
      <c r="B198" s="53" t="s">
        <v>0</v>
      </c>
      <c r="C198" s="52">
        <v>85</v>
      </c>
      <c r="D198" s="52">
        <v>49</v>
      </c>
      <c r="E198" s="52">
        <v>18</v>
      </c>
      <c r="F198" s="52">
        <v>40350</v>
      </c>
      <c r="G198" s="31"/>
      <c r="H198" s="31"/>
      <c r="I198" s="31"/>
      <c r="J198" s="31"/>
      <c r="K198" s="30"/>
      <c r="L198" s="30"/>
      <c r="M198" s="30"/>
      <c r="N198" s="30"/>
      <c r="O198" s="17">
        <f>V198*$O$2</f>
        <v>15.887642400000001</v>
      </c>
      <c r="P198" s="16">
        <f>F198+J198+N198</f>
        <v>40350</v>
      </c>
      <c r="Q198" s="15">
        <f>P198/1000</f>
        <v>40.35</v>
      </c>
      <c r="R198" s="14">
        <f>MAX(Q198,O198)</f>
        <v>40.35</v>
      </c>
      <c r="S198" s="50">
        <f>VLOOKUP(A198,[1]Index!$E:$M,8,)</f>
        <v>38098.171315200008</v>
      </c>
      <c r="T198" s="49">
        <f>S198-P198</f>
        <v>-2251.8286847999916</v>
      </c>
      <c r="U198" s="48">
        <f>T198/S198</f>
        <v>-5.9105951993595571E-2</v>
      </c>
      <c r="V198" s="47">
        <f>(((C198*D198*E198)+(G198*H198*I198)+(K198*L198*M198))/1000000)*35.32</f>
        <v>2.6479404</v>
      </c>
      <c r="W198" s="46">
        <f>Q198/V198</f>
        <v>15.238258383761206</v>
      </c>
      <c r="X198" s="1" t="s">
        <v>44</v>
      </c>
    </row>
    <row r="199" spans="1:24" ht="13.8" x14ac:dyDescent="0.3">
      <c r="A199" s="54" t="s">
        <v>95</v>
      </c>
      <c r="B199" s="53" t="s">
        <v>0</v>
      </c>
      <c r="C199" s="52">
        <v>68</v>
      </c>
      <c r="D199" s="52">
        <v>46</v>
      </c>
      <c r="E199" s="52">
        <v>7</v>
      </c>
      <c r="F199" s="52">
        <v>8800</v>
      </c>
      <c r="G199" s="31"/>
      <c r="H199" s="31"/>
      <c r="I199" s="31"/>
      <c r="J199" s="31"/>
      <c r="K199" s="30"/>
      <c r="L199" s="30"/>
      <c r="M199" s="30"/>
      <c r="N199" s="30"/>
      <c r="O199" s="17">
        <f>V199*$O$2</f>
        <v>4.6402003199999999</v>
      </c>
      <c r="P199" s="16">
        <f>F199+J199+N199</f>
        <v>8800</v>
      </c>
      <c r="Q199" s="15">
        <f>P199/1000</f>
        <v>8.8000000000000007</v>
      </c>
      <c r="R199" s="14">
        <f>MAX(Q199,O199)</f>
        <v>8.8000000000000007</v>
      </c>
      <c r="S199" s="50" t="e">
        <f>VLOOKUP(A199,[1]Index!$E:$M,8,)</f>
        <v>#N/A</v>
      </c>
      <c r="T199" s="49" t="e">
        <f>S199-P199</f>
        <v>#N/A</v>
      </c>
      <c r="U199" s="48" t="e">
        <f>T199/S199</f>
        <v>#N/A</v>
      </c>
      <c r="V199" s="47">
        <f>(((C199*D199*E199)+(G199*H199*I199)+(K199*L199*M199))/1000000)*35.32</f>
        <v>0.77336671999999995</v>
      </c>
      <c r="W199" s="46">
        <f>Q199/V199</f>
        <v>11.378819093741196</v>
      </c>
      <c r="X199" s="1" t="s">
        <v>46</v>
      </c>
    </row>
    <row r="200" spans="1:24" ht="13.8" x14ac:dyDescent="0.3">
      <c r="A200" s="54" t="s">
        <v>94</v>
      </c>
      <c r="B200" s="53" t="s">
        <v>0</v>
      </c>
      <c r="C200" s="52">
        <v>26</v>
      </c>
      <c r="D200" s="52">
        <v>26</v>
      </c>
      <c r="E200" s="52">
        <v>5</v>
      </c>
      <c r="F200" s="52">
        <v>840</v>
      </c>
      <c r="G200" s="31"/>
      <c r="H200" s="31"/>
      <c r="I200" s="31"/>
      <c r="J200" s="31"/>
      <c r="K200" s="30"/>
      <c r="L200" s="30"/>
      <c r="M200" s="30"/>
      <c r="N200" s="30"/>
      <c r="O200" s="17">
        <f>V200*$O$2</f>
        <v>0.71628960000000008</v>
      </c>
      <c r="P200" s="16">
        <f>F200+J200+N200</f>
        <v>840</v>
      </c>
      <c r="Q200" s="15">
        <f>P200/1000</f>
        <v>0.84</v>
      </c>
      <c r="R200" s="14">
        <f>MAX(Q200,O200)</f>
        <v>0.84</v>
      </c>
      <c r="S200" s="50">
        <f>VLOOKUP(A200,[1]Index!$E:$M,8,)</f>
        <v>1194.0518644067797</v>
      </c>
      <c r="T200" s="49">
        <f>S200-P200</f>
        <v>354.05186440677971</v>
      </c>
      <c r="U200" s="48">
        <f>T200/S200</f>
        <v>0.29651296979690012</v>
      </c>
      <c r="V200" s="47">
        <f>(((C200*D200*E200)+(G200*H200*I200)+(K200*L200*M200))/1000000)*35.32</f>
        <v>0.1193816</v>
      </c>
      <c r="W200" s="46">
        <f>Q200/V200</f>
        <v>7.0362601942007812</v>
      </c>
      <c r="X200" s="1" t="s">
        <v>46</v>
      </c>
    </row>
    <row r="201" spans="1:24" ht="13.8" x14ac:dyDescent="0.3">
      <c r="A201" s="54" t="s">
        <v>93</v>
      </c>
      <c r="B201" s="53" t="s">
        <v>47</v>
      </c>
      <c r="C201" s="52"/>
      <c r="D201" s="52"/>
      <c r="E201" s="52"/>
      <c r="F201" s="52"/>
      <c r="G201" s="31"/>
      <c r="H201" s="31"/>
      <c r="I201" s="31"/>
      <c r="J201" s="31"/>
      <c r="K201" s="30"/>
      <c r="L201" s="30"/>
      <c r="M201" s="30"/>
      <c r="N201" s="30"/>
      <c r="O201" s="17">
        <f>V201*$O$2</f>
        <v>0</v>
      </c>
      <c r="P201" s="16">
        <f>F201+J201+N201</f>
        <v>0</v>
      </c>
      <c r="Q201" s="15">
        <f>P201/1000</f>
        <v>0</v>
      </c>
      <c r="R201" s="14">
        <f>MAX(Q201,O201)</f>
        <v>0</v>
      </c>
      <c r="S201" s="50" t="e">
        <f>VLOOKUP(A201,[1]Index!$E:$M,8,)</f>
        <v>#N/A</v>
      </c>
      <c r="T201" s="49" t="e">
        <f>S201-P201</f>
        <v>#N/A</v>
      </c>
      <c r="U201" s="48" t="e">
        <f>T201/S201</f>
        <v>#N/A</v>
      </c>
      <c r="V201" s="47">
        <f>(((C201*D201*E201)+(G201*H201*I201)+(K201*L201*M201))/1000000)*35.32</f>
        <v>0</v>
      </c>
      <c r="W201" s="46" t="e">
        <f>Q201/V201</f>
        <v>#DIV/0!</v>
      </c>
      <c r="X201" s="1" t="s">
        <v>46</v>
      </c>
    </row>
    <row r="202" spans="1:24" ht="13.8" x14ac:dyDescent="0.3">
      <c r="A202" s="54" t="s">
        <v>92</v>
      </c>
      <c r="B202" s="53" t="s">
        <v>47</v>
      </c>
      <c r="C202" s="52"/>
      <c r="D202" s="52"/>
      <c r="E202" s="52"/>
      <c r="F202" s="52"/>
      <c r="G202" s="31"/>
      <c r="H202" s="31"/>
      <c r="I202" s="31"/>
      <c r="J202" s="31"/>
      <c r="K202" s="30"/>
      <c r="L202" s="30"/>
      <c r="M202" s="30"/>
      <c r="N202" s="30"/>
      <c r="O202" s="17">
        <f>V202*$O$2</f>
        <v>0</v>
      </c>
      <c r="P202" s="16">
        <f>F202+J202+N202</f>
        <v>0</v>
      </c>
      <c r="Q202" s="15">
        <f>P202/1000</f>
        <v>0</v>
      </c>
      <c r="R202" s="14">
        <f>MAX(Q202,O202)</f>
        <v>0</v>
      </c>
      <c r="S202" s="50" t="e">
        <f>VLOOKUP(A202,[1]Index!$E:$M,8,)</f>
        <v>#N/A</v>
      </c>
      <c r="T202" s="49" t="e">
        <f>S202-P202</f>
        <v>#N/A</v>
      </c>
      <c r="U202" s="48" t="e">
        <f>T202/S202</f>
        <v>#N/A</v>
      </c>
      <c r="V202" s="47">
        <f>(((C202*D202*E202)+(G202*H202*I202)+(K202*L202*M202))/1000000)*35.32</f>
        <v>0</v>
      </c>
      <c r="W202" s="46" t="e">
        <f>Q202/V202</f>
        <v>#DIV/0!</v>
      </c>
      <c r="X202" s="1" t="s">
        <v>46</v>
      </c>
    </row>
    <row r="203" spans="1:24" ht="13.8" x14ac:dyDescent="0.3">
      <c r="A203" s="54" t="s">
        <v>91</v>
      </c>
      <c r="B203" s="53" t="s">
        <v>0</v>
      </c>
      <c r="C203" s="52">
        <v>143</v>
      </c>
      <c r="D203" s="52">
        <v>26</v>
      </c>
      <c r="E203" s="52">
        <v>17</v>
      </c>
      <c r="F203" s="52">
        <v>13350</v>
      </c>
      <c r="G203" s="31"/>
      <c r="H203" s="31"/>
      <c r="I203" s="31"/>
      <c r="J203" s="31"/>
      <c r="K203" s="30"/>
      <c r="L203" s="30"/>
      <c r="M203" s="30"/>
      <c r="N203" s="30"/>
      <c r="O203" s="17">
        <f>V203*$O$2</f>
        <v>13.394615519999999</v>
      </c>
      <c r="P203" s="16">
        <f>F203+J203+N203</f>
        <v>13350</v>
      </c>
      <c r="Q203" s="15">
        <f>P203/1000</f>
        <v>13.35</v>
      </c>
      <c r="R203" s="14">
        <f>MAX(Q203,O203)</f>
        <v>13.394615519999999</v>
      </c>
      <c r="S203" s="50">
        <f>VLOOKUP(A203,[1]Index!$E:$M,8,)</f>
        <v>12946</v>
      </c>
      <c r="T203" s="49">
        <f>S203-P203</f>
        <v>-404</v>
      </c>
      <c r="U203" s="48">
        <f>T203/S203</f>
        <v>-3.1206550285802565E-2</v>
      </c>
      <c r="V203" s="47">
        <f>(((C203*D203*E203)+(G203*H203*I203)+(K203*L203*M203))/1000000)*35.32</f>
        <v>2.2324359199999999</v>
      </c>
      <c r="W203" s="46">
        <f>Q203/V203</f>
        <v>5.9800148709307637</v>
      </c>
      <c r="X203" s="1" t="s">
        <v>44</v>
      </c>
    </row>
    <row r="204" spans="1:24" ht="13.8" x14ac:dyDescent="0.3">
      <c r="A204" s="54" t="s">
        <v>90</v>
      </c>
      <c r="B204" s="53" t="s">
        <v>0</v>
      </c>
      <c r="C204" s="52">
        <v>165</v>
      </c>
      <c r="D204" s="52">
        <v>36</v>
      </c>
      <c r="E204" s="52">
        <v>9</v>
      </c>
      <c r="F204" s="52">
        <v>25119</v>
      </c>
      <c r="G204" s="31"/>
      <c r="H204" s="31"/>
      <c r="I204" s="31"/>
      <c r="J204" s="31"/>
      <c r="K204" s="30"/>
      <c r="L204" s="30"/>
      <c r="M204" s="30"/>
      <c r="N204" s="30"/>
      <c r="O204" s="17">
        <f>V204*$O$2</f>
        <v>11.329243200000001</v>
      </c>
      <c r="P204" s="16">
        <f>F204+J204+N204</f>
        <v>25119</v>
      </c>
      <c r="Q204" s="15">
        <f>P204/1000</f>
        <v>25.119</v>
      </c>
      <c r="R204" s="14">
        <f>MAX(Q204,O204)</f>
        <v>25.119</v>
      </c>
      <c r="S204" s="50">
        <f>VLOOKUP(A204,[1]Index!$E:$M,8,)</f>
        <v>25424</v>
      </c>
      <c r="T204" s="49">
        <f>S204-P204</f>
        <v>305</v>
      </c>
      <c r="U204" s="48">
        <f>T204/S204</f>
        <v>1.1996538703587162E-2</v>
      </c>
      <c r="V204" s="47">
        <f>(((C204*D204*E204)+(G204*H204*I204)+(K204*L204*M204))/1000000)*35.32</f>
        <v>1.8882072000000001</v>
      </c>
      <c r="W204" s="46">
        <f>Q204/V204</f>
        <v>13.303095126424685</v>
      </c>
      <c r="X204" s="1" t="s">
        <v>44</v>
      </c>
    </row>
    <row r="205" spans="1:24" ht="13.8" x14ac:dyDescent="0.3">
      <c r="A205" s="54" t="s">
        <v>89</v>
      </c>
      <c r="B205" s="53" t="s">
        <v>0</v>
      </c>
      <c r="C205" s="52">
        <v>69</v>
      </c>
      <c r="D205" s="52">
        <v>35</v>
      </c>
      <c r="E205" s="52">
        <v>9</v>
      </c>
      <c r="F205" s="52">
        <v>10400</v>
      </c>
      <c r="G205" s="31"/>
      <c r="H205" s="31"/>
      <c r="I205" s="31"/>
      <c r="J205" s="31"/>
      <c r="K205" s="30"/>
      <c r="L205" s="30"/>
      <c r="M205" s="30"/>
      <c r="N205" s="30"/>
      <c r="O205" s="17">
        <f>V205*$O$2</f>
        <v>4.6060812000000002</v>
      </c>
      <c r="P205" s="16">
        <f>F205+J205+N205</f>
        <v>10400</v>
      </c>
      <c r="Q205" s="15">
        <f>P205/1000</f>
        <v>10.4</v>
      </c>
      <c r="R205" s="14">
        <f>MAX(Q205,O205)</f>
        <v>10.4</v>
      </c>
      <c r="S205" s="50">
        <f>VLOOKUP(A205,[1]Index!$E:$M,8,)</f>
        <v>10324</v>
      </c>
      <c r="T205" s="49">
        <f>S205-P205</f>
        <v>-76</v>
      </c>
      <c r="U205" s="48">
        <f>T205/S205</f>
        <v>-7.3614877954281286E-3</v>
      </c>
      <c r="V205" s="47">
        <f>(((C205*D205*E205)+(G205*H205*I205)+(K205*L205*M205))/1000000)*35.32</f>
        <v>0.76768020000000003</v>
      </c>
      <c r="W205" s="46">
        <f>Q205/V205</f>
        <v>13.547307850326217</v>
      </c>
      <c r="X205" s="1" t="s">
        <v>44</v>
      </c>
    </row>
    <row r="206" spans="1:24" ht="13.8" x14ac:dyDescent="0.3">
      <c r="A206" s="54" t="s">
        <v>88</v>
      </c>
      <c r="B206" s="53" t="s">
        <v>0</v>
      </c>
      <c r="C206" s="52">
        <v>153</v>
      </c>
      <c r="D206" s="52">
        <v>57</v>
      </c>
      <c r="E206" s="52">
        <v>10</v>
      </c>
      <c r="F206" s="52">
        <v>33300</v>
      </c>
      <c r="G206" s="31"/>
      <c r="H206" s="31"/>
      <c r="I206" s="31"/>
      <c r="J206" s="31"/>
      <c r="K206" s="30"/>
      <c r="L206" s="30"/>
      <c r="M206" s="30"/>
      <c r="N206" s="30"/>
      <c r="O206" s="17">
        <f>V206*$O$2</f>
        <v>18.481543199999997</v>
      </c>
      <c r="P206" s="16">
        <f>F206+J206+N206</f>
        <v>33300</v>
      </c>
      <c r="Q206" s="15">
        <f>P206/1000</f>
        <v>33.299999999999997</v>
      </c>
      <c r="R206" s="14">
        <f>MAX(Q206,O206)</f>
        <v>33.299999999999997</v>
      </c>
      <c r="S206" s="50">
        <f>VLOOKUP(A206,[1]Index!$E:$M,8,)</f>
        <v>26113.615866451993</v>
      </c>
      <c r="T206" s="49">
        <f>S206-P206</f>
        <v>-7186.3841335480065</v>
      </c>
      <c r="U206" s="48">
        <f>T206/S206</f>
        <v>-0.27519682338516405</v>
      </c>
      <c r="V206" s="47">
        <f>(((C206*D206*E206)+(G206*H206*I206)+(K206*L206*M206))/1000000)*35.32</f>
        <v>3.0802571999999997</v>
      </c>
      <c r="W206" s="46">
        <f>Q206/V206</f>
        <v>10.810785540895742</v>
      </c>
      <c r="X206" s="1" t="s">
        <v>44</v>
      </c>
    </row>
    <row r="207" spans="1:24" ht="13.8" x14ac:dyDescent="0.3">
      <c r="A207" s="54" t="s">
        <v>87</v>
      </c>
      <c r="B207" s="53" t="s">
        <v>0</v>
      </c>
      <c r="C207" s="52">
        <v>126</v>
      </c>
      <c r="D207" s="52">
        <v>70</v>
      </c>
      <c r="E207" s="52">
        <v>12</v>
      </c>
      <c r="F207" s="52">
        <v>49000</v>
      </c>
      <c r="G207" s="31"/>
      <c r="H207" s="31"/>
      <c r="I207" s="31"/>
      <c r="J207" s="31"/>
      <c r="K207" s="30"/>
      <c r="L207" s="30"/>
      <c r="M207" s="30"/>
      <c r="N207" s="30"/>
      <c r="O207" s="17">
        <f>V207*$O$2</f>
        <v>22.429612800000001</v>
      </c>
      <c r="P207" s="16">
        <f>F207+J207+N207</f>
        <v>49000</v>
      </c>
      <c r="Q207" s="15">
        <f>P207/1000</f>
        <v>49</v>
      </c>
      <c r="R207" s="14">
        <f>MAX(Q207,O207)</f>
        <v>49</v>
      </c>
      <c r="S207" s="50">
        <f>VLOOKUP(A207,[1]Index!$E:$M,8,)</f>
        <v>43405.831073696005</v>
      </c>
      <c r="T207" s="49">
        <f>S207-P207</f>
        <v>-5594.1689263039952</v>
      </c>
      <c r="U207" s="48">
        <f>T207/S207</f>
        <v>-0.12888058557860604</v>
      </c>
      <c r="V207" s="47">
        <f>(((C207*D207*E207)+(G207*H207*I207)+(K207*L207*M207))/1000000)*35.32</f>
        <v>3.7382688000000002</v>
      </c>
      <c r="W207" s="46">
        <f>Q207/V207</f>
        <v>13.107671658068034</v>
      </c>
      <c r="X207" s="1" t="s">
        <v>46</v>
      </c>
    </row>
    <row r="208" spans="1:24" ht="13.8" x14ac:dyDescent="0.3">
      <c r="A208" s="54" t="s">
        <v>86</v>
      </c>
      <c r="B208" s="53" t="s">
        <v>0</v>
      </c>
      <c r="C208" s="52">
        <v>166</v>
      </c>
      <c r="D208" s="52">
        <v>31</v>
      </c>
      <c r="E208" s="52">
        <v>7</v>
      </c>
      <c r="F208" s="52">
        <v>17950</v>
      </c>
      <c r="G208" s="31"/>
      <c r="H208" s="31"/>
      <c r="I208" s="31"/>
      <c r="J208" s="31"/>
      <c r="K208" s="30"/>
      <c r="L208" s="30"/>
      <c r="M208" s="30"/>
      <c r="N208" s="30"/>
      <c r="O208" s="17">
        <f>V208*$O$2</f>
        <v>7.6337822400000004</v>
      </c>
      <c r="P208" s="16">
        <f>F208+J208+N208</f>
        <v>17950</v>
      </c>
      <c r="Q208" s="15">
        <f>P208/1000</f>
        <v>17.95</v>
      </c>
      <c r="R208" s="14">
        <f>MAX(Q208,O208)</f>
        <v>17.95</v>
      </c>
      <c r="S208" s="50">
        <f>VLOOKUP(A208,[1]Index!$E:$M,8,)</f>
        <v>15626.329231599995</v>
      </c>
      <c r="T208" s="49">
        <f>S208-P208</f>
        <v>-2323.6707684000048</v>
      </c>
      <c r="U208" s="48">
        <f>T208/S208</f>
        <v>-0.14870227895243712</v>
      </c>
      <c r="V208" s="47">
        <f>(((C208*D208*E208)+(G208*H208*I208)+(K208*L208*M208))/1000000)*35.32</f>
        <v>1.27229704</v>
      </c>
      <c r="W208" s="46">
        <f>Q208/V208</f>
        <v>14.108340612031919</v>
      </c>
      <c r="X208" s="1" t="s">
        <v>44</v>
      </c>
    </row>
    <row r="209" spans="1:24" ht="13.8" x14ac:dyDescent="0.3">
      <c r="A209" s="54" t="s">
        <v>60</v>
      </c>
      <c r="B209" s="55" t="s">
        <v>0</v>
      </c>
      <c r="C209" s="52">
        <v>74</v>
      </c>
      <c r="D209" s="52">
        <v>51</v>
      </c>
      <c r="E209" s="52">
        <v>8</v>
      </c>
      <c r="F209" s="52">
        <v>8555</v>
      </c>
      <c r="G209" s="31"/>
      <c r="H209" s="31"/>
      <c r="I209" s="31"/>
      <c r="J209" s="31"/>
      <c r="K209" s="30"/>
      <c r="L209" s="30"/>
      <c r="M209" s="30"/>
      <c r="N209" s="30"/>
      <c r="O209" s="17">
        <f>V209*$O$2</f>
        <v>6.3982886400000005</v>
      </c>
      <c r="P209" s="16">
        <f>F209+J209+N209</f>
        <v>8555</v>
      </c>
      <c r="Q209" s="15">
        <f>P209/1000</f>
        <v>8.5549999999999997</v>
      </c>
      <c r="R209" s="14">
        <f>MAX(Q209,O209)</f>
        <v>8.5549999999999997</v>
      </c>
      <c r="S209" s="50">
        <f>VLOOKUP(A209,[1]Index!$E:$M,8,)</f>
        <v>367.55697413932501</v>
      </c>
      <c r="T209" s="49">
        <f>S209-P209</f>
        <v>-8187.4430258606753</v>
      </c>
      <c r="U209" s="48">
        <f>T209/S209</f>
        <v>-22.275303155469903</v>
      </c>
      <c r="V209" s="47">
        <f>(((C209*D209*E209)+(G209*H209*I209)+(K209*L209*M209))/1000000)*35.32</f>
        <v>1.06638144</v>
      </c>
      <c r="W209" s="46">
        <f>Q209/V209</f>
        <v>8.0224577051903676</v>
      </c>
      <c r="X209" s="1" t="s">
        <v>85</v>
      </c>
    </row>
    <row r="210" spans="1:24" ht="13.8" x14ac:dyDescent="0.3">
      <c r="A210" s="56" t="s">
        <v>84</v>
      </c>
      <c r="B210" s="55" t="s">
        <v>0</v>
      </c>
      <c r="C210" s="52">
        <v>154</v>
      </c>
      <c r="D210" s="52">
        <v>45</v>
      </c>
      <c r="E210" s="52">
        <v>9</v>
      </c>
      <c r="F210" s="52">
        <v>30350</v>
      </c>
      <c r="G210" s="31"/>
      <c r="H210" s="31"/>
      <c r="I210" s="31"/>
      <c r="J210" s="31"/>
      <c r="K210" s="30"/>
      <c r="L210" s="30"/>
      <c r="M210" s="30"/>
      <c r="N210" s="30"/>
      <c r="O210" s="17">
        <f>V210*$O$2</f>
        <v>13.217450400000001</v>
      </c>
      <c r="P210" s="16">
        <f>F210+J210+N210</f>
        <v>30350</v>
      </c>
      <c r="Q210" s="15">
        <f>P210/1000</f>
        <v>30.35</v>
      </c>
      <c r="R210" s="14">
        <f>MAX(Q210,O210)</f>
        <v>30.35</v>
      </c>
      <c r="S210" s="50" t="e">
        <f>VLOOKUP(A210,[1]Index!$E:$M,8,)</f>
        <v>#N/A</v>
      </c>
      <c r="T210" s="49" t="e">
        <f>S210-P210</f>
        <v>#N/A</v>
      </c>
      <c r="U210" s="48" t="e">
        <f>T210/S210</f>
        <v>#N/A</v>
      </c>
      <c r="V210" s="47">
        <f>(((C210*D210*E210)+(G210*H210*I210)+(K210*L210*M210))/1000000)*35.32</f>
        <v>2.2029084000000001</v>
      </c>
      <c r="W210" s="46">
        <f>Q210/V210</f>
        <v>13.777241032809172</v>
      </c>
      <c r="X210" s="1" t="s">
        <v>83</v>
      </c>
    </row>
    <row r="211" spans="1:24" ht="13.8" x14ac:dyDescent="0.3">
      <c r="A211" s="54" t="s">
        <v>82</v>
      </c>
      <c r="B211" s="53" t="s">
        <v>0</v>
      </c>
      <c r="C211" s="52">
        <v>166</v>
      </c>
      <c r="D211" s="52">
        <v>45</v>
      </c>
      <c r="E211" s="52">
        <v>12</v>
      </c>
      <c r="F211" s="52">
        <v>48800</v>
      </c>
      <c r="G211" s="31"/>
      <c r="H211" s="31"/>
      <c r="I211" s="31"/>
      <c r="J211" s="31"/>
      <c r="K211" s="30"/>
      <c r="L211" s="30"/>
      <c r="M211" s="30"/>
      <c r="N211" s="30"/>
      <c r="O211" s="17">
        <f>V211*$O$2</f>
        <v>18.996508800000001</v>
      </c>
      <c r="P211" s="16">
        <f>F211+J211+N211</f>
        <v>48800</v>
      </c>
      <c r="Q211" s="15">
        <f>P211/1000</f>
        <v>48.8</v>
      </c>
      <c r="R211" s="14">
        <f>MAX(Q211,O211)</f>
        <v>48.8</v>
      </c>
      <c r="S211" s="50">
        <f>VLOOKUP(A211,[1]Index!$E:$M,8,)</f>
        <v>43885.071975488005</v>
      </c>
      <c r="T211" s="49">
        <f>S211-P211</f>
        <v>-4914.9280245119953</v>
      </c>
      <c r="U211" s="48">
        <f>T211/S211</f>
        <v>-0.11199544180438457</v>
      </c>
      <c r="V211" s="47">
        <f>(((C211*D211*E211)+(G211*H211*I211)+(K211*L211*M211))/1000000)*35.32</f>
        <v>3.1660848000000001</v>
      </c>
      <c r="W211" s="46">
        <f>Q211/V211</f>
        <v>15.413358479848675</v>
      </c>
      <c r="X211" s="1" t="s">
        <v>44</v>
      </c>
    </row>
    <row r="212" spans="1:24" ht="13.8" x14ac:dyDescent="0.3">
      <c r="A212" s="54" t="s">
        <v>81</v>
      </c>
      <c r="B212" s="53" t="s">
        <v>47</v>
      </c>
      <c r="C212" s="52">
        <v>162</v>
      </c>
      <c r="D212" s="52">
        <v>29</v>
      </c>
      <c r="E212" s="52">
        <v>8</v>
      </c>
      <c r="F212" s="52">
        <v>15800</v>
      </c>
      <c r="G212" s="31"/>
      <c r="H212" s="31"/>
      <c r="I212" s="31"/>
      <c r="J212" s="31"/>
      <c r="K212" s="30"/>
      <c r="L212" s="30"/>
      <c r="M212" s="30"/>
      <c r="N212" s="30"/>
      <c r="O212" s="17">
        <f>V212*$O$2</f>
        <v>7.9648012799999997</v>
      </c>
      <c r="P212" s="16">
        <f>F212+J212+N212</f>
        <v>15800</v>
      </c>
      <c r="Q212" s="15">
        <f>P212/1000</f>
        <v>15.8</v>
      </c>
      <c r="R212" s="14">
        <f>MAX(Q212,O212)</f>
        <v>15.8</v>
      </c>
      <c r="S212" s="50">
        <f>VLOOKUP(A212,[1]Index!$E:$M,8,)</f>
        <v>13723.544336400004</v>
      </c>
      <c r="T212" s="49">
        <f>S212-P212</f>
        <v>-2076.4556635999961</v>
      </c>
      <c r="U212" s="48">
        <f>T212/S212</f>
        <v>-0.15130607754823616</v>
      </c>
      <c r="V212" s="47">
        <f>(((C212*D212*E212)+(G212*H212*I212)+(K212*L212*M212))/1000000)*35.32</f>
        <v>1.32746688</v>
      </c>
      <c r="W212" s="46">
        <f>Q212/V212</f>
        <v>11.902368517096262</v>
      </c>
      <c r="X212" s="1" t="s">
        <v>46</v>
      </c>
    </row>
    <row r="213" spans="1:24" ht="13.8" x14ac:dyDescent="0.3">
      <c r="A213" s="54" t="s">
        <v>80</v>
      </c>
      <c r="B213" s="53" t="s">
        <v>47</v>
      </c>
      <c r="C213" s="52"/>
      <c r="D213" s="52"/>
      <c r="E213" s="52"/>
      <c r="F213" s="52"/>
      <c r="G213" s="31"/>
      <c r="H213" s="31"/>
      <c r="I213" s="31"/>
      <c r="J213" s="31"/>
      <c r="K213" s="30"/>
      <c r="L213" s="30"/>
      <c r="M213" s="30"/>
      <c r="N213" s="30"/>
      <c r="O213" s="17">
        <f>V213*$O$2</f>
        <v>0</v>
      </c>
      <c r="P213" s="16">
        <f>F213+J213+N213</f>
        <v>0</v>
      </c>
      <c r="Q213" s="15">
        <f>P213/1000</f>
        <v>0</v>
      </c>
      <c r="R213" s="14">
        <f>MAX(Q213,O213)</f>
        <v>0</v>
      </c>
      <c r="S213" s="50">
        <f>VLOOKUP(A213,[1]Index!$E:$M,8,)</f>
        <v>12274.32677966102</v>
      </c>
      <c r="T213" s="49">
        <f>S213-P213</f>
        <v>12274.32677966102</v>
      </c>
      <c r="U213" s="48">
        <f>T213/S213</f>
        <v>1</v>
      </c>
      <c r="V213" s="47">
        <f>(((C213*D213*E213)+(G213*H213*I213)+(K213*L213*M213))/1000000)*35.32</f>
        <v>0</v>
      </c>
      <c r="W213" s="46" t="e">
        <f>Q213/V213</f>
        <v>#DIV/0!</v>
      </c>
      <c r="X213" s="1" t="s">
        <v>46</v>
      </c>
    </row>
    <row r="214" spans="1:24" ht="13.8" x14ac:dyDescent="0.3">
      <c r="A214" s="54" t="s">
        <v>79</v>
      </c>
      <c r="B214" s="53" t="s">
        <v>0</v>
      </c>
      <c r="C214" s="52">
        <v>195</v>
      </c>
      <c r="D214" s="52">
        <v>44</v>
      </c>
      <c r="E214" s="52">
        <v>7</v>
      </c>
      <c r="F214" s="52">
        <v>33900</v>
      </c>
      <c r="G214" s="31"/>
      <c r="H214" s="31"/>
      <c r="I214" s="31"/>
      <c r="J214" s="31"/>
      <c r="K214" s="30"/>
      <c r="L214" s="30"/>
      <c r="M214" s="30"/>
      <c r="N214" s="30"/>
      <c r="O214" s="17">
        <f>V214*$O$2</f>
        <v>12.727915200000002</v>
      </c>
      <c r="P214" s="16">
        <f>F214+J214+N214</f>
        <v>33900</v>
      </c>
      <c r="Q214" s="15">
        <f>P214/1000</f>
        <v>33.9</v>
      </c>
      <c r="R214" s="14">
        <f>MAX(Q214,O214)</f>
        <v>33.9</v>
      </c>
      <c r="S214" s="50">
        <f>VLOOKUP(A214,[1]Index!$E:$M,8,)</f>
        <v>29223.856316510002</v>
      </c>
      <c r="T214" s="49">
        <f>S214-P214</f>
        <v>-4676.1436834899978</v>
      </c>
      <c r="U214" s="48">
        <f>T214/S214</f>
        <v>-0.160011178293681</v>
      </c>
      <c r="V214" s="47">
        <f>(((C214*D214*E214)+(G214*H214*I214)+(K214*L214*M214))/1000000)*35.32</f>
        <v>2.1213192000000003</v>
      </c>
      <c r="W214" s="46">
        <f>Q214/V214</f>
        <v>15.98062186963659</v>
      </c>
      <c r="X214" s="1" t="s">
        <v>44</v>
      </c>
    </row>
    <row r="215" spans="1:24" ht="13.8" x14ac:dyDescent="0.3">
      <c r="A215" s="54" t="s">
        <v>78</v>
      </c>
      <c r="B215" s="53" t="s">
        <v>0</v>
      </c>
      <c r="C215" s="52">
        <v>82</v>
      </c>
      <c r="D215" s="52">
        <v>41</v>
      </c>
      <c r="E215" s="52">
        <v>14</v>
      </c>
      <c r="F215" s="52">
        <v>21450</v>
      </c>
      <c r="G215" s="31"/>
      <c r="H215" s="31"/>
      <c r="I215" s="31"/>
      <c r="J215" s="31"/>
      <c r="K215" s="30"/>
      <c r="L215" s="30"/>
      <c r="M215" s="30"/>
      <c r="N215" s="30"/>
      <c r="O215" s="17">
        <f>V215*$O$2</f>
        <v>9.9746505599999988</v>
      </c>
      <c r="P215" s="16">
        <f>F215+J215+N215</f>
        <v>21450</v>
      </c>
      <c r="Q215" s="15">
        <f>P215/1000</f>
        <v>21.45</v>
      </c>
      <c r="R215" s="14">
        <f>MAX(Q215,O215)</f>
        <v>21.45</v>
      </c>
      <c r="S215" s="50">
        <f>VLOOKUP(A215,[1]Index!$E:$M,8,)</f>
        <v>21457</v>
      </c>
      <c r="T215" s="49">
        <f>S215-P215</f>
        <v>7</v>
      </c>
      <c r="U215" s="48">
        <f>T215/S215</f>
        <v>3.2623386307498718E-4</v>
      </c>
      <c r="V215" s="47">
        <f>(((C215*D215*E215)+(G215*H215*I215)+(K215*L215*M215))/1000000)*35.32</f>
        <v>1.6624417599999999</v>
      </c>
      <c r="W215" s="46">
        <f>Q215/V215</f>
        <v>12.902707641319116</v>
      </c>
      <c r="X215" s="1" t="s">
        <v>44</v>
      </c>
    </row>
    <row r="216" spans="1:24" ht="13.8" x14ac:dyDescent="0.3">
      <c r="A216" s="54" t="s">
        <v>77</v>
      </c>
      <c r="B216" s="53" t="s">
        <v>0</v>
      </c>
      <c r="C216" s="52">
        <v>155</v>
      </c>
      <c r="D216" s="52">
        <v>41</v>
      </c>
      <c r="E216" s="52">
        <v>6</v>
      </c>
      <c r="F216" s="52">
        <v>17300</v>
      </c>
      <c r="G216" s="31"/>
      <c r="H216" s="31"/>
      <c r="I216" s="31"/>
      <c r="J216" s="31"/>
      <c r="K216" s="30"/>
      <c r="L216" s="30"/>
      <c r="M216" s="30"/>
      <c r="N216" s="30"/>
      <c r="O216" s="17">
        <f>V216*$O$2</f>
        <v>8.0805095999999992</v>
      </c>
      <c r="P216" s="16">
        <f>F216+J216+N216</f>
        <v>17300</v>
      </c>
      <c r="Q216" s="15">
        <f>P216/1000</f>
        <v>17.3</v>
      </c>
      <c r="R216" s="14">
        <f>MAX(Q216,O216)</f>
        <v>17.3</v>
      </c>
      <c r="S216" s="50">
        <f>VLOOKUP(A216,[1]Index!$E:$M,8,)</f>
        <v>16312.793256000001</v>
      </c>
      <c r="T216" s="49">
        <f>S216-P216</f>
        <v>-987.20674399999916</v>
      </c>
      <c r="U216" s="48">
        <f>T216/S216</f>
        <v>-6.0517333145069754E-2</v>
      </c>
      <c r="V216" s="47">
        <f>(((C216*D216*E216)+(G216*H216*I216)+(K216*L216*M216))/1000000)*35.32</f>
        <v>1.3467515999999999</v>
      </c>
      <c r="W216" s="46">
        <f>Q216/V216</f>
        <v>12.845724482525211</v>
      </c>
      <c r="X216" s="1" t="s">
        <v>44</v>
      </c>
    </row>
    <row r="217" spans="1:24" ht="13.8" x14ac:dyDescent="0.3">
      <c r="A217" s="54" t="s">
        <v>76</v>
      </c>
      <c r="B217" s="53" t="s">
        <v>0</v>
      </c>
      <c r="C217" s="52">
        <v>143</v>
      </c>
      <c r="D217" s="52">
        <v>40</v>
      </c>
      <c r="E217" s="52">
        <v>12</v>
      </c>
      <c r="F217" s="52">
        <v>33800</v>
      </c>
      <c r="G217" s="31"/>
      <c r="H217" s="31"/>
      <c r="I217" s="31"/>
      <c r="J217" s="31"/>
      <c r="K217" s="30"/>
      <c r="L217" s="30"/>
      <c r="M217" s="30"/>
      <c r="N217" s="30"/>
      <c r="O217" s="17">
        <f>V217*$O$2</f>
        <v>14.546188800000001</v>
      </c>
      <c r="P217" s="16">
        <f>F217+J217+N217</f>
        <v>33800</v>
      </c>
      <c r="Q217" s="15">
        <f>P217/1000</f>
        <v>33.799999999999997</v>
      </c>
      <c r="R217" s="14">
        <f>MAX(Q217,O217)</f>
        <v>33.799999999999997</v>
      </c>
      <c r="S217" s="50">
        <f>VLOOKUP(A217,[1]Index!$E:$M,8,)</f>
        <v>21457</v>
      </c>
      <c r="T217" s="49">
        <f>S217-P217</f>
        <v>-12343</v>
      </c>
      <c r="U217" s="48">
        <f>T217/S217</f>
        <v>-0.57524351027636667</v>
      </c>
      <c r="V217" s="47">
        <f>(((C217*D217*E217)+(G217*H217*I217)+(K217*L217*M217))/1000000)*35.32</f>
        <v>2.4243648000000002</v>
      </c>
      <c r="W217" s="46">
        <f>Q217/V217</f>
        <v>13.941796218126907</v>
      </c>
      <c r="X217" s="1" t="s">
        <v>44</v>
      </c>
    </row>
    <row r="218" spans="1:24" ht="13.8" x14ac:dyDescent="0.3">
      <c r="A218" s="54" t="s">
        <v>75</v>
      </c>
      <c r="B218" s="53" t="s">
        <v>0</v>
      </c>
      <c r="C218" s="52">
        <v>108</v>
      </c>
      <c r="D218" s="52">
        <v>50</v>
      </c>
      <c r="E218" s="52">
        <v>5</v>
      </c>
      <c r="F218" s="52">
        <v>12600</v>
      </c>
      <c r="G218" s="31"/>
      <c r="H218" s="31"/>
      <c r="I218" s="31"/>
      <c r="J218" s="31"/>
      <c r="K218" s="30"/>
      <c r="L218" s="30"/>
      <c r="M218" s="30"/>
      <c r="N218" s="30"/>
      <c r="O218" s="17">
        <f>V218*$O$2</f>
        <v>5.7218400000000003</v>
      </c>
      <c r="P218" s="16">
        <f>F218+J218+N218</f>
        <v>12600</v>
      </c>
      <c r="Q218" s="15">
        <f>P218/1000</f>
        <v>12.6</v>
      </c>
      <c r="R218" s="14">
        <f>MAX(Q218,O218)</f>
        <v>12.6</v>
      </c>
      <c r="S218" s="50">
        <f>VLOOKUP(A218,[1]Index!$E:$M,8,)</f>
        <v>11446.470851999997</v>
      </c>
      <c r="T218" s="49">
        <f>S218-P218</f>
        <v>-1153.5291480000033</v>
      </c>
      <c r="U218" s="48">
        <f>T218/S218</f>
        <v>-0.10077596517868664</v>
      </c>
      <c r="V218" s="47">
        <f>(((C218*D218*E218)+(G218*H218*I218)+(K218*L218*M218))/1000000)*35.32</f>
        <v>0.95364000000000004</v>
      </c>
      <c r="W218" s="46">
        <f>Q218/V218</f>
        <v>13.212533031332578</v>
      </c>
      <c r="X218" s="1" t="s">
        <v>44</v>
      </c>
    </row>
    <row r="219" spans="1:24" ht="13.8" x14ac:dyDescent="0.3">
      <c r="A219" s="54" t="s">
        <v>74</v>
      </c>
      <c r="B219" s="53" t="s">
        <v>47</v>
      </c>
      <c r="C219" s="52">
        <v>86</v>
      </c>
      <c r="D219" s="52">
        <v>45</v>
      </c>
      <c r="E219" s="52">
        <v>7</v>
      </c>
      <c r="F219" s="52">
        <v>9600</v>
      </c>
      <c r="G219" s="31"/>
      <c r="H219" s="31"/>
      <c r="I219" s="31"/>
      <c r="J219" s="31"/>
      <c r="K219" s="30"/>
      <c r="L219" s="30"/>
      <c r="M219" s="30"/>
      <c r="N219" s="30"/>
      <c r="O219" s="17">
        <f>V219*$O$2</f>
        <v>5.7409128000000003</v>
      </c>
      <c r="P219" s="16">
        <f>F219+J219+N219</f>
        <v>9600</v>
      </c>
      <c r="Q219" s="15">
        <f>P219/1000</f>
        <v>9.6</v>
      </c>
      <c r="R219" s="14">
        <f>MAX(Q219,O219)</f>
        <v>9.6</v>
      </c>
      <c r="S219" s="50">
        <f>VLOOKUP(A219,[1]Index!$E:$M,8,)</f>
        <v>11000</v>
      </c>
      <c r="T219" s="49">
        <f>S219-P219</f>
        <v>1400</v>
      </c>
      <c r="U219" s="48">
        <f>T219/S219</f>
        <v>0.12727272727272726</v>
      </c>
      <c r="V219" s="47">
        <f>(((C219*D219*E219)+(G219*H219*I219)+(K219*L219*M219))/1000000)*35.32</f>
        <v>0.95681879999999997</v>
      </c>
      <c r="W219" s="46">
        <f>Q219/V219</f>
        <v>10.033247674481313</v>
      </c>
      <c r="X219" s="1" t="s">
        <v>46</v>
      </c>
    </row>
    <row r="220" spans="1:24" ht="13.8" x14ac:dyDescent="0.3">
      <c r="A220" s="54" t="s">
        <v>73</v>
      </c>
      <c r="B220" s="53" t="s">
        <v>0</v>
      </c>
      <c r="C220" s="52">
        <v>92</v>
      </c>
      <c r="D220" s="52">
        <v>41</v>
      </c>
      <c r="E220" s="52">
        <v>19</v>
      </c>
      <c r="F220" s="52">
        <v>31250</v>
      </c>
      <c r="G220" s="31"/>
      <c r="H220" s="31"/>
      <c r="I220" s="31"/>
      <c r="J220" s="31"/>
      <c r="K220" s="30"/>
      <c r="L220" s="30"/>
      <c r="M220" s="30"/>
      <c r="N220" s="30"/>
      <c r="O220" s="17">
        <f>V220*$O$2</f>
        <v>15.187882559999998</v>
      </c>
      <c r="P220" s="16">
        <f>F220+J220+N220</f>
        <v>31250</v>
      </c>
      <c r="Q220" s="15">
        <f>P220/1000</f>
        <v>31.25</v>
      </c>
      <c r="R220" s="14">
        <f>MAX(Q220,O220)</f>
        <v>31.25</v>
      </c>
      <c r="S220" s="50">
        <f>VLOOKUP(A220,[1]Index!$E:$M,8,)</f>
        <v>21457</v>
      </c>
      <c r="T220" s="49">
        <f>S220-P220</f>
        <v>-9793</v>
      </c>
      <c r="U220" s="48">
        <f>T220/S220</f>
        <v>-0.45640117444190709</v>
      </c>
      <c r="V220" s="47">
        <f>(((C220*D220*E220)+(G220*H220*I220)+(K220*L220*M220))/1000000)*35.32</f>
        <v>2.5313137599999997</v>
      </c>
      <c r="W220" s="46">
        <f>Q220/V220</f>
        <v>12.345368043193508</v>
      </c>
      <c r="X220" s="1" t="s">
        <v>44</v>
      </c>
    </row>
    <row r="221" spans="1:24" ht="13.8" x14ac:dyDescent="0.3">
      <c r="A221" s="54" t="s">
        <v>72</v>
      </c>
      <c r="B221" s="53" t="s">
        <v>0</v>
      </c>
      <c r="C221" s="52">
        <v>105</v>
      </c>
      <c r="D221" s="52">
        <v>60</v>
      </c>
      <c r="E221" s="52">
        <v>8</v>
      </c>
      <c r="F221" s="52">
        <v>12100</v>
      </c>
      <c r="G221" s="31"/>
      <c r="H221" s="31"/>
      <c r="I221" s="31"/>
      <c r="J221" s="31"/>
      <c r="K221" s="30"/>
      <c r="L221" s="30"/>
      <c r="M221" s="30"/>
      <c r="N221" s="30"/>
      <c r="O221" s="17">
        <f>V221*$O$2</f>
        <v>10.680768</v>
      </c>
      <c r="P221" s="16">
        <f>F221+J221+N221</f>
        <v>12100</v>
      </c>
      <c r="Q221" s="15">
        <f>P221/1000</f>
        <v>12.1</v>
      </c>
      <c r="R221" s="14">
        <f>MAX(Q221,O221)</f>
        <v>12.1</v>
      </c>
      <c r="S221" s="50">
        <f>VLOOKUP(A221,[1]Index!$E:$M,8,)</f>
        <v>8159.0102400000014</v>
      </c>
      <c r="T221" s="49">
        <f>S221-P221</f>
        <v>-3940.9897599999986</v>
      </c>
      <c r="U221" s="48">
        <f>T221/S221</f>
        <v>-0.48302301922346869</v>
      </c>
      <c r="V221" s="47">
        <f>(((C221*D221*E221)+(G221*H221*I221)+(K221*L221*M221))/1000000)*35.32</f>
        <v>1.7801279999999999</v>
      </c>
      <c r="W221" s="46">
        <f>Q221/V221</f>
        <v>6.7972640169695664</v>
      </c>
      <c r="X221" s="1" t="s">
        <v>44</v>
      </c>
    </row>
    <row r="222" spans="1:24" ht="13.8" x14ac:dyDescent="0.3">
      <c r="A222" s="54" t="s">
        <v>71</v>
      </c>
      <c r="B222" s="53" t="s">
        <v>0</v>
      </c>
      <c r="C222" s="52">
        <v>188</v>
      </c>
      <c r="D222" s="52">
        <v>44</v>
      </c>
      <c r="E222" s="52">
        <v>9</v>
      </c>
      <c r="F222" s="52">
        <v>37300</v>
      </c>
      <c r="G222" s="31"/>
      <c r="H222" s="31"/>
      <c r="I222" s="31"/>
      <c r="J222" s="31"/>
      <c r="K222" s="30"/>
      <c r="L222" s="30"/>
      <c r="M222" s="30"/>
      <c r="N222" s="30"/>
      <c r="O222" s="17">
        <f>V222*$O$2</f>
        <v>15.777020160000001</v>
      </c>
      <c r="P222" s="16">
        <f>F222+J222+N222</f>
        <v>37300</v>
      </c>
      <c r="Q222" s="15">
        <f>P222/1000</f>
        <v>37.299999999999997</v>
      </c>
      <c r="R222" s="14">
        <f>MAX(Q222,O222)</f>
        <v>37.299999999999997</v>
      </c>
      <c r="S222" s="50">
        <f>VLOOKUP(A222,[1]Index!$E:$M,8,)</f>
        <v>34586.525244060009</v>
      </c>
      <c r="T222" s="49">
        <f>S222-P222</f>
        <v>-2713.4747559399912</v>
      </c>
      <c r="U222" s="48">
        <f>T222/S222</f>
        <v>-7.8454679583807321E-2</v>
      </c>
      <c r="V222" s="47">
        <f>(((C222*D222*E222)+(G222*H222*I222)+(K222*L222*M222))/1000000)*35.32</f>
        <v>2.6295033600000002</v>
      </c>
      <c r="W222" s="46">
        <f>Q222/V222</f>
        <v>14.185188187019467</v>
      </c>
      <c r="X222" s="1" t="s">
        <v>44</v>
      </c>
    </row>
    <row r="223" spans="1:24" ht="13.8" x14ac:dyDescent="0.3">
      <c r="A223" s="54" t="s">
        <v>70</v>
      </c>
      <c r="B223" s="53" t="s">
        <v>47</v>
      </c>
      <c r="C223" s="52"/>
      <c r="D223" s="52"/>
      <c r="E223" s="52"/>
      <c r="F223" s="52"/>
      <c r="G223" s="31"/>
      <c r="H223" s="31"/>
      <c r="I223" s="31"/>
      <c r="J223" s="31"/>
      <c r="K223" s="30"/>
      <c r="L223" s="30"/>
      <c r="M223" s="30"/>
      <c r="N223" s="30"/>
      <c r="O223" s="17">
        <f>V223*$O$2</f>
        <v>0</v>
      </c>
      <c r="P223" s="16">
        <f>F223+J223+N223</f>
        <v>0</v>
      </c>
      <c r="Q223" s="15">
        <f>P223/1000</f>
        <v>0</v>
      </c>
      <c r="R223" s="14">
        <f>MAX(Q223,O223)</f>
        <v>0</v>
      </c>
      <c r="S223" s="50" t="e">
        <f>VLOOKUP(A223,[1]Index!$E:$M,8,)</f>
        <v>#N/A</v>
      </c>
      <c r="T223" s="49" t="e">
        <f>S223-P223</f>
        <v>#N/A</v>
      </c>
      <c r="U223" s="48" t="e">
        <f>T223/S223</f>
        <v>#N/A</v>
      </c>
      <c r="V223" s="47">
        <f>(((C223*D223*E223)+(G223*H223*I223)+(K223*L223*M223))/1000000)*35.32</f>
        <v>0</v>
      </c>
      <c r="W223" s="46" t="e">
        <f>Q223/V223</f>
        <v>#DIV/0!</v>
      </c>
      <c r="X223" s="1" t="s">
        <v>46</v>
      </c>
    </row>
    <row r="224" spans="1:24" ht="13.8" x14ac:dyDescent="0.3">
      <c r="A224" s="54" t="s">
        <v>69</v>
      </c>
      <c r="B224" s="53" t="s">
        <v>0</v>
      </c>
      <c r="C224" s="52">
        <v>112</v>
      </c>
      <c r="D224" s="52">
        <v>50</v>
      </c>
      <c r="E224" s="52">
        <v>7</v>
      </c>
      <c r="F224" s="52">
        <v>15800</v>
      </c>
      <c r="G224" s="31"/>
      <c r="H224" s="31"/>
      <c r="I224" s="31"/>
      <c r="J224" s="31"/>
      <c r="K224" s="30"/>
      <c r="L224" s="30"/>
      <c r="M224" s="30"/>
      <c r="N224" s="30"/>
      <c r="O224" s="17">
        <f>V224*$O$2</f>
        <v>8.307264</v>
      </c>
      <c r="P224" s="16">
        <f>F224+J224+N224</f>
        <v>15800</v>
      </c>
      <c r="Q224" s="15">
        <f>P224/1000</f>
        <v>15.8</v>
      </c>
      <c r="R224" s="14">
        <f>MAX(Q224,O224)</f>
        <v>15.8</v>
      </c>
      <c r="S224" s="50" t="e">
        <f>VLOOKUP(A224,[1]Index!$E:$M,8,)</f>
        <v>#N/A</v>
      </c>
      <c r="T224" s="49" t="e">
        <f>S224-P224</f>
        <v>#N/A</v>
      </c>
      <c r="U224" s="48" t="e">
        <f>T224/S224</f>
        <v>#N/A</v>
      </c>
      <c r="V224" s="47">
        <f>(((C224*D224*E224)+(G224*H224*I224)+(K224*L224*M224))/1000000)*35.32</f>
        <v>1.384544</v>
      </c>
      <c r="W224" s="46">
        <f>Q224/V224</f>
        <v>11.411699447615966</v>
      </c>
      <c r="X224" s="1" t="s">
        <v>46</v>
      </c>
    </row>
    <row r="225" spans="1:24" ht="13.8" x14ac:dyDescent="0.3">
      <c r="A225" s="54" t="s">
        <v>68</v>
      </c>
      <c r="B225" s="53" t="s">
        <v>47</v>
      </c>
      <c r="C225" s="52">
        <v>152</v>
      </c>
      <c r="D225" s="52">
        <v>40</v>
      </c>
      <c r="E225" s="52">
        <v>11</v>
      </c>
      <c r="F225" s="52">
        <v>33450</v>
      </c>
      <c r="G225" s="31"/>
      <c r="H225" s="31"/>
      <c r="I225" s="31"/>
      <c r="J225" s="31"/>
      <c r="K225" s="30"/>
      <c r="L225" s="30"/>
      <c r="M225" s="30"/>
      <c r="N225" s="30"/>
      <c r="O225" s="17">
        <f>V225*$O$2</f>
        <v>14.173209599999998</v>
      </c>
      <c r="P225" s="16">
        <f>F225+J225+N225</f>
        <v>33450</v>
      </c>
      <c r="Q225" s="15">
        <f>P225/1000</f>
        <v>33.450000000000003</v>
      </c>
      <c r="R225" s="14">
        <f>MAX(Q225,O225)</f>
        <v>33.450000000000003</v>
      </c>
      <c r="S225" s="50" t="e">
        <f>VLOOKUP(A225,[1]Index!$E:$M,8,)</f>
        <v>#N/A</v>
      </c>
      <c r="T225" s="49" t="e">
        <f>S225-P225</f>
        <v>#N/A</v>
      </c>
      <c r="U225" s="48" t="e">
        <f>T225/S225</f>
        <v>#N/A</v>
      </c>
      <c r="V225" s="47">
        <f>(((C225*D225*E225)+(G225*H225*I225)+(K225*L225*M225))/1000000)*35.32</f>
        <v>2.3622015999999997</v>
      </c>
      <c r="W225" s="46">
        <f>Q225/V225</f>
        <v>14.16051872964611</v>
      </c>
      <c r="X225" s="1" t="s">
        <v>46</v>
      </c>
    </row>
    <row r="226" spans="1:24" ht="13.8" x14ac:dyDescent="0.3">
      <c r="A226" s="54" t="s">
        <v>67</v>
      </c>
      <c r="B226" s="53" t="s">
        <v>47</v>
      </c>
      <c r="C226" s="52">
        <v>141</v>
      </c>
      <c r="D226" s="52">
        <v>28</v>
      </c>
      <c r="E226" s="52">
        <v>10</v>
      </c>
      <c r="F226" s="52">
        <v>17150</v>
      </c>
      <c r="G226" s="31"/>
      <c r="H226" s="31"/>
      <c r="I226" s="31"/>
      <c r="J226" s="31"/>
      <c r="K226" s="30"/>
      <c r="L226" s="30"/>
      <c r="M226" s="30"/>
      <c r="N226" s="30"/>
      <c r="O226" s="17">
        <f>V226*$O$2</f>
        <v>8.366601600000001</v>
      </c>
      <c r="P226" s="16">
        <f>F226+J226+N226</f>
        <v>17150</v>
      </c>
      <c r="Q226" s="15">
        <f>P226/1000</f>
        <v>17.149999999999999</v>
      </c>
      <c r="R226" s="14">
        <f>MAX(Q226,O226)</f>
        <v>17.149999999999999</v>
      </c>
      <c r="S226" s="50" t="e">
        <f>VLOOKUP(A226,[1]Index!$E:$M,8,)</f>
        <v>#N/A</v>
      </c>
      <c r="T226" s="49" t="e">
        <f>S226-P226</f>
        <v>#N/A</v>
      </c>
      <c r="U226" s="48" t="e">
        <f>T226/S226</f>
        <v>#N/A</v>
      </c>
      <c r="V226" s="47">
        <f>(((C226*D226*E226)+(G226*H226*I226)+(K226*L226*M226))/1000000)*35.32</f>
        <v>1.3944336000000002</v>
      </c>
      <c r="W226" s="46">
        <f>Q226/V226</f>
        <v>12.298900428102131</v>
      </c>
      <c r="X226" s="1" t="s">
        <v>46</v>
      </c>
    </row>
    <row r="227" spans="1:24" ht="13.8" x14ac:dyDescent="0.3">
      <c r="A227" s="54" t="s">
        <v>66</v>
      </c>
      <c r="B227" s="53" t="s">
        <v>47</v>
      </c>
      <c r="C227" s="52">
        <v>192</v>
      </c>
      <c r="D227" s="52">
        <v>40</v>
      </c>
      <c r="E227" s="52">
        <v>8</v>
      </c>
      <c r="F227" s="52">
        <v>32400</v>
      </c>
      <c r="G227" s="31"/>
      <c r="H227" s="31"/>
      <c r="I227" s="31"/>
      <c r="J227" s="31"/>
      <c r="K227" s="30"/>
      <c r="L227" s="30"/>
      <c r="M227" s="30"/>
      <c r="N227" s="30"/>
      <c r="O227" s="17">
        <f>V227*$O$2</f>
        <v>13.020364799999999</v>
      </c>
      <c r="P227" s="16">
        <f>F227+J227+N227</f>
        <v>32400</v>
      </c>
      <c r="Q227" s="15">
        <f>P227/1000</f>
        <v>32.4</v>
      </c>
      <c r="R227" s="14">
        <f>MAX(Q227,O227)</f>
        <v>32.4</v>
      </c>
      <c r="S227" s="50" t="e">
        <f>VLOOKUP(A227,[1]Index!$E:$M,8,)</f>
        <v>#N/A</v>
      </c>
      <c r="T227" s="49" t="e">
        <f>S227-P227</f>
        <v>#N/A</v>
      </c>
      <c r="U227" s="48" t="e">
        <f>T227/S227</f>
        <v>#N/A</v>
      </c>
      <c r="V227" s="47">
        <f>(((C227*D227*E227)+(G227*H227*I227)+(K227*L227*M227))/1000000)*35.32</f>
        <v>2.1700607999999999</v>
      </c>
      <c r="W227" s="46">
        <f>Q227/V227</f>
        <v>14.93045724801812</v>
      </c>
      <c r="X227" s="1" t="s">
        <v>46</v>
      </c>
    </row>
    <row r="228" spans="1:24" ht="13.8" x14ac:dyDescent="0.3">
      <c r="A228" s="54" t="s">
        <v>65</v>
      </c>
      <c r="B228" s="53" t="s">
        <v>47</v>
      </c>
      <c r="C228" s="52">
        <v>127</v>
      </c>
      <c r="D228" s="52">
        <v>50</v>
      </c>
      <c r="E228" s="52">
        <v>13</v>
      </c>
      <c r="F228" s="52">
        <v>21900</v>
      </c>
      <c r="G228" s="31"/>
      <c r="H228" s="31"/>
      <c r="I228" s="31"/>
      <c r="J228" s="31"/>
      <c r="K228" s="30"/>
      <c r="L228" s="30"/>
      <c r="M228" s="30"/>
      <c r="N228" s="30"/>
      <c r="O228" s="17">
        <f>V228*$O$2</f>
        <v>17.493995999999999</v>
      </c>
      <c r="P228" s="16">
        <f>F228+J228+N228</f>
        <v>21900</v>
      </c>
      <c r="Q228" s="15">
        <f>P228/1000</f>
        <v>21.9</v>
      </c>
      <c r="R228" s="14">
        <f>MAX(Q228,O228)</f>
        <v>21.9</v>
      </c>
      <c r="S228" s="50" t="e">
        <f>VLOOKUP(A228,[1]Index!$E:$M,8,)</f>
        <v>#N/A</v>
      </c>
      <c r="T228" s="49" t="e">
        <f>S228-P228</f>
        <v>#N/A</v>
      </c>
      <c r="U228" s="48" t="e">
        <f>T228/S228</f>
        <v>#N/A</v>
      </c>
      <c r="V228" s="47">
        <f>(((C228*D228*E228)+(G228*H228*I228)+(K228*L228*M228))/1000000)*35.32</f>
        <v>2.9156659999999999</v>
      </c>
      <c r="W228" s="46">
        <f>Q228/V228</f>
        <v>7.5111483962840735</v>
      </c>
      <c r="X228" s="1" t="s">
        <v>46</v>
      </c>
    </row>
    <row r="229" spans="1:24" ht="13.8" x14ac:dyDescent="0.3">
      <c r="A229" s="54" t="s">
        <v>64</v>
      </c>
      <c r="B229" s="53" t="s">
        <v>47</v>
      </c>
      <c r="C229" s="52">
        <v>41</v>
      </c>
      <c r="D229" s="52">
        <v>14</v>
      </c>
      <c r="E229" s="52">
        <v>7</v>
      </c>
      <c r="F229" s="52">
        <v>1350</v>
      </c>
      <c r="G229" s="31"/>
      <c r="H229" s="31"/>
      <c r="I229" s="31"/>
      <c r="J229" s="31"/>
      <c r="K229" s="30"/>
      <c r="L229" s="30"/>
      <c r="M229" s="30"/>
      <c r="N229" s="30"/>
      <c r="O229" s="17">
        <f>V229*$O$2</f>
        <v>0.85149456000000001</v>
      </c>
      <c r="P229" s="16">
        <f>F229+J229+N229</f>
        <v>1350</v>
      </c>
      <c r="Q229" s="15">
        <f>P229/1000</f>
        <v>1.35</v>
      </c>
      <c r="R229" s="14">
        <f>MAX(Q229,O229)</f>
        <v>1.35</v>
      </c>
      <c r="S229" s="50" t="e">
        <f>VLOOKUP(A229,[1]Index!$E:$M,8,)</f>
        <v>#N/A</v>
      </c>
      <c r="T229" s="49" t="e">
        <f>S229-P229</f>
        <v>#N/A</v>
      </c>
      <c r="U229" s="48" t="e">
        <f>T229/S229</f>
        <v>#N/A</v>
      </c>
      <c r="V229" s="47">
        <f>(((C229*D229*E229)+(G229*H229*I229)+(K229*L229*M229))/1000000)*35.32</f>
        <v>0.14191576</v>
      </c>
      <c r="W229" s="46">
        <f>Q229/V229</f>
        <v>9.5126855537397681</v>
      </c>
      <c r="X229" s="1" t="s">
        <v>46</v>
      </c>
    </row>
    <row r="230" spans="1:24" ht="13.8" x14ac:dyDescent="0.3">
      <c r="A230" s="54" t="s">
        <v>63</v>
      </c>
      <c r="B230" s="53" t="s">
        <v>47</v>
      </c>
      <c r="C230" s="52">
        <v>22</v>
      </c>
      <c r="D230" s="52">
        <v>22</v>
      </c>
      <c r="E230" s="52">
        <v>4</v>
      </c>
      <c r="F230" s="52">
        <v>350</v>
      </c>
      <c r="G230" s="31"/>
      <c r="H230" s="31"/>
      <c r="I230" s="31"/>
      <c r="J230" s="31"/>
      <c r="K230" s="30"/>
      <c r="L230" s="30"/>
      <c r="M230" s="30"/>
      <c r="N230" s="30"/>
      <c r="O230" s="17">
        <f>V230*$O$2</f>
        <v>0.41027712</v>
      </c>
      <c r="P230" s="16">
        <f>F230+J230+N230</f>
        <v>350</v>
      </c>
      <c r="Q230" s="15">
        <f>P230/1000</f>
        <v>0.35</v>
      </c>
      <c r="R230" s="14">
        <f>MAX(Q230,O230)</f>
        <v>0.41027712</v>
      </c>
      <c r="S230" s="50">
        <f>VLOOKUP(A230,[1]Index!$E:$M,8,)</f>
        <v>15.464894444999997</v>
      </c>
      <c r="T230" s="49">
        <f>S230-P230</f>
        <v>-334.53510555500003</v>
      </c>
      <c r="U230" s="48">
        <f>T230/S230</f>
        <v>-21.631903582966881</v>
      </c>
      <c r="V230" s="47">
        <f>(((C230*D230*E230)+(G230*H230*I230)+(K230*L230*M230))/1000000)*35.32</f>
        <v>6.8379519999999999E-2</v>
      </c>
      <c r="W230" s="46">
        <f>Q230/V230</f>
        <v>5.1184916185430955</v>
      </c>
      <c r="X230" s="1" t="s">
        <v>46</v>
      </c>
    </row>
    <row r="231" spans="1:24" ht="13.8" x14ac:dyDescent="0.3">
      <c r="A231" s="54" t="s">
        <v>62</v>
      </c>
      <c r="B231" s="53" t="s">
        <v>47</v>
      </c>
      <c r="C231" s="52">
        <v>38</v>
      </c>
      <c r="D231" s="52">
        <v>19</v>
      </c>
      <c r="E231" s="52">
        <v>5</v>
      </c>
      <c r="F231" s="52">
        <v>350</v>
      </c>
      <c r="G231" s="31"/>
      <c r="H231" s="31"/>
      <c r="I231" s="31"/>
      <c r="J231" s="31"/>
      <c r="K231" s="30"/>
      <c r="L231" s="30"/>
      <c r="M231" s="30"/>
      <c r="N231" s="30"/>
      <c r="O231" s="17">
        <f>V231*$O$2</f>
        <v>0.76503119999999991</v>
      </c>
      <c r="P231" s="16">
        <f>F231+J231+N231</f>
        <v>350</v>
      </c>
      <c r="Q231" s="15">
        <f>P231/1000</f>
        <v>0.35</v>
      </c>
      <c r="R231" s="14">
        <f>MAX(Q231,O231)</f>
        <v>0.76503119999999991</v>
      </c>
      <c r="S231" s="50">
        <f>VLOOKUP(A231,[1]Index!$E:$M,8,)</f>
        <v>14.120121014999997</v>
      </c>
      <c r="T231" s="49">
        <f>S231-P231</f>
        <v>-335.879878985</v>
      </c>
      <c r="U231" s="48">
        <f>T231/S231</f>
        <v>-23.787322971820867</v>
      </c>
      <c r="V231" s="47">
        <f>(((C231*D231*E231)+(G231*H231*I231)+(K231*L231*M231))/1000000)*35.32</f>
        <v>0.12750519999999999</v>
      </c>
      <c r="W231" s="46">
        <f>Q231/V231</f>
        <v>2.7449860868419487</v>
      </c>
      <c r="X231" s="1" t="s">
        <v>46</v>
      </c>
    </row>
    <row r="232" spans="1:24" ht="13.5" customHeight="1" x14ac:dyDescent="0.3">
      <c r="A232" s="54" t="s">
        <v>61</v>
      </c>
      <c r="B232" s="53" t="s">
        <v>0</v>
      </c>
      <c r="C232" s="52">
        <v>94</v>
      </c>
      <c r="D232" s="52">
        <v>46</v>
      </c>
      <c r="E232" s="52">
        <v>8</v>
      </c>
      <c r="F232" s="52">
        <v>13950</v>
      </c>
      <c r="G232" s="31"/>
      <c r="H232" s="31"/>
      <c r="I232" s="31"/>
      <c r="J232" s="31"/>
      <c r="K232" s="30"/>
      <c r="L232" s="30"/>
      <c r="M232" s="30"/>
      <c r="N232" s="30"/>
      <c r="O232" s="17">
        <f>V232*$O$2</f>
        <v>7.3307366399999996</v>
      </c>
      <c r="P232" s="16">
        <f>F232+J232+N232</f>
        <v>13950</v>
      </c>
      <c r="Q232" s="15">
        <f>P232/1000</f>
        <v>13.95</v>
      </c>
      <c r="R232" s="14">
        <f>MAX(Q232,O232)</f>
        <v>13.95</v>
      </c>
      <c r="S232" s="50">
        <f>VLOOKUP(A232,[1]Index!$E:$M,8,)</f>
        <v>523.71019282237501</v>
      </c>
      <c r="T232" s="49">
        <f>S232-P232</f>
        <v>-13426.289807177625</v>
      </c>
      <c r="U232" s="48">
        <f>T232/S232</f>
        <v>-25.636869381557702</v>
      </c>
      <c r="V232" s="47">
        <f>(((C232*D232*E232)+(G232*H232*I232)+(K232*L232*M232))/1000000)*35.32</f>
        <v>1.22178944</v>
      </c>
      <c r="W232" s="46">
        <f>Q232/V232</f>
        <v>11.417679301598808</v>
      </c>
      <c r="X232" s="1" t="s">
        <v>46</v>
      </c>
    </row>
    <row r="233" spans="1:24" ht="13.8" x14ac:dyDescent="0.3">
      <c r="A233" s="54" t="s">
        <v>60</v>
      </c>
      <c r="B233" s="53" t="s">
        <v>0</v>
      </c>
      <c r="C233" s="52">
        <v>74</v>
      </c>
      <c r="D233" s="52">
        <v>51</v>
      </c>
      <c r="E233" s="52">
        <v>8</v>
      </c>
      <c r="F233" s="52">
        <v>8555</v>
      </c>
      <c r="G233" s="31"/>
      <c r="H233" s="31"/>
      <c r="I233" s="31"/>
      <c r="J233" s="31"/>
      <c r="K233" s="30"/>
      <c r="L233" s="30"/>
      <c r="M233" s="30"/>
      <c r="N233" s="30"/>
      <c r="O233" s="17">
        <f>V233*$O$2</f>
        <v>6.3982886400000005</v>
      </c>
      <c r="P233" s="16">
        <f>F233+J233+N233</f>
        <v>8555</v>
      </c>
      <c r="Q233" s="15">
        <f>P233/1000</f>
        <v>8.5549999999999997</v>
      </c>
      <c r="R233" s="14">
        <f>MAX(Q233,O233)</f>
        <v>8.5549999999999997</v>
      </c>
      <c r="S233" s="50">
        <f>VLOOKUP(A233,[1]Index!$E:$M,8,)</f>
        <v>367.55697413932501</v>
      </c>
      <c r="T233" s="49">
        <f>S233-P233</f>
        <v>-8187.4430258606753</v>
      </c>
      <c r="U233" s="48">
        <f>T233/S233</f>
        <v>-22.275303155469903</v>
      </c>
      <c r="V233" s="47">
        <f>(((C233*D233*E233)+(G233*H233*I233)+(K233*L233*M233))/1000000)*35.32</f>
        <v>1.06638144</v>
      </c>
      <c r="W233" s="46">
        <f>Q233/V233</f>
        <v>8.0224577051903676</v>
      </c>
      <c r="X233" s="1" t="s">
        <v>44</v>
      </c>
    </row>
    <row r="234" spans="1:24" ht="13.8" x14ac:dyDescent="0.3">
      <c r="A234" s="54" t="s">
        <v>59</v>
      </c>
      <c r="B234" s="53" t="s">
        <v>47</v>
      </c>
      <c r="C234" s="52"/>
      <c r="D234" s="52"/>
      <c r="E234" s="52"/>
      <c r="F234" s="52"/>
      <c r="G234" s="31"/>
      <c r="H234" s="31"/>
      <c r="I234" s="31"/>
      <c r="J234" s="31"/>
      <c r="K234" s="30"/>
      <c r="L234" s="30"/>
      <c r="M234" s="30"/>
      <c r="N234" s="30"/>
      <c r="O234" s="17">
        <f>V234*$O$2</f>
        <v>0</v>
      </c>
      <c r="P234" s="16">
        <f>F234+J234+N234</f>
        <v>0</v>
      </c>
      <c r="Q234" s="15">
        <f>P234/1000</f>
        <v>0</v>
      </c>
      <c r="R234" s="14">
        <f>MAX(Q234,O234)</f>
        <v>0</v>
      </c>
      <c r="S234" s="50" t="e">
        <f>VLOOKUP(A234,[1]Index!$E:$M,8,)</f>
        <v>#N/A</v>
      </c>
      <c r="T234" s="49" t="e">
        <f>S234-P234</f>
        <v>#N/A</v>
      </c>
      <c r="U234" s="48" t="e">
        <f>T234/S234</f>
        <v>#N/A</v>
      </c>
      <c r="V234" s="47">
        <f>(((C234*D234*E234)+(G234*H234*I234)+(K234*L234*M234))/1000000)*35.32</f>
        <v>0</v>
      </c>
      <c r="W234" s="46" t="e">
        <f>Q234/V234</f>
        <v>#DIV/0!</v>
      </c>
      <c r="X234" s="1" t="s">
        <v>46</v>
      </c>
    </row>
    <row r="235" spans="1:24" ht="13.8" x14ac:dyDescent="0.3">
      <c r="A235" s="54" t="s">
        <v>58</v>
      </c>
      <c r="B235" s="53" t="s">
        <v>47</v>
      </c>
      <c r="C235" s="52">
        <v>37</v>
      </c>
      <c r="D235" s="52">
        <v>35</v>
      </c>
      <c r="E235" s="52">
        <v>31</v>
      </c>
      <c r="F235" s="52">
        <v>2700</v>
      </c>
      <c r="G235" s="31"/>
      <c r="H235" s="31"/>
      <c r="I235" s="31"/>
      <c r="J235" s="31"/>
      <c r="K235" s="30"/>
      <c r="L235" s="30"/>
      <c r="M235" s="30"/>
      <c r="N235" s="30"/>
      <c r="O235" s="17">
        <f>V235*$O$2</f>
        <v>8.5075284</v>
      </c>
      <c r="P235" s="16">
        <f>F235+J235+N235</f>
        <v>2700</v>
      </c>
      <c r="Q235" s="15">
        <f>P235/1000</f>
        <v>2.7</v>
      </c>
      <c r="R235" s="14">
        <f>MAX(Q235,O235)</f>
        <v>8.5075284</v>
      </c>
      <c r="S235" s="50" t="e">
        <f>VLOOKUP(A235,[1]Index!$E:$M,8,)</f>
        <v>#N/A</v>
      </c>
      <c r="T235" s="49" t="e">
        <f>S235-P235</f>
        <v>#N/A</v>
      </c>
      <c r="U235" s="48" t="e">
        <f>T235/S235</f>
        <v>#N/A</v>
      </c>
      <c r="V235" s="47">
        <f>(((C235*D235*E235)+(G235*H235*I235)+(K235*L235*M235))/1000000)*35.32</f>
        <v>1.4179214</v>
      </c>
      <c r="W235" s="46">
        <f>Q235/V235</f>
        <v>1.9041958179064087</v>
      </c>
      <c r="X235" s="1" t="s">
        <v>46</v>
      </c>
    </row>
    <row r="236" spans="1:24" ht="13.8" x14ac:dyDescent="0.3">
      <c r="A236" s="54" t="s">
        <v>57</v>
      </c>
      <c r="B236" s="53" t="s">
        <v>47</v>
      </c>
      <c r="C236" s="52"/>
      <c r="D236" s="52"/>
      <c r="E236" s="52"/>
      <c r="F236" s="52"/>
      <c r="G236" s="31"/>
      <c r="H236" s="31"/>
      <c r="I236" s="31"/>
      <c r="J236" s="31"/>
      <c r="K236" s="30"/>
      <c r="L236" s="30"/>
      <c r="M236" s="30"/>
      <c r="N236" s="30"/>
      <c r="O236" s="17">
        <f>V236*$O$2</f>
        <v>0</v>
      </c>
      <c r="P236" s="16">
        <f>F236+J236+N236</f>
        <v>0</v>
      </c>
      <c r="Q236" s="15">
        <f>P236/1000</f>
        <v>0</v>
      </c>
      <c r="R236" s="14">
        <f>MAX(Q236,O236)</f>
        <v>0</v>
      </c>
      <c r="S236" s="50" t="e">
        <f>VLOOKUP(A236,[1]Index!$E:$M,8,)</f>
        <v>#N/A</v>
      </c>
      <c r="T236" s="49" t="e">
        <f>S236-P236</f>
        <v>#N/A</v>
      </c>
      <c r="U236" s="48" t="e">
        <f>T236/S236</f>
        <v>#N/A</v>
      </c>
      <c r="V236" s="47">
        <f>(((C236*D236*E236)+(G236*H236*I236)+(K236*L236*M236))/1000000)*35.32</f>
        <v>0</v>
      </c>
      <c r="W236" s="46" t="e">
        <f>Q236/V236</f>
        <v>#DIV/0!</v>
      </c>
      <c r="X236" s="1" t="s">
        <v>46</v>
      </c>
    </row>
    <row r="237" spans="1:24" ht="13.8" x14ac:dyDescent="0.3">
      <c r="A237" s="54" t="s">
        <v>56</v>
      </c>
      <c r="B237" s="53" t="s">
        <v>47</v>
      </c>
      <c r="C237" s="52"/>
      <c r="D237" s="52"/>
      <c r="E237" s="52"/>
      <c r="F237" s="52"/>
      <c r="G237" s="31"/>
      <c r="H237" s="31"/>
      <c r="I237" s="31"/>
      <c r="J237" s="31"/>
      <c r="K237" s="30"/>
      <c r="L237" s="30"/>
      <c r="M237" s="30"/>
      <c r="N237" s="30"/>
      <c r="O237" s="17">
        <f>V237*$O$2</f>
        <v>0</v>
      </c>
      <c r="P237" s="16">
        <f>F237+J237+N237</f>
        <v>0</v>
      </c>
      <c r="Q237" s="15">
        <f>P237/1000</f>
        <v>0</v>
      </c>
      <c r="R237" s="14">
        <f>MAX(Q237,O237)</f>
        <v>0</v>
      </c>
      <c r="S237" s="50" t="e">
        <f>VLOOKUP(A237,[1]Index!$E:$M,8,)</f>
        <v>#N/A</v>
      </c>
      <c r="T237" s="49" t="e">
        <f>S237-P237</f>
        <v>#N/A</v>
      </c>
      <c r="U237" s="48" t="e">
        <f>T237/S237</f>
        <v>#N/A</v>
      </c>
      <c r="V237" s="47">
        <f>(((C237*D237*E237)+(G237*H237*I237)+(K237*L237*M237))/1000000)*35.32</f>
        <v>0</v>
      </c>
      <c r="W237" s="46" t="e">
        <f>Q237/V237</f>
        <v>#DIV/0!</v>
      </c>
      <c r="X237" s="1" t="s">
        <v>46</v>
      </c>
    </row>
    <row r="238" spans="1:24" ht="13.8" x14ac:dyDescent="0.3">
      <c r="A238" s="54" t="s">
        <v>55</v>
      </c>
      <c r="B238" s="53" t="s">
        <v>0</v>
      </c>
      <c r="C238" s="52">
        <v>125</v>
      </c>
      <c r="D238" s="52">
        <v>65</v>
      </c>
      <c r="E238" s="52">
        <v>7</v>
      </c>
      <c r="F238" s="52">
        <v>29050</v>
      </c>
      <c r="G238" s="31"/>
      <c r="H238" s="31"/>
      <c r="I238" s="31"/>
      <c r="J238" s="31"/>
      <c r="K238" s="30"/>
      <c r="L238" s="30"/>
      <c r="M238" s="30"/>
      <c r="N238" s="30"/>
      <c r="O238" s="17">
        <f>V238*$O$2</f>
        <v>12.052950000000003</v>
      </c>
      <c r="P238" s="16">
        <f>F238+J238+N238</f>
        <v>29050</v>
      </c>
      <c r="Q238" s="15">
        <f>P238/1000</f>
        <v>29.05</v>
      </c>
      <c r="R238" s="14">
        <f>MAX(Q238,O238)</f>
        <v>29.05</v>
      </c>
      <c r="S238" s="50">
        <f>VLOOKUP(A238,[1]Index!$E:$M,8,)</f>
        <v>1077.9157493737498</v>
      </c>
      <c r="T238" s="49">
        <f>S238-P238</f>
        <v>-27972.084250626249</v>
      </c>
      <c r="U238" s="48">
        <f>T238/S238</f>
        <v>-25.950158226074294</v>
      </c>
      <c r="V238" s="47">
        <f>(((C238*D238*E238)+(G238*H238*I238)+(K238*L238*M238))/1000000)*35.32</f>
        <v>2.0088250000000003</v>
      </c>
      <c r="W238" s="46">
        <f>Q238/V238</f>
        <v>14.461189999128843</v>
      </c>
      <c r="X238" s="1" t="s">
        <v>44</v>
      </c>
    </row>
    <row r="239" spans="1:24" ht="13.8" x14ac:dyDescent="0.3">
      <c r="A239" s="54" t="s">
        <v>54</v>
      </c>
      <c r="B239" s="53" t="s">
        <v>0</v>
      </c>
      <c r="C239" s="52">
        <v>86</v>
      </c>
      <c r="D239" s="52">
        <v>53</v>
      </c>
      <c r="E239" s="52">
        <v>10</v>
      </c>
      <c r="F239" s="52">
        <v>24800</v>
      </c>
      <c r="G239" s="31"/>
      <c r="H239" s="31"/>
      <c r="I239" s="31"/>
      <c r="J239" s="31"/>
      <c r="K239" s="30"/>
      <c r="L239" s="30"/>
      <c r="M239" s="30"/>
      <c r="N239" s="30"/>
      <c r="O239" s="17">
        <f>V239*$O$2</f>
        <v>9.6593136000000008</v>
      </c>
      <c r="P239" s="16">
        <f>F239+J239+N239</f>
        <v>24800</v>
      </c>
      <c r="Q239" s="15">
        <f>P239/1000</f>
        <v>24.8</v>
      </c>
      <c r="R239" s="14">
        <f>MAX(Q239,O239)</f>
        <v>24.8</v>
      </c>
      <c r="S239" s="50">
        <f>VLOOKUP(A239,[1]Index!$E:$M,8,)</f>
        <v>1113.3467179421252</v>
      </c>
      <c r="T239" s="49">
        <f>S239-P239</f>
        <v>-23686.653282057876</v>
      </c>
      <c r="U239" s="48">
        <f>T239/S239</f>
        <v>-21.275181307256677</v>
      </c>
      <c r="V239" s="47">
        <f>(((C239*D239*E239)+(G239*H239*I239)+(K239*L239*M239))/1000000)*35.32</f>
        <v>1.6098856000000001</v>
      </c>
      <c r="W239" s="46">
        <f>Q239/V239</f>
        <v>15.404821311526732</v>
      </c>
      <c r="X239" s="1" t="s">
        <v>44</v>
      </c>
    </row>
    <row r="240" spans="1:24" ht="13.8" x14ac:dyDescent="0.3">
      <c r="A240" s="54" t="s">
        <v>53</v>
      </c>
      <c r="B240" s="53" t="s">
        <v>0</v>
      </c>
      <c r="C240" s="52">
        <v>108</v>
      </c>
      <c r="D240" s="52">
        <v>38</v>
      </c>
      <c r="E240" s="52">
        <v>12</v>
      </c>
      <c r="F240" s="52">
        <v>22400</v>
      </c>
      <c r="G240" s="31"/>
      <c r="H240" s="31"/>
      <c r="I240" s="31"/>
      <c r="J240" s="31"/>
      <c r="K240" s="30"/>
      <c r="L240" s="30"/>
      <c r="M240" s="30"/>
      <c r="N240" s="30"/>
      <c r="O240" s="17">
        <f>V240*$O$2</f>
        <v>10.436636159999999</v>
      </c>
      <c r="P240" s="16">
        <f>F240+J240+N240</f>
        <v>22400</v>
      </c>
      <c r="Q240" s="15">
        <f>P240/1000</f>
        <v>22.4</v>
      </c>
      <c r="R240" s="14">
        <f>MAX(Q240,O240)</f>
        <v>22.4</v>
      </c>
      <c r="S240" s="50" t="e">
        <f>VLOOKUP(A240,[1]Index!$E:$M,8,)</f>
        <v>#N/A</v>
      </c>
      <c r="T240" s="49" t="e">
        <f>S240-P240</f>
        <v>#N/A</v>
      </c>
      <c r="U240" s="48" t="e">
        <f>T240/S240</f>
        <v>#N/A</v>
      </c>
      <c r="V240" s="47">
        <f>(((C240*D240*E240)+(G240*H240*I240)+(K240*L240*M240))/1000000)*35.32</f>
        <v>1.73943936</v>
      </c>
      <c r="W240" s="46">
        <f>Q240/V240</f>
        <v>12.877712506172102</v>
      </c>
      <c r="X240" s="1" t="s">
        <v>44</v>
      </c>
    </row>
    <row r="241" spans="1:24" ht="13.8" x14ac:dyDescent="0.3">
      <c r="A241" s="54" t="s">
        <v>52</v>
      </c>
      <c r="B241" s="53" t="s">
        <v>0</v>
      </c>
      <c r="C241" s="52">
        <v>127</v>
      </c>
      <c r="D241" s="52">
        <v>45</v>
      </c>
      <c r="E241" s="52">
        <v>10</v>
      </c>
      <c r="F241" s="52">
        <v>29900</v>
      </c>
      <c r="G241" s="31"/>
      <c r="H241" s="31"/>
      <c r="I241" s="31"/>
      <c r="J241" s="31"/>
      <c r="K241" s="30"/>
      <c r="L241" s="30"/>
      <c r="M241" s="30"/>
      <c r="N241" s="30"/>
      <c r="O241" s="17">
        <f>V241*$O$2</f>
        <v>12.111228000000001</v>
      </c>
      <c r="P241" s="16">
        <f>F241+J241+N241</f>
        <v>29900</v>
      </c>
      <c r="Q241" s="15">
        <f>P241/1000</f>
        <v>29.9</v>
      </c>
      <c r="R241" s="14">
        <f>MAX(Q241,O241)</f>
        <v>29.9</v>
      </c>
      <c r="S241" s="50" t="e">
        <f>VLOOKUP(A241,[1]Index!$E:$M,8,)</f>
        <v>#N/A</v>
      </c>
      <c r="T241" s="49" t="e">
        <f>S241-P241</f>
        <v>#N/A</v>
      </c>
      <c r="U241" s="48" t="e">
        <f>T241/S241</f>
        <v>#N/A</v>
      </c>
      <c r="V241" s="47">
        <f>(((C241*D241*E241)+(G241*H241*I241)+(K241*L241*M241))/1000000)*35.32</f>
        <v>2.0185379999999999</v>
      </c>
      <c r="W241" s="46">
        <f>Q241/V241</f>
        <v>14.812701073747435</v>
      </c>
      <c r="X241" s="1" t="s">
        <v>44</v>
      </c>
    </row>
    <row r="242" spans="1:24" ht="13.8" x14ac:dyDescent="0.3">
      <c r="A242" s="54" t="s">
        <v>51</v>
      </c>
      <c r="B242" s="53" t="s">
        <v>0</v>
      </c>
      <c r="C242" s="52">
        <v>65</v>
      </c>
      <c r="D242" s="52">
        <v>47</v>
      </c>
      <c r="E242" s="52">
        <v>9</v>
      </c>
      <c r="F242" s="52">
        <v>8350</v>
      </c>
      <c r="G242" s="31"/>
      <c r="H242" s="31"/>
      <c r="I242" s="31"/>
      <c r="J242" s="31"/>
      <c r="K242" s="30"/>
      <c r="L242" s="30"/>
      <c r="M242" s="30"/>
      <c r="N242" s="30"/>
      <c r="O242" s="17">
        <f>V242*$O$2</f>
        <v>5.8267404000000003</v>
      </c>
      <c r="P242" s="16">
        <f>F242+J242+N242</f>
        <v>8350</v>
      </c>
      <c r="Q242" s="15">
        <f>P242/1000</f>
        <v>8.35</v>
      </c>
      <c r="R242" s="14">
        <f>MAX(Q242,O242)</f>
        <v>8.35</v>
      </c>
      <c r="S242" s="50" t="e">
        <f>VLOOKUP(A242,[1]Index!$E:$M,8,)</f>
        <v>#N/A</v>
      </c>
      <c r="T242" s="49" t="e">
        <f>S242-P242</f>
        <v>#N/A</v>
      </c>
      <c r="U242" s="48" t="e">
        <f>T242/S242</f>
        <v>#N/A</v>
      </c>
      <c r="V242" s="47">
        <f>(((C242*D242*E242)+(G242*H242*I242)+(K242*L242*M242))/1000000)*35.32</f>
        <v>0.97112339999999997</v>
      </c>
      <c r="W242" s="46">
        <f>Q242/V242</f>
        <v>8.5982893626082948</v>
      </c>
      <c r="X242" s="1" t="s">
        <v>44</v>
      </c>
    </row>
    <row r="243" spans="1:24" ht="13.8" x14ac:dyDescent="0.3">
      <c r="A243" s="54" t="s">
        <v>50</v>
      </c>
      <c r="B243" s="53" t="s">
        <v>0</v>
      </c>
      <c r="C243" s="52">
        <v>127</v>
      </c>
      <c r="D243" s="52">
        <v>46</v>
      </c>
      <c r="E243" s="52">
        <v>9</v>
      </c>
      <c r="F243" s="52">
        <v>14500</v>
      </c>
      <c r="G243" s="31"/>
      <c r="H243" s="31"/>
      <c r="I243" s="31"/>
      <c r="J243" s="31"/>
      <c r="K243" s="30"/>
      <c r="L243" s="30"/>
      <c r="M243" s="30"/>
      <c r="N243" s="30"/>
      <c r="O243" s="17">
        <f>V243*$O$2</f>
        <v>11.142329759999999</v>
      </c>
      <c r="P243" s="16">
        <f>F243+J243+N243</f>
        <v>14500</v>
      </c>
      <c r="Q243" s="15">
        <f>P243/1000</f>
        <v>14.5</v>
      </c>
      <c r="R243" s="14">
        <f>MAX(Q243,O243)</f>
        <v>14.5</v>
      </c>
      <c r="S243" s="50" t="e">
        <f>VLOOKUP(A243,[1]Index!$E:$M,8,)</f>
        <v>#N/A</v>
      </c>
      <c r="T243" s="49" t="e">
        <f>S243-P243</f>
        <v>#N/A</v>
      </c>
      <c r="U243" s="48" t="e">
        <f>T243/S243</f>
        <v>#N/A</v>
      </c>
      <c r="V243" s="47">
        <f>(((C243*D243*E243)+(G243*H243*I243)+(K243*L243*M243))/1000000)*35.32</f>
        <v>1.8570549599999999</v>
      </c>
      <c r="W243" s="46">
        <f>Q243/V243</f>
        <v>7.8080618572538105</v>
      </c>
      <c r="X243" s="1" t="s">
        <v>44</v>
      </c>
    </row>
    <row r="244" spans="1:24" ht="13.8" x14ac:dyDescent="0.3">
      <c r="A244" s="54" t="s">
        <v>49</v>
      </c>
      <c r="B244" s="53" t="s">
        <v>0</v>
      </c>
      <c r="C244" s="52">
        <v>120</v>
      </c>
      <c r="D244" s="52">
        <v>43</v>
      </c>
      <c r="E244" s="52">
        <v>17</v>
      </c>
      <c r="F244" s="52">
        <v>30000</v>
      </c>
      <c r="G244" s="31"/>
      <c r="H244" s="31"/>
      <c r="I244" s="31"/>
      <c r="J244" s="31"/>
      <c r="K244" s="30"/>
      <c r="L244" s="30"/>
      <c r="M244" s="30"/>
      <c r="N244" s="30"/>
      <c r="O244" s="17">
        <f>V244*$O$2</f>
        <v>18.5896224</v>
      </c>
      <c r="P244" s="16">
        <f>F244+J244+N244</f>
        <v>30000</v>
      </c>
      <c r="Q244" s="15">
        <f>P244/1000</f>
        <v>30</v>
      </c>
      <c r="R244" s="14">
        <f>MAX(Q244,O244)</f>
        <v>30</v>
      </c>
      <c r="S244" s="50" t="e">
        <f>VLOOKUP(A244,[1]Index!$E:$M,8,)</f>
        <v>#N/A</v>
      </c>
      <c r="T244" s="49" t="e">
        <f>S244-P244</f>
        <v>#N/A</v>
      </c>
      <c r="U244" s="48" t="e">
        <f>T244/S244</f>
        <v>#N/A</v>
      </c>
      <c r="V244" s="47">
        <f>(((C244*D244*E244)+(G244*H244*I244)+(K244*L244*M244))/1000000)*35.32</f>
        <v>3.0982704000000001</v>
      </c>
      <c r="W244" s="46">
        <f>Q244/V244</f>
        <v>9.6828217446740599</v>
      </c>
      <c r="X244" s="1" t="s">
        <v>44</v>
      </c>
    </row>
    <row r="245" spans="1:24" ht="13.8" x14ac:dyDescent="0.3">
      <c r="A245" s="54" t="s">
        <v>48</v>
      </c>
      <c r="B245" s="53" t="s">
        <v>47</v>
      </c>
      <c r="C245" s="52">
        <v>84</v>
      </c>
      <c r="D245" s="52">
        <v>29</v>
      </c>
      <c r="E245" s="52">
        <v>19</v>
      </c>
      <c r="F245" s="52">
        <v>22400</v>
      </c>
      <c r="G245" s="31"/>
      <c r="H245" s="31"/>
      <c r="I245" s="31"/>
      <c r="J245" s="31"/>
      <c r="K245" s="30"/>
      <c r="L245" s="30"/>
      <c r="M245" s="30"/>
      <c r="N245" s="30"/>
      <c r="O245" s="17">
        <f>V245*$O$2</f>
        <v>9.8085052799999985</v>
      </c>
      <c r="P245" s="16">
        <f>F245+J245+N245</f>
        <v>22400</v>
      </c>
      <c r="Q245" s="15">
        <f>P245/1000</f>
        <v>22.4</v>
      </c>
      <c r="R245" s="14">
        <f>MAX(Q245,O245)</f>
        <v>22.4</v>
      </c>
      <c r="S245" s="50" t="e">
        <f>VLOOKUP(A245,[1]Index!$E:$M,8,)</f>
        <v>#N/A</v>
      </c>
      <c r="T245" s="49" t="e">
        <f>S245-P245</f>
        <v>#N/A</v>
      </c>
      <c r="U245" s="48" t="e">
        <f>T245/S245</f>
        <v>#N/A</v>
      </c>
      <c r="V245" s="47">
        <f>(((C245*D245*E245)+(G245*H245*I245)+(K245*L245*M245))/1000000)*35.32</f>
        <v>1.6347508799999999</v>
      </c>
      <c r="W245" s="46">
        <f>Q245/V245</f>
        <v>13.702393602626474</v>
      </c>
      <c r="X245" s="1" t="s">
        <v>46</v>
      </c>
    </row>
    <row r="246" spans="1:24" ht="13.8" x14ac:dyDescent="0.3">
      <c r="A246" s="54" t="s">
        <v>45</v>
      </c>
      <c r="B246" s="53" t="s">
        <v>0</v>
      </c>
      <c r="C246" s="52">
        <v>35</v>
      </c>
      <c r="D246" s="52">
        <v>12</v>
      </c>
      <c r="E246" s="52">
        <v>5</v>
      </c>
      <c r="F246" s="52">
        <v>2500</v>
      </c>
      <c r="G246" s="31"/>
      <c r="H246" s="31"/>
      <c r="I246" s="31"/>
      <c r="J246" s="31"/>
      <c r="K246" s="30"/>
      <c r="L246" s="30"/>
      <c r="M246" s="30"/>
      <c r="N246" s="30"/>
      <c r="O246" s="17">
        <f>V246*$O$2</f>
        <v>0.44503199999999998</v>
      </c>
      <c r="P246" s="16">
        <f>F246+J246+N246</f>
        <v>2500</v>
      </c>
      <c r="Q246" s="15">
        <f>P246/1000</f>
        <v>2.5</v>
      </c>
      <c r="R246" s="14">
        <f>MAX(Q246,O246)</f>
        <v>2.5</v>
      </c>
      <c r="S246" s="50">
        <f>VLOOKUP(A246,[1]Index!$E:$M,8,)</f>
        <v>11.094380797499998</v>
      </c>
      <c r="T246" s="49">
        <f>S246-P246</f>
        <v>-2488.9056192025</v>
      </c>
      <c r="U246" s="48">
        <f>T246/S246</f>
        <v>-224.33929974382607</v>
      </c>
      <c r="V246" s="47">
        <f>(((C246*D246*E246)+(G246*H246*I246)+(K246*L246*M246))/1000000)*35.32</f>
        <v>7.4172000000000002E-2</v>
      </c>
      <c r="W246" s="46">
        <f>Q246/V246</f>
        <v>33.705441406460658</v>
      </c>
      <c r="X246" s="1" t="s">
        <v>44</v>
      </c>
    </row>
    <row r="247" spans="1:24" ht="13.8" x14ac:dyDescent="0.3">
      <c r="A247" s="54" t="s">
        <v>43</v>
      </c>
      <c r="B247" s="53" t="s">
        <v>0</v>
      </c>
      <c r="C247" s="52">
        <v>97</v>
      </c>
      <c r="D247" s="52">
        <v>29</v>
      </c>
      <c r="E247" s="52">
        <v>12</v>
      </c>
      <c r="F247" s="52">
        <v>16400</v>
      </c>
      <c r="G247" s="31"/>
      <c r="H247" s="31"/>
      <c r="I247" s="31"/>
      <c r="J247" s="31"/>
      <c r="K247" s="30"/>
      <c r="L247" s="30"/>
      <c r="M247" s="30"/>
      <c r="N247" s="30"/>
      <c r="O247" s="17">
        <f>V247*$O$2</f>
        <v>7.1535715199999999</v>
      </c>
      <c r="P247" s="16">
        <f>F247+J247+N247</f>
        <v>16400</v>
      </c>
      <c r="Q247" s="15">
        <f>P247/1000</f>
        <v>16.399999999999999</v>
      </c>
      <c r="R247" s="14">
        <f>MAX(Q247,O247)</f>
        <v>16.399999999999999</v>
      </c>
      <c r="S247" s="50">
        <f>VLOOKUP(A247,[1]Index!$E:$M,8,)</f>
        <v>674.62888425576</v>
      </c>
      <c r="T247" s="49">
        <f>S247-P247</f>
        <v>-15725.371115744239</v>
      </c>
      <c r="U247" s="48">
        <f>T247/S247</f>
        <v>-23.309661775143564</v>
      </c>
      <c r="V247" s="47">
        <f>(((C247*D247*E247)+(G247*H247*I247)+(K247*L247*M247))/1000000)*35.32</f>
        <v>1.19226192</v>
      </c>
      <c r="W247" s="46">
        <f>Q247/V247</f>
        <v>13.755366773770648</v>
      </c>
      <c r="X247" s="1" t="s">
        <v>42</v>
      </c>
    </row>
    <row r="248" spans="1:24" ht="12.75" customHeight="1" x14ac:dyDescent="0.3">
      <c r="A248" s="54" t="s">
        <v>41</v>
      </c>
      <c r="B248" s="53" t="s">
        <v>0</v>
      </c>
      <c r="C248" s="52">
        <v>36</v>
      </c>
      <c r="D248" s="52">
        <v>10</v>
      </c>
      <c r="E248" s="52">
        <v>6</v>
      </c>
      <c r="F248" s="52">
        <v>200</v>
      </c>
      <c r="G248" s="31"/>
      <c r="H248" s="31"/>
      <c r="I248" s="31"/>
      <c r="J248" s="31"/>
      <c r="K248" s="30"/>
      <c r="L248" s="30"/>
      <c r="M248" s="30"/>
      <c r="N248" s="30"/>
      <c r="O248" s="17">
        <f>V248*$O$2</f>
        <v>0.45774720000000002</v>
      </c>
      <c r="P248" s="16">
        <f>F248+J248+N248</f>
        <v>200</v>
      </c>
      <c r="Q248" s="15">
        <f>P248/1000</f>
        <v>0.2</v>
      </c>
      <c r="R248" s="14">
        <f>MAX(Q248,O248)</f>
        <v>0.45774720000000002</v>
      </c>
      <c r="S248" s="50">
        <f>VLOOKUP(A248,[1]Index!$E:$M,8,)</f>
        <v>7.1389999999999993</v>
      </c>
      <c r="T248" s="49">
        <f>S248-P248</f>
        <v>-192.86099999999999</v>
      </c>
      <c r="U248" s="48">
        <f>T248/S248</f>
        <v>-27.015128169211376</v>
      </c>
      <c r="V248" s="47">
        <f>(((C248*D248*E248)+(G248*H248*I248)+(K248*L248*M248))/1000000)*35.32</f>
        <v>7.6291200000000003E-2</v>
      </c>
      <c r="W248" s="46">
        <f>Q248/V248</f>
        <v>2.6215343316136068</v>
      </c>
    </row>
    <row r="249" spans="1:24" ht="12.75" customHeight="1" x14ac:dyDescent="0.3">
      <c r="A249" s="54" t="s">
        <v>40</v>
      </c>
      <c r="B249" s="53" t="s">
        <v>0</v>
      </c>
      <c r="C249" s="52">
        <v>24</v>
      </c>
      <c r="D249" s="52">
        <v>20</v>
      </c>
      <c r="E249" s="52">
        <v>5</v>
      </c>
      <c r="F249" s="52">
        <v>700</v>
      </c>
      <c r="G249" s="31"/>
      <c r="H249" s="31"/>
      <c r="I249" s="31"/>
      <c r="J249" s="31"/>
      <c r="K249" s="30"/>
      <c r="L249" s="30"/>
      <c r="M249" s="30"/>
      <c r="N249" s="30"/>
      <c r="O249" s="17">
        <f>V249*$O$2</f>
        <v>0.50860799999999995</v>
      </c>
      <c r="P249" s="16">
        <f>F249+J249+N249</f>
        <v>700</v>
      </c>
      <c r="Q249" s="15">
        <f>P249/1000</f>
        <v>0.7</v>
      </c>
      <c r="R249" s="14">
        <f>MAX(Q249,O249)</f>
        <v>0.7</v>
      </c>
      <c r="S249" s="50">
        <f>VLOOKUP(A249,[1]Index!$E:$M,8,)</f>
        <v>14.826127065749997</v>
      </c>
      <c r="T249" s="49">
        <f>S249-P249</f>
        <v>-685.17387293424997</v>
      </c>
      <c r="U249" s="48">
        <f>T249/S249</f>
        <v>-46.213948517754027</v>
      </c>
      <c r="V249" s="47">
        <f>(((C249*D249*E249)+(G249*H249*I249)+(K249*L249*M249))/1000000)*35.32</f>
        <v>8.4767999999999996E-2</v>
      </c>
      <c r="W249" s="46">
        <f>Q249/V249</f>
        <v>8.257833144582861</v>
      </c>
    </row>
    <row r="250" spans="1:24" ht="12.75" customHeight="1" x14ac:dyDescent="0.3">
      <c r="A250" s="54" t="s">
        <v>39</v>
      </c>
      <c r="B250" s="53" t="s">
        <v>0</v>
      </c>
      <c r="C250" s="52">
        <v>34</v>
      </c>
      <c r="D250" s="52">
        <v>22</v>
      </c>
      <c r="E250" s="52">
        <v>6</v>
      </c>
      <c r="F250" s="52">
        <v>800</v>
      </c>
      <c r="G250" s="31"/>
      <c r="H250" s="31"/>
      <c r="I250" s="31"/>
      <c r="J250" s="31"/>
      <c r="K250" s="30"/>
      <c r="L250" s="30"/>
      <c r="M250" s="30"/>
      <c r="N250" s="30"/>
      <c r="O250" s="17">
        <f>V250*$O$2</f>
        <v>0.95109695999999988</v>
      </c>
      <c r="P250" s="16">
        <f>F250+J250+N250</f>
        <v>800</v>
      </c>
      <c r="Q250" s="15">
        <f>P250/1000</f>
        <v>0.8</v>
      </c>
      <c r="R250" s="14">
        <f>MAX(Q250,O250)</f>
        <v>0.95109695999999988</v>
      </c>
      <c r="S250" s="50" t="e">
        <f>VLOOKUP(A250,[1]Index!$E:$M,8,)</f>
        <v>#N/A</v>
      </c>
      <c r="T250" s="49" t="e">
        <f>S250-P250</f>
        <v>#N/A</v>
      </c>
      <c r="U250" s="48" t="e">
        <f>T250/S250</f>
        <v>#N/A</v>
      </c>
      <c r="V250" s="47">
        <f>(((C250*D250*E250)+(G250*H250*I250)+(K250*L250*M250))/1000000)*35.32</f>
        <v>0.15851615999999999</v>
      </c>
      <c r="W250" s="46">
        <f>Q250/V250</f>
        <v>5.0468040608604205</v>
      </c>
    </row>
    <row r="251" spans="1:24" ht="12.75" customHeight="1" x14ac:dyDescent="0.3">
      <c r="A251" s="35" t="s">
        <v>38</v>
      </c>
      <c r="B251" s="43" t="s">
        <v>0</v>
      </c>
      <c r="C251" s="22">
        <v>154</v>
      </c>
      <c r="D251" s="21">
        <v>42</v>
      </c>
      <c r="E251" s="21">
        <v>9</v>
      </c>
      <c r="F251" s="22">
        <v>27400</v>
      </c>
      <c r="G251" s="31"/>
      <c r="H251" s="31"/>
      <c r="I251" s="31"/>
      <c r="J251" s="31"/>
      <c r="K251" s="30"/>
      <c r="L251" s="30"/>
      <c r="M251" s="30"/>
      <c r="N251" s="30"/>
      <c r="O251" s="17">
        <f>V251*$O$2</f>
        <v>12.336287040000002</v>
      </c>
      <c r="P251" s="16">
        <f>F251+J251+N251</f>
        <v>27400</v>
      </c>
      <c r="Q251" s="15">
        <f>P251/1000</f>
        <v>27.4</v>
      </c>
      <c r="R251" s="14">
        <f>MAX(Q251,O251)</f>
        <v>27.4</v>
      </c>
      <c r="S251" s="50" t="e">
        <f>VLOOKUP(A251,[1]Index!$E:$M,8,)</f>
        <v>#N/A</v>
      </c>
      <c r="T251" s="49" t="e">
        <f>S251-P251</f>
        <v>#N/A</v>
      </c>
      <c r="U251" s="48" t="e">
        <f>T251/S251</f>
        <v>#N/A</v>
      </c>
      <c r="V251" s="47">
        <f>(((C251*D251*E251)+(G251*H251*I251)+(K251*L251*M251))/1000000)*35.32</f>
        <v>2.0560478400000002</v>
      </c>
      <c r="W251" s="46">
        <f>Q251/V251</f>
        <v>13.326538160707386</v>
      </c>
    </row>
    <row r="252" spans="1:24" ht="12.75" customHeight="1" x14ac:dyDescent="0.3">
      <c r="A252" s="34" t="s">
        <v>37</v>
      </c>
      <c r="B252" s="43" t="s">
        <v>0</v>
      </c>
      <c r="C252" s="22">
        <v>157</v>
      </c>
      <c r="D252" s="21">
        <v>44</v>
      </c>
      <c r="E252" s="21">
        <v>5</v>
      </c>
      <c r="F252" s="22">
        <v>26050</v>
      </c>
      <c r="G252" s="31"/>
      <c r="H252" s="31"/>
      <c r="I252" s="31"/>
      <c r="J252" s="31"/>
      <c r="K252" s="30"/>
      <c r="L252" s="30"/>
      <c r="M252" s="30"/>
      <c r="N252" s="30"/>
      <c r="O252" s="17">
        <f>V252*$O$2</f>
        <v>7.3197168000000001</v>
      </c>
      <c r="P252" s="16">
        <f>F252+J252+N252</f>
        <v>26050</v>
      </c>
      <c r="Q252" s="15">
        <f>P252/1000</f>
        <v>26.05</v>
      </c>
      <c r="R252" s="14">
        <f>MAX(Q252,O252)</f>
        <v>26.05</v>
      </c>
      <c r="S252" s="50" t="e">
        <f>VLOOKUP(A252,[1]Index!$E:$M,8,)</f>
        <v>#N/A</v>
      </c>
      <c r="T252" s="49" t="e">
        <f>S252-P252</f>
        <v>#N/A</v>
      </c>
      <c r="U252" s="48" t="e">
        <f>T252/S252</f>
        <v>#N/A</v>
      </c>
      <c r="V252" s="47">
        <f>(((C252*D252*E252)+(G252*H252*I252)+(K252*L252*M252))/1000000)*35.32</f>
        <v>1.2199527999999999</v>
      </c>
      <c r="W252" s="46">
        <f>Q252/V252</f>
        <v>21.353285143490798</v>
      </c>
    </row>
    <row r="253" spans="1:24" ht="12.75" customHeight="1" x14ac:dyDescent="0.3">
      <c r="A253" s="51" t="s">
        <v>36</v>
      </c>
      <c r="B253" s="43" t="s">
        <v>0</v>
      </c>
      <c r="C253" s="22">
        <v>39</v>
      </c>
      <c r="D253" s="21">
        <v>30</v>
      </c>
      <c r="E253" s="21">
        <v>9</v>
      </c>
      <c r="F253" s="22">
        <v>3600</v>
      </c>
      <c r="G253" s="31"/>
      <c r="H253" s="31"/>
      <c r="I253" s="31"/>
      <c r="J253" s="31"/>
      <c r="K253" s="30"/>
      <c r="L253" s="30"/>
      <c r="M253" s="30"/>
      <c r="N253" s="30"/>
      <c r="O253" s="17">
        <f>V253*$O$2</f>
        <v>2.2315175999999997</v>
      </c>
      <c r="P253" s="16">
        <f>F253+J253+N253</f>
        <v>3600</v>
      </c>
      <c r="Q253" s="15">
        <f>P253/1000</f>
        <v>3.6</v>
      </c>
      <c r="R253" s="14">
        <f>MAX(Q253,O253)</f>
        <v>3.6</v>
      </c>
      <c r="S253" s="50" t="e">
        <f>VLOOKUP(A253,[1]Index!$E:$M,8,)</f>
        <v>#N/A</v>
      </c>
      <c r="T253" s="49" t="e">
        <f>S253-P253</f>
        <v>#N/A</v>
      </c>
      <c r="U253" s="48" t="e">
        <f>T253/S253</f>
        <v>#N/A</v>
      </c>
      <c r="V253" s="47">
        <f>(((C253*D253*E253)+(G253*H253*I253)+(K253*L253*M253))/1000000)*35.32</f>
        <v>0.37191959999999996</v>
      </c>
      <c r="W253" s="46">
        <f>Q253/V253</f>
        <v>9.6795113782656266</v>
      </c>
    </row>
    <row r="254" spans="1:24" ht="12.75" customHeight="1" x14ac:dyDescent="0.3">
      <c r="A254" s="51" t="s">
        <v>35</v>
      </c>
      <c r="B254" s="43" t="s">
        <v>0</v>
      </c>
      <c r="C254" s="22">
        <v>65</v>
      </c>
      <c r="D254" s="21">
        <v>35</v>
      </c>
      <c r="E254" s="21">
        <v>8</v>
      </c>
      <c r="F254" s="22">
        <v>5000</v>
      </c>
      <c r="G254" s="31"/>
      <c r="H254" s="31"/>
      <c r="I254" s="31"/>
      <c r="J254" s="31"/>
      <c r="K254" s="30"/>
      <c r="L254" s="30"/>
      <c r="M254" s="30"/>
      <c r="N254" s="30"/>
      <c r="O254" s="17">
        <f>V254*$O$2</f>
        <v>3.8569440000000004</v>
      </c>
      <c r="P254" s="16">
        <f>F254+J254+N254</f>
        <v>5000</v>
      </c>
      <c r="Q254" s="15">
        <f>P254/1000</f>
        <v>5</v>
      </c>
      <c r="R254" s="14">
        <f>MAX(Q254,O254)</f>
        <v>5</v>
      </c>
      <c r="S254" s="50" t="e">
        <f>VLOOKUP(A254,[1]Index!$E:$M,8,)</f>
        <v>#N/A</v>
      </c>
      <c r="T254" s="49" t="e">
        <f>S254-P254</f>
        <v>#N/A</v>
      </c>
      <c r="U254" s="48" t="e">
        <f>T254/S254</f>
        <v>#N/A</v>
      </c>
      <c r="V254" s="47">
        <f>(((C254*D254*E254)+(G254*H254*I254)+(K254*L254*M254))/1000000)*35.32</f>
        <v>0.64282400000000006</v>
      </c>
      <c r="W254" s="46">
        <f>Q254/V254</f>
        <v>7.778178786106305</v>
      </c>
    </row>
    <row r="255" spans="1:24" ht="12.75" customHeight="1" x14ac:dyDescent="0.3">
      <c r="A255" s="35" t="s">
        <v>34</v>
      </c>
      <c r="B255" s="43" t="s">
        <v>0</v>
      </c>
      <c r="C255" s="22">
        <v>150</v>
      </c>
      <c r="D255" s="21">
        <v>42</v>
      </c>
      <c r="E255" s="21">
        <v>14</v>
      </c>
      <c r="F255" s="22">
        <v>40000</v>
      </c>
      <c r="G255" s="31"/>
      <c r="H255" s="31"/>
      <c r="I255" s="31"/>
      <c r="J255" s="31"/>
      <c r="K255" s="30"/>
      <c r="L255" s="30"/>
      <c r="M255" s="30"/>
      <c r="N255" s="30"/>
      <c r="O255" s="17">
        <f ca="1">V255*$O$2</f>
        <v>3.8569440000000004</v>
      </c>
      <c r="P255" s="16">
        <f>F255+J255+N255</f>
        <v>40000</v>
      </c>
      <c r="Q255" s="15">
        <f>P255/1000</f>
        <v>40</v>
      </c>
      <c r="R255" s="14">
        <f ca="1">MAX(Q255,O255)</f>
        <v>3.5320000000000001E-5</v>
      </c>
      <c r="S255" s="14">
        <f ca="1">MAX(R255,P255)</f>
        <v>3.5320000000000001E-5</v>
      </c>
      <c r="T255" s="14">
        <f ca="1">MAX(S255,Q255)</f>
        <v>3.5320000000000001E-5</v>
      </c>
      <c r="U255" s="14">
        <f ca="1">MAX(T255,R255)</f>
        <v>3.5320000000000001E-5</v>
      </c>
      <c r="V255" s="14">
        <f ca="1">MAX(U255,S255)</f>
        <v>3.5320000000000001E-5</v>
      </c>
      <c r="W255" s="14">
        <f ca="1">MAX(V255,T255)</f>
        <v>3.5320000000000001E-5</v>
      </c>
    </row>
    <row r="256" spans="1:24" ht="12.75" customHeight="1" x14ac:dyDescent="0.3">
      <c r="A256" s="45" t="s">
        <v>33</v>
      </c>
      <c r="B256" s="43" t="s">
        <v>0</v>
      </c>
      <c r="C256" s="22">
        <v>66</v>
      </c>
      <c r="D256" s="21">
        <v>24</v>
      </c>
      <c r="E256" s="21">
        <v>4</v>
      </c>
      <c r="F256" s="22">
        <v>2450</v>
      </c>
      <c r="G256" s="31"/>
      <c r="H256" s="31"/>
      <c r="I256" s="31"/>
      <c r="J256" s="31"/>
      <c r="K256" s="30"/>
      <c r="L256" s="30"/>
      <c r="M256" s="30"/>
      <c r="N256" s="30"/>
      <c r="O256" s="17">
        <f ca="1">V256*$O$2</f>
        <v>0</v>
      </c>
      <c r="P256" s="16">
        <f>F256+J256+N256</f>
        <v>2450</v>
      </c>
      <c r="Q256" s="15">
        <f>P256/1000</f>
        <v>2.4500000000000002</v>
      </c>
      <c r="R256" s="14">
        <f ca="1">MAX(Q256,O256)</f>
        <v>3.5320000000000001E-5</v>
      </c>
      <c r="S256" s="14">
        <f ca="1">MAX(R256,P256)</f>
        <v>3.5320000000000001E-5</v>
      </c>
      <c r="T256" s="14">
        <f ca="1">MAX(S256,Q256)</f>
        <v>3.5320000000000001E-5</v>
      </c>
      <c r="U256" s="14">
        <f ca="1">MAX(T256,R256)</f>
        <v>3.5320000000000001E-5</v>
      </c>
      <c r="V256" s="14">
        <f ca="1">MAX(U256,S256)</f>
        <v>3.5320000000000001E-5</v>
      </c>
      <c r="W256" s="14">
        <f ca="1">MAX(V256,T256)</f>
        <v>3.5320000000000001E-5</v>
      </c>
    </row>
    <row r="257" spans="1:23" ht="12.75" customHeight="1" x14ac:dyDescent="0.3">
      <c r="A257" s="44" t="s">
        <v>32</v>
      </c>
      <c r="B257" s="43" t="s">
        <v>0</v>
      </c>
      <c r="C257" s="22">
        <v>106</v>
      </c>
      <c r="D257" s="21">
        <v>27</v>
      </c>
      <c r="E257" s="21">
        <v>5</v>
      </c>
      <c r="F257" s="22">
        <v>4100</v>
      </c>
      <c r="G257" s="31"/>
      <c r="H257" s="31"/>
      <c r="I257" s="31"/>
      <c r="J257" s="31"/>
      <c r="K257" s="30"/>
      <c r="L257" s="30"/>
      <c r="M257" s="30"/>
      <c r="N257" s="30"/>
      <c r="O257" s="17">
        <f ca="1">V257*$O$2</f>
        <v>0</v>
      </c>
      <c r="P257" s="16">
        <f>F257+J257+N257</f>
        <v>4100</v>
      </c>
      <c r="Q257" s="15">
        <f>P257/1000</f>
        <v>4.0999999999999996</v>
      </c>
      <c r="R257" s="14">
        <f ca="1">MAX(Q257,O257)</f>
        <v>3.5320000000000001E-5</v>
      </c>
      <c r="S257" s="14">
        <f ca="1">MAX(R257,P257)</f>
        <v>3.5320000000000001E-5</v>
      </c>
      <c r="T257" s="14">
        <f ca="1">MAX(S257,Q257)</f>
        <v>3.5320000000000001E-5</v>
      </c>
      <c r="U257" s="14">
        <f ca="1">MAX(T257,R257)</f>
        <v>3.5320000000000001E-5</v>
      </c>
      <c r="V257" s="14">
        <f ca="1">MAX(U257,S257)</f>
        <v>3.5320000000000001E-5</v>
      </c>
      <c r="W257" s="14">
        <f ca="1">MAX(V257,T257)</f>
        <v>3.5320000000000001E-5</v>
      </c>
    </row>
    <row r="258" spans="1:23" ht="12.75" customHeight="1" x14ac:dyDescent="0.3">
      <c r="A258" s="35" t="s">
        <v>31</v>
      </c>
      <c r="B258" s="32" t="s">
        <v>0</v>
      </c>
      <c r="C258" s="22">
        <v>70</v>
      </c>
      <c r="D258" s="21">
        <v>25</v>
      </c>
      <c r="E258" s="21">
        <v>5</v>
      </c>
      <c r="F258" s="22">
        <v>2500</v>
      </c>
      <c r="G258" s="31"/>
      <c r="H258" s="31"/>
      <c r="I258" s="31"/>
      <c r="J258" s="31"/>
      <c r="K258" s="30"/>
      <c r="L258" s="30"/>
      <c r="M258" s="30"/>
      <c r="N258" s="30"/>
      <c r="O258" s="17">
        <f ca="1">V258*$O$2</f>
        <v>0</v>
      </c>
      <c r="P258" s="16">
        <f>F258+J258+N258</f>
        <v>2500</v>
      </c>
      <c r="Q258" s="15">
        <f>P258/1000</f>
        <v>2.5</v>
      </c>
      <c r="R258" s="14">
        <f ca="1">MAX(Q258,O258)</f>
        <v>3.5320000000000001E-5</v>
      </c>
      <c r="S258" s="14">
        <f ca="1">MAX(R258,P258)</f>
        <v>3.5320000000000001E-5</v>
      </c>
      <c r="T258" s="14">
        <f ca="1">MAX(S258,Q258)</f>
        <v>3.5320000000000001E-5</v>
      </c>
      <c r="U258" s="14">
        <f ca="1">MAX(T258,R258)</f>
        <v>3.5320000000000001E-5</v>
      </c>
      <c r="V258" s="14">
        <f ca="1">MAX(U258,S258)</f>
        <v>3.5320000000000001E-5</v>
      </c>
      <c r="W258" s="14">
        <f ca="1">MAX(V258,T258)</f>
        <v>3.5320000000000001E-5</v>
      </c>
    </row>
    <row r="259" spans="1:23" ht="12.75" customHeight="1" x14ac:dyDescent="0.3">
      <c r="A259" s="35" t="s">
        <v>30</v>
      </c>
      <c r="B259" s="32" t="s">
        <v>0</v>
      </c>
      <c r="C259" s="22">
        <v>78</v>
      </c>
      <c r="D259" s="21">
        <v>23</v>
      </c>
      <c r="E259" s="21">
        <v>6</v>
      </c>
      <c r="F259" s="22">
        <v>2200</v>
      </c>
      <c r="G259" s="31"/>
      <c r="H259" s="31"/>
      <c r="I259" s="31"/>
      <c r="J259" s="31"/>
      <c r="K259" s="30"/>
      <c r="L259" s="30"/>
      <c r="M259" s="30"/>
      <c r="N259" s="30"/>
      <c r="O259" s="17">
        <f ca="1">V259*$O$2</f>
        <v>0</v>
      </c>
      <c r="P259" s="16">
        <f>F259+J259+N259</f>
        <v>2200</v>
      </c>
      <c r="Q259" s="15">
        <f>P259/1000</f>
        <v>2.2000000000000002</v>
      </c>
      <c r="R259" s="14">
        <f ca="1">MAX(Q259,O259)</f>
        <v>3.5320000000000001E-5</v>
      </c>
      <c r="S259" s="14">
        <f ca="1">MAX(R259,P259)</f>
        <v>3.5320000000000001E-5</v>
      </c>
      <c r="T259" s="14">
        <f ca="1">MAX(S259,Q259)</f>
        <v>3.5320000000000001E-5</v>
      </c>
      <c r="U259" s="14">
        <f ca="1">MAX(T259,R259)</f>
        <v>3.5320000000000001E-5</v>
      </c>
      <c r="V259" s="14">
        <f ca="1">MAX(U259,S259)</f>
        <v>3.5320000000000001E-5</v>
      </c>
      <c r="W259" s="14">
        <f ca="1">MAX(V259,T259)</f>
        <v>3.5320000000000001E-5</v>
      </c>
    </row>
    <row r="260" spans="1:23" ht="12.75" customHeight="1" x14ac:dyDescent="0.3">
      <c r="A260" s="35" t="s">
        <v>29</v>
      </c>
      <c r="B260" s="32" t="s">
        <v>0</v>
      </c>
      <c r="C260" s="22">
        <v>55</v>
      </c>
      <c r="D260" s="21">
        <v>17</v>
      </c>
      <c r="E260" s="21">
        <v>8</v>
      </c>
      <c r="F260" s="22">
        <v>2500</v>
      </c>
      <c r="G260" s="31"/>
      <c r="H260" s="31"/>
      <c r="I260" s="31"/>
      <c r="J260" s="31"/>
      <c r="K260" s="30"/>
      <c r="L260" s="30"/>
      <c r="M260" s="30"/>
      <c r="N260" s="30"/>
      <c r="O260" s="17">
        <f ca="1">V260*$O$2</f>
        <v>0</v>
      </c>
      <c r="P260" s="16">
        <f>F260+J260+N260</f>
        <v>2500</v>
      </c>
      <c r="Q260" s="15">
        <f>P260/1000</f>
        <v>2.5</v>
      </c>
      <c r="R260" s="14">
        <f ca="1">MAX(Q260,O260)</f>
        <v>3.5320000000000001E-5</v>
      </c>
      <c r="S260" s="14">
        <f ca="1">MAX(R260,P260)</f>
        <v>3.5320000000000001E-5</v>
      </c>
      <c r="T260" s="14">
        <f ca="1">MAX(S260,Q260)</f>
        <v>3.5320000000000001E-5</v>
      </c>
      <c r="U260" s="14">
        <f ca="1">MAX(T260,R260)</f>
        <v>3.5320000000000001E-5</v>
      </c>
      <c r="V260" s="14">
        <f ca="1">MAX(U260,S260)</f>
        <v>3.5320000000000001E-5</v>
      </c>
      <c r="W260" s="14">
        <f ca="1">MAX(V260,T260)</f>
        <v>3.5320000000000001E-5</v>
      </c>
    </row>
    <row r="261" spans="1:23" ht="12.75" customHeight="1" x14ac:dyDescent="0.3">
      <c r="A261" s="35" t="s">
        <v>28</v>
      </c>
      <c r="B261" s="32" t="s">
        <v>0</v>
      </c>
      <c r="C261" s="22">
        <v>40</v>
      </c>
      <c r="D261" s="21">
        <v>20</v>
      </c>
      <c r="E261" s="21">
        <v>5</v>
      </c>
      <c r="F261" s="22">
        <v>1700</v>
      </c>
      <c r="G261" s="31"/>
      <c r="H261" s="31"/>
      <c r="I261" s="31"/>
      <c r="J261" s="31"/>
      <c r="K261" s="30"/>
      <c r="L261" s="30"/>
      <c r="M261" s="30"/>
      <c r="N261" s="30"/>
      <c r="O261" s="17">
        <f ca="1">V261*$O$2</f>
        <v>0</v>
      </c>
      <c r="P261" s="16">
        <f>F261+J261+N261</f>
        <v>1700</v>
      </c>
      <c r="Q261" s="15">
        <f>P261/1000</f>
        <v>1.7</v>
      </c>
      <c r="R261" s="14">
        <f ca="1">MAX(Q261,O261)</f>
        <v>3.5320000000000001E-5</v>
      </c>
      <c r="S261" s="14">
        <f ca="1">MAX(R261,P261)</f>
        <v>3.5320000000000001E-5</v>
      </c>
      <c r="T261" s="14">
        <f ca="1">MAX(S261,Q261)</f>
        <v>3.5320000000000001E-5</v>
      </c>
      <c r="U261" s="14">
        <f ca="1">MAX(T261,R261)</f>
        <v>3.5320000000000001E-5</v>
      </c>
      <c r="V261" s="14">
        <f ca="1">MAX(U261,S261)</f>
        <v>3.5320000000000001E-5</v>
      </c>
      <c r="W261" s="14">
        <f ca="1">MAX(V261,T261)</f>
        <v>3.5320000000000001E-5</v>
      </c>
    </row>
    <row r="262" spans="1:23" ht="12.75" customHeight="1" x14ac:dyDescent="0.3">
      <c r="A262" s="35" t="s">
        <v>27</v>
      </c>
      <c r="B262" s="32" t="s">
        <v>0</v>
      </c>
      <c r="C262" s="22">
        <v>152</v>
      </c>
      <c r="D262" s="21">
        <v>58</v>
      </c>
      <c r="E262" s="21">
        <v>9</v>
      </c>
      <c r="F262" s="22">
        <v>25000</v>
      </c>
      <c r="G262" s="31"/>
      <c r="H262" s="31"/>
      <c r="I262" s="31"/>
      <c r="J262" s="31"/>
      <c r="K262" s="30"/>
      <c r="L262" s="30"/>
      <c r="M262" s="30"/>
      <c r="N262" s="30"/>
      <c r="O262" s="17">
        <f ca="1">V262*$O$2</f>
        <v>0</v>
      </c>
      <c r="P262" s="16">
        <f>F262+J262+N262</f>
        <v>25000</v>
      </c>
      <c r="Q262" s="15">
        <f>P262/1000</f>
        <v>25</v>
      </c>
      <c r="R262" s="14">
        <f ca="1">MAX(Q262,O262)</f>
        <v>3.5320000000000001E-5</v>
      </c>
      <c r="S262" s="14">
        <f ca="1">MAX(R262,P262)</f>
        <v>3.5320000000000001E-5</v>
      </c>
      <c r="T262" s="14">
        <f ca="1">MAX(S262,Q262)</f>
        <v>3.5320000000000001E-5</v>
      </c>
      <c r="U262" s="14">
        <f ca="1">MAX(T262,R262)</f>
        <v>3.5320000000000001E-5</v>
      </c>
      <c r="V262" s="14">
        <f ca="1">MAX(U262,S262)</f>
        <v>3.5320000000000001E-5</v>
      </c>
      <c r="W262" s="14">
        <f ca="1">MAX(V262,T262)</f>
        <v>3.5320000000000001E-5</v>
      </c>
    </row>
    <row r="263" spans="1:23" ht="12.75" customHeight="1" x14ac:dyDescent="0.3">
      <c r="A263" s="42" t="s">
        <v>26</v>
      </c>
      <c r="B263" s="32" t="s">
        <v>0</v>
      </c>
      <c r="C263" s="22">
        <v>56</v>
      </c>
      <c r="D263" s="21">
        <v>30</v>
      </c>
      <c r="E263" s="21">
        <v>11</v>
      </c>
      <c r="F263" s="22">
        <v>7100</v>
      </c>
      <c r="G263" s="31"/>
      <c r="H263" s="31"/>
      <c r="I263" s="31"/>
      <c r="J263" s="31"/>
      <c r="K263" s="30"/>
      <c r="L263" s="30"/>
      <c r="M263" s="30"/>
      <c r="N263" s="30"/>
      <c r="O263" s="17">
        <f ca="1">V263*$O$2</f>
        <v>0</v>
      </c>
      <c r="P263" s="16">
        <f>F263+J263+N263</f>
        <v>7100</v>
      </c>
      <c r="Q263" s="15">
        <f>P263/1000</f>
        <v>7.1</v>
      </c>
      <c r="R263" s="14">
        <f ca="1">MAX(Q263,O263)</f>
        <v>3.5320000000000001E-5</v>
      </c>
      <c r="S263" s="14">
        <f ca="1">MAX(R263,P263)</f>
        <v>3.5320000000000001E-5</v>
      </c>
      <c r="T263" s="14">
        <f ca="1">MAX(S263,Q263)</f>
        <v>3.5320000000000001E-5</v>
      </c>
      <c r="U263" s="14">
        <f ca="1">MAX(T263,R263)</f>
        <v>3.5320000000000001E-5</v>
      </c>
      <c r="V263" s="14">
        <f ca="1">MAX(U263,S263)</f>
        <v>3.5320000000000001E-5</v>
      </c>
      <c r="W263" s="14">
        <f ca="1">MAX(V263,T263)</f>
        <v>3.5320000000000001E-5</v>
      </c>
    </row>
    <row r="264" spans="1:23" ht="12.75" customHeight="1" x14ac:dyDescent="0.3">
      <c r="A264" s="42" t="s">
        <v>25</v>
      </c>
      <c r="B264" s="32" t="s">
        <v>0</v>
      </c>
      <c r="C264" s="22">
        <v>78</v>
      </c>
      <c r="D264" s="21">
        <v>36</v>
      </c>
      <c r="E264" s="21">
        <v>15</v>
      </c>
      <c r="F264" s="22">
        <v>16100</v>
      </c>
      <c r="G264" s="31"/>
      <c r="H264" s="31"/>
      <c r="I264" s="31"/>
      <c r="J264" s="31"/>
      <c r="K264" s="30"/>
      <c r="L264" s="30"/>
      <c r="M264" s="30"/>
      <c r="N264" s="30"/>
      <c r="O264" s="17">
        <f ca="1">V264*$O$2</f>
        <v>0</v>
      </c>
      <c r="P264" s="16">
        <f>F264+J264+N264</f>
        <v>16100</v>
      </c>
      <c r="Q264" s="15">
        <f>P264/1000</f>
        <v>16.100000000000001</v>
      </c>
      <c r="R264" s="14">
        <f ca="1">MAX(Q264,O264)</f>
        <v>3.5320000000000001E-5</v>
      </c>
      <c r="S264" s="14">
        <f ca="1">MAX(R264,P264)</f>
        <v>3.5320000000000001E-5</v>
      </c>
      <c r="T264" s="14">
        <f ca="1">MAX(S264,Q264)</f>
        <v>3.5320000000000001E-5</v>
      </c>
      <c r="U264" s="14">
        <f ca="1">MAX(T264,R264)</f>
        <v>3.5320000000000001E-5</v>
      </c>
      <c r="V264" s="14">
        <f ca="1">MAX(U264,S264)</f>
        <v>3.5320000000000001E-5</v>
      </c>
      <c r="W264" s="14">
        <f ca="1">MAX(V264,T264)</f>
        <v>3.5320000000000001E-5</v>
      </c>
    </row>
    <row r="265" spans="1:23" ht="12.75" customHeight="1" x14ac:dyDescent="0.3">
      <c r="A265" s="42" t="s">
        <v>24</v>
      </c>
      <c r="B265" s="32" t="s">
        <v>0</v>
      </c>
      <c r="C265" s="22">
        <v>86</v>
      </c>
      <c r="D265" s="21">
        <v>36</v>
      </c>
      <c r="E265" s="21">
        <v>15</v>
      </c>
      <c r="F265" s="22">
        <v>18000</v>
      </c>
      <c r="G265" s="31"/>
      <c r="H265" s="31"/>
      <c r="I265" s="31"/>
      <c r="J265" s="31"/>
      <c r="K265" s="30"/>
      <c r="L265" s="30"/>
      <c r="M265" s="30"/>
      <c r="N265" s="30"/>
      <c r="O265" s="17">
        <f ca="1">V265*$O$2</f>
        <v>0</v>
      </c>
      <c r="P265" s="16">
        <f>F265+J265+N265</f>
        <v>18000</v>
      </c>
      <c r="Q265" s="15">
        <f>P265/1000</f>
        <v>18</v>
      </c>
      <c r="R265" s="14">
        <f ca="1">MAX(Q265,O265)</f>
        <v>3.5320000000000001E-5</v>
      </c>
      <c r="S265" s="14">
        <f ca="1">MAX(R265,P265)</f>
        <v>3.5320000000000001E-5</v>
      </c>
      <c r="T265" s="14">
        <f ca="1">MAX(S265,Q265)</f>
        <v>3.5320000000000001E-5</v>
      </c>
      <c r="U265" s="14">
        <f ca="1">MAX(T265,R265)</f>
        <v>3.5320000000000001E-5</v>
      </c>
      <c r="V265" s="14">
        <f ca="1">MAX(U265,S265)</f>
        <v>3.5320000000000001E-5</v>
      </c>
      <c r="W265" s="14">
        <f ca="1">MAX(V265,T265)</f>
        <v>3.5320000000000001E-5</v>
      </c>
    </row>
    <row r="266" spans="1:23" ht="12.75" customHeight="1" x14ac:dyDescent="0.3">
      <c r="A266" s="42" t="s">
        <v>23</v>
      </c>
      <c r="B266" s="32" t="s">
        <v>0</v>
      </c>
      <c r="C266" s="22">
        <v>136</v>
      </c>
      <c r="D266" s="21">
        <v>44</v>
      </c>
      <c r="E266" s="21">
        <v>14</v>
      </c>
      <c r="F266" s="22">
        <v>40000</v>
      </c>
      <c r="G266" s="31"/>
      <c r="H266" s="31"/>
      <c r="I266" s="31"/>
      <c r="J266" s="31"/>
      <c r="K266" s="30"/>
      <c r="L266" s="30"/>
      <c r="M266" s="30"/>
      <c r="N266" s="30"/>
      <c r="O266" s="17">
        <f ca="1">V266*$O$2</f>
        <v>0</v>
      </c>
      <c r="P266" s="16">
        <f>F266+J266+N266</f>
        <v>40000</v>
      </c>
      <c r="Q266" s="15">
        <f>P266/1000</f>
        <v>40</v>
      </c>
      <c r="R266" s="14">
        <f ca="1">MAX(Q266,O266)</f>
        <v>3.5320000000000001E-5</v>
      </c>
      <c r="S266" s="14">
        <f ca="1">MAX(R266,P266)</f>
        <v>3.5320000000000001E-5</v>
      </c>
      <c r="T266" s="14">
        <f ca="1">MAX(S266,Q266)</f>
        <v>3.5320000000000001E-5</v>
      </c>
      <c r="U266" s="14">
        <f ca="1">MAX(T266,R266)</f>
        <v>3.5320000000000001E-5</v>
      </c>
      <c r="V266" s="14">
        <f ca="1">MAX(U266,S266)</f>
        <v>3.5320000000000001E-5</v>
      </c>
      <c r="W266" s="14">
        <f ca="1">MAX(V266,T266)</f>
        <v>3.5320000000000001E-5</v>
      </c>
    </row>
    <row r="267" spans="1:23" ht="12.75" customHeight="1" x14ac:dyDescent="0.3">
      <c r="A267" s="42" t="s">
        <v>22</v>
      </c>
      <c r="B267" s="32" t="s">
        <v>0</v>
      </c>
      <c r="C267" s="22">
        <v>187</v>
      </c>
      <c r="D267" s="21">
        <v>43</v>
      </c>
      <c r="E267" s="21">
        <v>14</v>
      </c>
      <c r="F267" s="22">
        <v>59900</v>
      </c>
      <c r="G267" s="31"/>
      <c r="H267" s="31"/>
      <c r="I267" s="31"/>
      <c r="J267" s="31"/>
      <c r="K267" s="30"/>
      <c r="L267" s="30"/>
      <c r="M267" s="30"/>
      <c r="N267" s="30"/>
      <c r="O267" s="17">
        <f ca="1">V267*$O$2</f>
        <v>0</v>
      </c>
      <c r="P267" s="16">
        <f>F267+J267+N267</f>
        <v>59900</v>
      </c>
      <c r="Q267" s="15">
        <f>P267/1000</f>
        <v>59.9</v>
      </c>
      <c r="R267" s="14">
        <f ca="1">MAX(Q267,O267)</f>
        <v>3.5320000000000001E-5</v>
      </c>
      <c r="S267" s="14">
        <f ca="1">MAX(R267,P267)</f>
        <v>3.5320000000000001E-5</v>
      </c>
      <c r="T267" s="14">
        <f ca="1">MAX(S267,Q267)</f>
        <v>3.5320000000000001E-5</v>
      </c>
      <c r="U267" s="14">
        <f ca="1">MAX(T267,R267)</f>
        <v>3.5320000000000001E-5</v>
      </c>
      <c r="V267" s="14">
        <f ca="1">MAX(U267,S267)</f>
        <v>3.5320000000000001E-5</v>
      </c>
      <c r="W267" s="14">
        <f ca="1">MAX(V267,T267)</f>
        <v>3.5320000000000001E-5</v>
      </c>
    </row>
    <row r="268" spans="1:23" ht="12.75" customHeight="1" x14ac:dyDescent="0.3">
      <c r="A268" s="42" t="s">
        <v>21</v>
      </c>
      <c r="B268" s="32" t="s">
        <v>0</v>
      </c>
      <c r="C268" s="22">
        <v>1</v>
      </c>
      <c r="D268" s="21">
        <v>1</v>
      </c>
      <c r="E268" s="21">
        <v>1</v>
      </c>
      <c r="F268" s="22">
        <v>45600</v>
      </c>
      <c r="G268" s="31"/>
      <c r="H268" s="31"/>
      <c r="I268" s="31"/>
      <c r="J268" s="31"/>
      <c r="K268" s="30"/>
      <c r="L268" s="30"/>
      <c r="M268" s="30"/>
      <c r="N268" s="30"/>
      <c r="O268" s="17">
        <f ca="1">V268*$O$2</f>
        <v>0</v>
      </c>
      <c r="P268" s="16">
        <f>F268+J268+N268</f>
        <v>45600</v>
      </c>
      <c r="Q268" s="15">
        <f>P268/1000</f>
        <v>45.6</v>
      </c>
      <c r="R268" s="14">
        <f ca="1">MAX(Q268,O268)</f>
        <v>3.5320000000000001E-5</v>
      </c>
      <c r="S268" s="14">
        <f ca="1">MAX(R268,P268)</f>
        <v>3.5320000000000001E-5</v>
      </c>
      <c r="T268" s="14">
        <f ca="1">MAX(S268,Q268)</f>
        <v>3.5320000000000001E-5</v>
      </c>
      <c r="U268" s="14">
        <f ca="1">MAX(T268,R268)</f>
        <v>3.5320000000000001E-5</v>
      </c>
      <c r="V268" s="14">
        <f ca="1">MAX(U268,S268)</f>
        <v>3.5320000000000001E-5</v>
      </c>
      <c r="W268" s="14">
        <f ca="1">MAX(V268,T268)</f>
        <v>3.5320000000000001E-5</v>
      </c>
    </row>
    <row r="269" spans="1:23" ht="12.75" customHeight="1" x14ac:dyDescent="0.3">
      <c r="A269" s="42" t="s">
        <v>20</v>
      </c>
      <c r="B269" s="32" t="s">
        <v>0</v>
      </c>
      <c r="C269" s="22">
        <v>154</v>
      </c>
      <c r="D269" s="21">
        <v>49</v>
      </c>
      <c r="E269" s="21">
        <v>13</v>
      </c>
      <c r="F269" s="22">
        <v>39000</v>
      </c>
      <c r="G269" s="31"/>
      <c r="H269" s="31"/>
      <c r="I269" s="31"/>
      <c r="J269" s="31"/>
      <c r="K269" s="30"/>
      <c r="L269" s="30"/>
      <c r="M269" s="30"/>
      <c r="N269" s="30"/>
      <c r="O269" s="17">
        <f ca="1">V269*$O$2</f>
        <v>0</v>
      </c>
      <c r="P269" s="16">
        <f>F269+J269+N269</f>
        <v>39000</v>
      </c>
      <c r="Q269" s="15">
        <f>P269/1000</f>
        <v>39</v>
      </c>
      <c r="R269" s="14">
        <f ca="1">MAX(Q269,O269)</f>
        <v>3.5320000000000001E-5</v>
      </c>
      <c r="S269" s="14">
        <f ca="1">MAX(R269,P269)</f>
        <v>3.5320000000000001E-5</v>
      </c>
      <c r="T269" s="14">
        <f ca="1">MAX(S269,Q269)</f>
        <v>3.5320000000000001E-5</v>
      </c>
      <c r="U269" s="14">
        <f ca="1">MAX(T269,R269)</f>
        <v>3.5320000000000001E-5</v>
      </c>
      <c r="V269" s="14">
        <f ca="1">MAX(U269,S269)</f>
        <v>3.5320000000000001E-5</v>
      </c>
      <c r="W269" s="14">
        <f ca="1">MAX(V269,T269)</f>
        <v>3.5320000000000001E-5</v>
      </c>
    </row>
    <row r="270" spans="1:23" ht="12.75" customHeight="1" x14ac:dyDescent="0.3">
      <c r="A270" s="42" t="s">
        <v>19</v>
      </c>
      <c r="B270" s="32" t="s">
        <v>0</v>
      </c>
      <c r="C270" s="22">
        <v>106</v>
      </c>
      <c r="D270" s="21">
        <v>44</v>
      </c>
      <c r="E270" s="21">
        <v>10</v>
      </c>
      <c r="F270" s="22">
        <v>19000</v>
      </c>
      <c r="G270" s="31">
        <v>145</v>
      </c>
      <c r="H270" s="31">
        <v>44</v>
      </c>
      <c r="I270" s="31">
        <v>9</v>
      </c>
      <c r="J270" s="31">
        <v>25800</v>
      </c>
      <c r="K270" s="30">
        <v>169</v>
      </c>
      <c r="L270" s="30">
        <v>36</v>
      </c>
      <c r="M270" s="30">
        <v>9</v>
      </c>
      <c r="N270" s="30">
        <v>28000</v>
      </c>
      <c r="O270" s="17">
        <f ca="1">V270*$O$2</f>
        <v>0</v>
      </c>
      <c r="P270" s="16">
        <f>F270+J270+N270</f>
        <v>72800</v>
      </c>
      <c r="Q270" s="15">
        <f>P270/1000</f>
        <v>72.8</v>
      </c>
      <c r="R270" s="14">
        <f ca="1">MAX(Q270,O270)</f>
        <v>3.5320000000000001E-5</v>
      </c>
      <c r="S270" s="14">
        <f ca="1">MAX(R270,P270)</f>
        <v>3.5320000000000001E-5</v>
      </c>
      <c r="T270" s="14">
        <f ca="1">MAX(S270,Q270)</f>
        <v>3.5320000000000001E-5</v>
      </c>
      <c r="U270" s="14">
        <f ca="1">MAX(T270,R270)</f>
        <v>3.5320000000000001E-5</v>
      </c>
      <c r="V270" s="14">
        <f ca="1">MAX(U270,S270)</f>
        <v>3.5320000000000001E-5</v>
      </c>
      <c r="W270" s="14">
        <f ca="1">MAX(V270,T270)</f>
        <v>3.5320000000000001E-5</v>
      </c>
    </row>
    <row r="271" spans="1:23" ht="12.75" customHeight="1" x14ac:dyDescent="0.3">
      <c r="A271" s="42" t="s">
        <v>18</v>
      </c>
      <c r="B271" s="32" t="s">
        <v>0</v>
      </c>
      <c r="C271" s="22">
        <v>106</v>
      </c>
      <c r="D271" s="21">
        <v>44</v>
      </c>
      <c r="E271" s="21">
        <v>10</v>
      </c>
      <c r="F271" s="22">
        <v>19000</v>
      </c>
      <c r="G271" s="31"/>
      <c r="H271" s="31"/>
      <c r="I271" s="31"/>
      <c r="J271" s="31"/>
      <c r="K271" s="30"/>
      <c r="L271" s="30"/>
      <c r="M271" s="30"/>
      <c r="N271" s="30"/>
      <c r="O271" s="17">
        <f ca="1">V271*$O$2</f>
        <v>0</v>
      </c>
      <c r="P271" s="16">
        <f>F271+J271+N271</f>
        <v>19000</v>
      </c>
      <c r="Q271" s="15">
        <f>P271/1000</f>
        <v>19</v>
      </c>
      <c r="R271" s="14">
        <f ca="1">MAX(Q271,O271)</f>
        <v>3.5320000000000001E-5</v>
      </c>
      <c r="S271" s="14">
        <f ca="1">MAX(R271,P271)</f>
        <v>3.5320000000000001E-5</v>
      </c>
      <c r="T271" s="14">
        <f ca="1">MAX(S271,Q271)</f>
        <v>3.5320000000000001E-5</v>
      </c>
      <c r="U271" s="14">
        <f ca="1">MAX(T271,R271)</f>
        <v>3.5320000000000001E-5</v>
      </c>
      <c r="V271" s="14">
        <f ca="1">MAX(U271,S271)</f>
        <v>3.5320000000000001E-5</v>
      </c>
      <c r="W271" s="14">
        <f ca="1">MAX(V271,T271)</f>
        <v>3.5320000000000001E-5</v>
      </c>
    </row>
    <row r="272" spans="1:23" ht="12.75" customHeight="1" x14ac:dyDescent="0.3">
      <c r="A272" s="42" t="s">
        <v>17</v>
      </c>
      <c r="B272" s="32" t="s">
        <v>0</v>
      </c>
      <c r="C272" s="22">
        <v>145</v>
      </c>
      <c r="D272" s="21">
        <v>44</v>
      </c>
      <c r="E272" s="21">
        <v>9</v>
      </c>
      <c r="F272" s="22">
        <v>25800</v>
      </c>
      <c r="G272" s="31"/>
      <c r="H272" s="31"/>
      <c r="I272" s="31"/>
      <c r="J272" s="31"/>
      <c r="K272" s="30"/>
      <c r="L272" s="30"/>
      <c r="M272" s="30"/>
      <c r="N272" s="30"/>
      <c r="O272" s="17">
        <f ca="1">V272*$O$2</f>
        <v>0</v>
      </c>
      <c r="P272" s="16">
        <f>F272+J272+N272</f>
        <v>25800</v>
      </c>
      <c r="Q272" s="15">
        <f>P272/1000</f>
        <v>25.8</v>
      </c>
      <c r="R272" s="14">
        <f ca="1">MAX(Q272,O272)</f>
        <v>3.5320000000000001E-5</v>
      </c>
      <c r="S272" s="14">
        <f ca="1">MAX(R272,P272)</f>
        <v>3.5320000000000001E-5</v>
      </c>
      <c r="T272" s="14">
        <f ca="1">MAX(S272,Q272)</f>
        <v>3.5320000000000001E-5</v>
      </c>
      <c r="U272" s="14">
        <f ca="1">MAX(T272,R272)</f>
        <v>3.5320000000000001E-5</v>
      </c>
      <c r="V272" s="14">
        <f ca="1">MAX(U272,S272)</f>
        <v>3.5320000000000001E-5</v>
      </c>
      <c r="W272" s="14">
        <f ca="1">MAX(V272,T272)</f>
        <v>3.5320000000000001E-5</v>
      </c>
    </row>
    <row r="273" spans="1:25" ht="12.75" customHeight="1" x14ac:dyDescent="0.3">
      <c r="A273" s="42" t="s">
        <v>16</v>
      </c>
      <c r="B273" s="32" t="s">
        <v>0</v>
      </c>
      <c r="C273" s="22">
        <v>169</v>
      </c>
      <c r="D273" s="21">
        <v>36</v>
      </c>
      <c r="E273" s="21">
        <v>9</v>
      </c>
      <c r="F273" s="22">
        <v>28000</v>
      </c>
      <c r="G273" s="31"/>
      <c r="H273" s="31"/>
      <c r="I273" s="31"/>
      <c r="J273" s="31"/>
      <c r="K273" s="30"/>
      <c r="L273" s="30"/>
      <c r="M273" s="30"/>
      <c r="N273" s="30"/>
      <c r="O273" s="17">
        <f ca="1">V273*$O$2</f>
        <v>0</v>
      </c>
      <c r="P273" s="16">
        <f>F273+J273+N273</f>
        <v>28000</v>
      </c>
      <c r="Q273" s="15">
        <f>P273/1000</f>
        <v>28</v>
      </c>
      <c r="R273" s="14">
        <f ca="1">MAX(Q273,O273)</f>
        <v>3.5320000000000001E-5</v>
      </c>
      <c r="S273" s="14">
        <f ca="1">MAX(R273,P273)</f>
        <v>3.5320000000000001E-5</v>
      </c>
      <c r="T273" s="14">
        <f ca="1">MAX(S273,Q273)</f>
        <v>3.5320000000000001E-5</v>
      </c>
      <c r="U273" s="14">
        <f ca="1">MAX(T273,R273)</f>
        <v>3.5320000000000001E-5</v>
      </c>
      <c r="V273" s="14">
        <f ca="1">MAX(U273,S273)</f>
        <v>3.5320000000000001E-5</v>
      </c>
      <c r="W273" s="14">
        <f ca="1">MAX(V273,T273)</f>
        <v>3.5320000000000001E-5</v>
      </c>
    </row>
    <row r="274" spans="1:25" ht="12.75" customHeight="1" x14ac:dyDescent="0.3">
      <c r="A274" s="42" t="s">
        <v>15</v>
      </c>
      <c r="B274" s="32" t="s">
        <v>0</v>
      </c>
      <c r="C274" s="22">
        <v>185</v>
      </c>
      <c r="D274" s="21">
        <v>46</v>
      </c>
      <c r="E274" s="21">
        <v>12</v>
      </c>
      <c r="F274" s="22">
        <v>50000</v>
      </c>
      <c r="G274" s="31"/>
      <c r="H274" s="31"/>
      <c r="I274" s="31"/>
      <c r="J274" s="31"/>
      <c r="K274" s="30"/>
      <c r="L274" s="30"/>
      <c r="M274" s="30"/>
      <c r="N274" s="30"/>
      <c r="O274" s="17">
        <f ca="1">V274*$O$2</f>
        <v>0</v>
      </c>
      <c r="P274" s="16">
        <f>F274+J274+N274</f>
        <v>50000</v>
      </c>
      <c r="Q274" s="15">
        <f>P274/1000</f>
        <v>50</v>
      </c>
      <c r="R274" s="14">
        <f ca="1">MAX(Q274,O274)</f>
        <v>3.5320000000000001E-5</v>
      </c>
      <c r="S274" s="14">
        <f ca="1">MAX(R274,P274)</f>
        <v>3.5320000000000001E-5</v>
      </c>
      <c r="T274" s="14">
        <f ca="1">MAX(S274,Q274)</f>
        <v>3.5320000000000001E-5</v>
      </c>
      <c r="U274" s="14">
        <f ca="1">MAX(T274,R274)</f>
        <v>3.5320000000000001E-5</v>
      </c>
      <c r="V274" s="14">
        <f ca="1">MAX(U274,S274)</f>
        <v>3.5320000000000001E-5</v>
      </c>
      <c r="W274" s="14">
        <f ca="1">MAX(V274,T274)</f>
        <v>3.5320000000000001E-5</v>
      </c>
    </row>
    <row r="275" spans="1:25" ht="12.75" customHeight="1" x14ac:dyDescent="0.3">
      <c r="A275" s="41" t="s">
        <v>14</v>
      </c>
      <c r="B275" s="32" t="s">
        <v>0</v>
      </c>
      <c r="C275" s="22">
        <v>1</v>
      </c>
      <c r="D275" s="21">
        <v>1</v>
      </c>
      <c r="E275" s="21">
        <v>1</v>
      </c>
      <c r="F275" s="40">
        <v>40000</v>
      </c>
      <c r="G275" s="31"/>
      <c r="H275" s="31"/>
      <c r="I275" s="31"/>
      <c r="J275" s="31"/>
      <c r="K275" s="30"/>
      <c r="L275" s="30"/>
      <c r="M275" s="30"/>
      <c r="N275" s="30"/>
      <c r="O275" s="17">
        <f ca="1">V275*$O$2</f>
        <v>0</v>
      </c>
      <c r="P275" s="16">
        <f>F275+J275+N275</f>
        <v>40000</v>
      </c>
      <c r="Q275" s="15">
        <f>P275/1000</f>
        <v>40</v>
      </c>
      <c r="R275" s="14">
        <f ca="1">MAX(Q275,O275)</f>
        <v>3.5320000000000001E-5</v>
      </c>
      <c r="S275" s="14">
        <f ca="1">MAX(R275,P275)</f>
        <v>3.5320000000000001E-5</v>
      </c>
      <c r="T275" s="14">
        <f ca="1">MAX(S275,Q275)</f>
        <v>3.5320000000000001E-5</v>
      </c>
      <c r="U275" s="14">
        <f ca="1">MAX(T275,R275)</f>
        <v>3.5320000000000001E-5</v>
      </c>
      <c r="V275" s="14">
        <f ca="1">MAX(U275,S275)</f>
        <v>3.5320000000000001E-5</v>
      </c>
      <c r="W275" s="14">
        <f ca="1">MAX(V275,T275)</f>
        <v>3.5320000000000001E-5</v>
      </c>
    </row>
    <row r="276" spans="1:25" ht="12.75" customHeight="1" x14ac:dyDescent="0.3">
      <c r="A276" s="39" t="s">
        <v>13</v>
      </c>
      <c r="B276" s="32" t="s">
        <v>0</v>
      </c>
      <c r="C276" s="22">
        <v>85</v>
      </c>
      <c r="D276" s="21">
        <v>50</v>
      </c>
      <c r="E276" s="21">
        <v>23</v>
      </c>
      <c r="F276" s="37">
        <v>28200</v>
      </c>
      <c r="G276" s="31"/>
      <c r="H276" s="31"/>
      <c r="I276" s="31"/>
      <c r="J276" s="31"/>
      <c r="K276" s="30"/>
      <c r="L276" s="30"/>
      <c r="M276" s="30"/>
      <c r="N276" s="30"/>
      <c r="O276" s="17">
        <f ca="1">V276*$O$2</f>
        <v>0</v>
      </c>
      <c r="P276" s="16">
        <f>F276+J276+N276</f>
        <v>28200</v>
      </c>
      <c r="Q276" s="15">
        <f>P276/1000</f>
        <v>28.2</v>
      </c>
      <c r="R276" s="14">
        <f ca="1">MAX(Q276,O276)</f>
        <v>3.5320000000000001E-5</v>
      </c>
      <c r="S276" s="14">
        <f ca="1">MAX(R276,P276)</f>
        <v>3.5320000000000001E-5</v>
      </c>
      <c r="T276" s="14">
        <f ca="1">MAX(S276,Q276)</f>
        <v>3.5320000000000001E-5</v>
      </c>
      <c r="U276" s="14">
        <f ca="1">MAX(T276,R276)</f>
        <v>3.5320000000000001E-5</v>
      </c>
      <c r="V276" s="14">
        <f ca="1">MAX(U276,S276)</f>
        <v>3.5320000000000001E-5</v>
      </c>
      <c r="W276" s="14">
        <f ca="1">MAX(V276,T276)</f>
        <v>3.5320000000000001E-5</v>
      </c>
    </row>
    <row r="277" spans="1:25" ht="12.75" customHeight="1" x14ac:dyDescent="0.3">
      <c r="A277" s="39" t="s">
        <v>12</v>
      </c>
      <c r="B277" s="32" t="s">
        <v>0</v>
      </c>
      <c r="C277" s="22">
        <v>85</v>
      </c>
      <c r="D277" s="21">
        <v>37</v>
      </c>
      <c r="E277" s="21">
        <v>15</v>
      </c>
      <c r="F277" s="37">
        <v>16000</v>
      </c>
      <c r="G277" s="31"/>
      <c r="H277" s="31"/>
      <c r="I277" s="31"/>
      <c r="J277" s="31"/>
      <c r="K277" s="30"/>
      <c r="L277" s="30"/>
      <c r="M277" s="30"/>
      <c r="N277" s="30"/>
      <c r="O277" s="17">
        <f ca="1">V277*$O$2</f>
        <v>0</v>
      </c>
      <c r="P277" s="16">
        <f>F277+J277+N277</f>
        <v>16000</v>
      </c>
      <c r="Q277" s="15">
        <f>P277/1000</f>
        <v>16</v>
      </c>
      <c r="R277" s="14">
        <f ca="1">MAX(Q277,O277)</f>
        <v>3.5320000000000001E-5</v>
      </c>
      <c r="S277" s="14">
        <f ca="1">MAX(R277,P277)</f>
        <v>3.5320000000000001E-5</v>
      </c>
      <c r="T277" s="14">
        <f ca="1">MAX(S277,Q277)</f>
        <v>3.5320000000000001E-5</v>
      </c>
      <c r="U277" s="14">
        <f ca="1">MAX(T277,R277)</f>
        <v>3.5320000000000001E-5</v>
      </c>
      <c r="V277" s="14">
        <f ca="1">MAX(U277,S277)</f>
        <v>3.5320000000000001E-5</v>
      </c>
      <c r="W277" s="14">
        <f ca="1">MAX(V277,T277)</f>
        <v>3.5320000000000001E-5</v>
      </c>
    </row>
    <row r="278" spans="1:25" ht="12.75" customHeight="1" x14ac:dyDescent="0.3">
      <c r="A278" s="41" t="s">
        <v>11</v>
      </c>
      <c r="B278" s="32" t="s">
        <v>0</v>
      </c>
      <c r="C278" s="22">
        <v>120</v>
      </c>
      <c r="D278" s="21">
        <v>50</v>
      </c>
      <c r="E278" s="21">
        <v>18</v>
      </c>
      <c r="F278" s="40">
        <v>47000</v>
      </c>
      <c r="G278" s="31"/>
      <c r="H278" s="31"/>
      <c r="I278" s="31"/>
      <c r="J278" s="31"/>
      <c r="K278" s="30"/>
      <c r="L278" s="30"/>
      <c r="M278" s="30"/>
      <c r="N278" s="30"/>
      <c r="O278" s="17">
        <f ca="1">V278*$O$2</f>
        <v>0</v>
      </c>
      <c r="P278" s="16">
        <f>F278+J278+N278</f>
        <v>47000</v>
      </c>
      <c r="Q278" s="15">
        <f>P278/1000</f>
        <v>47</v>
      </c>
      <c r="R278" s="14">
        <f ca="1">MAX(Q278,O278)</f>
        <v>3.5320000000000001E-5</v>
      </c>
      <c r="S278" s="14">
        <f ca="1">MAX(R278,P278)</f>
        <v>3.5320000000000001E-5</v>
      </c>
      <c r="T278" s="14">
        <f ca="1">MAX(S278,Q278)</f>
        <v>3.5320000000000001E-5</v>
      </c>
      <c r="U278" s="14">
        <f ca="1">MAX(T278,R278)</f>
        <v>3.5320000000000001E-5</v>
      </c>
      <c r="V278" s="14">
        <f ca="1">MAX(U278,S278)</f>
        <v>3.5320000000000001E-5</v>
      </c>
      <c r="W278" s="14">
        <f ca="1">MAX(V278,T278)</f>
        <v>3.5320000000000001E-5</v>
      </c>
    </row>
    <row r="279" spans="1:25" ht="12.75" customHeight="1" x14ac:dyDescent="0.3">
      <c r="A279" s="39" t="s">
        <v>10</v>
      </c>
      <c r="B279" s="32" t="s">
        <v>0</v>
      </c>
      <c r="C279" s="22">
        <v>158</v>
      </c>
      <c r="D279" s="21">
        <v>38</v>
      </c>
      <c r="E279" s="21">
        <v>9</v>
      </c>
      <c r="F279" s="37">
        <v>22900</v>
      </c>
      <c r="G279" s="31"/>
      <c r="H279" s="31"/>
      <c r="I279" s="31"/>
      <c r="J279" s="31"/>
      <c r="K279" s="30"/>
      <c r="L279" s="30"/>
      <c r="M279" s="30"/>
      <c r="N279" s="30"/>
      <c r="O279" s="17">
        <f ca="1">V279*$O$2</f>
        <v>0</v>
      </c>
      <c r="P279" s="16">
        <f>F279+J279+N279</f>
        <v>22900</v>
      </c>
      <c r="Q279" s="15">
        <f>P279/1000</f>
        <v>22.9</v>
      </c>
      <c r="R279" s="14">
        <f ca="1">MAX(Q279,O279)</f>
        <v>3.5320000000000001E-5</v>
      </c>
      <c r="S279" s="14">
        <f ca="1">MAX(R279,P279)</f>
        <v>3.5320000000000001E-5</v>
      </c>
      <c r="T279" s="14">
        <f ca="1">MAX(S279,Q279)</f>
        <v>3.5320000000000001E-5</v>
      </c>
      <c r="U279" s="14">
        <f ca="1">MAX(T279,R279)</f>
        <v>3.5320000000000001E-5</v>
      </c>
      <c r="V279" s="14">
        <f ca="1">MAX(U279,S279)</f>
        <v>3.5320000000000001E-5</v>
      </c>
      <c r="W279" s="14">
        <f ca="1">MAX(V279,T279)</f>
        <v>3.5320000000000001E-5</v>
      </c>
    </row>
    <row r="280" spans="1:25" ht="12.75" customHeight="1" x14ac:dyDescent="0.3">
      <c r="A280" s="38" t="s">
        <v>9</v>
      </c>
      <c r="B280" s="32" t="s">
        <v>0</v>
      </c>
      <c r="C280" s="22">
        <v>90</v>
      </c>
      <c r="D280" s="21">
        <v>36</v>
      </c>
      <c r="E280" s="21">
        <v>14</v>
      </c>
      <c r="F280" s="37">
        <v>18000</v>
      </c>
      <c r="G280" s="31"/>
      <c r="H280" s="31"/>
      <c r="I280" s="31"/>
      <c r="J280" s="31"/>
      <c r="K280" s="30"/>
      <c r="L280" s="30"/>
      <c r="M280" s="30"/>
      <c r="N280" s="30"/>
      <c r="O280" s="17">
        <f ca="1">V280*$O$2</f>
        <v>0</v>
      </c>
      <c r="P280" s="16">
        <f>F280+J280+N280</f>
        <v>18000</v>
      </c>
      <c r="Q280" s="15">
        <f>P280/1000</f>
        <v>18</v>
      </c>
      <c r="R280" s="14">
        <f ca="1">MAX(Q280,O280)</f>
        <v>3.5320000000000001E-5</v>
      </c>
      <c r="S280" s="14">
        <f ca="1">MAX(R280,P280)</f>
        <v>3.5320000000000001E-5</v>
      </c>
      <c r="T280" s="14">
        <f ca="1">MAX(S280,Q280)</f>
        <v>3.5320000000000001E-5</v>
      </c>
      <c r="U280" s="14">
        <f ca="1">MAX(T280,R280)</f>
        <v>3.5320000000000001E-5</v>
      </c>
      <c r="V280" s="14">
        <f ca="1">MAX(U280,S280)</f>
        <v>3.5320000000000001E-5</v>
      </c>
      <c r="W280" s="14">
        <f ca="1">MAX(V280,T280)</f>
        <v>3.5320000000000001E-5</v>
      </c>
    </row>
    <row r="281" spans="1:25" ht="12.75" customHeight="1" x14ac:dyDescent="0.3">
      <c r="A281" s="34" t="s">
        <v>8</v>
      </c>
      <c r="B281" s="32" t="s">
        <v>0</v>
      </c>
      <c r="C281" s="22">
        <v>1</v>
      </c>
      <c r="D281" s="21">
        <v>1</v>
      </c>
      <c r="E281" s="21">
        <v>1</v>
      </c>
      <c r="F281" s="37">
        <v>56000</v>
      </c>
      <c r="G281" s="31"/>
      <c r="H281" s="31"/>
      <c r="I281" s="31"/>
      <c r="J281" s="31"/>
      <c r="K281" s="30"/>
      <c r="L281" s="30"/>
      <c r="M281" s="30"/>
      <c r="N281" s="30"/>
      <c r="O281" s="17">
        <f ca="1">V281*$O$2</f>
        <v>0</v>
      </c>
      <c r="P281" s="16">
        <f>F281+J281+N281</f>
        <v>56000</v>
      </c>
      <c r="Q281" s="15">
        <f>P281/1000</f>
        <v>56</v>
      </c>
      <c r="R281" s="14">
        <f ca="1">MAX(Q281,O281)</f>
        <v>3.5320000000000001E-5</v>
      </c>
      <c r="S281" s="14">
        <f ca="1">MAX(R281,P281)</f>
        <v>3.5320000000000001E-5</v>
      </c>
      <c r="T281" s="14">
        <f ca="1">MAX(S281,Q281)</f>
        <v>3.5320000000000001E-5</v>
      </c>
      <c r="U281" s="14">
        <f ca="1">MAX(T281,R281)</f>
        <v>3.5320000000000001E-5</v>
      </c>
      <c r="V281" s="14">
        <f ca="1">MAX(U281,S281)</f>
        <v>3.5320000000000001E-5</v>
      </c>
      <c r="W281" s="14">
        <f ca="1">MAX(V281,T281)</f>
        <v>3.5320000000000001E-5</v>
      </c>
    </row>
    <row r="282" spans="1:25" ht="12.75" customHeight="1" x14ac:dyDescent="0.3">
      <c r="A282" s="36" t="s">
        <v>7</v>
      </c>
      <c r="B282" s="32" t="s">
        <v>0</v>
      </c>
      <c r="C282" s="22">
        <v>1</v>
      </c>
      <c r="D282" s="21">
        <v>1</v>
      </c>
      <c r="E282" s="21">
        <v>1</v>
      </c>
      <c r="F282" s="20">
        <v>5500</v>
      </c>
      <c r="G282" s="31"/>
      <c r="H282" s="31"/>
      <c r="I282" s="31"/>
      <c r="J282" s="31"/>
      <c r="K282" s="30"/>
      <c r="L282" s="30"/>
      <c r="M282" s="30"/>
      <c r="N282" s="30"/>
      <c r="O282" s="17">
        <f ca="1">V282*$O$2</f>
        <v>0</v>
      </c>
      <c r="P282" s="16">
        <f>F282+J282+N282</f>
        <v>5500</v>
      </c>
      <c r="Q282" s="15">
        <f>P282/1000</f>
        <v>5.5</v>
      </c>
      <c r="R282" s="14">
        <f ca="1">MAX(Q282,O282)</f>
        <v>3.5320000000000001E-5</v>
      </c>
      <c r="S282" s="14">
        <f ca="1">MAX(R282,P282)</f>
        <v>3.5320000000000001E-5</v>
      </c>
      <c r="T282" s="14">
        <f ca="1">MAX(S282,Q282)</f>
        <v>3.5320000000000001E-5</v>
      </c>
      <c r="U282" s="14">
        <f ca="1">MAX(T282,R282)</f>
        <v>3.5320000000000001E-5</v>
      </c>
      <c r="V282" s="14">
        <f ca="1">MAX(U282,S282)</f>
        <v>3.5320000000000001E-5</v>
      </c>
      <c r="W282" s="14">
        <f ca="1">MAX(V282,T282)</f>
        <v>3.5320000000000001E-5</v>
      </c>
      <c r="X282" s="26"/>
      <c r="Y282" s="25"/>
    </row>
    <row r="283" spans="1:25" ht="12.75" customHeight="1" x14ac:dyDescent="0.3">
      <c r="A283" s="35" t="s">
        <v>6</v>
      </c>
      <c r="B283" s="32" t="s">
        <v>0</v>
      </c>
      <c r="C283" s="22">
        <v>1</v>
      </c>
      <c r="D283" s="21">
        <v>1</v>
      </c>
      <c r="E283" s="21">
        <v>1</v>
      </c>
      <c r="F283" s="20">
        <v>23000</v>
      </c>
      <c r="G283" s="31"/>
      <c r="H283" s="31"/>
      <c r="I283" s="31"/>
      <c r="J283" s="31"/>
      <c r="K283" s="30"/>
      <c r="L283" s="30"/>
      <c r="M283" s="30"/>
      <c r="N283" s="30"/>
      <c r="O283" s="17">
        <f ca="1">V283*$O$2</f>
        <v>0</v>
      </c>
      <c r="P283" s="16">
        <f>F283+J283+N283</f>
        <v>23000</v>
      </c>
      <c r="Q283" s="15">
        <f>P283/1000</f>
        <v>23</v>
      </c>
      <c r="R283" s="14">
        <f ca="1">MAX(Q283,O283)</f>
        <v>3.5320000000000001E-5</v>
      </c>
      <c r="S283" s="14">
        <f ca="1">MAX(R283,P283)</f>
        <v>3.5320000000000001E-5</v>
      </c>
      <c r="T283" s="14">
        <f ca="1">MAX(S283,Q283)</f>
        <v>3.5320000000000001E-5</v>
      </c>
      <c r="U283" s="14">
        <f ca="1">MAX(T283,R283)</f>
        <v>3.5320000000000001E-5</v>
      </c>
      <c r="V283" s="14">
        <f ca="1">MAX(U283,S283)</f>
        <v>3.5320000000000001E-5</v>
      </c>
      <c r="W283" s="14">
        <f ca="1">MAX(V283,T283)</f>
        <v>3.5320000000000001E-5</v>
      </c>
    </row>
    <row r="284" spans="1:25" ht="12.75" customHeight="1" x14ac:dyDescent="0.3">
      <c r="A284" s="34" t="s">
        <v>5</v>
      </c>
      <c r="B284" s="32" t="s">
        <v>0</v>
      </c>
      <c r="C284" s="22">
        <v>1</v>
      </c>
      <c r="D284" s="21">
        <v>1</v>
      </c>
      <c r="E284" s="21">
        <v>1</v>
      </c>
      <c r="F284" s="20">
        <v>30000</v>
      </c>
      <c r="G284" s="31"/>
      <c r="H284" s="31"/>
      <c r="I284" s="31"/>
      <c r="J284" s="31"/>
      <c r="K284" s="30"/>
      <c r="L284" s="30"/>
      <c r="M284" s="30"/>
      <c r="N284" s="30"/>
      <c r="O284" s="17">
        <f ca="1">V284*$O$2</f>
        <v>0</v>
      </c>
      <c r="P284" s="16">
        <f>F284+J284+N284</f>
        <v>30000</v>
      </c>
      <c r="Q284" s="15">
        <f>P284/1000</f>
        <v>30</v>
      </c>
      <c r="R284" s="14">
        <f ca="1">MAX(Q284,O284)</f>
        <v>3.5320000000000001E-5</v>
      </c>
      <c r="S284" s="14">
        <f ca="1">MAX(R284,P284)</f>
        <v>3.5320000000000001E-5</v>
      </c>
      <c r="T284" s="14">
        <f ca="1">MAX(S284,Q284)</f>
        <v>3.5320000000000001E-5</v>
      </c>
      <c r="U284" s="14">
        <f ca="1">MAX(T284,R284)</f>
        <v>3.5320000000000001E-5</v>
      </c>
      <c r="V284" s="14">
        <f ca="1">MAX(U284,S284)</f>
        <v>3.5320000000000001E-5</v>
      </c>
      <c r="W284" s="14">
        <f ca="1">MAX(V284,T284)</f>
        <v>3.5320000000000001E-5</v>
      </c>
    </row>
    <row r="285" spans="1:25" ht="12.75" customHeight="1" x14ac:dyDescent="0.3">
      <c r="A285" s="33" t="s">
        <v>4</v>
      </c>
      <c r="B285" s="32" t="s">
        <v>0</v>
      </c>
      <c r="C285" s="22">
        <v>1</v>
      </c>
      <c r="D285" s="21">
        <v>1</v>
      </c>
      <c r="E285" s="21">
        <v>1</v>
      </c>
      <c r="F285" s="20">
        <v>12500</v>
      </c>
      <c r="G285" s="31"/>
      <c r="H285" s="31"/>
      <c r="I285" s="31"/>
      <c r="J285" s="31"/>
      <c r="K285" s="30"/>
      <c r="L285" s="30"/>
      <c r="M285" s="30"/>
      <c r="N285" s="30"/>
      <c r="O285" s="17">
        <f ca="1">V285*$O$2</f>
        <v>0</v>
      </c>
      <c r="P285" s="16">
        <f>F285+J285+N285</f>
        <v>12500</v>
      </c>
      <c r="Q285" s="15">
        <f>P285/1000</f>
        <v>12.5</v>
      </c>
      <c r="R285" s="14">
        <f ca="1">MAX(Q285,O285)</f>
        <v>3.5320000000000001E-5</v>
      </c>
      <c r="S285" s="14">
        <f ca="1">MAX(R285,P285)</f>
        <v>3.5320000000000001E-5</v>
      </c>
      <c r="T285" s="14">
        <f ca="1">MAX(S285,Q285)</f>
        <v>3.5320000000000001E-5</v>
      </c>
      <c r="U285" s="14">
        <f ca="1">MAX(T285,R285)</f>
        <v>3.5320000000000001E-5</v>
      </c>
      <c r="V285" s="14">
        <f ca="1">MAX(U285,S285)</f>
        <v>3.5320000000000001E-5</v>
      </c>
      <c r="W285" s="14">
        <f ca="1">MAX(V285,T285)</f>
        <v>3.5320000000000001E-5</v>
      </c>
    </row>
    <row r="286" spans="1:25" ht="12.75" customHeight="1" x14ac:dyDescent="0.3">
      <c r="A286" s="33" t="s">
        <v>3</v>
      </c>
      <c r="B286" s="32" t="s">
        <v>0</v>
      </c>
      <c r="C286" s="22">
        <v>1</v>
      </c>
      <c r="D286" s="21">
        <v>1</v>
      </c>
      <c r="E286" s="21">
        <v>1</v>
      </c>
      <c r="F286" s="20">
        <v>12000</v>
      </c>
      <c r="G286" s="31"/>
      <c r="H286" s="31"/>
      <c r="I286" s="31"/>
      <c r="J286" s="31"/>
      <c r="K286" s="30"/>
      <c r="L286" s="30"/>
      <c r="M286" s="30"/>
      <c r="N286" s="30"/>
      <c r="O286" s="17">
        <f ca="1">V286*$O$2</f>
        <v>0</v>
      </c>
      <c r="P286" s="16">
        <f>F286+J286+N286</f>
        <v>12000</v>
      </c>
      <c r="Q286" s="15">
        <f>P286/1000</f>
        <v>12</v>
      </c>
      <c r="R286" s="14">
        <f ca="1">MAX(Q286,O286)</f>
        <v>3.5320000000000001E-5</v>
      </c>
      <c r="S286" s="14">
        <f ca="1">MAX(R286,P286)</f>
        <v>3.5320000000000001E-5</v>
      </c>
      <c r="T286" s="14">
        <f ca="1">MAX(S286,Q286)</f>
        <v>3.5320000000000001E-5</v>
      </c>
      <c r="U286" s="14">
        <f ca="1">MAX(T286,R286)</f>
        <v>3.5320000000000001E-5</v>
      </c>
      <c r="V286" s="14">
        <f ca="1">MAX(U286,S286)</f>
        <v>3.5320000000000001E-5</v>
      </c>
      <c r="W286" s="14">
        <f ca="1">MAX(V286,T286)</f>
        <v>3.5320000000000001E-5</v>
      </c>
    </row>
    <row r="287" spans="1:25" ht="12.75" customHeight="1" x14ac:dyDescent="0.3">
      <c r="A287" s="29" t="s">
        <v>2</v>
      </c>
      <c r="B287" s="28" t="s">
        <v>0</v>
      </c>
      <c r="C287" s="22">
        <v>48</v>
      </c>
      <c r="D287" s="21">
        <v>30</v>
      </c>
      <c r="E287" s="21">
        <v>8</v>
      </c>
      <c r="F287" s="27">
        <v>4900</v>
      </c>
      <c r="G287" s="19"/>
      <c r="H287" s="19"/>
      <c r="I287" s="19"/>
      <c r="J287" s="19"/>
      <c r="K287" s="18"/>
      <c r="L287" s="18"/>
      <c r="M287" s="18"/>
      <c r="N287" s="18"/>
      <c r="O287" s="17">
        <f ca="1">V287*$O$2</f>
        <v>0</v>
      </c>
      <c r="P287" s="16">
        <f>F287+J287+N287</f>
        <v>4900</v>
      </c>
      <c r="Q287" s="15">
        <f>P287/1000</f>
        <v>4.9000000000000004</v>
      </c>
      <c r="R287" s="14">
        <f ca="1">MAX(Q287,O287)</f>
        <v>3.5320000000000001E-5</v>
      </c>
      <c r="S287" s="14">
        <f ca="1">MAX(R287,P287)</f>
        <v>3.5320000000000001E-5</v>
      </c>
      <c r="T287" s="14">
        <f ca="1">MAX(S287,Q287)</f>
        <v>3.5320000000000001E-5</v>
      </c>
      <c r="U287" s="14">
        <f ca="1">MAX(T287,R287)</f>
        <v>3.5320000000000001E-5</v>
      </c>
      <c r="V287" s="14">
        <f ca="1">MAX(U287,S287)</f>
        <v>3.5320000000000001E-5</v>
      </c>
      <c r="W287" s="14">
        <f ca="1">MAX(V287,T287)</f>
        <v>3.5320000000000001E-5</v>
      </c>
      <c r="X287" s="26"/>
      <c r="Y287" s="25"/>
    </row>
    <row r="288" spans="1:25" ht="12.75" customHeight="1" x14ac:dyDescent="0.3">
      <c r="A288" s="24" t="s">
        <v>1</v>
      </c>
      <c r="B288" s="23" t="s">
        <v>0</v>
      </c>
      <c r="C288" s="22">
        <v>37</v>
      </c>
      <c r="D288" s="21">
        <v>10</v>
      </c>
      <c r="E288" s="21">
        <v>6</v>
      </c>
      <c r="F288" s="20">
        <v>600</v>
      </c>
      <c r="G288" s="19"/>
      <c r="H288" s="19"/>
      <c r="I288" s="19"/>
      <c r="J288" s="19"/>
      <c r="K288" s="18"/>
      <c r="L288" s="18"/>
      <c r="M288" s="18"/>
      <c r="N288" s="18"/>
      <c r="O288" s="17">
        <f ca="1">V288*$O$2</f>
        <v>0</v>
      </c>
      <c r="P288" s="16">
        <f>F288+J288+N288</f>
        <v>600</v>
      </c>
      <c r="Q288" s="15">
        <f>P288/1000</f>
        <v>0.6</v>
      </c>
      <c r="R288" s="14">
        <f ca="1">MAX(Q288,O288)</f>
        <v>3.5320000000000001E-5</v>
      </c>
      <c r="S288" s="14">
        <f ca="1">MAX(R288,P288)</f>
        <v>3.5320000000000001E-5</v>
      </c>
      <c r="T288" s="14">
        <f ca="1">MAX(S288,Q288)</f>
        <v>3.5320000000000001E-5</v>
      </c>
      <c r="U288" s="14">
        <f ca="1">MAX(T288,R288)</f>
        <v>3.5320000000000001E-5</v>
      </c>
      <c r="V288" s="14">
        <f ca="1">MAX(U288,S288)</f>
        <v>3.5320000000000001E-5</v>
      </c>
      <c r="W288" s="14">
        <f ca="1">MAX(V288,T288)</f>
        <v>3.5320000000000001E-5</v>
      </c>
    </row>
  </sheetData>
  <autoFilter ref="A1:X284" xr:uid="{00000000-0001-0000-0000-000000000000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5" showButton="0"/>
    <filterColumn colId="18" showButton="0"/>
    <filterColumn colId="19" showButton="0"/>
  </autoFilter>
  <mergeCells count="5">
    <mergeCell ref="C1:F1"/>
    <mergeCell ref="G1:J1"/>
    <mergeCell ref="K1:N1"/>
    <mergeCell ref="P1:Q1"/>
    <mergeCell ref="S1:U1"/>
  </mergeCells>
  <conditionalFormatting sqref="A1:A250 A256:A257 A289:A1048576">
    <cfRule type="duplicateValues" dxfId="106" priority="10"/>
  </conditionalFormatting>
  <conditionalFormatting sqref="A251:A252">
    <cfRule type="duplicateValues" dxfId="105" priority="7"/>
    <cfRule type="duplicateValues" dxfId="104" priority="8"/>
  </conditionalFormatting>
  <conditionalFormatting sqref="A255">
    <cfRule type="duplicateValues" dxfId="103" priority="5"/>
    <cfRule type="duplicateValues" dxfId="102" priority="6"/>
  </conditionalFormatting>
  <conditionalFormatting sqref="A258:A262">
    <cfRule type="duplicateValues" dxfId="101" priority="3"/>
    <cfRule type="duplicateValues" dxfId="100" priority="4"/>
  </conditionalFormatting>
  <conditionalFormatting sqref="A283:A284">
    <cfRule type="duplicateValues" dxfId="99" priority="1"/>
    <cfRule type="duplicateValues" dxfId="98" priority="2"/>
  </conditionalFormatting>
  <conditionalFormatting sqref="W1:W254 W289:W1048576">
    <cfRule type="cellIs" dxfId="97" priority="9" operator="lessThan">
      <formula>6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8D4B-A2FC-446F-8E41-47586532C392}">
  <sheetPr filterMode="1"/>
  <dimension ref="A1:R300"/>
  <sheetViews>
    <sheetView workbookViewId="0">
      <pane ySplit="3" topLeftCell="A123" activePane="bottomLeft" state="frozen"/>
      <selection pane="bottomLeft" activeCell="F300" sqref="F300"/>
    </sheetView>
  </sheetViews>
  <sheetFormatPr defaultColWidth="8.88671875" defaultRowHeight="13.8" x14ac:dyDescent="0.3"/>
  <cols>
    <col min="1" max="1" width="13.88671875" style="13" customWidth="1"/>
    <col min="2" max="2" width="7.33203125" style="12" customWidth="1"/>
    <col min="3" max="5" width="7" style="11" customWidth="1"/>
    <col min="6" max="6" width="10.5546875" style="10" customWidth="1"/>
    <col min="7" max="9" width="8" style="9" customWidth="1"/>
    <col min="10" max="10" width="9.5546875" style="101" bestFit="1" customWidth="1"/>
    <col min="11" max="11" width="8.88671875" style="8" customWidth="1"/>
    <col min="12" max="13" width="6.88671875" style="8" customWidth="1"/>
    <col min="14" max="14" width="10.33203125" style="8" bestFit="1" customWidth="1"/>
    <col min="15" max="15" width="10.109375" style="6" customWidth="1"/>
    <col min="16" max="16" width="9" style="6" customWidth="1"/>
    <col min="17" max="17" width="6.6640625" style="3" customWidth="1"/>
    <col min="18" max="18" width="8.5546875" style="2" customWidth="1"/>
    <col min="19" max="36" width="8.88671875" style="1"/>
    <col min="37" max="38" width="9.109375" style="1" bestFit="1" customWidth="1"/>
    <col min="39" max="39" width="8.88671875" style="1"/>
    <col min="40" max="41" width="9.109375" style="1" bestFit="1" customWidth="1"/>
    <col min="42" max="16384" width="8.88671875" style="1"/>
  </cols>
  <sheetData>
    <row r="1" spans="1:18" ht="12.75" customHeight="1" x14ac:dyDescent="0.3">
      <c r="A1" s="136" t="s">
        <v>358</v>
      </c>
      <c r="B1" s="131"/>
      <c r="C1" s="135" t="s">
        <v>320</v>
      </c>
      <c r="D1" s="135"/>
      <c r="E1" s="135"/>
      <c r="F1" s="135"/>
      <c r="G1" s="134" t="s">
        <v>319</v>
      </c>
      <c r="H1" s="134"/>
      <c r="I1" s="134"/>
      <c r="J1" s="134"/>
      <c r="K1" s="133" t="s">
        <v>318</v>
      </c>
      <c r="L1" s="133"/>
      <c r="M1" s="133"/>
      <c r="N1" s="133"/>
      <c r="O1" s="132" t="s">
        <v>316</v>
      </c>
      <c r="P1" s="132"/>
      <c r="Q1" s="92"/>
      <c r="R1" s="91"/>
    </row>
    <row r="2" spans="1:18" x14ac:dyDescent="0.3">
      <c r="A2" s="122"/>
      <c r="B2" s="131"/>
      <c r="C2" s="115" t="s">
        <v>312</v>
      </c>
      <c r="D2" s="115" t="s">
        <v>311</v>
      </c>
      <c r="E2" s="115" t="s">
        <v>310</v>
      </c>
      <c r="F2" s="114" t="s">
        <v>309</v>
      </c>
      <c r="G2" s="107" t="s">
        <v>312</v>
      </c>
      <c r="H2" s="107" t="s">
        <v>311</v>
      </c>
      <c r="I2" s="107" t="s">
        <v>310</v>
      </c>
      <c r="J2" s="106" t="s">
        <v>309</v>
      </c>
      <c r="K2" s="105" t="s">
        <v>312</v>
      </c>
      <c r="L2" s="105" t="s">
        <v>311</v>
      </c>
      <c r="M2" s="105" t="s">
        <v>310</v>
      </c>
      <c r="N2" s="105" t="s">
        <v>309</v>
      </c>
      <c r="O2" s="94" t="s">
        <v>309</v>
      </c>
      <c r="P2" s="94" t="s">
        <v>357</v>
      </c>
      <c r="Q2" s="128" t="s">
        <v>356</v>
      </c>
      <c r="R2" s="76" t="s">
        <v>355</v>
      </c>
    </row>
    <row r="3" spans="1:18" x14ac:dyDescent="0.3">
      <c r="A3" s="122" t="s">
        <v>302</v>
      </c>
      <c r="B3" s="131" t="s">
        <v>301</v>
      </c>
      <c r="C3" s="115" t="s">
        <v>300</v>
      </c>
      <c r="D3" s="115" t="s">
        <v>299</v>
      </c>
      <c r="E3" s="115" t="s">
        <v>298</v>
      </c>
      <c r="F3" s="114" t="s">
        <v>297</v>
      </c>
      <c r="G3" s="130" t="s">
        <v>300</v>
      </c>
      <c r="H3" s="130" t="s">
        <v>299</v>
      </c>
      <c r="I3" s="130" t="s">
        <v>298</v>
      </c>
      <c r="J3" s="106" t="s">
        <v>297</v>
      </c>
      <c r="K3" s="129" t="s">
        <v>300</v>
      </c>
      <c r="L3" s="129" t="s">
        <v>299</v>
      </c>
      <c r="M3" s="129" t="s">
        <v>298</v>
      </c>
      <c r="N3" s="105" t="s">
        <v>297</v>
      </c>
      <c r="O3" s="94" t="s">
        <v>296</v>
      </c>
      <c r="P3" s="94" t="s">
        <v>295</v>
      </c>
      <c r="Q3" s="128"/>
      <c r="R3" s="76"/>
    </row>
    <row r="4" spans="1:18" ht="12.45" hidden="1" customHeight="1" x14ac:dyDescent="0.3">
      <c r="A4" s="122" t="s">
        <v>294</v>
      </c>
      <c r="B4" s="88" t="str">
        <f>VLOOKUP(A4,'[2]Billing Dimensions'!A:B,2,FALSE)</f>
        <v>MB</v>
      </c>
      <c r="C4" s="115">
        <f>VLOOKUP(A4,'[2]Billing Dimensions'!$A:$N,3,FALSE)-VLOOKUP(A4,'Audit Dimensions'!$A:$N,3,FALSE)</f>
        <v>1</v>
      </c>
      <c r="D4" s="115">
        <f>VLOOKUP(A4,'[2]Billing Dimensions'!$A:$N,4,FALSE)-VLOOKUP(A4,'Audit Dimensions'!$A:$N,4,FALSE)</f>
        <v>0</v>
      </c>
      <c r="E4" s="115">
        <f>VLOOKUP(A4,'[2]Billing Dimensions'!$A:$N,5,FALSE)-VLOOKUP(A4,'Audit Dimensions'!$A:$N,5,FALSE)</f>
        <v>-1</v>
      </c>
      <c r="F4" s="114">
        <f>VLOOKUP(A4,'[2]Billing Dimensions'!$A:$N,6,FALSE)-VLOOKUP(A4,'Audit Dimensions'!$A:$N,6,FALSE)</f>
        <v>-150</v>
      </c>
      <c r="G4" s="107">
        <f>VLOOKUP(A4,'[2]Billing Dimensions'!$A:$N,7,FALSE)-VLOOKUP(A4,'Audit Dimensions'!$A:$N,7,FALSE)</f>
        <v>-4</v>
      </c>
      <c r="H4" s="107">
        <f>VLOOKUP(A4,'[2]Billing Dimensions'!$A:$N,8,FALSE)-VLOOKUP(A4,'Audit Dimensions'!$A:$N,8,FALSE)</f>
        <v>0</v>
      </c>
      <c r="I4" s="107">
        <f>VLOOKUP(A4,'[2]Billing Dimensions'!$A:$N,9,FALSE)-VLOOKUP(A4,'Audit Dimensions'!$A:$N,9,FALSE)</f>
        <v>1</v>
      </c>
      <c r="J4" s="106">
        <f>VLOOKUP(A4,'[2]Billing Dimensions'!$A:$N,10,FALSE)-VLOOKUP(A4,'Audit Dimensions'!$A:$N,10,FALSE)</f>
        <v>-900</v>
      </c>
      <c r="K4" s="105">
        <f>VLOOKUP(A4,'[2]Billing Dimensions'!$A:$N,11,FALSE)-VLOOKUP(A4,'Audit Dimensions'!$A:$N,11,FALSE)</f>
        <v>5</v>
      </c>
      <c r="L4" s="105">
        <f>VLOOKUP(A4,'[2]Billing Dimensions'!$A:$N,12,FALSE)-VLOOKUP(A4,'Audit Dimensions'!$A:$N,12,FALSE)</f>
        <v>3</v>
      </c>
      <c r="M4" s="105">
        <f>VLOOKUP(A4,'[2]Billing Dimensions'!$A:$N,13,FALSE)-VLOOKUP(A4,'Audit Dimensions'!$A:$N,13,FALSE)</f>
        <v>1</v>
      </c>
      <c r="N4" s="105">
        <f>VLOOKUP(A4,'[2]Billing Dimensions'!$A:$N,14,FALSE)-VLOOKUP(A4,'Audit Dimensions'!$A:$N,14,FALSE)</f>
        <v>1650</v>
      </c>
      <c r="O4" s="104">
        <f>VLOOKUP(A4,'[2]Billing Dimensions'!A:Q,16,FALSE)-VLOOKUP('Audit VAR'!A4,'Audit Dimensions'!A:P,16,FALSE)</f>
        <v>600</v>
      </c>
      <c r="P4" s="103">
        <f>O4/1000</f>
        <v>0.6</v>
      </c>
      <c r="Q4" s="102">
        <f>(((C4*D4*E4)+(G4*H4*I4)+(K4*L4*M4))/1000000)*35.32</f>
        <v>5.2979999999999998E-4</v>
      </c>
      <c r="R4" s="46">
        <f>P4/Q4</f>
        <v>1132.5028312570782</v>
      </c>
    </row>
    <row r="5" spans="1:18" ht="12.45" hidden="1" customHeight="1" x14ac:dyDescent="0.3">
      <c r="A5" s="122" t="s">
        <v>293</v>
      </c>
      <c r="B5" s="88" t="str">
        <f>VLOOKUP(A5,'[2]Billing Dimensions'!A:B,2,FALSE)</f>
        <v>MB</v>
      </c>
      <c r="C5" s="115">
        <f>VLOOKUP(A5,'[2]Billing Dimensions'!$A:$N,3,FALSE)-VLOOKUP(A5,'Audit Dimensions'!$A:$N,3,FALSE)</f>
        <v>-1</v>
      </c>
      <c r="D5" s="115">
        <f>VLOOKUP(A5,'[2]Billing Dimensions'!$A:$N,4,FALSE)-VLOOKUP(A5,'Audit Dimensions'!$A:$N,4,FALSE)</f>
        <v>-1</v>
      </c>
      <c r="E5" s="115">
        <f>VLOOKUP(A5,'[2]Billing Dimensions'!$A:$N,5,FALSE)-VLOOKUP(A5,'Audit Dimensions'!$A:$N,5,FALSE)</f>
        <v>0</v>
      </c>
      <c r="F5" s="114">
        <f>VLOOKUP(A5,'[2]Billing Dimensions'!$A:$N,6,FALSE)-VLOOKUP(A5,'Audit Dimensions'!$A:$N,6,FALSE)</f>
        <v>-1480</v>
      </c>
      <c r="G5" s="107">
        <f>VLOOKUP(A5,'[2]Billing Dimensions'!$A:$N,7,FALSE)-VLOOKUP(A5,'Audit Dimensions'!$A:$N,7,FALSE)</f>
        <v>-2</v>
      </c>
      <c r="H5" s="107">
        <f>VLOOKUP(A5,'[2]Billing Dimensions'!$A:$N,8,FALSE)-VLOOKUP(A5,'Audit Dimensions'!$A:$N,8,FALSE)</f>
        <v>18</v>
      </c>
      <c r="I5" s="107">
        <f>VLOOKUP(A5,'[2]Billing Dimensions'!$A:$N,9,FALSE)-VLOOKUP(A5,'Audit Dimensions'!$A:$N,9,FALSE)</f>
        <v>1</v>
      </c>
      <c r="J5" s="106">
        <f>VLOOKUP(A5,'[2]Billing Dimensions'!$A:$N,10,FALSE)-VLOOKUP(A5,'Audit Dimensions'!$A:$N,10,FALSE)</f>
        <v>4700</v>
      </c>
      <c r="K5" s="105">
        <f>VLOOKUP(A5,'[2]Billing Dimensions'!$A:$N,11,FALSE)-VLOOKUP(A5,'Audit Dimensions'!$A:$N,11,FALSE)</f>
        <v>2</v>
      </c>
      <c r="L5" s="105">
        <f>VLOOKUP(A5,'[2]Billing Dimensions'!$A:$N,12,FALSE)-VLOOKUP(A5,'Audit Dimensions'!$A:$N,12,FALSE)</f>
        <v>1</v>
      </c>
      <c r="M5" s="105">
        <f>VLOOKUP(A5,'[2]Billing Dimensions'!$A:$N,13,FALSE)-VLOOKUP(A5,'Audit Dimensions'!$A:$N,13,FALSE)</f>
        <v>1</v>
      </c>
      <c r="N5" s="105">
        <f>VLOOKUP(A5,'[2]Billing Dimensions'!$A:$N,14,FALSE)-VLOOKUP(A5,'Audit Dimensions'!$A:$N,14,FALSE)</f>
        <v>-2750</v>
      </c>
      <c r="O5" s="104">
        <f>VLOOKUP(A5,'[2]Billing Dimensions'!A:Q,16,FALSE)-VLOOKUP('Audit VAR'!A5,'Audit Dimensions'!A:P,16,FALSE)</f>
        <v>470</v>
      </c>
      <c r="P5" s="103">
        <f>O5/1000</f>
        <v>0.47</v>
      </c>
      <c r="Q5" s="102">
        <f>(((C5*D5*E5)+(G5*H5*I5)+(K5*L5*M5))/1000000)*35.32</f>
        <v>-1.2008800000000001E-3</v>
      </c>
      <c r="R5" s="46">
        <f>P5/Q5</f>
        <v>-391.37965491972551</v>
      </c>
    </row>
    <row r="6" spans="1:18" hidden="1" x14ac:dyDescent="0.3">
      <c r="A6" s="122" t="s">
        <v>292</v>
      </c>
      <c r="B6" s="88" t="str">
        <f>VLOOKUP(A6,'[2]Billing Dimensions'!A:B,2,FALSE)</f>
        <v>MB</v>
      </c>
      <c r="C6" s="115">
        <f>VLOOKUP(A6,'[2]Billing Dimensions'!$A:$N,3,FALSE)-VLOOKUP(A6,'Audit Dimensions'!$A:$N,3,FALSE)</f>
        <v>205</v>
      </c>
      <c r="D6" s="115">
        <f>VLOOKUP(A6,'[2]Billing Dimensions'!$A:$N,4,FALSE)-VLOOKUP(A6,'Audit Dimensions'!$A:$N,4,FALSE)</f>
        <v>54</v>
      </c>
      <c r="E6" s="115">
        <f>VLOOKUP(A6,'[2]Billing Dimensions'!$A:$N,5,FALSE)-VLOOKUP(A6,'Audit Dimensions'!$A:$N,5,FALSE)</f>
        <v>10</v>
      </c>
      <c r="F6" s="114">
        <f>VLOOKUP(A6,'[2]Billing Dimensions'!$A:$N,6,FALSE)-VLOOKUP(A6,'Audit Dimensions'!$A:$N,6,FALSE)</f>
        <v>35000</v>
      </c>
      <c r="G6" s="107">
        <f>VLOOKUP(A6,'[2]Billing Dimensions'!$A:$N,7,FALSE)-VLOOKUP(A6,'Audit Dimensions'!$A:$N,7,FALSE)</f>
        <v>105</v>
      </c>
      <c r="H6" s="107">
        <f>VLOOKUP(A6,'[2]Billing Dimensions'!$A:$N,8,FALSE)-VLOOKUP(A6,'Audit Dimensions'!$A:$N,8,FALSE)</f>
        <v>94</v>
      </c>
      <c r="I6" s="107">
        <f>VLOOKUP(A6,'[2]Billing Dimensions'!$A:$N,9,FALSE)-VLOOKUP(A6,'Audit Dimensions'!$A:$N,9,FALSE)</f>
        <v>5</v>
      </c>
      <c r="J6" s="106">
        <f>VLOOKUP(A6,'[2]Billing Dimensions'!$A:$N,10,FALSE)-VLOOKUP(A6,'Audit Dimensions'!$A:$N,10,FALSE)</f>
        <v>35000</v>
      </c>
      <c r="K6" s="105">
        <f>VLOOKUP(A6,'[2]Billing Dimensions'!$A:$N,11,FALSE)-VLOOKUP(A6,'Audit Dimensions'!$A:$N,11,FALSE)</f>
        <v>0</v>
      </c>
      <c r="L6" s="105">
        <f>VLOOKUP(A6,'[2]Billing Dimensions'!$A:$N,12,FALSE)-VLOOKUP(A6,'Audit Dimensions'!$A:$N,12,FALSE)</f>
        <v>0</v>
      </c>
      <c r="M6" s="105">
        <f>VLOOKUP(A6,'[2]Billing Dimensions'!$A:$N,13,FALSE)-VLOOKUP(A6,'Audit Dimensions'!$A:$N,13,FALSE)</f>
        <v>0</v>
      </c>
      <c r="N6" s="105">
        <f>VLOOKUP(A6,'[2]Billing Dimensions'!$A:$N,14,FALSE)-VLOOKUP(A6,'Audit Dimensions'!$A:$N,14,FALSE)</f>
        <v>0</v>
      </c>
      <c r="O6" s="104">
        <f>VLOOKUP(A6,'[2]Billing Dimensions'!A:Q,16,FALSE)-VLOOKUP('Audit VAR'!A6,'Audit Dimensions'!A:P,16,FALSE)</f>
        <v>70000</v>
      </c>
      <c r="P6" s="103">
        <f>O6/1000</f>
        <v>70</v>
      </c>
      <c r="Q6" s="102">
        <f>(((C6*D6*E6)+(G6*H6*I6)+(K6*L6*M6))/1000000)*35.32</f>
        <v>5.6529660000000002</v>
      </c>
      <c r="R6" s="46">
        <f>P6/Q6</f>
        <v>12.382880066853399</v>
      </c>
    </row>
    <row r="7" spans="1:18" hidden="1" x14ac:dyDescent="0.3">
      <c r="A7" s="122" t="s">
        <v>291</v>
      </c>
      <c r="B7" s="88" t="str">
        <f>VLOOKUP(A7,'[2]Billing Dimensions'!A:B,2,FALSE)</f>
        <v>MB</v>
      </c>
      <c r="C7" s="115">
        <f>VLOOKUP(A7,'[2]Billing Dimensions'!$A:$N,3,FALSE)-VLOOKUP(A7,'Audit Dimensions'!$A:$N,3,FALSE)</f>
        <v>1</v>
      </c>
      <c r="D7" s="115">
        <f>VLOOKUP(A7,'[2]Billing Dimensions'!$A:$N,4,FALSE)-VLOOKUP(A7,'Audit Dimensions'!$A:$N,4,FALSE)</f>
        <v>-2</v>
      </c>
      <c r="E7" s="115">
        <f>VLOOKUP(A7,'[2]Billing Dimensions'!$A:$N,5,FALSE)-VLOOKUP(A7,'Audit Dimensions'!$A:$N,5,FALSE)</f>
        <v>1</v>
      </c>
      <c r="F7" s="114">
        <f>VLOOKUP(A7,'[2]Billing Dimensions'!$A:$N,6,FALSE)-VLOOKUP(A7,'Audit Dimensions'!$A:$N,6,FALSE)</f>
        <v>-1300</v>
      </c>
      <c r="G7" s="107">
        <f>VLOOKUP(A7,'[2]Billing Dimensions'!$A:$N,7,FALSE)-VLOOKUP(A7,'Audit Dimensions'!$A:$N,7,FALSE)</f>
        <v>43</v>
      </c>
      <c r="H7" s="107">
        <f>VLOOKUP(A7,'[2]Billing Dimensions'!$A:$N,8,FALSE)-VLOOKUP(A7,'Audit Dimensions'!$A:$N,8,FALSE)</f>
        <v>0</v>
      </c>
      <c r="I7" s="107">
        <f>VLOOKUP(A7,'[2]Billing Dimensions'!$A:$N,9,FALSE)-VLOOKUP(A7,'Audit Dimensions'!$A:$N,9,FALSE)</f>
        <v>0</v>
      </c>
      <c r="J7" s="106">
        <f>VLOOKUP(A7,'[2]Billing Dimensions'!$A:$N,10,FALSE)-VLOOKUP(A7,'Audit Dimensions'!$A:$N,10,FALSE)</f>
        <v>-900</v>
      </c>
      <c r="K7" s="105">
        <f>VLOOKUP(A7,'[2]Billing Dimensions'!$A:$N,11,FALSE)-VLOOKUP(A7,'Audit Dimensions'!$A:$N,11,FALSE)</f>
        <v>1</v>
      </c>
      <c r="L7" s="105">
        <f>VLOOKUP(A7,'[2]Billing Dimensions'!$A:$N,12,FALSE)-VLOOKUP(A7,'Audit Dimensions'!$A:$N,12,FALSE)</f>
        <v>17</v>
      </c>
      <c r="M7" s="105">
        <f>VLOOKUP(A7,'[2]Billing Dimensions'!$A:$N,13,FALSE)-VLOOKUP(A7,'Audit Dimensions'!$A:$N,13,FALSE)</f>
        <v>0</v>
      </c>
      <c r="N7" s="105">
        <f>VLOOKUP(A7,'[2]Billing Dimensions'!$A:$N,14,FALSE)-VLOOKUP(A7,'Audit Dimensions'!$A:$N,14,FALSE)</f>
        <v>1340</v>
      </c>
      <c r="O7" s="104">
        <f>VLOOKUP(A7,'[2]Billing Dimensions'!A:Q,16,FALSE)-VLOOKUP('Audit VAR'!A7,'Audit Dimensions'!A:P,16,FALSE)</f>
        <v>-860</v>
      </c>
      <c r="P7" s="103">
        <f>O7/1000</f>
        <v>-0.86</v>
      </c>
      <c r="Q7" s="102">
        <f>(((C7*D7*E7)+(G7*H7*I7)+(K7*L7*M7))/1000000)*35.32</f>
        <v>-7.0640000000000001E-5</v>
      </c>
      <c r="R7" s="46">
        <f>P7/Q7</f>
        <v>12174.405436013589</v>
      </c>
    </row>
    <row r="8" spans="1:18" hidden="1" x14ac:dyDescent="0.3">
      <c r="A8" s="122" t="s">
        <v>290</v>
      </c>
      <c r="B8" s="88" t="str">
        <f>VLOOKUP(A8,'[2]Billing Dimensions'!A:B,2,FALSE)</f>
        <v>MB</v>
      </c>
      <c r="C8" s="115">
        <f>VLOOKUP(A8,'[2]Billing Dimensions'!$A:$N,3,FALSE)-VLOOKUP(A8,'Audit Dimensions'!$A:$N,3,FALSE)</f>
        <v>206</v>
      </c>
      <c r="D8" s="115">
        <f>VLOOKUP(A8,'[2]Billing Dimensions'!$A:$N,4,FALSE)-VLOOKUP(A8,'Audit Dimensions'!$A:$N,4,FALSE)</f>
        <v>50</v>
      </c>
      <c r="E8" s="115">
        <f>VLOOKUP(A8,'[2]Billing Dimensions'!$A:$N,5,FALSE)-VLOOKUP(A8,'Audit Dimensions'!$A:$N,5,FALSE)</f>
        <v>10</v>
      </c>
      <c r="F8" s="114">
        <f>VLOOKUP(A8,'[2]Billing Dimensions'!$A:$N,6,FALSE)-VLOOKUP(A8,'Audit Dimensions'!$A:$N,6,FALSE)</f>
        <v>46000</v>
      </c>
      <c r="G8" s="107">
        <f>VLOOKUP(A8,'[2]Billing Dimensions'!$A:$N,7,FALSE)-VLOOKUP(A8,'Audit Dimensions'!$A:$N,7,FALSE)</f>
        <v>102</v>
      </c>
      <c r="H8" s="107">
        <f>VLOOKUP(A8,'[2]Billing Dimensions'!$A:$N,8,FALSE)-VLOOKUP(A8,'Audit Dimensions'!$A:$N,8,FALSE)</f>
        <v>79</v>
      </c>
      <c r="I8" s="107">
        <f>VLOOKUP(A8,'[2]Billing Dimensions'!$A:$N,9,FALSE)-VLOOKUP(A8,'Audit Dimensions'!$A:$N,9,FALSE)</f>
        <v>5</v>
      </c>
      <c r="J8" s="106">
        <f>VLOOKUP(A8,'[2]Billing Dimensions'!$A:$N,10,FALSE)-VLOOKUP(A8,'Audit Dimensions'!$A:$N,10,FALSE)</f>
        <v>24000</v>
      </c>
      <c r="K8" s="105">
        <f>VLOOKUP(A8,'[2]Billing Dimensions'!$A:$N,11,FALSE)-VLOOKUP(A8,'Audit Dimensions'!$A:$N,11,FALSE)</f>
        <v>0</v>
      </c>
      <c r="L8" s="105">
        <f>VLOOKUP(A8,'[2]Billing Dimensions'!$A:$N,12,FALSE)-VLOOKUP(A8,'Audit Dimensions'!$A:$N,12,FALSE)</f>
        <v>0</v>
      </c>
      <c r="M8" s="105">
        <f>VLOOKUP(A8,'[2]Billing Dimensions'!$A:$N,13,FALSE)-VLOOKUP(A8,'Audit Dimensions'!$A:$N,13,FALSE)</f>
        <v>0</v>
      </c>
      <c r="N8" s="105">
        <f>VLOOKUP(A8,'[2]Billing Dimensions'!$A:$N,14,FALSE)-VLOOKUP(A8,'Audit Dimensions'!$A:$N,14,FALSE)</f>
        <v>0</v>
      </c>
      <c r="O8" s="104">
        <f>VLOOKUP(A8,'[2]Billing Dimensions'!A:Q,16,FALSE)-VLOOKUP('Audit VAR'!A8,'Audit Dimensions'!A:P,16,FALSE)</f>
        <v>70000</v>
      </c>
      <c r="P8" s="103">
        <f>O8/1000</f>
        <v>70</v>
      </c>
      <c r="Q8" s="102">
        <f>(((C8*D8*E8)+(G8*H8*I8)+(K8*L8*M8))/1000000)*35.32</f>
        <v>5.0610027999999998</v>
      </c>
      <c r="R8" s="46">
        <f>P8/Q8</f>
        <v>13.83125099239226</v>
      </c>
    </row>
    <row r="9" spans="1:18" hidden="1" x14ac:dyDescent="0.3">
      <c r="A9" s="122" t="s">
        <v>289</v>
      </c>
      <c r="B9" s="88" t="str">
        <f>VLOOKUP(A9,'[2]Billing Dimensions'!A:B,2,FALSE)</f>
        <v>MB</v>
      </c>
      <c r="C9" s="115">
        <f>VLOOKUP(A9,'[2]Billing Dimensions'!$A:$N,3,FALSE)-VLOOKUP(A9,'Audit Dimensions'!$A:$N,3,FALSE)</f>
        <v>-6</v>
      </c>
      <c r="D9" s="115">
        <f>VLOOKUP(A9,'[2]Billing Dimensions'!$A:$N,4,FALSE)-VLOOKUP(A9,'Audit Dimensions'!$A:$N,4,FALSE)</f>
        <v>-9</v>
      </c>
      <c r="E9" s="115">
        <f>VLOOKUP(A9,'[2]Billing Dimensions'!$A:$N,5,FALSE)-VLOOKUP(A9,'Audit Dimensions'!$A:$N,5,FALSE)</f>
        <v>2</v>
      </c>
      <c r="F9" s="114">
        <f>VLOOKUP(A9,'[2]Billing Dimensions'!$A:$N,6,FALSE)-VLOOKUP(A9,'Audit Dimensions'!$A:$N,6,FALSE)</f>
        <v>490</v>
      </c>
      <c r="G9" s="107">
        <f>VLOOKUP(A9,'[2]Billing Dimensions'!$A:$N,7,FALSE)-VLOOKUP(A9,'Audit Dimensions'!$A:$N,7,FALSE)</f>
        <v>-1</v>
      </c>
      <c r="H9" s="107">
        <f>VLOOKUP(A9,'[2]Billing Dimensions'!$A:$N,8,FALSE)-VLOOKUP(A9,'Audit Dimensions'!$A:$N,8,FALSE)</f>
        <v>0</v>
      </c>
      <c r="I9" s="107">
        <f>VLOOKUP(A9,'[2]Billing Dimensions'!$A:$N,9,FALSE)-VLOOKUP(A9,'Audit Dimensions'!$A:$N,9,FALSE)</f>
        <v>0</v>
      </c>
      <c r="J9" s="106">
        <f>VLOOKUP(A9,'[2]Billing Dimensions'!$A:$N,10,FALSE)-VLOOKUP(A9,'Audit Dimensions'!$A:$N,10,FALSE)</f>
        <v>-1750</v>
      </c>
      <c r="K9" s="105">
        <f>VLOOKUP(A9,'[2]Billing Dimensions'!$A:$N,11,FALSE)-VLOOKUP(A9,'Audit Dimensions'!$A:$N,11,FALSE)</f>
        <v>3</v>
      </c>
      <c r="L9" s="105">
        <f>VLOOKUP(A9,'[2]Billing Dimensions'!$A:$N,12,FALSE)-VLOOKUP(A9,'Audit Dimensions'!$A:$N,12,FALSE)</f>
        <v>2</v>
      </c>
      <c r="M9" s="105">
        <f>VLOOKUP(A9,'[2]Billing Dimensions'!$A:$N,13,FALSE)-VLOOKUP(A9,'Audit Dimensions'!$A:$N,13,FALSE)</f>
        <v>1</v>
      </c>
      <c r="N9" s="105">
        <f>VLOOKUP(A9,'[2]Billing Dimensions'!$A:$N,14,FALSE)-VLOOKUP(A9,'Audit Dimensions'!$A:$N,14,FALSE)</f>
        <v>400</v>
      </c>
      <c r="O9" s="104">
        <f>VLOOKUP(A9,'[2]Billing Dimensions'!A:Q,16,FALSE)-VLOOKUP('Audit VAR'!A9,'Audit Dimensions'!A:P,16,FALSE)</f>
        <v>-860</v>
      </c>
      <c r="P9" s="103">
        <f>O9/1000</f>
        <v>-0.86</v>
      </c>
      <c r="Q9" s="102">
        <f>(((C9*D9*E9)+(G9*H9*I9)+(K9*L9*M9))/1000000)*35.32</f>
        <v>4.0264800000000007E-3</v>
      </c>
      <c r="R9" s="46">
        <f>P9/Q9</f>
        <v>-213.58606028094013</v>
      </c>
    </row>
    <row r="10" spans="1:18" hidden="1" x14ac:dyDescent="0.3">
      <c r="A10" s="124" t="s">
        <v>288</v>
      </c>
      <c r="B10" s="88" t="str">
        <f>VLOOKUP(A10,'[2]Billing Dimensions'!A:B,2,FALSE)</f>
        <v>MB</v>
      </c>
      <c r="C10" s="115">
        <f>VLOOKUP(A10,'[2]Billing Dimensions'!$A:$N,3,FALSE)-VLOOKUP(A10,'Audit Dimensions'!$A:$N,3,FALSE)</f>
        <v>-2</v>
      </c>
      <c r="D10" s="115">
        <f>VLOOKUP(A10,'[2]Billing Dimensions'!$A:$N,4,FALSE)-VLOOKUP(A10,'Audit Dimensions'!$A:$N,4,FALSE)</f>
        <v>0</v>
      </c>
      <c r="E10" s="115">
        <f>VLOOKUP(A10,'[2]Billing Dimensions'!$A:$N,5,FALSE)-VLOOKUP(A10,'Audit Dimensions'!$A:$N,5,FALSE)</f>
        <v>0</v>
      </c>
      <c r="F10" s="114">
        <f>VLOOKUP(A10,'[2]Billing Dimensions'!$A:$N,6,FALSE)-VLOOKUP(A10,'Audit Dimensions'!$A:$N,6,FALSE)</f>
        <v>-2550</v>
      </c>
      <c r="G10" s="107">
        <f>VLOOKUP(A10,'[2]Billing Dimensions'!$A:$N,7,FALSE)-VLOOKUP(A10,'Audit Dimensions'!$A:$N,7,FALSE)</f>
        <v>1</v>
      </c>
      <c r="H10" s="107">
        <f>VLOOKUP(A10,'[2]Billing Dimensions'!$A:$N,8,FALSE)-VLOOKUP(A10,'Audit Dimensions'!$A:$N,8,FALSE)</f>
        <v>-1</v>
      </c>
      <c r="I10" s="107">
        <f>VLOOKUP(A10,'[2]Billing Dimensions'!$A:$N,9,FALSE)-VLOOKUP(A10,'Audit Dimensions'!$A:$N,9,FALSE)</f>
        <v>0</v>
      </c>
      <c r="J10" s="106">
        <f>VLOOKUP(A10,'[2]Billing Dimensions'!$A:$N,10,FALSE)-VLOOKUP(A10,'Audit Dimensions'!$A:$N,10,FALSE)</f>
        <v>300</v>
      </c>
      <c r="K10" s="105">
        <f>VLOOKUP(A10,'[2]Billing Dimensions'!$A:$N,11,FALSE)-VLOOKUP(A10,'Audit Dimensions'!$A:$N,11,FALSE)</f>
        <v>0</v>
      </c>
      <c r="L10" s="105">
        <f>VLOOKUP(A10,'[2]Billing Dimensions'!$A:$N,12,FALSE)-VLOOKUP(A10,'Audit Dimensions'!$A:$N,12,FALSE)</f>
        <v>0</v>
      </c>
      <c r="M10" s="105">
        <f>VLOOKUP(A10,'[2]Billing Dimensions'!$A:$N,13,FALSE)-VLOOKUP(A10,'Audit Dimensions'!$A:$N,13,FALSE)</f>
        <v>0</v>
      </c>
      <c r="N10" s="105">
        <f>VLOOKUP(A10,'[2]Billing Dimensions'!$A:$N,14,FALSE)-VLOOKUP(A10,'Audit Dimensions'!$A:$N,14,FALSE)</f>
        <v>0</v>
      </c>
      <c r="O10" s="104">
        <f>VLOOKUP(A10,'[2]Billing Dimensions'!A:Q,16,FALSE)-VLOOKUP('Audit VAR'!A10,'Audit Dimensions'!A:P,16,FALSE)</f>
        <v>-2250</v>
      </c>
      <c r="P10" s="103">
        <f>O10/1000</f>
        <v>-2.25</v>
      </c>
      <c r="Q10" s="102">
        <f>(((C10*D10*E10)+(G10*H10*I10)+(K10*L10*M10))/1000000)*35.32</f>
        <v>0</v>
      </c>
      <c r="R10" s="46" t="e">
        <f>P10/Q10</f>
        <v>#DIV/0!</v>
      </c>
    </row>
    <row r="11" spans="1:18" ht="12.45" hidden="1" customHeight="1" x14ac:dyDescent="0.3">
      <c r="A11" s="122" t="s">
        <v>286</v>
      </c>
      <c r="B11" s="88" t="str">
        <f>VLOOKUP(A11,'[2]Billing Dimensions'!A:B,2,FALSE)</f>
        <v>MB</v>
      </c>
      <c r="C11" s="115">
        <f>VLOOKUP(A11,'[2]Billing Dimensions'!$A:$N,3,FALSE)-VLOOKUP(A11,'Audit Dimensions'!$A:$N,3,FALSE)</f>
        <v>-1</v>
      </c>
      <c r="D11" s="115">
        <f>VLOOKUP(A11,'[2]Billing Dimensions'!$A:$N,4,FALSE)-VLOOKUP(A11,'Audit Dimensions'!$A:$N,4,FALSE)</f>
        <v>0</v>
      </c>
      <c r="E11" s="115">
        <f>VLOOKUP(A11,'[2]Billing Dimensions'!$A:$N,5,FALSE)-VLOOKUP(A11,'Audit Dimensions'!$A:$N,5,FALSE)</f>
        <v>0</v>
      </c>
      <c r="F11" s="114">
        <f>VLOOKUP(A11,'[2]Billing Dimensions'!$A:$N,6,FALSE)-VLOOKUP(A11,'Audit Dimensions'!$A:$N,6,FALSE)</f>
        <v>-800</v>
      </c>
      <c r="G11" s="107">
        <f>VLOOKUP(A11,'[2]Billing Dimensions'!$A:$N,7,FALSE)-VLOOKUP(A11,'Audit Dimensions'!$A:$N,7,FALSE)</f>
        <v>-1</v>
      </c>
      <c r="H11" s="107">
        <f>VLOOKUP(A11,'[2]Billing Dimensions'!$A:$N,8,FALSE)-VLOOKUP(A11,'Audit Dimensions'!$A:$N,8,FALSE)</f>
        <v>-2</v>
      </c>
      <c r="I11" s="107">
        <f>VLOOKUP(A11,'[2]Billing Dimensions'!$A:$N,9,FALSE)-VLOOKUP(A11,'Audit Dimensions'!$A:$N,9,FALSE)</f>
        <v>0</v>
      </c>
      <c r="J11" s="106">
        <f>VLOOKUP(A11,'[2]Billing Dimensions'!$A:$N,10,FALSE)-VLOOKUP(A11,'Audit Dimensions'!$A:$N,10,FALSE)</f>
        <v>-2250</v>
      </c>
      <c r="K11" s="105">
        <f>VLOOKUP(A11,'[2]Billing Dimensions'!$A:$N,11,FALSE)-VLOOKUP(A11,'Audit Dimensions'!$A:$N,11,FALSE)</f>
        <v>0</v>
      </c>
      <c r="L11" s="105">
        <f>VLOOKUP(A11,'[2]Billing Dimensions'!$A:$N,12,FALSE)-VLOOKUP(A11,'Audit Dimensions'!$A:$N,12,FALSE)</f>
        <v>0</v>
      </c>
      <c r="M11" s="105">
        <f>VLOOKUP(A11,'[2]Billing Dimensions'!$A:$N,13,FALSE)-VLOOKUP(A11,'Audit Dimensions'!$A:$N,13,FALSE)</f>
        <v>0</v>
      </c>
      <c r="N11" s="105">
        <f>VLOOKUP(A11,'[2]Billing Dimensions'!$A:$N,14,FALSE)-VLOOKUP(A11,'Audit Dimensions'!$A:$N,14,FALSE)</f>
        <v>0</v>
      </c>
      <c r="O11" s="104">
        <f>VLOOKUP(A11,'[2]Billing Dimensions'!A:Q,16,FALSE)-VLOOKUP('Audit VAR'!A11,'Audit Dimensions'!A:P,16,FALSE)</f>
        <v>-3050</v>
      </c>
      <c r="P11" s="103">
        <f>O11/1000</f>
        <v>-3.05</v>
      </c>
      <c r="Q11" s="102">
        <f>(((C11*D11*E11)+(G11*H11*I11)+(K11*L11*M11))/1000000)*35.32</f>
        <v>0</v>
      </c>
      <c r="R11" s="46" t="e">
        <f>P11/Q11</f>
        <v>#DIV/0!</v>
      </c>
    </row>
    <row r="12" spans="1:18" ht="12.45" hidden="1" customHeight="1" x14ac:dyDescent="0.3">
      <c r="A12" s="122" t="s">
        <v>285</v>
      </c>
      <c r="B12" s="88" t="str">
        <f>VLOOKUP(A12,'[2]Billing Dimensions'!A:B,2,FALSE)</f>
        <v>MB</v>
      </c>
      <c r="C12" s="115">
        <f>VLOOKUP(A12,'[2]Billing Dimensions'!$A:$N,3,FALSE)-VLOOKUP(A12,'Audit Dimensions'!$A:$N,3,FALSE)</f>
        <v>-2</v>
      </c>
      <c r="D12" s="115">
        <f>VLOOKUP(A12,'[2]Billing Dimensions'!$A:$N,4,FALSE)-VLOOKUP(A12,'Audit Dimensions'!$A:$N,4,FALSE)</f>
        <v>-1</v>
      </c>
      <c r="E12" s="115">
        <f>VLOOKUP(A12,'[2]Billing Dimensions'!$A:$N,5,FALSE)-VLOOKUP(A12,'Audit Dimensions'!$A:$N,5,FALSE)</f>
        <v>0</v>
      </c>
      <c r="F12" s="114">
        <f>VLOOKUP(A12,'[2]Billing Dimensions'!$A:$N,6,FALSE)-VLOOKUP(A12,'Audit Dimensions'!$A:$N,6,FALSE)</f>
        <v>-650</v>
      </c>
      <c r="G12" s="107">
        <f>VLOOKUP(A12,'[2]Billing Dimensions'!$A:$N,7,FALSE)-VLOOKUP(A12,'Audit Dimensions'!$A:$N,7,FALSE)</f>
        <v>-3</v>
      </c>
      <c r="H12" s="107">
        <f>VLOOKUP(A12,'[2]Billing Dimensions'!$A:$N,8,FALSE)-VLOOKUP(A12,'Audit Dimensions'!$A:$N,8,FALSE)</f>
        <v>4</v>
      </c>
      <c r="I12" s="107">
        <f>VLOOKUP(A12,'[2]Billing Dimensions'!$A:$N,9,FALSE)-VLOOKUP(A12,'Audit Dimensions'!$A:$N,9,FALSE)</f>
        <v>0</v>
      </c>
      <c r="J12" s="106">
        <f>VLOOKUP(A12,'[2]Billing Dimensions'!$A:$N,10,FALSE)-VLOOKUP(A12,'Audit Dimensions'!$A:$N,10,FALSE)</f>
        <v>-30900</v>
      </c>
      <c r="K12" s="105">
        <f>VLOOKUP(A12,'[2]Billing Dimensions'!$A:$N,11,FALSE)-VLOOKUP(A12,'Audit Dimensions'!$A:$N,11,FALSE)</f>
        <v>0</v>
      </c>
      <c r="L12" s="105">
        <f>VLOOKUP(A12,'[2]Billing Dimensions'!$A:$N,12,FALSE)-VLOOKUP(A12,'Audit Dimensions'!$A:$N,12,FALSE)</f>
        <v>0</v>
      </c>
      <c r="M12" s="105">
        <f>VLOOKUP(A12,'[2]Billing Dimensions'!$A:$N,13,FALSE)-VLOOKUP(A12,'Audit Dimensions'!$A:$N,13,FALSE)</f>
        <v>0</v>
      </c>
      <c r="N12" s="105">
        <f>VLOOKUP(A12,'[2]Billing Dimensions'!$A:$N,14,FALSE)-VLOOKUP(A12,'Audit Dimensions'!$A:$N,14,FALSE)</f>
        <v>0</v>
      </c>
      <c r="O12" s="104">
        <f>VLOOKUP(A12,'[2]Billing Dimensions'!A:Q,16,FALSE)-VLOOKUP('Audit VAR'!A12,'Audit Dimensions'!A:P,16,FALSE)</f>
        <v>-31550</v>
      </c>
      <c r="P12" s="103">
        <f>O12/1000</f>
        <v>-31.55</v>
      </c>
      <c r="Q12" s="102">
        <f>(((C12*D12*E12)+(G12*H12*I12)+(K12*L12*M12))/1000000)*35.32</f>
        <v>0</v>
      </c>
      <c r="R12" s="46" t="e">
        <f>P12/Q12</f>
        <v>#DIV/0!</v>
      </c>
    </row>
    <row r="13" spans="1:18" hidden="1" x14ac:dyDescent="0.3">
      <c r="A13" s="122" t="s">
        <v>284</v>
      </c>
      <c r="B13" s="88" t="str">
        <f>VLOOKUP(A13,'[2]Billing Dimensions'!A:B,2,FALSE)</f>
        <v>MB</v>
      </c>
      <c r="C13" s="115">
        <f>VLOOKUP(A13,'[2]Billing Dimensions'!$A:$N,3,FALSE)-VLOOKUP(A13,'Audit Dimensions'!$A:$N,3,FALSE)</f>
        <v>79</v>
      </c>
      <c r="D13" s="115">
        <f>VLOOKUP(A13,'[2]Billing Dimensions'!$A:$N,4,FALSE)-VLOOKUP(A13,'Audit Dimensions'!$A:$N,4,FALSE)</f>
        <v>-1</v>
      </c>
      <c r="E13" s="115">
        <f>VLOOKUP(A13,'[2]Billing Dimensions'!$A:$N,5,FALSE)-VLOOKUP(A13,'Audit Dimensions'!$A:$N,5,FALSE)</f>
        <v>1</v>
      </c>
      <c r="F13" s="114">
        <f>VLOOKUP(A13,'[2]Billing Dimensions'!$A:$N,6,FALSE)-VLOOKUP(A13,'Audit Dimensions'!$A:$N,6,FALSE)</f>
        <v>-2540</v>
      </c>
      <c r="G13" s="107">
        <f>VLOOKUP(A13,'[2]Billing Dimensions'!$A:$N,7,FALSE)-VLOOKUP(A13,'Audit Dimensions'!$A:$N,7,FALSE)</f>
        <v>2</v>
      </c>
      <c r="H13" s="107">
        <f>VLOOKUP(A13,'[2]Billing Dimensions'!$A:$N,8,FALSE)-VLOOKUP(A13,'Audit Dimensions'!$A:$N,8,FALSE)</f>
        <v>-2</v>
      </c>
      <c r="I13" s="107">
        <f>VLOOKUP(A13,'[2]Billing Dimensions'!$A:$N,9,FALSE)-VLOOKUP(A13,'Audit Dimensions'!$A:$N,9,FALSE)</f>
        <v>0</v>
      </c>
      <c r="J13" s="106">
        <f>VLOOKUP(A13,'[2]Billing Dimensions'!$A:$N,10,FALSE)-VLOOKUP(A13,'Audit Dimensions'!$A:$N,10,FALSE)</f>
        <v>1100</v>
      </c>
      <c r="K13" s="105">
        <f>VLOOKUP(A13,'[2]Billing Dimensions'!$A:$N,11,FALSE)-VLOOKUP(A13,'Audit Dimensions'!$A:$N,11,FALSE)</f>
        <v>0</v>
      </c>
      <c r="L13" s="105">
        <f>VLOOKUP(A13,'[2]Billing Dimensions'!$A:$N,12,FALSE)-VLOOKUP(A13,'Audit Dimensions'!$A:$N,12,FALSE)</f>
        <v>0</v>
      </c>
      <c r="M13" s="105">
        <f>VLOOKUP(A13,'[2]Billing Dimensions'!$A:$N,13,FALSE)-VLOOKUP(A13,'Audit Dimensions'!$A:$N,13,FALSE)</f>
        <v>0</v>
      </c>
      <c r="N13" s="105">
        <f>VLOOKUP(A13,'[2]Billing Dimensions'!$A:$N,14,FALSE)-VLOOKUP(A13,'Audit Dimensions'!$A:$N,14,FALSE)</f>
        <v>0</v>
      </c>
      <c r="O13" s="104">
        <f>VLOOKUP(A13,'[2]Billing Dimensions'!A:Q,16,FALSE)-VLOOKUP('Audit VAR'!A13,'Audit Dimensions'!A:P,16,FALSE)</f>
        <v>-1440</v>
      </c>
      <c r="P13" s="103">
        <f>O13/1000</f>
        <v>-1.44</v>
      </c>
      <c r="Q13" s="102">
        <f>(((C13*D13*E13)+(G13*H13*I13)+(K13*L13*M13))/1000000)*35.32</f>
        <v>-2.79028E-3</v>
      </c>
      <c r="R13" s="46">
        <f>P13/Q13</f>
        <v>516.07723956018754</v>
      </c>
    </row>
    <row r="14" spans="1:18" hidden="1" x14ac:dyDescent="0.3">
      <c r="A14" s="116" t="s">
        <v>71</v>
      </c>
      <c r="B14" s="88" t="str">
        <f>VLOOKUP(A14,'[2]Billing Dimensions'!A:B,2,FALSE)</f>
        <v>SB</v>
      </c>
      <c r="C14" s="115">
        <f>VLOOKUP(A14,'[2]Billing Dimensions'!$A:$N,3,FALSE)-VLOOKUP(A14,'Audit Dimensions'!$A:$N,3,FALSE)</f>
        <v>0</v>
      </c>
      <c r="D14" s="115">
        <f>VLOOKUP(A14,'[2]Billing Dimensions'!$A:$N,4,FALSE)-VLOOKUP(A14,'Audit Dimensions'!$A:$N,4,FALSE)</f>
        <v>0</v>
      </c>
      <c r="E14" s="115">
        <f>VLOOKUP(A14,'[2]Billing Dimensions'!$A:$N,5,FALSE)-VLOOKUP(A14,'Audit Dimensions'!$A:$N,5,FALSE)</f>
        <v>0</v>
      </c>
      <c r="F14" s="114">
        <f>VLOOKUP(A14,'[2]Billing Dimensions'!$A:$N,6,FALSE)-VLOOKUP(A14,'Audit Dimensions'!$A:$N,6,FALSE)</f>
        <v>-4030</v>
      </c>
      <c r="G14" s="107">
        <f>VLOOKUP(A14,'[2]Billing Dimensions'!$A:$N,7,FALSE)-VLOOKUP(A14,'Audit Dimensions'!$A:$N,7,FALSE)</f>
        <v>0</v>
      </c>
      <c r="H14" s="107">
        <f>VLOOKUP(A14,'[2]Billing Dimensions'!$A:$N,8,FALSE)-VLOOKUP(A14,'Audit Dimensions'!$A:$N,8,FALSE)</f>
        <v>0</v>
      </c>
      <c r="I14" s="107">
        <f>VLOOKUP(A14,'[2]Billing Dimensions'!$A:$N,9,FALSE)-VLOOKUP(A14,'Audit Dimensions'!$A:$N,9,FALSE)</f>
        <v>0</v>
      </c>
      <c r="J14" s="106">
        <f>VLOOKUP(A14,'[2]Billing Dimensions'!$A:$N,10,FALSE)-VLOOKUP(A14,'Audit Dimensions'!$A:$N,10,FALSE)</f>
        <v>0</v>
      </c>
      <c r="K14" s="105">
        <f>VLOOKUP(A14,'[2]Billing Dimensions'!$A:$N,11,FALSE)-VLOOKUP(A14,'Audit Dimensions'!$A:$N,11,FALSE)</f>
        <v>0</v>
      </c>
      <c r="L14" s="105">
        <f>VLOOKUP(A14,'[2]Billing Dimensions'!$A:$N,12,FALSE)-VLOOKUP(A14,'Audit Dimensions'!$A:$N,12,FALSE)</f>
        <v>0</v>
      </c>
      <c r="M14" s="105">
        <f>VLOOKUP(A14,'[2]Billing Dimensions'!$A:$N,13,FALSE)-VLOOKUP(A14,'Audit Dimensions'!$A:$N,13,FALSE)</f>
        <v>0</v>
      </c>
      <c r="N14" s="105">
        <f>VLOOKUP(A14,'[2]Billing Dimensions'!$A:$N,14,FALSE)-VLOOKUP(A14,'Audit Dimensions'!$A:$N,14,FALSE)</f>
        <v>0</v>
      </c>
      <c r="O14" s="104">
        <f>VLOOKUP(A14,'[2]Billing Dimensions'!A:Q,16,FALSE)-VLOOKUP('Audit VAR'!A14,'Audit Dimensions'!A:P,16,FALSE)</f>
        <v>-4030</v>
      </c>
      <c r="P14" s="103">
        <f>O14/1000</f>
        <v>-4.03</v>
      </c>
      <c r="Q14" s="102">
        <f>(((C14*D14*E14)+(G14*H14*I14)+(K14*L14*M14))/1000000)*35.32</f>
        <v>0</v>
      </c>
      <c r="R14" s="46" t="e">
        <f>P14/Q14</f>
        <v>#DIV/0!</v>
      </c>
    </row>
    <row r="15" spans="1:18" hidden="1" x14ac:dyDescent="0.3">
      <c r="A15" s="122" t="s">
        <v>283</v>
      </c>
      <c r="B15" s="88" t="str">
        <f>VLOOKUP(A15,'[2]Billing Dimensions'!A:B,2,FALSE)</f>
        <v>SB</v>
      </c>
      <c r="C15" s="115">
        <f>VLOOKUP(A15,'[2]Billing Dimensions'!$A:$N,3,FALSE)-VLOOKUP(A15,'Audit Dimensions'!$A:$N,3,FALSE)</f>
        <v>-2</v>
      </c>
      <c r="D15" s="115">
        <f>VLOOKUP(A15,'[2]Billing Dimensions'!$A:$N,4,FALSE)-VLOOKUP(A15,'Audit Dimensions'!$A:$N,4,FALSE)</f>
        <v>-1</v>
      </c>
      <c r="E15" s="115">
        <f>VLOOKUP(A15,'[2]Billing Dimensions'!$A:$N,5,FALSE)-VLOOKUP(A15,'Audit Dimensions'!$A:$N,5,FALSE)</f>
        <v>-1</v>
      </c>
      <c r="F15" s="114">
        <f>VLOOKUP(A15,'[2]Billing Dimensions'!$A:$N,6,FALSE)-VLOOKUP(A15,'Audit Dimensions'!$A:$N,6,FALSE)</f>
        <v>-130</v>
      </c>
      <c r="G15" s="107">
        <f>VLOOKUP(A15,'[2]Billing Dimensions'!$A:$N,7,FALSE)-VLOOKUP(A15,'Audit Dimensions'!$A:$N,7,FALSE)</f>
        <v>0</v>
      </c>
      <c r="H15" s="107">
        <f>VLOOKUP(A15,'[2]Billing Dimensions'!$A:$N,8,FALSE)-VLOOKUP(A15,'Audit Dimensions'!$A:$N,8,FALSE)</f>
        <v>0</v>
      </c>
      <c r="I15" s="107">
        <f>VLOOKUP(A15,'[2]Billing Dimensions'!$A:$N,9,FALSE)-VLOOKUP(A15,'Audit Dimensions'!$A:$N,9,FALSE)</f>
        <v>0</v>
      </c>
      <c r="J15" s="106">
        <f>VLOOKUP(A15,'[2]Billing Dimensions'!$A:$N,10,FALSE)-VLOOKUP(A15,'Audit Dimensions'!$A:$N,10,FALSE)</f>
        <v>0</v>
      </c>
      <c r="K15" s="105">
        <f>VLOOKUP(A15,'[2]Billing Dimensions'!$A:$N,11,FALSE)-VLOOKUP(A15,'Audit Dimensions'!$A:$N,11,FALSE)</f>
        <v>0</v>
      </c>
      <c r="L15" s="105">
        <f>VLOOKUP(A15,'[2]Billing Dimensions'!$A:$N,12,FALSE)-VLOOKUP(A15,'Audit Dimensions'!$A:$N,12,FALSE)</f>
        <v>0</v>
      </c>
      <c r="M15" s="105">
        <f>VLOOKUP(A15,'[2]Billing Dimensions'!$A:$N,13,FALSE)-VLOOKUP(A15,'Audit Dimensions'!$A:$N,13,FALSE)</f>
        <v>0</v>
      </c>
      <c r="N15" s="105">
        <f>VLOOKUP(A15,'[2]Billing Dimensions'!$A:$N,14,FALSE)-VLOOKUP(A15,'Audit Dimensions'!$A:$N,14,FALSE)</f>
        <v>0</v>
      </c>
      <c r="O15" s="104">
        <f>VLOOKUP(A15,'[2]Billing Dimensions'!A:Q,16,FALSE)-VLOOKUP('Audit VAR'!A15,'Audit Dimensions'!A:P,16,FALSE)</f>
        <v>-130</v>
      </c>
      <c r="P15" s="103">
        <f>O15/1000</f>
        <v>-0.13</v>
      </c>
      <c r="Q15" s="102">
        <f>(((C15*D15*E15)+(G15*H15*I15)+(K15*L15*M15))/1000000)*35.32</f>
        <v>-7.0640000000000001E-5</v>
      </c>
      <c r="R15" s="46">
        <f>P15/Q15</f>
        <v>1840.3171007927519</v>
      </c>
    </row>
    <row r="16" spans="1:18" hidden="1" x14ac:dyDescent="0.3">
      <c r="A16" s="122" t="s">
        <v>282</v>
      </c>
      <c r="B16" s="88" t="str">
        <f>VLOOKUP(A16,'[2]Billing Dimensions'!A:B,2,FALSE)</f>
        <v>SB</v>
      </c>
      <c r="C16" s="115">
        <f>VLOOKUP(A16,'[2]Billing Dimensions'!$A:$N,3,FALSE)-VLOOKUP(A16,'Audit Dimensions'!$A:$N,3,FALSE)</f>
        <v>0</v>
      </c>
      <c r="D16" s="115">
        <f>VLOOKUP(A16,'[2]Billing Dimensions'!$A:$N,4,FALSE)-VLOOKUP(A16,'Audit Dimensions'!$A:$N,4,FALSE)</f>
        <v>0</v>
      </c>
      <c r="E16" s="115">
        <f>VLOOKUP(A16,'[2]Billing Dimensions'!$A:$N,5,FALSE)-VLOOKUP(A16,'Audit Dimensions'!$A:$N,5,FALSE)</f>
        <v>0</v>
      </c>
      <c r="F16" s="114">
        <f>VLOOKUP(A16,'[2]Billing Dimensions'!$A:$N,6,FALSE)-VLOOKUP(A16,'Audit Dimensions'!$A:$N,6,FALSE)</f>
        <v>-480</v>
      </c>
      <c r="G16" s="107">
        <f>VLOOKUP(A16,'[2]Billing Dimensions'!$A:$N,7,FALSE)-VLOOKUP(A16,'Audit Dimensions'!$A:$N,7,FALSE)</f>
        <v>0</v>
      </c>
      <c r="H16" s="107">
        <f>VLOOKUP(A16,'[2]Billing Dimensions'!$A:$N,8,FALSE)-VLOOKUP(A16,'Audit Dimensions'!$A:$N,8,FALSE)</f>
        <v>0</v>
      </c>
      <c r="I16" s="107">
        <f>VLOOKUP(A16,'[2]Billing Dimensions'!$A:$N,9,FALSE)-VLOOKUP(A16,'Audit Dimensions'!$A:$N,9,FALSE)</f>
        <v>0</v>
      </c>
      <c r="J16" s="106">
        <f>VLOOKUP(A16,'[2]Billing Dimensions'!$A:$N,10,FALSE)-VLOOKUP(A16,'Audit Dimensions'!$A:$N,10,FALSE)</f>
        <v>0</v>
      </c>
      <c r="K16" s="105">
        <f>VLOOKUP(A16,'[2]Billing Dimensions'!$A:$N,11,FALSE)-VLOOKUP(A16,'Audit Dimensions'!$A:$N,11,FALSE)</f>
        <v>0</v>
      </c>
      <c r="L16" s="105">
        <f>VLOOKUP(A16,'[2]Billing Dimensions'!$A:$N,12,FALSE)-VLOOKUP(A16,'Audit Dimensions'!$A:$N,12,FALSE)</f>
        <v>0</v>
      </c>
      <c r="M16" s="105">
        <f>VLOOKUP(A16,'[2]Billing Dimensions'!$A:$N,13,FALSE)-VLOOKUP(A16,'Audit Dimensions'!$A:$N,13,FALSE)</f>
        <v>0</v>
      </c>
      <c r="N16" s="105">
        <f>VLOOKUP(A16,'[2]Billing Dimensions'!$A:$N,14,FALSE)-VLOOKUP(A16,'Audit Dimensions'!$A:$N,14,FALSE)</f>
        <v>0</v>
      </c>
      <c r="O16" s="104">
        <f>VLOOKUP(A16,'[2]Billing Dimensions'!A:Q,16,FALSE)-VLOOKUP('Audit VAR'!A16,'Audit Dimensions'!A:P,16,FALSE)</f>
        <v>-480</v>
      </c>
      <c r="P16" s="103">
        <f>O16/1000</f>
        <v>-0.48</v>
      </c>
      <c r="Q16" s="102">
        <f>(((C16*D16*E16)+(G16*H16*I16)+(K16*L16*M16))/1000000)*35.32</f>
        <v>0</v>
      </c>
      <c r="R16" s="46" t="e">
        <f>P16/Q16</f>
        <v>#DIV/0!</v>
      </c>
    </row>
    <row r="17" spans="1:18" hidden="1" x14ac:dyDescent="0.3">
      <c r="A17" s="122" t="s">
        <v>281</v>
      </c>
      <c r="B17" s="88" t="str">
        <f>VLOOKUP(A17,'[2]Billing Dimensions'!A:B,2,FALSE)</f>
        <v>`</v>
      </c>
      <c r="C17" s="115">
        <f>VLOOKUP(A17,'[2]Billing Dimensions'!$A:$N,3,FALSE)-VLOOKUP(A17,'Audit Dimensions'!$A:$N,3,FALSE)</f>
        <v>0</v>
      </c>
      <c r="D17" s="115">
        <f>VLOOKUP(A17,'[2]Billing Dimensions'!$A:$N,4,FALSE)-VLOOKUP(A17,'Audit Dimensions'!$A:$N,4,FALSE)</f>
        <v>0</v>
      </c>
      <c r="E17" s="115">
        <f>VLOOKUP(A17,'[2]Billing Dimensions'!$A:$N,5,FALSE)-VLOOKUP(A17,'Audit Dimensions'!$A:$N,5,FALSE)</f>
        <v>0</v>
      </c>
      <c r="F17" s="114">
        <f>VLOOKUP(A17,'[2]Billing Dimensions'!$A:$N,6,FALSE)-VLOOKUP(A17,'Audit Dimensions'!$A:$N,6,FALSE)</f>
        <v>0</v>
      </c>
      <c r="G17" s="107">
        <f>VLOOKUP(A17,'[2]Billing Dimensions'!$A:$N,7,FALSE)-VLOOKUP(A17,'Audit Dimensions'!$A:$N,7,FALSE)</f>
        <v>0</v>
      </c>
      <c r="H17" s="107">
        <f>VLOOKUP(A17,'[2]Billing Dimensions'!$A:$N,8,FALSE)-VLOOKUP(A17,'Audit Dimensions'!$A:$N,8,FALSE)</f>
        <v>0</v>
      </c>
      <c r="I17" s="107">
        <f>VLOOKUP(A17,'[2]Billing Dimensions'!$A:$N,9,FALSE)-VLOOKUP(A17,'Audit Dimensions'!$A:$N,9,FALSE)</f>
        <v>0</v>
      </c>
      <c r="J17" s="106">
        <f>VLOOKUP(A17,'[2]Billing Dimensions'!$A:$N,10,FALSE)-VLOOKUP(A17,'Audit Dimensions'!$A:$N,10,FALSE)</f>
        <v>0</v>
      </c>
      <c r="K17" s="105">
        <f>VLOOKUP(A17,'[2]Billing Dimensions'!$A:$N,11,FALSE)-VLOOKUP(A17,'Audit Dimensions'!$A:$N,11,FALSE)</f>
        <v>0</v>
      </c>
      <c r="L17" s="105">
        <f>VLOOKUP(A17,'[2]Billing Dimensions'!$A:$N,12,FALSE)-VLOOKUP(A17,'Audit Dimensions'!$A:$N,12,FALSE)</f>
        <v>0</v>
      </c>
      <c r="M17" s="105">
        <f>VLOOKUP(A17,'[2]Billing Dimensions'!$A:$N,13,FALSE)-VLOOKUP(A17,'Audit Dimensions'!$A:$N,13,FALSE)</f>
        <v>0</v>
      </c>
      <c r="N17" s="105">
        <f>VLOOKUP(A17,'[2]Billing Dimensions'!$A:$N,14,FALSE)-VLOOKUP(A17,'Audit Dimensions'!$A:$N,14,FALSE)</f>
        <v>0</v>
      </c>
      <c r="O17" s="104">
        <f>VLOOKUP(A17,'[2]Billing Dimensions'!A:Q,16,FALSE)-VLOOKUP('Audit VAR'!A17,'Audit Dimensions'!A:P,16,FALSE)</f>
        <v>0</v>
      </c>
      <c r="P17" s="103">
        <f>O17/1000</f>
        <v>0</v>
      </c>
      <c r="Q17" s="102">
        <f>(((C17*D17*E17)+(G17*H17*I17)+(K17*L17*M17))/1000000)*35.32</f>
        <v>0</v>
      </c>
      <c r="R17" s="46" t="e">
        <f>P17/Q17</f>
        <v>#DIV/0!</v>
      </c>
    </row>
    <row r="18" spans="1:18" hidden="1" x14ac:dyDescent="0.3">
      <c r="A18" s="122" t="s">
        <v>354</v>
      </c>
      <c r="B18" s="88" t="str">
        <f>VLOOKUP(A18,'[2]Billing Dimensions'!A:B,2,FALSE)</f>
        <v> </v>
      </c>
      <c r="C18" s="115" t="e">
        <f>VLOOKUP(A18,'[2]Billing Dimensions'!$A:$N,3,FALSE)-VLOOKUP(A18,'Audit Dimensions'!$A:$N,3,FALSE)</f>
        <v>#N/A</v>
      </c>
      <c r="D18" s="115" t="e">
        <f>VLOOKUP(A18,'[2]Billing Dimensions'!$A:$N,4,FALSE)-VLOOKUP(A18,'Audit Dimensions'!$A:$N,4,FALSE)</f>
        <v>#N/A</v>
      </c>
      <c r="E18" s="115" t="e">
        <f>VLOOKUP(A18,'[2]Billing Dimensions'!$A:$N,5,FALSE)-VLOOKUP(A18,'Audit Dimensions'!$A:$N,5,FALSE)</f>
        <v>#N/A</v>
      </c>
      <c r="F18" s="114" t="e">
        <f>VLOOKUP(A18,'[2]Billing Dimensions'!$A:$N,6,FALSE)-VLOOKUP(A18,'Audit Dimensions'!$A:$N,6,FALSE)</f>
        <v>#N/A</v>
      </c>
      <c r="G18" s="107" t="e">
        <f>VLOOKUP(A18,'[2]Billing Dimensions'!$A:$N,7,FALSE)-VLOOKUP(A18,'Audit Dimensions'!$A:$N,7,FALSE)</f>
        <v>#N/A</v>
      </c>
      <c r="H18" s="107" t="e">
        <f>VLOOKUP(A18,'[2]Billing Dimensions'!$A:$N,8,FALSE)-VLOOKUP(A18,'Audit Dimensions'!$A:$N,8,FALSE)</f>
        <v>#N/A</v>
      </c>
      <c r="I18" s="107" t="e">
        <f>VLOOKUP(A18,'[2]Billing Dimensions'!$A:$N,9,FALSE)-VLOOKUP(A18,'Audit Dimensions'!$A:$N,9,FALSE)</f>
        <v>#N/A</v>
      </c>
      <c r="J18" s="106" t="e">
        <f>VLOOKUP(A18,'[2]Billing Dimensions'!$A:$N,10,FALSE)-VLOOKUP(A18,'Audit Dimensions'!$A:$N,10,FALSE)</f>
        <v>#N/A</v>
      </c>
      <c r="K18" s="105" t="e">
        <f>VLOOKUP(A18,'[2]Billing Dimensions'!$A:$N,11,FALSE)-VLOOKUP(A18,'Audit Dimensions'!$A:$N,11,FALSE)</f>
        <v>#N/A</v>
      </c>
      <c r="L18" s="105" t="e">
        <f>VLOOKUP(A18,'[2]Billing Dimensions'!$A:$N,12,FALSE)-VLOOKUP(A18,'Audit Dimensions'!$A:$N,12,FALSE)</f>
        <v>#N/A</v>
      </c>
      <c r="M18" s="105" t="e">
        <f>VLOOKUP(A18,'[2]Billing Dimensions'!$A:$N,13,FALSE)-VLOOKUP(A18,'Audit Dimensions'!$A:$N,13,FALSE)</f>
        <v>#N/A</v>
      </c>
      <c r="N18" s="105" t="e">
        <f>VLOOKUP(A18,'[2]Billing Dimensions'!$A:$N,14,FALSE)-VLOOKUP(A18,'Audit Dimensions'!$A:$N,14,FALSE)</f>
        <v>#N/A</v>
      </c>
      <c r="O18" s="104" t="e">
        <f>VLOOKUP(A18,'[2]Billing Dimensions'!A:Q,16,FALSE)-VLOOKUP('Audit VAR'!A18,'Audit Dimensions'!A:P,16,FALSE)</f>
        <v>#N/A</v>
      </c>
      <c r="P18" s="103" t="e">
        <f>O18/1000</f>
        <v>#N/A</v>
      </c>
      <c r="Q18" s="102" t="e">
        <f>(((C18*D18*E18)+(G18*H18*I18)+(K18*L18*M18))/1000000)*35.32</f>
        <v>#N/A</v>
      </c>
      <c r="R18" s="46" t="e">
        <f>P18/Q18</f>
        <v>#N/A</v>
      </c>
    </row>
    <row r="19" spans="1:18" hidden="1" x14ac:dyDescent="0.3">
      <c r="A19" s="122" t="s">
        <v>280</v>
      </c>
      <c r="B19" s="88" t="str">
        <f>VLOOKUP(A19,'[2]Billing Dimensions'!A:B,2,FALSE)</f>
        <v>SB</v>
      </c>
      <c r="C19" s="115">
        <f>VLOOKUP(A19,'[2]Billing Dimensions'!$A:$N,3,FALSE)-VLOOKUP(A19,'Audit Dimensions'!$A:$N,3,FALSE)</f>
        <v>-2</v>
      </c>
      <c r="D19" s="115">
        <f>VLOOKUP(A19,'[2]Billing Dimensions'!$A:$N,4,FALSE)-VLOOKUP(A19,'Audit Dimensions'!$A:$N,4,FALSE)</f>
        <v>0</v>
      </c>
      <c r="E19" s="115">
        <f>VLOOKUP(A19,'[2]Billing Dimensions'!$A:$N,5,FALSE)-VLOOKUP(A19,'Audit Dimensions'!$A:$N,5,FALSE)</f>
        <v>-3</v>
      </c>
      <c r="F19" s="114">
        <f>VLOOKUP(A19,'[2]Billing Dimensions'!$A:$N,6,FALSE)-VLOOKUP(A19,'Audit Dimensions'!$A:$N,6,FALSE)</f>
        <v>-550</v>
      </c>
      <c r="G19" s="107">
        <f>VLOOKUP(A19,'[2]Billing Dimensions'!$A:$N,7,FALSE)-VLOOKUP(A19,'Audit Dimensions'!$A:$N,7,FALSE)</f>
        <v>0</v>
      </c>
      <c r="H19" s="107">
        <f>VLOOKUP(A19,'[2]Billing Dimensions'!$A:$N,8,FALSE)-VLOOKUP(A19,'Audit Dimensions'!$A:$N,8,FALSE)</f>
        <v>0</v>
      </c>
      <c r="I19" s="107">
        <f>VLOOKUP(A19,'[2]Billing Dimensions'!$A:$N,9,FALSE)-VLOOKUP(A19,'Audit Dimensions'!$A:$N,9,FALSE)</f>
        <v>0</v>
      </c>
      <c r="J19" s="106">
        <f>VLOOKUP(A19,'[2]Billing Dimensions'!$A:$N,10,FALSE)-VLOOKUP(A19,'Audit Dimensions'!$A:$N,10,FALSE)</f>
        <v>0</v>
      </c>
      <c r="K19" s="105">
        <f>VLOOKUP(A19,'[2]Billing Dimensions'!$A:$N,11,FALSE)-VLOOKUP(A19,'Audit Dimensions'!$A:$N,11,FALSE)</f>
        <v>0</v>
      </c>
      <c r="L19" s="105">
        <f>VLOOKUP(A19,'[2]Billing Dimensions'!$A:$N,12,FALSE)-VLOOKUP(A19,'Audit Dimensions'!$A:$N,12,FALSE)</f>
        <v>0</v>
      </c>
      <c r="M19" s="105">
        <f>VLOOKUP(A19,'[2]Billing Dimensions'!$A:$N,13,FALSE)-VLOOKUP(A19,'Audit Dimensions'!$A:$N,13,FALSE)</f>
        <v>0</v>
      </c>
      <c r="N19" s="105">
        <f>VLOOKUP(A19,'[2]Billing Dimensions'!$A:$N,14,FALSE)-VLOOKUP(A19,'Audit Dimensions'!$A:$N,14,FALSE)</f>
        <v>0</v>
      </c>
      <c r="O19" s="104">
        <f>VLOOKUP(A19,'[2]Billing Dimensions'!A:Q,16,FALSE)-VLOOKUP('Audit VAR'!A19,'Audit Dimensions'!A:P,16,FALSE)</f>
        <v>-550</v>
      </c>
      <c r="P19" s="103">
        <f>O19/1000</f>
        <v>-0.55000000000000004</v>
      </c>
      <c r="Q19" s="102">
        <f>(((C19*D19*E19)+(G19*H19*I19)+(K19*L19*M19))/1000000)*35.32</f>
        <v>0</v>
      </c>
      <c r="R19" s="46" t="e">
        <f>P19/Q19</f>
        <v>#DIV/0!</v>
      </c>
    </row>
    <row r="20" spans="1:18" hidden="1" x14ac:dyDescent="0.3">
      <c r="A20" s="125" t="s">
        <v>279</v>
      </c>
      <c r="B20" s="88" t="str">
        <f>VLOOKUP(A20,'[2]Billing Dimensions'!A:B,2,FALSE)</f>
        <v>SB</v>
      </c>
      <c r="C20" s="115">
        <f>VLOOKUP(A20,'[2]Billing Dimensions'!$A:$N,3,FALSE)-VLOOKUP(A20,'Audit Dimensions'!$A:$N,3,FALSE)</f>
        <v>11</v>
      </c>
      <c r="D20" s="115">
        <f>VLOOKUP(A20,'[2]Billing Dimensions'!$A:$N,4,FALSE)-VLOOKUP(A20,'Audit Dimensions'!$A:$N,4,FALSE)</f>
        <v>1</v>
      </c>
      <c r="E20" s="115">
        <f>VLOOKUP(A20,'[2]Billing Dimensions'!$A:$N,5,FALSE)-VLOOKUP(A20,'Audit Dimensions'!$A:$N,5,FALSE)</f>
        <v>-5</v>
      </c>
      <c r="F20" s="114">
        <f>VLOOKUP(A20,'[2]Billing Dimensions'!$A:$N,6,FALSE)-VLOOKUP(A20,'Audit Dimensions'!$A:$N,6,FALSE)</f>
        <v>-410</v>
      </c>
      <c r="G20" s="107">
        <f>VLOOKUP(A20,'[2]Billing Dimensions'!$A:$N,7,FALSE)-VLOOKUP(A20,'Audit Dimensions'!$A:$N,7,FALSE)</f>
        <v>0</v>
      </c>
      <c r="H20" s="107">
        <f>VLOOKUP(A20,'[2]Billing Dimensions'!$A:$N,8,FALSE)-VLOOKUP(A20,'Audit Dimensions'!$A:$N,8,FALSE)</f>
        <v>0</v>
      </c>
      <c r="I20" s="107">
        <f>VLOOKUP(A20,'[2]Billing Dimensions'!$A:$N,9,FALSE)-VLOOKUP(A20,'Audit Dimensions'!$A:$N,9,FALSE)</f>
        <v>0</v>
      </c>
      <c r="J20" s="106">
        <f>VLOOKUP(A20,'[2]Billing Dimensions'!$A:$N,10,FALSE)-VLOOKUP(A20,'Audit Dimensions'!$A:$N,10,FALSE)</f>
        <v>0</v>
      </c>
      <c r="K20" s="105">
        <f>VLOOKUP(A20,'[2]Billing Dimensions'!$A:$N,11,FALSE)-VLOOKUP(A20,'Audit Dimensions'!$A:$N,11,FALSE)</f>
        <v>0</v>
      </c>
      <c r="L20" s="105">
        <f>VLOOKUP(A20,'[2]Billing Dimensions'!$A:$N,12,FALSE)-VLOOKUP(A20,'Audit Dimensions'!$A:$N,12,FALSE)</f>
        <v>0</v>
      </c>
      <c r="M20" s="105">
        <f>VLOOKUP(A20,'[2]Billing Dimensions'!$A:$N,13,FALSE)-VLOOKUP(A20,'Audit Dimensions'!$A:$N,13,FALSE)</f>
        <v>0</v>
      </c>
      <c r="N20" s="105">
        <f>VLOOKUP(A20,'[2]Billing Dimensions'!$A:$N,14,FALSE)-VLOOKUP(A20,'Audit Dimensions'!$A:$N,14,FALSE)</f>
        <v>0</v>
      </c>
      <c r="O20" s="104">
        <f>VLOOKUP(A20,'[2]Billing Dimensions'!A:Q,16,FALSE)-VLOOKUP('Audit VAR'!A20,'Audit Dimensions'!A:P,16,FALSE)</f>
        <v>-410</v>
      </c>
      <c r="P20" s="103">
        <f>O20/1000</f>
        <v>-0.41</v>
      </c>
      <c r="Q20" s="102">
        <f>(((C20*D20*E20)+(G20*H20*I20)+(K20*L20*M20))/1000000)*35.32</f>
        <v>-1.9426000000000001E-3</v>
      </c>
      <c r="R20" s="46">
        <f>P20/Q20</f>
        <v>211.05734582518272</v>
      </c>
    </row>
    <row r="21" spans="1:18" hidden="1" x14ac:dyDescent="0.3">
      <c r="A21" s="122" t="s">
        <v>353</v>
      </c>
      <c r="B21" s="88" t="str">
        <f>VLOOKUP(A21,'[2]Billing Dimensions'!A:B,2,FALSE)</f>
        <v> </v>
      </c>
      <c r="C21" s="115" t="e">
        <f>VLOOKUP(A21,'[2]Billing Dimensions'!$A:$N,3,FALSE)-VLOOKUP(A21,'Audit Dimensions'!$A:$N,3,FALSE)</f>
        <v>#N/A</v>
      </c>
      <c r="D21" s="115" t="e">
        <f>VLOOKUP(A21,'[2]Billing Dimensions'!$A:$N,4,FALSE)-VLOOKUP(A21,'Audit Dimensions'!$A:$N,4,FALSE)</f>
        <v>#N/A</v>
      </c>
      <c r="E21" s="115" t="e">
        <f>VLOOKUP(A21,'[2]Billing Dimensions'!$A:$N,5,FALSE)-VLOOKUP(A21,'Audit Dimensions'!$A:$N,5,FALSE)</f>
        <v>#N/A</v>
      </c>
      <c r="F21" s="114" t="e">
        <f>VLOOKUP(A21,'[2]Billing Dimensions'!$A:$N,6,FALSE)-VLOOKUP(A21,'Audit Dimensions'!$A:$N,6,FALSE)</f>
        <v>#N/A</v>
      </c>
      <c r="G21" s="107" t="e">
        <f>VLOOKUP(A21,'[2]Billing Dimensions'!$A:$N,7,FALSE)-VLOOKUP(A21,'Audit Dimensions'!$A:$N,7,FALSE)</f>
        <v>#N/A</v>
      </c>
      <c r="H21" s="107" t="e">
        <f>VLOOKUP(A21,'[2]Billing Dimensions'!$A:$N,8,FALSE)-VLOOKUP(A21,'Audit Dimensions'!$A:$N,8,FALSE)</f>
        <v>#N/A</v>
      </c>
      <c r="I21" s="107" t="e">
        <f>VLOOKUP(A21,'[2]Billing Dimensions'!$A:$N,9,FALSE)-VLOOKUP(A21,'Audit Dimensions'!$A:$N,9,FALSE)</f>
        <v>#N/A</v>
      </c>
      <c r="J21" s="106" t="e">
        <f>VLOOKUP(A21,'[2]Billing Dimensions'!$A:$N,10,FALSE)-VLOOKUP(A21,'Audit Dimensions'!$A:$N,10,FALSE)</f>
        <v>#N/A</v>
      </c>
      <c r="K21" s="105" t="e">
        <f>VLOOKUP(A21,'[2]Billing Dimensions'!$A:$N,11,FALSE)-VLOOKUP(A21,'Audit Dimensions'!$A:$N,11,FALSE)</f>
        <v>#N/A</v>
      </c>
      <c r="L21" s="105" t="e">
        <f>VLOOKUP(A21,'[2]Billing Dimensions'!$A:$N,12,FALSE)-VLOOKUP(A21,'Audit Dimensions'!$A:$N,12,FALSE)</f>
        <v>#N/A</v>
      </c>
      <c r="M21" s="105" t="e">
        <f>VLOOKUP(A21,'[2]Billing Dimensions'!$A:$N,13,FALSE)-VLOOKUP(A21,'Audit Dimensions'!$A:$N,13,FALSE)</f>
        <v>#N/A</v>
      </c>
      <c r="N21" s="105" t="e">
        <f>VLOOKUP(A21,'[2]Billing Dimensions'!$A:$N,14,FALSE)-VLOOKUP(A21,'Audit Dimensions'!$A:$N,14,FALSE)</f>
        <v>#N/A</v>
      </c>
      <c r="O21" s="104" t="e">
        <f>VLOOKUP(A21,'[2]Billing Dimensions'!A:Q,16,FALSE)-VLOOKUP('Audit VAR'!A21,'Audit Dimensions'!A:P,16,FALSE)</f>
        <v>#N/A</v>
      </c>
      <c r="P21" s="103" t="e">
        <f>O21/1000</f>
        <v>#N/A</v>
      </c>
      <c r="Q21" s="102" t="e">
        <f>(((C21*D21*E21)+(G21*H21*I21)+(K21*L21*M21))/1000000)*35.32</f>
        <v>#N/A</v>
      </c>
      <c r="R21" s="46" t="e">
        <f>P21/Q21</f>
        <v>#N/A</v>
      </c>
    </row>
    <row r="22" spans="1:18" hidden="1" x14ac:dyDescent="0.3">
      <c r="A22" s="122" t="s">
        <v>278</v>
      </c>
      <c r="B22" s="88" t="str">
        <f>VLOOKUP(A22,'[2]Billing Dimensions'!A:B,2,FALSE)</f>
        <v>SB</v>
      </c>
      <c r="C22" s="115">
        <f>VLOOKUP(A22,'[2]Billing Dimensions'!$A:$N,3,FALSE)-VLOOKUP(A22,'Audit Dimensions'!$A:$N,3,FALSE)</f>
        <v>0</v>
      </c>
      <c r="D22" s="115">
        <f>VLOOKUP(A22,'[2]Billing Dimensions'!$A:$N,4,FALSE)-VLOOKUP(A22,'Audit Dimensions'!$A:$N,4,FALSE)</f>
        <v>0</v>
      </c>
      <c r="E22" s="115">
        <f>VLOOKUP(A22,'[2]Billing Dimensions'!$A:$N,5,FALSE)-VLOOKUP(A22,'Audit Dimensions'!$A:$N,5,FALSE)</f>
        <v>0</v>
      </c>
      <c r="F22" s="114">
        <f>VLOOKUP(A22,'[2]Billing Dimensions'!$A:$N,6,FALSE)-VLOOKUP(A22,'Audit Dimensions'!$A:$N,6,FALSE)</f>
        <v>0</v>
      </c>
      <c r="G22" s="107">
        <f>VLOOKUP(A22,'[2]Billing Dimensions'!$A:$N,7,FALSE)-VLOOKUP(A22,'Audit Dimensions'!$A:$N,7,FALSE)</f>
        <v>0</v>
      </c>
      <c r="H22" s="107">
        <f>VLOOKUP(A22,'[2]Billing Dimensions'!$A:$N,8,FALSE)-VLOOKUP(A22,'Audit Dimensions'!$A:$N,8,FALSE)</f>
        <v>0</v>
      </c>
      <c r="I22" s="107">
        <f>VLOOKUP(A22,'[2]Billing Dimensions'!$A:$N,9,FALSE)-VLOOKUP(A22,'Audit Dimensions'!$A:$N,9,FALSE)</f>
        <v>0</v>
      </c>
      <c r="J22" s="106">
        <f>VLOOKUP(A22,'[2]Billing Dimensions'!$A:$N,10,FALSE)-VLOOKUP(A22,'Audit Dimensions'!$A:$N,10,FALSE)</f>
        <v>0</v>
      </c>
      <c r="K22" s="105">
        <f>VLOOKUP(A22,'[2]Billing Dimensions'!$A:$N,11,FALSE)-VLOOKUP(A22,'Audit Dimensions'!$A:$N,11,FALSE)</f>
        <v>0</v>
      </c>
      <c r="L22" s="105">
        <f>VLOOKUP(A22,'[2]Billing Dimensions'!$A:$N,12,FALSE)-VLOOKUP(A22,'Audit Dimensions'!$A:$N,12,FALSE)</f>
        <v>0</v>
      </c>
      <c r="M22" s="105">
        <f>VLOOKUP(A22,'[2]Billing Dimensions'!$A:$N,13,FALSE)-VLOOKUP(A22,'Audit Dimensions'!$A:$N,13,FALSE)</f>
        <v>0</v>
      </c>
      <c r="N22" s="105">
        <f>VLOOKUP(A22,'[2]Billing Dimensions'!$A:$N,14,FALSE)-VLOOKUP(A22,'Audit Dimensions'!$A:$N,14,FALSE)</f>
        <v>0</v>
      </c>
      <c r="O22" s="104">
        <f>VLOOKUP(A22,'[2]Billing Dimensions'!A:Q,16,FALSE)-VLOOKUP('Audit VAR'!A22,'Audit Dimensions'!A:P,16,FALSE)</f>
        <v>0</v>
      </c>
      <c r="P22" s="103">
        <f>O22/1000</f>
        <v>0</v>
      </c>
      <c r="Q22" s="102">
        <f>(((C22*D22*E22)+(G22*H22*I22)+(K22*L22*M22))/1000000)*35.32</f>
        <v>0</v>
      </c>
      <c r="R22" s="46" t="e">
        <f>P22/Q22</f>
        <v>#DIV/0!</v>
      </c>
    </row>
    <row r="23" spans="1:18" ht="12.45" hidden="1" customHeight="1" x14ac:dyDescent="0.3">
      <c r="A23" s="127" t="s">
        <v>277</v>
      </c>
      <c r="B23" s="88" t="str">
        <f>VLOOKUP(A23,'[2]Billing Dimensions'!A:B,2,FALSE)</f>
        <v>SB</v>
      </c>
      <c r="C23" s="115">
        <f>VLOOKUP(A23,'[2]Billing Dimensions'!$A:$N,3,FALSE)-VLOOKUP(A23,'Audit Dimensions'!$A:$N,3,FALSE)</f>
        <v>16</v>
      </c>
      <c r="D23" s="115">
        <f>VLOOKUP(A23,'[2]Billing Dimensions'!$A:$N,4,FALSE)-VLOOKUP(A23,'Audit Dimensions'!$A:$N,4,FALSE)</f>
        <v>7</v>
      </c>
      <c r="E23" s="115">
        <f>VLOOKUP(A23,'[2]Billing Dimensions'!$A:$N,5,FALSE)-VLOOKUP(A23,'Audit Dimensions'!$A:$N,5,FALSE)</f>
        <v>-3</v>
      </c>
      <c r="F23" s="114">
        <f>VLOOKUP(A23,'[2]Billing Dimensions'!$A:$N,6,FALSE)-VLOOKUP(A23,'Audit Dimensions'!$A:$N,6,FALSE)</f>
        <v>3700</v>
      </c>
      <c r="G23" s="107">
        <f>VLOOKUP(A23,'[2]Billing Dimensions'!$A:$N,7,FALSE)-VLOOKUP(A23,'Audit Dimensions'!$A:$N,7,FALSE)</f>
        <v>0</v>
      </c>
      <c r="H23" s="107">
        <f>VLOOKUP(A23,'[2]Billing Dimensions'!$A:$N,8,FALSE)-VLOOKUP(A23,'Audit Dimensions'!$A:$N,8,FALSE)</f>
        <v>0</v>
      </c>
      <c r="I23" s="107">
        <f>VLOOKUP(A23,'[2]Billing Dimensions'!$A:$N,9,FALSE)-VLOOKUP(A23,'Audit Dimensions'!$A:$N,9,FALSE)</f>
        <v>0</v>
      </c>
      <c r="J23" s="106">
        <f>VLOOKUP(A23,'[2]Billing Dimensions'!$A:$N,10,FALSE)-VLOOKUP(A23,'Audit Dimensions'!$A:$N,10,FALSE)</f>
        <v>0</v>
      </c>
      <c r="K23" s="105">
        <f>VLOOKUP(A23,'[2]Billing Dimensions'!$A:$N,11,FALSE)-VLOOKUP(A23,'Audit Dimensions'!$A:$N,11,FALSE)</f>
        <v>0</v>
      </c>
      <c r="L23" s="105">
        <f>VLOOKUP(A23,'[2]Billing Dimensions'!$A:$N,12,FALSE)-VLOOKUP(A23,'Audit Dimensions'!$A:$N,12,FALSE)</f>
        <v>0</v>
      </c>
      <c r="M23" s="105">
        <f>VLOOKUP(A23,'[2]Billing Dimensions'!$A:$N,13,FALSE)-VLOOKUP(A23,'Audit Dimensions'!$A:$N,13,FALSE)</f>
        <v>0</v>
      </c>
      <c r="N23" s="105">
        <f>VLOOKUP(A23,'[2]Billing Dimensions'!$A:$N,14,FALSE)-VLOOKUP(A23,'Audit Dimensions'!$A:$N,14,FALSE)</f>
        <v>0</v>
      </c>
      <c r="O23" s="104">
        <f>VLOOKUP(A23,'[2]Billing Dimensions'!A:Q,16,FALSE)-VLOOKUP('Audit VAR'!A23,'Audit Dimensions'!A:P,16,FALSE)</f>
        <v>3700</v>
      </c>
      <c r="P23" s="103">
        <f>O23/1000</f>
        <v>3.7</v>
      </c>
      <c r="Q23" s="102">
        <f>(((C23*D23*E23)+(G23*H23*I23)+(K23*L23*M23))/1000000)*35.32</f>
        <v>-1.1867519999999999E-2</v>
      </c>
      <c r="R23" s="46">
        <f>P23/Q23</f>
        <v>-311.77533300976114</v>
      </c>
    </row>
    <row r="24" spans="1:18" hidden="1" x14ac:dyDescent="0.3">
      <c r="A24" s="122" t="s">
        <v>276</v>
      </c>
      <c r="B24" s="88" t="str">
        <f>VLOOKUP(A24,'[2]Billing Dimensions'!A:B,2,FALSE)</f>
        <v>SB</v>
      </c>
      <c r="C24" s="115">
        <f>VLOOKUP(A24,'[2]Billing Dimensions'!$A:$N,3,FALSE)-VLOOKUP(A24,'Audit Dimensions'!$A:$N,3,FALSE)</f>
        <v>0</v>
      </c>
      <c r="D24" s="115">
        <f>VLOOKUP(A24,'[2]Billing Dimensions'!$A:$N,4,FALSE)-VLOOKUP(A24,'Audit Dimensions'!$A:$N,4,FALSE)</f>
        <v>-4</v>
      </c>
      <c r="E24" s="115">
        <f>VLOOKUP(A24,'[2]Billing Dimensions'!$A:$N,5,FALSE)-VLOOKUP(A24,'Audit Dimensions'!$A:$N,5,FALSE)</f>
        <v>0</v>
      </c>
      <c r="F24" s="114">
        <f>VLOOKUP(A24,'[2]Billing Dimensions'!$A:$N,6,FALSE)-VLOOKUP(A24,'Audit Dimensions'!$A:$N,6,FALSE)</f>
        <v>-2050</v>
      </c>
      <c r="G24" s="107">
        <f>VLOOKUP(A24,'[2]Billing Dimensions'!$A:$N,7,FALSE)-VLOOKUP(A24,'Audit Dimensions'!$A:$N,7,FALSE)</f>
        <v>0</v>
      </c>
      <c r="H24" s="107">
        <f>VLOOKUP(A24,'[2]Billing Dimensions'!$A:$N,8,FALSE)-VLOOKUP(A24,'Audit Dimensions'!$A:$N,8,FALSE)</f>
        <v>0</v>
      </c>
      <c r="I24" s="107">
        <f>VLOOKUP(A24,'[2]Billing Dimensions'!$A:$N,9,FALSE)-VLOOKUP(A24,'Audit Dimensions'!$A:$N,9,FALSE)</f>
        <v>0</v>
      </c>
      <c r="J24" s="106">
        <f>VLOOKUP(A24,'[2]Billing Dimensions'!$A:$N,10,FALSE)-VLOOKUP(A24,'Audit Dimensions'!$A:$N,10,FALSE)</f>
        <v>0</v>
      </c>
      <c r="K24" s="105">
        <f>VLOOKUP(A24,'[2]Billing Dimensions'!$A:$N,11,FALSE)-VLOOKUP(A24,'Audit Dimensions'!$A:$N,11,FALSE)</f>
        <v>0</v>
      </c>
      <c r="L24" s="105">
        <f>VLOOKUP(A24,'[2]Billing Dimensions'!$A:$N,12,FALSE)-VLOOKUP(A24,'Audit Dimensions'!$A:$N,12,FALSE)</f>
        <v>0</v>
      </c>
      <c r="M24" s="105">
        <f>VLOOKUP(A24,'[2]Billing Dimensions'!$A:$N,13,FALSE)-VLOOKUP(A24,'Audit Dimensions'!$A:$N,13,FALSE)</f>
        <v>0</v>
      </c>
      <c r="N24" s="105">
        <f>VLOOKUP(A24,'[2]Billing Dimensions'!$A:$N,14,FALSE)-VLOOKUP(A24,'Audit Dimensions'!$A:$N,14,FALSE)</f>
        <v>0</v>
      </c>
      <c r="O24" s="104">
        <f>VLOOKUP(A24,'[2]Billing Dimensions'!A:Q,16,FALSE)-VLOOKUP('Audit VAR'!A24,'Audit Dimensions'!A:P,16,FALSE)</f>
        <v>-2050</v>
      </c>
      <c r="P24" s="103">
        <f>O24/1000</f>
        <v>-2.0499999999999998</v>
      </c>
      <c r="Q24" s="102">
        <f>(((C24*D24*E24)+(G24*H24*I24)+(K24*L24*M24))/1000000)*35.32</f>
        <v>0</v>
      </c>
      <c r="R24" s="46" t="e">
        <f>P24/Q24</f>
        <v>#DIV/0!</v>
      </c>
    </row>
    <row r="25" spans="1:18" ht="12.45" hidden="1" customHeight="1" x14ac:dyDescent="0.3">
      <c r="A25" s="122" t="s">
        <v>275</v>
      </c>
      <c r="B25" s="88" t="str">
        <f>VLOOKUP(A25,'[2]Billing Dimensions'!A:B,2,FALSE)</f>
        <v>SB</v>
      </c>
      <c r="C25" s="115">
        <f>VLOOKUP(A25,'[2]Billing Dimensions'!$A:$N,3,FALSE)-VLOOKUP(A25,'Audit Dimensions'!$A:$N,3,FALSE)</f>
        <v>-1</v>
      </c>
      <c r="D25" s="115">
        <f>VLOOKUP(A25,'[2]Billing Dimensions'!$A:$N,4,FALSE)-VLOOKUP(A25,'Audit Dimensions'!$A:$N,4,FALSE)</f>
        <v>0</v>
      </c>
      <c r="E25" s="115">
        <f>VLOOKUP(A25,'[2]Billing Dimensions'!$A:$N,5,FALSE)-VLOOKUP(A25,'Audit Dimensions'!$A:$N,5,FALSE)</f>
        <v>0</v>
      </c>
      <c r="F25" s="114">
        <f>VLOOKUP(A25,'[2]Billing Dimensions'!$A:$N,6,FALSE)-VLOOKUP(A25,'Audit Dimensions'!$A:$N,6,FALSE)</f>
        <v>-980</v>
      </c>
      <c r="G25" s="107">
        <f>VLOOKUP(A25,'[2]Billing Dimensions'!$A:$N,7,FALSE)-VLOOKUP(A25,'Audit Dimensions'!$A:$N,7,FALSE)</f>
        <v>0</v>
      </c>
      <c r="H25" s="107">
        <f>VLOOKUP(A25,'[2]Billing Dimensions'!$A:$N,8,FALSE)-VLOOKUP(A25,'Audit Dimensions'!$A:$N,8,FALSE)</f>
        <v>0</v>
      </c>
      <c r="I25" s="107">
        <f>VLOOKUP(A25,'[2]Billing Dimensions'!$A:$N,9,FALSE)-VLOOKUP(A25,'Audit Dimensions'!$A:$N,9,FALSE)</f>
        <v>0</v>
      </c>
      <c r="J25" s="106">
        <f>VLOOKUP(A25,'[2]Billing Dimensions'!$A:$N,10,FALSE)-VLOOKUP(A25,'Audit Dimensions'!$A:$N,10,FALSE)</f>
        <v>0</v>
      </c>
      <c r="K25" s="105">
        <f>VLOOKUP(A25,'[2]Billing Dimensions'!$A:$N,11,FALSE)-VLOOKUP(A25,'Audit Dimensions'!$A:$N,11,FALSE)</f>
        <v>0</v>
      </c>
      <c r="L25" s="105">
        <f>VLOOKUP(A25,'[2]Billing Dimensions'!$A:$N,12,FALSE)-VLOOKUP(A25,'Audit Dimensions'!$A:$N,12,FALSE)</f>
        <v>0</v>
      </c>
      <c r="M25" s="105">
        <f>VLOOKUP(A25,'[2]Billing Dimensions'!$A:$N,13,FALSE)-VLOOKUP(A25,'Audit Dimensions'!$A:$N,13,FALSE)</f>
        <v>0</v>
      </c>
      <c r="N25" s="105">
        <f>VLOOKUP(A25,'[2]Billing Dimensions'!$A:$N,14,FALSE)-VLOOKUP(A25,'Audit Dimensions'!$A:$N,14,FALSE)</f>
        <v>0</v>
      </c>
      <c r="O25" s="104">
        <f>VLOOKUP(A25,'[2]Billing Dimensions'!A:Q,16,FALSE)-VLOOKUP('Audit VAR'!A25,'Audit Dimensions'!A:P,16,FALSE)</f>
        <v>-980</v>
      </c>
      <c r="P25" s="103">
        <f>O25/1000</f>
        <v>-0.98</v>
      </c>
      <c r="Q25" s="102">
        <f>(((C25*D25*E25)+(G25*H25*I25)+(K25*L25*M25))/1000000)*35.32</f>
        <v>0</v>
      </c>
      <c r="R25" s="46" t="e">
        <f>P25/Q25</f>
        <v>#DIV/0!</v>
      </c>
    </row>
    <row r="26" spans="1:18" hidden="1" x14ac:dyDescent="0.3">
      <c r="A26" s="122" t="s">
        <v>274</v>
      </c>
      <c r="B26" s="88" t="str">
        <f>VLOOKUP(A26,'[2]Billing Dimensions'!A:B,2,FALSE)</f>
        <v>SB</v>
      </c>
      <c r="C26" s="115">
        <f>VLOOKUP(A26,'[2]Billing Dimensions'!$A:$N,3,FALSE)-VLOOKUP(A26,'Audit Dimensions'!$A:$N,3,FALSE)</f>
        <v>-2</v>
      </c>
      <c r="D26" s="115">
        <f>VLOOKUP(A26,'[2]Billing Dimensions'!$A:$N,4,FALSE)-VLOOKUP(A26,'Audit Dimensions'!$A:$N,4,FALSE)</f>
        <v>1</v>
      </c>
      <c r="E26" s="115">
        <f>VLOOKUP(A26,'[2]Billing Dimensions'!$A:$N,5,FALSE)-VLOOKUP(A26,'Audit Dimensions'!$A:$N,5,FALSE)</f>
        <v>0</v>
      </c>
      <c r="F26" s="114">
        <f>VLOOKUP(A26,'[2]Billing Dimensions'!$A:$N,6,FALSE)-VLOOKUP(A26,'Audit Dimensions'!$A:$N,6,FALSE)</f>
        <v>-160</v>
      </c>
      <c r="G26" s="107">
        <f>VLOOKUP(A26,'[2]Billing Dimensions'!$A:$N,7,FALSE)-VLOOKUP(A26,'Audit Dimensions'!$A:$N,7,FALSE)</f>
        <v>0</v>
      </c>
      <c r="H26" s="107">
        <f>VLOOKUP(A26,'[2]Billing Dimensions'!$A:$N,8,FALSE)-VLOOKUP(A26,'Audit Dimensions'!$A:$N,8,FALSE)</f>
        <v>0</v>
      </c>
      <c r="I26" s="107">
        <f>VLOOKUP(A26,'[2]Billing Dimensions'!$A:$N,9,FALSE)-VLOOKUP(A26,'Audit Dimensions'!$A:$N,9,FALSE)</f>
        <v>0</v>
      </c>
      <c r="J26" s="106">
        <f>VLOOKUP(A26,'[2]Billing Dimensions'!$A:$N,10,FALSE)-VLOOKUP(A26,'Audit Dimensions'!$A:$N,10,FALSE)</f>
        <v>0</v>
      </c>
      <c r="K26" s="105">
        <f>VLOOKUP(A26,'[2]Billing Dimensions'!$A:$N,11,FALSE)-VLOOKUP(A26,'Audit Dimensions'!$A:$N,11,FALSE)</f>
        <v>0</v>
      </c>
      <c r="L26" s="105">
        <f>VLOOKUP(A26,'[2]Billing Dimensions'!$A:$N,12,FALSE)-VLOOKUP(A26,'Audit Dimensions'!$A:$N,12,FALSE)</f>
        <v>0</v>
      </c>
      <c r="M26" s="105">
        <f>VLOOKUP(A26,'[2]Billing Dimensions'!$A:$N,13,FALSE)-VLOOKUP(A26,'Audit Dimensions'!$A:$N,13,FALSE)</f>
        <v>0</v>
      </c>
      <c r="N26" s="105">
        <f>VLOOKUP(A26,'[2]Billing Dimensions'!$A:$N,14,FALSE)-VLOOKUP(A26,'Audit Dimensions'!$A:$N,14,FALSE)</f>
        <v>0</v>
      </c>
      <c r="O26" s="104">
        <f>VLOOKUP(A26,'[2]Billing Dimensions'!A:Q,16,FALSE)-VLOOKUP('Audit VAR'!A26,'Audit Dimensions'!A:P,16,FALSE)</f>
        <v>-160</v>
      </c>
      <c r="P26" s="103">
        <f>O26/1000</f>
        <v>-0.16</v>
      </c>
      <c r="Q26" s="102">
        <f>(((C26*D26*E26)+(G26*H26*I26)+(K26*L26*M26))/1000000)*35.32</f>
        <v>0</v>
      </c>
      <c r="R26" s="46" t="e">
        <f>P26/Q26</f>
        <v>#DIV/0!</v>
      </c>
    </row>
    <row r="27" spans="1:18" ht="12.45" hidden="1" customHeight="1" x14ac:dyDescent="0.3">
      <c r="A27" s="122" t="s">
        <v>273</v>
      </c>
      <c r="B27" s="88" t="str">
        <f>VLOOKUP(A27,'[2]Billing Dimensions'!A:B,2,FALSE)</f>
        <v>SB</v>
      </c>
      <c r="C27" s="115">
        <f>VLOOKUP(A27,'[2]Billing Dimensions'!$A:$N,3,FALSE)-VLOOKUP(A27,'Audit Dimensions'!$A:$N,3,FALSE)</f>
        <v>-2</v>
      </c>
      <c r="D27" s="115">
        <f>VLOOKUP(A27,'[2]Billing Dimensions'!$A:$N,4,FALSE)-VLOOKUP(A27,'Audit Dimensions'!$A:$N,4,FALSE)</f>
        <v>-2</v>
      </c>
      <c r="E27" s="115">
        <f>VLOOKUP(A27,'[2]Billing Dimensions'!$A:$N,5,FALSE)-VLOOKUP(A27,'Audit Dimensions'!$A:$N,5,FALSE)</f>
        <v>0</v>
      </c>
      <c r="F27" s="114">
        <f>VLOOKUP(A27,'[2]Billing Dimensions'!$A:$N,6,FALSE)-VLOOKUP(A27,'Audit Dimensions'!$A:$N,6,FALSE)</f>
        <v>150</v>
      </c>
      <c r="G27" s="107">
        <f>VLOOKUP(A27,'[2]Billing Dimensions'!$A:$N,7,FALSE)-VLOOKUP(A27,'Audit Dimensions'!$A:$N,7,FALSE)</f>
        <v>0</v>
      </c>
      <c r="H27" s="107">
        <f>VLOOKUP(A27,'[2]Billing Dimensions'!$A:$N,8,FALSE)-VLOOKUP(A27,'Audit Dimensions'!$A:$N,8,FALSE)</f>
        <v>0</v>
      </c>
      <c r="I27" s="107">
        <f>VLOOKUP(A27,'[2]Billing Dimensions'!$A:$N,9,FALSE)-VLOOKUP(A27,'Audit Dimensions'!$A:$N,9,FALSE)</f>
        <v>0</v>
      </c>
      <c r="J27" s="106">
        <f>VLOOKUP(A27,'[2]Billing Dimensions'!$A:$N,10,FALSE)-VLOOKUP(A27,'Audit Dimensions'!$A:$N,10,FALSE)</f>
        <v>0</v>
      </c>
      <c r="K27" s="105">
        <f>VLOOKUP(A27,'[2]Billing Dimensions'!$A:$N,11,FALSE)-VLOOKUP(A27,'Audit Dimensions'!$A:$N,11,FALSE)</f>
        <v>0</v>
      </c>
      <c r="L27" s="105">
        <f>VLOOKUP(A27,'[2]Billing Dimensions'!$A:$N,12,FALSE)-VLOOKUP(A27,'Audit Dimensions'!$A:$N,12,FALSE)</f>
        <v>0</v>
      </c>
      <c r="M27" s="105">
        <f>VLOOKUP(A27,'[2]Billing Dimensions'!$A:$N,13,FALSE)-VLOOKUP(A27,'Audit Dimensions'!$A:$N,13,FALSE)</f>
        <v>0</v>
      </c>
      <c r="N27" s="105">
        <f>VLOOKUP(A27,'[2]Billing Dimensions'!$A:$N,14,FALSE)-VLOOKUP(A27,'Audit Dimensions'!$A:$N,14,FALSE)</f>
        <v>0</v>
      </c>
      <c r="O27" s="104">
        <f>VLOOKUP(A27,'[2]Billing Dimensions'!A:Q,16,FALSE)-VLOOKUP('Audit VAR'!A27,'Audit Dimensions'!A:P,16,FALSE)</f>
        <v>150</v>
      </c>
      <c r="P27" s="103">
        <f>O27/1000</f>
        <v>0.15</v>
      </c>
      <c r="Q27" s="102">
        <f>(((C27*D27*E27)+(G27*H27*I27)+(K27*L27*M27))/1000000)*35.32</f>
        <v>0</v>
      </c>
      <c r="R27" s="46" t="e">
        <f>P27/Q27</f>
        <v>#DIV/0!</v>
      </c>
    </row>
    <row r="28" spans="1:18" hidden="1" x14ac:dyDescent="0.3">
      <c r="A28" s="122" t="s">
        <v>272</v>
      </c>
      <c r="B28" s="88" t="str">
        <f>VLOOKUP(A28,'[2]Billing Dimensions'!A:B,2,FALSE)</f>
        <v>SB</v>
      </c>
      <c r="C28" s="115">
        <f>VLOOKUP(A28,'[2]Billing Dimensions'!$A:$N,3,FALSE)-VLOOKUP(A28,'Audit Dimensions'!$A:$N,3,FALSE)</f>
        <v>-3</v>
      </c>
      <c r="D28" s="115">
        <f>VLOOKUP(A28,'[2]Billing Dimensions'!$A:$N,4,FALSE)-VLOOKUP(A28,'Audit Dimensions'!$A:$N,4,FALSE)</f>
        <v>-2</v>
      </c>
      <c r="E28" s="115">
        <f>VLOOKUP(A28,'[2]Billing Dimensions'!$A:$N,5,FALSE)-VLOOKUP(A28,'Audit Dimensions'!$A:$N,5,FALSE)</f>
        <v>0</v>
      </c>
      <c r="F28" s="114">
        <f>VLOOKUP(A28,'[2]Billing Dimensions'!$A:$N,6,FALSE)-VLOOKUP(A28,'Audit Dimensions'!$A:$N,6,FALSE)</f>
        <v>4100</v>
      </c>
      <c r="G28" s="107">
        <f>VLOOKUP(A28,'[2]Billing Dimensions'!$A:$N,7,FALSE)-VLOOKUP(A28,'Audit Dimensions'!$A:$N,7,FALSE)</f>
        <v>0</v>
      </c>
      <c r="H28" s="107">
        <f>VLOOKUP(A28,'[2]Billing Dimensions'!$A:$N,8,FALSE)-VLOOKUP(A28,'Audit Dimensions'!$A:$N,8,FALSE)</f>
        <v>0</v>
      </c>
      <c r="I28" s="107">
        <f>VLOOKUP(A28,'[2]Billing Dimensions'!$A:$N,9,FALSE)-VLOOKUP(A28,'Audit Dimensions'!$A:$N,9,FALSE)</f>
        <v>0</v>
      </c>
      <c r="J28" s="106">
        <f>VLOOKUP(A28,'[2]Billing Dimensions'!$A:$N,10,FALSE)-VLOOKUP(A28,'Audit Dimensions'!$A:$N,10,FALSE)</f>
        <v>0</v>
      </c>
      <c r="K28" s="105">
        <f>VLOOKUP(A28,'[2]Billing Dimensions'!$A:$N,11,FALSE)-VLOOKUP(A28,'Audit Dimensions'!$A:$N,11,FALSE)</f>
        <v>0</v>
      </c>
      <c r="L28" s="105">
        <f>VLOOKUP(A28,'[2]Billing Dimensions'!$A:$N,12,FALSE)-VLOOKUP(A28,'Audit Dimensions'!$A:$N,12,FALSE)</f>
        <v>0</v>
      </c>
      <c r="M28" s="105">
        <f>VLOOKUP(A28,'[2]Billing Dimensions'!$A:$N,13,FALSE)-VLOOKUP(A28,'Audit Dimensions'!$A:$N,13,FALSE)</f>
        <v>0</v>
      </c>
      <c r="N28" s="105">
        <f>VLOOKUP(A28,'[2]Billing Dimensions'!$A:$N,14,FALSE)-VLOOKUP(A28,'Audit Dimensions'!$A:$N,14,FALSE)</f>
        <v>0</v>
      </c>
      <c r="O28" s="104">
        <f>VLOOKUP(A28,'[2]Billing Dimensions'!A:Q,16,FALSE)-VLOOKUP('Audit VAR'!A28,'Audit Dimensions'!A:P,16,FALSE)</f>
        <v>4100</v>
      </c>
      <c r="P28" s="103">
        <f>O28/1000</f>
        <v>4.0999999999999996</v>
      </c>
      <c r="Q28" s="102">
        <f>(((C28*D28*E28)+(G28*H28*I28)+(K28*L28*M28))/1000000)*35.32</f>
        <v>0</v>
      </c>
      <c r="R28" s="46" t="e">
        <f>P28/Q28</f>
        <v>#DIV/0!</v>
      </c>
    </row>
    <row r="29" spans="1:18" ht="12.45" hidden="1" customHeight="1" x14ac:dyDescent="0.3">
      <c r="A29" s="122" t="s">
        <v>61</v>
      </c>
      <c r="B29" s="88" t="str">
        <f>VLOOKUP(A29,'[2]Billing Dimensions'!A:B,2,FALSE)</f>
        <v>SB</v>
      </c>
      <c r="C29" s="115">
        <f>VLOOKUP(A29,'[2]Billing Dimensions'!$A:$N,3,FALSE)-VLOOKUP(A29,'Audit Dimensions'!$A:$N,3,FALSE)</f>
        <v>10</v>
      </c>
      <c r="D29" s="115">
        <f>VLOOKUP(A29,'[2]Billing Dimensions'!$A:$N,4,FALSE)-VLOOKUP(A29,'Audit Dimensions'!$A:$N,4,FALSE)</f>
        <v>6</v>
      </c>
      <c r="E29" s="115">
        <f>VLOOKUP(A29,'[2]Billing Dimensions'!$A:$N,5,FALSE)-VLOOKUP(A29,'Audit Dimensions'!$A:$N,5,FALSE)</f>
        <v>-1</v>
      </c>
      <c r="F29" s="114">
        <f>VLOOKUP(A29,'[2]Billing Dimensions'!$A:$N,6,FALSE)-VLOOKUP(A29,'Audit Dimensions'!$A:$N,6,FALSE)</f>
        <v>-2700</v>
      </c>
      <c r="G29" s="107">
        <f>VLOOKUP(A29,'[2]Billing Dimensions'!$A:$N,7,FALSE)-VLOOKUP(A29,'Audit Dimensions'!$A:$N,7,FALSE)</f>
        <v>0</v>
      </c>
      <c r="H29" s="107">
        <f>VLOOKUP(A29,'[2]Billing Dimensions'!$A:$N,8,FALSE)-VLOOKUP(A29,'Audit Dimensions'!$A:$N,8,FALSE)</f>
        <v>0</v>
      </c>
      <c r="I29" s="107">
        <f>VLOOKUP(A29,'[2]Billing Dimensions'!$A:$N,9,FALSE)-VLOOKUP(A29,'Audit Dimensions'!$A:$N,9,FALSE)</f>
        <v>0</v>
      </c>
      <c r="J29" s="106">
        <f>VLOOKUP(A29,'[2]Billing Dimensions'!$A:$N,10,FALSE)-VLOOKUP(A29,'Audit Dimensions'!$A:$N,10,FALSE)</f>
        <v>0</v>
      </c>
      <c r="K29" s="105">
        <f>VLOOKUP(A29,'[2]Billing Dimensions'!$A:$N,11,FALSE)-VLOOKUP(A29,'Audit Dimensions'!$A:$N,11,FALSE)</f>
        <v>0</v>
      </c>
      <c r="L29" s="105">
        <f>VLOOKUP(A29,'[2]Billing Dimensions'!$A:$N,12,FALSE)-VLOOKUP(A29,'Audit Dimensions'!$A:$N,12,FALSE)</f>
        <v>0</v>
      </c>
      <c r="M29" s="105">
        <f>VLOOKUP(A29,'[2]Billing Dimensions'!$A:$N,13,FALSE)-VLOOKUP(A29,'Audit Dimensions'!$A:$N,13,FALSE)</f>
        <v>0</v>
      </c>
      <c r="N29" s="105">
        <f>VLOOKUP(A29,'[2]Billing Dimensions'!$A:$N,14,FALSE)-VLOOKUP(A29,'Audit Dimensions'!$A:$N,14,FALSE)</f>
        <v>0</v>
      </c>
      <c r="O29" s="104">
        <f>VLOOKUP(A29,'[2]Billing Dimensions'!A:Q,16,FALSE)-VLOOKUP('Audit VAR'!A29,'Audit Dimensions'!A:P,16,FALSE)</f>
        <v>-2700</v>
      </c>
      <c r="P29" s="103">
        <f>O29/1000</f>
        <v>-2.7</v>
      </c>
      <c r="Q29" s="102">
        <f>(((C29*D29*E29)+(G29*H29*I29)+(K29*L29*M29))/1000000)*35.32</f>
        <v>-2.1191999999999999E-3</v>
      </c>
      <c r="R29" s="46">
        <f>P29/Q29</f>
        <v>1274.0656851642132</v>
      </c>
    </row>
    <row r="30" spans="1:18" hidden="1" x14ac:dyDescent="0.3">
      <c r="A30" s="122" t="s">
        <v>271</v>
      </c>
      <c r="B30" s="88" t="str">
        <f>VLOOKUP(A30,'[2]Billing Dimensions'!A:B,2,FALSE)</f>
        <v>SB</v>
      </c>
      <c r="C30" s="115">
        <f>VLOOKUP(A30,'[2]Billing Dimensions'!$A:$N,3,FALSE)-VLOOKUP(A30,'Audit Dimensions'!$A:$N,3,FALSE)</f>
        <v>0</v>
      </c>
      <c r="D30" s="115">
        <f>VLOOKUP(A30,'[2]Billing Dimensions'!$A:$N,4,FALSE)-VLOOKUP(A30,'Audit Dimensions'!$A:$N,4,FALSE)</f>
        <v>-1</v>
      </c>
      <c r="E30" s="115">
        <f>VLOOKUP(A30,'[2]Billing Dimensions'!$A:$N,5,FALSE)-VLOOKUP(A30,'Audit Dimensions'!$A:$N,5,FALSE)</f>
        <v>-1</v>
      </c>
      <c r="F30" s="114">
        <f>VLOOKUP(A30,'[2]Billing Dimensions'!$A:$N,6,FALSE)-VLOOKUP(A30,'Audit Dimensions'!$A:$N,6,FALSE)</f>
        <v>-4608</v>
      </c>
      <c r="G30" s="107">
        <f>VLOOKUP(A30,'[2]Billing Dimensions'!$A:$N,7,FALSE)-VLOOKUP(A30,'Audit Dimensions'!$A:$N,7,FALSE)</f>
        <v>0</v>
      </c>
      <c r="H30" s="107">
        <f>VLOOKUP(A30,'[2]Billing Dimensions'!$A:$N,8,FALSE)-VLOOKUP(A30,'Audit Dimensions'!$A:$N,8,FALSE)</f>
        <v>0</v>
      </c>
      <c r="I30" s="107">
        <f>VLOOKUP(A30,'[2]Billing Dimensions'!$A:$N,9,FALSE)-VLOOKUP(A30,'Audit Dimensions'!$A:$N,9,FALSE)</f>
        <v>0</v>
      </c>
      <c r="J30" s="106">
        <f>VLOOKUP(A30,'[2]Billing Dimensions'!$A:$N,10,FALSE)-VLOOKUP(A30,'Audit Dimensions'!$A:$N,10,FALSE)</f>
        <v>0</v>
      </c>
      <c r="K30" s="105">
        <f>VLOOKUP(A30,'[2]Billing Dimensions'!$A:$N,11,FALSE)-VLOOKUP(A30,'Audit Dimensions'!$A:$N,11,FALSE)</f>
        <v>0</v>
      </c>
      <c r="L30" s="105">
        <f>VLOOKUP(A30,'[2]Billing Dimensions'!$A:$N,12,FALSE)-VLOOKUP(A30,'Audit Dimensions'!$A:$N,12,FALSE)</f>
        <v>0</v>
      </c>
      <c r="M30" s="105">
        <f>VLOOKUP(A30,'[2]Billing Dimensions'!$A:$N,13,FALSE)-VLOOKUP(A30,'Audit Dimensions'!$A:$N,13,FALSE)</f>
        <v>0</v>
      </c>
      <c r="N30" s="105">
        <f>VLOOKUP(A30,'[2]Billing Dimensions'!$A:$N,14,FALSE)-VLOOKUP(A30,'Audit Dimensions'!$A:$N,14,FALSE)</f>
        <v>0</v>
      </c>
      <c r="O30" s="104">
        <f>VLOOKUP(A30,'[2]Billing Dimensions'!A:Q,16,FALSE)-VLOOKUP('Audit VAR'!A30,'Audit Dimensions'!A:P,16,FALSE)</f>
        <v>-4608</v>
      </c>
      <c r="P30" s="103">
        <f>O30/1000</f>
        <v>-4.6079999999999997</v>
      </c>
      <c r="Q30" s="102">
        <f>(((C30*D30*E30)+(G30*H30*I30)+(K30*L30*M30))/1000000)*35.32</f>
        <v>0</v>
      </c>
      <c r="R30" s="46" t="e">
        <f>P30/Q30</f>
        <v>#DIV/0!</v>
      </c>
    </row>
    <row r="31" spans="1:18" ht="12.45" hidden="1" customHeight="1" x14ac:dyDescent="0.3">
      <c r="A31" s="122" t="s">
        <v>270</v>
      </c>
      <c r="B31" s="88" t="str">
        <f>VLOOKUP(A31,'[2]Billing Dimensions'!A:B,2,FALSE)</f>
        <v>SB</v>
      </c>
      <c r="C31" s="115">
        <f>VLOOKUP(A31,'[2]Billing Dimensions'!$A:$N,3,FALSE)-VLOOKUP(A31,'Audit Dimensions'!$A:$N,3,FALSE)</f>
        <v>17</v>
      </c>
      <c r="D31" s="115">
        <f>VLOOKUP(A31,'[2]Billing Dimensions'!$A:$N,4,FALSE)-VLOOKUP(A31,'Audit Dimensions'!$A:$N,4,FALSE)</f>
        <v>11</v>
      </c>
      <c r="E31" s="115">
        <f>VLOOKUP(A31,'[2]Billing Dimensions'!$A:$N,5,FALSE)-VLOOKUP(A31,'Audit Dimensions'!$A:$N,5,FALSE)</f>
        <v>-1</v>
      </c>
      <c r="F31" s="114">
        <f>VLOOKUP(A31,'[2]Billing Dimensions'!$A:$N,6,FALSE)-VLOOKUP(A31,'Audit Dimensions'!$A:$N,6,FALSE)</f>
        <v>-1350</v>
      </c>
      <c r="G31" s="107">
        <f>VLOOKUP(A31,'[2]Billing Dimensions'!$A:$N,7,FALSE)-VLOOKUP(A31,'Audit Dimensions'!$A:$N,7,FALSE)</f>
        <v>0</v>
      </c>
      <c r="H31" s="107">
        <f>VLOOKUP(A31,'[2]Billing Dimensions'!$A:$N,8,FALSE)-VLOOKUP(A31,'Audit Dimensions'!$A:$N,8,FALSE)</f>
        <v>0</v>
      </c>
      <c r="I31" s="107">
        <f>VLOOKUP(A31,'[2]Billing Dimensions'!$A:$N,9,FALSE)-VLOOKUP(A31,'Audit Dimensions'!$A:$N,9,FALSE)</f>
        <v>0</v>
      </c>
      <c r="J31" s="106">
        <f>VLOOKUP(A31,'[2]Billing Dimensions'!$A:$N,10,FALSE)-VLOOKUP(A31,'Audit Dimensions'!$A:$N,10,FALSE)</f>
        <v>0</v>
      </c>
      <c r="K31" s="105">
        <f>VLOOKUP(A31,'[2]Billing Dimensions'!$A:$N,11,FALSE)-VLOOKUP(A31,'Audit Dimensions'!$A:$N,11,FALSE)</f>
        <v>0</v>
      </c>
      <c r="L31" s="105">
        <f>VLOOKUP(A31,'[2]Billing Dimensions'!$A:$N,12,FALSE)-VLOOKUP(A31,'Audit Dimensions'!$A:$N,12,FALSE)</f>
        <v>0</v>
      </c>
      <c r="M31" s="105">
        <f>VLOOKUP(A31,'[2]Billing Dimensions'!$A:$N,13,FALSE)-VLOOKUP(A31,'Audit Dimensions'!$A:$N,13,FALSE)</f>
        <v>0</v>
      </c>
      <c r="N31" s="105">
        <f>VLOOKUP(A31,'[2]Billing Dimensions'!$A:$N,14,FALSE)-VLOOKUP(A31,'Audit Dimensions'!$A:$N,14,FALSE)</f>
        <v>0</v>
      </c>
      <c r="O31" s="104">
        <f>VLOOKUP(A31,'[2]Billing Dimensions'!A:Q,16,FALSE)-VLOOKUP('Audit VAR'!A31,'Audit Dimensions'!A:P,16,FALSE)</f>
        <v>-1350</v>
      </c>
      <c r="P31" s="103">
        <f>O31/1000</f>
        <v>-1.35</v>
      </c>
      <c r="Q31" s="102">
        <f>(((C31*D31*E31)+(G31*H31*I31)+(K31*L31*M31))/1000000)*35.32</f>
        <v>-6.6048399999999998E-3</v>
      </c>
      <c r="R31" s="46">
        <f>P31/Q31</f>
        <v>204.39556446484701</v>
      </c>
    </row>
    <row r="32" spans="1:18" hidden="1" x14ac:dyDescent="0.3">
      <c r="A32" s="122" t="s">
        <v>269</v>
      </c>
      <c r="B32" s="88" t="str">
        <f>VLOOKUP(A32,'[2]Billing Dimensions'!A:B,2,FALSE)</f>
        <v>SB</v>
      </c>
      <c r="C32" s="115">
        <f>VLOOKUP(A32,'[2]Billing Dimensions'!$A:$N,3,FALSE)-VLOOKUP(A32,'Audit Dimensions'!$A:$N,3,FALSE)</f>
        <v>0</v>
      </c>
      <c r="D32" s="115">
        <f>VLOOKUP(A32,'[2]Billing Dimensions'!$A:$N,4,FALSE)-VLOOKUP(A32,'Audit Dimensions'!$A:$N,4,FALSE)</f>
        <v>0</v>
      </c>
      <c r="E32" s="115">
        <f>VLOOKUP(A32,'[2]Billing Dimensions'!$A:$N,5,FALSE)-VLOOKUP(A32,'Audit Dimensions'!$A:$N,5,FALSE)</f>
        <v>0</v>
      </c>
      <c r="F32" s="114">
        <f>VLOOKUP(A32,'[2]Billing Dimensions'!$A:$N,6,FALSE)-VLOOKUP(A32,'Audit Dimensions'!$A:$N,6,FALSE)</f>
        <v>0</v>
      </c>
      <c r="G32" s="107">
        <f>VLOOKUP(A32,'[2]Billing Dimensions'!$A:$N,7,FALSE)-VLOOKUP(A32,'Audit Dimensions'!$A:$N,7,FALSE)</f>
        <v>0</v>
      </c>
      <c r="H32" s="107">
        <f>VLOOKUP(A32,'[2]Billing Dimensions'!$A:$N,8,FALSE)-VLOOKUP(A32,'Audit Dimensions'!$A:$N,8,FALSE)</f>
        <v>0</v>
      </c>
      <c r="I32" s="107">
        <f>VLOOKUP(A32,'[2]Billing Dimensions'!$A:$N,9,FALSE)-VLOOKUP(A32,'Audit Dimensions'!$A:$N,9,FALSE)</f>
        <v>0</v>
      </c>
      <c r="J32" s="106">
        <f>VLOOKUP(A32,'[2]Billing Dimensions'!$A:$N,10,FALSE)-VLOOKUP(A32,'Audit Dimensions'!$A:$N,10,FALSE)</f>
        <v>0</v>
      </c>
      <c r="K32" s="105">
        <f>VLOOKUP(A32,'[2]Billing Dimensions'!$A:$N,11,FALSE)-VLOOKUP(A32,'Audit Dimensions'!$A:$N,11,FALSE)</f>
        <v>0</v>
      </c>
      <c r="L32" s="105">
        <f>VLOOKUP(A32,'[2]Billing Dimensions'!$A:$N,12,FALSE)-VLOOKUP(A32,'Audit Dimensions'!$A:$N,12,FALSE)</f>
        <v>0</v>
      </c>
      <c r="M32" s="105">
        <f>VLOOKUP(A32,'[2]Billing Dimensions'!$A:$N,13,FALSE)-VLOOKUP(A32,'Audit Dimensions'!$A:$N,13,FALSE)</f>
        <v>0</v>
      </c>
      <c r="N32" s="105">
        <f>VLOOKUP(A32,'[2]Billing Dimensions'!$A:$N,14,FALSE)-VLOOKUP(A32,'Audit Dimensions'!$A:$N,14,FALSE)</f>
        <v>0</v>
      </c>
      <c r="O32" s="104">
        <f>VLOOKUP(A32,'[2]Billing Dimensions'!A:Q,16,FALSE)-VLOOKUP('Audit VAR'!A32,'Audit Dimensions'!A:P,16,FALSE)</f>
        <v>0</v>
      </c>
      <c r="P32" s="103">
        <f>O32/1000</f>
        <v>0</v>
      </c>
      <c r="Q32" s="102">
        <f>(((C32*D32*E32)+(G32*H32*I32)+(K32*L32*M32))/1000000)*35.32</f>
        <v>0</v>
      </c>
      <c r="R32" s="46" t="e">
        <f>P32/Q32</f>
        <v>#DIV/0!</v>
      </c>
    </row>
    <row r="33" spans="1:18" ht="12.45" hidden="1" customHeight="1" x14ac:dyDescent="0.3">
      <c r="A33" s="122" t="s">
        <v>268</v>
      </c>
      <c r="B33" s="88" t="str">
        <f>VLOOKUP(A33,'[2]Billing Dimensions'!A:B,2,FALSE)</f>
        <v>SB</v>
      </c>
      <c r="C33" s="115">
        <f>VLOOKUP(A33,'[2]Billing Dimensions'!$A:$N,3,FALSE)-VLOOKUP(A33,'Audit Dimensions'!$A:$N,3,FALSE)</f>
        <v>0</v>
      </c>
      <c r="D33" s="115">
        <f>VLOOKUP(A33,'[2]Billing Dimensions'!$A:$N,4,FALSE)-VLOOKUP(A33,'Audit Dimensions'!$A:$N,4,FALSE)</f>
        <v>0</v>
      </c>
      <c r="E33" s="115">
        <f>VLOOKUP(A33,'[2]Billing Dimensions'!$A:$N,5,FALSE)-VLOOKUP(A33,'Audit Dimensions'!$A:$N,5,FALSE)</f>
        <v>0</v>
      </c>
      <c r="F33" s="114">
        <f>VLOOKUP(A33,'[2]Billing Dimensions'!$A:$N,6,FALSE)-VLOOKUP(A33,'Audit Dimensions'!$A:$N,6,FALSE)</f>
        <v>0</v>
      </c>
      <c r="G33" s="107">
        <f>VLOOKUP(A33,'[2]Billing Dimensions'!$A:$N,7,FALSE)-VLOOKUP(A33,'Audit Dimensions'!$A:$N,7,FALSE)</f>
        <v>0</v>
      </c>
      <c r="H33" s="107">
        <f>VLOOKUP(A33,'[2]Billing Dimensions'!$A:$N,8,FALSE)-VLOOKUP(A33,'Audit Dimensions'!$A:$N,8,FALSE)</f>
        <v>0</v>
      </c>
      <c r="I33" s="107">
        <f>VLOOKUP(A33,'[2]Billing Dimensions'!$A:$N,9,FALSE)-VLOOKUP(A33,'Audit Dimensions'!$A:$N,9,FALSE)</f>
        <v>0</v>
      </c>
      <c r="J33" s="106">
        <f>VLOOKUP(A33,'[2]Billing Dimensions'!$A:$N,10,FALSE)-VLOOKUP(A33,'Audit Dimensions'!$A:$N,10,FALSE)</f>
        <v>0</v>
      </c>
      <c r="K33" s="105">
        <f>VLOOKUP(A33,'[2]Billing Dimensions'!$A:$N,11,FALSE)-VLOOKUP(A33,'Audit Dimensions'!$A:$N,11,FALSE)</f>
        <v>0</v>
      </c>
      <c r="L33" s="105">
        <f>VLOOKUP(A33,'[2]Billing Dimensions'!$A:$N,12,FALSE)-VLOOKUP(A33,'Audit Dimensions'!$A:$N,12,FALSE)</f>
        <v>0</v>
      </c>
      <c r="M33" s="105">
        <f>VLOOKUP(A33,'[2]Billing Dimensions'!$A:$N,13,FALSE)-VLOOKUP(A33,'Audit Dimensions'!$A:$N,13,FALSE)</f>
        <v>0</v>
      </c>
      <c r="N33" s="105">
        <f>VLOOKUP(A33,'[2]Billing Dimensions'!$A:$N,14,FALSE)-VLOOKUP(A33,'Audit Dimensions'!$A:$N,14,FALSE)</f>
        <v>0</v>
      </c>
      <c r="O33" s="104">
        <f>VLOOKUP(A33,'[2]Billing Dimensions'!A:Q,16,FALSE)-VLOOKUP('Audit VAR'!A33,'Audit Dimensions'!A:P,16,FALSE)</f>
        <v>0</v>
      </c>
      <c r="P33" s="103">
        <f>O33/1000</f>
        <v>0</v>
      </c>
      <c r="Q33" s="102">
        <f>(((C33*D33*E33)+(G33*H33*I33)+(K33*L33*M33))/1000000)*35.32</f>
        <v>0</v>
      </c>
      <c r="R33" s="46" t="e">
        <f>P33/Q33</f>
        <v>#DIV/0!</v>
      </c>
    </row>
    <row r="34" spans="1:18" hidden="1" x14ac:dyDescent="0.3">
      <c r="A34" s="127" t="s">
        <v>267</v>
      </c>
      <c r="B34" s="88" t="str">
        <f>VLOOKUP(A34,'[2]Billing Dimensions'!A:B,2,FALSE)</f>
        <v>MB</v>
      </c>
      <c r="C34" s="115">
        <f>VLOOKUP(A34,'[2]Billing Dimensions'!$A:$N,3,FALSE)-VLOOKUP(A34,'Audit Dimensions'!$A:$N,3,FALSE)</f>
        <v>0</v>
      </c>
      <c r="D34" s="115">
        <f>VLOOKUP(A34,'[2]Billing Dimensions'!$A:$N,4,FALSE)-VLOOKUP(A34,'Audit Dimensions'!$A:$N,4,FALSE)</f>
        <v>0</v>
      </c>
      <c r="E34" s="115">
        <f>VLOOKUP(A34,'[2]Billing Dimensions'!$A:$N,5,FALSE)-VLOOKUP(A34,'Audit Dimensions'!$A:$N,5,FALSE)</f>
        <v>5</v>
      </c>
      <c r="F34" s="114">
        <f>VLOOKUP(A34,'[2]Billing Dimensions'!$A:$N,6,FALSE)-VLOOKUP(A34,'Audit Dimensions'!$A:$N,6,FALSE)</f>
        <v>2620</v>
      </c>
      <c r="G34" s="107">
        <f>VLOOKUP(A34,'[2]Billing Dimensions'!$A:$N,7,FALSE)-VLOOKUP(A34,'Audit Dimensions'!$A:$N,7,FALSE)</f>
        <v>1</v>
      </c>
      <c r="H34" s="107">
        <f>VLOOKUP(A34,'[2]Billing Dimensions'!$A:$N,8,FALSE)-VLOOKUP(A34,'Audit Dimensions'!$A:$N,8,FALSE)</f>
        <v>0</v>
      </c>
      <c r="I34" s="107">
        <f>VLOOKUP(A34,'[2]Billing Dimensions'!$A:$N,9,FALSE)-VLOOKUP(A34,'Audit Dimensions'!$A:$N,9,FALSE)</f>
        <v>2</v>
      </c>
      <c r="J34" s="106">
        <f>VLOOKUP(A34,'[2]Billing Dimensions'!$A:$N,10,FALSE)-VLOOKUP(A34,'Audit Dimensions'!$A:$N,10,FALSE)</f>
        <v>-300</v>
      </c>
      <c r="K34" s="105">
        <f>VLOOKUP(A34,'[2]Billing Dimensions'!$A:$N,11,FALSE)-VLOOKUP(A34,'Audit Dimensions'!$A:$N,11,FALSE)</f>
        <v>0</v>
      </c>
      <c r="L34" s="105">
        <f>VLOOKUP(A34,'[2]Billing Dimensions'!$A:$N,12,FALSE)-VLOOKUP(A34,'Audit Dimensions'!$A:$N,12,FALSE)</f>
        <v>0</v>
      </c>
      <c r="M34" s="105">
        <f>VLOOKUP(A34,'[2]Billing Dimensions'!$A:$N,13,FALSE)-VLOOKUP(A34,'Audit Dimensions'!$A:$N,13,FALSE)</f>
        <v>0</v>
      </c>
      <c r="N34" s="105">
        <f>VLOOKUP(A34,'[2]Billing Dimensions'!$A:$N,14,FALSE)-VLOOKUP(A34,'Audit Dimensions'!$A:$N,14,FALSE)</f>
        <v>0</v>
      </c>
      <c r="O34" s="104">
        <f>VLOOKUP(A34,'[2]Billing Dimensions'!A:Q,16,FALSE)-VLOOKUP('Audit VAR'!A34,'Audit Dimensions'!A:P,16,FALSE)</f>
        <v>2320</v>
      </c>
      <c r="P34" s="103">
        <f>O34/1000</f>
        <v>2.3199999999999998</v>
      </c>
      <c r="Q34" s="102">
        <f>(((C34*D34*E34)+(G34*H34*I34)+(K34*L34*M34))/1000000)*35.32</f>
        <v>0</v>
      </c>
      <c r="R34" s="46" t="e">
        <f>P34/Q34</f>
        <v>#DIV/0!</v>
      </c>
    </row>
    <row r="35" spans="1:18" hidden="1" x14ac:dyDescent="0.3">
      <c r="A35" s="127" t="s">
        <v>266</v>
      </c>
      <c r="B35" s="88" t="str">
        <f>VLOOKUP(A35,'[2]Billing Dimensions'!A:B,2,FALSE)</f>
        <v>MB</v>
      </c>
      <c r="C35" s="115">
        <f>VLOOKUP(A35,'[2]Billing Dimensions'!$A:$N,3,FALSE)-VLOOKUP(A35,'Audit Dimensions'!$A:$N,3,FALSE)</f>
        <v>14</v>
      </c>
      <c r="D35" s="115">
        <f>VLOOKUP(A35,'[2]Billing Dimensions'!$A:$N,4,FALSE)-VLOOKUP(A35,'Audit Dimensions'!$A:$N,4,FALSE)</f>
        <v>8</v>
      </c>
      <c r="E35" s="115">
        <f>VLOOKUP(A35,'[2]Billing Dimensions'!$A:$N,5,FALSE)-VLOOKUP(A35,'Audit Dimensions'!$A:$N,5,FALSE)</f>
        <v>-1</v>
      </c>
      <c r="F35" s="114">
        <f>VLOOKUP(A35,'[2]Billing Dimensions'!$A:$N,6,FALSE)-VLOOKUP(A35,'Audit Dimensions'!$A:$N,6,FALSE)</f>
        <v>700</v>
      </c>
      <c r="G35" s="107">
        <f>VLOOKUP(A35,'[2]Billing Dimensions'!$A:$N,7,FALSE)-VLOOKUP(A35,'Audit Dimensions'!$A:$N,7,FALSE)</f>
        <v>1</v>
      </c>
      <c r="H35" s="107">
        <f>VLOOKUP(A35,'[2]Billing Dimensions'!$A:$N,8,FALSE)-VLOOKUP(A35,'Audit Dimensions'!$A:$N,8,FALSE)</f>
        <v>0</v>
      </c>
      <c r="I35" s="107">
        <f>VLOOKUP(A35,'[2]Billing Dimensions'!$A:$N,9,FALSE)-VLOOKUP(A35,'Audit Dimensions'!$A:$N,9,FALSE)</f>
        <v>2</v>
      </c>
      <c r="J35" s="106">
        <f>VLOOKUP(A35,'[2]Billing Dimensions'!$A:$N,10,FALSE)-VLOOKUP(A35,'Audit Dimensions'!$A:$N,10,FALSE)</f>
        <v>-300</v>
      </c>
      <c r="K35" s="105">
        <f>VLOOKUP(A35,'[2]Billing Dimensions'!$A:$N,11,FALSE)-VLOOKUP(A35,'Audit Dimensions'!$A:$N,11,FALSE)</f>
        <v>0</v>
      </c>
      <c r="L35" s="105">
        <f>VLOOKUP(A35,'[2]Billing Dimensions'!$A:$N,12,FALSE)-VLOOKUP(A35,'Audit Dimensions'!$A:$N,12,FALSE)</f>
        <v>0</v>
      </c>
      <c r="M35" s="105">
        <f>VLOOKUP(A35,'[2]Billing Dimensions'!$A:$N,13,FALSE)-VLOOKUP(A35,'Audit Dimensions'!$A:$N,13,FALSE)</f>
        <v>0</v>
      </c>
      <c r="N35" s="105">
        <f>VLOOKUP(A35,'[2]Billing Dimensions'!$A:$N,14,FALSE)-VLOOKUP(A35,'Audit Dimensions'!$A:$N,14,FALSE)</f>
        <v>0</v>
      </c>
      <c r="O35" s="104">
        <f>VLOOKUP(A35,'[2]Billing Dimensions'!A:Q,16,FALSE)-VLOOKUP('Audit VAR'!A35,'Audit Dimensions'!A:P,16,FALSE)</f>
        <v>400</v>
      </c>
      <c r="P35" s="103">
        <f>O35/1000</f>
        <v>0.4</v>
      </c>
      <c r="Q35" s="102">
        <f>(((C35*D35*E35)+(G35*H35*I35)+(K35*L35*M35))/1000000)*35.32</f>
        <v>-3.9558400000000004E-3</v>
      </c>
      <c r="R35" s="46">
        <f>P35/Q35</f>
        <v>-101.11632421938197</v>
      </c>
    </row>
    <row r="36" spans="1:18" hidden="1" x14ac:dyDescent="0.3">
      <c r="A36" s="127" t="s">
        <v>265</v>
      </c>
      <c r="B36" s="88" t="str">
        <f>VLOOKUP(A36,'[2]Billing Dimensions'!A:B,2,FALSE)</f>
        <v>MB</v>
      </c>
      <c r="C36" s="115">
        <f>VLOOKUP(A36,'[2]Billing Dimensions'!$A:$N,3,FALSE)-VLOOKUP(A36,'Audit Dimensions'!$A:$N,3,FALSE)</f>
        <v>-20</v>
      </c>
      <c r="D36" s="115">
        <f>VLOOKUP(A36,'[2]Billing Dimensions'!$A:$N,4,FALSE)-VLOOKUP(A36,'Audit Dimensions'!$A:$N,4,FALSE)</f>
        <v>30</v>
      </c>
      <c r="E36" s="115">
        <f>VLOOKUP(A36,'[2]Billing Dimensions'!$A:$N,5,FALSE)-VLOOKUP(A36,'Audit Dimensions'!$A:$N,5,FALSE)</f>
        <v>1</v>
      </c>
      <c r="F36" s="114">
        <f>VLOOKUP(A36,'[2]Billing Dimensions'!$A:$N,6,FALSE)-VLOOKUP(A36,'Audit Dimensions'!$A:$N,6,FALSE)</f>
        <v>-2705</v>
      </c>
      <c r="G36" s="107">
        <f>VLOOKUP(A36,'[2]Billing Dimensions'!$A:$N,7,FALSE)-VLOOKUP(A36,'Audit Dimensions'!$A:$N,7,FALSE)</f>
        <v>1</v>
      </c>
      <c r="H36" s="107">
        <f>VLOOKUP(A36,'[2]Billing Dimensions'!$A:$N,8,FALSE)-VLOOKUP(A36,'Audit Dimensions'!$A:$N,8,FALSE)</f>
        <v>0</v>
      </c>
      <c r="I36" s="107">
        <f>VLOOKUP(A36,'[2]Billing Dimensions'!$A:$N,9,FALSE)-VLOOKUP(A36,'Audit Dimensions'!$A:$N,9,FALSE)</f>
        <v>2</v>
      </c>
      <c r="J36" s="106">
        <f>VLOOKUP(A36,'[2]Billing Dimensions'!$A:$N,10,FALSE)-VLOOKUP(A36,'Audit Dimensions'!$A:$N,10,FALSE)</f>
        <v>-300</v>
      </c>
      <c r="K36" s="105">
        <f>VLOOKUP(A36,'[2]Billing Dimensions'!$A:$N,11,FALSE)-VLOOKUP(A36,'Audit Dimensions'!$A:$N,11,FALSE)</f>
        <v>0</v>
      </c>
      <c r="L36" s="105">
        <f>VLOOKUP(A36,'[2]Billing Dimensions'!$A:$N,12,FALSE)-VLOOKUP(A36,'Audit Dimensions'!$A:$N,12,FALSE)</f>
        <v>0</v>
      </c>
      <c r="M36" s="105">
        <f>VLOOKUP(A36,'[2]Billing Dimensions'!$A:$N,13,FALSE)-VLOOKUP(A36,'Audit Dimensions'!$A:$N,13,FALSE)</f>
        <v>0</v>
      </c>
      <c r="N36" s="105">
        <f>VLOOKUP(A36,'[2]Billing Dimensions'!$A:$N,14,FALSE)-VLOOKUP(A36,'Audit Dimensions'!$A:$N,14,FALSE)</f>
        <v>0</v>
      </c>
      <c r="O36" s="104">
        <f>VLOOKUP(A36,'[2]Billing Dimensions'!A:Q,16,FALSE)-VLOOKUP('Audit VAR'!A36,'Audit Dimensions'!A:P,16,FALSE)</f>
        <v>-3005</v>
      </c>
      <c r="P36" s="103">
        <f>O36/1000</f>
        <v>-3.0049999999999999</v>
      </c>
      <c r="Q36" s="102">
        <f>(((C36*D36*E36)+(G36*H36*I36)+(K36*L36*M36))/1000000)*35.32</f>
        <v>-2.1191999999999999E-2</v>
      </c>
      <c r="R36" s="46">
        <f>P36/Q36</f>
        <v>141.79879199697999</v>
      </c>
    </row>
    <row r="37" spans="1:18" hidden="1" x14ac:dyDescent="0.3">
      <c r="A37" s="122" t="s">
        <v>264</v>
      </c>
      <c r="B37" s="88" t="str">
        <f>VLOOKUP(A37,'[2]Billing Dimensions'!A:B,2,FALSE)</f>
        <v>SB</v>
      </c>
      <c r="C37" s="115">
        <f>VLOOKUP(A37,'[2]Billing Dimensions'!$A:$N,3,FALSE)-VLOOKUP(A37,'Audit Dimensions'!$A:$N,3,FALSE)</f>
        <v>0</v>
      </c>
      <c r="D37" s="115">
        <f>VLOOKUP(A37,'[2]Billing Dimensions'!$A:$N,4,FALSE)-VLOOKUP(A37,'Audit Dimensions'!$A:$N,4,FALSE)</f>
        <v>0</v>
      </c>
      <c r="E37" s="115">
        <f>VLOOKUP(A37,'[2]Billing Dimensions'!$A:$N,5,FALSE)-VLOOKUP(A37,'Audit Dimensions'!$A:$N,5,FALSE)</f>
        <v>0</v>
      </c>
      <c r="F37" s="114">
        <f>VLOOKUP(A37,'[2]Billing Dimensions'!$A:$N,6,FALSE)-VLOOKUP(A37,'Audit Dimensions'!$A:$N,6,FALSE)</f>
        <v>100</v>
      </c>
      <c r="G37" s="107">
        <f>VLOOKUP(A37,'[2]Billing Dimensions'!$A:$N,7,FALSE)-VLOOKUP(A37,'Audit Dimensions'!$A:$N,7,FALSE)</f>
        <v>-51</v>
      </c>
      <c r="H37" s="107">
        <f>VLOOKUP(A37,'[2]Billing Dimensions'!$A:$N,8,FALSE)-VLOOKUP(A37,'Audit Dimensions'!$A:$N,8,FALSE)</f>
        <v>-12</v>
      </c>
      <c r="I37" s="107">
        <f>VLOOKUP(A37,'[2]Billing Dimensions'!$A:$N,9,FALSE)-VLOOKUP(A37,'Audit Dimensions'!$A:$N,9,FALSE)</f>
        <v>-10</v>
      </c>
      <c r="J37" s="106">
        <f>VLOOKUP(A37,'[2]Billing Dimensions'!$A:$N,10,FALSE)-VLOOKUP(A37,'Audit Dimensions'!$A:$N,10,FALSE)</f>
        <v>-1500</v>
      </c>
      <c r="K37" s="105">
        <f>VLOOKUP(A37,'[2]Billing Dimensions'!$A:$N,11,FALSE)-VLOOKUP(A37,'Audit Dimensions'!$A:$N,11,FALSE)</f>
        <v>0</v>
      </c>
      <c r="L37" s="105">
        <f>VLOOKUP(A37,'[2]Billing Dimensions'!$A:$N,12,FALSE)-VLOOKUP(A37,'Audit Dimensions'!$A:$N,12,FALSE)</f>
        <v>0</v>
      </c>
      <c r="M37" s="105">
        <f>VLOOKUP(A37,'[2]Billing Dimensions'!$A:$N,13,FALSE)-VLOOKUP(A37,'Audit Dimensions'!$A:$N,13,FALSE)</f>
        <v>0</v>
      </c>
      <c r="N37" s="105">
        <f>VLOOKUP(A37,'[2]Billing Dimensions'!$A:$N,14,FALSE)-VLOOKUP(A37,'Audit Dimensions'!$A:$N,14,FALSE)</f>
        <v>0</v>
      </c>
      <c r="O37" s="104">
        <f>VLOOKUP(A37,'[2]Billing Dimensions'!A:Q,16,FALSE)-VLOOKUP('Audit VAR'!A37,'Audit Dimensions'!A:P,16,FALSE)</f>
        <v>-1400</v>
      </c>
      <c r="P37" s="103">
        <f>O37/1000</f>
        <v>-1.4</v>
      </c>
      <c r="Q37" s="102">
        <f>(((C37*D37*E37)+(G37*H37*I37)+(K37*L37*M37))/1000000)*35.32</f>
        <v>-0.21615839999999997</v>
      </c>
      <c r="R37" s="46">
        <f>P37/Q37</f>
        <v>6.4767318781042054</v>
      </c>
    </row>
    <row r="38" spans="1:18" hidden="1" x14ac:dyDescent="0.3">
      <c r="A38" s="122" t="s">
        <v>263</v>
      </c>
      <c r="B38" s="88" t="str">
        <f>VLOOKUP(A38,'[2]Billing Dimensions'!A:B,2,FALSE)</f>
        <v>SB</v>
      </c>
      <c r="C38" s="115">
        <f>VLOOKUP(A38,'[2]Billing Dimensions'!$A:$N,3,FALSE)-VLOOKUP(A38,'Audit Dimensions'!$A:$N,3,FALSE)</f>
        <v>0</v>
      </c>
      <c r="D38" s="115">
        <f>VLOOKUP(A38,'[2]Billing Dimensions'!$A:$N,4,FALSE)-VLOOKUP(A38,'Audit Dimensions'!$A:$N,4,FALSE)</f>
        <v>0</v>
      </c>
      <c r="E38" s="115">
        <f>VLOOKUP(A38,'[2]Billing Dimensions'!$A:$N,5,FALSE)-VLOOKUP(A38,'Audit Dimensions'!$A:$N,5,FALSE)</f>
        <v>-1</v>
      </c>
      <c r="F38" s="114">
        <f>VLOOKUP(A38,'[2]Billing Dimensions'!$A:$N,6,FALSE)-VLOOKUP(A38,'Audit Dimensions'!$A:$N,6,FALSE)</f>
        <v>-1100</v>
      </c>
      <c r="G38" s="107">
        <f>VLOOKUP(A38,'[2]Billing Dimensions'!$A:$N,7,FALSE)-VLOOKUP(A38,'Audit Dimensions'!$A:$N,7,FALSE)</f>
        <v>0</v>
      </c>
      <c r="H38" s="107">
        <f>VLOOKUP(A38,'[2]Billing Dimensions'!$A:$N,8,FALSE)-VLOOKUP(A38,'Audit Dimensions'!$A:$N,8,FALSE)</f>
        <v>0</v>
      </c>
      <c r="I38" s="107">
        <f>VLOOKUP(A38,'[2]Billing Dimensions'!$A:$N,9,FALSE)-VLOOKUP(A38,'Audit Dimensions'!$A:$N,9,FALSE)</f>
        <v>0</v>
      </c>
      <c r="J38" s="106">
        <f>VLOOKUP(A38,'[2]Billing Dimensions'!$A:$N,10,FALSE)-VLOOKUP(A38,'Audit Dimensions'!$A:$N,10,FALSE)</f>
        <v>0</v>
      </c>
      <c r="K38" s="105">
        <f>VLOOKUP(A38,'[2]Billing Dimensions'!$A:$N,11,FALSE)-VLOOKUP(A38,'Audit Dimensions'!$A:$N,11,FALSE)</f>
        <v>0</v>
      </c>
      <c r="L38" s="105">
        <f>VLOOKUP(A38,'[2]Billing Dimensions'!$A:$N,12,FALSE)-VLOOKUP(A38,'Audit Dimensions'!$A:$N,12,FALSE)</f>
        <v>0</v>
      </c>
      <c r="M38" s="105">
        <f>VLOOKUP(A38,'[2]Billing Dimensions'!$A:$N,13,FALSE)-VLOOKUP(A38,'Audit Dimensions'!$A:$N,13,FALSE)</f>
        <v>0</v>
      </c>
      <c r="N38" s="105">
        <f>VLOOKUP(A38,'[2]Billing Dimensions'!$A:$N,14,FALSE)-VLOOKUP(A38,'Audit Dimensions'!$A:$N,14,FALSE)</f>
        <v>0</v>
      </c>
      <c r="O38" s="104">
        <f>VLOOKUP(A38,'[2]Billing Dimensions'!A:Q,16,FALSE)-VLOOKUP('Audit VAR'!A38,'Audit Dimensions'!A:P,16,FALSE)</f>
        <v>-1100</v>
      </c>
      <c r="P38" s="103">
        <f>O38/1000</f>
        <v>-1.1000000000000001</v>
      </c>
      <c r="Q38" s="102">
        <f>(((C38*D38*E38)+(G38*H38*I38)+(K38*L38*M38))/1000000)*35.32</f>
        <v>0</v>
      </c>
      <c r="R38" s="46" t="e">
        <f>P38/Q38</f>
        <v>#DIV/0!</v>
      </c>
    </row>
    <row r="39" spans="1:18" hidden="1" x14ac:dyDescent="0.3">
      <c r="A39" s="122" t="s">
        <v>262</v>
      </c>
      <c r="B39" s="88" t="str">
        <f>VLOOKUP(A39,'[2]Billing Dimensions'!A:B,2,FALSE)</f>
        <v>SB</v>
      </c>
      <c r="C39" s="115">
        <f>VLOOKUP(A39,'[2]Billing Dimensions'!$A:$N,3,FALSE)-VLOOKUP(A39,'Audit Dimensions'!$A:$N,3,FALSE)</f>
        <v>16</v>
      </c>
      <c r="D39" s="115">
        <f>VLOOKUP(A39,'[2]Billing Dimensions'!$A:$N,4,FALSE)-VLOOKUP(A39,'Audit Dimensions'!$A:$N,4,FALSE)</f>
        <v>-1</v>
      </c>
      <c r="E39" s="115">
        <f>VLOOKUP(A39,'[2]Billing Dimensions'!$A:$N,5,FALSE)-VLOOKUP(A39,'Audit Dimensions'!$A:$N,5,FALSE)</f>
        <v>-3</v>
      </c>
      <c r="F39" s="114">
        <f>VLOOKUP(A39,'[2]Billing Dimensions'!$A:$N,6,FALSE)-VLOOKUP(A39,'Audit Dimensions'!$A:$N,6,FALSE)</f>
        <v>900</v>
      </c>
      <c r="G39" s="107">
        <f>VLOOKUP(A39,'[2]Billing Dimensions'!$A:$N,7,FALSE)-VLOOKUP(A39,'Audit Dimensions'!$A:$N,7,FALSE)</f>
        <v>0</v>
      </c>
      <c r="H39" s="107">
        <f>VLOOKUP(A39,'[2]Billing Dimensions'!$A:$N,8,FALSE)-VLOOKUP(A39,'Audit Dimensions'!$A:$N,8,FALSE)</f>
        <v>0</v>
      </c>
      <c r="I39" s="107">
        <f>VLOOKUP(A39,'[2]Billing Dimensions'!$A:$N,9,FALSE)-VLOOKUP(A39,'Audit Dimensions'!$A:$N,9,FALSE)</f>
        <v>0</v>
      </c>
      <c r="J39" s="106">
        <f>VLOOKUP(A39,'[2]Billing Dimensions'!$A:$N,10,FALSE)-VLOOKUP(A39,'Audit Dimensions'!$A:$N,10,FALSE)</f>
        <v>0</v>
      </c>
      <c r="K39" s="105">
        <f>VLOOKUP(A39,'[2]Billing Dimensions'!$A:$N,11,FALSE)-VLOOKUP(A39,'Audit Dimensions'!$A:$N,11,FALSE)</f>
        <v>0</v>
      </c>
      <c r="L39" s="105">
        <f>VLOOKUP(A39,'[2]Billing Dimensions'!$A:$N,12,FALSE)-VLOOKUP(A39,'Audit Dimensions'!$A:$N,12,FALSE)</f>
        <v>0</v>
      </c>
      <c r="M39" s="105">
        <f>VLOOKUP(A39,'[2]Billing Dimensions'!$A:$N,13,FALSE)-VLOOKUP(A39,'Audit Dimensions'!$A:$N,13,FALSE)</f>
        <v>0</v>
      </c>
      <c r="N39" s="105">
        <f>VLOOKUP(A39,'[2]Billing Dimensions'!$A:$N,14,FALSE)-VLOOKUP(A39,'Audit Dimensions'!$A:$N,14,FALSE)</f>
        <v>0</v>
      </c>
      <c r="O39" s="104">
        <f>VLOOKUP(A39,'[2]Billing Dimensions'!A:Q,16,FALSE)-VLOOKUP('Audit VAR'!A39,'Audit Dimensions'!A:P,16,FALSE)</f>
        <v>900</v>
      </c>
      <c r="P39" s="103">
        <f>O39/1000</f>
        <v>0.9</v>
      </c>
      <c r="Q39" s="102">
        <f>(((C39*D39*E39)+(G39*H39*I39)+(K39*L39*M39))/1000000)*35.32</f>
        <v>1.6953600000000001E-3</v>
      </c>
      <c r="R39" s="46">
        <f>P39/Q39</f>
        <v>530.86070215175539</v>
      </c>
    </row>
    <row r="40" spans="1:18" hidden="1" x14ac:dyDescent="0.3">
      <c r="A40" s="122" t="s">
        <v>261</v>
      </c>
      <c r="B40" s="88" t="str">
        <f>VLOOKUP(A40,'[2]Billing Dimensions'!A:B,2,FALSE)</f>
        <v>SB</v>
      </c>
      <c r="C40" s="115">
        <f>VLOOKUP(A40,'[2]Billing Dimensions'!$A:$N,3,FALSE)-VLOOKUP(A40,'Audit Dimensions'!$A:$N,3,FALSE)</f>
        <v>0</v>
      </c>
      <c r="D40" s="115">
        <f>VLOOKUP(A40,'[2]Billing Dimensions'!$A:$N,4,FALSE)-VLOOKUP(A40,'Audit Dimensions'!$A:$N,4,FALSE)</f>
        <v>0</v>
      </c>
      <c r="E40" s="115">
        <f>VLOOKUP(A40,'[2]Billing Dimensions'!$A:$N,5,FALSE)-VLOOKUP(A40,'Audit Dimensions'!$A:$N,5,FALSE)</f>
        <v>0</v>
      </c>
      <c r="F40" s="114">
        <f>VLOOKUP(A40,'[2]Billing Dimensions'!$A:$N,6,FALSE)-VLOOKUP(A40,'Audit Dimensions'!$A:$N,6,FALSE)</f>
        <v>-86760</v>
      </c>
      <c r="G40" s="107">
        <f>VLOOKUP(A40,'[2]Billing Dimensions'!$A:$N,7,FALSE)-VLOOKUP(A40,'Audit Dimensions'!$A:$N,7,FALSE)</f>
        <v>0</v>
      </c>
      <c r="H40" s="107">
        <f>VLOOKUP(A40,'[2]Billing Dimensions'!$A:$N,8,FALSE)-VLOOKUP(A40,'Audit Dimensions'!$A:$N,8,FALSE)</f>
        <v>0</v>
      </c>
      <c r="I40" s="107">
        <f>VLOOKUP(A40,'[2]Billing Dimensions'!$A:$N,9,FALSE)-VLOOKUP(A40,'Audit Dimensions'!$A:$N,9,FALSE)</f>
        <v>0</v>
      </c>
      <c r="J40" s="106">
        <f>VLOOKUP(A40,'[2]Billing Dimensions'!$A:$N,10,FALSE)-VLOOKUP(A40,'Audit Dimensions'!$A:$N,10,FALSE)</f>
        <v>0</v>
      </c>
      <c r="K40" s="105">
        <f>VLOOKUP(A40,'[2]Billing Dimensions'!$A:$N,11,FALSE)-VLOOKUP(A40,'Audit Dimensions'!$A:$N,11,FALSE)</f>
        <v>0</v>
      </c>
      <c r="L40" s="105">
        <f>VLOOKUP(A40,'[2]Billing Dimensions'!$A:$N,12,FALSE)-VLOOKUP(A40,'Audit Dimensions'!$A:$N,12,FALSE)</f>
        <v>0</v>
      </c>
      <c r="M40" s="105">
        <f>VLOOKUP(A40,'[2]Billing Dimensions'!$A:$N,13,FALSE)-VLOOKUP(A40,'Audit Dimensions'!$A:$N,13,FALSE)</f>
        <v>0</v>
      </c>
      <c r="N40" s="105">
        <f>VLOOKUP(A40,'[2]Billing Dimensions'!$A:$N,14,FALSE)-VLOOKUP(A40,'Audit Dimensions'!$A:$N,14,FALSE)</f>
        <v>0</v>
      </c>
      <c r="O40" s="104">
        <f>VLOOKUP(A40,'[2]Billing Dimensions'!A:Q,16,FALSE)-VLOOKUP('Audit VAR'!A40,'Audit Dimensions'!A:P,16,FALSE)</f>
        <v>-86760</v>
      </c>
      <c r="P40" s="103">
        <f>O40/1000</f>
        <v>-86.76</v>
      </c>
      <c r="Q40" s="102">
        <f>(((C40*D40*E40)+(G40*H40*I40)+(K40*L40*M40))/1000000)*35.32</f>
        <v>0</v>
      </c>
      <c r="R40" s="46" t="e">
        <f>P40/Q40</f>
        <v>#DIV/0!</v>
      </c>
    </row>
    <row r="41" spans="1:18" ht="12.45" hidden="1" customHeight="1" x14ac:dyDescent="0.3">
      <c r="A41" s="122" t="s">
        <v>260</v>
      </c>
      <c r="B41" s="88" t="str">
        <f>VLOOKUP(A41,'[2]Billing Dimensions'!A:B,2,FALSE)</f>
        <v>SB</v>
      </c>
      <c r="C41" s="115">
        <f>VLOOKUP(A41,'[2]Billing Dimensions'!$A:$N,3,FALSE)-VLOOKUP(A41,'Audit Dimensions'!$A:$N,3,FALSE)</f>
        <v>0</v>
      </c>
      <c r="D41" s="115">
        <f>VLOOKUP(A41,'[2]Billing Dimensions'!$A:$N,4,FALSE)-VLOOKUP(A41,'Audit Dimensions'!$A:$N,4,FALSE)</f>
        <v>0</v>
      </c>
      <c r="E41" s="115">
        <f>VLOOKUP(A41,'[2]Billing Dimensions'!$A:$N,5,FALSE)-VLOOKUP(A41,'Audit Dimensions'!$A:$N,5,FALSE)</f>
        <v>0</v>
      </c>
      <c r="F41" s="114">
        <f>VLOOKUP(A41,'[2]Billing Dimensions'!$A:$N,6,FALSE)-VLOOKUP(A41,'Audit Dimensions'!$A:$N,6,FALSE)</f>
        <v>200</v>
      </c>
      <c r="G41" s="107">
        <f>VLOOKUP(A41,'[2]Billing Dimensions'!$A:$N,7,FALSE)-VLOOKUP(A41,'Audit Dimensions'!$A:$N,7,FALSE)</f>
        <v>0</v>
      </c>
      <c r="H41" s="107">
        <f>VLOOKUP(A41,'[2]Billing Dimensions'!$A:$N,8,FALSE)-VLOOKUP(A41,'Audit Dimensions'!$A:$N,8,FALSE)</f>
        <v>0</v>
      </c>
      <c r="I41" s="107">
        <f>VLOOKUP(A41,'[2]Billing Dimensions'!$A:$N,9,FALSE)-VLOOKUP(A41,'Audit Dimensions'!$A:$N,9,FALSE)</f>
        <v>0</v>
      </c>
      <c r="J41" s="106">
        <f>VLOOKUP(A41,'[2]Billing Dimensions'!$A:$N,10,FALSE)-VLOOKUP(A41,'Audit Dimensions'!$A:$N,10,FALSE)</f>
        <v>0</v>
      </c>
      <c r="K41" s="105">
        <f>VLOOKUP(A41,'[2]Billing Dimensions'!$A:$N,11,FALSE)-VLOOKUP(A41,'Audit Dimensions'!$A:$N,11,FALSE)</f>
        <v>0</v>
      </c>
      <c r="L41" s="105">
        <f>VLOOKUP(A41,'[2]Billing Dimensions'!$A:$N,12,FALSE)-VLOOKUP(A41,'Audit Dimensions'!$A:$N,12,FALSE)</f>
        <v>0</v>
      </c>
      <c r="M41" s="105">
        <f>VLOOKUP(A41,'[2]Billing Dimensions'!$A:$N,13,FALSE)-VLOOKUP(A41,'Audit Dimensions'!$A:$N,13,FALSE)</f>
        <v>0</v>
      </c>
      <c r="N41" s="105">
        <f>VLOOKUP(A41,'[2]Billing Dimensions'!$A:$N,14,FALSE)-VLOOKUP(A41,'Audit Dimensions'!$A:$N,14,FALSE)</f>
        <v>0</v>
      </c>
      <c r="O41" s="104">
        <f>VLOOKUP(A41,'[2]Billing Dimensions'!A:Q,16,FALSE)-VLOOKUP('Audit VAR'!A41,'Audit Dimensions'!A:P,16,FALSE)</f>
        <v>200</v>
      </c>
      <c r="P41" s="103">
        <f>O41/1000</f>
        <v>0.2</v>
      </c>
      <c r="Q41" s="102">
        <f>(((C41*D41*E41)+(G41*H41*I41)+(K41*L41*M41))/1000000)*35.32</f>
        <v>0</v>
      </c>
      <c r="R41" s="46" t="e">
        <f>P41/Q41</f>
        <v>#DIV/0!</v>
      </c>
    </row>
    <row r="42" spans="1:18" hidden="1" x14ac:dyDescent="0.3">
      <c r="A42" s="122" t="s">
        <v>259</v>
      </c>
      <c r="B42" s="88" t="str">
        <f>VLOOKUP(A42,'[2]Billing Dimensions'!A:B,2,FALSE)</f>
        <v>SB</v>
      </c>
      <c r="C42" s="115">
        <f>VLOOKUP(A42,'[2]Billing Dimensions'!$A:$N,3,FALSE)-VLOOKUP(A42,'Audit Dimensions'!$A:$N,3,FALSE)</f>
        <v>1</v>
      </c>
      <c r="D42" s="115">
        <f>VLOOKUP(A42,'[2]Billing Dimensions'!$A:$N,4,FALSE)-VLOOKUP(A42,'Audit Dimensions'!$A:$N,4,FALSE)</f>
        <v>0</v>
      </c>
      <c r="E42" s="115">
        <f>VLOOKUP(A42,'[2]Billing Dimensions'!$A:$N,5,FALSE)-VLOOKUP(A42,'Audit Dimensions'!$A:$N,5,FALSE)</f>
        <v>0</v>
      </c>
      <c r="F42" s="114">
        <f>VLOOKUP(A42,'[2]Billing Dimensions'!$A:$N,6,FALSE)-VLOOKUP(A42,'Audit Dimensions'!$A:$N,6,FALSE)</f>
        <v>50</v>
      </c>
      <c r="G42" s="107">
        <f>VLOOKUP(A42,'[2]Billing Dimensions'!$A:$N,7,FALSE)-VLOOKUP(A42,'Audit Dimensions'!$A:$N,7,FALSE)</f>
        <v>0</v>
      </c>
      <c r="H42" s="107">
        <f>VLOOKUP(A42,'[2]Billing Dimensions'!$A:$N,8,FALSE)-VLOOKUP(A42,'Audit Dimensions'!$A:$N,8,FALSE)</f>
        <v>0</v>
      </c>
      <c r="I42" s="107">
        <f>VLOOKUP(A42,'[2]Billing Dimensions'!$A:$N,9,FALSE)-VLOOKUP(A42,'Audit Dimensions'!$A:$N,9,FALSE)</f>
        <v>0</v>
      </c>
      <c r="J42" s="106">
        <f>VLOOKUP(A42,'[2]Billing Dimensions'!$A:$N,10,FALSE)-VLOOKUP(A42,'Audit Dimensions'!$A:$N,10,FALSE)</f>
        <v>0</v>
      </c>
      <c r="K42" s="105">
        <f>VLOOKUP(A42,'[2]Billing Dimensions'!$A:$N,11,FALSE)-VLOOKUP(A42,'Audit Dimensions'!$A:$N,11,FALSE)</f>
        <v>0</v>
      </c>
      <c r="L42" s="105">
        <f>VLOOKUP(A42,'[2]Billing Dimensions'!$A:$N,12,FALSE)-VLOOKUP(A42,'Audit Dimensions'!$A:$N,12,FALSE)</f>
        <v>0</v>
      </c>
      <c r="M42" s="105">
        <f>VLOOKUP(A42,'[2]Billing Dimensions'!$A:$N,13,FALSE)-VLOOKUP(A42,'Audit Dimensions'!$A:$N,13,FALSE)</f>
        <v>0</v>
      </c>
      <c r="N42" s="105">
        <f>VLOOKUP(A42,'[2]Billing Dimensions'!$A:$N,14,FALSE)-VLOOKUP(A42,'Audit Dimensions'!$A:$N,14,FALSE)</f>
        <v>0</v>
      </c>
      <c r="O42" s="104">
        <f>VLOOKUP(A42,'[2]Billing Dimensions'!A:Q,16,FALSE)-VLOOKUP('Audit VAR'!A42,'Audit Dimensions'!A:P,16,FALSE)</f>
        <v>50</v>
      </c>
      <c r="P42" s="103">
        <f>O42/1000</f>
        <v>0.05</v>
      </c>
      <c r="Q42" s="102">
        <f>(((C42*D42*E42)+(G42*H42*I42)+(K42*L42*M42))/1000000)*35.32</f>
        <v>0</v>
      </c>
      <c r="R42" s="46" t="e">
        <f>P42/Q42</f>
        <v>#DIV/0!</v>
      </c>
    </row>
    <row r="43" spans="1:18" ht="12.45" hidden="1" customHeight="1" x14ac:dyDescent="0.3">
      <c r="A43" s="122" t="s">
        <v>352</v>
      </c>
      <c r="B43" s="88" t="e">
        <f>VLOOKUP(A43,'[2]Billing Dimensions'!A:B,2,FALSE)</f>
        <v>#N/A</v>
      </c>
      <c r="C43" s="115" t="e">
        <f>VLOOKUP(A43,'[2]Billing Dimensions'!$A:$N,3,FALSE)-VLOOKUP(A43,'Audit Dimensions'!$A:$N,3,FALSE)</f>
        <v>#N/A</v>
      </c>
      <c r="D43" s="115" t="e">
        <f>VLOOKUP(A43,'[2]Billing Dimensions'!$A:$N,4,FALSE)-VLOOKUP(A43,'Audit Dimensions'!$A:$N,4,FALSE)</f>
        <v>#N/A</v>
      </c>
      <c r="E43" s="115" t="e">
        <f>VLOOKUP(A43,'[2]Billing Dimensions'!$A:$N,5,FALSE)-VLOOKUP(A43,'Audit Dimensions'!$A:$N,5,FALSE)</f>
        <v>#N/A</v>
      </c>
      <c r="F43" s="114" t="e">
        <f>VLOOKUP(A43,'[2]Billing Dimensions'!$A:$N,6,FALSE)-VLOOKUP(A43,'Audit Dimensions'!$A:$N,6,FALSE)</f>
        <v>#N/A</v>
      </c>
      <c r="G43" s="107" t="e">
        <f>VLOOKUP(A43,'[2]Billing Dimensions'!$A:$N,7,FALSE)-VLOOKUP(A43,'Audit Dimensions'!$A:$N,7,FALSE)</f>
        <v>#N/A</v>
      </c>
      <c r="H43" s="107" t="e">
        <f>VLOOKUP(A43,'[2]Billing Dimensions'!$A:$N,8,FALSE)-VLOOKUP(A43,'Audit Dimensions'!$A:$N,8,FALSE)</f>
        <v>#N/A</v>
      </c>
      <c r="I43" s="107" t="e">
        <f>VLOOKUP(A43,'[2]Billing Dimensions'!$A:$N,9,FALSE)-VLOOKUP(A43,'Audit Dimensions'!$A:$N,9,FALSE)</f>
        <v>#N/A</v>
      </c>
      <c r="J43" s="106" t="e">
        <f>VLOOKUP(A43,'[2]Billing Dimensions'!$A:$N,10,FALSE)-VLOOKUP(A43,'Audit Dimensions'!$A:$N,10,FALSE)</f>
        <v>#N/A</v>
      </c>
      <c r="K43" s="105" t="e">
        <f>VLOOKUP(A43,'[2]Billing Dimensions'!$A:$N,11,FALSE)-VLOOKUP(A43,'Audit Dimensions'!$A:$N,11,FALSE)</f>
        <v>#N/A</v>
      </c>
      <c r="L43" s="105" t="e">
        <f>VLOOKUP(A43,'[2]Billing Dimensions'!$A:$N,12,FALSE)-VLOOKUP(A43,'Audit Dimensions'!$A:$N,12,FALSE)</f>
        <v>#N/A</v>
      </c>
      <c r="M43" s="105" t="e">
        <f>VLOOKUP(A43,'[2]Billing Dimensions'!$A:$N,13,FALSE)-VLOOKUP(A43,'Audit Dimensions'!$A:$N,13,FALSE)</f>
        <v>#N/A</v>
      </c>
      <c r="N43" s="105" t="e">
        <f>VLOOKUP(A43,'[2]Billing Dimensions'!$A:$N,14,FALSE)-VLOOKUP(A43,'Audit Dimensions'!$A:$N,14,FALSE)</f>
        <v>#N/A</v>
      </c>
      <c r="O43" s="104" t="e">
        <f>VLOOKUP(A43,'[2]Billing Dimensions'!A:Q,16,FALSE)-VLOOKUP('Audit VAR'!A43,'Audit Dimensions'!A:P,16,FALSE)</f>
        <v>#N/A</v>
      </c>
      <c r="P43" s="103" t="e">
        <f>O43/1000</f>
        <v>#N/A</v>
      </c>
      <c r="Q43" s="102" t="e">
        <f>(((C43*D43*E43)+(G43*H43*I43)+(K43*L43*M43))/1000000)*35.32</f>
        <v>#N/A</v>
      </c>
      <c r="R43" s="46" t="e">
        <f>P43/Q43</f>
        <v>#N/A</v>
      </c>
    </row>
    <row r="44" spans="1:18" hidden="1" x14ac:dyDescent="0.3">
      <c r="A44" s="122" t="s">
        <v>257</v>
      </c>
      <c r="B44" s="88" t="str">
        <f>VLOOKUP(A44,'[2]Billing Dimensions'!A:B,2,FALSE)</f>
        <v>SB</v>
      </c>
      <c r="C44" s="115">
        <f>VLOOKUP(A44,'[2]Billing Dimensions'!$A:$N,3,FALSE)-VLOOKUP(A44,'Audit Dimensions'!$A:$N,3,FALSE)</f>
        <v>0</v>
      </c>
      <c r="D44" s="115">
        <f>VLOOKUP(A44,'[2]Billing Dimensions'!$A:$N,4,FALSE)-VLOOKUP(A44,'Audit Dimensions'!$A:$N,4,FALSE)</f>
        <v>0</v>
      </c>
      <c r="E44" s="115">
        <f>VLOOKUP(A44,'[2]Billing Dimensions'!$A:$N,5,FALSE)-VLOOKUP(A44,'Audit Dimensions'!$A:$N,5,FALSE)</f>
        <v>0</v>
      </c>
      <c r="F44" s="114">
        <f>VLOOKUP(A44,'[2]Billing Dimensions'!$A:$N,6,FALSE)-VLOOKUP(A44,'Audit Dimensions'!$A:$N,6,FALSE)</f>
        <v>0</v>
      </c>
      <c r="G44" s="107">
        <f>VLOOKUP(A44,'[2]Billing Dimensions'!$A:$N,7,FALSE)-VLOOKUP(A44,'Audit Dimensions'!$A:$N,7,FALSE)</f>
        <v>0</v>
      </c>
      <c r="H44" s="107">
        <f>VLOOKUP(A44,'[2]Billing Dimensions'!$A:$N,8,FALSE)-VLOOKUP(A44,'Audit Dimensions'!$A:$N,8,FALSE)</f>
        <v>0</v>
      </c>
      <c r="I44" s="107">
        <f>VLOOKUP(A44,'[2]Billing Dimensions'!$A:$N,9,FALSE)-VLOOKUP(A44,'Audit Dimensions'!$A:$N,9,FALSE)</f>
        <v>0</v>
      </c>
      <c r="J44" s="106">
        <f>VLOOKUP(A44,'[2]Billing Dimensions'!$A:$N,10,FALSE)-VLOOKUP(A44,'Audit Dimensions'!$A:$N,10,FALSE)</f>
        <v>0</v>
      </c>
      <c r="K44" s="105">
        <f>VLOOKUP(A44,'[2]Billing Dimensions'!$A:$N,11,FALSE)-VLOOKUP(A44,'Audit Dimensions'!$A:$N,11,FALSE)</f>
        <v>0</v>
      </c>
      <c r="L44" s="105">
        <f>VLOOKUP(A44,'[2]Billing Dimensions'!$A:$N,12,FALSE)-VLOOKUP(A44,'Audit Dimensions'!$A:$N,12,FALSE)</f>
        <v>0</v>
      </c>
      <c r="M44" s="105">
        <f>VLOOKUP(A44,'[2]Billing Dimensions'!$A:$N,13,FALSE)-VLOOKUP(A44,'Audit Dimensions'!$A:$N,13,FALSE)</f>
        <v>0</v>
      </c>
      <c r="N44" s="105">
        <f>VLOOKUP(A44,'[2]Billing Dimensions'!$A:$N,14,FALSE)-VLOOKUP(A44,'Audit Dimensions'!$A:$N,14,FALSE)</f>
        <v>0</v>
      </c>
      <c r="O44" s="104">
        <f>VLOOKUP(A44,'[2]Billing Dimensions'!A:Q,16,FALSE)-VLOOKUP('Audit VAR'!A44,'Audit Dimensions'!A:P,16,FALSE)</f>
        <v>0</v>
      </c>
      <c r="P44" s="103">
        <f>O44/1000</f>
        <v>0</v>
      </c>
      <c r="Q44" s="102">
        <f>(((C44*D44*E44)+(G44*H44*I44)+(K44*L44*M44))/1000000)*35.32</f>
        <v>0</v>
      </c>
      <c r="R44" s="46" t="e">
        <f>P44/Q44</f>
        <v>#DIV/0!</v>
      </c>
    </row>
    <row r="45" spans="1:18" hidden="1" x14ac:dyDescent="0.3">
      <c r="A45" s="122" t="s">
        <v>256</v>
      </c>
      <c r="B45" s="88" t="str">
        <f>VLOOKUP(A45,'[2]Billing Dimensions'!A:B,2,FALSE)</f>
        <v>SB</v>
      </c>
      <c r="C45" s="115">
        <f>VLOOKUP(A45,'[2]Billing Dimensions'!$A:$N,3,FALSE)-VLOOKUP(A45,'Audit Dimensions'!$A:$N,3,FALSE)</f>
        <v>0</v>
      </c>
      <c r="D45" s="115">
        <f>VLOOKUP(A45,'[2]Billing Dimensions'!$A:$N,4,FALSE)-VLOOKUP(A45,'Audit Dimensions'!$A:$N,4,FALSE)</f>
        <v>0</v>
      </c>
      <c r="E45" s="115">
        <f>VLOOKUP(A45,'[2]Billing Dimensions'!$A:$N,5,FALSE)-VLOOKUP(A45,'Audit Dimensions'!$A:$N,5,FALSE)</f>
        <v>0</v>
      </c>
      <c r="F45" s="114">
        <f>VLOOKUP(A45,'[2]Billing Dimensions'!$A:$N,6,FALSE)-VLOOKUP(A45,'Audit Dimensions'!$A:$N,6,FALSE)</f>
        <v>0</v>
      </c>
      <c r="G45" s="107">
        <f>VLOOKUP(A45,'[2]Billing Dimensions'!$A:$N,7,FALSE)-VLOOKUP(A45,'Audit Dimensions'!$A:$N,7,FALSE)</f>
        <v>0</v>
      </c>
      <c r="H45" s="107">
        <f>VLOOKUP(A45,'[2]Billing Dimensions'!$A:$N,8,FALSE)-VLOOKUP(A45,'Audit Dimensions'!$A:$N,8,FALSE)</f>
        <v>0</v>
      </c>
      <c r="I45" s="107">
        <f>VLOOKUP(A45,'[2]Billing Dimensions'!$A:$N,9,FALSE)-VLOOKUP(A45,'Audit Dimensions'!$A:$N,9,FALSE)</f>
        <v>0</v>
      </c>
      <c r="J45" s="106">
        <f>VLOOKUP(A45,'[2]Billing Dimensions'!$A:$N,10,FALSE)-VLOOKUP(A45,'Audit Dimensions'!$A:$N,10,FALSE)</f>
        <v>0</v>
      </c>
      <c r="K45" s="105">
        <f>VLOOKUP(A45,'[2]Billing Dimensions'!$A:$N,11,FALSE)-VLOOKUP(A45,'Audit Dimensions'!$A:$N,11,FALSE)</f>
        <v>0</v>
      </c>
      <c r="L45" s="105">
        <f>VLOOKUP(A45,'[2]Billing Dimensions'!$A:$N,12,FALSE)-VLOOKUP(A45,'Audit Dimensions'!$A:$N,12,FALSE)</f>
        <v>0</v>
      </c>
      <c r="M45" s="105">
        <f>VLOOKUP(A45,'[2]Billing Dimensions'!$A:$N,13,FALSE)-VLOOKUP(A45,'Audit Dimensions'!$A:$N,13,FALSE)</f>
        <v>0</v>
      </c>
      <c r="N45" s="105">
        <f>VLOOKUP(A45,'[2]Billing Dimensions'!$A:$N,14,FALSE)-VLOOKUP(A45,'Audit Dimensions'!$A:$N,14,FALSE)</f>
        <v>0</v>
      </c>
      <c r="O45" s="104">
        <f>VLOOKUP(A45,'[2]Billing Dimensions'!A:Q,16,FALSE)-VLOOKUP('Audit VAR'!A45,'Audit Dimensions'!A:P,16,FALSE)</f>
        <v>0</v>
      </c>
      <c r="P45" s="103">
        <f>O45/1000</f>
        <v>0</v>
      </c>
      <c r="Q45" s="102">
        <f>(((C45*D45*E45)+(G45*H45*I45)+(K45*L45*M45))/1000000)*35.32</f>
        <v>0</v>
      </c>
      <c r="R45" s="46" t="e">
        <f>P45/Q45</f>
        <v>#DIV/0!</v>
      </c>
    </row>
    <row r="46" spans="1:18" hidden="1" x14ac:dyDescent="0.3">
      <c r="A46" s="122" t="s">
        <v>255</v>
      </c>
      <c r="B46" s="88" t="str">
        <f>VLOOKUP(A46,'[2]Billing Dimensions'!A:B,2,FALSE)</f>
        <v>SB</v>
      </c>
      <c r="C46" s="115">
        <f>VLOOKUP(A46,'[2]Billing Dimensions'!$A:$N,3,FALSE)-VLOOKUP(A46,'Audit Dimensions'!$A:$N,3,FALSE)</f>
        <v>0</v>
      </c>
      <c r="D46" s="115">
        <f>VLOOKUP(A46,'[2]Billing Dimensions'!$A:$N,4,FALSE)-VLOOKUP(A46,'Audit Dimensions'!$A:$N,4,FALSE)</f>
        <v>0</v>
      </c>
      <c r="E46" s="115">
        <f>VLOOKUP(A46,'[2]Billing Dimensions'!$A:$N,5,FALSE)-VLOOKUP(A46,'Audit Dimensions'!$A:$N,5,FALSE)</f>
        <v>0</v>
      </c>
      <c r="F46" s="114">
        <f>VLOOKUP(A46,'[2]Billing Dimensions'!$A:$N,6,FALSE)-VLOOKUP(A46,'Audit Dimensions'!$A:$N,6,FALSE)</f>
        <v>0</v>
      </c>
      <c r="G46" s="107">
        <f>VLOOKUP(A46,'[2]Billing Dimensions'!$A:$N,7,FALSE)-VLOOKUP(A46,'Audit Dimensions'!$A:$N,7,FALSE)</f>
        <v>0</v>
      </c>
      <c r="H46" s="107">
        <f>VLOOKUP(A46,'[2]Billing Dimensions'!$A:$N,8,FALSE)-VLOOKUP(A46,'Audit Dimensions'!$A:$N,8,FALSE)</f>
        <v>0</v>
      </c>
      <c r="I46" s="107">
        <f>VLOOKUP(A46,'[2]Billing Dimensions'!$A:$N,9,FALSE)-VLOOKUP(A46,'Audit Dimensions'!$A:$N,9,FALSE)</f>
        <v>0</v>
      </c>
      <c r="J46" s="106">
        <f>VLOOKUP(A46,'[2]Billing Dimensions'!$A:$N,10,FALSE)-VLOOKUP(A46,'Audit Dimensions'!$A:$N,10,FALSE)</f>
        <v>0</v>
      </c>
      <c r="K46" s="105">
        <f>VLOOKUP(A46,'[2]Billing Dimensions'!$A:$N,11,FALSE)-VLOOKUP(A46,'Audit Dimensions'!$A:$N,11,FALSE)</f>
        <v>0</v>
      </c>
      <c r="L46" s="105">
        <f>VLOOKUP(A46,'[2]Billing Dimensions'!$A:$N,12,FALSE)-VLOOKUP(A46,'Audit Dimensions'!$A:$N,12,FALSE)</f>
        <v>0</v>
      </c>
      <c r="M46" s="105">
        <f>VLOOKUP(A46,'[2]Billing Dimensions'!$A:$N,13,FALSE)-VLOOKUP(A46,'Audit Dimensions'!$A:$N,13,FALSE)</f>
        <v>0</v>
      </c>
      <c r="N46" s="105">
        <f>VLOOKUP(A46,'[2]Billing Dimensions'!$A:$N,14,FALSE)-VLOOKUP(A46,'Audit Dimensions'!$A:$N,14,FALSE)</f>
        <v>0</v>
      </c>
      <c r="O46" s="104">
        <f>VLOOKUP(A46,'[2]Billing Dimensions'!A:Q,16,FALSE)-VLOOKUP('Audit VAR'!A46,'Audit Dimensions'!A:P,16,FALSE)</f>
        <v>0</v>
      </c>
      <c r="P46" s="103">
        <f>O46/1000</f>
        <v>0</v>
      </c>
      <c r="Q46" s="102">
        <f>(((C46*D46*E46)+(G46*H46*I46)+(K46*L46*M46))/1000000)*35.32</f>
        <v>0</v>
      </c>
      <c r="R46" s="46" t="e">
        <f>P46/Q46</f>
        <v>#DIV/0!</v>
      </c>
    </row>
    <row r="47" spans="1:18" hidden="1" x14ac:dyDescent="0.3">
      <c r="A47" s="122" t="s">
        <v>254</v>
      </c>
      <c r="B47" s="88" t="str">
        <f>VLOOKUP(A47,'[2]Billing Dimensions'!A:B,2,FALSE)</f>
        <v>SB</v>
      </c>
      <c r="C47" s="115">
        <f>VLOOKUP(A47,'[2]Billing Dimensions'!$A:$N,3,FALSE)-VLOOKUP(A47,'Audit Dimensions'!$A:$N,3,FALSE)</f>
        <v>0</v>
      </c>
      <c r="D47" s="115">
        <f>VLOOKUP(A47,'[2]Billing Dimensions'!$A:$N,4,FALSE)-VLOOKUP(A47,'Audit Dimensions'!$A:$N,4,FALSE)</f>
        <v>0</v>
      </c>
      <c r="E47" s="115">
        <f>VLOOKUP(A47,'[2]Billing Dimensions'!$A:$N,5,FALSE)-VLOOKUP(A47,'Audit Dimensions'!$A:$N,5,FALSE)</f>
        <v>0</v>
      </c>
      <c r="F47" s="114">
        <f>VLOOKUP(A47,'[2]Billing Dimensions'!$A:$N,6,FALSE)-VLOOKUP(A47,'Audit Dimensions'!$A:$N,6,FALSE)</f>
        <v>0</v>
      </c>
      <c r="G47" s="107">
        <f>VLOOKUP(A47,'[2]Billing Dimensions'!$A:$N,7,FALSE)-VLOOKUP(A47,'Audit Dimensions'!$A:$N,7,FALSE)</f>
        <v>0</v>
      </c>
      <c r="H47" s="107">
        <f>VLOOKUP(A47,'[2]Billing Dimensions'!$A:$N,8,FALSE)-VLOOKUP(A47,'Audit Dimensions'!$A:$N,8,FALSE)</f>
        <v>0</v>
      </c>
      <c r="I47" s="107">
        <f>VLOOKUP(A47,'[2]Billing Dimensions'!$A:$N,9,FALSE)-VLOOKUP(A47,'Audit Dimensions'!$A:$N,9,FALSE)</f>
        <v>0</v>
      </c>
      <c r="J47" s="106">
        <f>VLOOKUP(A47,'[2]Billing Dimensions'!$A:$N,10,FALSE)-VLOOKUP(A47,'Audit Dimensions'!$A:$N,10,FALSE)</f>
        <v>0</v>
      </c>
      <c r="K47" s="105">
        <f>VLOOKUP(A47,'[2]Billing Dimensions'!$A:$N,11,FALSE)-VLOOKUP(A47,'Audit Dimensions'!$A:$N,11,FALSE)</f>
        <v>0</v>
      </c>
      <c r="L47" s="105">
        <f>VLOOKUP(A47,'[2]Billing Dimensions'!$A:$N,12,FALSE)-VLOOKUP(A47,'Audit Dimensions'!$A:$N,12,FALSE)</f>
        <v>0</v>
      </c>
      <c r="M47" s="105">
        <f>VLOOKUP(A47,'[2]Billing Dimensions'!$A:$N,13,FALSE)-VLOOKUP(A47,'Audit Dimensions'!$A:$N,13,FALSE)</f>
        <v>0</v>
      </c>
      <c r="N47" s="105">
        <f>VLOOKUP(A47,'[2]Billing Dimensions'!$A:$N,14,FALSE)-VLOOKUP(A47,'Audit Dimensions'!$A:$N,14,FALSE)</f>
        <v>0</v>
      </c>
      <c r="O47" s="104">
        <f>VLOOKUP(A47,'[2]Billing Dimensions'!A:Q,16,FALSE)-VLOOKUP('Audit VAR'!A47,'Audit Dimensions'!A:P,16,FALSE)</f>
        <v>0</v>
      </c>
      <c r="P47" s="103">
        <f>O47/1000</f>
        <v>0</v>
      </c>
      <c r="Q47" s="102">
        <f>(((C47*D47*E47)+(G47*H47*I47)+(K47*L47*M47))/1000000)*35.32</f>
        <v>0</v>
      </c>
      <c r="R47" s="46" t="e">
        <f>P47/Q47</f>
        <v>#DIV/0!</v>
      </c>
    </row>
    <row r="48" spans="1:18" hidden="1" x14ac:dyDescent="0.3">
      <c r="A48" s="122" t="s">
        <v>253</v>
      </c>
      <c r="B48" s="88" t="str">
        <f>VLOOKUP(A48,'[2]Billing Dimensions'!A:B,2,FALSE)</f>
        <v>SB</v>
      </c>
      <c r="C48" s="115">
        <f>VLOOKUP(A48,'[2]Billing Dimensions'!$A:$N,3,FALSE)-VLOOKUP(A48,'Audit Dimensions'!$A:$N,3,FALSE)</f>
        <v>1</v>
      </c>
      <c r="D48" s="115">
        <f>VLOOKUP(A48,'[2]Billing Dimensions'!$A:$N,4,FALSE)-VLOOKUP(A48,'Audit Dimensions'!$A:$N,4,FALSE)</f>
        <v>-2</v>
      </c>
      <c r="E48" s="115">
        <f>VLOOKUP(A48,'[2]Billing Dimensions'!$A:$N,5,FALSE)-VLOOKUP(A48,'Audit Dimensions'!$A:$N,5,FALSE)</f>
        <v>-2</v>
      </c>
      <c r="F48" s="114">
        <f>VLOOKUP(A48,'[2]Billing Dimensions'!$A:$N,6,FALSE)-VLOOKUP(A48,'Audit Dimensions'!$A:$N,6,FALSE)</f>
        <v>-3240</v>
      </c>
      <c r="G48" s="107">
        <f>VLOOKUP(A48,'[2]Billing Dimensions'!$A:$N,7,FALSE)-VLOOKUP(A48,'Audit Dimensions'!$A:$N,7,FALSE)</f>
        <v>0</v>
      </c>
      <c r="H48" s="107">
        <f>VLOOKUP(A48,'[2]Billing Dimensions'!$A:$N,8,FALSE)-VLOOKUP(A48,'Audit Dimensions'!$A:$N,8,FALSE)</f>
        <v>0</v>
      </c>
      <c r="I48" s="107">
        <f>VLOOKUP(A48,'[2]Billing Dimensions'!$A:$N,9,FALSE)-VLOOKUP(A48,'Audit Dimensions'!$A:$N,9,FALSE)</f>
        <v>0</v>
      </c>
      <c r="J48" s="106">
        <f>VLOOKUP(A48,'[2]Billing Dimensions'!$A:$N,10,FALSE)-VLOOKUP(A48,'Audit Dimensions'!$A:$N,10,FALSE)</f>
        <v>0</v>
      </c>
      <c r="K48" s="105">
        <f>VLOOKUP(A48,'[2]Billing Dimensions'!$A:$N,11,FALSE)-VLOOKUP(A48,'Audit Dimensions'!$A:$N,11,FALSE)</f>
        <v>0</v>
      </c>
      <c r="L48" s="105">
        <f>VLOOKUP(A48,'[2]Billing Dimensions'!$A:$N,12,FALSE)-VLOOKUP(A48,'Audit Dimensions'!$A:$N,12,FALSE)</f>
        <v>0</v>
      </c>
      <c r="M48" s="105">
        <f>VLOOKUP(A48,'[2]Billing Dimensions'!$A:$N,13,FALSE)-VLOOKUP(A48,'Audit Dimensions'!$A:$N,13,FALSE)</f>
        <v>0</v>
      </c>
      <c r="N48" s="105">
        <f>VLOOKUP(A48,'[2]Billing Dimensions'!$A:$N,14,FALSE)-VLOOKUP(A48,'Audit Dimensions'!$A:$N,14,FALSE)</f>
        <v>0</v>
      </c>
      <c r="O48" s="104">
        <f>VLOOKUP(A48,'[2]Billing Dimensions'!A:Q,16,FALSE)-VLOOKUP('Audit VAR'!A48,'Audit Dimensions'!A:P,16,FALSE)</f>
        <v>-3240</v>
      </c>
      <c r="P48" s="103">
        <f>O48/1000</f>
        <v>-3.24</v>
      </c>
      <c r="Q48" s="102">
        <f>(((C48*D48*E48)+(G48*H48*I48)+(K48*L48*M48))/1000000)*35.32</f>
        <v>1.4128E-4</v>
      </c>
      <c r="R48" s="46">
        <f>P48/Q48</f>
        <v>-22933.182332955832</v>
      </c>
    </row>
    <row r="49" spans="1:18" hidden="1" x14ac:dyDescent="0.3">
      <c r="A49" s="122" t="s">
        <v>252</v>
      </c>
      <c r="B49" s="88" t="str">
        <f>VLOOKUP(A49,'[2]Billing Dimensions'!A:B,2,FALSE)</f>
        <v>SB</v>
      </c>
      <c r="C49" s="115">
        <f>VLOOKUP(A49,'[2]Billing Dimensions'!$A:$N,3,FALSE)-VLOOKUP(A49,'Audit Dimensions'!$A:$N,3,FALSE)</f>
        <v>0</v>
      </c>
      <c r="D49" s="115">
        <f>VLOOKUP(A49,'[2]Billing Dimensions'!$A:$N,4,FALSE)-VLOOKUP(A49,'Audit Dimensions'!$A:$N,4,FALSE)</f>
        <v>0</v>
      </c>
      <c r="E49" s="115">
        <f>VLOOKUP(A49,'[2]Billing Dimensions'!$A:$N,5,FALSE)-VLOOKUP(A49,'Audit Dimensions'!$A:$N,5,FALSE)</f>
        <v>0</v>
      </c>
      <c r="F49" s="114">
        <f>VLOOKUP(A49,'[2]Billing Dimensions'!$A:$N,6,FALSE)-VLOOKUP(A49,'Audit Dimensions'!$A:$N,6,FALSE)</f>
        <v>0</v>
      </c>
      <c r="G49" s="107">
        <f>VLOOKUP(A49,'[2]Billing Dimensions'!$A:$N,7,FALSE)-VLOOKUP(A49,'Audit Dimensions'!$A:$N,7,FALSE)</f>
        <v>0</v>
      </c>
      <c r="H49" s="107">
        <f>VLOOKUP(A49,'[2]Billing Dimensions'!$A:$N,8,FALSE)-VLOOKUP(A49,'Audit Dimensions'!$A:$N,8,FALSE)</f>
        <v>0</v>
      </c>
      <c r="I49" s="107">
        <f>VLOOKUP(A49,'[2]Billing Dimensions'!$A:$N,9,FALSE)-VLOOKUP(A49,'Audit Dimensions'!$A:$N,9,FALSE)</f>
        <v>0</v>
      </c>
      <c r="J49" s="106">
        <f>VLOOKUP(A49,'[2]Billing Dimensions'!$A:$N,10,FALSE)-VLOOKUP(A49,'Audit Dimensions'!$A:$N,10,FALSE)</f>
        <v>0</v>
      </c>
      <c r="K49" s="105">
        <f>VLOOKUP(A49,'[2]Billing Dimensions'!$A:$N,11,FALSE)-VLOOKUP(A49,'Audit Dimensions'!$A:$N,11,FALSE)</f>
        <v>0</v>
      </c>
      <c r="L49" s="105">
        <f>VLOOKUP(A49,'[2]Billing Dimensions'!$A:$N,12,FALSE)-VLOOKUP(A49,'Audit Dimensions'!$A:$N,12,FALSE)</f>
        <v>0</v>
      </c>
      <c r="M49" s="105">
        <f>VLOOKUP(A49,'[2]Billing Dimensions'!$A:$N,13,FALSE)-VLOOKUP(A49,'Audit Dimensions'!$A:$N,13,FALSE)</f>
        <v>0</v>
      </c>
      <c r="N49" s="105">
        <f>VLOOKUP(A49,'[2]Billing Dimensions'!$A:$N,14,FALSE)-VLOOKUP(A49,'Audit Dimensions'!$A:$N,14,FALSE)</f>
        <v>0</v>
      </c>
      <c r="O49" s="104">
        <f>VLOOKUP(A49,'[2]Billing Dimensions'!A:Q,16,FALSE)-VLOOKUP('Audit VAR'!A49,'Audit Dimensions'!A:P,16,FALSE)</f>
        <v>0</v>
      </c>
      <c r="P49" s="103">
        <f>O49/1000</f>
        <v>0</v>
      </c>
      <c r="Q49" s="102">
        <f>(((C49*D49*E49)+(G49*H49*I49)+(K49*L49*M49))/1000000)*35.32</f>
        <v>0</v>
      </c>
      <c r="R49" s="46" t="e">
        <f>P49/Q49</f>
        <v>#DIV/0!</v>
      </c>
    </row>
    <row r="50" spans="1:18" hidden="1" x14ac:dyDescent="0.3">
      <c r="A50" s="122" t="s">
        <v>251</v>
      </c>
      <c r="B50" s="88" t="str">
        <f>VLOOKUP(A50,'[2]Billing Dimensions'!A:B,2,FALSE)</f>
        <v>SB</v>
      </c>
      <c r="C50" s="115">
        <f>VLOOKUP(A50,'[2]Billing Dimensions'!$A:$N,3,FALSE)-VLOOKUP(A50,'Audit Dimensions'!$A:$N,3,FALSE)</f>
        <v>-2</v>
      </c>
      <c r="D50" s="115">
        <f>VLOOKUP(A50,'[2]Billing Dimensions'!$A:$N,4,FALSE)-VLOOKUP(A50,'Audit Dimensions'!$A:$N,4,FALSE)</f>
        <v>0</v>
      </c>
      <c r="E50" s="115">
        <f>VLOOKUP(A50,'[2]Billing Dimensions'!$A:$N,5,FALSE)-VLOOKUP(A50,'Audit Dimensions'!$A:$N,5,FALSE)</f>
        <v>0</v>
      </c>
      <c r="F50" s="114">
        <f>VLOOKUP(A50,'[2]Billing Dimensions'!$A:$N,6,FALSE)-VLOOKUP(A50,'Audit Dimensions'!$A:$N,6,FALSE)</f>
        <v>0</v>
      </c>
      <c r="G50" s="107">
        <f>VLOOKUP(A50,'[2]Billing Dimensions'!$A:$N,7,FALSE)-VLOOKUP(A50,'Audit Dimensions'!$A:$N,7,FALSE)</f>
        <v>0</v>
      </c>
      <c r="H50" s="107">
        <f>VLOOKUP(A50,'[2]Billing Dimensions'!$A:$N,8,FALSE)-VLOOKUP(A50,'Audit Dimensions'!$A:$N,8,FALSE)</f>
        <v>0</v>
      </c>
      <c r="I50" s="107">
        <f>VLOOKUP(A50,'[2]Billing Dimensions'!$A:$N,9,FALSE)-VLOOKUP(A50,'Audit Dimensions'!$A:$N,9,FALSE)</f>
        <v>0</v>
      </c>
      <c r="J50" s="106">
        <f>VLOOKUP(A50,'[2]Billing Dimensions'!$A:$N,10,FALSE)-VLOOKUP(A50,'Audit Dimensions'!$A:$N,10,FALSE)</f>
        <v>0</v>
      </c>
      <c r="K50" s="105">
        <f>VLOOKUP(A50,'[2]Billing Dimensions'!$A:$N,11,FALSE)-VLOOKUP(A50,'Audit Dimensions'!$A:$N,11,FALSE)</f>
        <v>0</v>
      </c>
      <c r="L50" s="105">
        <f>VLOOKUP(A50,'[2]Billing Dimensions'!$A:$N,12,FALSE)-VLOOKUP(A50,'Audit Dimensions'!$A:$N,12,FALSE)</f>
        <v>0</v>
      </c>
      <c r="M50" s="105">
        <f>VLOOKUP(A50,'[2]Billing Dimensions'!$A:$N,13,FALSE)-VLOOKUP(A50,'Audit Dimensions'!$A:$N,13,FALSE)</f>
        <v>0</v>
      </c>
      <c r="N50" s="105">
        <f>VLOOKUP(A50,'[2]Billing Dimensions'!$A:$N,14,FALSE)-VLOOKUP(A50,'Audit Dimensions'!$A:$N,14,FALSE)</f>
        <v>0</v>
      </c>
      <c r="O50" s="104">
        <f>VLOOKUP(A50,'[2]Billing Dimensions'!A:Q,16,FALSE)-VLOOKUP('Audit VAR'!A50,'Audit Dimensions'!A:P,16,FALSE)</f>
        <v>0</v>
      </c>
      <c r="P50" s="103">
        <f>O50/1000</f>
        <v>0</v>
      </c>
      <c r="Q50" s="102">
        <f>(((C50*D50*E50)+(G50*H50*I50)+(K50*L50*M50))/1000000)*35.32</f>
        <v>0</v>
      </c>
      <c r="R50" s="46" t="e">
        <f>P50/Q50</f>
        <v>#DIV/0!</v>
      </c>
    </row>
    <row r="51" spans="1:18" hidden="1" x14ac:dyDescent="0.3">
      <c r="A51" s="122" t="s">
        <v>250</v>
      </c>
      <c r="B51" s="88" t="str">
        <f>VLOOKUP(A51,'[2]Billing Dimensions'!A:B,2,FALSE)</f>
        <v>SB</v>
      </c>
      <c r="C51" s="115">
        <f>VLOOKUP(A51,'[2]Billing Dimensions'!$A:$N,3,FALSE)-VLOOKUP(A51,'Audit Dimensions'!$A:$N,3,FALSE)</f>
        <v>1</v>
      </c>
      <c r="D51" s="115">
        <f>VLOOKUP(A51,'[2]Billing Dimensions'!$A:$N,4,FALSE)-VLOOKUP(A51,'Audit Dimensions'!$A:$N,4,FALSE)</f>
        <v>-2</v>
      </c>
      <c r="E51" s="115">
        <f>VLOOKUP(A51,'[2]Billing Dimensions'!$A:$N,5,FALSE)-VLOOKUP(A51,'Audit Dimensions'!$A:$N,5,FALSE)</f>
        <v>2</v>
      </c>
      <c r="F51" s="114">
        <f>VLOOKUP(A51,'[2]Billing Dimensions'!$A:$N,6,FALSE)-VLOOKUP(A51,'Audit Dimensions'!$A:$N,6,FALSE)</f>
        <v>-150</v>
      </c>
      <c r="G51" s="107">
        <f>VLOOKUP(A51,'[2]Billing Dimensions'!$A:$N,7,FALSE)-VLOOKUP(A51,'Audit Dimensions'!$A:$N,7,FALSE)</f>
        <v>0</v>
      </c>
      <c r="H51" s="107">
        <f>VLOOKUP(A51,'[2]Billing Dimensions'!$A:$N,8,FALSE)-VLOOKUP(A51,'Audit Dimensions'!$A:$N,8,FALSE)</f>
        <v>0</v>
      </c>
      <c r="I51" s="107">
        <f>VLOOKUP(A51,'[2]Billing Dimensions'!$A:$N,9,FALSE)-VLOOKUP(A51,'Audit Dimensions'!$A:$N,9,FALSE)</f>
        <v>0</v>
      </c>
      <c r="J51" s="106">
        <f>VLOOKUP(A51,'[2]Billing Dimensions'!$A:$N,10,FALSE)-VLOOKUP(A51,'Audit Dimensions'!$A:$N,10,FALSE)</f>
        <v>0</v>
      </c>
      <c r="K51" s="105">
        <f>VLOOKUP(A51,'[2]Billing Dimensions'!$A:$N,11,FALSE)-VLOOKUP(A51,'Audit Dimensions'!$A:$N,11,FALSE)</f>
        <v>0</v>
      </c>
      <c r="L51" s="105">
        <f>VLOOKUP(A51,'[2]Billing Dimensions'!$A:$N,12,FALSE)-VLOOKUP(A51,'Audit Dimensions'!$A:$N,12,FALSE)</f>
        <v>0</v>
      </c>
      <c r="M51" s="105">
        <f>VLOOKUP(A51,'[2]Billing Dimensions'!$A:$N,13,FALSE)-VLOOKUP(A51,'Audit Dimensions'!$A:$N,13,FALSE)</f>
        <v>0</v>
      </c>
      <c r="N51" s="105">
        <f>VLOOKUP(A51,'[2]Billing Dimensions'!$A:$N,14,FALSE)-VLOOKUP(A51,'Audit Dimensions'!$A:$N,14,FALSE)</f>
        <v>0</v>
      </c>
      <c r="O51" s="104">
        <f>VLOOKUP(A51,'[2]Billing Dimensions'!A:Q,16,FALSE)-VLOOKUP('Audit VAR'!A51,'Audit Dimensions'!A:P,16,FALSE)</f>
        <v>-150</v>
      </c>
      <c r="P51" s="103">
        <f>O51/1000</f>
        <v>-0.15</v>
      </c>
      <c r="Q51" s="102">
        <f>(((C51*D51*E51)+(G51*H51*I51)+(K51*L51*M51))/1000000)*35.32</f>
        <v>-1.4128E-4</v>
      </c>
      <c r="R51" s="46">
        <f>P51/Q51</f>
        <v>1061.7214043035108</v>
      </c>
    </row>
    <row r="52" spans="1:18" hidden="1" x14ac:dyDescent="0.3">
      <c r="A52" s="122" t="s">
        <v>351</v>
      </c>
      <c r="B52" s="88" t="e">
        <f>VLOOKUP(A52,'[2]Billing Dimensions'!A:B,2,FALSE)</f>
        <v>#N/A</v>
      </c>
      <c r="C52" s="115" t="e">
        <f>VLOOKUP(A52,'[2]Billing Dimensions'!$A:$N,3,FALSE)-VLOOKUP(A52,'Audit Dimensions'!$A:$N,3,FALSE)</f>
        <v>#N/A</v>
      </c>
      <c r="D52" s="115" t="e">
        <f>VLOOKUP(A52,'[2]Billing Dimensions'!$A:$N,4,FALSE)-VLOOKUP(A52,'Audit Dimensions'!$A:$N,4,FALSE)</f>
        <v>#N/A</v>
      </c>
      <c r="E52" s="115" t="e">
        <f>VLOOKUP(A52,'[2]Billing Dimensions'!$A:$N,5,FALSE)-VLOOKUP(A52,'Audit Dimensions'!$A:$N,5,FALSE)</f>
        <v>#N/A</v>
      </c>
      <c r="F52" s="114" t="e">
        <f>VLOOKUP(A52,'[2]Billing Dimensions'!$A:$N,6,FALSE)-VLOOKUP(A52,'Audit Dimensions'!$A:$N,6,FALSE)</f>
        <v>#N/A</v>
      </c>
      <c r="G52" s="107" t="e">
        <f>VLOOKUP(A52,'[2]Billing Dimensions'!$A:$N,7,FALSE)-VLOOKUP(A52,'Audit Dimensions'!$A:$N,7,FALSE)</f>
        <v>#N/A</v>
      </c>
      <c r="H52" s="107" t="e">
        <f>VLOOKUP(A52,'[2]Billing Dimensions'!$A:$N,8,FALSE)-VLOOKUP(A52,'Audit Dimensions'!$A:$N,8,FALSE)</f>
        <v>#N/A</v>
      </c>
      <c r="I52" s="107" t="e">
        <f>VLOOKUP(A52,'[2]Billing Dimensions'!$A:$N,9,FALSE)-VLOOKUP(A52,'Audit Dimensions'!$A:$N,9,FALSE)</f>
        <v>#N/A</v>
      </c>
      <c r="J52" s="106" t="e">
        <f>VLOOKUP(A52,'[2]Billing Dimensions'!$A:$N,10,FALSE)-VLOOKUP(A52,'Audit Dimensions'!$A:$N,10,FALSE)</f>
        <v>#N/A</v>
      </c>
      <c r="K52" s="105" t="e">
        <f>VLOOKUP(A52,'[2]Billing Dimensions'!$A:$N,11,FALSE)-VLOOKUP(A52,'Audit Dimensions'!$A:$N,11,FALSE)</f>
        <v>#N/A</v>
      </c>
      <c r="L52" s="105" t="e">
        <f>VLOOKUP(A52,'[2]Billing Dimensions'!$A:$N,12,FALSE)-VLOOKUP(A52,'Audit Dimensions'!$A:$N,12,FALSE)</f>
        <v>#N/A</v>
      </c>
      <c r="M52" s="105" t="e">
        <f>VLOOKUP(A52,'[2]Billing Dimensions'!$A:$N,13,FALSE)-VLOOKUP(A52,'Audit Dimensions'!$A:$N,13,FALSE)</f>
        <v>#N/A</v>
      </c>
      <c r="N52" s="105" t="e">
        <f>VLOOKUP(A52,'[2]Billing Dimensions'!$A:$N,14,FALSE)-VLOOKUP(A52,'Audit Dimensions'!$A:$N,14,FALSE)</f>
        <v>#N/A</v>
      </c>
      <c r="O52" s="104" t="e">
        <f>VLOOKUP(A52,'[2]Billing Dimensions'!A:Q,16,FALSE)-VLOOKUP('Audit VAR'!A52,'Audit Dimensions'!A:P,16,FALSE)</f>
        <v>#N/A</v>
      </c>
      <c r="P52" s="103" t="e">
        <f>O52/1000</f>
        <v>#N/A</v>
      </c>
      <c r="Q52" s="102" t="e">
        <f>(((C52*D52*E52)+(G52*H52*I52)+(K52*L52*M52))/1000000)*35.32</f>
        <v>#N/A</v>
      </c>
      <c r="R52" s="46" t="e">
        <f>P52/Q52</f>
        <v>#N/A</v>
      </c>
    </row>
    <row r="53" spans="1:18" hidden="1" x14ac:dyDescent="0.3">
      <c r="A53" s="122" t="s">
        <v>249</v>
      </c>
      <c r="B53" s="88" t="str">
        <f>VLOOKUP(A53,'[2]Billing Dimensions'!A:B,2,FALSE)</f>
        <v>SB</v>
      </c>
      <c r="C53" s="115">
        <f>VLOOKUP(A53,'[2]Billing Dimensions'!$A:$N,3,FALSE)-VLOOKUP(A53,'Audit Dimensions'!$A:$N,3,FALSE)</f>
        <v>0</v>
      </c>
      <c r="D53" s="115">
        <f>VLOOKUP(A53,'[2]Billing Dimensions'!$A:$N,4,FALSE)-VLOOKUP(A53,'Audit Dimensions'!$A:$N,4,FALSE)</f>
        <v>0</v>
      </c>
      <c r="E53" s="115">
        <f>VLOOKUP(A53,'[2]Billing Dimensions'!$A:$N,5,FALSE)-VLOOKUP(A53,'Audit Dimensions'!$A:$N,5,FALSE)</f>
        <v>0</v>
      </c>
      <c r="F53" s="114">
        <f>VLOOKUP(A53,'[2]Billing Dimensions'!$A:$N,6,FALSE)-VLOOKUP(A53,'Audit Dimensions'!$A:$N,6,FALSE)</f>
        <v>0</v>
      </c>
      <c r="G53" s="107">
        <f>VLOOKUP(A53,'[2]Billing Dimensions'!$A:$N,7,FALSE)-VLOOKUP(A53,'Audit Dimensions'!$A:$N,7,FALSE)</f>
        <v>0</v>
      </c>
      <c r="H53" s="107">
        <f>VLOOKUP(A53,'[2]Billing Dimensions'!$A:$N,8,FALSE)-VLOOKUP(A53,'Audit Dimensions'!$A:$N,8,FALSE)</f>
        <v>0</v>
      </c>
      <c r="I53" s="107">
        <f>VLOOKUP(A53,'[2]Billing Dimensions'!$A:$N,9,FALSE)-VLOOKUP(A53,'Audit Dimensions'!$A:$N,9,FALSE)</f>
        <v>0</v>
      </c>
      <c r="J53" s="106">
        <f>VLOOKUP(A53,'[2]Billing Dimensions'!$A:$N,10,FALSE)-VLOOKUP(A53,'Audit Dimensions'!$A:$N,10,FALSE)</f>
        <v>0</v>
      </c>
      <c r="K53" s="105">
        <f>VLOOKUP(A53,'[2]Billing Dimensions'!$A:$N,11,FALSE)-VLOOKUP(A53,'Audit Dimensions'!$A:$N,11,FALSE)</f>
        <v>0</v>
      </c>
      <c r="L53" s="105">
        <f>VLOOKUP(A53,'[2]Billing Dimensions'!$A:$N,12,FALSE)-VLOOKUP(A53,'Audit Dimensions'!$A:$N,12,FALSE)</f>
        <v>0</v>
      </c>
      <c r="M53" s="105">
        <f>VLOOKUP(A53,'[2]Billing Dimensions'!$A:$N,13,FALSE)-VLOOKUP(A53,'Audit Dimensions'!$A:$N,13,FALSE)</f>
        <v>0</v>
      </c>
      <c r="N53" s="105">
        <f>VLOOKUP(A53,'[2]Billing Dimensions'!$A:$N,14,FALSE)-VLOOKUP(A53,'Audit Dimensions'!$A:$N,14,FALSE)</f>
        <v>0</v>
      </c>
      <c r="O53" s="104">
        <f>VLOOKUP(A53,'[2]Billing Dimensions'!A:Q,16,FALSE)-VLOOKUP('Audit VAR'!A53,'Audit Dimensions'!A:P,16,FALSE)</f>
        <v>0</v>
      </c>
      <c r="P53" s="103">
        <f>O53/1000</f>
        <v>0</v>
      </c>
      <c r="Q53" s="102">
        <f>(((C53*D53*E53)+(G53*H53*I53)+(K53*L53*M53))/1000000)*35.32</f>
        <v>0</v>
      </c>
      <c r="R53" s="46" t="e">
        <f>P53/Q53</f>
        <v>#DIV/0!</v>
      </c>
    </row>
    <row r="54" spans="1:18" hidden="1" x14ac:dyDescent="0.3">
      <c r="A54" s="122" t="s">
        <v>248</v>
      </c>
      <c r="B54" s="88" t="str">
        <f>VLOOKUP(A54,'[2]Billing Dimensions'!A:B,2,FALSE)</f>
        <v>SB</v>
      </c>
      <c r="C54" s="115">
        <f>VLOOKUP(A54,'[2]Billing Dimensions'!$A:$N,3,FALSE)-VLOOKUP(A54,'Audit Dimensions'!$A:$N,3,FALSE)</f>
        <v>-1</v>
      </c>
      <c r="D54" s="115">
        <f>VLOOKUP(A54,'[2]Billing Dimensions'!$A:$N,4,FALSE)-VLOOKUP(A54,'Audit Dimensions'!$A:$N,4,FALSE)</f>
        <v>0</v>
      </c>
      <c r="E54" s="115">
        <f>VLOOKUP(A54,'[2]Billing Dimensions'!$A:$N,5,FALSE)-VLOOKUP(A54,'Audit Dimensions'!$A:$N,5,FALSE)</f>
        <v>0</v>
      </c>
      <c r="F54" s="114">
        <f>VLOOKUP(A54,'[2]Billing Dimensions'!$A:$N,6,FALSE)-VLOOKUP(A54,'Audit Dimensions'!$A:$N,6,FALSE)</f>
        <v>40</v>
      </c>
      <c r="G54" s="107">
        <f>VLOOKUP(A54,'[2]Billing Dimensions'!$A:$N,7,FALSE)-VLOOKUP(A54,'Audit Dimensions'!$A:$N,7,FALSE)</f>
        <v>0</v>
      </c>
      <c r="H54" s="107">
        <f>VLOOKUP(A54,'[2]Billing Dimensions'!$A:$N,8,FALSE)-VLOOKUP(A54,'Audit Dimensions'!$A:$N,8,FALSE)</f>
        <v>0</v>
      </c>
      <c r="I54" s="107">
        <f>VLOOKUP(A54,'[2]Billing Dimensions'!$A:$N,9,FALSE)-VLOOKUP(A54,'Audit Dimensions'!$A:$N,9,FALSE)</f>
        <v>0</v>
      </c>
      <c r="J54" s="106">
        <f>VLOOKUP(A54,'[2]Billing Dimensions'!$A:$N,10,FALSE)-VLOOKUP(A54,'Audit Dimensions'!$A:$N,10,FALSE)</f>
        <v>0</v>
      </c>
      <c r="K54" s="105">
        <f>VLOOKUP(A54,'[2]Billing Dimensions'!$A:$N,11,FALSE)-VLOOKUP(A54,'Audit Dimensions'!$A:$N,11,FALSE)</f>
        <v>0</v>
      </c>
      <c r="L54" s="105">
        <f>VLOOKUP(A54,'[2]Billing Dimensions'!$A:$N,12,FALSE)-VLOOKUP(A54,'Audit Dimensions'!$A:$N,12,FALSE)</f>
        <v>0</v>
      </c>
      <c r="M54" s="105">
        <f>VLOOKUP(A54,'[2]Billing Dimensions'!$A:$N,13,FALSE)-VLOOKUP(A54,'Audit Dimensions'!$A:$N,13,FALSE)</f>
        <v>0</v>
      </c>
      <c r="N54" s="105">
        <f>VLOOKUP(A54,'[2]Billing Dimensions'!$A:$N,14,FALSE)-VLOOKUP(A54,'Audit Dimensions'!$A:$N,14,FALSE)</f>
        <v>0</v>
      </c>
      <c r="O54" s="104">
        <f>VLOOKUP(A54,'[2]Billing Dimensions'!A:Q,16,FALSE)-VLOOKUP('Audit VAR'!A54,'Audit Dimensions'!A:P,16,FALSE)</f>
        <v>40</v>
      </c>
      <c r="P54" s="103">
        <f>O54/1000</f>
        <v>0.04</v>
      </c>
      <c r="Q54" s="102">
        <f>(((C54*D54*E54)+(G54*H54*I54)+(K54*L54*M54))/1000000)*35.32</f>
        <v>0</v>
      </c>
      <c r="R54" s="46" t="e">
        <f>P54/Q54</f>
        <v>#DIV/0!</v>
      </c>
    </row>
    <row r="55" spans="1:18" hidden="1" x14ac:dyDescent="0.3">
      <c r="A55" s="122" t="s">
        <v>247</v>
      </c>
      <c r="B55" s="88" t="str">
        <f>VLOOKUP(A55,'[2]Billing Dimensions'!A:B,2,FALSE)</f>
        <v>SB</v>
      </c>
      <c r="C55" s="115">
        <f>VLOOKUP(A55,'[2]Billing Dimensions'!$A:$N,3,FALSE)-VLOOKUP(A55,'Audit Dimensions'!$A:$N,3,FALSE)</f>
        <v>1</v>
      </c>
      <c r="D55" s="115">
        <f>VLOOKUP(A55,'[2]Billing Dimensions'!$A:$N,4,FALSE)-VLOOKUP(A55,'Audit Dimensions'!$A:$N,4,FALSE)</f>
        <v>-2</v>
      </c>
      <c r="E55" s="115">
        <f>VLOOKUP(A55,'[2]Billing Dimensions'!$A:$N,5,FALSE)-VLOOKUP(A55,'Audit Dimensions'!$A:$N,5,FALSE)</f>
        <v>0</v>
      </c>
      <c r="F55" s="114">
        <f>VLOOKUP(A55,'[2]Billing Dimensions'!$A:$N,6,FALSE)-VLOOKUP(A55,'Audit Dimensions'!$A:$N,6,FALSE)</f>
        <v>0</v>
      </c>
      <c r="G55" s="107">
        <f>VLOOKUP(A55,'[2]Billing Dimensions'!$A:$N,7,FALSE)-VLOOKUP(A55,'Audit Dimensions'!$A:$N,7,FALSE)</f>
        <v>0</v>
      </c>
      <c r="H55" s="107">
        <f>VLOOKUP(A55,'[2]Billing Dimensions'!$A:$N,8,FALSE)-VLOOKUP(A55,'Audit Dimensions'!$A:$N,8,FALSE)</f>
        <v>0</v>
      </c>
      <c r="I55" s="107">
        <f>VLOOKUP(A55,'[2]Billing Dimensions'!$A:$N,9,FALSE)-VLOOKUP(A55,'Audit Dimensions'!$A:$N,9,FALSE)</f>
        <v>0</v>
      </c>
      <c r="J55" s="106">
        <f>VLOOKUP(A55,'[2]Billing Dimensions'!$A:$N,10,FALSE)-VLOOKUP(A55,'Audit Dimensions'!$A:$N,10,FALSE)</f>
        <v>0</v>
      </c>
      <c r="K55" s="105">
        <f>VLOOKUP(A55,'[2]Billing Dimensions'!$A:$N,11,FALSE)-VLOOKUP(A55,'Audit Dimensions'!$A:$N,11,FALSE)</f>
        <v>0</v>
      </c>
      <c r="L55" s="105">
        <f>VLOOKUP(A55,'[2]Billing Dimensions'!$A:$N,12,FALSE)-VLOOKUP(A55,'Audit Dimensions'!$A:$N,12,FALSE)</f>
        <v>0</v>
      </c>
      <c r="M55" s="105">
        <f>VLOOKUP(A55,'[2]Billing Dimensions'!$A:$N,13,FALSE)-VLOOKUP(A55,'Audit Dimensions'!$A:$N,13,FALSE)</f>
        <v>0</v>
      </c>
      <c r="N55" s="105">
        <f>VLOOKUP(A55,'[2]Billing Dimensions'!$A:$N,14,FALSE)-VLOOKUP(A55,'Audit Dimensions'!$A:$N,14,FALSE)</f>
        <v>0</v>
      </c>
      <c r="O55" s="104">
        <f>VLOOKUP(A55,'[2]Billing Dimensions'!A:Q,16,FALSE)-VLOOKUP('Audit VAR'!A55,'Audit Dimensions'!A:P,16,FALSE)</f>
        <v>0</v>
      </c>
      <c r="P55" s="103">
        <f>O55/1000</f>
        <v>0</v>
      </c>
      <c r="Q55" s="102">
        <f>(((C55*D55*E55)+(G55*H55*I55)+(K55*L55*M55))/1000000)*35.32</f>
        <v>0</v>
      </c>
      <c r="R55" s="46" t="e">
        <f>P55/Q55</f>
        <v>#DIV/0!</v>
      </c>
    </row>
    <row r="56" spans="1:18" hidden="1" x14ac:dyDescent="0.3">
      <c r="A56" s="122" t="s">
        <v>246</v>
      </c>
      <c r="B56" s="88" t="str">
        <f>VLOOKUP(A56,'[2]Billing Dimensions'!A:B,2,FALSE)</f>
        <v>SB</v>
      </c>
      <c r="C56" s="115">
        <f>VLOOKUP(A56,'[2]Billing Dimensions'!$A:$N,3,FALSE)-VLOOKUP(A56,'Audit Dimensions'!$A:$N,3,FALSE)</f>
        <v>-1</v>
      </c>
      <c r="D56" s="115">
        <f>VLOOKUP(A56,'[2]Billing Dimensions'!$A:$N,4,FALSE)-VLOOKUP(A56,'Audit Dimensions'!$A:$N,4,FALSE)</f>
        <v>-1</v>
      </c>
      <c r="E56" s="115">
        <f>VLOOKUP(A56,'[2]Billing Dimensions'!$A:$N,5,FALSE)-VLOOKUP(A56,'Audit Dimensions'!$A:$N,5,FALSE)</f>
        <v>0</v>
      </c>
      <c r="F56" s="114">
        <f>VLOOKUP(A56,'[2]Billing Dimensions'!$A:$N,6,FALSE)-VLOOKUP(A56,'Audit Dimensions'!$A:$N,6,FALSE)</f>
        <v>-150</v>
      </c>
      <c r="G56" s="107">
        <f>VLOOKUP(A56,'[2]Billing Dimensions'!$A:$N,7,FALSE)-VLOOKUP(A56,'Audit Dimensions'!$A:$N,7,FALSE)</f>
        <v>0</v>
      </c>
      <c r="H56" s="107">
        <f>VLOOKUP(A56,'[2]Billing Dimensions'!$A:$N,8,FALSE)-VLOOKUP(A56,'Audit Dimensions'!$A:$N,8,FALSE)</f>
        <v>0</v>
      </c>
      <c r="I56" s="107">
        <f>VLOOKUP(A56,'[2]Billing Dimensions'!$A:$N,9,FALSE)-VLOOKUP(A56,'Audit Dimensions'!$A:$N,9,FALSE)</f>
        <v>0</v>
      </c>
      <c r="J56" s="106">
        <f>VLOOKUP(A56,'[2]Billing Dimensions'!$A:$N,10,FALSE)-VLOOKUP(A56,'Audit Dimensions'!$A:$N,10,FALSE)</f>
        <v>0</v>
      </c>
      <c r="K56" s="105">
        <f>VLOOKUP(A56,'[2]Billing Dimensions'!$A:$N,11,FALSE)-VLOOKUP(A56,'Audit Dimensions'!$A:$N,11,FALSE)</f>
        <v>0</v>
      </c>
      <c r="L56" s="105">
        <f>VLOOKUP(A56,'[2]Billing Dimensions'!$A:$N,12,FALSE)-VLOOKUP(A56,'Audit Dimensions'!$A:$N,12,FALSE)</f>
        <v>0</v>
      </c>
      <c r="M56" s="105">
        <f>VLOOKUP(A56,'[2]Billing Dimensions'!$A:$N,13,FALSE)-VLOOKUP(A56,'Audit Dimensions'!$A:$N,13,FALSE)</f>
        <v>0</v>
      </c>
      <c r="N56" s="105">
        <f>VLOOKUP(A56,'[2]Billing Dimensions'!$A:$N,14,FALSE)-VLOOKUP(A56,'Audit Dimensions'!$A:$N,14,FALSE)</f>
        <v>0</v>
      </c>
      <c r="O56" s="104">
        <f>VLOOKUP(A56,'[2]Billing Dimensions'!A:Q,16,FALSE)-VLOOKUP('Audit VAR'!A56,'Audit Dimensions'!A:P,16,FALSE)</f>
        <v>-150</v>
      </c>
      <c r="P56" s="103">
        <f>O56/1000</f>
        <v>-0.15</v>
      </c>
      <c r="Q56" s="102">
        <f>(((C56*D56*E56)+(G56*H56*I56)+(K56*L56*M56))/1000000)*35.32</f>
        <v>0</v>
      </c>
      <c r="R56" s="46" t="e">
        <f>P56/Q56</f>
        <v>#DIV/0!</v>
      </c>
    </row>
    <row r="57" spans="1:18" hidden="1" x14ac:dyDescent="0.3">
      <c r="A57" s="122" t="s">
        <v>245</v>
      </c>
      <c r="B57" s="88" t="str">
        <f>VLOOKUP(A57,'[2]Billing Dimensions'!A:B,2,FALSE)</f>
        <v>SB</v>
      </c>
      <c r="C57" s="115">
        <f>VLOOKUP(A57,'[2]Billing Dimensions'!$A:$N,3,FALSE)-VLOOKUP(A57,'Audit Dimensions'!$A:$N,3,FALSE)</f>
        <v>0</v>
      </c>
      <c r="D57" s="115">
        <f>VLOOKUP(A57,'[2]Billing Dimensions'!$A:$N,4,FALSE)-VLOOKUP(A57,'Audit Dimensions'!$A:$N,4,FALSE)</f>
        <v>0</v>
      </c>
      <c r="E57" s="115">
        <f>VLOOKUP(A57,'[2]Billing Dimensions'!$A:$N,5,FALSE)-VLOOKUP(A57,'Audit Dimensions'!$A:$N,5,FALSE)</f>
        <v>0</v>
      </c>
      <c r="F57" s="114">
        <f>VLOOKUP(A57,'[2]Billing Dimensions'!$A:$N,6,FALSE)-VLOOKUP(A57,'Audit Dimensions'!$A:$N,6,FALSE)</f>
        <v>-105</v>
      </c>
      <c r="G57" s="107">
        <f>VLOOKUP(A57,'[2]Billing Dimensions'!$A:$N,7,FALSE)-VLOOKUP(A57,'Audit Dimensions'!$A:$N,7,FALSE)</f>
        <v>0</v>
      </c>
      <c r="H57" s="107">
        <f>VLOOKUP(A57,'[2]Billing Dimensions'!$A:$N,8,FALSE)-VLOOKUP(A57,'Audit Dimensions'!$A:$N,8,FALSE)</f>
        <v>0</v>
      </c>
      <c r="I57" s="107">
        <f>VLOOKUP(A57,'[2]Billing Dimensions'!$A:$N,9,FALSE)-VLOOKUP(A57,'Audit Dimensions'!$A:$N,9,FALSE)</f>
        <v>0</v>
      </c>
      <c r="J57" s="106">
        <f>VLOOKUP(A57,'[2]Billing Dimensions'!$A:$N,10,FALSE)-VLOOKUP(A57,'Audit Dimensions'!$A:$N,10,FALSE)</f>
        <v>0</v>
      </c>
      <c r="K57" s="105">
        <f>VLOOKUP(A57,'[2]Billing Dimensions'!$A:$N,11,FALSE)-VLOOKUP(A57,'Audit Dimensions'!$A:$N,11,FALSE)</f>
        <v>0</v>
      </c>
      <c r="L57" s="105">
        <f>VLOOKUP(A57,'[2]Billing Dimensions'!$A:$N,12,FALSE)-VLOOKUP(A57,'Audit Dimensions'!$A:$N,12,FALSE)</f>
        <v>0</v>
      </c>
      <c r="M57" s="105">
        <f>VLOOKUP(A57,'[2]Billing Dimensions'!$A:$N,13,FALSE)-VLOOKUP(A57,'Audit Dimensions'!$A:$N,13,FALSE)</f>
        <v>0</v>
      </c>
      <c r="N57" s="105">
        <f>VLOOKUP(A57,'[2]Billing Dimensions'!$A:$N,14,FALSE)-VLOOKUP(A57,'Audit Dimensions'!$A:$N,14,FALSE)</f>
        <v>0</v>
      </c>
      <c r="O57" s="104">
        <f>VLOOKUP(A57,'[2]Billing Dimensions'!A:Q,16,FALSE)-VLOOKUP('Audit VAR'!A57,'Audit Dimensions'!A:P,16,FALSE)</f>
        <v>-105</v>
      </c>
      <c r="P57" s="103">
        <f>O57/1000</f>
        <v>-0.105</v>
      </c>
      <c r="Q57" s="102">
        <f>(((C57*D57*E57)+(G57*H57*I57)+(K57*L57*M57))/1000000)*35.32</f>
        <v>0</v>
      </c>
      <c r="R57" s="46" t="e">
        <f>P57/Q57</f>
        <v>#DIV/0!</v>
      </c>
    </row>
    <row r="58" spans="1:18" hidden="1" x14ac:dyDescent="0.3">
      <c r="A58" s="122" t="s">
        <v>244</v>
      </c>
      <c r="B58" s="88" t="str">
        <f>VLOOKUP(A58,'[2]Billing Dimensions'!A:B,2,FALSE)</f>
        <v>SB</v>
      </c>
      <c r="C58" s="115">
        <f>VLOOKUP(A58,'[2]Billing Dimensions'!$A:$N,3,FALSE)-VLOOKUP(A58,'Audit Dimensions'!$A:$N,3,FALSE)</f>
        <v>0</v>
      </c>
      <c r="D58" s="115">
        <f>VLOOKUP(A58,'[2]Billing Dimensions'!$A:$N,4,FALSE)-VLOOKUP(A58,'Audit Dimensions'!$A:$N,4,FALSE)</f>
        <v>0</v>
      </c>
      <c r="E58" s="115">
        <f>VLOOKUP(A58,'[2]Billing Dimensions'!$A:$N,5,FALSE)-VLOOKUP(A58,'Audit Dimensions'!$A:$N,5,FALSE)</f>
        <v>-1</v>
      </c>
      <c r="F58" s="114">
        <f>VLOOKUP(A58,'[2]Billing Dimensions'!$A:$N,6,FALSE)-VLOOKUP(A58,'Audit Dimensions'!$A:$N,6,FALSE)</f>
        <v>-300</v>
      </c>
      <c r="G58" s="107">
        <f>VLOOKUP(A58,'[2]Billing Dimensions'!$A:$N,7,FALSE)-VLOOKUP(A58,'Audit Dimensions'!$A:$N,7,FALSE)</f>
        <v>0</v>
      </c>
      <c r="H58" s="107">
        <f>VLOOKUP(A58,'[2]Billing Dimensions'!$A:$N,8,FALSE)-VLOOKUP(A58,'Audit Dimensions'!$A:$N,8,FALSE)</f>
        <v>0</v>
      </c>
      <c r="I58" s="107">
        <f>VLOOKUP(A58,'[2]Billing Dimensions'!$A:$N,9,FALSE)-VLOOKUP(A58,'Audit Dimensions'!$A:$N,9,FALSE)</f>
        <v>0</v>
      </c>
      <c r="J58" s="106">
        <f>VLOOKUP(A58,'[2]Billing Dimensions'!$A:$N,10,FALSE)-VLOOKUP(A58,'Audit Dimensions'!$A:$N,10,FALSE)</f>
        <v>0</v>
      </c>
      <c r="K58" s="105">
        <f>VLOOKUP(A58,'[2]Billing Dimensions'!$A:$N,11,FALSE)-VLOOKUP(A58,'Audit Dimensions'!$A:$N,11,FALSE)</f>
        <v>0</v>
      </c>
      <c r="L58" s="105">
        <f>VLOOKUP(A58,'[2]Billing Dimensions'!$A:$N,12,FALSE)-VLOOKUP(A58,'Audit Dimensions'!$A:$N,12,FALSE)</f>
        <v>0</v>
      </c>
      <c r="M58" s="105">
        <f>VLOOKUP(A58,'[2]Billing Dimensions'!$A:$N,13,FALSE)-VLOOKUP(A58,'Audit Dimensions'!$A:$N,13,FALSE)</f>
        <v>0</v>
      </c>
      <c r="N58" s="105">
        <f>VLOOKUP(A58,'[2]Billing Dimensions'!$A:$N,14,FALSE)-VLOOKUP(A58,'Audit Dimensions'!$A:$N,14,FALSE)</f>
        <v>0</v>
      </c>
      <c r="O58" s="104">
        <f>VLOOKUP(A58,'[2]Billing Dimensions'!A:Q,16,FALSE)-VLOOKUP('Audit VAR'!A58,'Audit Dimensions'!A:P,16,FALSE)</f>
        <v>-300</v>
      </c>
      <c r="P58" s="103">
        <f>O58/1000</f>
        <v>-0.3</v>
      </c>
      <c r="Q58" s="102">
        <f>(((C58*D58*E58)+(G58*H58*I58)+(K58*L58*M58))/1000000)*35.32</f>
        <v>0</v>
      </c>
      <c r="R58" s="46" t="e">
        <f>P58/Q58</f>
        <v>#DIV/0!</v>
      </c>
    </row>
    <row r="59" spans="1:18" ht="12.45" hidden="1" customHeight="1" x14ac:dyDescent="0.3">
      <c r="A59" s="122" t="s">
        <v>243</v>
      </c>
      <c r="B59" s="88" t="str">
        <f>VLOOKUP(A59,'[2]Billing Dimensions'!A:B,2,FALSE)</f>
        <v>SB</v>
      </c>
      <c r="C59" s="115">
        <f>VLOOKUP(A59,'[2]Billing Dimensions'!$A:$N,3,FALSE)-VLOOKUP(A59,'Audit Dimensions'!$A:$N,3,FALSE)</f>
        <v>2</v>
      </c>
      <c r="D59" s="115">
        <f>VLOOKUP(A59,'[2]Billing Dimensions'!$A:$N,4,FALSE)-VLOOKUP(A59,'Audit Dimensions'!$A:$N,4,FALSE)</f>
        <v>-2</v>
      </c>
      <c r="E59" s="115">
        <f>VLOOKUP(A59,'[2]Billing Dimensions'!$A:$N,5,FALSE)-VLOOKUP(A59,'Audit Dimensions'!$A:$N,5,FALSE)</f>
        <v>-2</v>
      </c>
      <c r="F59" s="114">
        <f>VLOOKUP(A59,'[2]Billing Dimensions'!$A:$N,6,FALSE)-VLOOKUP(A59,'Audit Dimensions'!$A:$N,6,FALSE)</f>
        <v>-455</v>
      </c>
      <c r="G59" s="107">
        <f>VLOOKUP(A59,'[2]Billing Dimensions'!$A:$N,7,FALSE)-VLOOKUP(A59,'Audit Dimensions'!$A:$N,7,FALSE)</f>
        <v>0</v>
      </c>
      <c r="H59" s="107">
        <f>VLOOKUP(A59,'[2]Billing Dimensions'!$A:$N,8,FALSE)-VLOOKUP(A59,'Audit Dimensions'!$A:$N,8,FALSE)</f>
        <v>0</v>
      </c>
      <c r="I59" s="107">
        <f>VLOOKUP(A59,'[2]Billing Dimensions'!$A:$N,9,FALSE)-VLOOKUP(A59,'Audit Dimensions'!$A:$N,9,FALSE)</f>
        <v>0</v>
      </c>
      <c r="J59" s="106">
        <f>VLOOKUP(A59,'[2]Billing Dimensions'!$A:$N,10,FALSE)-VLOOKUP(A59,'Audit Dimensions'!$A:$N,10,FALSE)</f>
        <v>0</v>
      </c>
      <c r="K59" s="105">
        <f>VLOOKUP(A59,'[2]Billing Dimensions'!$A:$N,11,FALSE)-VLOOKUP(A59,'Audit Dimensions'!$A:$N,11,FALSE)</f>
        <v>0</v>
      </c>
      <c r="L59" s="105">
        <f>VLOOKUP(A59,'[2]Billing Dimensions'!$A:$N,12,FALSE)-VLOOKUP(A59,'Audit Dimensions'!$A:$N,12,FALSE)</f>
        <v>0</v>
      </c>
      <c r="M59" s="105">
        <f>VLOOKUP(A59,'[2]Billing Dimensions'!$A:$N,13,FALSE)-VLOOKUP(A59,'Audit Dimensions'!$A:$N,13,FALSE)</f>
        <v>0</v>
      </c>
      <c r="N59" s="105">
        <f>VLOOKUP(A59,'[2]Billing Dimensions'!$A:$N,14,FALSE)-VLOOKUP(A59,'Audit Dimensions'!$A:$N,14,FALSE)</f>
        <v>0</v>
      </c>
      <c r="O59" s="104">
        <f>VLOOKUP(A59,'[2]Billing Dimensions'!A:Q,16,FALSE)-VLOOKUP('Audit VAR'!A59,'Audit Dimensions'!A:P,16,FALSE)</f>
        <v>-455</v>
      </c>
      <c r="P59" s="103">
        <f>O59/1000</f>
        <v>-0.45500000000000002</v>
      </c>
      <c r="Q59" s="102">
        <f>(((C59*D59*E59)+(G59*H59*I59)+(K59*L59*M59))/1000000)*35.32</f>
        <v>2.8256000000000001E-4</v>
      </c>
      <c r="R59" s="46">
        <f>P59/Q59</f>
        <v>-1610.2774631936579</v>
      </c>
    </row>
    <row r="60" spans="1:18" hidden="1" x14ac:dyDescent="0.3">
      <c r="A60" s="122" t="s">
        <v>242</v>
      </c>
      <c r="B60" s="88" t="str">
        <f>VLOOKUP(A60,'[2]Billing Dimensions'!A:B,2,FALSE)</f>
        <v>SB</v>
      </c>
      <c r="C60" s="115">
        <f>VLOOKUP(A60,'[2]Billing Dimensions'!$A:$N,3,FALSE)-VLOOKUP(A60,'Audit Dimensions'!$A:$N,3,FALSE)</f>
        <v>0</v>
      </c>
      <c r="D60" s="115">
        <f>VLOOKUP(A60,'[2]Billing Dimensions'!$A:$N,4,FALSE)-VLOOKUP(A60,'Audit Dimensions'!$A:$N,4,FALSE)</f>
        <v>0</v>
      </c>
      <c r="E60" s="115">
        <f>VLOOKUP(A60,'[2]Billing Dimensions'!$A:$N,5,FALSE)-VLOOKUP(A60,'Audit Dimensions'!$A:$N,5,FALSE)</f>
        <v>0</v>
      </c>
      <c r="F60" s="114">
        <f>VLOOKUP(A60,'[2]Billing Dimensions'!$A:$N,6,FALSE)-VLOOKUP(A60,'Audit Dimensions'!$A:$N,6,FALSE)</f>
        <v>-10</v>
      </c>
      <c r="G60" s="107">
        <f>VLOOKUP(A60,'[2]Billing Dimensions'!$A:$N,7,FALSE)-VLOOKUP(A60,'Audit Dimensions'!$A:$N,7,FALSE)</f>
        <v>0</v>
      </c>
      <c r="H60" s="107">
        <f>VLOOKUP(A60,'[2]Billing Dimensions'!$A:$N,8,FALSE)-VLOOKUP(A60,'Audit Dimensions'!$A:$N,8,FALSE)</f>
        <v>0</v>
      </c>
      <c r="I60" s="107">
        <f>VLOOKUP(A60,'[2]Billing Dimensions'!$A:$N,9,FALSE)-VLOOKUP(A60,'Audit Dimensions'!$A:$N,9,FALSE)</f>
        <v>0</v>
      </c>
      <c r="J60" s="106">
        <f>VLOOKUP(A60,'[2]Billing Dimensions'!$A:$N,10,FALSE)-VLOOKUP(A60,'Audit Dimensions'!$A:$N,10,FALSE)</f>
        <v>0</v>
      </c>
      <c r="K60" s="105">
        <f>VLOOKUP(A60,'[2]Billing Dimensions'!$A:$N,11,FALSE)-VLOOKUP(A60,'Audit Dimensions'!$A:$N,11,FALSE)</f>
        <v>0</v>
      </c>
      <c r="L60" s="105">
        <f>VLOOKUP(A60,'[2]Billing Dimensions'!$A:$N,12,FALSE)-VLOOKUP(A60,'Audit Dimensions'!$A:$N,12,FALSE)</f>
        <v>0</v>
      </c>
      <c r="M60" s="105">
        <f>VLOOKUP(A60,'[2]Billing Dimensions'!$A:$N,13,FALSE)-VLOOKUP(A60,'Audit Dimensions'!$A:$N,13,FALSE)</f>
        <v>0</v>
      </c>
      <c r="N60" s="105">
        <f>VLOOKUP(A60,'[2]Billing Dimensions'!$A:$N,14,FALSE)-VLOOKUP(A60,'Audit Dimensions'!$A:$N,14,FALSE)</f>
        <v>0</v>
      </c>
      <c r="O60" s="104">
        <f>VLOOKUP(A60,'[2]Billing Dimensions'!A:Q,16,FALSE)-VLOOKUP('Audit VAR'!A60,'Audit Dimensions'!A:P,16,FALSE)</f>
        <v>-10</v>
      </c>
      <c r="P60" s="103">
        <f>O60/1000</f>
        <v>-0.01</v>
      </c>
      <c r="Q60" s="102">
        <f>(((C60*D60*E60)+(G60*H60*I60)+(K60*L60*M60))/1000000)*35.32</f>
        <v>0</v>
      </c>
      <c r="R60" s="46" t="e">
        <f>P60/Q60</f>
        <v>#DIV/0!</v>
      </c>
    </row>
    <row r="61" spans="1:18" hidden="1" x14ac:dyDescent="0.3">
      <c r="A61" s="122" t="s">
        <v>241</v>
      </c>
      <c r="B61" s="88" t="str">
        <f>VLOOKUP(A61,'[2]Billing Dimensions'!A:B,2,FALSE)</f>
        <v>SB</v>
      </c>
      <c r="C61" s="115">
        <f>VLOOKUP(A61,'[2]Billing Dimensions'!$A:$N,3,FALSE)-VLOOKUP(A61,'Audit Dimensions'!$A:$N,3,FALSE)</f>
        <v>0</v>
      </c>
      <c r="D61" s="115">
        <f>VLOOKUP(A61,'[2]Billing Dimensions'!$A:$N,4,FALSE)-VLOOKUP(A61,'Audit Dimensions'!$A:$N,4,FALSE)</f>
        <v>-10</v>
      </c>
      <c r="E61" s="115">
        <f>VLOOKUP(A61,'[2]Billing Dimensions'!$A:$N,5,FALSE)-VLOOKUP(A61,'Audit Dimensions'!$A:$N,5,FALSE)</f>
        <v>0</v>
      </c>
      <c r="F61" s="114">
        <f>VLOOKUP(A61,'[2]Billing Dimensions'!$A:$N,6,FALSE)-VLOOKUP(A61,'Audit Dimensions'!$A:$N,6,FALSE)</f>
        <v>-900</v>
      </c>
      <c r="G61" s="107">
        <f>VLOOKUP(A61,'[2]Billing Dimensions'!$A:$N,7,FALSE)-VLOOKUP(A61,'Audit Dimensions'!$A:$N,7,FALSE)</f>
        <v>0</v>
      </c>
      <c r="H61" s="107">
        <f>VLOOKUP(A61,'[2]Billing Dimensions'!$A:$N,8,FALSE)-VLOOKUP(A61,'Audit Dimensions'!$A:$N,8,FALSE)</f>
        <v>0</v>
      </c>
      <c r="I61" s="107">
        <f>VLOOKUP(A61,'[2]Billing Dimensions'!$A:$N,9,FALSE)-VLOOKUP(A61,'Audit Dimensions'!$A:$N,9,FALSE)</f>
        <v>0</v>
      </c>
      <c r="J61" s="106">
        <f>VLOOKUP(A61,'[2]Billing Dimensions'!$A:$N,10,FALSE)-VLOOKUP(A61,'Audit Dimensions'!$A:$N,10,FALSE)</f>
        <v>0</v>
      </c>
      <c r="K61" s="105">
        <f>VLOOKUP(A61,'[2]Billing Dimensions'!$A:$N,11,FALSE)-VLOOKUP(A61,'Audit Dimensions'!$A:$N,11,FALSE)</f>
        <v>0</v>
      </c>
      <c r="L61" s="105">
        <f>VLOOKUP(A61,'[2]Billing Dimensions'!$A:$N,12,FALSE)-VLOOKUP(A61,'Audit Dimensions'!$A:$N,12,FALSE)</f>
        <v>0</v>
      </c>
      <c r="M61" s="105">
        <f>VLOOKUP(A61,'[2]Billing Dimensions'!$A:$N,13,FALSE)-VLOOKUP(A61,'Audit Dimensions'!$A:$N,13,FALSE)</f>
        <v>0</v>
      </c>
      <c r="N61" s="105">
        <f>VLOOKUP(A61,'[2]Billing Dimensions'!$A:$N,14,FALSE)-VLOOKUP(A61,'Audit Dimensions'!$A:$N,14,FALSE)</f>
        <v>0</v>
      </c>
      <c r="O61" s="104">
        <f>VLOOKUP(A61,'[2]Billing Dimensions'!A:Q,16,FALSE)-VLOOKUP('Audit VAR'!A61,'Audit Dimensions'!A:P,16,FALSE)</f>
        <v>-900</v>
      </c>
      <c r="P61" s="103">
        <f>O61/1000</f>
        <v>-0.9</v>
      </c>
      <c r="Q61" s="102">
        <f>(((C61*D61*E61)+(G61*H61*I61)+(K61*L61*M61))/1000000)*35.32</f>
        <v>0</v>
      </c>
      <c r="R61" s="46" t="e">
        <f>P61/Q61</f>
        <v>#DIV/0!</v>
      </c>
    </row>
    <row r="62" spans="1:18" hidden="1" x14ac:dyDescent="0.3">
      <c r="A62" s="122" t="s">
        <v>350</v>
      </c>
      <c r="B62" s="88" t="e">
        <f>VLOOKUP(A62,'[2]Billing Dimensions'!A:B,2,FALSE)</f>
        <v>#N/A</v>
      </c>
      <c r="C62" s="115" t="e">
        <f>VLOOKUP(A62,'[2]Billing Dimensions'!$A:$N,3,FALSE)-VLOOKUP(A62,'Audit Dimensions'!$A:$N,3,FALSE)</f>
        <v>#N/A</v>
      </c>
      <c r="D62" s="115" t="e">
        <f>VLOOKUP(A62,'[2]Billing Dimensions'!$A:$N,4,FALSE)-VLOOKUP(A62,'Audit Dimensions'!$A:$N,4,FALSE)</f>
        <v>#N/A</v>
      </c>
      <c r="E62" s="115" t="e">
        <f>VLOOKUP(A62,'[2]Billing Dimensions'!$A:$N,5,FALSE)-VLOOKUP(A62,'Audit Dimensions'!$A:$N,5,FALSE)</f>
        <v>#N/A</v>
      </c>
      <c r="F62" s="114" t="e">
        <f>VLOOKUP(A62,'[2]Billing Dimensions'!$A:$N,6,FALSE)-VLOOKUP(A62,'Audit Dimensions'!$A:$N,6,FALSE)</f>
        <v>#N/A</v>
      </c>
      <c r="G62" s="107" t="e">
        <f>VLOOKUP(A62,'[2]Billing Dimensions'!$A:$N,7,FALSE)-VLOOKUP(A62,'Audit Dimensions'!$A:$N,7,FALSE)</f>
        <v>#N/A</v>
      </c>
      <c r="H62" s="107" t="e">
        <f>VLOOKUP(A62,'[2]Billing Dimensions'!$A:$N,8,FALSE)-VLOOKUP(A62,'Audit Dimensions'!$A:$N,8,FALSE)</f>
        <v>#N/A</v>
      </c>
      <c r="I62" s="107" t="e">
        <f>VLOOKUP(A62,'[2]Billing Dimensions'!$A:$N,9,FALSE)-VLOOKUP(A62,'Audit Dimensions'!$A:$N,9,FALSE)</f>
        <v>#N/A</v>
      </c>
      <c r="J62" s="106" t="e">
        <f>VLOOKUP(A62,'[2]Billing Dimensions'!$A:$N,10,FALSE)-VLOOKUP(A62,'Audit Dimensions'!$A:$N,10,FALSE)</f>
        <v>#N/A</v>
      </c>
      <c r="K62" s="105" t="e">
        <f>VLOOKUP(A62,'[2]Billing Dimensions'!$A:$N,11,FALSE)-VLOOKUP(A62,'Audit Dimensions'!$A:$N,11,FALSE)</f>
        <v>#N/A</v>
      </c>
      <c r="L62" s="105" t="e">
        <f>VLOOKUP(A62,'[2]Billing Dimensions'!$A:$N,12,FALSE)-VLOOKUP(A62,'Audit Dimensions'!$A:$N,12,FALSE)</f>
        <v>#N/A</v>
      </c>
      <c r="M62" s="105" t="e">
        <f>VLOOKUP(A62,'[2]Billing Dimensions'!$A:$N,13,FALSE)-VLOOKUP(A62,'Audit Dimensions'!$A:$N,13,FALSE)</f>
        <v>#N/A</v>
      </c>
      <c r="N62" s="105" t="e">
        <f>VLOOKUP(A62,'[2]Billing Dimensions'!$A:$N,14,FALSE)-VLOOKUP(A62,'Audit Dimensions'!$A:$N,14,FALSE)</f>
        <v>#N/A</v>
      </c>
      <c r="O62" s="104" t="e">
        <f>VLOOKUP(A62,'[2]Billing Dimensions'!A:Q,16,FALSE)-VLOOKUP('Audit VAR'!A62,'Audit Dimensions'!A:P,16,FALSE)</f>
        <v>#N/A</v>
      </c>
      <c r="P62" s="103" t="e">
        <f>O62/1000</f>
        <v>#N/A</v>
      </c>
      <c r="Q62" s="102" t="e">
        <f>(((C62*D62*E62)+(G62*H62*I62)+(K62*L62*M62))/1000000)*35.32</f>
        <v>#N/A</v>
      </c>
      <c r="R62" s="46" t="e">
        <f>P62/Q62</f>
        <v>#N/A</v>
      </c>
    </row>
    <row r="63" spans="1:18" hidden="1" x14ac:dyDescent="0.3">
      <c r="A63" s="122" t="s">
        <v>349</v>
      </c>
      <c r="B63" s="88" t="e">
        <f>VLOOKUP(A63,'[2]Billing Dimensions'!A:B,2,FALSE)</f>
        <v>#N/A</v>
      </c>
      <c r="C63" s="115" t="e">
        <f>VLOOKUP(A63,'[2]Billing Dimensions'!$A:$N,3,FALSE)-VLOOKUP(A63,'Audit Dimensions'!$A:$N,3,FALSE)</f>
        <v>#N/A</v>
      </c>
      <c r="D63" s="115" t="e">
        <f>VLOOKUP(A63,'[2]Billing Dimensions'!$A:$N,4,FALSE)-VLOOKUP(A63,'Audit Dimensions'!$A:$N,4,FALSE)</f>
        <v>#N/A</v>
      </c>
      <c r="E63" s="115" t="e">
        <f>VLOOKUP(A63,'[2]Billing Dimensions'!$A:$N,5,FALSE)-VLOOKUP(A63,'Audit Dimensions'!$A:$N,5,FALSE)</f>
        <v>#N/A</v>
      </c>
      <c r="F63" s="114" t="e">
        <f>VLOOKUP(A63,'[2]Billing Dimensions'!$A:$N,6,FALSE)-VLOOKUP(A63,'Audit Dimensions'!$A:$N,6,FALSE)</f>
        <v>#N/A</v>
      </c>
      <c r="G63" s="107" t="e">
        <f>VLOOKUP(A63,'[2]Billing Dimensions'!$A:$N,7,FALSE)-VLOOKUP(A63,'Audit Dimensions'!$A:$N,7,FALSE)</f>
        <v>#N/A</v>
      </c>
      <c r="H63" s="107" t="e">
        <f>VLOOKUP(A63,'[2]Billing Dimensions'!$A:$N,8,FALSE)-VLOOKUP(A63,'Audit Dimensions'!$A:$N,8,FALSE)</f>
        <v>#N/A</v>
      </c>
      <c r="I63" s="107" t="e">
        <f>VLOOKUP(A63,'[2]Billing Dimensions'!$A:$N,9,FALSE)-VLOOKUP(A63,'Audit Dimensions'!$A:$N,9,FALSE)</f>
        <v>#N/A</v>
      </c>
      <c r="J63" s="106" t="e">
        <f>VLOOKUP(A63,'[2]Billing Dimensions'!$A:$N,10,FALSE)-VLOOKUP(A63,'Audit Dimensions'!$A:$N,10,FALSE)</f>
        <v>#N/A</v>
      </c>
      <c r="K63" s="105" t="e">
        <f>VLOOKUP(A63,'[2]Billing Dimensions'!$A:$N,11,FALSE)-VLOOKUP(A63,'Audit Dimensions'!$A:$N,11,FALSE)</f>
        <v>#N/A</v>
      </c>
      <c r="L63" s="105" t="e">
        <f>VLOOKUP(A63,'[2]Billing Dimensions'!$A:$N,12,FALSE)-VLOOKUP(A63,'Audit Dimensions'!$A:$N,12,FALSE)</f>
        <v>#N/A</v>
      </c>
      <c r="M63" s="105" t="e">
        <f>VLOOKUP(A63,'[2]Billing Dimensions'!$A:$N,13,FALSE)-VLOOKUP(A63,'Audit Dimensions'!$A:$N,13,FALSE)</f>
        <v>#N/A</v>
      </c>
      <c r="N63" s="105" t="e">
        <f>VLOOKUP(A63,'[2]Billing Dimensions'!$A:$N,14,FALSE)-VLOOKUP(A63,'Audit Dimensions'!$A:$N,14,FALSE)</f>
        <v>#N/A</v>
      </c>
      <c r="O63" s="104" t="e">
        <f>VLOOKUP(A63,'[2]Billing Dimensions'!A:Q,16,FALSE)-VLOOKUP('Audit VAR'!A63,'Audit Dimensions'!A:P,16,FALSE)</f>
        <v>#N/A</v>
      </c>
      <c r="P63" s="103" t="e">
        <f>O63/1000</f>
        <v>#N/A</v>
      </c>
      <c r="Q63" s="102" t="e">
        <f>(((C63*D63*E63)+(G63*H63*I63)+(K63*L63*M63))/1000000)*35.32</f>
        <v>#N/A</v>
      </c>
      <c r="R63" s="46" t="e">
        <f>P63/Q63</f>
        <v>#N/A</v>
      </c>
    </row>
    <row r="64" spans="1:18" hidden="1" x14ac:dyDescent="0.3">
      <c r="A64" s="122" t="s">
        <v>348</v>
      </c>
      <c r="B64" s="88" t="e">
        <f>VLOOKUP(A64,'[2]Billing Dimensions'!A:B,2,FALSE)</f>
        <v>#N/A</v>
      </c>
      <c r="C64" s="115" t="e">
        <f>VLOOKUP(A64,'[2]Billing Dimensions'!$A:$N,3,FALSE)-VLOOKUP(A64,'Audit Dimensions'!$A:$N,3,FALSE)</f>
        <v>#N/A</v>
      </c>
      <c r="D64" s="115" t="e">
        <f>VLOOKUP(A64,'[2]Billing Dimensions'!$A:$N,4,FALSE)-VLOOKUP(A64,'Audit Dimensions'!$A:$N,4,FALSE)</f>
        <v>#N/A</v>
      </c>
      <c r="E64" s="115" t="e">
        <f>VLOOKUP(A64,'[2]Billing Dimensions'!$A:$N,5,FALSE)-VLOOKUP(A64,'Audit Dimensions'!$A:$N,5,FALSE)</f>
        <v>#N/A</v>
      </c>
      <c r="F64" s="114" t="e">
        <f>VLOOKUP(A64,'[2]Billing Dimensions'!$A:$N,6,FALSE)-VLOOKUP(A64,'Audit Dimensions'!$A:$N,6,FALSE)</f>
        <v>#N/A</v>
      </c>
      <c r="G64" s="107" t="e">
        <f>VLOOKUP(A64,'[2]Billing Dimensions'!$A:$N,7,FALSE)-VLOOKUP(A64,'Audit Dimensions'!$A:$N,7,FALSE)</f>
        <v>#N/A</v>
      </c>
      <c r="H64" s="107" t="e">
        <f>VLOOKUP(A64,'[2]Billing Dimensions'!$A:$N,8,FALSE)-VLOOKUP(A64,'Audit Dimensions'!$A:$N,8,FALSE)</f>
        <v>#N/A</v>
      </c>
      <c r="I64" s="107" t="e">
        <f>VLOOKUP(A64,'[2]Billing Dimensions'!$A:$N,9,FALSE)-VLOOKUP(A64,'Audit Dimensions'!$A:$N,9,FALSE)</f>
        <v>#N/A</v>
      </c>
      <c r="J64" s="106" t="e">
        <f>VLOOKUP(A64,'[2]Billing Dimensions'!$A:$N,10,FALSE)-VLOOKUP(A64,'Audit Dimensions'!$A:$N,10,FALSE)</f>
        <v>#N/A</v>
      </c>
      <c r="K64" s="105" t="e">
        <f>VLOOKUP(A64,'[2]Billing Dimensions'!$A:$N,11,FALSE)-VLOOKUP(A64,'Audit Dimensions'!$A:$N,11,FALSE)</f>
        <v>#N/A</v>
      </c>
      <c r="L64" s="105" t="e">
        <f>VLOOKUP(A64,'[2]Billing Dimensions'!$A:$N,12,FALSE)-VLOOKUP(A64,'Audit Dimensions'!$A:$N,12,FALSE)</f>
        <v>#N/A</v>
      </c>
      <c r="M64" s="105" t="e">
        <f>VLOOKUP(A64,'[2]Billing Dimensions'!$A:$N,13,FALSE)-VLOOKUP(A64,'Audit Dimensions'!$A:$N,13,FALSE)</f>
        <v>#N/A</v>
      </c>
      <c r="N64" s="105" t="e">
        <f>VLOOKUP(A64,'[2]Billing Dimensions'!$A:$N,14,FALSE)-VLOOKUP(A64,'Audit Dimensions'!$A:$N,14,FALSE)</f>
        <v>#N/A</v>
      </c>
      <c r="O64" s="104" t="e">
        <f>VLOOKUP(A64,'[2]Billing Dimensions'!A:Q,16,FALSE)-VLOOKUP('Audit VAR'!A64,'Audit Dimensions'!A:P,16,FALSE)</f>
        <v>#N/A</v>
      </c>
      <c r="P64" s="103" t="e">
        <f>O64/1000</f>
        <v>#N/A</v>
      </c>
      <c r="Q64" s="102" t="e">
        <f>(((C64*D64*E64)+(G64*H64*I64)+(K64*L64*M64))/1000000)*35.32</f>
        <v>#N/A</v>
      </c>
      <c r="R64" s="46" t="e">
        <f>P64/Q64</f>
        <v>#N/A</v>
      </c>
    </row>
    <row r="65" spans="1:18" hidden="1" x14ac:dyDescent="0.3">
      <c r="A65" s="122" t="s">
        <v>347</v>
      </c>
      <c r="B65" s="88" t="e">
        <f>VLOOKUP(A65,'[2]Billing Dimensions'!A:B,2,FALSE)</f>
        <v>#N/A</v>
      </c>
      <c r="C65" s="115" t="e">
        <f>VLOOKUP(A65,'[2]Billing Dimensions'!$A:$N,3,FALSE)-VLOOKUP(A65,'Audit Dimensions'!$A:$N,3,FALSE)</f>
        <v>#N/A</v>
      </c>
      <c r="D65" s="115" t="e">
        <f>VLOOKUP(A65,'[2]Billing Dimensions'!$A:$N,4,FALSE)-VLOOKUP(A65,'Audit Dimensions'!$A:$N,4,FALSE)</f>
        <v>#N/A</v>
      </c>
      <c r="E65" s="115" t="e">
        <f>VLOOKUP(A65,'[2]Billing Dimensions'!$A:$N,5,FALSE)-VLOOKUP(A65,'Audit Dimensions'!$A:$N,5,FALSE)</f>
        <v>#N/A</v>
      </c>
      <c r="F65" s="114" t="e">
        <f>VLOOKUP(A65,'[2]Billing Dimensions'!$A:$N,6,FALSE)-VLOOKUP(A65,'Audit Dimensions'!$A:$N,6,FALSE)</f>
        <v>#N/A</v>
      </c>
      <c r="G65" s="107" t="e">
        <f>VLOOKUP(A65,'[2]Billing Dimensions'!$A:$N,7,FALSE)-VLOOKUP(A65,'Audit Dimensions'!$A:$N,7,FALSE)</f>
        <v>#N/A</v>
      </c>
      <c r="H65" s="107" t="e">
        <f>VLOOKUP(A65,'[2]Billing Dimensions'!$A:$N,8,FALSE)-VLOOKUP(A65,'Audit Dimensions'!$A:$N,8,FALSE)</f>
        <v>#N/A</v>
      </c>
      <c r="I65" s="107" t="e">
        <f>VLOOKUP(A65,'[2]Billing Dimensions'!$A:$N,9,FALSE)-VLOOKUP(A65,'Audit Dimensions'!$A:$N,9,FALSE)</f>
        <v>#N/A</v>
      </c>
      <c r="J65" s="106" t="e">
        <f>VLOOKUP(A65,'[2]Billing Dimensions'!$A:$N,10,FALSE)-VLOOKUP(A65,'Audit Dimensions'!$A:$N,10,FALSE)</f>
        <v>#N/A</v>
      </c>
      <c r="K65" s="105" t="e">
        <f>VLOOKUP(A65,'[2]Billing Dimensions'!$A:$N,11,FALSE)-VLOOKUP(A65,'Audit Dimensions'!$A:$N,11,FALSE)</f>
        <v>#N/A</v>
      </c>
      <c r="L65" s="105" t="e">
        <f>VLOOKUP(A65,'[2]Billing Dimensions'!$A:$N,12,FALSE)-VLOOKUP(A65,'Audit Dimensions'!$A:$N,12,FALSE)</f>
        <v>#N/A</v>
      </c>
      <c r="M65" s="105" t="e">
        <f>VLOOKUP(A65,'[2]Billing Dimensions'!$A:$N,13,FALSE)-VLOOKUP(A65,'Audit Dimensions'!$A:$N,13,FALSE)</f>
        <v>#N/A</v>
      </c>
      <c r="N65" s="105" t="e">
        <f>VLOOKUP(A65,'[2]Billing Dimensions'!$A:$N,14,FALSE)-VLOOKUP(A65,'Audit Dimensions'!$A:$N,14,FALSE)</f>
        <v>#N/A</v>
      </c>
      <c r="O65" s="104" t="e">
        <f>VLOOKUP(A65,'[2]Billing Dimensions'!A:Q,16,FALSE)-VLOOKUP('Audit VAR'!A65,'Audit Dimensions'!A:P,16,FALSE)</f>
        <v>#N/A</v>
      </c>
      <c r="P65" s="103" t="e">
        <f>O65/1000</f>
        <v>#N/A</v>
      </c>
      <c r="Q65" s="102" t="e">
        <f>(((C65*D65*E65)+(G65*H65*I65)+(K65*L65*M65))/1000000)*35.32</f>
        <v>#N/A</v>
      </c>
      <c r="R65" s="46" t="e">
        <f>P65/Q65</f>
        <v>#N/A</v>
      </c>
    </row>
    <row r="66" spans="1:18" hidden="1" x14ac:dyDescent="0.3">
      <c r="A66" s="122" t="s">
        <v>346</v>
      </c>
      <c r="B66" s="88" t="e">
        <f>VLOOKUP(A66,'[2]Billing Dimensions'!A:B,2,FALSE)</f>
        <v>#N/A</v>
      </c>
      <c r="C66" s="115" t="e">
        <f>VLOOKUP(A66,'[2]Billing Dimensions'!$A:$N,3,FALSE)-VLOOKUP(A66,'Audit Dimensions'!$A:$N,3,FALSE)</f>
        <v>#N/A</v>
      </c>
      <c r="D66" s="115" t="e">
        <f>VLOOKUP(A66,'[2]Billing Dimensions'!$A:$N,4,FALSE)-VLOOKUP(A66,'Audit Dimensions'!$A:$N,4,FALSE)</f>
        <v>#N/A</v>
      </c>
      <c r="E66" s="115" t="e">
        <f>VLOOKUP(A66,'[2]Billing Dimensions'!$A:$N,5,FALSE)-VLOOKUP(A66,'Audit Dimensions'!$A:$N,5,FALSE)</f>
        <v>#N/A</v>
      </c>
      <c r="F66" s="114" t="e">
        <f>VLOOKUP(A66,'[2]Billing Dimensions'!$A:$N,6,FALSE)-VLOOKUP(A66,'Audit Dimensions'!$A:$N,6,FALSE)</f>
        <v>#N/A</v>
      </c>
      <c r="G66" s="107" t="e">
        <f>VLOOKUP(A66,'[2]Billing Dimensions'!$A:$N,7,FALSE)-VLOOKUP(A66,'Audit Dimensions'!$A:$N,7,FALSE)</f>
        <v>#N/A</v>
      </c>
      <c r="H66" s="107" t="e">
        <f>VLOOKUP(A66,'[2]Billing Dimensions'!$A:$N,8,FALSE)-VLOOKUP(A66,'Audit Dimensions'!$A:$N,8,FALSE)</f>
        <v>#N/A</v>
      </c>
      <c r="I66" s="107" t="e">
        <f>VLOOKUP(A66,'[2]Billing Dimensions'!$A:$N,9,FALSE)-VLOOKUP(A66,'Audit Dimensions'!$A:$N,9,FALSE)</f>
        <v>#N/A</v>
      </c>
      <c r="J66" s="106" t="e">
        <f>VLOOKUP(A66,'[2]Billing Dimensions'!$A:$N,10,FALSE)-VLOOKUP(A66,'Audit Dimensions'!$A:$N,10,FALSE)</f>
        <v>#N/A</v>
      </c>
      <c r="K66" s="105" t="e">
        <f>VLOOKUP(A66,'[2]Billing Dimensions'!$A:$N,11,FALSE)-VLOOKUP(A66,'Audit Dimensions'!$A:$N,11,FALSE)</f>
        <v>#N/A</v>
      </c>
      <c r="L66" s="105" t="e">
        <f>VLOOKUP(A66,'[2]Billing Dimensions'!$A:$N,12,FALSE)-VLOOKUP(A66,'Audit Dimensions'!$A:$N,12,FALSE)</f>
        <v>#N/A</v>
      </c>
      <c r="M66" s="105" t="e">
        <f>VLOOKUP(A66,'[2]Billing Dimensions'!$A:$N,13,FALSE)-VLOOKUP(A66,'Audit Dimensions'!$A:$N,13,FALSE)</f>
        <v>#N/A</v>
      </c>
      <c r="N66" s="105" t="e">
        <f>VLOOKUP(A66,'[2]Billing Dimensions'!$A:$N,14,FALSE)-VLOOKUP(A66,'Audit Dimensions'!$A:$N,14,FALSE)</f>
        <v>#N/A</v>
      </c>
      <c r="O66" s="104" t="e">
        <f>VLOOKUP(A66,'[2]Billing Dimensions'!A:Q,16,FALSE)-VLOOKUP('Audit VAR'!A66,'Audit Dimensions'!A:P,16,FALSE)</f>
        <v>#N/A</v>
      </c>
      <c r="P66" s="103" t="e">
        <f>O66/1000</f>
        <v>#N/A</v>
      </c>
      <c r="Q66" s="102" t="e">
        <f>(((C66*D66*E66)+(G66*H66*I66)+(K66*L66*M66))/1000000)*35.32</f>
        <v>#N/A</v>
      </c>
      <c r="R66" s="46" t="e">
        <f>P66/Q66</f>
        <v>#N/A</v>
      </c>
    </row>
    <row r="67" spans="1:18" hidden="1" x14ac:dyDescent="0.3">
      <c r="A67" s="122" t="s">
        <v>239</v>
      </c>
      <c r="B67" s="88" t="str">
        <f>VLOOKUP(A67,'[2]Billing Dimensions'!A:B,2,FALSE)</f>
        <v>SB</v>
      </c>
      <c r="C67" s="115">
        <f>VLOOKUP(A67,'[2]Billing Dimensions'!$A:$N,3,FALSE)-VLOOKUP(A67,'Audit Dimensions'!$A:$N,3,FALSE)</f>
        <v>1</v>
      </c>
      <c r="D67" s="115">
        <f>VLOOKUP(A67,'[2]Billing Dimensions'!$A:$N,4,FALSE)-VLOOKUP(A67,'Audit Dimensions'!$A:$N,4,FALSE)</f>
        <v>-6</v>
      </c>
      <c r="E67" s="115">
        <f>VLOOKUP(A67,'[2]Billing Dimensions'!$A:$N,5,FALSE)-VLOOKUP(A67,'Audit Dimensions'!$A:$N,5,FALSE)</f>
        <v>-2</v>
      </c>
      <c r="F67" s="114">
        <f>VLOOKUP(A67,'[2]Billing Dimensions'!$A:$N,6,FALSE)-VLOOKUP(A67,'Audit Dimensions'!$A:$N,6,FALSE)</f>
        <v>-370</v>
      </c>
      <c r="G67" s="107">
        <f>VLOOKUP(A67,'[2]Billing Dimensions'!$A:$N,7,FALSE)-VLOOKUP(A67,'Audit Dimensions'!$A:$N,7,FALSE)</f>
        <v>0</v>
      </c>
      <c r="H67" s="107">
        <f>VLOOKUP(A67,'[2]Billing Dimensions'!$A:$N,8,FALSE)-VLOOKUP(A67,'Audit Dimensions'!$A:$N,8,FALSE)</f>
        <v>0</v>
      </c>
      <c r="I67" s="107">
        <f>VLOOKUP(A67,'[2]Billing Dimensions'!$A:$N,9,FALSE)-VLOOKUP(A67,'Audit Dimensions'!$A:$N,9,FALSE)</f>
        <v>0</v>
      </c>
      <c r="J67" s="106">
        <f>VLOOKUP(A67,'[2]Billing Dimensions'!$A:$N,10,FALSE)-VLOOKUP(A67,'Audit Dimensions'!$A:$N,10,FALSE)</f>
        <v>0</v>
      </c>
      <c r="K67" s="105">
        <f>VLOOKUP(A67,'[2]Billing Dimensions'!$A:$N,11,FALSE)-VLOOKUP(A67,'Audit Dimensions'!$A:$N,11,FALSE)</f>
        <v>0</v>
      </c>
      <c r="L67" s="105">
        <f>VLOOKUP(A67,'[2]Billing Dimensions'!$A:$N,12,FALSE)-VLOOKUP(A67,'Audit Dimensions'!$A:$N,12,FALSE)</f>
        <v>0</v>
      </c>
      <c r="M67" s="105">
        <f>VLOOKUP(A67,'[2]Billing Dimensions'!$A:$N,13,FALSE)-VLOOKUP(A67,'Audit Dimensions'!$A:$N,13,FALSE)</f>
        <v>0</v>
      </c>
      <c r="N67" s="105">
        <f>VLOOKUP(A67,'[2]Billing Dimensions'!$A:$N,14,FALSE)-VLOOKUP(A67,'Audit Dimensions'!$A:$N,14,FALSE)</f>
        <v>0</v>
      </c>
      <c r="O67" s="104">
        <f>VLOOKUP(A67,'[2]Billing Dimensions'!A:Q,16,FALSE)-VLOOKUP('Audit VAR'!A67,'Audit Dimensions'!A:P,16,FALSE)</f>
        <v>-370</v>
      </c>
      <c r="P67" s="103">
        <f>O67/1000</f>
        <v>-0.37</v>
      </c>
      <c r="Q67" s="102">
        <f>(((C67*D67*E67)+(G67*H67*I67)+(K67*L67*M67))/1000000)*35.32</f>
        <v>4.2384000000000003E-4</v>
      </c>
      <c r="R67" s="46">
        <f>P67/Q67</f>
        <v>-872.97093242733104</v>
      </c>
    </row>
    <row r="68" spans="1:18" hidden="1" x14ac:dyDescent="0.3">
      <c r="A68" s="122" t="s">
        <v>238</v>
      </c>
      <c r="B68" s="88" t="str">
        <f>VLOOKUP(A68,'[2]Billing Dimensions'!A:B,2,FALSE)</f>
        <v>SB</v>
      </c>
      <c r="C68" s="115">
        <f>VLOOKUP(A68,'[2]Billing Dimensions'!$A:$N,3,FALSE)-VLOOKUP(A68,'Audit Dimensions'!$A:$N,3,FALSE)</f>
        <v>-1</v>
      </c>
      <c r="D68" s="115">
        <f>VLOOKUP(A68,'[2]Billing Dimensions'!$A:$N,4,FALSE)-VLOOKUP(A68,'Audit Dimensions'!$A:$N,4,FALSE)</f>
        <v>-4</v>
      </c>
      <c r="E68" s="115">
        <f>VLOOKUP(A68,'[2]Billing Dimensions'!$A:$N,5,FALSE)-VLOOKUP(A68,'Audit Dimensions'!$A:$N,5,FALSE)</f>
        <v>-3</v>
      </c>
      <c r="F68" s="114">
        <f>VLOOKUP(A68,'[2]Billing Dimensions'!$A:$N,6,FALSE)-VLOOKUP(A68,'Audit Dimensions'!$A:$N,6,FALSE)</f>
        <v>-8790</v>
      </c>
      <c r="G68" s="107">
        <f>VLOOKUP(A68,'[2]Billing Dimensions'!$A:$N,7,FALSE)-VLOOKUP(A68,'Audit Dimensions'!$A:$N,7,FALSE)</f>
        <v>0</v>
      </c>
      <c r="H68" s="107">
        <f>VLOOKUP(A68,'[2]Billing Dimensions'!$A:$N,8,FALSE)-VLOOKUP(A68,'Audit Dimensions'!$A:$N,8,FALSE)</f>
        <v>0</v>
      </c>
      <c r="I68" s="107">
        <f>VLOOKUP(A68,'[2]Billing Dimensions'!$A:$N,9,FALSE)-VLOOKUP(A68,'Audit Dimensions'!$A:$N,9,FALSE)</f>
        <v>0</v>
      </c>
      <c r="J68" s="106">
        <f>VLOOKUP(A68,'[2]Billing Dimensions'!$A:$N,10,FALSE)-VLOOKUP(A68,'Audit Dimensions'!$A:$N,10,FALSE)</f>
        <v>0</v>
      </c>
      <c r="K68" s="105">
        <f>VLOOKUP(A68,'[2]Billing Dimensions'!$A:$N,11,FALSE)-VLOOKUP(A68,'Audit Dimensions'!$A:$N,11,FALSE)</f>
        <v>0</v>
      </c>
      <c r="L68" s="105">
        <f>VLOOKUP(A68,'[2]Billing Dimensions'!$A:$N,12,FALSE)-VLOOKUP(A68,'Audit Dimensions'!$A:$N,12,FALSE)</f>
        <v>0</v>
      </c>
      <c r="M68" s="105">
        <f>VLOOKUP(A68,'[2]Billing Dimensions'!$A:$N,13,FALSE)-VLOOKUP(A68,'Audit Dimensions'!$A:$N,13,FALSE)</f>
        <v>0</v>
      </c>
      <c r="N68" s="105">
        <f>VLOOKUP(A68,'[2]Billing Dimensions'!$A:$N,14,FALSE)-VLOOKUP(A68,'Audit Dimensions'!$A:$N,14,FALSE)</f>
        <v>0</v>
      </c>
      <c r="O68" s="104">
        <f>VLOOKUP(A68,'[2]Billing Dimensions'!A:Q,16,FALSE)-VLOOKUP('Audit VAR'!A68,'Audit Dimensions'!A:P,16,FALSE)</f>
        <v>-8790</v>
      </c>
      <c r="P68" s="103">
        <f>O68/1000</f>
        <v>-8.7899999999999991</v>
      </c>
      <c r="Q68" s="102">
        <f>(((C68*D68*E68)+(G68*H68*I68)+(K68*L68*M68))/1000000)*35.32</f>
        <v>-4.2384000000000003E-4</v>
      </c>
      <c r="R68" s="46">
        <f>P68/Q68</f>
        <v>20738.95809739524</v>
      </c>
    </row>
    <row r="69" spans="1:18" hidden="1" x14ac:dyDescent="0.3">
      <c r="A69" s="122" t="s">
        <v>345</v>
      </c>
      <c r="B69" s="88" t="str">
        <f>VLOOKUP(A69,'[2]Billing Dimensions'!A:B,2,FALSE)</f>
        <v> </v>
      </c>
      <c r="C69" s="115" t="e">
        <f>VLOOKUP(A69,'[2]Billing Dimensions'!$A:$N,3,FALSE)-VLOOKUP(A69,'Audit Dimensions'!$A:$N,3,FALSE)</f>
        <v>#N/A</v>
      </c>
      <c r="D69" s="115" t="e">
        <f>VLOOKUP(A69,'[2]Billing Dimensions'!$A:$N,4,FALSE)-VLOOKUP(A69,'Audit Dimensions'!$A:$N,4,FALSE)</f>
        <v>#N/A</v>
      </c>
      <c r="E69" s="115" t="e">
        <f>VLOOKUP(A69,'[2]Billing Dimensions'!$A:$N,5,FALSE)-VLOOKUP(A69,'Audit Dimensions'!$A:$N,5,FALSE)</f>
        <v>#N/A</v>
      </c>
      <c r="F69" s="114" t="e">
        <f>VLOOKUP(A69,'[2]Billing Dimensions'!$A:$N,6,FALSE)-VLOOKUP(A69,'Audit Dimensions'!$A:$N,6,FALSE)</f>
        <v>#N/A</v>
      </c>
      <c r="G69" s="107" t="e">
        <f>VLOOKUP(A69,'[2]Billing Dimensions'!$A:$N,7,FALSE)-VLOOKUP(A69,'Audit Dimensions'!$A:$N,7,FALSE)</f>
        <v>#N/A</v>
      </c>
      <c r="H69" s="107" t="e">
        <f>VLOOKUP(A69,'[2]Billing Dimensions'!$A:$N,8,FALSE)-VLOOKUP(A69,'Audit Dimensions'!$A:$N,8,FALSE)</f>
        <v>#N/A</v>
      </c>
      <c r="I69" s="107" t="e">
        <f>VLOOKUP(A69,'[2]Billing Dimensions'!$A:$N,9,FALSE)-VLOOKUP(A69,'Audit Dimensions'!$A:$N,9,FALSE)</f>
        <v>#N/A</v>
      </c>
      <c r="J69" s="106" t="e">
        <f>VLOOKUP(A69,'[2]Billing Dimensions'!$A:$N,10,FALSE)-VLOOKUP(A69,'Audit Dimensions'!$A:$N,10,FALSE)</f>
        <v>#N/A</v>
      </c>
      <c r="K69" s="105" t="e">
        <f>VLOOKUP(A69,'[2]Billing Dimensions'!$A:$N,11,FALSE)-VLOOKUP(A69,'Audit Dimensions'!$A:$N,11,FALSE)</f>
        <v>#N/A</v>
      </c>
      <c r="L69" s="105" t="e">
        <f>VLOOKUP(A69,'[2]Billing Dimensions'!$A:$N,12,FALSE)-VLOOKUP(A69,'Audit Dimensions'!$A:$N,12,FALSE)</f>
        <v>#N/A</v>
      </c>
      <c r="M69" s="105" t="e">
        <f>VLOOKUP(A69,'[2]Billing Dimensions'!$A:$N,13,FALSE)-VLOOKUP(A69,'Audit Dimensions'!$A:$N,13,FALSE)</f>
        <v>#N/A</v>
      </c>
      <c r="N69" s="105" t="e">
        <f>VLOOKUP(A69,'[2]Billing Dimensions'!$A:$N,14,FALSE)-VLOOKUP(A69,'Audit Dimensions'!$A:$N,14,FALSE)</f>
        <v>#N/A</v>
      </c>
      <c r="O69" s="104" t="e">
        <f>VLOOKUP(A69,'[2]Billing Dimensions'!A:Q,16,FALSE)-VLOOKUP('Audit VAR'!A69,'Audit Dimensions'!A:P,16,FALSE)</f>
        <v>#N/A</v>
      </c>
      <c r="P69" s="103" t="e">
        <f>O69/1000</f>
        <v>#N/A</v>
      </c>
      <c r="Q69" s="102" t="e">
        <f>(((C69*D69*E69)+(G69*H69*I69)+(K69*L69*M69))/1000000)*35.32</f>
        <v>#N/A</v>
      </c>
      <c r="R69" s="46" t="e">
        <f>P69/Q69</f>
        <v>#N/A</v>
      </c>
    </row>
    <row r="70" spans="1:18" hidden="1" x14ac:dyDescent="0.3">
      <c r="A70" s="122" t="s">
        <v>344</v>
      </c>
      <c r="B70" s="88" t="str">
        <f>VLOOKUP(A70,'[2]Billing Dimensions'!A:B,2,FALSE)</f>
        <v>SB</v>
      </c>
      <c r="C70" s="115" t="e">
        <f>VLOOKUP(A70,'[2]Billing Dimensions'!$A:$N,3,FALSE)-VLOOKUP(A70,'Audit Dimensions'!$A:$N,3,FALSE)</f>
        <v>#N/A</v>
      </c>
      <c r="D70" s="115" t="e">
        <f>VLOOKUP(A70,'[2]Billing Dimensions'!$A:$N,4,FALSE)-VLOOKUP(A70,'Audit Dimensions'!$A:$N,4,FALSE)</f>
        <v>#N/A</v>
      </c>
      <c r="E70" s="115" t="e">
        <f>VLOOKUP(A70,'[2]Billing Dimensions'!$A:$N,5,FALSE)-VLOOKUP(A70,'Audit Dimensions'!$A:$N,5,FALSE)</f>
        <v>#N/A</v>
      </c>
      <c r="F70" s="114" t="e">
        <f>VLOOKUP(A70,'[2]Billing Dimensions'!$A:$N,6,FALSE)-VLOOKUP(A70,'Audit Dimensions'!$A:$N,6,FALSE)</f>
        <v>#N/A</v>
      </c>
      <c r="G70" s="107" t="e">
        <f>VLOOKUP(A70,'[2]Billing Dimensions'!$A:$N,7,FALSE)-VLOOKUP(A70,'Audit Dimensions'!$A:$N,7,FALSE)</f>
        <v>#N/A</v>
      </c>
      <c r="H70" s="107" t="e">
        <f>VLOOKUP(A70,'[2]Billing Dimensions'!$A:$N,8,FALSE)-VLOOKUP(A70,'Audit Dimensions'!$A:$N,8,FALSE)</f>
        <v>#N/A</v>
      </c>
      <c r="I70" s="107" t="e">
        <f>VLOOKUP(A70,'[2]Billing Dimensions'!$A:$N,9,FALSE)-VLOOKUP(A70,'Audit Dimensions'!$A:$N,9,FALSE)</f>
        <v>#N/A</v>
      </c>
      <c r="J70" s="106" t="e">
        <f>VLOOKUP(A70,'[2]Billing Dimensions'!$A:$N,10,FALSE)-VLOOKUP(A70,'Audit Dimensions'!$A:$N,10,FALSE)</f>
        <v>#N/A</v>
      </c>
      <c r="K70" s="105" t="e">
        <f>VLOOKUP(A70,'[2]Billing Dimensions'!$A:$N,11,FALSE)-VLOOKUP(A70,'Audit Dimensions'!$A:$N,11,FALSE)</f>
        <v>#N/A</v>
      </c>
      <c r="L70" s="105" t="e">
        <f>VLOOKUP(A70,'[2]Billing Dimensions'!$A:$N,12,FALSE)-VLOOKUP(A70,'Audit Dimensions'!$A:$N,12,FALSE)</f>
        <v>#N/A</v>
      </c>
      <c r="M70" s="105" t="e">
        <f>VLOOKUP(A70,'[2]Billing Dimensions'!$A:$N,13,FALSE)-VLOOKUP(A70,'Audit Dimensions'!$A:$N,13,FALSE)</f>
        <v>#N/A</v>
      </c>
      <c r="N70" s="105" t="e">
        <f>VLOOKUP(A70,'[2]Billing Dimensions'!$A:$N,14,FALSE)-VLOOKUP(A70,'Audit Dimensions'!$A:$N,14,FALSE)</f>
        <v>#N/A</v>
      </c>
      <c r="O70" s="104" t="e">
        <f>VLOOKUP(A70,'[2]Billing Dimensions'!A:Q,16,FALSE)-VLOOKUP('Audit VAR'!A70,'Audit Dimensions'!A:P,16,FALSE)</f>
        <v>#N/A</v>
      </c>
      <c r="P70" s="103" t="e">
        <f>O70/1000</f>
        <v>#N/A</v>
      </c>
      <c r="Q70" s="102" t="e">
        <f>(((C70*D70*E70)+(G70*H70*I70)+(K70*L70*M70))/1000000)*35.32</f>
        <v>#N/A</v>
      </c>
      <c r="R70" s="46" t="e">
        <f>P70/Q70</f>
        <v>#N/A</v>
      </c>
    </row>
    <row r="71" spans="1:18" hidden="1" x14ac:dyDescent="0.3">
      <c r="A71" s="122" t="s">
        <v>237</v>
      </c>
      <c r="B71" s="88" t="str">
        <f>VLOOKUP(A71,'[2]Billing Dimensions'!A:B,2,FALSE)</f>
        <v>SB</v>
      </c>
      <c r="C71" s="115">
        <f>VLOOKUP(A71,'[2]Billing Dimensions'!$A:$N,3,FALSE)-VLOOKUP(A71,'Audit Dimensions'!$A:$N,3,FALSE)</f>
        <v>3</v>
      </c>
      <c r="D71" s="115">
        <f>VLOOKUP(A71,'[2]Billing Dimensions'!$A:$N,4,FALSE)-VLOOKUP(A71,'Audit Dimensions'!$A:$N,4,FALSE)</f>
        <v>3</v>
      </c>
      <c r="E71" s="115">
        <f>VLOOKUP(A71,'[2]Billing Dimensions'!$A:$N,5,FALSE)-VLOOKUP(A71,'Audit Dimensions'!$A:$N,5,FALSE)</f>
        <v>-1</v>
      </c>
      <c r="F71" s="114">
        <f>VLOOKUP(A71,'[2]Billing Dimensions'!$A:$N,6,FALSE)-VLOOKUP(A71,'Audit Dimensions'!$A:$N,6,FALSE)</f>
        <v>-1600</v>
      </c>
      <c r="G71" s="107">
        <f>VLOOKUP(A71,'[2]Billing Dimensions'!$A:$N,7,FALSE)-VLOOKUP(A71,'Audit Dimensions'!$A:$N,7,FALSE)</f>
        <v>0</v>
      </c>
      <c r="H71" s="107">
        <f>VLOOKUP(A71,'[2]Billing Dimensions'!$A:$N,8,FALSE)-VLOOKUP(A71,'Audit Dimensions'!$A:$N,8,FALSE)</f>
        <v>0</v>
      </c>
      <c r="I71" s="107">
        <f>VLOOKUP(A71,'[2]Billing Dimensions'!$A:$N,9,FALSE)-VLOOKUP(A71,'Audit Dimensions'!$A:$N,9,FALSE)</f>
        <v>0</v>
      </c>
      <c r="J71" s="106">
        <f>VLOOKUP(A71,'[2]Billing Dimensions'!$A:$N,10,FALSE)-VLOOKUP(A71,'Audit Dimensions'!$A:$N,10,FALSE)</f>
        <v>0</v>
      </c>
      <c r="K71" s="105">
        <f>VLOOKUP(A71,'[2]Billing Dimensions'!$A:$N,11,FALSE)-VLOOKUP(A71,'Audit Dimensions'!$A:$N,11,FALSE)</f>
        <v>0</v>
      </c>
      <c r="L71" s="105">
        <f>VLOOKUP(A71,'[2]Billing Dimensions'!$A:$N,12,FALSE)-VLOOKUP(A71,'Audit Dimensions'!$A:$N,12,FALSE)</f>
        <v>0</v>
      </c>
      <c r="M71" s="105">
        <f>VLOOKUP(A71,'[2]Billing Dimensions'!$A:$N,13,FALSE)-VLOOKUP(A71,'Audit Dimensions'!$A:$N,13,FALSE)</f>
        <v>0</v>
      </c>
      <c r="N71" s="105">
        <f>VLOOKUP(A71,'[2]Billing Dimensions'!$A:$N,14,FALSE)-VLOOKUP(A71,'Audit Dimensions'!$A:$N,14,FALSE)</f>
        <v>0</v>
      </c>
      <c r="O71" s="104">
        <f>VLOOKUP(A71,'[2]Billing Dimensions'!A:Q,16,FALSE)-VLOOKUP('Audit VAR'!A71,'Audit Dimensions'!A:P,16,FALSE)</f>
        <v>-1600</v>
      </c>
      <c r="P71" s="103">
        <f>O71/1000</f>
        <v>-1.6</v>
      </c>
      <c r="Q71" s="102">
        <f>(((C71*D71*E71)+(G71*H71*I71)+(K71*L71*M71))/1000000)*35.32</f>
        <v>-3.1787999999999999E-4</v>
      </c>
      <c r="R71" s="46">
        <f>P71/Q71</f>
        <v>5033.3459166981256</v>
      </c>
    </row>
    <row r="72" spans="1:18" hidden="1" x14ac:dyDescent="0.3">
      <c r="A72" s="122" t="s">
        <v>236</v>
      </c>
      <c r="B72" s="88" t="str">
        <f>VLOOKUP(A72,'[2]Billing Dimensions'!A:B,2,FALSE)</f>
        <v>SB</v>
      </c>
      <c r="C72" s="115">
        <f>VLOOKUP(A72,'[2]Billing Dimensions'!$A:$N,3,FALSE)-VLOOKUP(A72,'Audit Dimensions'!$A:$N,3,FALSE)</f>
        <v>1</v>
      </c>
      <c r="D72" s="115">
        <f>VLOOKUP(A72,'[2]Billing Dimensions'!$A:$N,4,FALSE)-VLOOKUP(A72,'Audit Dimensions'!$A:$N,4,FALSE)</f>
        <v>0</v>
      </c>
      <c r="E72" s="115">
        <f>VLOOKUP(A72,'[2]Billing Dimensions'!$A:$N,5,FALSE)-VLOOKUP(A72,'Audit Dimensions'!$A:$N,5,FALSE)</f>
        <v>-3</v>
      </c>
      <c r="F72" s="114">
        <f>VLOOKUP(A72,'[2]Billing Dimensions'!$A:$N,6,FALSE)-VLOOKUP(A72,'Audit Dimensions'!$A:$N,6,FALSE)</f>
        <v>-900</v>
      </c>
      <c r="G72" s="107">
        <f>VLOOKUP(A72,'[2]Billing Dimensions'!$A:$N,7,FALSE)-VLOOKUP(A72,'Audit Dimensions'!$A:$N,7,FALSE)</f>
        <v>0</v>
      </c>
      <c r="H72" s="107">
        <f>VLOOKUP(A72,'[2]Billing Dimensions'!$A:$N,8,FALSE)-VLOOKUP(A72,'Audit Dimensions'!$A:$N,8,FALSE)</f>
        <v>0</v>
      </c>
      <c r="I72" s="107">
        <f>VLOOKUP(A72,'[2]Billing Dimensions'!$A:$N,9,FALSE)-VLOOKUP(A72,'Audit Dimensions'!$A:$N,9,FALSE)</f>
        <v>0</v>
      </c>
      <c r="J72" s="106">
        <f>VLOOKUP(A72,'[2]Billing Dimensions'!$A:$N,10,FALSE)-VLOOKUP(A72,'Audit Dimensions'!$A:$N,10,FALSE)</f>
        <v>0</v>
      </c>
      <c r="K72" s="105">
        <f>VLOOKUP(A72,'[2]Billing Dimensions'!$A:$N,11,FALSE)-VLOOKUP(A72,'Audit Dimensions'!$A:$N,11,FALSE)</f>
        <v>0</v>
      </c>
      <c r="L72" s="105">
        <f>VLOOKUP(A72,'[2]Billing Dimensions'!$A:$N,12,FALSE)-VLOOKUP(A72,'Audit Dimensions'!$A:$N,12,FALSE)</f>
        <v>0</v>
      </c>
      <c r="M72" s="105">
        <f>VLOOKUP(A72,'[2]Billing Dimensions'!$A:$N,13,FALSE)-VLOOKUP(A72,'Audit Dimensions'!$A:$N,13,FALSE)</f>
        <v>0</v>
      </c>
      <c r="N72" s="105">
        <f>VLOOKUP(A72,'[2]Billing Dimensions'!$A:$N,14,FALSE)-VLOOKUP(A72,'Audit Dimensions'!$A:$N,14,FALSE)</f>
        <v>0</v>
      </c>
      <c r="O72" s="104">
        <f>VLOOKUP(A72,'[2]Billing Dimensions'!A:Q,16,FALSE)-VLOOKUP('Audit VAR'!A72,'Audit Dimensions'!A:P,16,FALSE)</f>
        <v>-900</v>
      </c>
      <c r="P72" s="103">
        <f>O72/1000</f>
        <v>-0.9</v>
      </c>
      <c r="Q72" s="102">
        <f>(((C72*D72*E72)+(G72*H72*I72)+(K72*L72*M72))/1000000)*35.32</f>
        <v>0</v>
      </c>
      <c r="R72" s="46" t="e">
        <f>P72/Q72</f>
        <v>#DIV/0!</v>
      </c>
    </row>
    <row r="73" spans="1:18" ht="12.45" hidden="1" customHeight="1" x14ac:dyDescent="0.3">
      <c r="A73" s="122" t="s">
        <v>235</v>
      </c>
      <c r="B73" s="88" t="str">
        <f>VLOOKUP(A73,'[2]Billing Dimensions'!A:B,2,FALSE)</f>
        <v>SB</v>
      </c>
      <c r="C73" s="115">
        <f>VLOOKUP(A73,'[2]Billing Dimensions'!$A:$N,3,FALSE)-VLOOKUP(A73,'Audit Dimensions'!$A:$N,3,FALSE)</f>
        <v>0</v>
      </c>
      <c r="D73" s="115">
        <f>VLOOKUP(A73,'[2]Billing Dimensions'!$A:$N,4,FALSE)-VLOOKUP(A73,'Audit Dimensions'!$A:$N,4,FALSE)</f>
        <v>0</v>
      </c>
      <c r="E73" s="115">
        <f>VLOOKUP(A73,'[2]Billing Dimensions'!$A:$N,5,FALSE)-VLOOKUP(A73,'Audit Dimensions'!$A:$N,5,FALSE)</f>
        <v>0</v>
      </c>
      <c r="F73" s="114">
        <f>VLOOKUP(A73,'[2]Billing Dimensions'!$A:$N,6,FALSE)-VLOOKUP(A73,'Audit Dimensions'!$A:$N,6,FALSE)</f>
        <v>700</v>
      </c>
      <c r="G73" s="107">
        <f>VLOOKUP(A73,'[2]Billing Dimensions'!$A:$N,7,FALSE)-VLOOKUP(A73,'Audit Dimensions'!$A:$N,7,FALSE)</f>
        <v>0</v>
      </c>
      <c r="H73" s="107">
        <f>VLOOKUP(A73,'[2]Billing Dimensions'!$A:$N,8,FALSE)-VLOOKUP(A73,'Audit Dimensions'!$A:$N,8,FALSE)</f>
        <v>0</v>
      </c>
      <c r="I73" s="107">
        <f>VLOOKUP(A73,'[2]Billing Dimensions'!$A:$N,9,FALSE)-VLOOKUP(A73,'Audit Dimensions'!$A:$N,9,FALSE)</f>
        <v>0</v>
      </c>
      <c r="J73" s="106">
        <f>VLOOKUP(A73,'[2]Billing Dimensions'!$A:$N,10,FALSE)-VLOOKUP(A73,'Audit Dimensions'!$A:$N,10,FALSE)</f>
        <v>0</v>
      </c>
      <c r="K73" s="105">
        <f>VLOOKUP(A73,'[2]Billing Dimensions'!$A:$N,11,FALSE)-VLOOKUP(A73,'Audit Dimensions'!$A:$N,11,FALSE)</f>
        <v>0</v>
      </c>
      <c r="L73" s="105">
        <f>VLOOKUP(A73,'[2]Billing Dimensions'!$A:$N,12,FALSE)-VLOOKUP(A73,'Audit Dimensions'!$A:$N,12,FALSE)</f>
        <v>0</v>
      </c>
      <c r="M73" s="105">
        <f>VLOOKUP(A73,'[2]Billing Dimensions'!$A:$N,13,FALSE)-VLOOKUP(A73,'Audit Dimensions'!$A:$N,13,FALSE)</f>
        <v>0</v>
      </c>
      <c r="N73" s="105">
        <f>VLOOKUP(A73,'[2]Billing Dimensions'!$A:$N,14,FALSE)-VLOOKUP(A73,'Audit Dimensions'!$A:$N,14,FALSE)</f>
        <v>0</v>
      </c>
      <c r="O73" s="104">
        <f>VLOOKUP(A73,'[2]Billing Dimensions'!A:Q,16,FALSE)-VLOOKUP('Audit VAR'!A73,'Audit Dimensions'!A:P,16,FALSE)</f>
        <v>700</v>
      </c>
      <c r="P73" s="103">
        <f>O73/1000</f>
        <v>0.7</v>
      </c>
      <c r="Q73" s="102">
        <f>(((C73*D73*E73)+(G73*H73*I73)+(K73*L73*M73))/1000000)*35.32</f>
        <v>0</v>
      </c>
      <c r="R73" s="46" t="e">
        <f>P73/Q73</f>
        <v>#DIV/0!</v>
      </c>
    </row>
    <row r="74" spans="1:18" hidden="1" x14ac:dyDescent="0.3">
      <c r="A74" s="122" t="s">
        <v>234</v>
      </c>
      <c r="B74" s="88" t="e">
        <f>VLOOKUP(A74,'[2]Billing Dimensions'!A:B,2,FALSE)</f>
        <v>#N/A</v>
      </c>
      <c r="C74" s="115" t="e">
        <f>VLOOKUP(A74,'[2]Billing Dimensions'!$A:$N,3,FALSE)-VLOOKUP(A74,'Audit Dimensions'!$A:$N,3,FALSE)</f>
        <v>#N/A</v>
      </c>
      <c r="D74" s="115" t="e">
        <f>VLOOKUP(A74,'[2]Billing Dimensions'!$A:$N,4,FALSE)-VLOOKUP(A74,'Audit Dimensions'!$A:$N,4,FALSE)</f>
        <v>#N/A</v>
      </c>
      <c r="E74" s="115" t="e">
        <f>VLOOKUP(A74,'[2]Billing Dimensions'!$A:$N,5,FALSE)-VLOOKUP(A74,'Audit Dimensions'!$A:$N,5,FALSE)</f>
        <v>#N/A</v>
      </c>
      <c r="F74" s="114" t="e">
        <f>VLOOKUP(A74,'[2]Billing Dimensions'!$A:$N,6,FALSE)-VLOOKUP(A74,'Audit Dimensions'!$A:$N,6,FALSE)</f>
        <v>#N/A</v>
      </c>
      <c r="G74" s="107" t="e">
        <f>VLOOKUP(A74,'[2]Billing Dimensions'!$A:$N,7,FALSE)-VLOOKUP(A74,'Audit Dimensions'!$A:$N,7,FALSE)</f>
        <v>#N/A</v>
      </c>
      <c r="H74" s="107" t="e">
        <f>VLOOKUP(A74,'[2]Billing Dimensions'!$A:$N,8,FALSE)-VLOOKUP(A74,'Audit Dimensions'!$A:$N,8,FALSE)</f>
        <v>#N/A</v>
      </c>
      <c r="I74" s="107" t="e">
        <f>VLOOKUP(A74,'[2]Billing Dimensions'!$A:$N,9,FALSE)-VLOOKUP(A74,'Audit Dimensions'!$A:$N,9,FALSE)</f>
        <v>#N/A</v>
      </c>
      <c r="J74" s="106" t="e">
        <f>VLOOKUP(A74,'[2]Billing Dimensions'!$A:$N,10,FALSE)-VLOOKUP(A74,'Audit Dimensions'!$A:$N,10,FALSE)</f>
        <v>#N/A</v>
      </c>
      <c r="K74" s="105" t="e">
        <f>VLOOKUP(A74,'[2]Billing Dimensions'!$A:$N,11,FALSE)-VLOOKUP(A74,'Audit Dimensions'!$A:$N,11,FALSE)</f>
        <v>#N/A</v>
      </c>
      <c r="L74" s="105" t="e">
        <f>VLOOKUP(A74,'[2]Billing Dimensions'!$A:$N,12,FALSE)-VLOOKUP(A74,'Audit Dimensions'!$A:$N,12,FALSE)</f>
        <v>#N/A</v>
      </c>
      <c r="M74" s="105" t="e">
        <f>VLOOKUP(A74,'[2]Billing Dimensions'!$A:$N,13,FALSE)-VLOOKUP(A74,'Audit Dimensions'!$A:$N,13,FALSE)</f>
        <v>#N/A</v>
      </c>
      <c r="N74" s="105" t="e">
        <f>VLOOKUP(A74,'[2]Billing Dimensions'!$A:$N,14,FALSE)-VLOOKUP(A74,'Audit Dimensions'!$A:$N,14,FALSE)</f>
        <v>#N/A</v>
      </c>
      <c r="O74" s="104" t="e">
        <f>VLOOKUP(A74,'[2]Billing Dimensions'!A:Q,16,FALSE)-VLOOKUP('Audit VAR'!A74,'Audit Dimensions'!A:P,16,FALSE)</f>
        <v>#N/A</v>
      </c>
      <c r="P74" s="103" t="e">
        <f>O74/1000</f>
        <v>#N/A</v>
      </c>
      <c r="Q74" s="102" t="e">
        <f>(((C74*D74*E74)+(G74*H74*I74)+(K74*L74*M74))/1000000)*35.32</f>
        <v>#N/A</v>
      </c>
      <c r="R74" s="46" t="e">
        <f>P74/Q74</f>
        <v>#N/A</v>
      </c>
    </row>
    <row r="75" spans="1:18" hidden="1" x14ac:dyDescent="0.3">
      <c r="A75" s="122" t="s">
        <v>233</v>
      </c>
      <c r="B75" s="88" t="str">
        <f>VLOOKUP(A75,'[2]Billing Dimensions'!A:B,2,FALSE)</f>
        <v>SB</v>
      </c>
      <c r="C75" s="115">
        <f>VLOOKUP(A75,'[2]Billing Dimensions'!$A:$N,3,FALSE)-VLOOKUP(A75,'Audit Dimensions'!$A:$N,3,FALSE)</f>
        <v>1</v>
      </c>
      <c r="D75" s="115">
        <f>VLOOKUP(A75,'[2]Billing Dimensions'!$A:$N,4,FALSE)-VLOOKUP(A75,'Audit Dimensions'!$A:$N,4,FALSE)</f>
        <v>1</v>
      </c>
      <c r="E75" s="115">
        <f>VLOOKUP(A75,'[2]Billing Dimensions'!$A:$N,5,FALSE)-VLOOKUP(A75,'Audit Dimensions'!$A:$N,5,FALSE)</f>
        <v>2</v>
      </c>
      <c r="F75" s="114">
        <f>VLOOKUP(A75,'[2]Billing Dimensions'!$A:$N,6,FALSE)-VLOOKUP(A75,'Audit Dimensions'!$A:$N,6,FALSE)</f>
        <v>150</v>
      </c>
      <c r="G75" s="107">
        <f>VLOOKUP(A75,'[2]Billing Dimensions'!$A:$N,7,FALSE)-VLOOKUP(A75,'Audit Dimensions'!$A:$N,7,FALSE)</f>
        <v>0</v>
      </c>
      <c r="H75" s="107">
        <f>VLOOKUP(A75,'[2]Billing Dimensions'!$A:$N,8,FALSE)-VLOOKUP(A75,'Audit Dimensions'!$A:$N,8,FALSE)</f>
        <v>0</v>
      </c>
      <c r="I75" s="107">
        <f>VLOOKUP(A75,'[2]Billing Dimensions'!$A:$N,9,FALSE)-VLOOKUP(A75,'Audit Dimensions'!$A:$N,9,FALSE)</f>
        <v>0</v>
      </c>
      <c r="J75" s="106">
        <f>VLOOKUP(A75,'[2]Billing Dimensions'!$A:$N,10,FALSE)-VLOOKUP(A75,'Audit Dimensions'!$A:$N,10,FALSE)</f>
        <v>0</v>
      </c>
      <c r="K75" s="105">
        <f>VLOOKUP(A75,'[2]Billing Dimensions'!$A:$N,11,FALSE)-VLOOKUP(A75,'Audit Dimensions'!$A:$N,11,FALSE)</f>
        <v>0</v>
      </c>
      <c r="L75" s="105">
        <f>VLOOKUP(A75,'[2]Billing Dimensions'!$A:$N,12,FALSE)-VLOOKUP(A75,'Audit Dimensions'!$A:$N,12,FALSE)</f>
        <v>0</v>
      </c>
      <c r="M75" s="105">
        <f>VLOOKUP(A75,'[2]Billing Dimensions'!$A:$N,13,FALSE)-VLOOKUP(A75,'Audit Dimensions'!$A:$N,13,FALSE)</f>
        <v>0</v>
      </c>
      <c r="N75" s="105">
        <f>VLOOKUP(A75,'[2]Billing Dimensions'!$A:$N,14,FALSE)-VLOOKUP(A75,'Audit Dimensions'!$A:$N,14,FALSE)</f>
        <v>0</v>
      </c>
      <c r="O75" s="104">
        <f>VLOOKUP(A75,'[2]Billing Dimensions'!A:Q,16,FALSE)-VLOOKUP('Audit VAR'!A75,'Audit Dimensions'!A:P,16,FALSE)</f>
        <v>150</v>
      </c>
      <c r="P75" s="103">
        <f>O75/1000</f>
        <v>0.15</v>
      </c>
      <c r="Q75" s="102">
        <f>(((C75*D75*E75)+(G75*H75*I75)+(K75*L75*M75))/1000000)*35.32</f>
        <v>7.0640000000000001E-5</v>
      </c>
      <c r="R75" s="46">
        <f>P75/Q75</f>
        <v>2123.4428086070216</v>
      </c>
    </row>
    <row r="76" spans="1:18" hidden="1" x14ac:dyDescent="0.3">
      <c r="A76" s="122" t="s">
        <v>231</v>
      </c>
      <c r="B76" s="88" t="str">
        <f>VLOOKUP(A76,'[2]Billing Dimensions'!A:B,2,FALSE)</f>
        <v>SB</v>
      </c>
      <c r="C76" s="115">
        <f>VLOOKUP(A76,'[2]Billing Dimensions'!$A:$N,3,FALSE)-VLOOKUP(A76,'Audit Dimensions'!$A:$N,3,FALSE)</f>
        <v>1</v>
      </c>
      <c r="D76" s="115">
        <f>VLOOKUP(A76,'[2]Billing Dimensions'!$A:$N,4,FALSE)-VLOOKUP(A76,'Audit Dimensions'!$A:$N,4,FALSE)</f>
        <v>-1</v>
      </c>
      <c r="E76" s="115">
        <f>VLOOKUP(A76,'[2]Billing Dimensions'!$A:$N,5,FALSE)-VLOOKUP(A76,'Audit Dimensions'!$A:$N,5,FALSE)</f>
        <v>0</v>
      </c>
      <c r="F76" s="114">
        <f>VLOOKUP(A76,'[2]Billing Dimensions'!$A:$N,6,FALSE)-VLOOKUP(A76,'Audit Dimensions'!$A:$N,6,FALSE)</f>
        <v>90</v>
      </c>
      <c r="G76" s="107">
        <f>VLOOKUP(A76,'[2]Billing Dimensions'!$A:$N,7,FALSE)-VLOOKUP(A76,'Audit Dimensions'!$A:$N,7,FALSE)</f>
        <v>0</v>
      </c>
      <c r="H76" s="107">
        <f>VLOOKUP(A76,'[2]Billing Dimensions'!$A:$N,8,FALSE)-VLOOKUP(A76,'Audit Dimensions'!$A:$N,8,FALSE)</f>
        <v>0</v>
      </c>
      <c r="I76" s="107">
        <f>VLOOKUP(A76,'[2]Billing Dimensions'!$A:$N,9,FALSE)-VLOOKUP(A76,'Audit Dimensions'!$A:$N,9,FALSE)</f>
        <v>0</v>
      </c>
      <c r="J76" s="106">
        <f>VLOOKUP(A76,'[2]Billing Dimensions'!$A:$N,10,FALSE)-VLOOKUP(A76,'Audit Dimensions'!$A:$N,10,FALSE)</f>
        <v>0</v>
      </c>
      <c r="K76" s="105">
        <f>VLOOKUP(A76,'[2]Billing Dimensions'!$A:$N,11,FALSE)-VLOOKUP(A76,'Audit Dimensions'!$A:$N,11,FALSE)</f>
        <v>0</v>
      </c>
      <c r="L76" s="105">
        <f>VLOOKUP(A76,'[2]Billing Dimensions'!$A:$N,12,FALSE)-VLOOKUP(A76,'Audit Dimensions'!$A:$N,12,FALSE)</f>
        <v>0</v>
      </c>
      <c r="M76" s="105">
        <f>VLOOKUP(A76,'[2]Billing Dimensions'!$A:$N,13,FALSE)-VLOOKUP(A76,'Audit Dimensions'!$A:$N,13,FALSE)</f>
        <v>0</v>
      </c>
      <c r="N76" s="105">
        <f>VLOOKUP(A76,'[2]Billing Dimensions'!$A:$N,14,FALSE)-VLOOKUP(A76,'Audit Dimensions'!$A:$N,14,FALSE)</f>
        <v>0</v>
      </c>
      <c r="O76" s="104">
        <f>VLOOKUP(A76,'[2]Billing Dimensions'!A:Q,16,FALSE)-VLOOKUP('Audit VAR'!A76,'Audit Dimensions'!A:P,16,FALSE)</f>
        <v>90</v>
      </c>
      <c r="P76" s="103">
        <f>O76/1000</f>
        <v>0.09</v>
      </c>
      <c r="Q76" s="102">
        <f>(((C76*D76*E76)+(G76*H76*I76)+(K76*L76*M76))/1000000)*35.32</f>
        <v>0</v>
      </c>
      <c r="R76" s="46" t="e">
        <f>P76/Q76</f>
        <v>#DIV/0!</v>
      </c>
    </row>
    <row r="77" spans="1:18" hidden="1" x14ac:dyDescent="0.3">
      <c r="A77" s="122" t="s">
        <v>230</v>
      </c>
      <c r="B77" s="88" t="str">
        <f>VLOOKUP(A77,'[2]Billing Dimensions'!A:B,2,FALSE)</f>
        <v>SB</v>
      </c>
      <c r="C77" s="115">
        <f>VLOOKUP(A77,'[2]Billing Dimensions'!$A:$N,3,FALSE)-VLOOKUP(A77,'Audit Dimensions'!$A:$N,3,FALSE)</f>
        <v>0</v>
      </c>
      <c r="D77" s="115">
        <f>VLOOKUP(A77,'[2]Billing Dimensions'!$A:$N,4,FALSE)-VLOOKUP(A77,'Audit Dimensions'!$A:$N,4,FALSE)</f>
        <v>0</v>
      </c>
      <c r="E77" s="115">
        <f>VLOOKUP(A77,'[2]Billing Dimensions'!$A:$N,5,FALSE)-VLOOKUP(A77,'Audit Dimensions'!$A:$N,5,FALSE)</f>
        <v>0</v>
      </c>
      <c r="F77" s="114">
        <f>VLOOKUP(A77,'[2]Billing Dimensions'!$A:$N,6,FALSE)-VLOOKUP(A77,'Audit Dimensions'!$A:$N,6,FALSE)</f>
        <v>-250</v>
      </c>
      <c r="G77" s="107">
        <f>VLOOKUP(A77,'[2]Billing Dimensions'!$A:$N,7,FALSE)-VLOOKUP(A77,'Audit Dimensions'!$A:$N,7,FALSE)</f>
        <v>0</v>
      </c>
      <c r="H77" s="107">
        <f>VLOOKUP(A77,'[2]Billing Dimensions'!$A:$N,8,FALSE)-VLOOKUP(A77,'Audit Dimensions'!$A:$N,8,FALSE)</f>
        <v>0</v>
      </c>
      <c r="I77" s="107">
        <f>VLOOKUP(A77,'[2]Billing Dimensions'!$A:$N,9,FALSE)-VLOOKUP(A77,'Audit Dimensions'!$A:$N,9,FALSE)</f>
        <v>0</v>
      </c>
      <c r="J77" s="106">
        <f>VLOOKUP(A77,'[2]Billing Dimensions'!$A:$N,10,FALSE)-VLOOKUP(A77,'Audit Dimensions'!$A:$N,10,FALSE)</f>
        <v>0</v>
      </c>
      <c r="K77" s="105">
        <f>VLOOKUP(A77,'[2]Billing Dimensions'!$A:$N,11,FALSE)-VLOOKUP(A77,'Audit Dimensions'!$A:$N,11,FALSE)</f>
        <v>0</v>
      </c>
      <c r="L77" s="105">
        <f>VLOOKUP(A77,'[2]Billing Dimensions'!$A:$N,12,FALSE)-VLOOKUP(A77,'Audit Dimensions'!$A:$N,12,FALSE)</f>
        <v>0</v>
      </c>
      <c r="M77" s="105">
        <f>VLOOKUP(A77,'[2]Billing Dimensions'!$A:$N,13,FALSE)-VLOOKUP(A77,'Audit Dimensions'!$A:$N,13,FALSE)</f>
        <v>0</v>
      </c>
      <c r="N77" s="105">
        <f>VLOOKUP(A77,'[2]Billing Dimensions'!$A:$N,14,FALSE)-VLOOKUP(A77,'Audit Dimensions'!$A:$N,14,FALSE)</f>
        <v>0</v>
      </c>
      <c r="O77" s="104">
        <f>VLOOKUP(A77,'[2]Billing Dimensions'!A:Q,16,FALSE)-VLOOKUP('Audit VAR'!A77,'Audit Dimensions'!A:P,16,FALSE)</f>
        <v>-250</v>
      </c>
      <c r="P77" s="103">
        <f>O77/1000</f>
        <v>-0.25</v>
      </c>
      <c r="Q77" s="102">
        <f>(((C77*D77*E77)+(G77*H77*I77)+(K77*L77*M77))/1000000)*35.32</f>
        <v>0</v>
      </c>
      <c r="R77" s="46" t="e">
        <f>P77/Q77</f>
        <v>#DIV/0!</v>
      </c>
    </row>
    <row r="78" spans="1:18" hidden="1" x14ac:dyDescent="0.3">
      <c r="A78" s="122" t="s">
        <v>229</v>
      </c>
      <c r="B78" s="88" t="str">
        <f>VLOOKUP(A78,'[2]Billing Dimensions'!A:B,2,FALSE)</f>
        <v>SB</v>
      </c>
      <c r="C78" s="115">
        <f>VLOOKUP(A78,'[2]Billing Dimensions'!$A:$N,3,FALSE)-VLOOKUP(A78,'Audit Dimensions'!$A:$N,3,FALSE)</f>
        <v>0</v>
      </c>
      <c r="D78" s="115">
        <f>VLOOKUP(A78,'[2]Billing Dimensions'!$A:$N,4,FALSE)-VLOOKUP(A78,'Audit Dimensions'!$A:$N,4,FALSE)</f>
        <v>3</v>
      </c>
      <c r="E78" s="115">
        <f>VLOOKUP(A78,'[2]Billing Dimensions'!$A:$N,5,FALSE)-VLOOKUP(A78,'Audit Dimensions'!$A:$N,5,FALSE)</f>
        <v>0</v>
      </c>
      <c r="F78" s="114">
        <f>VLOOKUP(A78,'[2]Billing Dimensions'!$A:$N,6,FALSE)-VLOOKUP(A78,'Audit Dimensions'!$A:$N,6,FALSE)</f>
        <v>490</v>
      </c>
      <c r="G78" s="107">
        <f>VLOOKUP(A78,'[2]Billing Dimensions'!$A:$N,7,FALSE)-VLOOKUP(A78,'Audit Dimensions'!$A:$N,7,FALSE)</f>
        <v>0</v>
      </c>
      <c r="H78" s="107">
        <f>VLOOKUP(A78,'[2]Billing Dimensions'!$A:$N,8,FALSE)-VLOOKUP(A78,'Audit Dimensions'!$A:$N,8,FALSE)</f>
        <v>0</v>
      </c>
      <c r="I78" s="107">
        <f>VLOOKUP(A78,'[2]Billing Dimensions'!$A:$N,9,FALSE)-VLOOKUP(A78,'Audit Dimensions'!$A:$N,9,FALSE)</f>
        <v>0</v>
      </c>
      <c r="J78" s="106">
        <f>VLOOKUP(A78,'[2]Billing Dimensions'!$A:$N,10,FALSE)-VLOOKUP(A78,'Audit Dimensions'!$A:$N,10,FALSE)</f>
        <v>0</v>
      </c>
      <c r="K78" s="105">
        <f>VLOOKUP(A78,'[2]Billing Dimensions'!$A:$N,11,FALSE)-VLOOKUP(A78,'Audit Dimensions'!$A:$N,11,FALSE)</f>
        <v>0</v>
      </c>
      <c r="L78" s="105">
        <f>VLOOKUP(A78,'[2]Billing Dimensions'!$A:$N,12,FALSE)-VLOOKUP(A78,'Audit Dimensions'!$A:$N,12,FALSE)</f>
        <v>0</v>
      </c>
      <c r="M78" s="105">
        <f>VLOOKUP(A78,'[2]Billing Dimensions'!$A:$N,13,FALSE)-VLOOKUP(A78,'Audit Dimensions'!$A:$N,13,FALSE)</f>
        <v>0</v>
      </c>
      <c r="N78" s="105">
        <f>VLOOKUP(A78,'[2]Billing Dimensions'!$A:$N,14,FALSE)-VLOOKUP(A78,'Audit Dimensions'!$A:$N,14,FALSE)</f>
        <v>0</v>
      </c>
      <c r="O78" s="104">
        <f>VLOOKUP(A78,'[2]Billing Dimensions'!A:Q,16,FALSE)-VLOOKUP('Audit VAR'!A78,'Audit Dimensions'!A:P,16,FALSE)</f>
        <v>490</v>
      </c>
      <c r="P78" s="103">
        <f>O78/1000</f>
        <v>0.49</v>
      </c>
      <c r="Q78" s="102">
        <f>(((C78*D78*E78)+(G78*H78*I78)+(K78*L78*M78))/1000000)*35.32</f>
        <v>0</v>
      </c>
      <c r="R78" s="46" t="e">
        <f>P78/Q78</f>
        <v>#DIV/0!</v>
      </c>
    </row>
    <row r="79" spans="1:18" hidden="1" x14ac:dyDescent="0.3">
      <c r="A79" s="122" t="s">
        <v>228</v>
      </c>
      <c r="B79" s="88" t="str">
        <f>VLOOKUP(A79,'[2]Billing Dimensions'!A:B,2,FALSE)</f>
        <v>SB</v>
      </c>
      <c r="C79" s="115">
        <f>VLOOKUP(A79,'[2]Billing Dimensions'!$A:$N,3,FALSE)-VLOOKUP(A79,'Audit Dimensions'!$A:$N,3,FALSE)</f>
        <v>40</v>
      </c>
      <c r="D79" s="115">
        <f>VLOOKUP(A79,'[2]Billing Dimensions'!$A:$N,4,FALSE)-VLOOKUP(A79,'Audit Dimensions'!$A:$N,4,FALSE)</f>
        <v>1</v>
      </c>
      <c r="E79" s="115">
        <f>VLOOKUP(A79,'[2]Billing Dimensions'!$A:$N,5,FALSE)-VLOOKUP(A79,'Audit Dimensions'!$A:$N,5,FALSE)</f>
        <v>-2</v>
      </c>
      <c r="F79" s="114">
        <f>VLOOKUP(A79,'[2]Billing Dimensions'!$A:$N,6,FALSE)-VLOOKUP(A79,'Audit Dimensions'!$A:$N,6,FALSE)</f>
        <v>-780</v>
      </c>
      <c r="G79" s="107">
        <f>VLOOKUP(A79,'[2]Billing Dimensions'!$A:$N,7,FALSE)-VLOOKUP(A79,'Audit Dimensions'!$A:$N,7,FALSE)</f>
        <v>0</v>
      </c>
      <c r="H79" s="107">
        <f>VLOOKUP(A79,'[2]Billing Dimensions'!$A:$N,8,FALSE)-VLOOKUP(A79,'Audit Dimensions'!$A:$N,8,FALSE)</f>
        <v>0</v>
      </c>
      <c r="I79" s="107">
        <f>VLOOKUP(A79,'[2]Billing Dimensions'!$A:$N,9,FALSE)-VLOOKUP(A79,'Audit Dimensions'!$A:$N,9,FALSE)</f>
        <v>0</v>
      </c>
      <c r="J79" s="106">
        <f>VLOOKUP(A79,'[2]Billing Dimensions'!$A:$N,10,FALSE)-VLOOKUP(A79,'Audit Dimensions'!$A:$N,10,FALSE)</f>
        <v>0</v>
      </c>
      <c r="K79" s="105">
        <f>VLOOKUP(A79,'[2]Billing Dimensions'!$A:$N,11,FALSE)-VLOOKUP(A79,'Audit Dimensions'!$A:$N,11,FALSE)</f>
        <v>0</v>
      </c>
      <c r="L79" s="105">
        <f>VLOOKUP(A79,'[2]Billing Dimensions'!$A:$N,12,FALSE)-VLOOKUP(A79,'Audit Dimensions'!$A:$N,12,FALSE)</f>
        <v>0</v>
      </c>
      <c r="M79" s="105">
        <f>VLOOKUP(A79,'[2]Billing Dimensions'!$A:$N,13,FALSE)-VLOOKUP(A79,'Audit Dimensions'!$A:$N,13,FALSE)</f>
        <v>0</v>
      </c>
      <c r="N79" s="105">
        <f>VLOOKUP(A79,'[2]Billing Dimensions'!$A:$N,14,FALSE)-VLOOKUP(A79,'Audit Dimensions'!$A:$N,14,FALSE)</f>
        <v>0</v>
      </c>
      <c r="O79" s="104">
        <f>VLOOKUP(A79,'[2]Billing Dimensions'!A:Q,16,FALSE)-VLOOKUP('Audit VAR'!A79,'Audit Dimensions'!A:P,16,FALSE)</f>
        <v>-780</v>
      </c>
      <c r="P79" s="103">
        <f>O79/1000</f>
        <v>-0.78</v>
      </c>
      <c r="Q79" s="102">
        <f>(((C79*D79*E79)+(G79*H79*I79)+(K79*L79*M79))/1000000)*35.32</f>
        <v>-2.8256000000000002E-3</v>
      </c>
      <c r="R79" s="46">
        <f>P79/Q79</f>
        <v>276.04756511891281</v>
      </c>
    </row>
    <row r="80" spans="1:18" hidden="1" x14ac:dyDescent="0.3">
      <c r="A80" s="122" t="s">
        <v>227</v>
      </c>
      <c r="B80" s="88" t="str">
        <f>VLOOKUP(A80,'[2]Billing Dimensions'!A:B,2,FALSE)</f>
        <v>SB</v>
      </c>
      <c r="C80" s="115">
        <f>VLOOKUP(A80,'[2]Billing Dimensions'!$A:$N,3,FALSE)-VLOOKUP(A80,'Audit Dimensions'!$A:$N,3,FALSE)</f>
        <v>0</v>
      </c>
      <c r="D80" s="115">
        <f>VLOOKUP(A80,'[2]Billing Dimensions'!$A:$N,4,FALSE)-VLOOKUP(A80,'Audit Dimensions'!$A:$N,4,FALSE)</f>
        <v>0</v>
      </c>
      <c r="E80" s="115">
        <f>VLOOKUP(A80,'[2]Billing Dimensions'!$A:$N,5,FALSE)-VLOOKUP(A80,'Audit Dimensions'!$A:$N,5,FALSE)</f>
        <v>1</v>
      </c>
      <c r="F80" s="114">
        <f>VLOOKUP(A80,'[2]Billing Dimensions'!$A:$N,6,FALSE)-VLOOKUP(A80,'Audit Dimensions'!$A:$N,6,FALSE)</f>
        <v>40</v>
      </c>
      <c r="G80" s="107">
        <f>VLOOKUP(A80,'[2]Billing Dimensions'!$A:$N,7,FALSE)-VLOOKUP(A80,'Audit Dimensions'!$A:$N,7,FALSE)</f>
        <v>0</v>
      </c>
      <c r="H80" s="107">
        <f>VLOOKUP(A80,'[2]Billing Dimensions'!$A:$N,8,FALSE)-VLOOKUP(A80,'Audit Dimensions'!$A:$N,8,FALSE)</f>
        <v>0</v>
      </c>
      <c r="I80" s="107">
        <f>VLOOKUP(A80,'[2]Billing Dimensions'!$A:$N,9,FALSE)-VLOOKUP(A80,'Audit Dimensions'!$A:$N,9,FALSE)</f>
        <v>0</v>
      </c>
      <c r="J80" s="106">
        <f>VLOOKUP(A80,'[2]Billing Dimensions'!$A:$N,10,FALSE)-VLOOKUP(A80,'Audit Dimensions'!$A:$N,10,FALSE)</f>
        <v>0</v>
      </c>
      <c r="K80" s="105">
        <f>VLOOKUP(A80,'[2]Billing Dimensions'!$A:$N,11,FALSE)-VLOOKUP(A80,'Audit Dimensions'!$A:$N,11,FALSE)</f>
        <v>0</v>
      </c>
      <c r="L80" s="105">
        <f>VLOOKUP(A80,'[2]Billing Dimensions'!$A:$N,12,FALSE)-VLOOKUP(A80,'Audit Dimensions'!$A:$N,12,FALSE)</f>
        <v>0</v>
      </c>
      <c r="M80" s="105">
        <f>VLOOKUP(A80,'[2]Billing Dimensions'!$A:$N,13,FALSE)-VLOOKUP(A80,'Audit Dimensions'!$A:$N,13,FALSE)</f>
        <v>0</v>
      </c>
      <c r="N80" s="105">
        <f>VLOOKUP(A80,'[2]Billing Dimensions'!$A:$N,14,FALSE)-VLOOKUP(A80,'Audit Dimensions'!$A:$N,14,FALSE)</f>
        <v>0</v>
      </c>
      <c r="O80" s="104">
        <f>VLOOKUP(A80,'[2]Billing Dimensions'!A:Q,16,FALSE)-VLOOKUP('Audit VAR'!A80,'Audit Dimensions'!A:P,16,FALSE)</f>
        <v>40</v>
      </c>
      <c r="P80" s="103">
        <f>O80/1000</f>
        <v>0.04</v>
      </c>
      <c r="Q80" s="102">
        <f>(((C80*D80*E80)+(G80*H80*I80)+(K80*L80*M80))/1000000)*35.32</f>
        <v>0</v>
      </c>
      <c r="R80" s="46" t="e">
        <f>P80/Q80</f>
        <v>#DIV/0!</v>
      </c>
    </row>
    <row r="81" spans="1:18" hidden="1" x14ac:dyDescent="0.3">
      <c r="A81" s="122" t="s">
        <v>226</v>
      </c>
      <c r="B81" s="88" t="str">
        <f>VLOOKUP(A81,'[2]Billing Dimensions'!A:B,2,FALSE)</f>
        <v>SB</v>
      </c>
      <c r="C81" s="115">
        <f>VLOOKUP(A81,'[2]Billing Dimensions'!$A:$N,3,FALSE)-VLOOKUP(A81,'Audit Dimensions'!$A:$N,3,FALSE)</f>
        <v>-1</v>
      </c>
      <c r="D81" s="115">
        <f>VLOOKUP(A81,'[2]Billing Dimensions'!$A:$N,4,FALSE)-VLOOKUP(A81,'Audit Dimensions'!$A:$N,4,FALSE)</f>
        <v>0</v>
      </c>
      <c r="E81" s="115">
        <f>VLOOKUP(A81,'[2]Billing Dimensions'!$A:$N,5,FALSE)-VLOOKUP(A81,'Audit Dimensions'!$A:$N,5,FALSE)</f>
        <v>-4</v>
      </c>
      <c r="F81" s="114">
        <f>VLOOKUP(A81,'[2]Billing Dimensions'!$A:$N,6,FALSE)-VLOOKUP(A81,'Audit Dimensions'!$A:$N,6,FALSE)</f>
        <v>0</v>
      </c>
      <c r="G81" s="107">
        <f>VLOOKUP(A81,'[2]Billing Dimensions'!$A:$N,7,FALSE)-VLOOKUP(A81,'Audit Dimensions'!$A:$N,7,FALSE)</f>
        <v>0</v>
      </c>
      <c r="H81" s="107">
        <f>VLOOKUP(A81,'[2]Billing Dimensions'!$A:$N,8,FALSE)-VLOOKUP(A81,'Audit Dimensions'!$A:$N,8,FALSE)</f>
        <v>0</v>
      </c>
      <c r="I81" s="107">
        <f>VLOOKUP(A81,'[2]Billing Dimensions'!$A:$N,9,FALSE)-VLOOKUP(A81,'Audit Dimensions'!$A:$N,9,FALSE)</f>
        <v>0</v>
      </c>
      <c r="J81" s="106">
        <f>VLOOKUP(A81,'[2]Billing Dimensions'!$A:$N,10,FALSE)-VLOOKUP(A81,'Audit Dimensions'!$A:$N,10,FALSE)</f>
        <v>0</v>
      </c>
      <c r="K81" s="105">
        <f>VLOOKUP(A81,'[2]Billing Dimensions'!$A:$N,11,FALSE)-VLOOKUP(A81,'Audit Dimensions'!$A:$N,11,FALSE)</f>
        <v>0</v>
      </c>
      <c r="L81" s="105">
        <f>VLOOKUP(A81,'[2]Billing Dimensions'!$A:$N,12,FALSE)-VLOOKUP(A81,'Audit Dimensions'!$A:$N,12,FALSE)</f>
        <v>0</v>
      </c>
      <c r="M81" s="105">
        <f>VLOOKUP(A81,'[2]Billing Dimensions'!$A:$N,13,FALSE)-VLOOKUP(A81,'Audit Dimensions'!$A:$N,13,FALSE)</f>
        <v>0</v>
      </c>
      <c r="N81" s="105">
        <f>VLOOKUP(A81,'[2]Billing Dimensions'!$A:$N,14,FALSE)-VLOOKUP(A81,'Audit Dimensions'!$A:$N,14,FALSE)</f>
        <v>0</v>
      </c>
      <c r="O81" s="104">
        <f>VLOOKUP(A81,'[2]Billing Dimensions'!A:Q,16,FALSE)-VLOOKUP('Audit VAR'!A81,'Audit Dimensions'!A:P,16,FALSE)</f>
        <v>0</v>
      </c>
      <c r="P81" s="103">
        <f>O81/1000</f>
        <v>0</v>
      </c>
      <c r="Q81" s="102">
        <f>(((C81*D81*E81)+(G81*H81*I81)+(K81*L81*M81))/1000000)*35.32</f>
        <v>0</v>
      </c>
      <c r="R81" s="46" t="e">
        <f>P81/Q81</f>
        <v>#DIV/0!</v>
      </c>
    </row>
    <row r="82" spans="1:18" hidden="1" x14ac:dyDescent="0.3">
      <c r="A82" s="122" t="s">
        <v>225</v>
      </c>
      <c r="B82" s="88" t="str">
        <f>VLOOKUP(A82,'[2]Billing Dimensions'!A:B,2,FALSE)</f>
        <v>SB</v>
      </c>
      <c r="C82" s="115">
        <f>VLOOKUP(A82,'[2]Billing Dimensions'!$A:$N,3,FALSE)-VLOOKUP(A82,'Audit Dimensions'!$A:$N,3,FALSE)</f>
        <v>3</v>
      </c>
      <c r="D82" s="115">
        <f>VLOOKUP(A82,'[2]Billing Dimensions'!$A:$N,4,FALSE)-VLOOKUP(A82,'Audit Dimensions'!$A:$N,4,FALSE)</f>
        <v>1</v>
      </c>
      <c r="E82" s="115">
        <f>VLOOKUP(A82,'[2]Billing Dimensions'!$A:$N,5,FALSE)-VLOOKUP(A82,'Audit Dimensions'!$A:$N,5,FALSE)</f>
        <v>0</v>
      </c>
      <c r="F82" s="114">
        <f>VLOOKUP(A82,'[2]Billing Dimensions'!$A:$N,6,FALSE)-VLOOKUP(A82,'Audit Dimensions'!$A:$N,6,FALSE)</f>
        <v>-450</v>
      </c>
      <c r="G82" s="107">
        <f>VLOOKUP(A82,'[2]Billing Dimensions'!$A:$N,7,FALSE)-VLOOKUP(A82,'Audit Dimensions'!$A:$N,7,FALSE)</f>
        <v>0</v>
      </c>
      <c r="H82" s="107">
        <f>VLOOKUP(A82,'[2]Billing Dimensions'!$A:$N,8,FALSE)-VLOOKUP(A82,'Audit Dimensions'!$A:$N,8,FALSE)</f>
        <v>0</v>
      </c>
      <c r="I82" s="107">
        <f>VLOOKUP(A82,'[2]Billing Dimensions'!$A:$N,9,FALSE)-VLOOKUP(A82,'Audit Dimensions'!$A:$N,9,FALSE)</f>
        <v>0</v>
      </c>
      <c r="J82" s="106">
        <f>VLOOKUP(A82,'[2]Billing Dimensions'!$A:$N,10,FALSE)-VLOOKUP(A82,'Audit Dimensions'!$A:$N,10,FALSE)</f>
        <v>0</v>
      </c>
      <c r="K82" s="105">
        <f>VLOOKUP(A82,'[2]Billing Dimensions'!$A:$N,11,FALSE)-VLOOKUP(A82,'Audit Dimensions'!$A:$N,11,FALSE)</f>
        <v>0</v>
      </c>
      <c r="L82" s="105">
        <f>VLOOKUP(A82,'[2]Billing Dimensions'!$A:$N,12,FALSE)-VLOOKUP(A82,'Audit Dimensions'!$A:$N,12,FALSE)</f>
        <v>0</v>
      </c>
      <c r="M82" s="105">
        <f>VLOOKUP(A82,'[2]Billing Dimensions'!$A:$N,13,FALSE)-VLOOKUP(A82,'Audit Dimensions'!$A:$N,13,FALSE)</f>
        <v>0</v>
      </c>
      <c r="N82" s="105">
        <f>VLOOKUP(A82,'[2]Billing Dimensions'!$A:$N,14,FALSE)-VLOOKUP(A82,'Audit Dimensions'!$A:$N,14,FALSE)</f>
        <v>0</v>
      </c>
      <c r="O82" s="104">
        <f>VLOOKUP(A82,'[2]Billing Dimensions'!A:Q,16,FALSE)-VLOOKUP('Audit VAR'!A82,'Audit Dimensions'!A:P,16,FALSE)</f>
        <v>-450</v>
      </c>
      <c r="P82" s="103">
        <f>O82/1000</f>
        <v>-0.45</v>
      </c>
      <c r="Q82" s="102">
        <f>(((C82*D82*E82)+(G82*H82*I82)+(K82*L82*M82))/1000000)*35.32</f>
        <v>0</v>
      </c>
      <c r="R82" s="46" t="e">
        <f>P82/Q82</f>
        <v>#DIV/0!</v>
      </c>
    </row>
    <row r="83" spans="1:18" hidden="1" x14ac:dyDescent="0.3">
      <c r="A83" s="122" t="s">
        <v>224</v>
      </c>
      <c r="B83" s="88" t="str">
        <f>VLOOKUP(A83,'[2]Billing Dimensions'!A:B,2,FALSE)</f>
        <v>SB</v>
      </c>
      <c r="C83" s="115">
        <f>VLOOKUP(A83,'[2]Billing Dimensions'!$A:$N,3,FALSE)-VLOOKUP(A83,'Audit Dimensions'!$A:$N,3,FALSE)</f>
        <v>0</v>
      </c>
      <c r="D83" s="115">
        <f>VLOOKUP(A83,'[2]Billing Dimensions'!$A:$N,4,FALSE)-VLOOKUP(A83,'Audit Dimensions'!$A:$N,4,FALSE)</f>
        <v>-2</v>
      </c>
      <c r="E83" s="115">
        <f>VLOOKUP(A83,'[2]Billing Dimensions'!$A:$N,5,FALSE)-VLOOKUP(A83,'Audit Dimensions'!$A:$N,5,FALSE)</f>
        <v>1</v>
      </c>
      <c r="F83" s="114">
        <f>VLOOKUP(A83,'[2]Billing Dimensions'!$A:$N,6,FALSE)-VLOOKUP(A83,'Audit Dimensions'!$A:$N,6,FALSE)</f>
        <v>140</v>
      </c>
      <c r="G83" s="107">
        <f>VLOOKUP(A83,'[2]Billing Dimensions'!$A:$N,7,FALSE)-VLOOKUP(A83,'Audit Dimensions'!$A:$N,7,FALSE)</f>
        <v>0</v>
      </c>
      <c r="H83" s="107">
        <f>VLOOKUP(A83,'[2]Billing Dimensions'!$A:$N,8,FALSE)-VLOOKUP(A83,'Audit Dimensions'!$A:$N,8,FALSE)</f>
        <v>0</v>
      </c>
      <c r="I83" s="107">
        <f>VLOOKUP(A83,'[2]Billing Dimensions'!$A:$N,9,FALSE)-VLOOKUP(A83,'Audit Dimensions'!$A:$N,9,FALSE)</f>
        <v>0</v>
      </c>
      <c r="J83" s="106">
        <f>VLOOKUP(A83,'[2]Billing Dimensions'!$A:$N,10,FALSE)-VLOOKUP(A83,'Audit Dimensions'!$A:$N,10,FALSE)</f>
        <v>0</v>
      </c>
      <c r="K83" s="105">
        <f>VLOOKUP(A83,'[2]Billing Dimensions'!$A:$N,11,FALSE)-VLOOKUP(A83,'Audit Dimensions'!$A:$N,11,FALSE)</f>
        <v>0</v>
      </c>
      <c r="L83" s="105">
        <f>VLOOKUP(A83,'[2]Billing Dimensions'!$A:$N,12,FALSE)-VLOOKUP(A83,'Audit Dimensions'!$A:$N,12,FALSE)</f>
        <v>0</v>
      </c>
      <c r="M83" s="105">
        <f>VLOOKUP(A83,'[2]Billing Dimensions'!$A:$N,13,FALSE)-VLOOKUP(A83,'Audit Dimensions'!$A:$N,13,FALSE)</f>
        <v>0</v>
      </c>
      <c r="N83" s="105">
        <f>VLOOKUP(A83,'[2]Billing Dimensions'!$A:$N,14,FALSE)-VLOOKUP(A83,'Audit Dimensions'!$A:$N,14,FALSE)</f>
        <v>0</v>
      </c>
      <c r="O83" s="104">
        <f>VLOOKUP(A83,'[2]Billing Dimensions'!A:Q,16,FALSE)-VLOOKUP('Audit VAR'!A83,'Audit Dimensions'!A:P,16,FALSE)</f>
        <v>140</v>
      </c>
      <c r="P83" s="103">
        <f>O83/1000</f>
        <v>0.14000000000000001</v>
      </c>
      <c r="Q83" s="102">
        <f>(((C83*D83*E83)+(G83*H83*I83)+(K83*L83*M83))/1000000)*35.32</f>
        <v>0</v>
      </c>
      <c r="R83" s="46" t="e">
        <f>P83/Q83</f>
        <v>#DIV/0!</v>
      </c>
    </row>
    <row r="84" spans="1:18" hidden="1" x14ac:dyDescent="0.3">
      <c r="A84" s="122" t="s">
        <v>223</v>
      </c>
      <c r="B84" s="88" t="str">
        <f>VLOOKUP(A84,'[2]Billing Dimensions'!A:B,2,FALSE)</f>
        <v>SB</v>
      </c>
      <c r="C84" s="115">
        <f>VLOOKUP(A84,'[2]Billing Dimensions'!$A:$N,3,FALSE)-VLOOKUP(A84,'Audit Dimensions'!$A:$N,3,FALSE)</f>
        <v>0</v>
      </c>
      <c r="D84" s="115">
        <f>VLOOKUP(A84,'[2]Billing Dimensions'!$A:$N,4,FALSE)-VLOOKUP(A84,'Audit Dimensions'!$A:$N,4,FALSE)</f>
        <v>0</v>
      </c>
      <c r="E84" s="115">
        <f>VLOOKUP(A84,'[2]Billing Dimensions'!$A:$N,5,FALSE)-VLOOKUP(A84,'Audit Dimensions'!$A:$N,5,FALSE)</f>
        <v>0</v>
      </c>
      <c r="F84" s="114">
        <f>VLOOKUP(A84,'[2]Billing Dimensions'!$A:$N,6,FALSE)-VLOOKUP(A84,'Audit Dimensions'!$A:$N,6,FALSE)</f>
        <v>-110</v>
      </c>
      <c r="G84" s="107">
        <f>VLOOKUP(A84,'[2]Billing Dimensions'!$A:$N,7,FALSE)-VLOOKUP(A84,'Audit Dimensions'!$A:$N,7,FALSE)</f>
        <v>0</v>
      </c>
      <c r="H84" s="107">
        <f>VLOOKUP(A84,'[2]Billing Dimensions'!$A:$N,8,FALSE)-VLOOKUP(A84,'Audit Dimensions'!$A:$N,8,FALSE)</f>
        <v>0</v>
      </c>
      <c r="I84" s="107">
        <f>VLOOKUP(A84,'[2]Billing Dimensions'!$A:$N,9,FALSE)-VLOOKUP(A84,'Audit Dimensions'!$A:$N,9,FALSE)</f>
        <v>0</v>
      </c>
      <c r="J84" s="106">
        <f>VLOOKUP(A84,'[2]Billing Dimensions'!$A:$N,10,FALSE)-VLOOKUP(A84,'Audit Dimensions'!$A:$N,10,FALSE)</f>
        <v>0</v>
      </c>
      <c r="K84" s="105">
        <f>VLOOKUP(A84,'[2]Billing Dimensions'!$A:$N,11,FALSE)-VLOOKUP(A84,'Audit Dimensions'!$A:$N,11,FALSE)</f>
        <v>0</v>
      </c>
      <c r="L84" s="105">
        <f>VLOOKUP(A84,'[2]Billing Dimensions'!$A:$N,12,FALSE)-VLOOKUP(A84,'Audit Dimensions'!$A:$N,12,FALSE)</f>
        <v>0</v>
      </c>
      <c r="M84" s="105">
        <f>VLOOKUP(A84,'[2]Billing Dimensions'!$A:$N,13,FALSE)-VLOOKUP(A84,'Audit Dimensions'!$A:$N,13,FALSE)</f>
        <v>0</v>
      </c>
      <c r="N84" s="105">
        <f>VLOOKUP(A84,'[2]Billing Dimensions'!$A:$N,14,FALSE)-VLOOKUP(A84,'Audit Dimensions'!$A:$N,14,FALSE)</f>
        <v>0</v>
      </c>
      <c r="O84" s="104">
        <f>VLOOKUP(A84,'[2]Billing Dimensions'!A:Q,16,FALSE)-VLOOKUP('Audit VAR'!A84,'Audit Dimensions'!A:P,16,FALSE)</f>
        <v>-110</v>
      </c>
      <c r="P84" s="103">
        <f>O84/1000</f>
        <v>-0.11</v>
      </c>
      <c r="Q84" s="102">
        <f>(((C84*D84*E84)+(G84*H84*I84)+(K84*L84*M84))/1000000)*35.32</f>
        <v>0</v>
      </c>
      <c r="R84" s="46" t="e">
        <f>P84/Q84</f>
        <v>#DIV/0!</v>
      </c>
    </row>
    <row r="85" spans="1:18" hidden="1" x14ac:dyDescent="0.3">
      <c r="A85" s="122" t="s">
        <v>222</v>
      </c>
      <c r="B85" s="88" t="str">
        <f>VLOOKUP(A85,'[2]Billing Dimensions'!A:B,2,FALSE)</f>
        <v>SB</v>
      </c>
      <c r="C85" s="115">
        <f>VLOOKUP(A85,'[2]Billing Dimensions'!$A:$N,3,FALSE)-VLOOKUP(A85,'Audit Dimensions'!$A:$N,3,FALSE)</f>
        <v>0</v>
      </c>
      <c r="D85" s="115">
        <f>VLOOKUP(A85,'[2]Billing Dimensions'!$A:$N,4,FALSE)-VLOOKUP(A85,'Audit Dimensions'!$A:$N,4,FALSE)</f>
        <v>0</v>
      </c>
      <c r="E85" s="115">
        <f>VLOOKUP(A85,'[2]Billing Dimensions'!$A:$N,5,FALSE)-VLOOKUP(A85,'Audit Dimensions'!$A:$N,5,FALSE)</f>
        <v>0</v>
      </c>
      <c r="F85" s="114">
        <f>VLOOKUP(A85,'[2]Billing Dimensions'!$A:$N,6,FALSE)-VLOOKUP(A85,'Audit Dimensions'!$A:$N,6,FALSE)</f>
        <v>-110</v>
      </c>
      <c r="G85" s="107">
        <f>VLOOKUP(A85,'[2]Billing Dimensions'!$A:$N,7,FALSE)-VLOOKUP(A85,'Audit Dimensions'!$A:$N,7,FALSE)</f>
        <v>0</v>
      </c>
      <c r="H85" s="107">
        <f>VLOOKUP(A85,'[2]Billing Dimensions'!$A:$N,8,FALSE)-VLOOKUP(A85,'Audit Dimensions'!$A:$N,8,FALSE)</f>
        <v>0</v>
      </c>
      <c r="I85" s="107">
        <f>VLOOKUP(A85,'[2]Billing Dimensions'!$A:$N,9,FALSE)-VLOOKUP(A85,'Audit Dimensions'!$A:$N,9,FALSE)</f>
        <v>0</v>
      </c>
      <c r="J85" s="106">
        <f>VLOOKUP(A85,'[2]Billing Dimensions'!$A:$N,10,FALSE)-VLOOKUP(A85,'Audit Dimensions'!$A:$N,10,FALSE)</f>
        <v>0</v>
      </c>
      <c r="K85" s="105">
        <f>VLOOKUP(A85,'[2]Billing Dimensions'!$A:$N,11,FALSE)-VLOOKUP(A85,'Audit Dimensions'!$A:$N,11,FALSE)</f>
        <v>0</v>
      </c>
      <c r="L85" s="105">
        <f>VLOOKUP(A85,'[2]Billing Dimensions'!$A:$N,12,FALSE)-VLOOKUP(A85,'Audit Dimensions'!$A:$N,12,FALSE)</f>
        <v>0</v>
      </c>
      <c r="M85" s="105">
        <f>VLOOKUP(A85,'[2]Billing Dimensions'!$A:$N,13,FALSE)-VLOOKUP(A85,'Audit Dimensions'!$A:$N,13,FALSE)</f>
        <v>0</v>
      </c>
      <c r="N85" s="105">
        <f>VLOOKUP(A85,'[2]Billing Dimensions'!$A:$N,14,FALSE)-VLOOKUP(A85,'Audit Dimensions'!$A:$N,14,FALSE)</f>
        <v>0</v>
      </c>
      <c r="O85" s="104">
        <f>VLOOKUP(A85,'[2]Billing Dimensions'!A:Q,16,FALSE)-VLOOKUP('Audit VAR'!A85,'Audit Dimensions'!A:P,16,FALSE)</f>
        <v>-110</v>
      </c>
      <c r="P85" s="103">
        <f>O85/1000</f>
        <v>-0.11</v>
      </c>
      <c r="Q85" s="102">
        <f>(((C85*D85*E85)+(G85*H85*I85)+(K85*L85*M85))/1000000)*35.32</f>
        <v>0</v>
      </c>
      <c r="R85" s="46" t="e">
        <f>P85/Q85</f>
        <v>#DIV/0!</v>
      </c>
    </row>
    <row r="86" spans="1:18" hidden="1" x14ac:dyDescent="0.3">
      <c r="A86" s="122" t="s">
        <v>221</v>
      </c>
      <c r="B86" s="88" t="str">
        <f>VLOOKUP(A86,'[2]Billing Dimensions'!A:B,2,FALSE)</f>
        <v>SB</v>
      </c>
      <c r="C86" s="115">
        <f>VLOOKUP(A86,'[2]Billing Dimensions'!$A:$N,3,FALSE)-VLOOKUP(A86,'Audit Dimensions'!$A:$N,3,FALSE)</f>
        <v>56</v>
      </c>
      <c r="D86" s="115">
        <f>VLOOKUP(A86,'[2]Billing Dimensions'!$A:$N,4,FALSE)-VLOOKUP(A86,'Audit Dimensions'!$A:$N,4,FALSE)</f>
        <v>-1</v>
      </c>
      <c r="E86" s="115">
        <f>VLOOKUP(A86,'[2]Billing Dimensions'!$A:$N,5,FALSE)-VLOOKUP(A86,'Audit Dimensions'!$A:$N,5,FALSE)</f>
        <v>0</v>
      </c>
      <c r="F86" s="114">
        <f>VLOOKUP(A86,'[2]Billing Dimensions'!$A:$N,6,FALSE)-VLOOKUP(A86,'Audit Dimensions'!$A:$N,6,FALSE)</f>
        <v>-210</v>
      </c>
      <c r="G86" s="107">
        <f>VLOOKUP(A86,'[2]Billing Dimensions'!$A:$N,7,FALSE)-VLOOKUP(A86,'Audit Dimensions'!$A:$N,7,FALSE)</f>
        <v>0</v>
      </c>
      <c r="H86" s="107">
        <f>VLOOKUP(A86,'[2]Billing Dimensions'!$A:$N,8,FALSE)-VLOOKUP(A86,'Audit Dimensions'!$A:$N,8,FALSE)</f>
        <v>0</v>
      </c>
      <c r="I86" s="107">
        <f>VLOOKUP(A86,'[2]Billing Dimensions'!$A:$N,9,FALSE)-VLOOKUP(A86,'Audit Dimensions'!$A:$N,9,FALSE)</f>
        <v>0</v>
      </c>
      <c r="J86" s="106">
        <f>VLOOKUP(A86,'[2]Billing Dimensions'!$A:$N,10,FALSE)-VLOOKUP(A86,'Audit Dimensions'!$A:$N,10,FALSE)</f>
        <v>0</v>
      </c>
      <c r="K86" s="105">
        <f>VLOOKUP(A86,'[2]Billing Dimensions'!$A:$N,11,FALSE)-VLOOKUP(A86,'Audit Dimensions'!$A:$N,11,FALSE)</f>
        <v>0</v>
      </c>
      <c r="L86" s="105">
        <f>VLOOKUP(A86,'[2]Billing Dimensions'!$A:$N,12,FALSE)-VLOOKUP(A86,'Audit Dimensions'!$A:$N,12,FALSE)</f>
        <v>0</v>
      </c>
      <c r="M86" s="105">
        <f>VLOOKUP(A86,'[2]Billing Dimensions'!$A:$N,13,FALSE)-VLOOKUP(A86,'Audit Dimensions'!$A:$N,13,FALSE)</f>
        <v>0</v>
      </c>
      <c r="N86" s="105">
        <f>VLOOKUP(A86,'[2]Billing Dimensions'!$A:$N,14,FALSE)-VLOOKUP(A86,'Audit Dimensions'!$A:$N,14,FALSE)</f>
        <v>0</v>
      </c>
      <c r="O86" s="104">
        <f>VLOOKUP(A86,'[2]Billing Dimensions'!A:Q,16,FALSE)-VLOOKUP('Audit VAR'!A86,'Audit Dimensions'!A:P,16,FALSE)</f>
        <v>-210</v>
      </c>
      <c r="P86" s="103">
        <f>O86/1000</f>
        <v>-0.21</v>
      </c>
      <c r="Q86" s="102">
        <f>(((C86*D86*E86)+(G86*H86*I86)+(K86*L86*M86))/1000000)*35.32</f>
        <v>0</v>
      </c>
      <c r="R86" s="46" t="e">
        <f>P86/Q86</f>
        <v>#DIV/0!</v>
      </c>
    </row>
    <row r="87" spans="1:18" ht="13.5" hidden="1" customHeight="1" x14ac:dyDescent="0.3">
      <c r="A87" s="122" t="s">
        <v>220</v>
      </c>
      <c r="B87" s="88" t="str">
        <f>VLOOKUP(A87,'[2]Billing Dimensions'!A:B,2,FALSE)</f>
        <v>SB</v>
      </c>
      <c r="C87" s="115">
        <f>VLOOKUP(A87,'[2]Billing Dimensions'!$A:$N,3,FALSE)-VLOOKUP(A87,'Audit Dimensions'!$A:$N,3,FALSE)</f>
        <v>-1</v>
      </c>
      <c r="D87" s="115">
        <f>VLOOKUP(A87,'[2]Billing Dimensions'!$A:$N,4,FALSE)-VLOOKUP(A87,'Audit Dimensions'!$A:$N,4,FALSE)</f>
        <v>-1</v>
      </c>
      <c r="E87" s="115">
        <f>VLOOKUP(A87,'[2]Billing Dimensions'!$A:$N,5,FALSE)-VLOOKUP(A87,'Audit Dimensions'!$A:$N,5,FALSE)</f>
        <v>-1</v>
      </c>
      <c r="F87" s="114">
        <f>VLOOKUP(A87,'[2]Billing Dimensions'!$A:$N,6,FALSE)-VLOOKUP(A87,'Audit Dimensions'!$A:$N,6,FALSE)</f>
        <v>-1850</v>
      </c>
      <c r="G87" s="107">
        <f>VLOOKUP(A87,'[2]Billing Dimensions'!$A:$N,7,FALSE)-VLOOKUP(A87,'Audit Dimensions'!$A:$N,7,FALSE)</f>
        <v>0</v>
      </c>
      <c r="H87" s="107">
        <f>VLOOKUP(A87,'[2]Billing Dimensions'!$A:$N,8,FALSE)-VLOOKUP(A87,'Audit Dimensions'!$A:$N,8,FALSE)</f>
        <v>0</v>
      </c>
      <c r="I87" s="107">
        <f>VLOOKUP(A87,'[2]Billing Dimensions'!$A:$N,9,FALSE)-VLOOKUP(A87,'Audit Dimensions'!$A:$N,9,FALSE)</f>
        <v>0</v>
      </c>
      <c r="J87" s="106">
        <f>VLOOKUP(A87,'[2]Billing Dimensions'!$A:$N,10,FALSE)-VLOOKUP(A87,'Audit Dimensions'!$A:$N,10,FALSE)</f>
        <v>0</v>
      </c>
      <c r="K87" s="105">
        <f>VLOOKUP(A87,'[2]Billing Dimensions'!$A:$N,11,FALSE)-VLOOKUP(A87,'Audit Dimensions'!$A:$N,11,FALSE)</f>
        <v>0</v>
      </c>
      <c r="L87" s="105">
        <f>VLOOKUP(A87,'[2]Billing Dimensions'!$A:$N,12,FALSE)-VLOOKUP(A87,'Audit Dimensions'!$A:$N,12,FALSE)</f>
        <v>0</v>
      </c>
      <c r="M87" s="105">
        <f>VLOOKUP(A87,'[2]Billing Dimensions'!$A:$N,13,FALSE)-VLOOKUP(A87,'Audit Dimensions'!$A:$N,13,FALSE)</f>
        <v>0</v>
      </c>
      <c r="N87" s="105">
        <f>VLOOKUP(A87,'[2]Billing Dimensions'!$A:$N,14,FALSE)-VLOOKUP(A87,'Audit Dimensions'!$A:$N,14,FALSE)</f>
        <v>0</v>
      </c>
      <c r="O87" s="104">
        <f>VLOOKUP(A87,'[2]Billing Dimensions'!A:Q,16,FALSE)-VLOOKUP('Audit VAR'!A87,'Audit Dimensions'!A:P,16,FALSE)</f>
        <v>-1850</v>
      </c>
      <c r="P87" s="103">
        <f>O87/1000</f>
        <v>-1.85</v>
      </c>
      <c r="Q87" s="102">
        <f>(((C87*D87*E87)+(G87*H87*I87)+(K87*L87*M87))/1000000)*35.32</f>
        <v>-3.5320000000000001E-5</v>
      </c>
      <c r="R87" s="46">
        <f>P87/Q87</f>
        <v>52378.255945639867</v>
      </c>
    </row>
    <row r="88" spans="1:18" hidden="1" x14ac:dyDescent="0.3">
      <c r="A88" s="122" t="s">
        <v>219</v>
      </c>
      <c r="B88" s="88" t="str">
        <f>VLOOKUP(A88,'[2]Billing Dimensions'!A:B,2,FALSE)</f>
        <v>SB</v>
      </c>
      <c r="C88" s="115">
        <f>VLOOKUP(A88,'[2]Billing Dimensions'!$A:$N,3,FALSE)-VLOOKUP(A88,'Audit Dimensions'!$A:$N,3,FALSE)</f>
        <v>0</v>
      </c>
      <c r="D88" s="115">
        <f>VLOOKUP(A88,'[2]Billing Dimensions'!$A:$N,4,FALSE)-VLOOKUP(A88,'Audit Dimensions'!$A:$N,4,FALSE)</f>
        <v>1</v>
      </c>
      <c r="E88" s="115">
        <f>VLOOKUP(A88,'[2]Billing Dimensions'!$A:$N,5,FALSE)-VLOOKUP(A88,'Audit Dimensions'!$A:$N,5,FALSE)</f>
        <v>0</v>
      </c>
      <c r="F88" s="114">
        <f>VLOOKUP(A88,'[2]Billing Dimensions'!$A:$N,6,FALSE)-VLOOKUP(A88,'Audit Dimensions'!$A:$N,6,FALSE)</f>
        <v>-1150</v>
      </c>
      <c r="G88" s="107">
        <f>VLOOKUP(A88,'[2]Billing Dimensions'!$A:$N,7,FALSE)-VLOOKUP(A88,'Audit Dimensions'!$A:$N,7,FALSE)</f>
        <v>0</v>
      </c>
      <c r="H88" s="107">
        <f>VLOOKUP(A88,'[2]Billing Dimensions'!$A:$N,8,FALSE)-VLOOKUP(A88,'Audit Dimensions'!$A:$N,8,FALSE)</f>
        <v>0</v>
      </c>
      <c r="I88" s="107">
        <f>VLOOKUP(A88,'[2]Billing Dimensions'!$A:$N,9,FALSE)-VLOOKUP(A88,'Audit Dimensions'!$A:$N,9,FALSE)</f>
        <v>0</v>
      </c>
      <c r="J88" s="106">
        <f>VLOOKUP(A88,'[2]Billing Dimensions'!$A:$N,10,FALSE)-VLOOKUP(A88,'Audit Dimensions'!$A:$N,10,FALSE)</f>
        <v>0</v>
      </c>
      <c r="K88" s="105">
        <f>VLOOKUP(A88,'[2]Billing Dimensions'!$A:$N,11,FALSE)-VLOOKUP(A88,'Audit Dimensions'!$A:$N,11,FALSE)</f>
        <v>0</v>
      </c>
      <c r="L88" s="105">
        <f>VLOOKUP(A88,'[2]Billing Dimensions'!$A:$N,12,FALSE)-VLOOKUP(A88,'Audit Dimensions'!$A:$N,12,FALSE)</f>
        <v>0</v>
      </c>
      <c r="M88" s="105">
        <f>VLOOKUP(A88,'[2]Billing Dimensions'!$A:$N,13,FALSE)-VLOOKUP(A88,'Audit Dimensions'!$A:$N,13,FALSE)</f>
        <v>0</v>
      </c>
      <c r="N88" s="105">
        <f>VLOOKUP(A88,'[2]Billing Dimensions'!$A:$N,14,FALSE)-VLOOKUP(A88,'Audit Dimensions'!$A:$N,14,FALSE)</f>
        <v>0</v>
      </c>
      <c r="O88" s="104">
        <f>VLOOKUP(A88,'[2]Billing Dimensions'!A:Q,16,FALSE)-VLOOKUP('Audit VAR'!A88,'Audit Dimensions'!A:P,16,FALSE)</f>
        <v>-1150</v>
      </c>
      <c r="P88" s="103">
        <f>O88/1000</f>
        <v>-1.1499999999999999</v>
      </c>
      <c r="Q88" s="102">
        <f>(((C88*D88*E88)+(G88*H88*I88)+(K88*L88*M88))/1000000)*35.32</f>
        <v>0</v>
      </c>
      <c r="R88" s="46" t="e">
        <f>P88/Q88</f>
        <v>#DIV/0!</v>
      </c>
    </row>
    <row r="89" spans="1:18" hidden="1" x14ac:dyDescent="0.3">
      <c r="A89" s="122" t="s">
        <v>218</v>
      </c>
      <c r="B89" s="88" t="str">
        <f>VLOOKUP(A89,'[2]Billing Dimensions'!A:B,2,FALSE)</f>
        <v>SB</v>
      </c>
      <c r="C89" s="115">
        <f>VLOOKUP(A89,'[2]Billing Dimensions'!$A:$N,3,FALSE)-VLOOKUP(A89,'Audit Dimensions'!$A:$N,3,FALSE)</f>
        <v>0</v>
      </c>
      <c r="D89" s="115">
        <f>VLOOKUP(A89,'[2]Billing Dimensions'!$A:$N,4,FALSE)-VLOOKUP(A89,'Audit Dimensions'!$A:$N,4,FALSE)</f>
        <v>0</v>
      </c>
      <c r="E89" s="115">
        <f>VLOOKUP(A89,'[2]Billing Dimensions'!$A:$N,5,FALSE)-VLOOKUP(A89,'Audit Dimensions'!$A:$N,5,FALSE)</f>
        <v>0</v>
      </c>
      <c r="F89" s="114">
        <f>VLOOKUP(A89,'[2]Billing Dimensions'!$A:$N,6,FALSE)-VLOOKUP(A89,'Audit Dimensions'!$A:$N,6,FALSE)</f>
        <v>-150</v>
      </c>
      <c r="G89" s="107">
        <f>VLOOKUP(A89,'[2]Billing Dimensions'!$A:$N,7,FALSE)-VLOOKUP(A89,'Audit Dimensions'!$A:$N,7,FALSE)</f>
        <v>0</v>
      </c>
      <c r="H89" s="107">
        <f>VLOOKUP(A89,'[2]Billing Dimensions'!$A:$N,8,FALSE)-VLOOKUP(A89,'Audit Dimensions'!$A:$N,8,FALSE)</f>
        <v>0</v>
      </c>
      <c r="I89" s="107">
        <f>VLOOKUP(A89,'[2]Billing Dimensions'!$A:$N,9,FALSE)-VLOOKUP(A89,'Audit Dimensions'!$A:$N,9,FALSE)</f>
        <v>0</v>
      </c>
      <c r="J89" s="106">
        <f>VLOOKUP(A89,'[2]Billing Dimensions'!$A:$N,10,FALSE)-VLOOKUP(A89,'Audit Dimensions'!$A:$N,10,FALSE)</f>
        <v>0</v>
      </c>
      <c r="K89" s="105">
        <f>VLOOKUP(A89,'[2]Billing Dimensions'!$A:$N,11,FALSE)-VLOOKUP(A89,'Audit Dimensions'!$A:$N,11,FALSE)</f>
        <v>0</v>
      </c>
      <c r="L89" s="105">
        <f>VLOOKUP(A89,'[2]Billing Dimensions'!$A:$N,12,FALSE)-VLOOKUP(A89,'Audit Dimensions'!$A:$N,12,FALSE)</f>
        <v>0</v>
      </c>
      <c r="M89" s="105">
        <f>VLOOKUP(A89,'[2]Billing Dimensions'!$A:$N,13,FALSE)-VLOOKUP(A89,'Audit Dimensions'!$A:$N,13,FALSE)</f>
        <v>0</v>
      </c>
      <c r="N89" s="105">
        <f>VLOOKUP(A89,'[2]Billing Dimensions'!$A:$N,14,FALSE)-VLOOKUP(A89,'Audit Dimensions'!$A:$N,14,FALSE)</f>
        <v>0</v>
      </c>
      <c r="O89" s="104">
        <f>VLOOKUP(A89,'[2]Billing Dimensions'!A:Q,16,FALSE)-VLOOKUP('Audit VAR'!A89,'Audit Dimensions'!A:P,16,FALSE)</f>
        <v>-150</v>
      </c>
      <c r="P89" s="103">
        <f>O89/1000</f>
        <v>-0.15</v>
      </c>
      <c r="Q89" s="102">
        <f>(((C89*D89*E89)+(G89*H89*I89)+(K89*L89*M89))/1000000)*35.32</f>
        <v>0</v>
      </c>
      <c r="R89" s="46" t="e">
        <f>P89/Q89</f>
        <v>#DIV/0!</v>
      </c>
    </row>
    <row r="90" spans="1:18" hidden="1" x14ac:dyDescent="0.3">
      <c r="A90" s="122" t="s">
        <v>217</v>
      </c>
      <c r="B90" s="88" t="str">
        <f>VLOOKUP(A90,'[2]Billing Dimensions'!A:B,2,FALSE)</f>
        <v>SB</v>
      </c>
      <c r="C90" s="115">
        <f>VLOOKUP(A90,'[2]Billing Dimensions'!$A:$N,3,FALSE)-VLOOKUP(A90,'Audit Dimensions'!$A:$N,3,FALSE)</f>
        <v>-2</v>
      </c>
      <c r="D90" s="115">
        <f>VLOOKUP(A90,'[2]Billing Dimensions'!$A:$N,4,FALSE)-VLOOKUP(A90,'Audit Dimensions'!$A:$N,4,FALSE)</f>
        <v>1</v>
      </c>
      <c r="E90" s="115">
        <f>VLOOKUP(A90,'[2]Billing Dimensions'!$A:$N,5,FALSE)-VLOOKUP(A90,'Audit Dimensions'!$A:$N,5,FALSE)</f>
        <v>0</v>
      </c>
      <c r="F90" s="114">
        <f>VLOOKUP(A90,'[2]Billing Dimensions'!$A:$N,6,FALSE)-VLOOKUP(A90,'Audit Dimensions'!$A:$N,6,FALSE)</f>
        <v>-2560</v>
      </c>
      <c r="G90" s="107">
        <f>VLOOKUP(A90,'[2]Billing Dimensions'!$A:$N,7,FALSE)-VLOOKUP(A90,'Audit Dimensions'!$A:$N,7,FALSE)</f>
        <v>0</v>
      </c>
      <c r="H90" s="107">
        <f>VLOOKUP(A90,'[2]Billing Dimensions'!$A:$N,8,FALSE)-VLOOKUP(A90,'Audit Dimensions'!$A:$N,8,FALSE)</f>
        <v>0</v>
      </c>
      <c r="I90" s="107">
        <f>VLOOKUP(A90,'[2]Billing Dimensions'!$A:$N,9,FALSE)-VLOOKUP(A90,'Audit Dimensions'!$A:$N,9,FALSE)</f>
        <v>0</v>
      </c>
      <c r="J90" s="106">
        <f>VLOOKUP(A90,'[2]Billing Dimensions'!$A:$N,10,FALSE)-VLOOKUP(A90,'Audit Dimensions'!$A:$N,10,FALSE)</f>
        <v>0</v>
      </c>
      <c r="K90" s="105">
        <f>VLOOKUP(A90,'[2]Billing Dimensions'!$A:$N,11,FALSE)-VLOOKUP(A90,'Audit Dimensions'!$A:$N,11,FALSE)</f>
        <v>0</v>
      </c>
      <c r="L90" s="105">
        <f>VLOOKUP(A90,'[2]Billing Dimensions'!$A:$N,12,FALSE)-VLOOKUP(A90,'Audit Dimensions'!$A:$N,12,FALSE)</f>
        <v>0</v>
      </c>
      <c r="M90" s="105">
        <f>VLOOKUP(A90,'[2]Billing Dimensions'!$A:$N,13,FALSE)-VLOOKUP(A90,'Audit Dimensions'!$A:$N,13,FALSE)</f>
        <v>0</v>
      </c>
      <c r="N90" s="105">
        <f>VLOOKUP(A90,'[2]Billing Dimensions'!$A:$N,14,FALSE)-VLOOKUP(A90,'Audit Dimensions'!$A:$N,14,FALSE)</f>
        <v>0</v>
      </c>
      <c r="O90" s="104">
        <f>VLOOKUP(A90,'[2]Billing Dimensions'!A:Q,16,FALSE)-VLOOKUP('Audit VAR'!A90,'Audit Dimensions'!A:P,16,FALSE)</f>
        <v>-2560</v>
      </c>
      <c r="P90" s="103">
        <f>O90/1000</f>
        <v>-2.56</v>
      </c>
      <c r="Q90" s="102">
        <f>(((C90*D90*E90)+(G90*H90*I90)+(K90*L90*M90))/1000000)*35.32</f>
        <v>0</v>
      </c>
      <c r="R90" s="46" t="e">
        <f>P90/Q90</f>
        <v>#DIV/0!</v>
      </c>
    </row>
    <row r="91" spans="1:18" ht="12.45" hidden="1" customHeight="1" x14ac:dyDescent="0.3">
      <c r="A91" s="122" t="s">
        <v>216</v>
      </c>
      <c r="B91" s="88" t="str">
        <f>VLOOKUP(A91,'[2]Billing Dimensions'!A:B,2,FALSE)</f>
        <v>SB</v>
      </c>
      <c r="C91" s="115">
        <f>VLOOKUP(A91,'[2]Billing Dimensions'!$A:$N,3,FALSE)-VLOOKUP(A91,'Audit Dimensions'!$A:$N,3,FALSE)</f>
        <v>2</v>
      </c>
      <c r="D91" s="115">
        <f>VLOOKUP(A91,'[2]Billing Dimensions'!$A:$N,4,FALSE)-VLOOKUP(A91,'Audit Dimensions'!$A:$N,4,FALSE)</f>
        <v>6</v>
      </c>
      <c r="E91" s="115">
        <f>VLOOKUP(A91,'[2]Billing Dimensions'!$A:$N,5,FALSE)-VLOOKUP(A91,'Audit Dimensions'!$A:$N,5,FALSE)</f>
        <v>-2</v>
      </c>
      <c r="F91" s="114">
        <f>VLOOKUP(A91,'[2]Billing Dimensions'!$A:$N,6,FALSE)-VLOOKUP(A91,'Audit Dimensions'!$A:$N,6,FALSE)</f>
        <v>-1400</v>
      </c>
      <c r="G91" s="107">
        <f>VLOOKUP(A91,'[2]Billing Dimensions'!$A:$N,7,FALSE)-VLOOKUP(A91,'Audit Dimensions'!$A:$N,7,FALSE)</f>
        <v>0</v>
      </c>
      <c r="H91" s="107">
        <f>VLOOKUP(A91,'[2]Billing Dimensions'!$A:$N,8,FALSE)-VLOOKUP(A91,'Audit Dimensions'!$A:$N,8,FALSE)</f>
        <v>0</v>
      </c>
      <c r="I91" s="107">
        <f>VLOOKUP(A91,'[2]Billing Dimensions'!$A:$N,9,FALSE)-VLOOKUP(A91,'Audit Dimensions'!$A:$N,9,FALSE)</f>
        <v>0</v>
      </c>
      <c r="J91" s="106">
        <f>VLOOKUP(A91,'[2]Billing Dimensions'!$A:$N,10,FALSE)-VLOOKUP(A91,'Audit Dimensions'!$A:$N,10,FALSE)</f>
        <v>0</v>
      </c>
      <c r="K91" s="105">
        <f>VLOOKUP(A91,'[2]Billing Dimensions'!$A:$N,11,FALSE)-VLOOKUP(A91,'Audit Dimensions'!$A:$N,11,FALSE)</f>
        <v>0</v>
      </c>
      <c r="L91" s="105">
        <f>VLOOKUP(A91,'[2]Billing Dimensions'!$A:$N,12,FALSE)-VLOOKUP(A91,'Audit Dimensions'!$A:$N,12,FALSE)</f>
        <v>0</v>
      </c>
      <c r="M91" s="105">
        <f>VLOOKUP(A91,'[2]Billing Dimensions'!$A:$N,13,FALSE)-VLOOKUP(A91,'Audit Dimensions'!$A:$N,13,FALSE)</f>
        <v>0</v>
      </c>
      <c r="N91" s="105">
        <f>VLOOKUP(A91,'[2]Billing Dimensions'!$A:$N,14,FALSE)-VLOOKUP(A91,'Audit Dimensions'!$A:$N,14,FALSE)</f>
        <v>0</v>
      </c>
      <c r="O91" s="104">
        <f>VLOOKUP(A91,'[2]Billing Dimensions'!A:Q,16,FALSE)-VLOOKUP('Audit VAR'!A91,'Audit Dimensions'!A:P,16,FALSE)</f>
        <v>-1400</v>
      </c>
      <c r="P91" s="103">
        <f>O91/1000</f>
        <v>-1.4</v>
      </c>
      <c r="Q91" s="102">
        <f>(((C91*D91*E91)+(G91*H91*I91)+(K91*L91*M91))/1000000)*35.32</f>
        <v>-8.4768000000000007E-4</v>
      </c>
      <c r="R91" s="46">
        <f>P91/Q91</f>
        <v>1651.566628916572</v>
      </c>
    </row>
    <row r="92" spans="1:18" hidden="1" x14ac:dyDescent="0.3">
      <c r="A92" s="122" t="s">
        <v>215</v>
      </c>
      <c r="B92" s="88" t="str">
        <f>VLOOKUP(A92,'[2]Billing Dimensions'!A:B,2,FALSE)</f>
        <v>SB</v>
      </c>
      <c r="C92" s="115">
        <f>VLOOKUP(A92,'[2]Billing Dimensions'!$A:$N,3,FALSE)-VLOOKUP(A92,'Audit Dimensions'!$A:$N,3,FALSE)</f>
        <v>0</v>
      </c>
      <c r="D92" s="115">
        <f>VLOOKUP(A92,'[2]Billing Dimensions'!$A:$N,4,FALSE)-VLOOKUP(A92,'Audit Dimensions'!$A:$N,4,FALSE)</f>
        <v>0</v>
      </c>
      <c r="E92" s="115">
        <f>VLOOKUP(A92,'[2]Billing Dimensions'!$A:$N,5,FALSE)-VLOOKUP(A92,'Audit Dimensions'!$A:$N,5,FALSE)</f>
        <v>0</v>
      </c>
      <c r="F92" s="114">
        <f>VLOOKUP(A92,'[2]Billing Dimensions'!$A:$N,6,FALSE)-VLOOKUP(A92,'Audit Dimensions'!$A:$N,6,FALSE)</f>
        <v>0</v>
      </c>
      <c r="G92" s="107">
        <f>VLOOKUP(A92,'[2]Billing Dimensions'!$A:$N,7,FALSE)-VLOOKUP(A92,'Audit Dimensions'!$A:$N,7,FALSE)</f>
        <v>0</v>
      </c>
      <c r="H92" s="107">
        <f>VLOOKUP(A92,'[2]Billing Dimensions'!$A:$N,8,FALSE)-VLOOKUP(A92,'Audit Dimensions'!$A:$N,8,FALSE)</f>
        <v>0</v>
      </c>
      <c r="I92" s="107">
        <f>VLOOKUP(A92,'[2]Billing Dimensions'!$A:$N,9,FALSE)-VLOOKUP(A92,'Audit Dimensions'!$A:$N,9,FALSE)</f>
        <v>0</v>
      </c>
      <c r="J92" s="106">
        <f>VLOOKUP(A92,'[2]Billing Dimensions'!$A:$N,10,FALSE)-VLOOKUP(A92,'Audit Dimensions'!$A:$N,10,FALSE)</f>
        <v>0</v>
      </c>
      <c r="K92" s="105">
        <f>VLOOKUP(A92,'[2]Billing Dimensions'!$A:$N,11,FALSE)-VLOOKUP(A92,'Audit Dimensions'!$A:$N,11,FALSE)</f>
        <v>0</v>
      </c>
      <c r="L92" s="105">
        <f>VLOOKUP(A92,'[2]Billing Dimensions'!$A:$N,12,FALSE)-VLOOKUP(A92,'Audit Dimensions'!$A:$N,12,FALSE)</f>
        <v>0</v>
      </c>
      <c r="M92" s="105">
        <f>VLOOKUP(A92,'[2]Billing Dimensions'!$A:$N,13,FALSE)-VLOOKUP(A92,'Audit Dimensions'!$A:$N,13,FALSE)</f>
        <v>0</v>
      </c>
      <c r="N92" s="105">
        <f>VLOOKUP(A92,'[2]Billing Dimensions'!$A:$N,14,FALSE)-VLOOKUP(A92,'Audit Dimensions'!$A:$N,14,FALSE)</f>
        <v>0</v>
      </c>
      <c r="O92" s="104">
        <f>VLOOKUP(A92,'[2]Billing Dimensions'!A:Q,16,FALSE)-VLOOKUP('Audit VAR'!A92,'Audit Dimensions'!A:P,16,FALSE)</f>
        <v>0</v>
      </c>
      <c r="P92" s="103">
        <f>O92/1000</f>
        <v>0</v>
      </c>
      <c r="Q92" s="102">
        <f>(((C92*D92*E92)+(G92*H92*I92)+(K92*L92*M92))/1000000)*35.32</f>
        <v>0</v>
      </c>
      <c r="R92" s="46" t="e">
        <f>P92/Q92</f>
        <v>#DIV/0!</v>
      </c>
    </row>
    <row r="93" spans="1:18" hidden="1" x14ac:dyDescent="0.3">
      <c r="A93" s="122" t="s">
        <v>214</v>
      </c>
      <c r="B93" s="88" t="str">
        <f>VLOOKUP(A93,'[2]Billing Dimensions'!A:B,2,FALSE)</f>
        <v>SB</v>
      </c>
      <c r="C93" s="115">
        <f>VLOOKUP(A93,'[2]Billing Dimensions'!$A:$N,3,FALSE)-VLOOKUP(A93,'Audit Dimensions'!$A:$N,3,FALSE)</f>
        <v>29</v>
      </c>
      <c r="D93" s="115">
        <f>VLOOKUP(A93,'[2]Billing Dimensions'!$A:$N,4,FALSE)-VLOOKUP(A93,'Audit Dimensions'!$A:$N,4,FALSE)</f>
        <v>-4</v>
      </c>
      <c r="E93" s="115">
        <f>VLOOKUP(A93,'[2]Billing Dimensions'!$A:$N,5,FALSE)-VLOOKUP(A93,'Audit Dimensions'!$A:$N,5,FALSE)</f>
        <v>-2</v>
      </c>
      <c r="F93" s="114">
        <f>VLOOKUP(A93,'[2]Billing Dimensions'!$A:$N,6,FALSE)-VLOOKUP(A93,'Audit Dimensions'!$A:$N,6,FALSE)</f>
        <v>-4050</v>
      </c>
      <c r="G93" s="107">
        <f>VLOOKUP(A93,'[2]Billing Dimensions'!$A:$N,7,FALSE)-VLOOKUP(A93,'Audit Dimensions'!$A:$N,7,FALSE)</f>
        <v>0</v>
      </c>
      <c r="H93" s="107">
        <f>VLOOKUP(A93,'[2]Billing Dimensions'!$A:$N,8,FALSE)-VLOOKUP(A93,'Audit Dimensions'!$A:$N,8,FALSE)</f>
        <v>0</v>
      </c>
      <c r="I93" s="107">
        <f>VLOOKUP(A93,'[2]Billing Dimensions'!$A:$N,9,FALSE)-VLOOKUP(A93,'Audit Dimensions'!$A:$N,9,FALSE)</f>
        <v>0</v>
      </c>
      <c r="J93" s="106">
        <f>VLOOKUP(A93,'[2]Billing Dimensions'!$A:$N,10,FALSE)-VLOOKUP(A93,'Audit Dimensions'!$A:$N,10,FALSE)</f>
        <v>0</v>
      </c>
      <c r="K93" s="105">
        <f>VLOOKUP(A93,'[2]Billing Dimensions'!$A:$N,11,FALSE)-VLOOKUP(A93,'Audit Dimensions'!$A:$N,11,FALSE)</f>
        <v>0</v>
      </c>
      <c r="L93" s="105">
        <f>VLOOKUP(A93,'[2]Billing Dimensions'!$A:$N,12,FALSE)-VLOOKUP(A93,'Audit Dimensions'!$A:$N,12,FALSE)</f>
        <v>0</v>
      </c>
      <c r="M93" s="105">
        <f>VLOOKUP(A93,'[2]Billing Dimensions'!$A:$N,13,FALSE)-VLOOKUP(A93,'Audit Dimensions'!$A:$N,13,FALSE)</f>
        <v>0</v>
      </c>
      <c r="N93" s="105">
        <f>VLOOKUP(A93,'[2]Billing Dimensions'!$A:$N,14,FALSE)-VLOOKUP(A93,'Audit Dimensions'!$A:$N,14,FALSE)</f>
        <v>0</v>
      </c>
      <c r="O93" s="104">
        <f>VLOOKUP(A93,'[2]Billing Dimensions'!A:Q,16,FALSE)-VLOOKUP('Audit VAR'!A93,'Audit Dimensions'!A:P,16,FALSE)</f>
        <v>-4050</v>
      </c>
      <c r="P93" s="103">
        <f>O93/1000</f>
        <v>-4.05</v>
      </c>
      <c r="Q93" s="102">
        <f>(((C93*D93*E93)+(G93*H93*I93)+(K93*L93*M93))/1000000)*35.32</f>
        <v>8.1942400000000002E-3</v>
      </c>
      <c r="R93" s="46">
        <f>P93/Q93</f>
        <v>-494.24961924473774</v>
      </c>
    </row>
    <row r="94" spans="1:18" hidden="1" x14ac:dyDescent="0.3">
      <c r="A94" s="122" t="s">
        <v>213</v>
      </c>
      <c r="B94" s="88" t="str">
        <f>VLOOKUP(A94,'[2]Billing Dimensions'!A:B,2,FALSE)</f>
        <v>SB</v>
      </c>
      <c r="C94" s="115">
        <f>VLOOKUP(A94,'[2]Billing Dimensions'!$A:$N,3,FALSE)-VLOOKUP(A94,'Audit Dimensions'!$A:$N,3,FALSE)</f>
        <v>0</v>
      </c>
      <c r="D94" s="115">
        <f>VLOOKUP(A94,'[2]Billing Dimensions'!$A:$N,4,FALSE)-VLOOKUP(A94,'Audit Dimensions'!$A:$N,4,FALSE)</f>
        <v>-2</v>
      </c>
      <c r="E94" s="115">
        <f>VLOOKUP(A94,'[2]Billing Dimensions'!$A:$N,5,FALSE)-VLOOKUP(A94,'Audit Dimensions'!$A:$N,5,FALSE)</f>
        <v>0</v>
      </c>
      <c r="F94" s="114">
        <f>VLOOKUP(A94,'[2]Billing Dimensions'!$A:$N,6,FALSE)-VLOOKUP(A94,'Audit Dimensions'!$A:$N,6,FALSE)</f>
        <v>-910</v>
      </c>
      <c r="G94" s="107">
        <f>VLOOKUP(A94,'[2]Billing Dimensions'!$A:$N,7,FALSE)-VLOOKUP(A94,'Audit Dimensions'!$A:$N,7,FALSE)</f>
        <v>0</v>
      </c>
      <c r="H94" s="107">
        <f>VLOOKUP(A94,'[2]Billing Dimensions'!$A:$N,8,FALSE)-VLOOKUP(A94,'Audit Dimensions'!$A:$N,8,FALSE)</f>
        <v>0</v>
      </c>
      <c r="I94" s="107">
        <f>VLOOKUP(A94,'[2]Billing Dimensions'!$A:$N,9,FALSE)-VLOOKUP(A94,'Audit Dimensions'!$A:$N,9,FALSE)</f>
        <v>0</v>
      </c>
      <c r="J94" s="106">
        <f>VLOOKUP(A94,'[2]Billing Dimensions'!$A:$N,10,FALSE)-VLOOKUP(A94,'Audit Dimensions'!$A:$N,10,FALSE)</f>
        <v>0</v>
      </c>
      <c r="K94" s="105">
        <f>VLOOKUP(A94,'[2]Billing Dimensions'!$A:$N,11,FALSE)-VLOOKUP(A94,'Audit Dimensions'!$A:$N,11,FALSE)</f>
        <v>0</v>
      </c>
      <c r="L94" s="105">
        <f>VLOOKUP(A94,'[2]Billing Dimensions'!$A:$N,12,FALSE)-VLOOKUP(A94,'Audit Dimensions'!$A:$N,12,FALSE)</f>
        <v>0</v>
      </c>
      <c r="M94" s="105">
        <f>VLOOKUP(A94,'[2]Billing Dimensions'!$A:$N,13,FALSE)-VLOOKUP(A94,'Audit Dimensions'!$A:$N,13,FALSE)</f>
        <v>0</v>
      </c>
      <c r="N94" s="105">
        <f>VLOOKUP(A94,'[2]Billing Dimensions'!$A:$N,14,FALSE)-VLOOKUP(A94,'Audit Dimensions'!$A:$N,14,FALSE)</f>
        <v>0</v>
      </c>
      <c r="O94" s="104">
        <f>VLOOKUP(A94,'[2]Billing Dimensions'!A:Q,16,FALSE)-VLOOKUP('Audit VAR'!A94,'Audit Dimensions'!A:P,16,FALSE)</f>
        <v>-910</v>
      </c>
      <c r="P94" s="103">
        <f>O94/1000</f>
        <v>-0.91</v>
      </c>
      <c r="Q94" s="102">
        <f>(((C94*D94*E94)+(G94*H94*I94)+(K94*L94*M94))/1000000)*35.32</f>
        <v>0</v>
      </c>
      <c r="R94" s="46" t="e">
        <f>P94/Q94</f>
        <v>#DIV/0!</v>
      </c>
    </row>
    <row r="95" spans="1:18" hidden="1" x14ac:dyDescent="0.3">
      <c r="A95" s="122" t="s">
        <v>212</v>
      </c>
      <c r="B95" s="88" t="str">
        <f>VLOOKUP(A95,'[2]Billing Dimensions'!A:B,2,FALSE)</f>
        <v>SB</v>
      </c>
      <c r="C95" s="115">
        <f>VLOOKUP(A95,'[2]Billing Dimensions'!$A:$N,3,FALSE)-VLOOKUP(A95,'Audit Dimensions'!$A:$N,3,FALSE)</f>
        <v>0</v>
      </c>
      <c r="D95" s="115">
        <f>VLOOKUP(A95,'[2]Billing Dimensions'!$A:$N,4,FALSE)-VLOOKUP(A95,'Audit Dimensions'!$A:$N,4,FALSE)</f>
        <v>1</v>
      </c>
      <c r="E95" s="115">
        <f>VLOOKUP(A95,'[2]Billing Dimensions'!$A:$N,5,FALSE)-VLOOKUP(A95,'Audit Dimensions'!$A:$N,5,FALSE)</f>
        <v>0</v>
      </c>
      <c r="F95" s="114">
        <f>VLOOKUP(A95,'[2]Billing Dimensions'!$A:$N,6,FALSE)-VLOOKUP(A95,'Audit Dimensions'!$A:$N,6,FALSE)</f>
        <v>-1150</v>
      </c>
      <c r="G95" s="107">
        <f>VLOOKUP(A95,'[2]Billing Dimensions'!$A:$N,7,FALSE)-VLOOKUP(A95,'Audit Dimensions'!$A:$N,7,FALSE)</f>
        <v>0</v>
      </c>
      <c r="H95" s="107">
        <f>VLOOKUP(A95,'[2]Billing Dimensions'!$A:$N,8,FALSE)-VLOOKUP(A95,'Audit Dimensions'!$A:$N,8,FALSE)</f>
        <v>0</v>
      </c>
      <c r="I95" s="107">
        <f>VLOOKUP(A95,'[2]Billing Dimensions'!$A:$N,9,FALSE)-VLOOKUP(A95,'Audit Dimensions'!$A:$N,9,FALSE)</f>
        <v>0</v>
      </c>
      <c r="J95" s="106">
        <f>VLOOKUP(A95,'[2]Billing Dimensions'!$A:$N,10,FALSE)-VLOOKUP(A95,'Audit Dimensions'!$A:$N,10,FALSE)</f>
        <v>0</v>
      </c>
      <c r="K95" s="105">
        <f>VLOOKUP(A95,'[2]Billing Dimensions'!$A:$N,11,FALSE)-VLOOKUP(A95,'Audit Dimensions'!$A:$N,11,FALSE)</f>
        <v>0</v>
      </c>
      <c r="L95" s="105">
        <f>VLOOKUP(A95,'[2]Billing Dimensions'!$A:$N,12,FALSE)-VLOOKUP(A95,'Audit Dimensions'!$A:$N,12,FALSE)</f>
        <v>0</v>
      </c>
      <c r="M95" s="105">
        <f>VLOOKUP(A95,'[2]Billing Dimensions'!$A:$N,13,FALSE)-VLOOKUP(A95,'Audit Dimensions'!$A:$N,13,FALSE)</f>
        <v>0</v>
      </c>
      <c r="N95" s="105">
        <f>VLOOKUP(A95,'[2]Billing Dimensions'!$A:$N,14,FALSE)-VLOOKUP(A95,'Audit Dimensions'!$A:$N,14,FALSE)</f>
        <v>0</v>
      </c>
      <c r="O95" s="104">
        <f>VLOOKUP(A95,'[2]Billing Dimensions'!A:Q,16,FALSE)-VLOOKUP('Audit VAR'!A95,'Audit Dimensions'!A:P,16,FALSE)</f>
        <v>-1150</v>
      </c>
      <c r="P95" s="103">
        <f>O95/1000</f>
        <v>-1.1499999999999999</v>
      </c>
      <c r="Q95" s="102">
        <f>(((C95*D95*E95)+(G95*H95*I95)+(K95*L95*M95))/1000000)*35.32</f>
        <v>0</v>
      </c>
      <c r="R95" s="46" t="e">
        <f>P95/Q95</f>
        <v>#DIV/0!</v>
      </c>
    </row>
    <row r="96" spans="1:18" hidden="1" x14ac:dyDescent="0.3">
      <c r="A96" s="122" t="s">
        <v>211</v>
      </c>
      <c r="B96" s="88" t="str">
        <f>VLOOKUP(A96,'[2]Billing Dimensions'!A:B,2,FALSE)</f>
        <v>SB</v>
      </c>
      <c r="C96" s="115">
        <f>VLOOKUP(A96,'[2]Billing Dimensions'!$A:$N,3,FALSE)-VLOOKUP(A96,'Audit Dimensions'!$A:$N,3,FALSE)</f>
        <v>0</v>
      </c>
      <c r="D96" s="115">
        <f>VLOOKUP(A96,'[2]Billing Dimensions'!$A:$N,4,FALSE)-VLOOKUP(A96,'Audit Dimensions'!$A:$N,4,FALSE)</f>
        <v>0</v>
      </c>
      <c r="E96" s="115">
        <f>VLOOKUP(A96,'[2]Billing Dimensions'!$A:$N,5,FALSE)-VLOOKUP(A96,'Audit Dimensions'!$A:$N,5,FALSE)</f>
        <v>0</v>
      </c>
      <c r="F96" s="114">
        <f>VLOOKUP(A96,'[2]Billing Dimensions'!$A:$N,6,FALSE)-VLOOKUP(A96,'Audit Dimensions'!$A:$N,6,FALSE)</f>
        <v>-150</v>
      </c>
      <c r="G96" s="107">
        <f>VLOOKUP(A96,'[2]Billing Dimensions'!$A:$N,7,FALSE)-VLOOKUP(A96,'Audit Dimensions'!$A:$N,7,FALSE)</f>
        <v>0</v>
      </c>
      <c r="H96" s="107">
        <f>VLOOKUP(A96,'[2]Billing Dimensions'!$A:$N,8,FALSE)-VLOOKUP(A96,'Audit Dimensions'!$A:$N,8,FALSE)</f>
        <v>0</v>
      </c>
      <c r="I96" s="107">
        <f>VLOOKUP(A96,'[2]Billing Dimensions'!$A:$N,9,FALSE)-VLOOKUP(A96,'Audit Dimensions'!$A:$N,9,FALSE)</f>
        <v>0</v>
      </c>
      <c r="J96" s="106">
        <f>VLOOKUP(A96,'[2]Billing Dimensions'!$A:$N,10,FALSE)-VLOOKUP(A96,'Audit Dimensions'!$A:$N,10,FALSE)</f>
        <v>0</v>
      </c>
      <c r="K96" s="105">
        <f>VLOOKUP(A96,'[2]Billing Dimensions'!$A:$N,11,FALSE)-VLOOKUP(A96,'Audit Dimensions'!$A:$N,11,FALSE)</f>
        <v>0</v>
      </c>
      <c r="L96" s="105">
        <f>VLOOKUP(A96,'[2]Billing Dimensions'!$A:$N,12,FALSE)-VLOOKUP(A96,'Audit Dimensions'!$A:$N,12,FALSE)</f>
        <v>0</v>
      </c>
      <c r="M96" s="105">
        <f>VLOOKUP(A96,'[2]Billing Dimensions'!$A:$N,13,FALSE)-VLOOKUP(A96,'Audit Dimensions'!$A:$N,13,FALSE)</f>
        <v>0</v>
      </c>
      <c r="N96" s="105">
        <f>VLOOKUP(A96,'[2]Billing Dimensions'!$A:$N,14,FALSE)-VLOOKUP(A96,'Audit Dimensions'!$A:$N,14,FALSE)</f>
        <v>0</v>
      </c>
      <c r="O96" s="104">
        <f>VLOOKUP(A96,'[2]Billing Dimensions'!A:Q,16,FALSE)-VLOOKUP('Audit VAR'!A96,'Audit Dimensions'!A:P,16,FALSE)</f>
        <v>-150</v>
      </c>
      <c r="P96" s="103">
        <f>O96/1000</f>
        <v>-0.15</v>
      </c>
      <c r="Q96" s="102">
        <f>(((C96*D96*E96)+(G96*H96*I96)+(K96*L96*M96))/1000000)*35.32</f>
        <v>0</v>
      </c>
      <c r="R96" s="46" t="e">
        <f>P96/Q96</f>
        <v>#DIV/0!</v>
      </c>
    </row>
    <row r="97" spans="1:18" hidden="1" x14ac:dyDescent="0.3">
      <c r="A97" s="122" t="s">
        <v>210</v>
      </c>
      <c r="B97" s="88" t="str">
        <f>VLOOKUP(A97,'[2]Billing Dimensions'!A:B,2,FALSE)</f>
        <v>SB</v>
      </c>
      <c r="C97" s="115">
        <f>VLOOKUP(A97,'[2]Billing Dimensions'!$A:$N,3,FALSE)-VLOOKUP(A97,'Audit Dimensions'!$A:$N,3,FALSE)</f>
        <v>0</v>
      </c>
      <c r="D97" s="115">
        <f>VLOOKUP(A97,'[2]Billing Dimensions'!$A:$N,4,FALSE)-VLOOKUP(A97,'Audit Dimensions'!$A:$N,4,FALSE)</f>
        <v>0</v>
      </c>
      <c r="E97" s="115">
        <f>VLOOKUP(A97,'[2]Billing Dimensions'!$A:$N,5,FALSE)-VLOOKUP(A97,'Audit Dimensions'!$A:$N,5,FALSE)</f>
        <v>0</v>
      </c>
      <c r="F97" s="114">
        <f>VLOOKUP(A97,'[2]Billing Dimensions'!$A:$N,6,FALSE)-VLOOKUP(A97,'Audit Dimensions'!$A:$N,6,FALSE)</f>
        <v>-150</v>
      </c>
      <c r="G97" s="107">
        <f>VLOOKUP(A97,'[2]Billing Dimensions'!$A:$N,7,FALSE)-VLOOKUP(A97,'Audit Dimensions'!$A:$N,7,FALSE)</f>
        <v>0</v>
      </c>
      <c r="H97" s="107">
        <f>VLOOKUP(A97,'[2]Billing Dimensions'!$A:$N,8,FALSE)-VLOOKUP(A97,'Audit Dimensions'!$A:$N,8,FALSE)</f>
        <v>0</v>
      </c>
      <c r="I97" s="107">
        <f>VLOOKUP(A97,'[2]Billing Dimensions'!$A:$N,9,FALSE)-VLOOKUP(A97,'Audit Dimensions'!$A:$N,9,FALSE)</f>
        <v>0</v>
      </c>
      <c r="J97" s="106">
        <f>VLOOKUP(A97,'[2]Billing Dimensions'!$A:$N,10,FALSE)-VLOOKUP(A97,'Audit Dimensions'!$A:$N,10,FALSE)</f>
        <v>0</v>
      </c>
      <c r="K97" s="105">
        <f>VLOOKUP(A97,'[2]Billing Dimensions'!$A:$N,11,FALSE)-VLOOKUP(A97,'Audit Dimensions'!$A:$N,11,FALSE)</f>
        <v>0</v>
      </c>
      <c r="L97" s="105">
        <f>VLOOKUP(A97,'[2]Billing Dimensions'!$A:$N,12,FALSE)-VLOOKUP(A97,'Audit Dimensions'!$A:$N,12,FALSE)</f>
        <v>0</v>
      </c>
      <c r="M97" s="105">
        <f>VLOOKUP(A97,'[2]Billing Dimensions'!$A:$N,13,FALSE)-VLOOKUP(A97,'Audit Dimensions'!$A:$N,13,FALSE)</f>
        <v>0</v>
      </c>
      <c r="N97" s="105">
        <f>VLOOKUP(A97,'[2]Billing Dimensions'!$A:$N,14,FALSE)-VLOOKUP(A97,'Audit Dimensions'!$A:$N,14,FALSE)</f>
        <v>0</v>
      </c>
      <c r="O97" s="104">
        <f>VLOOKUP(A97,'[2]Billing Dimensions'!A:Q,16,FALSE)-VLOOKUP('Audit VAR'!A97,'Audit Dimensions'!A:P,16,FALSE)</f>
        <v>-150</v>
      </c>
      <c r="P97" s="103">
        <f>O97/1000</f>
        <v>-0.15</v>
      </c>
      <c r="Q97" s="102">
        <f>(((C97*D97*E97)+(G97*H97*I97)+(K97*L97*M97))/1000000)*35.32</f>
        <v>0</v>
      </c>
      <c r="R97" s="46" t="e">
        <f>P97/Q97</f>
        <v>#DIV/0!</v>
      </c>
    </row>
    <row r="98" spans="1:18" hidden="1" x14ac:dyDescent="0.3">
      <c r="A98" s="122" t="s">
        <v>209</v>
      </c>
      <c r="B98" s="88" t="str">
        <f>VLOOKUP(A98,'[2]Billing Dimensions'!A:B,2,FALSE)</f>
        <v>SB</v>
      </c>
      <c r="C98" s="115">
        <f>VLOOKUP(A98,'[2]Billing Dimensions'!$A:$N,3,FALSE)-VLOOKUP(A98,'Audit Dimensions'!$A:$N,3,FALSE)</f>
        <v>4</v>
      </c>
      <c r="D98" s="115">
        <f>VLOOKUP(A98,'[2]Billing Dimensions'!$A:$N,4,FALSE)-VLOOKUP(A98,'Audit Dimensions'!$A:$N,4,FALSE)</f>
        <v>4</v>
      </c>
      <c r="E98" s="115">
        <f>VLOOKUP(A98,'[2]Billing Dimensions'!$A:$N,5,FALSE)-VLOOKUP(A98,'Audit Dimensions'!$A:$N,5,FALSE)</f>
        <v>0</v>
      </c>
      <c r="F98" s="114">
        <f>VLOOKUP(A98,'[2]Billing Dimensions'!$A:$N,6,FALSE)-VLOOKUP(A98,'Audit Dimensions'!$A:$N,6,FALSE)</f>
        <v>150</v>
      </c>
      <c r="G98" s="107">
        <f>VLOOKUP(A98,'[2]Billing Dimensions'!$A:$N,7,FALSE)-VLOOKUP(A98,'Audit Dimensions'!$A:$N,7,FALSE)</f>
        <v>0</v>
      </c>
      <c r="H98" s="107">
        <f>VLOOKUP(A98,'[2]Billing Dimensions'!$A:$N,8,FALSE)-VLOOKUP(A98,'Audit Dimensions'!$A:$N,8,FALSE)</f>
        <v>0</v>
      </c>
      <c r="I98" s="107">
        <f>VLOOKUP(A98,'[2]Billing Dimensions'!$A:$N,9,FALSE)-VLOOKUP(A98,'Audit Dimensions'!$A:$N,9,FALSE)</f>
        <v>0</v>
      </c>
      <c r="J98" s="106">
        <f>VLOOKUP(A98,'[2]Billing Dimensions'!$A:$N,10,FALSE)-VLOOKUP(A98,'Audit Dimensions'!$A:$N,10,FALSE)</f>
        <v>0</v>
      </c>
      <c r="K98" s="105">
        <f>VLOOKUP(A98,'[2]Billing Dimensions'!$A:$N,11,FALSE)-VLOOKUP(A98,'Audit Dimensions'!$A:$N,11,FALSE)</f>
        <v>0</v>
      </c>
      <c r="L98" s="105">
        <f>VLOOKUP(A98,'[2]Billing Dimensions'!$A:$N,12,FALSE)-VLOOKUP(A98,'Audit Dimensions'!$A:$N,12,FALSE)</f>
        <v>0</v>
      </c>
      <c r="M98" s="105">
        <f>VLOOKUP(A98,'[2]Billing Dimensions'!$A:$N,13,FALSE)-VLOOKUP(A98,'Audit Dimensions'!$A:$N,13,FALSE)</f>
        <v>0</v>
      </c>
      <c r="N98" s="105">
        <f>VLOOKUP(A98,'[2]Billing Dimensions'!$A:$N,14,FALSE)-VLOOKUP(A98,'Audit Dimensions'!$A:$N,14,FALSE)</f>
        <v>0</v>
      </c>
      <c r="O98" s="104">
        <f>VLOOKUP(A98,'[2]Billing Dimensions'!A:Q,16,FALSE)-VLOOKUP('Audit VAR'!A98,'Audit Dimensions'!A:P,16,FALSE)</f>
        <v>150</v>
      </c>
      <c r="P98" s="103">
        <f>O98/1000</f>
        <v>0.15</v>
      </c>
      <c r="Q98" s="102">
        <f>(((C98*D98*E98)+(G98*H98*I98)+(K98*L98*M98))/1000000)*35.32</f>
        <v>0</v>
      </c>
      <c r="R98" s="46" t="e">
        <f>P98/Q98</f>
        <v>#DIV/0!</v>
      </c>
    </row>
    <row r="99" spans="1:18" hidden="1" x14ac:dyDescent="0.3">
      <c r="A99" s="122" t="s">
        <v>208</v>
      </c>
      <c r="B99" s="88" t="str">
        <f>VLOOKUP(A99,'[2]Billing Dimensions'!A:B,2,FALSE)</f>
        <v>SB</v>
      </c>
      <c r="C99" s="115">
        <f>VLOOKUP(A99,'[2]Billing Dimensions'!$A:$N,3,FALSE)-VLOOKUP(A99,'Audit Dimensions'!$A:$N,3,FALSE)</f>
        <v>0</v>
      </c>
      <c r="D99" s="115">
        <f>VLOOKUP(A99,'[2]Billing Dimensions'!$A:$N,4,FALSE)-VLOOKUP(A99,'Audit Dimensions'!$A:$N,4,FALSE)</f>
        <v>0</v>
      </c>
      <c r="E99" s="115">
        <f>VLOOKUP(A99,'[2]Billing Dimensions'!$A:$N,5,FALSE)-VLOOKUP(A99,'Audit Dimensions'!$A:$N,5,FALSE)</f>
        <v>0</v>
      </c>
      <c r="F99" s="114">
        <f>VLOOKUP(A99,'[2]Billing Dimensions'!$A:$N,6,FALSE)-VLOOKUP(A99,'Audit Dimensions'!$A:$N,6,FALSE)</f>
        <v>0</v>
      </c>
      <c r="G99" s="107">
        <f>VLOOKUP(A99,'[2]Billing Dimensions'!$A:$N,7,FALSE)-VLOOKUP(A99,'Audit Dimensions'!$A:$N,7,FALSE)</f>
        <v>0</v>
      </c>
      <c r="H99" s="107">
        <f>VLOOKUP(A99,'[2]Billing Dimensions'!$A:$N,8,FALSE)-VLOOKUP(A99,'Audit Dimensions'!$A:$N,8,FALSE)</f>
        <v>0</v>
      </c>
      <c r="I99" s="107">
        <f>VLOOKUP(A99,'[2]Billing Dimensions'!$A:$N,9,FALSE)-VLOOKUP(A99,'Audit Dimensions'!$A:$N,9,FALSE)</f>
        <v>0</v>
      </c>
      <c r="J99" s="106">
        <f>VLOOKUP(A99,'[2]Billing Dimensions'!$A:$N,10,FALSE)-VLOOKUP(A99,'Audit Dimensions'!$A:$N,10,FALSE)</f>
        <v>0</v>
      </c>
      <c r="K99" s="105">
        <f>VLOOKUP(A99,'[2]Billing Dimensions'!$A:$N,11,FALSE)-VLOOKUP(A99,'Audit Dimensions'!$A:$N,11,FALSE)</f>
        <v>0</v>
      </c>
      <c r="L99" s="105">
        <f>VLOOKUP(A99,'[2]Billing Dimensions'!$A:$N,12,FALSE)-VLOOKUP(A99,'Audit Dimensions'!$A:$N,12,FALSE)</f>
        <v>0</v>
      </c>
      <c r="M99" s="105">
        <f>VLOOKUP(A99,'[2]Billing Dimensions'!$A:$N,13,FALSE)-VLOOKUP(A99,'Audit Dimensions'!$A:$N,13,FALSE)</f>
        <v>0</v>
      </c>
      <c r="N99" s="105">
        <f>VLOOKUP(A99,'[2]Billing Dimensions'!$A:$N,14,FALSE)-VLOOKUP(A99,'Audit Dimensions'!$A:$N,14,FALSE)</f>
        <v>0</v>
      </c>
      <c r="O99" s="104">
        <f>VLOOKUP(A99,'[2]Billing Dimensions'!A:Q,16,FALSE)-VLOOKUP('Audit VAR'!A99,'Audit Dimensions'!A:P,16,FALSE)</f>
        <v>0</v>
      </c>
      <c r="P99" s="103">
        <f>O99/1000</f>
        <v>0</v>
      </c>
      <c r="Q99" s="102">
        <f>(((C99*D99*E99)+(G99*H99*I99)+(K99*L99*M99))/1000000)*35.32</f>
        <v>0</v>
      </c>
      <c r="R99" s="46" t="e">
        <f>P99/Q99</f>
        <v>#DIV/0!</v>
      </c>
    </row>
    <row r="100" spans="1:18" hidden="1" x14ac:dyDescent="0.3">
      <c r="A100" s="122" t="s">
        <v>207</v>
      </c>
      <c r="B100" s="88" t="str">
        <f>VLOOKUP(A100,'[2]Billing Dimensions'!A:B,2,FALSE)</f>
        <v>SB</v>
      </c>
      <c r="C100" s="115">
        <f>VLOOKUP(A100,'[2]Billing Dimensions'!$A:$N,3,FALSE)-VLOOKUP(A100,'Audit Dimensions'!$A:$N,3,FALSE)</f>
        <v>3</v>
      </c>
      <c r="D100" s="115">
        <f>VLOOKUP(A100,'[2]Billing Dimensions'!$A:$N,4,FALSE)-VLOOKUP(A100,'Audit Dimensions'!$A:$N,4,FALSE)</f>
        <v>2</v>
      </c>
      <c r="E100" s="115">
        <f>VLOOKUP(A100,'[2]Billing Dimensions'!$A:$N,5,FALSE)-VLOOKUP(A100,'Audit Dimensions'!$A:$N,5,FALSE)</f>
        <v>0</v>
      </c>
      <c r="F100" s="114">
        <f>VLOOKUP(A100,'[2]Billing Dimensions'!$A:$N,6,FALSE)-VLOOKUP(A100,'Audit Dimensions'!$A:$N,6,FALSE)</f>
        <v>-1810</v>
      </c>
      <c r="G100" s="107">
        <f>VLOOKUP(A100,'[2]Billing Dimensions'!$A:$N,7,FALSE)-VLOOKUP(A100,'Audit Dimensions'!$A:$N,7,FALSE)</f>
        <v>0</v>
      </c>
      <c r="H100" s="107">
        <f>VLOOKUP(A100,'[2]Billing Dimensions'!$A:$N,8,FALSE)-VLOOKUP(A100,'Audit Dimensions'!$A:$N,8,FALSE)</f>
        <v>0</v>
      </c>
      <c r="I100" s="107">
        <f>VLOOKUP(A100,'[2]Billing Dimensions'!$A:$N,9,FALSE)-VLOOKUP(A100,'Audit Dimensions'!$A:$N,9,FALSE)</f>
        <v>0</v>
      </c>
      <c r="J100" s="106">
        <f>VLOOKUP(A100,'[2]Billing Dimensions'!$A:$N,10,FALSE)-VLOOKUP(A100,'Audit Dimensions'!$A:$N,10,FALSE)</f>
        <v>0</v>
      </c>
      <c r="K100" s="105">
        <f>VLOOKUP(A100,'[2]Billing Dimensions'!$A:$N,11,FALSE)-VLOOKUP(A100,'Audit Dimensions'!$A:$N,11,FALSE)</f>
        <v>0</v>
      </c>
      <c r="L100" s="105">
        <f>VLOOKUP(A100,'[2]Billing Dimensions'!$A:$N,12,FALSE)-VLOOKUP(A100,'Audit Dimensions'!$A:$N,12,FALSE)</f>
        <v>0</v>
      </c>
      <c r="M100" s="105">
        <f>VLOOKUP(A100,'[2]Billing Dimensions'!$A:$N,13,FALSE)-VLOOKUP(A100,'Audit Dimensions'!$A:$N,13,FALSE)</f>
        <v>0</v>
      </c>
      <c r="N100" s="105">
        <f>VLOOKUP(A100,'[2]Billing Dimensions'!$A:$N,14,FALSE)-VLOOKUP(A100,'Audit Dimensions'!$A:$N,14,FALSE)</f>
        <v>0</v>
      </c>
      <c r="O100" s="104">
        <f>VLOOKUP(A100,'[2]Billing Dimensions'!A:Q,16,FALSE)-VLOOKUP('Audit VAR'!A100,'Audit Dimensions'!A:P,16,FALSE)</f>
        <v>-1810</v>
      </c>
      <c r="P100" s="103">
        <f>O100/1000</f>
        <v>-1.81</v>
      </c>
      <c r="Q100" s="102">
        <f>(((C100*D100*E100)+(G100*H100*I100)+(K100*L100*M100))/1000000)*35.32</f>
        <v>0</v>
      </c>
      <c r="R100" s="46" t="e">
        <f>P100/Q100</f>
        <v>#DIV/0!</v>
      </c>
    </row>
    <row r="101" spans="1:18" hidden="1" x14ac:dyDescent="0.3">
      <c r="A101" s="122" t="s">
        <v>206</v>
      </c>
      <c r="B101" s="88" t="e">
        <f>VLOOKUP(A101,'[2]Billing Dimensions'!A:B,2,FALSE)</f>
        <v>#N/A</v>
      </c>
      <c r="C101" s="115" t="e">
        <f>VLOOKUP(A101,'[2]Billing Dimensions'!$A:$N,3,FALSE)-VLOOKUP(A101,'Audit Dimensions'!$A:$N,3,FALSE)</f>
        <v>#N/A</v>
      </c>
      <c r="D101" s="115" t="e">
        <f>VLOOKUP(A101,'[2]Billing Dimensions'!$A:$N,4,FALSE)-VLOOKUP(A101,'Audit Dimensions'!$A:$N,4,FALSE)</f>
        <v>#N/A</v>
      </c>
      <c r="E101" s="115" t="e">
        <f>VLOOKUP(A101,'[2]Billing Dimensions'!$A:$N,5,FALSE)-VLOOKUP(A101,'Audit Dimensions'!$A:$N,5,FALSE)</f>
        <v>#N/A</v>
      </c>
      <c r="F101" s="114" t="e">
        <f>VLOOKUP(A101,'[2]Billing Dimensions'!$A:$N,6,FALSE)-VLOOKUP(A101,'Audit Dimensions'!$A:$N,6,FALSE)</f>
        <v>#N/A</v>
      </c>
      <c r="G101" s="107" t="e">
        <f>VLOOKUP(A101,'[2]Billing Dimensions'!$A:$N,7,FALSE)-VLOOKUP(A101,'Audit Dimensions'!$A:$N,7,FALSE)</f>
        <v>#N/A</v>
      </c>
      <c r="H101" s="107" t="e">
        <f>VLOOKUP(A101,'[2]Billing Dimensions'!$A:$N,8,FALSE)-VLOOKUP(A101,'Audit Dimensions'!$A:$N,8,FALSE)</f>
        <v>#N/A</v>
      </c>
      <c r="I101" s="107" t="e">
        <f>VLOOKUP(A101,'[2]Billing Dimensions'!$A:$N,9,FALSE)-VLOOKUP(A101,'Audit Dimensions'!$A:$N,9,FALSE)</f>
        <v>#N/A</v>
      </c>
      <c r="J101" s="106" t="e">
        <f>VLOOKUP(A101,'[2]Billing Dimensions'!$A:$N,10,FALSE)-VLOOKUP(A101,'Audit Dimensions'!$A:$N,10,FALSE)</f>
        <v>#N/A</v>
      </c>
      <c r="K101" s="105" t="e">
        <f>VLOOKUP(A101,'[2]Billing Dimensions'!$A:$N,11,FALSE)-VLOOKUP(A101,'Audit Dimensions'!$A:$N,11,FALSE)</f>
        <v>#N/A</v>
      </c>
      <c r="L101" s="105" t="e">
        <f>VLOOKUP(A101,'[2]Billing Dimensions'!$A:$N,12,FALSE)-VLOOKUP(A101,'Audit Dimensions'!$A:$N,12,FALSE)</f>
        <v>#N/A</v>
      </c>
      <c r="M101" s="105" t="e">
        <f>VLOOKUP(A101,'[2]Billing Dimensions'!$A:$N,13,FALSE)-VLOOKUP(A101,'Audit Dimensions'!$A:$N,13,FALSE)</f>
        <v>#N/A</v>
      </c>
      <c r="N101" s="105" t="e">
        <f>VLOOKUP(A101,'[2]Billing Dimensions'!$A:$N,14,FALSE)-VLOOKUP(A101,'Audit Dimensions'!$A:$N,14,FALSE)</f>
        <v>#N/A</v>
      </c>
      <c r="O101" s="104" t="e">
        <f>VLOOKUP(A101,'[2]Billing Dimensions'!A:Q,16,FALSE)-VLOOKUP('Audit VAR'!A101,'Audit Dimensions'!A:P,16,FALSE)</f>
        <v>#N/A</v>
      </c>
      <c r="P101" s="103" t="e">
        <f>O101/1000</f>
        <v>#N/A</v>
      </c>
      <c r="Q101" s="102" t="e">
        <f>(((C101*D101*E101)+(G101*H101*I101)+(K101*L101*M101))/1000000)*35.32</f>
        <v>#N/A</v>
      </c>
      <c r="R101" s="46" t="e">
        <f>P101/Q101</f>
        <v>#N/A</v>
      </c>
    </row>
    <row r="102" spans="1:18" hidden="1" x14ac:dyDescent="0.3">
      <c r="A102" s="122" t="s">
        <v>343</v>
      </c>
      <c r="B102" s="88" t="str">
        <f>VLOOKUP(A102,'[2]Billing Dimensions'!A:B,2,FALSE)</f>
        <v> </v>
      </c>
      <c r="C102" s="115" t="e">
        <f>VLOOKUP(A102,'[2]Billing Dimensions'!$A:$N,3,FALSE)-VLOOKUP(A102,'Audit Dimensions'!$A:$N,3,FALSE)</f>
        <v>#N/A</v>
      </c>
      <c r="D102" s="115" t="e">
        <f>VLOOKUP(A102,'[2]Billing Dimensions'!$A:$N,4,FALSE)-VLOOKUP(A102,'Audit Dimensions'!$A:$N,4,FALSE)</f>
        <v>#N/A</v>
      </c>
      <c r="E102" s="115" t="e">
        <f>VLOOKUP(A102,'[2]Billing Dimensions'!$A:$N,5,FALSE)-VLOOKUP(A102,'Audit Dimensions'!$A:$N,5,FALSE)</f>
        <v>#N/A</v>
      </c>
      <c r="F102" s="114" t="e">
        <f>VLOOKUP(A102,'[2]Billing Dimensions'!$A:$N,6,FALSE)-VLOOKUP(A102,'Audit Dimensions'!$A:$N,6,FALSE)</f>
        <v>#N/A</v>
      </c>
      <c r="G102" s="107" t="e">
        <f>VLOOKUP(A102,'[2]Billing Dimensions'!$A:$N,7,FALSE)-VLOOKUP(A102,'Audit Dimensions'!$A:$N,7,FALSE)</f>
        <v>#N/A</v>
      </c>
      <c r="H102" s="107" t="e">
        <f>VLOOKUP(A102,'[2]Billing Dimensions'!$A:$N,8,FALSE)-VLOOKUP(A102,'Audit Dimensions'!$A:$N,8,FALSE)</f>
        <v>#N/A</v>
      </c>
      <c r="I102" s="107" t="e">
        <f>VLOOKUP(A102,'[2]Billing Dimensions'!$A:$N,9,FALSE)-VLOOKUP(A102,'Audit Dimensions'!$A:$N,9,FALSE)</f>
        <v>#N/A</v>
      </c>
      <c r="J102" s="106" t="e">
        <f>VLOOKUP(A102,'[2]Billing Dimensions'!$A:$N,10,FALSE)-VLOOKUP(A102,'Audit Dimensions'!$A:$N,10,FALSE)</f>
        <v>#N/A</v>
      </c>
      <c r="K102" s="105" t="e">
        <f>VLOOKUP(A102,'[2]Billing Dimensions'!$A:$N,11,FALSE)-VLOOKUP(A102,'Audit Dimensions'!$A:$N,11,FALSE)</f>
        <v>#N/A</v>
      </c>
      <c r="L102" s="105" t="e">
        <f>VLOOKUP(A102,'[2]Billing Dimensions'!$A:$N,12,FALSE)-VLOOKUP(A102,'Audit Dimensions'!$A:$N,12,FALSE)</f>
        <v>#N/A</v>
      </c>
      <c r="M102" s="105" t="e">
        <f>VLOOKUP(A102,'[2]Billing Dimensions'!$A:$N,13,FALSE)-VLOOKUP(A102,'Audit Dimensions'!$A:$N,13,FALSE)</f>
        <v>#N/A</v>
      </c>
      <c r="N102" s="105" t="e">
        <f>VLOOKUP(A102,'[2]Billing Dimensions'!$A:$N,14,FALSE)-VLOOKUP(A102,'Audit Dimensions'!$A:$N,14,FALSE)</f>
        <v>#N/A</v>
      </c>
      <c r="O102" s="104" t="e">
        <f>VLOOKUP(A102,'[2]Billing Dimensions'!A:Q,16,FALSE)-VLOOKUP('Audit VAR'!A102,'Audit Dimensions'!A:P,16,FALSE)</f>
        <v>#N/A</v>
      </c>
      <c r="P102" s="103" t="e">
        <f>O102/1000</f>
        <v>#N/A</v>
      </c>
      <c r="Q102" s="102" t="e">
        <f>(((C102*D102*E102)+(G102*H102*I102)+(K102*L102*M102))/1000000)*35.32</f>
        <v>#N/A</v>
      </c>
      <c r="R102" s="46" t="e">
        <f>P102/Q102</f>
        <v>#N/A</v>
      </c>
    </row>
    <row r="103" spans="1:18" hidden="1" x14ac:dyDescent="0.3">
      <c r="A103" s="122" t="s">
        <v>205</v>
      </c>
      <c r="B103" s="88" t="str">
        <f>VLOOKUP(A103,'[2]Billing Dimensions'!A:B,2,FALSE)</f>
        <v>SB</v>
      </c>
      <c r="C103" s="115">
        <f>VLOOKUP(A103,'[2]Billing Dimensions'!$A:$N,3,FALSE)-VLOOKUP(A103,'Audit Dimensions'!$A:$N,3,FALSE)</f>
        <v>2</v>
      </c>
      <c r="D103" s="115">
        <f>VLOOKUP(A103,'[2]Billing Dimensions'!$A:$N,4,FALSE)-VLOOKUP(A103,'Audit Dimensions'!$A:$N,4,FALSE)</f>
        <v>-2</v>
      </c>
      <c r="E103" s="115">
        <f>VLOOKUP(A103,'[2]Billing Dimensions'!$A:$N,5,FALSE)-VLOOKUP(A103,'Audit Dimensions'!$A:$N,5,FALSE)</f>
        <v>-1</v>
      </c>
      <c r="F103" s="114">
        <f>VLOOKUP(A103,'[2]Billing Dimensions'!$A:$N,6,FALSE)-VLOOKUP(A103,'Audit Dimensions'!$A:$N,6,FALSE)</f>
        <v>100</v>
      </c>
      <c r="G103" s="107">
        <f>VLOOKUP(A103,'[2]Billing Dimensions'!$A:$N,7,FALSE)-VLOOKUP(A103,'Audit Dimensions'!$A:$N,7,FALSE)</f>
        <v>0</v>
      </c>
      <c r="H103" s="107">
        <f>VLOOKUP(A103,'[2]Billing Dimensions'!$A:$N,8,FALSE)-VLOOKUP(A103,'Audit Dimensions'!$A:$N,8,FALSE)</f>
        <v>0</v>
      </c>
      <c r="I103" s="107">
        <f>VLOOKUP(A103,'[2]Billing Dimensions'!$A:$N,9,FALSE)-VLOOKUP(A103,'Audit Dimensions'!$A:$N,9,FALSE)</f>
        <v>0</v>
      </c>
      <c r="J103" s="106">
        <f>VLOOKUP(A103,'[2]Billing Dimensions'!$A:$N,10,FALSE)-VLOOKUP(A103,'Audit Dimensions'!$A:$N,10,FALSE)</f>
        <v>0</v>
      </c>
      <c r="K103" s="105">
        <f>VLOOKUP(A103,'[2]Billing Dimensions'!$A:$N,11,FALSE)-VLOOKUP(A103,'Audit Dimensions'!$A:$N,11,FALSE)</f>
        <v>0</v>
      </c>
      <c r="L103" s="105">
        <f>VLOOKUP(A103,'[2]Billing Dimensions'!$A:$N,12,FALSE)-VLOOKUP(A103,'Audit Dimensions'!$A:$N,12,FALSE)</f>
        <v>0</v>
      </c>
      <c r="M103" s="105">
        <f>VLOOKUP(A103,'[2]Billing Dimensions'!$A:$N,13,FALSE)-VLOOKUP(A103,'Audit Dimensions'!$A:$N,13,FALSE)</f>
        <v>0</v>
      </c>
      <c r="N103" s="105">
        <f>VLOOKUP(A103,'[2]Billing Dimensions'!$A:$N,14,FALSE)-VLOOKUP(A103,'Audit Dimensions'!$A:$N,14,FALSE)</f>
        <v>0</v>
      </c>
      <c r="O103" s="104">
        <f>VLOOKUP(A103,'[2]Billing Dimensions'!A:Q,16,FALSE)-VLOOKUP('Audit VAR'!A103,'Audit Dimensions'!A:P,16,FALSE)</f>
        <v>100</v>
      </c>
      <c r="P103" s="103">
        <f>O103/1000</f>
        <v>0.1</v>
      </c>
      <c r="Q103" s="102">
        <f>(((C103*D103*E103)+(G103*H103*I103)+(K103*L103*M103))/1000000)*35.32</f>
        <v>1.4128E-4</v>
      </c>
      <c r="R103" s="46">
        <f>P103/Q103</f>
        <v>707.81426953567382</v>
      </c>
    </row>
    <row r="104" spans="1:18" hidden="1" x14ac:dyDescent="0.3">
      <c r="A104" s="122" t="s">
        <v>204</v>
      </c>
      <c r="B104" s="88" t="str">
        <f>VLOOKUP(A104,'[2]Billing Dimensions'!A:B,2,FALSE)</f>
        <v>SB</v>
      </c>
      <c r="C104" s="115">
        <f>VLOOKUP(A104,'[2]Billing Dimensions'!$A:$N,3,FALSE)-VLOOKUP(A104,'Audit Dimensions'!$A:$N,3,FALSE)</f>
        <v>2</v>
      </c>
      <c r="D104" s="115">
        <f>VLOOKUP(A104,'[2]Billing Dimensions'!$A:$N,4,FALSE)-VLOOKUP(A104,'Audit Dimensions'!$A:$N,4,FALSE)</f>
        <v>-1</v>
      </c>
      <c r="E104" s="115">
        <f>VLOOKUP(A104,'[2]Billing Dimensions'!$A:$N,5,FALSE)-VLOOKUP(A104,'Audit Dimensions'!$A:$N,5,FALSE)</f>
        <v>-1</v>
      </c>
      <c r="F104" s="114">
        <f>VLOOKUP(A104,'[2]Billing Dimensions'!$A:$N,6,FALSE)-VLOOKUP(A104,'Audit Dimensions'!$A:$N,6,FALSE)</f>
        <v>-2450</v>
      </c>
      <c r="G104" s="107">
        <f>VLOOKUP(A104,'[2]Billing Dimensions'!$A:$N,7,FALSE)-VLOOKUP(A104,'Audit Dimensions'!$A:$N,7,FALSE)</f>
        <v>0</v>
      </c>
      <c r="H104" s="107">
        <f>VLOOKUP(A104,'[2]Billing Dimensions'!$A:$N,8,FALSE)-VLOOKUP(A104,'Audit Dimensions'!$A:$N,8,FALSE)</f>
        <v>0</v>
      </c>
      <c r="I104" s="107">
        <f>VLOOKUP(A104,'[2]Billing Dimensions'!$A:$N,9,FALSE)-VLOOKUP(A104,'Audit Dimensions'!$A:$N,9,FALSE)</f>
        <v>0</v>
      </c>
      <c r="J104" s="106">
        <f>VLOOKUP(A104,'[2]Billing Dimensions'!$A:$N,10,FALSE)-VLOOKUP(A104,'Audit Dimensions'!$A:$N,10,FALSE)</f>
        <v>0</v>
      </c>
      <c r="K104" s="105">
        <f>VLOOKUP(A104,'[2]Billing Dimensions'!$A:$N,11,FALSE)-VLOOKUP(A104,'Audit Dimensions'!$A:$N,11,FALSE)</f>
        <v>0</v>
      </c>
      <c r="L104" s="105">
        <f>VLOOKUP(A104,'[2]Billing Dimensions'!$A:$N,12,FALSE)-VLOOKUP(A104,'Audit Dimensions'!$A:$N,12,FALSE)</f>
        <v>0</v>
      </c>
      <c r="M104" s="105">
        <f>VLOOKUP(A104,'[2]Billing Dimensions'!$A:$N,13,FALSE)-VLOOKUP(A104,'Audit Dimensions'!$A:$N,13,FALSE)</f>
        <v>0</v>
      </c>
      <c r="N104" s="105">
        <f>VLOOKUP(A104,'[2]Billing Dimensions'!$A:$N,14,FALSE)-VLOOKUP(A104,'Audit Dimensions'!$A:$N,14,FALSE)</f>
        <v>0</v>
      </c>
      <c r="O104" s="104">
        <f>VLOOKUP(A104,'[2]Billing Dimensions'!A:Q,16,FALSE)-VLOOKUP('Audit VAR'!A104,'Audit Dimensions'!A:P,16,FALSE)</f>
        <v>-2450</v>
      </c>
      <c r="P104" s="103">
        <f>O104/1000</f>
        <v>-2.4500000000000002</v>
      </c>
      <c r="Q104" s="102">
        <f>(((C104*D104*E104)+(G104*H104*I104)+(K104*L104*M104))/1000000)*35.32</f>
        <v>7.0640000000000001E-5</v>
      </c>
      <c r="R104" s="46">
        <f>P104/Q104</f>
        <v>-34682.899207248018</v>
      </c>
    </row>
    <row r="105" spans="1:18" ht="12.45" hidden="1" customHeight="1" x14ac:dyDescent="0.3">
      <c r="A105" s="122" t="s">
        <v>203</v>
      </c>
      <c r="B105" s="88" t="str">
        <f>VLOOKUP(A105,'[2]Billing Dimensions'!A:B,2,FALSE)</f>
        <v>SB</v>
      </c>
      <c r="C105" s="115">
        <f>VLOOKUP(A105,'[2]Billing Dimensions'!$A:$N,3,FALSE)-VLOOKUP(A105,'Audit Dimensions'!$A:$N,3,FALSE)</f>
        <v>-5</v>
      </c>
      <c r="D105" s="115">
        <f>VLOOKUP(A105,'[2]Billing Dimensions'!$A:$N,4,FALSE)-VLOOKUP(A105,'Audit Dimensions'!$A:$N,4,FALSE)</f>
        <v>-1</v>
      </c>
      <c r="E105" s="115">
        <f>VLOOKUP(A105,'[2]Billing Dimensions'!$A:$N,5,FALSE)-VLOOKUP(A105,'Audit Dimensions'!$A:$N,5,FALSE)</f>
        <v>1</v>
      </c>
      <c r="F105" s="114">
        <f>VLOOKUP(A105,'[2]Billing Dimensions'!$A:$N,6,FALSE)-VLOOKUP(A105,'Audit Dimensions'!$A:$N,6,FALSE)</f>
        <v>-400</v>
      </c>
      <c r="G105" s="107">
        <f>VLOOKUP(A105,'[2]Billing Dimensions'!$A:$N,7,FALSE)-VLOOKUP(A105,'Audit Dimensions'!$A:$N,7,FALSE)</f>
        <v>0</v>
      </c>
      <c r="H105" s="107">
        <f>VLOOKUP(A105,'[2]Billing Dimensions'!$A:$N,8,FALSE)-VLOOKUP(A105,'Audit Dimensions'!$A:$N,8,FALSE)</f>
        <v>0</v>
      </c>
      <c r="I105" s="107">
        <f>VLOOKUP(A105,'[2]Billing Dimensions'!$A:$N,9,FALSE)-VLOOKUP(A105,'Audit Dimensions'!$A:$N,9,FALSE)</f>
        <v>0</v>
      </c>
      <c r="J105" s="106">
        <f>VLOOKUP(A105,'[2]Billing Dimensions'!$A:$N,10,FALSE)-VLOOKUP(A105,'Audit Dimensions'!$A:$N,10,FALSE)</f>
        <v>0</v>
      </c>
      <c r="K105" s="105">
        <f>VLOOKUP(A105,'[2]Billing Dimensions'!$A:$N,11,FALSE)-VLOOKUP(A105,'Audit Dimensions'!$A:$N,11,FALSE)</f>
        <v>0</v>
      </c>
      <c r="L105" s="105">
        <f>VLOOKUP(A105,'[2]Billing Dimensions'!$A:$N,12,FALSE)-VLOOKUP(A105,'Audit Dimensions'!$A:$N,12,FALSE)</f>
        <v>0</v>
      </c>
      <c r="M105" s="105">
        <f>VLOOKUP(A105,'[2]Billing Dimensions'!$A:$N,13,FALSE)-VLOOKUP(A105,'Audit Dimensions'!$A:$N,13,FALSE)</f>
        <v>0</v>
      </c>
      <c r="N105" s="105">
        <f>VLOOKUP(A105,'[2]Billing Dimensions'!$A:$N,14,FALSE)-VLOOKUP(A105,'Audit Dimensions'!$A:$N,14,FALSE)</f>
        <v>0</v>
      </c>
      <c r="O105" s="104">
        <f>VLOOKUP(A105,'[2]Billing Dimensions'!A:Q,16,FALSE)-VLOOKUP('Audit VAR'!A105,'Audit Dimensions'!A:P,16,FALSE)</f>
        <v>-400</v>
      </c>
      <c r="P105" s="103">
        <f>O105/1000</f>
        <v>-0.4</v>
      </c>
      <c r="Q105" s="102">
        <f>(((C105*D105*E105)+(G105*H105*I105)+(K105*L105*M105))/1000000)*35.32</f>
        <v>1.7660000000000001E-4</v>
      </c>
      <c r="R105" s="46">
        <f>P105/Q105</f>
        <v>-2265.0056625141565</v>
      </c>
    </row>
    <row r="106" spans="1:18" ht="14.4" hidden="1" customHeight="1" x14ac:dyDescent="0.3">
      <c r="A106" s="122" t="s">
        <v>202</v>
      </c>
      <c r="B106" s="88" t="str">
        <f>VLOOKUP(A106,'[2]Billing Dimensions'!A:B,2,FALSE)</f>
        <v>SB</v>
      </c>
      <c r="C106" s="115">
        <f>VLOOKUP(A106,'[2]Billing Dimensions'!$A:$N,3,FALSE)-VLOOKUP(A106,'Audit Dimensions'!$A:$N,3,FALSE)</f>
        <v>0</v>
      </c>
      <c r="D106" s="115">
        <f>VLOOKUP(A106,'[2]Billing Dimensions'!$A:$N,4,FALSE)-VLOOKUP(A106,'Audit Dimensions'!$A:$N,4,FALSE)</f>
        <v>1</v>
      </c>
      <c r="E106" s="115">
        <f>VLOOKUP(A106,'[2]Billing Dimensions'!$A:$N,5,FALSE)-VLOOKUP(A106,'Audit Dimensions'!$A:$N,5,FALSE)</f>
        <v>0</v>
      </c>
      <c r="F106" s="114">
        <f>VLOOKUP(A106,'[2]Billing Dimensions'!$A:$N,6,FALSE)-VLOOKUP(A106,'Audit Dimensions'!$A:$N,6,FALSE)</f>
        <v>-405</v>
      </c>
      <c r="G106" s="107">
        <f>VLOOKUP(A106,'[2]Billing Dimensions'!$A:$N,7,FALSE)-VLOOKUP(A106,'Audit Dimensions'!$A:$N,7,FALSE)</f>
        <v>0</v>
      </c>
      <c r="H106" s="107">
        <f>VLOOKUP(A106,'[2]Billing Dimensions'!$A:$N,8,FALSE)-VLOOKUP(A106,'Audit Dimensions'!$A:$N,8,FALSE)</f>
        <v>0</v>
      </c>
      <c r="I106" s="107">
        <f>VLOOKUP(A106,'[2]Billing Dimensions'!$A:$N,9,FALSE)-VLOOKUP(A106,'Audit Dimensions'!$A:$N,9,FALSE)</f>
        <v>0</v>
      </c>
      <c r="J106" s="106">
        <f>VLOOKUP(A106,'[2]Billing Dimensions'!$A:$N,10,FALSE)-VLOOKUP(A106,'Audit Dimensions'!$A:$N,10,FALSE)</f>
        <v>0</v>
      </c>
      <c r="K106" s="105">
        <f>VLOOKUP(A106,'[2]Billing Dimensions'!$A:$N,11,FALSE)-VLOOKUP(A106,'Audit Dimensions'!$A:$N,11,FALSE)</f>
        <v>0</v>
      </c>
      <c r="L106" s="105">
        <f>VLOOKUP(A106,'[2]Billing Dimensions'!$A:$N,12,FALSE)-VLOOKUP(A106,'Audit Dimensions'!$A:$N,12,FALSE)</f>
        <v>0</v>
      </c>
      <c r="M106" s="105">
        <f>VLOOKUP(A106,'[2]Billing Dimensions'!$A:$N,13,FALSE)-VLOOKUP(A106,'Audit Dimensions'!$A:$N,13,FALSE)</f>
        <v>0</v>
      </c>
      <c r="N106" s="105">
        <f>VLOOKUP(A106,'[2]Billing Dimensions'!$A:$N,14,FALSE)-VLOOKUP(A106,'Audit Dimensions'!$A:$N,14,FALSE)</f>
        <v>0</v>
      </c>
      <c r="O106" s="104">
        <f>VLOOKUP(A106,'[2]Billing Dimensions'!A:Q,16,FALSE)-VLOOKUP('Audit VAR'!A106,'Audit Dimensions'!A:P,16,FALSE)</f>
        <v>-405</v>
      </c>
      <c r="P106" s="103">
        <f>O106/1000</f>
        <v>-0.40500000000000003</v>
      </c>
      <c r="Q106" s="102">
        <f>(((C106*D106*E106)+(G106*H106*I106)+(K106*L106*M106))/1000000)*35.32</f>
        <v>0</v>
      </c>
      <c r="R106" s="46" t="e">
        <f>P106/Q106</f>
        <v>#DIV/0!</v>
      </c>
    </row>
    <row r="107" spans="1:18" hidden="1" x14ac:dyDescent="0.3">
      <c r="A107" s="122" t="s">
        <v>201</v>
      </c>
      <c r="B107" s="88" t="str">
        <f>VLOOKUP(A107,'[2]Billing Dimensions'!A:B,2,FALSE)</f>
        <v>SB</v>
      </c>
      <c r="C107" s="115">
        <f>VLOOKUP(A107,'[2]Billing Dimensions'!$A:$N,3,FALSE)-VLOOKUP(A107,'Audit Dimensions'!$A:$N,3,FALSE)</f>
        <v>-1</v>
      </c>
      <c r="D107" s="115">
        <f>VLOOKUP(A107,'[2]Billing Dimensions'!$A:$N,4,FALSE)-VLOOKUP(A107,'Audit Dimensions'!$A:$N,4,FALSE)</f>
        <v>1</v>
      </c>
      <c r="E107" s="115">
        <f>VLOOKUP(A107,'[2]Billing Dimensions'!$A:$N,5,FALSE)-VLOOKUP(A107,'Audit Dimensions'!$A:$N,5,FALSE)</f>
        <v>0</v>
      </c>
      <c r="F107" s="114">
        <f>VLOOKUP(A107,'[2]Billing Dimensions'!$A:$N,6,FALSE)-VLOOKUP(A107,'Audit Dimensions'!$A:$N,6,FALSE)</f>
        <v>-1215</v>
      </c>
      <c r="G107" s="107">
        <f>VLOOKUP(A107,'[2]Billing Dimensions'!$A:$N,7,FALSE)-VLOOKUP(A107,'Audit Dimensions'!$A:$N,7,FALSE)</f>
        <v>0</v>
      </c>
      <c r="H107" s="107">
        <f>VLOOKUP(A107,'[2]Billing Dimensions'!$A:$N,8,FALSE)-VLOOKUP(A107,'Audit Dimensions'!$A:$N,8,FALSE)</f>
        <v>0</v>
      </c>
      <c r="I107" s="107">
        <f>VLOOKUP(A107,'[2]Billing Dimensions'!$A:$N,9,FALSE)-VLOOKUP(A107,'Audit Dimensions'!$A:$N,9,FALSE)</f>
        <v>0</v>
      </c>
      <c r="J107" s="106">
        <f>VLOOKUP(A107,'[2]Billing Dimensions'!$A:$N,10,FALSE)-VLOOKUP(A107,'Audit Dimensions'!$A:$N,10,FALSE)</f>
        <v>0</v>
      </c>
      <c r="K107" s="105">
        <f>VLOOKUP(A107,'[2]Billing Dimensions'!$A:$N,11,FALSE)-VLOOKUP(A107,'Audit Dimensions'!$A:$N,11,FALSE)</f>
        <v>0</v>
      </c>
      <c r="L107" s="105">
        <f>VLOOKUP(A107,'[2]Billing Dimensions'!$A:$N,12,FALSE)-VLOOKUP(A107,'Audit Dimensions'!$A:$N,12,FALSE)</f>
        <v>0</v>
      </c>
      <c r="M107" s="105">
        <f>VLOOKUP(A107,'[2]Billing Dimensions'!$A:$N,13,FALSE)-VLOOKUP(A107,'Audit Dimensions'!$A:$N,13,FALSE)</f>
        <v>0</v>
      </c>
      <c r="N107" s="105">
        <f>VLOOKUP(A107,'[2]Billing Dimensions'!$A:$N,14,FALSE)-VLOOKUP(A107,'Audit Dimensions'!$A:$N,14,FALSE)</f>
        <v>0</v>
      </c>
      <c r="O107" s="104">
        <f>VLOOKUP(A107,'[2]Billing Dimensions'!A:Q,16,FALSE)-VLOOKUP('Audit VAR'!A107,'Audit Dimensions'!A:P,16,FALSE)</f>
        <v>-1215</v>
      </c>
      <c r="P107" s="103">
        <f>O107/1000</f>
        <v>-1.2150000000000001</v>
      </c>
      <c r="Q107" s="102">
        <f>(((C107*D107*E107)+(G107*H107*I107)+(K107*L107*M107))/1000000)*35.32</f>
        <v>0</v>
      </c>
      <c r="R107" s="46" t="e">
        <f>P107/Q107</f>
        <v>#DIV/0!</v>
      </c>
    </row>
    <row r="108" spans="1:18" hidden="1" x14ac:dyDescent="0.3">
      <c r="A108" s="122" t="s">
        <v>200</v>
      </c>
      <c r="B108" s="88" t="str">
        <f>VLOOKUP(A108,'[2]Billing Dimensions'!A:B,2,FALSE)</f>
        <v>SB</v>
      </c>
      <c r="C108" s="115">
        <f>VLOOKUP(A108,'[2]Billing Dimensions'!$A:$N,3,FALSE)-VLOOKUP(A108,'Audit Dimensions'!$A:$N,3,FALSE)</f>
        <v>0</v>
      </c>
      <c r="D108" s="115">
        <f>VLOOKUP(A108,'[2]Billing Dimensions'!$A:$N,4,FALSE)-VLOOKUP(A108,'Audit Dimensions'!$A:$N,4,FALSE)</f>
        <v>0</v>
      </c>
      <c r="E108" s="115">
        <f>VLOOKUP(A108,'[2]Billing Dimensions'!$A:$N,5,FALSE)-VLOOKUP(A108,'Audit Dimensions'!$A:$N,5,FALSE)</f>
        <v>0</v>
      </c>
      <c r="F108" s="114">
        <f>VLOOKUP(A108,'[2]Billing Dimensions'!$A:$N,6,FALSE)-VLOOKUP(A108,'Audit Dimensions'!$A:$N,6,FALSE)</f>
        <v>-1000</v>
      </c>
      <c r="G108" s="107">
        <f>VLOOKUP(A108,'[2]Billing Dimensions'!$A:$N,7,FALSE)-VLOOKUP(A108,'Audit Dimensions'!$A:$N,7,FALSE)</f>
        <v>0</v>
      </c>
      <c r="H108" s="107">
        <f>VLOOKUP(A108,'[2]Billing Dimensions'!$A:$N,8,FALSE)-VLOOKUP(A108,'Audit Dimensions'!$A:$N,8,FALSE)</f>
        <v>0</v>
      </c>
      <c r="I108" s="107">
        <f>VLOOKUP(A108,'[2]Billing Dimensions'!$A:$N,9,FALSE)-VLOOKUP(A108,'Audit Dimensions'!$A:$N,9,FALSE)</f>
        <v>0</v>
      </c>
      <c r="J108" s="106">
        <f>VLOOKUP(A108,'[2]Billing Dimensions'!$A:$N,10,FALSE)-VLOOKUP(A108,'Audit Dimensions'!$A:$N,10,FALSE)</f>
        <v>0</v>
      </c>
      <c r="K108" s="105">
        <f>VLOOKUP(A108,'[2]Billing Dimensions'!$A:$N,11,FALSE)-VLOOKUP(A108,'Audit Dimensions'!$A:$N,11,FALSE)</f>
        <v>0</v>
      </c>
      <c r="L108" s="105">
        <f>VLOOKUP(A108,'[2]Billing Dimensions'!$A:$N,12,FALSE)-VLOOKUP(A108,'Audit Dimensions'!$A:$N,12,FALSE)</f>
        <v>0</v>
      </c>
      <c r="M108" s="105">
        <f>VLOOKUP(A108,'[2]Billing Dimensions'!$A:$N,13,FALSE)-VLOOKUP(A108,'Audit Dimensions'!$A:$N,13,FALSE)</f>
        <v>0</v>
      </c>
      <c r="N108" s="105">
        <f>VLOOKUP(A108,'[2]Billing Dimensions'!$A:$N,14,FALSE)-VLOOKUP(A108,'Audit Dimensions'!$A:$N,14,FALSE)</f>
        <v>0</v>
      </c>
      <c r="O108" s="104">
        <f>VLOOKUP(A108,'[2]Billing Dimensions'!A:Q,16,FALSE)-VLOOKUP('Audit VAR'!A108,'Audit Dimensions'!A:P,16,FALSE)</f>
        <v>-1000</v>
      </c>
      <c r="P108" s="103">
        <f>O108/1000</f>
        <v>-1</v>
      </c>
      <c r="Q108" s="102">
        <f>(((C108*D108*E108)+(G108*H108*I108)+(K108*L108*M108))/1000000)*35.32</f>
        <v>0</v>
      </c>
      <c r="R108" s="46" t="e">
        <f>P108/Q108</f>
        <v>#DIV/0!</v>
      </c>
    </row>
    <row r="109" spans="1:18" ht="14.4" hidden="1" customHeight="1" x14ac:dyDescent="0.3">
      <c r="A109" s="122" t="s">
        <v>199</v>
      </c>
      <c r="B109" s="88" t="str">
        <f>VLOOKUP(A109,'[2]Billing Dimensions'!A:B,2,FALSE)</f>
        <v> </v>
      </c>
      <c r="C109" s="115">
        <f>VLOOKUP(A109,'[2]Billing Dimensions'!$A:$N,3,FALSE)-VLOOKUP(A109,'Audit Dimensions'!$A:$N,3,FALSE)</f>
        <v>0</v>
      </c>
      <c r="D109" s="115">
        <f>VLOOKUP(A109,'[2]Billing Dimensions'!$A:$N,4,FALSE)-VLOOKUP(A109,'Audit Dimensions'!$A:$N,4,FALSE)</f>
        <v>0</v>
      </c>
      <c r="E109" s="115">
        <f>VLOOKUP(A109,'[2]Billing Dimensions'!$A:$N,5,FALSE)-VLOOKUP(A109,'Audit Dimensions'!$A:$N,5,FALSE)</f>
        <v>0</v>
      </c>
      <c r="F109" s="114">
        <f>VLOOKUP(A109,'[2]Billing Dimensions'!$A:$N,6,FALSE)-VLOOKUP(A109,'Audit Dimensions'!$A:$N,6,FALSE)</f>
        <v>0</v>
      </c>
      <c r="G109" s="107">
        <f>VLOOKUP(A109,'[2]Billing Dimensions'!$A:$N,7,FALSE)-VLOOKUP(A109,'Audit Dimensions'!$A:$N,7,FALSE)</f>
        <v>0</v>
      </c>
      <c r="H109" s="107">
        <f>VLOOKUP(A109,'[2]Billing Dimensions'!$A:$N,8,FALSE)-VLOOKUP(A109,'Audit Dimensions'!$A:$N,8,FALSE)</f>
        <v>0</v>
      </c>
      <c r="I109" s="107">
        <f>VLOOKUP(A109,'[2]Billing Dimensions'!$A:$N,9,FALSE)-VLOOKUP(A109,'Audit Dimensions'!$A:$N,9,FALSE)</f>
        <v>0</v>
      </c>
      <c r="J109" s="106">
        <f>VLOOKUP(A109,'[2]Billing Dimensions'!$A:$N,10,FALSE)-VLOOKUP(A109,'Audit Dimensions'!$A:$N,10,FALSE)</f>
        <v>0</v>
      </c>
      <c r="K109" s="105">
        <f>VLOOKUP(A109,'[2]Billing Dimensions'!$A:$N,11,FALSE)-VLOOKUP(A109,'Audit Dimensions'!$A:$N,11,FALSE)</f>
        <v>0</v>
      </c>
      <c r="L109" s="105">
        <f>VLOOKUP(A109,'[2]Billing Dimensions'!$A:$N,12,FALSE)-VLOOKUP(A109,'Audit Dimensions'!$A:$N,12,FALSE)</f>
        <v>0</v>
      </c>
      <c r="M109" s="105">
        <f>VLOOKUP(A109,'[2]Billing Dimensions'!$A:$N,13,FALSE)-VLOOKUP(A109,'Audit Dimensions'!$A:$N,13,FALSE)</f>
        <v>0</v>
      </c>
      <c r="N109" s="105">
        <f>VLOOKUP(A109,'[2]Billing Dimensions'!$A:$N,14,FALSE)-VLOOKUP(A109,'Audit Dimensions'!$A:$N,14,FALSE)</f>
        <v>0</v>
      </c>
      <c r="O109" s="104">
        <f>VLOOKUP(A109,'[2]Billing Dimensions'!A:Q,16,FALSE)-VLOOKUP('Audit VAR'!A109,'Audit Dimensions'!A:P,16,FALSE)</f>
        <v>0</v>
      </c>
      <c r="P109" s="103">
        <f>O109/1000</f>
        <v>0</v>
      </c>
      <c r="Q109" s="102">
        <f>(((C109*D109*E109)+(G109*H109*I109)+(K109*L109*M109))/1000000)*35.32</f>
        <v>0</v>
      </c>
      <c r="R109" s="46" t="e">
        <f>P109/Q109</f>
        <v>#DIV/0!</v>
      </c>
    </row>
    <row r="110" spans="1:18" hidden="1" x14ac:dyDescent="0.3">
      <c r="A110" s="122" t="s">
        <v>198</v>
      </c>
      <c r="B110" s="88" t="e">
        <f>VLOOKUP(A110,'[2]Billing Dimensions'!A:B,2,FALSE)</f>
        <v>#N/A</v>
      </c>
      <c r="C110" s="115" t="e">
        <f>VLOOKUP(A110,'[2]Billing Dimensions'!$A:$N,3,FALSE)-VLOOKUP(A110,'Audit Dimensions'!$A:$N,3,FALSE)</f>
        <v>#N/A</v>
      </c>
      <c r="D110" s="115" t="e">
        <f>VLOOKUP(A110,'[2]Billing Dimensions'!$A:$N,4,FALSE)-VLOOKUP(A110,'Audit Dimensions'!$A:$N,4,FALSE)</f>
        <v>#N/A</v>
      </c>
      <c r="E110" s="115" t="e">
        <f>VLOOKUP(A110,'[2]Billing Dimensions'!$A:$N,5,FALSE)-VLOOKUP(A110,'Audit Dimensions'!$A:$N,5,FALSE)</f>
        <v>#N/A</v>
      </c>
      <c r="F110" s="114" t="e">
        <f>VLOOKUP(A110,'[2]Billing Dimensions'!$A:$N,6,FALSE)-VLOOKUP(A110,'Audit Dimensions'!$A:$N,6,FALSE)</f>
        <v>#N/A</v>
      </c>
      <c r="G110" s="107" t="e">
        <f>VLOOKUP(A110,'[2]Billing Dimensions'!$A:$N,7,FALSE)-VLOOKUP(A110,'Audit Dimensions'!$A:$N,7,FALSE)</f>
        <v>#N/A</v>
      </c>
      <c r="H110" s="107" t="e">
        <f>VLOOKUP(A110,'[2]Billing Dimensions'!$A:$N,8,FALSE)-VLOOKUP(A110,'Audit Dimensions'!$A:$N,8,FALSE)</f>
        <v>#N/A</v>
      </c>
      <c r="I110" s="107" t="e">
        <f>VLOOKUP(A110,'[2]Billing Dimensions'!$A:$N,9,FALSE)-VLOOKUP(A110,'Audit Dimensions'!$A:$N,9,FALSE)</f>
        <v>#N/A</v>
      </c>
      <c r="J110" s="106" t="e">
        <f>VLOOKUP(A110,'[2]Billing Dimensions'!$A:$N,10,FALSE)-VLOOKUP(A110,'Audit Dimensions'!$A:$N,10,FALSE)</f>
        <v>#N/A</v>
      </c>
      <c r="K110" s="105" t="e">
        <f>VLOOKUP(A110,'[2]Billing Dimensions'!$A:$N,11,FALSE)-VLOOKUP(A110,'Audit Dimensions'!$A:$N,11,FALSE)</f>
        <v>#N/A</v>
      </c>
      <c r="L110" s="105" t="e">
        <f>VLOOKUP(A110,'[2]Billing Dimensions'!$A:$N,12,FALSE)-VLOOKUP(A110,'Audit Dimensions'!$A:$N,12,FALSE)</f>
        <v>#N/A</v>
      </c>
      <c r="M110" s="105" t="e">
        <f>VLOOKUP(A110,'[2]Billing Dimensions'!$A:$N,13,FALSE)-VLOOKUP(A110,'Audit Dimensions'!$A:$N,13,FALSE)</f>
        <v>#N/A</v>
      </c>
      <c r="N110" s="105" t="e">
        <f>VLOOKUP(A110,'[2]Billing Dimensions'!$A:$N,14,FALSE)-VLOOKUP(A110,'Audit Dimensions'!$A:$N,14,FALSE)</f>
        <v>#N/A</v>
      </c>
      <c r="O110" s="104" t="e">
        <f>VLOOKUP(A110,'[2]Billing Dimensions'!A:Q,16,FALSE)-VLOOKUP('Audit VAR'!A110,'Audit Dimensions'!A:P,16,FALSE)</f>
        <v>#N/A</v>
      </c>
      <c r="P110" s="103" t="e">
        <f>O110/1000</f>
        <v>#N/A</v>
      </c>
      <c r="Q110" s="102" t="e">
        <f>(((C110*D110*E110)+(G110*H110*I110)+(K110*L110*M110))/1000000)*35.32</f>
        <v>#N/A</v>
      </c>
      <c r="R110" s="46" t="e">
        <f>P110/Q110</f>
        <v>#N/A</v>
      </c>
    </row>
    <row r="111" spans="1:18" ht="14.4" hidden="1" customHeight="1" x14ac:dyDescent="0.3">
      <c r="A111" s="122" t="s">
        <v>197</v>
      </c>
      <c r="B111" s="88" t="str">
        <f>VLOOKUP(A111,'[2]Billing Dimensions'!A:B,2,FALSE)</f>
        <v>SB</v>
      </c>
      <c r="C111" s="115">
        <f>VLOOKUP(A111,'[2]Billing Dimensions'!$A:$N,3,FALSE)-VLOOKUP(A111,'Audit Dimensions'!$A:$N,3,FALSE)</f>
        <v>3</v>
      </c>
      <c r="D111" s="115">
        <f>VLOOKUP(A111,'[2]Billing Dimensions'!$A:$N,4,FALSE)-VLOOKUP(A111,'Audit Dimensions'!$A:$N,4,FALSE)</f>
        <v>0</v>
      </c>
      <c r="E111" s="115">
        <f>VLOOKUP(A111,'[2]Billing Dimensions'!$A:$N,5,FALSE)-VLOOKUP(A111,'Audit Dimensions'!$A:$N,5,FALSE)</f>
        <v>1</v>
      </c>
      <c r="F111" s="114">
        <f>VLOOKUP(A111,'[2]Billing Dimensions'!$A:$N,6,FALSE)-VLOOKUP(A111,'Audit Dimensions'!$A:$N,6,FALSE)</f>
        <v>-390</v>
      </c>
      <c r="G111" s="107">
        <f>VLOOKUP(A111,'[2]Billing Dimensions'!$A:$N,7,FALSE)-VLOOKUP(A111,'Audit Dimensions'!$A:$N,7,FALSE)</f>
        <v>0</v>
      </c>
      <c r="H111" s="107">
        <f>VLOOKUP(A111,'[2]Billing Dimensions'!$A:$N,8,FALSE)-VLOOKUP(A111,'Audit Dimensions'!$A:$N,8,FALSE)</f>
        <v>0</v>
      </c>
      <c r="I111" s="107">
        <f>VLOOKUP(A111,'[2]Billing Dimensions'!$A:$N,9,FALSE)-VLOOKUP(A111,'Audit Dimensions'!$A:$N,9,FALSE)</f>
        <v>0</v>
      </c>
      <c r="J111" s="106">
        <f>VLOOKUP(A111,'[2]Billing Dimensions'!$A:$N,10,FALSE)-VLOOKUP(A111,'Audit Dimensions'!$A:$N,10,FALSE)</f>
        <v>0</v>
      </c>
      <c r="K111" s="105">
        <f>VLOOKUP(A111,'[2]Billing Dimensions'!$A:$N,11,FALSE)-VLOOKUP(A111,'Audit Dimensions'!$A:$N,11,FALSE)</f>
        <v>0</v>
      </c>
      <c r="L111" s="105">
        <f>VLOOKUP(A111,'[2]Billing Dimensions'!$A:$N,12,FALSE)-VLOOKUP(A111,'Audit Dimensions'!$A:$N,12,FALSE)</f>
        <v>0</v>
      </c>
      <c r="M111" s="105">
        <f>VLOOKUP(A111,'[2]Billing Dimensions'!$A:$N,13,FALSE)-VLOOKUP(A111,'Audit Dimensions'!$A:$N,13,FALSE)</f>
        <v>0</v>
      </c>
      <c r="N111" s="105">
        <f>VLOOKUP(A111,'[2]Billing Dimensions'!$A:$N,14,FALSE)-VLOOKUP(A111,'Audit Dimensions'!$A:$N,14,FALSE)</f>
        <v>0</v>
      </c>
      <c r="O111" s="104">
        <f>VLOOKUP(A111,'[2]Billing Dimensions'!A:Q,16,FALSE)-VLOOKUP('Audit VAR'!A111,'Audit Dimensions'!A:P,16,FALSE)</f>
        <v>-390</v>
      </c>
      <c r="P111" s="103">
        <f>O111/1000</f>
        <v>-0.39</v>
      </c>
      <c r="Q111" s="102">
        <f>(((C111*D111*E111)+(G111*H111*I111)+(K111*L111*M111))/1000000)*35.32</f>
        <v>0</v>
      </c>
      <c r="R111" s="46" t="e">
        <f>P111/Q111</f>
        <v>#DIV/0!</v>
      </c>
    </row>
    <row r="112" spans="1:18" ht="14.4" hidden="1" customHeight="1" x14ac:dyDescent="0.3">
      <c r="A112" s="122" t="s">
        <v>196</v>
      </c>
      <c r="B112" s="88" t="e">
        <f>VLOOKUP(A112,'[2]Billing Dimensions'!A:B,2,FALSE)</f>
        <v>#N/A</v>
      </c>
      <c r="C112" s="115" t="e">
        <f>VLOOKUP(A112,'[2]Billing Dimensions'!$A:$N,3,FALSE)-VLOOKUP(A112,'Audit Dimensions'!$A:$N,3,FALSE)</f>
        <v>#N/A</v>
      </c>
      <c r="D112" s="115" t="e">
        <f>VLOOKUP(A112,'[2]Billing Dimensions'!$A:$N,4,FALSE)-VLOOKUP(A112,'Audit Dimensions'!$A:$N,4,FALSE)</f>
        <v>#N/A</v>
      </c>
      <c r="E112" s="115" t="e">
        <f>VLOOKUP(A112,'[2]Billing Dimensions'!$A:$N,5,FALSE)-VLOOKUP(A112,'Audit Dimensions'!$A:$N,5,FALSE)</f>
        <v>#N/A</v>
      </c>
      <c r="F112" s="114" t="e">
        <f>VLOOKUP(A112,'[2]Billing Dimensions'!$A:$N,6,FALSE)-VLOOKUP(A112,'Audit Dimensions'!$A:$N,6,FALSE)</f>
        <v>#N/A</v>
      </c>
      <c r="G112" s="107" t="e">
        <f>VLOOKUP(A112,'[2]Billing Dimensions'!$A:$N,7,FALSE)-VLOOKUP(A112,'Audit Dimensions'!$A:$N,7,FALSE)</f>
        <v>#N/A</v>
      </c>
      <c r="H112" s="107" t="e">
        <f>VLOOKUP(A112,'[2]Billing Dimensions'!$A:$N,8,FALSE)-VLOOKUP(A112,'Audit Dimensions'!$A:$N,8,FALSE)</f>
        <v>#N/A</v>
      </c>
      <c r="I112" s="107" t="e">
        <f>VLOOKUP(A112,'[2]Billing Dimensions'!$A:$N,9,FALSE)-VLOOKUP(A112,'Audit Dimensions'!$A:$N,9,FALSE)</f>
        <v>#N/A</v>
      </c>
      <c r="J112" s="106" t="e">
        <f>VLOOKUP(A112,'[2]Billing Dimensions'!$A:$N,10,FALSE)-VLOOKUP(A112,'Audit Dimensions'!$A:$N,10,FALSE)</f>
        <v>#N/A</v>
      </c>
      <c r="K112" s="105" t="e">
        <f>VLOOKUP(A112,'[2]Billing Dimensions'!$A:$N,11,FALSE)-VLOOKUP(A112,'Audit Dimensions'!$A:$N,11,FALSE)</f>
        <v>#N/A</v>
      </c>
      <c r="L112" s="105" t="e">
        <f>VLOOKUP(A112,'[2]Billing Dimensions'!$A:$N,12,FALSE)-VLOOKUP(A112,'Audit Dimensions'!$A:$N,12,FALSE)</f>
        <v>#N/A</v>
      </c>
      <c r="M112" s="105" t="e">
        <f>VLOOKUP(A112,'[2]Billing Dimensions'!$A:$N,13,FALSE)-VLOOKUP(A112,'Audit Dimensions'!$A:$N,13,FALSE)</f>
        <v>#N/A</v>
      </c>
      <c r="N112" s="105" t="e">
        <f>VLOOKUP(A112,'[2]Billing Dimensions'!$A:$N,14,FALSE)-VLOOKUP(A112,'Audit Dimensions'!$A:$N,14,FALSE)</f>
        <v>#N/A</v>
      </c>
      <c r="O112" s="104" t="e">
        <f>VLOOKUP(A112,'[2]Billing Dimensions'!A:Q,16,FALSE)-VLOOKUP('Audit VAR'!A112,'Audit Dimensions'!A:P,16,FALSE)</f>
        <v>#N/A</v>
      </c>
      <c r="P112" s="103" t="e">
        <f>O112/1000</f>
        <v>#N/A</v>
      </c>
      <c r="Q112" s="102" t="e">
        <f>(((C112*D112*E112)+(G112*H112*I112)+(K112*L112*M112))/1000000)*35.32</f>
        <v>#N/A</v>
      </c>
      <c r="R112" s="46" t="e">
        <f>P112/Q112</f>
        <v>#N/A</v>
      </c>
    </row>
    <row r="113" spans="1:18" ht="14.4" hidden="1" customHeight="1" x14ac:dyDescent="0.3">
      <c r="A113" s="122" t="s">
        <v>195</v>
      </c>
      <c r="B113" s="88" t="str">
        <f>VLOOKUP(A113,'[2]Billing Dimensions'!A:B,2,FALSE)</f>
        <v>SB</v>
      </c>
      <c r="C113" s="115">
        <f>VLOOKUP(A113,'[2]Billing Dimensions'!$A:$N,3,FALSE)-VLOOKUP(A113,'Audit Dimensions'!$A:$N,3,FALSE)</f>
        <v>1</v>
      </c>
      <c r="D113" s="115">
        <f>VLOOKUP(A113,'[2]Billing Dimensions'!$A:$N,4,FALSE)-VLOOKUP(A113,'Audit Dimensions'!$A:$N,4,FALSE)</f>
        <v>-2</v>
      </c>
      <c r="E113" s="115">
        <f>VLOOKUP(A113,'[2]Billing Dimensions'!$A:$N,5,FALSE)-VLOOKUP(A113,'Audit Dimensions'!$A:$N,5,FALSE)</f>
        <v>1</v>
      </c>
      <c r="F113" s="114">
        <f>VLOOKUP(A113,'[2]Billing Dimensions'!$A:$N,6,FALSE)-VLOOKUP(A113,'Audit Dimensions'!$A:$N,6,FALSE)</f>
        <v>-960</v>
      </c>
      <c r="G113" s="107">
        <f>VLOOKUP(A113,'[2]Billing Dimensions'!$A:$N,7,FALSE)-VLOOKUP(A113,'Audit Dimensions'!$A:$N,7,FALSE)</f>
        <v>0</v>
      </c>
      <c r="H113" s="107">
        <f>VLOOKUP(A113,'[2]Billing Dimensions'!$A:$N,8,FALSE)-VLOOKUP(A113,'Audit Dimensions'!$A:$N,8,FALSE)</f>
        <v>0</v>
      </c>
      <c r="I113" s="107">
        <f>VLOOKUP(A113,'[2]Billing Dimensions'!$A:$N,9,FALSE)-VLOOKUP(A113,'Audit Dimensions'!$A:$N,9,FALSE)</f>
        <v>0</v>
      </c>
      <c r="J113" s="106">
        <f>VLOOKUP(A113,'[2]Billing Dimensions'!$A:$N,10,FALSE)-VLOOKUP(A113,'Audit Dimensions'!$A:$N,10,FALSE)</f>
        <v>0</v>
      </c>
      <c r="K113" s="105">
        <f>VLOOKUP(A113,'[2]Billing Dimensions'!$A:$N,11,FALSE)-VLOOKUP(A113,'Audit Dimensions'!$A:$N,11,FALSE)</f>
        <v>0</v>
      </c>
      <c r="L113" s="105">
        <f>VLOOKUP(A113,'[2]Billing Dimensions'!$A:$N,12,FALSE)-VLOOKUP(A113,'Audit Dimensions'!$A:$N,12,FALSE)</f>
        <v>0</v>
      </c>
      <c r="M113" s="105">
        <f>VLOOKUP(A113,'[2]Billing Dimensions'!$A:$N,13,FALSE)-VLOOKUP(A113,'Audit Dimensions'!$A:$N,13,FALSE)</f>
        <v>0</v>
      </c>
      <c r="N113" s="105">
        <f>VLOOKUP(A113,'[2]Billing Dimensions'!$A:$N,14,FALSE)-VLOOKUP(A113,'Audit Dimensions'!$A:$N,14,FALSE)</f>
        <v>0</v>
      </c>
      <c r="O113" s="104">
        <f>VLOOKUP(A113,'[2]Billing Dimensions'!A:Q,16,FALSE)-VLOOKUP('Audit VAR'!A113,'Audit Dimensions'!A:P,16,FALSE)</f>
        <v>-960</v>
      </c>
      <c r="P113" s="103">
        <f>O113/1000</f>
        <v>-0.96</v>
      </c>
      <c r="Q113" s="102">
        <f>(((C113*D113*E113)+(G113*H113*I113)+(K113*L113*M113))/1000000)*35.32</f>
        <v>-7.0640000000000001E-5</v>
      </c>
      <c r="R113" s="46">
        <f>P113/Q113</f>
        <v>13590.033975084936</v>
      </c>
    </row>
    <row r="114" spans="1:18" ht="14.4" hidden="1" customHeight="1" x14ac:dyDescent="0.3">
      <c r="A114" s="122" t="s">
        <v>194</v>
      </c>
      <c r="B114" s="88" t="str">
        <f>VLOOKUP(A114,'[2]Billing Dimensions'!A:B,2,FALSE)</f>
        <v>SB</v>
      </c>
      <c r="C114" s="115">
        <f>VLOOKUP(A114,'[2]Billing Dimensions'!$A:$N,3,FALSE)-VLOOKUP(A114,'Audit Dimensions'!$A:$N,3,FALSE)</f>
        <v>0</v>
      </c>
      <c r="D114" s="115">
        <f>VLOOKUP(A114,'[2]Billing Dimensions'!$A:$N,4,FALSE)-VLOOKUP(A114,'Audit Dimensions'!$A:$N,4,FALSE)</f>
        <v>0</v>
      </c>
      <c r="E114" s="115">
        <f>VLOOKUP(A114,'[2]Billing Dimensions'!$A:$N,5,FALSE)-VLOOKUP(A114,'Audit Dimensions'!$A:$N,5,FALSE)</f>
        <v>-1</v>
      </c>
      <c r="F114" s="114">
        <f>VLOOKUP(A114,'[2]Billing Dimensions'!$A:$N,6,FALSE)-VLOOKUP(A114,'Audit Dimensions'!$A:$N,6,FALSE)</f>
        <v>-550</v>
      </c>
      <c r="G114" s="107">
        <f>VLOOKUP(A114,'[2]Billing Dimensions'!$A:$N,7,FALSE)-VLOOKUP(A114,'Audit Dimensions'!$A:$N,7,FALSE)</f>
        <v>0</v>
      </c>
      <c r="H114" s="107">
        <f>VLOOKUP(A114,'[2]Billing Dimensions'!$A:$N,8,FALSE)-VLOOKUP(A114,'Audit Dimensions'!$A:$N,8,FALSE)</f>
        <v>0</v>
      </c>
      <c r="I114" s="107">
        <f>VLOOKUP(A114,'[2]Billing Dimensions'!$A:$N,9,FALSE)-VLOOKUP(A114,'Audit Dimensions'!$A:$N,9,FALSE)</f>
        <v>0</v>
      </c>
      <c r="J114" s="106">
        <f>VLOOKUP(A114,'[2]Billing Dimensions'!$A:$N,10,FALSE)-VLOOKUP(A114,'Audit Dimensions'!$A:$N,10,FALSE)</f>
        <v>0</v>
      </c>
      <c r="K114" s="105">
        <f>VLOOKUP(A114,'[2]Billing Dimensions'!$A:$N,11,FALSE)-VLOOKUP(A114,'Audit Dimensions'!$A:$N,11,FALSE)</f>
        <v>0</v>
      </c>
      <c r="L114" s="105">
        <f>VLOOKUP(A114,'[2]Billing Dimensions'!$A:$N,12,FALSE)-VLOOKUP(A114,'Audit Dimensions'!$A:$N,12,FALSE)</f>
        <v>0</v>
      </c>
      <c r="M114" s="105">
        <f>VLOOKUP(A114,'[2]Billing Dimensions'!$A:$N,13,FALSE)-VLOOKUP(A114,'Audit Dimensions'!$A:$N,13,FALSE)</f>
        <v>0</v>
      </c>
      <c r="N114" s="105">
        <f>VLOOKUP(A114,'[2]Billing Dimensions'!$A:$N,14,FALSE)-VLOOKUP(A114,'Audit Dimensions'!$A:$N,14,FALSE)</f>
        <v>0</v>
      </c>
      <c r="O114" s="104">
        <f>VLOOKUP(A114,'[2]Billing Dimensions'!A:Q,16,FALSE)-VLOOKUP('Audit VAR'!A114,'Audit Dimensions'!A:P,16,FALSE)</f>
        <v>-550</v>
      </c>
      <c r="P114" s="103">
        <f>O114/1000</f>
        <v>-0.55000000000000004</v>
      </c>
      <c r="Q114" s="102">
        <f>(((C114*D114*E114)+(G114*H114*I114)+(K114*L114*M114))/1000000)*35.32</f>
        <v>0</v>
      </c>
      <c r="R114" s="46" t="e">
        <f>P114/Q114</f>
        <v>#DIV/0!</v>
      </c>
    </row>
    <row r="115" spans="1:18" ht="14.4" hidden="1" customHeight="1" x14ac:dyDescent="0.3">
      <c r="A115" s="122" t="s">
        <v>342</v>
      </c>
      <c r="B115" s="88" t="str">
        <f>VLOOKUP(A115,'[2]Billing Dimensions'!A:B,2,FALSE)</f>
        <v>SB</v>
      </c>
      <c r="C115" s="115" t="e">
        <f>VLOOKUP(A115,'[2]Billing Dimensions'!$A:$N,3,FALSE)-VLOOKUP(A115,'Audit Dimensions'!$A:$N,3,FALSE)</f>
        <v>#N/A</v>
      </c>
      <c r="D115" s="115" t="e">
        <f>VLOOKUP(A115,'[2]Billing Dimensions'!$A:$N,4,FALSE)-VLOOKUP(A115,'Audit Dimensions'!$A:$N,4,FALSE)</f>
        <v>#N/A</v>
      </c>
      <c r="E115" s="115" t="e">
        <f>VLOOKUP(A115,'[2]Billing Dimensions'!$A:$N,5,FALSE)-VLOOKUP(A115,'Audit Dimensions'!$A:$N,5,FALSE)</f>
        <v>#N/A</v>
      </c>
      <c r="F115" s="114" t="e">
        <f>VLOOKUP(A115,'[2]Billing Dimensions'!$A:$N,6,FALSE)-VLOOKUP(A115,'Audit Dimensions'!$A:$N,6,FALSE)</f>
        <v>#N/A</v>
      </c>
      <c r="G115" s="107" t="e">
        <f>VLOOKUP(A115,'[2]Billing Dimensions'!$A:$N,7,FALSE)-VLOOKUP(A115,'Audit Dimensions'!$A:$N,7,FALSE)</f>
        <v>#N/A</v>
      </c>
      <c r="H115" s="107" t="e">
        <f>VLOOKUP(A115,'[2]Billing Dimensions'!$A:$N,8,FALSE)-VLOOKUP(A115,'Audit Dimensions'!$A:$N,8,FALSE)</f>
        <v>#N/A</v>
      </c>
      <c r="I115" s="107" t="e">
        <f>VLOOKUP(A115,'[2]Billing Dimensions'!$A:$N,9,FALSE)-VLOOKUP(A115,'Audit Dimensions'!$A:$N,9,FALSE)</f>
        <v>#N/A</v>
      </c>
      <c r="J115" s="106" t="e">
        <f>VLOOKUP(A115,'[2]Billing Dimensions'!$A:$N,10,FALSE)-VLOOKUP(A115,'Audit Dimensions'!$A:$N,10,FALSE)</f>
        <v>#N/A</v>
      </c>
      <c r="K115" s="105" t="e">
        <f>VLOOKUP(A115,'[2]Billing Dimensions'!$A:$N,11,FALSE)-VLOOKUP(A115,'Audit Dimensions'!$A:$N,11,FALSE)</f>
        <v>#N/A</v>
      </c>
      <c r="L115" s="105" t="e">
        <f>VLOOKUP(A115,'[2]Billing Dimensions'!$A:$N,12,FALSE)-VLOOKUP(A115,'Audit Dimensions'!$A:$N,12,FALSE)</f>
        <v>#N/A</v>
      </c>
      <c r="M115" s="105" t="e">
        <f>VLOOKUP(A115,'[2]Billing Dimensions'!$A:$N,13,FALSE)-VLOOKUP(A115,'Audit Dimensions'!$A:$N,13,FALSE)</f>
        <v>#N/A</v>
      </c>
      <c r="N115" s="105" t="e">
        <f>VLOOKUP(A115,'[2]Billing Dimensions'!$A:$N,14,FALSE)-VLOOKUP(A115,'Audit Dimensions'!$A:$N,14,FALSE)</f>
        <v>#N/A</v>
      </c>
      <c r="O115" s="104" t="e">
        <f>VLOOKUP(A115,'[2]Billing Dimensions'!A:Q,16,FALSE)-VLOOKUP('Audit VAR'!A115,'Audit Dimensions'!A:P,16,FALSE)</f>
        <v>#N/A</v>
      </c>
      <c r="P115" s="103" t="e">
        <f>O115/1000</f>
        <v>#N/A</v>
      </c>
      <c r="Q115" s="102" t="e">
        <f>(((C115*D115*E115)+(G115*H115*I115)+(K115*L115*M115))/1000000)*35.32</f>
        <v>#N/A</v>
      </c>
      <c r="R115" s="46" t="e">
        <f>P115/Q115</f>
        <v>#N/A</v>
      </c>
    </row>
    <row r="116" spans="1:18" ht="14.4" hidden="1" customHeight="1" x14ac:dyDescent="0.3">
      <c r="A116" s="122" t="s">
        <v>193</v>
      </c>
      <c r="B116" s="88" t="str">
        <f>VLOOKUP(A116,'[2]Billing Dimensions'!A:B,2,FALSE)</f>
        <v>SB</v>
      </c>
      <c r="C116" s="115">
        <f>VLOOKUP(A116,'[2]Billing Dimensions'!$A:$N,3,FALSE)-VLOOKUP(A116,'Audit Dimensions'!$A:$N,3,FALSE)</f>
        <v>3</v>
      </c>
      <c r="D116" s="115">
        <f>VLOOKUP(A116,'[2]Billing Dimensions'!$A:$N,4,FALSE)-VLOOKUP(A116,'Audit Dimensions'!$A:$N,4,FALSE)</f>
        <v>-3</v>
      </c>
      <c r="E116" s="115">
        <f>VLOOKUP(A116,'[2]Billing Dimensions'!$A:$N,5,FALSE)-VLOOKUP(A116,'Audit Dimensions'!$A:$N,5,FALSE)</f>
        <v>0</v>
      </c>
      <c r="F116" s="114">
        <f>VLOOKUP(A116,'[2]Billing Dimensions'!$A:$N,6,FALSE)-VLOOKUP(A116,'Audit Dimensions'!$A:$N,6,FALSE)</f>
        <v>-860</v>
      </c>
      <c r="G116" s="107">
        <f>VLOOKUP(A116,'[2]Billing Dimensions'!$A:$N,7,FALSE)-VLOOKUP(A116,'Audit Dimensions'!$A:$N,7,FALSE)</f>
        <v>0</v>
      </c>
      <c r="H116" s="107">
        <f>VLOOKUP(A116,'[2]Billing Dimensions'!$A:$N,8,FALSE)-VLOOKUP(A116,'Audit Dimensions'!$A:$N,8,FALSE)</f>
        <v>0</v>
      </c>
      <c r="I116" s="107">
        <f>VLOOKUP(A116,'[2]Billing Dimensions'!$A:$N,9,FALSE)-VLOOKUP(A116,'Audit Dimensions'!$A:$N,9,FALSE)</f>
        <v>0</v>
      </c>
      <c r="J116" s="106">
        <f>VLOOKUP(A116,'[2]Billing Dimensions'!$A:$N,10,FALSE)-VLOOKUP(A116,'Audit Dimensions'!$A:$N,10,FALSE)</f>
        <v>0</v>
      </c>
      <c r="K116" s="105">
        <f>VLOOKUP(A116,'[2]Billing Dimensions'!$A:$N,11,FALSE)-VLOOKUP(A116,'Audit Dimensions'!$A:$N,11,FALSE)</f>
        <v>0</v>
      </c>
      <c r="L116" s="105">
        <f>VLOOKUP(A116,'[2]Billing Dimensions'!$A:$N,12,FALSE)-VLOOKUP(A116,'Audit Dimensions'!$A:$N,12,FALSE)</f>
        <v>0</v>
      </c>
      <c r="M116" s="105">
        <f>VLOOKUP(A116,'[2]Billing Dimensions'!$A:$N,13,FALSE)-VLOOKUP(A116,'Audit Dimensions'!$A:$N,13,FALSE)</f>
        <v>0</v>
      </c>
      <c r="N116" s="105">
        <f>VLOOKUP(A116,'[2]Billing Dimensions'!$A:$N,14,FALSE)-VLOOKUP(A116,'Audit Dimensions'!$A:$N,14,FALSE)</f>
        <v>0</v>
      </c>
      <c r="O116" s="104">
        <f>VLOOKUP(A116,'[2]Billing Dimensions'!A:Q,16,FALSE)-VLOOKUP('Audit VAR'!A116,'Audit Dimensions'!A:P,16,FALSE)</f>
        <v>-860</v>
      </c>
      <c r="P116" s="103">
        <f>O116/1000</f>
        <v>-0.86</v>
      </c>
      <c r="Q116" s="102">
        <f>(((C116*D116*E116)+(G116*H116*I116)+(K116*L116*M116))/1000000)*35.32</f>
        <v>0</v>
      </c>
      <c r="R116" s="46" t="e">
        <f>P116/Q116</f>
        <v>#DIV/0!</v>
      </c>
    </row>
    <row r="117" spans="1:18" ht="14.4" hidden="1" customHeight="1" x14ac:dyDescent="0.3">
      <c r="A117" s="122" t="s">
        <v>341</v>
      </c>
      <c r="B117" s="88" t="str">
        <f>VLOOKUP(A117,'[2]Billing Dimensions'!A:B,2,FALSE)</f>
        <v> </v>
      </c>
      <c r="C117" s="115" t="e">
        <f>VLOOKUP(A117,'[2]Billing Dimensions'!$A:$N,3,FALSE)-VLOOKUP(A117,'Audit Dimensions'!$A:$N,3,FALSE)</f>
        <v>#N/A</v>
      </c>
      <c r="D117" s="115" t="e">
        <f>VLOOKUP(A117,'[2]Billing Dimensions'!$A:$N,4,FALSE)-VLOOKUP(A117,'Audit Dimensions'!$A:$N,4,FALSE)</f>
        <v>#N/A</v>
      </c>
      <c r="E117" s="115" t="e">
        <f>VLOOKUP(A117,'[2]Billing Dimensions'!$A:$N,5,FALSE)-VLOOKUP(A117,'Audit Dimensions'!$A:$N,5,FALSE)</f>
        <v>#N/A</v>
      </c>
      <c r="F117" s="114" t="e">
        <f>VLOOKUP(A117,'[2]Billing Dimensions'!$A:$N,6,FALSE)-VLOOKUP(A117,'Audit Dimensions'!$A:$N,6,FALSE)</f>
        <v>#N/A</v>
      </c>
      <c r="G117" s="107" t="e">
        <f>VLOOKUP(A117,'[2]Billing Dimensions'!$A:$N,7,FALSE)-VLOOKUP(A117,'Audit Dimensions'!$A:$N,7,FALSE)</f>
        <v>#N/A</v>
      </c>
      <c r="H117" s="107" t="e">
        <f>VLOOKUP(A117,'[2]Billing Dimensions'!$A:$N,8,FALSE)-VLOOKUP(A117,'Audit Dimensions'!$A:$N,8,FALSE)</f>
        <v>#N/A</v>
      </c>
      <c r="I117" s="107" t="e">
        <f>VLOOKUP(A117,'[2]Billing Dimensions'!$A:$N,9,FALSE)-VLOOKUP(A117,'Audit Dimensions'!$A:$N,9,FALSE)</f>
        <v>#N/A</v>
      </c>
      <c r="J117" s="106" t="e">
        <f>VLOOKUP(A117,'[2]Billing Dimensions'!$A:$N,10,FALSE)-VLOOKUP(A117,'Audit Dimensions'!$A:$N,10,FALSE)</f>
        <v>#N/A</v>
      </c>
      <c r="K117" s="105" t="e">
        <f>VLOOKUP(A117,'[2]Billing Dimensions'!$A:$N,11,FALSE)-VLOOKUP(A117,'Audit Dimensions'!$A:$N,11,FALSE)</f>
        <v>#N/A</v>
      </c>
      <c r="L117" s="105" t="e">
        <f>VLOOKUP(A117,'[2]Billing Dimensions'!$A:$N,12,FALSE)-VLOOKUP(A117,'Audit Dimensions'!$A:$N,12,FALSE)</f>
        <v>#N/A</v>
      </c>
      <c r="M117" s="105" t="e">
        <f>VLOOKUP(A117,'[2]Billing Dimensions'!$A:$N,13,FALSE)-VLOOKUP(A117,'Audit Dimensions'!$A:$N,13,FALSE)</f>
        <v>#N/A</v>
      </c>
      <c r="N117" s="105" t="e">
        <f>VLOOKUP(A117,'[2]Billing Dimensions'!$A:$N,14,FALSE)-VLOOKUP(A117,'Audit Dimensions'!$A:$N,14,FALSE)</f>
        <v>#N/A</v>
      </c>
      <c r="O117" s="104" t="e">
        <f>VLOOKUP(A117,'[2]Billing Dimensions'!A:Q,16,FALSE)-VLOOKUP('Audit VAR'!A117,'Audit Dimensions'!A:P,16,FALSE)</f>
        <v>#N/A</v>
      </c>
      <c r="P117" s="103" t="e">
        <f>O117/1000</f>
        <v>#N/A</v>
      </c>
      <c r="Q117" s="102" t="e">
        <f>(((C117*D117*E117)+(G117*H117*I117)+(K117*L117*M117))/1000000)*35.32</f>
        <v>#N/A</v>
      </c>
      <c r="R117" s="46" t="e">
        <f>P117/Q117</f>
        <v>#N/A</v>
      </c>
    </row>
    <row r="118" spans="1:18" hidden="1" x14ac:dyDescent="0.3">
      <c r="A118" s="122" t="s">
        <v>340</v>
      </c>
      <c r="B118" s="88" t="str">
        <f>VLOOKUP(A118,'[2]Billing Dimensions'!A:B,2,FALSE)</f>
        <v>SB</v>
      </c>
      <c r="C118" s="115" t="e">
        <f>VLOOKUP(A118,'[2]Billing Dimensions'!$A:$N,3,FALSE)-VLOOKUP(A118,'Audit Dimensions'!$A:$N,3,FALSE)</f>
        <v>#N/A</v>
      </c>
      <c r="D118" s="115" t="e">
        <f>VLOOKUP(A118,'[2]Billing Dimensions'!$A:$N,4,FALSE)-VLOOKUP(A118,'Audit Dimensions'!$A:$N,4,FALSE)</f>
        <v>#N/A</v>
      </c>
      <c r="E118" s="115" t="e">
        <f>VLOOKUP(A118,'[2]Billing Dimensions'!$A:$N,5,FALSE)-VLOOKUP(A118,'Audit Dimensions'!$A:$N,5,FALSE)</f>
        <v>#N/A</v>
      </c>
      <c r="F118" s="114" t="e">
        <f>VLOOKUP(A118,'[2]Billing Dimensions'!$A:$N,6,FALSE)-VLOOKUP(A118,'Audit Dimensions'!$A:$N,6,FALSE)</f>
        <v>#N/A</v>
      </c>
      <c r="G118" s="107" t="e">
        <f>VLOOKUP(A118,'[2]Billing Dimensions'!$A:$N,7,FALSE)-VLOOKUP(A118,'Audit Dimensions'!$A:$N,7,FALSE)</f>
        <v>#N/A</v>
      </c>
      <c r="H118" s="107" t="e">
        <f>VLOOKUP(A118,'[2]Billing Dimensions'!$A:$N,8,FALSE)-VLOOKUP(A118,'Audit Dimensions'!$A:$N,8,FALSE)</f>
        <v>#N/A</v>
      </c>
      <c r="I118" s="107" t="e">
        <f>VLOOKUP(A118,'[2]Billing Dimensions'!$A:$N,9,FALSE)-VLOOKUP(A118,'Audit Dimensions'!$A:$N,9,FALSE)</f>
        <v>#N/A</v>
      </c>
      <c r="J118" s="106" t="e">
        <f>VLOOKUP(A118,'[2]Billing Dimensions'!$A:$N,10,FALSE)-VLOOKUP(A118,'Audit Dimensions'!$A:$N,10,FALSE)</f>
        <v>#N/A</v>
      </c>
      <c r="K118" s="105" t="e">
        <f>VLOOKUP(A118,'[2]Billing Dimensions'!$A:$N,11,FALSE)-VLOOKUP(A118,'Audit Dimensions'!$A:$N,11,FALSE)</f>
        <v>#N/A</v>
      </c>
      <c r="L118" s="105" t="e">
        <f>VLOOKUP(A118,'[2]Billing Dimensions'!$A:$N,12,FALSE)-VLOOKUP(A118,'Audit Dimensions'!$A:$N,12,FALSE)</f>
        <v>#N/A</v>
      </c>
      <c r="M118" s="105" t="e">
        <f>VLOOKUP(A118,'[2]Billing Dimensions'!$A:$N,13,FALSE)-VLOOKUP(A118,'Audit Dimensions'!$A:$N,13,FALSE)</f>
        <v>#N/A</v>
      </c>
      <c r="N118" s="105" t="e">
        <f>VLOOKUP(A118,'[2]Billing Dimensions'!$A:$N,14,FALSE)-VLOOKUP(A118,'Audit Dimensions'!$A:$N,14,FALSE)</f>
        <v>#N/A</v>
      </c>
      <c r="O118" s="104" t="e">
        <f>VLOOKUP(A118,'[2]Billing Dimensions'!A:Q,16,FALSE)-VLOOKUP('Audit VAR'!A118,'Audit Dimensions'!A:P,16,FALSE)</f>
        <v>#N/A</v>
      </c>
      <c r="P118" s="103" t="e">
        <f>O118/1000</f>
        <v>#N/A</v>
      </c>
      <c r="Q118" s="102" t="e">
        <f>(((C118*D118*E118)+(G118*H118*I118)+(K118*L118*M118))/1000000)*35.32</f>
        <v>#N/A</v>
      </c>
      <c r="R118" s="46" t="e">
        <f>P118/Q118</f>
        <v>#N/A</v>
      </c>
    </row>
    <row r="119" spans="1:18" ht="14.4" hidden="1" customHeight="1" x14ac:dyDescent="0.3">
      <c r="A119" s="122" t="s">
        <v>192</v>
      </c>
      <c r="B119" s="88" t="str">
        <f>VLOOKUP(A119,'[2]Billing Dimensions'!A:B,2,FALSE)</f>
        <v>SB</v>
      </c>
      <c r="C119" s="115">
        <f>VLOOKUP(A119,'[2]Billing Dimensions'!$A:$N,3,FALSE)-VLOOKUP(A119,'Audit Dimensions'!$A:$N,3,FALSE)</f>
        <v>0</v>
      </c>
      <c r="D119" s="115">
        <f>VLOOKUP(A119,'[2]Billing Dimensions'!$A:$N,4,FALSE)-VLOOKUP(A119,'Audit Dimensions'!$A:$N,4,FALSE)</f>
        <v>0</v>
      </c>
      <c r="E119" s="115">
        <f>VLOOKUP(A119,'[2]Billing Dimensions'!$A:$N,5,FALSE)-VLOOKUP(A119,'Audit Dimensions'!$A:$N,5,FALSE)</f>
        <v>0</v>
      </c>
      <c r="F119" s="114">
        <f>VLOOKUP(A119,'[2]Billing Dimensions'!$A:$N,6,FALSE)-VLOOKUP(A119,'Audit Dimensions'!$A:$N,6,FALSE)</f>
        <v>-110</v>
      </c>
      <c r="G119" s="107">
        <f>VLOOKUP(A119,'[2]Billing Dimensions'!$A:$N,7,FALSE)-VLOOKUP(A119,'Audit Dimensions'!$A:$N,7,FALSE)</f>
        <v>0</v>
      </c>
      <c r="H119" s="107">
        <f>VLOOKUP(A119,'[2]Billing Dimensions'!$A:$N,8,FALSE)-VLOOKUP(A119,'Audit Dimensions'!$A:$N,8,FALSE)</f>
        <v>0</v>
      </c>
      <c r="I119" s="107">
        <f>VLOOKUP(A119,'[2]Billing Dimensions'!$A:$N,9,FALSE)-VLOOKUP(A119,'Audit Dimensions'!$A:$N,9,FALSE)</f>
        <v>0</v>
      </c>
      <c r="J119" s="106">
        <f>VLOOKUP(A119,'[2]Billing Dimensions'!$A:$N,10,FALSE)-VLOOKUP(A119,'Audit Dimensions'!$A:$N,10,FALSE)</f>
        <v>0</v>
      </c>
      <c r="K119" s="105">
        <f>VLOOKUP(A119,'[2]Billing Dimensions'!$A:$N,11,FALSE)-VLOOKUP(A119,'Audit Dimensions'!$A:$N,11,FALSE)</f>
        <v>0</v>
      </c>
      <c r="L119" s="105">
        <f>VLOOKUP(A119,'[2]Billing Dimensions'!$A:$N,12,FALSE)-VLOOKUP(A119,'Audit Dimensions'!$A:$N,12,FALSE)</f>
        <v>0</v>
      </c>
      <c r="M119" s="105">
        <f>VLOOKUP(A119,'[2]Billing Dimensions'!$A:$N,13,FALSE)-VLOOKUP(A119,'Audit Dimensions'!$A:$N,13,FALSE)</f>
        <v>0</v>
      </c>
      <c r="N119" s="105">
        <f>VLOOKUP(A119,'[2]Billing Dimensions'!$A:$N,14,FALSE)-VLOOKUP(A119,'Audit Dimensions'!$A:$N,14,FALSE)</f>
        <v>0</v>
      </c>
      <c r="O119" s="104">
        <f>VLOOKUP(A119,'[2]Billing Dimensions'!A:Q,16,FALSE)-VLOOKUP('Audit VAR'!A119,'Audit Dimensions'!A:P,16,FALSE)</f>
        <v>-110</v>
      </c>
      <c r="P119" s="103">
        <f>O119/1000</f>
        <v>-0.11</v>
      </c>
      <c r="Q119" s="102">
        <f>(((C119*D119*E119)+(G119*H119*I119)+(K119*L119*M119))/1000000)*35.32</f>
        <v>0</v>
      </c>
      <c r="R119" s="46" t="e">
        <f>P119/Q119</f>
        <v>#DIV/0!</v>
      </c>
    </row>
    <row r="120" spans="1:18" hidden="1" x14ac:dyDescent="0.3">
      <c r="A120" s="122" t="s">
        <v>191</v>
      </c>
      <c r="B120" s="88" t="str">
        <f>VLOOKUP(A120,'[2]Billing Dimensions'!A:B,2,FALSE)</f>
        <v>SB</v>
      </c>
      <c r="C120" s="115">
        <f>VLOOKUP(A120,'[2]Billing Dimensions'!$A:$N,3,FALSE)-VLOOKUP(A120,'Audit Dimensions'!$A:$N,3,FALSE)</f>
        <v>1</v>
      </c>
      <c r="D120" s="115">
        <f>VLOOKUP(A120,'[2]Billing Dimensions'!$A:$N,4,FALSE)-VLOOKUP(A120,'Audit Dimensions'!$A:$N,4,FALSE)</f>
        <v>0</v>
      </c>
      <c r="E120" s="115">
        <f>VLOOKUP(A120,'[2]Billing Dimensions'!$A:$N,5,FALSE)-VLOOKUP(A120,'Audit Dimensions'!$A:$N,5,FALSE)</f>
        <v>7</v>
      </c>
      <c r="F120" s="114">
        <f>VLOOKUP(A120,'[2]Billing Dimensions'!$A:$N,6,FALSE)-VLOOKUP(A120,'Audit Dimensions'!$A:$N,6,FALSE)</f>
        <v>500</v>
      </c>
      <c r="G120" s="107">
        <f>VLOOKUP(A120,'[2]Billing Dimensions'!$A:$N,7,FALSE)-VLOOKUP(A120,'Audit Dimensions'!$A:$N,7,FALSE)</f>
        <v>0</v>
      </c>
      <c r="H120" s="107">
        <f>VLOOKUP(A120,'[2]Billing Dimensions'!$A:$N,8,FALSE)-VLOOKUP(A120,'Audit Dimensions'!$A:$N,8,FALSE)</f>
        <v>0</v>
      </c>
      <c r="I120" s="107">
        <f>VLOOKUP(A120,'[2]Billing Dimensions'!$A:$N,9,FALSE)-VLOOKUP(A120,'Audit Dimensions'!$A:$N,9,FALSE)</f>
        <v>0</v>
      </c>
      <c r="J120" s="106">
        <f>VLOOKUP(A120,'[2]Billing Dimensions'!$A:$N,10,FALSE)-VLOOKUP(A120,'Audit Dimensions'!$A:$N,10,FALSE)</f>
        <v>0</v>
      </c>
      <c r="K120" s="105">
        <f>VLOOKUP(A120,'[2]Billing Dimensions'!$A:$N,11,FALSE)-VLOOKUP(A120,'Audit Dimensions'!$A:$N,11,FALSE)</f>
        <v>0</v>
      </c>
      <c r="L120" s="105">
        <f>VLOOKUP(A120,'[2]Billing Dimensions'!$A:$N,12,FALSE)-VLOOKUP(A120,'Audit Dimensions'!$A:$N,12,FALSE)</f>
        <v>0</v>
      </c>
      <c r="M120" s="105">
        <f>VLOOKUP(A120,'[2]Billing Dimensions'!$A:$N,13,FALSE)-VLOOKUP(A120,'Audit Dimensions'!$A:$N,13,FALSE)</f>
        <v>0</v>
      </c>
      <c r="N120" s="105">
        <f>VLOOKUP(A120,'[2]Billing Dimensions'!$A:$N,14,FALSE)-VLOOKUP(A120,'Audit Dimensions'!$A:$N,14,FALSE)</f>
        <v>0</v>
      </c>
      <c r="O120" s="104">
        <f>VLOOKUP(A120,'[2]Billing Dimensions'!A:Q,16,FALSE)-VLOOKUP('Audit VAR'!A120,'Audit Dimensions'!A:P,16,FALSE)</f>
        <v>500</v>
      </c>
      <c r="P120" s="103">
        <f>O120/1000</f>
        <v>0.5</v>
      </c>
      <c r="Q120" s="102">
        <f>(((C120*D120*E120)+(G120*H120*I120)+(K120*L120*M120))/1000000)*35.32</f>
        <v>0</v>
      </c>
      <c r="R120" s="46" t="e">
        <f>P120/Q120</f>
        <v>#DIV/0!</v>
      </c>
    </row>
    <row r="121" spans="1:18" hidden="1" x14ac:dyDescent="0.3">
      <c r="A121" s="122" t="s">
        <v>190</v>
      </c>
      <c r="B121" s="88" t="str">
        <f>VLOOKUP(A121,'[2]Billing Dimensions'!A:B,2,FALSE)</f>
        <v>SB</v>
      </c>
      <c r="C121" s="115">
        <f>VLOOKUP(A121,'[2]Billing Dimensions'!$A:$N,3,FALSE)-VLOOKUP(A121,'Audit Dimensions'!$A:$N,3,FALSE)</f>
        <v>1</v>
      </c>
      <c r="D121" s="115">
        <f>VLOOKUP(A121,'[2]Billing Dimensions'!$A:$N,4,FALSE)-VLOOKUP(A121,'Audit Dimensions'!$A:$N,4,FALSE)</f>
        <v>0</v>
      </c>
      <c r="E121" s="115">
        <f>VLOOKUP(A121,'[2]Billing Dimensions'!$A:$N,5,FALSE)-VLOOKUP(A121,'Audit Dimensions'!$A:$N,5,FALSE)</f>
        <v>0</v>
      </c>
      <c r="F121" s="114">
        <f>VLOOKUP(A121,'[2]Billing Dimensions'!$A:$N,6,FALSE)-VLOOKUP(A121,'Audit Dimensions'!$A:$N,6,FALSE)</f>
        <v>100</v>
      </c>
      <c r="G121" s="107">
        <f>VLOOKUP(A121,'[2]Billing Dimensions'!$A:$N,7,FALSE)-VLOOKUP(A121,'Audit Dimensions'!$A:$N,7,FALSE)</f>
        <v>0</v>
      </c>
      <c r="H121" s="107">
        <f>VLOOKUP(A121,'[2]Billing Dimensions'!$A:$N,8,FALSE)-VLOOKUP(A121,'Audit Dimensions'!$A:$N,8,FALSE)</f>
        <v>0</v>
      </c>
      <c r="I121" s="107">
        <f>VLOOKUP(A121,'[2]Billing Dimensions'!$A:$N,9,FALSE)-VLOOKUP(A121,'Audit Dimensions'!$A:$N,9,FALSE)</f>
        <v>0</v>
      </c>
      <c r="J121" s="106">
        <f>VLOOKUP(A121,'[2]Billing Dimensions'!$A:$N,10,FALSE)-VLOOKUP(A121,'Audit Dimensions'!$A:$N,10,FALSE)</f>
        <v>0</v>
      </c>
      <c r="K121" s="105">
        <f>VLOOKUP(A121,'[2]Billing Dimensions'!$A:$N,11,FALSE)-VLOOKUP(A121,'Audit Dimensions'!$A:$N,11,FALSE)</f>
        <v>0</v>
      </c>
      <c r="L121" s="105">
        <f>VLOOKUP(A121,'[2]Billing Dimensions'!$A:$N,12,FALSE)-VLOOKUP(A121,'Audit Dimensions'!$A:$N,12,FALSE)</f>
        <v>0</v>
      </c>
      <c r="M121" s="105">
        <f>VLOOKUP(A121,'[2]Billing Dimensions'!$A:$N,13,FALSE)-VLOOKUP(A121,'Audit Dimensions'!$A:$N,13,FALSE)</f>
        <v>0</v>
      </c>
      <c r="N121" s="105">
        <f>VLOOKUP(A121,'[2]Billing Dimensions'!$A:$N,14,FALSE)-VLOOKUP(A121,'Audit Dimensions'!$A:$N,14,FALSE)</f>
        <v>0</v>
      </c>
      <c r="O121" s="104">
        <f>VLOOKUP(A121,'[2]Billing Dimensions'!A:Q,16,FALSE)-VLOOKUP('Audit VAR'!A121,'Audit Dimensions'!A:P,16,FALSE)</f>
        <v>100</v>
      </c>
      <c r="P121" s="103">
        <f>O121/1000</f>
        <v>0.1</v>
      </c>
      <c r="Q121" s="102">
        <f>(((C121*D121*E121)+(G121*H121*I121)+(K121*L121*M121))/1000000)*35.32</f>
        <v>0</v>
      </c>
      <c r="R121" s="46" t="e">
        <f>P121/Q121</f>
        <v>#DIV/0!</v>
      </c>
    </row>
    <row r="122" spans="1:18" hidden="1" x14ac:dyDescent="0.3">
      <c r="A122" s="122" t="s">
        <v>189</v>
      </c>
      <c r="B122" s="88" t="str">
        <f>VLOOKUP(A122,'[2]Billing Dimensions'!A:B,2,FALSE)</f>
        <v>SB</v>
      </c>
      <c r="C122" s="115">
        <f>VLOOKUP(A122,'[2]Billing Dimensions'!$A:$N,3,FALSE)-VLOOKUP(A122,'Audit Dimensions'!$A:$N,3,FALSE)</f>
        <v>-69</v>
      </c>
      <c r="D122" s="115">
        <f>VLOOKUP(A122,'[2]Billing Dimensions'!$A:$N,4,FALSE)-VLOOKUP(A122,'Audit Dimensions'!$A:$N,4,FALSE)</f>
        <v>-15</v>
      </c>
      <c r="E122" s="115">
        <f>VLOOKUP(A122,'[2]Billing Dimensions'!$A:$N,5,FALSE)-VLOOKUP(A122,'Audit Dimensions'!$A:$N,5,FALSE)</f>
        <v>6</v>
      </c>
      <c r="F122" s="114">
        <f>VLOOKUP(A122,'[2]Billing Dimensions'!$A:$N,6,FALSE)-VLOOKUP(A122,'Audit Dimensions'!$A:$N,6,FALSE)</f>
        <v>-12960</v>
      </c>
      <c r="G122" s="107">
        <f>VLOOKUP(A122,'[2]Billing Dimensions'!$A:$N,7,FALSE)-VLOOKUP(A122,'Audit Dimensions'!$A:$N,7,FALSE)</f>
        <v>0</v>
      </c>
      <c r="H122" s="107">
        <f>VLOOKUP(A122,'[2]Billing Dimensions'!$A:$N,8,FALSE)-VLOOKUP(A122,'Audit Dimensions'!$A:$N,8,FALSE)</f>
        <v>0</v>
      </c>
      <c r="I122" s="107">
        <f>VLOOKUP(A122,'[2]Billing Dimensions'!$A:$N,9,FALSE)-VLOOKUP(A122,'Audit Dimensions'!$A:$N,9,FALSE)</f>
        <v>0</v>
      </c>
      <c r="J122" s="106">
        <f>VLOOKUP(A122,'[2]Billing Dimensions'!$A:$N,10,FALSE)-VLOOKUP(A122,'Audit Dimensions'!$A:$N,10,FALSE)</f>
        <v>0</v>
      </c>
      <c r="K122" s="105">
        <f>VLOOKUP(A122,'[2]Billing Dimensions'!$A:$N,11,FALSE)-VLOOKUP(A122,'Audit Dimensions'!$A:$N,11,FALSE)</f>
        <v>0</v>
      </c>
      <c r="L122" s="105">
        <f>VLOOKUP(A122,'[2]Billing Dimensions'!$A:$N,12,FALSE)-VLOOKUP(A122,'Audit Dimensions'!$A:$N,12,FALSE)</f>
        <v>0</v>
      </c>
      <c r="M122" s="105">
        <f>VLOOKUP(A122,'[2]Billing Dimensions'!$A:$N,13,FALSE)-VLOOKUP(A122,'Audit Dimensions'!$A:$N,13,FALSE)</f>
        <v>0</v>
      </c>
      <c r="N122" s="105">
        <f>VLOOKUP(A122,'[2]Billing Dimensions'!$A:$N,14,FALSE)-VLOOKUP(A122,'Audit Dimensions'!$A:$N,14,FALSE)</f>
        <v>0</v>
      </c>
      <c r="O122" s="104">
        <f>VLOOKUP(A122,'[2]Billing Dimensions'!A:Q,16,FALSE)-VLOOKUP('Audit VAR'!A122,'Audit Dimensions'!A:P,16,FALSE)</f>
        <v>-12960</v>
      </c>
      <c r="P122" s="103">
        <f>O122/1000</f>
        <v>-12.96</v>
      </c>
      <c r="Q122" s="102">
        <f>(((C122*D122*E122)+(G122*H122*I122)+(K122*L122*M122))/1000000)*35.32</f>
        <v>0.21933720000000001</v>
      </c>
      <c r="R122" s="46">
        <f>P122/Q122</f>
        <v>-59.08710423949973</v>
      </c>
    </row>
    <row r="123" spans="1:18" ht="14.4" customHeight="1" x14ac:dyDescent="0.3">
      <c r="A123" s="122" t="s">
        <v>187</v>
      </c>
      <c r="B123" s="88" t="str">
        <f>VLOOKUP(A123,'[2]Billing Dimensions'!A:B,2,FALSE)</f>
        <v>SB</v>
      </c>
      <c r="C123" s="115">
        <f>VLOOKUP(A123,'[2]Billing Dimensions'!$A:$N,3,FALSE)-VLOOKUP(A123,'Audit Dimensions'!$A:$N,3,FALSE)</f>
        <v>1</v>
      </c>
      <c r="D123" s="115">
        <f>VLOOKUP(A123,'[2]Billing Dimensions'!$A:$N,4,FALSE)-VLOOKUP(A123,'Audit Dimensions'!$A:$N,4,FALSE)</f>
        <v>1</v>
      </c>
      <c r="E123" s="115">
        <f>VLOOKUP(A123,'[2]Billing Dimensions'!$A:$N,5,FALSE)-VLOOKUP(A123,'Audit Dimensions'!$A:$N,5,FALSE)</f>
        <v>0</v>
      </c>
      <c r="F123" s="114">
        <f>VLOOKUP(A123,'[2]Billing Dimensions'!$A:$N,6,FALSE)-VLOOKUP(A123,'Audit Dimensions'!$A:$N,6,FALSE)</f>
        <v>-1500</v>
      </c>
      <c r="G123" s="107">
        <f>VLOOKUP(A123,'[2]Billing Dimensions'!$A:$N,7,FALSE)-VLOOKUP(A123,'Audit Dimensions'!$A:$N,7,FALSE)</f>
        <v>0</v>
      </c>
      <c r="H123" s="107">
        <f>VLOOKUP(A123,'[2]Billing Dimensions'!$A:$N,8,FALSE)-VLOOKUP(A123,'Audit Dimensions'!$A:$N,8,FALSE)</f>
        <v>0</v>
      </c>
      <c r="I123" s="107">
        <f>VLOOKUP(A123,'[2]Billing Dimensions'!$A:$N,9,FALSE)-VLOOKUP(A123,'Audit Dimensions'!$A:$N,9,FALSE)</f>
        <v>0</v>
      </c>
      <c r="J123" s="106">
        <f>VLOOKUP(A123,'[2]Billing Dimensions'!$A:$N,10,FALSE)-VLOOKUP(A123,'Audit Dimensions'!$A:$N,10,FALSE)</f>
        <v>0</v>
      </c>
      <c r="K123" s="105">
        <f>VLOOKUP(A123,'[2]Billing Dimensions'!$A:$N,11,FALSE)-VLOOKUP(A123,'Audit Dimensions'!$A:$N,11,FALSE)</f>
        <v>0</v>
      </c>
      <c r="L123" s="105">
        <f>VLOOKUP(A123,'[2]Billing Dimensions'!$A:$N,12,FALSE)-VLOOKUP(A123,'Audit Dimensions'!$A:$N,12,FALSE)</f>
        <v>0</v>
      </c>
      <c r="M123" s="105">
        <f>VLOOKUP(A123,'[2]Billing Dimensions'!$A:$N,13,FALSE)-VLOOKUP(A123,'Audit Dimensions'!$A:$N,13,FALSE)</f>
        <v>0</v>
      </c>
      <c r="N123" s="105">
        <f>VLOOKUP(A123,'[2]Billing Dimensions'!$A:$N,14,FALSE)-VLOOKUP(A123,'Audit Dimensions'!$A:$N,14,FALSE)</f>
        <v>0</v>
      </c>
      <c r="O123" s="104">
        <f>VLOOKUP(A123,'[2]Billing Dimensions'!A:Q,16,FALSE)-VLOOKUP('Audit VAR'!A123,'Audit Dimensions'!A:P,16,FALSE)</f>
        <v>-1500</v>
      </c>
      <c r="P123" s="103">
        <f>O123/1000</f>
        <v>-1.5</v>
      </c>
      <c r="Q123" s="102">
        <f>(((C123*D123*E123)+(G123*H123*I123)+(K123*L123*M123))/1000000)*35.32</f>
        <v>0</v>
      </c>
      <c r="R123" s="46" t="e">
        <f>P123/Q123</f>
        <v>#DIV/0!</v>
      </c>
    </row>
    <row r="124" spans="1:18" x14ac:dyDescent="0.3">
      <c r="A124" s="122" t="s">
        <v>186</v>
      </c>
      <c r="B124" s="88" t="str">
        <f>VLOOKUP(A124,'[2]Billing Dimensions'!A:B,2,FALSE)</f>
        <v>SB</v>
      </c>
      <c r="C124" s="115">
        <f>VLOOKUP(A124,'[2]Billing Dimensions'!$A:$N,3,FALSE)-VLOOKUP(A124,'Audit Dimensions'!$A:$N,3,FALSE)</f>
        <v>1</v>
      </c>
      <c r="D124" s="115">
        <f>VLOOKUP(A124,'[2]Billing Dimensions'!$A:$N,4,FALSE)-VLOOKUP(A124,'Audit Dimensions'!$A:$N,4,FALSE)</f>
        <v>0</v>
      </c>
      <c r="E124" s="115">
        <f>VLOOKUP(A124,'[2]Billing Dimensions'!$A:$N,5,FALSE)-VLOOKUP(A124,'Audit Dimensions'!$A:$N,5,FALSE)</f>
        <v>2</v>
      </c>
      <c r="F124" s="114">
        <f>VLOOKUP(A124,'[2]Billing Dimensions'!$A:$N,6,FALSE)-VLOOKUP(A124,'Audit Dimensions'!$A:$N,6,FALSE)</f>
        <v>-3500</v>
      </c>
      <c r="G124" s="107">
        <f>VLOOKUP(A124,'[2]Billing Dimensions'!$A:$N,7,FALSE)-VLOOKUP(A124,'Audit Dimensions'!$A:$N,7,FALSE)</f>
        <v>0</v>
      </c>
      <c r="H124" s="107">
        <f>VLOOKUP(A124,'[2]Billing Dimensions'!$A:$N,8,FALSE)-VLOOKUP(A124,'Audit Dimensions'!$A:$N,8,FALSE)</f>
        <v>0</v>
      </c>
      <c r="I124" s="107">
        <f>VLOOKUP(A124,'[2]Billing Dimensions'!$A:$N,9,FALSE)-VLOOKUP(A124,'Audit Dimensions'!$A:$N,9,FALSE)</f>
        <v>0</v>
      </c>
      <c r="J124" s="106">
        <f>VLOOKUP(A124,'[2]Billing Dimensions'!$A:$N,10,FALSE)-VLOOKUP(A124,'Audit Dimensions'!$A:$N,10,FALSE)</f>
        <v>0</v>
      </c>
      <c r="K124" s="105">
        <f>VLOOKUP(A124,'[2]Billing Dimensions'!$A:$N,11,FALSE)-VLOOKUP(A124,'Audit Dimensions'!$A:$N,11,FALSE)</f>
        <v>0</v>
      </c>
      <c r="L124" s="105">
        <f>VLOOKUP(A124,'[2]Billing Dimensions'!$A:$N,12,FALSE)-VLOOKUP(A124,'Audit Dimensions'!$A:$N,12,FALSE)</f>
        <v>0</v>
      </c>
      <c r="M124" s="105">
        <f>VLOOKUP(A124,'[2]Billing Dimensions'!$A:$N,13,FALSE)-VLOOKUP(A124,'Audit Dimensions'!$A:$N,13,FALSE)</f>
        <v>0</v>
      </c>
      <c r="N124" s="105">
        <f>VLOOKUP(A124,'[2]Billing Dimensions'!$A:$N,14,FALSE)-VLOOKUP(A124,'Audit Dimensions'!$A:$N,14,FALSE)</f>
        <v>0</v>
      </c>
      <c r="O124" s="104">
        <f>VLOOKUP(A124,'[2]Billing Dimensions'!A:Q,16,FALSE)-VLOOKUP('Audit VAR'!A124,'Audit Dimensions'!A:P,16,FALSE)</f>
        <v>-3500</v>
      </c>
      <c r="P124" s="103">
        <f>O124/1000</f>
        <v>-3.5</v>
      </c>
      <c r="Q124" s="102">
        <f>(((C124*D124*E124)+(G124*H124*I124)+(K124*L124*M124))/1000000)*35.32</f>
        <v>0</v>
      </c>
      <c r="R124" s="46" t="e">
        <f>P124/Q124</f>
        <v>#DIV/0!</v>
      </c>
    </row>
    <row r="125" spans="1:18" ht="14.4" hidden="1" customHeight="1" x14ac:dyDescent="0.3">
      <c r="A125" s="122" t="s">
        <v>185</v>
      </c>
      <c r="B125" s="88" t="str">
        <f>VLOOKUP(A125,'[2]Billing Dimensions'!A:B,2,FALSE)</f>
        <v>SB</v>
      </c>
      <c r="C125" s="115">
        <f>VLOOKUP(A125,'[2]Billing Dimensions'!$A:$N,3,FALSE)-VLOOKUP(A125,'Audit Dimensions'!$A:$N,3,FALSE)</f>
        <v>1</v>
      </c>
      <c r="D125" s="115">
        <f>VLOOKUP(A125,'[2]Billing Dimensions'!$A:$N,4,FALSE)-VLOOKUP(A125,'Audit Dimensions'!$A:$N,4,FALSE)</f>
        <v>1</v>
      </c>
      <c r="E125" s="115">
        <f>VLOOKUP(A125,'[2]Billing Dimensions'!$A:$N,5,FALSE)-VLOOKUP(A125,'Audit Dimensions'!$A:$N,5,FALSE)</f>
        <v>0</v>
      </c>
      <c r="F125" s="114">
        <f>VLOOKUP(A125,'[2]Billing Dimensions'!$A:$N,6,FALSE)-VLOOKUP(A125,'Audit Dimensions'!$A:$N,6,FALSE)</f>
        <v>-1350</v>
      </c>
      <c r="G125" s="107">
        <f>VLOOKUP(A125,'[2]Billing Dimensions'!$A:$N,7,FALSE)-VLOOKUP(A125,'Audit Dimensions'!$A:$N,7,FALSE)</f>
        <v>0</v>
      </c>
      <c r="H125" s="107">
        <f>VLOOKUP(A125,'[2]Billing Dimensions'!$A:$N,8,FALSE)-VLOOKUP(A125,'Audit Dimensions'!$A:$N,8,FALSE)</f>
        <v>0</v>
      </c>
      <c r="I125" s="107">
        <f>VLOOKUP(A125,'[2]Billing Dimensions'!$A:$N,9,FALSE)-VLOOKUP(A125,'Audit Dimensions'!$A:$N,9,FALSE)</f>
        <v>0</v>
      </c>
      <c r="J125" s="106">
        <f>VLOOKUP(A125,'[2]Billing Dimensions'!$A:$N,10,FALSE)-VLOOKUP(A125,'Audit Dimensions'!$A:$N,10,FALSE)</f>
        <v>0</v>
      </c>
      <c r="K125" s="105">
        <f>VLOOKUP(A125,'[2]Billing Dimensions'!$A:$N,11,FALSE)-VLOOKUP(A125,'Audit Dimensions'!$A:$N,11,FALSE)</f>
        <v>0</v>
      </c>
      <c r="L125" s="105">
        <f>VLOOKUP(A125,'[2]Billing Dimensions'!$A:$N,12,FALSE)-VLOOKUP(A125,'Audit Dimensions'!$A:$N,12,FALSE)</f>
        <v>0</v>
      </c>
      <c r="M125" s="105">
        <f>VLOOKUP(A125,'[2]Billing Dimensions'!$A:$N,13,FALSE)-VLOOKUP(A125,'Audit Dimensions'!$A:$N,13,FALSE)</f>
        <v>0</v>
      </c>
      <c r="N125" s="105">
        <f>VLOOKUP(A125,'[2]Billing Dimensions'!$A:$N,14,FALSE)-VLOOKUP(A125,'Audit Dimensions'!$A:$N,14,FALSE)</f>
        <v>0</v>
      </c>
      <c r="O125" s="104">
        <f>VLOOKUP(A125,'[2]Billing Dimensions'!A:Q,16,FALSE)-VLOOKUP('Audit VAR'!A125,'Audit Dimensions'!A:P,16,FALSE)</f>
        <v>-1350</v>
      </c>
      <c r="P125" s="103">
        <f>O125/1000</f>
        <v>-1.35</v>
      </c>
      <c r="Q125" s="102">
        <f>(((C125*D125*E125)+(G125*H125*I125)+(K125*L125*M125))/1000000)*35.32</f>
        <v>0</v>
      </c>
      <c r="R125" s="46" t="e">
        <f>P125/Q125</f>
        <v>#DIV/0!</v>
      </c>
    </row>
    <row r="126" spans="1:18" ht="14.4" hidden="1" customHeight="1" x14ac:dyDescent="0.3">
      <c r="A126" s="122" t="s">
        <v>182</v>
      </c>
      <c r="B126" s="88" t="str">
        <f>VLOOKUP(A126,'[2]Billing Dimensions'!A:B,2,FALSE)</f>
        <v>SB</v>
      </c>
      <c r="C126" s="115">
        <f>VLOOKUP(A126,'[2]Billing Dimensions'!$A:$N,3,FALSE)-VLOOKUP(A126,'Audit Dimensions'!$A:$N,3,FALSE)</f>
        <v>0</v>
      </c>
      <c r="D126" s="115">
        <f>VLOOKUP(A126,'[2]Billing Dimensions'!$A:$N,4,FALSE)-VLOOKUP(A126,'Audit Dimensions'!$A:$N,4,FALSE)</f>
        <v>0</v>
      </c>
      <c r="E126" s="115">
        <f>VLOOKUP(A126,'[2]Billing Dimensions'!$A:$N,5,FALSE)-VLOOKUP(A126,'Audit Dimensions'!$A:$N,5,FALSE)</f>
        <v>0</v>
      </c>
      <c r="F126" s="114">
        <f>VLOOKUP(A126,'[2]Billing Dimensions'!$A:$N,6,FALSE)-VLOOKUP(A126,'Audit Dimensions'!$A:$N,6,FALSE)</f>
        <v>0</v>
      </c>
      <c r="G126" s="107">
        <f>VLOOKUP(A126,'[2]Billing Dimensions'!$A:$N,7,FALSE)-VLOOKUP(A126,'Audit Dimensions'!$A:$N,7,FALSE)</f>
        <v>0</v>
      </c>
      <c r="H126" s="107">
        <f>VLOOKUP(A126,'[2]Billing Dimensions'!$A:$N,8,FALSE)-VLOOKUP(A126,'Audit Dimensions'!$A:$N,8,FALSE)</f>
        <v>0</v>
      </c>
      <c r="I126" s="107">
        <f>VLOOKUP(A126,'[2]Billing Dimensions'!$A:$N,9,FALSE)-VLOOKUP(A126,'Audit Dimensions'!$A:$N,9,FALSE)</f>
        <v>0</v>
      </c>
      <c r="J126" s="106">
        <f>VLOOKUP(A126,'[2]Billing Dimensions'!$A:$N,10,FALSE)-VLOOKUP(A126,'Audit Dimensions'!$A:$N,10,FALSE)</f>
        <v>0</v>
      </c>
      <c r="K126" s="105">
        <f>VLOOKUP(A126,'[2]Billing Dimensions'!$A:$N,11,FALSE)-VLOOKUP(A126,'Audit Dimensions'!$A:$N,11,FALSE)</f>
        <v>0</v>
      </c>
      <c r="L126" s="105">
        <f>VLOOKUP(A126,'[2]Billing Dimensions'!$A:$N,12,FALSE)-VLOOKUP(A126,'Audit Dimensions'!$A:$N,12,FALSE)</f>
        <v>0</v>
      </c>
      <c r="M126" s="105">
        <f>VLOOKUP(A126,'[2]Billing Dimensions'!$A:$N,13,FALSE)-VLOOKUP(A126,'Audit Dimensions'!$A:$N,13,FALSE)</f>
        <v>0</v>
      </c>
      <c r="N126" s="105">
        <f>VLOOKUP(A126,'[2]Billing Dimensions'!$A:$N,14,FALSE)-VLOOKUP(A126,'Audit Dimensions'!$A:$N,14,FALSE)</f>
        <v>0</v>
      </c>
      <c r="O126" s="104">
        <f>VLOOKUP(A126,'[2]Billing Dimensions'!A:Q,16,FALSE)-VLOOKUP('Audit VAR'!A126,'Audit Dimensions'!A:P,16,FALSE)</f>
        <v>0</v>
      </c>
      <c r="P126" s="103">
        <f>O126/1000</f>
        <v>0</v>
      </c>
      <c r="Q126" s="102">
        <f>(((C126*D126*E126)+(G126*H126*I126)+(K126*L126*M126))/1000000)*35.32</f>
        <v>0</v>
      </c>
      <c r="R126" s="46" t="e">
        <f>P126/Q126</f>
        <v>#DIV/0!</v>
      </c>
    </row>
    <row r="127" spans="1:18" ht="14.4" hidden="1" customHeight="1" x14ac:dyDescent="0.3">
      <c r="A127" s="122" t="s">
        <v>181</v>
      </c>
      <c r="B127" s="88" t="str">
        <f>VLOOKUP(A127,'[2]Billing Dimensions'!A:B,2,FALSE)</f>
        <v>SB</v>
      </c>
      <c r="C127" s="115">
        <f>VLOOKUP(A127,'[2]Billing Dimensions'!$A:$N,3,FALSE)-VLOOKUP(A127,'Audit Dimensions'!$A:$N,3,FALSE)</f>
        <v>0</v>
      </c>
      <c r="D127" s="115">
        <f>VLOOKUP(A127,'[2]Billing Dimensions'!$A:$N,4,FALSE)-VLOOKUP(A127,'Audit Dimensions'!$A:$N,4,FALSE)</f>
        <v>0</v>
      </c>
      <c r="E127" s="115">
        <f>VLOOKUP(A127,'[2]Billing Dimensions'!$A:$N,5,FALSE)-VLOOKUP(A127,'Audit Dimensions'!$A:$N,5,FALSE)</f>
        <v>0</v>
      </c>
      <c r="F127" s="114">
        <f>VLOOKUP(A127,'[2]Billing Dimensions'!$A:$N,6,FALSE)-VLOOKUP(A127,'Audit Dimensions'!$A:$N,6,FALSE)</f>
        <v>-1950</v>
      </c>
      <c r="G127" s="107">
        <f>VLOOKUP(A127,'[2]Billing Dimensions'!$A:$N,7,FALSE)-VLOOKUP(A127,'Audit Dimensions'!$A:$N,7,FALSE)</f>
        <v>0</v>
      </c>
      <c r="H127" s="107">
        <f>VLOOKUP(A127,'[2]Billing Dimensions'!$A:$N,8,FALSE)-VLOOKUP(A127,'Audit Dimensions'!$A:$N,8,FALSE)</f>
        <v>0</v>
      </c>
      <c r="I127" s="107">
        <f>VLOOKUP(A127,'[2]Billing Dimensions'!$A:$N,9,FALSE)-VLOOKUP(A127,'Audit Dimensions'!$A:$N,9,FALSE)</f>
        <v>0</v>
      </c>
      <c r="J127" s="106">
        <f>VLOOKUP(A127,'[2]Billing Dimensions'!$A:$N,10,FALSE)-VLOOKUP(A127,'Audit Dimensions'!$A:$N,10,FALSE)</f>
        <v>0</v>
      </c>
      <c r="K127" s="105">
        <f>VLOOKUP(A127,'[2]Billing Dimensions'!$A:$N,11,FALSE)-VLOOKUP(A127,'Audit Dimensions'!$A:$N,11,FALSE)</f>
        <v>0</v>
      </c>
      <c r="L127" s="105">
        <f>VLOOKUP(A127,'[2]Billing Dimensions'!$A:$N,12,FALSE)-VLOOKUP(A127,'Audit Dimensions'!$A:$N,12,FALSE)</f>
        <v>0</v>
      </c>
      <c r="M127" s="105">
        <f>VLOOKUP(A127,'[2]Billing Dimensions'!$A:$N,13,FALSE)-VLOOKUP(A127,'Audit Dimensions'!$A:$N,13,FALSE)</f>
        <v>0</v>
      </c>
      <c r="N127" s="105">
        <f>VLOOKUP(A127,'[2]Billing Dimensions'!$A:$N,14,FALSE)-VLOOKUP(A127,'Audit Dimensions'!$A:$N,14,FALSE)</f>
        <v>0</v>
      </c>
      <c r="O127" s="104">
        <f>VLOOKUP(A127,'[2]Billing Dimensions'!A:Q,16,FALSE)-VLOOKUP('Audit VAR'!A127,'Audit Dimensions'!A:P,16,FALSE)</f>
        <v>-1950</v>
      </c>
      <c r="P127" s="103">
        <f>O127/1000</f>
        <v>-1.95</v>
      </c>
      <c r="Q127" s="102">
        <f>(((C127*D127*E127)+(G127*H127*I127)+(K127*L127*M127))/1000000)*35.32</f>
        <v>0</v>
      </c>
      <c r="R127" s="46" t="e">
        <f>P127/Q127</f>
        <v>#DIV/0!</v>
      </c>
    </row>
    <row r="128" spans="1:18" ht="14.4" hidden="1" customHeight="1" x14ac:dyDescent="0.3">
      <c r="A128" s="122" t="s">
        <v>178</v>
      </c>
      <c r="B128" s="88" t="str">
        <f>VLOOKUP(A128,'[2]Billing Dimensions'!A:B,2,FALSE)</f>
        <v>SB</v>
      </c>
      <c r="C128" s="115">
        <f>VLOOKUP(A128,'[2]Billing Dimensions'!$A:$N,3,FALSE)-VLOOKUP(A128,'Audit Dimensions'!$A:$N,3,FALSE)</f>
        <v>-1</v>
      </c>
      <c r="D128" s="115">
        <f>VLOOKUP(A128,'[2]Billing Dimensions'!$A:$N,4,FALSE)-VLOOKUP(A128,'Audit Dimensions'!$A:$N,4,FALSE)</f>
        <v>0</v>
      </c>
      <c r="E128" s="115">
        <f>VLOOKUP(A128,'[2]Billing Dimensions'!$A:$N,5,FALSE)-VLOOKUP(A128,'Audit Dimensions'!$A:$N,5,FALSE)</f>
        <v>1</v>
      </c>
      <c r="F128" s="114">
        <f>VLOOKUP(A128,'[2]Billing Dimensions'!$A:$N,6,FALSE)-VLOOKUP(A128,'Audit Dimensions'!$A:$N,6,FALSE)</f>
        <v>-5050</v>
      </c>
      <c r="G128" s="107">
        <f>VLOOKUP(A128,'[2]Billing Dimensions'!$A:$N,7,FALSE)-VLOOKUP(A128,'Audit Dimensions'!$A:$N,7,FALSE)</f>
        <v>0</v>
      </c>
      <c r="H128" s="107">
        <f>VLOOKUP(A128,'[2]Billing Dimensions'!$A:$N,8,FALSE)-VLOOKUP(A128,'Audit Dimensions'!$A:$N,8,FALSE)</f>
        <v>0</v>
      </c>
      <c r="I128" s="107">
        <f>VLOOKUP(A128,'[2]Billing Dimensions'!$A:$N,9,FALSE)-VLOOKUP(A128,'Audit Dimensions'!$A:$N,9,FALSE)</f>
        <v>0</v>
      </c>
      <c r="J128" s="106">
        <f>VLOOKUP(A128,'[2]Billing Dimensions'!$A:$N,10,FALSE)-VLOOKUP(A128,'Audit Dimensions'!$A:$N,10,FALSE)</f>
        <v>0</v>
      </c>
      <c r="K128" s="105">
        <f>VLOOKUP(A128,'[2]Billing Dimensions'!$A:$N,11,FALSE)-VLOOKUP(A128,'Audit Dimensions'!$A:$N,11,FALSE)</f>
        <v>0</v>
      </c>
      <c r="L128" s="105">
        <f>VLOOKUP(A128,'[2]Billing Dimensions'!$A:$N,12,FALSE)-VLOOKUP(A128,'Audit Dimensions'!$A:$N,12,FALSE)</f>
        <v>0</v>
      </c>
      <c r="M128" s="105">
        <f>VLOOKUP(A128,'[2]Billing Dimensions'!$A:$N,13,FALSE)-VLOOKUP(A128,'Audit Dimensions'!$A:$N,13,FALSE)</f>
        <v>0</v>
      </c>
      <c r="N128" s="105">
        <f>VLOOKUP(A128,'[2]Billing Dimensions'!$A:$N,14,FALSE)-VLOOKUP(A128,'Audit Dimensions'!$A:$N,14,FALSE)</f>
        <v>0</v>
      </c>
      <c r="O128" s="104">
        <f>VLOOKUP(A128,'[2]Billing Dimensions'!A:Q,16,FALSE)-VLOOKUP('Audit VAR'!A128,'Audit Dimensions'!A:P,16,FALSE)</f>
        <v>-5050</v>
      </c>
      <c r="P128" s="103">
        <f>O128/1000</f>
        <v>-5.05</v>
      </c>
      <c r="Q128" s="102">
        <f>(((C128*D128*E128)+(G128*H128*I128)+(K128*L128*M128))/1000000)*35.32</f>
        <v>0</v>
      </c>
      <c r="R128" s="46" t="e">
        <f>P128/Q128</f>
        <v>#DIV/0!</v>
      </c>
    </row>
    <row r="129" spans="1:18" ht="14.4" hidden="1" customHeight="1" x14ac:dyDescent="0.3">
      <c r="A129" s="122" t="s">
        <v>339</v>
      </c>
      <c r="B129" s="88" t="str">
        <f>VLOOKUP(A129,'[2]Billing Dimensions'!A:B,2,FALSE)</f>
        <v>SB</v>
      </c>
      <c r="C129" s="115" t="e">
        <f>VLOOKUP(A129,'[2]Billing Dimensions'!$A:$N,3,FALSE)-VLOOKUP(A129,'Audit Dimensions'!$A:$N,3,FALSE)</f>
        <v>#N/A</v>
      </c>
      <c r="D129" s="115" t="e">
        <f>VLOOKUP(A129,'[2]Billing Dimensions'!$A:$N,4,FALSE)-VLOOKUP(A129,'Audit Dimensions'!$A:$N,4,FALSE)</f>
        <v>#N/A</v>
      </c>
      <c r="E129" s="115" t="e">
        <f>VLOOKUP(A129,'[2]Billing Dimensions'!$A:$N,5,FALSE)-VLOOKUP(A129,'Audit Dimensions'!$A:$N,5,FALSE)</f>
        <v>#N/A</v>
      </c>
      <c r="F129" s="114" t="e">
        <f>VLOOKUP(A129,'[2]Billing Dimensions'!$A:$N,6,FALSE)-VLOOKUP(A129,'Audit Dimensions'!$A:$N,6,FALSE)</f>
        <v>#N/A</v>
      </c>
      <c r="G129" s="107" t="e">
        <f>VLOOKUP(A129,'[2]Billing Dimensions'!$A:$N,7,FALSE)-VLOOKUP(A129,'Audit Dimensions'!$A:$N,7,FALSE)</f>
        <v>#N/A</v>
      </c>
      <c r="H129" s="107" t="e">
        <f>VLOOKUP(A129,'[2]Billing Dimensions'!$A:$N,8,FALSE)-VLOOKUP(A129,'Audit Dimensions'!$A:$N,8,FALSE)</f>
        <v>#N/A</v>
      </c>
      <c r="I129" s="107" t="e">
        <f>VLOOKUP(A129,'[2]Billing Dimensions'!$A:$N,9,FALSE)-VLOOKUP(A129,'Audit Dimensions'!$A:$N,9,FALSE)</f>
        <v>#N/A</v>
      </c>
      <c r="J129" s="106" t="e">
        <f>VLOOKUP(A129,'[2]Billing Dimensions'!$A:$N,10,FALSE)-VLOOKUP(A129,'Audit Dimensions'!$A:$N,10,FALSE)</f>
        <v>#N/A</v>
      </c>
      <c r="K129" s="105" t="e">
        <f>VLOOKUP(A129,'[2]Billing Dimensions'!$A:$N,11,FALSE)-VLOOKUP(A129,'Audit Dimensions'!$A:$N,11,FALSE)</f>
        <v>#N/A</v>
      </c>
      <c r="L129" s="105" t="e">
        <f>VLOOKUP(A129,'[2]Billing Dimensions'!$A:$N,12,FALSE)-VLOOKUP(A129,'Audit Dimensions'!$A:$N,12,FALSE)</f>
        <v>#N/A</v>
      </c>
      <c r="M129" s="105" t="e">
        <f>VLOOKUP(A129,'[2]Billing Dimensions'!$A:$N,13,FALSE)-VLOOKUP(A129,'Audit Dimensions'!$A:$N,13,FALSE)</f>
        <v>#N/A</v>
      </c>
      <c r="N129" s="105" t="e">
        <f>VLOOKUP(A129,'[2]Billing Dimensions'!$A:$N,14,FALSE)-VLOOKUP(A129,'Audit Dimensions'!$A:$N,14,FALSE)</f>
        <v>#N/A</v>
      </c>
      <c r="O129" s="104" t="e">
        <f>VLOOKUP(A129,'[2]Billing Dimensions'!A:Q,16,FALSE)-VLOOKUP('Audit VAR'!A129,'Audit Dimensions'!A:P,16,FALSE)</f>
        <v>#N/A</v>
      </c>
      <c r="P129" s="103" t="e">
        <f>O129/1000</f>
        <v>#N/A</v>
      </c>
      <c r="Q129" s="102" t="e">
        <f>(((C129*D129*E129)+(G129*H129*I129)+(K129*L129*M129))/1000000)*35.32</f>
        <v>#N/A</v>
      </c>
      <c r="R129" s="46" t="e">
        <f>P129/Q129</f>
        <v>#N/A</v>
      </c>
    </row>
    <row r="130" spans="1:18" ht="14.4" hidden="1" customHeight="1" x14ac:dyDescent="0.3">
      <c r="A130" s="122" t="s">
        <v>177</v>
      </c>
      <c r="B130" s="88" t="str">
        <f>VLOOKUP(A130,'[2]Billing Dimensions'!A:B,2,FALSE)</f>
        <v>SB</v>
      </c>
      <c r="C130" s="115">
        <f>VLOOKUP(A130,'[2]Billing Dimensions'!$A:$N,3,FALSE)-VLOOKUP(A130,'Audit Dimensions'!$A:$N,3,FALSE)</f>
        <v>0</v>
      </c>
      <c r="D130" s="115">
        <f>VLOOKUP(A130,'[2]Billing Dimensions'!$A:$N,4,FALSE)-VLOOKUP(A130,'Audit Dimensions'!$A:$N,4,FALSE)</f>
        <v>0</v>
      </c>
      <c r="E130" s="115">
        <f>VLOOKUP(A130,'[2]Billing Dimensions'!$A:$N,5,FALSE)-VLOOKUP(A130,'Audit Dimensions'!$A:$N,5,FALSE)</f>
        <v>0</v>
      </c>
      <c r="F130" s="114">
        <f>VLOOKUP(A130,'[2]Billing Dimensions'!$A:$N,6,FALSE)-VLOOKUP(A130,'Audit Dimensions'!$A:$N,6,FALSE)</f>
        <v>-560</v>
      </c>
      <c r="G130" s="107">
        <f>VLOOKUP(A130,'[2]Billing Dimensions'!$A:$N,7,FALSE)-VLOOKUP(A130,'Audit Dimensions'!$A:$N,7,FALSE)</f>
        <v>0</v>
      </c>
      <c r="H130" s="107">
        <f>VLOOKUP(A130,'[2]Billing Dimensions'!$A:$N,8,FALSE)-VLOOKUP(A130,'Audit Dimensions'!$A:$N,8,FALSE)</f>
        <v>0</v>
      </c>
      <c r="I130" s="107">
        <f>VLOOKUP(A130,'[2]Billing Dimensions'!$A:$N,9,FALSE)-VLOOKUP(A130,'Audit Dimensions'!$A:$N,9,FALSE)</f>
        <v>0</v>
      </c>
      <c r="J130" s="106">
        <f>VLOOKUP(A130,'[2]Billing Dimensions'!$A:$N,10,FALSE)-VLOOKUP(A130,'Audit Dimensions'!$A:$N,10,FALSE)</f>
        <v>0</v>
      </c>
      <c r="K130" s="105">
        <f>VLOOKUP(A130,'[2]Billing Dimensions'!$A:$N,11,FALSE)-VLOOKUP(A130,'Audit Dimensions'!$A:$N,11,FALSE)</f>
        <v>0</v>
      </c>
      <c r="L130" s="105">
        <f>VLOOKUP(A130,'[2]Billing Dimensions'!$A:$N,12,FALSE)-VLOOKUP(A130,'Audit Dimensions'!$A:$N,12,FALSE)</f>
        <v>0</v>
      </c>
      <c r="M130" s="105">
        <f>VLOOKUP(A130,'[2]Billing Dimensions'!$A:$N,13,FALSE)-VLOOKUP(A130,'Audit Dimensions'!$A:$N,13,FALSE)</f>
        <v>0</v>
      </c>
      <c r="N130" s="105">
        <f>VLOOKUP(A130,'[2]Billing Dimensions'!$A:$N,14,FALSE)-VLOOKUP(A130,'Audit Dimensions'!$A:$N,14,FALSE)</f>
        <v>0</v>
      </c>
      <c r="O130" s="104">
        <f>VLOOKUP(A130,'[2]Billing Dimensions'!A:Q,16,FALSE)-VLOOKUP('Audit VAR'!A130,'Audit Dimensions'!A:P,16,FALSE)</f>
        <v>-560</v>
      </c>
      <c r="P130" s="103">
        <f>O130/1000</f>
        <v>-0.56000000000000005</v>
      </c>
      <c r="Q130" s="102">
        <f>(((C130*D130*E130)+(G130*H130*I130)+(K130*L130*M130))/1000000)*35.32</f>
        <v>0</v>
      </c>
      <c r="R130" s="46" t="e">
        <f>P130/Q130</f>
        <v>#DIV/0!</v>
      </c>
    </row>
    <row r="131" spans="1:18" ht="14.4" hidden="1" customHeight="1" x14ac:dyDescent="0.3">
      <c r="A131" s="122" t="s">
        <v>176</v>
      </c>
      <c r="B131" s="88" t="str">
        <f>VLOOKUP(A131,'[2]Billing Dimensions'!A:B,2,FALSE)</f>
        <v>SB</v>
      </c>
      <c r="C131" s="115">
        <f>VLOOKUP(A131,'[2]Billing Dimensions'!$A:$N,3,FALSE)-VLOOKUP(A131,'Audit Dimensions'!$A:$N,3,FALSE)</f>
        <v>-0.5</v>
      </c>
      <c r="D131" s="115">
        <f>VLOOKUP(A131,'[2]Billing Dimensions'!$A:$N,4,FALSE)-VLOOKUP(A131,'Audit Dimensions'!$A:$N,4,FALSE)</f>
        <v>-2</v>
      </c>
      <c r="E131" s="115">
        <f>VLOOKUP(A131,'[2]Billing Dimensions'!$A:$N,5,FALSE)-VLOOKUP(A131,'Audit Dimensions'!$A:$N,5,FALSE)</f>
        <v>0</v>
      </c>
      <c r="F131" s="114">
        <f>VLOOKUP(A131,'[2]Billing Dimensions'!$A:$N,6,FALSE)-VLOOKUP(A131,'Audit Dimensions'!$A:$N,6,FALSE)</f>
        <v>690</v>
      </c>
      <c r="G131" s="107">
        <f>VLOOKUP(A131,'[2]Billing Dimensions'!$A:$N,7,FALSE)-VLOOKUP(A131,'Audit Dimensions'!$A:$N,7,FALSE)</f>
        <v>0</v>
      </c>
      <c r="H131" s="107">
        <f>VLOOKUP(A131,'[2]Billing Dimensions'!$A:$N,8,FALSE)-VLOOKUP(A131,'Audit Dimensions'!$A:$N,8,FALSE)</f>
        <v>0</v>
      </c>
      <c r="I131" s="107">
        <f>VLOOKUP(A131,'[2]Billing Dimensions'!$A:$N,9,FALSE)-VLOOKUP(A131,'Audit Dimensions'!$A:$N,9,FALSE)</f>
        <v>0</v>
      </c>
      <c r="J131" s="106">
        <f>VLOOKUP(A131,'[2]Billing Dimensions'!$A:$N,10,FALSE)-VLOOKUP(A131,'Audit Dimensions'!$A:$N,10,FALSE)</f>
        <v>0</v>
      </c>
      <c r="K131" s="105">
        <f>VLOOKUP(A131,'[2]Billing Dimensions'!$A:$N,11,FALSE)-VLOOKUP(A131,'Audit Dimensions'!$A:$N,11,FALSE)</f>
        <v>0</v>
      </c>
      <c r="L131" s="105">
        <f>VLOOKUP(A131,'[2]Billing Dimensions'!$A:$N,12,FALSE)-VLOOKUP(A131,'Audit Dimensions'!$A:$N,12,FALSE)</f>
        <v>0</v>
      </c>
      <c r="M131" s="105">
        <f>VLOOKUP(A131,'[2]Billing Dimensions'!$A:$N,13,FALSE)-VLOOKUP(A131,'Audit Dimensions'!$A:$N,13,FALSE)</f>
        <v>0</v>
      </c>
      <c r="N131" s="105">
        <f>VLOOKUP(A131,'[2]Billing Dimensions'!$A:$N,14,FALSE)-VLOOKUP(A131,'Audit Dimensions'!$A:$N,14,FALSE)</f>
        <v>0</v>
      </c>
      <c r="O131" s="104">
        <f>VLOOKUP(A131,'[2]Billing Dimensions'!A:Q,16,FALSE)-VLOOKUP('Audit VAR'!A131,'Audit Dimensions'!A:P,16,FALSE)</f>
        <v>690</v>
      </c>
      <c r="P131" s="103">
        <f>O131/1000</f>
        <v>0.69</v>
      </c>
      <c r="Q131" s="102">
        <f>(((C131*D131*E131)+(G131*H131*I131)+(K131*L131*M131))/1000000)*35.32</f>
        <v>0</v>
      </c>
      <c r="R131" s="46" t="e">
        <f>P131/Q131</f>
        <v>#DIV/0!</v>
      </c>
    </row>
    <row r="132" spans="1:18" ht="14.4" hidden="1" customHeight="1" x14ac:dyDescent="0.3">
      <c r="A132" s="122" t="s">
        <v>175</v>
      </c>
      <c r="B132" s="88" t="str">
        <f>VLOOKUP(A132,'[2]Billing Dimensions'!A:B,2,FALSE)</f>
        <v>SB</v>
      </c>
      <c r="C132" s="115">
        <f>VLOOKUP(A132,'[2]Billing Dimensions'!$A:$N,3,FALSE)-VLOOKUP(A132,'Audit Dimensions'!$A:$N,3,FALSE)</f>
        <v>0</v>
      </c>
      <c r="D132" s="115">
        <f>VLOOKUP(A132,'[2]Billing Dimensions'!$A:$N,4,FALSE)-VLOOKUP(A132,'Audit Dimensions'!$A:$N,4,FALSE)</f>
        <v>0</v>
      </c>
      <c r="E132" s="115">
        <f>VLOOKUP(A132,'[2]Billing Dimensions'!$A:$N,5,FALSE)-VLOOKUP(A132,'Audit Dimensions'!$A:$N,5,FALSE)</f>
        <v>1</v>
      </c>
      <c r="F132" s="114">
        <f>VLOOKUP(A132,'[2]Billing Dimensions'!$A:$N,6,FALSE)-VLOOKUP(A132,'Audit Dimensions'!$A:$N,6,FALSE)</f>
        <v>-2860</v>
      </c>
      <c r="G132" s="107">
        <f>VLOOKUP(A132,'[2]Billing Dimensions'!$A:$N,7,FALSE)-VLOOKUP(A132,'Audit Dimensions'!$A:$N,7,FALSE)</f>
        <v>0</v>
      </c>
      <c r="H132" s="107">
        <f>VLOOKUP(A132,'[2]Billing Dimensions'!$A:$N,8,FALSE)-VLOOKUP(A132,'Audit Dimensions'!$A:$N,8,FALSE)</f>
        <v>0</v>
      </c>
      <c r="I132" s="107">
        <f>VLOOKUP(A132,'[2]Billing Dimensions'!$A:$N,9,FALSE)-VLOOKUP(A132,'Audit Dimensions'!$A:$N,9,FALSE)</f>
        <v>0</v>
      </c>
      <c r="J132" s="106">
        <f>VLOOKUP(A132,'[2]Billing Dimensions'!$A:$N,10,FALSE)-VLOOKUP(A132,'Audit Dimensions'!$A:$N,10,FALSE)</f>
        <v>0</v>
      </c>
      <c r="K132" s="105">
        <f>VLOOKUP(A132,'[2]Billing Dimensions'!$A:$N,11,FALSE)-VLOOKUP(A132,'Audit Dimensions'!$A:$N,11,FALSE)</f>
        <v>0</v>
      </c>
      <c r="L132" s="105">
        <f>VLOOKUP(A132,'[2]Billing Dimensions'!$A:$N,12,FALSE)-VLOOKUP(A132,'Audit Dimensions'!$A:$N,12,FALSE)</f>
        <v>0</v>
      </c>
      <c r="M132" s="105">
        <f>VLOOKUP(A132,'[2]Billing Dimensions'!$A:$N,13,FALSE)-VLOOKUP(A132,'Audit Dimensions'!$A:$N,13,FALSE)</f>
        <v>0</v>
      </c>
      <c r="N132" s="105">
        <f>VLOOKUP(A132,'[2]Billing Dimensions'!$A:$N,14,FALSE)-VLOOKUP(A132,'Audit Dimensions'!$A:$N,14,FALSE)</f>
        <v>0</v>
      </c>
      <c r="O132" s="104">
        <f>VLOOKUP(A132,'[2]Billing Dimensions'!A:Q,16,FALSE)-VLOOKUP('Audit VAR'!A132,'Audit Dimensions'!A:P,16,FALSE)</f>
        <v>-2860</v>
      </c>
      <c r="P132" s="103">
        <f>O132/1000</f>
        <v>-2.86</v>
      </c>
      <c r="Q132" s="102">
        <f>(((C132*D132*E132)+(G132*H132*I132)+(K132*L132*M132))/1000000)*35.32</f>
        <v>0</v>
      </c>
      <c r="R132" s="46" t="e">
        <f>P132/Q132</f>
        <v>#DIV/0!</v>
      </c>
    </row>
    <row r="133" spans="1:18" ht="14.4" hidden="1" customHeight="1" x14ac:dyDescent="0.3">
      <c r="A133" s="122" t="s">
        <v>174</v>
      </c>
      <c r="B133" s="88" t="str">
        <f>VLOOKUP(A133,'[2]Billing Dimensions'!A:B,2,FALSE)</f>
        <v>SB</v>
      </c>
      <c r="C133" s="115">
        <f>VLOOKUP(A133,'[2]Billing Dimensions'!$A:$N,3,FALSE)-VLOOKUP(A133,'Audit Dimensions'!$A:$N,3,FALSE)</f>
        <v>0</v>
      </c>
      <c r="D133" s="115">
        <f>VLOOKUP(A133,'[2]Billing Dimensions'!$A:$N,4,FALSE)-VLOOKUP(A133,'Audit Dimensions'!$A:$N,4,FALSE)</f>
        <v>0</v>
      </c>
      <c r="E133" s="115">
        <f>VLOOKUP(A133,'[2]Billing Dimensions'!$A:$N,5,FALSE)-VLOOKUP(A133,'Audit Dimensions'!$A:$N,5,FALSE)</f>
        <v>0</v>
      </c>
      <c r="F133" s="114">
        <f>VLOOKUP(A133,'[2]Billing Dimensions'!$A:$N,6,FALSE)-VLOOKUP(A133,'Audit Dimensions'!$A:$N,6,FALSE)</f>
        <v>0</v>
      </c>
      <c r="G133" s="107">
        <f>VLOOKUP(A133,'[2]Billing Dimensions'!$A:$N,7,FALSE)-VLOOKUP(A133,'Audit Dimensions'!$A:$N,7,FALSE)</f>
        <v>0</v>
      </c>
      <c r="H133" s="107">
        <f>VLOOKUP(A133,'[2]Billing Dimensions'!$A:$N,8,FALSE)-VLOOKUP(A133,'Audit Dimensions'!$A:$N,8,FALSE)</f>
        <v>0</v>
      </c>
      <c r="I133" s="107">
        <f>VLOOKUP(A133,'[2]Billing Dimensions'!$A:$N,9,FALSE)-VLOOKUP(A133,'Audit Dimensions'!$A:$N,9,FALSE)</f>
        <v>0</v>
      </c>
      <c r="J133" s="106">
        <f>VLOOKUP(A133,'[2]Billing Dimensions'!$A:$N,10,FALSE)-VLOOKUP(A133,'Audit Dimensions'!$A:$N,10,FALSE)</f>
        <v>0</v>
      </c>
      <c r="K133" s="105">
        <f>VLOOKUP(A133,'[2]Billing Dimensions'!$A:$N,11,FALSE)-VLOOKUP(A133,'Audit Dimensions'!$A:$N,11,FALSE)</f>
        <v>0</v>
      </c>
      <c r="L133" s="105">
        <f>VLOOKUP(A133,'[2]Billing Dimensions'!$A:$N,12,FALSE)-VLOOKUP(A133,'Audit Dimensions'!$A:$N,12,FALSE)</f>
        <v>0</v>
      </c>
      <c r="M133" s="105">
        <f>VLOOKUP(A133,'[2]Billing Dimensions'!$A:$N,13,FALSE)-VLOOKUP(A133,'Audit Dimensions'!$A:$N,13,FALSE)</f>
        <v>0</v>
      </c>
      <c r="N133" s="105">
        <f>VLOOKUP(A133,'[2]Billing Dimensions'!$A:$N,14,FALSE)-VLOOKUP(A133,'Audit Dimensions'!$A:$N,14,FALSE)</f>
        <v>0</v>
      </c>
      <c r="O133" s="104">
        <f>VLOOKUP(A133,'[2]Billing Dimensions'!A:Q,16,FALSE)-VLOOKUP('Audit VAR'!A133,'Audit Dimensions'!A:P,16,FALSE)</f>
        <v>0</v>
      </c>
      <c r="P133" s="103">
        <f>O133/1000</f>
        <v>0</v>
      </c>
      <c r="Q133" s="102">
        <f>(((C133*D133*E133)+(G133*H133*I133)+(K133*L133*M133))/1000000)*35.32</f>
        <v>0</v>
      </c>
      <c r="R133" s="46" t="e">
        <f>P133/Q133</f>
        <v>#DIV/0!</v>
      </c>
    </row>
    <row r="134" spans="1:18" ht="14.4" hidden="1" customHeight="1" x14ac:dyDescent="0.3">
      <c r="A134" s="122" t="s">
        <v>173</v>
      </c>
      <c r="B134" s="88" t="str">
        <f>VLOOKUP(A134,'[2]Billing Dimensions'!A:B,2,FALSE)</f>
        <v>SB</v>
      </c>
      <c r="C134" s="115">
        <f>VLOOKUP(A134,'[2]Billing Dimensions'!$A:$N,3,FALSE)-VLOOKUP(A134,'Audit Dimensions'!$A:$N,3,FALSE)</f>
        <v>0</v>
      </c>
      <c r="D134" s="115">
        <f>VLOOKUP(A134,'[2]Billing Dimensions'!$A:$N,4,FALSE)-VLOOKUP(A134,'Audit Dimensions'!$A:$N,4,FALSE)</f>
        <v>0</v>
      </c>
      <c r="E134" s="115">
        <f>VLOOKUP(A134,'[2]Billing Dimensions'!$A:$N,5,FALSE)-VLOOKUP(A134,'Audit Dimensions'!$A:$N,5,FALSE)</f>
        <v>0</v>
      </c>
      <c r="F134" s="114">
        <f>VLOOKUP(A134,'[2]Billing Dimensions'!$A:$N,6,FALSE)-VLOOKUP(A134,'Audit Dimensions'!$A:$N,6,FALSE)</f>
        <v>0</v>
      </c>
      <c r="G134" s="107">
        <f>VLOOKUP(A134,'[2]Billing Dimensions'!$A:$N,7,FALSE)-VLOOKUP(A134,'Audit Dimensions'!$A:$N,7,FALSE)</f>
        <v>0</v>
      </c>
      <c r="H134" s="107">
        <f>VLOOKUP(A134,'[2]Billing Dimensions'!$A:$N,8,FALSE)-VLOOKUP(A134,'Audit Dimensions'!$A:$N,8,FALSE)</f>
        <v>0</v>
      </c>
      <c r="I134" s="107">
        <f>VLOOKUP(A134,'[2]Billing Dimensions'!$A:$N,9,FALSE)-VLOOKUP(A134,'Audit Dimensions'!$A:$N,9,FALSE)</f>
        <v>0</v>
      </c>
      <c r="J134" s="106">
        <f>VLOOKUP(A134,'[2]Billing Dimensions'!$A:$N,10,FALSE)-VLOOKUP(A134,'Audit Dimensions'!$A:$N,10,FALSE)</f>
        <v>0</v>
      </c>
      <c r="K134" s="105">
        <f>VLOOKUP(A134,'[2]Billing Dimensions'!$A:$N,11,FALSE)-VLOOKUP(A134,'Audit Dimensions'!$A:$N,11,FALSE)</f>
        <v>0</v>
      </c>
      <c r="L134" s="105">
        <f>VLOOKUP(A134,'[2]Billing Dimensions'!$A:$N,12,FALSE)-VLOOKUP(A134,'Audit Dimensions'!$A:$N,12,FALSE)</f>
        <v>0</v>
      </c>
      <c r="M134" s="105">
        <f>VLOOKUP(A134,'[2]Billing Dimensions'!$A:$N,13,FALSE)-VLOOKUP(A134,'Audit Dimensions'!$A:$N,13,FALSE)</f>
        <v>0</v>
      </c>
      <c r="N134" s="105">
        <f>VLOOKUP(A134,'[2]Billing Dimensions'!$A:$N,14,FALSE)-VLOOKUP(A134,'Audit Dimensions'!$A:$N,14,FALSE)</f>
        <v>0</v>
      </c>
      <c r="O134" s="104">
        <f>VLOOKUP(A134,'[2]Billing Dimensions'!A:Q,16,FALSE)-VLOOKUP('Audit VAR'!A134,'Audit Dimensions'!A:P,16,FALSE)</f>
        <v>0</v>
      </c>
      <c r="P134" s="103">
        <f>O134/1000</f>
        <v>0</v>
      </c>
      <c r="Q134" s="102">
        <f>(((C134*D134*E134)+(G134*H134*I134)+(K134*L134*M134))/1000000)*35.32</f>
        <v>0</v>
      </c>
      <c r="R134" s="46" t="e">
        <f>P134/Q134</f>
        <v>#DIV/0!</v>
      </c>
    </row>
    <row r="135" spans="1:18" ht="14.4" hidden="1" customHeight="1" x14ac:dyDescent="0.3">
      <c r="A135" s="122" t="s">
        <v>172</v>
      </c>
      <c r="B135" s="88" t="str">
        <f>VLOOKUP(A135,'[2]Billing Dimensions'!A:B,2,FALSE)</f>
        <v>SB</v>
      </c>
      <c r="C135" s="115">
        <f>VLOOKUP(A135,'[2]Billing Dimensions'!$A:$N,3,FALSE)-VLOOKUP(A135,'Audit Dimensions'!$A:$N,3,FALSE)</f>
        <v>-2</v>
      </c>
      <c r="D135" s="115">
        <f>VLOOKUP(A135,'[2]Billing Dimensions'!$A:$N,4,FALSE)-VLOOKUP(A135,'Audit Dimensions'!$A:$N,4,FALSE)</f>
        <v>-2</v>
      </c>
      <c r="E135" s="115">
        <f>VLOOKUP(A135,'[2]Billing Dimensions'!$A:$N,5,FALSE)-VLOOKUP(A135,'Audit Dimensions'!$A:$N,5,FALSE)</f>
        <v>0</v>
      </c>
      <c r="F135" s="114">
        <f>VLOOKUP(A135,'[2]Billing Dimensions'!$A:$N,6,FALSE)-VLOOKUP(A135,'Audit Dimensions'!$A:$N,6,FALSE)</f>
        <v>35</v>
      </c>
      <c r="G135" s="107">
        <f>VLOOKUP(A135,'[2]Billing Dimensions'!$A:$N,7,FALSE)-VLOOKUP(A135,'Audit Dimensions'!$A:$N,7,FALSE)</f>
        <v>0</v>
      </c>
      <c r="H135" s="107">
        <f>VLOOKUP(A135,'[2]Billing Dimensions'!$A:$N,8,FALSE)-VLOOKUP(A135,'Audit Dimensions'!$A:$N,8,FALSE)</f>
        <v>0</v>
      </c>
      <c r="I135" s="107">
        <f>VLOOKUP(A135,'[2]Billing Dimensions'!$A:$N,9,FALSE)-VLOOKUP(A135,'Audit Dimensions'!$A:$N,9,FALSE)</f>
        <v>0</v>
      </c>
      <c r="J135" s="106">
        <f>VLOOKUP(A135,'[2]Billing Dimensions'!$A:$N,10,FALSE)-VLOOKUP(A135,'Audit Dimensions'!$A:$N,10,FALSE)</f>
        <v>0</v>
      </c>
      <c r="K135" s="105">
        <f>VLOOKUP(A135,'[2]Billing Dimensions'!$A:$N,11,FALSE)-VLOOKUP(A135,'Audit Dimensions'!$A:$N,11,FALSE)</f>
        <v>0</v>
      </c>
      <c r="L135" s="105">
        <f>VLOOKUP(A135,'[2]Billing Dimensions'!$A:$N,12,FALSE)-VLOOKUP(A135,'Audit Dimensions'!$A:$N,12,FALSE)</f>
        <v>0</v>
      </c>
      <c r="M135" s="105">
        <f>VLOOKUP(A135,'[2]Billing Dimensions'!$A:$N,13,FALSE)-VLOOKUP(A135,'Audit Dimensions'!$A:$N,13,FALSE)</f>
        <v>0</v>
      </c>
      <c r="N135" s="105">
        <f>VLOOKUP(A135,'[2]Billing Dimensions'!$A:$N,14,FALSE)-VLOOKUP(A135,'Audit Dimensions'!$A:$N,14,FALSE)</f>
        <v>0</v>
      </c>
      <c r="O135" s="104">
        <f>VLOOKUP(A135,'[2]Billing Dimensions'!A:Q,16,FALSE)-VLOOKUP('Audit VAR'!A135,'Audit Dimensions'!A:P,16,FALSE)</f>
        <v>35</v>
      </c>
      <c r="P135" s="103">
        <f>O135/1000</f>
        <v>3.5000000000000003E-2</v>
      </c>
      <c r="Q135" s="102">
        <f>(((C135*D135*E135)+(G135*H135*I135)+(K135*L135*M135))/1000000)*35.32</f>
        <v>0</v>
      </c>
      <c r="R135" s="46" t="e">
        <f>P135/Q135</f>
        <v>#DIV/0!</v>
      </c>
    </row>
    <row r="136" spans="1:18" ht="14.4" hidden="1" customHeight="1" x14ac:dyDescent="0.3">
      <c r="A136" s="122" t="s">
        <v>338</v>
      </c>
      <c r="B136" s="88" t="str">
        <f>VLOOKUP(A136,'[2]Billing Dimensions'!A:B,2,FALSE)</f>
        <v>SB</v>
      </c>
      <c r="C136" s="115" t="e">
        <f>VLOOKUP(A136,'[2]Billing Dimensions'!$A:$N,3,FALSE)-VLOOKUP(A136,'Audit Dimensions'!$A:$N,3,FALSE)</f>
        <v>#N/A</v>
      </c>
      <c r="D136" s="115" t="e">
        <f>VLOOKUP(A136,'[2]Billing Dimensions'!$A:$N,4,FALSE)-VLOOKUP(A136,'Audit Dimensions'!$A:$N,4,FALSE)</f>
        <v>#N/A</v>
      </c>
      <c r="E136" s="115" t="e">
        <f>VLOOKUP(A136,'[2]Billing Dimensions'!$A:$N,5,FALSE)-VLOOKUP(A136,'Audit Dimensions'!$A:$N,5,FALSE)</f>
        <v>#N/A</v>
      </c>
      <c r="F136" s="114" t="e">
        <f>VLOOKUP(A136,'[2]Billing Dimensions'!$A:$N,6,FALSE)-VLOOKUP(A136,'Audit Dimensions'!$A:$N,6,FALSE)</f>
        <v>#N/A</v>
      </c>
      <c r="G136" s="107" t="e">
        <f>VLOOKUP(A136,'[2]Billing Dimensions'!$A:$N,7,FALSE)-VLOOKUP(A136,'Audit Dimensions'!$A:$N,7,FALSE)</f>
        <v>#N/A</v>
      </c>
      <c r="H136" s="107" t="e">
        <f>VLOOKUP(A136,'[2]Billing Dimensions'!$A:$N,8,FALSE)-VLOOKUP(A136,'Audit Dimensions'!$A:$N,8,FALSE)</f>
        <v>#N/A</v>
      </c>
      <c r="I136" s="107" t="e">
        <f>VLOOKUP(A136,'[2]Billing Dimensions'!$A:$N,9,FALSE)-VLOOKUP(A136,'Audit Dimensions'!$A:$N,9,FALSE)</f>
        <v>#N/A</v>
      </c>
      <c r="J136" s="106" t="e">
        <f>VLOOKUP(A136,'[2]Billing Dimensions'!$A:$N,10,FALSE)-VLOOKUP(A136,'Audit Dimensions'!$A:$N,10,FALSE)</f>
        <v>#N/A</v>
      </c>
      <c r="K136" s="105" t="e">
        <f>VLOOKUP(A136,'[2]Billing Dimensions'!$A:$N,11,FALSE)-VLOOKUP(A136,'Audit Dimensions'!$A:$N,11,FALSE)</f>
        <v>#N/A</v>
      </c>
      <c r="L136" s="105" t="e">
        <f>VLOOKUP(A136,'[2]Billing Dimensions'!$A:$N,12,FALSE)-VLOOKUP(A136,'Audit Dimensions'!$A:$N,12,FALSE)</f>
        <v>#N/A</v>
      </c>
      <c r="M136" s="105" t="e">
        <f>VLOOKUP(A136,'[2]Billing Dimensions'!$A:$N,13,FALSE)-VLOOKUP(A136,'Audit Dimensions'!$A:$N,13,FALSE)</f>
        <v>#N/A</v>
      </c>
      <c r="N136" s="105" t="e">
        <f>VLOOKUP(A136,'[2]Billing Dimensions'!$A:$N,14,FALSE)-VLOOKUP(A136,'Audit Dimensions'!$A:$N,14,FALSE)</f>
        <v>#N/A</v>
      </c>
      <c r="O136" s="104" t="e">
        <f>VLOOKUP(A136,'[2]Billing Dimensions'!A:Q,16,FALSE)-VLOOKUP('Audit VAR'!A136,'Audit Dimensions'!A:P,16,FALSE)</f>
        <v>#N/A</v>
      </c>
      <c r="P136" s="103" t="e">
        <f>O136/1000</f>
        <v>#N/A</v>
      </c>
      <c r="Q136" s="102" t="e">
        <f>(((C136*D136*E136)+(G136*H136*I136)+(K136*L136*M136))/1000000)*35.32</f>
        <v>#N/A</v>
      </c>
      <c r="R136" s="46" t="e">
        <f>P136/Q136</f>
        <v>#N/A</v>
      </c>
    </row>
    <row r="137" spans="1:18" ht="14.4" hidden="1" customHeight="1" x14ac:dyDescent="0.3">
      <c r="A137" s="122" t="s">
        <v>171</v>
      </c>
      <c r="B137" s="88" t="e">
        <f>VLOOKUP(A137,'[2]Billing Dimensions'!A:B,2,FALSE)</f>
        <v>#N/A</v>
      </c>
      <c r="C137" s="115" t="e">
        <f>VLOOKUP(A137,'[2]Billing Dimensions'!$A:$N,3,FALSE)-VLOOKUP(A137,'Audit Dimensions'!$A:$N,3,FALSE)</f>
        <v>#N/A</v>
      </c>
      <c r="D137" s="115" t="e">
        <f>VLOOKUP(A137,'[2]Billing Dimensions'!$A:$N,4,FALSE)-VLOOKUP(A137,'Audit Dimensions'!$A:$N,4,FALSE)</f>
        <v>#N/A</v>
      </c>
      <c r="E137" s="115" t="e">
        <f>VLOOKUP(A137,'[2]Billing Dimensions'!$A:$N,5,FALSE)-VLOOKUP(A137,'Audit Dimensions'!$A:$N,5,FALSE)</f>
        <v>#N/A</v>
      </c>
      <c r="F137" s="114" t="e">
        <f>VLOOKUP(A137,'[2]Billing Dimensions'!$A:$N,6,FALSE)-VLOOKUP(A137,'Audit Dimensions'!$A:$N,6,FALSE)</f>
        <v>#N/A</v>
      </c>
      <c r="G137" s="107" t="e">
        <f>VLOOKUP(A137,'[2]Billing Dimensions'!$A:$N,7,FALSE)-VLOOKUP(A137,'Audit Dimensions'!$A:$N,7,FALSE)</f>
        <v>#N/A</v>
      </c>
      <c r="H137" s="107" t="e">
        <f>VLOOKUP(A137,'[2]Billing Dimensions'!$A:$N,8,FALSE)-VLOOKUP(A137,'Audit Dimensions'!$A:$N,8,FALSE)</f>
        <v>#N/A</v>
      </c>
      <c r="I137" s="107" t="e">
        <f>VLOOKUP(A137,'[2]Billing Dimensions'!$A:$N,9,FALSE)-VLOOKUP(A137,'Audit Dimensions'!$A:$N,9,FALSE)</f>
        <v>#N/A</v>
      </c>
      <c r="J137" s="106" t="e">
        <f>VLOOKUP(A137,'[2]Billing Dimensions'!$A:$N,10,FALSE)-VLOOKUP(A137,'Audit Dimensions'!$A:$N,10,FALSE)</f>
        <v>#N/A</v>
      </c>
      <c r="K137" s="105" t="e">
        <f>VLOOKUP(A137,'[2]Billing Dimensions'!$A:$N,11,FALSE)-VLOOKUP(A137,'Audit Dimensions'!$A:$N,11,FALSE)</f>
        <v>#N/A</v>
      </c>
      <c r="L137" s="105" t="e">
        <f>VLOOKUP(A137,'[2]Billing Dimensions'!$A:$N,12,FALSE)-VLOOKUP(A137,'Audit Dimensions'!$A:$N,12,FALSE)</f>
        <v>#N/A</v>
      </c>
      <c r="M137" s="105" t="e">
        <f>VLOOKUP(A137,'[2]Billing Dimensions'!$A:$N,13,FALSE)-VLOOKUP(A137,'Audit Dimensions'!$A:$N,13,FALSE)</f>
        <v>#N/A</v>
      </c>
      <c r="N137" s="105" t="e">
        <f>VLOOKUP(A137,'[2]Billing Dimensions'!$A:$N,14,FALSE)-VLOOKUP(A137,'Audit Dimensions'!$A:$N,14,FALSE)</f>
        <v>#N/A</v>
      </c>
      <c r="O137" s="104" t="e">
        <f>VLOOKUP(A137,'[2]Billing Dimensions'!A:Q,16,FALSE)-VLOOKUP('Audit VAR'!A137,'Audit Dimensions'!A:P,16,FALSE)</f>
        <v>#N/A</v>
      </c>
      <c r="P137" s="103" t="e">
        <f>O137/1000</f>
        <v>#N/A</v>
      </c>
      <c r="Q137" s="102" t="e">
        <f>(((C137*D137*E137)+(G137*H137*I137)+(K137*L137*M137))/1000000)*35.32</f>
        <v>#N/A</v>
      </c>
      <c r="R137" s="46" t="e">
        <f>P137/Q137</f>
        <v>#N/A</v>
      </c>
    </row>
    <row r="138" spans="1:18" ht="14.4" hidden="1" customHeight="1" x14ac:dyDescent="0.3">
      <c r="A138" s="122" t="s">
        <v>170</v>
      </c>
      <c r="B138" s="88" t="e">
        <f>VLOOKUP(A138,'[2]Billing Dimensions'!A:B,2,FALSE)</f>
        <v>#N/A</v>
      </c>
      <c r="C138" s="115" t="e">
        <f>VLOOKUP(A138,'[2]Billing Dimensions'!$A:$N,3,FALSE)-VLOOKUP(A138,'Audit Dimensions'!$A:$N,3,FALSE)</f>
        <v>#N/A</v>
      </c>
      <c r="D138" s="115" t="e">
        <f>VLOOKUP(A138,'[2]Billing Dimensions'!$A:$N,4,FALSE)-VLOOKUP(A138,'Audit Dimensions'!$A:$N,4,FALSE)</f>
        <v>#N/A</v>
      </c>
      <c r="E138" s="115" t="e">
        <f>VLOOKUP(A138,'[2]Billing Dimensions'!$A:$N,5,FALSE)-VLOOKUP(A138,'Audit Dimensions'!$A:$N,5,FALSE)</f>
        <v>#N/A</v>
      </c>
      <c r="F138" s="114" t="e">
        <f>VLOOKUP(A138,'[2]Billing Dimensions'!$A:$N,6,FALSE)-VLOOKUP(A138,'Audit Dimensions'!$A:$N,6,FALSE)</f>
        <v>#N/A</v>
      </c>
      <c r="G138" s="107" t="e">
        <f>VLOOKUP(A138,'[2]Billing Dimensions'!$A:$N,7,FALSE)-VLOOKUP(A138,'Audit Dimensions'!$A:$N,7,FALSE)</f>
        <v>#N/A</v>
      </c>
      <c r="H138" s="107" t="e">
        <f>VLOOKUP(A138,'[2]Billing Dimensions'!$A:$N,8,FALSE)-VLOOKUP(A138,'Audit Dimensions'!$A:$N,8,FALSE)</f>
        <v>#N/A</v>
      </c>
      <c r="I138" s="107" t="e">
        <f>VLOOKUP(A138,'[2]Billing Dimensions'!$A:$N,9,FALSE)-VLOOKUP(A138,'Audit Dimensions'!$A:$N,9,FALSE)</f>
        <v>#N/A</v>
      </c>
      <c r="J138" s="106" t="e">
        <f>VLOOKUP(A138,'[2]Billing Dimensions'!$A:$N,10,FALSE)-VLOOKUP(A138,'Audit Dimensions'!$A:$N,10,FALSE)</f>
        <v>#N/A</v>
      </c>
      <c r="K138" s="105" t="e">
        <f>VLOOKUP(A138,'[2]Billing Dimensions'!$A:$N,11,FALSE)-VLOOKUP(A138,'Audit Dimensions'!$A:$N,11,FALSE)</f>
        <v>#N/A</v>
      </c>
      <c r="L138" s="105" t="e">
        <f>VLOOKUP(A138,'[2]Billing Dimensions'!$A:$N,12,FALSE)-VLOOKUP(A138,'Audit Dimensions'!$A:$N,12,FALSE)</f>
        <v>#N/A</v>
      </c>
      <c r="M138" s="105" t="e">
        <f>VLOOKUP(A138,'[2]Billing Dimensions'!$A:$N,13,FALSE)-VLOOKUP(A138,'Audit Dimensions'!$A:$N,13,FALSE)</f>
        <v>#N/A</v>
      </c>
      <c r="N138" s="105" t="e">
        <f>VLOOKUP(A138,'[2]Billing Dimensions'!$A:$N,14,FALSE)-VLOOKUP(A138,'Audit Dimensions'!$A:$N,14,FALSE)</f>
        <v>#N/A</v>
      </c>
      <c r="O138" s="104" t="e">
        <f>VLOOKUP(A138,'[2]Billing Dimensions'!A:Q,16,FALSE)-VLOOKUP('Audit VAR'!A138,'Audit Dimensions'!A:P,16,FALSE)</f>
        <v>#N/A</v>
      </c>
      <c r="P138" s="103" t="e">
        <f>O138/1000</f>
        <v>#N/A</v>
      </c>
      <c r="Q138" s="102" t="e">
        <f>(((C138*D138*E138)+(G138*H138*I138)+(K138*L138*M138))/1000000)*35.32</f>
        <v>#N/A</v>
      </c>
      <c r="R138" s="46" t="e">
        <f>P138/Q138</f>
        <v>#N/A</v>
      </c>
    </row>
    <row r="139" spans="1:18" ht="14.4" hidden="1" customHeight="1" x14ac:dyDescent="0.3">
      <c r="A139" s="122" t="s">
        <v>337</v>
      </c>
      <c r="B139" s="88" t="str">
        <f>VLOOKUP(A139,'[2]Billing Dimensions'!A:B,2,FALSE)</f>
        <v>SB</v>
      </c>
      <c r="C139" s="115" t="e">
        <f>VLOOKUP(A139,'[2]Billing Dimensions'!$A:$N,3,FALSE)-VLOOKUP(A139,'Audit Dimensions'!$A:$N,3,FALSE)</f>
        <v>#N/A</v>
      </c>
      <c r="D139" s="115" t="e">
        <f>VLOOKUP(A139,'[2]Billing Dimensions'!$A:$N,4,FALSE)-VLOOKUP(A139,'Audit Dimensions'!$A:$N,4,FALSE)</f>
        <v>#N/A</v>
      </c>
      <c r="E139" s="115" t="e">
        <f>VLOOKUP(A139,'[2]Billing Dimensions'!$A:$N,5,FALSE)-VLOOKUP(A139,'Audit Dimensions'!$A:$N,5,FALSE)</f>
        <v>#N/A</v>
      </c>
      <c r="F139" s="114" t="e">
        <f>VLOOKUP(A139,'[2]Billing Dimensions'!$A:$N,6,FALSE)-VLOOKUP(A139,'Audit Dimensions'!$A:$N,6,FALSE)</f>
        <v>#N/A</v>
      </c>
      <c r="G139" s="107" t="e">
        <f>VLOOKUP(A139,'[2]Billing Dimensions'!$A:$N,7,FALSE)-VLOOKUP(A139,'Audit Dimensions'!$A:$N,7,FALSE)</f>
        <v>#N/A</v>
      </c>
      <c r="H139" s="107" t="e">
        <f>VLOOKUP(A139,'[2]Billing Dimensions'!$A:$N,8,FALSE)-VLOOKUP(A139,'Audit Dimensions'!$A:$N,8,FALSE)</f>
        <v>#N/A</v>
      </c>
      <c r="I139" s="107" t="e">
        <f>VLOOKUP(A139,'[2]Billing Dimensions'!$A:$N,9,FALSE)-VLOOKUP(A139,'Audit Dimensions'!$A:$N,9,FALSE)</f>
        <v>#N/A</v>
      </c>
      <c r="J139" s="106" t="e">
        <f>VLOOKUP(A139,'[2]Billing Dimensions'!$A:$N,10,FALSE)-VLOOKUP(A139,'Audit Dimensions'!$A:$N,10,FALSE)</f>
        <v>#N/A</v>
      </c>
      <c r="K139" s="105" t="e">
        <f>VLOOKUP(A139,'[2]Billing Dimensions'!$A:$N,11,FALSE)-VLOOKUP(A139,'Audit Dimensions'!$A:$N,11,FALSE)</f>
        <v>#N/A</v>
      </c>
      <c r="L139" s="105" t="e">
        <f>VLOOKUP(A139,'[2]Billing Dimensions'!$A:$N,12,FALSE)-VLOOKUP(A139,'Audit Dimensions'!$A:$N,12,FALSE)</f>
        <v>#N/A</v>
      </c>
      <c r="M139" s="105" t="e">
        <f>VLOOKUP(A139,'[2]Billing Dimensions'!$A:$N,13,FALSE)-VLOOKUP(A139,'Audit Dimensions'!$A:$N,13,FALSE)</f>
        <v>#N/A</v>
      </c>
      <c r="N139" s="105" t="e">
        <f>VLOOKUP(A139,'[2]Billing Dimensions'!$A:$N,14,FALSE)-VLOOKUP(A139,'Audit Dimensions'!$A:$N,14,FALSE)</f>
        <v>#N/A</v>
      </c>
      <c r="O139" s="104" t="e">
        <f>VLOOKUP(A139,'[2]Billing Dimensions'!A:Q,16,FALSE)-VLOOKUP('Audit VAR'!A139,'Audit Dimensions'!A:P,16,FALSE)</f>
        <v>#N/A</v>
      </c>
      <c r="P139" s="103" t="e">
        <f>O139/1000</f>
        <v>#N/A</v>
      </c>
      <c r="Q139" s="102" t="e">
        <f>(((C139*D139*E139)+(G139*H139*I139)+(K139*L139*M139))/1000000)*35.32</f>
        <v>#N/A</v>
      </c>
      <c r="R139" s="46" t="e">
        <f>P139/Q139</f>
        <v>#N/A</v>
      </c>
    </row>
    <row r="140" spans="1:18" ht="14.4" hidden="1" customHeight="1" x14ac:dyDescent="0.3">
      <c r="A140" s="122" t="s">
        <v>169</v>
      </c>
      <c r="B140" s="88" t="str">
        <f>VLOOKUP(A140,'[2]Billing Dimensions'!A:B,2,FALSE)</f>
        <v>SB</v>
      </c>
      <c r="C140" s="115">
        <f>VLOOKUP(A140,'[2]Billing Dimensions'!$A:$N,3,FALSE)-VLOOKUP(A140,'Audit Dimensions'!$A:$N,3,FALSE)</f>
        <v>0</v>
      </c>
      <c r="D140" s="115">
        <f>VLOOKUP(A140,'[2]Billing Dimensions'!$A:$N,4,FALSE)-VLOOKUP(A140,'Audit Dimensions'!$A:$N,4,FALSE)</f>
        <v>-2</v>
      </c>
      <c r="E140" s="115">
        <f>VLOOKUP(A140,'[2]Billing Dimensions'!$A:$N,5,FALSE)-VLOOKUP(A140,'Audit Dimensions'!$A:$N,5,FALSE)</f>
        <v>-1</v>
      </c>
      <c r="F140" s="114">
        <f>VLOOKUP(A140,'[2]Billing Dimensions'!$A:$N,6,FALSE)-VLOOKUP(A140,'Audit Dimensions'!$A:$N,6,FALSE)</f>
        <v>-1255</v>
      </c>
      <c r="G140" s="107">
        <f>VLOOKUP(A140,'[2]Billing Dimensions'!$A:$N,7,FALSE)-VLOOKUP(A140,'Audit Dimensions'!$A:$N,7,FALSE)</f>
        <v>0</v>
      </c>
      <c r="H140" s="107">
        <f>VLOOKUP(A140,'[2]Billing Dimensions'!$A:$N,8,FALSE)-VLOOKUP(A140,'Audit Dimensions'!$A:$N,8,FALSE)</f>
        <v>0</v>
      </c>
      <c r="I140" s="107">
        <f>VLOOKUP(A140,'[2]Billing Dimensions'!$A:$N,9,FALSE)-VLOOKUP(A140,'Audit Dimensions'!$A:$N,9,FALSE)</f>
        <v>0</v>
      </c>
      <c r="J140" s="106">
        <f>VLOOKUP(A140,'[2]Billing Dimensions'!$A:$N,10,FALSE)-VLOOKUP(A140,'Audit Dimensions'!$A:$N,10,FALSE)</f>
        <v>0</v>
      </c>
      <c r="K140" s="105">
        <f>VLOOKUP(A140,'[2]Billing Dimensions'!$A:$N,11,FALSE)-VLOOKUP(A140,'Audit Dimensions'!$A:$N,11,FALSE)</f>
        <v>0</v>
      </c>
      <c r="L140" s="105">
        <f>VLOOKUP(A140,'[2]Billing Dimensions'!$A:$N,12,FALSE)-VLOOKUP(A140,'Audit Dimensions'!$A:$N,12,FALSE)</f>
        <v>0</v>
      </c>
      <c r="M140" s="105">
        <f>VLOOKUP(A140,'[2]Billing Dimensions'!$A:$N,13,FALSE)-VLOOKUP(A140,'Audit Dimensions'!$A:$N,13,FALSE)</f>
        <v>0</v>
      </c>
      <c r="N140" s="105">
        <f>VLOOKUP(A140,'[2]Billing Dimensions'!$A:$N,14,FALSE)-VLOOKUP(A140,'Audit Dimensions'!$A:$N,14,FALSE)</f>
        <v>0</v>
      </c>
      <c r="O140" s="104">
        <f>VLOOKUP(A140,'[2]Billing Dimensions'!A:Q,16,FALSE)-VLOOKUP('Audit VAR'!A140,'Audit Dimensions'!A:P,16,FALSE)</f>
        <v>-1255</v>
      </c>
      <c r="P140" s="103">
        <f>O140/1000</f>
        <v>-1.2549999999999999</v>
      </c>
      <c r="Q140" s="102">
        <f>(((C140*D140*E140)+(G140*H140*I140)+(K140*L140*M140))/1000000)*35.32</f>
        <v>0</v>
      </c>
      <c r="R140" s="46" t="e">
        <f>P140/Q140</f>
        <v>#DIV/0!</v>
      </c>
    </row>
    <row r="141" spans="1:18" ht="14.4" hidden="1" customHeight="1" x14ac:dyDescent="0.3">
      <c r="A141" s="122" t="s">
        <v>336</v>
      </c>
      <c r="B141" s="88" t="str">
        <f>VLOOKUP(A141,'[2]Billing Dimensions'!A:B,2,FALSE)</f>
        <v>SB</v>
      </c>
      <c r="C141" s="115" t="e">
        <f>VLOOKUP(A141,'[2]Billing Dimensions'!$A:$N,3,FALSE)-VLOOKUP(A141,'Audit Dimensions'!$A:$N,3,FALSE)</f>
        <v>#N/A</v>
      </c>
      <c r="D141" s="115" t="e">
        <f>VLOOKUP(A141,'[2]Billing Dimensions'!$A:$N,4,FALSE)-VLOOKUP(A141,'Audit Dimensions'!$A:$N,4,FALSE)</f>
        <v>#N/A</v>
      </c>
      <c r="E141" s="115" t="e">
        <f>VLOOKUP(A141,'[2]Billing Dimensions'!$A:$N,5,FALSE)-VLOOKUP(A141,'Audit Dimensions'!$A:$N,5,FALSE)</f>
        <v>#N/A</v>
      </c>
      <c r="F141" s="114" t="e">
        <f>VLOOKUP(A141,'[2]Billing Dimensions'!$A:$N,6,FALSE)-VLOOKUP(A141,'Audit Dimensions'!$A:$N,6,FALSE)</f>
        <v>#N/A</v>
      </c>
      <c r="G141" s="107" t="e">
        <f>VLOOKUP(A141,'[2]Billing Dimensions'!$A:$N,7,FALSE)-VLOOKUP(A141,'Audit Dimensions'!$A:$N,7,FALSE)</f>
        <v>#N/A</v>
      </c>
      <c r="H141" s="107" t="e">
        <f>VLOOKUP(A141,'[2]Billing Dimensions'!$A:$N,8,FALSE)-VLOOKUP(A141,'Audit Dimensions'!$A:$N,8,FALSE)</f>
        <v>#N/A</v>
      </c>
      <c r="I141" s="107" t="e">
        <f>VLOOKUP(A141,'[2]Billing Dimensions'!$A:$N,9,FALSE)-VLOOKUP(A141,'Audit Dimensions'!$A:$N,9,FALSE)</f>
        <v>#N/A</v>
      </c>
      <c r="J141" s="106" t="e">
        <f>VLOOKUP(A141,'[2]Billing Dimensions'!$A:$N,10,FALSE)-VLOOKUP(A141,'Audit Dimensions'!$A:$N,10,FALSE)</f>
        <v>#N/A</v>
      </c>
      <c r="K141" s="105" t="e">
        <f>VLOOKUP(A141,'[2]Billing Dimensions'!$A:$N,11,FALSE)-VLOOKUP(A141,'Audit Dimensions'!$A:$N,11,FALSE)</f>
        <v>#N/A</v>
      </c>
      <c r="L141" s="105" t="e">
        <f>VLOOKUP(A141,'[2]Billing Dimensions'!$A:$N,12,FALSE)-VLOOKUP(A141,'Audit Dimensions'!$A:$N,12,FALSE)</f>
        <v>#N/A</v>
      </c>
      <c r="M141" s="105" t="e">
        <f>VLOOKUP(A141,'[2]Billing Dimensions'!$A:$N,13,FALSE)-VLOOKUP(A141,'Audit Dimensions'!$A:$N,13,FALSE)</f>
        <v>#N/A</v>
      </c>
      <c r="N141" s="105" t="e">
        <f>VLOOKUP(A141,'[2]Billing Dimensions'!$A:$N,14,FALSE)-VLOOKUP(A141,'Audit Dimensions'!$A:$N,14,FALSE)</f>
        <v>#N/A</v>
      </c>
      <c r="O141" s="104" t="e">
        <f>VLOOKUP(A141,'[2]Billing Dimensions'!A:Q,16,FALSE)-VLOOKUP('Audit VAR'!A141,'Audit Dimensions'!A:P,16,FALSE)</f>
        <v>#N/A</v>
      </c>
      <c r="P141" s="103" t="e">
        <f>O141/1000</f>
        <v>#N/A</v>
      </c>
      <c r="Q141" s="102" t="e">
        <f>(((C141*D141*E141)+(G141*H141*I141)+(K141*L141*M141))/1000000)*35.32</f>
        <v>#N/A</v>
      </c>
      <c r="R141" s="46" t="e">
        <f>P141/Q141</f>
        <v>#N/A</v>
      </c>
    </row>
    <row r="142" spans="1:18" ht="14.4" hidden="1" customHeight="1" x14ac:dyDescent="0.3">
      <c r="A142" s="122" t="s">
        <v>168</v>
      </c>
      <c r="B142" s="88" t="str">
        <f>VLOOKUP(A142,'[2]Billing Dimensions'!A:B,2,FALSE)</f>
        <v>SB</v>
      </c>
      <c r="C142" s="115">
        <f>VLOOKUP(A142,'[2]Billing Dimensions'!$A:$N,3,FALSE)-VLOOKUP(A142,'Audit Dimensions'!$A:$N,3,FALSE)</f>
        <v>-1</v>
      </c>
      <c r="D142" s="115">
        <f>VLOOKUP(A142,'[2]Billing Dimensions'!$A:$N,4,FALSE)-VLOOKUP(A142,'Audit Dimensions'!$A:$N,4,FALSE)</f>
        <v>1</v>
      </c>
      <c r="E142" s="115">
        <f>VLOOKUP(A142,'[2]Billing Dimensions'!$A:$N,5,FALSE)-VLOOKUP(A142,'Audit Dimensions'!$A:$N,5,FALSE)</f>
        <v>0</v>
      </c>
      <c r="F142" s="114">
        <f>VLOOKUP(A142,'[2]Billing Dimensions'!$A:$N,6,FALSE)-VLOOKUP(A142,'Audit Dimensions'!$A:$N,6,FALSE)</f>
        <v>1585</v>
      </c>
      <c r="G142" s="107">
        <f>VLOOKUP(A142,'[2]Billing Dimensions'!$A:$N,7,FALSE)-VLOOKUP(A142,'Audit Dimensions'!$A:$N,7,FALSE)</f>
        <v>0</v>
      </c>
      <c r="H142" s="107">
        <f>VLOOKUP(A142,'[2]Billing Dimensions'!$A:$N,8,FALSE)-VLOOKUP(A142,'Audit Dimensions'!$A:$N,8,FALSE)</f>
        <v>0</v>
      </c>
      <c r="I142" s="107">
        <f>VLOOKUP(A142,'[2]Billing Dimensions'!$A:$N,9,FALSE)-VLOOKUP(A142,'Audit Dimensions'!$A:$N,9,FALSE)</f>
        <v>0</v>
      </c>
      <c r="J142" s="106">
        <f>VLOOKUP(A142,'[2]Billing Dimensions'!$A:$N,10,FALSE)-VLOOKUP(A142,'Audit Dimensions'!$A:$N,10,FALSE)</f>
        <v>0</v>
      </c>
      <c r="K142" s="105">
        <f>VLOOKUP(A142,'[2]Billing Dimensions'!$A:$N,11,FALSE)-VLOOKUP(A142,'Audit Dimensions'!$A:$N,11,FALSE)</f>
        <v>0</v>
      </c>
      <c r="L142" s="105">
        <f>VLOOKUP(A142,'[2]Billing Dimensions'!$A:$N,12,FALSE)-VLOOKUP(A142,'Audit Dimensions'!$A:$N,12,FALSE)</f>
        <v>0</v>
      </c>
      <c r="M142" s="105">
        <f>VLOOKUP(A142,'[2]Billing Dimensions'!$A:$N,13,FALSE)-VLOOKUP(A142,'Audit Dimensions'!$A:$N,13,FALSE)</f>
        <v>0</v>
      </c>
      <c r="N142" s="105">
        <f>VLOOKUP(A142,'[2]Billing Dimensions'!$A:$N,14,FALSE)-VLOOKUP(A142,'Audit Dimensions'!$A:$N,14,FALSE)</f>
        <v>0</v>
      </c>
      <c r="O142" s="104">
        <f>VLOOKUP(A142,'[2]Billing Dimensions'!A:Q,16,FALSE)-VLOOKUP('Audit VAR'!A142,'Audit Dimensions'!A:P,16,FALSE)</f>
        <v>1585</v>
      </c>
      <c r="P142" s="103">
        <f>O142/1000</f>
        <v>1.585</v>
      </c>
      <c r="Q142" s="102">
        <f>(((C142*D142*E142)+(G142*H142*I142)+(K142*L142*M142))/1000000)*35.32</f>
        <v>0</v>
      </c>
      <c r="R142" s="46" t="e">
        <f>P142/Q142</f>
        <v>#DIV/0!</v>
      </c>
    </row>
    <row r="143" spans="1:18" ht="14.4" hidden="1" customHeight="1" x14ac:dyDescent="0.3">
      <c r="A143" s="122" t="s">
        <v>335</v>
      </c>
      <c r="B143" s="88" t="e">
        <f>VLOOKUP(A143,'[2]Billing Dimensions'!A:B,2,FALSE)</f>
        <v>#N/A</v>
      </c>
      <c r="C143" s="115" t="e">
        <f>VLOOKUP(A143,'[2]Billing Dimensions'!$A:$N,3,FALSE)-VLOOKUP(A143,'Audit Dimensions'!$A:$N,3,FALSE)</f>
        <v>#N/A</v>
      </c>
      <c r="D143" s="115" t="e">
        <f>VLOOKUP(A143,'[2]Billing Dimensions'!$A:$N,4,FALSE)-VLOOKUP(A143,'Audit Dimensions'!$A:$N,4,FALSE)</f>
        <v>#N/A</v>
      </c>
      <c r="E143" s="115" t="e">
        <f>VLOOKUP(A143,'[2]Billing Dimensions'!$A:$N,5,FALSE)-VLOOKUP(A143,'Audit Dimensions'!$A:$N,5,FALSE)</f>
        <v>#N/A</v>
      </c>
      <c r="F143" s="114" t="e">
        <f>VLOOKUP(A143,'[2]Billing Dimensions'!$A:$N,6,FALSE)-VLOOKUP(A143,'Audit Dimensions'!$A:$N,6,FALSE)</f>
        <v>#N/A</v>
      </c>
      <c r="G143" s="107" t="e">
        <f>VLOOKUP(A143,'[2]Billing Dimensions'!$A:$N,7,FALSE)-VLOOKUP(A143,'Audit Dimensions'!$A:$N,7,FALSE)</f>
        <v>#N/A</v>
      </c>
      <c r="H143" s="107" t="e">
        <f>VLOOKUP(A143,'[2]Billing Dimensions'!$A:$N,8,FALSE)-VLOOKUP(A143,'Audit Dimensions'!$A:$N,8,FALSE)</f>
        <v>#N/A</v>
      </c>
      <c r="I143" s="107" t="e">
        <f>VLOOKUP(A143,'[2]Billing Dimensions'!$A:$N,9,FALSE)-VLOOKUP(A143,'Audit Dimensions'!$A:$N,9,FALSE)</f>
        <v>#N/A</v>
      </c>
      <c r="J143" s="106" t="e">
        <f>VLOOKUP(A143,'[2]Billing Dimensions'!$A:$N,10,FALSE)-VLOOKUP(A143,'Audit Dimensions'!$A:$N,10,FALSE)</f>
        <v>#N/A</v>
      </c>
      <c r="K143" s="105" t="e">
        <f>VLOOKUP(A143,'[2]Billing Dimensions'!$A:$N,11,FALSE)-VLOOKUP(A143,'Audit Dimensions'!$A:$N,11,FALSE)</f>
        <v>#N/A</v>
      </c>
      <c r="L143" s="105" t="e">
        <f>VLOOKUP(A143,'[2]Billing Dimensions'!$A:$N,12,FALSE)-VLOOKUP(A143,'Audit Dimensions'!$A:$N,12,FALSE)</f>
        <v>#N/A</v>
      </c>
      <c r="M143" s="105" t="e">
        <f>VLOOKUP(A143,'[2]Billing Dimensions'!$A:$N,13,FALSE)-VLOOKUP(A143,'Audit Dimensions'!$A:$N,13,FALSE)</f>
        <v>#N/A</v>
      </c>
      <c r="N143" s="105" t="e">
        <f>VLOOKUP(A143,'[2]Billing Dimensions'!$A:$N,14,FALSE)-VLOOKUP(A143,'Audit Dimensions'!$A:$N,14,FALSE)</f>
        <v>#N/A</v>
      </c>
      <c r="O143" s="104" t="e">
        <f>VLOOKUP(A143,'[2]Billing Dimensions'!A:Q,16,FALSE)-VLOOKUP('Audit VAR'!A143,'Audit Dimensions'!A:P,16,FALSE)</f>
        <v>#N/A</v>
      </c>
      <c r="P143" s="103" t="e">
        <f>O143/1000</f>
        <v>#N/A</v>
      </c>
      <c r="Q143" s="102" t="e">
        <f>(((C143*D143*E143)+(G143*H143*I143)+(K143*L143*M143))/1000000)*35.32</f>
        <v>#N/A</v>
      </c>
      <c r="R143" s="46" t="e">
        <f>P143/Q143</f>
        <v>#N/A</v>
      </c>
    </row>
    <row r="144" spans="1:18" ht="14.4" hidden="1" customHeight="1" x14ac:dyDescent="0.3">
      <c r="A144" s="122" t="s">
        <v>334</v>
      </c>
      <c r="B144" s="88" t="str">
        <f>VLOOKUP(A144,'[2]Billing Dimensions'!A:B,2,FALSE)</f>
        <v>SB</v>
      </c>
      <c r="C144" s="115" t="e">
        <f>VLOOKUP(A144,'[2]Billing Dimensions'!$A:$N,3,FALSE)-VLOOKUP(A144,'Audit Dimensions'!$A:$N,3,FALSE)</f>
        <v>#N/A</v>
      </c>
      <c r="D144" s="115" t="e">
        <f>VLOOKUP(A144,'[2]Billing Dimensions'!$A:$N,4,FALSE)-VLOOKUP(A144,'Audit Dimensions'!$A:$N,4,FALSE)</f>
        <v>#N/A</v>
      </c>
      <c r="E144" s="115" t="e">
        <f>VLOOKUP(A144,'[2]Billing Dimensions'!$A:$N,5,FALSE)-VLOOKUP(A144,'Audit Dimensions'!$A:$N,5,FALSE)</f>
        <v>#N/A</v>
      </c>
      <c r="F144" s="114" t="e">
        <f>VLOOKUP(A144,'[2]Billing Dimensions'!$A:$N,6,FALSE)-VLOOKUP(A144,'Audit Dimensions'!$A:$N,6,FALSE)</f>
        <v>#N/A</v>
      </c>
      <c r="G144" s="107" t="e">
        <f>VLOOKUP(A144,'[2]Billing Dimensions'!$A:$N,7,FALSE)-VLOOKUP(A144,'Audit Dimensions'!$A:$N,7,FALSE)</f>
        <v>#N/A</v>
      </c>
      <c r="H144" s="107" t="e">
        <f>VLOOKUP(A144,'[2]Billing Dimensions'!$A:$N,8,FALSE)-VLOOKUP(A144,'Audit Dimensions'!$A:$N,8,FALSE)</f>
        <v>#N/A</v>
      </c>
      <c r="I144" s="107" t="e">
        <f>VLOOKUP(A144,'[2]Billing Dimensions'!$A:$N,9,FALSE)-VLOOKUP(A144,'Audit Dimensions'!$A:$N,9,FALSE)</f>
        <v>#N/A</v>
      </c>
      <c r="J144" s="106" t="e">
        <f>VLOOKUP(A144,'[2]Billing Dimensions'!$A:$N,10,FALSE)-VLOOKUP(A144,'Audit Dimensions'!$A:$N,10,FALSE)</f>
        <v>#N/A</v>
      </c>
      <c r="K144" s="105" t="e">
        <f>VLOOKUP(A144,'[2]Billing Dimensions'!$A:$N,11,FALSE)-VLOOKUP(A144,'Audit Dimensions'!$A:$N,11,FALSE)</f>
        <v>#N/A</v>
      </c>
      <c r="L144" s="105" t="e">
        <f>VLOOKUP(A144,'[2]Billing Dimensions'!$A:$N,12,FALSE)-VLOOKUP(A144,'Audit Dimensions'!$A:$N,12,FALSE)</f>
        <v>#N/A</v>
      </c>
      <c r="M144" s="105" t="e">
        <f>VLOOKUP(A144,'[2]Billing Dimensions'!$A:$N,13,FALSE)-VLOOKUP(A144,'Audit Dimensions'!$A:$N,13,FALSE)</f>
        <v>#N/A</v>
      </c>
      <c r="N144" s="105" t="e">
        <f>VLOOKUP(A144,'[2]Billing Dimensions'!$A:$N,14,FALSE)-VLOOKUP(A144,'Audit Dimensions'!$A:$N,14,FALSE)</f>
        <v>#N/A</v>
      </c>
      <c r="O144" s="104" t="e">
        <f>VLOOKUP(A144,'[2]Billing Dimensions'!A:Q,16,FALSE)-VLOOKUP('Audit VAR'!A144,'Audit Dimensions'!A:P,16,FALSE)</f>
        <v>#N/A</v>
      </c>
      <c r="P144" s="103" t="e">
        <f>O144/1000</f>
        <v>#N/A</v>
      </c>
      <c r="Q144" s="102" t="e">
        <f>(((C144*D144*E144)+(G144*H144*I144)+(K144*L144*M144))/1000000)*35.32</f>
        <v>#N/A</v>
      </c>
      <c r="R144" s="46" t="e">
        <f>P144/Q144</f>
        <v>#N/A</v>
      </c>
    </row>
    <row r="145" spans="1:18" ht="14.4" hidden="1" customHeight="1" x14ac:dyDescent="0.3">
      <c r="A145" s="122" t="s">
        <v>167</v>
      </c>
      <c r="B145" s="88" t="str">
        <f>VLOOKUP(A145,'[2]Billing Dimensions'!A:B,2,FALSE)</f>
        <v>SB</v>
      </c>
      <c r="C145" s="115">
        <f>VLOOKUP(A145,'[2]Billing Dimensions'!$A:$N,3,FALSE)-VLOOKUP(A145,'Audit Dimensions'!$A:$N,3,FALSE)</f>
        <v>-2</v>
      </c>
      <c r="D145" s="115">
        <f>VLOOKUP(A145,'[2]Billing Dimensions'!$A:$N,4,FALSE)-VLOOKUP(A145,'Audit Dimensions'!$A:$N,4,FALSE)</f>
        <v>0</v>
      </c>
      <c r="E145" s="115">
        <f>VLOOKUP(A145,'[2]Billing Dimensions'!$A:$N,5,FALSE)-VLOOKUP(A145,'Audit Dimensions'!$A:$N,5,FALSE)</f>
        <v>-1</v>
      </c>
      <c r="F145" s="114">
        <f>VLOOKUP(A145,'[2]Billing Dimensions'!$A:$N,6,FALSE)-VLOOKUP(A145,'Audit Dimensions'!$A:$N,6,FALSE)</f>
        <v>100</v>
      </c>
      <c r="G145" s="107">
        <f>VLOOKUP(A145,'[2]Billing Dimensions'!$A:$N,7,FALSE)-VLOOKUP(A145,'Audit Dimensions'!$A:$N,7,FALSE)</f>
        <v>0</v>
      </c>
      <c r="H145" s="107">
        <f>VLOOKUP(A145,'[2]Billing Dimensions'!$A:$N,8,FALSE)-VLOOKUP(A145,'Audit Dimensions'!$A:$N,8,FALSE)</f>
        <v>0</v>
      </c>
      <c r="I145" s="107">
        <f>VLOOKUP(A145,'[2]Billing Dimensions'!$A:$N,9,FALSE)-VLOOKUP(A145,'Audit Dimensions'!$A:$N,9,FALSE)</f>
        <v>0</v>
      </c>
      <c r="J145" s="106">
        <f>VLOOKUP(A145,'[2]Billing Dimensions'!$A:$N,10,FALSE)-VLOOKUP(A145,'Audit Dimensions'!$A:$N,10,FALSE)</f>
        <v>0</v>
      </c>
      <c r="K145" s="105">
        <f>VLOOKUP(A145,'[2]Billing Dimensions'!$A:$N,11,FALSE)-VLOOKUP(A145,'Audit Dimensions'!$A:$N,11,FALSE)</f>
        <v>0</v>
      </c>
      <c r="L145" s="105">
        <f>VLOOKUP(A145,'[2]Billing Dimensions'!$A:$N,12,FALSE)-VLOOKUP(A145,'Audit Dimensions'!$A:$N,12,FALSE)</f>
        <v>0</v>
      </c>
      <c r="M145" s="105">
        <f>VLOOKUP(A145,'[2]Billing Dimensions'!$A:$N,13,FALSE)-VLOOKUP(A145,'Audit Dimensions'!$A:$N,13,FALSE)</f>
        <v>0</v>
      </c>
      <c r="N145" s="105">
        <f>VLOOKUP(A145,'[2]Billing Dimensions'!$A:$N,14,FALSE)-VLOOKUP(A145,'Audit Dimensions'!$A:$N,14,FALSE)</f>
        <v>0</v>
      </c>
      <c r="O145" s="104">
        <f>VLOOKUP(A145,'[2]Billing Dimensions'!A:Q,16,FALSE)-VLOOKUP('Audit VAR'!A145,'Audit Dimensions'!A:P,16,FALSE)</f>
        <v>100</v>
      </c>
      <c r="P145" s="103">
        <f>O145/1000</f>
        <v>0.1</v>
      </c>
      <c r="Q145" s="102">
        <f>(((C145*D145*E145)+(G145*H145*I145)+(K145*L145*M145))/1000000)*35.32</f>
        <v>0</v>
      </c>
      <c r="R145" s="46" t="e">
        <f>P145/Q145</f>
        <v>#DIV/0!</v>
      </c>
    </row>
    <row r="146" spans="1:18" ht="14.4" hidden="1" customHeight="1" x14ac:dyDescent="0.3">
      <c r="A146" s="122" t="s">
        <v>166</v>
      </c>
      <c r="B146" s="88" t="str">
        <f>VLOOKUP(A146,'[2]Billing Dimensions'!A:B,2,FALSE)</f>
        <v>SB</v>
      </c>
      <c r="C146" s="115">
        <f>VLOOKUP(A146,'[2]Billing Dimensions'!$A:$N,3,FALSE)-VLOOKUP(A146,'Audit Dimensions'!$A:$N,3,FALSE)</f>
        <v>-1</v>
      </c>
      <c r="D146" s="115">
        <f>VLOOKUP(A146,'[2]Billing Dimensions'!$A:$N,4,FALSE)-VLOOKUP(A146,'Audit Dimensions'!$A:$N,4,FALSE)</f>
        <v>0</v>
      </c>
      <c r="E146" s="115">
        <f>VLOOKUP(A146,'[2]Billing Dimensions'!$A:$N,5,FALSE)-VLOOKUP(A146,'Audit Dimensions'!$A:$N,5,FALSE)</f>
        <v>0</v>
      </c>
      <c r="F146" s="114">
        <f>VLOOKUP(A146,'[2]Billing Dimensions'!$A:$N,6,FALSE)-VLOOKUP(A146,'Audit Dimensions'!$A:$N,6,FALSE)</f>
        <v>540</v>
      </c>
      <c r="G146" s="107">
        <f>VLOOKUP(A146,'[2]Billing Dimensions'!$A:$N,7,FALSE)-VLOOKUP(A146,'Audit Dimensions'!$A:$N,7,FALSE)</f>
        <v>0</v>
      </c>
      <c r="H146" s="107">
        <f>VLOOKUP(A146,'[2]Billing Dimensions'!$A:$N,8,FALSE)-VLOOKUP(A146,'Audit Dimensions'!$A:$N,8,FALSE)</f>
        <v>0</v>
      </c>
      <c r="I146" s="107">
        <f>VLOOKUP(A146,'[2]Billing Dimensions'!$A:$N,9,FALSE)-VLOOKUP(A146,'Audit Dimensions'!$A:$N,9,FALSE)</f>
        <v>0</v>
      </c>
      <c r="J146" s="106">
        <f>VLOOKUP(A146,'[2]Billing Dimensions'!$A:$N,10,FALSE)-VLOOKUP(A146,'Audit Dimensions'!$A:$N,10,FALSE)</f>
        <v>0</v>
      </c>
      <c r="K146" s="105">
        <f>VLOOKUP(A146,'[2]Billing Dimensions'!$A:$N,11,FALSE)-VLOOKUP(A146,'Audit Dimensions'!$A:$N,11,FALSE)</f>
        <v>0</v>
      </c>
      <c r="L146" s="105">
        <f>VLOOKUP(A146,'[2]Billing Dimensions'!$A:$N,12,FALSE)-VLOOKUP(A146,'Audit Dimensions'!$A:$N,12,FALSE)</f>
        <v>0</v>
      </c>
      <c r="M146" s="105">
        <f>VLOOKUP(A146,'[2]Billing Dimensions'!$A:$N,13,FALSE)-VLOOKUP(A146,'Audit Dimensions'!$A:$N,13,FALSE)</f>
        <v>0</v>
      </c>
      <c r="N146" s="105">
        <f>VLOOKUP(A146,'[2]Billing Dimensions'!$A:$N,14,FALSE)-VLOOKUP(A146,'Audit Dimensions'!$A:$N,14,FALSE)</f>
        <v>0</v>
      </c>
      <c r="O146" s="104">
        <f>VLOOKUP(A146,'[2]Billing Dimensions'!A:Q,16,FALSE)-VLOOKUP('Audit VAR'!A146,'Audit Dimensions'!A:P,16,FALSE)</f>
        <v>540</v>
      </c>
      <c r="P146" s="103">
        <f>O146/1000</f>
        <v>0.54</v>
      </c>
      <c r="Q146" s="102">
        <f>(((C146*D146*E146)+(G146*H146*I146)+(K146*L146*M146))/1000000)*35.32</f>
        <v>0</v>
      </c>
      <c r="R146" s="46" t="e">
        <f>P146/Q146</f>
        <v>#DIV/0!</v>
      </c>
    </row>
    <row r="147" spans="1:18" hidden="1" x14ac:dyDescent="0.3">
      <c r="A147" s="118" t="s">
        <v>165</v>
      </c>
      <c r="B147" s="88" t="str">
        <f>VLOOKUP(A147,'[2]Billing Dimensions'!A:B,2,FALSE)</f>
        <v>SB</v>
      </c>
      <c r="C147" s="115">
        <f>VLOOKUP(A147,'[2]Billing Dimensions'!$A:$N,3,FALSE)-VLOOKUP(A147,'Audit Dimensions'!$A:$N,3,FALSE)</f>
        <v>1</v>
      </c>
      <c r="D147" s="115">
        <f>VLOOKUP(A147,'[2]Billing Dimensions'!$A:$N,4,FALSE)-VLOOKUP(A147,'Audit Dimensions'!$A:$N,4,FALSE)</f>
        <v>3</v>
      </c>
      <c r="E147" s="115">
        <f>VLOOKUP(A147,'[2]Billing Dimensions'!$A:$N,5,FALSE)-VLOOKUP(A147,'Audit Dimensions'!$A:$N,5,FALSE)</f>
        <v>2</v>
      </c>
      <c r="F147" s="114">
        <f>VLOOKUP(A147,'[2]Billing Dimensions'!$A:$N,6,FALSE)-VLOOKUP(A147,'Audit Dimensions'!$A:$N,6,FALSE)</f>
        <v>3000</v>
      </c>
      <c r="G147" s="107">
        <f>VLOOKUP(A147,'[2]Billing Dimensions'!$A:$N,7,FALSE)-VLOOKUP(A147,'Audit Dimensions'!$A:$N,7,FALSE)</f>
        <v>0</v>
      </c>
      <c r="H147" s="107">
        <f>VLOOKUP(A147,'[2]Billing Dimensions'!$A:$N,8,FALSE)-VLOOKUP(A147,'Audit Dimensions'!$A:$N,8,FALSE)</f>
        <v>0</v>
      </c>
      <c r="I147" s="107">
        <f>VLOOKUP(A147,'[2]Billing Dimensions'!$A:$N,9,FALSE)-VLOOKUP(A147,'Audit Dimensions'!$A:$N,9,FALSE)</f>
        <v>0</v>
      </c>
      <c r="J147" s="106">
        <f>VLOOKUP(A147,'[2]Billing Dimensions'!$A:$N,10,FALSE)-VLOOKUP(A147,'Audit Dimensions'!$A:$N,10,FALSE)</f>
        <v>0</v>
      </c>
      <c r="K147" s="105">
        <f>VLOOKUP(A147,'[2]Billing Dimensions'!$A:$N,11,FALSE)-VLOOKUP(A147,'Audit Dimensions'!$A:$N,11,FALSE)</f>
        <v>0</v>
      </c>
      <c r="L147" s="105">
        <f>VLOOKUP(A147,'[2]Billing Dimensions'!$A:$N,12,FALSE)-VLOOKUP(A147,'Audit Dimensions'!$A:$N,12,FALSE)</f>
        <v>0</v>
      </c>
      <c r="M147" s="105">
        <f>VLOOKUP(A147,'[2]Billing Dimensions'!$A:$N,13,FALSE)-VLOOKUP(A147,'Audit Dimensions'!$A:$N,13,FALSE)</f>
        <v>0</v>
      </c>
      <c r="N147" s="105">
        <f>VLOOKUP(A147,'[2]Billing Dimensions'!$A:$N,14,FALSE)-VLOOKUP(A147,'Audit Dimensions'!$A:$N,14,FALSE)</f>
        <v>0</v>
      </c>
      <c r="O147" s="104">
        <f>VLOOKUP(A147,'[2]Billing Dimensions'!A:Q,16,FALSE)-VLOOKUP('Audit VAR'!A147,'Audit Dimensions'!A:P,16,FALSE)</f>
        <v>3000</v>
      </c>
      <c r="P147" s="103">
        <f>O147/1000</f>
        <v>3</v>
      </c>
      <c r="Q147" s="102">
        <f>(((C147*D147*E147)+(G147*H147*I147)+(K147*L147*M147))/1000000)*35.32</f>
        <v>2.1192000000000002E-4</v>
      </c>
      <c r="R147" s="46">
        <f>P147/Q147</f>
        <v>14156.285390713476</v>
      </c>
    </row>
    <row r="148" spans="1:18" ht="12.45" hidden="1" customHeight="1" x14ac:dyDescent="0.3">
      <c r="A148" s="122" t="s">
        <v>164</v>
      </c>
      <c r="B148" s="88" t="str">
        <f>VLOOKUP(A148,'[2]Billing Dimensions'!A:B,2,FALSE)</f>
        <v>SB</v>
      </c>
      <c r="C148" s="115">
        <f>VLOOKUP(A148,'[2]Billing Dimensions'!$A:$N,3,FALSE)-VLOOKUP(A148,'Audit Dimensions'!$A:$N,3,FALSE)</f>
        <v>-1</v>
      </c>
      <c r="D148" s="115">
        <f>VLOOKUP(A148,'[2]Billing Dimensions'!$A:$N,4,FALSE)-VLOOKUP(A148,'Audit Dimensions'!$A:$N,4,FALSE)</f>
        <v>1</v>
      </c>
      <c r="E148" s="115">
        <f>VLOOKUP(A148,'[2]Billing Dimensions'!$A:$N,5,FALSE)-VLOOKUP(A148,'Audit Dimensions'!$A:$N,5,FALSE)</f>
        <v>1</v>
      </c>
      <c r="F148" s="114">
        <f>VLOOKUP(A148,'[2]Billing Dimensions'!$A:$N,6,FALSE)-VLOOKUP(A148,'Audit Dimensions'!$A:$N,6,FALSE)</f>
        <v>-150</v>
      </c>
      <c r="G148" s="107">
        <f>VLOOKUP(A148,'[2]Billing Dimensions'!$A:$N,7,FALSE)-VLOOKUP(A148,'Audit Dimensions'!$A:$N,7,FALSE)</f>
        <v>0</v>
      </c>
      <c r="H148" s="107">
        <f>VLOOKUP(A148,'[2]Billing Dimensions'!$A:$N,8,FALSE)-VLOOKUP(A148,'Audit Dimensions'!$A:$N,8,FALSE)</f>
        <v>0</v>
      </c>
      <c r="I148" s="107">
        <f>VLOOKUP(A148,'[2]Billing Dimensions'!$A:$N,9,FALSE)-VLOOKUP(A148,'Audit Dimensions'!$A:$N,9,FALSE)</f>
        <v>0</v>
      </c>
      <c r="J148" s="106">
        <f>VLOOKUP(A148,'[2]Billing Dimensions'!$A:$N,10,FALSE)-VLOOKUP(A148,'Audit Dimensions'!$A:$N,10,FALSE)</f>
        <v>0</v>
      </c>
      <c r="K148" s="105">
        <f>VLOOKUP(A148,'[2]Billing Dimensions'!$A:$N,11,FALSE)-VLOOKUP(A148,'Audit Dimensions'!$A:$N,11,FALSE)</f>
        <v>0</v>
      </c>
      <c r="L148" s="105">
        <f>VLOOKUP(A148,'[2]Billing Dimensions'!$A:$N,12,FALSE)-VLOOKUP(A148,'Audit Dimensions'!$A:$N,12,FALSE)</f>
        <v>0</v>
      </c>
      <c r="M148" s="105">
        <f>VLOOKUP(A148,'[2]Billing Dimensions'!$A:$N,13,FALSE)-VLOOKUP(A148,'Audit Dimensions'!$A:$N,13,FALSE)</f>
        <v>0</v>
      </c>
      <c r="N148" s="105">
        <f>VLOOKUP(A148,'[2]Billing Dimensions'!$A:$N,14,FALSE)-VLOOKUP(A148,'Audit Dimensions'!$A:$N,14,FALSE)</f>
        <v>0</v>
      </c>
      <c r="O148" s="104">
        <f>VLOOKUP(A148,'[2]Billing Dimensions'!A:Q,16,FALSE)-VLOOKUP('Audit VAR'!A148,'Audit Dimensions'!A:P,16,FALSE)</f>
        <v>-150</v>
      </c>
      <c r="P148" s="103">
        <f>O148/1000</f>
        <v>-0.15</v>
      </c>
      <c r="Q148" s="102">
        <f>(((C148*D148*E148)+(G148*H148*I148)+(K148*L148*M148))/1000000)*35.32</f>
        <v>-3.5320000000000001E-5</v>
      </c>
      <c r="R148" s="46">
        <f>P148/Q148</f>
        <v>4246.8856172140431</v>
      </c>
    </row>
    <row r="149" spans="1:18" hidden="1" x14ac:dyDescent="0.3">
      <c r="A149" s="122" t="s">
        <v>163</v>
      </c>
      <c r="B149" s="88" t="str">
        <f>VLOOKUP(A149,'[2]Billing Dimensions'!A:B,2,FALSE)</f>
        <v>SB</v>
      </c>
      <c r="C149" s="115">
        <f>VLOOKUP(A149,'[2]Billing Dimensions'!$A:$N,3,FALSE)-VLOOKUP(A149,'Audit Dimensions'!$A:$N,3,FALSE)</f>
        <v>0</v>
      </c>
      <c r="D149" s="115">
        <f>VLOOKUP(A149,'[2]Billing Dimensions'!$A:$N,4,FALSE)-VLOOKUP(A149,'Audit Dimensions'!$A:$N,4,FALSE)</f>
        <v>-1</v>
      </c>
      <c r="E149" s="115">
        <f>VLOOKUP(A149,'[2]Billing Dimensions'!$A:$N,5,FALSE)-VLOOKUP(A149,'Audit Dimensions'!$A:$N,5,FALSE)</f>
        <v>1</v>
      </c>
      <c r="F149" s="114">
        <f>VLOOKUP(A149,'[2]Billing Dimensions'!$A:$N,6,FALSE)-VLOOKUP(A149,'Audit Dimensions'!$A:$N,6,FALSE)</f>
        <v>-608</v>
      </c>
      <c r="G149" s="107">
        <f>VLOOKUP(A149,'[2]Billing Dimensions'!$A:$N,7,FALSE)-VLOOKUP(A149,'Audit Dimensions'!$A:$N,7,FALSE)</f>
        <v>0</v>
      </c>
      <c r="H149" s="107">
        <f>VLOOKUP(A149,'[2]Billing Dimensions'!$A:$N,8,FALSE)-VLOOKUP(A149,'Audit Dimensions'!$A:$N,8,FALSE)</f>
        <v>0</v>
      </c>
      <c r="I149" s="107">
        <f>VLOOKUP(A149,'[2]Billing Dimensions'!$A:$N,9,FALSE)-VLOOKUP(A149,'Audit Dimensions'!$A:$N,9,FALSE)</f>
        <v>0</v>
      </c>
      <c r="J149" s="106">
        <f>VLOOKUP(A149,'[2]Billing Dimensions'!$A:$N,10,FALSE)-VLOOKUP(A149,'Audit Dimensions'!$A:$N,10,FALSE)</f>
        <v>0</v>
      </c>
      <c r="K149" s="105">
        <f>VLOOKUP(A149,'[2]Billing Dimensions'!$A:$N,11,FALSE)-VLOOKUP(A149,'Audit Dimensions'!$A:$N,11,FALSE)</f>
        <v>0</v>
      </c>
      <c r="L149" s="105">
        <f>VLOOKUP(A149,'[2]Billing Dimensions'!$A:$N,12,FALSE)-VLOOKUP(A149,'Audit Dimensions'!$A:$N,12,FALSE)</f>
        <v>0</v>
      </c>
      <c r="M149" s="105">
        <f>VLOOKUP(A149,'[2]Billing Dimensions'!$A:$N,13,FALSE)-VLOOKUP(A149,'Audit Dimensions'!$A:$N,13,FALSE)</f>
        <v>0</v>
      </c>
      <c r="N149" s="105">
        <f>VLOOKUP(A149,'[2]Billing Dimensions'!$A:$N,14,FALSE)-VLOOKUP(A149,'Audit Dimensions'!$A:$N,14,FALSE)</f>
        <v>0</v>
      </c>
      <c r="O149" s="104">
        <f>VLOOKUP(A149,'[2]Billing Dimensions'!A:Q,16,FALSE)-VLOOKUP('Audit VAR'!A149,'Audit Dimensions'!A:P,16,FALSE)</f>
        <v>-608</v>
      </c>
      <c r="P149" s="103">
        <f>O149/1000</f>
        <v>-0.60799999999999998</v>
      </c>
      <c r="Q149" s="102">
        <f>(((C149*D149*E149)+(G149*H149*I149)+(K149*L149*M149))/1000000)*35.32</f>
        <v>0</v>
      </c>
      <c r="R149" s="46" t="e">
        <f>P149/Q149</f>
        <v>#DIV/0!</v>
      </c>
    </row>
    <row r="150" spans="1:18" hidden="1" x14ac:dyDescent="0.3">
      <c r="A150" s="122" t="s">
        <v>333</v>
      </c>
      <c r="B150" s="88" t="str">
        <f>VLOOKUP(A150,'[2]Billing Dimensions'!A:B,2,FALSE)</f>
        <v>SB</v>
      </c>
      <c r="C150" s="115" t="e">
        <f>VLOOKUP(A150,'[2]Billing Dimensions'!$A:$N,3,FALSE)-VLOOKUP(A150,'Audit Dimensions'!$A:$N,3,FALSE)</f>
        <v>#N/A</v>
      </c>
      <c r="D150" s="115" t="e">
        <f>VLOOKUP(A150,'[2]Billing Dimensions'!$A:$N,4,FALSE)-VLOOKUP(A150,'Audit Dimensions'!$A:$N,4,FALSE)</f>
        <v>#N/A</v>
      </c>
      <c r="E150" s="115" t="e">
        <f>VLOOKUP(A150,'[2]Billing Dimensions'!$A:$N,5,FALSE)-VLOOKUP(A150,'Audit Dimensions'!$A:$N,5,FALSE)</f>
        <v>#N/A</v>
      </c>
      <c r="F150" s="114" t="e">
        <f>VLOOKUP(A150,'[2]Billing Dimensions'!$A:$N,6,FALSE)-VLOOKUP(A150,'Audit Dimensions'!$A:$N,6,FALSE)</f>
        <v>#N/A</v>
      </c>
      <c r="G150" s="107" t="e">
        <f>VLOOKUP(A150,'[2]Billing Dimensions'!$A:$N,7,FALSE)-VLOOKUP(A150,'Audit Dimensions'!$A:$N,7,FALSE)</f>
        <v>#N/A</v>
      </c>
      <c r="H150" s="107" t="e">
        <f>VLOOKUP(A150,'[2]Billing Dimensions'!$A:$N,8,FALSE)-VLOOKUP(A150,'Audit Dimensions'!$A:$N,8,FALSE)</f>
        <v>#N/A</v>
      </c>
      <c r="I150" s="107" t="e">
        <f>VLOOKUP(A150,'[2]Billing Dimensions'!$A:$N,9,FALSE)-VLOOKUP(A150,'Audit Dimensions'!$A:$N,9,FALSE)</f>
        <v>#N/A</v>
      </c>
      <c r="J150" s="106" t="e">
        <f>VLOOKUP(A150,'[2]Billing Dimensions'!$A:$N,10,FALSE)-VLOOKUP(A150,'Audit Dimensions'!$A:$N,10,FALSE)</f>
        <v>#N/A</v>
      </c>
      <c r="K150" s="105" t="e">
        <f>VLOOKUP(A150,'[2]Billing Dimensions'!$A:$N,11,FALSE)-VLOOKUP(A150,'Audit Dimensions'!$A:$N,11,FALSE)</f>
        <v>#N/A</v>
      </c>
      <c r="L150" s="105" t="e">
        <f>VLOOKUP(A150,'[2]Billing Dimensions'!$A:$N,12,FALSE)-VLOOKUP(A150,'Audit Dimensions'!$A:$N,12,FALSE)</f>
        <v>#N/A</v>
      </c>
      <c r="M150" s="105" t="e">
        <f>VLOOKUP(A150,'[2]Billing Dimensions'!$A:$N,13,FALSE)-VLOOKUP(A150,'Audit Dimensions'!$A:$N,13,FALSE)</f>
        <v>#N/A</v>
      </c>
      <c r="N150" s="105" t="e">
        <f>VLOOKUP(A150,'[2]Billing Dimensions'!$A:$N,14,FALSE)-VLOOKUP(A150,'Audit Dimensions'!$A:$N,14,FALSE)</f>
        <v>#N/A</v>
      </c>
      <c r="O150" s="104" t="e">
        <f>VLOOKUP(A150,'[2]Billing Dimensions'!A:Q,16,FALSE)-VLOOKUP('Audit VAR'!A150,'Audit Dimensions'!A:P,16,FALSE)</f>
        <v>#N/A</v>
      </c>
      <c r="P150" s="103" t="e">
        <f>O150/1000</f>
        <v>#N/A</v>
      </c>
      <c r="Q150" s="102" t="e">
        <f>(((C150*D150*E150)+(G150*H150*I150)+(K150*L150*M150))/1000000)*35.32</f>
        <v>#N/A</v>
      </c>
      <c r="R150" s="46" t="e">
        <f>P150/Q150</f>
        <v>#N/A</v>
      </c>
    </row>
    <row r="151" spans="1:18" hidden="1" x14ac:dyDescent="0.3">
      <c r="A151" s="122" t="s">
        <v>162</v>
      </c>
      <c r="B151" s="88" t="str">
        <f>VLOOKUP(A151,'[2]Billing Dimensions'!A:B,2,FALSE)</f>
        <v>SB</v>
      </c>
      <c r="C151" s="115">
        <f>VLOOKUP(A151,'[2]Billing Dimensions'!$A:$N,3,FALSE)-VLOOKUP(A151,'Audit Dimensions'!$A:$N,3,FALSE)</f>
        <v>3</v>
      </c>
      <c r="D151" s="115">
        <f>VLOOKUP(A151,'[2]Billing Dimensions'!$A:$N,4,FALSE)-VLOOKUP(A151,'Audit Dimensions'!$A:$N,4,FALSE)</f>
        <v>3</v>
      </c>
      <c r="E151" s="115">
        <f>VLOOKUP(A151,'[2]Billing Dimensions'!$A:$N,5,FALSE)-VLOOKUP(A151,'Audit Dimensions'!$A:$N,5,FALSE)</f>
        <v>-2</v>
      </c>
      <c r="F151" s="114">
        <f>VLOOKUP(A151,'[2]Billing Dimensions'!$A:$N,6,FALSE)-VLOOKUP(A151,'Audit Dimensions'!$A:$N,6,FALSE)</f>
        <v>7100</v>
      </c>
      <c r="G151" s="107">
        <f>VLOOKUP(A151,'[2]Billing Dimensions'!$A:$N,7,FALSE)-VLOOKUP(A151,'Audit Dimensions'!$A:$N,7,FALSE)</f>
        <v>0</v>
      </c>
      <c r="H151" s="107">
        <f>VLOOKUP(A151,'[2]Billing Dimensions'!$A:$N,8,FALSE)-VLOOKUP(A151,'Audit Dimensions'!$A:$N,8,FALSE)</f>
        <v>0</v>
      </c>
      <c r="I151" s="107">
        <f>VLOOKUP(A151,'[2]Billing Dimensions'!$A:$N,9,FALSE)-VLOOKUP(A151,'Audit Dimensions'!$A:$N,9,FALSE)</f>
        <v>0</v>
      </c>
      <c r="J151" s="106">
        <f>VLOOKUP(A151,'[2]Billing Dimensions'!$A:$N,10,FALSE)-VLOOKUP(A151,'Audit Dimensions'!$A:$N,10,FALSE)</f>
        <v>0</v>
      </c>
      <c r="K151" s="105">
        <f>VLOOKUP(A151,'[2]Billing Dimensions'!$A:$N,11,FALSE)-VLOOKUP(A151,'Audit Dimensions'!$A:$N,11,FALSE)</f>
        <v>0</v>
      </c>
      <c r="L151" s="105">
        <f>VLOOKUP(A151,'[2]Billing Dimensions'!$A:$N,12,FALSE)-VLOOKUP(A151,'Audit Dimensions'!$A:$N,12,FALSE)</f>
        <v>0</v>
      </c>
      <c r="M151" s="105">
        <f>VLOOKUP(A151,'[2]Billing Dimensions'!$A:$N,13,FALSE)-VLOOKUP(A151,'Audit Dimensions'!$A:$N,13,FALSE)</f>
        <v>0</v>
      </c>
      <c r="N151" s="105">
        <f>VLOOKUP(A151,'[2]Billing Dimensions'!$A:$N,14,FALSE)-VLOOKUP(A151,'Audit Dimensions'!$A:$N,14,FALSE)</f>
        <v>0</v>
      </c>
      <c r="O151" s="104">
        <f>VLOOKUP(A151,'[2]Billing Dimensions'!A:Q,16,FALSE)-VLOOKUP('Audit VAR'!A151,'Audit Dimensions'!A:P,16,FALSE)</f>
        <v>7100</v>
      </c>
      <c r="P151" s="103">
        <f>O151/1000</f>
        <v>7.1</v>
      </c>
      <c r="Q151" s="102">
        <f>(((C151*D151*E151)+(G151*H151*I151)+(K151*L151*M151))/1000000)*35.32</f>
        <v>-6.3575999999999997E-4</v>
      </c>
      <c r="R151" s="46">
        <f>P151/Q151</f>
        <v>-11167.736252673965</v>
      </c>
    </row>
    <row r="152" spans="1:18" hidden="1" x14ac:dyDescent="0.3">
      <c r="A152" s="122" t="s">
        <v>161</v>
      </c>
      <c r="B152" s="88" t="e">
        <f>VLOOKUP(A152,'[2]Billing Dimensions'!A:B,2,FALSE)</f>
        <v>#N/A</v>
      </c>
      <c r="C152" s="115" t="e">
        <f>VLOOKUP(A152,'[2]Billing Dimensions'!$A:$N,3,FALSE)-VLOOKUP(A152,'Audit Dimensions'!$A:$N,3,FALSE)</f>
        <v>#N/A</v>
      </c>
      <c r="D152" s="115" t="e">
        <f>VLOOKUP(A152,'[2]Billing Dimensions'!$A:$N,4,FALSE)-VLOOKUP(A152,'Audit Dimensions'!$A:$N,4,FALSE)</f>
        <v>#N/A</v>
      </c>
      <c r="E152" s="115" t="e">
        <f>VLOOKUP(A152,'[2]Billing Dimensions'!$A:$N,5,FALSE)-VLOOKUP(A152,'Audit Dimensions'!$A:$N,5,FALSE)</f>
        <v>#N/A</v>
      </c>
      <c r="F152" s="114" t="e">
        <f>VLOOKUP(A152,'[2]Billing Dimensions'!$A:$N,6,FALSE)-VLOOKUP(A152,'Audit Dimensions'!$A:$N,6,FALSE)</f>
        <v>#N/A</v>
      </c>
      <c r="G152" s="107" t="e">
        <f>VLOOKUP(A152,'[2]Billing Dimensions'!$A:$N,7,FALSE)-VLOOKUP(A152,'Audit Dimensions'!$A:$N,7,FALSE)</f>
        <v>#N/A</v>
      </c>
      <c r="H152" s="107" t="e">
        <f>VLOOKUP(A152,'[2]Billing Dimensions'!$A:$N,8,FALSE)-VLOOKUP(A152,'Audit Dimensions'!$A:$N,8,FALSE)</f>
        <v>#N/A</v>
      </c>
      <c r="I152" s="107" t="e">
        <f>VLOOKUP(A152,'[2]Billing Dimensions'!$A:$N,9,FALSE)-VLOOKUP(A152,'Audit Dimensions'!$A:$N,9,FALSE)</f>
        <v>#N/A</v>
      </c>
      <c r="J152" s="106" t="e">
        <f>VLOOKUP(A152,'[2]Billing Dimensions'!$A:$N,10,FALSE)-VLOOKUP(A152,'Audit Dimensions'!$A:$N,10,FALSE)</f>
        <v>#N/A</v>
      </c>
      <c r="K152" s="105" t="e">
        <f>VLOOKUP(A152,'[2]Billing Dimensions'!$A:$N,11,FALSE)-VLOOKUP(A152,'Audit Dimensions'!$A:$N,11,FALSE)</f>
        <v>#N/A</v>
      </c>
      <c r="L152" s="105" t="e">
        <f>VLOOKUP(A152,'[2]Billing Dimensions'!$A:$N,12,FALSE)-VLOOKUP(A152,'Audit Dimensions'!$A:$N,12,FALSE)</f>
        <v>#N/A</v>
      </c>
      <c r="M152" s="105" t="e">
        <f>VLOOKUP(A152,'[2]Billing Dimensions'!$A:$N,13,FALSE)-VLOOKUP(A152,'Audit Dimensions'!$A:$N,13,FALSE)</f>
        <v>#N/A</v>
      </c>
      <c r="N152" s="105" t="e">
        <f>VLOOKUP(A152,'[2]Billing Dimensions'!$A:$N,14,FALSE)-VLOOKUP(A152,'Audit Dimensions'!$A:$N,14,FALSE)</f>
        <v>#N/A</v>
      </c>
      <c r="O152" s="104" t="e">
        <f>VLOOKUP(A152,'[2]Billing Dimensions'!A:Q,16,FALSE)-VLOOKUP('Audit VAR'!A152,'Audit Dimensions'!A:P,16,FALSE)</f>
        <v>#N/A</v>
      </c>
      <c r="P152" s="103" t="e">
        <f>O152/1000</f>
        <v>#N/A</v>
      </c>
      <c r="Q152" s="102" t="e">
        <f>(((C152*D152*E152)+(G152*H152*I152)+(K152*L152*M152))/1000000)*35.32</f>
        <v>#N/A</v>
      </c>
      <c r="R152" s="46" t="e">
        <f>P152/Q152</f>
        <v>#N/A</v>
      </c>
    </row>
    <row r="153" spans="1:18" hidden="1" x14ac:dyDescent="0.3">
      <c r="A153" s="126" t="s">
        <v>160</v>
      </c>
      <c r="B153" s="88" t="str">
        <f>VLOOKUP(A153,'[2]Billing Dimensions'!A:B,2,FALSE)</f>
        <v>SB</v>
      </c>
      <c r="C153" s="115">
        <f>VLOOKUP(A153,'[2]Billing Dimensions'!$A:$N,3,FALSE)-VLOOKUP(A153,'Audit Dimensions'!$A:$N,3,FALSE)</f>
        <v>-1</v>
      </c>
      <c r="D153" s="115">
        <f>VLOOKUP(A153,'[2]Billing Dimensions'!$A:$N,4,FALSE)-VLOOKUP(A153,'Audit Dimensions'!$A:$N,4,FALSE)</f>
        <v>0</v>
      </c>
      <c r="E153" s="115">
        <f>VLOOKUP(A153,'[2]Billing Dimensions'!$A:$N,5,FALSE)-VLOOKUP(A153,'Audit Dimensions'!$A:$N,5,FALSE)</f>
        <v>1</v>
      </c>
      <c r="F153" s="114">
        <f>VLOOKUP(A153,'[2]Billing Dimensions'!$A:$N,6,FALSE)-VLOOKUP(A153,'Audit Dimensions'!$A:$N,6,FALSE)</f>
        <v>-11400</v>
      </c>
      <c r="G153" s="107">
        <f>VLOOKUP(A153,'[2]Billing Dimensions'!$A:$N,7,FALSE)-VLOOKUP(A153,'Audit Dimensions'!$A:$N,7,FALSE)</f>
        <v>0</v>
      </c>
      <c r="H153" s="107">
        <f>VLOOKUP(A153,'[2]Billing Dimensions'!$A:$N,8,FALSE)-VLOOKUP(A153,'Audit Dimensions'!$A:$N,8,FALSE)</f>
        <v>0</v>
      </c>
      <c r="I153" s="107">
        <f>VLOOKUP(A153,'[2]Billing Dimensions'!$A:$N,9,FALSE)-VLOOKUP(A153,'Audit Dimensions'!$A:$N,9,FALSE)</f>
        <v>0</v>
      </c>
      <c r="J153" s="106">
        <f>VLOOKUP(A153,'[2]Billing Dimensions'!$A:$N,10,FALSE)-VLOOKUP(A153,'Audit Dimensions'!$A:$N,10,FALSE)</f>
        <v>0</v>
      </c>
      <c r="K153" s="105">
        <f>VLOOKUP(A153,'[2]Billing Dimensions'!$A:$N,11,FALSE)-VLOOKUP(A153,'Audit Dimensions'!$A:$N,11,FALSE)</f>
        <v>0</v>
      </c>
      <c r="L153" s="105">
        <f>VLOOKUP(A153,'[2]Billing Dimensions'!$A:$N,12,FALSE)-VLOOKUP(A153,'Audit Dimensions'!$A:$N,12,FALSE)</f>
        <v>0</v>
      </c>
      <c r="M153" s="105">
        <f>VLOOKUP(A153,'[2]Billing Dimensions'!$A:$N,13,FALSE)-VLOOKUP(A153,'Audit Dimensions'!$A:$N,13,FALSE)</f>
        <v>0</v>
      </c>
      <c r="N153" s="105">
        <f>VLOOKUP(A153,'[2]Billing Dimensions'!$A:$N,14,FALSE)-VLOOKUP(A153,'Audit Dimensions'!$A:$N,14,FALSE)</f>
        <v>0</v>
      </c>
      <c r="O153" s="104">
        <f>VLOOKUP(A153,'[2]Billing Dimensions'!A:Q,16,FALSE)-VLOOKUP('Audit VAR'!A153,'Audit Dimensions'!A:P,16,FALSE)</f>
        <v>-11400</v>
      </c>
      <c r="P153" s="103">
        <f>O153/1000</f>
        <v>-11.4</v>
      </c>
      <c r="Q153" s="102">
        <f>(((C153*D153*E153)+(G153*H153*I153)+(K153*L153*M153))/1000000)*35.32</f>
        <v>0</v>
      </c>
      <c r="R153" s="46" t="e">
        <f>P153/Q153</f>
        <v>#DIV/0!</v>
      </c>
    </row>
    <row r="154" spans="1:18" hidden="1" x14ac:dyDescent="0.3">
      <c r="A154" s="126" t="s">
        <v>159</v>
      </c>
      <c r="B154" s="88" t="str">
        <f>VLOOKUP(A154,'[2]Billing Dimensions'!A:B,2,FALSE)</f>
        <v>SB</v>
      </c>
      <c r="C154" s="115">
        <f>VLOOKUP(A154,'[2]Billing Dimensions'!$A:$N,3,FALSE)-VLOOKUP(A154,'Audit Dimensions'!$A:$N,3,FALSE)</f>
        <v>0</v>
      </c>
      <c r="D154" s="115">
        <f>VLOOKUP(A154,'[2]Billing Dimensions'!$A:$N,4,FALSE)-VLOOKUP(A154,'Audit Dimensions'!$A:$N,4,FALSE)</f>
        <v>0</v>
      </c>
      <c r="E154" s="115">
        <f>VLOOKUP(A154,'[2]Billing Dimensions'!$A:$N,5,FALSE)-VLOOKUP(A154,'Audit Dimensions'!$A:$N,5,FALSE)</f>
        <v>1</v>
      </c>
      <c r="F154" s="114">
        <f>VLOOKUP(A154,'[2]Billing Dimensions'!$A:$N,6,FALSE)-VLOOKUP(A154,'Audit Dimensions'!$A:$N,6,FALSE)</f>
        <v>-385</v>
      </c>
      <c r="G154" s="107">
        <f>VLOOKUP(A154,'[2]Billing Dimensions'!$A:$N,7,FALSE)-VLOOKUP(A154,'Audit Dimensions'!$A:$N,7,FALSE)</f>
        <v>0</v>
      </c>
      <c r="H154" s="107">
        <f>VLOOKUP(A154,'[2]Billing Dimensions'!$A:$N,8,FALSE)-VLOOKUP(A154,'Audit Dimensions'!$A:$N,8,FALSE)</f>
        <v>0</v>
      </c>
      <c r="I154" s="107">
        <f>VLOOKUP(A154,'[2]Billing Dimensions'!$A:$N,9,FALSE)-VLOOKUP(A154,'Audit Dimensions'!$A:$N,9,FALSE)</f>
        <v>0</v>
      </c>
      <c r="J154" s="106">
        <f>VLOOKUP(A154,'[2]Billing Dimensions'!$A:$N,10,FALSE)-VLOOKUP(A154,'Audit Dimensions'!$A:$N,10,FALSE)</f>
        <v>0</v>
      </c>
      <c r="K154" s="105">
        <f>VLOOKUP(A154,'[2]Billing Dimensions'!$A:$N,11,FALSE)-VLOOKUP(A154,'Audit Dimensions'!$A:$N,11,FALSE)</f>
        <v>0</v>
      </c>
      <c r="L154" s="105">
        <f>VLOOKUP(A154,'[2]Billing Dimensions'!$A:$N,12,FALSE)-VLOOKUP(A154,'Audit Dimensions'!$A:$N,12,FALSE)</f>
        <v>0</v>
      </c>
      <c r="M154" s="105">
        <f>VLOOKUP(A154,'[2]Billing Dimensions'!$A:$N,13,FALSE)-VLOOKUP(A154,'Audit Dimensions'!$A:$N,13,FALSE)</f>
        <v>0</v>
      </c>
      <c r="N154" s="105">
        <f>VLOOKUP(A154,'[2]Billing Dimensions'!$A:$N,14,FALSE)-VLOOKUP(A154,'Audit Dimensions'!$A:$N,14,FALSE)</f>
        <v>0</v>
      </c>
      <c r="O154" s="104">
        <f>VLOOKUP(A154,'[2]Billing Dimensions'!A:Q,16,FALSE)-VLOOKUP('Audit VAR'!A154,'Audit Dimensions'!A:P,16,FALSE)</f>
        <v>-385</v>
      </c>
      <c r="P154" s="103">
        <f>O154/1000</f>
        <v>-0.38500000000000001</v>
      </c>
      <c r="Q154" s="102">
        <f>(((C154*D154*E154)+(G154*H154*I154)+(K154*L154*M154))/1000000)*35.32</f>
        <v>0</v>
      </c>
      <c r="R154" s="46" t="e">
        <f>P154/Q154</f>
        <v>#DIV/0!</v>
      </c>
    </row>
    <row r="155" spans="1:18" ht="12.9" hidden="1" customHeight="1" x14ac:dyDescent="0.3">
      <c r="A155" s="122" t="s">
        <v>158</v>
      </c>
      <c r="B155" s="88" t="str">
        <f>VLOOKUP(A155,'[2]Billing Dimensions'!A:B,2,FALSE)</f>
        <v>SB</v>
      </c>
      <c r="C155" s="115">
        <f>VLOOKUP(A155,'[2]Billing Dimensions'!$A:$N,3,FALSE)-VLOOKUP(A155,'Audit Dimensions'!$A:$N,3,FALSE)</f>
        <v>1</v>
      </c>
      <c r="D155" s="115">
        <f>VLOOKUP(A155,'[2]Billing Dimensions'!$A:$N,4,FALSE)-VLOOKUP(A155,'Audit Dimensions'!$A:$N,4,FALSE)</f>
        <v>0</v>
      </c>
      <c r="E155" s="115">
        <f>VLOOKUP(A155,'[2]Billing Dimensions'!$A:$N,5,FALSE)-VLOOKUP(A155,'Audit Dimensions'!$A:$N,5,FALSE)</f>
        <v>-1</v>
      </c>
      <c r="F155" s="114">
        <f>VLOOKUP(A155,'[2]Billing Dimensions'!$A:$N,6,FALSE)-VLOOKUP(A155,'Audit Dimensions'!$A:$N,6,FALSE)</f>
        <v>-860</v>
      </c>
      <c r="G155" s="107">
        <f>VLOOKUP(A155,'[2]Billing Dimensions'!$A:$N,7,FALSE)-VLOOKUP(A155,'Audit Dimensions'!$A:$N,7,FALSE)</f>
        <v>0</v>
      </c>
      <c r="H155" s="107">
        <f>VLOOKUP(A155,'[2]Billing Dimensions'!$A:$N,8,FALSE)-VLOOKUP(A155,'Audit Dimensions'!$A:$N,8,FALSE)</f>
        <v>0</v>
      </c>
      <c r="I155" s="107">
        <f>VLOOKUP(A155,'[2]Billing Dimensions'!$A:$N,9,FALSE)-VLOOKUP(A155,'Audit Dimensions'!$A:$N,9,FALSE)</f>
        <v>0</v>
      </c>
      <c r="J155" s="106">
        <f>VLOOKUP(A155,'[2]Billing Dimensions'!$A:$N,10,FALSE)-VLOOKUP(A155,'Audit Dimensions'!$A:$N,10,FALSE)</f>
        <v>0</v>
      </c>
      <c r="K155" s="105">
        <f>VLOOKUP(A155,'[2]Billing Dimensions'!$A:$N,11,FALSE)-VLOOKUP(A155,'Audit Dimensions'!$A:$N,11,FALSE)</f>
        <v>0</v>
      </c>
      <c r="L155" s="105">
        <f>VLOOKUP(A155,'[2]Billing Dimensions'!$A:$N,12,FALSE)-VLOOKUP(A155,'Audit Dimensions'!$A:$N,12,FALSE)</f>
        <v>0</v>
      </c>
      <c r="M155" s="105">
        <f>VLOOKUP(A155,'[2]Billing Dimensions'!$A:$N,13,FALSE)-VLOOKUP(A155,'Audit Dimensions'!$A:$N,13,FALSE)</f>
        <v>0</v>
      </c>
      <c r="N155" s="105">
        <f>VLOOKUP(A155,'[2]Billing Dimensions'!$A:$N,14,FALSE)-VLOOKUP(A155,'Audit Dimensions'!$A:$N,14,FALSE)</f>
        <v>0</v>
      </c>
      <c r="O155" s="104">
        <f>VLOOKUP(A155,'[2]Billing Dimensions'!A:Q,16,FALSE)-VLOOKUP('Audit VAR'!A155,'Audit Dimensions'!A:P,16,FALSE)</f>
        <v>-860</v>
      </c>
      <c r="P155" s="103">
        <f>O155/1000</f>
        <v>-0.86</v>
      </c>
      <c r="Q155" s="102">
        <f>(((C155*D155*E155)+(G155*H155*I155)+(K155*L155*M155))/1000000)*35.32</f>
        <v>0</v>
      </c>
      <c r="R155" s="46" t="e">
        <f>P155/Q155</f>
        <v>#DIV/0!</v>
      </c>
    </row>
    <row r="156" spans="1:18" hidden="1" x14ac:dyDescent="0.3">
      <c r="A156" s="122" t="s">
        <v>332</v>
      </c>
      <c r="B156" s="88" t="str">
        <f>VLOOKUP(A156,'[2]Billing Dimensions'!A:B,2,FALSE)</f>
        <v>SB</v>
      </c>
      <c r="C156" s="115" t="e">
        <f>VLOOKUP(A156,'[2]Billing Dimensions'!$A:$N,3,FALSE)-VLOOKUP(A156,'Audit Dimensions'!$A:$N,3,FALSE)</f>
        <v>#N/A</v>
      </c>
      <c r="D156" s="115" t="e">
        <f>VLOOKUP(A156,'[2]Billing Dimensions'!$A:$N,4,FALSE)-VLOOKUP(A156,'Audit Dimensions'!$A:$N,4,FALSE)</f>
        <v>#N/A</v>
      </c>
      <c r="E156" s="115" t="e">
        <f>VLOOKUP(A156,'[2]Billing Dimensions'!$A:$N,5,FALSE)-VLOOKUP(A156,'Audit Dimensions'!$A:$N,5,FALSE)</f>
        <v>#N/A</v>
      </c>
      <c r="F156" s="114" t="e">
        <f>VLOOKUP(A156,'[2]Billing Dimensions'!$A:$N,6,FALSE)-VLOOKUP(A156,'Audit Dimensions'!$A:$N,6,FALSE)</f>
        <v>#N/A</v>
      </c>
      <c r="G156" s="107" t="e">
        <f>VLOOKUP(A156,'[2]Billing Dimensions'!$A:$N,7,FALSE)-VLOOKUP(A156,'Audit Dimensions'!$A:$N,7,FALSE)</f>
        <v>#N/A</v>
      </c>
      <c r="H156" s="107" t="e">
        <f>VLOOKUP(A156,'[2]Billing Dimensions'!$A:$N,8,FALSE)-VLOOKUP(A156,'Audit Dimensions'!$A:$N,8,FALSE)</f>
        <v>#N/A</v>
      </c>
      <c r="I156" s="107" t="e">
        <f>VLOOKUP(A156,'[2]Billing Dimensions'!$A:$N,9,FALSE)-VLOOKUP(A156,'Audit Dimensions'!$A:$N,9,FALSE)</f>
        <v>#N/A</v>
      </c>
      <c r="J156" s="106" t="e">
        <f>VLOOKUP(A156,'[2]Billing Dimensions'!$A:$N,10,FALSE)-VLOOKUP(A156,'Audit Dimensions'!$A:$N,10,FALSE)</f>
        <v>#N/A</v>
      </c>
      <c r="K156" s="105" t="e">
        <f>VLOOKUP(A156,'[2]Billing Dimensions'!$A:$N,11,FALSE)-VLOOKUP(A156,'Audit Dimensions'!$A:$N,11,FALSE)</f>
        <v>#N/A</v>
      </c>
      <c r="L156" s="105" t="e">
        <f>VLOOKUP(A156,'[2]Billing Dimensions'!$A:$N,12,FALSE)-VLOOKUP(A156,'Audit Dimensions'!$A:$N,12,FALSE)</f>
        <v>#N/A</v>
      </c>
      <c r="M156" s="105" t="e">
        <f>VLOOKUP(A156,'[2]Billing Dimensions'!$A:$N,13,FALSE)-VLOOKUP(A156,'Audit Dimensions'!$A:$N,13,FALSE)</f>
        <v>#N/A</v>
      </c>
      <c r="N156" s="105" t="e">
        <f>VLOOKUP(A156,'[2]Billing Dimensions'!$A:$N,14,FALSE)-VLOOKUP(A156,'Audit Dimensions'!$A:$N,14,FALSE)</f>
        <v>#N/A</v>
      </c>
      <c r="O156" s="104" t="e">
        <f>VLOOKUP(A156,'[2]Billing Dimensions'!A:Q,16,FALSE)-VLOOKUP('Audit VAR'!A156,'Audit Dimensions'!A:P,16,FALSE)</f>
        <v>#N/A</v>
      </c>
      <c r="P156" s="103" t="e">
        <f>O156/1000</f>
        <v>#N/A</v>
      </c>
      <c r="Q156" s="102" t="e">
        <f>(((C156*D156*E156)+(G156*H156*I156)+(K156*L156*M156))/1000000)*35.32</f>
        <v>#N/A</v>
      </c>
      <c r="R156" s="46" t="e">
        <f>P156/Q156</f>
        <v>#N/A</v>
      </c>
    </row>
    <row r="157" spans="1:18" ht="14.4" hidden="1" customHeight="1" x14ac:dyDescent="0.3">
      <c r="A157" s="122" t="s">
        <v>157</v>
      </c>
      <c r="B157" s="88" t="str">
        <f>VLOOKUP(A157,'[2]Billing Dimensions'!A:B,2,FALSE)</f>
        <v>SB</v>
      </c>
      <c r="C157" s="115">
        <f>VLOOKUP(A157,'[2]Billing Dimensions'!$A:$N,3,FALSE)-VLOOKUP(A157,'Audit Dimensions'!$A:$N,3,FALSE)</f>
        <v>0</v>
      </c>
      <c r="D157" s="115">
        <f>VLOOKUP(A157,'[2]Billing Dimensions'!$A:$N,4,FALSE)-VLOOKUP(A157,'Audit Dimensions'!$A:$N,4,FALSE)</f>
        <v>1</v>
      </c>
      <c r="E157" s="115">
        <f>VLOOKUP(A157,'[2]Billing Dimensions'!$A:$N,5,FALSE)-VLOOKUP(A157,'Audit Dimensions'!$A:$N,5,FALSE)</f>
        <v>-1</v>
      </c>
      <c r="F157" s="114">
        <f>VLOOKUP(A157,'[2]Billing Dimensions'!$A:$N,6,FALSE)-VLOOKUP(A157,'Audit Dimensions'!$A:$N,6,FALSE)</f>
        <v>-1720</v>
      </c>
      <c r="G157" s="107">
        <f>VLOOKUP(A157,'[2]Billing Dimensions'!$A:$N,7,FALSE)-VLOOKUP(A157,'Audit Dimensions'!$A:$N,7,FALSE)</f>
        <v>0</v>
      </c>
      <c r="H157" s="107">
        <f>VLOOKUP(A157,'[2]Billing Dimensions'!$A:$N,8,FALSE)-VLOOKUP(A157,'Audit Dimensions'!$A:$N,8,FALSE)</f>
        <v>0</v>
      </c>
      <c r="I157" s="107">
        <f>VLOOKUP(A157,'[2]Billing Dimensions'!$A:$N,9,FALSE)-VLOOKUP(A157,'Audit Dimensions'!$A:$N,9,FALSE)</f>
        <v>0</v>
      </c>
      <c r="J157" s="106">
        <f>VLOOKUP(A157,'[2]Billing Dimensions'!$A:$N,10,FALSE)-VLOOKUP(A157,'Audit Dimensions'!$A:$N,10,FALSE)</f>
        <v>0</v>
      </c>
      <c r="K157" s="105">
        <f>VLOOKUP(A157,'[2]Billing Dimensions'!$A:$N,11,FALSE)-VLOOKUP(A157,'Audit Dimensions'!$A:$N,11,FALSE)</f>
        <v>0</v>
      </c>
      <c r="L157" s="105">
        <f>VLOOKUP(A157,'[2]Billing Dimensions'!$A:$N,12,FALSE)-VLOOKUP(A157,'Audit Dimensions'!$A:$N,12,FALSE)</f>
        <v>0</v>
      </c>
      <c r="M157" s="105">
        <f>VLOOKUP(A157,'[2]Billing Dimensions'!$A:$N,13,FALSE)-VLOOKUP(A157,'Audit Dimensions'!$A:$N,13,FALSE)</f>
        <v>0</v>
      </c>
      <c r="N157" s="105">
        <f>VLOOKUP(A157,'[2]Billing Dimensions'!$A:$N,14,FALSE)-VLOOKUP(A157,'Audit Dimensions'!$A:$N,14,FALSE)</f>
        <v>0</v>
      </c>
      <c r="O157" s="104">
        <f>VLOOKUP(A157,'[2]Billing Dimensions'!A:Q,16,FALSE)-VLOOKUP('Audit VAR'!A157,'Audit Dimensions'!A:P,16,FALSE)</f>
        <v>-1720</v>
      </c>
      <c r="P157" s="103">
        <f>O157/1000</f>
        <v>-1.72</v>
      </c>
      <c r="Q157" s="102">
        <f>(((C157*D157*E157)+(G157*H157*I157)+(K157*L157*M157))/1000000)*35.32</f>
        <v>0</v>
      </c>
      <c r="R157" s="46" t="e">
        <f>P157/Q157</f>
        <v>#DIV/0!</v>
      </c>
    </row>
    <row r="158" spans="1:18" hidden="1" x14ac:dyDescent="0.3">
      <c r="A158" s="122" t="s">
        <v>156</v>
      </c>
      <c r="B158" s="88" t="str">
        <f>VLOOKUP(A158,'[2]Billing Dimensions'!A:B,2,FALSE)</f>
        <v>SB</v>
      </c>
      <c r="C158" s="115">
        <f>VLOOKUP(A158,'[2]Billing Dimensions'!$A:$N,3,FALSE)-VLOOKUP(A158,'Audit Dimensions'!$A:$N,3,FALSE)</f>
        <v>0</v>
      </c>
      <c r="D158" s="115">
        <f>VLOOKUP(A158,'[2]Billing Dimensions'!$A:$N,4,FALSE)-VLOOKUP(A158,'Audit Dimensions'!$A:$N,4,FALSE)</f>
        <v>2</v>
      </c>
      <c r="E158" s="115">
        <f>VLOOKUP(A158,'[2]Billing Dimensions'!$A:$N,5,FALSE)-VLOOKUP(A158,'Audit Dimensions'!$A:$N,5,FALSE)</f>
        <v>0</v>
      </c>
      <c r="F158" s="114">
        <f>VLOOKUP(A158,'[2]Billing Dimensions'!$A:$N,6,FALSE)-VLOOKUP(A158,'Audit Dimensions'!$A:$N,6,FALSE)</f>
        <v>-350</v>
      </c>
      <c r="G158" s="107">
        <f>VLOOKUP(A158,'[2]Billing Dimensions'!$A:$N,7,FALSE)-VLOOKUP(A158,'Audit Dimensions'!$A:$N,7,FALSE)</f>
        <v>0</v>
      </c>
      <c r="H158" s="107">
        <f>VLOOKUP(A158,'[2]Billing Dimensions'!$A:$N,8,FALSE)-VLOOKUP(A158,'Audit Dimensions'!$A:$N,8,FALSE)</f>
        <v>0</v>
      </c>
      <c r="I158" s="107">
        <f>VLOOKUP(A158,'[2]Billing Dimensions'!$A:$N,9,FALSE)-VLOOKUP(A158,'Audit Dimensions'!$A:$N,9,FALSE)</f>
        <v>0</v>
      </c>
      <c r="J158" s="106">
        <f>VLOOKUP(A158,'[2]Billing Dimensions'!$A:$N,10,FALSE)-VLOOKUP(A158,'Audit Dimensions'!$A:$N,10,FALSE)</f>
        <v>0</v>
      </c>
      <c r="K158" s="105">
        <f>VLOOKUP(A158,'[2]Billing Dimensions'!$A:$N,11,FALSE)-VLOOKUP(A158,'Audit Dimensions'!$A:$N,11,FALSE)</f>
        <v>0</v>
      </c>
      <c r="L158" s="105">
        <f>VLOOKUP(A158,'[2]Billing Dimensions'!$A:$N,12,FALSE)-VLOOKUP(A158,'Audit Dimensions'!$A:$N,12,FALSE)</f>
        <v>0</v>
      </c>
      <c r="M158" s="105">
        <f>VLOOKUP(A158,'[2]Billing Dimensions'!$A:$N,13,FALSE)-VLOOKUP(A158,'Audit Dimensions'!$A:$N,13,FALSE)</f>
        <v>0</v>
      </c>
      <c r="N158" s="105">
        <f>VLOOKUP(A158,'[2]Billing Dimensions'!$A:$N,14,FALSE)-VLOOKUP(A158,'Audit Dimensions'!$A:$N,14,FALSE)</f>
        <v>0</v>
      </c>
      <c r="O158" s="104">
        <f>VLOOKUP(A158,'[2]Billing Dimensions'!A:Q,16,FALSE)-VLOOKUP('Audit VAR'!A158,'Audit Dimensions'!A:P,16,FALSE)</f>
        <v>-350</v>
      </c>
      <c r="P158" s="103">
        <f>O158/1000</f>
        <v>-0.35</v>
      </c>
      <c r="Q158" s="102">
        <f>(((C158*D158*E158)+(G158*H158*I158)+(K158*L158*M158))/1000000)*35.32</f>
        <v>0</v>
      </c>
      <c r="R158" s="46" t="e">
        <f>P158/Q158</f>
        <v>#DIV/0!</v>
      </c>
    </row>
    <row r="159" spans="1:18" ht="14.4" hidden="1" customHeight="1" x14ac:dyDescent="0.3">
      <c r="A159" s="122" t="s">
        <v>331</v>
      </c>
      <c r="B159" s="88" t="str">
        <f>VLOOKUP(A159,'[2]Billing Dimensions'!A:B,2,FALSE)</f>
        <v>SB</v>
      </c>
      <c r="C159" s="115" t="e">
        <f>VLOOKUP(A159,'[2]Billing Dimensions'!$A:$N,3,FALSE)-VLOOKUP(A159,'Audit Dimensions'!$A:$N,3,FALSE)</f>
        <v>#N/A</v>
      </c>
      <c r="D159" s="115" t="e">
        <f>VLOOKUP(A159,'[2]Billing Dimensions'!$A:$N,4,FALSE)-VLOOKUP(A159,'Audit Dimensions'!$A:$N,4,FALSE)</f>
        <v>#N/A</v>
      </c>
      <c r="E159" s="115" t="e">
        <f>VLOOKUP(A159,'[2]Billing Dimensions'!$A:$N,5,FALSE)-VLOOKUP(A159,'Audit Dimensions'!$A:$N,5,FALSE)</f>
        <v>#N/A</v>
      </c>
      <c r="F159" s="114" t="e">
        <f>VLOOKUP(A159,'[2]Billing Dimensions'!$A:$N,6,FALSE)-VLOOKUP(A159,'Audit Dimensions'!$A:$N,6,FALSE)</f>
        <v>#N/A</v>
      </c>
      <c r="G159" s="107" t="e">
        <f>VLOOKUP(A159,'[2]Billing Dimensions'!$A:$N,7,FALSE)-VLOOKUP(A159,'Audit Dimensions'!$A:$N,7,FALSE)</f>
        <v>#N/A</v>
      </c>
      <c r="H159" s="107" t="e">
        <f>VLOOKUP(A159,'[2]Billing Dimensions'!$A:$N,8,FALSE)-VLOOKUP(A159,'Audit Dimensions'!$A:$N,8,FALSE)</f>
        <v>#N/A</v>
      </c>
      <c r="I159" s="107" t="e">
        <f>VLOOKUP(A159,'[2]Billing Dimensions'!$A:$N,9,FALSE)-VLOOKUP(A159,'Audit Dimensions'!$A:$N,9,FALSE)</f>
        <v>#N/A</v>
      </c>
      <c r="J159" s="106" t="e">
        <f>VLOOKUP(A159,'[2]Billing Dimensions'!$A:$N,10,FALSE)-VLOOKUP(A159,'Audit Dimensions'!$A:$N,10,FALSE)</f>
        <v>#N/A</v>
      </c>
      <c r="K159" s="105" t="e">
        <f>VLOOKUP(A159,'[2]Billing Dimensions'!$A:$N,11,FALSE)-VLOOKUP(A159,'Audit Dimensions'!$A:$N,11,FALSE)</f>
        <v>#N/A</v>
      </c>
      <c r="L159" s="105" t="e">
        <f>VLOOKUP(A159,'[2]Billing Dimensions'!$A:$N,12,FALSE)-VLOOKUP(A159,'Audit Dimensions'!$A:$N,12,FALSE)</f>
        <v>#N/A</v>
      </c>
      <c r="M159" s="105" t="e">
        <f>VLOOKUP(A159,'[2]Billing Dimensions'!$A:$N,13,FALSE)-VLOOKUP(A159,'Audit Dimensions'!$A:$N,13,FALSE)</f>
        <v>#N/A</v>
      </c>
      <c r="N159" s="105" t="e">
        <f>VLOOKUP(A159,'[2]Billing Dimensions'!$A:$N,14,FALSE)-VLOOKUP(A159,'Audit Dimensions'!$A:$N,14,FALSE)</f>
        <v>#N/A</v>
      </c>
      <c r="O159" s="104" t="e">
        <f>VLOOKUP(A159,'[2]Billing Dimensions'!A:Q,16,FALSE)-VLOOKUP('Audit VAR'!A159,'Audit Dimensions'!A:P,16,FALSE)</f>
        <v>#N/A</v>
      </c>
      <c r="P159" s="103" t="e">
        <f>O159/1000</f>
        <v>#N/A</v>
      </c>
      <c r="Q159" s="102" t="e">
        <f>(((C159*D159*E159)+(G159*H159*I159)+(K159*L159*M159))/1000000)*35.32</f>
        <v>#N/A</v>
      </c>
      <c r="R159" s="46" t="e">
        <f>P159/Q159</f>
        <v>#N/A</v>
      </c>
    </row>
    <row r="160" spans="1:18" hidden="1" x14ac:dyDescent="0.3">
      <c r="A160" s="122" t="s">
        <v>155</v>
      </c>
      <c r="B160" s="88" t="str">
        <f>VLOOKUP(A160,'[2]Billing Dimensions'!A:B,2,FALSE)</f>
        <v>SB</v>
      </c>
      <c r="C160" s="115">
        <f>VLOOKUP(A160,'[2]Billing Dimensions'!$A:$N,3,FALSE)-VLOOKUP(A160,'Audit Dimensions'!$A:$N,3,FALSE)</f>
        <v>0</v>
      </c>
      <c r="D160" s="115">
        <f>VLOOKUP(A160,'[2]Billing Dimensions'!$A:$N,4,FALSE)-VLOOKUP(A160,'Audit Dimensions'!$A:$N,4,FALSE)</f>
        <v>2</v>
      </c>
      <c r="E160" s="115">
        <f>VLOOKUP(A160,'[2]Billing Dimensions'!$A:$N,5,FALSE)-VLOOKUP(A160,'Audit Dimensions'!$A:$N,5,FALSE)</f>
        <v>0</v>
      </c>
      <c r="F160" s="114">
        <f>VLOOKUP(A160,'[2]Billing Dimensions'!$A:$N,6,FALSE)-VLOOKUP(A160,'Audit Dimensions'!$A:$N,6,FALSE)</f>
        <v>-2500</v>
      </c>
      <c r="G160" s="107">
        <f>VLOOKUP(A160,'[2]Billing Dimensions'!$A:$N,7,FALSE)-VLOOKUP(A160,'Audit Dimensions'!$A:$N,7,FALSE)</f>
        <v>0</v>
      </c>
      <c r="H160" s="107">
        <f>VLOOKUP(A160,'[2]Billing Dimensions'!$A:$N,8,FALSE)-VLOOKUP(A160,'Audit Dimensions'!$A:$N,8,FALSE)</f>
        <v>0</v>
      </c>
      <c r="I160" s="107">
        <f>VLOOKUP(A160,'[2]Billing Dimensions'!$A:$N,9,FALSE)-VLOOKUP(A160,'Audit Dimensions'!$A:$N,9,FALSE)</f>
        <v>0</v>
      </c>
      <c r="J160" s="106">
        <f>VLOOKUP(A160,'[2]Billing Dimensions'!$A:$N,10,FALSE)-VLOOKUP(A160,'Audit Dimensions'!$A:$N,10,FALSE)</f>
        <v>0</v>
      </c>
      <c r="K160" s="105">
        <f>VLOOKUP(A160,'[2]Billing Dimensions'!$A:$N,11,FALSE)-VLOOKUP(A160,'Audit Dimensions'!$A:$N,11,FALSE)</f>
        <v>0</v>
      </c>
      <c r="L160" s="105">
        <f>VLOOKUP(A160,'[2]Billing Dimensions'!$A:$N,12,FALSE)-VLOOKUP(A160,'Audit Dimensions'!$A:$N,12,FALSE)</f>
        <v>0</v>
      </c>
      <c r="M160" s="105">
        <f>VLOOKUP(A160,'[2]Billing Dimensions'!$A:$N,13,FALSE)-VLOOKUP(A160,'Audit Dimensions'!$A:$N,13,FALSE)</f>
        <v>0</v>
      </c>
      <c r="N160" s="105">
        <f>VLOOKUP(A160,'[2]Billing Dimensions'!$A:$N,14,FALSE)-VLOOKUP(A160,'Audit Dimensions'!$A:$N,14,FALSE)</f>
        <v>0</v>
      </c>
      <c r="O160" s="104">
        <f>VLOOKUP(A160,'[2]Billing Dimensions'!A:Q,16,FALSE)-VLOOKUP('Audit VAR'!A160,'Audit Dimensions'!A:P,16,FALSE)</f>
        <v>-2500</v>
      </c>
      <c r="P160" s="103">
        <f>O160/1000</f>
        <v>-2.5</v>
      </c>
      <c r="Q160" s="102">
        <f>(((C160*D160*E160)+(G160*H160*I160)+(K160*L160*M160))/1000000)*35.32</f>
        <v>0</v>
      </c>
      <c r="R160" s="46" t="e">
        <f>P160/Q160</f>
        <v>#DIV/0!</v>
      </c>
    </row>
    <row r="161" spans="1:18" ht="14.4" hidden="1" customHeight="1" x14ac:dyDescent="0.3">
      <c r="A161" s="122" t="s">
        <v>330</v>
      </c>
      <c r="B161" s="88" t="str">
        <f>VLOOKUP(A161,'[2]Billing Dimensions'!A:B,2,FALSE)</f>
        <v>SB</v>
      </c>
      <c r="C161" s="115" t="e">
        <f>VLOOKUP(A161,'[2]Billing Dimensions'!$A:$N,3,FALSE)-VLOOKUP(A161,'Audit Dimensions'!$A:$N,3,FALSE)</f>
        <v>#N/A</v>
      </c>
      <c r="D161" s="115" t="e">
        <f>VLOOKUP(A161,'[2]Billing Dimensions'!$A:$N,4,FALSE)-VLOOKUP(A161,'Audit Dimensions'!$A:$N,4,FALSE)</f>
        <v>#N/A</v>
      </c>
      <c r="E161" s="115" t="e">
        <f>VLOOKUP(A161,'[2]Billing Dimensions'!$A:$N,5,FALSE)-VLOOKUP(A161,'Audit Dimensions'!$A:$N,5,FALSE)</f>
        <v>#N/A</v>
      </c>
      <c r="F161" s="114" t="e">
        <f>VLOOKUP(A161,'[2]Billing Dimensions'!$A:$N,6,FALSE)-VLOOKUP(A161,'Audit Dimensions'!$A:$N,6,FALSE)</f>
        <v>#N/A</v>
      </c>
      <c r="G161" s="107" t="e">
        <f>VLOOKUP(A161,'[2]Billing Dimensions'!$A:$N,7,FALSE)-VLOOKUP(A161,'Audit Dimensions'!$A:$N,7,FALSE)</f>
        <v>#N/A</v>
      </c>
      <c r="H161" s="107" t="e">
        <f>VLOOKUP(A161,'[2]Billing Dimensions'!$A:$N,8,FALSE)-VLOOKUP(A161,'Audit Dimensions'!$A:$N,8,FALSE)</f>
        <v>#N/A</v>
      </c>
      <c r="I161" s="107" t="e">
        <f>VLOOKUP(A161,'[2]Billing Dimensions'!$A:$N,9,FALSE)-VLOOKUP(A161,'Audit Dimensions'!$A:$N,9,FALSE)</f>
        <v>#N/A</v>
      </c>
      <c r="J161" s="106" t="e">
        <f>VLOOKUP(A161,'[2]Billing Dimensions'!$A:$N,10,FALSE)-VLOOKUP(A161,'Audit Dimensions'!$A:$N,10,FALSE)</f>
        <v>#N/A</v>
      </c>
      <c r="K161" s="105" t="e">
        <f>VLOOKUP(A161,'[2]Billing Dimensions'!$A:$N,11,FALSE)-VLOOKUP(A161,'Audit Dimensions'!$A:$N,11,FALSE)</f>
        <v>#N/A</v>
      </c>
      <c r="L161" s="105" t="e">
        <f>VLOOKUP(A161,'[2]Billing Dimensions'!$A:$N,12,FALSE)-VLOOKUP(A161,'Audit Dimensions'!$A:$N,12,FALSE)</f>
        <v>#N/A</v>
      </c>
      <c r="M161" s="105" t="e">
        <f>VLOOKUP(A161,'[2]Billing Dimensions'!$A:$N,13,FALSE)-VLOOKUP(A161,'Audit Dimensions'!$A:$N,13,FALSE)</f>
        <v>#N/A</v>
      </c>
      <c r="N161" s="105" t="e">
        <f>VLOOKUP(A161,'[2]Billing Dimensions'!$A:$N,14,FALSE)-VLOOKUP(A161,'Audit Dimensions'!$A:$N,14,FALSE)</f>
        <v>#N/A</v>
      </c>
      <c r="O161" s="104" t="e">
        <f>VLOOKUP(A161,'[2]Billing Dimensions'!A:Q,16,FALSE)-VLOOKUP('Audit VAR'!A161,'Audit Dimensions'!A:P,16,FALSE)</f>
        <v>#N/A</v>
      </c>
      <c r="P161" s="103" t="e">
        <f>O161/1000</f>
        <v>#N/A</v>
      </c>
      <c r="Q161" s="102" t="e">
        <f>(((C161*D161*E161)+(G161*H161*I161)+(K161*L161*M161))/1000000)*35.32</f>
        <v>#N/A</v>
      </c>
      <c r="R161" s="46" t="e">
        <f>P161/Q161</f>
        <v>#N/A</v>
      </c>
    </row>
    <row r="162" spans="1:18" hidden="1" x14ac:dyDescent="0.3">
      <c r="A162" s="122" t="s">
        <v>154</v>
      </c>
      <c r="B162" s="88" t="str">
        <f>VLOOKUP(A162,'[2]Billing Dimensions'!A:B,2,FALSE)</f>
        <v>SB</v>
      </c>
      <c r="C162" s="115">
        <f>VLOOKUP(A162,'[2]Billing Dimensions'!$A:$N,3,FALSE)-VLOOKUP(A162,'Audit Dimensions'!$A:$N,3,FALSE)</f>
        <v>0</v>
      </c>
      <c r="D162" s="115">
        <f>VLOOKUP(A162,'[2]Billing Dimensions'!$A:$N,4,FALSE)-VLOOKUP(A162,'Audit Dimensions'!$A:$N,4,FALSE)</f>
        <v>-4</v>
      </c>
      <c r="E162" s="115">
        <f>VLOOKUP(A162,'[2]Billing Dimensions'!$A:$N,5,FALSE)-VLOOKUP(A162,'Audit Dimensions'!$A:$N,5,FALSE)</f>
        <v>1</v>
      </c>
      <c r="F162" s="114">
        <f>VLOOKUP(A162,'[2]Billing Dimensions'!$A:$N,6,FALSE)-VLOOKUP(A162,'Audit Dimensions'!$A:$N,6,FALSE)</f>
        <v>-1300</v>
      </c>
      <c r="G162" s="107">
        <f>VLOOKUP(A162,'[2]Billing Dimensions'!$A:$N,7,FALSE)-VLOOKUP(A162,'Audit Dimensions'!$A:$N,7,FALSE)</f>
        <v>0</v>
      </c>
      <c r="H162" s="107">
        <f>VLOOKUP(A162,'[2]Billing Dimensions'!$A:$N,8,FALSE)-VLOOKUP(A162,'Audit Dimensions'!$A:$N,8,FALSE)</f>
        <v>0</v>
      </c>
      <c r="I162" s="107">
        <f>VLOOKUP(A162,'[2]Billing Dimensions'!$A:$N,9,FALSE)-VLOOKUP(A162,'Audit Dimensions'!$A:$N,9,FALSE)</f>
        <v>0</v>
      </c>
      <c r="J162" s="106">
        <f>VLOOKUP(A162,'[2]Billing Dimensions'!$A:$N,10,FALSE)-VLOOKUP(A162,'Audit Dimensions'!$A:$N,10,FALSE)</f>
        <v>0</v>
      </c>
      <c r="K162" s="105">
        <f>VLOOKUP(A162,'[2]Billing Dimensions'!$A:$N,11,FALSE)-VLOOKUP(A162,'Audit Dimensions'!$A:$N,11,FALSE)</f>
        <v>0</v>
      </c>
      <c r="L162" s="105">
        <f>VLOOKUP(A162,'[2]Billing Dimensions'!$A:$N,12,FALSE)-VLOOKUP(A162,'Audit Dimensions'!$A:$N,12,FALSE)</f>
        <v>0</v>
      </c>
      <c r="M162" s="105">
        <f>VLOOKUP(A162,'[2]Billing Dimensions'!$A:$N,13,FALSE)-VLOOKUP(A162,'Audit Dimensions'!$A:$N,13,FALSE)</f>
        <v>0</v>
      </c>
      <c r="N162" s="105">
        <f>VLOOKUP(A162,'[2]Billing Dimensions'!$A:$N,14,FALSE)-VLOOKUP(A162,'Audit Dimensions'!$A:$N,14,FALSE)</f>
        <v>0</v>
      </c>
      <c r="O162" s="104">
        <f>VLOOKUP(A162,'[2]Billing Dimensions'!A:Q,16,FALSE)-VLOOKUP('Audit VAR'!A162,'Audit Dimensions'!A:P,16,FALSE)</f>
        <v>-1300</v>
      </c>
      <c r="P162" s="103">
        <f>O162/1000</f>
        <v>-1.3</v>
      </c>
      <c r="Q162" s="102">
        <f>(((C162*D162*E162)+(G162*H162*I162)+(K162*L162*M162))/1000000)*35.32</f>
        <v>0</v>
      </c>
      <c r="R162" s="46" t="e">
        <f>P162/Q162</f>
        <v>#DIV/0!</v>
      </c>
    </row>
    <row r="163" spans="1:18" ht="14.4" hidden="1" customHeight="1" x14ac:dyDescent="0.3">
      <c r="A163" s="122" t="s">
        <v>153</v>
      </c>
      <c r="B163" s="88" t="str">
        <f>VLOOKUP(A163,'[2]Billing Dimensions'!A:B,2,FALSE)</f>
        <v>SB</v>
      </c>
      <c r="C163" s="115">
        <f>VLOOKUP(A163,'[2]Billing Dimensions'!$A:$N,3,FALSE)-VLOOKUP(A163,'Audit Dimensions'!$A:$N,3,FALSE)</f>
        <v>-1</v>
      </c>
      <c r="D163" s="115">
        <f>VLOOKUP(A163,'[2]Billing Dimensions'!$A:$N,4,FALSE)-VLOOKUP(A163,'Audit Dimensions'!$A:$N,4,FALSE)</f>
        <v>0</v>
      </c>
      <c r="E163" s="115">
        <f>VLOOKUP(A163,'[2]Billing Dimensions'!$A:$N,5,FALSE)-VLOOKUP(A163,'Audit Dimensions'!$A:$N,5,FALSE)</f>
        <v>0</v>
      </c>
      <c r="F163" s="114">
        <f>VLOOKUP(A163,'[2]Billing Dimensions'!$A:$N,6,FALSE)-VLOOKUP(A163,'Audit Dimensions'!$A:$N,6,FALSE)</f>
        <v>-370</v>
      </c>
      <c r="G163" s="107">
        <f>VLOOKUP(A163,'[2]Billing Dimensions'!$A:$N,7,FALSE)-VLOOKUP(A163,'Audit Dimensions'!$A:$N,7,FALSE)</f>
        <v>0</v>
      </c>
      <c r="H163" s="107">
        <f>VLOOKUP(A163,'[2]Billing Dimensions'!$A:$N,8,FALSE)-VLOOKUP(A163,'Audit Dimensions'!$A:$N,8,FALSE)</f>
        <v>0</v>
      </c>
      <c r="I163" s="107">
        <f>VLOOKUP(A163,'[2]Billing Dimensions'!$A:$N,9,FALSE)-VLOOKUP(A163,'Audit Dimensions'!$A:$N,9,FALSE)</f>
        <v>0</v>
      </c>
      <c r="J163" s="106">
        <f>VLOOKUP(A163,'[2]Billing Dimensions'!$A:$N,10,FALSE)-VLOOKUP(A163,'Audit Dimensions'!$A:$N,10,FALSE)</f>
        <v>0</v>
      </c>
      <c r="K163" s="105">
        <f>VLOOKUP(A163,'[2]Billing Dimensions'!$A:$N,11,FALSE)-VLOOKUP(A163,'Audit Dimensions'!$A:$N,11,FALSE)</f>
        <v>0</v>
      </c>
      <c r="L163" s="105">
        <f>VLOOKUP(A163,'[2]Billing Dimensions'!$A:$N,12,FALSE)-VLOOKUP(A163,'Audit Dimensions'!$A:$N,12,FALSE)</f>
        <v>0</v>
      </c>
      <c r="M163" s="105">
        <f>VLOOKUP(A163,'[2]Billing Dimensions'!$A:$N,13,FALSE)-VLOOKUP(A163,'Audit Dimensions'!$A:$N,13,FALSE)</f>
        <v>0</v>
      </c>
      <c r="N163" s="105">
        <f>VLOOKUP(A163,'[2]Billing Dimensions'!$A:$N,14,FALSE)-VLOOKUP(A163,'Audit Dimensions'!$A:$N,14,FALSE)</f>
        <v>0</v>
      </c>
      <c r="O163" s="104">
        <f>VLOOKUP(A163,'[2]Billing Dimensions'!A:Q,16,FALSE)-VLOOKUP('Audit VAR'!A163,'Audit Dimensions'!A:P,16,FALSE)</f>
        <v>-370</v>
      </c>
      <c r="P163" s="103">
        <f>O163/1000</f>
        <v>-0.37</v>
      </c>
      <c r="Q163" s="102">
        <f>(((C163*D163*E163)+(G163*H163*I163)+(K163*L163*M163))/1000000)*35.32</f>
        <v>0</v>
      </c>
      <c r="R163" s="46" t="e">
        <f>P163/Q163</f>
        <v>#DIV/0!</v>
      </c>
    </row>
    <row r="164" spans="1:18" ht="14.4" hidden="1" customHeight="1" x14ac:dyDescent="0.3">
      <c r="A164" s="122" t="s">
        <v>152</v>
      </c>
      <c r="B164" s="88" t="str">
        <f>VLOOKUP(A164,'[2]Billing Dimensions'!A:B,2,FALSE)</f>
        <v>SB</v>
      </c>
      <c r="C164" s="115">
        <f>VLOOKUP(A164,'[2]Billing Dimensions'!$A:$N,3,FALSE)-VLOOKUP(A164,'Audit Dimensions'!$A:$N,3,FALSE)</f>
        <v>0</v>
      </c>
      <c r="D164" s="115">
        <f>VLOOKUP(A164,'[2]Billing Dimensions'!$A:$N,4,FALSE)-VLOOKUP(A164,'Audit Dimensions'!$A:$N,4,FALSE)</f>
        <v>3</v>
      </c>
      <c r="E164" s="115">
        <f>VLOOKUP(A164,'[2]Billing Dimensions'!$A:$N,5,FALSE)-VLOOKUP(A164,'Audit Dimensions'!$A:$N,5,FALSE)</f>
        <v>-1</v>
      </c>
      <c r="F164" s="114">
        <f>VLOOKUP(A164,'[2]Billing Dimensions'!$A:$N,6,FALSE)-VLOOKUP(A164,'Audit Dimensions'!$A:$N,6,FALSE)</f>
        <v>350</v>
      </c>
      <c r="G164" s="107">
        <f>VLOOKUP(A164,'[2]Billing Dimensions'!$A:$N,7,FALSE)-VLOOKUP(A164,'Audit Dimensions'!$A:$N,7,FALSE)</f>
        <v>0</v>
      </c>
      <c r="H164" s="107">
        <f>VLOOKUP(A164,'[2]Billing Dimensions'!$A:$N,8,FALSE)-VLOOKUP(A164,'Audit Dimensions'!$A:$N,8,FALSE)</f>
        <v>0</v>
      </c>
      <c r="I164" s="107">
        <f>VLOOKUP(A164,'[2]Billing Dimensions'!$A:$N,9,FALSE)-VLOOKUP(A164,'Audit Dimensions'!$A:$N,9,FALSE)</f>
        <v>0</v>
      </c>
      <c r="J164" s="106">
        <f>VLOOKUP(A164,'[2]Billing Dimensions'!$A:$N,10,FALSE)-VLOOKUP(A164,'Audit Dimensions'!$A:$N,10,FALSE)</f>
        <v>0</v>
      </c>
      <c r="K164" s="105">
        <f>VLOOKUP(A164,'[2]Billing Dimensions'!$A:$N,11,FALSE)-VLOOKUP(A164,'Audit Dimensions'!$A:$N,11,FALSE)</f>
        <v>0</v>
      </c>
      <c r="L164" s="105">
        <f>VLOOKUP(A164,'[2]Billing Dimensions'!$A:$N,12,FALSE)-VLOOKUP(A164,'Audit Dimensions'!$A:$N,12,FALSE)</f>
        <v>0</v>
      </c>
      <c r="M164" s="105">
        <f>VLOOKUP(A164,'[2]Billing Dimensions'!$A:$N,13,FALSE)-VLOOKUP(A164,'Audit Dimensions'!$A:$N,13,FALSE)</f>
        <v>0</v>
      </c>
      <c r="N164" s="105">
        <f>VLOOKUP(A164,'[2]Billing Dimensions'!$A:$N,14,FALSE)-VLOOKUP(A164,'Audit Dimensions'!$A:$N,14,FALSE)</f>
        <v>0</v>
      </c>
      <c r="O164" s="104">
        <f>VLOOKUP(A164,'[2]Billing Dimensions'!A:Q,16,FALSE)-VLOOKUP('Audit VAR'!A164,'Audit Dimensions'!A:P,16,FALSE)</f>
        <v>350</v>
      </c>
      <c r="P164" s="103">
        <f>O164/1000</f>
        <v>0.35</v>
      </c>
      <c r="Q164" s="102">
        <f>(((C164*D164*E164)+(G164*H164*I164)+(K164*L164*M164))/1000000)*35.32</f>
        <v>0</v>
      </c>
      <c r="R164" s="46" t="e">
        <f>P164/Q164</f>
        <v>#DIV/0!</v>
      </c>
    </row>
    <row r="165" spans="1:18" ht="14.4" hidden="1" customHeight="1" x14ac:dyDescent="0.3">
      <c r="A165" s="122" t="s">
        <v>329</v>
      </c>
      <c r="B165" s="88" t="e">
        <f>VLOOKUP(A165,'[2]Billing Dimensions'!A:B,2,FALSE)</f>
        <v>#N/A</v>
      </c>
      <c r="C165" s="115" t="e">
        <f>VLOOKUP(A165,'[2]Billing Dimensions'!$A:$N,3,FALSE)-VLOOKUP(A165,'Audit Dimensions'!$A:$N,3,FALSE)</f>
        <v>#N/A</v>
      </c>
      <c r="D165" s="115" t="e">
        <f>VLOOKUP(A165,'[2]Billing Dimensions'!$A:$N,4,FALSE)-VLOOKUP(A165,'Audit Dimensions'!$A:$N,4,FALSE)</f>
        <v>#N/A</v>
      </c>
      <c r="E165" s="115" t="e">
        <f>VLOOKUP(A165,'[2]Billing Dimensions'!$A:$N,5,FALSE)-VLOOKUP(A165,'Audit Dimensions'!$A:$N,5,FALSE)</f>
        <v>#N/A</v>
      </c>
      <c r="F165" s="114" t="e">
        <f>VLOOKUP(A165,'[2]Billing Dimensions'!$A:$N,6,FALSE)-VLOOKUP(A165,'Audit Dimensions'!$A:$N,6,FALSE)</f>
        <v>#N/A</v>
      </c>
      <c r="G165" s="107" t="e">
        <f>VLOOKUP(A165,'[2]Billing Dimensions'!$A:$N,7,FALSE)-VLOOKUP(A165,'Audit Dimensions'!$A:$N,7,FALSE)</f>
        <v>#N/A</v>
      </c>
      <c r="H165" s="107" t="e">
        <f>VLOOKUP(A165,'[2]Billing Dimensions'!$A:$N,8,FALSE)-VLOOKUP(A165,'Audit Dimensions'!$A:$N,8,FALSE)</f>
        <v>#N/A</v>
      </c>
      <c r="I165" s="107" t="e">
        <f>VLOOKUP(A165,'[2]Billing Dimensions'!$A:$N,9,FALSE)-VLOOKUP(A165,'Audit Dimensions'!$A:$N,9,FALSE)</f>
        <v>#N/A</v>
      </c>
      <c r="J165" s="106" t="e">
        <f>VLOOKUP(A165,'[2]Billing Dimensions'!$A:$N,10,FALSE)-VLOOKUP(A165,'Audit Dimensions'!$A:$N,10,FALSE)</f>
        <v>#N/A</v>
      </c>
      <c r="K165" s="105" t="e">
        <f>VLOOKUP(A165,'[2]Billing Dimensions'!$A:$N,11,FALSE)-VLOOKUP(A165,'Audit Dimensions'!$A:$N,11,FALSE)</f>
        <v>#N/A</v>
      </c>
      <c r="L165" s="105" t="e">
        <f>VLOOKUP(A165,'[2]Billing Dimensions'!$A:$N,12,FALSE)-VLOOKUP(A165,'Audit Dimensions'!$A:$N,12,FALSE)</f>
        <v>#N/A</v>
      </c>
      <c r="M165" s="105" t="e">
        <f>VLOOKUP(A165,'[2]Billing Dimensions'!$A:$N,13,FALSE)-VLOOKUP(A165,'Audit Dimensions'!$A:$N,13,FALSE)</f>
        <v>#N/A</v>
      </c>
      <c r="N165" s="105" t="e">
        <f>VLOOKUP(A165,'[2]Billing Dimensions'!$A:$N,14,FALSE)-VLOOKUP(A165,'Audit Dimensions'!$A:$N,14,FALSE)</f>
        <v>#N/A</v>
      </c>
      <c r="O165" s="104" t="e">
        <f>VLOOKUP(A165,'[2]Billing Dimensions'!A:Q,16,FALSE)-VLOOKUP('Audit VAR'!A165,'Audit Dimensions'!A:P,16,FALSE)</f>
        <v>#N/A</v>
      </c>
      <c r="P165" s="103" t="e">
        <f>O165/1000</f>
        <v>#N/A</v>
      </c>
      <c r="Q165" s="102" t="e">
        <f>(((C165*D165*E165)+(G165*H165*I165)+(K165*L165*M165))/1000000)*35.32</f>
        <v>#N/A</v>
      </c>
      <c r="R165" s="46" t="e">
        <f>P165/Q165</f>
        <v>#N/A</v>
      </c>
    </row>
    <row r="166" spans="1:18" ht="14.4" hidden="1" customHeight="1" x14ac:dyDescent="0.3">
      <c r="A166" s="122" t="s">
        <v>150</v>
      </c>
      <c r="B166" s="88" t="str">
        <f>VLOOKUP(A166,'[2]Billing Dimensions'!A:B,2,FALSE)</f>
        <v>SB</v>
      </c>
      <c r="C166" s="115">
        <f>VLOOKUP(A166,'[2]Billing Dimensions'!$A:$N,3,FALSE)-VLOOKUP(A166,'Audit Dimensions'!$A:$N,3,FALSE)</f>
        <v>1</v>
      </c>
      <c r="D166" s="115">
        <f>VLOOKUP(A166,'[2]Billing Dimensions'!$A:$N,4,FALSE)-VLOOKUP(A166,'Audit Dimensions'!$A:$N,4,FALSE)</f>
        <v>0</v>
      </c>
      <c r="E166" s="115">
        <f>VLOOKUP(A166,'[2]Billing Dimensions'!$A:$N,5,FALSE)-VLOOKUP(A166,'Audit Dimensions'!$A:$N,5,FALSE)</f>
        <v>0</v>
      </c>
      <c r="F166" s="114">
        <f>VLOOKUP(A166,'[2]Billing Dimensions'!$A:$N,6,FALSE)-VLOOKUP(A166,'Audit Dimensions'!$A:$N,6,FALSE)</f>
        <v>-750</v>
      </c>
      <c r="G166" s="107">
        <f>VLOOKUP(A166,'[2]Billing Dimensions'!$A:$N,7,FALSE)-VLOOKUP(A166,'Audit Dimensions'!$A:$N,7,FALSE)</f>
        <v>0</v>
      </c>
      <c r="H166" s="107">
        <f>VLOOKUP(A166,'[2]Billing Dimensions'!$A:$N,8,FALSE)-VLOOKUP(A166,'Audit Dimensions'!$A:$N,8,FALSE)</f>
        <v>0</v>
      </c>
      <c r="I166" s="107">
        <f>VLOOKUP(A166,'[2]Billing Dimensions'!$A:$N,9,FALSE)-VLOOKUP(A166,'Audit Dimensions'!$A:$N,9,FALSE)</f>
        <v>0</v>
      </c>
      <c r="J166" s="106">
        <f>VLOOKUP(A166,'[2]Billing Dimensions'!$A:$N,10,FALSE)-VLOOKUP(A166,'Audit Dimensions'!$A:$N,10,FALSE)</f>
        <v>0</v>
      </c>
      <c r="K166" s="105">
        <f>VLOOKUP(A166,'[2]Billing Dimensions'!$A:$N,11,FALSE)-VLOOKUP(A166,'Audit Dimensions'!$A:$N,11,FALSE)</f>
        <v>0</v>
      </c>
      <c r="L166" s="105">
        <f>VLOOKUP(A166,'[2]Billing Dimensions'!$A:$N,12,FALSE)-VLOOKUP(A166,'Audit Dimensions'!$A:$N,12,FALSE)</f>
        <v>0</v>
      </c>
      <c r="M166" s="105">
        <f>VLOOKUP(A166,'[2]Billing Dimensions'!$A:$N,13,FALSE)-VLOOKUP(A166,'Audit Dimensions'!$A:$N,13,FALSE)</f>
        <v>0</v>
      </c>
      <c r="N166" s="105">
        <f>VLOOKUP(A166,'[2]Billing Dimensions'!$A:$N,14,FALSE)-VLOOKUP(A166,'Audit Dimensions'!$A:$N,14,FALSE)</f>
        <v>0</v>
      </c>
      <c r="O166" s="104">
        <f>VLOOKUP(A166,'[2]Billing Dimensions'!A:Q,16,FALSE)-VLOOKUP('Audit VAR'!A166,'Audit Dimensions'!A:P,16,FALSE)</f>
        <v>-750</v>
      </c>
      <c r="P166" s="103">
        <f>O166/1000</f>
        <v>-0.75</v>
      </c>
      <c r="Q166" s="102">
        <f>(((C166*D166*E166)+(G166*H166*I166)+(K166*L166*M166))/1000000)*35.32</f>
        <v>0</v>
      </c>
      <c r="R166" s="46" t="e">
        <f>P166/Q166</f>
        <v>#DIV/0!</v>
      </c>
    </row>
    <row r="167" spans="1:18" ht="15" hidden="1" customHeight="1" x14ac:dyDescent="0.3">
      <c r="A167" s="122" t="s">
        <v>149</v>
      </c>
      <c r="B167" s="88" t="str">
        <f>VLOOKUP(A167,'[2]Billing Dimensions'!A:B,2,FALSE)</f>
        <v>SB</v>
      </c>
      <c r="C167" s="115">
        <f>VLOOKUP(A167,'[2]Billing Dimensions'!$A:$N,3,FALSE)-VLOOKUP(A167,'Audit Dimensions'!$A:$N,3,FALSE)</f>
        <v>-19</v>
      </c>
      <c r="D167" s="115">
        <f>VLOOKUP(A167,'[2]Billing Dimensions'!$A:$N,4,FALSE)-VLOOKUP(A167,'Audit Dimensions'!$A:$N,4,FALSE)</f>
        <v>-1</v>
      </c>
      <c r="E167" s="115">
        <f>VLOOKUP(A167,'[2]Billing Dimensions'!$A:$N,5,FALSE)-VLOOKUP(A167,'Audit Dimensions'!$A:$N,5,FALSE)</f>
        <v>1</v>
      </c>
      <c r="F167" s="114">
        <f>VLOOKUP(A167,'[2]Billing Dimensions'!$A:$N,6,FALSE)-VLOOKUP(A167,'Audit Dimensions'!$A:$N,6,FALSE)</f>
        <v>-4200</v>
      </c>
      <c r="G167" s="107">
        <f>VLOOKUP(A167,'[2]Billing Dimensions'!$A:$N,7,FALSE)-VLOOKUP(A167,'Audit Dimensions'!$A:$N,7,FALSE)</f>
        <v>0</v>
      </c>
      <c r="H167" s="107">
        <f>VLOOKUP(A167,'[2]Billing Dimensions'!$A:$N,8,FALSE)-VLOOKUP(A167,'Audit Dimensions'!$A:$N,8,FALSE)</f>
        <v>0</v>
      </c>
      <c r="I167" s="107">
        <f>VLOOKUP(A167,'[2]Billing Dimensions'!$A:$N,9,FALSE)-VLOOKUP(A167,'Audit Dimensions'!$A:$N,9,FALSE)</f>
        <v>0</v>
      </c>
      <c r="J167" s="106">
        <f>VLOOKUP(A167,'[2]Billing Dimensions'!$A:$N,10,FALSE)-VLOOKUP(A167,'Audit Dimensions'!$A:$N,10,FALSE)</f>
        <v>0</v>
      </c>
      <c r="K167" s="105">
        <f>VLOOKUP(A167,'[2]Billing Dimensions'!$A:$N,11,FALSE)-VLOOKUP(A167,'Audit Dimensions'!$A:$N,11,FALSE)</f>
        <v>0</v>
      </c>
      <c r="L167" s="105">
        <f>VLOOKUP(A167,'[2]Billing Dimensions'!$A:$N,12,FALSE)-VLOOKUP(A167,'Audit Dimensions'!$A:$N,12,FALSE)</f>
        <v>0</v>
      </c>
      <c r="M167" s="105">
        <f>VLOOKUP(A167,'[2]Billing Dimensions'!$A:$N,13,FALSE)-VLOOKUP(A167,'Audit Dimensions'!$A:$N,13,FALSE)</f>
        <v>0</v>
      </c>
      <c r="N167" s="105">
        <f>VLOOKUP(A167,'[2]Billing Dimensions'!$A:$N,14,FALSE)-VLOOKUP(A167,'Audit Dimensions'!$A:$N,14,FALSE)</f>
        <v>0</v>
      </c>
      <c r="O167" s="104">
        <f>VLOOKUP(A167,'[2]Billing Dimensions'!A:Q,16,FALSE)-VLOOKUP('Audit VAR'!A167,'Audit Dimensions'!A:P,16,FALSE)</f>
        <v>-4200</v>
      </c>
      <c r="P167" s="103">
        <f>O167/1000</f>
        <v>-4.2</v>
      </c>
      <c r="Q167" s="102">
        <f>(((C167*D167*E167)+(G167*H167*I167)+(K167*L167*M167))/1000000)*35.32</f>
        <v>6.7108000000000001E-4</v>
      </c>
      <c r="R167" s="46">
        <f>P167/Q167</f>
        <v>-6258.5682779996423</v>
      </c>
    </row>
    <row r="168" spans="1:18" ht="14.4" hidden="1" customHeight="1" x14ac:dyDescent="0.3">
      <c r="A168" s="122" t="s">
        <v>148</v>
      </c>
      <c r="B168" s="88" t="str">
        <f>VLOOKUP(A168,'[2]Billing Dimensions'!A:B,2,FALSE)</f>
        <v>SB</v>
      </c>
      <c r="C168" s="115">
        <f>VLOOKUP(A168,'[2]Billing Dimensions'!$A:$N,3,FALSE)-VLOOKUP(A168,'Audit Dimensions'!$A:$N,3,FALSE)</f>
        <v>-18</v>
      </c>
      <c r="D168" s="115">
        <f>VLOOKUP(A168,'[2]Billing Dimensions'!$A:$N,4,FALSE)-VLOOKUP(A168,'Audit Dimensions'!$A:$N,4,FALSE)</f>
        <v>5</v>
      </c>
      <c r="E168" s="115">
        <f>VLOOKUP(A168,'[2]Billing Dimensions'!$A:$N,5,FALSE)-VLOOKUP(A168,'Audit Dimensions'!$A:$N,5,FALSE)</f>
        <v>0</v>
      </c>
      <c r="F168" s="114">
        <f>VLOOKUP(A168,'[2]Billing Dimensions'!$A:$N,6,FALSE)-VLOOKUP(A168,'Audit Dimensions'!$A:$N,6,FALSE)</f>
        <v>-3050</v>
      </c>
      <c r="G168" s="107">
        <f>VLOOKUP(A168,'[2]Billing Dimensions'!$A:$N,7,FALSE)-VLOOKUP(A168,'Audit Dimensions'!$A:$N,7,FALSE)</f>
        <v>0</v>
      </c>
      <c r="H168" s="107">
        <f>VLOOKUP(A168,'[2]Billing Dimensions'!$A:$N,8,FALSE)-VLOOKUP(A168,'Audit Dimensions'!$A:$N,8,FALSE)</f>
        <v>0</v>
      </c>
      <c r="I168" s="107">
        <f>VLOOKUP(A168,'[2]Billing Dimensions'!$A:$N,9,FALSE)-VLOOKUP(A168,'Audit Dimensions'!$A:$N,9,FALSE)</f>
        <v>0</v>
      </c>
      <c r="J168" s="106">
        <f>VLOOKUP(A168,'[2]Billing Dimensions'!$A:$N,10,FALSE)-VLOOKUP(A168,'Audit Dimensions'!$A:$N,10,FALSE)</f>
        <v>0</v>
      </c>
      <c r="K168" s="105">
        <f>VLOOKUP(A168,'[2]Billing Dimensions'!$A:$N,11,FALSE)-VLOOKUP(A168,'Audit Dimensions'!$A:$N,11,FALSE)</f>
        <v>0</v>
      </c>
      <c r="L168" s="105">
        <f>VLOOKUP(A168,'[2]Billing Dimensions'!$A:$N,12,FALSE)-VLOOKUP(A168,'Audit Dimensions'!$A:$N,12,FALSE)</f>
        <v>0</v>
      </c>
      <c r="M168" s="105">
        <f>VLOOKUP(A168,'[2]Billing Dimensions'!$A:$N,13,FALSE)-VLOOKUP(A168,'Audit Dimensions'!$A:$N,13,FALSE)</f>
        <v>0</v>
      </c>
      <c r="N168" s="105">
        <f>VLOOKUP(A168,'[2]Billing Dimensions'!$A:$N,14,FALSE)-VLOOKUP(A168,'Audit Dimensions'!$A:$N,14,FALSE)</f>
        <v>0</v>
      </c>
      <c r="O168" s="104">
        <f>VLOOKUP(A168,'[2]Billing Dimensions'!A:Q,16,FALSE)-VLOOKUP('Audit VAR'!A168,'Audit Dimensions'!A:P,16,FALSE)</f>
        <v>-3050</v>
      </c>
      <c r="P168" s="103">
        <f>O168/1000</f>
        <v>-3.05</v>
      </c>
      <c r="Q168" s="102">
        <f>(((C168*D168*E168)+(G168*H168*I168)+(K168*L168*M168))/1000000)*35.32</f>
        <v>0</v>
      </c>
      <c r="R168" s="46" t="e">
        <f>P168/Q168</f>
        <v>#DIV/0!</v>
      </c>
    </row>
    <row r="169" spans="1:18" ht="14.4" hidden="1" customHeight="1" x14ac:dyDescent="0.3">
      <c r="A169" s="122" t="s">
        <v>147</v>
      </c>
      <c r="B169" s="88" t="str">
        <f>VLOOKUP(A169,'[2]Billing Dimensions'!A:B,2,FALSE)</f>
        <v>SB</v>
      </c>
      <c r="C169" s="115">
        <f>VLOOKUP(A169,'[2]Billing Dimensions'!$A:$N,3,FALSE)-VLOOKUP(A169,'Audit Dimensions'!$A:$N,3,FALSE)</f>
        <v>15</v>
      </c>
      <c r="D169" s="115">
        <f>VLOOKUP(A169,'[2]Billing Dimensions'!$A:$N,4,FALSE)-VLOOKUP(A169,'Audit Dimensions'!$A:$N,4,FALSE)</f>
        <v>-1</v>
      </c>
      <c r="E169" s="115">
        <f>VLOOKUP(A169,'[2]Billing Dimensions'!$A:$N,5,FALSE)-VLOOKUP(A169,'Audit Dimensions'!$A:$N,5,FALSE)</f>
        <v>0</v>
      </c>
      <c r="F169" s="114">
        <f>VLOOKUP(A169,'[2]Billing Dimensions'!$A:$N,6,FALSE)-VLOOKUP(A169,'Audit Dimensions'!$A:$N,6,FALSE)</f>
        <v>2690</v>
      </c>
      <c r="G169" s="107">
        <f>VLOOKUP(A169,'[2]Billing Dimensions'!$A:$N,7,FALSE)-VLOOKUP(A169,'Audit Dimensions'!$A:$N,7,FALSE)</f>
        <v>0</v>
      </c>
      <c r="H169" s="107">
        <f>VLOOKUP(A169,'[2]Billing Dimensions'!$A:$N,8,FALSE)-VLOOKUP(A169,'Audit Dimensions'!$A:$N,8,FALSE)</f>
        <v>0</v>
      </c>
      <c r="I169" s="107">
        <f>VLOOKUP(A169,'[2]Billing Dimensions'!$A:$N,9,FALSE)-VLOOKUP(A169,'Audit Dimensions'!$A:$N,9,FALSE)</f>
        <v>0</v>
      </c>
      <c r="J169" s="106">
        <f>VLOOKUP(A169,'[2]Billing Dimensions'!$A:$N,10,FALSE)-VLOOKUP(A169,'Audit Dimensions'!$A:$N,10,FALSE)</f>
        <v>0</v>
      </c>
      <c r="K169" s="105">
        <f>VLOOKUP(A169,'[2]Billing Dimensions'!$A:$N,11,FALSE)-VLOOKUP(A169,'Audit Dimensions'!$A:$N,11,FALSE)</f>
        <v>0</v>
      </c>
      <c r="L169" s="105">
        <f>VLOOKUP(A169,'[2]Billing Dimensions'!$A:$N,12,FALSE)-VLOOKUP(A169,'Audit Dimensions'!$A:$N,12,FALSE)</f>
        <v>0</v>
      </c>
      <c r="M169" s="105">
        <f>VLOOKUP(A169,'[2]Billing Dimensions'!$A:$N,13,FALSE)-VLOOKUP(A169,'Audit Dimensions'!$A:$N,13,FALSE)</f>
        <v>0</v>
      </c>
      <c r="N169" s="105">
        <f>VLOOKUP(A169,'[2]Billing Dimensions'!$A:$N,14,FALSE)-VLOOKUP(A169,'Audit Dimensions'!$A:$N,14,FALSE)</f>
        <v>0</v>
      </c>
      <c r="O169" s="104">
        <f>VLOOKUP(A169,'[2]Billing Dimensions'!A:Q,16,FALSE)-VLOOKUP('Audit VAR'!A169,'Audit Dimensions'!A:P,16,FALSE)</f>
        <v>2690</v>
      </c>
      <c r="P169" s="103">
        <f>O169/1000</f>
        <v>2.69</v>
      </c>
      <c r="Q169" s="102">
        <f>(((C169*D169*E169)+(G169*H169*I169)+(K169*L169*M169))/1000000)*35.32</f>
        <v>0</v>
      </c>
      <c r="R169" s="46" t="e">
        <f>P169/Q169</f>
        <v>#DIV/0!</v>
      </c>
    </row>
    <row r="170" spans="1:18" hidden="1" x14ac:dyDescent="0.3">
      <c r="A170" s="122" t="s">
        <v>146</v>
      </c>
      <c r="B170" s="88" t="str">
        <f>VLOOKUP(A170,'[2]Billing Dimensions'!A:B,2,FALSE)</f>
        <v>SB</v>
      </c>
      <c r="C170" s="115">
        <f>VLOOKUP(A170,'[2]Billing Dimensions'!$A:$N,3,FALSE)-VLOOKUP(A170,'Audit Dimensions'!$A:$N,3,FALSE)</f>
        <v>0</v>
      </c>
      <c r="D170" s="115">
        <f>VLOOKUP(A170,'[2]Billing Dimensions'!$A:$N,4,FALSE)-VLOOKUP(A170,'Audit Dimensions'!$A:$N,4,FALSE)</f>
        <v>0</v>
      </c>
      <c r="E170" s="115">
        <f>VLOOKUP(A170,'[2]Billing Dimensions'!$A:$N,5,FALSE)-VLOOKUP(A170,'Audit Dimensions'!$A:$N,5,FALSE)</f>
        <v>-1</v>
      </c>
      <c r="F170" s="114">
        <f>VLOOKUP(A170,'[2]Billing Dimensions'!$A:$N,6,FALSE)-VLOOKUP(A170,'Audit Dimensions'!$A:$N,6,FALSE)</f>
        <v>-800</v>
      </c>
      <c r="G170" s="107">
        <f>VLOOKUP(A170,'[2]Billing Dimensions'!$A:$N,7,FALSE)-VLOOKUP(A170,'Audit Dimensions'!$A:$N,7,FALSE)</f>
        <v>0</v>
      </c>
      <c r="H170" s="107">
        <f>VLOOKUP(A170,'[2]Billing Dimensions'!$A:$N,8,FALSE)-VLOOKUP(A170,'Audit Dimensions'!$A:$N,8,FALSE)</f>
        <v>0</v>
      </c>
      <c r="I170" s="107">
        <f>VLOOKUP(A170,'[2]Billing Dimensions'!$A:$N,9,FALSE)-VLOOKUP(A170,'Audit Dimensions'!$A:$N,9,FALSE)</f>
        <v>0</v>
      </c>
      <c r="J170" s="106">
        <f>VLOOKUP(A170,'[2]Billing Dimensions'!$A:$N,10,FALSE)-VLOOKUP(A170,'Audit Dimensions'!$A:$N,10,FALSE)</f>
        <v>0</v>
      </c>
      <c r="K170" s="105">
        <f>VLOOKUP(A170,'[2]Billing Dimensions'!$A:$N,11,FALSE)-VLOOKUP(A170,'Audit Dimensions'!$A:$N,11,FALSE)</f>
        <v>0</v>
      </c>
      <c r="L170" s="105">
        <f>VLOOKUP(A170,'[2]Billing Dimensions'!$A:$N,12,FALSE)-VLOOKUP(A170,'Audit Dimensions'!$A:$N,12,FALSE)</f>
        <v>0</v>
      </c>
      <c r="M170" s="105">
        <f>VLOOKUP(A170,'[2]Billing Dimensions'!$A:$N,13,FALSE)-VLOOKUP(A170,'Audit Dimensions'!$A:$N,13,FALSE)</f>
        <v>0</v>
      </c>
      <c r="N170" s="105">
        <f>VLOOKUP(A170,'[2]Billing Dimensions'!$A:$N,14,FALSE)-VLOOKUP(A170,'Audit Dimensions'!$A:$N,14,FALSE)</f>
        <v>0</v>
      </c>
      <c r="O170" s="104">
        <f>VLOOKUP(A170,'[2]Billing Dimensions'!A:Q,16,FALSE)-VLOOKUP('Audit VAR'!A170,'Audit Dimensions'!A:P,16,FALSE)</f>
        <v>-800</v>
      </c>
      <c r="P170" s="103">
        <f>O170/1000</f>
        <v>-0.8</v>
      </c>
      <c r="Q170" s="102">
        <f>(((C170*D170*E170)+(G170*H170*I170)+(K170*L170*M170))/1000000)*35.32</f>
        <v>0</v>
      </c>
      <c r="R170" s="46" t="e">
        <f>P170/Q170</f>
        <v>#DIV/0!</v>
      </c>
    </row>
    <row r="171" spans="1:18" ht="14.4" hidden="1" customHeight="1" x14ac:dyDescent="0.3">
      <c r="A171" s="122" t="s">
        <v>145</v>
      </c>
      <c r="B171" s="88" t="str">
        <f>VLOOKUP(A171,'[2]Billing Dimensions'!A:B,2,FALSE)</f>
        <v>SB</v>
      </c>
      <c r="C171" s="115">
        <f>VLOOKUP(A171,'[2]Billing Dimensions'!$A:$N,3,FALSE)-VLOOKUP(A171,'Audit Dimensions'!$A:$N,3,FALSE)</f>
        <v>1</v>
      </c>
      <c r="D171" s="115">
        <f>VLOOKUP(A171,'[2]Billing Dimensions'!$A:$N,4,FALSE)-VLOOKUP(A171,'Audit Dimensions'!$A:$N,4,FALSE)</f>
        <v>1</v>
      </c>
      <c r="E171" s="115">
        <f>VLOOKUP(A171,'[2]Billing Dimensions'!$A:$N,5,FALSE)-VLOOKUP(A171,'Audit Dimensions'!$A:$N,5,FALSE)</f>
        <v>0</v>
      </c>
      <c r="F171" s="114">
        <f>VLOOKUP(A171,'[2]Billing Dimensions'!$A:$N,6,FALSE)-VLOOKUP(A171,'Audit Dimensions'!$A:$N,6,FALSE)</f>
        <v>-190</v>
      </c>
      <c r="G171" s="107">
        <f>VLOOKUP(A171,'[2]Billing Dimensions'!$A:$N,7,FALSE)-VLOOKUP(A171,'Audit Dimensions'!$A:$N,7,FALSE)</f>
        <v>0</v>
      </c>
      <c r="H171" s="107">
        <f>VLOOKUP(A171,'[2]Billing Dimensions'!$A:$N,8,FALSE)-VLOOKUP(A171,'Audit Dimensions'!$A:$N,8,FALSE)</f>
        <v>0</v>
      </c>
      <c r="I171" s="107">
        <f>VLOOKUP(A171,'[2]Billing Dimensions'!$A:$N,9,FALSE)-VLOOKUP(A171,'Audit Dimensions'!$A:$N,9,FALSE)</f>
        <v>0</v>
      </c>
      <c r="J171" s="106">
        <f>VLOOKUP(A171,'[2]Billing Dimensions'!$A:$N,10,FALSE)-VLOOKUP(A171,'Audit Dimensions'!$A:$N,10,FALSE)</f>
        <v>0</v>
      </c>
      <c r="K171" s="105">
        <f>VLOOKUP(A171,'[2]Billing Dimensions'!$A:$N,11,FALSE)-VLOOKUP(A171,'Audit Dimensions'!$A:$N,11,FALSE)</f>
        <v>0</v>
      </c>
      <c r="L171" s="105">
        <f>VLOOKUP(A171,'[2]Billing Dimensions'!$A:$N,12,FALSE)-VLOOKUP(A171,'Audit Dimensions'!$A:$N,12,FALSE)</f>
        <v>0</v>
      </c>
      <c r="M171" s="105">
        <f>VLOOKUP(A171,'[2]Billing Dimensions'!$A:$N,13,FALSE)-VLOOKUP(A171,'Audit Dimensions'!$A:$N,13,FALSE)</f>
        <v>0</v>
      </c>
      <c r="N171" s="105">
        <f>VLOOKUP(A171,'[2]Billing Dimensions'!$A:$N,14,FALSE)-VLOOKUP(A171,'Audit Dimensions'!$A:$N,14,FALSE)</f>
        <v>0</v>
      </c>
      <c r="O171" s="104">
        <f>VLOOKUP(A171,'[2]Billing Dimensions'!A:Q,16,FALSE)-VLOOKUP('Audit VAR'!A171,'Audit Dimensions'!A:P,16,FALSE)</f>
        <v>-190</v>
      </c>
      <c r="P171" s="103">
        <f>O171/1000</f>
        <v>-0.19</v>
      </c>
      <c r="Q171" s="102">
        <f>(((C171*D171*E171)+(G171*H171*I171)+(K171*L171*M171))/1000000)*35.32</f>
        <v>0</v>
      </c>
      <c r="R171" s="46" t="e">
        <f>P171/Q171</f>
        <v>#DIV/0!</v>
      </c>
    </row>
    <row r="172" spans="1:18" ht="14.4" hidden="1" customHeight="1" x14ac:dyDescent="0.3">
      <c r="A172" s="122" t="s">
        <v>144</v>
      </c>
      <c r="B172" s="88" t="str">
        <f>VLOOKUP(A172,'[2]Billing Dimensions'!A:B,2,FALSE)</f>
        <v>SB</v>
      </c>
      <c r="C172" s="115">
        <f>VLOOKUP(A172,'[2]Billing Dimensions'!$A:$N,3,FALSE)-VLOOKUP(A172,'Audit Dimensions'!$A:$N,3,FALSE)</f>
        <v>-2</v>
      </c>
      <c r="D172" s="115">
        <f>VLOOKUP(A172,'[2]Billing Dimensions'!$A:$N,4,FALSE)-VLOOKUP(A172,'Audit Dimensions'!$A:$N,4,FALSE)</f>
        <v>-2</v>
      </c>
      <c r="E172" s="115">
        <f>VLOOKUP(A172,'[2]Billing Dimensions'!$A:$N,5,FALSE)-VLOOKUP(A172,'Audit Dimensions'!$A:$N,5,FALSE)</f>
        <v>1</v>
      </c>
      <c r="F172" s="114">
        <f>VLOOKUP(A172,'[2]Billing Dimensions'!$A:$N,6,FALSE)-VLOOKUP(A172,'Audit Dimensions'!$A:$N,6,FALSE)</f>
        <v>-900</v>
      </c>
      <c r="G172" s="107">
        <f>VLOOKUP(A172,'[2]Billing Dimensions'!$A:$N,7,FALSE)-VLOOKUP(A172,'Audit Dimensions'!$A:$N,7,FALSE)</f>
        <v>0</v>
      </c>
      <c r="H172" s="107">
        <f>VLOOKUP(A172,'[2]Billing Dimensions'!$A:$N,8,FALSE)-VLOOKUP(A172,'Audit Dimensions'!$A:$N,8,FALSE)</f>
        <v>0</v>
      </c>
      <c r="I172" s="107">
        <f>VLOOKUP(A172,'[2]Billing Dimensions'!$A:$N,9,FALSE)-VLOOKUP(A172,'Audit Dimensions'!$A:$N,9,FALSE)</f>
        <v>0</v>
      </c>
      <c r="J172" s="106">
        <f>VLOOKUP(A172,'[2]Billing Dimensions'!$A:$N,10,FALSE)-VLOOKUP(A172,'Audit Dimensions'!$A:$N,10,FALSE)</f>
        <v>0</v>
      </c>
      <c r="K172" s="105">
        <f>VLOOKUP(A172,'[2]Billing Dimensions'!$A:$N,11,FALSE)-VLOOKUP(A172,'Audit Dimensions'!$A:$N,11,FALSE)</f>
        <v>0</v>
      </c>
      <c r="L172" s="105">
        <f>VLOOKUP(A172,'[2]Billing Dimensions'!$A:$N,12,FALSE)-VLOOKUP(A172,'Audit Dimensions'!$A:$N,12,FALSE)</f>
        <v>0</v>
      </c>
      <c r="M172" s="105">
        <f>VLOOKUP(A172,'[2]Billing Dimensions'!$A:$N,13,FALSE)-VLOOKUP(A172,'Audit Dimensions'!$A:$N,13,FALSE)</f>
        <v>0</v>
      </c>
      <c r="N172" s="105">
        <f>VLOOKUP(A172,'[2]Billing Dimensions'!$A:$N,14,FALSE)-VLOOKUP(A172,'Audit Dimensions'!$A:$N,14,FALSE)</f>
        <v>0</v>
      </c>
      <c r="O172" s="104">
        <f>VLOOKUP(A172,'[2]Billing Dimensions'!A:Q,16,FALSE)-VLOOKUP('Audit VAR'!A172,'Audit Dimensions'!A:P,16,FALSE)</f>
        <v>-900</v>
      </c>
      <c r="P172" s="103">
        <f>O172/1000</f>
        <v>-0.9</v>
      </c>
      <c r="Q172" s="102">
        <f>(((C172*D172*E172)+(G172*H172*I172)+(K172*L172*M172))/1000000)*35.32</f>
        <v>1.4128E-4</v>
      </c>
      <c r="R172" s="46">
        <f>P172/Q172</f>
        <v>-6370.3284258210642</v>
      </c>
    </row>
    <row r="173" spans="1:18" ht="14.4" hidden="1" customHeight="1" x14ac:dyDescent="0.3">
      <c r="A173" s="125" t="s">
        <v>143</v>
      </c>
      <c r="B173" s="88" t="str">
        <f>VLOOKUP(A173,'[2]Billing Dimensions'!A:B,2,FALSE)</f>
        <v>SB</v>
      </c>
      <c r="C173" s="115">
        <f>VLOOKUP(A173,'[2]Billing Dimensions'!$A:$N,3,FALSE)-VLOOKUP(A173,'Audit Dimensions'!$A:$N,3,FALSE)</f>
        <v>0</v>
      </c>
      <c r="D173" s="115">
        <f>VLOOKUP(A173,'[2]Billing Dimensions'!$A:$N,4,FALSE)-VLOOKUP(A173,'Audit Dimensions'!$A:$N,4,FALSE)</f>
        <v>1</v>
      </c>
      <c r="E173" s="115">
        <f>VLOOKUP(A173,'[2]Billing Dimensions'!$A:$N,5,FALSE)-VLOOKUP(A173,'Audit Dimensions'!$A:$N,5,FALSE)</f>
        <v>0</v>
      </c>
      <c r="F173" s="114">
        <f>VLOOKUP(A173,'[2]Billing Dimensions'!$A:$N,6,FALSE)-VLOOKUP(A173,'Audit Dimensions'!$A:$N,6,FALSE)</f>
        <v>-700</v>
      </c>
      <c r="G173" s="107">
        <f>VLOOKUP(A173,'[2]Billing Dimensions'!$A:$N,7,FALSE)-VLOOKUP(A173,'Audit Dimensions'!$A:$N,7,FALSE)</f>
        <v>0</v>
      </c>
      <c r="H173" s="107">
        <f>VLOOKUP(A173,'[2]Billing Dimensions'!$A:$N,8,FALSE)-VLOOKUP(A173,'Audit Dimensions'!$A:$N,8,FALSE)</f>
        <v>0</v>
      </c>
      <c r="I173" s="107">
        <f>VLOOKUP(A173,'[2]Billing Dimensions'!$A:$N,9,FALSE)-VLOOKUP(A173,'Audit Dimensions'!$A:$N,9,FALSE)</f>
        <v>0</v>
      </c>
      <c r="J173" s="106">
        <f>VLOOKUP(A173,'[2]Billing Dimensions'!$A:$N,10,FALSE)-VLOOKUP(A173,'Audit Dimensions'!$A:$N,10,FALSE)</f>
        <v>0</v>
      </c>
      <c r="K173" s="105">
        <f>VLOOKUP(A173,'[2]Billing Dimensions'!$A:$N,11,FALSE)-VLOOKUP(A173,'Audit Dimensions'!$A:$N,11,FALSE)</f>
        <v>0</v>
      </c>
      <c r="L173" s="105">
        <f>VLOOKUP(A173,'[2]Billing Dimensions'!$A:$N,12,FALSE)-VLOOKUP(A173,'Audit Dimensions'!$A:$N,12,FALSE)</f>
        <v>0</v>
      </c>
      <c r="M173" s="105">
        <f>VLOOKUP(A173,'[2]Billing Dimensions'!$A:$N,13,FALSE)-VLOOKUP(A173,'Audit Dimensions'!$A:$N,13,FALSE)</f>
        <v>0</v>
      </c>
      <c r="N173" s="105">
        <f>VLOOKUP(A173,'[2]Billing Dimensions'!$A:$N,14,FALSE)-VLOOKUP(A173,'Audit Dimensions'!$A:$N,14,FALSE)</f>
        <v>0</v>
      </c>
      <c r="O173" s="104">
        <f>VLOOKUP(A173,'[2]Billing Dimensions'!A:Q,16,FALSE)-VLOOKUP('Audit VAR'!A173,'Audit Dimensions'!A:P,16,FALSE)</f>
        <v>-700</v>
      </c>
      <c r="P173" s="103">
        <f>O173/1000</f>
        <v>-0.7</v>
      </c>
      <c r="Q173" s="102">
        <f>(((C173*D173*E173)+(G173*H173*I173)+(K173*L173*M173))/1000000)*35.32</f>
        <v>0</v>
      </c>
      <c r="R173" s="46" t="e">
        <f>P173/Q173</f>
        <v>#DIV/0!</v>
      </c>
    </row>
    <row r="174" spans="1:18" hidden="1" x14ac:dyDescent="0.3">
      <c r="A174" s="125" t="s">
        <v>142</v>
      </c>
      <c r="B174" s="88" t="str">
        <f>VLOOKUP(A174,'[2]Billing Dimensions'!A:B,2,FALSE)</f>
        <v>SB</v>
      </c>
      <c r="C174" s="115">
        <f>VLOOKUP(A174,'[2]Billing Dimensions'!$A:$N,3,FALSE)-VLOOKUP(A174,'Audit Dimensions'!$A:$N,3,FALSE)</f>
        <v>1</v>
      </c>
      <c r="D174" s="115">
        <f>VLOOKUP(A174,'[2]Billing Dimensions'!$A:$N,4,FALSE)-VLOOKUP(A174,'Audit Dimensions'!$A:$N,4,FALSE)</f>
        <v>2</v>
      </c>
      <c r="E174" s="115">
        <f>VLOOKUP(A174,'[2]Billing Dimensions'!$A:$N,5,FALSE)-VLOOKUP(A174,'Audit Dimensions'!$A:$N,5,FALSE)</f>
        <v>1</v>
      </c>
      <c r="F174" s="114">
        <f>VLOOKUP(A174,'[2]Billing Dimensions'!$A:$N,6,FALSE)-VLOOKUP(A174,'Audit Dimensions'!$A:$N,6,FALSE)</f>
        <v>-200</v>
      </c>
      <c r="G174" s="107">
        <f>VLOOKUP(A174,'[2]Billing Dimensions'!$A:$N,7,FALSE)-VLOOKUP(A174,'Audit Dimensions'!$A:$N,7,FALSE)</f>
        <v>0</v>
      </c>
      <c r="H174" s="107">
        <f>VLOOKUP(A174,'[2]Billing Dimensions'!$A:$N,8,FALSE)-VLOOKUP(A174,'Audit Dimensions'!$A:$N,8,FALSE)</f>
        <v>0</v>
      </c>
      <c r="I174" s="107">
        <f>VLOOKUP(A174,'[2]Billing Dimensions'!$A:$N,9,FALSE)-VLOOKUP(A174,'Audit Dimensions'!$A:$N,9,FALSE)</f>
        <v>0</v>
      </c>
      <c r="J174" s="106">
        <f>VLOOKUP(A174,'[2]Billing Dimensions'!$A:$N,10,FALSE)-VLOOKUP(A174,'Audit Dimensions'!$A:$N,10,FALSE)</f>
        <v>0</v>
      </c>
      <c r="K174" s="105">
        <f>VLOOKUP(A174,'[2]Billing Dimensions'!$A:$N,11,FALSE)-VLOOKUP(A174,'Audit Dimensions'!$A:$N,11,FALSE)</f>
        <v>0</v>
      </c>
      <c r="L174" s="105">
        <f>VLOOKUP(A174,'[2]Billing Dimensions'!$A:$N,12,FALSE)-VLOOKUP(A174,'Audit Dimensions'!$A:$N,12,FALSE)</f>
        <v>0</v>
      </c>
      <c r="M174" s="105">
        <f>VLOOKUP(A174,'[2]Billing Dimensions'!$A:$N,13,FALSE)-VLOOKUP(A174,'Audit Dimensions'!$A:$N,13,FALSE)</f>
        <v>0</v>
      </c>
      <c r="N174" s="105">
        <f>VLOOKUP(A174,'[2]Billing Dimensions'!$A:$N,14,FALSE)-VLOOKUP(A174,'Audit Dimensions'!$A:$N,14,FALSE)</f>
        <v>0</v>
      </c>
      <c r="O174" s="104">
        <f>VLOOKUP(A174,'[2]Billing Dimensions'!A:Q,16,FALSE)-VLOOKUP('Audit VAR'!A174,'Audit Dimensions'!A:P,16,FALSE)</f>
        <v>-200</v>
      </c>
      <c r="P174" s="103">
        <f>O174/1000</f>
        <v>-0.2</v>
      </c>
      <c r="Q174" s="102">
        <f>(((C174*D174*E174)+(G174*H174*I174)+(K174*L174*M174))/1000000)*35.32</f>
        <v>7.0640000000000001E-5</v>
      </c>
      <c r="R174" s="46">
        <f>P174/Q174</f>
        <v>-2831.2570781426953</v>
      </c>
    </row>
    <row r="175" spans="1:18" ht="14.4" hidden="1" customHeight="1" x14ac:dyDescent="0.3">
      <c r="A175" s="122" t="s">
        <v>141</v>
      </c>
      <c r="B175" s="88" t="str">
        <f>VLOOKUP(A175,'[2]Billing Dimensions'!A:B,2,FALSE)</f>
        <v>SB</v>
      </c>
      <c r="C175" s="115">
        <f>VLOOKUP(A175,'[2]Billing Dimensions'!$A:$N,3,FALSE)-VLOOKUP(A175,'Audit Dimensions'!$A:$N,3,FALSE)</f>
        <v>-59.3</v>
      </c>
      <c r="D175" s="115">
        <f>VLOOKUP(A175,'[2]Billing Dimensions'!$A:$N,4,FALSE)-VLOOKUP(A175,'Audit Dimensions'!$A:$N,4,FALSE)</f>
        <v>-4.8000000000000007</v>
      </c>
      <c r="E175" s="115">
        <f>VLOOKUP(A175,'[2]Billing Dimensions'!$A:$N,5,FALSE)-VLOOKUP(A175,'Audit Dimensions'!$A:$N,5,FALSE)</f>
        <v>-1</v>
      </c>
      <c r="F175" s="114">
        <f>VLOOKUP(A175,'[2]Billing Dimensions'!$A:$N,6,FALSE)-VLOOKUP(A175,'Audit Dimensions'!$A:$N,6,FALSE)</f>
        <v>-4750</v>
      </c>
      <c r="G175" s="107">
        <f>VLOOKUP(A175,'[2]Billing Dimensions'!$A:$N,7,FALSE)-VLOOKUP(A175,'Audit Dimensions'!$A:$N,7,FALSE)</f>
        <v>0</v>
      </c>
      <c r="H175" s="107">
        <f>VLOOKUP(A175,'[2]Billing Dimensions'!$A:$N,8,FALSE)-VLOOKUP(A175,'Audit Dimensions'!$A:$N,8,FALSE)</f>
        <v>0</v>
      </c>
      <c r="I175" s="107">
        <f>VLOOKUP(A175,'[2]Billing Dimensions'!$A:$N,9,FALSE)-VLOOKUP(A175,'Audit Dimensions'!$A:$N,9,FALSE)</f>
        <v>0</v>
      </c>
      <c r="J175" s="106">
        <f>VLOOKUP(A175,'[2]Billing Dimensions'!$A:$N,10,FALSE)-VLOOKUP(A175,'Audit Dimensions'!$A:$N,10,FALSE)</f>
        <v>0</v>
      </c>
      <c r="K175" s="105">
        <f>VLOOKUP(A175,'[2]Billing Dimensions'!$A:$N,11,FALSE)-VLOOKUP(A175,'Audit Dimensions'!$A:$N,11,FALSE)</f>
        <v>0</v>
      </c>
      <c r="L175" s="105">
        <f>VLOOKUP(A175,'[2]Billing Dimensions'!$A:$N,12,FALSE)-VLOOKUP(A175,'Audit Dimensions'!$A:$N,12,FALSE)</f>
        <v>0</v>
      </c>
      <c r="M175" s="105">
        <f>VLOOKUP(A175,'[2]Billing Dimensions'!$A:$N,13,FALSE)-VLOOKUP(A175,'Audit Dimensions'!$A:$N,13,FALSE)</f>
        <v>0</v>
      </c>
      <c r="N175" s="105">
        <f>VLOOKUP(A175,'[2]Billing Dimensions'!$A:$N,14,FALSE)-VLOOKUP(A175,'Audit Dimensions'!$A:$N,14,FALSE)</f>
        <v>0</v>
      </c>
      <c r="O175" s="104">
        <f>VLOOKUP(A175,'[2]Billing Dimensions'!A:Q,16,FALSE)-VLOOKUP('Audit VAR'!A175,'Audit Dimensions'!A:P,16,FALSE)</f>
        <v>-4750</v>
      </c>
      <c r="P175" s="103">
        <f>O175/1000</f>
        <v>-4.75</v>
      </c>
      <c r="Q175" s="102">
        <f>(((C175*D175*E175)+(G175*H175*I175)+(K175*L175*M175))/1000000)*35.32</f>
        <v>-1.0053484800000002E-2</v>
      </c>
      <c r="R175" s="46">
        <f>P175/Q175</f>
        <v>472.47298767488059</v>
      </c>
    </row>
    <row r="176" spans="1:18" hidden="1" x14ac:dyDescent="0.3">
      <c r="A176" s="122" t="s">
        <v>140</v>
      </c>
      <c r="B176" s="88" t="str">
        <f>VLOOKUP(A176,'[2]Billing Dimensions'!A:B,2,FALSE)</f>
        <v>SB</v>
      </c>
      <c r="C176" s="115">
        <f>VLOOKUP(A176,'[2]Billing Dimensions'!$A:$N,3,FALSE)-VLOOKUP(A176,'Audit Dimensions'!$A:$N,3,FALSE)</f>
        <v>0</v>
      </c>
      <c r="D176" s="115">
        <f>VLOOKUP(A176,'[2]Billing Dimensions'!$A:$N,4,FALSE)-VLOOKUP(A176,'Audit Dimensions'!$A:$N,4,FALSE)</f>
        <v>0</v>
      </c>
      <c r="E176" s="115">
        <f>VLOOKUP(A176,'[2]Billing Dimensions'!$A:$N,5,FALSE)-VLOOKUP(A176,'Audit Dimensions'!$A:$N,5,FALSE)</f>
        <v>0</v>
      </c>
      <c r="F176" s="114">
        <f>VLOOKUP(A176,'[2]Billing Dimensions'!$A:$N,6,FALSE)-VLOOKUP(A176,'Audit Dimensions'!$A:$N,6,FALSE)</f>
        <v>0</v>
      </c>
      <c r="G176" s="107">
        <f>VLOOKUP(A176,'[2]Billing Dimensions'!$A:$N,7,FALSE)-VLOOKUP(A176,'Audit Dimensions'!$A:$N,7,FALSE)</f>
        <v>0</v>
      </c>
      <c r="H176" s="107">
        <f>VLOOKUP(A176,'[2]Billing Dimensions'!$A:$N,8,FALSE)-VLOOKUP(A176,'Audit Dimensions'!$A:$N,8,FALSE)</f>
        <v>0</v>
      </c>
      <c r="I176" s="107">
        <f>VLOOKUP(A176,'[2]Billing Dimensions'!$A:$N,9,FALSE)-VLOOKUP(A176,'Audit Dimensions'!$A:$N,9,FALSE)</f>
        <v>0</v>
      </c>
      <c r="J176" s="106">
        <f>VLOOKUP(A176,'[2]Billing Dimensions'!$A:$N,10,FALSE)-VLOOKUP(A176,'Audit Dimensions'!$A:$N,10,FALSE)</f>
        <v>0</v>
      </c>
      <c r="K176" s="105">
        <f>VLOOKUP(A176,'[2]Billing Dimensions'!$A:$N,11,FALSE)-VLOOKUP(A176,'Audit Dimensions'!$A:$N,11,FALSE)</f>
        <v>0</v>
      </c>
      <c r="L176" s="105">
        <f>VLOOKUP(A176,'[2]Billing Dimensions'!$A:$N,12,FALSE)-VLOOKUP(A176,'Audit Dimensions'!$A:$N,12,FALSE)</f>
        <v>0</v>
      </c>
      <c r="M176" s="105">
        <f>VLOOKUP(A176,'[2]Billing Dimensions'!$A:$N,13,FALSE)-VLOOKUP(A176,'Audit Dimensions'!$A:$N,13,FALSE)</f>
        <v>0</v>
      </c>
      <c r="N176" s="105">
        <f>VLOOKUP(A176,'[2]Billing Dimensions'!$A:$N,14,FALSE)-VLOOKUP(A176,'Audit Dimensions'!$A:$N,14,FALSE)</f>
        <v>0</v>
      </c>
      <c r="O176" s="104">
        <f>VLOOKUP(A176,'[2]Billing Dimensions'!A:Q,16,FALSE)-VLOOKUP('Audit VAR'!A176,'Audit Dimensions'!A:P,16,FALSE)</f>
        <v>0</v>
      </c>
      <c r="P176" s="103">
        <f>O176/1000</f>
        <v>0</v>
      </c>
      <c r="Q176" s="102">
        <f>(((C176*D176*E176)+(G176*H176*I176)+(K176*L176*M176))/1000000)*35.32</f>
        <v>0</v>
      </c>
      <c r="R176" s="46" t="e">
        <f>P176/Q176</f>
        <v>#DIV/0!</v>
      </c>
    </row>
    <row r="177" spans="1:18" ht="14.4" hidden="1" customHeight="1" x14ac:dyDescent="0.3">
      <c r="A177" s="122" t="s">
        <v>328</v>
      </c>
      <c r="B177" s="88" t="str">
        <f>VLOOKUP(A177,'[2]Billing Dimensions'!A:B,2,FALSE)</f>
        <v> </v>
      </c>
      <c r="C177" s="115" t="e">
        <f>VLOOKUP(A177,'[2]Billing Dimensions'!$A:$N,3,FALSE)-VLOOKUP(A177,'Audit Dimensions'!$A:$N,3,FALSE)</f>
        <v>#N/A</v>
      </c>
      <c r="D177" s="115" t="e">
        <f>VLOOKUP(A177,'[2]Billing Dimensions'!$A:$N,4,FALSE)-VLOOKUP(A177,'Audit Dimensions'!$A:$N,4,FALSE)</f>
        <v>#N/A</v>
      </c>
      <c r="E177" s="115" t="e">
        <f>VLOOKUP(A177,'[2]Billing Dimensions'!$A:$N,5,FALSE)-VLOOKUP(A177,'Audit Dimensions'!$A:$N,5,FALSE)</f>
        <v>#N/A</v>
      </c>
      <c r="F177" s="114" t="e">
        <f>VLOOKUP(A177,'[2]Billing Dimensions'!$A:$N,6,FALSE)-VLOOKUP(A177,'Audit Dimensions'!$A:$N,6,FALSE)</f>
        <v>#N/A</v>
      </c>
      <c r="G177" s="107" t="e">
        <f>VLOOKUP(A177,'[2]Billing Dimensions'!$A:$N,7,FALSE)-VLOOKUP(A177,'Audit Dimensions'!$A:$N,7,FALSE)</f>
        <v>#N/A</v>
      </c>
      <c r="H177" s="107" t="e">
        <f>VLOOKUP(A177,'[2]Billing Dimensions'!$A:$N,8,FALSE)-VLOOKUP(A177,'Audit Dimensions'!$A:$N,8,FALSE)</f>
        <v>#N/A</v>
      </c>
      <c r="I177" s="107" t="e">
        <f>VLOOKUP(A177,'[2]Billing Dimensions'!$A:$N,9,FALSE)-VLOOKUP(A177,'Audit Dimensions'!$A:$N,9,FALSE)</f>
        <v>#N/A</v>
      </c>
      <c r="J177" s="106" t="e">
        <f>VLOOKUP(A177,'[2]Billing Dimensions'!$A:$N,10,FALSE)-VLOOKUP(A177,'Audit Dimensions'!$A:$N,10,FALSE)</f>
        <v>#N/A</v>
      </c>
      <c r="K177" s="105" t="e">
        <f>VLOOKUP(A177,'[2]Billing Dimensions'!$A:$N,11,FALSE)-VLOOKUP(A177,'Audit Dimensions'!$A:$N,11,FALSE)</f>
        <v>#N/A</v>
      </c>
      <c r="L177" s="105" t="e">
        <f>VLOOKUP(A177,'[2]Billing Dimensions'!$A:$N,12,FALSE)-VLOOKUP(A177,'Audit Dimensions'!$A:$N,12,FALSE)</f>
        <v>#N/A</v>
      </c>
      <c r="M177" s="105" t="e">
        <f>VLOOKUP(A177,'[2]Billing Dimensions'!$A:$N,13,FALSE)-VLOOKUP(A177,'Audit Dimensions'!$A:$N,13,FALSE)</f>
        <v>#N/A</v>
      </c>
      <c r="N177" s="105" t="e">
        <f>VLOOKUP(A177,'[2]Billing Dimensions'!$A:$N,14,FALSE)-VLOOKUP(A177,'Audit Dimensions'!$A:$N,14,FALSE)</f>
        <v>#N/A</v>
      </c>
      <c r="O177" s="104" t="e">
        <f>VLOOKUP(A177,'[2]Billing Dimensions'!A:Q,16,FALSE)-VLOOKUP('Audit VAR'!A177,'Audit Dimensions'!A:P,16,FALSE)</f>
        <v>#N/A</v>
      </c>
      <c r="P177" s="103" t="e">
        <f>O177/1000</f>
        <v>#N/A</v>
      </c>
      <c r="Q177" s="102" t="e">
        <f>(((C177*D177*E177)+(G177*H177*I177)+(K177*L177*M177))/1000000)*35.32</f>
        <v>#N/A</v>
      </c>
      <c r="R177" s="46" t="e">
        <f>P177/Q177</f>
        <v>#N/A</v>
      </c>
    </row>
    <row r="178" spans="1:18" hidden="1" x14ac:dyDescent="0.3">
      <c r="A178" s="122" t="s">
        <v>139</v>
      </c>
      <c r="B178" s="88" t="str">
        <f>VLOOKUP(A178,'[2]Billing Dimensions'!A:B,2,FALSE)</f>
        <v>SB</v>
      </c>
      <c r="C178" s="115">
        <f>VLOOKUP(A178,'[2]Billing Dimensions'!$A:$N,3,FALSE)-VLOOKUP(A178,'Audit Dimensions'!$A:$N,3,FALSE)</f>
        <v>0</v>
      </c>
      <c r="D178" s="115">
        <f>VLOOKUP(A178,'[2]Billing Dimensions'!$A:$N,4,FALSE)-VLOOKUP(A178,'Audit Dimensions'!$A:$N,4,FALSE)</f>
        <v>31</v>
      </c>
      <c r="E178" s="115">
        <f>VLOOKUP(A178,'[2]Billing Dimensions'!$A:$N,5,FALSE)-VLOOKUP(A178,'Audit Dimensions'!$A:$N,5,FALSE)</f>
        <v>0</v>
      </c>
      <c r="F178" s="114">
        <f>VLOOKUP(A178,'[2]Billing Dimensions'!$A:$N,6,FALSE)-VLOOKUP(A178,'Audit Dimensions'!$A:$N,6,FALSE)</f>
        <v>250</v>
      </c>
      <c r="G178" s="107">
        <f>VLOOKUP(A178,'[2]Billing Dimensions'!$A:$N,7,FALSE)-VLOOKUP(A178,'Audit Dimensions'!$A:$N,7,FALSE)</f>
        <v>0</v>
      </c>
      <c r="H178" s="107">
        <f>VLOOKUP(A178,'[2]Billing Dimensions'!$A:$N,8,FALSE)-VLOOKUP(A178,'Audit Dimensions'!$A:$N,8,FALSE)</f>
        <v>0</v>
      </c>
      <c r="I178" s="107">
        <f>VLOOKUP(A178,'[2]Billing Dimensions'!$A:$N,9,FALSE)-VLOOKUP(A178,'Audit Dimensions'!$A:$N,9,FALSE)</f>
        <v>0</v>
      </c>
      <c r="J178" s="106">
        <f>VLOOKUP(A178,'[2]Billing Dimensions'!$A:$N,10,FALSE)-VLOOKUP(A178,'Audit Dimensions'!$A:$N,10,FALSE)</f>
        <v>0</v>
      </c>
      <c r="K178" s="105">
        <f>VLOOKUP(A178,'[2]Billing Dimensions'!$A:$N,11,FALSE)-VLOOKUP(A178,'Audit Dimensions'!$A:$N,11,FALSE)</f>
        <v>0</v>
      </c>
      <c r="L178" s="105">
        <f>VLOOKUP(A178,'[2]Billing Dimensions'!$A:$N,12,FALSE)-VLOOKUP(A178,'Audit Dimensions'!$A:$N,12,FALSE)</f>
        <v>0</v>
      </c>
      <c r="M178" s="105">
        <f>VLOOKUP(A178,'[2]Billing Dimensions'!$A:$N,13,FALSE)-VLOOKUP(A178,'Audit Dimensions'!$A:$N,13,FALSE)</f>
        <v>0</v>
      </c>
      <c r="N178" s="105">
        <f>VLOOKUP(A178,'[2]Billing Dimensions'!$A:$N,14,FALSE)-VLOOKUP(A178,'Audit Dimensions'!$A:$N,14,FALSE)</f>
        <v>0</v>
      </c>
      <c r="O178" s="104">
        <f>VLOOKUP(A178,'[2]Billing Dimensions'!A:Q,16,FALSE)-VLOOKUP('Audit VAR'!A178,'Audit Dimensions'!A:P,16,FALSE)</f>
        <v>250</v>
      </c>
      <c r="P178" s="103">
        <f>O178/1000</f>
        <v>0.25</v>
      </c>
      <c r="Q178" s="102">
        <f>(((C178*D178*E178)+(G178*H178*I178)+(K178*L178*M178))/1000000)*35.32</f>
        <v>0</v>
      </c>
      <c r="R178" s="46" t="e">
        <f>P178/Q178</f>
        <v>#DIV/0!</v>
      </c>
    </row>
    <row r="179" spans="1:18" ht="14.4" hidden="1" customHeight="1" x14ac:dyDescent="0.3">
      <c r="A179" s="122" t="s">
        <v>138</v>
      </c>
      <c r="B179" s="88" t="str">
        <f>VLOOKUP(A179,'[2]Billing Dimensions'!A:B,2,FALSE)</f>
        <v>SB</v>
      </c>
      <c r="C179" s="115">
        <f>VLOOKUP(A179,'[2]Billing Dimensions'!$A:$N,3,FALSE)-VLOOKUP(A179,'Audit Dimensions'!$A:$N,3,FALSE)</f>
        <v>-1</v>
      </c>
      <c r="D179" s="115">
        <f>VLOOKUP(A179,'[2]Billing Dimensions'!$A:$N,4,FALSE)-VLOOKUP(A179,'Audit Dimensions'!$A:$N,4,FALSE)</f>
        <v>2</v>
      </c>
      <c r="E179" s="115">
        <f>VLOOKUP(A179,'[2]Billing Dimensions'!$A:$N,5,FALSE)-VLOOKUP(A179,'Audit Dimensions'!$A:$N,5,FALSE)</f>
        <v>0</v>
      </c>
      <c r="F179" s="114">
        <f>VLOOKUP(A179,'[2]Billing Dimensions'!$A:$N,6,FALSE)-VLOOKUP(A179,'Audit Dimensions'!$A:$N,6,FALSE)</f>
        <v>-300</v>
      </c>
      <c r="G179" s="107">
        <f>VLOOKUP(A179,'[2]Billing Dimensions'!$A:$N,7,FALSE)-VLOOKUP(A179,'Audit Dimensions'!$A:$N,7,FALSE)</f>
        <v>0</v>
      </c>
      <c r="H179" s="107">
        <f>VLOOKUP(A179,'[2]Billing Dimensions'!$A:$N,8,FALSE)-VLOOKUP(A179,'Audit Dimensions'!$A:$N,8,FALSE)</f>
        <v>0</v>
      </c>
      <c r="I179" s="107">
        <f>VLOOKUP(A179,'[2]Billing Dimensions'!$A:$N,9,FALSE)-VLOOKUP(A179,'Audit Dimensions'!$A:$N,9,FALSE)</f>
        <v>0</v>
      </c>
      <c r="J179" s="106">
        <f>VLOOKUP(A179,'[2]Billing Dimensions'!$A:$N,10,FALSE)-VLOOKUP(A179,'Audit Dimensions'!$A:$N,10,FALSE)</f>
        <v>0</v>
      </c>
      <c r="K179" s="105">
        <f>VLOOKUP(A179,'[2]Billing Dimensions'!$A:$N,11,FALSE)-VLOOKUP(A179,'Audit Dimensions'!$A:$N,11,FALSE)</f>
        <v>0</v>
      </c>
      <c r="L179" s="105">
        <f>VLOOKUP(A179,'[2]Billing Dimensions'!$A:$N,12,FALSE)-VLOOKUP(A179,'Audit Dimensions'!$A:$N,12,FALSE)</f>
        <v>0</v>
      </c>
      <c r="M179" s="105">
        <f>VLOOKUP(A179,'[2]Billing Dimensions'!$A:$N,13,FALSE)-VLOOKUP(A179,'Audit Dimensions'!$A:$N,13,FALSE)</f>
        <v>0</v>
      </c>
      <c r="N179" s="105">
        <f>VLOOKUP(A179,'[2]Billing Dimensions'!$A:$N,14,FALSE)-VLOOKUP(A179,'Audit Dimensions'!$A:$N,14,FALSE)</f>
        <v>0</v>
      </c>
      <c r="O179" s="104">
        <f>VLOOKUP(A179,'[2]Billing Dimensions'!A:Q,16,FALSE)-VLOOKUP('Audit VAR'!A179,'Audit Dimensions'!A:P,16,FALSE)</f>
        <v>-300</v>
      </c>
      <c r="P179" s="103">
        <f>O179/1000</f>
        <v>-0.3</v>
      </c>
      <c r="Q179" s="102">
        <f>(((C179*D179*E179)+(G179*H179*I179)+(K179*L179*M179))/1000000)*35.32</f>
        <v>0</v>
      </c>
      <c r="R179" s="46" t="e">
        <f>P179/Q179</f>
        <v>#DIV/0!</v>
      </c>
    </row>
    <row r="180" spans="1:18" ht="12.9" hidden="1" customHeight="1" x14ac:dyDescent="0.3">
      <c r="A180" s="122" t="s">
        <v>137</v>
      </c>
      <c r="B180" s="88" t="str">
        <f>VLOOKUP(A180,'[2]Billing Dimensions'!A:B,2,FALSE)</f>
        <v>SB</v>
      </c>
      <c r="C180" s="115">
        <f>VLOOKUP(A180,'[2]Billing Dimensions'!$A:$N,3,FALSE)-VLOOKUP(A180,'Audit Dimensions'!$A:$N,3,FALSE)</f>
        <v>9</v>
      </c>
      <c r="D180" s="115">
        <f>VLOOKUP(A180,'[2]Billing Dimensions'!$A:$N,4,FALSE)-VLOOKUP(A180,'Audit Dimensions'!$A:$N,4,FALSE)</f>
        <v>3</v>
      </c>
      <c r="E180" s="115">
        <f>VLOOKUP(A180,'[2]Billing Dimensions'!$A:$N,5,FALSE)-VLOOKUP(A180,'Audit Dimensions'!$A:$N,5,FALSE)</f>
        <v>-1</v>
      </c>
      <c r="F180" s="114">
        <f>VLOOKUP(A180,'[2]Billing Dimensions'!$A:$N,6,FALSE)-VLOOKUP(A180,'Audit Dimensions'!$A:$N,6,FALSE)</f>
        <v>-1800</v>
      </c>
      <c r="G180" s="107">
        <f>VLOOKUP(A180,'[2]Billing Dimensions'!$A:$N,7,FALSE)-VLOOKUP(A180,'Audit Dimensions'!$A:$N,7,FALSE)</f>
        <v>0</v>
      </c>
      <c r="H180" s="107">
        <f>VLOOKUP(A180,'[2]Billing Dimensions'!$A:$N,8,FALSE)-VLOOKUP(A180,'Audit Dimensions'!$A:$N,8,FALSE)</f>
        <v>0</v>
      </c>
      <c r="I180" s="107">
        <f>VLOOKUP(A180,'[2]Billing Dimensions'!$A:$N,9,FALSE)-VLOOKUP(A180,'Audit Dimensions'!$A:$N,9,FALSE)</f>
        <v>0</v>
      </c>
      <c r="J180" s="106">
        <f>VLOOKUP(A180,'[2]Billing Dimensions'!$A:$N,10,FALSE)-VLOOKUP(A180,'Audit Dimensions'!$A:$N,10,FALSE)</f>
        <v>0</v>
      </c>
      <c r="K180" s="105">
        <f>VLOOKUP(A180,'[2]Billing Dimensions'!$A:$N,11,FALSE)-VLOOKUP(A180,'Audit Dimensions'!$A:$N,11,FALSE)</f>
        <v>0</v>
      </c>
      <c r="L180" s="105">
        <f>VLOOKUP(A180,'[2]Billing Dimensions'!$A:$N,12,FALSE)-VLOOKUP(A180,'Audit Dimensions'!$A:$N,12,FALSE)</f>
        <v>0</v>
      </c>
      <c r="M180" s="105">
        <f>VLOOKUP(A180,'[2]Billing Dimensions'!$A:$N,13,FALSE)-VLOOKUP(A180,'Audit Dimensions'!$A:$N,13,FALSE)</f>
        <v>0</v>
      </c>
      <c r="N180" s="105">
        <f>VLOOKUP(A180,'[2]Billing Dimensions'!$A:$N,14,FALSE)-VLOOKUP(A180,'Audit Dimensions'!$A:$N,14,FALSE)</f>
        <v>0</v>
      </c>
      <c r="O180" s="104">
        <f>VLOOKUP(A180,'[2]Billing Dimensions'!A:Q,16,FALSE)-VLOOKUP('Audit VAR'!A180,'Audit Dimensions'!A:P,16,FALSE)</f>
        <v>-1800</v>
      </c>
      <c r="P180" s="103">
        <f>O180/1000</f>
        <v>-1.8</v>
      </c>
      <c r="Q180" s="102">
        <f>(((C180*D180*E180)+(G180*H180*I180)+(K180*L180*M180))/1000000)*35.32</f>
        <v>-9.5363999999999996E-4</v>
      </c>
      <c r="R180" s="46">
        <f>P180/Q180</f>
        <v>1887.504718761797</v>
      </c>
    </row>
    <row r="181" spans="1:18" ht="12.9" hidden="1" customHeight="1" x14ac:dyDescent="0.3">
      <c r="A181" s="122" t="s">
        <v>136</v>
      </c>
      <c r="B181" s="88" t="str">
        <f>VLOOKUP(A181,'[2]Billing Dimensions'!A:B,2,FALSE)</f>
        <v>SB</v>
      </c>
      <c r="C181" s="115">
        <f>VLOOKUP(A181,'[2]Billing Dimensions'!$A:$N,3,FALSE)-VLOOKUP(A181,'Audit Dimensions'!$A:$N,3,FALSE)</f>
        <v>1</v>
      </c>
      <c r="D181" s="115">
        <f>VLOOKUP(A181,'[2]Billing Dimensions'!$A:$N,4,FALSE)-VLOOKUP(A181,'Audit Dimensions'!$A:$N,4,FALSE)</f>
        <v>3</v>
      </c>
      <c r="E181" s="115">
        <f>VLOOKUP(A181,'[2]Billing Dimensions'!$A:$N,5,FALSE)-VLOOKUP(A181,'Audit Dimensions'!$A:$N,5,FALSE)</f>
        <v>1</v>
      </c>
      <c r="F181" s="114">
        <f>VLOOKUP(A181,'[2]Billing Dimensions'!$A:$N,6,FALSE)-VLOOKUP(A181,'Audit Dimensions'!$A:$N,6,FALSE)</f>
        <v>250</v>
      </c>
      <c r="G181" s="107">
        <f>VLOOKUP(A181,'[2]Billing Dimensions'!$A:$N,7,FALSE)-VLOOKUP(A181,'Audit Dimensions'!$A:$N,7,FALSE)</f>
        <v>0</v>
      </c>
      <c r="H181" s="107">
        <f>VLOOKUP(A181,'[2]Billing Dimensions'!$A:$N,8,FALSE)-VLOOKUP(A181,'Audit Dimensions'!$A:$N,8,FALSE)</f>
        <v>0</v>
      </c>
      <c r="I181" s="107">
        <f>VLOOKUP(A181,'[2]Billing Dimensions'!$A:$N,9,FALSE)-VLOOKUP(A181,'Audit Dimensions'!$A:$N,9,FALSE)</f>
        <v>0</v>
      </c>
      <c r="J181" s="106">
        <f>VLOOKUP(A181,'[2]Billing Dimensions'!$A:$N,10,FALSE)-VLOOKUP(A181,'Audit Dimensions'!$A:$N,10,FALSE)</f>
        <v>0</v>
      </c>
      <c r="K181" s="105">
        <f>VLOOKUP(A181,'[2]Billing Dimensions'!$A:$N,11,FALSE)-VLOOKUP(A181,'Audit Dimensions'!$A:$N,11,FALSE)</f>
        <v>0</v>
      </c>
      <c r="L181" s="105">
        <f>VLOOKUP(A181,'[2]Billing Dimensions'!$A:$N,12,FALSE)-VLOOKUP(A181,'Audit Dimensions'!$A:$N,12,FALSE)</f>
        <v>0</v>
      </c>
      <c r="M181" s="105">
        <f>VLOOKUP(A181,'[2]Billing Dimensions'!$A:$N,13,FALSE)-VLOOKUP(A181,'Audit Dimensions'!$A:$N,13,FALSE)</f>
        <v>0</v>
      </c>
      <c r="N181" s="105">
        <f>VLOOKUP(A181,'[2]Billing Dimensions'!$A:$N,14,FALSE)-VLOOKUP(A181,'Audit Dimensions'!$A:$N,14,FALSE)</f>
        <v>0</v>
      </c>
      <c r="O181" s="104">
        <f>VLOOKUP(A181,'[2]Billing Dimensions'!A:Q,16,FALSE)-VLOOKUP('Audit VAR'!A181,'Audit Dimensions'!A:P,16,FALSE)</f>
        <v>250</v>
      </c>
      <c r="P181" s="103">
        <f>O181/1000</f>
        <v>0.25</v>
      </c>
      <c r="Q181" s="102">
        <f>(((C181*D181*E181)+(G181*H181*I181)+(K181*L181*M181))/1000000)*35.32</f>
        <v>1.0596000000000001E-4</v>
      </c>
      <c r="R181" s="46">
        <f>P181/Q181</f>
        <v>2359.3808984522461</v>
      </c>
    </row>
    <row r="182" spans="1:18" ht="12.9" hidden="1" customHeight="1" x14ac:dyDescent="0.3">
      <c r="A182" s="122" t="s">
        <v>135</v>
      </c>
      <c r="B182" s="88" t="e">
        <f>VLOOKUP(A182,'[2]Billing Dimensions'!A:B,2,FALSE)</f>
        <v>#N/A</v>
      </c>
      <c r="C182" s="115" t="e">
        <f>VLOOKUP(A182,'[2]Billing Dimensions'!$A:$N,3,FALSE)-VLOOKUP(A182,'Audit Dimensions'!$A:$N,3,FALSE)</f>
        <v>#N/A</v>
      </c>
      <c r="D182" s="115" t="e">
        <f>VLOOKUP(A182,'[2]Billing Dimensions'!$A:$N,4,FALSE)-VLOOKUP(A182,'Audit Dimensions'!$A:$N,4,FALSE)</f>
        <v>#N/A</v>
      </c>
      <c r="E182" s="115" t="e">
        <f>VLOOKUP(A182,'[2]Billing Dimensions'!$A:$N,5,FALSE)-VLOOKUP(A182,'Audit Dimensions'!$A:$N,5,FALSE)</f>
        <v>#N/A</v>
      </c>
      <c r="F182" s="114" t="e">
        <f>VLOOKUP(A182,'[2]Billing Dimensions'!$A:$N,6,FALSE)-VLOOKUP(A182,'Audit Dimensions'!$A:$N,6,FALSE)</f>
        <v>#N/A</v>
      </c>
      <c r="G182" s="107" t="e">
        <f>VLOOKUP(A182,'[2]Billing Dimensions'!$A:$N,7,FALSE)-VLOOKUP(A182,'Audit Dimensions'!$A:$N,7,FALSE)</f>
        <v>#N/A</v>
      </c>
      <c r="H182" s="107" t="e">
        <f>VLOOKUP(A182,'[2]Billing Dimensions'!$A:$N,8,FALSE)-VLOOKUP(A182,'Audit Dimensions'!$A:$N,8,FALSE)</f>
        <v>#N/A</v>
      </c>
      <c r="I182" s="107" t="e">
        <f>VLOOKUP(A182,'[2]Billing Dimensions'!$A:$N,9,FALSE)-VLOOKUP(A182,'Audit Dimensions'!$A:$N,9,FALSE)</f>
        <v>#N/A</v>
      </c>
      <c r="J182" s="106" t="e">
        <f>VLOOKUP(A182,'[2]Billing Dimensions'!$A:$N,10,FALSE)-VLOOKUP(A182,'Audit Dimensions'!$A:$N,10,FALSE)</f>
        <v>#N/A</v>
      </c>
      <c r="K182" s="105" t="e">
        <f>VLOOKUP(A182,'[2]Billing Dimensions'!$A:$N,11,FALSE)-VLOOKUP(A182,'Audit Dimensions'!$A:$N,11,FALSE)</f>
        <v>#N/A</v>
      </c>
      <c r="L182" s="105" t="e">
        <f>VLOOKUP(A182,'[2]Billing Dimensions'!$A:$N,12,FALSE)-VLOOKUP(A182,'Audit Dimensions'!$A:$N,12,FALSE)</f>
        <v>#N/A</v>
      </c>
      <c r="M182" s="105" t="e">
        <f>VLOOKUP(A182,'[2]Billing Dimensions'!$A:$N,13,FALSE)-VLOOKUP(A182,'Audit Dimensions'!$A:$N,13,FALSE)</f>
        <v>#N/A</v>
      </c>
      <c r="N182" s="105" t="e">
        <f>VLOOKUP(A182,'[2]Billing Dimensions'!$A:$N,14,FALSE)-VLOOKUP(A182,'Audit Dimensions'!$A:$N,14,FALSE)</f>
        <v>#N/A</v>
      </c>
      <c r="O182" s="104" t="e">
        <f>VLOOKUP(A182,'[2]Billing Dimensions'!A:Q,16,FALSE)-VLOOKUP('Audit VAR'!A182,'Audit Dimensions'!A:P,16,FALSE)</f>
        <v>#N/A</v>
      </c>
      <c r="P182" s="103" t="e">
        <f>O182/1000</f>
        <v>#N/A</v>
      </c>
      <c r="Q182" s="102" t="e">
        <f>(((C182*D182*E182)+(G182*H182*I182)+(K182*L182*M182))/1000000)*35.32</f>
        <v>#N/A</v>
      </c>
      <c r="R182" s="46" t="e">
        <f>P182/Q182</f>
        <v>#N/A</v>
      </c>
    </row>
    <row r="183" spans="1:18" hidden="1" x14ac:dyDescent="0.3">
      <c r="A183" s="122" t="s">
        <v>134</v>
      </c>
      <c r="B183" s="88" t="str">
        <f>VLOOKUP(A183,'[2]Billing Dimensions'!A:B,2,FALSE)</f>
        <v>SB</v>
      </c>
      <c r="C183" s="115">
        <f>VLOOKUP(A183,'[2]Billing Dimensions'!$A:$N,3,FALSE)-VLOOKUP(A183,'Audit Dimensions'!$A:$N,3,FALSE)</f>
        <v>2</v>
      </c>
      <c r="D183" s="115">
        <f>VLOOKUP(A183,'[2]Billing Dimensions'!$A:$N,4,FALSE)-VLOOKUP(A183,'Audit Dimensions'!$A:$N,4,FALSE)</f>
        <v>17</v>
      </c>
      <c r="E183" s="115">
        <f>VLOOKUP(A183,'[2]Billing Dimensions'!$A:$N,5,FALSE)-VLOOKUP(A183,'Audit Dimensions'!$A:$N,5,FALSE)</f>
        <v>-1</v>
      </c>
      <c r="F183" s="114">
        <f>VLOOKUP(A183,'[2]Billing Dimensions'!$A:$N,6,FALSE)-VLOOKUP(A183,'Audit Dimensions'!$A:$N,6,FALSE)</f>
        <v>-1830</v>
      </c>
      <c r="G183" s="107">
        <f>VLOOKUP(A183,'[2]Billing Dimensions'!$A:$N,7,FALSE)-VLOOKUP(A183,'Audit Dimensions'!$A:$N,7,FALSE)</f>
        <v>0</v>
      </c>
      <c r="H183" s="107">
        <f>VLOOKUP(A183,'[2]Billing Dimensions'!$A:$N,8,FALSE)-VLOOKUP(A183,'Audit Dimensions'!$A:$N,8,FALSE)</f>
        <v>0</v>
      </c>
      <c r="I183" s="107">
        <f>VLOOKUP(A183,'[2]Billing Dimensions'!$A:$N,9,FALSE)-VLOOKUP(A183,'Audit Dimensions'!$A:$N,9,FALSE)</f>
        <v>0</v>
      </c>
      <c r="J183" s="106">
        <f>VLOOKUP(A183,'[2]Billing Dimensions'!$A:$N,10,FALSE)-VLOOKUP(A183,'Audit Dimensions'!$A:$N,10,FALSE)</f>
        <v>0</v>
      </c>
      <c r="K183" s="105">
        <f>VLOOKUP(A183,'[2]Billing Dimensions'!$A:$N,11,FALSE)-VLOOKUP(A183,'Audit Dimensions'!$A:$N,11,FALSE)</f>
        <v>0</v>
      </c>
      <c r="L183" s="105">
        <f>VLOOKUP(A183,'[2]Billing Dimensions'!$A:$N,12,FALSE)-VLOOKUP(A183,'Audit Dimensions'!$A:$N,12,FALSE)</f>
        <v>0</v>
      </c>
      <c r="M183" s="105">
        <f>VLOOKUP(A183,'[2]Billing Dimensions'!$A:$N,13,FALSE)-VLOOKUP(A183,'Audit Dimensions'!$A:$N,13,FALSE)</f>
        <v>0</v>
      </c>
      <c r="N183" s="105">
        <f>VLOOKUP(A183,'[2]Billing Dimensions'!$A:$N,14,FALSE)-VLOOKUP(A183,'Audit Dimensions'!$A:$N,14,FALSE)</f>
        <v>0</v>
      </c>
      <c r="O183" s="104">
        <f>VLOOKUP(A183,'[2]Billing Dimensions'!A:Q,16,FALSE)-VLOOKUP('Audit VAR'!A183,'Audit Dimensions'!A:P,16,FALSE)</f>
        <v>-1830</v>
      </c>
      <c r="P183" s="103">
        <f>O183/1000</f>
        <v>-1.83</v>
      </c>
      <c r="Q183" s="102">
        <f>(((C183*D183*E183)+(G183*H183*I183)+(K183*L183*M183))/1000000)*35.32</f>
        <v>-1.2008800000000001E-3</v>
      </c>
      <c r="R183" s="46">
        <f>P183/Q183</f>
        <v>1523.8824861768037</v>
      </c>
    </row>
    <row r="184" spans="1:18" ht="14.4" hidden="1" customHeight="1" x14ac:dyDescent="0.3">
      <c r="A184" s="124" t="s">
        <v>133</v>
      </c>
      <c r="B184" s="88" t="str">
        <f>VLOOKUP(A184,'[2]Billing Dimensions'!A:B,2,FALSE)</f>
        <v>SB</v>
      </c>
      <c r="C184" s="115">
        <f>VLOOKUP(A184,'[2]Billing Dimensions'!$A:$N,3,FALSE)-VLOOKUP(A184,'Audit Dimensions'!$A:$N,3,FALSE)</f>
        <v>136</v>
      </c>
      <c r="D184" s="115">
        <f>VLOOKUP(A184,'[2]Billing Dimensions'!$A:$N,4,FALSE)-VLOOKUP(A184,'Audit Dimensions'!$A:$N,4,FALSE)</f>
        <v>35</v>
      </c>
      <c r="E184" s="115">
        <f>VLOOKUP(A184,'[2]Billing Dimensions'!$A:$N,5,FALSE)-VLOOKUP(A184,'Audit Dimensions'!$A:$N,5,FALSE)</f>
        <v>8</v>
      </c>
      <c r="F184" s="114">
        <f>VLOOKUP(A184,'[2]Billing Dimensions'!$A:$N,6,FALSE)-VLOOKUP(A184,'Audit Dimensions'!$A:$N,6,FALSE)</f>
        <v>17600</v>
      </c>
      <c r="G184" s="107">
        <f>VLOOKUP(A184,'[2]Billing Dimensions'!$A:$N,7,FALSE)-VLOOKUP(A184,'Audit Dimensions'!$A:$N,7,FALSE)</f>
        <v>0</v>
      </c>
      <c r="H184" s="107">
        <f>VLOOKUP(A184,'[2]Billing Dimensions'!$A:$N,8,FALSE)-VLOOKUP(A184,'Audit Dimensions'!$A:$N,8,FALSE)</f>
        <v>0</v>
      </c>
      <c r="I184" s="107">
        <f>VLOOKUP(A184,'[2]Billing Dimensions'!$A:$N,9,FALSE)-VLOOKUP(A184,'Audit Dimensions'!$A:$N,9,FALSE)</f>
        <v>0</v>
      </c>
      <c r="J184" s="106">
        <f>VLOOKUP(A184,'[2]Billing Dimensions'!$A:$N,10,FALSE)-VLOOKUP(A184,'Audit Dimensions'!$A:$N,10,FALSE)</f>
        <v>0</v>
      </c>
      <c r="K184" s="105">
        <f>VLOOKUP(A184,'[2]Billing Dimensions'!$A:$N,11,FALSE)-VLOOKUP(A184,'Audit Dimensions'!$A:$N,11,FALSE)</f>
        <v>0</v>
      </c>
      <c r="L184" s="105">
        <f>VLOOKUP(A184,'[2]Billing Dimensions'!$A:$N,12,FALSE)-VLOOKUP(A184,'Audit Dimensions'!$A:$N,12,FALSE)</f>
        <v>0</v>
      </c>
      <c r="M184" s="105">
        <f>VLOOKUP(A184,'[2]Billing Dimensions'!$A:$N,13,FALSE)-VLOOKUP(A184,'Audit Dimensions'!$A:$N,13,FALSE)</f>
        <v>0</v>
      </c>
      <c r="N184" s="105">
        <f>VLOOKUP(A184,'[2]Billing Dimensions'!$A:$N,14,FALSE)-VLOOKUP(A184,'Audit Dimensions'!$A:$N,14,FALSE)</f>
        <v>0</v>
      </c>
      <c r="O184" s="104">
        <f>VLOOKUP(A184,'[2]Billing Dimensions'!A:Q,16,FALSE)-VLOOKUP('Audit VAR'!A184,'Audit Dimensions'!A:P,16,FALSE)</f>
        <v>17600</v>
      </c>
      <c r="P184" s="103">
        <f>O184/1000</f>
        <v>17.600000000000001</v>
      </c>
      <c r="Q184" s="102">
        <f>(((C184*D184*E184)+(G184*H184*I184)+(K184*L184*M184))/1000000)*35.32</f>
        <v>1.3449856</v>
      </c>
      <c r="R184" s="46">
        <f>P184/Q184</f>
        <v>13.085641957802375</v>
      </c>
    </row>
    <row r="185" spans="1:18" ht="14.4" hidden="1" customHeight="1" x14ac:dyDescent="0.3">
      <c r="A185" s="122" t="s">
        <v>132</v>
      </c>
      <c r="B185" s="88" t="str">
        <f>VLOOKUP(A185,'[2]Billing Dimensions'!A:B,2,FALSE)</f>
        <v>SB</v>
      </c>
      <c r="C185" s="115">
        <f>VLOOKUP(A185,'[2]Billing Dimensions'!$A:$N,3,FALSE)-VLOOKUP(A185,'Audit Dimensions'!$A:$N,3,FALSE)</f>
        <v>-11</v>
      </c>
      <c r="D185" s="115">
        <f>VLOOKUP(A185,'[2]Billing Dimensions'!$A:$N,4,FALSE)-VLOOKUP(A185,'Audit Dimensions'!$A:$N,4,FALSE)</f>
        <v>4</v>
      </c>
      <c r="E185" s="115">
        <f>VLOOKUP(A185,'[2]Billing Dimensions'!$A:$N,5,FALSE)-VLOOKUP(A185,'Audit Dimensions'!$A:$N,5,FALSE)</f>
        <v>1</v>
      </c>
      <c r="F185" s="114">
        <f>VLOOKUP(A185,'[2]Billing Dimensions'!$A:$N,6,FALSE)-VLOOKUP(A185,'Audit Dimensions'!$A:$N,6,FALSE)</f>
        <v>-900</v>
      </c>
      <c r="G185" s="107">
        <f>VLOOKUP(A185,'[2]Billing Dimensions'!$A:$N,7,FALSE)-VLOOKUP(A185,'Audit Dimensions'!$A:$N,7,FALSE)</f>
        <v>0</v>
      </c>
      <c r="H185" s="107">
        <f>VLOOKUP(A185,'[2]Billing Dimensions'!$A:$N,8,FALSE)-VLOOKUP(A185,'Audit Dimensions'!$A:$N,8,FALSE)</f>
        <v>0</v>
      </c>
      <c r="I185" s="107">
        <f>VLOOKUP(A185,'[2]Billing Dimensions'!$A:$N,9,FALSE)-VLOOKUP(A185,'Audit Dimensions'!$A:$N,9,FALSE)</f>
        <v>0</v>
      </c>
      <c r="J185" s="106">
        <f>VLOOKUP(A185,'[2]Billing Dimensions'!$A:$N,10,FALSE)-VLOOKUP(A185,'Audit Dimensions'!$A:$N,10,FALSE)</f>
        <v>0</v>
      </c>
      <c r="K185" s="105">
        <f>VLOOKUP(A185,'[2]Billing Dimensions'!$A:$N,11,FALSE)-VLOOKUP(A185,'Audit Dimensions'!$A:$N,11,FALSE)</f>
        <v>0</v>
      </c>
      <c r="L185" s="105">
        <f>VLOOKUP(A185,'[2]Billing Dimensions'!$A:$N,12,FALSE)-VLOOKUP(A185,'Audit Dimensions'!$A:$N,12,FALSE)</f>
        <v>0</v>
      </c>
      <c r="M185" s="105">
        <f>VLOOKUP(A185,'[2]Billing Dimensions'!$A:$N,13,FALSE)-VLOOKUP(A185,'Audit Dimensions'!$A:$N,13,FALSE)</f>
        <v>0</v>
      </c>
      <c r="N185" s="105">
        <f>VLOOKUP(A185,'[2]Billing Dimensions'!$A:$N,14,FALSE)-VLOOKUP(A185,'Audit Dimensions'!$A:$N,14,FALSE)</f>
        <v>0</v>
      </c>
      <c r="O185" s="104">
        <f>VLOOKUP(A185,'[2]Billing Dimensions'!A:Q,16,FALSE)-VLOOKUP('Audit VAR'!A185,'Audit Dimensions'!A:P,16,FALSE)</f>
        <v>-900</v>
      </c>
      <c r="P185" s="103">
        <f>O185/1000</f>
        <v>-0.9</v>
      </c>
      <c r="Q185" s="102">
        <f>(((C185*D185*E185)+(G185*H185*I185)+(K185*L185*M185))/1000000)*35.32</f>
        <v>-1.55408E-3</v>
      </c>
      <c r="R185" s="46">
        <f>P185/Q185</f>
        <v>579.12076598373312</v>
      </c>
    </row>
    <row r="186" spans="1:18" hidden="1" x14ac:dyDescent="0.3">
      <c r="A186" s="122" t="s">
        <v>131</v>
      </c>
      <c r="B186" s="88" t="str">
        <f>VLOOKUP(A186,'[2]Billing Dimensions'!A:B,2,FALSE)</f>
        <v>SB</v>
      </c>
      <c r="C186" s="115">
        <f>VLOOKUP(A186,'[2]Billing Dimensions'!$A:$N,3,FALSE)-VLOOKUP(A186,'Audit Dimensions'!$A:$N,3,FALSE)</f>
        <v>-2</v>
      </c>
      <c r="D186" s="115">
        <f>VLOOKUP(A186,'[2]Billing Dimensions'!$A:$N,4,FALSE)-VLOOKUP(A186,'Audit Dimensions'!$A:$N,4,FALSE)</f>
        <v>6</v>
      </c>
      <c r="E186" s="115">
        <f>VLOOKUP(A186,'[2]Billing Dimensions'!$A:$N,5,FALSE)-VLOOKUP(A186,'Audit Dimensions'!$A:$N,5,FALSE)</f>
        <v>1</v>
      </c>
      <c r="F186" s="114">
        <f>VLOOKUP(A186,'[2]Billing Dimensions'!$A:$N,6,FALSE)-VLOOKUP(A186,'Audit Dimensions'!$A:$N,6,FALSE)</f>
        <v>-25</v>
      </c>
      <c r="G186" s="107">
        <f>VLOOKUP(A186,'[2]Billing Dimensions'!$A:$N,7,FALSE)-VLOOKUP(A186,'Audit Dimensions'!$A:$N,7,FALSE)</f>
        <v>0</v>
      </c>
      <c r="H186" s="107">
        <f>VLOOKUP(A186,'[2]Billing Dimensions'!$A:$N,8,FALSE)-VLOOKUP(A186,'Audit Dimensions'!$A:$N,8,FALSE)</f>
        <v>0</v>
      </c>
      <c r="I186" s="107">
        <f>VLOOKUP(A186,'[2]Billing Dimensions'!$A:$N,9,FALSE)-VLOOKUP(A186,'Audit Dimensions'!$A:$N,9,FALSE)</f>
        <v>0</v>
      </c>
      <c r="J186" s="106">
        <f>VLOOKUP(A186,'[2]Billing Dimensions'!$A:$N,10,FALSE)-VLOOKUP(A186,'Audit Dimensions'!$A:$N,10,FALSE)</f>
        <v>0</v>
      </c>
      <c r="K186" s="105">
        <f>VLOOKUP(A186,'[2]Billing Dimensions'!$A:$N,11,FALSE)-VLOOKUP(A186,'Audit Dimensions'!$A:$N,11,FALSE)</f>
        <v>0</v>
      </c>
      <c r="L186" s="105">
        <f>VLOOKUP(A186,'[2]Billing Dimensions'!$A:$N,12,FALSE)-VLOOKUP(A186,'Audit Dimensions'!$A:$N,12,FALSE)</f>
        <v>0</v>
      </c>
      <c r="M186" s="105">
        <f>VLOOKUP(A186,'[2]Billing Dimensions'!$A:$N,13,FALSE)-VLOOKUP(A186,'Audit Dimensions'!$A:$N,13,FALSE)</f>
        <v>0</v>
      </c>
      <c r="N186" s="105">
        <f>VLOOKUP(A186,'[2]Billing Dimensions'!$A:$N,14,FALSE)-VLOOKUP(A186,'Audit Dimensions'!$A:$N,14,FALSE)</f>
        <v>0</v>
      </c>
      <c r="O186" s="104">
        <f>VLOOKUP(A186,'[2]Billing Dimensions'!A:Q,16,FALSE)-VLOOKUP('Audit VAR'!A186,'Audit Dimensions'!A:P,16,FALSE)</f>
        <v>-25</v>
      </c>
      <c r="P186" s="103">
        <f>O186/1000</f>
        <v>-2.5000000000000001E-2</v>
      </c>
      <c r="Q186" s="102">
        <f>(((C186*D186*E186)+(G186*H186*I186)+(K186*L186*M186))/1000000)*35.32</f>
        <v>-4.2384000000000003E-4</v>
      </c>
      <c r="R186" s="46">
        <f>P186/Q186</f>
        <v>58.984522461306149</v>
      </c>
    </row>
    <row r="187" spans="1:18" ht="14.4" hidden="1" customHeight="1" x14ac:dyDescent="0.3">
      <c r="A187" s="122" t="s">
        <v>130</v>
      </c>
      <c r="B187" s="88" t="str">
        <f>VLOOKUP(A187,'[2]Billing Dimensions'!A:B,2,FALSE)</f>
        <v>SB</v>
      </c>
      <c r="C187" s="115">
        <f>VLOOKUP(A187,'[2]Billing Dimensions'!$A:$N,3,FALSE)-VLOOKUP(A187,'Audit Dimensions'!$A:$N,3,FALSE)</f>
        <v>-1</v>
      </c>
      <c r="D187" s="115">
        <f>VLOOKUP(A187,'[2]Billing Dimensions'!$A:$N,4,FALSE)-VLOOKUP(A187,'Audit Dimensions'!$A:$N,4,FALSE)</f>
        <v>3</v>
      </c>
      <c r="E187" s="115">
        <f>VLOOKUP(A187,'[2]Billing Dimensions'!$A:$N,5,FALSE)-VLOOKUP(A187,'Audit Dimensions'!$A:$N,5,FALSE)</f>
        <v>-1</v>
      </c>
      <c r="F187" s="114">
        <f>VLOOKUP(A187,'[2]Billing Dimensions'!$A:$N,6,FALSE)-VLOOKUP(A187,'Audit Dimensions'!$A:$N,6,FALSE)</f>
        <v>-1300</v>
      </c>
      <c r="G187" s="107">
        <f>VLOOKUP(A187,'[2]Billing Dimensions'!$A:$N,7,FALSE)-VLOOKUP(A187,'Audit Dimensions'!$A:$N,7,FALSE)</f>
        <v>0</v>
      </c>
      <c r="H187" s="107">
        <f>VLOOKUP(A187,'[2]Billing Dimensions'!$A:$N,8,FALSE)-VLOOKUP(A187,'Audit Dimensions'!$A:$N,8,FALSE)</f>
        <v>0</v>
      </c>
      <c r="I187" s="107">
        <f>VLOOKUP(A187,'[2]Billing Dimensions'!$A:$N,9,FALSE)-VLOOKUP(A187,'Audit Dimensions'!$A:$N,9,FALSE)</f>
        <v>0</v>
      </c>
      <c r="J187" s="106">
        <f>VLOOKUP(A187,'[2]Billing Dimensions'!$A:$N,10,FALSE)-VLOOKUP(A187,'Audit Dimensions'!$A:$N,10,FALSE)</f>
        <v>0</v>
      </c>
      <c r="K187" s="105">
        <f>VLOOKUP(A187,'[2]Billing Dimensions'!$A:$N,11,FALSE)-VLOOKUP(A187,'Audit Dimensions'!$A:$N,11,FALSE)</f>
        <v>0</v>
      </c>
      <c r="L187" s="105">
        <f>VLOOKUP(A187,'[2]Billing Dimensions'!$A:$N,12,FALSE)-VLOOKUP(A187,'Audit Dimensions'!$A:$N,12,FALSE)</f>
        <v>0</v>
      </c>
      <c r="M187" s="105">
        <f>VLOOKUP(A187,'[2]Billing Dimensions'!$A:$N,13,FALSE)-VLOOKUP(A187,'Audit Dimensions'!$A:$N,13,FALSE)</f>
        <v>0</v>
      </c>
      <c r="N187" s="105">
        <f>VLOOKUP(A187,'[2]Billing Dimensions'!$A:$N,14,FALSE)-VLOOKUP(A187,'Audit Dimensions'!$A:$N,14,FALSE)</f>
        <v>0</v>
      </c>
      <c r="O187" s="104">
        <f>VLOOKUP(A187,'[2]Billing Dimensions'!A:Q,16,FALSE)-VLOOKUP('Audit VAR'!A187,'Audit Dimensions'!A:P,16,FALSE)</f>
        <v>-1300</v>
      </c>
      <c r="P187" s="103">
        <f>O187/1000</f>
        <v>-1.3</v>
      </c>
      <c r="Q187" s="102">
        <f>(((C187*D187*E187)+(G187*H187*I187)+(K187*L187*M187))/1000000)*35.32</f>
        <v>1.0596000000000001E-4</v>
      </c>
      <c r="R187" s="46">
        <f>P187/Q187</f>
        <v>-12268.780671951679</v>
      </c>
    </row>
    <row r="188" spans="1:18" ht="14.4" hidden="1" customHeight="1" x14ac:dyDescent="0.3">
      <c r="A188" s="122" t="s">
        <v>129</v>
      </c>
      <c r="B188" s="88" t="str">
        <f>VLOOKUP(A188,'[2]Billing Dimensions'!A:B,2,FALSE)</f>
        <v>SB</v>
      </c>
      <c r="C188" s="115">
        <f>VLOOKUP(A188,'[2]Billing Dimensions'!$A:$N,3,FALSE)-VLOOKUP(A188,'Audit Dimensions'!$A:$N,3,FALSE)</f>
        <v>-1</v>
      </c>
      <c r="D188" s="115">
        <f>VLOOKUP(A188,'[2]Billing Dimensions'!$A:$N,4,FALSE)-VLOOKUP(A188,'Audit Dimensions'!$A:$N,4,FALSE)</f>
        <v>-1</v>
      </c>
      <c r="E188" s="115">
        <f>VLOOKUP(A188,'[2]Billing Dimensions'!$A:$N,5,FALSE)-VLOOKUP(A188,'Audit Dimensions'!$A:$N,5,FALSE)</f>
        <v>0</v>
      </c>
      <c r="F188" s="114">
        <f>VLOOKUP(A188,'[2]Billing Dimensions'!$A:$N,6,FALSE)-VLOOKUP(A188,'Audit Dimensions'!$A:$N,6,FALSE)</f>
        <v>-660</v>
      </c>
      <c r="G188" s="107">
        <f>VLOOKUP(A188,'[2]Billing Dimensions'!$A:$N,7,FALSE)-VLOOKUP(A188,'Audit Dimensions'!$A:$N,7,FALSE)</f>
        <v>0</v>
      </c>
      <c r="H188" s="107">
        <f>VLOOKUP(A188,'[2]Billing Dimensions'!$A:$N,8,FALSE)-VLOOKUP(A188,'Audit Dimensions'!$A:$N,8,FALSE)</f>
        <v>0</v>
      </c>
      <c r="I188" s="107">
        <f>VLOOKUP(A188,'[2]Billing Dimensions'!$A:$N,9,FALSE)-VLOOKUP(A188,'Audit Dimensions'!$A:$N,9,FALSE)</f>
        <v>0</v>
      </c>
      <c r="J188" s="106">
        <f>VLOOKUP(A188,'[2]Billing Dimensions'!$A:$N,10,FALSE)-VLOOKUP(A188,'Audit Dimensions'!$A:$N,10,FALSE)</f>
        <v>0</v>
      </c>
      <c r="K188" s="105">
        <f>VLOOKUP(A188,'[2]Billing Dimensions'!$A:$N,11,FALSE)-VLOOKUP(A188,'Audit Dimensions'!$A:$N,11,FALSE)</f>
        <v>0</v>
      </c>
      <c r="L188" s="105">
        <f>VLOOKUP(A188,'[2]Billing Dimensions'!$A:$N,12,FALSE)-VLOOKUP(A188,'Audit Dimensions'!$A:$N,12,FALSE)</f>
        <v>0</v>
      </c>
      <c r="M188" s="105">
        <f>VLOOKUP(A188,'[2]Billing Dimensions'!$A:$N,13,FALSE)-VLOOKUP(A188,'Audit Dimensions'!$A:$N,13,FALSE)</f>
        <v>0</v>
      </c>
      <c r="N188" s="105">
        <f>VLOOKUP(A188,'[2]Billing Dimensions'!$A:$N,14,FALSE)-VLOOKUP(A188,'Audit Dimensions'!$A:$N,14,FALSE)</f>
        <v>0</v>
      </c>
      <c r="O188" s="104">
        <f>VLOOKUP(A188,'[2]Billing Dimensions'!A:Q,16,FALSE)-VLOOKUP('Audit VAR'!A188,'Audit Dimensions'!A:P,16,FALSE)</f>
        <v>-660</v>
      </c>
      <c r="P188" s="103">
        <f>O188/1000</f>
        <v>-0.66</v>
      </c>
      <c r="Q188" s="102">
        <f>(((C188*D188*E188)+(G188*H188*I188)+(K188*L188*M188))/1000000)*35.32</f>
        <v>0</v>
      </c>
      <c r="R188" s="46" t="e">
        <f>P188/Q188</f>
        <v>#DIV/0!</v>
      </c>
    </row>
    <row r="189" spans="1:18" ht="14.4" hidden="1" customHeight="1" x14ac:dyDescent="0.3">
      <c r="A189" s="122" t="s">
        <v>128</v>
      </c>
      <c r="B189" s="88" t="str">
        <f>VLOOKUP(A189,'[2]Billing Dimensions'!A:B,2,FALSE)</f>
        <v>SB</v>
      </c>
      <c r="C189" s="115">
        <f>VLOOKUP(A189,'[2]Billing Dimensions'!$A:$N,3,FALSE)-VLOOKUP(A189,'Audit Dimensions'!$A:$N,3,FALSE)</f>
        <v>-2</v>
      </c>
      <c r="D189" s="115">
        <f>VLOOKUP(A189,'[2]Billing Dimensions'!$A:$N,4,FALSE)-VLOOKUP(A189,'Audit Dimensions'!$A:$N,4,FALSE)</f>
        <v>-1</v>
      </c>
      <c r="E189" s="115">
        <f>VLOOKUP(A189,'[2]Billing Dimensions'!$A:$N,5,FALSE)-VLOOKUP(A189,'Audit Dimensions'!$A:$N,5,FALSE)</f>
        <v>1</v>
      </c>
      <c r="F189" s="114">
        <f>VLOOKUP(A189,'[2]Billing Dimensions'!$A:$N,6,FALSE)-VLOOKUP(A189,'Audit Dimensions'!$A:$N,6,FALSE)</f>
        <v>-1250</v>
      </c>
      <c r="G189" s="107">
        <f>VLOOKUP(A189,'[2]Billing Dimensions'!$A:$N,7,FALSE)-VLOOKUP(A189,'Audit Dimensions'!$A:$N,7,FALSE)</f>
        <v>0</v>
      </c>
      <c r="H189" s="107">
        <f>VLOOKUP(A189,'[2]Billing Dimensions'!$A:$N,8,FALSE)-VLOOKUP(A189,'Audit Dimensions'!$A:$N,8,FALSE)</f>
        <v>0</v>
      </c>
      <c r="I189" s="107">
        <f>VLOOKUP(A189,'[2]Billing Dimensions'!$A:$N,9,FALSE)-VLOOKUP(A189,'Audit Dimensions'!$A:$N,9,FALSE)</f>
        <v>0</v>
      </c>
      <c r="J189" s="106">
        <f>VLOOKUP(A189,'[2]Billing Dimensions'!$A:$N,10,FALSE)-VLOOKUP(A189,'Audit Dimensions'!$A:$N,10,FALSE)</f>
        <v>0</v>
      </c>
      <c r="K189" s="105">
        <f>VLOOKUP(A189,'[2]Billing Dimensions'!$A:$N,11,FALSE)-VLOOKUP(A189,'Audit Dimensions'!$A:$N,11,FALSE)</f>
        <v>0</v>
      </c>
      <c r="L189" s="105">
        <f>VLOOKUP(A189,'[2]Billing Dimensions'!$A:$N,12,FALSE)-VLOOKUP(A189,'Audit Dimensions'!$A:$N,12,FALSE)</f>
        <v>0</v>
      </c>
      <c r="M189" s="105">
        <f>VLOOKUP(A189,'[2]Billing Dimensions'!$A:$N,13,FALSE)-VLOOKUP(A189,'Audit Dimensions'!$A:$N,13,FALSE)</f>
        <v>0</v>
      </c>
      <c r="N189" s="105">
        <f>VLOOKUP(A189,'[2]Billing Dimensions'!$A:$N,14,FALSE)-VLOOKUP(A189,'Audit Dimensions'!$A:$N,14,FALSE)</f>
        <v>0</v>
      </c>
      <c r="O189" s="104">
        <f>VLOOKUP(A189,'[2]Billing Dimensions'!A:Q,16,FALSE)-VLOOKUP('Audit VAR'!A189,'Audit Dimensions'!A:P,16,FALSE)</f>
        <v>-1250</v>
      </c>
      <c r="P189" s="103">
        <f>O189/1000</f>
        <v>-1.25</v>
      </c>
      <c r="Q189" s="102">
        <f>(((C189*D189*E189)+(G189*H189*I189)+(K189*L189*M189))/1000000)*35.32</f>
        <v>7.0640000000000001E-5</v>
      </c>
      <c r="R189" s="46">
        <f>P189/Q189</f>
        <v>-17695.356738391845</v>
      </c>
    </row>
    <row r="190" spans="1:18" ht="14.4" hidden="1" customHeight="1" x14ac:dyDescent="0.3">
      <c r="A190" s="122" t="s">
        <v>327</v>
      </c>
      <c r="B190" s="88" t="str">
        <f>VLOOKUP(A190,'[2]Billing Dimensions'!A:B,2,FALSE)</f>
        <v>SB</v>
      </c>
      <c r="C190" s="115" t="e">
        <f>VLOOKUP(A190,'[2]Billing Dimensions'!$A:$N,3,FALSE)-VLOOKUP(A190,'Audit Dimensions'!$A:$N,3,FALSE)</f>
        <v>#N/A</v>
      </c>
      <c r="D190" s="115" t="e">
        <f>VLOOKUP(A190,'[2]Billing Dimensions'!$A:$N,4,FALSE)-VLOOKUP(A190,'Audit Dimensions'!$A:$N,4,FALSE)</f>
        <v>#N/A</v>
      </c>
      <c r="E190" s="115" t="e">
        <f>VLOOKUP(A190,'[2]Billing Dimensions'!$A:$N,5,FALSE)-VLOOKUP(A190,'Audit Dimensions'!$A:$N,5,FALSE)</f>
        <v>#N/A</v>
      </c>
      <c r="F190" s="114" t="e">
        <f>VLOOKUP(A190,'[2]Billing Dimensions'!$A:$N,6,FALSE)-VLOOKUP(A190,'Audit Dimensions'!$A:$N,6,FALSE)</f>
        <v>#N/A</v>
      </c>
      <c r="G190" s="107" t="e">
        <f>VLOOKUP(A190,'[2]Billing Dimensions'!$A:$N,7,FALSE)-VLOOKUP(A190,'Audit Dimensions'!$A:$N,7,FALSE)</f>
        <v>#N/A</v>
      </c>
      <c r="H190" s="107" t="e">
        <f>VLOOKUP(A190,'[2]Billing Dimensions'!$A:$N,8,FALSE)-VLOOKUP(A190,'Audit Dimensions'!$A:$N,8,FALSE)</f>
        <v>#N/A</v>
      </c>
      <c r="I190" s="107" t="e">
        <f>VLOOKUP(A190,'[2]Billing Dimensions'!$A:$N,9,FALSE)-VLOOKUP(A190,'Audit Dimensions'!$A:$N,9,FALSE)</f>
        <v>#N/A</v>
      </c>
      <c r="J190" s="106" t="e">
        <f>VLOOKUP(A190,'[2]Billing Dimensions'!$A:$N,10,FALSE)-VLOOKUP(A190,'Audit Dimensions'!$A:$N,10,FALSE)</f>
        <v>#N/A</v>
      </c>
      <c r="K190" s="105" t="e">
        <f>VLOOKUP(A190,'[2]Billing Dimensions'!$A:$N,11,FALSE)-VLOOKUP(A190,'Audit Dimensions'!$A:$N,11,FALSE)</f>
        <v>#N/A</v>
      </c>
      <c r="L190" s="105" t="e">
        <f>VLOOKUP(A190,'[2]Billing Dimensions'!$A:$N,12,FALSE)-VLOOKUP(A190,'Audit Dimensions'!$A:$N,12,FALSE)</f>
        <v>#N/A</v>
      </c>
      <c r="M190" s="105" t="e">
        <f>VLOOKUP(A190,'[2]Billing Dimensions'!$A:$N,13,FALSE)-VLOOKUP(A190,'Audit Dimensions'!$A:$N,13,FALSE)</f>
        <v>#N/A</v>
      </c>
      <c r="N190" s="105" t="e">
        <f>VLOOKUP(A190,'[2]Billing Dimensions'!$A:$N,14,FALSE)-VLOOKUP(A190,'Audit Dimensions'!$A:$N,14,FALSE)</f>
        <v>#N/A</v>
      </c>
      <c r="O190" s="104" t="e">
        <f>VLOOKUP(A190,'[2]Billing Dimensions'!A:Q,16,FALSE)-VLOOKUP('Audit VAR'!A190,'Audit Dimensions'!A:P,16,FALSE)</f>
        <v>#N/A</v>
      </c>
      <c r="P190" s="103" t="e">
        <f>O190/1000</f>
        <v>#N/A</v>
      </c>
      <c r="Q190" s="102" t="e">
        <f>(((C190*D190*E190)+(G190*H190*I190)+(K190*L190*M190))/1000000)*35.32</f>
        <v>#N/A</v>
      </c>
      <c r="R190" s="46" t="e">
        <f>P190/Q190</f>
        <v>#N/A</v>
      </c>
    </row>
    <row r="191" spans="1:18" hidden="1" x14ac:dyDescent="0.3">
      <c r="A191" s="122" t="s">
        <v>127</v>
      </c>
      <c r="B191" s="88" t="str">
        <f>VLOOKUP(A191,'[2]Billing Dimensions'!A:B,2,FALSE)</f>
        <v>MB</v>
      </c>
      <c r="C191" s="115">
        <f>VLOOKUP(A191,'[2]Billing Dimensions'!$A:$N,3,FALSE)-VLOOKUP(A191,'Audit Dimensions'!$A:$N,3,FALSE)</f>
        <v>0</v>
      </c>
      <c r="D191" s="115">
        <f>VLOOKUP(A191,'[2]Billing Dimensions'!$A:$N,4,FALSE)-VLOOKUP(A191,'Audit Dimensions'!$A:$N,4,FALSE)</f>
        <v>0</v>
      </c>
      <c r="E191" s="115">
        <f>VLOOKUP(A191,'[2]Billing Dimensions'!$A:$N,5,FALSE)-VLOOKUP(A191,'Audit Dimensions'!$A:$N,5,FALSE)</f>
        <v>0</v>
      </c>
      <c r="F191" s="114">
        <f>VLOOKUP(A191,'[2]Billing Dimensions'!$A:$N,6,FALSE)-VLOOKUP(A191,'Audit Dimensions'!$A:$N,6,FALSE)</f>
        <v>-10550</v>
      </c>
      <c r="G191" s="107">
        <f>VLOOKUP(A191,'[2]Billing Dimensions'!$A:$N,7,FALSE)-VLOOKUP(A191,'Audit Dimensions'!$A:$N,7,FALSE)</f>
        <v>0</v>
      </c>
      <c r="H191" s="107">
        <f>VLOOKUP(A191,'[2]Billing Dimensions'!$A:$N,8,FALSE)-VLOOKUP(A191,'Audit Dimensions'!$A:$N,8,FALSE)</f>
        <v>1</v>
      </c>
      <c r="I191" s="107">
        <f>VLOOKUP(A191,'[2]Billing Dimensions'!$A:$N,9,FALSE)-VLOOKUP(A191,'Audit Dimensions'!$A:$N,9,FALSE)</f>
        <v>-1</v>
      </c>
      <c r="J191" s="106">
        <f>VLOOKUP(A191,'[2]Billing Dimensions'!$A:$N,10,FALSE)-VLOOKUP(A191,'Audit Dimensions'!$A:$N,10,FALSE)</f>
        <v>-300</v>
      </c>
      <c r="K191" s="105">
        <f>VLOOKUP(A191,'[2]Billing Dimensions'!$A:$N,11,FALSE)-VLOOKUP(A191,'Audit Dimensions'!$A:$N,11,FALSE)</f>
        <v>0</v>
      </c>
      <c r="L191" s="105">
        <f>VLOOKUP(A191,'[2]Billing Dimensions'!$A:$N,12,FALSE)-VLOOKUP(A191,'Audit Dimensions'!$A:$N,12,FALSE)</f>
        <v>0</v>
      </c>
      <c r="M191" s="105">
        <f>VLOOKUP(A191,'[2]Billing Dimensions'!$A:$N,13,FALSE)-VLOOKUP(A191,'Audit Dimensions'!$A:$N,13,FALSE)</f>
        <v>0</v>
      </c>
      <c r="N191" s="105">
        <f>VLOOKUP(A191,'[2]Billing Dimensions'!$A:$N,14,FALSE)-VLOOKUP(A191,'Audit Dimensions'!$A:$N,14,FALSE)</f>
        <v>0</v>
      </c>
      <c r="O191" s="104">
        <f>VLOOKUP(A191,'[2]Billing Dimensions'!A:Q,16,FALSE)-VLOOKUP('Audit VAR'!A191,'Audit Dimensions'!A:P,16,FALSE)</f>
        <v>-10850</v>
      </c>
      <c r="P191" s="103">
        <f>O191/1000</f>
        <v>-10.85</v>
      </c>
      <c r="Q191" s="102">
        <f>(((C191*D191*E191)+(G191*H191*I191)+(K191*L191*M191))/1000000)*35.32</f>
        <v>0</v>
      </c>
      <c r="R191" s="46" t="e">
        <f>P191/Q191</f>
        <v>#DIV/0!</v>
      </c>
    </row>
    <row r="192" spans="1:18" ht="14.4" hidden="1" customHeight="1" x14ac:dyDescent="0.3">
      <c r="A192" s="122" t="s">
        <v>126</v>
      </c>
      <c r="B192" s="88" t="str">
        <f>VLOOKUP(A192,'[2]Billing Dimensions'!A:B,2,FALSE)</f>
        <v>SB</v>
      </c>
      <c r="C192" s="115">
        <f>VLOOKUP(A192,'[2]Billing Dimensions'!$A:$N,3,FALSE)-VLOOKUP(A192,'Audit Dimensions'!$A:$N,3,FALSE)</f>
        <v>4</v>
      </c>
      <c r="D192" s="115">
        <f>VLOOKUP(A192,'[2]Billing Dimensions'!$A:$N,4,FALSE)-VLOOKUP(A192,'Audit Dimensions'!$A:$N,4,FALSE)</f>
        <v>0</v>
      </c>
      <c r="E192" s="115">
        <f>VLOOKUP(A192,'[2]Billing Dimensions'!$A:$N,5,FALSE)-VLOOKUP(A192,'Audit Dimensions'!$A:$N,5,FALSE)</f>
        <v>0</v>
      </c>
      <c r="F192" s="114">
        <f>VLOOKUP(A192,'[2]Billing Dimensions'!$A:$N,6,FALSE)-VLOOKUP(A192,'Audit Dimensions'!$A:$N,6,FALSE)</f>
        <v>-900</v>
      </c>
      <c r="G192" s="107">
        <f>VLOOKUP(A192,'[2]Billing Dimensions'!$A:$N,7,FALSE)-VLOOKUP(A192,'Audit Dimensions'!$A:$N,7,FALSE)</f>
        <v>0</v>
      </c>
      <c r="H192" s="107">
        <f>VLOOKUP(A192,'[2]Billing Dimensions'!$A:$N,8,FALSE)-VLOOKUP(A192,'Audit Dimensions'!$A:$N,8,FALSE)</f>
        <v>0</v>
      </c>
      <c r="I192" s="107">
        <f>VLOOKUP(A192,'[2]Billing Dimensions'!$A:$N,9,FALSE)-VLOOKUP(A192,'Audit Dimensions'!$A:$N,9,FALSE)</f>
        <v>0</v>
      </c>
      <c r="J192" s="106">
        <f>VLOOKUP(A192,'[2]Billing Dimensions'!$A:$N,10,FALSE)-VLOOKUP(A192,'Audit Dimensions'!$A:$N,10,FALSE)</f>
        <v>0</v>
      </c>
      <c r="K192" s="105">
        <f>VLOOKUP(A192,'[2]Billing Dimensions'!$A:$N,11,FALSE)-VLOOKUP(A192,'Audit Dimensions'!$A:$N,11,FALSE)</f>
        <v>0</v>
      </c>
      <c r="L192" s="105">
        <f>VLOOKUP(A192,'[2]Billing Dimensions'!$A:$N,12,FALSE)-VLOOKUP(A192,'Audit Dimensions'!$A:$N,12,FALSE)</f>
        <v>0</v>
      </c>
      <c r="M192" s="105">
        <f>VLOOKUP(A192,'[2]Billing Dimensions'!$A:$N,13,FALSE)-VLOOKUP(A192,'Audit Dimensions'!$A:$N,13,FALSE)</f>
        <v>0</v>
      </c>
      <c r="N192" s="105">
        <f>VLOOKUP(A192,'[2]Billing Dimensions'!$A:$N,14,FALSE)-VLOOKUP(A192,'Audit Dimensions'!$A:$N,14,FALSE)</f>
        <v>0</v>
      </c>
      <c r="O192" s="104">
        <f>VLOOKUP(A192,'[2]Billing Dimensions'!A:Q,16,FALSE)-VLOOKUP('Audit VAR'!A192,'Audit Dimensions'!A:P,16,FALSE)</f>
        <v>-900</v>
      </c>
      <c r="P192" s="103">
        <f>O192/1000</f>
        <v>-0.9</v>
      </c>
      <c r="Q192" s="102">
        <f>(((C192*D192*E192)+(G192*H192*I192)+(K192*L192*M192))/1000000)*35.32</f>
        <v>0</v>
      </c>
      <c r="R192" s="46" t="e">
        <f>P192/Q192</f>
        <v>#DIV/0!</v>
      </c>
    </row>
    <row r="193" spans="1:18" ht="14.4" hidden="1" customHeight="1" x14ac:dyDescent="0.3">
      <c r="A193" s="122" t="s">
        <v>125</v>
      </c>
      <c r="B193" s="88" t="str">
        <f>VLOOKUP(A193,'[2]Billing Dimensions'!A:B,2,FALSE)</f>
        <v>SB</v>
      </c>
      <c r="C193" s="115">
        <f>VLOOKUP(A193,'[2]Billing Dimensions'!$A:$N,3,FALSE)-VLOOKUP(A193,'Audit Dimensions'!$A:$N,3,FALSE)</f>
        <v>9</v>
      </c>
      <c r="D193" s="115">
        <f>VLOOKUP(A193,'[2]Billing Dimensions'!$A:$N,4,FALSE)-VLOOKUP(A193,'Audit Dimensions'!$A:$N,4,FALSE)</f>
        <v>3</v>
      </c>
      <c r="E193" s="115">
        <f>VLOOKUP(A193,'[2]Billing Dimensions'!$A:$N,5,FALSE)-VLOOKUP(A193,'Audit Dimensions'!$A:$N,5,FALSE)</f>
        <v>-2</v>
      </c>
      <c r="F193" s="114">
        <f>VLOOKUP(A193,'[2]Billing Dimensions'!$A:$N,6,FALSE)-VLOOKUP(A193,'Audit Dimensions'!$A:$N,6,FALSE)</f>
        <v>260</v>
      </c>
      <c r="G193" s="107">
        <f>VLOOKUP(A193,'[2]Billing Dimensions'!$A:$N,7,FALSE)-VLOOKUP(A193,'Audit Dimensions'!$A:$N,7,FALSE)</f>
        <v>0</v>
      </c>
      <c r="H193" s="107">
        <f>VLOOKUP(A193,'[2]Billing Dimensions'!$A:$N,8,FALSE)-VLOOKUP(A193,'Audit Dimensions'!$A:$N,8,FALSE)</f>
        <v>0</v>
      </c>
      <c r="I193" s="107">
        <f>VLOOKUP(A193,'[2]Billing Dimensions'!$A:$N,9,FALSE)-VLOOKUP(A193,'Audit Dimensions'!$A:$N,9,FALSE)</f>
        <v>0</v>
      </c>
      <c r="J193" s="106">
        <f>VLOOKUP(A193,'[2]Billing Dimensions'!$A:$N,10,FALSE)-VLOOKUP(A193,'Audit Dimensions'!$A:$N,10,FALSE)</f>
        <v>0</v>
      </c>
      <c r="K193" s="105">
        <f>VLOOKUP(A193,'[2]Billing Dimensions'!$A:$N,11,FALSE)-VLOOKUP(A193,'Audit Dimensions'!$A:$N,11,FALSE)</f>
        <v>0</v>
      </c>
      <c r="L193" s="105">
        <f>VLOOKUP(A193,'[2]Billing Dimensions'!$A:$N,12,FALSE)-VLOOKUP(A193,'Audit Dimensions'!$A:$N,12,FALSE)</f>
        <v>0</v>
      </c>
      <c r="M193" s="105">
        <f>VLOOKUP(A193,'[2]Billing Dimensions'!$A:$N,13,FALSE)-VLOOKUP(A193,'Audit Dimensions'!$A:$N,13,FALSE)</f>
        <v>0</v>
      </c>
      <c r="N193" s="105">
        <f>VLOOKUP(A193,'[2]Billing Dimensions'!$A:$N,14,FALSE)-VLOOKUP(A193,'Audit Dimensions'!$A:$N,14,FALSE)</f>
        <v>0</v>
      </c>
      <c r="O193" s="104">
        <f>VLOOKUP(A193,'[2]Billing Dimensions'!A:Q,16,FALSE)-VLOOKUP('Audit VAR'!A193,'Audit Dimensions'!A:P,16,FALSE)</f>
        <v>260</v>
      </c>
      <c r="P193" s="103">
        <f>O193/1000</f>
        <v>0.26</v>
      </c>
      <c r="Q193" s="102">
        <f>(((C193*D193*E193)+(G193*H193*I193)+(K193*L193*M193))/1000000)*35.32</f>
        <v>-1.9072799999999999E-3</v>
      </c>
      <c r="R193" s="46">
        <f>P193/Q193</f>
        <v>-136.31978524390757</v>
      </c>
    </row>
    <row r="194" spans="1:18" ht="14.4" hidden="1" customHeight="1" x14ac:dyDescent="0.3">
      <c r="A194" s="122" t="s">
        <v>124</v>
      </c>
      <c r="B194" s="88" t="str">
        <f>VLOOKUP(A194,'[2]Billing Dimensions'!A:B,2,FALSE)</f>
        <v>SB</v>
      </c>
      <c r="C194" s="115">
        <f>VLOOKUP(A194,'[2]Billing Dimensions'!$A:$N,3,FALSE)-VLOOKUP(A194,'Audit Dimensions'!$A:$N,3,FALSE)</f>
        <v>-1</v>
      </c>
      <c r="D194" s="115">
        <f>VLOOKUP(A194,'[2]Billing Dimensions'!$A:$N,4,FALSE)-VLOOKUP(A194,'Audit Dimensions'!$A:$N,4,FALSE)</f>
        <v>0</v>
      </c>
      <c r="E194" s="115">
        <f>VLOOKUP(A194,'[2]Billing Dimensions'!$A:$N,5,FALSE)-VLOOKUP(A194,'Audit Dimensions'!$A:$N,5,FALSE)</f>
        <v>0</v>
      </c>
      <c r="F194" s="114">
        <f>VLOOKUP(A194,'[2]Billing Dimensions'!$A:$N,6,FALSE)-VLOOKUP(A194,'Audit Dimensions'!$A:$N,6,FALSE)</f>
        <v>-2155</v>
      </c>
      <c r="G194" s="107">
        <f>VLOOKUP(A194,'[2]Billing Dimensions'!$A:$N,7,FALSE)-VLOOKUP(A194,'Audit Dimensions'!$A:$N,7,FALSE)</f>
        <v>0</v>
      </c>
      <c r="H194" s="107">
        <f>VLOOKUP(A194,'[2]Billing Dimensions'!$A:$N,8,FALSE)-VLOOKUP(A194,'Audit Dimensions'!$A:$N,8,FALSE)</f>
        <v>0</v>
      </c>
      <c r="I194" s="107">
        <f>VLOOKUP(A194,'[2]Billing Dimensions'!$A:$N,9,FALSE)-VLOOKUP(A194,'Audit Dimensions'!$A:$N,9,FALSE)</f>
        <v>0</v>
      </c>
      <c r="J194" s="106">
        <f>VLOOKUP(A194,'[2]Billing Dimensions'!$A:$N,10,FALSE)-VLOOKUP(A194,'Audit Dimensions'!$A:$N,10,FALSE)</f>
        <v>0</v>
      </c>
      <c r="K194" s="105">
        <f>VLOOKUP(A194,'[2]Billing Dimensions'!$A:$N,11,FALSE)-VLOOKUP(A194,'Audit Dimensions'!$A:$N,11,FALSE)</f>
        <v>0</v>
      </c>
      <c r="L194" s="105">
        <f>VLOOKUP(A194,'[2]Billing Dimensions'!$A:$N,12,FALSE)-VLOOKUP(A194,'Audit Dimensions'!$A:$N,12,FALSE)</f>
        <v>0</v>
      </c>
      <c r="M194" s="105">
        <f>VLOOKUP(A194,'[2]Billing Dimensions'!$A:$N,13,FALSE)-VLOOKUP(A194,'Audit Dimensions'!$A:$N,13,FALSE)</f>
        <v>0</v>
      </c>
      <c r="N194" s="105">
        <f>VLOOKUP(A194,'[2]Billing Dimensions'!$A:$N,14,FALSE)-VLOOKUP(A194,'Audit Dimensions'!$A:$N,14,FALSE)</f>
        <v>0</v>
      </c>
      <c r="O194" s="104">
        <f>VLOOKUP(A194,'[2]Billing Dimensions'!A:Q,16,FALSE)-VLOOKUP('Audit VAR'!A194,'Audit Dimensions'!A:P,16,FALSE)</f>
        <v>-2155</v>
      </c>
      <c r="P194" s="103">
        <f>O194/1000</f>
        <v>-2.1549999999999998</v>
      </c>
      <c r="Q194" s="102">
        <f>(((C194*D194*E194)+(G194*H194*I194)+(K194*L194*M194))/1000000)*35.32</f>
        <v>0</v>
      </c>
      <c r="R194" s="46" t="e">
        <f>P194/Q194</f>
        <v>#DIV/0!</v>
      </c>
    </row>
    <row r="195" spans="1:18" ht="14.4" hidden="1" customHeight="1" x14ac:dyDescent="0.3">
      <c r="A195" s="124" t="s">
        <v>123</v>
      </c>
      <c r="B195" s="88" t="str">
        <f>VLOOKUP(A195,'[2]Billing Dimensions'!A:B,2,FALSE)</f>
        <v>SB</v>
      </c>
      <c r="C195" s="115">
        <f>VLOOKUP(A195,'[2]Billing Dimensions'!$A:$N,3,FALSE)-VLOOKUP(A195,'Audit Dimensions'!$A:$N,3,FALSE)</f>
        <v>0</v>
      </c>
      <c r="D195" s="115">
        <f>VLOOKUP(A195,'[2]Billing Dimensions'!$A:$N,4,FALSE)-VLOOKUP(A195,'Audit Dimensions'!$A:$N,4,FALSE)</f>
        <v>0</v>
      </c>
      <c r="E195" s="115">
        <f>VLOOKUP(A195,'[2]Billing Dimensions'!$A:$N,5,FALSE)-VLOOKUP(A195,'Audit Dimensions'!$A:$N,5,FALSE)</f>
        <v>0</v>
      </c>
      <c r="F195" s="114">
        <f>VLOOKUP(A195,'[2]Billing Dimensions'!$A:$N,6,FALSE)-VLOOKUP(A195,'Audit Dimensions'!$A:$N,6,FALSE)</f>
        <v>-2570</v>
      </c>
      <c r="G195" s="107">
        <f>VLOOKUP(A195,'[2]Billing Dimensions'!$A:$N,7,FALSE)-VLOOKUP(A195,'Audit Dimensions'!$A:$N,7,FALSE)</f>
        <v>0</v>
      </c>
      <c r="H195" s="107">
        <f>VLOOKUP(A195,'[2]Billing Dimensions'!$A:$N,8,FALSE)-VLOOKUP(A195,'Audit Dimensions'!$A:$N,8,FALSE)</f>
        <v>0</v>
      </c>
      <c r="I195" s="107">
        <f>VLOOKUP(A195,'[2]Billing Dimensions'!$A:$N,9,FALSE)-VLOOKUP(A195,'Audit Dimensions'!$A:$N,9,FALSE)</f>
        <v>0</v>
      </c>
      <c r="J195" s="106">
        <f>VLOOKUP(A195,'[2]Billing Dimensions'!$A:$N,10,FALSE)-VLOOKUP(A195,'Audit Dimensions'!$A:$N,10,FALSE)</f>
        <v>0</v>
      </c>
      <c r="K195" s="105">
        <f>VLOOKUP(A195,'[2]Billing Dimensions'!$A:$N,11,FALSE)-VLOOKUP(A195,'Audit Dimensions'!$A:$N,11,FALSE)</f>
        <v>0</v>
      </c>
      <c r="L195" s="105">
        <f>VLOOKUP(A195,'[2]Billing Dimensions'!$A:$N,12,FALSE)-VLOOKUP(A195,'Audit Dimensions'!$A:$N,12,FALSE)</f>
        <v>0</v>
      </c>
      <c r="M195" s="105">
        <f>VLOOKUP(A195,'[2]Billing Dimensions'!$A:$N,13,FALSE)-VLOOKUP(A195,'Audit Dimensions'!$A:$N,13,FALSE)</f>
        <v>0</v>
      </c>
      <c r="N195" s="105">
        <f>VLOOKUP(A195,'[2]Billing Dimensions'!$A:$N,14,FALSE)-VLOOKUP(A195,'Audit Dimensions'!$A:$N,14,FALSE)</f>
        <v>0</v>
      </c>
      <c r="O195" s="104">
        <f>VLOOKUP(A195,'[2]Billing Dimensions'!A:Q,16,FALSE)-VLOOKUP('Audit VAR'!A195,'Audit Dimensions'!A:P,16,FALSE)</f>
        <v>-2570</v>
      </c>
      <c r="P195" s="103">
        <f>O195/1000</f>
        <v>-2.57</v>
      </c>
      <c r="Q195" s="102">
        <f>(((C195*D195*E195)+(G195*H195*I195)+(K195*L195*M195))/1000000)*35.32</f>
        <v>0</v>
      </c>
      <c r="R195" s="46" t="e">
        <f>P195/Q195</f>
        <v>#DIV/0!</v>
      </c>
    </row>
    <row r="196" spans="1:18" ht="14.4" hidden="1" customHeight="1" x14ac:dyDescent="0.3">
      <c r="A196" s="125" t="s">
        <v>122</v>
      </c>
      <c r="B196" s="88" t="str">
        <f>VLOOKUP(A196,'[2]Billing Dimensions'!A:B,2,FALSE)</f>
        <v>SB</v>
      </c>
      <c r="C196" s="115">
        <f>VLOOKUP(A196,'[2]Billing Dimensions'!$A:$N,3,FALSE)-VLOOKUP(A196,'Audit Dimensions'!$A:$N,3,FALSE)</f>
        <v>4</v>
      </c>
      <c r="D196" s="115">
        <f>VLOOKUP(A196,'[2]Billing Dimensions'!$A:$N,4,FALSE)-VLOOKUP(A196,'Audit Dimensions'!$A:$N,4,FALSE)</f>
        <v>1</v>
      </c>
      <c r="E196" s="115">
        <f>VLOOKUP(A196,'[2]Billing Dimensions'!$A:$N,5,FALSE)-VLOOKUP(A196,'Audit Dimensions'!$A:$N,5,FALSE)</f>
        <v>1</v>
      </c>
      <c r="F196" s="114">
        <f>VLOOKUP(A196,'[2]Billing Dimensions'!$A:$N,6,FALSE)-VLOOKUP(A196,'Audit Dimensions'!$A:$N,6,FALSE)</f>
        <v>-350</v>
      </c>
      <c r="G196" s="107">
        <f>VLOOKUP(A196,'[2]Billing Dimensions'!$A:$N,7,FALSE)-VLOOKUP(A196,'Audit Dimensions'!$A:$N,7,FALSE)</f>
        <v>0</v>
      </c>
      <c r="H196" s="107">
        <f>VLOOKUP(A196,'[2]Billing Dimensions'!$A:$N,8,FALSE)-VLOOKUP(A196,'Audit Dimensions'!$A:$N,8,FALSE)</f>
        <v>0</v>
      </c>
      <c r="I196" s="107">
        <f>VLOOKUP(A196,'[2]Billing Dimensions'!$A:$N,9,FALSE)-VLOOKUP(A196,'Audit Dimensions'!$A:$N,9,FALSE)</f>
        <v>0</v>
      </c>
      <c r="J196" s="106">
        <f>VLOOKUP(A196,'[2]Billing Dimensions'!$A:$N,10,FALSE)-VLOOKUP(A196,'Audit Dimensions'!$A:$N,10,FALSE)</f>
        <v>0</v>
      </c>
      <c r="K196" s="105">
        <f>VLOOKUP(A196,'[2]Billing Dimensions'!$A:$N,11,FALSE)-VLOOKUP(A196,'Audit Dimensions'!$A:$N,11,FALSE)</f>
        <v>0</v>
      </c>
      <c r="L196" s="105">
        <f>VLOOKUP(A196,'[2]Billing Dimensions'!$A:$N,12,FALSE)-VLOOKUP(A196,'Audit Dimensions'!$A:$N,12,FALSE)</f>
        <v>0</v>
      </c>
      <c r="M196" s="105">
        <f>VLOOKUP(A196,'[2]Billing Dimensions'!$A:$N,13,FALSE)-VLOOKUP(A196,'Audit Dimensions'!$A:$N,13,FALSE)</f>
        <v>0</v>
      </c>
      <c r="N196" s="105">
        <f>VLOOKUP(A196,'[2]Billing Dimensions'!$A:$N,14,FALSE)-VLOOKUP(A196,'Audit Dimensions'!$A:$N,14,FALSE)</f>
        <v>0</v>
      </c>
      <c r="O196" s="104">
        <f>VLOOKUP(A196,'[2]Billing Dimensions'!A:Q,16,FALSE)-VLOOKUP('Audit VAR'!A196,'Audit Dimensions'!A:P,16,FALSE)</f>
        <v>-350</v>
      </c>
      <c r="P196" s="103">
        <f>O196/1000</f>
        <v>-0.35</v>
      </c>
      <c r="Q196" s="102">
        <f>(((C196*D196*E196)+(G196*H196*I196)+(K196*L196*M196))/1000000)*35.32</f>
        <v>1.4128E-4</v>
      </c>
      <c r="R196" s="46">
        <f>P196/Q196</f>
        <v>-2477.3499433748584</v>
      </c>
    </row>
    <row r="197" spans="1:18" ht="14.4" hidden="1" customHeight="1" x14ac:dyDescent="0.3">
      <c r="A197" s="122" t="s">
        <v>121</v>
      </c>
      <c r="B197" s="88" t="str">
        <f>VLOOKUP(A197,'[2]Billing Dimensions'!A:B,2,FALSE)</f>
        <v>SB</v>
      </c>
      <c r="C197" s="115">
        <f>VLOOKUP(A197,'[2]Billing Dimensions'!$A:$N,3,FALSE)-VLOOKUP(A197,'Audit Dimensions'!$A:$N,3,FALSE)</f>
        <v>1</v>
      </c>
      <c r="D197" s="115">
        <f>VLOOKUP(A197,'[2]Billing Dimensions'!$A:$N,4,FALSE)-VLOOKUP(A197,'Audit Dimensions'!$A:$N,4,FALSE)</f>
        <v>1</v>
      </c>
      <c r="E197" s="115">
        <f>VLOOKUP(A197,'[2]Billing Dimensions'!$A:$N,5,FALSE)-VLOOKUP(A197,'Audit Dimensions'!$A:$N,5,FALSE)</f>
        <v>0</v>
      </c>
      <c r="F197" s="114">
        <f>VLOOKUP(A197,'[2]Billing Dimensions'!$A:$N,6,FALSE)-VLOOKUP(A197,'Audit Dimensions'!$A:$N,6,FALSE)</f>
        <v>-50</v>
      </c>
      <c r="G197" s="107">
        <f>VLOOKUP(A197,'[2]Billing Dimensions'!$A:$N,7,FALSE)-VLOOKUP(A197,'Audit Dimensions'!$A:$N,7,FALSE)</f>
        <v>0</v>
      </c>
      <c r="H197" s="107">
        <f>VLOOKUP(A197,'[2]Billing Dimensions'!$A:$N,8,FALSE)-VLOOKUP(A197,'Audit Dimensions'!$A:$N,8,FALSE)</f>
        <v>0</v>
      </c>
      <c r="I197" s="107">
        <f>VLOOKUP(A197,'[2]Billing Dimensions'!$A:$N,9,FALSE)-VLOOKUP(A197,'Audit Dimensions'!$A:$N,9,FALSE)</f>
        <v>0</v>
      </c>
      <c r="J197" s="106">
        <f>VLOOKUP(A197,'[2]Billing Dimensions'!$A:$N,10,FALSE)-VLOOKUP(A197,'Audit Dimensions'!$A:$N,10,FALSE)</f>
        <v>0</v>
      </c>
      <c r="K197" s="105">
        <f>VLOOKUP(A197,'[2]Billing Dimensions'!$A:$N,11,FALSE)-VLOOKUP(A197,'Audit Dimensions'!$A:$N,11,FALSE)</f>
        <v>0</v>
      </c>
      <c r="L197" s="105">
        <f>VLOOKUP(A197,'[2]Billing Dimensions'!$A:$N,12,FALSE)-VLOOKUP(A197,'Audit Dimensions'!$A:$N,12,FALSE)</f>
        <v>0</v>
      </c>
      <c r="M197" s="105">
        <f>VLOOKUP(A197,'[2]Billing Dimensions'!$A:$N,13,FALSE)-VLOOKUP(A197,'Audit Dimensions'!$A:$N,13,FALSE)</f>
        <v>0</v>
      </c>
      <c r="N197" s="105">
        <f>VLOOKUP(A197,'[2]Billing Dimensions'!$A:$N,14,FALSE)-VLOOKUP(A197,'Audit Dimensions'!$A:$N,14,FALSE)</f>
        <v>0</v>
      </c>
      <c r="O197" s="104">
        <f>VLOOKUP(A197,'[2]Billing Dimensions'!A:Q,16,FALSE)-VLOOKUP('Audit VAR'!A197,'Audit Dimensions'!A:P,16,FALSE)</f>
        <v>-50</v>
      </c>
      <c r="P197" s="103">
        <f>O197/1000</f>
        <v>-0.05</v>
      </c>
      <c r="Q197" s="102">
        <f>(((C197*D197*E197)+(G197*H197*I197)+(K197*L197*M197))/1000000)*35.32</f>
        <v>0</v>
      </c>
      <c r="R197" s="46" t="e">
        <f>P197/Q197</f>
        <v>#DIV/0!</v>
      </c>
    </row>
    <row r="198" spans="1:18" ht="14.4" hidden="1" customHeight="1" x14ac:dyDescent="0.3">
      <c r="A198" s="122" t="s">
        <v>120</v>
      </c>
      <c r="B198" s="88" t="str">
        <f>VLOOKUP(A198,'[2]Billing Dimensions'!A:B,2,FALSE)</f>
        <v>SB</v>
      </c>
      <c r="C198" s="115">
        <f>VLOOKUP(A198,'[2]Billing Dimensions'!$A:$N,3,FALSE)-VLOOKUP(A198,'Audit Dimensions'!$A:$N,3,FALSE)</f>
        <v>0</v>
      </c>
      <c r="D198" s="115">
        <f>VLOOKUP(A198,'[2]Billing Dimensions'!$A:$N,4,FALSE)-VLOOKUP(A198,'Audit Dimensions'!$A:$N,4,FALSE)</f>
        <v>0</v>
      </c>
      <c r="E198" s="115">
        <f>VLOOKUP(A198,'[2]Billing Dimensions'!$A:$N,5,FALSE)-VLOOKUP(A198,'Audit Dimensions'!$A:$N,5,FALSE)</f>
        <v>0</v>
      </c>
      <c r="F198" s="114">
        <f>VLOOKUP(A198,'[2]Billing Dimensions'!$A:$N,6,FALSE)-VLOOKUP(A198,'Audit Dimensions'!$A:$N,6,FALSE)</f>
        <v>0</v>
      </c>
      <c r="G198" s="107">
        <f>VLOOKUP(A198,'[2]Billing Dimensions'!$A:$N,7,FALSE)-VLOOKUP(A198,'Audit Dimensions'!$A:$N,7,FALSE)</f>
        <v>0</v>
      </c>
      <c r="H198" s="107">
        <f>VLOOKUP(A198,'[2]Billing Dimensions'!$A:$N,8,FALSE)-VLOOKUP(A198,'Audit Dimensions'!$A:$N,8,FALSE)</f>
        <v>0</v>
      </c>
      <c r="I198" s="107">
        <f>VLOOKUP(A198,'[2]Billing Dimensions'!$A:$N,9,FALSE)-VLOOKUP(A198,'Audit Dimensions'!$A:$N,9,FALSE)</f>
        <v>0</v>
      </c>
      <c r="J198" s="106">
        <f>VLOOKUP(A198,'[2]Billing Dimensions'!$A:$N,10,FALSE)-VLOOKUP(A198,'Audit Dimensions'!$A:$N,10,FALSE)</f>
        <v>0</v>
      </c>
      <c r="K198" s="105">
        <f>VLOOKUP(A198,'[2]Billing Dimensions'!$A:$N,11,FALSE)-VLOOKUP(A198,'Audit Dimensions'!$A:$N,11,FALSE)</f>
        <v>0</v>
      </c>
      <c r="L198" s="105">
        <f>VLOOKUP(A198,'[2]Billing Dimensions'!$A:$N,12,FALSE)-VLOOKUP(A198,'Audit Dimensions'!$A:$N,12,FALSE)</f>
        <v>0</v>
      </c>
      <c r="M198" s="105">
        <f>VLOOKUP(A198,'[2]Billing Dimensions'!$A:$N,13,FALSE)-VLOOKUP(A198,'Audit Dimensions'!$A:$N,13,FALSE)</f>
        <v>0</v>
      </c>
      <c r="N198" s="105">
        <f>VLOOKUP(A198,'[2]Billing Dimensions'!$A:$N,14,FALSE)-VLOOKUP(A198,'Audit Dimensions'!$A:$N,14,FALSE)</f>
        <v>0</v>
      </c>
      <c r="O198" s="104">
        <f>VLOOKUP(A198,'[2]Billing Dimensions'!A:Q,16,FALSE)-VLOOKUP('Audit VAR'!A198,'Audit Dimensions'!A:P,16,FALSE)</f>
        <v>0</v>
      </c>
      <c r="P198" s="103">
        <f>O198/1000</f>
        <v>0</v>
      </c>
      <c r="Q198" s="102">
        <f>(((C198*D198*E198)+(G198*H198*I198)+(K198*L198*M198))/1000000)*35.32</f>
        <v>0</v>
      </c>
      <c r="R198" s="46" t="e">
        <f>P198/Q198</f>
        <v>#DIV/0!</v>
      </c>
    </row>
    <row r="199" spans="1:18" ht="14.4" hidden="1" customHeight="1" x14ac:dyDescent="0.3">
      <c r="A199" s="122" t="s">
        <v>119</v>
      </c>
      <c r="B199" s="88" t="str">
        <f>VLOOKUP(A199,'[2]Billing Dimensions'!A:B,2,FALSE)</f>
        <v>SB</v>
      </c>
      <c r="C199" s="115">
        <f>VLOOKUP(A199,'[2]Billing Dimensions'!$A:$N,3,FALSE)-VLOOKUP(A199,'Audit Dimensions'!$A:$N,3,FALSE)</f>
        <v>0</v>
      </c>
      <c r="D199" s="115">
        <f>VLOOKUP(A199,'[2]Billing Dimensions'!$A:$N,4,FALSE)-VLOOKUP(A199,'Audit Dimensions'!$A:$N,4,FALSE)</f>
        <v>0</v>
      </c>
      <c r="E199" s="115">
        <f>VLOOKUP(A199,'[2]Billing Dimensions'!$A:$N,5,FALSE)-VLOOKUP(A199,'Audit Dimensions'!$A:$N,5,FALSE)</f>
        <v>0</v>
      </c>
      <c r="F199" s="114">
        <f>VLOOKUP(A199,'[2]Billing Dimensions'!$A:$N,6,FALSE)-VLOOKUP(A199,'Audit Dimensions'!$A:$N,6,FALSE)</f>
        <v>0</v>
      </c>
      <c r="G199" s="107">
        <f>VLOOKUP(A199,'[2]Billing Dimensions'!$A:$N,7,FALSE)-VLOOKUP(A199,'Audit Dimensions'!$A:$N,7,FALSE)</f>
        <v>0</v>
      </c>
      <c r="H199" s="107">
        <f>VLOOKUP(A199,'[2]Billing Dimensions'!$A:$N,8,FALSE)-VLOOKUP(A199,'Audit Dimensions'!$A:$N,8,FALSE)</f>
        <v>0</v>
      </c>
      <c r="I199" s="107">
        <f>VLOOKUP(A199,'[2]Billing Dimensions'!$A:$N,9,FALSE)-VLOOKUP(A199,'Audit Dimensions'!$A:$N,9,FALSE)</f>
        <v>0</v>
      </c>
      <c r="J199" s="106">
        <f>VLOOKUP(A199,'[2]Billing Dimensions'!$A:$N,10,FALSE)-VLOOKUP(A199,'Audit Dimensions'!$A:$N,10,FALSE)</f>
        <v>0</v>
      </c>
      <c r="K199" s="105">
        <f>VLOOKUP(A199,'[2]Billing Dimensions'!$A:$N,11,FALSE)-VLOOKUP(A199,'Audit Dimensions'!$A:$N,11,FALSE)</f>
        <v>0</v>
      </c>
      <c r="L199" s="105">
        <f>VLOOKUP(A199,'[2]Billing Dimensions'!$A:$N,12,FALSE)-VLOOKUP(A199,'Audit Dimensions'!$A:$N,12,FALSE)</f>
        <v>0</v>
      </c>
      <c r="M199" s="105">
        <f>VLOOKUP(A199,'[2]Billing Dimensions'!$A:$N,13,FALSE)-VLOOKUP(A199,'Audit Dimensions'!$A:$N,13,FALSE)</f>
        <v>0</v>
      </c>
      <c r="N199" s="105">
        <f>VLOOKUP(A199,'[2]Billing Dimensions'!$A:$N,14,FALSE)-VLOOKUP(A199,'Audit Dimensions'!$A:$N,14,FALSE)</f>
        <v>0</v>
      </c>
      <c r="O199" s="104">
        <f>VLOOKUP(A199,'[2]Billing Dimensions'!A:Q,16,FALSE)-VLOOKUP('Audit VAR'!A199,'Audit Dimensions'!A:P,16,FALSE)</f>
        <v>0</v>
      </c>
      <c r="P199" s="103">
        <f>O199/1000</f>
        <v>0</v>
      </c>
      <c r="Q199" s="102">
        <f>(((C199*D199*E199)+(G199*H199*I199)+(K199*L199*M199))/1000000)*35.32</f>
        <v>0</v>
      </c>
      <c r="R199" s="46" t="e">
        <f>P199/Q199</f>
        <v>#DIV/0!</v>
      </c>
    </row>
    <row r="200" spans="1:18" ht="14.4" hidden="1" customHeight="1" x14ac:dyDescent="0.3">
      <c r="A200" s="122" t="s">
        <v>118</v>
      </c>
      <c r="B200" s="88" t="str">
        <f>VLOOKUP(A200,'[2]Billing Dimensions'!A:B,2,FALSE)</f>
        <v>SB</v>
      </c>
      <c r="C200" s="115">
        <f>VLOOKUP(A200,'[2]Billing Dimensions'!$A:$N,3,FALSE)-VLOOKUP(A200,'Audit Dimensions'!$A:$N,3,FALSE)</f>
        <v>0</v>
      </c>
      <c r="D200" s="115">
        <f>VLOOKUP(A200,'[2]Billing Dimensions'!$A:$N,4,FALSE)-VLOOKUP(A200,'Audit Dimensions'!$A:$N,4,FALSE)</f>
        <v>0</v>
      </c>
      <c r="E200" s="115">
        <f>VLOOKUP(A200,'[2]Billing Dimensions'!$A:$N,5,FALSE)-VLOOKUP(A200,'Audit Dimensions'!$A:$N,5,FALSE)</f>
        <v>0</v>
      </c>
      <c r="F200" s="114">
        <f>VLOOKUP(A200,'[2]Billing Dimensions'!$A:$N,6,FALSE)-VLOOKUP(A200,'Audit Dimensions'!$A:$N,6,FALSE)</f>
        <v>0</v>
      </c>
      <c r="G200" s="107">
        <f>VLOOKUP(A200,'[2]Billing Dimensions'!$A:$N,7,FALSE)-VLOOKUP(A200,'Audit Dimensions'!$A:$N,7,FALSE)</f>
        <v>0</v>
      </c>
      <c r="H200" s="107">
        <f>VLOOKUP(A200,'[2]Billing Dimensions'!$A:$N,8,FALSE)-VLOOKUP(A200,'Audit Dimensions'!$A:$N,8,FALSE)</f>
        <v>0</v>
      </c>
      <c r="I200" s="107">
        <f>VLOOKUP(A200,'[2]Billing Dimensions'!$A:$N,9,FALSE)-VLOOKUP(A200,'Audit Dimensions'!$A:$N,9,FALSE)</f>
        <v>0</v>
      </c>
      <c r="J200" s="106">
        <f>VLOOKUP(A200,'[2]Billing Dimensions'!$A:$N,10,FALSE)-VLOOKUP(A200,'Audit Dimensions'!$A:$N,10,FALSE)</f>
        <v>0</v>
      </c>
      <c r="K200" s="105">
        <f>VLOOKUP(A200,'[2]Billing Dimensions'!$A:$N,11,FALSE)-VLOOKUP(A200,'Audit Dimensions'!$A:$N,11,FALSE)</f>
        <v>0</v>
      </c>
      <c r="L200" s="105">
        <f>VLOOKUP(A200,'[2]Billing Dimensions'!$A:$N,12,FALSE)-VLOOKUP(A200,'Audit Dimensions'!$A:$N,12,FALSE)</f>
        <v>0</v>
      </c>
      <c r="M200" s="105">
        <f>VLOOKUP(A200,'[2]Billing Dimensions'!$A:$N,13,FALSE)-VLOOKUP(A200,'Audit Dimensions'!$A:$N,13,FALSE)</f>
        <v>0</v>
      </c>
      <c r="N200" s="105">
        <f>VLOOKUP(A200,'[2]Billing Dimensions'!$A:$N,14,FALSE)-VLOOKUP(A200,'Audit Dimensions'!$A:$N,14,FALSE)</f>
        <v>0</v>
      </c>
      <c r="O200" s="104">
        <f>VLOOKUP(A200,'[2]Billing Dimensions'!A:Q,16,FALSE)-VLOOKUP('Audit VAR'!A200,'Audit Dimensions'!A:P,16,FALSE)</f>
        <v>0</v>
      </c>
      <c r="P200" s="103">
        <f>O200/1000</f>
        <v>0</v>
      </c>
      <c r="Q200" s="102">
        <f>(((C200*D200*E200)+(G200*H200*I200)+(K200*L200*M200))/1000000)*35.32</f>
        <v>0</v>
      </c>
      <c r="R200" s="46" t="e">
        <f>P200/Q200</f>
        <v>#DIV/0!</v>
      </c>
    </row>
    <row r="201" spans="1:18" hidden="1" x14ac:dyDescent="0.3">
      <c r="A201" s="122" t="s">
        <v>117</v>
      </c>
      <c r="B201" s="88" t="str">
        <f>VLOOKUP(A201,'[2]Billing Dimensions'!A:B,2,FALSE)</f>
        <v>SB</v>
      </c>
      <c r="C201" s="115">
        <f>VLOOKUP(A201,'[2]Billing Dimensions'!$A:$N,3,FALSE)-VLOOKUP(A201,'Audit Dimensions'!$A:$N,3,FALSE)</f>
        <v>-27</v>
      </c>
      <c r="D201" s="115">
        <f>VLOOKUP(A201,'[2]Billing Dimensions'!$A:$N,4,FALSE)-VLOOKUP(A201,'Audit Dimensions'!$A:$N,4,FALSE)</f>
        <v>-11</v>
      </c>
      <c r="E201" s="115">
        <f>VLOOKUP(A201,'[2]Billing Dimensions'!$A:$N,5,FALSE)-VLOOKUP(A201,'Audit Dimensions'!$A:$N,5,FALSE)</f>
        <v>0</v>
      </c>
      <c r="F201" s="114">
        <f>VLOOKUP(A201,'[2]Billing Dimensions'!$A:$N,6,FALSE)-VLOOKUP(A201,'Audit Dimensions'!$A:$N,6,FALSE)</f>
        <v>-3700</v>
      </c>
      <c r="G201" s="107">
        <f>VLOOKUP(A201,'[2]Billing Dimensions'!$A:$N,7,FALSE)-VLOOKUP(A201,'Audit Dimensions'!$A:$N,7,FALSE)</f>
        <v>0</v>
      </c>
      <c r="H201" s="107">
        <f>VLOOKUP(A201,'[2]Billing Dimensions'!$A:$N,8,FALSE)-VLOOKUP(A201,'Audit Dimensions'!$A:$N,8,FALSE)</f>
        <v>0</v>
      </c>
      <c r="I201" s="107">
        <f>VLOOKUP(A201,'[2]Billing Dimensions'!$A:$N,9,FALSE)-VLOOKUP(A201,'Audit Dimensions'!$A:$N,9,FALSE)</f>
        <v>0</v>
      </c>
      <c r="J201" s="106">
        <f>VLOOKUP(A201,'[2]Billing Dimensions'!$A:$N,10,FALSE)-VLOOKUP(A201,'Audit Dimensions'!$A:$N,10,FALSE)</f>
        <v>0</v>
      </c>
      <c r="K201" s="105">
        <f>VLOOKUP(A201,'[2]Billing Dimensions'!$A:$N,11,FALSE)-VLOOKUP(A201,'Audit Dimensions'!$A:$N,11,FALSE)</f>
        <v>0</v>
      </c>
      <c r="L201" s="105">
        <f>VLOOKUP(A201,'[2]Billing Dimensions'!$A:$N,12,FALSE)-VLOOKUP(A201,'Audit Dimensions'!$A:$N,12,FALSE)</f>
        <v>0</v>
      </c>
      <c r="M201" s="105">
        <f>VLOOKUP(A201,'[2]Billing Dimensions'!$A:$N,13,FALSE)-VLOOKUP(A201,'Audit Dimensions'!$A:$N,13,FALSE)</f>
        <v>0</v>
      </c>
      <c r="N201" s="105">
        <f>VLOOKUP(A201,'[2]Billing Dimensions'!$A:$N,14,FALSE)-VLOOKUP(A201,'Audit Dimensions'!$A:$N,14,FALSE)</f>
        <v>0</v>
      </c>
      <c r="O201" s="104">
        <f>VLOOKUP(A201,'[2]Billing Dimensions'!A:Q,16,FALSE)-VLOOKUP('Audit VAR'!A201,'Audit Dimensions'!A:P,16,FALSE)</f>
        <v>-3700</v>
      </c>
      <c r="P201" s="103">
        <f>O201/1000</f>
        <v>-3.7</v>
      </c>
      <c r="Q201" s="102">
        <f>(((C201*D201*E201)+(G201*H201*I201)+(K201*L201*M201))/1000000)*35.32</f>
        <v>0</v>
      </c>
      <c r="R201" s="46" t="e">
        <f>P201/Q201</f>
        <v>#DIV/0!</v>
      </c>
    </row>
    <row r="202" spans="1:18" ht="14.4" hidden="1" customHeight="1" x14ac:dyDescent="0.3">
      <c r="A202" s="122" t="s">
        <v>116</v>
      </c>
      <c r="B202" s="88" t="str">
        <f>VLOOKUP(A202,'[2]Billing Dimensions'!A:B,2,FALSE)</f>
        <v> </v>
      </c>
      <c r="C202" s="115">
        <f>VLOOKUP(A202,'[2]Billing Dimensions'!$A:$N,3,FALSE)-VLOOKUP(A202,'Audit Dimensions'!$A:$N,3,FALSE)</f>
        <v>0</v>
      </c>
      <c r="D202" s="115">
        <f>VLOOKUP(A202,'[2]Billing Dimensions'!$A:$N,4,FALSE)-VLOOKUP(A202,'Audit Dimensions'!$A:$N,4,FALSE)</f>
        <v>0</v>
      </c>
      <c r="E202" s="115">
        <f>VLOOKUP(A202,'[2]Billing Dimensions'!$A:$N,5,FALSE)-VLOOKUP(A202,'Audit Dimensions'!$A:$N,5,FALSE)</f>
        <v>0</v>
      </c>
      <c r="F202" s="114">
        <f>VLOOKUP(A202,'[2]Billing Dimensions'!$A:$N,6,FALSE)-VLOOKUP(A202,'Audit Dimensions'!$A:$N,6,FALSE)</f>
        <v>0</v>
      </c>
      <c r="G202" s="107">
        <f>VLOOKUP(A202,'[2]Billing Dimensions'!$A:$N,7,FALSE)-VLOOKUP(A202,'Audit Dimensions'!$A:$N,7,FALSE)</f>
        <v>0</v>
      </c>
      <c r="H202" s="107">
        <f>VLOOKUP(A202,'[2]Billing Dimensions'!$A:$N,8,FALSE)-VLOOKUP(A202,'Audit Dimensions'!$A:$N,8,FALSE)</f>
        <v>0</v>
      </c>
      <c r="I202" s="107">
        <f>VLOOKUP(A202,'[2]Billing Dimensions'!$A:$N,9,FALSE)-VLOOKUP(A202,'Audit Dimensions'!$A:$N,9,FALSE)</f>
        <v>0</v>
      </c>
      <c r="J202" s="106">
        <f>VLOOKUP(A202,'[2]Billing Dimensions'!$A:$N,10,FALSE)-VLOOKUP(A202,'Audit Dimensions'!$A:$N,10,FALSE)</f>
        <v>0</v>
      </c>
      <c r="K202" s="105">
        <f>VLOOKUP(A202,'[2]Billing Dimensions'!$A:$N,11,FALSE)-VLOOKUP(A202,'Audit Dimensions'!$A:$N,11,FALSE)</f>
        <v>0</v>
      </c>
      <c r="L202" s="105">
        <f>VLOOKUP(A202,'[2]Billing Dimensions'!$A:$N,12,FALSE)-VLOOKUP(A202,'Audit Dimensions'!$A:$N,12,FALSE)</f>
        <v>0</v>
      </c>
      <c r="M202" s="105">
        <f>VLOOKUP(A202,'[2]Billing Dimensions'!$A:$N,13,FALSE)-VLOOKUP(A202,'Audit Dimensions'!$A:$N,13,FALSE)</f>
        <v>0</v>
      </c>
      <c r="N202" s="105">
        <f>VLOOKUP(A202,'[2]Billing Dimensions'!$A:$N,14,FALSE)-VLOOKUP(A202,'Audit Dimensions'!$A:$N,14,FALSE)</f>
        <v>0</v>
      </c>
      <c r="O202" s="104">
        <f>VLOOKUP(A202,'[2]Billing Dimensions'!A:Q,16,FALSE)-VLOOKUP('Audit VAR'!A202,'Audit Dimensions'!A:P,16,FALSE)</f>
        <v>0</v>
      </c>
      <c r="P202" s="103">
        <f>O202/1000</f>
        <v>0</v>
      </c>
      <c r="Q202" s="102">
        <f>(((C202*D202*E202)+(G202*H202*I202)+(K202*L202*M202))/1000000)*35.32</f>
        <v>0</v>
      </c>
      <c r="R202" s="46" t="e">
        <f>P202/Q202</f>
        <v>#DIV/0!</v>
      </c>
    </row>
    <row r="203" spans="1:18" hidden="1" x14ac:dyDescent="0.3">
      <c r="A203" s="124" t="s">
        <v>115</v>
      </c>
      <c r="B203" s="88" t="str">
        <f>VLOOKUP(A203,'[2]Billing Dimensions'!A:B,2,FALSE)</f>
        <v>SB</v>
      </c>
      <c r="C203" s="115">
        <f>VLOOKUP(A203,'[2]Billing Dimensions'!$A:$N,3,FALSE)-VLOOKUP(A203,'Audit Dimensions'!$A:$N,3,FALSE)</f>
        <v>-1</v>
      </c>
      <c r="D203" s="115">
        <f>VLOOKUP(A203,'[2]Billing Dimensions'!$A:$N,4,FALSE)-VLOOKUP(A203,'Audit Dimensions'!$A:$N,4,FALSE)</f>
        <v>-1</v>
      </c>
      <c r="E203" s="115">
        <f>VLOOKUP(A203,'[2]Billing Dimensions'!$A:$N,5,FALSE)-VLOOKUP(A203,'Audit Dimensions'!$A:$N,5,FALSE)</f>
        <v>0</v>
      </c>
      <c r="F203" s="114">
        <f>VLOOKUP(A203,'[2]Billing Dimensions'!$A:$N,6,FALSE)-VLOOKUP(A203,'Audit Dimensions'!$A:$N,6,FALSE)</f>
        <v>-450</v>
      </c>
      <c r="G203" s="107">
        <f>VLOOKUP(A203,'[2]Billing Dimensions'!$A:$N,7,FALSE)-VLOOKUP(A203,'Audit Dimensions'!$A:$N,7,FALSE)</f>
        <v>0</v>
      </c>
      <c r="H203" s="107">
        <f>VLOOKUP(A203,'[2]Billing Dimensions'!$A:$N,8,FALSE)-VLOOKUP(A203,'Audit Dimensions'!$A:$N,8,FALSE)</f>
        <v>0</v>
      </c>
      <c r="I203" s="107">
        <f>VLOOKUP(A203,'[2]Billing Dimensions'!$A:$N,9,FALSE)-VLOOKUP(A203,'Audit Dimensions'!$A:$N,9,FALSE)</f>
        <v>0</v>
      </c>
      <c r="J203" s="106">
        <f>VLOOKUP(A203,'[2]Billing Dimensions'!$A:$N,10,FALSE)-VLOOKUP(A203,'Audit Dimensions'!$A:$N,10,FALSE)</f>
        <v>0</v>
      </c>
      <c r="K203" s="105">
        <f>VLOOKUP(A203,'[2]Billing Dimensions'!$A:$N,11,FALSE)-VLOOKUP(A203,'Audit Dimensions'!$A:$N,11,FALSE)</f>
        <v>0</v>
      </c>
      <c r="L203" s="105">
        <f>VLOOKUP(A203,'[2]Billing Dimensions'!$A:$N,12,FALSE)-VLOOKUP(A203,'Audit Dimensions'!$A:$N,12,FALSE)</f>
        <v>0</v>
      </c>
      <c r="M203" s="105">
        <f>VLOOKUP(A203,'[2]Billing Dimensions'!$A:$N,13,FALSE)-VLOOKUP(A203,'Audit Dimensions'!$A:$N,13,FALSE)</f>
        <v>0</v>
      </c>
      <c r="N203" s="105">
        <f>VLOOKUP(A203,'[2]Billing Dimensions'!$A:$N,14,FALSE)-VLOOKUP(A203,'Audit Dimensions'!$A:$N,14,FALSE)</f>
        <v>0</v>
      </c>
      <c r="O203" s="104">
        <f>VLOOKUP(A203,'[2]Billing Dimensions'!A:Q,16,FALSE)-VLOOKUP('Audit VAR'!A203,'Audit Dimensions'!A:P,16,FALSE)</f>
        <v>-450</v>
      </c>
      <c r="P203" s="103">
        <f>O203/1000</f>
        <v>-0.45</v>
      </c>
      <c r="Q203" s="102">
        <f>(((C203*D203*E203)+(G203*H203*I203)+(K203*L203*M203))/1000000)*35.32</f>
        <v>0</v>
      </c>
      <c r="R203" s="46" t="e">
        <f>P203/Q203</f>
        <v>#DIV/0!</v>
      </c>
    </row>
    <row r="204" spans="1:18" hidden="1" x14ac:dyDescent="0.3">
      <c r="A204" s="124" t="s">
        <v>114</v>
      </c>
      <c r="B204" s="88" t="str">
        <f>VLOOKUP(A204,'[2]Billing Dimensions'!A:B,2,FALSE)</f>
        <v>SB</v>
      </c>
      <c r="C204" s="115">
        <f>VLOOKUP(A204,'[2]Billing Dimensions'!$A:$N,3,FALSE)-VLOOKUP(A204,'Audit Dimensions'!$A:$N,3,FALSE)</f>
        <v>-3</v>
      </c>
      <c r="D204" s="115">
        <f>VLOOKUP(A204,'[2]Billing Dimensions'!$A:$N,4,FALSE)-VLOOKUP(A204,'Audit Dimensions'!$A:$N,4,FALSE)</f>
        <v>1</v>
      </c>
      <c r="E204" s="115">
        <f>VLOOKUP(A204,'[2]Billing Dimensions'!$A:$N,5,FALSE)-VLOOKUP(A204,'Audit Dimensions'!$A:$N,5,FALSE)</f>
        <v>0</v>
      </c>
      <c r="F204" s="114">
        <f>VLOOKUP(A204,'[2]Billing Dimensions'!$A:$N,6,FALSE)-VLOOKUP(A204,'Audit Dimensions'!$A:$N,6,FALSE)</f>
        <v>-2810</v>
      </c>
      <c r="G204" s="107">
        <f>VLOOKUP(A204,'[2]Billing Dimensions'!$A:$N,7,FALSE)-VLOOKUP(A204,'Audit Dimensions'!$A:$N,7,FALSE)</f>
        <v>0</v>
      </c>
      <c r="H204" s="107">
        <f>VLOOKUP(A204,'[2]Billing Dimensions'!$A:$N,8,FALSE)-VLOOKUP(A204,'Audit Dimensions'!$A:$N,8,FALSE)</f>
        <v>0</v>
      </c>
      <c r="I204" s="107">
        <f>VLOOKUP(A204,'[2]Billing Dimensions'!$A:$N,9,FALSE)-VLOOKUP(A204,'Audit Dimensions'!$A:$N,9,FALSE)</f>
        <v>0</v>
      </c>
      <c r="J204" s="106">
        <f>VLOOKUP(A204,'[2]Billing Dimensions'!$A:$N,10,FALSE)-VLOOKUP(A204,'Audit Dimensions'!$A:$N,10,FALSE)</f>
        <v>0</v>
      </c>
      <c r="K204" s="105">
        <f>VLOOKUP(A204,'[2]Billing Dimensions'!$A:$N,11,FALSE)-VLOOKUP(A204,'Audit Dimensions'!$A:$N,11,FALSE)</f>
        <v>0</v>
      </c>
      <c r="L204" s="105">
        <f>VLOOKUP(A204,'[2]Billing Dimensions'!$A:$N,12,FALSE)-VLOOKUP(A204,'Audit Dimensions'!$A:$N,12,FALSE)</f>
        <v>0</v>
      </c>
      <c r="M204" s="105">
        <f>VLOOKUP(A204,'[2]Billing Dimensions'!$A:$N,13,FALSE)-VLOOKUP(A204,'Audit Dimensions'!$A:$N,13,FALSE)</f>
        <v>0</v>
      </c>
      <c r="N204" s="105">
        <f>VLOOKUP(A204,'[2]Billing Dimensions'!$A:$N,14,FALSE)-VLOOKUP(A204,'Audit Dimensions'!$A:$N,14,FALSE)</f>
        <v>0</v>
      </c>
      <c r="O204" s="104">
        <f>VLOOKUP(A204,'[2]Billing Dimensions'!A:Q,16,FALSE)-VLOOKUP('Audit VAR'!A204,'Audit Dimensions'!A:P,16,FALSE)</f>
        <v>-2810</v>
      </c>
      <c r="P204" s="103">
        <f>O204/1000</f>
        <v>-2.81</v>
      </c>
      <c r="Q204" s="102">
        <f>(((C204*D204*E204)+(G204*H204*I204)+(K204*L204*M204))/1000000)*35.32</f>
        <v>0</v>
      </c>
      <c r="R204" s="46" t="e">
        <f>P204/Q204</f>
        <v>#DIV/0!</v>
      </c>
    </row>
    <row r="205" spans="1:18" hidden="1" x14ac:dyDescent="0.3">
      <c r="A205" s="124" t="s">
        <v>113</v>
      </c>
      <c r="B205" s="88" t="str">
        <f>VLOOKUP(A205,'[2]Billing Dimensions'!A:B,2,FALSE)</f>
        <v>SB</v>
      </c>
      <c r="C205" s="115">
        <f>VLOOKUP(A205,'[2]Billing Dimensions'!$A:$N,3,FALSE)-VLOOKUP(A205,'Audit Dimensions'!$A:$N,3,FALSE)</f>
        <v>0</v>
      </c>
      <c r="D205" s="115">
        <f>VLOOKUP(A205,'[2]Billing Dimensions'!$A:$N,4,FALSE)-VLOOKUP(A205,'Audit Dimensions'!$A:$N,4,FALSE)</f>
        <v>-2</v>
      </c>
      <c r="E205" s="115">
        <f>VLOOKUP(A205,'[2]Billing Dimensions'!$A:$N,5,FALSE)-VLOOKUP(A205,'Audit Dimensions'!$A:$N,5,FALSE)</f>
        <v>0</v>
      </c>
      <c r="F205" s="114">
        <f>VLOOKUP(A205,'[2]Billing Dimensions'!$A:$N,6,FALSE)-VLOOKUP(A205,'Audit Dimensions'!$A:$N,6,FALSE)</f>
        <v>-3650</v>
      </c>
      <c r="G205" s="107">
        <f>VLOOKUP(A205,'[2]Billing Dimensions'!$A:$N,7,FALSE)-VLOOKUP(A205,'Audit Dimensions'!$A:$N,7,FALSE)</f>
        <v>0</v>
      </c>
      <c r="H205" s="107">
        <f>VLOOKUP(A205,'[2]Billing Dimensions'!$A:$N,8,FALSE)-VLOOKUP(A205,'Audit Dimensions'!$A:$N,8,FALSE)</f>
        <v>0</v>
      </c>
      <c r="I205" s="107">
        <f>VLOOKUP(A205,'[2]Billing Dimensions'!$A:$N,9,FALSE)-VLOOKUP(A205,'Audit Dimensions'!$A:$N,9,FALSE)</f>
        <v>0</v>
      </c>
      <c r="J205" s="106">
        <f>VLOOKUP(A205,'[2]Billing Dimensions'!$A:$N,10,FALSE)-VLOOKUP(A205,'Audit Dimensions'!$A:$N,10,FALSE)</f>
        <v>0</v>
      </c>
      <c r="K205" s="105">
        <f>VLOOKUP(A205,'[2]Billing Dimensions'!$A:$N,11,FALSE)-VLOOKUP(A205,'Audit Dimensions'!$A:$N,11,FALSE)</f>
        <v>0</v>
      </c>
      <c r="L205" s="105">
        <f>VLOOKUP(A205,'[2]Billing Dimensions'!$A:$N,12,FALSE)-VLOOKUP(A205,'Audit Dimensions'!$A:$N,12,FALSE)</f>
        <v>0</v>
      </c>
      <c r="M205" s="105">
        <f>VLOOKUP(A205,'[2]Billing Dimensions'!$A:$N,13,FALSE)-VLOOKUP(A205,'Audit Dimensions'!$A:$N,13,FALSE)</f>
        <v>0</v>
      </c>
      <c r="N205" s="105">
        <f>VLOOKUP(A205,'[2]Billing Dimensions'!$A:$N,14,FALSE)-VLOOKUP(A205,'Audit Dimensions'!$A:$N,14,FALSE)</f>
        <v>0</v>
      </c>
      <c r="O205" s="104">
        <f>VLOOKUP(A205,'[2]Billing Dimensions'!A:Q,16,FALSE)-VLOOKUP('Audit VAR'!A205,'Audit Dimensions'!A:P,16,FALSE)</f>
        <v>-3650</v>
      </c>
      <c r="P205" s="103">
        <f>O205/1000</f>
        <v>-3.65</v>
      </c>
      <c r="Q205" s="102">
        <f>(((C205*D205*E205)+(G205*H205*I205)+(K205*L205*M205))/1000000)*35.32</f>
        <v>0</v>
      </c>
      <c r="R205" s="46" t="e">
        <f>P205/Q205</f>
        <v>#DIV/0!</v>
      </c>
    </row>
    <row r="206" spans="1:18" hidden="1" x14ac:dyDescent="0.3">
      <c r="A206" s="122" t="s">
        <v>112</v>
      </c>
      <c r="B206" s="88" t="str">
        <f>VLOOKUP(A206,'[2]Billing Dimensions'!A:B,2,FALSE)</f>
        <v>MB</v>
      </c>
      <c r="C206" s="115">
        <f>VLOOKUP(A206,'[2]Billing Dimensions'!$A:$N,3,FALSE)-VLOOKUP(A206,'Audit Dimensions'!$A:$N,3,FALSE)</f>
        <v>-1</v>
      </c>
      <c r="D206" s="115">
        <f>VLOOKUP(A206,'[2]Billing Dimensions'!$A:$N,4,FALSE)-VLOOKUP(A206,'Audit Dimensions'!$A:$N,4,FALSE)</f>
        <v>1</v>
      </c>
      <c r="E206" s="115">
        <f>VLOOKUP(A206,'[2]Billing Dimensions'!$A:$N,5,FALSE)-VLOOKUP(A206,'Audit Dimensions'!$A:$N,5,FALSE)</f>
        <v>-1</v>
      </c>
      <c r="F206" s="114">
        <f>VLOOKUP(A206,'[2]Billing Dimensions'!$A:$N,6,FALSE)-VLOOKUP(A206,'Audit Dimensions'!$A:$N,6,FALSE)</f>
        <v>400</v>
      </c>
      <c r="G206" s="107">
        <f>VLOOKUP(A206,'[2]Billing Dimensions'!$A:$N,7,FALSE)-VLOOKUP(A206,'Audit Dimensions'!$A:$N,7,FALSE)</f>
        <v>-2</v>
      </c>
      <c r="H206" s="107">
        <f>VLOOKUP(A206,'[2]Billing Dimensions'!$A:$N,8,FALSE)-VLOOKUP(A206,'Audit Dimensions'!$A:$N,8,FALSE)</f>
        <v>-2</v>
      </c>
      <c r="I206" s="107">
        <f>VLOOKUP(A206,'[2]Billing Dimensions'!$A:$N,9,FALSE)-VLOOKUP(A206,'Audit Dimensions'!$A:$N,9,FALSE)</f>
        <v>0</v>
      </c>
      <c r="J206" s="106">
        <f>VLOOKUP(A206,'[2]Billing Dimensions'!$A:$N,10,FALSE)-VLOOKUP(A206,'Audit Dimensions'!$A:$N,10,FALSE)</f>
        <v>-3100</v>
      </c>
      <c r="K206" s="105">
        <f>VLOOKUP(A206,'[2]Billing Dimensions'!$A:$N,11,FALSE)-VLOOKUP(A206,'Audit Dimensions'!$A:$N,11,FALSE)</f>
        <v>0</v>
      </c>
      <c r="L206" s="105">
        <f>VLOOKUP(A206,'[2]Billing Dimensions'!$A:$N,12,FALSE)-VLOOKUP(A206,'Audit Dimensions'!$A:$N,12,FALSE)</f>
        <v>0</v>
      </c>
      <c r="M206" s="105">
        <f>VLOOKUP(A206,'[2]Billing Dimensions'!$A:$N,13,FALSE)-VLOOKUP(A206,'Audit Dimensions'!$A:$N,13,FALSE)</f>
        <v>0</v>
      </c>
      <c r="N206" s="105">
        <f>VLOOKUP(A206,'[2]Billing Dimensions'!$A:$N,14,FALSE)-VLOOKUP(A206,'Audit Dimensions'!$A:$N,14,FALSE)</f>
        <v>0</v>
      </c>
      <c r="O206" s="104">
        <f>VLOOKUP(A206,'[2]Billing Dimensions'!A:Q,16,FALSE)-VLOOKUP('Audit VAR'!A206,'Audit Dimensions'!A:P,16,FALSE)</f>
        <v>-2700</v>
      </c>
      <c r="P206" s="103">
        <f>O206/1000</f>
        <v>-2.7</v>
      </c>
      <c r="Q206" s="102">
        <f>(((C206*D206*E206)+(G206*H206*I206)+(K206*L206*M206))/1000000)*35.32</f>
        <v>3.5320000000000001E-5</v>
      </c>
      <c r="R206" s="46">
        <f>P206/Q206</f>
        <v>-76443.941109852778</v>
      </c>
    </row>
    <row r="207" spans="1:18" hidden="1" x14ac:dyDescent="0.3">
      <c r="A207" s="122" t="s">
        <v>111</v>
      </c>
      <c r="B207" s="88" t="str">
        <f>VLOOKUP(A207,'[2]Billing Dimensions'!A:B,2,FALSE)</f>
        <v>MB</v>
      </c>
      <c r="C207" s="115">
        <f>VLOOKUP(A207,'[2]Billing Dimensions'!$A:$N,3,FALSE)-VLOOKUP(A207,'Audit Dimensions'!$A:$N,3,FALSE)</f>
        <v>-1</v>
      </c>
      <c r="D207" s="115">
        <f>VLOOKUP(A207,'[2]Billing Dimensions'!$A:$N,4,FALSE)-VLOOKUP(A207,'Audit Dimensions'!$A:$N,4,FALSE)</f>
        <v>1</v>
      </c>
      <c r="E207" s="115">
        <f>VLOOKUP(A207,'[2]Billing Dimensions'!$A:$N,5,FALSE)-VLOOKUP(A207,'Audit Dimensions'!$A:$N,5,FALSE)</f>
        <v>-1</v>
      </c>
      <c r="F207" s="114">
        <f>VLOOKUP(A207,'[2]Billing Dimensions'!$A:$N,6,FALSE)-VLOOKUP(A207,'Audit Dimensions'!$A:$N,6,FALSE)</f>
        <v>401</v>
      </c>
      <c r="G207" s="107">
        <f>VLOOKUP(A207,'[2]Billing Dimensions'!$A:$N,7,FALSE)-VLOOKUP(A207,'Audit Dimensions'!$A:$N,7,FALSE)</f>
        <v>0</v>
      </c>
      <c r="H207" s="107">
        <f>VLOOKUP(A207,'[2]Billing Dimensions'!$A:$N,8,FALSE)-VLOOKUP(A207,'Audit Dimensions'!$A:$N,8,FALSE)</f>
        <v>-1</v>
      </c>
      <c r="I207" s="107">
        <f>VLOOKUP(A207,'[2]Billing Dimensions'!$A:$N,9,FALSE)-VLOOKUP(A207,'Audit Dimensions'!$A:$N,9,FALSE)</f>
        <v>0</v>
      </c>
      <c r="J207" s="106">
        <f>VLOOKUP(A207,'[2]Billing Dimensions'!$A:$N,10,FALSE)-VLOOKUP(A207,'Audit Dimensions'!$A:$N,10,FALSE)</f>
        <v>300</v>
      </c>
      <c r="K207" s="105">
        <f>VLOOKUP(A207,'[2]Billing Dimensions'!$A:$N,11,FALSE)-VLOOKUP(A207,'Audit Dimensions'!$A:$N,11,FALSE)</f>
        <v>0</v>
      </c>
      <c r="L207" s="105">
        <f>VLOOKUP(A207,'[2]Billing Dimensions'!$A:$N,12,FALSE)-VLOOKUP(A207,'Audit Dimensions'!$A:$N,12,FALSE)</f>
        <v>0</v>
      </c>
      <c r="M207" s="105">
        <f>VLOOKUP(A207,'[2]Billing Dimensions'!$A:$N,13,FALSE)-VLOOKUP(A207,'Audit Dimensions'!$A:$N,13,FALSE)</f>
        <v>0</v>
      </c>
      <c r="N207" s="105">
        <f>VLOOKUP(A207,'[2]Billing Dimensions'!$A:$N,14,FALSE)-VLOOKUP(A207,'Audit Dimensions'!$A:$N,14,FALSE)</f>
        <v>0</v>
      </c>
      <c r="O207" s="104">
        <f>VLOOKUP(A207,'[2]Billing Dimensions'!A:Q,16,FALSE)-VLOOKUP('Audit VAR'!A207,'Audit Dimensions'!A:P,16,FALSE)</f>
        <v>701</v>
      </c>
      <c r="P207" s="103">
        <f>O207/1000</f>
        <v>0.70099999999999996</v>
      </c>
      <c r="Q207" s="102">
        <f>(((C207*D207*E207)+(G207*H207*I207)+(K207*L207*M207))/1000000)*35.32</f>
        <v>3.5320000000000001E-5</v>
      </c>
      <c r="R207" s="46">
        <f>P207/Q207</f>
        <v>19847.112117780292</v>
      </c>
    </row>
    <row r="208" spans="1:18" hidden="1" x14ac:dyDescent="0.3">
      <c r="A208" s="122" t="s">
        <v>110</v>
      </c>
      <c r="B208" s="88" t="str">
        <f>VLOOKUP(A208,'[2]Billing Dimensions'!A:B,2,FALSE)</f>
        <v>MB</v>
      </c>
      <c r="C208" s="115">
        <f>VLOOKUP(A208,'[2]Billing Dimensions'!$A:$N,3,FALSE)-VLOOKUP(A208,'Audit Dimensions'!$A:$N,3,FALSE)</f>
        <v>4</v>
      </c>
      <c r="D208" s="115">
        <f>VLOOKUP(A208,'[2]Billing Dimensions'!$A:$N,4,FALSE)-VLOOKUP(A208,'Audit Dimensions'!$A:$N,4,FALSE)</f>
        <v>0</v>
      </c>
      <c r="E208" s="115">
        <f>VLOOKUP(A208,'[2]Billing Dimensions'!$A:$N,5,FALSE)-VLOOKUP(A208,'Audit Dimensions'!$A:$N,5,FALSE)</f>
        <v>0</v>
      </c>
      <c r="F208" s="114">
        <f>VLOOKUP(A208,'[2]Billing Dimensions'!$A:$N,6,FALSE)-VLOOKUP(A208,'Audit Dimensions'!$A:$N,6,FALSE)</f>
        <v>-360</v>
      </c>
      <c r="G208" s="107">
        <f>VLOOKUP(A208,'[2]Billing Dimensions'!$A:$N,7,FALSE)-VLOOKUP(A208,'Audit Dimensions'!$A:$N,7,FALSE)</f>
        <v>-3</v>
      </c>
      <c r="H208" s="107">
        <f>VLOOKUP(A208,'[2]Billing Dimensions'!$A:$N,8,FALSE)-VLOOKUP(A208,'Audit Dimensions'!$A:$N,8,FALSE)</f>
        <v>-1</v>
      </c>
      <c r="I208" s="107">
        <f>VLOOKUP(A208,'[2]Billing Dimensions'!$A:$N,9,FALSE)-VLOOKUP(A208,'Audit Dimensions'!$A:$N,9,FALSE)</f>
        <v>0</v>
      </c>
      <c r="J208" s="106">
        <f>VLOOKUP(A208,'[2]Billing Dimensions'!$A:$N,10,FALSE)-VLOOKUP(A208,'Audit Dimensions'!$A:$N,10,FALSE)</f>
        <v>1080</v>
      </c>
      <c r="K208" s="105">
        <f>VLOOKUP(A208,'[2]Billing Dimensions'!$A:$N,11,FALSE)-VLOOKUP(A208,'Audit Dimensions'!$A:$N,11,FALSE)</f>
        <v>-1</v>
      </c>
      <c r="L208" s="105">
        <f>VLOOKUP(A208,'[2]Billing Dimensions'!$A:$N,12,FALSE)-VLOOKUP(A208,'Audit Dimensions'!$A:$N,12,FALSE)</f>
        <v>2</v>
      </c>
      <c r="M208" s="105">
        <f>VLOOKUP(A208,'[2]Billing Dimensions'!$A:$N,13,FALSE)-VLOOKUP(A208,'Audit Dimensions'!$A:$N,13,FALSE)</f>
        <v>0</v>
      </c>
      <c r="N208" s="105">
        <f>VLOOKUP(A208,'[2]Billing Dimensions'!$A:$N,14,FALSE)-VLOOKUP(A208,'Audit Dimensions'!$A:$N,14,FALSE)</f>
        <v>-450</v>
      </c>
      <c r="O208" s="104">
        <f>VLOOKUP(A208,'[2]Billing Dimensions'!A:Q,16,FALSE)-VLOOKUP('Audit VAR'!A208,'Audit Dimensions'!A:P,16,FALSE)</f>
        <v>270</v>
      </c>
      <c r="P208" s="103">
        <f>O208/1000</f>
        <v>0.27</v>
      </c>
      <c r="Q208" s="102">
        <f>(((C208*D208*E208)+(G208*H208*I208)+(K208*L208*M208))/1000000)*35.32</f>
        <v>0</v>
      </c>
      <c r="R208" s="46" t="e">
        <f>P208/Q208</f>
        <v>#DIV/0!</v>
      </c>
    </row>
    <row r="209" spans="1:18" hidden="1" x14ac:dyDescent="0.3">
      <c r="A209" s="122" t="s">
        <v>109</v>
      </c>
      <c r="B209" s="88" t="str">
        <f>VLOOKUP(A209,'[2]Billing Dimensions'!A:B,2,FALSE)</f>
        <v>MB</v>
      </c>
      <c r="C209" s="115">
        <f>VLOOKUP(A209,'[2]Billing Dimensions'!$A:$N,3,FALSE)-VLOOKUP(A209,'Audit Dimensions'!$A:$N,3,FALSE)</f>
        <v>4</v>
      </c>
      <c r="D209" s="115">
        <f>VLOOKUP(A209,'[2]Billing Dimensions'!$A:$N,4,FALSE)-VLOOKUP(A209,'Audit Dimensions'!$A:$N,4,FALSE)</f>
        <v>0</v>
      </c>
      <c r="E209" s="115">
        <f>VLOOKUP(A209,'[2]Billing Dimensions'!$A:$N,5,FALSE)-VLOOKUP(A209,'Audit Dimensions'!$A:$N,5,FALSE)</f>
        <v>0</v>
      </c>
      <c r="F209" s="114">
        <f>VLOOKUP(A209,'[2]Billing Dimensions'!$A:$N,6,FALSE)-VLOOKUP(A209,'Audit Dimensions'!$A:$N,6,FALSE)</f>
        <v>-360</v>
      </c>
      <c r="G209" s="107">
        <f>VLOOKUP(A209,'[2]Billing Dimensions'!$A:$N,7,FALSE)-VLOOKUP(A209,'Audit Dimensions'!$A:$N,7,FALSE)</f>
        <v>0</v>
      </c>
      <c r="H209" s="107">
        <f>VLOOKUP(A209,'[2]Billing Dimensions'!$A:$N,8,FALSE)-VLOOKUP(A209,'Audit Dimensions'!$A:$N,8,FALSE)</f>
        <v>-1</v>
      </c>
      <c r="I209" s="107">
        <f>VLOOKUP(A209,'[2]Billing Dimensions'!$A:$N,9,FALSE)-VLOOKUP(A209,'Audit Dimensions'!$A:$N,9,FALSE)</f>
        <v>0</v>
      </c>
      <c r="J209" s="106">
        <f>VLOOKUP(A209,'[2]Billing Dimensions'!$A:$N,10,FALSE)-VLOOKUP(A209,'Audit Dimensions'!$A:$N,10,FALSE)</f>
        <v>2750</v>
      </c>
      <c r="K209" s="105">
        <f>VLOOKUP(A209,'[2]Billing Dimensions'!$A:$N,11,FALSE)-VLOOKUP(A209,'Audit Dimensions'!$A:$N,11,FALSE)</f>
        <v>-1</v>
      </c>
      <c r="L209" s="105">
        <f>VLOOKUP(A209,'[2]Billing Dimensions'!$A:$N,12,FALSE)-VLOOKUP(A209,'Audit Dimensions'!$A:$N,12,FALSE)</f>
        <v>2</v>
      </c>
      <c r="M209" s="105">
        <f>VLOOKUP(A209,'[2]Billing Dimensions'!$A:$N,13,FALSE)-VLOOKUP(A209,'Audit Dimensions'!$A:$N,13,FALSE)</f>
        <v>0</v>
      </c>
      <c r="N209" s="105">
        <f>VLOOKUP(A209,'[2]Billing Dimensions'!$A:$N,14,FALSE)-VLOOKUP(A209,'Audit Dimensions'!$A:$N,14,FALSE)</f>
        <v>-450</v>
      </c>
      <c r="O209" s="104">
        <f>VLOOKUP(A209,'[2]Billing Dimensions'!A:Q,16,FALSE)-VLOOKUP('Audit VAR'!A209,'Audit Dimensions'!A:P,16,FALSE)</f>
        <v>1940</v>
      </c>
      <c r="P209" s="103">
        <f>O209/1000</f>
        <v>1.94</v>
      </c>
      <c r="Q209" s="102">
        <f>(((C209*D209*E209)+(G209*H209*I209)+(K209*L209*M209))/1000000)*35.32</f>
        <v>0</v>
      </c>
      <c r="R209" s="46" t="e">
        <f>P209/Q209</f>
        <v>#DIV/0!</v>
      </c>
    </row>
    <row r="210" spans="1:18" hidden="1" x14ac:dyDescent="0.3">
      <c r="A210" s="122" t="s">
        <v>108</v>
      </c>
      <c r="B210" s="88" t="str">
        <f>VLOOKUP(A210,'[2]Billing Dimensions'!A:B,2,FALSE)</f>
        <v>MB</v>
      </c>
      <c r="C210" s="115">
        <f>VLOOKUP(A210,'[2]Billing Dimensions'!$A:$N,3,FALSE)-VLOOKUP(A210,'Audit Dimensions'!$A:$N,3,FALSE)</f>
        <v>2</v>
      </c>
      <c r="D210" s="115">
        <f>VLOOKUP(A210,'[2]Billing Dimensions'!$A:$N,4,FALSE)-VLOOKUP(A210,'Audit Dimensions'!$A:$N,4,FALSE)</f>
        <v>2</v>
      </c>
      <c r="E210" s="115">
        <f>VLOOKUP(A210,'[2]Billing Dimensions'!$A:$N,5,FALSE)-VLOOKUP(A210,'Audit Dimensions'!$A:$N,5,FALSE)</f>
        <v>-1</v>
      </c>
      <c r="F210" s="114">
        <f>VLOOKUP(A210,'[2]Billing Dimensions'!$A:$N,6,FALSE)-VLOOKUP(A210,'Audit Dimensions'!$A:$N,6,FALSE)</f>
        <v>-1110</v>
      </c>
      <c r="G210" s="107">
        <f>VLOOKUP(A210,'[2]Billing Dimensions'!$A:$N,7,FALSE)-VLOOKUP(A210,'Audit Dimensions'!$A:$N,7,FALSE)</f>
        <v>2</v>
      </c>
      <c r="H210" s="107">
        <f>VLOOKUP(A210,'[2]Billing Dimensions'!$A:$N,8,FALSE)-VLOOKUP(A210,'Audit Dimensions'!$A:$N,8,FALSE)</f>
        <v>-1</v>
      </c>
      <c r="I210" s="107">
        <f>VLOOKUP(A210,'[2]Billing Dimensions'!$A:$N,9,FALSE)-VLOOKUP(A210,'Audit Dimensions'!$A:$N,9,FALSE)</f>
        <v>-2</v>
      </c>
      <c r="J210" s="106">
        <f>VLOOKUP(A210,'[2]Billing Dimensions'!$A:$N,10,FALSE)-VLOOKUP(A210,'Audit Dimensions'!$A:$N,10,FALSE)</f>
        <v>-2230</v>
      </c>
      <c r="K210" s="105">
        <f>VLOOKUP(A210,'[2]Billing Dimensions'!$A:$N,11,FALSE)-VLOOKUP(A210,'Audit Dimensions'!$A:$N,11,FALSE)</f>
        <v>-3</v>
      </c>
      <c r="L210" s="105">
        <f>VLOOKUP(A210,'[2]Billing Dimensions'!$A:$N,12,FALSE)-VLOOKUP(A210,'Audit Dimensions'!$A:$N,12,FALSE)</f>
        <v>0</v>
      </c>
      <c r="M210" s="105">
        <f>VLOOKUP(A210,'[2]Billing Dimensions'!$A:$N,13,FALSE)-VLOOKUP(A210,'Audit Dimensions'!$A:$N,13,FALSE)</f>
        <v>0</v>
      </c>
      <c r="N210" s="105">
        <f>VLOOKUP(A210,'[2]Billing Dimensions'!$A:$N,14,FALSE)-VLOOKUP(A210,'Audit Dimensions'!$A:$N,14,FALSE)</f>
        <v>-1200</v>
      </c>
      <c r="O210" s="104">
        <f>VLOOKUP(A210,'[2]Billing Dimensions'!A:Q,16,FALSE)-VLOOKUP('Audit VAR'!A210,'Audit Dimensions'!A:P,16,FALSE)</f>
        <v>-4540</v>
      </c>
      <c r="P210" s="103">
        <f>O210/1000</f>
        <v>-4.54</v>
      </c>
      <c r="Q210" s="102">
        <f>(((C210*D210*E210)+(G210*H210*I210)+(K210*L210*M210))/1000000)*35.32</f>
        <v>0</v>
      </c>
      <c r="R210" s="46" t="e">
        <f>P210/Q210</f>
        <v>#DIV/0!</v>
      </c>
    </row>
    <row r="211" spans="1:18" hidden="1" x14ac:dyDescent="0.3">
      <c r="A211" s="122" t="s">
        <v>107</v>
      </c>
      <c r="B211" s="88" t="str">
        <f>VLOOKUP(A211,'[2]Billing Dimensions'!A:B,2,FALSE)</f>
        <v>MB</v>
      </c>
      <c r="C211" s="115">
        <f>VLOOKUP(A211,'[2]Billing Dimensions'!$A:$N,3,FALSE)-VLOOKUP(A211,'Audit Dimensions'!$A:$N,3,FALSE)</f>
        <v>2</v>
      </c>
      <c r="D211" s="115">
        <f>VLOOKUP(A211,'[2]Billing Dimensions'!$A:$N,4,FALSE)-VLOOKUP(A211,'Audit Dimensions'!$A:$N,4,FALSE)</f>
        <v>2</v>
      </c>
      <c r="E211" s="115">
        <f>VLOOKUP(A211,'[2]Billing Dimensions'!$A:$N,5,FALSE)-VLOOKUP(A211,'Audit Dimensions'!$A:$N,5,FALSE)</f>
        <v>-1</v>
      </c>
      <c r="F211" s="114">
        <f>VLOOKUP(A211,'[2]Billing Dimensions'!$A:$N,6,FALSE)-VLOOKUP(A211,'Audit Dimensions'!$A:$N,6,FALSE)</f>
        <v>-1110</v>
      </c>
      <c r="G211" s="107">
        <f>VLOOKUP(A211,'[2]Billing Dimensions'!$A:$N,7,FALSE)-VLOOKUP(A211,'Audit Dimensions'!$A:$N,7,FALSE)</f>
        <v>1</v>
      </c>
      <c r="H211" s="107">
        <f>VLOOKUP(A211,'[2]Billing Dimensions'!$A:$N,8,FALSE)-VLOOKUP(A211,'Audit Dimensions'!$A:$N,8,FALSE)</f>
        <v>0</v>
      </c>
      <c r="I211" s="107">
        <f>VLOOKUP(A211,'[2]Billing Dimensions'!$A:$N,9,FALSE)-VLOOKUP(A211,'Audit Dimensions'!$A:$N,9,FALSE)</f>
        <v>-2</v>
      </c>
      <c r="J211" s="106">
        <f>VLOOKUP(A211,'[2]Billing Dimensions'!$A:$N,10,FALSE)-VLOOKUP(A211,'Audit Dimensions'!$A:$N,10,FALSE)</f>
        <v>-2450</v>
      </c>
      <c r="K211" s="105">
        <f>VLOOKUP(A211,'[2]Billing Dimensions'!$A:$N,11,FALSE)-VLOOKUP(A211,'Audit Dimensions'!$A:$N,11,FALSE)</f>
        <v>-2</v>
      </c>
      <c r="L211" s="105">
        <f>VLOOKUP(A211,'[2]Billing Dimensions'!$A:$N,12,FALSE)-VLOOKUP(A211,'Audit Dimensions'!$A:$N,12,FALSE)</f>
        <v>0</v>
      </c>
      <c r="M211" s="105">
        <f>VLOOKUP(A211,'[2]Billing Dimensions'!$A:$N,13,FALSE)-VLOOKUP(A211,'Audit Dimensions'!$A:$N,13,FALSE)</f>
        <v>1</v>
      </c>
      <c r="N211" s="105">
        <f>VLOOKUP(A211,'[2]Billing Dimensions'!$A:$N,14,FALSE)-VLOOKUP(A211,'Audit Dimensions'!$A:$N,14,FALSE)</f>
        <v>-3100</v>
      </c>
      <c r="O211" s="104">
        <f>VLOOKUP(A211,'[2]Billing Dimensions'!A:Q,16,FALSE)-VLOOKUP('Audit VAR'!A211,'Audit Dimensions'!A:P,16,FALSE)</f>
        <v>-6660</v>
      </c>
      <c r="P211" s="103">
        <f>O211/1000</f>
        <v>-6.66</v>
      </c>
      <c r="Q211" s="102">
        <f>(((C211*D211*E211)+(G211*H211*I211)+(K211*L211*M211))/1000000)*35.32</f>
        <v>-1.4128E-4</v>
      </c>
      <c r="R211" s="46">
        <f>P211/Q211</f>
        <v>47140.430351075876</v>
      </c>
    </row>
    <row r="212" spans="1:18" hidden="1" x14ac:dyDescent="0.3">
      <c r="A212" s="122" t="s">
        <v>106</v>
      </c>
      <c r="B212" s="88" t="str">
        <f>VLOOKUP(A212,'[2]Billing Dimensions'!A:B,2,FALSE)</f>
        <v>MB</v>
      </c>
      <c r="C212" s="115">
        <f>VLOOKUP(A212,'[2]Billing Dimensions'!$A:$N,3,FALSE)-VLOOKUP(A212,'Audit Dimensions'!$A:$N,3,FALSE)</f>
        <v>184</v>
      </c>
      <c r="D212" s="115">
        <f>VLOOKUP(A212,'[2]Billing Dimensions'!$A:$N,4,FALSE)-VLOOKUP(A212,'Audit Dimensions'!$A:$N,4,FALSE)</f>
        <v>48</v>
      </c>
      <c r="E212" s="115">
        <f>VLOOKUP(A212,'[2]Billing Dimensions'!$A:$N,5,FALSE)-VLOOKUP(A212,'Audit Dimensions'!$A:$N,5,FALSE)</f>
        <v>12</v>
      </c>
      <c r="F212" s="114">
        <f>VLOOKUP(A212,'[2]Billing Dimensions'!$A:$N,6,FALSE)-VLOOKUP(A212,'Audit Dimensions'!$A:$N,6,FALSE)</f>
        <v>4900</v>
      </c>
      <c r="G212" s="107">
        <f>VLOOKUP(A212,'[2]Billing Dimensions'!$A:$N,7,FALSE)-VLOOKUP(A212,'Audit Dimensions'!$A:$N,7,FALSE)</f>
        <v>0</v>
      </c>
      <c r="H212" s="107">
        <f>VLOOKUP(A212,'[2]Billing Dimensions'!$A:$N,8,FALSE)-VLOOKUP(A212,'Audit Dimensions'!$A:$N,8,FALSE)</f>
        <v>0</v>
      </c>
      <c r="I212" s="107">
        <f>VLOOKUP(A212,'[2]Billing Dimensions'!$A:$N,9,FALSE)-VLOOKUP(A212,'Audit Dimensions'!$A:$N,9,FALSE)</f>
        <v>0</v>
      </c>
      <c r="J212" s="106">
        <f>VLOOKUP(A212,'[2]Billing Dimensions'!$A:$N,10,FALSE)-VLOOKUP(A212,'Audit Dimensions'!$A:$N,10,FALSE)</f>
        <v>0</v>
      </c>
      <c r="K212" s="105">
        <f>VLOOKUP(A212,'[2]Billing Dimensions'!$A:$N,11,FALSE)-VLOOKUP(A212,'Audit Dimensions'!$A:$N,11,FALSE)</f>
        <v>0</v>
      </c>
      <c r="L212" s="105">
        <f>VLOOKUP(A212,'[2]Billing Dimensions'!$A:$N,12,FALSE)-VLOOKUP(A212,'Audit Dimensions'!$A:$N,12,FALSE)</f>
        <v>0</v>
      </c>
      <c r="M212" s="105">
        <f>VLOOKUP(A212,'[2]Billing Dimensions'!$A:$N,13,FALSE)-VLOOKUP(A212,'Audit Dimensions'!$A:$N,13,FALSE)</f>
        <v>0</v>
      </c>
      <c r="N212" s="105">
        <f>VLOOKUP(A212,'[2]Billing Dimensions'!$A:$N,14,FALSE)-VLOOKUP(A212,'Audit Dimensions'!$A:$N,14,FALSE)</f>
        <v>0</v>
      </c>
      <c r="O212" s="104">
        <f>VLOOKUP(A212,'[2]Billing Dimensions'!A:Q,16,FALSE)-VLOOKUP('Audit VAR'!A212,'Audit Dimensions'!A:P,16,FALSE)</f>
        <v>4900</v>
      </c>
      <c r="P212" s="103">
        <f>O212/1000</f>
        <v>4.9000000000000004</v>
      </c>
      <c r="Q212" s="102">
        <f>(((C212*D212*E212)+(G212*H212*I212)+(K212*L212*M212))/1000000)*35.32</f>
        <v>3.7433548800000001</v>
      </c>
      <c r="R212" s="46">
        <f>P212/Q212</f>
        <v>1.3089862321576096</v>
      </c>
    </row>
    <row r="213" spans="1:18" hidden="1" x14ac:dyDescent="0.3">
      <c r="A213" s="122" t="s">
        <v>105</v>
      </c>
      <c r="B213" s="88" t="str">
        <f>VLOOKUP(A213,'[2]Billing Dimensions'!A:B,2,FALSE)</f>
        <v>MB</v>
      </c>
      <c r="C213" s="115">
        <f>VLOOKUP(A213,'[2]Billing Dimensions'!$A:$N,3,FALSE)-VLOOKUP(A213,'Audit Dimensions'!$A:$N,3,FALSE)</f>
        <v>191</v>
      </c>
      <c r="D213" s="115">
        <f>VLOOKUP(A213,'[2]Billing Dimensions'!$A:$N,4,FALSE)-VLOOKUP(A213,'Audit Dimensions'!$A:$N,4,FALSE)</f>
        <v>45</v>
      </c>
      <c r="E213" s="115">
        <f>VLOOKUP(A213,'[2]Billing Dimensions'!$A:$N,5,FALSE)-VLOOKUP(A213,'Audit Dimensions'!$A:$N,5,FALSE)</f>
        <v>11</v>
      </c>
      <c r="F213" s="114">
        <f>VLOOKUP(A213,'[2]Billing Dimensions'!$A:$N,6,FALSE)-VLOOKUP(A213,'Audit Dimensions'!$A:$N,6,FALSE)</f>
        <v>-16450</v>
      </c>
      <c r="G213" s="107">
        <f>VLOOKUP(A213,'[2]Billing Dimensions'!$A:$N,7,FALSE)-VLOOKUP(A213,'Audit Dimensions'!$A:$N,7,FALSE)</f>
        <v>178</v>
      </c>
      <c r="H213" s="107">
        <f>VLOOKUP(A213,'[2]Billing Dimensions'!$A:$N,8,FALSE)-VLOOKUP(A213,'Audit Dimensions'!$A:$N,8,FALSE)</f>
        <v>40</v>
      </c>
      <c r="I213" s="107">
        <f>VLOOKUP(A213,'[2]Billing Dimensions'!$A:$N,9,FALSE)-VLOOKUP(A213,'Audit Dimensions'!$A:$N,9,FALSE)</f>
        <v>8</v>
      </c>
      <c r="J213" s="106">
        <f>VLOOKUP(A213,'[2]Billing Dimensions'!$A:$N,10,FALSE)-VLOOKUP(A213,'Audit Dimensions'!$A:$N,10,FALSE)</f>
        <v>28500</v>
      </c>
      <c r="K213" s="105">
        <f>VLOOKUP(A213,'[2]Billing Dimensions'!$A:$N,11,FALSE)-VLOOKUP(A213,'Audit Dimensions'!$A:$N,11,FALSE)</f>
        <v>0</v>
      </c>
      <c r="L213" s="105">
        <f>VLOOKUP(A213,'[2]Billing Dimensions'!$A:$N,12,FALSE)-VLOOKUP(A213,'Audit Dimensions'!$A:$N,12,FALSE)</f>
        <v>0</v>
      </c>
      <c r="M213" s="105">
        <f>VLOOKUP(A213,'[2]Billing Dimensions'!$A:$N,13,FALSE)-VLOOKUP(A213,'Audit Dimensions'!$A:$N,13,FALSE)</f>
        <v>0</v>
      </c>
      <c r="N213" s="105">
        <f>VLOOKUP(A213,'[2]Billing Dimensions'!$A:$N,14,FALSE)-VLOOKUP(A213,'Audit Dimensions'!$A:$N,14,FALSE)</f>
        <v>0</v>
      </c>
      <c r="O213" s="104">
        <f>VLOOKUP(A213,'[2]Billing Dimensions'!A:Q,16,FALSE)-VLOOKUP('Audit VAR'!A213,'Audit Dimensions'!A:P,16,FALSE)</f>
        <v>12050</v>
      </c>
      <c r="P213" s="103">
        <f>O213/1000</f>
        <v>12.05</v>
      </c>
      <c r="Q213" s="102">
        <f>(((C213*D213*E213)+(G213*H213*I213)+(K213*L213*M213))/1000000)*35.32</f>
        <v>5.3511566000000004</v>
      </c>
      <c r="R213" s="46">
        <f>P213/Q213</f>
        <v>2.2518496281719731</v>
      </c>
    </row>
    <row r="214" spans="1:18" hidden="1" x14ac:dyDescent="0.3">
      <c r="A214" s="122" t="s">
        <v>104</v>
      </c>
      <c r="B214" s="88" t="str">
        <f>VLOOKUP(A214,'[2]Billing Dimensions'!A:B,2,FALSE)</f>
        <v>MB</v>
      </c>
      <c r="C214" s="115">
        <f>VLOOKUP(A214,'[2]Billing Dimensions'!$A:$N,3,FALSE)-VLOOKUP(A214,'Audit Dimensions'!$A:$N,3,FALSE)</f>
        <v>156</v>
      </c>
      <c r="D214" s="115">
        <f>VLOOKUP(A214,'[2]Billing Dimensions'!$A:$N,4,FALSE)-VLOOKUP(A214,'Audit Dimensions'!$A:$N,4,FALSE)</f>
        <v>46</v>
      </c>
      <c r="E214" s="115">
        <f>VLOOKUP(A214,'[2]Billing Dimensions'!$A:$N,5,FALSE)-VLOOKUP(A214,'Audit Dimensions'!$A:$N,5,FALSE)</f>
        <v>8</v>
      </c>
      <c r="F214" s="114">
        <f>VLOOKUP(A214,'[2]Billing Dimensions'!$A:$N,6,FALSE)-VLOOKUP(A214,'Audit Dimensions'!$A:$N,6,FALSE)</f>
        <v>-66500</v>
      </c>
      <c r="G214" s="107">
        <f>VLOOKUP(A214,'[2]Billing Dimensions'!$A:$N,7,FALSE)-VLOOKUP(A214,'Audit Dimensions'!$A:$N,7,FALSE)</f>
        <v>179</v>
      </c>
      <c r="H214" s="107">
        <f>VLOOKUP(A214,'[2]Billing Dimensions'!$A:$N,8,FALSE)-VLOOKUP(A214,'Audit Dimensions'!$A:$N,8,FALSE)</f>
        <v>41</v>
      </c>
      <c r="I214" s="107">
        <f>VLOOKUP(A214,'[2]Billing Dimensions'!$A:$N,9,FALSE)-VLOOKUP(A214,'Audit Dimensions'!$A:$N,9,FALSE)</f>
        <v>10</v>
      </c>
      <c r="J214" s="106">
        <f>VLOOKUP(A214,'[2]Billing Dimensions'!$A:$N,10,FALSE)-VLOOKUP(A214,'Audit Dimensions'!$A:$N,10,FALSE)</f>
        <v>39000</v>
      </c>
      <c r="K214" s="105">
        <f>VLOOKUP(A214,'[2]Billing Dimensions'!$A:$N,11,FALSE)-VLOOKUP(A214,'Audit Dimensions'!$A:$N,11,FALSE)</f>
        <v>185</v>
      </c>
      <c r="L214" s="105">
        <f>VLOOKUP(A214,'[2]Billing Dimensions'!$A:$N,12,FALSE)-VLOOKUP(A214,'Audit Dimensions'!$A:$N,12,FALSE)</f>
        <v>46</v>
      </c>
      <c r="M214" s="105">
        <f>VLOOKUP(A214,'[2]Billing Dimensions'!$A:$N,13,FALSE)-VLOOKUP(A214,'Audit Dimensions'!$A:$N,13,FALSE)</f>
        <v>8</v>
      </c>
      <c r="N214" s="105">
        <f>VLOOKUP(A214,'[2]Billing Dimensions'!$A:$N,14,FALSE)-VLOOKUP(A214,'Audit Dimensions'!$A:$N,14,FALSE)</f>
        <v>40000</v>
      </c>
      <c r="O214" s="104">
        <f>VLOOKUP(A214,'[2]Billing Dimensions'!A:Q,16,FALSE)-VLOOKUP('Audit VAR'!A214,'Audit Dimensions'!A:P,16,FALSE)</f>
        <v>12500</v>
      </c>
      <c r="P214" s="103">
        <f>O214/1000</f>
        <v>12.5</v>
      </c>
      <c r="Q214" s="102">
        <f>(((C214*D214*E214)+(G214*H214*I214)+(K214*L214*M214))/1000000)*35.32</f>
        <v>7.0243709599999997</v>
      </c>
      <c r="R214" s="46">
        <f>P214/Q214</f>
        <v>1.7795187741622347</v>
      </c>
    </row>
    <row r="215" spans="1:18" hidden="1" x14ac:dyDescent="0.3">
      <c r="A215" s="122" t="s">
        <v>103</v>
      </c>
      <c r="B215" s="88" t="str">
        <f>VLOOKUP(A215,'[2]Billing Dimensions'!A:B,2,FALSE)</f>
        <v>SB</v>
      </c>
      <c r="C215" s="115">
        <f>VLOOKUP(A215,'[2]Billing Dimensions'!$A:$N,3,FALSE)-VLOOKUP(A215,'Audit Dimensions'!$A:$N,3,FALSE)</f>
        <v>1</v>
      </c>
      <c r="D215" s="115">
        <f>VLOOKUP(A215,'[2]Billing Dimensions'!$A:$N,4,FALSE)-VLOOKUP(A215,'Audit Dimensions'!$A:$N,4,FALSE)</f>
        <v>2</v>
      </c>
      <c r="E215" s="115">
        <f>VLOOKUP(A215,'[2]Billing Dimensions'!$A:$N,5,FALSE)-VLOOKUP(A215,'Audit Dimensions'!$A:$N,5,FALSE)</f>
        <v>1</v>
      </c>
      <c r="F215" s="114">
        <f>VLOOKUP(A215,'[2]Billing Dimensions'!$A:$N,6,FALSE)-VLOOKUP(A215,'Audit Dimensions'!$A:$N,6,FALSE)</f>
        <v>-70</v>
      </c>
      <c r="G215" s="107">
        <f>VLOOKUP(A215,'[2]Billing Dimensions'!$A:$N,7,FALSE)-VLOOKUP(A215,'Audit Dimensions'!$A:$N,7,FALSE)</f>
        <v>0</v>
      </c>
      <c r="H215" s="107">
        <f>VLOOKUP(A215,'[2]Billing Dimensions'!$A:$N,8,FALSE)-VLOOKUP(A215,'Audit Dimensions'!$A:$N,8,FALSE)</f>
        <v>0</v>
      </c>
      <c r="I215" s="107">
        <f>VLOOKUP(A215,'[2]Billing Dimensions'!$A:$N,9,FALSE)-VLOOKUP(A215,'Audit Dimensions'!$A:$N,9,FALSE)</f>
        <v>0</v>
      </c>
      <c r="J215" s="106">
        <f>VLOOKUP(A215,'[2]Billing Dimensions'!$A:$N,10,FALSE)-VLOOKUP(A215,'Audit Dimensions'!$A:$N,10,FALSE)</f>
        <v>0</v>
      </c>
      <c r="K215" s="105">
        <f>VLOOKUP(A215,'[2]Billing Dimensions'!$A:$N,11,FALSE)-VLOOKUP(A215,'Audit Dimensions'!$A:$N,11,FALSE)</f>
        <v>0</v>
      </c>
      <c r="L215" s="105">
        <f>VLOOKUP(A215,'[2]Billing Dimensions'!$A:$N,12,FALSE)-VLOOKUP(A215,'Audit Dimensions'!$A:$N,12,FALSE)</f>
        <v>0</v>
      </c>
      <c r="M215" s="105">
        <f>VLOOKUP(A215,'[2]Billing Dimensions'!$A:$N,13,FALSE)-VLOOKUP(A215,'Audit Dimensions'!$A:$N,13,FALSE)</f>
        <v>0</v>
      </c>
      <c r="N215" s="105">
        <f>VLOOKUP(A215,'[2]Billing Dimensions'!$A:$N,14,FALSE)-VLOOKUP(A215,'Audit Dimensions'!$A:$N,14,FALSE)</f>
        <v>0</v>
      </c>
      <c r="O215" s="104">
        <f>VLOOKUP(A215,'[2]Billing Dimensions'!A:Q,16,FALSE)-VLOOKUP('Audit VAR'!A215,'Audit Dimensions'!A:P,16,FALSE)</f>
        <v>-70</v>
      </c>
      <c r="P215" s="103">
        <f>O215/1000</f>
        <v>-7.0000000000000007E-2</v>
      </c>
      <c r="Q215" s="102">
        <f>(((C215*D215*E215)+(G215*H215*I215)+(K215*L215*M215))/1000000)*35.32</f>
        <v>7.0640000000000001E-5</v>
      </c>
      <c r="R215" s="46">
        <f>P215/Q215</f>
        <v>-990.93997734994343</v>
      </c>
    </row>
    <row r="216" spans="1:18" hidden="1" x14ac:dyDescent="0.3">
      <c r="A216" s="122" t="s">
        <v>326</v>
      </c>
      <c r="B216" s="88" t="str">
        <f>VLOOKUP(A216,'[2]Billing Dimensions'!A:B,2,FALSE)</f>
        <v>SB</v>
      </c>
      <c r="C216" s="115" t="e">
        <f>VLOOKUP(A216,'[2]Billing Dimensions'!$A:$N,3,FALSE)-VLOOKUP(A216,'Audit Dimensions'!$A:$N,3,FALSE)</f>
        <v>#N/A</v>
      </c>
      <c r="D216" s="115" t="e">
        <f>VLOOKUP(A216,'[2]Billing Dimensions'!$A:$N,4,FALSE)-VLOOKUP(A216,'Audit Dimensions'!$A:$N,4,FALSE)</f>
        <v>#N/A</v>
      </c>
      <c r="E216" s="115" t="e">
        <f>VLOOKUP(A216,'[2]Billing Dimensions'!$A:$N,5,FALSE)-VLOOKUP(A216,'Audit Dimensions'!$A:$N,5,FALSE)</f>
        <v>#N/A</v>
      </c>
      <c r="F216" s="114" t="e">
        <f>VLOOKUP(A216,'[2]Billing Dimensions'!$A:$N,6,FALSE)-VLOOKUP(A216,'Audit Dimensions'!$A:$N,6,FALSE)</f>
        <v>#N/A</v>
      </c>
      <c r="G216" s="107" t="e">
        <f>VLOOKUP(A216,'[2]Billing Dimensions'!$A:$N,7,FALSE)-VLOOKUP(A216,'Audit Dimensions'!$A:$N,7,FALSE)</f>
        <v>#N/A</v>
      </c>
      <c r="H216" s="107" t="e">
        <f>VLOOKUP(A216,'[2]Billing Dimensions'!$A:$N,8,FALSE)-VLOOKUP(A216,'Audit Dimensions'!$A:$N,8,FALSE)</f>
        <v>#N/A</v>
      </c>
      <c r="I216" s="107" t="e">
        <f>VLOOKUP(A216,'[2]Billing Dimensions'!$A:$N,9,FALSE)-VLOOKUP(A216,'Audit Dimensions'!$A:$N,9,FALSE)</f>
        <v>#N/A</v>
      </c>
      <c r="J216" s="106" t="e">
        <f>VLOOKUP(A216,'[2]Billing Dimensions'!$A:$N,10,FALSE)-VLOOKUP(A216,'Audit Dimensions'!$A:$N,10,FALSE)</f>
        <v>#N/A</v>
      </c>
      <c r="K216" s="105" t="e">
        <f>VLOOKUP(A216,'[2]Billing Dimensions'!$A:$N,11,FALSE)-VLOOKUP(A216,'Audit Dimensions'!$A:$N,11,FALSE)</f>
        <v>#N/A</v>
      </c>
      <c r="L216" s="105" t="e">
        <f>VLOOKUP(A216,'[2]Billing Dimensions'!$A:$N,12,FALSE)-VLOOKUP(A216,'Audit Dimensions'!$A:$N,12,FALSE)</f>
        <v>#N/A</v>
      </c>
      <c r="M216" s="105" t="e">
        <f>VLOOKUP(A216,'[2]Billing Dimensions'!$A:$N,13,FALSE)-VLOOKUP(A216,'Audit Dimensions'!$A:$N,13,FALSE)</f>
        <v>#N/A</v>
      </c>
      <c r="N216" s="105" t="e">
        <f>VLOOKUP(A216,'[2]Billing Dimensions'!$A:$N,14,FALSE)-VLOOKUP(A216,'Audit Dimensions'!$A:$N,14,FALSE)</f>
        <v>#N/A</v>
      </c>
      <c r="O216" s="104" t="e">
        <f>VLOOKUP(A216,'[2]Billing Dimensions'!A:Q,16,FALSE)-VLOOKUP('Audit VAR'!A216,'Audit Dimensions'!A:P,16,FALSE)</f>
        <v>#N/A</v>
      </c>
      <c r="P216" s="103" t="e">
        <f>O216/1000</f>
        <v>#N/A</v>
      </c>
      <c r="Q216" s="102" t="e">
        <f>(((C216*D216*E216)+(G216*H216*I216)+(K216*L216*M216))/1000000)*35.32</f>
        <v>#N/A</v>
      </c>
      <c r="R216" s="46" t="e">
        <f>P216/Q216</f>
        <v>#N/A</v>
      </c>
    </row>
    <row r="217" spans="1:18" hidden="1" x14ac:dyDescent="0.3">
      <c r="A217" s="122" t="s">
        <v>101</v>
      </c>
      <c r="B217" s="88" t="str">
        <f>VLOOKUP(A217,'[2]Billing Dimensions'!A:B,2,FALSE)</f>
        <v>SB</v>
      </c>
      <c r="C217" s="115">
        <f>VLOOKUP(A217,'[2]Billing Dimensions'!$A:$N,3,FALSE)-VLOOKUP(A217,'Audit Dimensions'!$A:$N,3,FALSE)</f>
        <v>-2</v>
      </c>
      <c r="D217" s="115">
        <f>VLOOKUP(A217,'[2]Billing Dimensions'!$A:$N,4,FALSE)-VLOOKUP(A217,'Audit Dimensions'!$A:$N,4,FALSE)</f>
        <v>4</v>
      </c>
      <c r="E217" s="115">
        <f>VLOOKUP(A217,'[2]Billing Dimensions'!$A:$N,5,FALSE)-VLOOKUP(A217,'Audit Dimensions'!$A:$N,5,FALSE)</f>
        <v>4</v>
      </c>
      <c r="F217" s="114">
        <f>VLOOKUP(A217,'[2]Billing Dimensions'!$A:$N,6,FALSE)-VLOOKUP(A217,'Audit Dimensions'!$A:$N,6,FALSE)</f>
        <v>-1510</v>
      </c>
      <c r="G217" s="107">
        <f>VLOOKUP(A217,'[2]Billing Dimensions'!$A:$N,7,FALSE)-VLOOKUP(A217,'Audit Dimensions'!$A:$N,7,FALSE)</f>
        <v>0</v>
      </c>
      <c r="H217" s="107">
        <f>VLOOKUP(A217,'[2]Billing Dimensions'!$A:$N,8,FALSE)-VLOOKUP(A217,'Audit Dimensions'!$A:$N,8,FALSE)</f>
        <v>0</v>
      </c>
      <c r="I217" s="107">
        <f>VLOOKUP(A217,'[2]Billing Dimensions'!$A:$N,9,FALSE)-VLOOKUP(A217,'Audit Dimensions'!$A:$N,9,FALSE)</f>
        <v>0</v>
      </c>
      <c r="J217" s="106">
        <f>VLOOKUP(A217,'[2]Billing Dimensions'!$A:$N,10,FALSE)-VLOOKUP(A217,'Audit Dimensions'!$A:$N,10,FALSE)</f>
        <v>0</v>
      </c>
      <c r="K217" s="105">
        <f>VLOOKUP(A217,'[2]Billing Dimensions'!$A:$N,11,FALSE)-VLOOKUP(A217,'Audit Dimensions'!$A:$N,11,FALSE)</f>
        <v>0</v>
      </c>
      <c r="L217" s="105">
        <f>VLOOKUP(A217,'[2]Billing Dimensions'!$A:$N,12,FALSE)-VLOOKUP(A217,'Audit Dimensions'!$A:$N,12,FALSE)</f>
        <v>0</v>
      </c>
      <c r="M217" s="105">
        <f>VLOOKUP(A217,'[2]Billing Dimensions'!$A:$N,13,FALSE)-VLOOKUP(A217,'Audit Dimensions'!$A:$N,13,FALSE)</f>
        <v>0</v>
      </c>
      <c r="N217" s="105">
        <f>VLOOKUP(A217,'[2]Billing Dimensions'!$A:$N,14,FALSE)-VLOOKUP(A217,'Audit Dimensions'!$A:$N,14,FALSE)</f>
        <v>0</v>
      </c>
      <c r="O217" s="104">
        <f>VLOOKUP(A217,'[2]Billing Dimensions'!A:Q,16,FALSE)-VLOOKUP('Audit VAR'!A217,'Audit Dimensions'!A:P,16,FALSE)</f>
        <v>-1510</v>
      </c>
      <c r="P217" s="103">
        <f>O217/1000</f>
        <v>-1.51</v>
      </c>
      <c r="Q217" s="102">
        <f>(((C217*D217*E217)+(G217*H217*I217)+(K217*L217*M217))/1000000)*35.32</f>
        <v>-1.13024E-3</v>
      </c>
      <c r="R217" s="46">
        <f>P217/Q217</f>
        <v>1335.9994337485844</v>
      </c>
    </row>
    <row r="218" spans="1:18" hidden="1" x14ac:dyDescent="0.3">
      <c r="A218" s="122" t="s">
        <v>100</v>
      </c>
      <c r="B218" s="88" t="str">
        <f>VLOOKUP(A218,'[2]Billing Dimensions'!A:B,2,FALSE)</f>
        <v>SB</v>
      </c>
      <c r="C218" s="115">
        <f>VLOOKUP(A218,'[2]Billing Dimensions'!$A:$N,3,FALSE)-VLOOKUP(A218,'Audit Dimensions'!$A:$N,3,FALSE)</f>
        <v>8</v>
      </c>
      <c r="D218" s="115">
        <f>VLOOKUP(A218,'[2]Billing Dimensions'!$A:$N,4,FALSE)-VLOOKUP(A218,'Audit Dimensions'!$A:$N,4,FALSE)</f>
        <v>5</v>
      </c>
      <c r="E218" s="115">
        <f>VLOOKUP(A218,'[2]Billing Dimensions'!$A:$N,5,FALSE)-VLOOKUP(A218,'Audit Dimensions'!$A:$N,5,FALSE)</f>
        <v>-1</v>
      </c>
      <c r="F218" s="114">
        <f>VLOOKUP(A218,'[2]Billing Dimensions'!$A:$N,6,FALSE)-VLOOKUP(A218,'Audit Dimensions'!$A:$N,6,FALSE)</f>
        <v>1250</v>
      </c>
      <c r="G218" s="107">
        <f>VLOOKUP(A218,'[2]Billing Dimensions'!$A:$N,7,FALSE)-VLOOKUP(A218,'Audit Dimensions'!$A:$N,7,FALSE)</f>
        <v>0</v>
      </c>
      <c r="H218" s="107">
        <f>VLOOKUP(A218,'[2]Billing Dimensions'!$A:$N,8,FALSE)-VLOOKUP(A218,'Audit Dimensions'!$A:$N,8,FALSE)</f>
        <v>0</v>
      </c>
      <c r="I218" s="107">
        <f>VLOOKUP(A218,'[2]Billing Dimensions'!$A:$N,9,FALSE)-VLOOKUP(A218,'Audit Dimensions'!$A:$N,9,FALSE)</f>
        <v>0</v>
      </c>
      <c r="J218" s="106">
        <f>VLOOKUP(A218,'[2]Billing Dimensions'!$A:$N,10,FALSE)-VLOOKUP(A218,'Audit Dimensions'!$A:$N,10,FALSE)</f>
        <v>0</v>
      </c>
      <c r="K218" s="105">
        <f>VLOOKUP(A218,'[2]Billing Dimensions'!$A:$N,11,FALSE)-VLOOKUP(A218,'Audit Dimensions'!$A:$N,11,FALSE)</f>
        <v>0</v>
      </c>
      <c r="L218" s="105">
        <f>VLOOKUP(A218,'[2]Billing Dimensions'!$A:$N,12,FALSE)-VLOOKUP(A218,'Audit Dimensions'!$A:$N,12,FALSE)</f>
        <v>0</v>
      </c>
      <c r="M218" s="105">
        <f>VLOOKUP(A218,'[2]Billing Dimensions'!$A:$N,13,FALSE)-VLOOKUP(A218,'Audit Dimensions'!$A:$N,13,FALSE)</f>
        <v>0</v>
      </c>
      <c r="N218" s="105">
        <f>VLOOKUP(A218,'[2]Billing Dimensions'!$A:$N,14,FALSE)-VLOOKUP(A218,'Audit Dimensions'!$A:$N,14,FALSE)</f>
        <v>0</v>
      </c>
      <c r="O218" s="104">
        <f>VLOOKUP(A218,'[2]Billing Dimensions'!A:Q,16,FALSE)-VLOOKUP('Audit VAR'!A218,'Audit Dimensions'!A:P,16,FALSE)</f>
        <v>1250</v>
      </c>
      <c r="P218" s="103">
        <f>O218/1000</f>
        <v>1.25</v>
      </c>
      <c r="Q218" s="102">
        <f>(((C218*D218*E218)+(G218*H218*I218)+(K218*L218*M218))/1000000)*35.32</f>
        <v>-1.4128000000000001E-3</v>
      </c>
      <c r="R218" s="46">
        <f>P218/Q218</f>
        <v>-884.76783691959224</v>
      </c>
    </row>
    <row r="219" spans="1:18" hidden="1" x14ac:dyDescent="0.3">
      <c r="A219" s="123" t="s">
        <v>99</v>
      </c>
      <c r="B219" s="88" t="str">
        <f>VLOOKUP(A219,'[2]Billing Dimensions'!A:B,2,FALSE)</f>
        <v>SB</v>
      </c>
      <c r="C219" s="115">
        <f>VLOOKUP(A219,'[2]Billing Dimensions'!$A:$N,3,FALSE)-VLOOKUP(A219,'Audit Dimensions'!$A:$N,3,FALSE)</f>
        <v>-4</v>
      </c>
      <c r="D219" s="115">
        <f>VLOOKUP(A219,'[2]Billing Dimensions'!$A:$N,4,FALSE)-VLOOKUP(A219,'Audit Dimensions'!$A:$N,4,FALSE)</f>
        <v>-1</v>
      </c>
      <c r="E219" s="115">
        <f>VLOOKUP(A219,'[2]Billing Dimensions'!$A:$N,5,FALSE)-VLOOKUP(A219,'Audit Dimensions'!$A:$N,5,FALSE)</f>
        <v>-10</v>
      </c>
      <c r="F219" s="114">
        <f>VLOOKUP(A219,'[2]Billing Dimensions'!$A:$N,6,FALSE)-VLOOKUP(A219,'Audit Dimensions'!$A:$N,6,FALSE)</f>
        <v>-3710</v>
      </c>
      <c r="G219" s="107">
        <f>VLOOKUP(A219,'[2]Billing Dimensions'!$A:$N,7,FALSE)-VLOOKUP(A219,'Audit Dimensions'!$A:$N,7,FALSE)</f>
        <v>0</v>
      </c>
      <c r="H219" s="107">
        <f>VLOOKUP(A219,'[2]Billing Dimensions'!$A:$N,8,FALSE)-VLOOKUP(A219,'Audit Dimensions'!$A:$N,8,FALSE)</f>
        <v>0</v>
      </c>
      <c r="I219" s="107">
        <f>VLOOKUP(A219,'[2]Billing Dimensions'!$A:$N,9,FALSE)-VLOOKUP(A219,'Audit Dimensions'!$A:$N,9,FALSE)</f>
        <v>0</v>
      </c>
      <c r="J219" s="106">
        <f>VLOOKUP(A219,'[2]Billing Dimensions'!$A:$N,10,FALSE)-VLOOKUP(A219,'Audit Dimensions'!$A:$N,10,FALSE)</f>
        <v>0</v>
      </c>
      <c r="K219" s="105">
        <f>VLOOKUP(A219,'[2]Billing Dimensions'!$A:$N,11,FALSE)-VLOOKUP(A219,'Audit Dimensions'!$A:$N,11,FALSE)</f>
        <v>0</v>
      </c>
      <c r="L219" s="105">
        <f>VLOOKUP(A219,'[2]Billing Dimensions'!$A:$N,12,FALSE)-VLOOKUP(A219,'Audit Dimensions'!$A:$N,12,FALSE)</f>
        <v>0</v>
      </c>
      <c r="M219" s="105">
        <f>VLOOKUP(A219,'[2]Billing Dimensions'!$A:$N,13,FALSE)-VLOOKUP(A219,'Audit Dimensions'!$A:$N,13,FALSE)</f>
        <v>0</v>
      </c>
      <c r="N219" s="105">
        <f>VLOOKUP(A219,'[2]Billing Dimensions'!$A:$N,14,FALSE)-VLOOKUP(A219,'Audit Dimensions'!$A:$N,14,FALSE)</f>
        <v>0</v>
      </c>
      <c r="O219" s="104">
        <f>VLOOKUP(A219,'[2]Billing Dimensions'!A:Q,16,FALSE)-VLOOKUP('Audit VAR'!A219,'Audit Dimensions'!A:P,16,FALSE)</f>
        <v>-3710</v>
      </c>
      <c r="P219" s="103">
        <f>O219/1000</f>
        <v>-3.71</v>
      </c>
      <c r="Q219" s="102">
        <f>(((C219*D219*E219)+(G219*H219*I219)+(K219*L219*M219))/1000000)*35.32</f>
        <v>-1.4128000000000001E-3</v>
      </c>
      <c r="R219" s="46">
        <f>P219/Q219</f>
        <v>2625.9909399773496</v>
      </c>
    </row>
    <row r="220" spans="1:18" hidden="1" x14ac:dyDescent="0.3">
      <c r="A220" s="123" t="s">
        <v>98</v>
      </c>
      <c r="B220" s="88" t="str">
        <f>VLOOKUP(A220,'[2]Billing Dimensions'!A:B,2,FALSE)</f>
        <v>MB</v>
      </c>
      <c r="C220" s="115">
        <f>VLOOKUP(A220,'[2]Billing Dimensions'!$A:$N,3,FALSE)-VLOOKUP(A220,'Audit Dimensions'!$A:$N,3,FALSE)</f>
        <v>1</v>
      </c>
      <c r="D220" s="115">
        <f>VLOOKUP(A220,'[2]Billing Dimensions'!$A:$N,4,FALSE)-VLOOKUP(A220,'Audit Dimensions'!$A:$N,4,FALSE)</f>
        <v>-1</v>
      </c>
      <c r="E220" s="115">
        <f>VLOOKUP(A220,'[2]Billing Dimensions'!$A:$N,5,FALSE)-VLOOKUP(A220,'Audit Dimensions'!$A:$N,5,FALSE)</f>
        <v>0</v>
      </c>
      <c r="F220" s="114">
        <f>VLOOKUP(A220,'[2]Billing Dimensions'!$A:$N,6,FALSE)-VLOOKUP(A220,'Audit Dimensions'!$A:$N,6,FALSE)</f>
        <v>-1780</v>
      </c>
      <c r="G220" s="107">
        <f>VLOOKUP(A220,'[2]Billing Dimensions'!$A:$N,7,FALSE)-VLOOKUP(A220,'Audit Dimensions'!$A:$N,7,FALSE)</f>
        <v>0</v>
      </c>
      <c r="H220" s="107">
        <f>VLOOKUP(A220,'[2]Billing Dimensions'!$A:$N,8,FALSE)-VLOOKUP(A220,'Audit Dimensions'!$A:$N,8,FALSE)</f>
        <v>-1</v>
      </c>
      <c r="I220" s="107">
        <f>VLOOKUP(A220,'[2]Billing Dimensions'!$A:$N,9,FALSE)-VLOOKUP(A220,'Audit Dimensions'!$A:$N,9,FALSE)</f>
        <v>0</v>
      </c>
      <c r="J220" s="106">
        <f>VLOOKUP(A220,'[2]Billing Dimensions'!$A:$N,10,FALSE)-VLOOKUP(A220,'Audit Dimensions'!$A:$N,10,FALSE)</f>
        <v>-355</v>
      </c>
      <c r="K220" s="105">
        <f>VLOOKUP(A220,'[2]Billing Dimensions'!$A:$N,11,FALSE)-VLOOKUP(A220,'Audit Dimensions'!$A:$N,11,FALSE)</f>
        <v>0</v>
      </c>
      <c r="L220" s="105">
        <f>VLOOKUP(A220,'[2]Billing Dimensions'!$A:$N,12,FALSE)-VLOOKUP(A220,'Audit Dimensions'!$A:$N,12,FALSE)</f>
        <v>0</v>
      </c>
      <c r="M220" s="105">
        <f>VLOOKUP(A220,'[2]Billing Dimensions'!$A:$N,13,FALSE)-VLOOKUP(A220,'Audit Dimensions'!$A:$N,13,FALSE)</f>
        <v>0</v>
      </c>
      <c r="N220" s="105">
        <f>VLOOKUP(A220,'[2]Billing Dimensions'!$A:$N,14,FALSE)-VLOOKUP(A220,'Audit Dimensions'!$A:$N,14,FALSE)</f>
        <v>0</v>
      </c>
      <c r="O220" s="104">
        <f>VLOOKUP(A220,'[2]Billing Dimensions'!A:Q,16,FALSE)-VLOOKUP('Audit VAR'!A220,'Audit Dimensions'!A:P,16,FALSE)</f>
        <v>-2135</v>
      </c>
      <c r="P220" s="103">
        <f>O220/1000</f>
        <v>-2.1349999999999998</v>
      </c>
      <c r="Q220" s="102">
        <f>(((C220*D220*E220)+(G220*H220*I220)+(K220*L220*M220))/1000000)*35.32</f>
        <v>0</v>
      </c>
      <c r="R220" s="46" t="e">
        <f>P220/Q220</f>
        <v>#DIV/0!</v>
      </c>
    </row>
    <row r="221" spans="1:18" hidden="1" x14ac:dyDescent="0.3">
      <c r="A221" s="123" t="s">
        <v>96</v>
      </c>
      <c r="B221" s="88" t="str">
        <f>VLOOKUP(A221,'[2]Billing Dimensions'!A:B,2,FALSE)</f>
        <v>SB</v>
      </c>
      <c r="C221" s="115">
        <f>VLOOKUP(A221,'[2]Billing Dimensions'!$A:$N,3,FALSE)-VLOOKUP(A221,'Audit Dimensions'!$A:$N,3,FALSE)</f>
        <v>0</v>
      </c>
      <c r="D221" s="115">
        <f>VLOOKUP(A221,'[2]Billing Dimensions'!$A:$N,4,FALSE)-VLOOKUP(A221,'Audit Dimensions'!$A:$N,4,FALSE)</f>
        <v>1</v>
      </c>
      <c r="E221" s="115">
        <f>VLOOKUP(A221,'[2]Billing Dimensions'!$A:$N,5,FALSE)-VLOOKUP(A221,'Audit Dimensions'!$A:$N,5,FALSE)</f>
        <v>0</v>
      </c>
      <c r="F221" s="114">
        <f>VLOOKUP(A221,'[2]Billing Dimensions'!$A:$N,6,FALSE)-VLOOKUP(A221,'Audit Dimensions'!$A:$N,6,FALSE)</f>
        <v>490</v>
      </c>
      <c r="G221" s="107">
        <f>VLOOKUP(A221,'[2]Billing Dimensions'!$A:$N,7,FALSE)-VLOOKUP(A221,'Audit Dimensions'!$A:$N,7,FALSE)</f>
        <v>0</v>
      </c>
      <c r="H221" s="107">
        <f>VLOOKUP(A221,'[2]Billing Dimensions'!$A:$N,8,FALSE)-VLOOKUP(A221,'Audit Dimensions'!$A:$N,8,FALSE)</f>
        <v>0</v>
      </c>
      <c r="I221" s="107">
        <f>VLOOKUP(A221,'[2]Billing Dimensions'!$A:$N,9,FALSE)-VLOOKUP(A221,'Audit Dimensions'!$A:$N,9,FALSE)</f>
        <v>0</v>
      </c>
      <c r="J221" s="106">
        <f>VLOOKUP(A221,'[2]Billing Dimensions'!$A:$N,10,FALSE)-VLOOKUP(A221,'Audit Dimensions'!$A:$N,10,FALSE)</f>
        <v>0</v>
      </c>
      <c r="K221" s="105">
        <f>VLOOKUP(A221,'[2]Billing Dimensions'!$A:$N,11,FALSE)-VLOOKUP(A221,'Audit Dimensions'!$A:$N,11,FALSE)</f>
        <v>0</v>
      </c>
      <c r="L221" s="105">
        <f>VLOOKUP(A221,'[2]Billing Dimensions'!$A:$N,12,FALSE)-VLOOKUP(A221,'Audit Dimensions'!$A:$N,12,FALSE)</f>
        <v>0</v>
      </c>
      <c r="M221" s="105">
        <f>VLOOKUP(A221,'[2]Billing Dimensions'!$A:$N,13,FALSE)-VLOOKUP(A221,'Audit Dimensions'!$A:$N,13,FALSE)</f>
        <v>0</v>
      </c>
      <c r="N221" s="105">
        <f>VLOOKUP(A221,'[2]Billing Dimensions'!$A:$N,14,FALSE)-VLOOKUP(A221,'Audit Dimensions'!$A:$N,14,FALSE)</f>
        <v>0</v>
      </c>
      <c r="O221" s="104">
        <f>VLOOKUP(A221,'[2]Billing Dimensions'!A:Q,16,FALSE)-VLOOKUP('Audit VAR'!A221,'Audit Dimensions'!A:P,16,FALSE)</f>
        <v>490</v>
      </c>
      <c r="P221" s="103">
        <f>O221/1000</f>
        <v>0.49</v>
      </c>
      <c r="Q221" s="102">
        <f>(((C221*D221*E221)+(G221*H221*I221)+(K221*L221*M221))/1000000)*35.32</f>
        <v>0</v>
      </c>
      <c r="R221" s="46" t="e">
        <f>P221/Q221</f>
        <v>#DIV/0!</v>
      </c>
    </row>
    <row r="222" spans="1:18" hidden="1" x14ac:dyDescent="0.3">
      <c r="A222" s="123" t="s">
        <v>95</v>
      </c>
      <c r="B222" s="88" t="e">
        <f>VLOOKUP(A222,'[2]Billing Dimensions'!A:B,2,FALSE)</f>
        <v>#N/A</v>
      </c>
      <c r="C222" s="115" t="e">
        <f>VLOOKUP(A222,'[2]Billing Dimensions'!$A:$N,3,FALSE)-VLOOKUP(A222,'Audit Dimensions'!$A:$N,3,FALSE)</f>
        <v>#N/A</v>
      </c>
      <c r="D222" s="115" t="e">
        <f>VLOOKUP(A222,'[2]Billing Dimensions'!$A:$N,4,FALSE)-VLOOKUP(A222,'Audit Dimensions'!$A:$N,4,FALSE)</f>
        <v>#N/A</v>
      </c>
      <c r="E222" s="115" t="e">
        <f>VLOOKUP(A222,'[2]Billing Dimensions'!$A:$N,5,FALSE)-VLOOKUP(A222,'Audit Dimensions'!$A:$N,5,FALSE)</f>
        <v>#N/A</v>
      </c>
      <c r="F222" s="114" t="e">
        <f>VLOOKUP(A222,'[2]Billing Dimensions'!$A:$N,6,FALSE)-VLOOKUP(A222,'Audit Dimensions'!$A:$N,6,FALSE)</f>
        <v>#N/A</v>
      </c>
      <c r="G222" s="107" t="e">
        <f>VLOOKUP(A222,'[2]Billing Dimensions'!$A:$N,7,FALSE)-VLOOKUP(A222,'Audit Dimensions'!$A:$N,7,FALSE)</f>
        <v>#N/A</v>
      </c>
      <c r="H222" s="107" t="e">
        <f>VLOOKUP(A222,'[2]Billing Dimensions'!$A:$N,8,FALSE)-VLOOKUP(A222,'Audit Dimensions'!$A:$N,8,FALSE)</f>
        <v>#N/A</v>
      </c>
      <c r="I222" s="107" t="e">
        <f>VLOOKUP(A222,'[2]Billing Dimensions'!$A:$N,9,FALSE)-VLOOKUP(A222,'Audit Dimensions'!$A:$N,9,FALSE)</f>
        <v>#N/A</v>
      </c>
      <c r="J222" s="106" t="e">
        <f>VLOOKUP(A222,'[2]Billing Dimensions'!$A:$N,10,FALSE)-VLOOKUP(A222,'Audit Dimensions'!$A:$N,10,FALSE)</f>
        <v>#N/A</v>
      </c>
      <c r="K222" s="105" t="e">
        <f>VLOOKUP(A222,'[2]Billing Dimensions'!$A:$N,11,FALSE)-VLOOKUP(A222,'Audit Dimensions'!$A:$N,11,FALSE)</f>
        <v>#N/A</v>
      </c>
      <c r="L222" s="105" t="e">
        <f>VLOOKUP(A222,'[2]Billing Dimensions'!$A:$N,12,FALSE)-VLOOKUP(A222,'Audit Dimensions'!$A:$N,12,FALSE)</f>
        <v>#N/A</v>
      </c>
      <c r="M222" s="105" t="e">
        <f>VLOOKUP(A222,'[2]Billing Dimensions'!$A:$N,13,FALSE)-VLOOKUP(A222,'Audit Dimensions'!$A:$N,13,FALSE)</f>
        <v>#N/A</v>
      </c>
      <c r="N222" s="105" t="e">
        <f>VLOOKUP(A222,'[2]Billing Dimensions'!$A:$N,14,FALSE)-VLOOKUP(A222,'Audit Dimensions'!$A:$N,14,FALSE)</f>
        <v>#N/A</v>
      </c>
      <c r="O222" s="104" t="e">
        <f>VLOOKUP(A222,'[2]Billing Dimensions'!A:Q,16,FALSE)-VLOOKUP('Audit VAR'!A222,'Audit Dimensions'!A:P,16,FALSE)</f>
        <v>#N/A</v>
      </c>
      <c r="P222" s="103" t="e">
        <f>O222/1000</f>
        <v>#N/A</v>
      </c>
      <c r="Q222" s="102" t="e">
        <f>(((C222*D222*E222)+(G222*H222*I222)+(K222*L222*M222))/1000000)*35.32</f>
        <v>#N/A</v>
      </c>
      <c r="R222" s="46" t="e">
        <f>P222/Q222</f>
        <v>#N/A</v>
      </c>
    </row>
    <row r="223" spans="1:18" hidden="1" x14ac:dyDescent="0.3">
      <c r="A223" s="123" t="s">
        <v>94</v>
      </c>
      <c r="B223" s="88" t="str">
        <f>VLOOKUP(A223,'[2]Billing Dimensions'!A:B,2,FALSE)</f>
        <v>SB</v>
      </c>
      <c r="C223" s="115">
        <f>VLOOKUP(A223,'[2]Billing Dimensions'!$A:$N,3,FALSE)-VLOOKUP(A223,'Audit Dimensions'!$A:$N,3,FALSE)</f>
        <v>0</v>
      </c>
      <c r="D223" s="115">
        <f>VLOOKUP(A223,'[2]Billing Dimensions'!$A:$N,4,FALSE)-VLOOKUP(A223,'Audit Dimensions'!$A:$N,4,FALSE)</f>
        <v>-1</v>
      </c>
      <c r="E223" s="115">
        <f>VLOOKUP(A223,'[2]Billing Dimensions'!$A:$N,5,FALSE)-VLOOKUP(A223,'Audit Dimensions'!$A:$N,5,FALSE)</f>
        <v>0</v>
      </c>
      <c r="F223" s="114">
        <f>VLOOKUP(A223,'[2]Billing Dimensions'!$A:$N,6,FALSE)-VLOOKUP(A223,'Audit Dimensions'!$A:$N,6,FALSE)</f>
        <v>-40</v>
      </c>
      <c r="G223" s="107">
        <f>VLOOKUP(A223,'[2]Billing Dimensions'!$A:$N,7,FALSE)-VLOOKUP(A223,'Audit Dimensions'!$A:$N,7,FALSE)</f>
        <v>0</v>
      </c>
      <c r="H223" s="107">
        <f>VLOOKUP(A223,'[2]Billing Dimensions'!$A:$N,8,FALSE)-VLOOKUP(A223,'Audit Dimensions'!$A:$N,8,FALSE)</f>
        <v>0</v>
      </c>
      <c r="I223" s="107">
        <f>VLOOKUP(A223,'[2]Billing Dimensions'!$A:$N,9,FALSE)-VLOOKUP(A223,'Audit Dimensions'!$A:$N,9,FALSE)</f>
        <v>0</v>
      </c>
      <c r="J223" s="106">
        <f>VLOOKUP(A223,'[2]Billing Dimensions'!$A:$N,10,FALSE)-VLOOKUP(A223,'Audit Dimensions'!$A:$N,10,FALSE)</f>
        <v>0</v>
      </c>
      <c r="K223" s="105">
        <f>VLOOKUP(A223,'[2]Billing Dimensions'!$A:$N,11,FALSE)-VLOOKUP(A223,'Audit Dimensions'!$A:$N,11,FALSE)</f>
        <v>0</v>
      </c>
      <c r="L223" s="105">
        <f>VLOOKUP(A223,'[2]Billing Dimensions'!$A:$N,12,FALSE)-VLOOKUP(A223,'Audit Dimensions'!$A:$N,12,FALSE)</f>
        <v>0</v>
      </c>
      <c r="M223" s="105">
        <f>VLOOKUP(A223,'[2]Billing Dimensions'!$A:$N,13,FALSE)-VLOOKUP(A223,'Audit Dimensions'!$A:$N,13,FALSE)</f>
        <v>0</v>
      </c>
      <c r="N223" s="105">
        <f>VLOOKUP(A223,'[2]Billing Dimensions'!$A:$N,14,FALSE)-VLOOKUP(A223,'Audit Dimensions'!$A:$N,14,FALSE)</f>
        <v>0</v>
      </c>
      <c r="O223" s="104">
        <f>VLOOKUP(A223,'[2]Billing Dimensions'!A:Q,16,FALSE)-VLOOKUP('Audit VAR'!A223,'Audit Dimensions'!A:P,16,FALSE)</f>
        <v>-40</v>
      </c>
      <c r="P223" s="103">
        <f>O223/1000</f>
        <v>-0.04</v>
      </c>
      <c r="Q223" s="102">
        <f>(((C223*D223*E223)+(G223*H223*I223)+(K223*L223*M223))/1000000)*35.32</f>
        <v>0</v>
      </c>
      <c r="R223" s="46" t="e">
        <f>P223/Q223</f>
        <v>#DIV/0!</v>
      </c>
    </row>
    <row r="224" spans="1:18" hidden="1" x14ac:dyDescent="0.3">
      <c r="A224" s="118" t="s">
        <v>93</v>
      </c>
      <c r="B224" s="88" t="e">
        <f>VLOOKUP(A224,'[2]Billing Dimensions'!A:B,2,FALSE)</f>
        <v>#N/A</v>
      </c>
      <c r="C224" s="115" t="e">
        <f>VLOOKUP(A224,'[2]Billing Dimensions'!$A:$N,3,FALSE)-VLOOKUP(A224,'Audit Dimensions'!$A:$N,3,FALSE)</f>
        <v>#N/A</v>
      </c>
      <c r="D224" s="115" t="e">
        <f>VLOOKUP(A224,'[2]Billing Dimensions'!$A:$N,4,FALSE)-VLOOKUP(A224,'Audit Dimensions'!$A:$N,4,FALSE)</f>
        <v>#N/A</v>
      </c>
      <c r="E224" s="115" t="e">
        <f>VLOOKUP(A224,'[2]Billing Dimensions'!$A:$N,5,FALSE)-VLOOKUP(A224,'Audit Dimensions'!$A:$N,5,FALSE)</f>
        <v>#N/A</v>
      </c>
      <c r="F224" s="114" t="e">
        <f>VLOOKUP(A224,'[2]Billing Dimensions'!$A:$N,6,FALSE)-VLOOKUP(A224,'Audit Dimensions'!$A:$N,6,FALSE)</f>
        <v>#N/A</v>
      </c>
      <c r="G224" s="107" t="e">
        <f>VLOOKUP(A224,'[2]Billing Dimensions'!$A:$N,7,FALSE)-VLOOKUP(A224,'Audit Dimensions'!$A:$N,7,FALSE)</f>
        <v>#N/A</v>
      </c>
      <c r="H224" s="107" t="e">
        <f>VLOOKUP(A224,'[2]Billing Dimensions'!$A:$N,8,FALSE)-VLOOKUP(A224,'Audit Dimensions'!$A:$N,8,FALSE)</f>
        <v>#N/A</v>
      </c>
      <c r="I224" s="107" t="e">
        <f>VLOOKUP(A224,'[2]Billing Dimensions'!$A:$N,9,FALSE)-VLOOKUP(A224,'Audit Dimensions'!$A:$N,9,FALSE)</f>
        <v>#N/A</v>
      </c>
      <c r="J224" s="106" t="e">
        <f>VLOOKUP(A224,'[2]Billing Dimensions'!$A:$N,10,FALSE)-VLOOKUP(A224,'Audit Dimensions'!$A:$N,10,FALSE)</f>
        <v>#N/A</v>
      </c>
      <c r="K224" s="105" t="e">
        <f>VLOOKUP(A224,'[2]Billing Dimensions'!$A:$N,11,FALSE)-VLOOKUP(A224,'Audit Dimensions'!$A:$N,11,FALSE)</f>
        <v>#N/A</v>
      </c>
      <c r="L224" s="105" t="e">
        <f>VLOOKUP(A224,'[2]Billing Dimensions'!$A:$N,12,FALSE)-VLOOKUP(A224,'Audit Dimensions'!$A:$N,12,FALSE)</f>
        <v>#N/A</v>
      </c>
      <c r="M224" s="105" t="e">
        <f>VLOOKUP(A224,'[2]Billing Dimensions'!$A:$N,13,FALSE)-VLOOKUP(A224,'Audit Dimensions'!$A:$N,13,FALSE)</f>
        <v>#N/A</v>
      </c>
      <c r="N224" s="105" t="e">
        <f>VLOOKUP(A224,'[2]Billing Dimensions'!$A:$N,14,FALSE)-VLOOKUP(A224,'Audit Dimensions'!$A:$N,14,FALSE)</f>
        <v>#N/A</v>
      </c>
      <c r="O224" s="104" t="e">
        <f>VLOOKUP(A224,'[2]Billing Dimensions'!A:Q,16,FALSE)-VLOOKUP('Audit VAR'!A224,'Audit Dimensions'!A:P,16,FALSE)</f>
        <v>#N/A</v>
      </c>
      <c r="P224" s="103" t="e">
        <f>O224/1000</f>
        <v>#N/A</v>
      </c>
      <c r="Q224" s="102" t="e">
        <f>(((C224*D224*E224)+(G224*H224*I224)+(K224*L224*M224))/1000000)*35.32</f>
        <v>#N/A</v>
      </c>
      <c r="R224" s="46" t="e">
        <f>P224/Q224</f>
        <v>#N/A</v>
      </c>
    </row>
    <row r="225" spans="1:18" hidden="1" x14ac:dyDescent="0.3">
      <c r="A225" s="122" t="s">
        <v>92</v>
      </c>
      <c r="B225" s="88" t="str">
        <f>VLOOKUP(A225,'[2]Billing Dimensions'!A:B,2,FALSE)</f>
        <v>SB</v>
      </c>
      <c r="C225" s="115">
        <f>VLOOKUP(A225,'[2]Billing Dimensions'!$A:$N,3,FALSE)-VLOOKUP(A225,'Audit Dimensions'!$A:$N,3,FALSE)</f>
        <v>128</v>
      </c>
      <c r="D225" s="115">
        <f>VLOOKUP(A225,'[2]Billing Dimensions'!$A:$N,4,FALSE)-VLOOKUP(A225,'Audit Dimensions'!$A:$N,4,FALSE)</f>
        <v>30</v>
      </c>
      <c r="E225" s="115">
        <f>VLOOKUP(A225,'[2]Billing Dimensions'!$A:$N,5,FALSE)-VLOOKUP(A225,'Audit Dimensions'!$A:$N,5,FALSE)</f>
        <v>9</v>
      </c>
      <c r="F225" s="114">
        <f>VLOOKUP(A225,'[2]Billing Dimensions'!$A:$N,6,FALSE)-VLOOKUP(A225,'Audit Dimensions'!$A:$N,6,FALSE)</f>
        <v>24000</v>
      </c>
      <c r="G225" s="107">
        <f>VLOOKUP(A225,'[2]Billing Dimensions'!$A:$N,7,FALSE)-VLOOKUP(A225,'Audit Dimensions'!$A:$N,7,FALSE)</f>
        <v>0</v>
      </c>
      <c r="H225" s="107">
        <f>VLOOKUP(A225,'[2]Billing Dimensions'!$A:$N,8,FALSE)-VLOOKUP(A225,'Audit Dimensions'!$A:$N,8,FALSE)</f>
        <v>0</v>
      </c>
      <c r="I225" s="107">
        <f>VLOOKUP(A225,'[2]Billing Dimensions'!$A:$N,9,FALSE)-VLOOKUP(A225,'Audit Dimensions'!$A:$N,9,FALSE)</f>
        <v>0</v>
      </c>
      <c r="J225" s="106">
        <f>VLOOKUP(A225,'[2]Billing Dimensions'!$A:$N,10,FALSE)-VLOOKUP(A225,'Audit Dimensions'!$A:$N,10,FALSE)</f>
        <v>0</v>
      </c>
      <c r="K225" s="105">
        <f>VLOOKUP(A225,'[2]Billing Dimensions'!$A:$N,11,FALSE)-VLOOKUP(A225,'Audit Dimensions'!$A:$N,11,FALSE)</f>
        <v>0</v>
      </c>
      <c r="L225" s="105">
        <f>VLOOKUP(A225,'[2]Billing Dimensions'!$A:$N,12,FALSE)-VLOOKUP(A225,'Audit Dimensions'!$A:$N,12,FALSE)</f>
        <v>0</v>
      </c>
      <c r="M225" s="105">
        <f>VLOOKUP(A225,'[2]Billing Dimensions'!$A:$N,13,FALSE)-VLOOKUP(A225,'Audit Dimensions'!$A:$N,13,FALSE)</f>
        <v>0</v>
      </c>
      <c r="N225" s="105">
        <f>VLOOKUP(A225,'[2]Billing Dimensions'!$A:$N,14,FALSE)-VLOOKUP(A225,'Audit Dimensions'!$A:$N,14,FALSE)</f>
        <v>0</v>
      </c>
      <c r="O225" s="104">
        <f>VLOOKUP(A225,'[2]Billing Dimensions'!A:Q,16,FALSE)-VLOOKUP('Audit VAR'!A225,'Audit Dimensions'!A:P,16,FALSE)</f>
        <v>24000</v>
      </c>
      <c r="P225" s="103">
        <f>O225/1000</f>
        <v>24</v>
      </c>
      <c r="Q225" s="102">
        <f>(((C225*D225*E225)+(G225*H225*I225)+(K225*L225*M225))/1000000)*35.32</f>
        <v>1.2206592000000001</v>
      </c>
      <c r="R225" s="46">
        <f>P225/Q225</f>
        <v>19.66150748710205</v>
      </c>
    </row>
    <row r="226" spans="1:18" hidden="1" x14ac:dyDescent="0.3">
      <c r="A226" s="123" t="s">
        <v>91</v>
      </c>
      <c r="B226" s="88" t="str">
        <f>VLOOKUP(A226,'[2]Billing Dimensions'!A:B,2,FALSE)</f>
        <v>SB</v>
      </c>
      <c r="C226" s="115">
        <f>VLOOKUP(A226,'[2]Billing Dimensions'!$A:$N,3,FALSE)-VLOOKUP(A226,'Audit Dimensions'!$A:$N,3,FALSE)</f>
        <v>0</v>
      </c>
      <c r="D226" s="115">
        <f>VLOOKUP(A226,'[2]Billing Dimensions'!$A:$N,4,FALSE)-VLOOKUP(A226,'Audit Dimensions'!$A:$N,4,FALSE)</f>
        <v>2</v>
      </c>
      <c r="E226" s="115">
        <f>VLOOKUP(A226,'[2]Billing Dimensions'!$A:$N,5,FALSE)-VLOOKUP(A226,'Audit Dimensions'!$A:$N,5,FALSE)</f>
        <v>-10</v>
      </c>
      <c r="F226" s="114">
        <f>VLOOKUP(A226,'[2]Billing Dimensions'!$A:$N,6,FALSE)-VLOOKUP(A226,'Audit Dimensions'!$A:$N,6,FALSE)</f>
        <v>-2850</v>
      </c>
      <c r="G226" s="107">
        <f>VLOOKUP(A226,'[2]Billing Dimensions'!$A:$N,7,FALSE)-VLOOKUP(A226,'Audit Dimensions'!$A:$N,7,FALSE)</f>
        <v>0</v>
      </c>
      <c r="H226" s="107">
        <f>VLOOKUP(A226,'[2]Billing Dimensions'!$A:$N,8,FALSE)-VLOOKUP(A226,'Audit Dimensions'!$A:$N,8,FALSE)</f>
        <v>0</v>
      </c>
      <c r="I226" s="107">
        <f>VLOOKUP(A226,'[2]Billing Dimensions'!$A:$N,9,FALSE)-VLOOKUP(A226,'Audit Dimensions'!$A:$N,9,FALSE)</f>
        <v>0</v>
      </c>
      <c r="J226" s="106">
        <f>VLOOKUP(A226,'[2]Billing Dimensions'!$A:$N,10,FALSE)-VLOOKUP(A226,'Audit Dimensions'!$A:$N,10,FALSE)</f>
        <v>0</v>
      </c>
      <c r="K226" s="105">
        <f>VLOOKUP(A226,'[2]Billing Dimensions'!$A:$N,11,FALSE)-VLOOKUP(A226,'Audit Dimensions'!$A:$N,11,FALSE)</f>
        <v>0</v>
      </c>
      <c r="L226" s="105">
        <f>VLOOKUP(A226,'[2]Billing Dimensions'!$A:$N,12,FALSE)-VLOOKUP(A226,'Audit Dimensions'!$A:$N,12,FALSE)</f>
        <v>0</v>
      </c>
      <c r="M226" s="105">
        <f>VLOOKUP(A226,'[2]Billing Dimensions'!$A:$N,13,FALSE)-VLOOKUP(A226,'Audit Dimensions'!$A:$N,13,FALSE)</f>
        <v>0</v>
      </c>
      <c r="N226" s="105">
        <f>VLOOKUP(A226,'[2]Billing Dimensions'!$A:$N,14,FALSE)-VLOOKUP(A226,'Audit Dimensions'!$A:$N,14,FALSE)</f>
        <v>0</v>
      </c>
      <c r="O226" s="104">
        <f>VLOOKUP(A226,'[2]Billing Dimensions'!A:Q,16,FALSE)-VLOOKUP('Audit VAR'!A226,'Audit Dimensions'!A:P,16,FALSE)</f>
        <v>-2850</v>
      </c>
      <c r="P226" s="103">
        <f>O226/1000</f>
        <v>-2.85</v>
      </c>
      <c r="Q226" s="102">
        <f>(((C226*D226*E226)+(G226*H226*I226)+(K226*L226*M226))/1000000)*35.32</f>
        <v>0</v>
      </c>
      <c r="R226" s="46" t="e">
        <f>P226/Q226</f>
        <v>#DIV/0!</v>
      </c>
    </row>
    <row r="227" spans="1:18" hidden="1" x14ac:dyDescent="0.3">
      <c r="A227" s="123" t="s">
        <v>90</v>
      </c>
      <c r="B227" s="88" t="str">
        <f>VLOOKUP(A227,'[2]Billing Dimensions'!A:B,2,FALSE)</f>
        <v>SB</v>
      </c>
      <c r="C227" s="115">
        <f>VLOOKUP(A227,'[2]Billing Dimensions'!$A:$N,3,FALSE)-VLOOKUP(A227,'Audit Dimensions'!$A:$N,3,FALSE)</f>
        <v>0</v>
      </c>
      <c r="D227" s="115">
        <f>VLOOKUP(A227,'[2]Billing Dimensions'!$A:$N,4,FALSE)-VLOOKUP(A227,'Audit Dimensions'!$A:$N,4,FALSE)</f>
        <v>0</v>
      </c>
      <c r="E227" s="115">
        <f>VLOOKUP(A227,'[2]Billing Dimensions'!$A:$N,5,FALSE)-VLOOKUP(A227,'Audit Dimensions'!$A:$N,5,FALSE)</f>
        <v>0</v>
      </c>
      <c r="F227" s="114">
        <f>VLOOKUP(A227,'[2]Billing Dimensions'!$A:$N,6,FALSE)-VLOOKUP(A227,'Audit Dimensions'!$A:$N,6,FALSE)</f>
        <v>-669</v>
      </c>
      <c r="G227" s="107">
        <f>VLOOKUP(A227,'[2]Billing Dimensions'!$A:$N,7,FALSE)-VLOOKUP(A227,'Audit Dimensions'!$A:$N,7,FALSE)</f>
        <v>0</v>
      </c>
      <c r="H227" s="107">
        <f>VLOOKUP(A227,'[2]Billing Dimensions'!$A:$N,8,FALSE)-VLOOKUP(A227,'Audit Dimensions'!$A:$N,8,FALSE)</f>
        <v>0</v>
      </c>
      <c r="I227" s="107">
        <f>VLOOKUP(A227,'[2]Billing Dimensions'!$A:$N,9,FALSE)-VLOOKUP(A227,'Audit Dimensions'!$A:$N,9,FALSE)</f>
        <v>0</v>
      </c>
      <c r="J227" s="106">
        <f>VLOOKUP(A227,'[2]Billing Dimensions'!$A:$N,10,FALSE)-VLOOKUP(A227,'Audit Dimensions'!$A:$N,10,FALSE)</f>
        <v>0</v>
      </c>
      <c r="K227" s="105">
        <f>VLOOKUP(A227,'[2]Billing Dimensions'!$A:$N,11,FALSE)-VLOOKUP(A227,'Audit Dimensions'!$A:$N,11,FALSE)</f>
        <v>0</v>
      </c>
      <c r="L227" s="105">
        <f>VLOOKUP(A227,'[2]Billing Dimensions'!$A:$N,12,FALSE)-VLOOKUP(A227,'Audit Dimensions'!$A:$N,12,FALSE)</f>
        <v>0</v>
      </c>
      <c r="M227" s="105">
        <f>VLOOKUP(A227,'[2]Billing Dimensions'!$A:$N,13,FALSE)-VLOOKUP(A227,'Audit Dimensions'!$A:$N,13,FALSE)</f>
        <v>0</v>
      </c>
      <c r="N227" s="105">
        <f>VLOOKUP(A227,'[2]Billing Dimensions'!$A:$N,14,FALSE)-VLOOKUP(A227,'Audit Dimensions'!$A:$N,14,FALSE)</f>
        <v>0</v>
      </c>
      <c r="O227" s="104">
        <f>VLOOKUP(A227,'[2]Billing Dimensions'!A:Q,16,FALSE)-VLOOKUP('Audit VAR'!A227,'Audit Dimensions'!A:P,16,FALSE)</f>
        <v>-669</v>
      </c>
      <c r="P227" s="103">
        <f>O227/1000</f>
        <v>-0.66900000000000004</v>
      </c>
      <c r="Q227" s="102">
        <f>(((C227*D227*E227)+(G227*H227*I227)+(K227*L227*M227))/1000000)*35.32</f>
        <v>0</v>
      </c>
      <c r="R227" s="46" t="e">
        <f>P227/Q227</f>
        <v>#DIV/0!</v>
      </c>
    </row>
    <row r="228" spans="1:18" hidden="1" x14ac:dyDescent="0.3">
      <c r="A228" s="123" t="s">
        <v>89</v>
      </c>
      <c r="B228" s="88" t="str">
        <f>VLOOKUP(A228,'[2]Billing Dimensions'!A:B,2,FALSE)</f>
        <v>SB</v>
      </c>
      <c r="C228" s="115">
        <f>VLOOKUP(A228,'[2]Billing Dimensions'!$A:$N,3,FALSE)-VLOOKUP(A228,'Audit Dimensions'!$A:$N,3,FALSE)</f>
        <v>0</v>
      </c>
      <c r="D228" s="115">
        <f>VLOOKUP(A228,'[2]Billing Dimensions'!$A:$N,4,FALSE)-VLOOKUP(A228,'Audit Dimensions'!$A:$N,4,FALSE)</f>
        <v>0</v>
      </c>
      <c r="E228" s="115">
        <f>VLOOKUP(A228,'[2]Billing Dimensions'!$A:$N,5,FALSE)-VLOOKUP(A228,'Audit Dimensions'!$A:$N,5,FALSE)</f>
        <v>-1</v>
      </c>
      <c r="F228" s="114">
        <f>VLOOKUP(A228,'[2]Billing Dimensions'!$A:$N,6,FALSE)-VLOOKUP(A228,'Audit Dimensions'!$A:$N,6,FALSE)</f>
        <v>-510</v>
      </c>
      <c r="G228" s="107">
        <f>VLOOKUP(A228,'[2]Billing Dimensions'!$A:$N,7,FALSE)-VLOOKUP(A228,'Audit Dimensions'!$A:$N,7,FALSE)</f>
        <v>0</v>
      </c>
      <c r="H228" s="107">
        <f>VLOOKUP(A228,'[2]Billing Dimensions'!$A:$N,8,FALSE)-VLOOKUP(A228,'Audit Dimensions'!$A:$N,8,FALSE)</f>
        <v>0</v>
      </c>
      <c r="I228" s="107">
        <f>VLOOKUP(A228,'[2]Billing Dimensions'!$A:$N,9,FALSE)-VLOOKUP(A228,'Audit Dimensions'!$A:$N,9,FALSE)</f>
        <v>0</v>
      </c>
      <c r="J228" s="106">
        <f>VLOOKUP(A228,'[2]Billing Dimensions'!$A:$N,10,FALSE)-VLOOKUP(A228,'Audit Dimensions'!$A:$N,10,FALSE)</f>
        <v>0</v>
      </c>
      <c r="K228" s="105">
        <f>VLOOKUP(A228,'[2]Billing Dimensions'!$A:$N,11,FALSE)-VLOOKUP(A228,'Audit Dimensions'!$A:$N,11,FALSE)</f>
        <v>0</v>
      </c>
      <c r="L228" s="105">
        <f>VLOOKUP(A228,'[2]Billing Dimensions'!$A:$N,12,FALSE)-VLOOKUP(A228,'Audit Dimensions'!$A:$N,12,FALSE)</f>
        <v>0</v>
      </c>
      <c r="M228" s="105">
        <f>VLOOKUP(A228,'[2]Billing Dimensions'!$A:$N,13,FALSE)-VLOOKUP(A228,'Audit Dimensions'!$A:$N,13,FALSE)</f>
        <v>0</v>
      </c>
      <c r="N228" s="105">
        <f>VLOOKUP(A228,'[2]Billing Dimensions'!$A:$N,14,FALSE)-VLOOKUP(A228,'Audit Dimensions'!$A:$N,14,FALSE)</f>
        <v>0</v>
      </c>
      <c r="O228" s="104">
        <f>VLOOKUP(A228,'[2]Billing Dimensions'!A:Q,16,FALSE)-VLOOKUP('Audit VAR'!A228,'Audit Dimensions'!A:P,16,FALSE)</f>
        <v>-510</v>
      </c>
      <c r="P228" s="103">
        <f>O228/1000</f>
        <v>-0.51</v>
      </c>
      <c r="Q228" s="102">
        <f>(((C228*D228*E228)+(G228*H228*I228)+(K228*L228*M228))/1000000)*35.32</f>
        <v>0</v>
      </c>
      <c r="R228" s="46" t="e">
        <f>P228/Q228</f>
        <v>#DIV/0!</v>
      </c>
    </row>
    <row r="229" spans="1:18" hidden="1" x14ac:dyDescent="0.3">
      <c r="A229" s="123" t="s">
        <v>88</v>
      </c>
      <c r="B229" s="88" t="str">
        <f>VLOOKUP(A229,'[2]Billing Dimensions'!A:B,2,FALSE)</f>
        <v>SB</v>
      </c>
      <c r="C229" s="115">
        <f>VLOOKUP(A229,'[2]Billing Dimensions'!$A:$N,3,FALSE)-VLOOKUP(A229,'Audit Dimensions'!$A:$N,3,FALSE)</f>
        <v>-1</v>
      </c>
      <c r="D229" s="115">
        <f>VLOOKUP(A229,'[2]Billing Dimensions'!$A:$N,4,FALSE)-VLOOKUP(A229,'Audit Dimensions'!$A:$N,4,FALSE)</f>
        <v>1</v>
      </c>
      <c r="E229" s="115">
        <f>VLOOKUP(A229,'[2]Billing Dimensions'!$A:$N,5,FALSE)-VLOOKUP(A229,'Audit Dimensions'!$A:$N,5,FALSE)</f>
        <v>-1</v>
      </c>
      <c r="F229" s="114">
        <f>VLOOKUP(A229,'[2]Billing Dimensions'!$A:$N,6,FALSE)-VLOOKUP(A229,'Audit Dimensions'!$A:$N,6,FALSE)</f>
        <v>-1410</v>
      </c>
      <c r="G229" s="107">
        <f>VLOOKUP(A229,'[2]Billing Dimensions'!$A:$N,7,FALSE)-VLOOKUP(A229,'Audit Dimensions'!$A:$N,7,FALSE)</f>
        <v>0</v>
      </c>
      <c r="H229" s="107">
        <f>VLOOKUP(A229,'[2]Billing Dimensions'!$A:$N,8,FALSE)-VLOOKUP(A229,'Audit Dimensions'!$A:$N,8,FALSE)</f>
        <v>0</v>
      </c>
      <c r="I229" s="107">
        <f>VLOOKUP(A229,'[2]Billing Dimensions'!$A:$N,9,FALSE)-VLOOKUP(A229,'Audit Dimensions'!$A:$N,9,FALSE)</f>
        <v>0</v>
      </c>
      <c r="J229" s="106">
        <f>VLOOKUP(A229,'[2]Billing Dimensions'!$A:$N,10,FALSE)-VLOOKUP(A229,'Audit Dimensions'!$A:$N,10,FALSE)</f>
        <v>0</v>
      </c>
      <c r="K229" s="105">
        <f>VLOOKUP(A229,'[2]Billing Dimensions'!$A:$N,11,FALSE)-VLOOKUP(A229,'Audit Dimensions'!$A:$N,11,FALSE)</f>
        <v>0</v>
      </c>
      <c r="L229" s="105">
        <f>VLOOKUP(A229,'[2]Billing Dimensions'!$A:$N,12,FALSE)-VLOOKUP(A229,'Audit Dimensions'!$A:$N,12,FALSE)</f>
        <v>0</v>
      </c>
      <c r="M229" s="105">
        <f>VLOOKUP(A229,'[2]Billing Dimensions'!$A:$N,13,FALSE)-VLOOKUP(A229,'Audit Dimensions'!$A:$N,13,FALSE)</f>
        <v>0</v>
      </c>
      <c r="N229" s="105">
        <f>VLOOKUP(A229,'[2]Billing Dimensions'!$A:$N,14,FALSE)-VLOOKUP(A229,'Audit Dimensions'!$A:$N,14,FALSE)</f>
        <v>0</v>
      </c>
      <c r="O229" s="104">
        <f>VLOOKUP(A229,'[2]Billing Dimensions'!A:Q,16,FALSE)-VLOOKUP('Audit VAR'!A229,'Audit Dimensions'!A:P,16,FALSE)</f>
        <v>-1410</v>
      </c>
      <c r="P229" s="103">
        <f>O229/1000</f>
        <v>-1.41</v>
      </c>
      <c r="Q229" s="102">
        <f>(((C229*D229*E229)+(G229*H229*I229)+(K229*L229*M229))/1000000)*35.32</f>
        <v>3.5320000000000001E-5</v>
      </c>
      <c r="R229" s="46">
        <f>P229/Q229</f>
        <v>-39920.724801812001</v>
      </c>
    </row>
    <row r="230" spans="1:18" hidden="1" x14ac:dyDescent="0.3">
      <c r="A230" s="123" t="s">
        <v>87</v>
      </c>
      <c r="B230" s="88" t="str">
        <f>VLOOKUP(A230,'[2]Billing Dimensions'!A:B,2,FALSE)</f>
        <v>SB</v>
      </c>
      <c r="C230" s="115">
        <f>VLOOKUP(A230,'[2]Billing Dimensions'!$A:$N,3,FALSE)-VLOOKUP(A230,'Audit Dimensions'!$A:$N,3,FALSE)</f>
        <v>10</v>
      </c>
      <c r="D230" s="115">
        <f>VLOOKUP(A230,'[2]Billing Dimensions'!$A:$N,4,FALSE)-VLOOKUP(A230,'Audit Dimensions'!$A:$N,4,FALSE)</f>
        <v>7</v>
      </c>
      <c r="E230" s="115">
        <f>VLOOKUP(A230,'[2]Billing Dimensions'!$A:$N,5,FALSE)-VLOOKUP(A230,'Audit Dimensions'!$A:$N,5,FALSE)</f>
        <v>-2</v>
      </c>
      <c r="F230" s="114">
        <f>VLOOKUP(A230,'[2]Billing Dimensions'!$A:$N,6,FALSE)-VLOOKUP(A230,'Audit Dimensions'!$A:$N,6,FALSE)</f>
        <v>-1450</v>
      </c>
      <c r="G230" s="107">
        <f>VLOOKUP(A230,'[2]Billing Dimensions'!$A:$N,7,FALSE)-VLOOKUP(A230,'Audit Dimensions'!$A:$N,7,FALSE)</f>
        <v>0</v>
      </c>
      <c r="H230" s="107">
        <f>VLOOKUP(A230,'[2]Billing Dimensions'!$A:$N,8,FALSE)-VLOOKUP(A230,'Audit Dimensions'!$A:$N,8,FALSE)</f>
        <v>0</v>
      </c>
      <c r="I230" s="107">
        <f>VLOOKUP(A230,'[2]Billing Dimensions'!$A:$N,9,FALSE)-VLOOKUP(A230,'Audit Dimensions'!$A:$N,9,FALSE)</f>
        <v>0</v>
      </c>
      <c r="J230" s="106">
        <f>VLOOKUP(A230,'[2]Billing Dimensions'!$A:$N,10,FALSE)-VLOOKUP(A230,'Audit Dimensions'!$A:$N,10,FALSE)</f>
        <v>0</v>
      </c>
      <c r="K230" s="105">
        <f>VLOOKUP(A230,'[2]Billing Dimensions'!$A:$N,11,FALSE)-VLOOKUP(A230,'Audit Dimensions'!$A:$N,11,FALSE)</f>
        <v>0</v>
      </c>
      <c r="L230" s="105">
        <f>VLOOKUP(A230,'[2]Billing Dimensions'!$A:$N,12,FALSE)-VLOOKUP(A230,'Audit Dimensions'!$A:$N,12,FALSE)</f>
        <v>0</v>
      </c>
      <c r="M230" s="105">
        <f>VLOOKUP(A230,'[2]Billing Dimensions'!$A:$N,13,FALSE)-VLOOKUP(A230,'Audit Dimensions'!$A:$N,13,FALSE)</f>
        <v>0</v>
      </c>
      <c r="N230" s="105">
        <f>VLOOKUP(A230,'[2]Billing Dimensions'!$A:$N,14,FALSE)-VLOOKUP(A230,'Audit Dimensions'!$A:$N,14,FALSE)</f>
        <v>0</v>
      </c>
      <c r="O230" s="104">
        <f>VLOOKUP(A230,'[2]Billing Dimensions'!A:Q,16,FALSE)-VLOOKUP('Audit VAR'!A230,'Audit Dimensions'!A:P,16,FALSE)</f>
        <v>-1450</v>
      </c>
      <c r="P230" s="103">
        <f>O230/1000</f>
        <v>-1.45</v>
      </c>
      <c r="Q230" s="102">
        <f>(((C230*D230*E230)+(G230*H230*I230)+(K230*L230*M230))/1000000)*35.32</f>
        <v>-4.9447999999999992E-3</v>
      </c>
      <c r="R230" s="46">
        <f>P230/Q230</f>
        <v>293.23734023620779</v>
      </c>
    </row>
    <row r="231" spans="1:18" hidden="1" x14ac:dyDescent="0.3">
      <c r="A231" s="123" t="s">
        <v>86</v>
      </c>
      <c r="B231" s="88" t="str">
        <f>VLOOKUP(A231,'[2]Billing Dimensions'!A:B,2,FALSE)</f>
        <v>SB</v>
      </c>
      <c r="C231" s="115">
        <f>VLOOKUP(A231,'[2]Billing Dimensions'!$A:$N,3,FALSE)-VLOOKUP(A231,'Audit Dimensions'!$A:$N,3,FALSE)</f>
        <v>-2</v>
      </c>
      <c r="D231" s="115">
        <f>VLOOKUP(A231,'[2]Billing Dimensions'!$A:$N,4,FALSE)-VLOOKUP(A231,'Audit Dimensions'!$A:$N,4,FALSE)</f>
        <v>9</v>
      </c>
      <c r="E231" s="115">
        <f>VLOOKUP(A231,'[2]Billing Dimensions'!$A:$N,5,FALSE)-VLOOKUP(A231,'Audit Dimensions'!$A:$N,5,FALSE)</f>
        <v>0</v>
      </c>
      <c r="F231" s="114">
        <f>VLOOKUP(A231,'[2]Billing Dimensions'!$A:$N,6,FALSE)-VLOOKUP(A231,'Audit Dimensions'!$A:$N,6,FALSE)</f>
        <v>-550</v>
      </c>
      <c r="G231" s="107">
        <f>VLOOKUP(A231,'[2]Billing Dimensions'!$A:$N,7,FALSE)-VLOOKUP(A231,'Audit Dimensions'!$A:$N,7,FALSE)</f>
        <v>0</v>
      </c>
      <c r="H231" s="107">
        <f>VLOOKUP(A231,'[2]Billing Dimensions'!$A:$N,8,FALSE)-VLOOKUP(A231,'Audit Dimensions'!$A:$N,8,FALSE)</f>
        <v>0</v>
      </c>
      <c r="I231" s="107">
        <f>VLOOKUP(A231,'[2]Billing Dimensions'!$A:$N,9,FALSE)-VLOOKUP(A231,'Audit Dimensions'!$A:$N,9,FALSE)</f>
        <v>0</v>
      </c>
      <c r="J231" s="106">
        <f>VLOOKUP(A231,'[2]Billing Dimensions'!$A:$N,10,FALSE)-VLOOKUP(A231,'Audit Dimensions'!$A:$N,10,FALSE)</f>
        <v>0</v>
      </c>
      <c r="K231" s="105">
        <f>VLOOKUP(A231,'[2]Billing Dimensions'!$A:$N,11,FALSE)-VLOOKUP(A231,'Audit Dimensions'!$A:$N,11,FALSE)</f>
        <v>0</v>
      </c>
      <c r="L231" s="105">
        <f>VLOOKUP(A231,'[2]Billing Dimensions'!$A:$N,12,FALSE)-VLOOKUP(A231,'Audit Dimensions'!$A:$N,12,FALSE)</f>
        <v>0</v>
      </c>
      <c r="M231" s="105">
        <f>VLOOKUP(A231,'[2]Billing Dimensions'!$A:$N,13,FALSE)-VLOOKUP(A231,'Audit Dimensions'!$A:$N,13,FALSE)</f>
        <v>0</v>
      </c>
      <c r="N231" s="105">
        <f>VLOOKUP(A231,'[2]Billing Dimensions'!$A:$N,14,FALSE)-VLOOKUP(A231,'Audit Dimensions'!$A:$N,14,FALSE)</f>
        <v>0</v>
      </c>
      <c r="O231" s="104">
        <f>VLOOKUP(A231,'[2]Billing Dimensions'!A:Q,16,FALSE)-VLOOKUP('Audit VAR'!A231,'Audit Dimensions'!A:P,16,FALSE)</f>
        <v>-550</v>
      </c>
      <c r="P231" s="103">
        <f>O231/1000</f>
        <v>-0.55000000000000004</v>
      </c>
      <c r="Q231" s="102">
        <f>(((C231*D231*E231)+(G231*H231*I231)+(K231*L231*M231))/1000000)*35.32</f>
        <v>0</v>
      </c>
      <c r="R231" s="46" t="e">
        <f>P231/Q231</f>
        <v>#DIV/0!</v>
      </c>
    </row>
    <row r="232" spans="1:18" hidden="1" x14ac:dyDescent="0.3">
      <c r="A232" s="122" t="s">
        <v>60</v>
      </c>
      <c r="B232" s="88" t="str">
        <f>VLOOKUP(A232,'[2]Billing Dimensions'!A:B,2,FALSE)</f>
        <v>SB</v>
      </c>
      <c r="C232" s="115">
        <f>VLOOKUP(A232,'[2]Billing Dimensions'!$A:$N,3,FALSE)-VLOOKUP(A232,'Audit Dimensions'!$A:$N,3,FALSE)</f>
        <v>-1</v>
      </c>
      <c r="D232" s="115">
        <f>VLOOKUP(A232,'[2]Billing Dimensions'!$A:$N,4,FALSE)-VLOOKUP(A232,'Audit Dimensions'!$A:$N,4,FALSE)</f>
        <v>0</v>
      </c>
      <c r="E232" s="115">
        <f>VLOOKUP(A232,'[2]Billing Dimensions'!$A:$N,5,FALSE)-VLOOKUP(A232,'Audit Dimensions'!$A:$N,5,FALSE)</f>
        <v>0</v>
      </c>
      <c r="F232" s="114">
        <f>VLOOKUP(A232,'[2]Billing Dimensions'!$A:$N,6,FALSE)-VLOOKUP(A232,'Audit Dimensions'!$A:$N,6,FALSE)</f>
        <v>-665</v>
      </c>
      <c r="G232" s="107">
        <f>VLOOKUP(A232,'[2]Billing Dimensions'!$A:$N,7,FALSE)-VLOOKUP(A232,'Audit Dimensions'!$A:$N,7,FALSE)</f>
        <v>0</v>
      </c>
      <c r="H232" s="107">
        <f>VLOOKUP(A232,'[2]Billing Dimensions'!$A:$N,8,FALSE)-VLOOKUP(A232,'Audit Dimensions'!$A:$N,8,FALSE)</f>
        <v>0</v>
      </c>
      <c r="I232" s="107">
        <f>VLOOKUP(A232,'[2]Billing Dimensions'!$A:$N,9,FALSE)-VLOOKUP(A232,'Audit Dimensions'!$A:$N,9,FALSE)</f>
        <v>0</v>
      </c>
      <c r="J232" s="106">
        <f>VLOOKUP(A232,'[2]Billing Dimensions'!$A:$N,10,FALSE)-VLOOKUP(A232,'Audit Dimensions'!$A:$N,10,FALSE)</f>
        <v>0</v>
      </c>
      <c r="K232" s="105">
        <f>VLOOKUP(A232,'[2]Billing Dimensions'!$A:$N,11,FALSE)-VLOOKUP(A232,'Audit Dimensions'!$A:$N,11,FALSE)</f>
        <v>0</v>
      </c>
      <c r="L232" s="105">
        <f>VLOOKUP(A232,'[2]Billing Dimensions'!$A:$N,12,FALSE)-VLOOKUP(A232,'Audit Dimensions'!$A:$N,12,FALSE)</f>
        <v>0</v>
      </c>
      <c r="M232" s="105">
        <f>VLOOKUP(A232,'[2]Billing Dimensions'!$A:$N,13,FALSE)-VLOOKUP(A232,'Audit Dimensions'!$A:$N,13,FALSE)</f>
        <v>0</v>
      </c>
      <c r="N232" s="105">
        <f>VLOOKUP(A232,'[2]Billing Dimensions'!$A:$N,14,FALSE)-VLOOKUP(A232,'Audit Dimensions'!$A:$N,14,FALSE)</f>
        <v>0</v>
      </c>
      <c r="O232" s="104">
        <f>VLOOKUP(A232,'[2]Billing Dimensions'!A:Q,16,FALSE)-VLOOKUP('Audit VAR'!A232,'Audit Dimensions'!A:P,16,FALSE)</f>
        <v>-665</v>
      </c>
      <c r="P232" s="103">
        <f>O232/1000</f>
        <v>-0.66500000000000004</v>
      </c>
      <c r="Q232" s="102">
        <f>(((C232*D232*E232)+(G232*H232*I232)+(K232*L232*M232))/1000000)*35.32</f>
        <v>0</v>
      </c>
      <c r="R232" s="46" t="e">
        <f>P232/Q232</f>
        <v>#DIV/0!</v>
      </c>
    </row>
    <row r="233" spans="1:18" hidden="1" x14ac:dyDescent="0.3">
      <c r="A233" s="123" t="s">
        <v>82</v>
      </c>
      <c r="B233" s="88" t="str">
        <f>VLOOKUP(A233,'[2]Billing Dimensions'!A:B,2,FALSE)</f>
        <v>SB</v>
      </c>
      <c r="C233" s="115">
        <f>VLOOKUP(A233,'[2]Billing Dimensions'!$A:$N,3,FALSE)-VLOOKUP(A233,'Audit Dimensions'!$A:$N,3,FALSE)</f>
        <v>28</v>
      </c>
      <c r="D233" s="115">
        <f>VLOOKUP(A233,'[2]Billing Dimensions'!$A:$N,4,FALSE)-VLOOKUP(A233,'Audit Dimensions'!$A:$N,4,FALSE)</f>
        <v>-1</v>
      </c>
      <c r="E233" s="115">
        <f>VLOOKUP(A233,'[2]Billing Dimensions'!$A:$N,5,FALSE)-VLOOKUP(A233,'Audit Dimensions'!$A:$N,5,FALSE)</f>
        <v>-4</v>
      </c>
      <c r="F233" s="114">
        <f>VLOOKUP(A233,'[2]Billing Dimensions'!$A:$N,6,FALSE)-VLOOKUP(A233,'Audit Dimensions'!$A:$N,6,FALSE)</f>
        <v>-17300</v>
      </c>
      <c r="G233" s="107">
        <f>VLOOKUP(A233,'[2]Billing Dimensions'!$A:$N,7,FALSE)-VLOOKUP(A233,'Audit Dimensions'!$A:$N,7,FALSE)</f>
        <v>0</v>
      </c>
      <c r="H233" s="107">
        <f>VLOOKUP(A233,'[2]Billing Dimensions'!$A:$N,8,FALSE)-VLOOKUP(A233,'Audit Dimensions'!$A:$N,8,FALSE)</f>
        <v>0</v>
      </c>
      <c r="I233" s="107">
        <f>VLOOKUP(A233,'[2]Billing Dimensions'!$A:$N,9,FALSE)-VLOOKUP(A233,'Audit Dimensions'!$A:$N,9,FALSE)</f>
        <v>0</v>
      </c>
      <c r="J233" s="106">
        <f>VLOOKUP(A233,'[2]Billing Dimensions'!$A:$N,10,FALSE)-VLOOKUP(A233,'Audit Dimensions'!$A:$N,10,FALSE)</f>
        <v>0</v>
      </c>
      <c r="K233" s="105">
        <f>VLOOKUP(A233,'[2]Billing Dimensions'!$A:$N,11,FALSE)-VLOOKUP(A233,'Audit Dimensions'!$A:$N,11,FALSE)</f>
        <v>0</v>
      </c>
      <c r="L233" s="105">
        <f>VLOOKUP(A233,'[2]Billing Dimensions'!$A:$N,12,FALSE)-VLOOKUP(A233,'Audit Dimensions'!$A:$N,12,FALSE)</f>
        <v>0</v>
      </c>
      <c r="M233" s="105">
        <f>VLOOKUP(A233,'[2]Billing Dimensions'!$A:$N,13,FALSE)-VLOOKUP(A233,'Audit Dimensions'!$A:$N,13,FALSE)</f>
        <v>0</v>
      </c>
      <c r="N233" s="105">
        <f>VLOOKUP(A233,'[2]Billing Dimensions'!$A:$N,14,FALSE)-VLOOKUP(A233,'Audit Dimensions'!$A:$N,14,FALSE)</f>
        <v>0</v>
      </c>
      <c r="O233" s="104">
        <f>VLOOKUP(A233,'[2]Billing Dimensions'!A:Q,16,FALSE)-VLOOKUP('Audit VAR'!A233,'Audit Dimensions'!A:P,16,FALSE)</f>
        <v>-17300</v>
      </c>
      <c r="P233" s="103">
        <f>O233/1000</f>
        <v>-17.3</v>
      </c>
      <c r="Q233" s="102">
        <f>(((C233*D233*E233)+(G233*H233*I233)+(K233*L233*M233))/1000000)*35.32</f>
        <v>3.9558400000000004E-3</v>
      </c>
      <c r="R233" s="46">
        <f>P233/Q233</f>
        <v>-4373.2810224882705</v>
      </c>
    </row>
    <row r="234" spans="1:18" hidden="1" x14ac:dyDescent="0.3">
      <c r="A234" s="123" t="s">
        <v>81</v>
      </c>
      <c r="B234" s="88" t="str">
        <f>VLOOKUP(A234,'[2]Billing Dimensions'!A:B,2,FALSE)</f>
        <v>SB</v>
      </c>
      <c r="C234" s="115">
        <f>VLOOKUP(A234,'[2]Billing Dimensions'!$A:$N,3,FALSE)-VLOOKUP(A234,'Audit Dimensions'!$A:$N,3,FALSE)</f>
        <v>-12</v>
      </c>
      <c r="D234" s="115">
        <f>VLOOKUP(A234,'[2]Billing Dimensions'!$A:$N,4,FALSE)-VLOOKUP(A234,'Audit Dimensions'!$A:$N,4,FALSE)</f>
        <v>5</v>
      </c>
      <c r="E234" s="115">
        <f>VLOOKUP(A234,'[2]Billing Dimensions'!$A:$N,5,FALSE)-VLOOKUP(A234,'Audit Dimensions'!$A:$N,5,FALSE)</f>
        <v>-3</v>
      </c>
      <c r="F234" s="114">
        <f>VLOOKUP(A234,'[2]Billing Dimensions'!$A:$N,6,FALSE)-VLOOKUP(A234,'Audit Dimensions'!$A:$N,6,FALSE)</f>
        <v>-300</v>
      </c>
      <c r="G234" s="107">
        <f>VLOOKUP(A234,'[2]Billing Dimensions'!$A:$N,7,FALSE)-VLOOKUP(A234,'Audit Dimensions'!$A:$N,7,FALSE)</f>
        <v>0</v>
      </c>
      <c r="H234" s="107">
        <f>VLOOKUP(A234,'[2]Billing Dimensions'!$A:$N,8,FALSE)-VLOOKUP(A234,'Audit Dimensions'!$A:$N,8,FALSE)</f>
        <v>0</v>
      </c>
      <c r="I234" s="107">
        <f>VLOOKUP(A234,'[2]Billing Dimensions'!$A:$N,9,FALSE)-VLOOKUP(A234,'Audit Dimensions'!$A:$N,9,FALSE)</f>
        <v>0</v>
      </c>
      <c r="J234" s="106">
        <f>VLOOKUP(A234,'[2]Billing Dimensions'!$A:$N,10,FALSE)-VLOOKUP(A234,'Audit Dimensions'!$A:$N,10,FALSE)</f>
        <v>0</v>
      </c>
      <c r="K234" s="105">
        <f>VLOOKUP(A234,'[2]Billing Dimensions'!$A:$N,11,FALSE)-VLOOKUP(A234,'Audit Dimensions'!$A:$N,11,FALSE)</f>
        <v>0</v>
      </c>
      <c r="L234" s="105">
        <f>VLOOKUP(A234,'[2]Billing Dimensions'!$A:$N,12,FALSE)-VLOOKUP(A234,'Audit Dimensions'!$A:$N,12,FALSE)</f>
        <v>0</v>
      </c>
      <c r="M234" s="105">
        <f>VLOOKUP(A234,'[2]Billing Dimensions'!$A:$N,13,FALSE)-VLOOKUP(A234,'Audit Dimensions'!$A:$N,13,FALSE)</f>
        <v>0</v>
      </c>
      <c r="N234" s="105">
        <f>VLOOKUP(A234,'[2]Billing Dimensions'!$A:$N,14,FALSE)-VLOOKUP(A234,'Audit Dimensions'!$A:$N,14,FALSE)</f>
        <v>0</v>
      </c>
      <c r="O234" s="104">
        <f>VLOOKUP(A234,'[2]Billing Dimensions'!A:Q,16,FALSE)-VLOOKUP('Audit VAR'!A234,'Audit Dimensions'!A:P,16,FALSE)</f>
        <v>-300</v>
      </c>
      <c r="P234" s="103">
        <f>O234/1000</f>
        <v>-0.3</v>
      </c>
      <c r="Q234" s="102">
        <f>(((C234*D234*E234)+(G234*H234*I234)+(K234*L234*M234))/1000000)*35.32</f>
        <v>6.3576000000000006E-3</v>
      </c>
      <c r="R234" s="46">
        <f>P234/Q234</f>
        <v>-47.187617969044915</v>
      </c>
    </row>
    <row r="235" spans="1:18" hidden="1" x14ac:dyDescent="0.3">
      <c r="A235" s="123" t="s">
        <v>80</v>
      </c>
      <c r="B235" s="88" t="e">
        <f>VLOOKUP(A235,'[2]Billing Dimensions'!A:B,2,FALSE)</f>
        <v>#N/A</v>
      </c>
      <c r="C235" s="115" t="e">
        <f>VLOOKUP(A235,'[2]Billing Dimensions'!$A:$N,3,FALSE)-VLOOKUP(A235,'Audit Dimensions'!$A:$N,3,FALSE)</f>
        <v>#N/A</v>
      </c>
      <c r="D235" s="115" t="e">
        <f>VLOOKUP(A235,'[2]Billing Dimensions'!$A:$N,4,FALSE)-VLOOKUP(A235,'Audit Dimensions'!$A:$N,4,FALSE)</f>
        <v>#N/A</v>
      </c>
      <c r="E235" s="115" t="e">
        <f>VLOOKUP(A235,'[2]Billing Dimensions'!$A:$N,5,FALSE)-VLOOKUP(A235,'Audit Dimensions'!$A:$N,5,FALSE)</f>
        <v>#N/A</v>
      </c>
      <c r="F235" s="114" t="e">
        <f>VLOOKUP(A235,'[2]Billing Dimensions'!$A:$N,6,FALSE)-VLOOKUP(A235,'Audit Dimensions'!$A:$N,6,FALSE)</f>
        <v>#N/A</v>
      </c>
      <c r="G235" s="107" t="e">
        <f>VLOOKUP(A235,'[2]Billing Dimensions'!$A:$N,7,FALSE)-VLOOKUP(A235,'Audit Dimensions'!$A:$N,7,FALSE)</f>
        <v>#N/A</v>
      </c>
      <c r="H235" s="107" t="e">
        <f>VLOOKUP(A235,'[2]Billing Dimensions'!$A:$N,8,FALSE)-VLOOKUP(A235,'Audit Dimensions'!$A:$N,8,FALSE)</f>
        <v>#N/A</v>
      </c>
      <c r="I235" s="107" t="e">
        <f>VLOOKUP(A235,'[2]Billing Dimensions'!$A:$N,9,FALSE)-VLOOKUP(A235,'Audit Dimensions'!$A:$N,9,FALSE)</f>
        <v>#N/A</v>
      </c>
      <c r="J235" s="106" t="e">
        <f>VLOOKUP(A235,'[2]Billing Dimensions'!$A:$N,10,FALSE)-VLOOKUP(A235,'Audit Dimensions'!$A:$N,10,FALSE)</f>
        <v>#N/A</v>
      </c>
      <c r="K235" s="105" t="e">
        <f>VLOOKUP(A235,'[2]Billing Dimensions'!$A:$N,11,FALSE)-VLOOKUP(A235,'Audit Dimensions'!$A:$N,11,FALSE)</f>
        <v>#N/A</v>
      </c>
      <c r="L235" s="105" t="e">
        <f>VLOOKUP(A235,'[2]Billing Dimensions'!$A:$N,12,FALSE)-VLOOKUP(A235,'Audit Dimensions'!$A:$N,12,FALSE)</f>
        <v>#N/A</v>
      </c>
      <c r="M235" s="105" t="e">
        <f>VLOOKUP(A235,'[2]Billing Dimensions'!$A:$N,13,FALSE)-VLOOKUP(A235,'Audit Dimensions'!$A:$N,13,FALSE)</f>
        <v>#N/A</v>
      </c>
      <c r="N235" s="105" t="e">
        <f>VLOOKUP(A235,'[2]Billing Dimensions'!$A:$N,14,FALSE)-VLOOKUP(A235,'Audit Dimensions'!$A:$N,14,FALSE)</f>
        <v>#N/A</v>
      </c>
      <c r="O235" s="104" t="e">
        <f>VLOOKUP(A235,'[2]Billing Dimensions'!A:Q,16,FALSE)-VLOOKUP('Audit VAR'!A235,'Audit Dimensions'!A:P,16,FALSE)</f>
        <v>#N/A</v>
      </c>
      <c r="P235" s="103" t="e">
        <f>O235/1000</f>
        <v>#N/A</v>
      </c>
      <c r="Q235" s="102" t="e">
        <f>(((C235*D235*E235)+(G235*H235*I235)+(K235*L235*M235))/1000000)*35.32</f>
        <v>#N/A</v>
      </c>
      <c r="R235" s="46" t="e">
        <f>P235/Q235</f>
        <v>#N/A</v>
      </c>
    </row>
    <row r="236" spans="1:18" hidden="1" x14ac:dyDescent="0.3">
      <c r="A236" s="123" t="s">
        <v>79</v>
      </c>
      <c r="B236" s="88" t="str">
        <f>VLOOKUP(A236,'[2]Billing Dimensions'!A:B,2,FALSE)</f>
        <v>SB</v>
      </c>
      <c r="C236" s="115">
        <f>VLOOKUP(A236,'[2]Billing Dimensions'!$A:$N,3,FALSE)-VLOOKUP(A236,'Audit Dimensions'!$A:$N,3,FALSE)</f>
        <v>1</v>
      </c>
      <c r="D236" s="115">
        <f>VLOOKUP(A236,'[2]Billing Dimensions'!$A:$N,4,FALSE)-VLOOKUP(A236,'Audit Dimensions'!$A:$N,4,FALSE)</f>
        <v>-1</v>
      </c>
      <c r="E236" s="115">
        <f>VLOOKUP(A236,'[2]Billing Dimensions'!$A:$N,5,FALSE)-VLOOKUP(A236,'Audit Dimensions'!$A:$N,5,FALSE)</f>
        <v>1</v>
      </c>
      <c r="F236" s="114">
        <f>VLOOKUP(A236,'[2]Billing Dimensions'!$A:$N,6,FALSE)-VLOOKUP(A236,'Audit Dimensions'!$A:$N,6,FALSE)</f>
        <v>-1945</v>
      </c>
      <c r="G236" s="107">
        <f>VLOOKUP(A236,'[2]Billing Dimensions'!$A:$N,7,FALSE)-VLOOKUP(A236,'Audit Dimensions'!$A:$N,7,FALSE)</f>
        <v>0</v>
      </c>
      <c r="H236" s="107">
        <f>VLOOKUP(A236,'[2]Billing Dimensions'!$A:$N,8,FALSE)-VLOOKUP(A236,'Audit Dimensions'!$A:$N,8,FALSE)</f>
        <v>0</v>
      </c>
      <c r="I236" s="107">
        <f>VLOOKUP(A236,'[2]Billing Dimensions'!$A:$N,9,FALSE)-VLOOKUP(A236,'Audit Dimensions'!$A:$N,9,FALSE)</f>
        <v>0</v>
      </c>
      <c r="J236" s="106">
        <f>VLOOKUP(A236,'[2]Billing Dimensions'!$A:$N,10,FALSE)-VLOOKUP(A236,'Audit Dimensions'!$A:$N,10,FALSE)</f>
        <v>0</v>
      </c>
      <c r="K236" s="105">
        <f>VLOOKUP(A236,'[2]Billing Dimensions'!$A:$N,11,FALSE)-VLOOKUP(A236,'Audit Dimensions'!$A:$N,11,FALSE)</f>
        <v>0</v>
      </c>
      <c r="L236" s="105">
        <f>VLOOKUP(A236,'[2]Billing Dimensions'!$A:$N,12,FALSE)-VLOOKUP(A236,'Audit Dimensions'!$A:$N,12,FALSE)</f>
        <v>0</v>
      </c>
      <c r="M236" s="105">
        <f>VLOOKUP(A236,'[2]Billing Dimensions'!$A:$N,13,FALSE)-VLOOKUP(A236,'Audit Dimensions'!$A:$N,13,FALSE)</f>
        <v>0</v>
      </c>
      <c r="N236" s="105">
        <f>VLOOKUP(A236,'[2]Billing Dimensions'!$A:$N,14,FALSE)-VLOOKUP(A236,'Audit Dimensions'!$A:$N,14,FALSE)</f>
        <v>0</v>
      </c>
      <c r="O236" s="104">
        <f>VLOOKUP(A236,'[2]Billing Dimensions'!A:Q,16,FALSE)-VLOOKUP('Audit VAR'!A236,'Audit Dimensions'!A:P,16,FALSE)</f>
        <v>-1945</v>
      </c>
      <c r="P236" s="103">
        <f>O236/1000</f>
        <v>-1.9450000000000001</v>
      </c>
      <c r="Q236" s="102">
        <f>(((C236*D236*E236)+(G236*H236*I236)+(K236*L236*M236))/1000000)*35.32</f>
        <v>-3.5320000000000001E-5</v>
      </c>
      <c r="R236" s="46">
        <f>P236/Q236</f>
        <v>55067.950169875425</v>
      </c>
    </row>
    <row r="237" spans="1:18" hidden="1" x14ac:dyDescent="0.3">
      <c r="A237" s="122" t="s">
        <v>325</v>
      </c>
      <c r="B237" s="88" t="str">
        <f>VLOOKUP(A237,'[2]Billing Dimensions'!A:B,2,FALSE)</f>
        <v>SB</v>
      </c>
      <c r="C237" s="115" t="e">
        <f>VLOOKUP(A237,'[2]Billing Dimensions'!$A:$N,3,FALSE)-VLOOKUP(A237,'Audit Dimensions'!$A:$N,3,FALSE)</f>
        <v>#N/A</v>
      </c>
      <c r="D237" s="115" t="e">
        <f>VLOOKUP(A237,'[2]Billing Dimensions'!$A:$N,4,FALSE)-VLOOKUP(A237,'Audit Dimensions'!$A:$N,4,FALSE)</f>
        <v>#N/A</v>
      </c>
      <c r="E237" s="115" t="e">
        <f>VLOOKUP(A237,'[2]Billing Dimensions'!$A:$N,5,FALSE)-VLOOKUP(A237,'Audit Dimensions'!$A:$N,5,FALSE)</f>
        <v>#N/A</v>
      </c>
      <c r="F237" s="114" t="e">
        <f>VLOOKUP(A237,'[2]Billing Dimensions'!$A:$N,6,FALSE)-VLOOKUP(A237,'Audit Dimensions'!$A:$N,6,FALSE)</f>
        <v>#N/A</v>
      </c>
      <c r="G237" s="107" t="e">
        <f>VLOOKUP(A237,'[2]Billing Dimensions'!$A:$N,7,FALSE)-VLOOKUP(A237,'Audit Dimensions'!$A:$N,7,FALSE)</f>
        <v>#N/A</v>
      </c>
      <c r="H237" s="107" t="e">
        <f>VLOOKUP(A237,'[2]Billing Dimensions'!$A:$N,8,FALSE)-VLOOKUP(A237,'Audit Dimensions'!$A:$N,8,FALSE)</f>
        <v>#N/A</v>
      </c>
      <c r="I237" s="107" t="e">
        <f>VLOOKUP(A237,'[2]Billing Dimensions'!$A:$N,9,FALSE)-VLOOKUP(A237,'Audit Dimensions'!$A:$N,9,FALSE)</f>
        <v>#N/A</v>
      </c>
      <c r="J237" s="106" t="e">
        <f>VLOOKUP(A237,'[2]Billing Dimensions'!$A:$N,10,FALSE)-VLOOKUP(A237,'Audit Dimensions'!$A:$N,10,FALSE)</f>
        <v>#N/A</v>
      </c>
      <c r="K237" s="105" t="e">
        <f>VLOOKUP(A237,'[2]Billing Dimensions'!$A:$N,11,FALSE)-VLOOKUP(A237,'Audit Dimensions'!$A:$N,11,FALSE)</f>
        <v>#N/A</v>
      </c>
      <c r="L237" s="105" t="e">
        <f>VLOOKUP(A237,'[2]Billing Dimensions'!$A:$N,12,FALSE)-VLOOKUP(A237,'Audit Dimensions'!$A:$N,12,FALSE)</f>
        <v>#N/A</v>
      </c>
      <c r="M237" s="105" t="e">
        <f>VLOOKUP(A237,'[2]Billing Dimensions'!$A:$N,13,FALSE)-VLOOKUP(A237,'Audit Dimensions'!$A:$N,13,FALSE)</f>
        <v>#N/A</v>
      </c>
      <c r="N237" s="105" t="e">
        <f>VLOOKUP(A237,'[2]Billing Dimensions'!$A:$N,14,FALSE)-VLOOKUP(A237,'Audit Dimensions'!$A:$N,14,FALSE)</f>
        <v>#N/A</v>
      </c>
      <c r="O237" s="104" t="e">
        <f>VLOOKUP(A237,'[2]Billing Dimensions'!A:Q,16,FALSE)-VLOOKUP('Audit VAR'!A237,'Audit Dimensions'!A:P,16,FALSE)</f>
        <v>#N/A</v>
      </c>
      <c r="P237" s="103" t="e">
        <f>O237/1000</f>
        <v>#N/A</v>
      </c>
      <c r="Q237" s="102" t="e">
        <f>(((C237*D237*E237)+(G237*H237*I237)+(K237*L237*M237))/1000000)*35.32</f>
        <v>#N/A</v>
      </c>
      <c r="R237" s="46" t="e">
        <f>P237/Q237</f>
        <v>#N/A</v>
      </c>
    </row>
    <row r="238" spans="1:18" hidden="1" x14ac:dyDescent="0.3">
      <c r="A238" s="122" t="s">
        <v>324</v>
      </c>
      <c r="B238" s="88" t="e">
        <f>VLOOKUP(A238,'[2]Billing Dimensions'!A:B,2,FALSE)</f>
        <v>#N/A</v>
      </c>
      <c r="C238" s="115" t="e">
        <f>VLOOKUP(A238,'[2]Billing Dimensions'!$A:$N,3,FALSE)-VLOOKUP(A238,'Audit Dimensions'!$A:$N,3,FALSE)</f>
        <v>#N/A</v>
      </c>
      <c r="D238" s="115" t="e">
        <f>VLOOKUP(A238,'[2]Billing Dimensions'!$A:$N,4,FALSE)-VLOOKUP(A238,'Audit Dimensions'!$A:$N,4,FALSE)</f>
        <v>#N/A</v>
      </c>
      <c r="E238" s="115" t="e">
        <f>VLOOKUP(A238,'[2]Billing Dimensions'!$A:$N,5,FALSE)-VLOOKUP(A238,'Audit Dimensions'!$A:$N,5,FALSE)</f>
        <v>#N/A</v>
      </c>
      <c r="F238" s="114" t="e">
        <f>VLOOKUP(A238,'[2]Billing Dimensions'!$A:$N,6,FALSE)-VLOOKUP(A238,'Audit Dimensions'!$A:$N,6,FALSE)</f>
        <v>#N/A</v>
      </c>
      <c r="G238" s="107" t="e">
        <f>VLOOKUP(A238,'[2]Billing Dimensions'!$A:$N,7,FALSE)-VLOOKUP(A238,'Audit Dimensions'!$A:$N,7,FALSE)</f>
        <v>#N/A</v>
      </c>
      <c r="H238" s="107" t="e">
        <f>VLOOKUP(A238,'[2]Billing Dimensions'!$A:$N,8,FALSE)-VLOOKUP(A238,'Audit Dimensions'!$A:$N,8,FALSE)</f>
        <v>#N/A</v>
      </c>
      <c r="I238" s="107" t="e">
        <f>VLOOKUP(A238,'[2]Billing Dimensions'!$A:$N,9,FALSE)-VLOOKUP(A238,'Audit Dimensions'!$A:$N,9,FALSE)</f>
        <v>#N/A</v>
      </c>
      <c r="J238" s="106" t="e">
        <f>VLOOKUP(A238,'[2]Billing Dimensions'!$A:$N,10,FALSE)-VLOOKUP(A238,'Audit Dimensions'!$A:$N,10,FALSE)</f>
        <v>#N/A</v>
      </c>
      <c r="K238" s="105" t="e">
        <f>VLOOKUP(A238,'[2]Billing Dimensions'!$A:$N,11,FALSE)-VLOOKUP(A238,'Audit Dimensions'!$A:$N,11,FALSE)</f>
        <v>#N/A</v>
      </c>
      <c r="L238" s="105" t="e">
        <f>VLOOKUP(A238,'[2]Billing Dimensions'!$A:$N,12,FALSE)-VLOOKUP(A238,'Audit Dimensions'!$A:$N,12,FALSE)</f>
        <v>#N/A</v>
      </c>
      <c r="M238" s="105" t="e">
        <f>VLOOKUP(A238,'[2]Billing Dimensions'!$A:$N,13,FALSE)-VLOOKUP(A238,'Audit Dimensions'!$A:$N,13,FALSE)</f>
        <v>#N/A</v>
      </c>
      <c r="N238" s="105" t="e">
        <f>VLOOKUP(A238,'[2]Billing Dimensions'!$A:$N,14,FALSE)-VLOOKUP(A238,'Audit Dimensions'!$A:$N,14,FALSE)</f>
        <v>#N/A</v>
      </c>
      <c r="O238" s="104" t="e">
        <f>VLOOKUP(A238,'[2]Billing Dimensions'!A:Q,16,FALSE)-VLOOKUP('Audit VAR'!A238,'Audit Dimensions'!A:P,16,FALSE)</f>
        <v>#N/A</v>
      </c>
      <c r="P238" s="103" t="e">
        <f>O238/1000</f>
        <v>#N/A</v>
      </c>
      <c r="Q238" s="102" t="e">
        <f>(((C238*D238*E238)+(G238*H238*I238)+(K238*L238*M238))/1000000)*35.32</f>
        <v>#N/A</v>
      </c>
      <c r="R238" s="46" t="e">
        <f>P238/Q238</f>
        <v>#N/A</v>
      </c>
    </row>
    <row r="239" spans="1:18" ht="14.4" hidden="1" x14ac:dyDescent="0.3">
      <c r="A239" s="120" t="s">
        <v>78</v>
      </c>
      <c r="B239" s="88" t="str">
        <f>VLOOKUP(A239,'[2]Billing Dimensions'!A:B,2,FALSE)</f>
        <v>SB</v>
      </c>
      <c r="C239" s="115">
        <f>VLOOKUP(A239,'[2]Billing Dimensions'!$A:$N,3,FALSE)-VLOOKUP(A239,'Audit Dimensions'!$A:$N,3,FALSE)</f>
        <v>-1</v>
      </c>
      <c r="D239" s="115">
        <f>VLOOKUP(A239,'[2]Billing Dimensions'!$A:$N,4,FALSE)-VLOOKUP(A239,'Audit Dimensions'!$A:$N,4,FALSE)</f>
        <v>2</v>
      </c>
      <c r="E239" s="115">
        <f>VLOOKUP(A239,'[2]Billing Dimensions'!$A:$N,5,FALSE)-VLOOKUP(A239,'Audit Dimensions'!$A:$N,5,FALSE)</f>
        <v>0</v>
      </c>
      <c r="F239" s="114">
        <f>VLOOKUP(A239,'[2]Billing Dimensions'!$A:$N,6,FALSE)-VLOOKUP(A239,'Audit Dimensions'!$A:$N,6,FALSE)</f>
        <v>-650</v>
      </c>
      <c r="G239" s="107">
        <f>VLOOKUP(A239,'[2]Billing Dimensions'!$A:$N,7,FALSE)-VLOOKUP(A239,'Audit Dimensions'!$A:$N,7,FALSE)</f>
        <v>0</v>
      </c>
      <c r="H239" s="107">
        <f>VLOOKUP(A239,'[2]Billing Dimensions'!$A:$N,8,FALSE)-VLOOKUP(A239,'Audit Dimensions'!$A:$N,8,FALSE)</f>
        <v>0</v>
      </c>
      <c r="I239" s="107">
        <f>VLOOKUP(A239,'[2]Billing Dimensions'!$A:$N,9,FALSE)-VLOOKUP(A239,'Audit Dimensions'!$A:$N,9,FALSE)</f>
        <v>0</v>
      </c>
      <c r="J239" s="106">
        <f>VLOOKUP(A239,'[2]Billing Dimensions'!$A:$N,10,FALSE)-VLOOKUP(A239,'Audit Dimensions'!$A:$N,10,FALSE)</f>
        <v>0</v>
      </c>
      <c r="K239" s="105">
        <f>VLOOKUP(A239,'[2]Billing Dimensions'!$A:$N,11,FALSE)-VLOOKUP(A239,'Audit Dimensions'!$A:$N,11,FALSE)</f>
        <v>0</v>
      </c>
      <c r="L239" s="105">
        <f>VLOOKUP(A239,'[2]Billing Dimensions'!$A:$N,12,FALSE)-VLOOKUP(A239,'Audit Dimensions'!$A:$N,12,FALSE)</f>
        <v>0</v>
      </c>
      <c r="M239" s="105">
        <f>VLOOKUP(A239,'[2]Billing Dimensions'!$A:$N,13,FALSE)-VLOOKUP(A239,'Audit Dimensions'!$A:$N,13,FALSE)</f>
        <v>0</v>
      </c>
      <c r="N239" s="105">
        <f>VLOOKUP(A239,'[2]Billing Dimensions'!$A:$N,14,FALSE)-VLOOKUP(A239,'Audit Dimensions'!$A:$N,14,FALSE)</f>
        <v>0</v>
      </c>
      <c r="O239" s="104">
        <f>VLOOKUP(A239,'[2]Billing Dimensions'!A:Q,16,FALSE)-VLOOKUP('Audit VAR'!A239,'Audit Dimensions'!A:P,16,FALSE)</f>
        <v>-650</v>
      </c>
      <c r="P239" s="103">
        <f>O239/1000</f>
        <v>-0.65</v>
      </c>
      <c r="Q239" s="102">
        <f>(((C239*D239*E239)+(G239*H239*I239)+(K239*L239*M239))/1000000)*35.32</f>
        <v>0</v>
      </c>
      <c r="R239" s="46" t="e">
        <f>P239/Q239</f>
        <v>#DIV/0!</v>
      </c>
    </row>
    <row r="240" spans="1:18" ht="14.4" hidden="1" x14ac:dyDescent="0.3">
      <c r="A240" s="120" t="s">
        <v>77</v>
      </c>
      <c r="B240" s="88" t="str">
        <f>VLOOKUP(A240,'[2]Billing Dimensions'!A:B,2,FALSE)</f>
        <v>SB</v>
      </c>
      <c r="C240" s="115">
        <f>VLOOKUP(A240,'[2]Billing Dimensions'!$A:$N,3,FALSE)-VLOOKUP(A240,'Audit Dimensions'!$A:$N,3,FALSE)</f>
        <v>1</v>
      </c>
      <c r="D240" s="115">
        <f>VLOOKUP(A240,'[2]Billing Dimensions'!$A:$N,4,FALSE)-VLOOKUP(A240,'Audit Dimensions'!$A:$N,4,FALSE)</f>
        <v>-1</v>
      </c>
      <c r="E240" s="115">
        <f>VLOOKUP(A240,'[2]Billing Dimensions'!$A:$N,5,FALSE)-VLOOKUP(A240,'Audit Dimensions'!$A:$N,5,FALSE)</f>
        <v>1</v>
      </c>
      <c r="F240" s="114">
        <f>VLOOKUP(A240,'[2]Billing Dimensions'!$A:$N,6,FALSE)-VLOOKUP(A240,'Audit Dimensions'!$A:$N,6,FALSE)</f>
        <v>-500</v>
      </c>
      <c r="G240" s="107">
        <f>VLOOKUP(A240,'[2]Billing Dimensions'!$A:$N,7,FALSE)-VLOOKUP(A240,'Audit Dimensions'!$A:$N,7,FALSE)</f>
        <v>0</v>
      </c>
      <c r="H240" s="107">
        <f>VLOOKUP(A240,'[2]Billing Dimensions'!$A:$N,8,FALSE)-VLOOKUP(A240,'Audit Dimensions'!$A:$N,8,FALSE)</f>
        <v>0</v>
      </c>
      <c r="I240" s="107">
        <f>VLOOKUP(A240,'[2]Billing Dimensions'!$A:$N,9,FALSE)-VLOOKUP(A240,'Audit Dimensions'!$A:$N,9,FALSE)</f>
        <v>0</v>
      </c>
      <c r="J240" s="106">
        <f>VLOOKUP(A240,'[2]Billing Dimensions'!$A:$N,10,FALSE)-VLOOKUP(A240,'Audit Dimensions'!$A:$N,10,FALSE)</f>
        <v>0</v>
      </c>
      <c r="K240" s="105">
        <f>VLOOKUP(A240,'[2]Billing Dimensions'!$A:$N,11,FALSE)-VLOOKUP(A240,'Audit Dimensions'!$A:$N,11,FALSE)</f>
        <v>0</v>
      </c>
      <c r="L240" s="105">
        <f>VLOOKUP(A240,'[2]Billing Dimensions'!$A:$N,12,FALSE)-VLOOKUP(A240,'Audit Dimensions'!$A:$N,12,FALSE)</f>
        <v>0</v>
      </c>
      <c r="M240" s="105">
        <f>VLOOKUP(A240,'[2]Billing Dimensions'!$A:$N,13,FALSE)-VLOOKUP(A240,'Audit Dimensions'!$A:$N,13,FALSE)</f>
        <v>0</v>
      </c>
      <c r="N240" s="105">
        <f>VLOOKUP(A240,'[2]Billing Dimensions'!$A:$N,14,FALSE)-VLOOKUP(A240,'Audit Dimensions'!$A:$N,14,FALSE)</f>
        <v>0</v>
      </c>
      <c r="O240" s="104">
        <f>VLOOKUP(A240,'[2]Billing Dimensions'!A:Q,16,FALSE)-VLOOKUP('Audit VAR'!A240,'Audit Dimensions'!A:P,16,FALSE)</f>
        <v>-500</v>
      </c>
      <c r="P240" s="103">
        <f>O240/1000</f>
        <v>-0.5</v>
      </c>
      <c r="Q240" s="102">
        <f>(((C240*D240*E240)+(G240*H240*I240)+(K240*L240*M240))/1000000)*35.32</f>
        <v>-3.5320000000000001E-5</v>
      </c>
      <c r="R240" s="46">
        <f>P240/Q240</f>
        <v>14156.285390713476</v>
      </c>
    </row>
    <row r="241" spans="1:18" ht="14.4" hidden="1" x14ac:dyDescent="0.3">
      <c r="A241" s="120" t="s">
        <v>76</v>
      </c>
      <c r="B241" s="88" t="str">
        <f>VLOOKUP(A241,'[2]Billing Dimensions'!A:B,2,FALSE)</f>
        <v>SB</v>
      </c>
      <c r="C241" s="115">
        <f>VLOOKUP(A241,'[2]Billing Dimensions'!$A:$N,3,FALSE)-VLOOKUP(A241,'Audit Dimensions'!$A:$N,3,FALSE)</f>
        <v>-3</v>
      </c>
      <c r="D241" s="115">
        <f>VLOOKUP(A241,'[2]Billing Dimensions'!$A:$N,4,FALSE)-VLOOKUP(A241,'Audit Dimensions'!$A:$N,4,FALSE)</f>
        <v>9</v>
      </c>
      <c r="E241" s="115">
        <f>VLOOKUP(A241,'[2]Billing Dimensions'!$A:$N,5,FALSE)-VLOOKUP(A241,'Audit Dimensions'!$A:$N,5,FALSE)</f>
        <v>0</v>
      </c>
      <c r="F241" s="114">
        <f>VLOOKUP(A241,'[2]Billing Dimensions'!$A:$N,6,FALSE)-VLOOKUP(A241,'Audit Dimensions'!$A:$N,6,FALSE)</f>
        <v>1920</v>
      </c>
      <c r="G241" s="107">
        <f>VLOOKUP(A241,'[2]Billing Dimensions'!$A:$N,7,FALSE)-VLOOKUP(A241,'Audit Dimensions'!$A:$N,7,FALSE)</f>
        <v>0</v>
      </c>
      <c r="H241" s="107">
        <f>VLOOKUP(A241,'[2]Billing Dimensions'!$A:$N,8,FALSE)-VLOOKUP(A241,'Audit Dimensions'!$A:$N,8,FALSE)</f>
        <v>0</v>
      </c>
      <c r="I241" s="107">
        <f>VLOOKUP(A241,'[2]Billing Dimensions'!$A:$N,9,FALSE)-VLOOKUP(A241,'Audit Dimensions'!$A:$N,9,FALSE)</f>
        <v>0</v>
      </c>
      <c r="J241" s="106">
        <f>VLOOKUP(A241,'[2]Billing Dimensions'!$A:$N,10,FALSE)-VLOOKUP(A241,'Audit Dimensions'!$A:$N,10,FALSE)</f>
        <v>0</v>
      </c>
      <c r="K241" s="105">
        <f>VLOOKUP(A241,'[2]Billing Dimensions'!$A:$N,11,FALSE)-VLOOKUP(A241,'Audit Dimensions'!$A:$N,11,FALSE)</f>
        <v>0</v>
      </c>
      <c r="L241" s="105">
        <f>VLOOKUP(A241,'[2]Billing Dimensions'!$A:$N,12,FALSE)-VLOOKUP(A241,'Audit Dimensions'!$A:$N,12,FALSE)</f>
        <v>0</v>
      </c>
      <c r="M241" s="105">
        <f>VLOOKUP(A241,'[2]Billing Dimensions'!$A:$N,13,FALSE)-VLOOKUP(A241,'Audit Dimensions'!$A:$N,13,FALSE)</f>
        <v>0</v>
      </c>
      <c r="N241" s="105">
        <f>VLOOKUP(A241,'[2]Billing Dimensions'!$A:$N,14,FALSE)-VLOOKUP(A241,'Audit Dimensions'!$A:$N,14,FALSE)</f>
        <v>0</v>
      </c>
      <c r="O241" s="104">
        <f>VLOOKUP(A241,'[2]Billing Dimensions'!A:Q,16,FALSE)-VLOOKUP('Audit VAR'!A241,'Audit Dimensions'!A:P,16,FALSE)</f>
        <v>1920</v>
      </c>
      <c r="P241" s="103">
        <f>O241/1000</f>
        <v>1.92</v>
      </c>
      <c r="Q241" s="102">
        <f>(((C241*D241*E241)+(G241*H241*I241)+(K241*L241*M241))/1000000)*35.32</f>
        <v>0</v>
      </c>
      <c r="R241" s="46" t="e">
        <f>P241/Q241</f>
        <v>#DIV/0!</v>
      </c>
    </row>
    <row r="242" spans="1:18" ht="14.4" hidden="1" x14ac:dyDescent="0.3">
      <c r="A242" s="120" t="s">
        <v>75</v>
      </c>
      <c r="B242" s="88" t="str">
        <f>VLOOKUP(A242,'[2]Billing Dimensions'!A:B,2,FALSE)</f>
        <v>SB</v>
      </c>
      <c r="C242" s="115">
        <f>VLOOKUP(A242,'[2]Billing Dimensions'!$A:$N,3,FALSE)-VLOOKUP(A242,'Audit Dimensions'!$A:$N,3,FALSE)</f>
        <v>-2</v>
      </c>
      <c r="D242" s="115">
        <f>VLOOKUP(A242,'[2]Billing Dimensions'!$A:$N,4,FALSE)-VLOOKUP(A242,'Audit Dimensions'!$A:$N,4,FALSE)</f>
        <v>0</v>
      </c>
      <c r="E242" s="115">
        <f>VLOOKUP(A242,'[2]Billing Dimensions'!$A:$N,5,FALSE)-VLOOKUP(A242,'Audit Dimensions'!$A:$N,5,FALSE)</f>
        <v>2</v>
      </c>
      <c r="F242" s="114">
        <f>VLOOKUP(A242,'[2]Billing Dimensions'!$A:$N,6,FALSE)-VLOOKUP(A242,'Audit Dimensions'!$A:$N,6,FALSE)</f>
        <v>-200</v>
      </c>
      <c r="G242" s="107">
        <f>VLOOKUP(A242,'[2]Billing Dimensions'!$A:$N,7,FALSE)-VLOOKUP(A242,'Audit Dimensions'!$A:$N,7,FALSE)</f>
        <v>0</v>
      </c>
      <c r="H242" s="107">
        <f>VLOOKUP(A242,'[2]Billing Dimensions'!$A:$N,8,FALSE)-VLOOKUP(A242,'Audit Dimensions'!$A:$N,8,FALSE)</f>
        <v>0</v>
      </c>
      <c r="I242" s="107">
        <f>VLOOKUP(A242,'[2]Billing Dimensions'!$A:$N,9,FALSE)-VLOOKUP(A242,'Audit Dimensions'!$A:$N,9,FALSE)</f>
        <v>0</v>
      </c>
      <c r="J242" s="106">
        <f>VLOOKUP(A242,'[2]Billing Dimensions'!$A:$N,10,FALSE)-VLOOKUP(A242,'Audit Dimensions'!$A:$N,10,FALSE)</f>
        <v>0</v>
      </c>
      <c r="K242" s="105">
        <f>VLOOKUP(A242,'[2]Billing Dimensions'!$A:$N,11,FALSE)-VLOOKUP(A242,'Audit Dimensions'!$A:$N,11,FALSE)</f>
        <v>0</v>
      </c>
      <c r="L242" s="105">
        <f>VLOOKUP(A242,'[2]Billing Dimensions'!$A:$N,12,FALSE)-VLOOKUP(A242,'Audit Dimensions'!$A:$N,12,FALSE)</f>
        <v>0</v>
      </c>
      <c r="M242" s="105">
        <f>VLOOKUP(A242,'[2]Billing Dimensions'!$A:$N,13,FALSE)-VLOOKUP(A242,'Audit Dimensions'!$A:$N,13,FALSE)</f>
        <v>0</v>
      </c>
      <c r="N242" s="105">
        <f>VLOOKUP(A242,'[2]Billing Dimensions'!$A:$N,14,FALSE)-VLOOKUP(A242,'Audit Dimensions'!$A:$N,14,FALSE)</f>
        <v>0</v>
      </c>
      <c r="O242" s="104">
        <f>VLOOKUP(A242,'[2]Billing Dimensions'!A:Q,16,FALSE)-VLOOKUP('Audit VAR'!A242,'Audit Dimensions'!A:P,16,FALSE)</f>
        <v>-200</v>
      </c>
      <c r="P242" s="103">
        <f>O242/1000</f>
        <v>-0.2</v>
      </c>
      <c r="Q242" s="102">
        <f>(((C242*D242*E242)+(G242*H242*I242)+(K242*L242*M242))/1000000)*35.32</f>
        <v>0</v>
      </c>
      <c r="R242" s="46" t="e">
        <f>P242/Q242</f>
        <v>#DIV/0!</v>
      </c>
    </row>
    <row r="243" spans="1:18" ht="14.4" hidden="1" x14ac:dyDescent="0.3">
      <c r="A243" s="120" t="s">
        <v>323</v>
      </c>
      <c r="B243" s="88" t="e">
        <f>VLOOKUP(A243,'[2]Billing Dimensions'!A:B,2,FALSE)</f>
        <v>#N/A</v>
      </c>
      <c r="C243" s="115" t="e">
        <f>VLOOKUP(A243,'[2]Billing Dimensions'!$A:$N,3,FALSE)-VLOOKUP(A243,'Audit Dimensions'!$A:$N,3,FALSE)</f>
        <v>#N/A</v>
      </c>
      <c r="D243" s="115" t="e">
        <f>VLOOKUP(A243,'[2]Billing Dimensions'!$A:$N,4,FALSE)-VLOOKUP(A243,'Audit Dimensions'!$A:$N,4,FALSE)</f>
        <v>#N/A</v>
      </c>
      <c r="E243" s="115" t="e">
        <f>VLOOKUP(A243,'[2]Billing Dimensions'!$A:$N,5,FALSE)-VLOOKUP(A243,'Audit Dimensions'!$A:$N,5,FALSE)</f>
        <v>#N/A</v>
      </c>
      <c r="F243" s="114" t="e">
        <f>VLOOKUP(A243,'[2]Billing Dimensions'!$A:$N,6,FALSE)-VLOOKUP(A243,'Audit Dimensions'!$A:$N,6,FALSE)</f>
        <v>#N/A</v>
      </c>
      <c r="G243" s="107" t="e">
        <f>VLOOKUP(A243,'[2]Billing Dimensions'!$A:$N,7,FALSE)-VLOOKUP(A243,'Audit Dimensions'!$A:$N,7,FALSE)</f>
        <v>#N/A</v>
      </c>
      <c r="H243" s="107" t="e">
        <f>VLOOKUP(A243,'[2]Billing Dimensions'!$A:$N,8,FALSE)-VLOOKUP(A243,'Audit Dimensions'!$A:$N,8,FALSE)</f>
        <v>#N/A</v>
      </c>
      <c r="I243" s="107" t="e">
        <f>VLOOKUP(A243,'[2]Billing Dimensions'!$A:$N,9,FALSE)-VLOOKUP(A243,'Audit Dimensions'!$A:$N,9,FALSE)</f>
        <v>#N/A</v>
      </c>
      <c r="J243" s="106" t="e">
        <f>VLOOKUP(A243,'[2]Billing Dimensions'!$A:$N,10,FALSE)-VLOOKUP(A243,'Audit Dimensions'!$A:$N,10,FALSE)</f>
        <v>#N/A</v>
      </c>
      <c r="K243" s="105" t="e">
        <f>VLOOKUP(A243,'[2]Billing Dimensions'!$A:$N,11,FALSE)-VLOOKUP(A243,'Audit Dimensions'!$A:$N,11,FALSE)</f>
        <v>#N/A</v>
      </c>
      <c r="L243" s="105" t="e">
        <f>VLOOKUP(A243,'[2]Billing Dimensions'!$A:$N,12,FALSE)-VLOOKUP(A243,'Audit Dimensions'!$A:$N,12,FALSE)</f>
        <v>#N/A</v>
      </c>
      <c r="M243" s="105" t="e">
        <f>VLOOKUP(A243,'[2]Billing Dimensions'!$A:$N,13,FALSE)-VLOOKUP(A243,'Audit Dimensions'!$A:$N,13,FALSE)</f>
        <v>#N/A</v>
      </c>
      <c r="N243" s="105" t="e">
        <f>VLOOKUP(A243,'[2]Billing Dimensions'!$A:$N,14,FALSE)-VLOOKUP(A243,'Audit Dimensions'!$A:$N,14,FALSE)</f>
        <v>#N/A</v>
      </c>
      <c r="O243" s="104" t="e">
        <f>VLOOKUP(A243,'[2]Billing Dimensions'!A:Q,16,FALSE)-VLOOKUP('Audit VAR'!A243,'Audit Dimensions'!A:P,16,FALSE)</f>
        <v>#N/A</v>
      </c>
      <c r="P243" s="103" t="e">
        <f>O243/1000</f>
        <v>#N/A</v>
      </c>
      <c r="Q243" s="102" t="e">
        <f>(((C243*D243*E243)+(G243*H243*I243)+(K243*L243*M243))/1000000)*35.32</f>
        <v>#N/A</v>
      </c>
      <c r="R243" s="46" t="e">
        <f>P243/Q243</f>
        <v>#N/A</v>
      </c>
    </row>
    <row r="244" spans="1:18" ht="14.4" hidden="1" x14ac:dyDescent="0.3">
      <c r="A244" s="120" t="s">
        <v>73</v>
      </c>
      <c r="B244" s="88" t="str">
        <f>VLOOKUP(A244,'[2]Billing Dimensions'!A:B,2,FALSE)</f>
        <v>SB</v>
      </c>
      <c r="C244" s="115">
        <f>VLOOKUP(A244,'[2]Billing Dimensions'!$A:$N,3,FALSE)-VLOOKUP(A244,'Audit Dimensions'!$A:$N,3,FALSE)</f>
        <v>1</v>
      </c>
      <c r="D244" s="115">
        <f>VLOOKUP(A244,'[2]Billing Dimensions'!$A:$N,4,FALSE)-VLOOKUP(A244,'Audit Dimensions'!$A:$N,4,FALSE)</f>
        <v>1</v>
      </c>
      <c r="E244" s="115">
        <f>VLOOKUP(A244,'[2]Billing Dimensions'!$A:$N,5,FALSE)-VLOOKUP(A244,'Audit Dimensions'!$A:$N,5,FALSE)</f>
        <v>-10</v>
      </c>
      <c r="F244" s="114">
        <f>VLOOKUP(A244,'[2]Billing Dimensions'!$A:$N,6,FALSE)-VLOOKUP(A244,'Audit Dimensions'!$A:$N,6,FALSE)</f>
        <v>-600</v>
      </c>
      <c r="G244" s="107">
        <f>VLOOKUP(A244,'[2]Billing Dimensions'!$A:$N,7,FALSE)-VLOOKUP(A244,'Audit Dimensions'!$A:$N,7,FALSE)</f>
        <v>0</v>
      </c>
      <c r="H244" s="107">
        <f>VLOOKUP(A244,'[2]Billing Dimensions'!$A:$N,8,FALSE)-VLOOKUP(A244,'Audit Dimensions'!$A:$N,8,FALSE)</f>
        <v>0</v>
      </c>
      <c r="I244" s="107">
        <f>VLOOKUP(A244,'[2]Billing Dimensions'!$A:$N,9,FALSE)-VLOOKUP(A244,'Audit Dimensions'!$A:$N,9,FALSE)</f>
        <v>0</v>
      </c>
      <c r="J244" s="106">
        <f>VLOOKUP(A244,'[2]Billing Dimensions'!$A:$N,10,FALSE)-VLOOKUP(A244,'Audit Dimensions'!$A:$N,10,FALSE)</f>
        <v>0</v>
      </c>
      <c r="K244" s="105">
        <f>VLOOKUP(A244,'[2]Billing Dimensions'!$A:$N,11,FALSE)-VLOOKUP(A244,'Audit Dimensions'!$A:$N,11,FALSE)</f>
        <v>0</v>
      </c>
      <c r="L244" s="105">
        <f>VLOOKUP(A244,'[2]Billing Dimensions'!$A:$N,12,FALSE)-VLOOKUP(A244,'Audit Dimensions'!$A:$N,12,FALSE)</f>
        <v>0</v>
      </c>
      <c r="M244" s="105">
        <f>VLOOKUP(A244,'[2]Billing Dimensions'!$A:$N,13,FALSE)-VLOOKUP(A244,'Audit Dimensions'!$A:$N,13,FALSE)</f>
        <v>0</v>
      </c>
      <c r="N244" s="105">
        <f>VLOOKUP(A244,'[2]Billing Dimensions'!$A:$N,14,FALSE)-VLOOKUP(A244,'Audit Dimensions'!$A:$N,14,FALSE)</f>
        <v>0</v>
      </c>
      <c r="O244" s="104">
        <f>VLOOKUP(A244,'[2]Billing Dimensions'!A:Q,16,FALSE)-VLOOKUP('Audit VAR'!A244,'Audit Dimensions'!A:P,16,FALSE)</f>
        <v>-600</v>
      </c>
      <c r="P244" s="103">
        <f>O244/1000</f>
        <v>-0.6</v>
      </c>
      <c r="Q244" s="102">
        <f>(((C244*D244*E244)+(G244*H244*I244)+(K244*L244*M244))/1000000)*35.32</f>
        <v>-3.5320000000000002E-4</v>
      </c>
      <c r="R244" s="46">
        <f>P244/Q244</f>
        <v>1698.754246885617</v>
      </c>
    </row>
    <row r="245" spans="1:18" ht="14.4" hidden="1" x14ac:dyDescent="0.3">
      <c r="A245" s="120" t="s">
        <v>72</v>
      </c>
      <c r="B245" s="88" t="str">
        <f>VLOOKUP(A245,'[2]Billing Dimensions'!A:B,2,FALSE)</f>
        <v>SB</v>
      </c>
      <c r="C245" s="115">
        <f>VLOOKUP(A245,'[2]Billing Dimensions'!$A:$N,3,FALSE)-VLOOKUP(A245,'Audit Dimensions'!$A:$N,3,FALSE)</f>
        <v>2</v>
      </c>
      <c r="D245" s="115">
        <f>VLOOKUP(A245,'[2]Billing Dimensions'!$A:$N,4,FALSE)-VLOOKUP(A245,'Audit Dimensions'!$A:$N,4,FALSE)</f>
        <v>-1</v>
      </c>
      <c r="E245" s="115">
        <f>VLOOKUP(A245,'[2]Billing Dimensions'!$A:$N,5,FALSE)-VLOOKUP(A245,'Audit Dimensions'!$A:$N,5,FALSE)</f>
        <v>0</v>
      </c>
      <c r="F245" s="114">
        <f>VLOOKUP(A245,'[2]Billing Dimensions'!$A:$N,6,FALSE)-VLOOKUP(A245,'Audit Dimensions'!$A:$N,6,FALSE)</f>
        <v>600</v>
      </c>
      <c r="G245" s="107">
        <f>VLOOKUP(A245,'[2]Billing Dimensions'!$A:$N,7,FALSE)-VLOOKUP(A245,'Audit Dimensions'!$A:$N,7,FALSE)</f>
        <v>0</v>
      </c>
      <c r="H245" s="107">
        <f>VLOOKUP(A245,'[2]Billing Dimensions'!$A:$N,8,FALSE)-VLOOKUP(A245,'Audit Dimensions'!$A:$N,8,FALSE)</f>
        <v>0</v>
      </c>
      <c r="I245" s="107">
        <f>VLOOKUP(A245,'[2]Billing Dimensions'!$A:$N,9,FALSE)-VLOOKUP(A245,'Audit Dimensions'!$A:$N,9,FALSE)</f>
        <v>0</v>
      </c>
      <c r="J245" s="106">
        <f>VLOOKUP(A245,'[2]Billing Dimensions'!$A:$N,10,FALSE)-VLOOKUP(A245,'Audit Dimensions'!$A:$N,10,FALSE)</f>
        <v>0</v>
      </c>
      <c r="K245" s="105">
        <f>VLOOKUP(A245,'[2]Billing Dimensions'!$A:$N,11,FALSE)-VLOOKUP(A245,'Audit Dimensions'!$A:$N,11,FALSE)</f>
        <v>0</v>
      </c>
      <c r="L245" s="105">
        <f>VLOOKUP(A245,'[2]Billing Dimensions'!$A:$N,12,FALSE)-VLOOKUP(A245,'Audit Dimensions'!$A:$N,12,FALSE)</f>
        <v>0</v>
      </c>
      <c r="M245" s="105">
        <f>VLOOKUP(A245,'[2]Billing Dimensions'!$A:$N,13,FALSE)-VLOOKUP(A245,'Audit Dimensions'!$A:$N,13,FALSE)</f>
        <v>0</v>
      </c>
      <c r="N245" s="105">
        <f>VLOOKUP(A245,'[2]Billing Dimensions'!$A:$N,14,FALSE)-VLOOKUP(A245,'Audit Dimensions'!$A:$N,14,FALSE)</f>
        <v>0</v>
      </c>
      <c r="O245" s="104">
        <f>VLOOKUP(A245,'[2]Billing Dimensions'!A:Q,16,FALSE)-VLOOKUP('Audit VAR'!A245,'Audit Dimensions'!A:P,16,FALSE)</f>
        <v>600</v>
      </c>
      <c r="P245" s="103">
        <f>O245/1000</f>
        <v>0.6</v>
      </c>
      <c r="Q245" s="102">
        <f>(((C245*D245*E245)+(G245*H245*I245)+(K245*L245*M245))/1000000)*35.32</f>
        <v>0</v>
      </c>
      <c r="R245" s="46" t="e">
        <f>P245/Q245</f>
        <v>#DIV/0!</v>
      </c>
    </row>
    <row r="246" spans="1:18" hidden="1" x14ac:dyDescent="0.3">
      <c r="A246" s="116" t="s">
        <v>71</v>
      </c>
      <c r="B246" s="88" t="str">
        <f>VLOOKUP(A246,'[2]Billing Dimensions'!A:B,2,FALSE)</f>
        <v>SB</v>
      </c>
      <c r="C246" s="115">
        <f>VLOOKUP(A246,'[2]Billing Dimensions'!$A:$N,3,FALSE)-VLOOKUP(A246,'Audit Dimensions'!$A:$N,3,FALSE)</f>
        <v>0</v>
      </c>
      <c r="D246" s="115">
        <f>VLOOKUP(A246,'[2]Billing Dimensions'!$A:$N,4,FALSE)-VLOOKUP(A246,'Audit Dimensions'!$A:$N,4,FALSE)</f>
        <v>0</v>
      </c>
      <c r="E246" s="115">
        <f>VLOOKUP(A246,'[2]Billing Dimensions'!$A:$N,5,FALSE)-VLOOKUP(A246,'Audit Dimensions'!$A:$N,5,FALSE)</f>
        <v>0</v>
      </c>
      <c r="F246" s="114">
        <f>VLOOKUP(A246,'[2]Billing Dimensions'!$A:$N,6,FALSE)-VLOOKUP(A246,'Audit Dimensions'!$A:$N,6,FALSE)</f>
        <v>-4030</v>
      </c>
      <c r="G246" s="107">
        <f>VLOOKUP(A246,'[2]Billing Dimensions'!$A:$N,7,FALSE)-VLOOKUP(A246,'Audit Dimensions'!$A:$N,7,FALSE)</f>
        <v>0</v>
      </c>
      <c r="H246" s="107">
        <f>VLOOKUP(A246,'[2]Billing Dimensions'!$A:$N,8,FALSE)-VLOOKUP(A246,'Audit Dimensions'!$A:$N,8,FALSE)</f>
        <v>0</v>
      </c>
      <c r="I246" s="107">
        <f>VLOOKUP(A246,'[2]Billing Dimensions'!$A:$N,9,FALSE)-VLOOKUP(A246,'Audit Dimensions'!$A:$N,9,FALSE)</f>
        <v>0</v>
      </c>
      <c r="J246" s="106">
        <f>VLOOKUP(A246,'[2]Billing Dimensions'!$A:$N,10,FALSE)-VLOOKUP(A246,'Audit Dimensions'!$A:$N,10,FALSE)</f>
        <v>0</v>
      </c>
      <c r="K246" s="105">
        <f>VLOOKUP(A246,'[2]Billing Dimensions'!$A:$N,11,FALSE)-VLOOKUP(A246,'Audit Dimensions'!$A:$N,11,FALSE)</f>
        <v>0</v>
      </c>
      <c r="L246" s="105">
        <f>VLOOKUP(A246,'[2]Billing Dimensions'!$A:$N,12,FALSE)-VLOOKUP(A246,'Audit Dimensions'!$A:$N,12,FALSE)</f>
        <v>0</v>
      </c>
      <c r="M246" s="105">
        <f>VLOOKUP(A246,'[2]Billing Dimensions'!$A:$N,13,FALSE)-VLOOKUP(A246,'Audit Dimensions'!$A:$N,13,FALSE)</f>
        <v>0</v>
      </c>
      <c r="N246" s="105">
        <f>VLOOKUP(A246,'[2]Billing Dimensions'!$A:$N,14,FALSE)-VLOOKUP(A246,'Audit Dimensions'!$A:$N,14,FALSE)</f>
        <v>0</v>
      </c>
      <c r="O246" s="104">
        <f>VLOOKUP(A246,'[2]Billing Dimensions'!A:Q,16,FALSE)-VLOOKUP('Audit VAR'!A246,'Audit Dimensions'!A:P,16,FALSE)</f>
        <v>-4030</v>
      </c>
      <c r="P246" s="103">
        <f>O246/1000</f>
        <v>-4.03</v>
      </c>
      <c r="Q246" s="102">
        <f>(((C246*D246*E246)+(G246*H246*I246)+(K246*L246*M246))/1000000)*35.32</f>
        <v>0</v>
      </c>
      <c r="R246" s="46" t="e">
        <f>P246/Q246</f>
        <v>#DIV/0!</v>
      </c>
    </row>
    <row r="247" spans="1:18" hidden="1" x14ac:dyDescent="0.3">
      <c r="A247" s="116" t="s">
        <v>70</v>
      </c>
      <c r="B247" s="88" t="str">
        <f>VLOOKUP(A247,'[2]Billing Dimensions'!A:B,2,FALSE)</f>
        <v> </v>
      </c>
      <c r="C247" s="115">
        <f>VLOOKUP(A247,'[2]Billing Dimensions'!$A:$N,3,FALSE)-VLOOKUP(A247,'Audit Dimensions'!$A:$N,3,FALSE)</f>
        <v>0</v>
      </c>
      <c r="D247" s="115">
        <f>VLOOKUP(A247,'[2]Billing Dimensions'!$A:$N,4,FALSE)-VLOOKUP(A247,'Audit Dimensions'!$A:$N,4,FALSE)</f>
        <v>0</v>
      </c>
      <c r="E247" s="115">
        <f>VLOOKUP(A247,'[2]Billing Dimensions'!$A:$N,5,FALSE)-VLOOKUP(A247,'Audit Dimensions'!$A:$N,5,FALSE)</f>
        <v>0</v>
      </c>
      <c r="F247" s="114">
        <f>VLOOKUP(A247,'[2]Billing Dimensions'!$A:$N,6,FALSE)-VLOOKUP(A247,'Audit Dimensions'!$A:$N,6,FALSE)</f>
        <v>0</v>
      </c>
      <c r="G247" s="107">
        <f>VLOOKUP(A247,'[2]Billing Dimensions'!$A:$N,7,FALSE)-VLOOKUP(A247,'Audit Dimensions'!$A:$N,7,FALSE)</f>
        <v>0</v>
      </c>
      <c r="H247" s="107">
        <f>VLOOKUP(A247,'[2]Billing Dimensions'!$A:$N,8,FALSE)-VLOOKUP(A247,'Audit Dimensions'!$A:$N,8,FALSE)</f>
        <v>0</v>
      </c>
      <c r="I247" s="107">
        <f>VLOOKUP(A247,'[2]Billing Dimensions'!$A:$N,9,FALSE)-VLOOKUP(A247,'Audit Dimensions'!$A:$N,9,FALSE)</f>
        <v>0</v>
      </c>
      <c r="J247" s="106">
        <f>VLOOKUP(A247,'[2]Billing Dimensions'!$A:$N,10,FALSE)-VLOOKUP(A247,'Audit Dimensions'!$A:$N,10,FALSE)</f>
        <v>0</v>
      </c>
      <c r="K247" s="105">
        <f>VLOOKUP(A247,'[2]Billing Dimensions'!$A:$N,11,FALSE)-VLOOKUP(A247,'Audit Dimensions'!$A:$N,11,FALSE)</f>
        <v>0</v>
      </c>
      <c r="L247" s="105">
        <f>VLOOKUP(A247,'[2]Billing Dimensions'!$A:$N,12,FALSE)-VLOOKUP(A247,'Audit Dimensions'!$A:$N,12,FALSE)</f>
        <v>0</v>
      </c>
      <c r="M247" s="105">
        <f>VLOOKUP(A247,'[2]Billing Dimensions'!$A:$N,13,FALSE)-VLOOKUP(A247,'Audit Dimensions'!$A:$N,13,FALSE)</f>
        <v>0</v>
      </c>
      <c r="N247" s="105">
        <f>VLOOKUP(A247,'[2]Billing Dimensions'!$A:$N,14,FALSE)-VLOOKUP(A247,'Audit Dimensions'!$A:$N,14,FALSE)</f>
        <v>0</v>
      </c>
      <c r="O247" s="104">
        <f>VLOOKUP(A247,'[2]Billing Dimensions'!A:Q,16,FALSE)-VLOOKUP('Audit VAR'!A247,'Audit Dimensions'!A:P,16,FALSE)</f>
        <v>0</v>
      </c>
      <c r="P247" s="103">
        <f>O247/1000</f>
        <v>0</v>
      </c>
      <c r="Q247" s="102">
        <f>(((C247*D247*E247)+(G247*H247*I247)+(K247*L247*M247))/1000000)*35.32</f>
        <v>0</v>
      </c>
      <c r="R247" s="46" t="e">
        <f>P247/Q247</f>
        <v>#DIV/0!</v>
      </c>
    </row>
    <row r="248" spans="1:18" hidden="1" x14ac:dyDescent="0.3">
      <c r="A248" s="121" t="s">
        <v>69</v>
      </c>
      <c r="B248" s="88" t="e">
        <f>VLOOKUP(A248,'[2]Billing Dimensions'!A:B,2,FALSE)</f>
        <v>#N/A</v>
      </c>
      <c r="C248" s="115" t="e">
        <f>VLOOKUP(A248,'[2]Billing Dimensions'!$A:$N,3,FALSE)-VLOOKUP(A248,'Audit Dimensions'!$A:$N,3,FALSE)</f>
        <v>#N/A</v>
      </c>
      <c r="D248" s="115" t="e">
        <f>VLOOKUP(A248,'[2]Billing Dimensions'!$A:$N,4,FALSE)-VLOOKUP(A248,'Audit Dimensions'!$A:$N,4,FALSE)</f>
        <v>#N/A</v>
      </c>
      <c r="E248" s="115" t="e">
        <f>VLOOKUP(A248,'[2]Billing Dimensions'!$A:$N,5,FALSE)-VLOOKUP(A248,'Audit Dimensions'!$A:$N,5,FALSE)</f>
        <v>#N/A</v>
      </c>
      <c r="F248" s="114" t="e">
        <f>VLOOKUP(A248,'[2]Billing Dimensions'!$A:$N,6,FALSE)-VLOOKUP(A248,'Audit Dimensions'!$A:$N,6,FALSE)</f>
        <v>#N/A</v>
      </c>
      <c r="G248" s="107" t="e">
        <f>VLOOKUP(A248,'[2]Billing Dimensions'!$A:$N,7,FALSE)-VLOOKUP(A248,'Audit Dimensions'!$A:$N,7,FALSE)</f>
        <v>#N/A</v>
      </c>
      <c r="H248" s="107" t="e">
        <f>VLOOKUP(A248,'[2]Billing Dimensions'!$A:$N,8,FALSE)-VLOOKUP(A248,'Audit Dimensions'!$A:$N,8,FALSE)</f>
        <v>#N/A</v>
      </c>
      <c r="I248" s="107" t="e">
        <f>VLOOKUP(A248,'[2]Billing Dimensions'!$A:$N,9,FALSE)-VLOOKUP(A248,'Audit Dimensions'!$A:$N,9,FALSE)</f>
        <v>#N/A</v>
      </c>
      <c r="J248" s="106" t="e">
        <f>VLOOKUP(A248,'[2]Billing Dimensions'!$A:$N,10,FALSE)-VLOOKUP(A248,'Audit Dimensions'!$A:$N,10,FALSE)</f>
        <v>#N/A</v>
      </c>
      <c r="K248" s="105" t="e">
        <f>VLOOKUP(A248,'[2]Billing Dimensions'!$A:$N,11,FALSE)-VLOOKUP(A248,'Audit Dimensions'!$A:$N,11,FALSE)</f>
        <v>#N/A</v>
      </c>
      <c r="L248" s="105" t="e">
        <f>VLOOKUP(A248,'[2]Billing Dimensions'!$A:$N,12,FALSE)-VLOOKUP(A248,'Audit Dimensions'!$A:$N,12,FALSE)</f>
        <v>#N/A</v>
      </c>
      <c r="M248" s="105" t="e">
        <f>VLOOKUP(A248,'[2]Billing Dimensions'!$A:$N,13,FALSE)-VLOOKUP(A248,'Audit Dimensions'!$A:$N,13,FALSE)</f>
        <v>#N/A</v>
      </c>
      <c r="N248" s="105" t="e">
        <f>VLOOKUP(A248,'[2]Billing Dimensions'!$A:$N,14,FALSE)-VLOOKUP(A248,'Audit Dimensions'!$A:$N,14,FALSE)</f>
        <v>#N/A</v>
      </c>
      <c r="O248" s="104" t="e">
        <f>VLOOKUP(A248,'[2]Billing Dimensions'!A:Q,16,FALSE)-VLOOKUP('Audit VAR'!A248,'Audit Dimensions'!A:P,16,FALSE)</f>
        <v>#N/A</v>
      </c>
      <c r="P248" s="103" t="e">
        <f>O248/1000</f>
        <v>#N/A</v>
      </c>
      <c r="Q248" s="102" t="e">
        <f>(((C248*D248*E248)+(G248*H248*I248)+(K248*L248*M248))/1000000)*35.32</f>
        <v>#N/A</v>
      </c>
      <c r="R248" s="46" t="e">
        <f>P248/Q248</f>
        <v>#N/A</v>
      </c>
    </row>
    <row r="249" spans="1:18" ht="14.4" hidden="1" x14ac:dyDescent="0.3">
      <c r="A249" s="120" t="s">
        <v>68</v>
      </c>
      <c r="B249" s="88" t="str">
        <f>VLOOKUP(A249,'[2]Billing Dimensions'!A:B,2,FALSE)</f>
        <v>SB</v>
      </c>
      <c r="C249" s="115">
        <f>VLOOKUP(A249,'[2]Billing Dimensions'!$A:$N,3,FALSE)-VLOOKUP(A249,'Audit Dimensions'!$A:$N,3,FALSE)</f>
        <v>-52</v>
      </c>
      <c r="D249" s="115">
        <f>VLOOKUP(A249,'[2]Billing Dimensions'!$A:$N,4,FALSE)-VLOOKUP(A249,'Audit Dimensions'!$A:$N,4,FALSE)</f>
        <v>13</v>
      </c>
      <c r="E249" s="115">
        <f>VLOOKUP(A249,'[2]Billing Dimensions'!$A:$N,5,FALSE)-VLOOKUP(A249,'Audit Dimensions'!$A:$N,5,FALSE)</f>
        <v>-2</v>
      </c>
      <c r="F249" s="114">
        <f>VLOOKUP(A249,'[2]Billing Dimensions'!$A:$N,6,FALSE)-VLOOKUP(A249,'Audit Dimensions'!$A:$N,6,FALSE)</f>
        <v>-4950</v>
      </c>
      <c r="G249" s="107">
        <f>VLOOKUP(A249,'[2]Billing Dimensions'!$A:$N,7,FALSE)-VLOOKUP(A249,'Audit Dimensions'!$A:$N,7,FALSE)</f>
        <v>0</v>
      </c>
      <c r="H249" s="107">
        <f>VLOOKUP(A249,'[2]Billing Dimensions'!$A:$N,8,FALSE)-VLOOKUP(A249,'Audit Dimensions'!$A:$N,8,FALSE)</f>
        <v>0</v>
      </c>
      <c r="I249" s="107">
        <f>VLOOKUP(A249,'[2]Billing Dimensions'!$A:$N,9,FALSE)-VLOOKUP(A249,'Audit Dimensions'!$A:$N,9,FALSE)</f>
        <v>0</v>
      </c>
      <c r="J249" s="106">
        <f>VLOOKUP(A249,'[2]Billing Dimensions'!$A:$N,10,FALSE)-VLOOKUP(A249,'Audit Dimensions'!$A:$N,10,FALSE)</f>
        <v>0</v>
      </c>
      <c r="K249" s="105">
        <f>VLOOKUP(A249,'[2]Billing Dimensions'!$A:$N,11,FALSE)-VLOOKUP(A249,'Audit Dimensions'!$A:$N,11,FALSE)</f>
        <v>0</v>
      </c>
      <c r="L249" s="105">
        <f>VLOOKUP(A249,'[2]Billing Dimensions'!$A:$N,12,FALSE)-VLOOKUP(A249,'Audit Dimensions'!$A:$N,12,FALSE)</f>
        <v>0</v>
      </c>
      <c r="M249" s="105">
        <f>VLOOKUP(A249,'[2]Billing Dimensions'!$A:$N,13,FALSE)-VLOOKUP(A249,'Audit Dimensions'!$A:$N,13,FALSE)</f>
        <v>0</v>
      </c>
      <c r="N249" s="105">
        <f>VLOOKUP(A249,'[2]Billing Dimensions'!$A:$N,14,FALSE)-VLOOKUP(A249,'Audit Dimensions'!$A:$N,14,FALSE)</f>
        <v>0</v>
      </c>
      <c r="O249" s="104">
        <f>VLOOKUP(A249,'[2]Billing Dimensions'!A:Q,16,FALSE)-VLOOKUP('Audit VAR'!A249,'Audit Dimensions'!A:P,16,FALSE)</f>
        <v>-4950</v>
      </c>
      <c r="P249" s="103">
        <f>O249/1000</f>
        <v>-4.95</v>
      </c>
      <c r="Q249" s="102">
        <f>(((C249*D249*E249)+(G249*H249*I249)+(K249*L249*M249))/1000000)*35.32</f>
        <v>4.7752639999999999E-2</v>
      </c>
      <c r="R249" s="46">
        <f>P249/Q249</f>
        <v>-103.65919036099366</v>
      </c>
    </row>
    <row r="250" spans="1:18" ht="14.4" hidden="1" x14ac:dyDescent="0.3">
      <c r="A250" s="120" t="s">
        <v>67</v>
      </c>
      <c r="B250" s="88" t="str">
        <f>VLOOKUP(A250,'[2]Billing Dimensions'!A:B,2,FALSE)</f>
        <v>SB</v>
      </c>
      <c r="C250" s="115">
        <f>VLOOKUP(A250,'[2]Billing Dimensions'!$A:$N,3,FALSE)-VLOOKUP(A250,'Audit Dimensions'!$A:$N,3,FALSE)</f>
        <v>4</v>
      </c>
      <c r="D250" s="115">
        <f>VLOOKUP(A250,'[2]Billing Dimensions'!$A:$N,4,FALSE)-VLOOKUP(A250,'Audit Dimensions'!$A:$N,4,FALSE)</f>
        <v>-2</v>
      </c>
      <c r="E250" s="115">
        <f>VLOOKUP(A250,'[2]Billing Dimensions'!$A:$N,5,FALSE)-VLOOKUP(A250,'Audit Dimensions'!$A:$N,5,FALSE)</f>
        <v>0</v>
      </c>
      <c r="F250" s="114">
        <f>VLOOKUP(A250,'[2]Billing Dimensions'!$A:$N,6,FALSE)-VLOOKUP(A250,'Audit Dimensions'!$A:$N,6,FALSE)</f>
        <v>-1150</v>
      </c>
      <c r="G250" s="107">
        <f>VLOOKUP(A250,'[2]Billing Dimensions'!$A:$N,7,FALSE)-VLOOKUP(A250,'Audit Dimensions'!$A:$N,7,FALSE)</f>
        <v>0</v>
      </c>
      <c r="H250" s="107">
        <f>VLOOKUP(A250,'[2]Billing Dimensions'!$A:$N,8,FALSE)-VLOOKUP(A250,'Audit Dimensions'!$A:$N,8,FALSE)</f>
        <v>0</v>
      </c>
      <c r="I250" s="107">
        <f>VLOOKUP(A250,'[2]Billing Dimensions'!$A:$N,9,FALSE)-VLOOKUP(A250,'Audit Dimensions'!$A:$N,9,FALSE)</f>
        <v>0</v>
      </c>
      <c r="J250" s="106">
        <f>VLOOKUP(A250,'[2]Billing Dimensions'!$A:$N,10,FALSE)-VLOOKUP(A250,'Audit Dimensions'!$A:$N,10,FALSE)</f>
        <v>0</v>
      </c>
      <c r="K250" s="105">
        <f>VLOOKUP(A250,'[2]Billing Dimensions'!$A:$N,11,FALSE)-VLOOKUP(A250,'Audit Dimensions'!$A:$N,11,FALSE)</f>
        <v>0</v>
      </c>
      <c r="L250" s="105">
        <f>VLOOKUP(A250,'[2]Billing Dimensions'!$A:$N,12,FALSE)-VLOOKUP(A250,'Audit Dimensions'!$A:$N,12,FALSE)</f>
        <v>0</v>
      </c>
      <c r="M250" s="105">
        <f>VLOOKUP(A250,'[2]Billing Dimensions'!$A:$N,13,FALSE)-VLOOKUP(A250,'Audit Dimensions'!$A:$N,13,FALSE)</f>
        <v>0</v>
      </c>
      <c r="N250" s="105">
        <f>VLOOKUP(A250,'[2]Billing Dimensions'!$A:$N,14,FALSE)-VLOOKUP(A250,'Audit Dimensions'!$A:$N,14,FALSE)</f>
        <v>0</v>
      </c>
      <c r="O250" s="104">
        <f>VLOOKUP(A250,'[2]Billing Dimensions'!A:Q,16,FALSE)-VLOOKUP('Audit VAR'!A250,'Audit Dimensions'!A:P,16,FALSE)</f>
        <v>-1150</v>
      </c>
      <c r="P250" s="103">
        <f>O250/1000</f>
        <v>-1.1499999999999999</v>
      </c>
      <c r="Q250" s="102">
        <f>(((C250*D250*E250)+(G250*H250*I250)+(K250*L250*M250))/1000000)*35.32</f>
        <v>0</v>
      </c>
      <c r="R250" s="46" t="e">
        <f>P250/Q250</f>
        <v>#DIV/0!</v>
      </c>
    </row>
    <row r="251" spans="1:18" ht="14.4" hidden="1" x14ac:dyDescent="0.3">
      <c r="A251" s="120" t="s">
        <v>66</v>
      </c>
      <c r="B251" s="88" t="str">
        <f>VLOOKUP(A251,'[2]Billing Dimensions'!A:B,2,FALSE)</f>
        <v>SB</v>
      </c>
      <c r="C251" s="115">
        <f>VLOOKUP(A251,'[2]Billing Dimensions'!$A:$N,3,FALSE)-VLOOKUP(A251,'Audit Dimensions'!$A:$N,3,FALSE)</f>
        <v>3</v>
      </c>
      <c r="D251" s="115">
        <f>VLOOKUP(A251,'[2]Billing Dimensions'!$A:$N,4,FALSE)-VLOOKUP(A251,'Audit Dimensions'!$A:$N,4,FALSE)</f>
        <v>0</v>
      </c>
      <c r="E251" s="115">
        <f>VLOOKUP(A251,'[2]Billing Dimensions'!$A:$N,5,FALSE)-VLOOKUP(A251,'Audit Dimensions'!$A:$N,5,FALSE)</f>
        <v>2</v>
      </c>
      <c r="F251" s="114">
        <f>VLOOKUP(A251,'[2]Billing Dimensions'!$A:$N,6,FALSE)-VLOOKUP(A251,'Audit Dimensions'!$A:$N,6,FALSE)</f>
        <v>300</v>
      </c>
      <c r="G251" s="107">
        <f>VLOOKUP(A251,'[2]Billing Dimensions'!$A:$N,7,FALSE)-VLOOKUP(A251,'Audit Dimensions'!$A:$N,7,FALSE)</f>
        <v>0</v>
      </c>
      <c r="H251" s="107">
        <f>VLOOKUP(A251,'[2]Billing Dimensions'!$A:$N,8,FALSE)-VLOOKUP(A251,'Audit Dimensions'!$A:$N,8,FALSE)</f>
        <v>0</v>
      </c>
      <c r="I251" s="107">
        <f>VLOOKUP(A251,'[2]Billing Dimensions'!$A:$N,9,FALSE)-VLOOKUP(A251,'Audit Dimensions'!$A:$N,9,FALSE)</f>
        <v>0</v>
      </c>
      <c r="J251" s="106">
        <f>VLOOKUP(A251,'[2]Billing Dimensions'!$A:$N,10,FALSE)-VLOOKUP(A251,'Audit Dimensions'!$A:$N,10,FALSE)</f>
        <v>0</v>
      </c>
      <c r="K251" s="105">
        <f>VLOOKUP(A251,'[2]Billing Dimensions'!$A:$N,11,FALSE)-VLOOKUP(A251,'Audit Dimensions'!$A:$N,11,FALSE)</f>
        <v>0</v>
      </c>
      <c r="L251" s="105">
        <f>VLOOKUP(A251,'[2]Billing Dimensions'!$A:$N,12,FALSE)-VLOOKUP(A251,'Audit Dimensions'!$A:$N,12,FALSE)</f>
        <v>0</v>
      </c>
      <c r="M251" s="105">
        <f>VLOOKUP(A251,'[2]Billing Dimensions'!$A:$N,13,FALSE)-VLOOKUP(A251,'Audit Dimensions'!$A:$N,13,FALSE)</f>
        <v>0</v>
      </c>
      <c r="N251" s="105">
        <f>VLOOKUP(A251,'[2]Billing Dimensions'!$A:$N,14,FALSE)-VLOOKUP(A251,'Audit Dimensions'!$A:$N,14,FALSE)</f>
        <v>0</v>
      </c>
      <c r="O251" s="104">
        <f>VLOOKUP(A251,'[2]Billing Dimensions'!A:Q,16,FALSE)-VLOOKUP('Audit VAR'!A251,'Audit Dimensions'!A:P,16,FALSE)</f>
        <v>300</v>
      </c>
      <c r="P251" s="103">
        <f>O251/1000</f>
        <v>0.3</v>
      </c>
      <c r="Q251" s="102">
        <f>(((C251*D251*E251)+(G251*H251*I251)+(K251*L251*M251))/1000000)*35.32</f>
        <v>0</v>
      </c>
      <c r="R251" s="46" t="e">
        <f>P251/Q251</f>
        <v>#DIV/0!</v>
      </c>
    </row>
    <row r="252" spans="1:18" ht="14.4" hidden="1" x14ac:dyDescent="0.3">
      <c r="A252" s="120" t="s">
        <v>65</v>
      </c>
      <c r="B252" s="88" t="str">
        <f>VLOOKUP(A252,'[2]Billing Dimensions'!A:B,2,FALSE)</f>
        <v>SB</v>
      </c>
      <c r="C252" s="115">
        <f>VLOOKUP(A252,'[2]Billing Dimensions'!$A:$N,3,FALSE)-VLOOKUP(A252,'Audit Dimensions'!$A:$N,3,FALSE)</f>
        <v>-2</v>
      </c>
      <c r="D252" s="115">
        <f>VLOOKUP(A252,'[2]Billing Dimensions'!$A:$N,4,FALSE)-VLOOKUP(A252,'Audit Dimensions'!$A:$N,4,FALSE)</f>
        <v>3</v>
      </c>
      <c r="E252" s="115">
        <f>VLOOKUP(A252,'[2]Billing Dimensions'!$A:$N,5,FALSE)-VLOOKUP(A252,'Audit Dimensions'!$A:$N,5,FALSE)</f>
        <v>0</v>
      </c>
      <c r="F252" s="114">
        <f>VLOOKUP(A252,'[2]Billing Dimensions'!$A:$N,6,FALSE)-VLOOKUP(A252,'Audit Dimensions'!$A:$N,6,FALSE)</f>
        <v>-4300</v>
      </c>
      <c r="G252" s="107">
        <f>VLOOKUP(A252,'[2]Billing Dimensions'!$A:$N,7,FALSE)-VLOOKUP(A252,'Audit Dimensions'!$A:$N,7,FALSE)</f>
        <v>0</v>
      </c>
      <c r="H252" s="107">
        <f>VLOOKUP(A252,'[2]Billing Dimensions'!$A:$N,8,FALSE)-VLOOKUP(A252,'Audit Dimensions'!$A:$N,8,FALSE)</f>
        <v>0</v>
      </c>
      <c r="I252" s="107">
        <f>VLOOKUP(A252,'[2]Billing Dimensions'!$A:$N,9,FALSE)-VLOOKUP(A252,'Audit Dimensions'!$A:$N,9,FALSE)</f>
        <v>0</v>
      </c>
      <c r="J252" s="106">
        <f>VLOOKUP(A252,'[2]Billing Dimensions'!$A:$N,10,FALSE)-VLOOKUP(A252,'Audit Dimensions'!$A:$N,10,FALSE)</f>
        <v>0</v>
      </c>
      <c r="K252" s="105">
        <f>VLOOKUP(A252,'[2]Billing Dimensions'!$A:$N,11,FALSE)-VLOOKUP(A252,'Audit Dimensions'!$A:$N,11,FALSE)</f>
        <v>0</v>
      </c>
      <c r="L252" s="105">
        <f>VLOOKUP(A252,'[2]Billing Dimensions'!$A:$N,12,FALSE)-VLOOKUP(A252,'Audit Dimensions'!$A:$N,12,FALSE)</f>
        <v>0</v>
      </c>
      <c r="M252" s="105">
        <f>VLOOKUP(A252,'[2]Billing Dimensions'!$A:$N,13,FALSE)-VLOOKUP(A252,'Audit Dimensions'!$A:$N,13,FALSE)</f>
        <v>0</v>
      </c>
      <c r="N252" s="105">
        <f>VLOOKUP(A252,'[2]Billing Dimensions'!$A:$N,14,FALSE)-VLOOKUP(A252,'Audit Dimensions'!$A:$N,14,FALSE)</f>
        <v>0</v>
      </c>
      <c r="O252" s="104">
        <f>VLOOKUP(A252,'[2]Billing Dimensions'!A:Q,16,FALSE)-VLOOKUP('Audit VAR'!A252,'Audit Dimensions'!A:P,16,FALSE)</f>
        <v>-4300</v>
      </c>
      <c r="P252" s="103">
        <f>O252/1000</f>
        <v>-4.3</v>
      </c>
      <c r="Q252" s="102">
        <f>(((C252*D252*E252)+(G252*H252*I252)+(K252*L252*M252))/1000000)*35.32</f>
        <v>0</v>
      </c>
      <c r="R252" s="46" t="e">
        <f>P252/Q252</f>
        <v>#DIV/0!</v>
      </c>
    </row>
    <row r="253" spans="1:18" ht="14.4" hidden="1" x14ac:dyDescent="0.3">
      <c r="A253" s="120" t="s">
        <v>64</v>
      </c>
      <c r="B253" s="88" t="str">
        <f>VLOOKUP(A253,'[2]Billing Dimensions'!A:B,2,FALSE)</f>
        <v>SB</v>
      </c>
      <c r="C253" s="115">
        <f>VLOOKUP(A253,'[2]Billing Dimensions'!$A:$N,3,FALSE)-VLOOKUP(A253,'Audit Dimensions'!$A:$N,3,FALSE)</f>
        <v>-41</v>
      </c>
      <c r="D253" s="115">
        <f>VLOOKUP(A253,'[2]Billing Dimensions'!$A:$N,4,FALSE)-VLOOKUP(A253,'Audit Dimensions'!$A:$N,4,FALSE)</f>
        <v>-14</v>
      </c>
      <c r="E253" s="115">
        <f>VLOOKUP(A253,'[2]Billing Dimensions'!$A:$N,5,FALSE)-VLOOKUP(A253,'Audit Dimensions'!$A:$N,5,FALSE)</f>
        <v>-7</v>
      </c>
      <c r="F253" s="114">
        <f>VLOOKUP(A253,'[2]Billing Dimensions'!$A:$N,6,FALSE)-VLOOKUP(A253,'Audit Dimensions'!$A:$N,6,FALSE)</f>
        <v>-90</v>
      </c>
      <c r="G253" s="107">
        <f>VLOOKUP(A253,'[2]Billing Dimensions'!$A:$N,7,FALSE)-VLOOKUP(A253,'Audit Dimensions'!$A:$N,7,FALSE)</f>
        <v>0</v>
      </c>
      <c r="H253" s="107">
        <f>VLOOKUP(A253,'[2]Billing Dimensions'!$A:$N,8,FALSE)-VLOOKUP(A253,'Audit Dimensions'!$A:$N,8,FALSE)</f>
        <v>0</v>
      </c>
      <c r="I253" s="107">
        <f>VLOOKUP(A253,'[2]Billing Dimensions'!$A:$N,9,FALSE)-VLOOKUP(A253,'Audit Dimensions'!$A:$N,9,FALSE)</f>
        <v>0</v>
      </c>
      <c r="J253" s="106">
        <f>VLOOKUP(A253,'[2]Billing Dimensions'!$A:$N,10,FALSE)-VLOOKUP(A253,'Audit Dimensions'!$A:$N,10,FALSE)</f>
        <v>0</v>
      </c>
      <c r="K253" s="105">
        <f>VLOOKUP(A253,'[2]Billing Dimensions'!$A:$N,11,FALSE)-VLOOKUP(A253,'Audit Dimensions'!$A:$N,11,FALSE)</f>
        <v>0</v>
      </c>
      <c r="L253" s="105">
        <f>VLOOKUP(A253,'[2]Billing Dimensions'!$A:$N,12,FALSE)-VLOOKUP(A253,'Audit Dimensions'!$A:$N,12,FALSE)</f>
        <v>0</v>
      </c>
      <c r="M253" s="105">
        <f>VLOOKUP(A253,'[2]Billing Dimensions'!$A:$N,13,FALSE)-VLOOKUP(A253,'Audit Dimensions'!$A:$N,13,FALSE)</f>
        <v>0</v>
      </c>
      <c r="N253" s="105">
        <f>VLOOKUP(A253,'[2]Billing Dimensions'!$A:$N,14,FALSE)-VLOOKUP(A253,'Audit Dimensions'!$A:$N,14,FALSE)</f>
        <v>0</v>
      </c>
      <c r="O253" s="104">
        <f>VLOOKUP(A253,'[2]Billing Dimensions'!A:Q,16,FALSE)-VLOOKUP('Audit VAR'!A253,'Audit Dimensions'!A:P,16,FALSE)</f>
        <v>-90</v>
      </c>
      <c r="P253" s="103">
        <f>O253/1000</f>
        <v>-0.09</v>
      </c>
      <c r="Q253" s="102">
        <f>(((C253*D253*E253)+(G253*H253*I253)+(K253*L253*M253))/1000000)*35.32</f>
        <v>-0.14191576</v>
      </c>
      <c r="R253" s="46">
        <f>P253/Q253</f>
        <v>0.63417903691598454</v>
      </c>
    </row>
    <row r="254" spans="1:18" ht="14.4" hidden="1" x14ac:dyDescent="0.3">
      <c r="A254" s="120" t="s">
        <v>63</v>
      </c>
      <c r="B254" s="88" t="str">
        <f>VLOOKUP(A254,'[2]Billing Dimensions'!A:B,2,FALSE)</f>
        <v>SB</v>
      </c>
      <c r="C254" s="115">
        <f>VLOOKUP(A254,'[2]Billing Dimensions'!$A:$N,3,FALSE)-VLOOKUP(A254,'Audit Dimensions'!$A:$N,3,FALSE)</f>
        <v>0</v>
      </c>
      <c r="D254" s="115">
        <f>VLOOKUP(A254,'[2]Billing Dimensions'!$A:$N,4,FALSE)-VLOOKUP(A254,'Audit Dimensions'!$A:$N,4,FALSE)</f>
        <v>0</v>
      </c>
      <c r="E254" s="115">
        <f>VLOOKUP(A254,'[2]Billing Dimensions'!$A:$N,5,FALSE)-VLOOKUP(A254,'Audit Dimensions'!$A:$N,5,FALSE)</f>
        <v>0</v>
      </c>
      <c r="F254" s="114">
        <f>VLOOKUP(A254,'[2]Billing Dimensions'!$A:$N,6,FALSE)-VLOOKUP(A254,'Audit Dimensions'!$A:$N,6,FALSE)</f>
        <v>50</v>
      </c>
      <c r="G254" s="107">
        <f>VLOOKUP(A254,'[2]Billing Dimensions'!$A:$N,7,FALSE)-VLOOKUP(A254,'Audit Dimensions'!$A:$N,7,FALSE)</f>
        <v>0</v>
      </c>
      <c r="H254" s="107">
        <f>VLOOKUP(A254,'[2]Billing Dimensions'!$A:$N,8,FALSE)-VLOOKUP(A254,'Audit Dimensions'!$A:$N,8,FALSE)</f>
        <v>0</v>
      </c>
      <c r="I254" s="107">
        <f>VLOOKUP(A254,'[2]Billing Dimensions'!$A:$N,9,FALSE)-VLOOKUP(A254,'Audit Dimensions'!$A:$N,9,FALSE)</f>
        <v>0</v>
      </c>
      <c r="J254" s="106">
        <f>VLOOKUP(A254,'[2]Billing Dimensions'!$A:$N,10,FALSE)-VLOOKUP(A254,'Audit Dimensions'!$A:$N,10,FALSE)</f>
        <v>0</v>
      </c>
      <c r="K254" s="105">
        <f>VLOOKUP(A254,'[2]Billing Dimensions'!$A:$N,11,FALSE)-VLOOKUP(A254,'Audit Dimensions'!$A:$N,11,FALSE)</f>
        <v>0</v>
      </c>
      <c r="L254" s="105">
        <f>VLOOKUP(A254,'[2]Billing Dimensions'!$A:$N,12,FALSE)-VLOOKUP(A254,'Audit Dimensions'!$A:$N,12,FALSE)</f>
        <v>0</v>
      </c>
      <c r="M254" s="105">
        <f>VLOOKUP(A254,'[2]Billing Dimensions'!$A:$N,13,FALSE)-VLOOKUP(A254,'Audit Dimensions'!$A:$N,13,FALSE)</f>
        <v>0</v>
      </c>
      <c r="N254" s="105">
        <f>VLOOKUP(A254,'[2]Billing Dimensions'!$A:$N,14,FALSE)-VLOOKUP(A254,'Audit Dimensions'!$A:$N,14,FALSE)</f>
        <v>0</v>
      </c>
      <c r="O254" s="104">
        <f>VLOOKUP(A254,'[2]Billing Dimensions'!A:Q,16,FALSE)-VLOOKUP('Audit VAR'!A254,'Audit Dimensions'!A:P,16,FALSE)</f>
        <v>50</v>
      </c>
      <c r="P254" s="103">
        <f>O254/1000</f>
        <v>0.05</v>
      </c>
      <c r="Q254" s="102">
        <f>(((C254*D254*E254)+(G254*H254*I254)+(K254*L254*M254))/1000000)*35.32</f>
        <v>0</v>
      </c>
      <c r="R254" s="46" t="e">
        <f>P254/Q254</f>
        <v>#DIV/0!</v>
      </c>
    </row>
    <row r="255" spans="1:18" ht="14.4" hidden="1" x14ac:dyDescent="0.3">
      <c r="A255" s="120" t="s">
        <v>62</v>
      </c>
      <c r="B255" s="88" t="str">
        <f>VLOOKUP(A255,'[2]Billing Dimensions'!A:B,2,FALSE)</f>
        <v>SB</v>
      </c>
      <c r="C255" s="115">
        <f>VLOOKUP(A255,'[2]Billing Dimensions'!$A:$N,3,FALSE)-VLOOKUP(A255,'Audit Dimensions'!$A:$N,3,FALSE)</f>
        <v>-14</v>
      </c>
      <c r="D255" s="115">
        <f>VLOOKUP(A255,'[2]Billing Dimensions'!$A:$N,4,FALSE)-VLOOKUP(A255,'Audit Dimensions'!$A:$N,4,FALSE)</f>
        <v>-8</v>
      </c>
      <c r="E255" s="115">
        <f>VLOOKUP(A255,'[2]Billing Dimensions'!$A:$N,5,FALSE)-VLOOKUP(A255,'Audit Dimensions'!$A:$N,5,FALSE)</f>
        <v>0</v>
      </c>
      <c r="F255" s="114">
        <f>VLOOKUP(A255,'[2]Billing Dimensions'!$A:$N,6,FALSE)-VLOOKUP(A255,'Audit Dimensions'!$A:$N,6,FALSE)</f>
        <v>-50</v>
      </c>
      <c r="G255" s="107">
        <f>VLOOKUP(A255,'[2]Billing Dimensions'!$A:$N,7,FALSE)-VLOOKUP(A255,'Audit Dimensions'!$A:$N,7,FALSE)</f>
        <v>0</v>
      </c>
      <c r="H255" s="107">
        <f>VLOOKUP(A255,'[2]Billing Dimensions'!$A:$N,8,FALSE)-VLOOKUP(A255,'Audit Dimensions'!$A:$N,8,FALSE)</f>
        <v>0</v>
      </c>
      <c r="I255" s="107">
        <f>VLOOKUP(A255,'[2]Billing Dimensions'!$A:$N,9,FALSE)-VLOOKUP(A255,'Audit Dimensions'!$A:$N,9,FALSE)</f>
        <v>0</v>
      </c>
      <c r="J255" s="106">
        <f>VLOOKUP(A255,'[2]Billing Dimensions'!$A:$N,10,FALSE)-VLOOKUP(A255,'Audit Dimensions'!$A:$N,10,FALSE)</f>
        <v>0</v>
      </c>
      <c r="K255" s="105">
        <f>VLOOKUP(A255,'[2]Billing Dimensions'!$A:$N,11,FALSE)-VLOOKUP(A255,'Audit Dimensions'!$A:$N,11,FALSE)</f>
        <v>0</v>
      </c>
      <c r="L255" s="105">
        <f>VLOOKUP(A255,'[2]Billing Dimensions'!$A:$N,12,FALSE)-VLOOKUP(A255,'Audit Dimensions'!$A:$N,12,FALSE)</f>
        <v>0</v>
      </c>
      <c r="M255" s="105">
        <f>VLOOKUP(A255,'[2]Billing Dimensions'!$A:$N,13,FALSE)-VLOOKUP(A255,'Audit Dimensions'!$A:$N,13,FALSE)</f>
        <v>0</v>
      </c>
      <c r="N255" s="105">
        <f>VLOOKUP(A255,'[2]Billing Dimensions'!$A:$N,14,FALSE)-VLOOKUP(A255,'Audit Dimensions'!$A:$N,14,FALSE)</f>
        <v>0</v>
      </c>
      <c r="O255" s="104">
        <f>VLOOKUP(A255,'[2]Billing Dimensions'!A:Q,16,FALSE)-VLOOKUP('Audit VAR'!A255,'Audit Dimensions'!A:P,16,FALSE)</f>
        <v>-50</v>
      </c>
      <c r="P255" s="103">
        <f>O255/1000</f>
        <v>-0.05</v>
      </c>
      <c r="Q255" s="102">
        <f>(((C255*D255*E255)+(G255*H255*I255)+(K255*L255*M255))/1000000)*35.32</f>
        <v>0</v>
      </c>
      <c r="R255" s="46" t="e">
        <f>P255/Q255</f>
        <v>#DIV/0!</v>
      </c>
    </row>
    <row r="256" spans="1:18" ht="13.5" hidden="1" customHeight="1" x14ac:dyDescent="0.3">
      <c r="A256" s="119" t="s">
        <v>61</v>
      </c>
      <c r="B256" s="88" t="str">
        <f>VLOOKUP(A256,'[2]Billing Dimensions'!A:B,2,FALSE)</f>
        <v>SB</v>
      </c>
      <c r="C256" s="115">
        <f>VLOOKUP(A256,'[2]Billing Dimensions'!$A:$N,3,FALSE)-VLOOKUP(A256,'Audit Dimensions'!$A:$N,3,FALSE)</f>
        <v>10</v>
      </c>
      <c r="D256" s="115">
        <f>VLOOKUP(A256,'[2]Billing Dimensions'!$A:$N,4,FALSE)-VLOOKUP(A256,'Audit Dimensions'!$A:$N,4,FALSE)</f>
        <v>6</v>
      </c>
      <c r="E256" s="115">
        <f>VLOOKUP(A256,'[2]Billing Dimensions'!$A:$N,5,FALSE)-VLOOKUP(A256,'Audit Dimensions'!$A:$N,5,FALSE)</f>
        <v>-1</v>
      </c>
      <c r="F256" s="114">
        <f>VLOOKUP(A256,'[2]Billing Dimensions'!$A:$N,6,FALSE)-VLOOKUP(A256,'Audit Dimensions'!$A:$N,6,FALSE)</f>
        <v>-2700</v>
      </c>
      <c r="G256" s="107">
        <f>VLOOKUP(A256,'[2]Billing Dimensions'!$A:$N,7,FALSE)-VLOOKUP(A256,'Audit Dimensions'!$A:$N,7,FALSE)</f>
        <v>0</v>
      </c>
      <c r="H256" s="107">
        <f>VLOOKUP(A256,'[2]Billing Dimensions'!$A:$N,8,FALSE)-VLOOKUP(A256,'Audit Dimensions'!$A:$N,8,FALSE)</f>
        <v>0</v>
      </c>
      <c r="I256" s="107">
        <f>VLOOKUP(A256,'[2]Billing Dimensions'!$A:$N,9,FALSE)-VLOOKUP(A256,'Audit Dimensions'!$A:$N,9,FALSE)</f>
        <v>0</v>
      </c>
      <c r="J256" s="106">
        <f>VLOOKUP(A256,'[2]Billing Dimensions'!$A:$N,10,FALSE)-VLOOKUP(A256,'Audit Dimensions'!$A:$N,10,FALSE)</f>
        <v>0</v>
      </c>
      <c r="K256" s="105">
        <f>VLOOKUP(A256,'[2]Billing Dimensions'!$A:$N,11,FALSE)-VLOOKUP(A256,'Audit Dimensions'!$A:$N,11,FALSE)</f>
        <v>0</v>
      </c>
      <c r="L256" s="105">
        <f>VLOOKUP(A256,'[2]Billing Dimensions'!$A:$N,12,FALSE)-VLOOKUP(A256,'Audit Dimensions'!$A:$N,12,FALSE)</f>
        <v>0</v>
      </c>
      <c r="M256" s="105">
        <f>VLOOKUP(A256,'[2]Billing Dimensions'!$A:$N,13,FALSE)-VLOOKUP(A256,'Audit Dimensions'!$A:$N,13,FALSE)</f>
        <v>0</v>
      </c>
      <c r="N256" s="105">
        <f>VLOOKUP(A256,'[2]Billing Dimensions'!$A:$N,14,FALSE)-VLOOKUP(A256,'Audit Dimensions'!$A:$N,14,FALSE)</f>
        <v>0</v>
      </c>
      <c r="O256" s="104">
        <f>VLOOKUP(A256,'[2]Billing Dimensions'!A:Q,16,FALSE)-VLOOKUP('Audit VAR'!A256,'Audit Dimensions'!A:P,16,FALSE)</f>
        <v>-2700</v>
      </c>
      <c r="P256" s="103">
        <f>O256/1000</f>
        <v>-2.7</v>
      </c>
      <c r="Q256" s="102">
        <f>(((C256*D256*E256)+(G256*H256*I256)+(K256*L256*M256))/1000000)*35.32</f>
        <v>-2.1191999999999999E-3</v>
      </c>
      <c r="R256" s="46">
        <f>P256/Q256</f>
        <v>1274.0656851642132</v>
      </c>
    </row>
    <row r="257" spans="1:18" hidden="1" x14ac:dyDescent="0.3">
      <c r="A257" s="118" t="s">
        <v>60</v>
      </c>
      <c r="B257" s="88" t="str">
        <f>VLOOKUP(A257,'[2]Billing Dimensions'!A:B,2,FALSE)</f>
        <v>SB</v>
      </c>
      <c r="C257" s="115">
        <f>VLOOKUP(A257,'[2]Billing Dimensions'!$A:$N,3,FALSE)-VLOOKUP(A257,'Audit Dimensions'!$A:$N,3,FALSE)</f>
        <v>-1</v>
      </c>
      <c r="D257" s="115">
        <f>VLOOKUP(A257,'[2]Billing Dimensions'!$A:$N,4,FALSE)-VLOOKUP(A257,'Audit Dimensions'!$A:$N,4,FALSE)</f>
        <v>0</v>
      </c>
      <c r="E257" s="115">
        <f>VLOOKUP(A257,'[2]Billing Dimensions'!$A:$N,5,FALSE)-VLOOKUP(A257,'Audit Dimensions'!$A:$N,5,FALSE)</f>
        <v>0</v>
      </c>
      <c r="F257" s="114">
        <f>VLOOKUP(A257,'[2]Billing Dimensions'!$A:$N,6,FALSE)-VLOOKUP(A257,'Audit Dimensions'!$A:$N,6,FALSE)</f>
        <v>-665</v>
      </c>
      <c r="G257" s="107">
        <f>VLOOKUP(A257,'[2]Billing Dimensions'!$A:$N,7,FALSE)-VLOOKUP(A257,'Audit Dimensions'!$A:$N,7,FALSE)</f>
        <v>0</v>
      </c>
      <c r="H257" s="107">
        <f>VLOOKUP(A257,'[2]Billing Dimensions'!$A:$N,8,FALSE)-VLOOKUP(A257,'Audit Dimensions'!$A:$N,8,FALSE)</f>
        <v>0</v>
      </c>
      <c r="I257" s="107">
        <f>VLOOKUP(A257,'[2]Billing Dimensions'!$A:$N,9,FALSE)-VLOOKUP(A257,'Audit Dimensions'!$A:$N,9,FALSE)</f>
        <v>0</v>
      </c>
      <c r="J257" s="106">
        <f>VLOOKUP(A257,'[2]Billing Dimensions'!$A:$N,10,FALSE)-VLOOKUP(A257,'Audit Dimensions'!$A:$N,10,FALSE)</f>
        <v>0</v>
      </c>
      <c r="K257" s="105">
        <f>VLOOKUP(A257,'[2]Billing Dimensions'!$A:$N,11,FALSE)-VLOOKUP(A257,'Audit Dimensions'!$A:$N,11,FALSE)</f>
        <v>0</v>
      </c>
      <c r="L257" s="105">
        <f>VLOOKUP(A257,'[2]Billing Dimensions'!$A:$N,12,FALSE)-VLOOKUP(A257,'Audit Dimensions'!$A:$N,12,FALSE)</f>
        <v>0</v>
      </c>
      <c r="M257" s="105">
        <f>VLOOKUP(A257,'[2]Billing Dimensions'!$A:$N,13,FALSE)-VLOOKUP(A257,'Audit Dimensions'!$A:$N,13,FALSE)</f>
        <v>0</v>
      </c>
      <c r="N257" s="105">
        <f>VLOOKUP(A257,'[2]Billing Dimensions'!$A:$N,14,FALSE)-VLOOKUP(A257,'Audit Dimensions'!$A:$N,14,FALSE)</f>
        <v>0</v>
      </c>
      <c r="O257" s="104">
        <f>VLOOKUP(A257,'[2]Billing Dimensions'!A:Q,16,FALSE)-VLOOKUP('Audit VAR'!A257,'Audit Dimensions'!A:P,16,FALSE)</f>
        <v>-665</v>
      </c>
      <c r="P257" s="103">
        <f>O257/1000</f>
        <v>-0.66500000000000004</v>
      </c>
      <c r="Q257" s="102">
        <f>(((C257*D257*E257)+(G257*H257*I257)+(K257*L257*M257))/1000000)*35.32</f>
        <v>0</v>
      </c>
      <c r="R257" s="46" t="e">
        <f>P257/Q257</f>
        <v>#DIV/0!</v>
      </c>
    </row>
    <row r="258" spans="1:18" ht="14.4" hidden="1" x14ac:dyDescent="0.3">
      <c r="A258" s="117" t="s">
        <v>59</v>
      </c>
      <c r="B258" s="88" t="e">
        <f>VLOOKUP(A258,'[2]Billing Dimensions'!A:B,2,FALSE)</f>
        <v>#N/A</v>
      </c>
      <c r="C258" s="115" t="e">
        <f>VLOOKUP(A258,'[2]Billing Dimensions'!$A:$N,3,FALSE)-VLOOKUP(A258,'Audit Dimensions'!$A:$N,3,FALSE)</f>
        <v>#N/A</v>
      </c>
      <c r="D258" s="115" t="e">
        <f>VLOOKUP(A258,'[2]Billing Dimensions'!$A:$N,4,FALSE)-VLOOKUP(A258,'Audit Dimensions'!$A:$N,4,FALSE)</f>
        <v>#N/A</v>
      </c>
      <c r="E258" s="115" t="e">
        <f>VLOOKUP(A258,'[2]Billing Dimensions'!$A:$N,5,FALSE)-VLOOKUP(A258,'Audit Dimensions'!$A:$N,5,FALSE)</f>
        <v>#N/A</v>
      </c>
      <c r="F258" s="114" t="e">
        <f>VLOOKUP(A258,'[2]Billing Dimensions'!$A:$N,6,FALSE)-VLOOKUP(A258,'Audit Dimensions'!$A:$N,6,FALSE)</f>
        <v>#N/A</v>
      </c>
      <c r="G258" s="107" t="e">
        <f>VLOOKUP(A258,'[2]Billing Dimensions'!$A:$N,7,FALSE)-VLOOKUP(A258,'Audit Dimensions'!$A:$N,7,FALSE)</f>
        <v>#N/A</v>
      </c>
      <c r="H258" s="107" t="e">
        <f>VLOOKUP(A258,'[2]Billing Dimensions'!$A:$N,8,FALSE)-VLOOKUP(A258,'Audit Dimensions'!$A:$N,8,FALSE)</f>
        <v>#N/A</v>
      </c>
      <c r="I258" s="107" t="e">
        <f>VLOOKUP(A258,'[2]Billing Dimensions'!$A:$N,9,FALSE)-VLOOKUP(A258,'Audit Dimensions'!$A:$N,9,FALSE)</f>
        <v>#N/A</v>
      </c>
      <c r="J258" s="106" t="e">
        <f>VLOOKUP(A258,'[2]Billing Dimensions'!$A:$N,10,FALSE)-VLOOKUP(A258,'Audit Dimensions'!$A:$N,10,FALSE)</f>
        <v>#N/A</v>
      </c>
      <c r="K258" s="105" t="e">
        <f>VLOOKUP(A258,'[2]Billing Dimensions'!$A:$N,11,FALSE)-VLOOKUP(A258,'Audit Dimensions'!$A:$N,11,FALSE)</f>
        <v>#N/A</v>
      </c>
      <c r="L258" s="105" t="e">
        <f>VLOOKUP(A258,'[2]Billing Dimensions'!$A:$N,12,FALSE)-VLOOKUP(A258,'Audit Dimensions'!$A:$N,12,FALSE)</f>
        <v>#N/A</v>
      </c>
      <c r="M258" s="105" t="e">
        <f>VLOOKUP(A258,'[2]Billing Dimensions'!$A:$N,13,FALSE)-VLOOKUP(A258,'Audit Dimensions'!$A:$N,13,FALSE)</f>
        <v>#N/A</v>
      </c>
      <c r="N258" s="105" t="e">
        <f>VLOOKUP(A258,'[2]Billing Dimensions'!$A:$N,14,FALSE)-VLOOKUP(A258,'Audit Dimensions'!$A:$N,14,FALSE)</f>
        <v>#N/A</v>
      </c>
      <c r="O258" s="104" t="e">
        <f>VLOOKUP(A258,'[2]Billing Dimensions'!A:Q,16,FALSE)-VLOOKUP('Audit VAR'!A258,'Audit Dimensions'!A:P,16,FALSE)</f>
        <v>#N/A</v>
      </c>
      <c r="P258" s="103" t="e">
        <f>O258/1000</f>
        <v>#N/A</v>
      </c>
      <c r="Q258" s="102" t="e">
        <f>(((C258*D258*E258)+(G258*H258*I258)+(K258*L258*M258))/1000000)*35.32</f>
        <v>#N/A</v>
      </c>
      <c r="R258" s="46" t="e">
        <f>P258/Q258</f>
        <v>#N/A</v>
      </c>
    </row>
    <row r="259" spans="1:18" ht="14.4" hidden="1" x14ac:dyDescent="0.3">
      <c r="A259" s="117" t="s">
        <v>58</v>
      </c>
      <c r="B259" s="88" t="e">
        <f>VLOOKUP(A259,'[2]Billing Dimensions'!A:B,2,FALSE)</f>
        <v>#N/A</v>
      </c>
      <c r="C259" s="115" t="e">
        <f>VLOOKUP(A259,'[2]Billing Dimensions'!$A:$N,3,FALSE)-VLOOKUP(A259,'Audit Dimensions'!$A:$N,3,FALSE)</f>
        <v>#N/A</v>
      </c>
      <c r="D259" s="115" t="e">
        <f>VLOOKUP(A259,'[2]Billing Dimensions'!$A:$N,4,FALSE)-VLOOKUP(A259,'Audit Dimensions'!$A:$N,4,FALSE)</f>
        <v>#N/A</v>
      </c>
      <c r="E259" s="115" t="e">
        <f>VLOOKUP(A259,'[2]Billing Dimensions'!$A:$N,5,FALSE)-VLOOKUP(A259,'Audit Dimensions'!$A:$N,5,FALSE)</f>
        <v>#N/A</v>
      </c>
      <c r="F259" s="114" t="e">
        <f>VLOOKUP(A259,'[2]Billing Dimensions'!$A:$N,6,FALSE)-VLOOKUP(A259,'Audit Dimensions'!$A:$N,6,FALSE)</f>
        <v>#N/A</v>
      </c>
      <c r="G259" s="107" t="e">
        <f>VLOOKUP(A259,'[2]Billing Dimensions'!$A:$N,7,FALSE)-VLOOKUP(A259,'Audit Dimensions'!$A:$N,7,FALSE)</f>
        <v>#N/A</v>
      </c>
      <c r="H259" s="107" t="e">
        <f>VLOOKUP(A259,'[2]Billing Dimensions'!$A:$N,8,FALSE)-VLOOKUP(A259,'Audit Dimensions'!$A:$N,8,FALSE)</f>
        <v>#N/A</v>
      </c>
      <c r="I259" s="107" t="e">
        <f>VLOOKUP(A259,'[2]Billing Dimensions'!$A:$N,9,FALSE)-VLOOKUP(A259,'Audit Dimensions'!$A:$N,9,FALSE)</f>
        <v>#N/A</v>
      </c>
      <c r="J259" s="106" t="e">
        <f>VLOOKUP(A259,'[2]Billing Dimensions'!$A:$N,10,FALSE)-VLOOKUP(A259,'Audit Dimensions'!$A:$N,10,FALSE)</f>
        <v>#N/A</v>
      </c>
      <c r="K259" s="105" t="e">
        <f>VLOOKUP(A259,'[2]Billing Dimensions'!$A:$N,11,FALSE)-VLOOKUP(A259,'Audit Dimensions'!$A:$N,11,FALSE)</f>
        <v>#N/A</v>
      </c>
      <c r="L259" s="105" t="e">
        <f>VLOOKUP(A259,'[2]Billing Dimensions'!$A:$N,12,FALSE)-VLOOKUP(A259,'Audit Dimensions'!$A:$N,12,FALSE)</f>
        <v>#N/A</v>
      </c>
      <c r="M259" s="105" t="e">
        <f>VLOOKUP(A259,'[2]Billing Dimensions'!$A:$N,13,FALSE)-VLOOKUP(A259,'Audit Dimensions'!$A:$N,13,FALSE)</f>
        <v>#N/A</v>
      </c>
      <c r="N259" s="105" t="e">
        <f>VLOOKUP(A259,'[2]Billing Dimensions'!$A:$N,14,FALSE)-VLOOKUP(A259,'Audit Dimensions'!$A:$N,14,FALSE)</f>
        <v>#N/A</v>
      </c>
      <c r="O259" s="104" t="e">
        <f>VLOOKUP(A259,'[2]Billing Dimensions'!A:Q,16,FALSE)-VLOOKUP('Audit VAR'!A259,'Audit Dimensions'!A:P,16,FALSE)</f>
        <v>#N/A</v>
      </c>
      <c r="P259" s="103" t="e">
        <f>O259/1000</f>
        <v>#N/A</v>
      </c>
      <c r="Q259" s="102" t="e">
        <f>(((C259*D259*E259)+(G259*H259*I259)+(K259*L259*M259))/1000000)*35.32</f>
        <v>#N/A</v>
      </c>
      <c r="R259" s="46" t="e">
        <f>P259/Q259</f>
        <v>#N/A</v>
      </c>
    </row>
    <row r="260" spans="1:18" ht="14.4" hidden="1" x14ac:dyDescent="0.3">
      <c r="A260" s="117" t="s">
        <v>55</v>
      </c>
      <c r="B260" s="88" t="str">
        <f>VLOOKUP(A260,'[2]Billing Dimensions'!A:B,2,FALSE)</f>
        <v>SB</v>
      </c>
      <c r="C260" s="115">
        <f>VLOOKUP(A260,'[2]Billing Dimensions'!$A:$N,3,FALSE)-VLOOKUP(A260,'Audit Dimensions'!$A:$N,3,FALSE)</f>
        <v>-2</v>
      </c>
      <c r="D260" s="115">
        <f>VLOOKUP(A260,'[2]Billing Dimensions'!$A:$N,4,FALSE)-VLOOKUP(A260,'Audit Dimensions'!$A:$N,4,FALSE)</f>
        <v>-35</v>
      </c>
      <c r="E260" s="115">
        <f>VLOOKUP(A260,'[2]Billing Dimensions'!$A:$N,5,FALSE)-VLOOKUP(A260,'Audit Dimensions'!$A:$N,5,FALSE)</f>
        <v>6</v>
      </c>
      <c r="F260" s="114">
        <f>VLOOKUP(A260,'[2]Billing Dimensions'!$A:$N,6,FALSE)-VLOOKUP(A260,'Audit Dimensions'!$A:$N,6,FALSE)</f>
        <v>-4050</v>
      </c>
      <c r="G260" s="107">
        <f>VLOOKUP(A260,'[2]Billing Dimensions'!$A:$N,7,FALSE)-VLOOKUP(A260,'Audit Dimensions'!$A:$N,7,FALSE)</f>
        <v>0</v>
      </c>
      <c r="H260" s="107">
        <f>VLOOKUP(A260,'[2]Billing Dimensions'!$A:$N,8,FALSE)-VLOOKUP(A260,'Audit Dimensions'!$A:$N,8,FALSE)</f>
        <v>0</v>
      </c>
      <c r="I260" s="107">
        <f>VLOOKUP(A260,'[2]Billing Dimensions'!$A:$N,9,FALSE)-VLOOKUP(A260,'Audit Dimensions'!$A:$N,9,FALSE)</f>
        <v>0</v>
      </c>
      <c r="J260" s="106">
        <f>VLOOKUP(A260,'[2]Billing Dimensions'!$A:$N,10,FALSE)-VLOOKUP(A260,'Audit Dimensions'!$A:$N,10,FALSE)</f>
        <v>0</v>
      </c>
      <c r="K260" s="105">
        <f>VLOOKUP(A260,'[2]Billing Dimensions'!$A:$N,11,FALSE)-VLOOKUP(A260,'Audit Dimensions'!$A:$N,11,FALSE)</f>
        <v>0</v>
      </c>
      <c r="L260" s="105">
        <f>VLOOKUP(A260,'[2]Billing Dimensions'!$A:$N,12,FALSE)-VLOOKUP(A260,'Audit Dimensions'!$A:$N,12,FALSE)</f>
        <v>0</v>
      </c>
      <c r="M260" s="105">
        <f>VLOOKUP(A260,'[2]Billing Dimensions'!$A:$N,13,FALSE)-VLOOKUP(A260,'Audit Dimensions'!$A:$N,13,FALSE)</f>
        <v>0</v>
      </c>
      <c r="N260" s="105">
        <f>VLOOKUP(A260,'[2]Billing Dimensions'!$A:$N,14,FALSE)-VLOOKUP(A260,'Audit Dimensions'!$A:$N,14,FALSE)</f>
        <v>0</v>
      </c>
      <c r="O260" s="104">
        <f>VLOOKUP(A260,'[2]Billing Dimensions'!A:Q,16,FALSE)-VLOOKUP('Audit VAR'!A260,'Audit Dimensions'!A:P,16,FALSE)</f>
        <v>-4050</v>
      </c>
      <c r="P260" s="103">
        <f>O260/1000</f>
        <v>-4.05</v>
      </c>
      <c r="Q260" s="102">
        <f>(((C260*D260*E260)+(G260*H260*I260)+(K260*L260*M260))/1000000)*35.32</f>
        <v>1.4834400000000001E-2</v>
      </c>
      <c r="R260" s="46">
        <f>P260/Q260</f>
        <v>-273.01407539233128</v>
      </c>
    </row>
    <row r="261" spans="1:18" ht="14.4" hidden="1" x14ac:dyDescent="0.3">
      <c r="A261" s="117" t="s">
        <v>54</v>
      </c>
      <c r="B261" s="88" t="str">
        <f>VLOOKUP(A261,'[2]Billing Dimensions'!A:B,2,FALSE)</f>
        <v>SB</v>
      </c>
      <c r="C261" s="115">
        <f>VLOOKUP(A261,'[2]Billing Dimensions'!$A:$N,3,FALSE)-VLOOKUP(A261,'Audit Dimensions'!$A:$N,3,FALSE)</f>
        <v>-1</v>
      </c>
      <c r="D261" s="115">
        <f>VLOOKUP(A261,'[2]Billing Dimensions'!$A:$N,4,FALSE)-VLOOKUP(A261,'Audit Dimensions'!$A:$N,4,FALSE)</f>
        <v>1</v>
      </c>
      <c r="E261" s="115">
        <f>VLOOKUP(A261,'[2]Billing Dimensions'!$A:$N,5,FALSE)-VLOOKUP(A261,'Audit Dimensions'!$A:$N,5,FALSE)</f>
        <v>1</v>
      </c>
      <c r="F261" s="114">
        <f>VLOOKUP(A261,'[2]Billing Dimensions'!$A:$N,6,FALSE)-VLOOKUP(A261,'Audit Dimensions'!$A:$N,6,FALSE)</f>
        <v>-300</v>
      </c>
      <c r="G261" s="107">
        <f>VLOOKUP(A261,'[2]Billing Dimensions'!$A:$N,7,FALSE)-VLOOKUP(A261,'Audit Dimensions'!$A:$N,7,FALSE)</f>
        <v>0</v>
      </c>
      <c r="H261" s="107">
        <f>VLOOKUP(A261,'[2]Billing Dimensions'!$A:$N,8,FALSE)-VLOOKUP(A261,'Audit Dimensions'!$A:$N,8,FALSE)</f>
        <v>0</v>
      </c>
      <c r="I261" s="107">
        <f>VLOOKUP(A261,'[2]Billing Dimensions'!$A:$N,9,FALSE)-VLOOKUP(A261,'Audit Dimensions'!$A:$N,9,FALSE)</f>
        <v>0</v>
      </c>
      <c r="J261" s="106">
        <f>VLOOKUP(A261,'[2]Billing Dimensions'!$A:$N,10,FALSE)-VLOOKUP(A261,'Audit Dimensions'!$A:$N,10,FALSE)</f>
        <v>0</v>
      </c>
      <c r="K261" s="105">
        <f>VLOOKUP(A261,'[2]Billing Dimensions'!$A:$N,11,FALSE)-VLOOKUP(A261,'Audit Dimensions'!$A:$N,11,FALSE)</f>
        <v>0</v>
      </c>
      <c r="L261" s="105">
        <f>VLOOKUP(A261,'[2]Billing Dimensions'!$A:$N,12,FALSE)-VLOOKUP(A261,'Audit Dimensions'!$A:$N,12,FALSE)</f>
        <v>0</v>
      </c>
      <c r="M261" s="105">
        <f>VLOOKUP(A261,'[2]Billing Dimensions'!$A:$N,13,FALSE)-VLOOKUP(A261,'Audit Dimensions'!$A:$N,13,FALSE)</f>
        <v>0</v>
      </c>
      <c r="N261" s="105">
        <f>VLOOKUP(A261,'[2]Billing Dimensions'!$A:$N,14,FALSE)-VLOOKUP(A261,'Audit Dimensions'!$A:$N,14,FALSE)</f>
        <v>0</v>
      </c>
      <c r="O261" s="104">
        <f>VLOOKUP(A261,'[2]Billing Dimensions'!A:Q,16,FALSE)-VLOOKUP('Audit VAR'!A261,'Audit Dimensions'!A:P,16,FALSE)</f>
        <v>-300</v>
      </c>
      <c r="P261" s="103">
        <f>O261/1000</f>
        <v>-0.3</v>
      </c>
      <c r="Q261" s="102">
        <f>(((C261*D261*E261)+(G261*H261*I261)+(K261*L261*M261))/1000000)*35.32</f>
        <v>-3.5320000000000001E-5</v>
      </c>
      <c r="R261" s="46">
        <f>P261/Q261</f>
        <v>8493.7712344280862</v>
      </c>
    </row>
    <row r="262" spans="1:18" ht="14.4" hidden="1" x14ac:dyDescent="0.3">
      <c r="A262" s="117" t="s">
        <v>53</v>
      </c>
      <c r="B262" s="88" t="str">
        <f>VLOOKUP(A262,'[2]Billing Dimensions'!A:B,2,FALSE)</f>
        <v>SB</v>
      </c>
      <c r="C262" s="115">
        <f>VLOOKUP(A262,'[2]Billing Dimensions'!$A:$N,3,FALSE)-VLOOKUP(A262,'Audit Dimensions'!$A:$N,3,FALSE)</f>
        <v>-8</v>
      </c>
      <c r="D262" s="115">
        <f>VLOOKUP(A262,'[2]Billing Dimensions'!$A:$N,4,FALSE)-VLOOKUP(A262,'Audit Dimensions'!$A:$N,4,FALSE)</f>
        <v>-8</v>
      </c>
      <c r="E262" s="115">
        <f>VLOOKUP(A262,'[2]Billing Dimensions'!$A:$N,5,FALSE)-VLOOKUP(A262,'Audit Dimensions'!$A:$N,5,FALSE)</f>
        <v>-4</v>
      </c>
      <c r="F262" s="114">
        <f>VLOOKUP(A262,'[2]Billing Dimensions'!$A:$N,6,FALSE)-VLOOKUP(A262,'Audit Dimensions'!$A:$N,6,FALSE)</f>
        <v>-2400</v>
      </c>
      <c r="G262" s="107">
        <f>VLOOKUP(A262,'[2]Billing Dimensions'!$A:$N,7,FALSE)-VLOOKUP(A262,'Audit Dimensions'!$A:$N,7,FALSE)</f>
        <v>0</v>
      </c>
      <c r="H262" s="107">
        <f>VLOOKUP(A262,'[2]Billing Dimensions'!$A:$N,8,FALSE)-VLOOKUP(A262,'Audit Dimensions'!$A:$N,8,FALSE)</f>
        <v>0</v>
      </c>
      <c r="I262" s="107">
        <f>VLOOKUP(A262,'[2]Billing Dimensions'!$A:$N,9,FALSE)-VLOOKUP(A262,'Audit Dimensions'!$A:$N,9,FALSE)</f>
        <v>0</v>
      </c>
      <c r="J262" s="106">
        <f>VLOOKUP(A262,'[2]Billing Dimensions'!$A:$N,10,FALSE)-VLOOKUP(A262,'Audit Dimensions'!$A:$N,10,FALSE)</f>
        <v>0</v>
      </c>
      <c r="K262" s="105">
        <f>VLOOKUP(A262,'[2]Billing Dimensions'!$A:$N,11,FALSE)-VLOOKUP(A262,'Audit Dimensions'!$A:$N,11,FALSE)</f>
        <v>0</v>
      </c>
      <c r="L262" s="105">
        <f>VLOOKUP(A262,'[2]Billing Dimensions'!$A:$N,12,FALSE)-VLOOKUP(A262,'Audit Dimensions'!$A:$N,12,FALSE)</f>
        <v>0</v>
      </c>
      <c r="M262" s="105">
        <f>VLOOKUP(A262,'[2]Billing Dimensions'!$A:$N,13,FALSE)-VLOOKUP(A262,'Audit Dimensions'!$A:$N,13,FALSE)</f>
        <v>0</v>
      </c>
      <c r="N262" s="105">
        <f>VLOOKUP(A262,'[2]Billing Dimensions'!$A:$N,14,FALSE)-VLOOKUP(A262,'Audit Dimensions'!$A:$N,14,FALSE)</f>
        <v>0</v>
      </c>
      <c r="O262" s="104">
        <f>VLOOKUP(A262,'[2]Billing Dimensions'!A:Q,16,FALSE)-VLOOKUP('Audit VAR'!A262,'Audit Dimensions'!A:P,16,FALSE)</f>
        <v>-2400</v>
      </c>
      <c r="P262" s="103">
        <f>O262/1000</f>
        <v>-2.4</v>
      </c>
      <c r="Q262" s="102">
        <f>(((C262*D262*E262)+(G262*H262*I262)+(K262*L262*M262))/1000000)*35.32</f>
        <v>-9.0419200000000002E-3</v>
      </c>
      <c r="R262" s="46">
        <f>P262/Q262</f>
        <v>265.4303510758777</v>
      </c>
    </row>
    <row r="263" spans="1:18" ht="14.4" hidden="1" x14ac:dyDescent="0.3">
      <c r="A263" s="117" t="s">
        <v>52</v>
      </c>
      <c r="B263" s="88" t="str">
        <f>VLOOKUP(A263,'[2]Billing Dimensions'!A:B,2,FALSE)</f>
        <v>SB</v>
      </c>
      <c r="C263" s="115">
        <f>VLOOKUP(A263,'[2]Billing Dimensions'!$A:$N,3,FALSE)-VLOOKUP(A263,'Audit Dimensions'!$A:$N,3,FALSE)</f>
        <v>-36</v>
      </c>
      <c r="D263" s="115">
        <f>VLOOKUP(A263,'[2]Billing Dimensions'!$A:$N,4,FALSE)-VLOOKUP(A263,'Audit Dimensions'!$A:$N,4,FALSE)</f>
        <v>9</v>
      </c>
      <c r="E263" s="115">
        <f>VLOOKUP(A263,'[2]Billing Dimensions'!$A:$N,5,FALSE)-VLOOKUP(A263,'Audit Dimensions'!$A:$N,5,FALSE)</f>
        <v>-1</v>
      </c>
      <c r="F263" s="114">
        <f>VLOOKUP(A263,'[2]Billing Dimensions'!$A:$N,6,FALSE)-VLOOKUP(A263,'Audit Dimensions'!$A:$N,6,FALSE)</f>
        <v>-1600</v>
      </c>
      <c r="G263" s="107">
        <f>VLOOKUP(A263,'[2]Billing Dimensions'!$A:$N,7,FALSE)-VLOOKUP(A263,'Audit Dimensions'!$A:$N,7,FALSE)</f>
        <v>0</v>
      </c>
      <c r="H263" s="107">
        <f>VLOOKUP(A263,'[2]Billing Dimensions'!$A:$N,8,FALSE)-VLOOKUP(A263,'Audit Dimensions'!$A:$N,8,FALSE)</f>
        <v>0</v>
      </c>
      <c r="I263" s="107">
        <f>VLOOKUP(A263,'[2]Billing Dimensions'!$A:$N,9,FALSE)-VLOOKUP(A263,'Audit Dimensions'!$A:$N,9,FALSE)</f>
        <v>0</v>
      </c>
      <c r="J263" s="106">
        <f>VLOOKUP(A263,'[2]Billing Dimensions'!$A:$N,10,FALSE)-VLOOKUP(A263,'Audit Dimensions'!$A:$N,10,FALSE)</f>
        <v>0</v>
      </c>
      <c r="K263" s="105">
        <f>VLOOKUP(A263,'[2]Billing Dimensions'!$A:$N,11,FALSE)-VLOOKUP(A263,'Audit Dimensions'!$A:$N,11,FALSE)</f>
        <v>0</v>
      </c>
      <c r="L263" s="105">
        <f>VLOOKUP(A263,'[2]Billing Dimensions'!$A:$N,12,FALSE)-VLOOKUP(A263,'Audit Dimensions'!$A:$N,12,FALSE)</f>
        <v>0</v>
      </c>
      <c r="M263" s="105">
        <f>VLOOKUP(A263,'[2]Billing Dimensions'!$A:$N,13,FALSE)-VLOOKUP(A263,'Audit Dimensions'!$A:$N,13,FALSE)</f>
        <v>0</v>
      </c>
      <c r="N263" s="105">
        <f>VLOOKUP(A263,'[2]Billing Dimensions'!$A:$N,14,FALSE)-VLOOKUP(A263,'Audit Dimensions'!$A:$N,14,FALSE)</f>
        <v>0</v>
      </c>
      <c r="O263" s="104">
        <f>VLOOKUP(A263,'[2]Billing Dimensions'!A:Q,16,FALSE)-VLOOKUP('Audit VAR'!A263,'Audit Dimensions'!A:P,16,FALSE)</f>
        <v>-1600</v>
      </c>
      <c r="P263" s="103">
        <f>O263/1000</f>
        <v>-1.6</v>
      </c>
      <c r="Q263" s="102">
        <f>(((C263*D263*E263)+(G263*H263*I263)+(K263*L263*M263))/1000000)*35.32</f>
        <v>1.1443680000000001E-2</v>
      </c>
      <c r="R263" s="46">
        <f>P263/Q263</f>
        <v>-139.8151643527257</v>
      </c>
    </row>
    <row r="264" spans="1:18" ht="14.4" hidden="1" x14ac:dyDescent="0.3">
      <c r="A264" s="117" t="s">
        <v>51</v>
      </c>
      <c r="B264" s="88" t="str">
        <f>VLOOKUP(A264,'[2]Billing Dimensions'!A:B,2,FALSE)</f>
        <v>SB</v>
      </c>
      <c r="C264" s="115">
        <f>VLOOKUP(A264,'[2]Billing Dimensions'!$A:$N,3,FALSE)-VLOOKUP(A264,'Audit Dimensions'!$A:$N,3,FALSE)</f>
        <v>0</v>
      </c>
      <c r="D264" s="115">
        <f>VLOOKUP(A264,'[2]Billing Dimensions'!$A:$N,4,FALSE)-VLOOKUP(A264,'Audit Dimensions'!$A:$N,4,FALSE)</f>
        <v>-1</v>
      </c>
      <c r="E264" s="115">
        <f>VLOOKUP(A264,'[2]Billing Dimensions'!$A:$N,5,FALSE)-VLOOKUP(A264,'Audit Dimensions'!$A:$N,5,FALSE)</f>
        <v>0</v>
      </c>
      <c r="F264" s="114">
        <f>VLOOKUP(A264,'[2]Billing Dimensions'!$A:$N,6,FALSE)-VLOOKUP(A264,'Audit Dimensions'!$A:$N,6,FALSE)</f>
        <v>350</v>
      </c>
      <c r="G264" s="107">
        <f>VLOOKUP(A264,'[2]Billing Dimensions'!$A:$N,7,FALSE)-VLOOKUP(A264,'Audit Dimensions'!$A:$N,7,FALSE)</f>
        <v>0</v>
      </c>
      <c r="H264" s="107">
        <f>VLOOKUP(A264,'[2]Billing Dimensions'!$A:$N,8,FALSE)-VLOOKUP(A264,'Audit Dimensions'!$A:$N,8,FALSE)</f>
        <v>0</v>
      </c>
      <c r="I264" s="107">
        <f>VLOOKUP(A264,'[2]Billing Dimensions'!$A:$N,9,FALSE)-VLOOKUP(A264,'Audit Dimensions'!$A:$N,9,FALSE)</f>
        <v>0</v>
      </c>
      <c r="J264" s="106">
        <f>VLOOKUP(A264,'[2]Billing Dimensions'!$A:$N,10,FALSE)-VLOOKUP(A264,'Audit Dimensions'!$A:$N,10,FALSE)</f>
        <v>0</v>
      </c>
      <c r="K264" s="105">
        <f>VLOOKUP(A264,'[2]Billing Dimensions'!$A:$N,11,FALSE)-VLOOKUP(A264,'Audit Dimensions'!$A:$N,11,FALSE)</f>
        <v>0</v>
      </c>
      <c r="L264" s="105">
        <f>VLOOKUP(A264,'[2]Billing Dimensions'!$A:$N,12,FALSE)-VLOOKUP(A264,'Audit Dimensions'!$A:$N,12,FALSE)</f>
        <v>0</v>
      </c>
      <c r="M264" s="105">
        <f>VLOOKUP(A264,'[2]Billing Dimensions'!$A:$N,13,FALSE)-VLOOKUP(A264,'Audit Dimensions'!$A:$N,13,FALSE)</f>
        <v>0</v>
      </c>
      <c r="N264" s="105">
        <f>VLOOKUP(A264,'[2]Billing Dimensions'!$A:$N,14,FALSE)-VLOOKUP(A264,'Audit Dimensions'!$A:$N,14,FALSE)</f>
        <v>0</v>
      </c>
      <c r="O264" s="104">
        <f>VLOOKUP(A264,'[2]Billing Dimensions'!A:Q,16,FALSE)-VLOOKUP('Audit VAR'!A264,'Audit Dimensions'!A:P,16,FALSE)</f>
        <v>350</v>
      </c>
      <c r="P264" s="103">
        <f>O264/1000</f>
        <v>0.35</v>
      </c>
      <c r="Q264" s="102">
        <f>(((C264*D264*E264)+(G264*H264*I264)+(K264*L264*M264))/1000000)*35.32</f>
        <v>0</v>
      </c>
      <c r="R264" s="46" t="e">
        <f>P264/Q264</f>
        <v>#DIV/0!</v>
      </c>
    </row>
    <row r="265" spans="1:18" ht="14.4" hidden="1" x14ac:dyDescent="0.3">
      <c r="A265" s="117" t="s">
        <v>50</v>
      </c>
      <c r="B265" s="88" t="str">
        <f>VLOOKUP(A265,'[2]Billing Dimensions'!A:B,2,FALSE)</f>
        <v>SB</v>
      </c>
      <c r="C265" s="115">
        <f>VLOOKUP(A265,'[2]Billing Dimensions'!$A:$N,3,FALSE)-VLOOKUP(A265,'Audit Dimensions'!$A:$N,3,FALSE)</f>
        <v>-27</v>
      </c>
      <c r="D265" s="115">
        <f>VLOOKUP(A265,'[2]Billing Dimensions'!$A:$N,4,FALSE)-VLOOKUP(A265,'Audit Dimensions'!$A:$N,4,FALSE)</f>
        <v>0</v>
      </c>
      <c r="E265" s="115">
        <f>VLOOKUP(A265,'[2]Billing Dimensions'!$A:$N,5,FALSE)-VLOOKUP(A265,'Audit Dimensions'!$A:$N,5,FALSE)</f>
        <v>0</v>
      </c>
      <c r="F265" s="114">
        <f>VLOOKUP(A265,'[2]Billing Dimensions'!$A:$N,6,FALSE)-VLOOKUP(A265,'Audit Dimensions'!$A:$N,6,FALSE)</f>
        <v>-2300</v>
      </c>
      <c r="G265" s="107">
        <f>VLOOKUP(A265,'[2]Billing Dimensions'!$A:$N,7,FALSE)-VLOOKUP(A265,'Audit Dimensions'!$A:$N,7,FALSE)</f>
        <v>0</v>
      </c>
      <c r="H265" s="107">
        <f>VLOOKUP(A265,'[2]Billing Dimensions'!$A:$N,8,FALSE)-VLOOKUP(A265,'Audit Dimensions'!$A:$N,8,FALSE)</f>
        <v>0</v>
      </c>
      <c r="I265" s="107">
        <f>VLOOKUP(A265,'[2]Billing Dimensions'!$A:$N,9,FALSE)-VLOOKUP(A265,'Audit Dimensions'!$A:$N,9,FALSE)</f>
        <v>0</v>
      </c>
      <c r="J265" s="106">
        <f>VLOOKUP(A265,'[2]Billing Dimensions'!$A:$N,10,FALSE)-VLOOKUP(A265,'Audit Dimensions'!$A:$N,10,FALSE)</f>
        <v>0</v>
      </c>
      <c r="K265" s="105">
        <f>VLOOKUP(A265,'[2]Billing Dimensions'!$A:$N,11,FALSE)-VLOOKUP(A265,'Audit Dimensions'!$A:$N,11,FALSE)</f>
        <v>0</v>
      </c>
      <c r="L265" s="105">
        <f>VLOOKUP(A265,'[2]Billing Dimensions'!$A:$N,12,FALSE)-VLOOKUP(A265,'Audit Dimensions'!$A:$N,12,FALSE)</f>
        <v>0</v>
      </c>
      <c r="M265" s="105">
        <f>VLOOKUP(A265,'[2]Billing Dimensions'!$A:$N,13,FALSE)-VLOOKUP(A265,'Audit Dimensions'!$A:$N,13,FALSE)</f>
        <v>0</v>
      </c>
      <c r="N265" s="105">
        <f>VLOOKUP(A265,'[2]Billing Dimensions'!$A:$N,14,FALSE)-VLOOKUP(A265,'Audit Dimensions'!$A:$N,14,FALSE)</f>
        <v>0</v>
      </c>
      <c r="O265" s="104">
        <f>VLOOKUP(A265,'[2]Billing Dimensions'!A:Q,16,FALSE)-VLOOKUP('Audit VAR'!A265,'Audit Dimensions'!A:P,16,FALSE)</f>
        <v>-2300</v>
      </c>
      <c r="P265" s="103">
        <f>O265/1000</f>
        <v>-2.2999999999999998</v>
      </c>
      <c r="Q265" s="102">
        <f>(((C265*D265*E265)+(G265*H265*I265)+(K265*L265*M265))/1000000)*35.32</f>
        <v>0</v>
      </c>
      <c r="R265" s="46" t="e">
        <f>P265/Q265</f>
        <v>#DIV/0!</v>
      </c>
    </row>
    <row r="266" spans="1:18" ht="14.4" x14ac:dyDescent="0.3">
      <c r="A266" s="117" t="s">
        <v>322</v>
      </c>
      <c r="B266" s="88" t="e">
        <f>VLOOKUP(A266,'[2]Billing Dimensions'!A:B,2,FALSE)</f>
        <v>#N/A</v>
      </c>
      <c r="C266" s="115" t="e">
        <f>VLOOKUP(A266,'[2]Billing Dimensions'!$A:$N,3,FALSE)-VLOOKUP(A266,'Audit Dimensions'!$A:$N,3,FALSE)</f>
        <v>#N/A</v>
      </c>
      <c r="D266" s="115" t="e">
        <f>VLOOKUP(A266,'[2]Billing Dimensions'!$A:$N,4,FALSE)-VLOOKUP(A266,'Audit Dimensions'!$A:$N,4,FALSE)</f>
        <v>#N/A</v>
      </c>
      <c r="E266" s="115" t="e">
        <f>VLOOKUP(A266,'[2]Billing Dimensions'!$A:$N,5,FALSE)-VLOOKUP(A266,'Audit Dimensions'!$A:$N,5,FALSE)</f>
        <v>#N/A</v>
      </c>
      <c r="F266" s="114" t="e">
        <f>VLOOKUP(A266,'[2]Billing Dimensions'!$A:$N,6,FALSE)-VLOOKUP(A266,'Audit Dimensions'!$A:$N,6,FALSE)</f>
        <v>#N/A</v>
      </c>
      <c r="G266" s="107" t="e">
        <f>VLOOKUP(A266,'[2]Billing Dimensions'!$A:$N,7,FALSE)-VLOOKUP(A266,'Audit Dimensions'!$A:$N,7,FALSE)</f>
        <v>#N/A</v>
      </c>
      <c r="H266" s="107" t="e">
        <f>VLOOKUP(A266,'[2]Billing Dimensions'!$A:$N,8,FALSE)-VLOOKUP(A266,'Audit Dimensions'!$A:$N,8,FALSE)</f>
        <v>#N/A</v>
      </c>
      <c r="I266" s="107" t="e">
        <f>VLOOKUP(A266,'[2]Billing Dimensions'!$A:$N,9,FALSE)-VLOOKUP(A266,'Audit Dimensions'!$A:$N,9,FALSE)</f>
        <v>#N/A</v>
      </c>
      <c r="J266" s="106" t="e">
        <f>VLOOKUP(A266,'[2]Billing Dimensions'!$A:$N,10,FALSE)-VLOOKUP(A266,'Audit Dimensions'!$A:$N,10,FALSE)</f>
        <v>#N/A</v>
      </c>
      <c r="K266" s="105" t="e">
        <f>VLOOKUP(A266,'[2]Billing Dimensions'!$A:$N,11,FALSE)-VLOOKUP(A266,'Audit Dimensions'!$A:$N,11,FALSE)</f>
        <v>#N/A</v>
      </c>
      <c r="L266" s="105" t="e">
        <f>VLOOKUP(A266,'[2]Billing Dimensions'!$A:$N,12,FALSE)-VLOOKUP(A266,'Audit Dimensions'!$A:$N,12,FALSE)</f>
        <v>#N/A</v>
      </c>
      <c r="M266" s="105" t="e">
        <f>VLOOKUP(A266,'[2]Billing Dimensions'!$A:$N,13,FALSE)-VLOOKUP(A266,'Audit Dimensions'!$A:$N,13,FALSE)</f>
        <v>#N/A</v>
      </c>
      <c r="N266" s="105" t="e">
        <f>VLOOKUP(A266,'[2]Billing Dimensions'!$A:$N,14,FALSE)-VLOOKUP(A266,'Audit Dimensions'!$A:$N,14,FALSE)</f>
        <v>#N/A</v>
      </c>
      <c r="O266" s="104" t="e">
        <f>VLOOKUP(A266,'[2]Billing Dimensions'!A:Q,16,FALSE)-VLOOKUP('Audit VAR'!A266,'Audit Dimensions'!A:P,16,FALSE)</f>
        <v>#N/A</v>
      </c>
      <c r="P266" s="103" t="e">
        <f>O266/1000</f>
        <v>#N/A</v>
      </c>
      <c r="Q266" s="102" t="e">
        <f>(((C266*D266*E266)+(G266*H266*I266)+(K266*L266*M266))/1000000)*35.32</f>
        <v>#N/A</v>
      </c>
      <c r="R266" s="46" t="e">
        <f>P266/Q266</f>
        <v>#N/A</v>
      </c>
    </row>
    <row r="267" spans="1:18" ht="14.4" hidden="1" x14ac:dyDescent="0.3">
      <c r="A267" s="117" t="s">
        <v>48</v>
      </c>
      <c r="B267" s="88" t="str">
        <f>VLOOKUP(A267,'[2]Billing Dimensions'!A:B,2,FALSE)</f>
        <v>SB</v>
      </c>
      <c r="C267" s="115">
        <f>VLOOKUP(A267,'[2]Billing Dimensions'!$A:$N,3,FALSE)-VLOOKUP(A267,'Audit Dimensions'!$A:$N,3,FALSE)</f>
        <v>0</v>
      </c>
      <c r="D267" s="115">
        <f>VLOOKUP(A267,'[2]Billing Dimensions'!$A:$N,4,FALSE)-VLOOKUP(A267,'Audit Dimensions'!$A:$N,4,FALSE)</f>
        <v>-1</v>
      </c>
      <c r="E267" s="115">
        <f>VLOOKUP(A267,'[2]Billing Dimensions'!$A:$N,5,FALSE)-VLOOKUP(A267,'Audit Dimensions'!$A:$N,5,FALSE)</f>
        <v>0</v>
      </c>
      <c r="F267" s="114">
        <f>VLOOKUP(A267,'[2]Billing Dimensions'!$A:$N,6,FALSE)-VLOOKUP(A267,'Audit Dimensions'!$A:$N,6,FALSE)</f>
        <v>-100</v>
      </c>
      <c r="G267" s="107">
        <f>VLOOKUP(A267,'[2]Billing Dimensions'!$A:$N,7,FALSE)-VLOOKUP(A267,'Audit Dimensions'!$A:$N,7,FALSE)</f>
        <v>0</v>
      </c>
      <c r="H267" s="107">
        <f>VLOOKUP(A267,'[2]Billing Dimensions'!$A:$N,8,FALSE)-VLOOKUP(A267,'Audit Dimensions'!$A:$N,8,FALSE)</f>
        <v>0</v>
      </c>
      <c r="I267" s="107">
        <f>VLOOKUP(A267,'[2]Billing Dimensions'!$A:$N,9,FALSE)-VLOOKUP(A267,'Audit Dimensions'!$A:$N,9,FALSE)</f>
        <v>0</v>
      </c>
      <c r="J267" s="106">
        <f>VLOOKUP(A267,'[2]Billing Dimensions'!$A:$N,10,FALSE)-VLOOKUP(A267,'Audit Dimensions'!$A:$N,10,FALSE)</f>
        <v>0</v>
      </c>
      <c r="K267" s="105">
        <f>VLOOKUP(A267,'[2]Billing Dimensions'!$A:$N,11,FALSE)-VLOOKUP(A267,'Audit Dimensions'!$A:$N,11,FALSE)</f>
        <v>0</v>
      </c>
      <c r="L267" s="105">
        <f>VLOOKUP(A267,'[2]Billing Dimensions'!$A:$N,12,FALSE)-VLOOKUP(A267,'Audit Dimensions'!$A:$N,12,FALSE)</f>
        <v>0</v>
      </c>
      <c r="M267" s="105">
        <f>VLOOKUP(A267,'[2]Billing Dimensions'!$A:$N,13,FALSE)-VLOOKUP(A267,'Audit Dimensions'!$A:$N,13,FALSE)</f>
        <v>0</v>
      </c>
      <c r="N267" s="105">
        <f>VLOOKUP(A267,'[2]Billing Dimensions'!$A:$N,14,FALSE)-VLOOKUP(A267,'Audit Dimensions'!$A:$N,14,FALSE)</f>
        <v>0</v>
      </c>
      <c r="O267" s="104">
        <f>VLOOKUP(A267,'[2]Billing Dimensions'!A:Q,16,FALSE)-VLOOKUP('Audit VAR'!A267,'Audit Dimensions'!A:P,16,FALSE)</f>
        <v>-100</v>
      </c>
      <c r="P267" s="103">
        <f>O267/1000</f>
        <v>-0.1</v>
      </c>
      <c r="Q267" s="102">
        <f>(((C267*D267*E267)+(G267*H267*I267)+(K267*L267*M267))/1000000)*35.32</f>
        <v>0</v>
      </c>
      <c r="R267" s="46" t="e">
        <f>P267/Q267</f>
        <v>#DIV/0!</v>
      </c>
    </row>
    <row r="268" spans="1:18" ht="14.4" hidden="1" x14ac:dyDescent="0.3">
      <c r="A268" s="117" t="s">
        <v>45</v>
      </c>
      <c r="B268" s="88" t="str">
        <f>VLOOKUP(A268,'[2]Billing Dimensions'!A:B,2,FALSE)</f>
        <v>SB</v>
      </c>
      <c r="C268" s="115">
        <f>VLOOKUP(A268,'[2]Billing Dimensions'!$A:$N,3,FALSE)-VLOOKUP(A268,'Audit Dimensions'!$A:$N,3,FALSE)</f>
        <v>0</v>
      </c>
      <c r="D268" s="115">
        <f>VLOOKUP(A268,'[2]Billing Dimensions'!$A:$N,4,FALSE)-VLOOKUP(A268,'Audit Dimensions'!$A:$N,4,FALSE)</f>
        <v>2</v>
      </c>
      <c r="E268" s="115">
        <f>VLOOKUP(A268,'[2]Billing Dimensions'!$A:$N,5,FALSE)-VLOOKUP(A268,'Audit Dimensions'!$A:$N,5,FALSE)</f>
        <v>-1</v>
      </c>
      <c r="F268" s="114">
        <f>VLOOKUP(A268,'[2]Billing Dimensions'!$A:$N,6,FALSE)-VLOOKUP(A268,'Audit Dimensions'!$A:$N,6,FALSE)</f>
        <v>-2110</v>
      </c>
      <c r="G268" s="107">
        <f>VLOOKUP(A268,'[2]Billing Dimensions'!$A:$N,7,FALSE)-VLOOKUP(A268,'Audit Dimensions'!$A:$N,7,FALSE)</f>
        <v>0</v>
      </c>
      <c r="H268" s="107">
        <f>VLOOKUP(A268,'[2]Billing Dimensions'!$A:$N,8,FALSE)-VLOOKUP(A268,'Audit Dimensions'!$A:$N,8,FALSE)</f>
        <v>0</v>
      </c>
      <c r="I268" s="107">
        <f>VLOOKUP(A268,'[2]Billing Dimensions'!$A:$N,9,FALSE)-VLOOKUP(A268,'Audit Dimensions'!$A:$N,9,FALSE)</f>
        <v>0</v>
      </c>
      <c r="J268" s="106">
        <f>VLOOKUP(A268,'[2]Billing Dimensions'!$A:$N,10,FALSE)-VLOOKUP(A268,'Audit Dimensions'!$A:$N,10,FALSE)</f>
        <v>0</v>
      </c>
      <c r="K268" s="105">
        <f>VLOOKUP(A268,'[2]Billing Dimensions'!$A:$N,11,FALSE)-VLOOKUP(A268,'Audit Dimensions'!$A:$N,11,FALSE)</f>
        <v>0</v>
      </c>
      <c r="L268" s="105">
        <f>VLOOKUP(A268,'[2]Billing Dimensions'!$A:$N,12,FALSE)-VLOOKUP(A268,'Audit Dimensions'!$A:$N,12,FALSE)</f>
        <v>0</v>
      </c>
      <c r="M268" s="105">
        <f>VLOOKUP(A268,'[2]Billing Dimensions'!$A:$N,13,FALSE)-VLOOKUP(A268,'Audit Dimensions'!$A:$N,13,FALSE)</f>
        <v>0</v>
      </c>
      <c r="N268" s="105">
        <f>VLOOKUP(A268,'[2]Billing Dimensions'!$A:$N,14,FALSE)-VLOOKUP(A268,'Audit Dimensions'!$A:$N,14,FALSE)</f>
        <v>0</v>
      </c>
      <c r="O268" s="104">
        <f>VLOOKUP(A268,'[2]Billing Dimensions'!A:Q,16,FALSE)-VLOOKUP('Audit VAR'!A268,'Audit Dimensions'!A:P,16,FALSE)</f>
        <v>-2110</v>
      </c>
      <c r="P268" s="103">
        <f>O268/1000</f>
        <v>-2.11</v>
      </c>
      <c r="Q268" s="102">
        <f>(((C268*D268*E268)+(G268*H268*I268)+(K268*L268*M268))/1000000)*35.32</f>
        <v>0</v>
      </c>
      <c r="R268" s="46" t="e">
        <f>P268/Q268</f>
        <v>#DIV/0!</v>
      </c>
    </row>
    <row r="269" spans="1:18" hidden="1" x14ac:dyDescent="0.3">
      <c r="A269" s="116" t="s">
        <v>43</v>
      </c>
      <c r="B269" s="88" t="str">
        <f>VLOOKUP(A269,'[2]Billing Dimensions'!A:B,2,FALSE)</f>
        <v>SB</v>
      </c>
      <c r="C269" s="115">
        <f>VLOOKUP(A269,'[2]Billing Dimensions'!$A:$N,3,FALSE)-VLOOKUP(A269,'Audit Dimensions'!$A:$N,3,FALSE)</f>
        <v>3</v>
      </c>
      <c r="D269" s="115">
        <f>VLOOKUP(A269,'[2]Billing Dimensions'!$A:$N,4,FALSE)-VLOOKUP(A269,'Audit Dimensions'!$A:$N,4,FALSE)</f>
        <v>0</v>
      </c>
      <c r="E269" s="115">
        <f>VLOOKUP(A269,'[2]Billing Dimensions'!$A:$N,5,FALSE)-VLOOKUP(A269,'Audit Dimensions'!$A:$N,5,FALSE)</f>
        <v>-4</v>
      </c>
      <c r="F269" s="114">
        <f>VLOOKUP(A269,'[2]Billing Dimensions'!$A:$N,6,FALSE)-VLOOKUP(A269,'Audit Dimensions'!$A:$N,6,FALSE)</f>
        <v>-600</v>
      </c>
      <c r="G269" s="107">
        <f>VLOOKUP(A269,'[2]Billing Dimensions'!$A:$N,7,FALSE)-VLOOKUP(A269,'Audit Dimensions'!$A:$N,7,FALSE)</f>
        <v>0</v>
      </c>
      <c r="H269" s="107">
        <f>VLOOKUP(A269,'[2]Billing Dimensions'!$A:$N,8,FALSE)-VLOOKUP(A269,'Audit Dimensions'!$A:$N,8,FALSE)</f>
        <v>0</v>
      </c>
      <c r="I269" s="107">
        <f>VLOOKUP(A269,'[2]Billing Dimensions'!$A:$N,9,FALSE)-VLOOKUP(A269,'Audit Dimensions'!$A:$N,9,FALSE)</f>
        <v>0</v>
      </c>
      <c r="J269" s="106">
        <f>VLOOKUP(A269,'[2]Billing Dimensions'!$A:$N,10,FALSE)-VLOOKUP(A269,'Audit Dimensions'!$A:$N,10,FALSE)</f>
        <v>0</v>
      </c>
      <c r="K269" s="105">
        <f>VLOOKUP(A269,'[2]Billing Dimensions'!$A:$N,11,FALSE)-VLOOKUP(A269,'Audit Dimensions'!$A:$N,11,FALSE)</f>
        <v>0</v>
      </c>
      <c r="L269" s="105">
        <f>VLOOKUP(A269,'[2]Billing Dimensions'!$A:$N,12,FALSE)-VLOOKUP(A269,'Audit Dimensions'!$A:$N,12,FALSE)</f>
        <v>0</v>
      </c>
      <c r="M269" s="105">
        <f>VLOOKUP(A269,'[2]Billing Dimensions'!$A:$N,13,FALSE)-VLOOKUP(A269,'Audit Dimensions'!$A:$N,13,FALSE)</f>
        <v>0</v>
      </c>
      <c r="N269" s="105">
        <f>VLOOKUP(A269,'[2]Billing Dimensions'!$A:$N,14,FALSE)-VLOOKUP(A269,'Audit Dimensions'!$A:$N,14,FALSE)</f>
        <v>0</v>
      </c>
      <c r="O269" s="104">
        <f>VLOOKUP(A269,'[2]Billing Dimensions'!A:Q,16,FALSE)-VLOOKUP('Audit VAR'!A269,'Audit Dimensions'!A:P,16,FALSE)</f>
        <v>-600</v>
      </c>
      <c r="P269" s="103">
        <f>O269/1000</f>
        <v>-0.6</v>
      </c>
      <c r="Q269" s="102">
        <f>(((C269*D269*E269)+(G269*H269*I269)+(K269*L269*M269))/1000000)*35.32</f>
        <v>0</v>
      </c>
      <c r="R269" s="46" t="e">
        <f>P269/Q269</f>
        <v>#DIV/0!</v>
      </c>
    </row>
    <row r="270" spans="1:18" hidden="1" x14ac:dyDescent="0.3">
      <c r="A270" s="116" t="s">
        <v>321</v>
      </c>
      <c r="B270" s="88" t="str">
        <f>VLOOKUP(A270,'[2]Billing Dimensions'!A:B,2,FALSE)</f>
        <v>SB</v>
      </c>
      <c r="C270" s="115" t="e">
        <f>VLOOKUP(A270,'[2]Billing Dimensions'!$A:$N,3,FALSE)-VLOOKUP(A270,'Audit Dimensions'!$A:$N,3,FALSE)</f>
        <v>#N/A</v>
      </c>
      <c r="D270" s="115" t="e">
        <f>VLOOKUP(A270,'[2]Billing Dimensions'!$A:$N,4,FALSE)-VLOOKUP(A270,'Audit Dimensions'!$A:$N,4,FALSE)</f>
        <v>#N/A</v>
      </c>
      <c r="E270" s="115" t="e">
        <f>VLOOKUP(A270,'[2]Billing Dimensions'!$A:$N,5,FALSE)-VLOOKUP(A270,'Audit Dimensions'!$A:$N,5,FALSE)</f>
        <v>#N/A</v>
      </c>
      <c r="F270" s="114" t="e">
        <f>VLOOKUP(A270,'[2]Billing Dimensions'!$A:$N,6,FALSE)-VLOOKUP(A270,'Audit Dimensions'!$A:$N,6,FALSE)</f>
        <v>#N/A</v>
      </c>
      <c r="G270" s="107" t="e">
        <f>VLOOKUP(A270,'[2]Billing Dimensions'!$A:$N,7,FALSE)-VLOOKUP(A270,'Audit Dimensions'!$A:$N,7,FALSE)</f>
        <v>#N/A</v>
      </c>
      <c r="H270" s="107" t="e">
        <f>VLOOKUP(A270,'[2]Billing Dimensions'!$A:$N,8,FALSE)-VLOOKUP(A270,'Audit Dimensions'!$A:$N,8,FALSE)</f>
        <v>#N/A</v>
      </c>
      <c r="I270" s="107" t="e">
        <f>VLOOKUP(A270,'[2]Billing Dimensions'!$A:$N,9,FALSE)-VLOOKUP(A270,'Audit Dimensions'!$A:$N,9,FALSE)</f>
        <v>#N/A</v>
      </c>
      <c r="J270" s="106" t="e">
        <f>VLOOKUP(A270,'[2]Billing Dimensions'!$A:$N,10,FALSE)-VLOOKUP(A270,'Audit Dimensions'!$A:$N,10,FALSE)</f>
        <v>#N/A</v>
      </c>
      <c r="K270" s="105" t="e">
        <f>VLOOKUP(A270,'[2]Billing Dimensions'!$A:$N,11,FALSE)-VLOOKUP(A270,'Audit Dimensions'!$A:$N,11,FALSE)</f>
        <v>#N/A</v>
      </c>
      <c r="L270" s="105" t="e">
        <f>VLOOKUP(A270,'[2]Billing Dimensions'!$A:$N,12,FALSE)-VLOOKUP(A270,'Audit Dimensions'!$A:$N,12,FALSE)</f>
        <v>#N/A</v>
      </c>
      <c r="M270" s="105" t="e">
        <f>VLOOKUP(A270,'[2]Billing Dimensions'!$A:$N,13,FALSE)-VLOOKUP(A270,'Audit Dimensions'!$A:$N,13,FALSE)</f>
        <v>#N/A</v>
      </c>
      <c r="N270" s="105" t="e">
        <f>VLOOKUP(A270,'[2]Billing Dimensions'!$A:$N,14,FALSE)-VLOOKUP(A270,'Audit Dimensions'!$A:$N,14,FALSE)</f>
        <v>#N/A</v>
      </c>
      <c r="O270" s="104" t="e">
        <f>VLOOKUP(A270,'[2]Billing Dimensions'!A:Q,16,FALSE)-VLOOKUP('Audit VAR'!A270,'Audit Dimensions'!A:P,16,FALSE)</f>
        <v>#N/A</v>
      </c>
      <c r="P270" s="103" t="e">
        <f>O270/1000</f>
        <v>#N/A</v>
      </c>
      <c r="Q270" s="102" t="e">
        <f>(((C270*D270*E270)+(G270*H270*I270)+(K270*L270*M270))/1000000)*35.32</f>
        <v>#N/A</v>
      </c>
      <c r="R270" s="46" t="e">
        <f>P270/Q270</f>
        <v>#N/A</v>
      </c>
    </row>
    <row r="271" spans="1:18" ht="14.4" hidden="1" x14ac:dyDescent="0.3">
      <c r="A271" s="51" t="s">
        <v>36</v>
      </c>
      <c r="B271" s="32" t="s">
        <v>0</v>
      </c>
      <c r="C271" s="113">
        <v>39</v>
      </c>
      <c r="D271" s="113">
        <v>30</v>
      </c>
      <c r="E271" s="113">
        <v>8</v>
      </c>
      <c r="F271" s="112">
        <v>3000</v>
      </c>
      <c r="G271" s="107">
        <f>VLOOKUP(A271,'[2]Billing Dimensions'!$A:$N,7,FALSE)-VLOOKUP(A271,'Audit Dimensions'!$A:$N,7,FALSE)</f>
        <v>0</v>
      </c>
      <c r="H271" s="107">
        <f>VLOOKUP(A271,'[2]Billing Dimensions'!$A:$N,8,FALSE)-VLOOKUP(A271,'Audit Dimensions'!$A:$N,8,FALSE)</f>
        <v>0</v>
      </c>
      <c r="I271" s="107">
        <f>VLOOKUP(A271,'[2]Billing Dimensions'!$A:$N,9,FALSE)-VLOOKUP(A271,'Audit Dimensions'!$A:$N,9,FALSE)</f>
        <v>0</v>
      </c>
      <c r="J271" s="106">
        <f>VLOOKUP(A271,'[2]Billing Dimensions'!$A:$N,10,FALSE)-VLOOKUP(A271,'Audit Dimensions'!$A:$N,10,FALSE)</f>
        <v>0</v>
      </c>
      <c r="K271" s="105">
        <f>VLOOKUP(A271,'[2]Billing Dimensions'!$A:$N,11,FALSE)-VLOOKUP(A271,'Audit Dimensions'!$A:$N,11,FALSE)</f>
        <v>0</v>
      </c>
      <c r="L271" s="105">
        <f>VLOOKUP(A271,'[2]Billing Dimensions'!$A:$N,12,FALSE)-VLOOKUP(A271,'Audit Dimensions'!$A:$N,12,FALSE)</f>
        <v>0</v>
      </c>
      <c r="M271" s="105">
        <f>VLOOKUP(A271,'[2]Billing Dimensions'!$A:$N,13,FALSE)-VLOOKUP(A271,'Audit Dimensions'!$A:$N,13,FALSE)</f>
        <v>0</v>
      </c>
      <c r="N271" s="105">
        <f>VLOOKUP(A271,'[2]Billing Dimensions'!$A:$N,14,FALSE)-VLOOKUP(A271,'Audit Dimensions'!$A:$N,14,FALSE)</f>
        <v>0</v>
      </c>
      <c r="O271" s="104">
        <f>VLOOKUP(A271,'[2]Billing Dimensions'!A:Q,16,FALSE)-VLOOKUP('Audit VAR'!A271,'Audit Dimensions'!A:P,16,FALSE)</f>
        <v>-600</v>
      </c>
      <c r="P271" s="103">
        <f>O271/1000</f>
        <v>-0.6</v>
      </c>
      <c r="Q271" s="102">
        <f>(((C271*D271*E271)+(G271*H271*I271)+(K271*L271*M271))/1000000)*35.32</f>
        <v>0.33059520000000003</v>
      </c>
      <c r="R271" s="46">
        <f>P271/Q271</f>
        <v>-1.8149083834248045</v>
      </c>
    </row>
    <row r="272" spans="1:18" ht="14.4" hidden="1" x14ac:dyDescent="0.3">
      <c r="A272" s="51" t="s">
        <v>35</v>
      </c>
      <c r="B272" s="32" t="s">
        <v>0</v>
      </c>
      <c r="C272" s="111">
        <v>65</v>
      </c>
      <c r="D272" s="111">
        <v>35</v>
      </c>
      <c r="E272" s="111">
        <v>8</v>
      </c>
      <c r="F272" s="108">
        <v>5000</v>
      </c>
      <c r="G272" s="107">
        <f>VLOOKUP(A272,'[2]Billing Dimensions'!$A:$N,7,FALSE)-VLOOKUP(A272,'Audit Dimensions'!$A:$N,7,FALSE)</f>
        <v>0</v>
      </c>
      <c r="H272" s="107">
        <f>VLOOKUP(A272,'[2]Billing Dimensions'!$A:$N,8,FALSE)-VLOOKUP(A272,'Audit Dimensions'!$A:$N,8,FALSE)</f>
        <v>0</v>
      </c>
      <c r="I272" s="107">
        <f>VLOOKUP(A272,'[2]Billing Dimensions'!$A:$N,9,FALSE)-VLOOKUP(A272,'Audit Dimensions'!$A:$N,9,FALSE)</f>
        <v>0</v>
      </c>
      <c r="J272" s="106">
        <f>VLOOKUP(A272,'[2]Billing Dimensions'!$A:$N,10,FALSE)-VLOOKUP(A272,'Audit Dimensions'!$A:$N,10,FALSE)</f>
        <v>0</v>
      </c>
      <c r="K272" s="105">
        <f>VLOOKUP(A272,'[2]Billing Dimensions'!$A:$N,11,FALSE)-VLOOKUP(A272,'Audit Dimensions'!$A:$N,11,FALSE)</f>
        <v>0</v>
      </c>
      <c r="L272" s="105">
        <f>VLOOKUP(A272,'[2]Billing Dimensions'!$A:$N,12,FALSE)-VLOOKUP(A272,'Audit Dimensions'!$A:$N,12,FALSE)</f>
        <v>0</v>
      </c>
      <c r="M272" s="105">
        <f>VLOOKUP(A272,'[2]Billing Dimensions'!$A:$N,13,FALSE)-VLOOKUP(A272,'Audit Dimensions'!$A:$N,13,FALSE)</f>
        <v>0</v>
      </c>
      <c r="N272" s="105">
        <f>VLOOKUP(A272,'[2]Billing Dimensions'!$A:$N,14,FALSE)-VLOOKUP(A272,'Audit Dimensions'!$A:$N,14,FALSE)</f>
        <v>0</v>
      </c>
      <c r="O272" s="104">
        <f>VLOOKUP(A272,'[2]Billing Dimensions'!A:Q,16,FALSE)-VLOOKUP('Audit VAR'!A272,'Audit Dimensions'!A:P,16,FALSE)</f>
        <v>0</v>
      </c>
      <c r="P272" s="103">
        <f>O272/1000</f>
        <v>0</v>
      </c>
      <c r="Q272" s="102">
        <f>(((C272*D272*E272)+(G272*H272*I272)+(K272*L272*M272))/1000000)*35.32</f>
        <v>0.64282400000000006</v>
      </c>
      <c r="R272" s="46">
        <f>P272/Q272</f>
        <v>0</v>
      </c>
    </row>
    <row r="273" spans="1:18" hidden="1" x14ac:dyDescent="0.3">
      <c r="A273" s="35" t="s">
        <v>34</v>
      </c>
      <c r="B273" s="32" t="s">
        <v>0</v>
      </c>
      <c r="C273" s="111">
        <v>1</v>
      </c>
      <c r="D273" s="111">
        <v>1</v>
      </c>
      <c r="E273" s="111">
        <v>1</v>
      </c>
      <c r="F273" s="108">
        <v>37000</v>
      </c>
      <c r="G273" s="107">
        <f>VLOOKUP(A273,'[2]Billing Dimensions'!$A:$N,7,FALSE)-VLOOKUP(A273,'Audit Dimensions'!$A:$N,7,FALSE)</f>
        <v>0</v>
      </c>
      <c r="H273" s="107">
        <f>VLOOKUP(A273,'[2]Billing Dimensions'!$A:$N,8,FALSE)-VLOOKUP(A273,'Audit Dimensions'!$A:$N,8,FALSE)</f>
        <v>0</v>
      </c>
      <c r="I273" s="107">
        <f>VLOOKUP(A273,'[2]Billing Dimensions'!$A:$N,9,FALSE)-VLOOKUP(A273,'Audit Dimensions'!$A:$N,9,FALSE)</f>
        <v>0</v>
      </c>
      <c r="J273" s="106">
        <f>VLOOKUP(A273,'[2]Billing Dimensions'!$A:$N,10,FALSE)-VLOOKUP(A273,'Audit Dimensions'!$A:$N,10,FALSE)</f>
        <v>0</v>
      </c>
      <c r="K273" s="105">
        <f>VLOOKUP(A273,'[2]Billing Dimensions'!$A:$N,11,FALSE)-VLOOKUP(A273,'Audit Dimensions'!$A:$N,11,FALSE)</f>
        <v>0</v>
      </c>
      <c r="L273" s="105">
        <f>VLOOKUP(A273,'[2]Billing Dimensions'!$A:$N,12,FALSE)-VLOOKUP(A273,'Audit Dimensions'!$A:$N,12,FALSE)</f>
        <v>0</v>
      </c>
      <c r="M273" s="105">
        <f>VLOOKUP(A273,'[2]Billing Dimensions'!$A:$N,13,FALSE)-VLOOKUP(A273,'Audit Dimensions'!$A:$N,13,FALSE)</f>
        <v>0</v>
      </c>
      <c r="N273" s="105">
        <f>VLOOKUP(A273,'[2]Billing Dimensions'!$A:$N,14,FALSE)-VLOOKUP(A273,'Audit Dimensions'!$A:$N,14,FALSE)</f>
        <v>0</v>
      </c>
      <c r="O273" s="104">
        <f>VLOOKUP(A273,'[2]Billing Dimensions'!A:Q,16,FALSE)-VLOOKUP('Audit VAR'!A273,'Audit Dimensions'!A:P,16,FALSE)</f>
        <v>0</v>
      </c>
      <c r="P273" s="103">
        <f>O273/1000</f>
        <v>0</v>
      </c>
      <c r="Q273" s="102">
        <f>(((C273*D273*E273)+(G273*H273*I273)+(K273*L273*M273))/1000000)*35.32</f>
        <v>3.5320000000000001E-5</v>
      </c>
      <c r="R273" s="46">
        <f>P273/Q273</f>
        <v>0</v>
      </c>
    </row>
    <row r="274" spans="1:18" ht="14.4" hidden="1" x14ac:dyDescent="0.3">
      <c r="A274" s="45" t="s">
        <v>33</v>
      </c>
      <c r="B274" s="32" t="s">
        <v>0</v>
      </c>
      <c r="C274" s="111">
        <v>1</v>
      </c>
      <c r="D274" s="111">
        <v>1</v>
      </c>
      <c r="E274" s="111">
        <v>1</v>
      </c>
      <c r="F274" s="108">
        <v>1792</v>
      </c>
      <c r="G274" s="107">
        <f>VLOOKUP(A274,'[2]Billing Dimensions'!$A:$N,7,FALSE)-VLOOKUP(A274,'Audit Dimensions'!$A:$N,7,FALSE)</f>
        <v>0</v>
      </c>
      <c r="H274" s="107">
        <f>VLOOKUP(A274,'[2]Billing Dimensions'!$A:$N,8,FALSE)-VLOOKUP(A274,'Audit Dimensions'!$A:$N,8,FALSE)</f>
        <v>0</v>
      </c>
      <c r="I274" s="107">
        <f>VLOOKUP(A274,'[2]Billing Dimensions'!$A:$N,9,FALSE)-VLOOKUP(A274,'Audit Dimensions'!$A:$N,9,FALSE)</f>
        <v>0</v>
      </c>
      <c r="J274" s="106">
        <f>VLOOKUP(A274,'[2]Billing Dimensions'!$A:$N,10,FALSE)-VLOOKUP(A274,'Audit Dimensions'!$A:$N,10,FALSE)</f>
        <v>0</v>
      </c>
      <c r="K274" s="105">
        <f>VLOOKUP(A274,'[2]Billing Dimensions'!$A:$N,11,FALSE)-VLOOKUP(A274,'Audit Dimensions'!$A:$N,11,FALSE)</f>
        <v>0</v>
      </c>
      <c r="L274" s="105">
        <f>VLOOKUP(A274,'[2]Billing Dimensions'!$A:$N,12,FALSE)-VLOOKUP(A274,'Audit Dimensions'!$A:$N,12,FALSE)</f>
        <v>0</v>
      </c>
      <c r="M274" s="105">
        <f>VLOOKUP(A274,'[2]Billing Dimensions'!$A:$N,13,FALSE)-VLOOKUP(A274,'Audit Dimensions'!$A:$N,13,FALSE)</f>
        <v>0</v>
      </c>
      <c r="N274" s="105">
        <f>VLOOKUP(A274,'[2]Billing Dimensions'!$A:$N,14,FALSE)-VLOOKUP(A274,'Audit Dimensions'!$A:$N,14,FALSE)</f>
        <v>0</v>
      </c>
      <c r="O274" s="104">
        <f>VLOOKUP(A274,'[2]Billing Dimensions'!A:Q,16,FALSE)-VLOOKUP('Audit VAR'!A274,'Audit Dimensions'!A:P,16,FALSE)</f>
        <v>1550</v>
      </c>
      <c r="P274" s="103">
        <f>O274/1000</f>
        <v>1.55</v>
      </c>
      <c r="Q274" s="102">
        <f>(((C274*D274*E274)+(G274*H274*I274)+(K274*L274*M274))/1000000)*35.32</f>
        <v>3.5320000000000001E-5</v>
      </c>
      <c r="R274" s="46">
        <f>P274/Q274</f>
        <v>43884.484711211779</v>
      </c>
    </row>
    <row r="275" spans="1:18" ht="14.4" hidden="1" x14ac:dyDescent="0.3">
      <c r="A275" s="44" t="s">
        <v>32</v>
      </c>
      <c r="B275" s="32" t="s">
        <v>0</v>
      </c>
      <c r="C275" s="111">
        <v>1</v>
      </c>
      <c r="D275" s="111">
        <v>1</v>
      </c>
      <c r="E275" s="111">
        <v>1</v>
      </c>
      <c r="F275" s="108">
        <v>3364</v>
      </c>
      <c r="G275" s="107">
        <f>VLOOKUP(A275,'[2]Billing Dimensions'!$A:$N,7,FALSE)-VLOOKUP(A275,'Audit Dimensions'!$A:$N,7,FALSE)</f>
        <v>0</v>
      </c>
      <c r="H275" s="107">
        <f>VLOOKUP(A275,'[2]Billing Dimensions'!$A:$N,8,FALSE)-VLOOKUP(A275,'Audit Dimensions'!$A:$N,8,FALSE)</f>
        <v>0</v>
      </c>
      <c r="I275" s="107">
        <f>VLOOKUP(A275,'[2]Billing Dimensions'!$A:$N,9,FALSE)-VLOOKUP(A275,'Audit Dimensions'!$A:$N,9,FALSE)</f>
        <v>0</v>
      </c>
      <c r="J275" s="106">
        <f>VLOOKUP(A275,'[2]Billing Dimensions'!$A:$N,10,FALSE)-VLOOKUP(A275,'Audit Dimensions'!$A:$N,10,FALSE)</f>
        <v>0</v>
      </c>
      <c r="K275" s="105">
        <f>VLOOKUP(A275,'[2]Billing Dimensions'!$A:$N,11,FALSE)-VLOOKUP(A275,'Audit Dimensions'!$A:$N,11,FALSE)</f>
        <v>0</v>
      </c>
      <c r="L275" s="105">
        <f>VLOOKUP(A275,'[2]Billing Dimensions'!$A:$N,12,FALSE)-VLOOKUP(A275,'Audit Dimensions'!$A:$N,12,FALSE)</f>
        <v>0</v>
      </c>
      <c r="M275" s="105">
        <f>VLOOKUP(A275,'[2]Billing Dimensions'!$A:$N,13,FALSE)-VLOOKUP(A275,'Audit Dimensions'!$A:$N,13,FALSE)</f>
        <v>0</v>
      </c>
      <c r="N275" s="105">
        <f>VLOOKUP(A275,'[2]Billing Dimensions'!$A:$N,14,FALSE)-VLOOKUP(A275,'Audit Dimensions'!$A:$N,14,FALSE)</f>
        <v>0</v>
      </c>
      <c r="O275" s="104">
        <f>VLOOKUP(A275,'[2]Billing Dimensions'!A:Q,16,FALSE)-VLOOKUP('Audit VAR'!A275,'Audit Dimensions'!A:P,16,FALSE)</f>
        <v>-300</v>
      </c>
      <c r="P275" s="103">
        <f>O275/1000</f>
        <v>-0.3</v>
      </c>
      <c r="Q275" s="102">
        <f>(((C275*D275*E275)+(G275*H275*I275)+(K275*L275*M275))/1000000)*35.32</f>
        <v>3.5320000000000001E-5</v>
      </c>
      <c r="R275" s="46">
        <f>P275/Q275</f>
        <v>-8493.7712344280862</v>
      </c>
    </row>
    <row r="276" spans="1:18" hidden="1" x14ac:dyDescent="0.3">
      <c r="A276" s="35" t="s">
        <v>31</v>
      </c>
      <c r="B276" s="32" t="s">
        <v>0</v>
      </c>
      <c r="C276" s="22">
        <v>1</v>
      </c>
      <c r="D276" s="21">
        <v>1</v>
      </c>
      <c r="E276" s="21">
        <v>1</v>
      </c>
      <c r="F276" s="22">
        <v>1252</v>
      </c>
      <c r="G276" s="107">
        <f>VLOOKUP(A276,'[2]Billing Dimensions'!$A:$N,7,FALSE)-VLOOKUP(A276,'Audit Dimensions'!$A:$N,7,FALSE)</f>
        <v>0</v>
      </c>
      <c r="H276" s="107">
        <f>VLOOKUP(A276,'[2]Billing Dimensions'!$A:$N,8,FALSE)-VLOOKUP(A276,'Audit Dimensions'!$A:$N,8,FALSE)</f>
        <v>0</v>
      </c>
      <c r="I276" s="107">
        <f>VLOOKUP(A276,'[2]Billing Dimensions'!$A:$N,9,FALSE)-VLOOKUP(A276,'Audit Dimensions'!$A:$N,9,FALSE)</f>
        <v>0</v>
      </c>
      <c r="J276" s="106">
        <f>VLOOKUP(A276,'[2]Billing Dimensions'!$A:$N,10,FALSE)-VLOOKUP(A276,'Audit Dimensions'!$A:$N,10,FALSE)</f>
        <v>0</v>
      </c>
      <c r="K276" s="105">
        <f>VLOOKUP(A276,'[2]Billing Dimensions'!$A:$N,11,FALSE)-VLOOKUP(A276,'Audit Dimensions'!$A:$N,11,FALSE)</f>
        <v>0</v>
      </c>
      <c r="L276" s="105">
        <f>VLOOKUP(A276,'[2]Billing Dimensions'!$A:$N,12,FALSE)-VLOOKUP(A276,'Audit Dimensions'!$A:$N,12,FALSE)</f>
        <v>0</v>
      </c>
      <c r="M276" s="105">
        <f>VLOOKUP(A276,'[2]Billing Dimensions'!$A:$N,13,FALSE)-VLOOKUP(A276,'Audit Dimensions'!$A:$N,13,FALSE)</f>
        <v>0</v>
      </c>
      <c r="N276" s="105">
        <f>VLOOKUP(A276,'[2]Billing Dimensions'!$A:$N,14,FALSE)-VLOOKUP(A276,'Audit Dimensions'!$A:$N,14,FALSE)</f>
        <v>0</v>
      </c>
      <c r="O276" s="104">
        <f>VLOOKUP(A276,'[2]Billing Dimensions'!A:Q,16,FALSE)-VLOOKUP('Audit VAR'!A276,'Audit Dimensions'!A:P,16,FALSE)</f>
        <v>0</v>
      </c>
      <c r="P276" s="103">
        <f>O276/1000</f>
        <v>0</v>
      </c>
      <c r="Q276" s="102">
        <f>(((C276*D276*E276)+(G276*H276*I276)+(K276*L276*M276))/1000000)*35.32</f>
        <v>3.5320000000000001E-5</v>
      </c>
      <c r="R276" s="46">
        <f>P276/Q276</f>
        <v>0</v>
      </c>
    </row>
    <row r="277" spans="1:18" hidden="1" x14ac:dyDescent="0.3">
      <c r="A277" s="35" t="s">
        <v>30</v>
      </c>
      <c r="B277" s="32" t="s">
        <v>0</v>
      </c>
      <c r="C277" s="22">
        <v>1</v>
      </c>
      <c r="D277" s="21">
        <v>1</v>
      </c>
      <c r="E277" s="21">
        <v>1</v>
      </c>
      <c r="F277" s="22">
        <v>1062</v>
      </c>
      <c r="G277" s="107">
        <f>VLOOKUP(A277,'[2]Billing Dimensions'!$A:$N,7,FALSE)-VLOOKUP(A277,'Audit Dimensions'!$A:$N,7,FALSE)</f>
        <v>0</v>
      </c>
      <c r="H277" s="107">
        <f>VLOOKUP(A277,'[2]Billing Dimensions'!$A:$N,8,FALSE)-VLOOKUP(A277,'Audit Dimensions'!$A:$N,8,FALSE)</f>
        <v>0</v>
      </c>
      <c r="I277" s="107">
        <f>VLOOKUP(A277,'[2]Billing Dimensions'!$A:$N,9,FALSE)-VLOOKUP(A277,'Audit Dimensions'!$A:$N,9,FALSE)</f>
        <v>0</v>
      </c>
      <c r="J277" s="106">
        <f>VLOOKUP(A277,'[2]Billing Dimensions'!$A:$N,10,FALSE)-VLOOKUP(A277,'Audit Dimensions'!$A:$N,10,FALSE)</f>
        <v>0</v>
      </c>
      <c r="K277" s="105">
        <f>VLOOKUP(A277,'[2]Billing Dimensions'!$A:$N,11,FALSE)-VLOOKUP(A277,'Audit Dimensions'!$A:$N,11,FALSE)</f>
        <v>0</v>
      </c>
      <c r="L277" s="105">
        <f>VLOOKUP(A277,'[2]Billing Dimensions'!$A:$N,12,FALSE)-VLOOKUP(A277,'Audit Dimensions'!$A:$N,12,FALSE)</f>
        <v>0</v>
      </c>
      <c r="M277" s="105">
        <f>VLOOKUP(A277,'[2]Billing Dimensions'!$A:$N,13,FALSE)-VLOOKUP(A277,'Audit Dimensions'!$A:$N,13,FALSE)</f>
        <v>0</v>
      </c>
      <c r="N277" s="105">
        <f>VLOOKUP(A277,'[2]Billing Dimensions'!$A:$N,14,FALSE)-VLOOKUP(A277,'Audit Dimensions'!$A:$N,14,FALSE)</f>
        <v>0</v>
      </c>
      <c r="O277" s="104">
        <f>VLOOKUP(A277,'[2]Billing Dimensions'!A:Q,16,FALSE)-VLOOKUP('Audit VAR'!A277,'Audit Dimensions'!A:P,16,FALSE)</f>
        <v>0</v>
      </c>
      <c r="P277" s="103">
        <f>O277/1000</f>
        <v>0</v>
      </c>
      <c r="Q277" s="102">
        <f>(((C277*D277*E277)+(G277*H277*I277)+(K277*L277*M277))/1000000)*35.32</f>
        <v>3.5320000000000001E-5</v>
      </c>
      <c r="R277" s="46">
        <f>P277/Q277</f>
        <v>0</v>
      </c>
    </row>
    <row r="278" spans="1:18" hidden="1" x14ac:dyDescent="0.3">
      <c r="A278" s="35" t="s">
        <v>29</v>
      </c>
      <c r="B278" s="32" t="s">
        <v>0</v>
      </c>
      <c r="C278" s="22">
        <v>1</v>
      </c>
      <c r="D278" s="21">
        <v>1</v>
      </c>
      <c r="E278" s="21">
        <v>1</v>
      </c>
      <c r="F278" s="22">
        <v>2103</v>
      </c>
      <c r="G278" s="107">
        <f>VLOOKUP(A278,'[2]Billing Dimensions'!$A:$N,7,FALSE)-VLOOKUP(A278,'Audit Dimensions'!$A:$N,7,FALSE)</f>
        <v>0</v>
      </c>
      <c r="H278" s="107">
        <f>VLOOKUP(A278,'[2]Billing Dimensions'!$A:$N,8,FALSE)-VLOOKUP(A278,'Audit Dimensions'!$A:$N,8,FALSE)</f>
        <v>0</v>
      </c>
      <c r="I278" s="107">
        <f>VLOOKUP(A278,'[2]Billing Dimensions'!$A:$N,9,FALSE)-VLOOKUP(A278,'Audit Dimensions'!$A:$N,9,FALSE)</f>
        <v>0</v>
      </c>
      <c r="J278" s="106">
        <f>VLOOKUP(A278,'[2]Billing Dimensions'!$A:$N,10,FALSE)-VLOOKUP(A278,'Audit Dimensions'!$A:$N,10,FALSE)</f>
        <v>0</v>
      </c>
      <c r="K278" s="105">
        <f>VLOOKUP(A278,'[2]Billing Dimensions'!$A:$N,11,FALSE)-VLOOKUP(A278,'Audit Dimensions'!$A:$N,11,FALSE)</f>
        <v>0</v>
      </c>
      <c r="L278" s="105">
        <f>VLOOKUP(A278,'[2]Billing Dimensions'!$A:$N,12,FALSE)-VLOOKUP(A278,'Audit Dimensions'!$A:$N,12,FALSE)</f>
        <v>0</v>
      </c>
      <c r="M278" s="105">
        <f>VLOOKUP(A278,'[2]Billing Dimensions'!$A:$N,13,FALSE)-VLOOKUP(A278,'Audit Dimensions'!$A:$N,13,FALSE)</f>
        <v>0</v>
      </c>
      <c r="N278" s="105">
        <f>VLOOKUP(A278,'[2]Billing Dimensions'!$A:$N,14,FALSE)-VLOOKUP(A278,'Audit Dimensions'!$A:$N,14,FALSE)</f>
        <v>0</v>
      </c>
      <c r="O278" s="104">
        <f>VLOOKUP(A278,'[2]Billing Dimensions'!A:Q,16,FALSE)-VLOOKUP('Audit VAR'!A278,'Audit Dimensions'!A:P,16,FALSE)</f>
        <v>0</v>
      </c>
      <c r="P278" s="103">
        <f>O278/1000</f>
        <v>0</v>
      </c>
      <c r="Q278" s="102">
        <f>(((C278*D278*E278)+(G278*H278*I278)+(K278*L278*M278))/1000000)*35.32</f>
        <v>3.5320000000000001E-5</v>
      </c>
      <c r="R278" s="46">
        <f>P278/Q278</f>
        <v>0</v>
      </c>
    </row>
    <row r="279" spans="1:18" hidden="1" x14ac:dyDescent="0.3">
      <c r="A279" s="35" t="s">
        <v>28</v>
      </c>
      <c r="B279" s="32" t="s">
        <v>0</v>
      </c>
      <c r="C279" s="22">
        <v>1</v>
      </c>
      <c r="D279" s="21">
        <v>1</v>
      </c>
      <c r="E279" s="21">
        <v>1</v>
      </c>
      <c r="F279" s="22">
        <v>1374</v>
      </c>
      <c r="G279" s="107">
        <f>VLOOKUP(A279,'[2]Billing Dimensions'!$A:$N,7,FALSE)-VLOOKUP(A279,'Audit Dimensions'!$A:$N,7,FALSE)</f>
        <v>0</v>
      </c>
      <c r="H279" s="107">
        <f>VLOOKUP(A279,'[2]Billing Dimensions'!$A:$N,8,FALSE)-VLOOKUP(A279,'Audit Dimensions'!$A:$N,8,FALSE)</f>
        <v>0</v>
      </c>
      <c r="I279" s="107">
        <f>VLOOKUP(A279,'[2]Billing Dimensions'!$A:$N,9,FALSE)-VLOOKUP(A279,'Audit Dimensions'!$A:$N,9,FALSE)</f>
        <v>0</v>
      </c>
      <c r="J279" s="106">
        <f>VLOOKUP(A279,'[2]Billing Dimensions'!$A:$N,10,FALSE)-VLOOKUP(A279,'Audit Dimensions'!$A:$N,10,FALSE)</f>
        <v>0</v>
      </c>
      <c r="K279" s="105">
        <f>VLOOKUP(A279,'[2]Billing Dimensions'!$A:$N,11,FALSE)-VLOOKUP(A279,'Audit Dimensions'!$A:$N,11,FALSE)</f>
        <v>0</v>
      </c>
      <c r="L279" s="105">
        <f>VLOOKUP(A279,'[2]Billing Dimensions'!$A:$N,12,FALSE)-VLOOKUP(A279,'Audit Dimensions'!$A:$N,12,FALSE)</f>
        <v>0</v>
      </c>
      <c r="M279" s="105">
        <f>VLOOKUP(A279,'[2]Billing Dimensions'!$A:$N,13,FALSE)-VLOOKUP(A279,'Audit Dimensions'!$A:$N,13,FALSE)</f>
        <v>0</v>
      </c>
      <c r="N279" s="105">
        <f>VLOOKUP(A279,'[2]Billing Dimensions'!$A:$N,14,FALSE)-VLOOKUP(A279,'Audit Dimensions'!$A:$N,14,FALSE)</f>
        <v>0</v>
      </c>
      <c r="O279" s="104">
        <f>VLOOKUP(A279,'[2]Billing Dimensions'!A:Q,16,FALSE)-VLOOKUP('Audit VAR'!A279,'Audit Dimensions'!A:P,16,FALSE)</f>
        <v>0</v>
      </c>
      <c r="P279" s="103">
        <f>O279/1000</f>
        <v>0</v>
      </c>
      <c r="Q279" s="102">
        <f>(((C279*D279*E279)+(G279*H279*I279)+(K279*L279*M279))/1000000)*35.32</f>
        <v>3.5320000000000001E-5</v>
      </c>
      <c r="R279" s="46">
        <f>P279/Q279</f>
        <v>0</v>
      </c>
    </row>
    <row r="280" spans="1:18" hidden="1" x14ac:dyDescent="0.3">
      <c r="A280" s="35" t="s">
        <v>27</v>
      </c>
      <c r="B280" s="32" t="s">
        <v>0</v>
      </c>
      <c r="C280" s="22">
        <v>1</v>
      </c>
      <c r="D280" s="21">
        <v>1</v>
      </c>
      <c r="E280" s="21">
        <v>1</v>
      </c>
      <c r="F280" s="22">
        <v>14647</v>
      </c>
      <c r="G280" s="107">
        <f>VLOOKUP(A280,'[2]Billing Dimensions'!$A:$N,7,FALSE)-VLOOKUP(A280,'Audit Dimensions'!$A:$N,7,FALSE)</f>
        <v>0</v>
      </c>
      <c r="H280" s="107">
        <f>VLOOKUP(A280,'[2]Billing Dimensions'!$A:$N,8,FALSE)-VLOOKUP(A280,'Audit Dimensions'!$A:$N,8,FALSE)</f>
        <v>0</v>
      </c>
      <c r="I280" s="107">
        <f>VLOOKUP(A280,'[2]Billing Dimensions'!$A:$N,9,FALSE)-VLOOKUP(A280,'Audit Dimensions'!$A:$N,9,FALSE)</f>
        <v>0</v>
      </c>
      <c r="J280" s="106">
        <f>VLOOKUP(A280,'[2]Billing Dimensions'!$A:$N,10,FALSE)-VLOOKUP(A280,'Audit Dimensions'!$A:$N,10,FALSE)</f>
        <v>0</v>
      </c>
      <c r="K280" s="105">
        <f>VLOOKUP(A280,'[2]Billing Dimensions'!$A:$N,11,FALSE)-VLOOKUP(A280,'Audit Dimensions'!$A:$N,11,FALSE)</f>
        <v>0</v>
      </c>
      <c r="L280" s="105">
        <f>VLOOKUP(A280,'[2]Billing Dimensions'!$A:$N,12,FALSE)-VLOOKUP(A280,'Audit Dimensions'!$A:$N,12,FALSE)</f>
        <v>0</v>
      </c>
      <c r="M280" s="105">
        <f>VLOOKUP(A280,'[2]Billing Dimensions'!$A:$N,13,FALSE)-VLOOKUP(A280,'Audit Dimensions'!$A:$N,13,FALSE)</f>
        <v>0</v>
      </c>
      <c r="N280" s="105">
        <f>VLOOKUP(A280,'[2]Billing Dimensions'!$A:$N,14,FALSE)-VLOOKUP(A280,'Audit Dimensions'!$A:$N,14,FALSE)</f>
        <v>0</v>
      </c>
      <c r="O280" s="104">
        <f>VLOOKUP(A280,'[2]Billing Dimensions'!A:Q,16,FALSE)-VLOOKUP('Audit VAR'!A280,'Audit Dimensions'!A:P,16,FALSE)</f>
        <v>0</v>
      </c>
      <c r="P280" s="103">
        <f>O280/1000</f>
        <v>0</v>
      </c>
      <c r="Q280" s="102">
        <f>(((C280*D280*E280)+(G280*H280*I280)+(K280*L280*M280))/1000000)*35.32</f>
        <v>3.5320000000000001E-5</v>
      </c>
      <c r="R280" s="46">
        <f>P280/Q280</f>
        <v>0</v>
      </c>
    </row>
    <row r="281" spans="1:18" ht="14.4" hidden="1" x14ac:dyDescent="0.3">
      <c r="A281" s="42" t="s">
        <v>26</v>
      </c>
      <c r="B281" s="32" t="s">
        <v>0</v>
      </c>
      <c r="C281" s="22">
        <v>1</v>
      </c>
      <c r="D281" s="21">
        <v>1</v>
      </c>
      <c r="E281" s="21">
        <v>1</v>
      </c>
      <c r="F281" s="22">
        <v>4600</v>
      </c>
      <c r="G281" s="107">
        <f>VLOOKUP(A281,'[2]Billing Dimensions'!$A:$N,7,FALSE)-VLOOKUP(A281,'Audit Dimensions'!$A:$N,7,FALSE)</f>
        <v>0</v>
      </c>
      <c r="H281" s="107">
        <f>VLOOKUP(A281,'[2]Billing Dimensions'!$A:$N,8,FALSE)-VLOOKUP(A281,'Audit Dimensions'!$A:$N,8,FALSE)</f>
        <v>0</v>
      </c>
      <c r="I281" s="107">
        <f>VLOOKUP(A281,'[2]Billing Dimensions'!$A:$N,9,FALSE)-VLOOKUP(A281,'Audit Dimensions'!$A:$N,9,FALSE)</f>
        <v>0</v>
      </c>
      <c r="J281" s="106">
        <f>VLOOKUP(A281,'[2]Billing Dimensions'!$A:$N,10,FALSE)-VLOOKUP(A281,'Audit Dimensions'!$A:$N,10,FALSE)</f>
        <v>0</v>
      </c>
      <c r="K281" s="105">
        <f>VLOOKUP(A281,'[2]Billing Dimensions'!$A:$N,11,FALSE)-VLOOKUP(A281,'Audit Dimensions'!$A:$N,11,FALSE)</f>
        <v>0</v>
      </c>
      <c r="L281" s="105">
        <f>VLOOKUP(A281,'[2]Billing Dimensions'!$A:$N,12,FALSE)-VLOOKUP(A281,'Audit Dimensions'!$A:$N,12,FALSE)</f>
        <v>0</v>
      </c>
      <c r="M281" s="105">
        <f>VLOOKUP(A281,'[2]Billing Dimensions'!$A:$N,13,FALSE)-VLOOKUP(A281,'Audit Dimensions'!$A:$N,13,FALSE)</f>
        <v>0</v>
      </c>
      <c r="N281" s="105">
        <f>VLOOKUP(A281,'[2]Billing Dimensions'!$A:$N,14,FALSE)-VLOOKUP(A281,'Audit Dimensions'!$A:$N,14,FALSE)</f>
        <v>0</v>
      </c>
      <c r="O281" s="104">
        <f>VLOOKUP(A281,'[2]Billing Dimensions'!A:Q,16,FALSE)-VLOOKUP('Audit VAR'!A281,'Audit Dimensions'!A:P,16,FALSE)</f>
        <v>0</v>
      </c>
      <c r="P281" s="103">
        <f>O281/1000</f>
        <v>0</v>
      </c>
      <c r="Q281" s="102">
        <f>(((C281*D281*E281)+(G281*H281*I281)+(K281*L281*M281))/1000000)*35.32</f>
        <v>3.5320000000000001E-5</v>
      </c>
      <c r="R281" s="46">
        <f>P281/Q281</f>
        <v>0</v>
      </c>
    </row>
    <row r="282" spans="1:18" ht="14.4" hidden="1" x14ac:dyDescent="0.3">
      <c r="A282" s="42" t="s">
        <v>25</v>
      </c>
      <c r="B282" s="32" t="s">
        <v>0</v>
      </c>
      <c r="C282" s="22">
        <v>1</v>
      </c>
      <c r="D282" s="21">
        <v>1</v>
      </c>
      <c r="E282" s="21">
        <v>1</v>
      </c>
      <c r="F282" s="22">
        <v>19500</v>
      </c>
      <c r="G282" s="107">
        <f>VLOOKUP(A282,'[2]Billing Dimensions'!$A:$N,7,FALSE)-VLOOKUP(A282,'Audit Dimensions'!$A:$N,7,FALSE)</f>
        <v>0</v>
      </c>
      <c r="H282" s="107">
        <f>VLOOKUP(A282,'[2]Billing Dimensions'!$A:$N,8,FALSE)-VLOOKUP(A282,'Audit Dimensions'!$A:$N,8,FALSE)</f>
        <v>0</v>
      </c>
      <c r="I282" s="107">
        <f>VLOOKUP(A282,'[2]Billing Dimensions'!$A:$N,9,FALSE)-VLOOKUP(A282,'Audit Dimensions'!$A:$N,9,FALSE)</f>
        <v>0</v>
      </c>
      <c r="J282" s="106">
        <f>VLOOKUP(A282,'[2]Billing Dimensions'!$A:$N,10,FALSE)-VLOOKUP(A282,'Audit Dimensions'!$A:$N,10,FALSE)</f>
        <v>0</v>
      </c>
      <c r="K282" s="105">
        <f>VLOOKUP(A282,'[2]Billing Dimensions'!$A:$N,11,FALSE)-VLOOKUP(A282,'Audit Dimensions'!$A:$N,11,FALSE)</f>
        <v>0</v>
      </c>
      <c r="L282" s="105">
        <f>VLOOKUP(A282,'[2]Billing Dimensions'!$A:$N,12,FALSE)-VLOOKUP(A282,'Audit Dimensions'!$A:$N,12,FALSE)</f>
        <v>0</v>
      </c>
      <c r="M282" s="105">
        <f>VLOOKUP(A282,'[2]Billing Dimensions'!$A:$N,13,FALSE)-VLOOKUP(A282,'Audit Dimensions'!$A:$N,13,FALSE)</f>
        <v>0</v>
      </c>
      <c r="N282" s="105">
        <f>VLOOKUP(A282,'[2]Billing Dimensions'!$A:$N,14,FALSE)-VLOOKUP(A282,'Audit Dimensions'!$A:$N,14,FALSE)</f>
        <v>0</v>
      </c>
      <c r="O282" s="104">
        <f>VLOOKUP(A282,'[2]Billing Dimensions'!A:Q,16,FALSE)-VLOOKUP('Audit VAR'!A282,'Audit Dimensions'!A:P,16,FALSE)</f>
        <v>0</v>
      </c>
      <c r="P282" s="103">
        <f>O282/1000</f>
        <v>0</v>
      </c>
      <c r="Q282" s="102">
        <f>(((C282*D282*E282)+(G282*H282*I282)+(K282*L282*M282))/1000000)*35.32</f>
        <v>3.5320000000000001E-5</v>
      </c>
      <c r="R282" s="46">
        <f>P282/Q282</f>
        <v>0</v>
      </c>
    </row>
    <row r="283" spans="1:18" ht="14.4" hidden="1" x14ac:dyDescent="0.3">
      <c r="A283" s="42" t="s">
        <v>24</v>
      </c>
      <c r="B283" s="32" t="s">
        <v>0</v>
      </c>
      <c r="C283" s="22">
        <v>1</v>
      </c>
      <c r="D283" s="21">
        <v>1</v>
      </c>
      <c r="E283" s="21">
        <v>1</v>
      </c>
      <c r="F283" s="110">
        <v>19000</v>
      </c>
      <c r="G283" s="107">
        <f>VLOOKUP(A283,'[2]Billing Dimensions'!$A:$N,7,FALSE)-VLOOKUP(A283,'Audit Dimensions'!$A:$N,7,FALSE)</f>
        <v>0</v>
      </c>
      <c r="H283" s="107">
        <f>VLOOKUP(A283,'[2]Billing Dimensions'!$A:$N,8,FALSE)-VLOOKUP(A283,'Audit Dimensions'!$A:$N,8,FALSE)</f>
        <v>0</v>
      </c>
      <c r="I283" s="107">
        <f>VLOOKUP(A283,'[2]Billing Dimensions'!$A:$N,9,FALSE)-VLOOKUP(A283,'Audit Dimensions'!$A:$N,9,FALSE)</f>
        <v>0</v>
      </c>
      <c r="J283" s="106">
        <f>VLOOKUP(A283,'[2]Billing Dimensions'!$A:$N,10,FALSE)-VLOOKUP(A283,'Audit Dimensions'!$A:$N,10,FALSE)</f>
        <v>0</v>
      </c>
      <c r="K283" s="105">
        <f>VLOOKUP(A283,'[2]Billing Dimensions'!$A:$N,11,FALSE)-VLOOKUP(A283,'Audit Dimensions'!$A:$N,11,FALSE)</f>
        <v>0</v>
      </c>
      <c r="L283" s="105">
        <f>VLOOKUP(A283,'[2]Billing Dimensions'!$A:$N,12,FALSE)-VLOOKUP(A283,'Audit Dimensions'!$A:$N,12,FALSE)</f>
        <v>0</v>
      </c>
      <c r="M283" s="105">
        <f>VLOOKUP(A283,'[2]Billing Dimensions'!$A:$N,13,FALSE)-VLOOKUP(A283,'Audit Dimensions'!$A:$N,13,FALSE)</f>
        <v>0</v>
      </c>
      <c r="N283" s="105">
        <f>VLOOKUP(A283,'[2]Billing Dimensions'!$A:$N,14,FALSE)-VLOOKUP(A283,'Audit Dimensions'!$A:$N,14,FALSE)</f>
        <v>0</v>
      </c>
      <c r="O283" s="104">
        <f>VLOOKUP(A283,'[2]Billing Dimensions'!A:Q,16,FALSE)-VLOOKUP('Audit VAR'!A283,'Audit Dimensions'!A:P,16,FALSE)</f>
        <v>0</v>
      </c>
      <c r="P283" s="103">
        <f>O283/1000</f>
        <v>0</v>
      </c>
      <c r="Q283" s="102">
        <f>(((C283*D283*E283)+(G283*H283*I283)+(K283*L283*M283))/1000000)*35.32</f>
        <v>3.5320000000000001E-5</v>
      </c>
      <c r="R283" s="46">
        <f>P283/Q283</f>
        <v>0</v>
      </c>
    </row>
    <row r="284" spans="1:18" ht="14.4" hidden="1" x14ac:dyDescent="0.3">
      <c r="A284" s="42" t="s">
        <v>23</v>
      </c>
      <c r="B284" s="32" t="s">
        <v>0</v>
      </c>
      <c r="C284" s="22">
        <v>1</v>
      </c>
      <c r="D284" s="21">
        <v>1</v>
      </c>
      <c r="E284" s="21">
        <v>1</v>
      </c>
      <c r="F284" s="110">
        <v>31900</v>
      </c>
      <c r="G284" s="107">
        <f>VLOOKUP(A284,'[2]Billing Dimensions'!$A:$N,7,FALSE)-VLOOKUP(A284,'Audit Dimensions'!$A:$N,7,FALSE)</f>
        <v>0</v>
      </c>
      <c r="H284" s="107">
        <f>VLOOKUP(A284,'[2]Billing Dimensions'!$A:$N,8,FALSE)-VLOOKUP(A284,'Audit Dimensions'!$A:$N,8,FALSE)</f>
        <v>0</v>
      </c>
      <c r="I284" s="107">
        <f>VLOOKUP(A284,'[2]Billing Dimensions'!$A:$N,9,FALSE)-VLOOKUP(A284,'Audit Dimensions'!$A:$N,9,FALSE)</f>
        <v>0</v>
      </c>
      <c r="J284" s="106">
        <f>VLOOKUP(A284,'[2]Billing Dimensions'!$A:$N,10,FALSE)-VLOOKUP(A284,'Audit Dimensions'!$A:$N,10,FALSE)</f>
        <v>0</v>
      </c>
      <c r="K284" s="105">
        <f>VLOOKUP(A284,'[2]Billing Dimensions'!$A:$N,11,FALSE)-VLOOKUP(A284,'Audit Dimensions'!$A:$N,11,FALSE)</f>
        <v>0</v>
      </c>
      <c r="L284" s="105">
        <f>VLOOKUP(A284,'[2]Billing Dimensions'!$A:$N,12,FALSE)-VLOOKUP(A284,'Audit Dimensions'!$A:$N,12,FALSE)</f>
        <v>0</v>
      </c>
      <c r="M284" s="105">
        <f>VLOOKUP(A284,'[2]Billing Dimensions'!$A:$N,13,FALSE)-VLOOKUP(A284,'Audit Dimensions'!$A:$N,13,FALSE)</f>
        <v>0</v>
      </c>
      <c r="N284" s="105">
        <f>VLOOKUP(A284,'[2]Billing Dimensions'!$A:$N,14,FALSE)-VLOOKUP(A284,'Audit Dimensions'!$A:$N,14,FALSE)</f>
        <v>0</v>
      </c>
      <c r="O284" s="104">
        <f>VLOOKUP(A284,'[2]Billing Dimensions'!A:Q,16,FALSE)-VLOOKUP('Audit VAR'!A284,'Audit Dimensions'!A:P,16,FALSE)</f>
        <v>0</v>
      </c>
      <c r="P284" s="103">
        <f>O284/1000</f>
        <v>0</v>
      </c>
      <c r="Q284" s="102">
        <f>(((C284*D284*E284)+(G284*H284*I284)+(K284*L284*M284))/1000000)*35.32</f>
        <v>3.5320000000000001E-5</v>
      </c>
      <c r="R284" s="46">
        <f>P284/Q284</f>
        <v>0</v>
      </c>
    </row>
    <row r="285" spans="1:18" ht="14.4" hidden="1" x14ac:dyDescent="0.3">
      <c r="A285" s="42" t="s">
        <v>22</v>
      </c>
      <c r="B285" s="32" t="s">
        <v>0</v>
      </c>
      <c r="C285" s="22">
        <v>1</v>
      </c>
      <c r="D285" s="21">
        <v>1</v>
      </c>
      <c r="E285" s="21">
        <v>1</v>
      </c>
      <c r="F285" s="110">
        <v>54000</v>
      </c>
      <c r="G285" s="107">
        <f>VLOOKUP(A285,'[2]Billing Dimensions'!$A:$N,7,FALSE)-VLOOKUP(A285,'Audit Dimensions'!$A:$N,7,FALSE)</f>
        <v>0</v>
      </c>
      <c r="H285" s="107">
        <f>VLOOKUP(A285,'[2]Billing Dimensions'!$A:$N,8,FALSE)-VLOOKUP(A285,'Audit Dimensions'!$A:$N,8,FALSE)</f>
        <v>0</v>
      </c>
      <c r="I285" s="107">
        <f>VLOOKUP(A285,'[2]Billing Dimensions'!$A:$N,9,FALSE)-VLOOKUP(A285,'Audit Dimensions'!$A:$N,9,FALSE)</f>
        <v>0</v>
      </c>
      <c r="J285" s="106">
        <f>VLOOKUP(A285,'[2]Billing Dimensions'!$A:$N,10,FALSE)-VLOOKUP(A285,'Audit Dimensions'!$A:$N,10,FALSE)</f>
        <v>0</v>
      </c>
      <c r="K285" s="105">
        <f>VLOOKUP(A285,'[2]Billing Dimensions'!$A:$N,11,FALSE)-VLOOKUP(A285,'Audit Dimensions'!$A:$N,11,FALSE)</f>
        <v>0</v>
      </c>
      <c r="L285" s="105">
        <f>VLOOKUP(A285,'[2]Billing Dimensions'!$A:$N,12,FALSE)-VLOOKUP(A285,'Audit Dimensions'!$A:$N,12,FALSE)</f>
        <v>0</v>
      </c>
      <c r="M285" s="105">
        <f>VLOOKUP(A285,'[2]Billing Dimensions'!$A:$N,13,FALSE)-VLOOKUP(A285,'Audit Dimensions'!$A:$N,13,FALSE)</f>
        <v>0</v>
      </c>
      <c r="N285" s="105">
        <f>VLOOKUP(A285,'[2]Billing Dimensions'!$A:$N,14,FALSE)-VLOOKUP(A285,'Audit Dimensions'!$A:$N,14,FALSE)</f>
        <v>0</v>
      </c>
      <c r="O285" s="104">
        <f>VLOOKUP(A285,'[2]Billing Dimensions'!A:Q,16,FALSE)-VLOOKUP('Audit VAR'!A285,'Audit Dimensions'!A:P,16,FALSE)</f>
        <v>0</v>
      </c>
      <c r="P285" s="103">
        <f>O285/1000</f>
        <v>0</v>
      </c>
      <c r="Q285" s="102">
        <f>(((C285*D285*E285)+(G285*H285*I285)+(K285*L285*M285))/1000000)*35.32</f>
        <v>3.5320000000000001E-5</v>
      </c>
      <c r="R285" s="46">
        <f>P285/Q285</f>
        <v>0</v>
      </c>
    </row>
    <row r="286" spans="1:18" ht="14.4" hidden="1" x14ac:dyDescent="0.3">
      <c r="A286" s="42" t="s">
        <v>21</v>
      </c>
      <c r="B286" s="32" t="s">
        <v>0</v>
      </c>
      <c r="C286" s="22">
        <v>1</v>
      </c>
      <c r="D286" s="21">
        <v>1</v>
      </c>
      <c r="E286" s="21">
        <v>1</v>
      </c>
      <c r="F286" s="110">
        <v>45600</v>
      </c>
      <c r="G286" s="107">
        <f>VLOOKUP(A286,'[2]Billing Dimensions'!$A:$N,7,FALSE)-VLOOKUP(A286,'Audit Dimensions'!$A:$N,7,FALSE)</f>
        <v>104</v>
      </c>
      <c r="H286" s="107">
        <f>VLOOKUP(A286,'[2]Billing Dimensions'!$A:$N,8,FALSE)-VLOOKUP(A286,'Audit Dimensions'!$A:$N,8,FALSE)</f>
        <v>42</v>
      </c>
      <c r="I286" s="107">
        <f>VLOOKUP(A286,'[2]Billing Dimensions'!$A:$N,9,FALSE)-VLOOKUP(A286,'Audit Dimensions'!$A:$N,9,FALSE)</f>
        <v>16</v>
      </c>
      <c r="J286" s="106">
        <f>VLOOKUP(A286,'[2]Billing Dimensions'!$A:$N,10,FALSE)-VLOOKUP(A286,'Audit Dimensions'!$A:$N,10,FALSE)</f>
        <v>23000</v>
      </c>
      <c r="K286" s="105">
        <f>VLOOKUP(A286,'[2]Billing Dimensions'!$A:$N,11,FALSE)-VLOOKUP(A286,'Audit Dimensions'!$A:$N,11,FALSE)</f>
        <v>0</v>
      </c>
      <c r="L286" s="105">
        <f>VLOOKUP(A286,'[2]Billing Dimensions'!$A:$N,12,FALSE)-VLOOKUP(A286,'Audit Dimensions'!$A:$N,12,FALSE)</f>
        <v>0</v>
      </c>
      <c r="M286" s="105">
        <f>VLOOKUP(A286,'[2]Billing Dimensions'!$A:$N,13,FALSE)-VLOOKUP(A286,'Audit Dimensions'!$A:$N,13,FALSE)</f>
        <v>0</v>
      </c>
      <c r="N286" s="105">
        <f>VLOOKUP(A286,'[2]Billing Dimensions'!$A:$N,14,FALSE)-VLOOKUP(A286,'Audit Dimensions'!$A:$N,14,FALSE)</f>
        <v>0</v>
      </c>
      <c r="O286" s="104">
        <f>VLOOKUP(A286,'[2]Billing Dimensions'!A:Q,16,FALSE)-VLOOKUP('Audit VAR'!A286,'Audit Dimensions'!A:P,16,FALSE)</f>
        <v>6400</v>
      </c>
      <c r="P286" s="103">
        <f>O286/1000</f>
        <v>6.4</v>
      </c>
      <c r="Q286" s="102">
        <f>(((C286*D286*E286)+(G286*H286*I286)+(K286*L286*M286))/1000000)*35.32</f>
        <v>2.4684794800000001</v>
      </c>
      <c r="R286" s="46">
        <f>P286/Q286</f>
        <v>2.592689164262366</v>
      </c>
    </row>
    <row r="287" spans="1:18" ht="14.4" hidden="1" x14ac:dyDescent="0.3">
      <c r="A287" s="42" t="s">
        <v>20</v>
      </c>
      <c r="B287" s="32" t="s">
        <v>0</v>
      </c>
      <c r="C287" s="22">
        <v>1</v>
      </c>
      <c r="D287" s="21">
        <v>1</v>
      </c>
      <c r="E287" s="21">
        <v>1</v>
      </c>
      <c r="F287" s="110">
        <v>33000</v>
      </c>
      <c r="G287" s="107">
        <f>VLOOKUP(A287,'[2]Billing Dimensions'!$A:$N,7,FALSE)-VLOOKUP(A287,'Audit Dimensions'!$A:$N,7,FALSE)</f>
        <v>0</v>
      </c>
      <c r="H287" s="107">
        <f>VLOOKUP(A287,'[2]Billing Dimensions'!$A:$N,8,FALSE)-VLOOKUP(A287,'Audit Dimensions'!$A:$N,8,FALSE)</f>
        <v>0</v>
      </c>
      <c r="I287" s="107">
        <f>VLOOKUP(A287,'[2]Billing Dimensions'!$A:$N,9,FALSE)-VLOOKUP(A287,'Audit Dimensions'!$A:$N,9,FALSE)</f>
        <v>0</v>
      </c>
      <c r="J287" s="106">
        <f>VLOOKUP(A287,'[2]Billing Dimensions'!$A:$N,10,FALSE)-VLOOKUP(A287,'Audit Dimensions'!$A:$N,10,FALSE)</f>
        <v>0</v>
      </c>
      <c r="K287" s="105">
        <f>VLOOKUP(A287,'[2]Billing Dimensions'!$A:$N,11,FALSE)-VLOOKUP(A287,'Audit Dimensions'!$A:$N,11,FALSE)</f>
        <v>0</v>
      </c>
      <c r="L287" s="105">
        <f>VLOOKUP(A287,'[2]Billing Dimensions'!$A:$N,12,FALSE)-VLOOKUP(A287,'Audit Dimensions'!$A:$N,12,FALSE)</f>
        <v>0</v>
      </c>
      <c r="M287" s="105">
        <f>VLOOKUP(A287,'[2]Billing Dimensions'!$A:$N,13,FALSE)-VLOOKUP(A287,'Audit Dimensions'!$A:$N,13,FALSE)</f>
        <v>0</v>
      </c>
      <c r="N287" s="105">
        <f>VLOOKUP(A287,'[2]Billing Dimensions'!$A:$N,14,FALSE)-VLOOKUP(A287,'Audit Dimensions'!$A:$N,14,FALSE)</f>
        <v>0</v>
      </c>
      <c r="O287" s="104">
        <f>VLOOKUP(A287,'[2]Billing Dimensions'!A:Q,16,FALSE)-VLOOKUP('Audit VAR'!A287,'Audit Dimensions'!A:P,16,FALSE)</f>
        <v>0</v>
      </c>
      <c r="P287" s="103">
        <f>O287/1000</f>
        <v>0</v>
      </c>
      <c r="Q287" s="102">
        <f>(((C287*D287*E287)+(G287*H287*I287)+(K287*L287*M287))/1000000)*35.32</f>
        <v>3.5320000000000001E-5</v>
      </c>
      <c r="R287" s="46">
        <f>P287/Q287</f>
        <v>0</v>
      </c>
    </row>
    <row r="288" spans="1:18" ht="14.4" hidden="1" x14ac:dyDescent="0.3">
      <c r="A288" s="42" t="s">
        <v>19</v>
      </c>
      <c r="B288" s="32" t="s">
        <v>0</v>
      </c>
      <c r="C288" s="22">
        <v>1</v>
      </c>
      <c r="D288" s="21">
        <v>1</v>
      </c>
      <c r="E288" s="21">
        <v>1</v>
      </c>
      <c r="F288" s="110">
        <v>71400</v>
      </c>
      <c r="G288" s="107">
        <f>VLOOKUP(A288,'[2]Billing Dimensions'!$A:$N,7,FALSE)-VLOOKUP(A288,'Audit Dimensions'!$A:$N,7,FALSE)</f>
        <v>0</v>
      </c>
      <c r="H288" s="107">
        <f>VLOOKUP(A288,'[2]Billing Dimensions'!$A:$N,8,FALSE)-VLOOKUP(A288,'Audit Dimensions'!$A:$N,8,FALSE)</f>
        <v>0</v>
      </c>
      <c r="I288" s="107">
        <f>VLOOKUP(A288,'[2]Billing Dimensions'!$A:$N,9,FALSE)-VLOOKUP(A288,'Audit Dimensions'!$A:$N,9,FALSE)</f>
        <v>0</v>
      </c>
      <c r="J288" s="106">
        <f>VLOOKUP(A288,'[2]Billing Dimensions'!$A:$N,10,FALSE)-VLOOKUP(A288,'Audit Dimensions'!$A:$N,10,FALSE)</f>
        <v>0</v>
      </c>
      <c r="K288" s="105">
        <f>VLOOKUP(A288,'[2]Billing Dimensions'!$A:$N,11,FALSE)-VLOOKUP(A288,'Audit Dimensions'!$A:$N,11,FALSE)</f>
        <v>0</v>
      </c>
      <c r="L288" s="105">
        <f>VLOOKUP(A288,'[2]Billing Dimensions'!$A:$N,12,FALSE)-VLOOKUP(A288,'Audit Dimensions'!$A:$N,12,FALSE)</f>
        <v>0</v>
      </c>
      <c r="M288" s="105">
        <f>VLOOKUP(A288,'[2]Billing Dimensions'!$A:$N,13,FALSE)-VLOOKUP(A288,'Audit Dimensions'!$A:$N,13,FALSE)</f>
        <v>0</v>
      </c>
      <c r="N288" s="105">
        <f>VLOOKUP(A288,'[2]Billing Dimensions'!$A:$N,14,FALSE)-VLOOKUP(A288,'Audit Dimensions'!$A:$N,14,FALSE)</f>
        <v>0</v>
      </c>
      <c r="O288" s="104">
        <f>VLOOKUP(A288,'[2]Billing Dimensions'!A:Q,16,FALSE)-VLOOKUP('Audit VAR'!A288,'Audit Dimensions'!A:P,16,FALSE)</f>
        <v>0</v>
      </c>
      <c r="P288" s="103">
        <f>O288/1000</f>
        <v>0</v>
      </c>
      <c r="Q288" s="102">
        <f>(((C288*D288*E288)+(G288*H288*I288)+(K288*L288*M288))/1000000)*35.32</f>
        <v>3.5320000000000001E-5</v>
      </c>
      <c r="R288" s="46">
        <f>P288/Q288</f>
        <v>0</v>
      </c>
    </row>
    <row r="289" spans="1:18" ht="14.4" hidden="1" x14ac:dyDescent="0.3">
      <c r="A289" s="42" t="s">
        <v>18</v>
      </c>
      <c r="B289" s="32" t="s">
        <v>0</v>
      </c>
      <c r="C289" s="22">
        <v>1</v>
      </c>
      <c r="D289" s="21">
        <v>1</v>
      </c>
      <c r="E289" s="21">
        <v>1</v>
      </c>
      <c r="F289" s="110">
        <v>18200</v>
      </c>
      <c r="G289" s="107">
        <f>VLOOKUP(A289,'[2]Billing Dimensions'!$A:$N,7,FALSE)-VLOOKUP(A289,'Audit Dimensions'!$A:$N,7,FALSE)</f>
        <v>0</v>
      </c>
      <c r="H289" s="107">
        <f>VLOOKUP(A289,'[2]Billing Dimensions'!$A:$N,8,FALSE)-VLOOKUP(A289,'Audit Dimensions'!$A:$N,8,FALSE)</f>
        <v>0</v>
      </c>
      <c r="I289" s="107">
        <f>VLOOKUP(A289,'[2]Billing Dimensions'!$A:$N,9,FALSE)-VLOOKUP(A289,'Audit Dimensions'!$A:$N,9,FALSE)</f>
        <v>0</v>
      </c>
      <c r="J289" s="106">
        <f>VLOOKUP(A289,'[2]Billing Dimensions'!$A:$N,10,FALSE)-VLOOKUP(A289,'Audit Dimensions'!$A:$N,10,FALSE)</f>
        <v>0</v>
      </c>
      <c r="K289" s="105">
        <f>VLOOKUP(A289,'[2]Billing Dimensions'!$A:$N,11,FALSE)-VLOOKUP(A289,'Audit Dimensions'!$A:$N,11,FALSE)</f>
        <v>0</v>
      </c>
      <c r="L289" s="105">
        <f>VLOOKUP(A289,'[2]Billing Dimensions'!$A:$N,12,FALSE)-VLOOKUP(A289,'Audit Dimensions'!$A:$N,12,FALSE)</f>
        <v>0</v>
      </c>
      <c r="M289" s="105">
        <f>VLOOKUP(A289,'[2]Billing Dimensions'!$A:$N,13,FALSE)-VLOOKUP(A289,'Audit Dimensions'!$A:$N,13,FALSE)</f>
        <v>0</v>
      </c>
      <c r="N289" s="105">
        <f>VLOOKUP(A289,'[2]Billing Dimensions'!$A:$N,14,FALSE)-VLOOKUP(A289,'Audit Dimensions'!$A:$N,14,FALSE)</f>
        <v>0</v>
      </c>
      <c r="O289" s="104">
        <f>VLOOKUP(A289,'[2]Billing Dimensions'!A:Q,16,FALSE)-VLOOKUP('Audit VAR'!A289,'Audit Dimensions'!A:P,16,FALSE)</f>
        <v>0</v>
      </c>
      <c r="P289" s="103">
        <f>O289/1000</f>
        <v>0</v>
      </c>
      <c r="Q289" s="102">
        <f>(((C289*D289*E289)+(G289*H289*I289)+(K289*L289*M289))/1000000)*35.32</f>
        <v>3.5320000000000001E-5</v>
      </c>
      <c r="R289" s="46">
        <f>P289/Q289</f>
        <v>0</v>
      </c>
    </row>
    <row r="290" spans="1:18" ht="14.4" hidden="1" x14ac:dyDescent="0.3">
      <c r="A290" s="42" t="s">
        <v>17</v>
      </c>
      <c r="B290" s="32" t="s">
        <v>0</v>
      </c>
      <c r="C290" s="22">
        <v>1</v>
      </c>
      <c r="D290" s="21">
        <v>1</v>
      </c>
      <c r="E290" s="21">
        <v>1</v>
      </c>
      <c r="F290" s="110">
        <v>24100</v>
      </c>
      <c r="G290" s="107">
        <f>VLOOKUP(A290,'[2]Billing Dimensions'!$A:$N,7,FALSE)-VLOOKUP(A290,'Audit Dimensions'!$A:$N,7,FALSE)</f>
        <v>0</v>
      </c>
      <c r="H290" s="107">
        <f>VLOOKUP(A290,'[2]Billing Dimensions'!$A:$N,8,FALSE)-VLOOKUP(A290,'Audit Dimensions'!$A:$N,8,FALSE)</f>
        <v>0</v>
      </c>
      <c r="I290" s="107">
        <f>VLOOKUP(A290,'[2]Billing Dimensions'!$A:$N,9,FALSE)-VLOOKUP(A290,'Audit Dimensions'!$A:$N,9,FALSE)</f>
        <v>0</v>
      </c>
      <c r="J290" s="106">
        <f>VLOOKUP(A290,'[2]Billing Dimensions'!$A:$N,10,FALSE)-VLOOKUP(A290,'Audit Dimensions'!$A:$N,10,FALSE)</f>
        <v>0</v>
      </c>
      <c r="K290" s="105">
        <f>VLOOKUP(A290,'[2]Billing Dimensions'!$A:$N,11,FALSE)-VLOOKUP(A290,'Audit Dimensions'!$A:$N,11,FALSE)</f>
        <v>0</v>
      </c>
      <c r="L290" s="105">
        <f>VLOOKUP(A290,'[2]Billing Dimensions'!$A:$N,12,FALSE)-VLOOKUP(A290,'Audit Dimensions'!$A:$N,12,FALSE)</f>
        <v>0</v>
      </c>
      <c r="M290" s="105">
        <f>VLOOKUP(A290,'[2]Billing Dimensions'!$A:$N,13,FALSE)-VLOOKUP(A290,'Audit Dimensions'!$A:$N,13,FALSE)</f>
        <v>0</v>
      </c>
      <c r="N290" s="105">
        <f>VLOOKUP(A290,'[2]Billing Dimensions'!$A:$N,14,FALSE)-VLOOKUP(A290,'Audit Dimensions'!$A:$N,14,FALSE)</f>
        <v>0</v>
      </c>
      <c r="O290" s="104">
        <f>VLOOKUP(A290,'[2]Billing Dimensions'!A:Q,16,FALSE)-VLOOKUP('Audit VAR'!A290,'Audit Dimensions'!A:P,16,FALSE)</f>
        <v>0</v>
      </c>
      <c r="P290" s="103">
        <f>O290/1000</f>
        <v>0</v>
      </c>
      <c r="Q290" s="102">
        <f>(((C290*D290*E290)+(G290*H290*I290)+(K290*L290*M290))/1000000)*35.32</f>
        <v>3.5320000000000001E-5</v>
      </c>
      <c r="R290" s="46">
        <f>P290/Q290</f>
        <v>0</v>
      </c>
    </row>
    <row r="291" spans="1:18" ht="14.4" hidden="1" x14ac:dyDescent="0.3">
      <c r="A291" s="42" t="s">
        <v>16</v>
      </c>
      <c r="B291" s="32" t="s">
        <v>0</v>
      </c>
      <c r="C291" s="22">
        <v>1</v>
      </c>
      <c r="D291" s="21">
        <v>1</v>
      </c>
      <c r="E291" s="21">
        <v>1</v>
      </c>
      <c r="F291" s="110">
        <v>29100</v>
      </c>
      <c r="G291" s="107">
        <f>VLOOKUP(A291,'[2]Billing Dimensions'!$A:$N,7,FALSE)-VLOOKUP(A291,'Audit Dimensions'!$A:$N,7,FALSE)</f>
        <v>0</v>
      </c>
      <c r="H291" s="107">
        <f>VLOOKUP(A291,'[2]Billing Dimensions'!$A:$N,8,FALSE)-VLOOKUP(A291,'Audit Dimensions'!$A:$N,8,FALSE)</f>
        <v>0</v>
      </c>
      <c r="I291" s="107">
        <f>VLOOKUP(A291,'[2]Billing Dimensions'!$A:$N,9,FALSE)-VLOOKUP(A291,'Audit Dimensions'!$A:$N,9,FALSE)</f>
        <v>0</v>
      </c>
      <c r="J291" s="106">
        <f>VLOOKUP(A291,'[2]Billing Dimensions'!$A:$N,10,FALSE)-VLOOKUP(A291,'Audit Dimensions'!$A:$N,10,FALSE)</f>
        <v>0</v>
      </c>
      <c r="K291" s="105">
        <f>VLOOKUP(A291,'[2]Billing Dimensions'!$A:$N,11,FALSE)-VLOOKUP(A291,'Audit Dimensions'!$A:$N,11,FALSE)</f>
        <v>0</v>
      </c>
      <c r="L291" s="105">
        <f>VLOOKUP(A291,'[2]Billing Dimensions'!$A:$N,12,FALSE)-VLOOKUP(A291,'Audit Dimensions'!$A:$N,12,FALSE)</f>
        <v>0</v>
      </c>
      <c r="M291" s="105">
        <f>VLOOKUP(A291,'[2]Billing Dimensions'!$A:$N,13,FALSE)-VLOOKUP(A291,'Audit Dimensions'!$A:$N,13,FALSE)</f>
        <v>0</v>
      </c>
      <c r="N291" s="105">
        <f>VLOOKUP(A291,'[2]Billing Dimensions'!$A:$N,14,FALSE)-VLOOKUP(A291,'Audit Dimensions'!$A:$N,14,FALSE)</f>
        <v>0</v>
      </c>
      <c r="O291" s="104">
        <f>VLOOKUP(A291,'[2]Billing Dimensions'!A:Q,16,FALSE)-VLOOKUP('Audit VAR'!A291,'Audit Dimensions'!A:P,16,FALSE)</f>
        <v>0</v>
      </c>
      <c r="P291" s="103">
        <f>O291/1000</f>
        <v>0</v>
      </c>
      <c r="Q291" s="102">
        <f>(((C291*D291*E291)+(G291*H291*I291)+(K291*L291*M291))/1000000)*35.32</f>
        <v>3.5320000000000001E-5</v>
      </c>
      <c r="R291" s="46">
        <f>P291/Q291</f>
        <v>0</v>
      </c>
    </row>
    <row r="292" spans="1:18" ht="14.4" hidden="1" x14ac:dyDescent="0.3">
      <c r="A292" s="42" t="s">
        <v>15</v>
      </c>
      <c r="B292" s="32" t="s">
        <v>0</v>
      </c>
      <c r="C292" s="22">
        <v>1</v>
      </c>
      <c r="D292" s="21">
        <v>1</v>
      </c>
      <c r="E292" s="21">
        <v>1</v>
      </c>
      <c r="F292" s="22">
        <v>46000</v>
      </c>
      <c r="G292" s="107">
        <f>VLOOKUP(A292,'[2]Billing Dimensions'!$A:$N,7,FALSE)-VLOOKUP(A292,'Audit Dimensions'!$A:$N,7,FALSE)</f>
        <v>0</v>
      </c>
      <c r="H292" s="107">
        <f>VLOOKUP(A292,'[2]Billing Dimensions'!$A:$N,8,FALSE)-VLOOKUP(A292,'Audit Dimensions'!$A:$N,8,FALSE)</f>
        <v>0</v>
      </c>
      <c r="I292" s="107">
        <f>VLOOKUP(A292,'[2]Billing Dimensions'!$A:$N,9,FALSE)-VLOOKUP(A292,'Audit Dimensions'!$A:$N,9,FALSE)</f>
        <v>0</v>
      </c>
      <c r="J292" s="106">
        <f>VLOOKUP(A292,'[2]Billing Dimensions'!$A:$N,10,FALSE)-VLOOKUP(A292,'Audit Dimensions'!$A:$N,10,FALSE)</f>
        <v>0</v>
      </c>
      <c r="K292" s="105">
        <f>VLOOKUP(A292,'[2]Billing Dimensions'!$A:$N,11,FALSE)-VLOOKUP(A292,'Audit Dimensions'!$A:$N,11,FALSE)</f>
        <v>0</v>
      </c>
      <c r="L292" s="105">
        <f>VLOOKUP(A292,'[2]Billing Dimensions'!$A:$N,12,FALSE)-VLOOKUP(A292,'Audit Dimensions'!$A:$N,12,FALSE)</f>
        <v>0</v>
      </c>
      <c r="M292" s="105">
        <f>VLOOKUP(A292,'[2]Billing Dimensions'!$A:$N,13,FALSE)-VLOOKUP(A292,'Audit Dimensions'!$A:$N,13,FALSE)</f>
        <v>0</v>
      </c>
      <c r="N292" s="105">
        <f>VLOOKUP(A292,'[2]Billing Dimensions'!$A:$N,14,FALSE)-VLOOKUP(A292,'Audit Dimensions'!$A:$N,14,FALSE)</f>
        <v>0</v>
      </c>
      <c r="O292" s="104">
        <f>VLOOKUP(A292,'[2]Billing Dimensions'!A:Q,16,FALSE)-VLOOKUP('Audit VAR'!A292,'Audit Dimensions'!A:P,16,FALSE)</f>
        <v>0</v>
      </c>
      <c r="P292" s="103">
        <f>O292/1000</f>
        <v>0</v>
      </c>
      <c r="Q292" s="102">
        <f>(((C292*D292*E292)+(G292*H292*I292)+(K292*L292*M292))/1000000)*35.32</f>
        <v>3.5320000000000001E-5</v>
      </c>
      <c r="R292" s="46">
        <f>P292/Q292</f>
        <v>0</v>
      </c>
    </row>
    <row r="293" spans="1:18" hidden="1" x14ac:dyDescent="0.3">
      <c r="A293" s="41" t="s">
        <v>14</v>
      </c>
      <c r="B293" s="32" t="s">
        <v>0</v>
      </c>
      <c r="C293" s="22">
        <v>1</v>
      </c>
      <c r="D293" s="21">
        <v>1</v>
      </c>
      <c r="E293" s="21">
        <v>1</v>
      </c>
      <c r="F293" s="40">
        <v>40000</v>
      </c>
      <c r="G293" s="107">
        <f>VLOOKUP(A293,'[2]Billing Dimensions'!$A:$N,7,FALSE)-VLOOKUP(A293,'Audit Dimensions'!$A:$N,7,FALSE)</f>
        <v>0</v>
      </c>
      <c r="H293" s="107">
        <f>VLOOKUP(A293,'[2]Billing Dimensions'!$A:$N,8,FALSE)-VLOOKUP(A293,'Audit Dimensions'!$A:$N,8,FALSE)</f>
        <v>0</v>
      </c>
      <c r="I293" s="107">
        <f>VLOOKUP(A293,'[2]Billing Dimensions'!$A:$N,9,FALSE)-VLOOKUP(A293,'Audit Dimensions'!$A:$N,9,FALSE)</f>
        <v>0</v>
      </c>
      <c r="J293" s="106">
        <f>VLOOKUP(A293,'[2]Billing Dimensions'!$A:$N,10,FALSE)-VLOOKUP(A293,'Audit Dimensions'!$A:$N,10,FALSE)</f>
        <v>0</v>
      </c>
      <c r="K293" s="105">
        <f>VLOOKUP(A293,'[2]Billing Dimensions'!$A:$N,11,FALSE)-VLOOKUP(A293,'Audit Dimensions'!$A:$N,11,FALSE)</f>
        <v>0</v>
      </c>
      <c r="L293" s="105">
        <f>VLOOKUP(A293,'[2]Billing Dimensions'!$A:$N,12,FALSE)-VLOOKUP(A293,'Audit Dimensions'!$A:$N,12,FALSE)</f>
        <v>0</v>
      </c>
      <c r="M293" s="105">
        <f>VLOOKUP(A293,'[2]Billing Dimensions'!$A:$N,13,FALSE)-VLOOKUP(A293,'Audit Dimensions'!$A:$N,13,FALSE)</f>
        <v>0</v>
      </c>
      <c r="N293" s="105">
        <f>VLOOKUP(A293,'[2]Billing Dimensions'!$A:$N,14,FALSE)-VLOOKUP(A293,'Audit Dimensions'!$A:$N,14,FALSE)</f>
        <v>0</v>
      </c>
      <c r="O293" s="104">
        <f>VLOOKUP(A293,'[2]Billing Dimensions'!A:Q,16,FALSE)-VLOOKUP('Audit VAR'!A293,'Audit Dimensions'!A:P,16,FALSE)</f>
        <v>-15000</v>
      </c>
      <c r="P293" s="103">
        <f>O293/1000</f>
        <v>-15</v>
      </c>
      <c r="Q293" s="102">
        <f>(((C293*D293*E293)+(G293*H293*I293)+(K293*L293*M293))/1000000)*35.32</f>
        <v>3.5320000000000001E-5</v>
      </c>
      <c r="R293" s="46">
        <f>P293/Q293</f>
        <v>-424688.56172140432</v>
      </c>
    </row>
    <row r="294" spans="1:18" hidden="1" x14ac:dyDescent="0.3">
      <c r="A294" s="39" t="s">
        <v>13</v>
      </c>
      <c r="B294" s="32" t="s">
        <v>0</v>
      </c>
      <c r="C294" s="22">
        <v>1</v>
      </c>
      <c r="D294" s="21">
        <v>1</v>
      </c>
      <c r="E294" s="21">
        <v>1</v>
      </c>
      <c r="F294" s="37">
        <v>34000</v>
      </c>
      <c r="G294" s="107">
        <f>VLOOKUP(A294,'[2]Billing Dimensions'!$A:$N,7,FALSE)-VLOOKUP(A294,'Audit Dimensions'!$A:$N,7,FALSE)</f>
        <v>0</v>
      </c>
      <c r="H294" s="107">
        <f>VLOOKUP(A294,'[2]Billing Dimensions'!$A:$N,8,FALSE)-VLOOKUP(A294,'Audit Dimensions'!$A:$N,8,FALSE)</f>
        <v>0</v>
      </c>
      <c r="I294" s="107">
        <f>VLOOKUP(A294,'[2]Billing Dimensions'!$A:$N,9,FALSE)-VLOOKUP(A294,'Audit Dimensions'!$A:$N,9,FALSE)</f>
        <v>0</v>
      </c>
      <c r="J294" s="106">
        <f>VLOOKUP(A294,'[2]Billing Dimensions'!$A:$N,10,FALSE)-VLOOKUP(A294,'Audit Dimensions'!$A:$N,10,FALSE)</f>
        <v>0</v>
      </c>
      <c r="K294" s="105">
        <f>VLOOKUP(A294,'[2]Billing Dimensions'!$A:$N,11,FALSE)-VLOOKUP(A294,'Audit Dimensions'!$A:$N,11,FALSE)</f>
        <v>0</v>
      </c>
      <c r="L294" s="105">
        <f>VLOOKUP(A294,'[2]Billing Dimensions'!$A:$N,12,FALSE)-VLOOKUP(A294,'Audit Dimensions'!$A:$N,12,FALSE)</f>
        <v>0</v>
      </c>
      <c r="M294" s="105">
        <f>VLOOKUP(A294,'[2]Billing Dimensions'!$A:$N,13,FALSE)-VLOOKUP(A294,'Audit Dimensions'!$A:$N,13,FALSE)</f>
        <v>0</v>
      </c>
      <c r="N294" s="105">
        <f>VLOOKUP(A294,'[2]Billing Dimensions'!$A:$N,14,FALSE)-VLOOKUP(A294,'Audit Dimensions'!$A:$N,14,FALSE)</f>
        <v>0</v>
      </c>
      <c r="O294" s="104">
        <f>VLOOKUP(A294,'[2]Billing Dimensions'!A:Q,16,FALSE)-VLOOKUP('Audit VAR'!A294,'Audit Dimensions'!A:P,16,FALSE)</f>
        <v>0</v>
      </c>
      <c r="P294" s="103">
        <f>O294/1000</f>
        <v>0</v>
      </c>
      <c r="Q294" s="102">
        <f>(((C294*D294*E294)+(G294*H294*I294)+(K294*L294*M294))/1000000)*35.32</f>
        <v>3.5320000000000001E-5</v>
      </c>
      <c r="R294" s="46">
        <f>P294/Q294</f>
        <v>0</v>
      </c>
    </row>
    <row r="295" spans="1:18" hidden="1" x14ac:dyDescent="0.3">
      <c r="A295" s="39" t="s">
        <v>12</v>
      </c>
      <c r="B295" s="32" t="s">
        <v>0</v>
      </c>
      <c r="C295" s="22">
        <v>1</v>
      </c>
      <c r="D295" s="21">
        <v>1</v>
      </c>
      <c r="E295" s="21">
        <v>1</v>
      </c>
      <c r="F295" s="37">
        <v>15000</v>
      </c>
      <c r="G295" s="107">
        <f>VLOOKUP(A295,'[2]Billing Dimensions'!$A:$N,7,FALSE)-VLOOKUP(A295,'Audit Dimensions'!$A:$N,7,FALSE)</f>
        <v>0</v>
      </c>
      <c r="H295" s="107">
        <f>VLOOKUP(A295,'[2]Billing Dimensions'!$A:$N,8,FALSE)-VLOOKUP(A295,'Audit Dimensions'!$A:$N,8,FALSE)</f>
        <v>0</v>
      </c>
      <c r="I295" s="107">
        <f>VLOOKUP(A295,'[2]Billing Dimensions'!$A:$N,9,FALSE)-VLOOKUP(A295,'Audit Dimensions'!$A:$N,9,FALSE)</f>
        <v>0</v>
      </c>
      <c r="J295" s="106">
        <f>VLOOKUP(A295,'[2]Billing Dimensions'!$A:$N,10,FALSE)-VLOOKUP(A295,'Audit Dimensions'!$A:$N,10,FALSE)</f>
        <v>0</v>
      </c>
      <c r="K295" s="105">
        <f>VLOOKUP(A295,'[2]Billing Dimensions'!$A:$N,11,FALSE)-VLOOKUP(A295,'Audit Dimensions'!$A:$N,11,FALSE)</f>
        <v>0</v>
      </c>
      <c r="L295" s="105">
        <f>VLOOKUP(A295,'[2]Billing Dimensions'!$A:$N,12,FALSE)-VLOOKUP(A295,'Audit Dimensions'!$A:$N,12,FALSE)</f>
        <v>0</v>
      </c>
      <c r="M295" s="105">
        <f>VLOOKUP(A295,'[2]Billing Dimensions'!$A:$N,13,FALSE)-VLOOKUP(A295,'Audit Dimensions'!$A:$N,13,FALSE)</f>
        <v>0</v>
      </c>
      <c r="N295" s="105">
        <f>VLOOKUP(A295,'[2]Billing Dimensions'!$A:$N,14,FALSE)-VLOOKUP(A295,'Audit Dimensions'!$A:$N,14,FALSE)</f>
        <v>0</v>
      </c>
      <c r="O295" s="104">
        <f>VLOOKUP(A295,'[2]Billing Dimensions'!A:Q,16,FALSE)-VLOOKUP('Audit VAR'!A295,'Audit Dimensions'!A:P,16,FALSE)</f>
        <v>0</v>
      </c>
      <c r="P295" s="103">
        <f>O295/1000</f>
        <v>0</v>
      </c>
      <c r="Q295" s="102">
        <f>(((C295*D295*E295)+(G295*H295*I295)+(K295*L295*M295))/1000000)*35.32</f>
        <v>3.5320000000000001E-5</v>
      </c>
      <c r="R295" s="46">
        <f>P295/Q295</f>
        <v>0</v>
      </c>
    </row>
    <row r="296" spans="1:18" hidden="1" x14ac:dyDescent="0.3">
      <c r="A296" s="41" t="s">
        <v>11</v>
      </c>
      <c r="B296" s="32" t="s">
        <v>0</v>
      </c>
      <c r="C296" s="22">
        <v>1</v>
      </c>
      <c r="D296" s="21">
        <v>1</v>
      </c>
      <c r="E296" s="21">
        <v>1</v>
      </c>
      <c r="F296" s="40">
        <v>37000</v>
      </c>
      <c r="G296" s="107">
        <f>VLOOKUP(A296,'[2]Billing Dimensions'!$A:$N,7,FALSE)-VLOOKUP(A296,'Audit Dimensions'!$A:$N,7,FALSE)</f>
        <v>0</v>
      </c>
      <c r="H296" s="107">
        <f>VLOOKUP(A296,'[2]Billing Dimensions'!$A:$N,8,FALSE)-VLOOKUP(A296,'Audit Dimensions'!$A:$N,8,FALSE)</f>
        <v>0</v>
      </c>
      <c r="I296" s="107">
        <f>VLOOKUP(A296,'[2]Billing Dimensions'!$A:$N,9,FALSE)-VLOOKUP(A296,'Audit Dimensions'!$A:$N,9,FALSE)</f>
        <v>0</v>
      </c>
      <c r="J296" s="106">
        <f>VLOOKUP(A296,'[2]Billing Dimensions'!$A:$N,10,FALSE)-VLOOKUP(A296,'Audit Dimensions'!$A:$N,10,FALSE)</f>
        <v>0</v>
      </c>
      <c r="K296" s="105">
        <f>VLOOKUP(A296,'[2]Billing Dimensions'!$A:$N,11,FALSE)-VLOOKUP(A296,'Audit Dimensions'!$A:$N,11,FALSE)</f>
        <v>0</v>
      </c>
      <c r="L296" s="105">
        <f>VLOOKUP(A296,'[2]Billing Dimensions'!$A:$N,12,FALSE)-VLOOKUP(A296,'Audit Dimensions'!$A:$N,12,FALSE)</f>
        <v>0</v>
      </c>
      <c r="M296" s="105">
        <f>VLOOKUP(A296,'[2]Billing Dimensions'!$A:$N,13,FALSE)-VLOOKUP(A296,'Audit Dimensions'!$A:$N,13,FALSE)</f>
        <v>0</v>
      </c>
      <c r="N296" s="105">
        <f>VLOOKUP(A296,'[2]Billing Dimensions'!$A:$N,14,FALSE)-VLOOKUP(A296,'Audit Dimensions'!$A:$N,14,FALSE)</f>
        <v>0</v>
      </c>
      <c r="O296" s="104">
        <f>VLOOKUP(A296,'[2]Billing Dimensions'!A:Q,16,FALSE)-VLOOKUP('Audit VAR'!A296,'Audit Dimensions'!A:P,16,FALSE)</f>
        <v>0</v>
      </c>
      <c r="P296" s="103">
        <f>O296/1000</f>
        <v>0</v>
      </c>
      <c r="Q296" s="102">
        <f>(((C296*D296*E296)+(G296*H296*I296)+(K296*L296*M296))/1000000)*35.32</f>
        <v>3.5320000000000001E-5</v>
      </c>
      <c r="R296" s="46">
        <f>P296/Q296</f>
        <v>0</v>
      </c>
    </row>
    <row r="297" spans="1:18" hidden="1" x14ac:dyDescent="0.3">
      <c r="A297" s="39" t="s">
        <v>10</v>
      </c>
      <c r="B297" s="32" t="s">
        <v>0</v>
      </c>
      <c r="C297" s="22">
        <v>1</v>
      </c>
      <c r="D297" s="21">
        <v>1</v>
      </c>
      <c r="E297" s="21">
        <v>1</v>
      </c>
      <c r="F297" s="37">
        <v>22000</v>
      </c>
      <c r="G297" s="107" t="e">
        <f>VLOOKUP(A297,'[2]Billing Dimensions'!$A:$N,7,FALSE)-VLOOKUP(A297,'Audit Dimensions'!$A:$N,7,FALSE)</f>
        <v>#N/A</v>
      </c>
      <c r="H297" s="107" t="e">
        <f>VLOOKUP(A297,'[2]Billing Dimensions'!$A:$N,8,FALSE)-VLOOKUP(A297,'Audit Dimensions'!$A:$N,8,FALSE)</f>
        <v>#N/A</v>
      </c>
      <c r="I297" s="107" t="e">
        <f>VLOOKUP(A297,'[2]Billing Dimensions'!$A:$N,9,FALSE)-VLOOKUP(A297,'Audit Dimensions'!$A:$N,9,FALSE)</f>
        <v>#N/A</v>
      </c>
      <c r="J297" s="106" t="e">
        <f>VLOOKUP(A297,'[2]Billing Dimensions'!$A:$N,10,FALSE)-VLOOKUP(A297,'Audit Dimensions'!$A:$N,10,FALSE)</f>
        <v>#N/A</v>
      </c>
      <c r="K297" s="105" t="e">
        <f>VLOOKUP(A297,'[2]Billing Dimensions'!$A:$N,11,FALSE)-VLOOKUP(A297,'Audit Dimensions'!$A:$N,11,FALSE)</f>
        <v>#N/A</v>
      </c>
      <c r="L297" s="105" t="e">
        <f>VLOOKUP(A297,'[2]Billing Dimensions'!$A:$N,12,FALSE)-VLOOKUP(A297,'Audit Dimensions'!$A:$N,12,FALSE)</f>
        <v>#N/A</v>
      </c>
      <c r="M297" s="105" t="e">
        <f>VLOOKUP(A297,'[2]Billing Dimensions'!$A:$N,13,FALSE)-VLOOKUP(A297,'Audit Dimensions'!$A:$N,13,FALSE)</f>
        <v>#N/A</v>
      </c>
      <c r="N297" s="105" t="e">
        <f>VLOOKUP(A297,'[2]Billing Dimensions'!$A:$N,14,FALSE)-VLOOKUP(A297,'Audit Dimensions'!$A:$N,14,FALSE)</f>
        <v>#N/A</v>
      </c>
      <c r="O297" s="104" t="e">
        <f>VLOOKUP(A297,'[2]Billing Dimensions'!A:Q,16,FALSE)-VLOOKUP('Audit VAR'!A297,'Audit Dimensions'!A:P,16,FALSE)</f>
        <v>#N/A</v>
      </c>
      <c r="P297" s="103" t="e">
        <f>O297/1000</f>
        <v>#N/A</v>
      </c>
      <c r="Q297" s="102" t="e">
        <f>(((C297*D297*E297)+(G297*H297*I297)+(K297*L297*M297))/1000000)*35.32</f>
        <v>#N/A</v>
      </c>
      <c r="R297" s="46" t="e">
        <f>P297/Q297</f>
        <v>#N/A</v>
      </c>
    </row>
    <row r="298" spans="1:18" hidden="1" x14ac:dyDescent="0.3">
      <c r="A298" s="38" t="s">
        <v>9</v>
      </c>
      <c r="B298" s="32" t="s">
        <v>0</v>
      </c>
      <c r="C298" s="22">
        <v>1</v>
      </c>
      <c r="D298" s="21">
        <v>1</v>
      </c>
      <c r="E298" s="21">
        <v>1</v>
      </c>
      <c r="F298" s="27">
        <v>19000</v>
      </c>
      <c r="G298" s="107">
        <f>VLOOKUP(A298,'[2]Billing Dimensions'!$A:$N,7,FALSE)-VLOOKUP(A298,'Audit Dimensions'!$A:$N,7,FALSE)</f>
        <v>0</v>
      </c>
      <c r="H298" s="107">
        <f>VLOOKUP(A298,'[2]Billing Dimensions'!$A:$N,8,FALSE)-VLOOKUP(A298,'Audit Dimensions'!$A:$N,8,FALSE)</f>
        <v>0</v>
      </c>
      <c r="I298" s="107">
        <f>VLOOKUP(A298,'[2]Billing Dimensions'!$A:$N,9,FALSE)-VLOOKUP(A298,'Audit Dimensions'!$A:$N,9,FALSE)</f>
        <v>0</v>
      </c>
      <c r="J298" s="106">
        <f>VLOOKUP(A298,'[2]Billing Dimensions'!$A:$N,10,FALSE)-VLOOKUP(A298,'Audit Dimensions'!$A:$N,10,FALSE)</f>
        <v>0</v>
      </c>
      <c r="K298" s="105">
        <f>VLOOKUP(A298,'[2]Billing Dimensions'!$A:$N,11,FALSE)-VLOOKUP(A298,'Audit Dimensions'!$A:$N,11,FALSE)</f>
        <v>0</v>
      </c>
      <c r="L298" s="105">
        <f>VLOOKUP(A298,'[2]Billing Dimensions'!$A:$N,12,FALSE)-VLOOKUP(A298,'Audit Dimensions'!$A:$N,12,FALSE)</f>
        <v>0</v>
      </c>
      <c r="M298" s="105">
        <f>VLOOKUP(A298,'[2]Billing Dimensions'!$A:$N,13,FALSE)-VLOOKUP(A298,'Audit Dimensions'!$A:$N,13,FALSE)</f>
        <v>0</v>
      </c>
      <c r="N298" s="105">
        <f>VLOOKUP(A298,'[2]Billing Dimensions'!$A:$N,14,FALSE)-VLOOKUP(A298,'Audit Dimensions'!$A:$N,14,FALSE)</f>
        <v>0</v>
      </c>
      <c r="O298" s="104">
        <f>VLOOKUP(A298,'[2]Billing Dimensions'!A:Q,16,FALSE)-VLOOKUP('Audit VAR'!A298,'Audit Dimensions'!A:P,16,FALSE)</f>
        <v>0</v>
      </c>
      <c r="P298" s="103">
        <f>O298/1000</f>
        <v>0</v>
      </c>
      <c r="Q298" s="102">
        <f>(((C298*D298*E298)+(G298*H298*I298)+(K298*L298*M298))/1000000)*35.32</f>
        <v>3.5320000000000001E-5</v>
      </c>
      <c r="R298" s="46">
        <f>P298/Q298</f>
        <v>0</v>
      </c>
    </row>
    <row r="299" spans="1:18" hidden="1" x14ac:dyDescent="0.3">
      <c r="A299" s="34" t="s">
        <v>8</v>
      </c>
      <c r="B299" s="32" t="s">
        <v>0</v>
      </c>
      <c r="C299" s="22">
        <v>1</v>
      </c>
      <c r="D299" s="21">
        <v>1</v>
      </c>
      <c r="E299" s="21">
        <v>1</v>
      </c>
      <c r="F299" s="108">
        <v>56000</v>
      </c>
      <c r="G299" s="107">
        <f>VLOOKUP(A299,'[2]Billing Dimensions'!$A:$N,7,FALSE)-VLOOKUP(A299,'Audit Dimensions'!$A:$N,7,FALSE)</f>
        <v>0</v>
      </c>
      <c r="H299" s="107">
        <f>VLOOKUP(A299,'[2]Billing Dimensions'!$A:$N,8,FALSE)-VLOOKUP(A299,'Audit Dimensions'!$A:$N,8,FALSE)</f>
        <v>0</v>
      </c>
      <c r="I299" s="107">
        <f>VLOOKUP(A299,'[2]Billing Dimensions'!$A:$N,9,FALSE)-VLOOKUP(A299,'Audit Dimensions'!$A:$N,9,FALSE)</f>
        <v>0</v>
      </c>
      <c r="J299" s="106">
        <f>VLOOKUP(A299,'[2]Billing Dimensions'!$A:$N,10,FALSE)-VLOOKUP(A299,'Audit Dimensions'!$A:$N,10,FALSE)</f>
        <v>0</v>
      </c>
      <c r="K299" s="105">
        <f>VLOOKUP(A299,'[2]Billing Dimensions'!$A:$N,11,FALSE)-VLOOKUP(A299,'Audit Dimensions'!$A:$N,11,FALSE)</f>
        <v>0</v>
      </c>
      <c r="L299" s="105">
        <f>VLOOKUP(A299,'[2]Billing Dimensions'!$A:$N,12,FALSE)-VLOOKUP(A299,'Audit Dimensions'!$A:$N,12,FALSE)</f>
        <v>0</v>
      </c>
      <c r="M299" s="105">
        <f>VLOOKUP(A299,'[2]Billing Dimensions'!$A:$N,13,FALSE)-VLOOKUP(A299,'Audit Dimensions'!$A:$N,13,FALSE)</f>
        <v>0</v>
      </c>
      <c r="N299" s="105">
        <f>VLOOKUP(A299,'[2]Billing Dimensions'!$A:$N,14,FALSE)-VLOOKUP(A299,'Audit Dimensions'!$A:$N,14,FALSE)</f>
        <v>0</v>
      </c>
      <c r="O299" s="104">
        <f>VLOOKUP(A299,'[2]Billing Dimensions'!A:Q,16,FALSE)-VLOOKUP('Audit VAR'!A299,'Audit Dimensions'!A:P,16,FALSE)</f>
        <v>0</v>
      </c>
      <c r="P299" s="103">
        <f>O299/1000</f>
        <v>0</v>
      </c>
      <c r="Q299" s="102">
        <f>(((C299*D299*E299)+(G299*H299*I299)+(K299*L299*M299))/1000000)*35.32</f>
        <v>3.5320000000000001E-5</v>
      </c>
      <c r="R299" s="46">
        <f>P299/Q299</f>
        <v>0</v>
      </c>
    </row>
    <row r="300" spans="1:18" ht="14.4" hidden="1" x14ac:dyDescent="0.3">
      <c r="A300" s="109" t="s">
        <v>7</v>
      </c>
      <c r="B300" s="32" t="s">
        <v>0</v>
      </c>
      <c r="C300" s="22">
        <v>1</v>
      </c>
      <c r="D300" s="21">
        <v>1</v>
      </c>
      <c r="E300" s="21">
        <v>1</v>
      </c>
      <c r="F300" s="108">
        <v>5500</v>
      </c>
      <c r="G300" s="107">
        <f>VLOOKUP(A300,'[2]Billing Dimensions'!$A:$N,7,FALSE)-VLOOKUP(A300,'Audit Dimensions'!$A:$N,7,FALSE)</f>
        <v>0</v>
      </c>
      <c r="H300" s="107">
        <f>VLOOKUP(A300,'[2]Billing Dimensions'!$A:$N,8,FALSE)-VLOOKUP(A300,'Audit Dimensions'!$A:$N,8,FALSE)</f>
        <v>0</v>
      </c>
      <c r="I300" s="107">
        <f>VLOOKUP(A300,'[2]Billing Dimensions'!$A:$N,9,FALSE)-VLOOKUP(A300,'Audit Dimensions'!$A:$N,9,FALSE)</f>
        <v>0</v>
      </c>
      <c r="J300" s="106">
        <f>VLOOKUP(A300,'[2]Billing Dimensions'!$A:$N,10,FALSE)-VLOOKUP(A300,'Audit Dimensions'!$A:$N,10,FALSE)</f>
        <v>0</v>
      </c>
      <c r="K300" s="105">
        <f>VLOOKUP(A300,'[2]Billing Dimensions'!$A:$N,11,FALSE)-VLOOKUP(A300,'Audit Dimensions'!$A:$N,11,FALSE)</f>
        <v>0</v>
      </c>
      <c r="L300" s="105">
        <f>VLOOKUP(A300,'[2]Billing Dimensions'!$A:$N,12,FALSE)-VLOOKUP(A300,'Audit Dimensions'!$A:$N,12,FALSE)</f>
        <v>0</v>
      </c>
      <c r="M300" s="105">
        <f>VLOOKUP(A300,'[2]Billing Dimensions'!$A:$N,13,FALSE)-VLOOKUP(A300,'Audit Dimensions'!$A:$N,13,FALSE)</f>
        <v>0</v>
      </c>
      <c r="N300" s="105">
        <f>VLOOKUP(A300,'[2]Billing Dimensions'!$A:$N,14,FALSE)-VLOOKUP(A300,'Audit Dimensions'!$A:$N,14,FALSE)</f>
        <v>0</v>
      </c>
      <c r="O300" s="104">
        <f>VLOOKUP(A300,'[2]Billing Dimensions'!A:Q,16,FALSE)-VLOOKUP('Audit VAR'!A300,'Audit Dimensions'!A:P,16,FALSE)</f>
        <v>-1850</v>
      </c>
      <c r="P300" s="103">
        <f>O300/1000</f>
        <v>-1.85</v>
      </c>
      <c r="Q300" s="102">
        <f>(((C300*D300*E300)+(G300*H300*I300)+(K300*L300*M300))/1000000)*35.32</f>
        <v>3.5320000000000001E-5</v>
      </c>
      <c r="R300" s="46">
        <f>P300/Q300</f>
        <v>-52378.255945639867</v>
      </c>
    </row>
  </sheetData>
  <autoFilter ref="A3:R300" xr:uid="{00000000-0001-0000-0000-000000000000}">
    <filterColumn colId="0">
      <filters>
        <filter val="SR-CLM-2"/>
        <filter val="SR-CLM-3"/>
        <filter val="SR-CLM-T  "/>
      </filters>
    </filterColumn>
  </autoFilter>
  <mergeCells count="4">
    <mergeCell ref="C1:F1"/>
    <mergeCell ref="G1:J1"/>
    <mergeCell ref="K1:N1"/>
    <mergeCell ref="O1:P1"/>
  </mergeCells>
  <conditionalFormatting sqref="A13">
    <cfRule type="duplicateValues" dxfId="96" priority="35"/>
    <cfRule type="duplicateValues" dxfId="95" priority="36"/>
  </conditionalFormatting>
  <conditionalFormatting sqref="A217">
    <cfRule type="duplicateValues" dxfId="94" priority="9"/>
    <cfRule type="duplicateValues" dxfId="93" priority="10"/>
    <cfRule type="duplicateValues" dxfId="92" priority="11"/>
    <cfRule type="duplicateValues" dxfId="91" priority="12"/>
  </conditionalFormatting>
  <conditionalFormatting sqref="A218">
    <cfRule type="duplicateValues" dxfId="90" priority="31"/>
    <cfRule type="duplicateValues" dxfId="89" priority="32"/>
    <cfRule type="duplicateValues" dxfId="88" priority="33"/>
  </conditionalFormatting>
  <conditionalFormatting sqref="A219:A221">
    <cfRule type="duplicateValues" dxfId="87" priority="30"/>
  </conditionalFormatting>
  <conditionalFormatting sqref="A222">
    <cfRule type="duplicateValues" dxfId="86" priority="27"/>
    <cfRule type="duplicateValues" dxfId="85" priority="28"/>
    <cfRule type="duplicateValues" dxfId="84" priority="29"/>
  </conditionalFormatting>
  <conditionalFormatting sqref="A223">
    <cfRule type="duplicateValues" dxfId="83" priority="26"/>
  </conditionalFormatting>
  <conditionalFormatting sqref="A230">
    <cfRule type="duplicateValues" dxfId="82" priority="25"/>
  </conditionalFormatting>
  <conditionalFormatting sqref="A231">
    <cfRule type="duplicateValues" dxfId="81" priority="24"/>
  </conditionalFormatting>
  <conditionalFormatting sqref="A232">
    <cfRule type="duplicateValues" dxfId="80" priority="8"/>
  </conditionalFormatting>
  <conditionalFormatting sqref="A233">
    <cfRule type="duplicateValues" dxfId="79" priority="23"/>
  </conditionalFormatting>
  <conditionalFormatting sqref="A233:A236 A218:A231">
    <cfRule type="duplicateValues" dxfId="78" priority="34"/>
  </conditionalFormatting>
  <conditionalFormatting sqref="A236">
    <cfRule type="duplicateValues" dxfId="77" priority="21"/>
    <cfRule type="duplicateValues" dxfId="76" priority="22"/>
  </conditionalFormatting>
  <conditionalFormatting sqref="A237">
    <cfRule type="duplicateValues" dxfId="75" priority="18"/>
    <cfRule type="duplicateValues" dxfId="74" priority="19"/>
    <cfRule type="duplicateValues" dxfId="73" priority="20"/>
  </conditionalFormatting>
  <conditionalFormatting sqref="A238">
    <cfRule type="duplicateValues" dxfId="72" priority="15"/>
    <cfRule type="duplicateValues" dxfId="71" priority="16"/>
    <cfRule type="duplicateValues" dxfId="70" priority="17"/>
  </conditionalFormatting>
  <conditionalFormatting sqref="A248">
    <cfRule type="duplicateValues" dxfId="69" priority="13"/>
    <cfRule type="duplicateValues" dxfId="68" priority="14"/>
  </conditionalFormatting>
  <conditionalFormatting sqref="A249:A255">
    <cfRule type="duplicateValues" dxfId="67" priority="7"/>
  </conditionalFormatting>
  <conditionalFormatting sqref="A257">
    <cfRule type="duplicateValues" dxfId="66" priority="6"/>
  </conditionalFormatting>
  <conditionalFormatting sqref="A273">
    <cfRule type="duplicateValues" dxfId="65" priority="3"/>
    <cfRule type="duplicateValues" dxfId="64" priority="4"/>
  </conditionalFormatting>
  <conditionalFormatting sqref="A274:A275 A1:A12 A148:A216 A15:A146 A301:A1048576">
    <cfRule type="duplicateValues" dxfId="63" priority="37"/>
  </conditionalFormatting>
  <conditionalFormatting sqref="A276:A280">
    <cfRule type="duplicateValues" dxfId="62" priority="1"/>
    <cfRule type="duplicateValues" dxfId="61" priority="2"/>
  </conditionalFormatting>
  <conditionalFormatting sqref="R1:R1048576">
    <cfRule type="cellIs" dxfId="60" priority="5" operator="lessThan">
      <formula>6</formula>
    </cfRule>
  </conditionalFormatting>
  <hyperlinks>
    <hyperlink ref="A184" r:id="rId1" display="https://sellercentral.amazon.in/skucentral?mSku=TU-PMP-SWF&amp;ref=myi_skuc" xr:uid="{08D6B4A6-4850-4CE7-AE15-0095E2ED173C}"/>
  </hyperlinks>
  <pageMargins left="0.7" right="0.7" top="0.75" bottom="0.75" header="0.3" footer="0.3"/>
  <pageSetup orientation="portrait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 Dimensions</vt:lpstr>
      <vt:lpstr>Audit Dimensions</vt:lpstr>
      <vt:lpstr>Audit 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</dc:creator>
  <cp:lastModifiedBy>Shubh</cp:lastModifiedBy>
  <dcterms:created xsi:type="dcterms:W3CDTF">2026-01-29T07:39:01Z</dcterms:created>
  <dcterms:modified xsi:type="dcterms:W3CDTF">2026-01-29T07:50:29Z</dcterms:modified>
</cp:coreProperties>
</file>