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bluewud.sharepoint.com/sites/Bluewud/Shared Documents/Catalog Content/Catalog Docs/"/>
    </mc:Choice>
  </mc:AlternateContent>
  <xr:revisionPtr revIDLastSave="0" documentId="8_{AF730125-0C6C-4506-AEB0-17224C1CC7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ild SKUs - Alias Master" sheetId="1" r:id="rId1"/>
    <sheet name="Sheet1" sheetId="6" r:id="rId2"/>
    <sheet name="MTP SKUs - Master Data" sheetId="5" r:id="rId3"/>
    <sheet name="pIVOT" sheetId="4" r:id="rId4"/>
    <sheet name="Archived Data " sheetId="2" r:id="rId5"/>
  </sheets>
  <externalReferences>
    <externalReference r:id="rId6"/>
    <externalReference r:id="rId7"/>
  </externalReferences>
  <definedNames>
    <definedName name="_xlnm._FilterDatabase" localSheetId="4" hidden="1">'Archived Data '!$A$1:$K$1</definedName>
    <definedName name="_xlnm._FilterDatabase" localSheetId="2" hidden="1">'MTP SKUs - Master Data'!$A$1:$G$332</definedName>
    <definedName name="_xlnm._FilterDatabase" localSheetId="1" hidden="1">Sheet1!$A$1:$H$15</definedName>
  </definedNames>
  <calcPr calcId="191028"/>
  <pivotCaches>
    <pivotCache cacheId="11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B2" i="1"/>
  <c r="B3" i="1"/>
  <c r="H306" i="1"/>
  <c r="H30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D269" i="5" l="1"/>
  <c r="H275" i="1" s="1"/>
  <c r="D270" i="5"/>
  <c r="D271" i="5"/>
  <c r="H277" i="1" s="1"/>
  <c r="F269" i="5"/>
  <c r="G269" i="5"/>
  <c r="F270" i="5"/>
  <c r="G270" i="5"/>
  <c r="F271" i="5"/>
  <c r="G271" i="5"/>
  <c r="H276" i="1"/>
  <c r="G277" i="1"/>
  <c r="C277" i="1"/>
  <c r="B277" i="1"/>
  <c r="G276" i="1"/>
  <c r="C276" i="1"/>
  <c r="B276" i="1"/>
  <c r="G275" i="1"/>
  <c r="C275" i="1"/>
  <c r="B275" i="1"/>
  <c r="B298" i="1"/>
  <c r="C298" i="1"/>
  <c r="B296" i="1"/>
  <c r="C296" i="1"/>
  <c r="B290" i="1"/>
  <c r="C290" i="1"/>
  <c r="B291" i="1"/>
  <c r="C291" i="1"/>
  <c r="B293" i="1"/>
  <c r="C293" i="1"/>
  <c r="B297" i="1"/>
  <c r="C297" i="1"/>
  <c r="B294" i="1"/>
  <c r="C294" i="1"/>
  <c r="B295" i="1"/>
  <c r="C295" i="1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H298" i="1" s="1"/>
  <c r="D262" i="5"/>
  <c r="H296" i="1" s="1"/>
  <c r="D263" i="5"/>
  <c r="H290" i="1" s="1"/>
  <c r="D264" i="5"/>
  <c r="H291" i="1" s="1"/>
  <c r="D265" i="5"/>
  <c r="H293" i="1" s="1"/>
  <c r="D266" i="5"/>
  <c r="H297" i="1" s="1"/>
  <c r="D267" i="5"/>
  <c r="H294" i="1" s="1"/>
  <c r="D268" i="5"/>
  <c r="H295" i="1" s="1"/>
  <c r="B5" i="1"/>
  <c r="B39" i="1"/>
  <c r="B4" i="1"/>
  <c r="B7" i="1"/>
  <c r="B20" i="1"/>
  <c r="B15" i="1"/>
  <c r="B14" i="1"/>
  <c r="B13" i="1"/>
  <c r="B26" i="1"/>
  <c r="B47" i="1"/>
  <c r="B48" i="1"/>
  <c r="B22" i="1"/>
  <c r="B21" i="1"/>
  <c r="B18" i="1"/>
  <c r="B27" i="1"/>
  <c r="B9" i="1"/>
  <c r="B12" i="1"/>
  <c r="B25" i="1"/>
  <c r="B100" i="1"/>
  <c r="B31" i="1"/>
  <c r="B50" i="1"/>
  <c r="B16" i="1"/>
  <c r="B37" i="1"/>
  <c r="B94" i="1"/>
  <c r="B24" i="1"/>
  <c r="B42" i="1"/>
  <c r="B23" i="1"/>
  <c r="B29" i="1"/>
  <c r="B64" i="1"/>
  <c r="B87" i="1"/>
  <c r="B41" i="1"/>
  <c r="B10" i="1"/>
  <c r="B93" i="1"/>
  <c r="B11" i="1"/>
  <c r="B49" i="1"/>
  <c r="B58" i="1"/>
  <c r="B28" i="1"/>
  <c r="B56" i="1"/>
  <c r="B75" i="1"/>
  <c r="B123" i="1"/>
  <c r="B103" i="1"/>
  <c r="B33" i="1"/>
  <c r="B60" i="1"/>
  <c r="B19" i="1"/>
  <c r="B79" i="1"/>
  <c r="B43" i="1"/>
  <c r="B91" i="1"/>
  <c r="B97" i="1"/>
  <c r="B81" i="1"/>
  <c r="B113" i="1"/>
  <c r="B146" i="1"/>
  <c r="B46" i="1"/>
  <c r="B107" i="1"/>
  <c r="B63" i="1"/>
  <c r="B114" i="1"/>
  <c r="B80" i="1"/>
  <c r="B120" i="1"/>
  <c r="B61" i="1"/>
  <c r="B67" i="1"/>
  <c r="B144" i="1"/>
  <c r="B106" i="1"/>
  <c r="B92" i="1"/>
  <c r="B77" i="1"/>
  <c r="B34" i="1"/>
  <c r="B65" i="1"/>
  <c r="B126" i="1"/>
  <c r="B158" i="1"/>
  <c r="B131" i="1"/>
  <c r="B165" i="1"/>
  <c r="B176" i="1"/>
  <c r="B110" i="1"/>
  <c r="B83" i="1"/>
  <c r="B66" i="1"/>
  <c r="B121" i="1"/>
  <c r="B68" i="1"/>
  <c r="B82" i="1"/>
  <c r="B78" i="1"/>
  <c r="B57" i="1"/>
  <c r="B180" i="1"/>
  <c r="B86" i="1"/>
  <c r="B115" i="1"/>
  <c r="B45" i="1"/>
  <c r="B153" i="1"/>
  <c r="B101" i="1"/>
  <c r="B8" i="1"/>
  <c r="B175" i="1"/>
  <c r="B155" i="1"/>
  <c r="B164" i="1"/>
  <c r="B88" i="1"/>
  <c r="B32" i="1"/>
  <c r="B84" i="1"/>
  <c r="B127" i="1"/>
  <c r="B143" i="1"/>
  <c r="B51" i="1"/>
  <c r="B141" i="1"/>
  <c r="B130" i="1"/>
  <c r="B156" i="1"/>
  <c r="B95" i="1"/>
  <c r="B193" i="1"/>
  <c r="B124" i="1"/>
  <c r="B201" i="1"/>
  <c r="B147" i="1"/>
  <c r="B70" i="1"/>
  <c r="B62" i="1"/>
  <c r="B235" i="1"/>
  <c r="B136" i="1"/>
  <c r="B112" i="1"/>
  <c r="B206" i="1"/>
  <c r="B40" i="1"/>
  <c r="B132" i="1"/>
  <c r="B99" i="1"/>
  <c r="B17" i="1"/>
  <c r="B85" i="1"/>
  <c r="B162" i="1"/>
  <c r="B76" i="1"/>
  <c r="B191" i="1"/>
  <c r="B252" i="1"/>
  <c r="B129" i="1"/>
  <c r="B118" i="1"/>
  <c r="B119" i="1"/>
  <c r="B174" i="1"/>
  <c r="B102" i="1"/>
  <c r="B137" i="1"/>
  <c r="B196" i="1"/>
  <c r="B104" i="1"/>
  <c r="B217" i="1"/>
  <c r="B185" i="1"/>
  <c r="B140" i="1"/>
  <c r="B304" i="1"/>
  <c r="B223" i="1"/>
  <c r="B54" i="1"/>
  <c r="B211" i="1"/>
  <c r="B178" i="1"/>
  <c r="B220" i="1"/>
  <c r="B204" i="1"/>
  <c r="B135" i="1"/>
  <c r="B177" i="1"/>
  <c r="B167" i="1"/>
  <c r="B72" i="1"/>
  <c r="B142" i="1"/>
  <c r="B73" i="1"/>
  <c r="B74" i="1"/>
  <c r="B154" i="1"/>
  <c r="B186" i="1"/>
  <c r="B169" i="1"/>
  <c r="B173" i="1"/>
  <c r="B199" i="1"/>
  <c r="B213" i="1"/>
  <c r="B230" i="1"/>
  <c r="B215" i="1"/>
  <c r="B152" i="1"/>
  <c r="B160" i="1"/>
  <c r="B134" i="1"/>
  <c r="B166" i="1"/>
  <c r="B161" i="1"/>
  <c r="B207" i="1"/>
  <c r="B122" i="1"/>
  <c r="B194" i="1"/>
  <c r="B98" i="1"/>
  <c r="B148" i="1"/>
  <c r="B224" i="1"/>
  <c r="B96" i="1"/>
  <c r="B181" i="1"/>
  <c r="B182" i="1"/>
  <c r="B168" i="1"/>
  <c r="B188" i="1"/>
  <c r="B36" i="1"/>
  <c r="B233" i="1"/>
  <c r="B150" i="1"/>
  <c r="B183" i="1"/>
  <c r="B89" i="1"/>
  <c r="B189" i="1"/>
  <c r="B209" i="1"/>
  <c r="B90" i="1"/>
  <c r="B184" i="1"/>
  <c r="B71" i="1"/>
  <c r="B138" i="1"/>
  <c r="B159" i="1"/>
  <c r="B218" i="1"/>
  <c r="B198" i="1"/>
  <c r="B59" i="1"/>
  <c r="B195" i="1"/>
  <c r="B117" i="1"/>
  <c r="B190" i="1"/>
  <c r="B128" i="1"/>
  <c r="B208" i="1"/>
  <c r="B299" i="1"/>
  <c r="B245" i="1"/>
  <c r="B108" i="1"/>
  <c r="B133" i="1"/>
  <c r="B238" i="1"/>
  <c r="B179" i="1"/>
  <c r="B219" i="1"/>
  <c r="B44" i="1"/>
  <c r="B231" i="1"/>
  <c r="B200" i="1"/>
  <c r="B227" i="1"/>
  <c r="B285" i="1"/>
  <c r="B197" i="1"/>
  <c r="B35" i="1"/>
  <c r="B236" i="1"/>
  <c r="B203" i="1"/>
  <c r="B214" i="1"/>
  <c r="B170" i="1"/>
  <c r="B229" i="1"/>
  <c r="B244" i="1"/>
  <c r="B228" i="1"/>
  <c r="B255" i="1"/>
  <c r="B225" i="1"/>
  <c r="B151" i="1"/>
  <c r="B288" i="1"/>
  <c r="B205" i="1"/>
  <c r="B267" i="1"/>
  <c r="B256" i="1"/>
  <c r="B284" i="1"/>
  <c r="B248" i="1"/>
  <c r="B210" i="1"/>
  <c r="B249" i="1"/>
  <c r="B145" i="1"/>
  <c r="B232" i="1"/>
  <c r="B216" i="1"/>
  <c r="B163" i="1"/>
  <c r="B192" i="1"/>
  <c r="B226" i="1"/>
  <c r="B171" i="1"/>
  <c r="B69" i="1"/>
  <c r="B212" i="1"/>
  <c r="B157" i="1"/>
  <c r="B239" i="1"/>
  <c r="B222" i="1"/>
  <c r="B306" i="1"/>
  <c r="B234" i="1"/>
  <c r="B221" i="1"/>
  <c r="B282" i="1"/>
  <c r="B243" i="1"/>
  <c r="B262" i="1"/>
  <c r="B202" i="1"/>
  <c r="B269" i="1"/>
  <c r="B242" i="1"/>
  <c r="B139" i="1"/>
  <c r="B246" i="1"/>
  <c r="B250" i="1"/>
  <c r="B273" i="1"/>
  <c r="B240" i="1"/>
  <c r="B292" i="1"/>
  <c r="B241" i="1"/>
  <c r="B289" i="1"/>
  <c r="B253" i="1"/>
  <c r="B109" i="1"/>
  <c r="B301" i="1"/>
  <c r="B300" i="1"/>
  <c r="B302" i="1"/>
  <c r="B125" i="1"/>
  <c r="B274" i="1"/>
  <c r="B266" i="1"/>
  <c r="B258" i="1"/>
  <c r="B272" i="1"/>
  <c r="B283" i="1"/>
  <c r="B257" i="1"/>
  <c r="B261" i="1"/>
  <c r="B268" i="1"/>
  <c r="B286" i="1"/>
  <c r="B303" i="1"/>
  <c r="B287" i="1"/>
  <c r="B281" i="1"/>
  <c r="B364" i="1"/>
  <c r="B264" i="1"/>
  <c r="B265" i="1"/>
  <c r="B263" i="1"/>
  <c r="B389" i="1"/>
  <c r="B391" i="1"/>
  <c r="B270" i="1"/>
  <c r="B365" i="1"/>
  <c r="B305" i="1"/>
  <c r="B6" i="1"/>
  <c r="B271" i="1"/>
  <c r="B55" i="1"/>
  <c r="B38" i="1"/>
  <c r="B53" i="1"/>
  <c r="B251" i="1"/>
  <c r="B187" i="1"/>
  <c r="B172" i="1"/>
  <c r="B278" i="1"/>
  <c r="B279" i="1"/>
  <c r="B280" i="1"/>
  <c r="B247" i="1"/>
  <c r="B330" i="1"/>
  <c r="B387" i="1"/>
  <c r="B382" i="1"/>
  <c r="B339" i="1"/>
  <c r="B254" i="1"/>
  <c r="B323" i="1"/>
  <c r="B371" i="1"/>
  <c r="B372" i="1"/>
  <c r="B324" i="1"/>
  <c r="B314" i="1"/>
  <c r="B310" i="1"/>
  <c r="B329" i="1"/>
  <c r="B320" i="1"/>
  <c r="B337" i="1"/>
  <c r="B390" i="1"/>
  <c r="B311" i="1"/>
  <c r="B319" i="1"/>
  <c r="B378" i="1"/>
  <c r="B340" i="1"/>
  <c r="B357" i="1"/>
  <c r="B386" i="1"/>
  <c r="B308" i="1"/>
  <c r="B307" i="1"/>
  <c r="B388" i="1"/>
  <c r="B375" i="1"/>
  <c r="B362" i="1"/>
  <c r="B315" i="1"/>
  <c r="B349" i="1"/>
  <c r="B328" i="1"/>
  <c r="B347" i="1"/>
  <c r="B383" i="1"/>
  <c r="B354" i="1"/>
  <c r="B312" i="1"/>
  <c r="B317" i="1"/>
  <c r="B366" i="1"/>
  <c r="B374" i="1"/>
  <c r="B361" i="1"/>
  <c r="B348" i="1"/>
  <c r="B353" i="1"/>
  <c r="B373" i="1"/>
  <c r="B344" i="1"/>
  <c r="B346" i="1"/>
  <c r="B370" i="1"/>
  <c r="B359" i="1"/>
  <c r="B351" i="1"/>
  <c r="B343" i="1"/>
  <c r="B379" i="1"/>
  <c r="B350" i="1"/>
  <c r="B321" i="1"/>
  <c r="B322" i="1"/>
  <c r="B316" i="1"/>
  <c r="B326" i="1"/>
  <c r="B363" i="1"/>
  <c r="B327" i="1"/>
  <c r="B336" i="1"/>
  <c r="B367" i="1"/>
  <c r="B331" i="1"/>
  <c r="B309" i="1"/>
  <c r="B341" i="1"/>
  <c r="B356" i="1"/>
  <c r="B369" i="1"/>
  <c r="B384" i="1"/>
  <c r="B333" i="1"/>
  <c r="B368" i="1"/>
  <c r="B332" i="1"/>
  <c r="B338" i="1"/>
  <c r="B385" i="1"/>
  <c r="B376" i="1"/>
  <c r="B380" i="1"/>
  <c r="B360" i="1"/>
  <c r="B377" i="1"/>
  <c r="B355" i="1"/>
  <c r="B313" i="1"/>
  <c r="B345" i="1"/>
  <c r="B342" i="1"/>
  <c r="B318" i="1"/>
  <c r="B335" i="1"/>
  <c r="B334" i="1"/>
  <c r="B352" i="1"/>
  <c r="B358" i="1"/>
  <c r="B325" i="1"/>
  <c r="B381" i="1"/>
  <c r="B116" i="1"/>
  <c r="B52" i="1"/>
  <c r="B260" i="1"/>
  <c r="B259" i="1"/>
  <c r="B149" i="1"/>
  <c r="B237" i="1"/>
  <c r="B111" i="1"/>
  <c r="B30" i="1"/>
  <c r="B105" i="1"/>
  <c r="G298" i="1"/>
  <c r="G296" i="1"/>
  <c r="G290" i="1"/>
  <c r="G291" i="1"/>
  <c r="G293" i="1"/>
  <c r="G297" i="1"/>
  <c r="G294" i="1"/>
  <c r="G295" i="1"/>
  <c r="B2" i="6" l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H105" i="1"/>
  <c r="G105" i="1"/>
  <c r="C105" i="1"/>
  <c r="G187" i="1"/>
  <c r="G172" i="1"/>
  <c r="G149" i="1"/>
  <c r="G237" i="1"/>
  <c r="G271" i="1"/>
  <c r="G247" i="1"/>
  <c r="G3" i="1"/>
  <c r="G5" i="1"/>
  <c r="G39" i="1"/>
  <c r="G4" i="1"/>
  <c r="G7" i="1"/>
  <c r="G20" i="1"/>
  <c r="G15" i="1"/>
  <c r="G14" i="1"/>
  <c r="G13" i="1"/>
  <c r="G26" i="1"/>
  <c r="G47" i="1"/>
  <c r="G48" i="1"/>
  <c r="G22" i="1"/>
  <c r="G21" i="1"/>
  <c r="G18" i="1"/>
  <c r="G27" i="1"/>
  <c r="G9" i="1"/>
  <c r="G12" i="1"/>
  <c r="G25" i="1"/>
  <c r="G100" i="1"/>
  <c r="G31" i="1"/>
  <c r="G50" i="1"/>
  <c r="G16" i="1"/>
  <c r="G37" i="1"/>
  <c r="G94" i="1"/>
  <c r="G24" i="1"/>
  <c r="G42" i="1"/>
  <c r="G23" i="1"/>
  <c r="G29" i="1"/>
  <c r="G64" i="1"/>
  <c r="G87" i="1"/>
  <c r="G41" i="1"/>
  <c r="G10" i="1"/>
  <c r="G93" i="1"/>
  <c r="G11" i="1"/>
  <c r="G49" i="1"/>
  <c r="G58" i="1"/>
  <c r="G28" i="1"/>
  <c r="G56" i="1"/>
  <c r="G75" i="1"/>
  <c r="G123" i="1"/>
  <c r="G103" i="1"/>
  <c r="G33" i="1"/>
  <c r="G60" i="1"/>
  <c r="G19" i="1"/>
  <c r="G79" i="1"/>
  <c r="G43" i="1"/>
  <c r="G91" i="1"/>
  <c r="G97" i="1"/>
  <c r="G81" i="1"/>
  <c r="G113" i="1"/>
  <c r="G146" i="1"/>
  <c r="G46" i="1"/>
  <c r="G107" i="1"/>
  <c r="G63" i="1"/>
  <c r="G114" i="1"/>
  <c r="G80" i="1"/>
  <c r="G120" i="1"/>
  <c r="G61" i="1"/>
  <c r="G67" i="1"/>
  <c r="G144" i="1"/>
  <c r="G106" i="1"/>
  <c r="G92" i="1"/>
  <c r="G77" i="1"/>
  <c r="G34" i="1"/>
  <c r="G65" i="1"/>
  <c r="G126" i="1"/>
  <c r="G158" i="1"/>
  <c r="G131" i="1"/>
  <c r="G165" i="1"/>
  <c r="G176" i="1"/>
  <c r="G110" i="1"/>
  <c r="G83" i="1"/>
  <c r="G66" i="1"/>
  <c r="G121" i="1"/>
  <c r="G68" i="1"/>
  <c r="G82" i="1"/>
  <c r="G78" i="1"/>
  <c r="G57" i="1"/>
  <c r="G180" i="1"/>
  <c r="G86" i="1"/>
  <c r="G115" i="1"/>
  <c r="G45" i="1"/>
  <c r="G153" i="1"/>
  <c r="G101" i="1"/>
  <c r="G8" i="1"/>
  <c r="G175" i="1"/>
  <c r="G155" i="1"/>
  <c r="G164" i="1"/>
  <c r="G88" i="1"/>
  <c r="G32" i="1"/>
  <c r="G84" i="1"/>
  <c r="G127" i="1"/>
  <c r="G143" i="1"/>
  <c r="G51" i="1"/>
  <c r="G141" i="1"/>
  <c r="G130" i="1"/>
  <c r="G156" i="1"/>
  <c r="G95" i="1"/>
  <c r="G193" i="1"/>
  <c r="G124" i="1"/>
  <c r="G201" i="1"/>
  <c r="G147" i="1"/>
  <c r="G70" i="1"/>
  <c r="G62" i="1"/>
  <c r="G235" i="1"/>
  <c r="G136" i="1"/>
  <c r="G112" i="1"/>
  <c r="G206" i="1"/>
  <c r="G40" i="1"/>
  <c r="G132" i="1"/>
  <c r="G99" i="1"/>
  <c r="G17" i="1"/>
  <c r="G85" i="1"/>
  <c r="G162" i="1"/>
  <c r="G76" i="1"/>
  <c r="G191" i="1"/>
  <c r="G252" i="1"/>
  <c r="G129" i="1"/>
  <c r="G118" i="1"/>
  <c r="G119" i="1"/>
  <c r="G174" i="1"/>
  <c r="G102" i="1"/>
  <c r="G137" i="1"/>
  <c r="G196" i="1"/>
  <c r="G104" i="1"/>
  <c r="G217" i="1"/>
  <c r="G185" i="1"/>
  <c r="G140" i="1"/>
  <c r="G304" i="1"/>
  <c r="G223" i="1"/>
  <c r="G54" i="1"/>
  <c r="G211" i="1"/>
  <c r="G178" i="1"/>
  <c r="G220" i="1"/>
  <c r="G204" i="1"/>
  <c r="G135" i="1"/>
  <c r="G177" i="1"/>
  <c r="G167" i="1"/>
  <c r="G72" i="1"/>
  <c r="G142" i="1"/>
  <c r="G73" i="1"/>
  <c r="G74" i="1"/>
  <c r="G154" i="1"/>
  <c r="G186" i="1"/>
  <c r="G169" i="1"/>
  <c r="G173" i="1"/>
  <c r="G199" i="1"/>
  <c r="G213" i="1"/>
  <c r="G230" i="1"/>
  <c r="G215" i="1"/>
  <c r="G152" i="1"/>
  <c r="G160" i="1"/>
  <c r="G134" i="1"/>
  <c r="G166" i="1"/>
  <c r="G161" i="1"/>
  <c r="G207" i="1"/>
  <c r="G122" i="1"/>
  <c r="G194" i="1"/>
  <c r="G98" i="1"/>
  <c r="G148" i="1"/>
  <c r="G224" i="1"/>
  <c r="G96" i="1"/>
  <c r="G181" i="1"/>
  <c r="G182" i="1"/>
  <c r="G168" i="1"/>
  <c r="G188" i="1"/>
  <c r="G36" i="1"/>
  <c r="G233" i="1"/>
  <c r="G150" i="1"/>
  <c r="G183" i="1"/>
  <c r="G89" i="1"/>
  <c r="G189" i="1"/>
  <c r="G209" i="1"/>
  <c r="G90" i="1"/>
  <c r="G184" i="1"/>
  <c r="G71" i="1"/>
  <c r="G138" i="1"/>
  <c r="G159" i="1"/>
  <c r="G218" i="1"/>
  <c r="G198" i="1"/>
  <c r="G59" i="1"/>
  <c r="G195" i="1"/>
  <c r="G117" i="1"/>
  <c r="G190" i="1"/>
  <c r="G128" i="1"/>
  <c r="G208" i="1"/>
  <c r="G299" i="1"/>
  <c r="G245" i="1"/>
  <c r="G108" i="1"/>
  <c r="G133" i="1"/>
  <c r="G238" i="1"/>
  <c r="G179" i="1"/>
  <c r="G219" i="1"/>
  <c r="G44" i="1"/>
  <c r="G231" i="1"/>
  <c r="G200" i="1"/>
  <c r="G227" i="1"/>
  <c r="G285" i="1"/>
  <c r="G197" i="1"/>
  <c r="G35" i="1"/>
  <c r="G236" i="1"/>
  <c r="G203" i="1"/>
  <c r="G214" i="1"/>
  <c r="G170" i="1"/>
  <c r="G229" i="1"/>
  <c r="G244" i="1"/>
  <c r="G228" i="1"/>
  <c r="G255" i="1"/>
  <c r="G225" i="1"/>
  <c r="G151" i="1"/>
  <c r="G288" i="1"/>
  <c r="G205" i="1"/>
  <c r="G267" i="1"/>
  <c r="G256" i="1"/>
  <c r="G284" i="1"/>
  <c r="G248" i="1"/>
  <c r="G210" i="1"/>
  <c r="G249" i="1"/>
  <c r="G145" i="1"/>
  <c r="G232" i="1"/>
  <c r="G216" i="1"/>
  <c r="G163" i="1"/>
  <c r="G192" i="1"/>
  <c r="G226" i="1"/>
  <c r="G171" i="1"/>
  <c r="G69" i="1"/>
  <c r="G212" i="1"/>
  <c r="G157" i="1"/>
  <c r="G239" i="1"/>
  <c r="G222" i="1"/>
  <c r="G306" i="1"/>
  <c r="G234" i="1"/>
  <c r="G221" i="1"/>
  <c r="G282" i="1"/>
  <c r="G243" i="1"/>
  <c r="G262" i="1"/>
  <c r="G202" i="1"/>
  <c r="G269" i="1"/>
  <c r="G242" i="1"/>
  <c r="G139" i="1"/>
  <c r="G246" i="1"/>
  <c r="G250" i="1"/>
  <c r="G273" i="1"/>
  <c r="G240" i="1"/>
  <c r="G292" i="1"/>
  <c r="G241" i="1"/>
  <c r="G289" i="1"/>
  <c r="G253" i="1"/>
  <c r="G109" i="1"/>
  <c r="G301" i="1"/>
  <c r="G300" i="1"/>
  <c r="G302" i="1"/>
  <c r="G125" i="1"/>
  <c r="G274" i="1"/>
  <c r="G266" i="1"/>
  <c r="G258" i="1"/>
  <c r="G272" i="1"/>
  <c r="G283" i="1"/>
  <c r="G257" i="1"/>
  <c r="G261" i="1"/>
  <c r="G268" i="1"/>
  <c r="G286" i="1"/>
  <c r="G303" i="1"/>
  <c r="G287" i="1"/>
  <c r="G281" i="1"/>
  <c r="G364" i="1"/>
  <c r="G264" i="1"/>
  <c r="G265" i="1"/>
  <c r="G263" i="1"/>
  <c r="G389" i="1"/>
  <c r="G391" i="1"/>
  <c r="G270" i="1"/>
  <c r="G365" i="1"/>
  <c r="G305" i="1"/>
  <c r="G6" i="1"/>
  <c r="G278" i="1"/>
  <c r="G279" i="1"/>
  <c r="G280" i="1"/>
  <c r="G53" i="1"/>
  <c r="G251" i="1"/>
  <c r="G52" i="1"/>
  <c r="G55" i="1"/>
  <c r="G38" i="1"/>
  <c r="G330" i="1"/>
  <c r="G387" i="1"/>
  <c r="G382" i="1"/>
  <c r="G339" i="1"/>
  <c r="G254" i="1"/>
  <c r="G323" i="1"/>
  <c r="G371" i="1"/>
  <c r="G372" i="1"/>
  <c r="G324" i="1"/>
  <c r="G314" i="1"/>
  <c r="G310" i="1"/>
  <c r="G329" i="1"/>
  <c r="G320" i="1"/>
  <c r="G337" i="1"/>
  <c r="G390" i="1"/>
  <c r="G311" i="1"/>
  <c r="G319" i="1"/>
  <c r="G378" i="1"/>
  <c r="G340" i="1"/>
  <c r="G357" i="1"/>
  <c r="G386" i="1"/>
  <c r="G308" i="1"/>
  <c r="G307" i="1"/>
  <c r="G388" i="1"/>
  <c r="G375" i="1"/>
  <c r="G362" i="1"/>
  <c r="G315" i="1"/>
  <c r="G349" i="1"/>
  <c r="G328" i="1"/>
  <c r="G347" i="1"/>
  <c r="G383" i="1"/>
  <c r="G354" i="1"/>
  <c r="G312" i="1"/>
  <c r="G317" i="1"/>
  <c r="G366" i="1"/>
  <c r="G374" i="1"/>
  <c r="G361" i="1"/>
  <c r="G348" i="1"/>
  <c r="G353" i="1"/>
  <c r="G373" i="1"/>
  <c r="G344" i="1"/>
  <c r="G346" i="1"/>
  <c r="G370" i="1"/>
  <c r="G359" i="1"/>
  <c r="G351" i="1"/>
  <c r="G343" i="1"/>
  <c r="G379" i="1"/>
  <c r="G350" i="1"/>
  <c r="G321" i="1"/>
  <c r="G322" i="1"/>
  <c r="G316" i="1"/>
  <c r="G326" i="1"/>
  <c r="G363" i="1"/>
  <c r="G327" i="1"/>
  <c r="G336" i="1"/>
  <c r="G367" i="1"/>
  <c r="G331" i="1"/>
  <c r="G309" i="1"/>
  <c r="G341" i="1"/>
  <c r="G356" i="1"/>
  <c r="G369" i="1"/>
  <c r="G384" i="1"/>
  <c r="G333" i="1"/>
  <c r="G368" i="1"/>
  <c r="G332" i="1"/>
  <c r="G338" i="1"/>
  <c r="G385" i="1"/>
  <c r="G376" i="1"/>
  <c r="G380" i="1"/>
  <c r="G360" i="1"/>
  <c r="G377" i="1"/>
  <c r="G355" i="1"/>
  <c r="G313" i="1"/>
  <c r="G345" i="1"/>
  <c r="G342" i="1"/>
  <c r="G318" i="1"/>
  <c r="G335" i="1"/>
  <c r="G334" i="1"/>
  <c r="G352" i="1"/>
  <c r="G358" i="1"/>
  <c r="G325" i="1"/>
  <c r="G381" i="1"/>
  <c r="G116" i="1"/>
  <c r="G111" i="1"/>
  <c r="G30" i="1"/>
  <c r="G260" i="1"/>
  <c r="G259" i="1"/>
  <c r="G2" i="1"/>
  <c r="C247" i="1"/>
  <c r="H247" i="1"/>
  <c r="C271" i="1"/>
  <c r="H271" i="1"/>
  <c r="H237" i="1"/>
  <c r="H149" i="1"/>
  <c r="H172" i="1"/>
  <c r="H187" i="1"/>
  <c r="C237" i="1"/>
  <c r="C149" i="1"/>
  <c r="C172" i="1"/>
  <c r="C187" i="1"/>
  <c r="H259" i="1"/>
  <c r="C259" i="1"/>
  <c r="C260" i="1"/>
  <c r="C116" i="1"/>
  <c r="C111" i="1"/>
  <c r="C30" i="1"/>
  <c r="H111" i="1"/>
  <c r="H116" i="1"/>
  <c r="H50" i="1"/>
  <c r="H88" i="1"/>
  <c r="H134" i="1"/>
  <c r="H292" i="1"/>
  <c r="H152" i="1"/>
  <c r="H180" i="1"/>
  <c r="H157" i="1"/>
  <c r="H208" i="1"/>
  <c r="H199" i="1"/>
  <c r="H122" i="1"/>
  <c r="H272" i="1"/>
  <c r="H214" i="1"/>
  <c r="H117" i="1"/>
  <c r="H284" i="1"/>
  <c r="H241" i="1"/>
  <c r="H233" i="1"/>
  <c r="H203" i="1"/>
  <c r="H163" i="1"/>
  <c r="H244" i="1"/>
  <c r="H221" i="1"/>
  <c r="H242" i="1"/>
  <c r="H324" i="1"/>
  <c r="H246" i="1"/>
  <c r="H330" i="1"/>
  <c r="H226" i="1"/>
  <c r="H250" i="1"/>
  <c r="H281" i="1"/>
  <c r="H239" i="1"/>
  <c r="H357" i="1"/>
  <c r="H285" i="1"/>
  <c r="H14" i="1"/>
  <c r="H243" i="1"/>
  <c r="H269" i="1"/>
  <c r="H288" i="1"/>
  <c r="H328" i="1"/>
  <c r="H348" i="1"/>
  <c r="H370" i="1"/>
  <c r="H379" i="1"/>
  <c r="H322" i="1"/>
  <c r="H316" i="1"/>
  <c r="H367" i="1"/>
  <c r="H331" i="1"/>
  <c r="H309" i="1"/>
  <c r="H356" i="1"/>
  <c r="H360" i="1"/>
  <c r="H355" i="1"/>
  <c r="H325" i="1"/>
  <c r="H133" i="1"/>
  <c r="H139" i="1"/>
  <c r="H282" i="1"/>
  <c r="H305" i="1"/>
  <c r="H76" i="1"/>
  <c r="H159" i="1"/>
  <c r="H108" i="1"/>
  <c r="H49" i="1"/>
  <c r="H29" i="1"/>
  <c r="H22" i="1"/>
  <c r="H89" i="1"/>
  <c r="H57" i="1"/>
  <c r="H45" i="1"/>
  <c r="H83" i="1"/>
  <c r="H13" i="1"/>
  <c r="H17" i="1"/>
  <c r="H267" i="1"/>
  <c r="H223" i="1"/>
  <c r="H19" i="1"/>
  <c r="H36" i="1"/>
  <c r="H35" i="1"/>
  <c r="H6" i="1"/>
  <c r="H69" i="1"/>
  <c r="H51" i="1"/>
  <c r="H32" i="1"/>
  <c r="H53" i="1"/>
  <c r="H251" i="1"/>
  <c r="H52" i="1"/>
  <c r="H38" i="1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F2" i="5"/>
  <c r="C5" i="1"/>
  <c r="C7" i="1"/>
  <c r="C21" i="1"/>
  <c r="C4" i="1"/>
  <c r="C14" i="1"/>
  <c r="C27" i="1"/>
  <c r="C20" i="1"/>
  <c r="C47" i="1"/>
  <c r="C39" i="1"/>
  <c r="C48" i="1"/>
  <c r="C25" i="1"/>
  <c r="C9" i="1"/>
  <c r="C12" i="1"/>
  <c r="C16" i="1"/>
  <c r="C26" i="1"/>
  <c r="C92" i="1"/>
  <c r="C15" i="1"/>
  <c r="C37" i="1"/>
  <c r="C60" i="1"/>
  <c r="C94" i="1"/>
  <c r="C18" i="1"/>
  <c r="C24" i="1"/>
  <c r="C50" i="1"/>
  <c r="C22" i="1"/>
  <c r="C100" i="1"/>
  <c r="C34" i="1"/>
  <c r="C31" i="1"/>
  <c r="C41" i="1"/>
  <c r="C33" i="1"/>
  <c r="C176" i="1"/>
  <c r="C64" i="1"/>
  <c r="C28" i="1"/>
  <c r="C87" i="1"/>
  <c r="C146" i="1"/>
  <c r="C23" i="1"/>
  <c r="C29" i="1"/>
  <c r="C93" i="1"/>
  <c r="C42" i="1"/>
  <c r="C13" i="1"/>
  <c r="C46" i="1"/>
  <c r="C126" i="1"/>
  <c r="C115" i="1"/>
  <c r="C62" i="1"/>
  <c r="C11" i="1"/>
  <c r="C103" i="1"/>
  <c r="C110" i="1"/>
  <c r="C40" i="1"/>
  <c r="C67" i="1"/>
  <c r="C77" i="1"/>
  <c r="C106" i="1"/>
  <c r="C121" i="1"/>
  <c r="C79" i="1"/>
  <c r="C63" i="1"/>
  <c r="C65" i="1"/>
  <c r="C91" i="1"/>
  <c r="C191" i="1"/>
  <c r="C158" i="1"/>
  <c r="C61" i="1"/>
  <c r="C58" i="1"/>
  <c r="C123" i="1"/>
  <c r="C86" i="1"/>
  <c r="C85" i="1"/>
  <c r="C107" i="1"/>
  <c r="C88" i="1"/>
  <c r="C66" i="1"/>
  <c r="C56" i="1"/>
  <c r="C148" i="1"/>
  <c r="C43" i="1"/>
  <c r="C153" i="1"/>
  <c r="C304" i="1"/>
  <c r="C129" i="1"/>
  <c r="C143" i="1"/>
  <c r="C144" i="1"/>
  <c r="C54" i="1"/>
  <c r="C120" i="1"/>
  <c r="C80" i="1"/>
  <c r="C165" i="1"/>
  <c r="C137" i="1"/>
  <c r="C119" i="1"/>
  <c r="C75" i="1"/>
  <c r="C49" i="1"/>
  <c r="C136" i="1"/>
  <c r="C155" i="1"/>
  <c r="C81" i="1"/>
  <c r="C78" i="1"/>
  <c r="C161" i="1"/>
  <c r="C99" i="1"/>
  <c r="C84" i="1"/>
  <c r="C174" i="1"/>
  <c r="C114" i="1"/>
  <c r="C68" i="1"/>
  <c r="C135" i="1"/>
  <c r="C82" i="1"/>
  <c r="C132" i="1"/>
  <c r="C124" i="1"/>
  <c r="C127" i="1"/>
  <c r="C299" i="1"/>
  <c r="C142" i="1"/>
  <c r="C147" i="1"/>
  <c r="C17" i="1"/>
  <c r="C95" i="1"/>
  <c r="C90" i="1"/>
  <c r="C162" i="1"/>
  <c r="C206" i="1"/>
  <c r="C217" i="1"/>
  <c r="C131" i="1"/>
  <c r="C113" i="1"/>
  <c r="C253" i="1"/>
  <c r="C196" i="1"/>
  <c r="C109" i="1"/>
  <c r="C156" i="1"/>
  <c r="C96" i="1"/>
  <c r="C235" i="1"/>
  <c r="C160" i="1"/>
  <c r="C104" i="1"/>
  <c r="C102" i="1"/>
  <c r="C19" i="1"/>
  <c r="C97" i="1"/>
  <c r="C193" i="1"/>
  <c r="C130" i="1"/>
  <c r="C112" i="1"/>
  <c r="C98" i="1"/>
  <c r="C83" i="1"/>
  <c r="C150" i="1"/>
  <c r="C190" i="1"/>
  <c r="C45" i="1"/>
  <c r="C227" i="1"/>
  <c r="C180" i="1"/>
  <c r="C166" i="1"/>
  <c r="C186" i="1"/>
  <c r="C117" i="1"/>
  <c r="C167" i="1"/>
  <c r="C73" i="1"/>
  <c r="C74" i="1"/>
  <c r="C141" i="1"/>
  <c r="C101" i="1"/>
  <c r="C220" i="1"/>
  <c r="C140" i="1"/>
  <c r="C70" i="1"/>
  <c r="C189" i="1"/>
  <c r="C154" i="1"/>
  <c r="C201" i="1"/>
  <c r="C177" i="1"/>
  <c r="C183" i="1"/>
  <c r="C178" i="1"/>
  <c r="C159" i="1"/>
  <c r="C152" i="1"/>
  <c r="C122" i="1"/>
  <c r="C164" i="1"/>
  <c r="C118" i="1"/>
  <c r="C192" i="1"/>
  <c r="C215" i="1"/>
  <c r="C211" i="1"/>
  <c r="C195" i="1"/>
  <c r="C134" i="1"/>
  <c r="C36" i="1"/>
  <c r="C181" i="1"/>
  <c r="C76" i="1"/>
  <c r="C184" i="1"/>
  <c r="C301" i="1"/>
  <c r="C300" i="1"/>
  <c r="C207" i="1"/>
  <c r="C205" i="1"/>
  <c r="C208" i="1"/>
  <c r="C302" i="1"/>
  <c r="C175" i="1"/>
  <c r="C145" i="1"/>
  <c r="C125" i="1"/>
  <c r="C248" i="1"/>
  <c r="C168" i="1"/>
  <c r="C163" i="1"/>
  <c r="C173" i="1"/>
  <c r="C233" i="1"/>
  <c r="C71" i="1"/>
  <c r="C209" i="1"/>
  <c r="C185" i="1"/>
  <c r="C188" i="1"/>
  <c r="C230" i="1"/>
  <c r="C169" i="1"/>
  <c r="C218" i="1"/>
  <c r="C198" i="1"/>
  <c r="C138" i="1"/>
  <c r="C170" i="1"/>
  <c r="C179" i="1"/>
  <c r="C199" i="1"/>
  <c r="C182" i="1"/>
  <c r="C229" i="1"/>
  <c r="C274" i="1"/>
  <c r="C214" i="1"/>
  <c r="C252" i="1"/>
  <c r="C266" i="1"/>
  <c r="C157" i="1"/>
  <c r="C231" i="1"/>
  <c r="C151" i="1"/>
  <c r="C197" i="1"/>
  <c r="C212" i="1"/>
  <c r="C258" i="1"/>
  <c r="C128" i="1"/>
  <c r="C238" i="1"/>
  <c r="C236" i="1"/>
  <c r="C219" i="1"/>
  <c r="C200" i="1"/>
  <c r="C269" i="1"/>
  <c r="C133" i="1"/>
  <c r="C232" i="1"/>
  <c r="C213" i="1"/>
  <c r="C216" i="1"/>
  <c r="C89" i="1"/>
  <c r="C171" i="1"/>
  <c r="C203" i="1"/>
  <c r="C256" i="1"/>
  <c r="C210" i="1"/>
  <c r="C284" i="1"/>
  <c r="C245" i="1"/>
  <c r="C224" i="1"/>
  <c r="C239" i="1"/>
  <c r="C244" i="1"/>
  <c r="C194" i="1"/>
  <c r="C202" i="1"/>
  <c r="C330" i="1"/>
  <c r="C139" i="1"/>
  <c r="C285" i="1"/>
  <c r="C288" i="1"/>
  <c r="C240" i="1"/>
  <c r="C228" i="1"/>
  <c r="C249" i="1"/>
  <c r="C272" i="1"/>
  <c r="C243" i="1"/>
  <c r="C225" i="1"/>
  <c r="C273" i="1"/>
  <c r="C262" i="1"/>
  <c r="C221" i="1"/>
  <c r="C242" i="1"/>
  <c r="C241" i="1"/>
  <c r="C222" i="1"/>
  <c r="C283" i="1"/>
  <c r="C282" i="1"/>
  <c r="C226" i="1"/>
  <c r="C246" i="1"/>
  <c r="C250" i="1"/>
  <c r="C387" i="1"/>
  <c r="C72" i="1"/>
  <c r="C382" i="1"/>
  <c r="C204" i="1"/>
  <c r="C44" i="1"/>
  <c r="C292" i="1"/>
  <c r="C257" i="1"/>
  <c r="C234" i="1"/>
  <c r="C261" i="1"/>
  <c r="C268" i="1"/>
  <c r="C289" i="1"/>
  <c r="C286" i="1"/>
  <c r="C303" i="1"/>
  <c r="C255" i="1"/>
  <c r="C287" i="1"/>
  <c r="C281" i="1"/>
  <c r="C364" i="1"/>
  <c r="C264" i="1"/>
  <c r="C265" i="1"/>
  <c r="C263" i="1"/>
  <c r="C389" i="1"/>
  <c r="C391" i="1"/>
  <c r="C270" i="1"/>
  <c r="C365" i="1"/>
  <c r="C306" i="1"/>
  <c r="C305" i="1"/>
  <c r="C108" i="1"/>
  <c r="C57" i="1"/>
  <c r="C267" i="1"/>
  <c r="C223" i="1"/>
  <c r="C59" i="1"/>
  <c r="C10" i="1"/>
  <c r="C8" i="1"/>
  <c r="C35" i="1"/>
  <c r="C6" i="1"/>
  <c r="C69" i="1"/>
  <c r="C278" i="1"/>
  <c r="C279" i="1"/>
  <c r="C280" i="1"/>
  <c r="C51" i="1"/>
  <c r="C32" i="1"/>
  <c r="C53" i="1"/>
  <c r="C251" i="1"/>
  <c r="C339" i="1"/>
  <c r="C254" i="1"/>
  <c r="C323" i="1"/>
  <c r="C371" i="1"/>
  <c r="C372" i="1"/>
  <c r="C324" i="1"/>
  <c r="C314" i="1"/>
  <c r="C310" i="1"/>
  <c r="C329" i="1"/>
  <c r="C320" i="1"/>
  <c r="C337" i="1"/>
  <c r="C390" i="1"/>
  <c r="C311" i="1"/>
  <c r="C319" i="1"/>
  <c r="C378" i="1"/>
  <c r="C340" i="1"/>
  <c r="C357" i="1"/>
  <c r="C386" i="1"/>
  <c r="C308" i="1"/>
  <c r="C307" i="1"/>
  <c r="C388" i="1"/>
  <c r="C375" i="1"/>
  <c r="C362" i="1"/>
  <c r="C315" i="1"/>
  <c r="C349" i="1"/>
  <c r="C328" i="1"/>
  <c r="C347" i="1"/>
  <c r="C383" i="1"/>
  <c r="C354" i="1"/>
  <c r="C312" i="1"/>
  <c r="C317" i="1"/>
  <c r="C366" i="1"/>
  <c r="C374" i="1"/>
  <c r="C361" i="1"/>
  <c r="C348" i="1"/>
  <c r="C353" i="1"/>
  <c r="C373" i="1"/>
  <c r="C344" i="1"/>
  <c r="C346" i="1"/>
  <c r="C370" i="1"/>
  <c r="C359" i="1"/>
  <c r="C351" i="1"/>
  <c r="C343" i="1"/>
  <c r="C379" i="1"/>
  <c r="C350" i="1"/>
  <c r="C321" i="1"/>
  <c r="C322" i="1"/>
  <c r="C316" i="1"/>
  <c r="C326" i="1"/>
  <c r="C363" i="1"/>
  <c r="C327" i="1"/>
  <c r="C336" i="1"/>
  <c r="C367" i="1"/>
  <c r="C331" i="1"/>
  <c r="C309" i="1"/>
  <c r="C341" i="1"/>
  <c r="C356" i="1"/>
  <c r="C369" i="1"/>
  <c r="C384" i="1"/>
  <c r="C333" i="1"/>
  <c r="C368" i="1"/>
  <c r="C332" i="1"/>
  <c r="C338" i="1"/>
  <c r="C385" i="1"/>
  <c r="C376" i="1"/>
  <c r="C380" i="1"/>
  <c r="C360" i="1"/>
  <c r="C377" i="1"/>
  <c r="C355" i="1"/>
  <c r="C313" i="1"/>
  <c r="C345" i="1"/>
  <c r="C342" i="1"/>
  <c r="C318" i="1"/>
  <c r="C335" i="1"/>
  <c r="C334" i="1"/>
  <c r="C352" i="1"/>
  <c r="C358" i="1"/>
  <c r="C325" i="1"/>
  <c r="C381" i="1"/>
  <c r="C52" i="1"/>
  <c r="C55" i="1"/>
  <c r="C38" i="1"/>
  <c r="E154" i="5"/>
  <c r="E172" i="5"/>
  <c r="E192" i="5"/>
  <c r="E193" i="5"/>
  <c r="E197" i="5"/>
  <c r="E199" i="5"/>
  <c r="E205" i="5"/>
  <c r="E206" i="5"/>
  <c r="E207" i="5"/>
  <c r="E209" i="5"/>
  <c r="E210" i="5"/>
  <c r="E212" i="5"/>
  <c r="E213" i="5"/>
  <c r="E215" i="5"/>
  <c r="E216" i="5"/>
  <c r="H289" i="1"/>
  <c r="H283" i="1"/>
  <c r="H256" i="1"/>
  <c r="H3" i="1"/>
  <c r="H4" i="1"/>
  <c r="H9" i="1"/>
  <c r="H39" i="1"/>
  <c r="H47" i="1"/>
  <c r="H26" i="1"/>
  <c r="H18" i="1"/>
  <c r="H12" i="1"/>
  <c r="H27" i="1"/>
  <c r="H94" i="1"/>
  <c r="H23" i="1"/>
  <c r="H63" i="1"/>
  <c r="H60" i="1"/>
  <c r="H56" i="1"/>
  <c r="H79" i="1"/>
  <c r="H121" i="1"/>
  <c r="H46" i="1"/>
  <c r="H155" i="1"/>
  <c r="H34" i="1"/>
  <c r="H58" i="1"/>
  <c r="H106" i="1"/>
  <c r="H81" i="1"/>
  <c r="H120" i="1"/>
  <c r="H75" i="1"/>
  <c r="H93" i="1"/>
  <c r="H82" i="1"/>
  <c r="H11" i="1"/>
  <c r="H160" i="1"/>
  <c r="H210" i="1"/>
  <c r="H195" i="1"/>
  <c r="H80" i="1"/>
  <c r="H161" i="1"/>
  <c r="H112" i="1"/>
  <c r="H101" i="1"/>
  <c r="H129" i="1"/>
  <c r="H44" i="1"/>
  <c r="H154" i="1"/>
  <c r="H84" i="1"/>
  <c r="H190" i="1"/>
  <c r="H178" i="1"/>
  <c r="H183" i="1"/>
  <c r="H186" i="1"/>
  <c r="H167" i="1"/>
  <c r="H209" i="1"/>
  <c r="H162" i="1"/>
  <c r="H217" i="1"/>
  <c r="H164" i="1"/>
  <c r="H207" i="1"/>
  <c r="H142" i="1"/>
  <c r="H224" i="1"/>
  <c r="H185" i="1"/>
  <c r="H169" i="1"/>
  <c r="H196" i="1"/>
  <c r="H104" i="1"/>
  <c r="H232" i="1"/>
  <c r="H181" i="1"/>
  <c r="H78" i="1"/>
  <c r="H192" i="1"/>
  <c r="H99" i="1"/>
  <c r="H213" i="1"/>
  <c r="H128" i="1"/>
  <c r="H95" i="1"/>
  <c r="H228" i="1"/>
  <c r="H227" i="1"/>
  <c r="H198" i="1"/>
  <c r="H151" i="1"/>
  <c r="H238" i="1"/>
  <c r="H249" i="1"/>
  <c r="H216" i="1"/>
  <c r="H206" i="1"/>
  <c r="H231" i="1"/>
  <c r="H222" i="1"/>
  <c r="H200" i="1"/>
  <c r="H268" i="1"/>
  <c r="H273" i="1"/>
  <c r="D2" i="5"/>
  <c r="D15" i="6" l="1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3" i="6"/>
  <c r="C3" i="6"/>
  <c r="D2" i="6"/>
  <c r="C2" i="6"/>
  <c r="H55" i="1"/>
  <c r="H260" i="1"/>
  <c r="H2" i="1"/>
  <c r="H240" i="1"/>
  <c r="H270" i="1"/>
  <c r="H274" i="1"/>
  <c r="H344" i="1"/>
  <c r="H343" i="1"/>
  <c r="H205" i="1"/>
  <c r="H349" i="1"/>
  <c r="H350" i="1"/>
  <c r="H261" i="1"/>
  <c r="H320" i="1"/>
  <c r="H234" i="1"/>
  <c r="H368" i="1"/>
  <c r="H189" i="1"/>
  <c r="H138" i="1"/>
  <c r="H225" i="1"/>
  <c r="H351" i="1"/>
  <c r="H170" i="1"/>
  <c r="H337" i="1"/>
  <c r="H168" i="1"/>
  <c r="H326" i="1"/>
  <c r="H327" i="1"/>
  <c r="H218" i="1"/>
  <c r="H342" i="1"/>
  <c r="H257" i="1"/>
  <c r="H258" i="1"/>
  <c r="H197" i="1"/>
  <c r="H202" i="1"/>
  <c r="H252" i="1"/>
  <c r="H307" i="1"/>
  <c r="H175" i="1"/>
  <c r="H347" i="1"/>
  <c r="H371" i="1"/>
  <c r="H219" i="1"/>
  <c r="H248" i="1"/>
  <c r="H329" i="1"/>
  <c r="H323" i="1"/>
  <c r="H40" i="1"/>
  <c r="H174" i="1"/>
  <c r="H345" i="1"/>
  <c r="H266" i="1"/>
  <c r="H212" i="1"/>
  <c r="H182" i="1"/>
  <c r="H346" i="1"/>
  <c r="H141" i="1"/>
  <c r="H96" i="1"/>
  <c r="H188" i="1"/>
  <c r="H118" i="1"/>
  <c r="H179" i="1"/>
  <c r="H245" i="1"/>
  <c r="H338" i="1"/>
  <c r="H150" i="1"/>
  <c r="H377" i="1"/>
  <c r="H230" i="1"/>
  <c r="H372" i="1"/>
  <c r="H374" i="1"/>
  <c r="H373" i="1"/>
  <c r="H253" i="1"/>
  <c r="H254" i="1"/>
  <c r="H166" i="1"/>
  <c r="H211" i="1"/>
  <c r="H177" i="1"/>
  <c r="H145" i="1"/>
  <c r="H173" i="1"/>
  <c r="H354" i="1"/>
  <c r="H353" i="1"/>
  <c r="H90" i="1"/>
  <c r="H317" i="1"/>
  <c r="H318" i="1"/>
  <c r="H148" i="1"/>
  <c r="H191" i="1"/>
  <c r="H184" i="1"/>
  <c r="H131" i="1"/>
  <c r="H136" i="1"/>
  <c r="H132" i="1"/>
  <c r="H194" i="1"/>
  <c r="H204" i="1"/>
  <c r="H310" i="1"/>
  <c r="H220" i="1"/>
  <c r="H378" i="1"/>
  <c r="H193" i="1"/>
  <c r="H156" i="1"/>
  <c r="H299" i="1"/>
  <c r="H229" i="1"/>
  <c r="H153" i="1"/>
  <c r="H147" i="1"/>
  <c r="H127" i="1"/>
  <c r="H135" i="1"/>
  <c r="H140" i="1"/>
  <c r="H171" i="1"/>
  <c r="H73" i="1"/>
  <c r="H74" i="1"/>
  <c r="H362" i="1"/>
  <c r="H66" i="1"/>
  <c r="H110" i="1"/>
  <c r="H119" i="1"/>
  <c r="H143" i="1"/>
  <c r="H201" i="1"/>
  <c r="H130" i="1"/>
  <c r="H300" i="1"/>
  <c r="H103" i="1"/>
  <c r="H382" i="1"/>
  <c r="H158" i="1"/>
  <c r="H144" i="1"/>
  <c r="H62" i="1"/>
  <c r="H361" i="1"/>
  <c r="H114" i="1"/>
  <c r="H308" i="1"/>
  <c r="H43" i="1"/>
  <c r="H68" i="1"/>
  <c r="H97" i="1"/>
  <c r="H215" i="1"/>
  <c r="H314" i="1"/>
  <c r="H315" i="1"/>
  <c r="H304" i="1"/>
  <c r="H109" i="1"/>
  <c r="H388" i="1"/>
  <c r="H115" i="1"/>
  <c r="H302" i="1"/>
  <c r="H386" i="1"/>
  <c r="H67" i="1"/>
  <c r="H165" i="1"/>
  <c r="H146" i="1"/>
  <c r="H375" i="1"/>
  <c r="H126" i="1"/>
  <c r="H352" i="1"/>
  <c r="H176" i="1"/>
  <c r="H92" i="1"/>
  <c r="H91" i="1"/>
  <c r="H123" i="1"/>
  <c r="H54" i="1"/>
  <c r="H301" i="1"/>
  <c r="H385" i="1"/>
  <c r="H387" i="1"/>
  <c r="H72" i="1"/>
  <c r="H71" i="1"/>
  <c r="H303" i="1"/>
  <c r="H102" i="1"/>
  <c r="H98" i="1"/>
  <c r="H61" i="1"/>
  <c r="H125" i="1"/>
  <c r="H86" i="1"/>
  <c r="H137" i="1"/>
  <c r="H339" i="1"/>
  <c r="H77" i="1"/>
  <c r="H113" i="1"/>
  <c r="H380" i="1"/>
  <c r="H87" i="1"/>
  <c r="H235" i="1"/>
  <c r="H33" i="1"/>
  <c r="H376" i="1"/>
  <c r="H64" i="1"/>
  <c r="H42" i="1"/>
  <c r="H358" i="1"/>
  <c r="H70" i="1"/>
  <c r="H41" i="1"/>
  <c r="H37" i="1"/>
  <c r="H124" i="1"/>
  <c r="H16" i="1"/>
  <c r="H65" i="1"/>
  <c r="H25" i="1"/>
  <c r="H107" i="1"/>
  <c r="H20" i="1"/>
  <c r="H100" i="1"/>
  <c r="H28" i="1"/>
  <c r="H24" i="1"/>
  <c r="H85" i="1"/>
  <c r="H21" i="1"/>
  <c r="H48" i="1"/>
  <c r="H31" i="1"/>
  <c r="H5" i="1"/>
  <c r="H7" i="1"/>
  <c r="H15" i="1"/>
  <c r="H278" i="1"/>
  <c r="H279" i="1"/>
  <c r="H280" i="1"/>
  <c r="H335" i="1"/>
  <c r="H334" i="1"/>
  <c r="H333" i="1"/>
  <c r="H332" i="1"/>
  <c r="H286" i="1"/>
  <c r="H340" i="1"/>
  <c r="H336" i="1"/>
  <c r="H341" i="1"/>
  <c r="H313" i="1"/>
  <c r="H381" i="1"/>
  <c r="H359" i="1"/>
  <c r="H236" i="1"/>
  <c r="H383" i="1"/>
  <c r="H384" i="1"/>
  <c r="H365" i="1"/>
  <c r="H366" i="1"/>
  <c r="H391" i="1"/>
  <c r="H8" i="1"/>
  <c r="H389" i="1"/>
  <c r="H59" i="1"/>
  <c r="H319" i="1"/>
  <c r="H321" i="1"/>
  <c r="H265" i="1"/>
  <c r="H263" i="1"/>
  <c r="H390" i="1"/>
  <c r="H10" i="1"/>
  <c r="H264" i="1"/>
  <c r="H262" i="1"/>
  <c r="H364" i="1"/>
  <c r="H363" i="1"/>
  <c r="H287" i="1"/>
  <c r="H369" i="1"/>
  <c r="H255" i="1"/>
  <c r="H311" i="1"/>
  <c r="H312" i="1"/>
  <c r="E87" i="5"/>
  <c r="E191" i="5"/>
  <c r="E55" i="5"/>
  <c r="E92" i="5"/>
  <c r="E76" i="5"/>
  <c r="E131" i="5"/>
  <c r="E53" i="5"/>
  <c r="E103" i="5"/>
  <c r="E202" i="5"/>
  <c r="E61" i="5"/>
  <c r="E84" i="5"/>
  <c r="E136" i="5"/>
  <c r="E222" i="5"/>
  <c r="E198" i="5"/>
  <c r="E184" i="5"/>
  <c r="E179" i="5"/>
  <c r="E106" i="5"/>
  <c r="E111" i="5"/>
  <c r="E188" i="5"/>
  <c r="E187" i="5"/>
  <c r="E60" i="5"/>
  <c r="E155" i="5"/>
  <c r="E161" i="5"/>
  <c r="E65" i="5"/>
  <c r="E138" i="5"/>
  <c r="E114" i="5"/>
  <c r="E129" i="5"/>
  <c r="E139" i="5"/>
  <c r="E26" i="5"/>
  <c r="E37" i="5"/>
  <c r="E41" i="5"/>
  <c r="E88" i="5"/>
  <c r="E89" i="5"/>
  <c r="E121" i="5"/>
  <c r="E175" i="5"/>
  <c r="E174" i="5"/>
  <c r="E171" i="5"/>
  <c r="E170" i="5"/>
  <c r="E51" i="5"/>
  <c r="E158" i="5"/>
  <c r="E176" i="5"/>
  <c r="E137" i="5"/>
  <c r="E115" i="5"/>
  <c r="E148" i="5"/>
  <c r="E116" i="5"/>
  <c r="E98" i="5"/>
  <c r="E122" i="5"/>
  <c r="E180" i="5"/>
  <c r="E105" i="5"/>
  <c r="E142" i="5"/>
  <c r="E167" i="5"/>
  <c r="E162" i="5"/>
  <c r="E130" i="5"/>
  <c r="E113" i="5"/>
  <c r="E143" i="5"/>
  <c r="E126" i="5"/>
  <c r="E97" i="5"/>
  <c r="E157" i="5"/>
  <c r="E32" i="5"/>
  <c r="E29" i="5"/>
  <c r="E144" i="5"/>
  <c r="E169" i="5"/>
  <c r="E147" i="5"/>
  <c r="E62" i="5"/>
  <c r="E151" i="5"/>
  <c r="E145" i="5"/>
  <c r="E134" i="5"/>
  <c r="E66" i="5"/>
  <c r="E118" i="5"/>
  <c r="E160" i="5"/>
  <c r="E108" i="5"/>
  <c r="E57" i="5"/>
  <c r="E48" i="5"/>
  <c r="E104" i="5"/>
  <c r="E133" i="5"/>
  <c r="E54" i="5"/>
  <c r="E125" i="5"/>
  <c r="E164" i="5"/>
  <c r="E64" i="5"/>
  <c r="E201" i="5"/>
  <c r="E159" i="5"/>
  <c r="E90" i="5"/>
  <c r="E100" i="5"/>
  <c r="E72" i="5"/>
  <c r="E30" i="5"/>
  <c r="E83" i="5"/>
  <c r="E107" i="5"/>
  <c r="E46" i="5"/>
  <c r="E85" i="5"/>
  <c r="E81" i="5"/>
  <c r="E214" i="5"/>
  <c r="E128" i="5"/>
  <c r="E153" i="5"/>
  <c r="E181" i="5"/>
  <c r="E74" i="5"/>
  <c r="E71" i="5"/>
  <c r="E24" i="5"/>
  <c r="E173" i="5"/>
  <c r="E13" i="5"/>
  <c r="E11" i="5"/>
  <c r="E10" i="5"/>
  <c r="E19" i="5"/>
  <c r="E18" i="5"/>
  <c r="E2" i="5"/>
  <c r="E12" i="5"/>
  <c r="E58" i="5"/>
  <c r="E50" i="5"/>
  <c r="E22" i="5"/>
  <c r="E15" i="5"/>
  <c r="E28" i="5"/>
  <c r="E6" i="5"/>
  <c r="E91" i="5"/>
  <c r="E183" i="5"/>
  <c r="E112" i="5"/>
  <c r="E152" i="5"/>
  <c r="E109" i="5"/>
  <c r="E44" i="5"/>
  <c r="E203" i="5"/>
  <c r="E96" i="5"/>
  <c r="E75" i="5"/>
  <c r="E43" i="5"/>
  <c r="E17" i="5"/>
  <c r="E102" i="5"/>
  <c r="E140" i="5"/>
  <c r="E94" i="5"/>
  <c r="E69" i="5"/>
  <c r="E165" i="5"/>
  <c r="E156" i="5"/>
  <c r="E141" i="5"/>
  <c r="E70" i="5"/>
  <c r="E177" i="5"/>
  <c r="E123" i="5"/>
  <c r="E31" i="5"/>
  <c r="E16" i="5"/>
  <c r="E7" i="5"/>
  <c r="E5" i="5"/>
  <c r="E117" i="5"/>
  <c r="E25" i="5"/>
  <c r="E35" i="5"/>
  <c r="E8" i="5"/>
  <c r="E38" i="5"/>
  <c r="E110" i="5"/>
  <c r="E95" i="5"/>
  <c r="E93" i="5"/>
  <c r="E9" i="5"/>
  <c r="E47" i="5"/>
  <c r="E23" i="5"/>
  <c r="E78" i="5"/>
  <c r="E101" i="5"/>
  <c r="E86" i="5"/>
  <c r="E119" i="5"/>
  <c r="E77" i="5"/>
  <c r="E132" i="5"/>
  <c r="E163" i="5"/>
  <c r="E120" i="5"/>
  <c r="E99" i="5"/>
  <c r="E208" i="5"/>
  <c r="E42" i="5"/>
  <c r="E204" i="5"/>
  <c r="E166" i="5"/>
  <c r="E135" i="5"/>
  <c r="E146" i="5"/>
  <c r="E149" i="5"/>
  <c r="E186" i="5"/>
  <c r="E56" i="5"/>
  <c r="E80" i="5"/>
  <c r="E20" i="5"/>
  <c r="E27" i="5"/>
  <c r="E73" i="5"/>
  <c r="E63" i="5"/>
  <c r="E4" i="5"/>
  <c r="E124" i="5"/>
  <c r="E218" i="5"/>
  <c r="E33" i="5"/>
  <c r="E221" i="5"/>
  <c r="E3" i="5"/>
  <c r="E59" i="5"/>
  <c r="E200" i="5"/>
  <c r="E82" i="5"/>
  <c r="E40" i="5"/>
  <c r="E49" i="5"/>
  <c r="E36" i="5"/>
  <c r="E39" i="5"/>
  <c r="E52" i="5"/>
  <c r="E34" i="5"/>
  <c r="E189" i="5"/>
  <c r="E185" i="5"/>
  <c r="E190" i="5"/>
  <c r="E21" i="5"/>
  <c r="E14" i="5"/>
  <c r="E195" i="5"/>
  <c r="E196" i="5"/>
  <c r="E194" i="5"/>
  <c r="E220" i="5"/>
  <c r="E150" i="5"/>
  <c r="E219" i="5"/>
  <c r="E217" i="5"/>
  <c r="E211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9" i="5"/>
  <c r="E240" i="5"/>
  <c r="E241" i="5"/>
  <c r="E242" i="5"/>
  <c r="E243" i="5"/>
  <c r="E244" i="5"/>
  <c r="E245" i="5"/>
  <c r="E253" i="5"/>
  <c r="E127" i="5"/>
  <c r="E79" i="5" l="1"/>
  <c r="E67" i="5"/>
  <c r="E45" i="5"/>
  <c r="E238" i="5"/>
  <c r="E178" i="5"/>
  <c r="E68" i="5"/>
  <c r="E168" i="5"/>
  <c r="E252" i="5"/>
  <c r="E18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tc={C463AFD2-5801-45D6-B432-1DA3CCEE0A03}</author>
  </authors>
  <commentList>
    <comment ref="E1" authorId="0" shapeId="0" xr:uid="{C463AFD2-5801-45D6-B432-1DA3CCEE0A03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for dealer-price</t>
      </text>
    </comment>
  </commentList>
</comments>
</file>

<file path=xl/sharedStrings.xml><?xml version="1.0" encoding="utf-8"?>
<sst xmlns="http://schemas.openxmlformats.org/spreadsheetml/2006/main" count="7231" uniqueCount="5019">
  <si>
    <t>Seller SKU</t>
  </si>
  <si>
    <t>Chck</t>
  </si>
  <si>
    <t>O.SR</t>
  </si>
  <si>
    <t>MTP SKU</t>
  </si>
  <si>
    <t>MTP Name</t>
  </si>
  <si>
    <t xml:space="preserve"> Child Color</t>
  </si>
  <si>
    <t>SKU Product Name</t>
  </si>
  <si>
    <t>MRP</t>
  </si>
  <si>
    <t>Barcode</t>
  </si>
  <si>
    <t>FNSKU</t>
  </si>
  <si>
    <t>ASIN</t>
  </si>
  <si>
    <t>FK FSN</t>
  </si>
  <si>
    <t>FK List.ID</t>
  </si>
  <si>
    <t>UL</t>
  </si>
  <si>
    <t xml:space="preserve">PF </t>
  </si>
  <si>
    <t>PF WH SKU</t>
  </si>
  <si>
    <t>Myntra</t>
  </si>
  <si>
    <t>SR-CLM-TM</t>
  </si>
  <si>
    <t>SR-CLM-T</t>
  </si>
  <si>
    <t>Brown Maple</t>
  </si>
  <si>
    <t>B0DG9834LM</t>
  </si>
  <si>
    <t>SHKH4FQ2G6XVBAWG</t>
  </si>
  <si>
    <t>LSTSHKH4FQ2G6XVBAWGDAI5VU</t>
  </si>
  <si>
    <t>FVSGSR11BM51569</t>
  </si>
  <si>
    <t>FN2200964-S-PM39235</t>
  </si>
  <si>
    <t>FN2200964-S-WH41218</t>
  </si>
  <si>
    <t>TU-WBM-MF</t>
  </si>
  <si>
    <t>TU-WBM</t>
  </si>
  <si>
    <t>Brown Maple &amp; White</t>
  </si>
  <si>
    <t>X0023REYJ9</t>
  </si>
  <si>
    <t>B0CJC6PTKS</t>
  </si>
  <si>
    <t>TVUGUGZ55QPQGEHY</t>
  </si>
  <si>
    <t>LSTTVUGUGZ55QPQGEHY8HJVMU</t>
  </si>
  <si>
    <t>FVTBAV33BR32705</t>
  </si>
  <si>
    <t>FN2135043-S-PM39235</t>
  </si>
  <si>
    <t>FN2135043-S-WH41218</t>
  </si>
  <si>
    <t>TU-BKY-M</t>
  </si>
  <si>
    <t>TU-BKY</t>
  </si>
  <si>
    <t>B0DFPSHRLG</t>
  </si>
  <si>
    <t>TVUH48ZZFZFFTYZH</t>
  </si>
  <si>
    <t>LSTTVUH48ZZFZFFTYZHBYMZVY</t>
  </si>
  <si>
    <t>FVSGAV11BM51538</t>
  </si>
  <si>
    <t>FN2200968-S-PM39235</t>
  </si>
  <si>
    <t>FN2200968-S-WH41218</t>
  </si>
  <si>
    <t>TU-SKD-WF</t>
  </si>
  <si>
    <t>TU-SKD</t>
  </si>
  <si>
    <t>Wenge &amp; White</t>
  </si>
  <si>
    <t>X0023REYIZ</t>
  </si>
  <si>
    <t>B0BCZ4GVFM</t>
  </si>
  <si>
    <t>TVUGG2FKZKVE897E</t>
  </si>
  <si>
    <t>LSTTVUGG2FKZKVE897E7WSGLU</t>
  </si>
  <si>
    <t>FVTBAV33BR70800</t>
  </si>
  <si>
    <t>FN2087160-S-PM39235</t>
  </si>
  <si>
    <t>FN2087160-S-WH41218</t>
  </si>
  <si>
    <t>PU-SNM-F</t>
  </si>
  <si>
    <t>PU-SNM</t>
  </si>
  <si>
    <t>White</t>
  </si>
  <si>
    <t>B0FGVBK5KB</t>
  </si>
  <si>
    <t>HTEHDWFAK35EYHA3</t>
  </si>
  <si>
    <t>LSTHTEHDWFAK35EYHA3P0TGWN</t>
  </si>
  <si>
    <t>FVSGPR11WH51575</t>
  </si>
  <si>
    <t>KD2280098-S-PM39397</t>
  </si>
  <si>
    <t>Not in WH</t>
  </si>
  <si>
    <t>TU-SKD-MF</t>
  </si>
  <si>
    <t>X0023RTQJH</t>
  </si>
  <si>
    <t>B0CJLRT2TR</t>
  </si>
  <si>
    <t>TVUGUGZAHZGDRSFH</t>
  </si>
  <si>
    <t>LSTTVUGUGZAHZGDRSFH1SZQVK</t>
  </si>
  <si>
    <t>FVTBAV33BR32706</t>
  </si>
  <si>
    <t>FN2152519-S-PM39235</t>
  </si>
  <si>
    <t>FN2152519-S-WH41218</t>
  </si>
  <si>
    <t>W-MLT-4NMF</t>
  </si>
  <si>
    <t>W-MLT-4N</t>
  </si>
  <si>
    <t>B0FDVHM7XN</t>
  </si>
  <si>
    <t>WCLHDTDAXGCVRGGD</t>
  </si>
  <si>
    <t>LSTWCLHDTDAXGCVRGGDNCGVVY</t>
  </si>
  <si>
    <t>FVSGCB11BW51520</t>
  </si>
  <si>
    <t>FN2260676-S-PM39235</t>
  </si>
  <si>
    <t>FN2260676-S-WH41218</t>
  </si>
  <si>
    <t>ST-CBN-LSMF</t>
  </si>
  <si>
    <t>ST-CBN-LS</t>
  </si>
  <si>
    <t>B0DFQ1Q1LJ</t>
  </si>
  <si>
    <t>OSTHAYGSVZ5TZJRE</t>
  </si>
  <si>
    <t>LSTOSTHAYGSVZ5TZJRE1LYIVS</t>
  </si>
  <si>
    <t>FVTBST11BW51562</t>
  </si>
  <si>
    <t>FN2200965-S-PM39235</t>
  </si>
  <si>
    <t>FN2200965-S-WH41218</t>
  </si>
  <si>
    <t>W-MLT-3NMF</t>
  </si>
  <si>
    <t>W-MLT-3N</t>
  </si>
  <si>
    <t>B0FDW1B81W</t>
  </si>
  <si>
    <t>WCLHDUERQCB3KWG3</t>
  </si>
  <si>
    <t>LSTWCLHDUERQCB3KWG3Z9CHDZ</t>
  </si>
  <si>
    <t>FVSGCB11BW51519</t>
  </si>
  <si>
    <t>FN2260675-S-PM39235</t>
  </si>
  <si>
    <t>FN2260675-S-WH41218</t>
  </si>
  <si>
    <t>CT-SH.E-MI</t>
  </si>
  <si>
    <t>CT-SH</t>
  </si>
  <si>
    <t>Brown Maple &amp; Beige</t>
  </si>
  <si>
    <t>X001VCIAFL</t>
  </si>
  <si>
    <t>B0C8J81BP6</t>
  </si>
  <si>
    <t>CFTH2QF2E6NJTFGD</t>
  </si>
  <si>
    <t>LSTCFTH2QF2E6NJTFGDTEKR8H</t>
  </si>
  <si>
    <t>FVTBCF33BR50150</t>
  </si>
  <si>
    <t>FN2194296-S-PM39235</t>
  </si>
  <si>
    <t>ST-AML-MI</t>
  </si>
  <si>
    <t>ST-AML</t>
  </si>
  <si>
    <t>X0024E1F2P</t>
  </si>
  <si>
    <t>B07N3WXJJ5</t>
  </si>
  <si>
    <t>OSTGUJYGB83ZH9PB</t>
  </si>
  <si>
    <t>LSTOSTGUJYGB83ZH9PBF06U6Y</t>
  </si>
  <si>
    <t>FVTBST33BR72381</t>
  </si>
  <si>
    <t>FN2152512-S-PM39235</t>
  </si>
  <si>
    <t>FN2152512-S-WH41218</t>
  </si>
  <si>
    <t>W-CLO-5M</t>
  </si>
  <si>
    <t>W-CLO-5</t>
  </si>
  <si>
    <t>B0F91468XK</t>
  </si>
  <si>
    <t>WCLHCARGJE9DFNG7</t>
  </si>
  <si>
    <t>LSTWCLHCARGJE9DFNG78VG4UU</t>
  </si>
  <si>
    <t>FVSGCB11BR51517</t>
  </si>
  <si>
    <t>FN2260673-S-PM39235</t>
  </si>
  <si>
    <t>FN2260673-S-WH41218</t>
  </si>
  <si>
    <t>SR-BKN-TM</t>
  </si>
  <si>
    <t>SR-BKN-T</t>
  </si>
  <si>
    <t>B0DSQ5MH6T</t>
  </si>
  <si>
    <t>SHKH95M3REHRAZHJ</t>
  </si>
  <si>
    <t xml:space="preserve"> LSTSHKH95M3REHRAZHJSNG9HZ</t>
  </si>
  <si>
    <t>FVSGSR11BM51568</t>
  </si>
  <si>
    <t>FN2260661-S-PM39235</t>
  </si>
  <si>
    <t>FN2260661-S-WH41218</t>
  </si>
  <si>
    <t>TU-SKD-LF</t>
  </si>
  <si>
    <t>Walnut &amp; White</t>
  </si>
  <si>
    <t>X0023REYJJ</t>
  </si>
  <si>
    <t>B0BCZ699P2</t>
  </si>
  <si>
    <t>TVUGG2FKGHH8SXA9</t>
  </si>
  <si>
    <t>LSTTVUGG2FKGHH8SXA9QIZKRE</t>
  </si>
  <si>
    <t>FVTBAV33BR70799</t>
  </si>
  <si>
    <t>FN2087161-S-PM39235</t>
  </si>
  <si>
    <t>FN2087161-S-WH41218</t>
  </si>
  <si>
    <t>SR-CLM-3M</t>
  </si>
  <si>
    <t>SR-CLM-3</t>
  </si>
  <si>
    <t>X0022LYPC7</t>
  </si>
  <si>
    <t>B0CR69LX8T</t>
  </si>
  <si>
    <t>CSDGWZYSKGJSWHK6</t>
  </si>
  <si>
    <t>LSTCSDGWZYSKGJSWHK6YBM4FU</t>
  </si>
  <si>
    <t>FVSGBR33BR72391</t>
  </si>
  <si>
    <t>FN2166587-S-PM39235</t>
  </si>
  <si>
    <t>FN2166587-S-WH41218</t>
  </si>
  <si>
    <t>W-MLT-MMF</t>
  </si>
  <si>
    <t>W-MLT-M</t>
  </si>
  <si>
    <t>B0F8ZQGWZM</t>
  </si>
  <si>
    <t>WCLHC8TZMCYUGJ2H</t>
  </si>
  <si>
    <t>LSTWCLHC8TZMCYUGJ2HGRGYQT</t>
  </si>
  <si>
    <t>FVSGCB11BW51521</t>
  </si>
  <si>
    <t>FN2260677-S-PM39235</t>
  </si>
  <si>
    <t>FN2260677-S-WH41218</t>
  </si>
  <si>
    <t>TU-WBM-STMF</t>
  </si>
  <si>
    <t>TU-WBM-ST</t>
  </si>
  <si>
    <t>B0DSQ3TL2Q</t>
  </si>
  <si>
    <t>TVUH8GZ2FZTB4FXF</t>
  </si>
  <si>
    <t>LSTTVUH8GZ2FZTB4FXFINMHZF</t>
  </si>
  <si>
    <t>FVSGAV11BW51548</t>
  </si>
  <si>
    <t>FN2229405-S-PM39235</t>
  </si>
  <si>
    <t>FN2229405-S-WH41218</t>
  </si>
  <si>
    <t>SR-MVS-IM</t>
  </si>
  <si>
    <t>SR-MVS-I</t>
  </si>
  <si>
    <t>B0FBM1HTL7</t>
  </si>
  <si>
    <t>SHKHCSGK2HQ3ZUPD</t>
  </si>
  <si>
    <t>LSTSHKHCSGK2HQ3ZUPDK2V99U</t>
  </si>
  <si>
    <t>FVSGSR11BM51571</t>
  </si>
  <si>
    <t>FN2260663-S-PM39235</t>
  </si>
  <si>
    <t>FN2260663-S-WH41218</t>
  </si>
  <si>
    <t>SR-KPN-MF</t>
  </si>
  <si>
    <t>SR-KPN</t>
  </si>
  <si>
    <t>X001YXTP9H</t>
  </si>
  <si>
    <t>B0CJML27W6</t>
  </si>
  <si>
    <t>SHKGUJF3UF2DGWVH</t>
  </si>
  <si>
    <t>LSTSHKGUJF3UF2DGWVHCMW77H</t>
  </si>
  <si>
    <t>FVSGSR33BR32753</t>
  </si>
  <si>
    <t>FN2152510-S-PM39235</t>
  </si>
  <si>
    <t>FN2152510-S-WH41218</t>
  </si>
  <si>
    <t>TU-FL-FW</t>
  </si>
  <si>
    <t>TU-FL</t>
  </si>
  <si>
    <t>Wenge</t>
  </si>
  <si>
    <t>B09XJ3Y86J</t>
  </si>
  <si>
    <t>TVUH4MFSZKDU3XHM</t>
  </si>
  <si>
    <t>LSTTVUH4MFSZKDU3XHMCHDSCE</t>
  </si>
  <si>
    <t>FVSGAV33WW20528</t>
  </si>
  <si>
    <t>FN1987991-S-PM39235</t>
  </si>
  <si>
    <t>FN1987991-S-WH41218</t>
  </si>
  <si>
    <t>SR-MVS-ITM</t>
  </si>
  <si>
    <t>SR-MVS-IT</t>
  </si>
  <si>
    <t>B0F91299Q2</t>
  </si>
  <si>
    <t>SHKHCAT3GDMYGRFN</t>
  </si>
  <si>
    <t>LSTSHKHCAT3GDMYGRFNDS6X1K</t>
  </si>
  <si>
    <t>FVSGSR11BM51572</t>
  </si>
  <si>
    <t>FN2260664-S-PM39235</t>
  </si>
  <si>
    <t>FN2260664-S-WH41218</t>
  </si>
  <si>
    <t>TU-BKY-STM</t>
  </si>
  <si>
    <t>TU-BKY-ST</t>
  </si>
  <si>
    <t>B0DSQ19SZT</t>
  </si>
  <si>
    <t>TVUH8GYTFPGJXSNX</t>
  </si>
  <si>
    <t>LSTTVUH8GYTFPGJXSNX003FCA</t>
  </si>
  <si>
    <t>FVSGAV11BM51539</t>
  </si>
  <si>
    <t>FN2229399-S-PM39235</t>
  </si>
  <si>
    <t>FN2229399-S-WH41218</t>
  </si>
  <si>
    <t>SR-BKN-M</t>
  </si>
  <si>
    <t>SR-BKN-2</t>
  </si>
  <si>
    <t>X001YXXSTF</t>
  </si>
  <si>
    <t>B0CP7G5QDT</t>
  </si>
  <si>
    <t>SHKH7GBQ3Y5UGHY6</t>
  </si>
  <si>
    <t>LSTSHKH7GBQ3Y5UGHY6YCUBOR</t>
  </si>
  <si>
    <t>FVSGSR33BR32751</t>
  </si>
  <si>
    <t>FN2166555-S-PM39235</t>
  </si>
  <si>
    <t>FN2166555-S-WH41218</t>
  </si>
  <si>
    <t>S-PTE-M</t>
  </si>
  <si>
    <t>S-PTE</t>
  </si>
  <si>
    <t>X001XQD9H9</t>
  </si>
  <si>
    <t>B0CQNX8LKS</t>
  </si>
  <si>
    <t>BSFGWYJSA2HHHPHT</t>
  </si>
  <si>
    <t>LSTBSFGWYJSA2HHHPHTYDE7VD</t>
  </si>
  <si>
    <t>FVSGWS33BR72396</t>
  </si>
  <si>
    <t>DE2198506-S-PM39397</t>
  </si>
  <si>
    <t>SR-CLE-MF</t>
  </si>
  <si>
    <t>SR-CLE</t>
  </si>
  <si>
    <t>X001YXXQJH</t>
  </si>
  <si>
    <t>B0CV33DPSP</t>
  </si>
  <si>
    <t>SHKGXUTFT7GNNTMQ</t>
  </si>
  <si>
    <t>LSTSHKGXUTFT7GNNTMQLWFGXU</t>
  </si>
  <si>
    <t>FVSGSR33BR32755</t>
  </si>
  <si>
    <t>FN2194306-S-PM39235</t>
  </si>
  <si>
    <t>FN2194306-S-WH41218</t>
  </si>
  <si>
    <t>TU-AYL-M</t>
  </si>
  <si>
    <t>TU-AYL</t>
  </si>
  <si>
    <t>X001YODXTT</t>
  </si>
  <si>
    <t>B0CV3HL1JS</t>
  </si>
  <si>
    <t>TVUGXUTJUQHJ9KJS</t>
  </si>
  <si>
    <t>LSTTVUGXUTJUQHJ9KJSKLQSEQ</t>
  </si>
  <si>
    <t>FVTBAV33BR32711</t>
  </si>
  <si>
    <t>FN2194313-S-PM39235</t>
  </si>
  <si>
    <t>FN2194313-S-WH41218</t>
  </si>
  <si>
    <t>SR-KPN-FL</t>
  </si>
  <si>
    <t>X001YXTP97</t>
  </si>
  <si>
    <t>B09WR9FZXZ</t>
  </si>
  <si>
    <t>CSDGDC3QJKBD2EFA</t>
  </si>
  <si>
    <t>LSTCSDGDC3QJKBD2EFAJWVEYL</t>
  </si>
  <si>
    <t>FVSGSR33WW20615</t>
  </si>
  <si>
    <t>FN1991916-S-PM39235</t>
  </si>
  <si>
    <t>FN1991916-S-WH41218</t>
  </si>
  <si>
    <t>SR-BKN-HM</t>
  </si>
  <si>
    <t>SR-BKN-H</t>
  </si>
  <si>
    <t>B0F9139B7X</t>
  </si>
  <si>
    <t>SHKHCAS8YHF9HXMA</t>
  </si>
  <si>
    <t>LSTSHKHCAS8YHF9HXMAPBOC3L</t>
  </si>
  <si>
    <t>FVSGSR11BM51567</t>
  </si>
  <si>
    <t>FN2260660-S-PM39235</t>
  </si>
  <si>
    <t>FN2260660-S-WH41218</t>
  </si>
  <si>
    <t>TU-SKD-OF</t>
  </si>
  <si>
    <t>European Oak &amp; White</t>
  </si>
  <si>
    <t>B0FNMKSVYJ</t>
  </si>
  <si>
    <t>TVUHH6GPYWDFP4HT</t>
  </si>
  <si>
    <t>TU-FL-FL</t>
  </si>
  <si>
    <t>B09XJ24NG8</t>
  </si>
  <si>
    <t>TVUH7RE5XBS4HBXR</t>
  </si>
  <si>
    <t>LSTTVUH7RE5XBS4HBXRD9VHIU</t>
  </si>
  <si>
    <t>FVSGAV33WW20527</t>
  </si>
  <si>
    <t>FN1991938-S-PM39235</t>
  </si>
  <si>
    <t>FN1991938-S-WH41218</t>
  </si>
  <si>
    <t>TU-SKDL-MF</t>
  </si>
  <si>
    <t>TU-SKDL</t>
  </si>
  <si>
    <t>B0CDLQ8B41</t>
  </si>
  <si>
    <t>TVUHDUEWGYRCH3GH</t>
  </si>
  <si>
    <t>LSTTVUHDUEWGYRCH3GHMOH1VQ</t>
  </si>
  <si>
    <t>FVSGAV11BW51546</t>
  </si>
  <si>
    <t>FN2260668-S-PM39235</t>
  </si>
  <si>
    <t>FN2260668-S-WH41218</t>
  </si>
  <si>
    <t>TU-HMD-MF</t>
  </si>
  <si>
    <t>TU-HMD</t>
  </si>
  <si>
    <t>X001YXXODZ</t>
  </si>
  <si>
    <t>B07N41C315</t>
  </si>
  <si>
    <t>TVUGVHFNDSJJDECC</t>
  </si>
  <si>
    <t>LSTTVUGVHFNDSJJDECCOUFRNZ</t>
  </si>
  <si>
    <t>FVTBAV33BR32709</t>
  </si>
  <si>
    <t>FN2152520-S-PM39235</t>
  </si>
  <si>
    <t>FN2152520-S-WH41218</t>
  </si>
  <si>
    <t>DC-MYN-STMF</t>
  </si>
  <si>
    <t>DC-MYN-ST</t>
  </si>
  <si>
    <t>B0CJCJJJ54</t>
  </si>
  <si>
    <t>CSDGUGVTFGESHDZU</t>
  </si>
  <si>
    <t>LSTCSDGUGVTFGESHDZUEAHMTI</t>
  </si>
  <si>
    <t>FVSGDR33BR32696</t>
  </si>
  <si>
    <t>FN2135042-S-PM39235</t>
  </si>
  <si>
    <t>FN2135042-S-WH41218</t>
  </si>
  <si>
    <t>B-MLT-D30TM</t>
  </si>
  <si>
    <t>B-MLT-D30T</t>
  </si>
  <si>
    <t>B0FGTVTZFS</t>
  </si>
  <si>
    <t>BDDHDTC8CFHQU3Z8</t>
  </si>
  <si>
    <t>LSTBDDHDTC8CFHQU3Z8Z07AT5</t>
  </si>
  <si>
    <t>FVBDST11BR51511</t>
  </si>
  <si>
    <t>FN2260655-S-PM39235</t>
  </si>
  <si>
    <t>FN2260655-S-WH41218</t>
  </si>
  <si>
    <t>SR-MVS-TM</t>
  </si>
  <si>
    <t>SR-MVS-T</t>
  </si>
  <si>
    <t>B0FBM7C35S</t>
  </si>
  <si>
    <t>SHKHCSGQGTHDWQP8</t>
  </si>
  <si>
    <t>LSTSHKHCSGQGTHDWQP8G3V4M2</t>
  </si>
  <si>
    <t>FVSGSR11BM51573</t>
  </si>
  <si>
    <t>FN2260665-S-PM39235</t>
  </si>
  <si>
    <t>FN2260665-S-WH41218</t>
  </si>
  <si>
    <t>SR-CLM-2M</t>
  </si>
  <si>
    <t>SR-CLM-2</t>
  </si>
  <si>
    <t>X001YAPESL</t>
  </si>
  <si>
    <t>B0CR6B1KPV</t>
  </si>
  <si>
    <t>CSDGXYYPHCGGZQWS</t>
  </si>
  <si>
    <t>LSTCSDGXYYPHCGGZQWSZANXDC</t>
  </si>
  <si>
    <t>FVSGBR33BR72390</t>
  </si>
  <si>
    <t>FN2166588-S-PM39235</t>
  </si>
  <si>
    <t>FN2166588-S-WH41218</t>
  </si>
  <si>
    <t>PU-SUB-OF</t>
  </si>
  <si>
    <t>PU-SUB</t>
  </si>
  <si>
    <t>European Oak</t>
  </si>
  <si>
    <t>B0FPR86F6F</t>
  </si>
  <si>
    <t>HTEHGGVNH77K924P</t>
  </si>
  <si>
    <t>KD2280090-S-PM39397</t>
  </si>
  <si>
    <t>TU-BKMT-M</t>
  </si>
  <si>
    <t>TU-BKMT</t>
  </si>
  <si>
    <t>B0DGCY3HW8</t>
  </si>
  <si>
    <t>TVUH63FQ8JG2UPFD</t>
  </si>
  <si>
    <t>LSTTVUH63FQ8JG2UPFDVDFM6F</t>
  </si>
  <si>
    <t>FVSGAV11BM51537</t>
  </si>
  <si>
    <t>FN2200967-S-PM39235</t>
  </si>
  <si>
    <t>CT-LE-M</t>
  </si>
  <si>
    <t>CT-LE</t>
  </si>
  <si>
    <t>B06WLNKHXC</t>
  </si>
  <si>
    <t>CFTH89D5BUVCGSSG</t>
  </si>
  <si>
    <t>LSTCFTH89D5BUVCGSSGQU1TLP</t>
  </si>
  <si>
    <t>FVTBCF11BR51533</t>
  </si>
  <si>
    <t>FN2229387-S-PM39235</t>
  </si>
  <si>
    <t>FN2229387-S-WH41218</t>
  </si>
  <si>
    <t>TU-RWT-LAMI</t>
  </si>
  <si>
    <t>TU-RWT-LA</t>
  </si>
  <si>
    <t>B0CK2PLPCY</t>
  </si>
  <si>
    <t>TVUGVG6GDSWGBU8F</t>
  </si>
  <si>
    <t>LSTTVUGVG6GDSWGBU8FRLYIGE</t>
  </si>
  <si>
    <t>FVTBAV33BR32708</t>
  </si>
  <si>
    <t>FN2152518-S-PM39235</t>
  </si>
  <si>
    <t>FN2152518-S-WH41218</t>
  </si>
  <si>
    <t>SR-WHTO-M</t>
  </si>
  <si>
    <t>SR-WHTO</t>
  </si>
  <si>
    <t>X0025381C7</t>
  </si>
  <si>
    <t>B0DFHFPL32</t>
  </si>
  <si>
    <t>BACH45NRKZGZEQJN</t>
  </si>
  <si>
    <t>LSTBACH45NRKZGZEQJNG7P04M</t>
  </si>
  <si>
    <t>FVSGSR11BM51574</t>
  </si>
  <si>
    <t>FN2229394-S-PM39235</t>
  </si>
  <si>
    <t>FN2229394-S-WH41218</t>
  </si>
  <si>
    <t>SB-LGN-MI</t>
  </si>
  <si>
    <t>SB-LGN</t>
  </si>
  <si>
    <t>X001XQER93</t>
  </si>
  <si>
    <t>B0CPJGM9LK</t>
  </si>
  <si>
    <t>BSFGWYK9HARSNFE3</t>
  </si>
  <si>
    <t>LSTBSFGWYK9HARSNFE31TXHZC</t>
  </si>
  <si>
    <t>FVSGBR33BR72374</t>
  </si>
  <si>
    <t>FN2166579-S-PM39235</t>
  </si>
  <si>
    <t>FN2166579-S-WH41218</t>
  </si>
  <si>
    <t>B-RVB-SNM</t>
  </si>
  <si>
    <t>B-RVB-SN</t>
  </si>
  <si>
    <t>B0CJRX5M44</t>
  </si>
  <si>
    <t>BDDGUJ24RAZM6RP6</t>
  </si>
  <si>
    <t>LSTBDDGUJ24RAZM6RP6TNTPP3</t>
  </si>
  <si>
    <t>FVBDNS33BR32686</t>
  </si>
  <si>
    <t>FN2152501-S-PM39235</t>
  </si>
  <si>
    <t>FN2152501-S-WH41218</t>
  </si>
  <si>
    <t>W-CLO-3M</t>
  </si>
  <si>
    <t>W-CLO-3</t>
  </si>
  <si>
    <t>B0F914627M</t>
  </si>
  <si>
    <t>WCLHCARGGQHJGZVB</t>
  </si>
  <si>
    <t>LSTWCLHCARGGQHJGZVBKE36Y8</t>
  </si>
  <si>
    <t>FVSGCB11BR51515</t>
  </si>
  <si>
    <t>FN2260671-S-PM39235</t>
  </si>
  <si>
    <t>FN2260671-S-WH41218</t>
  </si>
  <si>
    <t>DC-MYN-LAMF</t>
  </si>
  <si>
    <t>DC-MYN-LA</t>
  </si>
  <si>
    <t>B0CJCLT2M9</t>
  </si>
  <si>
    <t>CSDGUGWYHH2WCNKW</t>
  </si>
  <si>
    <t>LSTCSDGUGWYHH2WCNKW5JEU5I</t>
  </si>
  <si>
    <t>FVSGDR33BR32697</t>
  </si>
  <si>
    <t>FN2135040-S-PM39235</t>
  </si>
  <si>
    <t>FN2135040-S-WH41218</t>
  </si>
  <si>
    <t>TU-DRN-MF</t>
  </si>
  <si>
    <t>TU-DRN</t>
  </si>
  <si>
    <t>X001VVR7SX</t>
  </si>
  <si>
    <t>B0CJC2W6D5</t>
  </si>
  <si>
    <t>TVUGUGZAGAPNY5GG</t>
  </si>
  <si>
    <t>LSTTVUGUGZAGAPNY5GGHT2VRR</t>
  </si>
  <si>
    <t>FVTBAV33BR32714</t>
  </si>
  <si>
    <t>FN2135044-S-PM39235</t>
  </si>
  <si>
    <t>FN2135044-S-WH41218</t>
  </si>
  <si>
    <t>TU-FL-MI</t>
  </si>
  <si>
    <t>B0CJMLPGLL</t>
  </si>
  <si>
    <t>TVUH2Z7H6EAGCGZH</t>
  </si>
  <si>
    <t>LSTTVUH2Z7H6EAGCGZHVGKWZ0</t>
  </si>
  <si>
    <t>FVTBAV33BR32707</t>
  </si>
  <si>
    <t>FN2152515-S-PM39235</t>
  </si>
  <si>
    <t>FN2152515-S-WH41218</t>
  </si>
  <si>
    <t>KC-SRN-M</t>
  </si>
  <si>
    <t>KC-SRN</t>
  </si>
  <si>
    <t>B0F8ZT7YCR</t>
  </si>
  <si>
    <t>KTCHCASRYPGKK7AF</t>
  </si>
  <si>
    <t>LSTKTCHCASRYPGKK7AFXTT0DQ</t>
  </si>
  <si>
    <t>FVSGSB11BR51527</t>
  </si>
  <si>
    <t>KD2280092-S-PM39397</t>
  </si>
  <si>
    <t>ST-CBN-MF</t>
  </si>
  <si>
    <t>ST-CBN</t>
  </si>
  <si>
    <t>X001YSR0UX</t>
  </si>
  <si>
    <t>B0CJBVQFC4</t>
  </si>
  <si>
    <t>OSTGUGZH7B4UXDFZ</t>
  </si>
  <si>
    <t>LSTOSTGUGZH7B4UXDFZNLS2LU</t>
  </si>
  <si>
    <t>FVTBST33BR72382</t>
  </si>
  <si>
    <t>FN2135046-S-PM39235</t>
  </si>
  <si>
    <t>FN2135046-S-WH41218</t>
  </si>
  <si>
    <t>SR-FYN-MF</t>
  </si>
  <si>
    <t>SR-FYN</t>
  </si>
  <si>
    <t>B0FGV1B3SF</t>
  </si>
  <si>
    <t>SHKHDTCHJX3RARFD</t>
  </si>
  <si>
    <t>LSTSHKHDTCHJX3RARFDVJVMFT</t>
  </si>
  <si>
    <t>FVSGSR11BW51570</t>
  </si>
  <si>
    <t>FN2260662-S-PM39235</t>
  </si>
  <si>
    <t>FN2260662-S-WH41218</t>
  </si>
  <si>
    <t>SR-WMO-M</t>
  </si>
  <si>
    <t>SR-WMO</t>
  </si>
  <si>
    <t>B0FPR98T9T</t>
  </si>
  <si>
    <t>SHKHH6J5DFFH3BZV</t>
  </si>
  <si>
    <t>SB-VNO-M</t>
  </si>
  <si>
    <t>SB-VNO</t>
  </si>
  <si>
    <t>B0FGV4V8CC</t>
  </si>
  <si>
    <t>BSFHDTCWNHFDM8KQ</t>
  </si>
  <si>
    <t>LSTBSFHDTCWNHFDM8KQZ08BY6</t>
  </si>
  <si>
    <t>FVSGBR11BM51556</t>
  </si>
  <si>
    <t>FN2260659-S-PM39235</t>
  </si>
  <si>
    <t>FN2260659-S-WH41218</t>
  </si>
  <si>
    <t>W-AND-2MFW</t>
  </si>
  <si>
    <t>W-AND-2M</t>
  </si>
  <si>
    <t>B0B8J5QLZR</t>
  </si>
  <si>
    <t>WCLGS2ZB9JCRBMBZ</t>
  </si>
  <si>
    <t>LSTWCLGS2ZB9JCRBMBZJT2QVK</t>
  </si>
  <si>
    <t>FVSGCB33WH25041</t>
  </si>
  <si>
    <t>FN2027692-S-PM39235</t>
  </si>
  <si>
    <t>FN2027692-S-WH41218</t>
  </si>
  <si>
    <t>PU-SUB-F</t>
  </si>
  <si>
    <t>B0FPR7JXCG</t>
  </si>
  <si>
    <t>HTEHGGVN5BUSYZFY</t>
  </si>
  <si>
    <t>KD2280100-S-PM39397</t>
  </si>
  <si>
    <t>TU-ATD-M</t>
  </si>
  <si>
    <t>TU-ATD</t>
  </si>
  <si>
    <t>X001XQDYCT</t>
  </si>
  <si>
    <t>B0CMLV7KNG</t>
  </si>
  <si>
    <t>TVUH4M232FUMGQJF</t>
  </si>
  <si>
    <t xml:space="preserve"> LSTTVUH4M232FUMGQJFQYIEDH</t>
  </si>
  <si>
    <t>FVTBAV33BR32710</t>
  </si>
  <si>
    <t>FN2166570-S-PM39235</t>
  </si>
  <si>
    <t>FN2166570-S-WH41218</t>
  </si>
  <si>
    <t>W-CLO-345M</t>
  </si>
  <si>
    <t>W-CLO-345</t>
  </si>
  <si>
    <t>B0F8ZYDHKR</t>
  </si>
  <si>
    <t>WCLHCARG9TGYQJRF</t>
  </si>
  <si>
    <t>LSTWCLHCARG9TGYQJRFYL3KLZ</t>
  </si>
  <si>
    <t>FVSGCB11BR51514</t>
  </si>
  <si>
    <t>FN2260670-S-PM39235</t>
  </si>
  <si>
    <t>FN2260670-S-WH41218</t>
  </si>
  <si>
    <t>TU-BVN-M</t>
  </si>
  <si>
    <t>TU-BVN</t>
  </si>
  <si>
    <t>X0023H3JO5</t>
  </si>
  <si>
    <t>B0D9HHMNMB</t>
  </si>
  <si>
    <t>TVUH3BM6JZSR9HGN</t>
  </si>
  <si>
    <t>LSTTVUH3BM6JZSR9HGNAVTQYX</t>
  </si>
  <si>
    <t>FVSGAV11BM51540</t>
  </si>
  <si>
    <t>FN2194324-S-PM39235</t>
  </si>
  <si>
    <t>FN2194324-S-WH41218</t>
  </si>
  <si>
    <t>W-MLT-2NMF</t>
  </si>
  <si>
    <t>W-MLT-2N</t>
  </si>
  <si>
    <t>B0FDW98P3K</t>
  </si>
  <si>
    <t>WCLHDTBWZ5XXGEHT</t>
  </si>
  <si>
    <t>LSTWCLHDTBWZ5XXGEHTVXESDU</t>
  </si>
  <si>
    <t>FVSGCB11BW51518</t>
  </si>
  <si>
    <t>FN2260674-S-PM39235</t>
  </si>
  <si>
    <t>FN2260674-S-WH41218</t>
  </si>
  <si>
    <t>DC-CLV-MF</t>
  </si>
  <si>
    <t>DC-CLV</t>
  </si>
  <si>
    <t>X001YSQSY7</t>
  </si>
  <si>
    <t>B0CJCHPL4Z</t>
  </si>
  <si>
    <t>CSDGUGVE64QRTE3F</t>
  </si>
  <si>
    <t>LSTCSDGUGVE64QRTE3FN3KP4P</t>
  </si>
  <si>
    <t>FVSGDR33BR32695</t>
  </si>
  <si>
    <t>FN2135041-S-PM39235</t>
  </si>
  <si>
    <t>FN2135041-S-WH41218</t>
  </si>
  <si>
    <t>RT-DR-MF</t>
  </si>
  <si>
    <t>RT-DR</t>
  </si>
  <si>
    <t>X0021GF0F9</t>
  </si>
  <si>
    <t>B0CR4D1HLL</t>
  </si>
  <si>
    <t>DTBGWZXDGMTHG5GZ</t>
  </si>
  <si>
    <t>LSTDTBGWZXDGMTHG5GZVL70AO</t>
  </si>
  <si>
    <t>FVTBDS33BR32693</t>
  </si>
  <si>
    <t>FN2166586-S-PM39235</t>
  </si>
  <si>
    <t>FN2166586-S-WH41218</t>
  </si>
  <si>
    <t>ST-EFI-LAM</t>
  </si>
  <si>
    <t>ST-EFI-LA</t>
  </si>
  <si>
    <t>X0022AMS4Z</t>
  </si>
  <si>
    <t>B0D4HRH2ZL</t>
  </si>
  <si>
    <t>OSTHFRUZHPMABGER</t>
  </si>
  <si>
    <t>LSTOSTHFRUZHPMABGER4LTFJH</t>
  </si>
  <si>
    <t>FVTBST33BR50162</t>
  </si>
  <si>
    <t>FN2194310-S-PM39235</t>
  </si>
  <si>
    <t>FN2194310-S-WH41218</t>
  </si>
  <si>
    <t>TU-CBR-LAM</t>
  </si>
  <si>
    <t>TU-CBR-LA</t>
  </si>
  <si>
    <t>X001XQKNIH</t>
  </si>
  <si>
    <t>B07D6SJYVN</t>
  </si>
  <si>
    <t>TVUGWDJWVAP6PPGW</t>
  </si>
  <si>
    <t>LSTTVUGWDJWVAP6PPGWF8MY3F</t>
  </si>
  <si>
    <t>FVTBAV33BR32712</t>
  </si>
  <si>
    <t>FN2166563-S-PM39235</t>
  </si>
  <si>
    <t>FN2166563-S-WH41218</t>
  </si>
  <si>
    <t>SR-WHTO-MI</t>
  </si>
  <si>
    <t>X001WVFFQX</t>
  </si>
  <si>
    <t>B0CPC1LQSV</t>
  </si>
  <si>
    <t>BACGVHFJYWJFGBYZ</t>
  </si>
  <si>
    <t>LSTBACGVHFJYWJFGBYZTVCFPH</t>
  </si>
  <si>
    <t>FVSGBR33BR72388</t>
  </si>
  <si>
    <t>FN2166554-S-PM39235</t>
  </si>
  <si>
    <t>FN2152511-S-WH41218</t>
  </si>
  <si>
    <t>SR-CLM-3W</t>
  </si>
  <si>
    <t>X0021JQGUJ</t>
  </si>
  <si>
    <t>B09XBK1XZL</t>
  </si>
  <si>
    <t>CSDGDC3H5ZPBBDQS</t>
  </si>
  <si>
    <t>LSTCSDGDC3H5ZPBBDQSXKIAZO</t>
  </si>
  <si>
    <t>FVSGSR33WN20613</t>
  </si>
  <si>
    <t>FN1988012-S-PM39235</t>
  </si>
  <si>
    <t>FN1988012-S-WH41218</t>
  </si>
  <si>
    <t>ST-MLM-WS</t>
  </si>
  <si>
    <t>ST-MLM-N</t>
  </si>
  <si>
    <t>X001EC6JZB</t>
  </si>
  <si>
    <t>B07RSZD7Q9</t>
  </si>
  <si>
    <t>OSTFNFWGJSNYJXW8</t>
  </si>
  <si>
    <t>LSTOSTFNFWGJSNYJXW8COY6OJ</t>
  </si>
  <si>
    <t>FVSGCB33BR25130</t>
  </si>
  <si>
    <t>FN1991887-S-PM39235</t>
  </si>
  <si>
    <t>FN1991887-S-WH41218</t>
  </si>
  <si>
    <t>SB-CB-M</t>
  </si>
  <si>
    <t>SB-CB</t>
  </si>
  <si>
    <t>X001X2WOD3</t>
  </si>
  <si>
    <t>B0CP94C3ZR</t>
  </si>
  <si>
    <t>BSFGWM9NY3JHADDH</t>
  </si>
  <si>
    <t>LSTBSFGWM9NY3JHADDHC5TSUQ</t>
  </si>
  <si>
    <t>FVSGBR33BR32738</t>
  </si>
  <si>
    <t>FN2166574-S-PM39235</t>
  </si>
  <si>
    <t>FN2166574-S-WH41218</t>
  </si>
  <si>
    <t>SB-LGN.P-WF</t>
  </si>
  <si>
    <t>X001SQ9RV1</t>
  </si>
  <si>
    <t>B0C43R6BDK</t>
  </si>
  <si>
    <t>BSFGPPC4THYJBGCR</t>
  </si>
  <si>
    <t>LSTBSFGPPC4THYJBGCROSV3L8</t>
  </si>
  <si>
    <t>FVSGBR33BR50160</t>
  </si>
  <si>
    <t>FN2117969-S-PM39235</t>
  </si>
  <si>
    <t>FN2117969-S-WH41218</t>
  </si>
  <si>
    <t>SB-BNA-M</t>
  </si>
  <si>
    <t>SB-BNA</t>
  </si>
  <si>
    <t>B0FGV4VKVR</t>
  </si>
  <si>
    <t>BSFHDTCRGH6MCMGT</t>
  </si>
  <si>
    <t>LSTBSFHDTCRGH6MCMGTYYXJPQ</t>
  </si>
  <si>
    <t>FVSGBR11BM51549</t>
  </si>
  <si>
    <t>FN2260658-S-PM39235</t>
  </si>
  <si>
    <t>FN2260658-S-WH41218</t>
  </si>
  <si>
    <t>TU-RWT-LAWF</t>
  </si>
  <si>
    <t>B08XWB6RDQ</t>
  </si>
  <si>
    <t>TVUGD37H8ZS3YBPU</t>
  </si>
  <si>
    <t>LSTTVUGD37H8ZS3YBPUOGZJOC</t>
  </si>
  <si>
    <t>FVSGAV33WN20556</t>
  </si>
  <si>
    <t>FN1986324-S-PM39235</t>
  </si>
  <si>
    <t>FN1986324-S-WH41218</t>
  </si>
  <si>
    <t>W-AND-3MFW</t>
  </si>
  <si>
    <t>W-AND-3M</t>
  </si>
  <si>
    <t>B0B8MY6R22</t>
  </si>
  <si>
    <t>WCLGHCC3BKEDHRZ4</t>
  </si>
  <si>
    <t>LSTWCLGHCC3BKEDHRZ4HSYBOQ</t>
  </si>
  <si>
    <t>FVSGCB33WH25045</t>
  </si>
  <si>
    <t>FN2027696-S-PM39235</t>
  </si>
  <si>
    <t>FN2027696-S-WH41218</t>
  </si>
  <si>
    <t>W-AND-3NFW</t>
  </si>
  <si>
    <t>W-AND-3N</t>
  </si>
  <si>
    <t>B0B8MVG5YX</t>
  </si>
  <si>
    <t>WCLGHCC7YS3EYJFX</t>
  </si>
  <si>
    <t>LSTWCLGHCC7YS3EYJFXWGBVSL</t>
  </si>
  <si>
    <t>FVSGSR33BR71089</t>
  </si>
  <si>
    <t>FN2027697-S-PM39235</t>
  </si>
  <si>
    <t>FN2027697-S-WH41218</t>
  </si>
  <si>
    <t>ST-EFI-STM</t>
  </si>
  <si>
    <t>ST-EFI-ST</t>
  </si>
  <si>
    <t>B0DK38L15H</t>
  </si>
  <si>
    <t>OSTH63GVZG8SFV5E</t>
  </si>
  <si>
    <t>LSTOSTH63GVZG8SFV5E9E8XVK</t>
  </si>
  <si>
    <t>FVTBST11BM51564</t>
  </si>
  <si>
    <t>FN2229395-S-PM39235</t>
  </si>
  <si>
    <t>SR-MVS-M</t>
  </si>
  <si>
    <t>SR-MVS</t>
  </si>
  <si>
    <t>X00200SJOP</t>
  </si>
  <si>
    <t>B0CVN4PGRQ</t>
  </si>
  <si>
    <t>SHKGYH55S26RRHND</t>
  </si>
  <si>
    <t>LSTSHKGYH55S26RRHND9OWP0G</t>
  </si>
  <si>
    <t>FVSGBR33BR72392</t>
  </si>
  <si>
    <t>FN2194307-S-PM39235</t>
  </si>
  <si>
    <t>FN2194307-S-WH41218</t>
  </si>
  <si>
    <t>BT-NHE-M</t>
  </si>
  <si>
    <t>BT-NHE</t>
  </si>
  <si>
    <t>B0F8ZSS6BZ</t>
  </si>
  <si>
    <t>SITHCASHGFFHJWTF</t>
  </si>
  <si>
    <t>LSTSITHCASHGFFHJWTFK4UQO9</t>
  </si>
  <si>
    <t>FVTBBS11BR51512</t>
  </si>
  <si>
    <t>FN2260656-S-PM39235</t>
  </si>
  <si>
    <t>FN2260656-S-WH41218</t>
  </si>
  <si>
    <t>RT-FR-M</t>
  </si>
  <si>
    <t>RT-FR</t>
  </si>
  <si>
    <t>B06VWXSCPF</t>
  </si>
  <si>
    <t>DTBHBZRA4MNW9DHD</t>
  </si>
  <si>
    <t>FVTBDS11BR51522</t>
  </si>
  <si>
    <t>FN2260657-S-PM39235</t>
  </si>
  <si>
    <t>CT-TR-RTM</t>
  </si>
  <si>
    <t>CT-TR-RT</t>
  </si>
  <si>
    <t>X00232P8UD</t>
  </si>
  <si>
    <t>B0D4QM611T</t>
  </si>
  <si>
    <t>CFTH2QGHWFZEUDHT</t>
  </si>
  <si>
    <t>LSTCFTH2QGHWFZEUDHT8FKVZO</t>
  </si>
  <si>
    <t>FVTBCF33BR50152</t>
  </si>
  <si>
    <t>FN2229389-S-PM39235</t>
  </si>
  <si>
    <t>SR-PRG-MF</t>
  </si>
  <si>
    <t>SR-PRG</t>
  </si>
  <si>
    <t>X00200LJ3D</t>
  </si>
  <si>
    <t>B0CV3CFF9C</t>
  </si>
  <si>
    <t>SHKH4FRRPNHUEGXB</t>
  </si>
  <si>
    <t>LSTSHKH4FRRPNHUEGXBE8GVX0</t>
  </si>
  <si>
    <t>FVSGBR33BR72394</t>
  </si>
  <si>
    <t>FN2194308-S-PM39235</t>
  </si>
  <si>
    <t>FN2194308-S-WH41218</t>
  </si>
  <si>
    <t>TU-MA-LAMF</t>
  </si>
  <si>
    <t>TU-MA-LA</t>
  </si>
  <si>
    <t>X0024877YL</t>
  </si>
  <si>
    <t>B0CK5QKMHP</t>
  </si>
  <si>
    <t>TVUGWG73GTZSTCB6</t>
  </si>
  <si>
    <t>LSTTVUGWG73GTZSTCB60MCREC</t>
  </si>
  <si>
    <t>FVTBAV33BR32718</t>
  </si>
  <si>
    <t>FN2166566-S-PM39235</t>
  </si>
  <si>
    <t>FN2166566-S-WH41218</t>
  </si>
  <si>
    <t>SR-OLY-MI</t>
  </si>
  <si>
    <t>SR-OLY</t>
  </si>
  <si>
    <t>X001YXZYGZ</t>
  </si>
  <si>
    <t>B09XBDHDPW</t>
  </si>
  <si>
    <t>CSDGVWVPZGESQVSN</t>
  </si>
  <si>
    <t>LSTCSDGVWVPZGESQVSNANCYOY</t>
  </si>
  <si>
    <t>FVSGSR33BR32759</t>
  </si>
  <si>
    <t>FN2166551-S-PM39235</t>
  </si>
  <si>
    <t>FN2166551-S-WH41218</t>
  </si>
  <si>
    <t>S-AE-W6</t>
  </si>
  <si>
    <t>S-AE</t>
  </si>
  <si>
    <t>X000LKMUXH</t>
  </si>
  <si>
    <t>B01FOAFXLQ</t>
  </si>
  <si>
    <t>BSFETYFVRDHUHU9Z</t>
  </si>
  <si>
    <t>LSTBSFETYFVRDHUHU9ZXAWOCQ</t>
  </si>
  <si>
    <t>FVSGCB33WG25067</t>
  </si>
  <si>
    <t>FN2030304-S-PM39235</t>
  </si>
  <si>
    <t>W-CLO-4M</t>
  </si>
  <si>
    <t>W-CLO-4</t>
  </si>
  <si>
    <t>B0F916LBY9</t>
  </si>
  <si>
    <t>WCLHCARGGWNAWKHC</t>
  </si>
  <si>
    <t>LSTWCLHCARGGWNAWKHCLUS45C</t>
  </si>
  <si>
    <t>FVSGCB11BR51516</t>
  </si>
  <si>
    <t>FN2260672-S-PM39235</t>
  </si>
  <si>
    <t>FN2260672-S-WH41218</t>
  </si>
  <si>
    <t>ST-CBN-SMF</t>
  </si>
  <si>
    <t>ST-CBN-S</t>
  </si>
  <si>
    <t>X001Z313P5</t>
  </si>
  <si>
    <t>B0CVN9LTNC</t>
  </si>
  <si>
    <t>OSTGYH5Q4QZCH9C2</t>
  </si>
  <si>
    <t>LSTOSTGYH5Q4QZCH9C2LYE6LC</t>
  </si>
  <si>
    <t>FVTBST33BR32750</t>
  </si>
  <si>
    <t>FN2194309-S-PM39235</t>
  </si>
  <si>
    <t>FN2194309-S-WH41218</t>
  </si>
  <si>
    <t>SR-BKN-MF</t>
  </si>
  <si>
    <t>X001YSR0UD</t>
  </si>
  <si>
    <t>B0CJRS1LB2</t>
  </si>
  <si>
    <t>SHKGUJYVKZPFWZA7</t>
  </si>
  <si>
    <t>LSTSHKGUJYVKZPFWZA7IYNNVA</t>
  </si>
  <si>
    <t>FVSGSR33BR32752</t>
  </si>
  <si>
    <t>FN2152509-S-PM39235</t>
  </si>
  <si>
    <t>FN2152509-S-WH41218</t>
  </si>
  <si>
    <t>SB-SN-NW</t>
  </si>
  <si>
    <t>SB-SN-N</t>
  </si>
  <si>
    <t>X001CODCSX</t>
  </si>
  <si>
    <t>B08YWPGQ65</t>
  </si>
  <si>
    <t>BSFGF9PA3FDZUTB7</t>
  </si>
  <si>
    <t>LSTBSFGF9PA3FDZUTB7VVXN8G</t>
  </si>
  <si>
    <t>FVSGBR33WN20584</t>
  </si>
  <si>
    <t>FN1991893-S-PM39235</t>
  </si>
  <si>
    <t>FN1991893-S-WH41218</t>
  </si>
  <si>
    <t>TU-PMG-STMF</t>
  </si>
  <si>
    <t>TU-PMG-ST</t>
  </si>
  <si>
    <t>X001VYW48X</t>
  </si>
  <si>
    <t>B0CK5TZTNF</t>
  </si>
  <si>
    <t>TVUGVG6QPFPWDQRG</t>
  </si>
  <si>
    <t>LSTTVUGVG6QPFPWDQRGVUV3JZ</t>
  </si>
  <si>
    <t>FVTBAV33BR32722</t>
  </si>
  <si>
    <t>FN2152516-S-PM39235</t>
  </si>
  <si>
    <t>CT-NO-RTM</t>
  </si>
  <si>
    <t>CT-NO-RT</t>
  </si>
  <si>
    <t>X001WE0PVP</t>
  </si>
  <si>
    <t>B06VWV8XVD</t>
  </si>
  <si>
    <t>CFTGW3KGDBBDXSZF</t>
  </si>
  <si>
    <t>LSTCFTGW3KGDBBDXSZFZXQDDV</t>
  </si>
  <si>
    <t>FVTBCF33BR32700</t>
  </si>
  <si>
    <t>FN2152504-S-PM39235</t>
  </si>
  <si>
    <t>FN2152504-S-WH41218</t>
  </si>
  <si>
    <t>W-BNO-MF</t>
  </si>
  <si>
    <t>W-BNO</t>
  </si>
  <si>
    <t>B0F9173CCD</t>
  </si>
  <si>
    <t>WCLHC8U9KUQEJBZE</t>
  </si>
  <si>
    <t>LSTWCLHC8U9KUQEJBZE7TGRQZ</t>
  </si>
  <si>
    <t>FVSGCB11BW51513</t>
  </si>
  <si>
    <t>FN2260669-S-PM39235</t>
  </si>
  <si>
    <t>FN2260669-S-WH41218</t>
  </si>
  <si>
    <t>CT-DOV-WF</t>
  </si>
  <si>
    <t>CT-DOV</t>
  </si>
  <si>
    <t>X001KJRCDV</t>
  </si>
  <si>
    <t>B09YRPFNVT</t>
  </si>
  <si>
    <t>CFTGG8GZKRJFZXF3</t>
  </si>
  <si>
    <t>LSTCFTGG8GZKRJFZXF3MWOHZ7</t>
  </si>
  <si>
    <t>FVTBCF33WW20626</t>
  </si>
  <si>
    <t>FN2030314-S-PM39235</t>
  </si>
  <si>
    <t>FN2030314-S-WH41218</t>
  </si>
  <si>
    <t>TU-PMG-LAW</t>
  </si>
  <si>
    <t>TU-PMG-LA</t>
  </si>
  <si>
    <t>X001I5KUIL</t>
  </si>
  <si>
    <t>B09PBSL1M2</t>
  </si>
  <si>
    <t>TVUGAB6HTH3Z7CEK</t>
  </si>
  <si>
    <t>LSTTVUGAB6HTH3Z7CEKYJMK5O</t>
  </si>
  <si>
    <t>FVSGAV33WN20542</t>
  </si>
  <si>
    <t>FN1986325-S-PM39235</t>
  </si>
  <si>
    <t>ST-MLM-LMF</t>
  </si>
  <si>
    <t>ST-MLM-L</t>
  </si>
  <si>
    <t>X0024ZGY0H</t>
  </si>
  <si>
    <t>B0DFGZJT6J</t>
  </si>
  <si>
    <t>OSTH45Z8Y5BHYPDH</t>
  </si>
  <si>
    <t>LSTOSTH45Z8Y5BHYPDHVACS56</t>
  </si>
  <si>
    <t>FVTBST11BW51565</t>
  </si>
  <si>
    <t>FN2229397-S-PM39235</t>
  </si>
  <si>
    <t>FN2229397-S-WH41218</t>
  </si>
  <si>
    <t>CT-ATD-STM</t>
  </si>
  <si>
    <t>CT-ATD</t>
  </si>
  <si>
    <t>X0020NXUKF</t>
  </si>
  <si>
    <t>B0CP93LCVW</t>
  </si>
  <si>
    <t>CFTGWDMF66BKQHEN</t>
  </si>
  <si>
    <t>LSTCFTGWDMF66BKQHENJ0TER0</t>
  </si>
  <si>
    <t>FVTBCF33BR32698</t>
  </si>
  <si>
    <t>FN2166569-S-PM39235</t>
  </si>
  <si>
    <t>ST-RDO-M</t>
  </si>
  <si>
    <t>ST-RDO</t>
  </si>
  <si>
    <t>B0D9HDHH7T</t>
  </si>
  <si>
    <t>OSTH3CFVGZGGFBHY</t>
  </si>
  <si>
    <t>LSTOSTH3CFVGZGGFBHYLHBDXF</t>
  </si>
  <si>
    <t>FVTBST33BR50163</t>
  </si>
  <si>
    <t>FN2194321-S-PM39235</t>
  </si>
  <si>
    <t>FN2194321-S-WH41218</t>
  </si>
  <si>
    <t>CT-VC-W</t>
  </si>
  <si>
    <t>CT-VC</t>
  </si>
  <si>
    <t>X000PRUWX1</t>
  </si>
  <si>
    <t>B06WLNKHXD</t>
  </si>
  <si>
    <t>CFTET3C435FSJRF6</t>
  </si>
  <si>
    <t>LSTCFTET3C435FSJRF6NYLPLG</t>
  </si>
  <si>
    <t>FVTBCF33WN20660</t>
  </si>
  <si>
    <t>FN1991897-S-PM39235</t>
  </si>
  <si>
    <t>FN1991897-S-WH41218</t>
  </si>
  <si>
    <t>S-BR-F6L</t>
  </si>
  <si>
    <t>S-BR-F6</t>
  </si>
  <si>
    <t>Walnut</t>
  </si>
  <si>
    <t>X001GVD3H7</t>
  </si>
  <si>
    <t>B09LD22YFC</t>
  </si>
  <si>
    <t>BSFFBPZUDDHGG28P</t>
  </si>
  <si>
    <t>LSTBSFFBPZUDDHGG28PBZLSNA</t>
  </si>
  <si>
    <t>FVSGCB33WL25079</t>
  </si>
  <si>
    <t>DE2231308-S-PM39397</t>
  </si>
  <si>
    <t>B-RVB-QNM</t>
  </si>
  <si>
    <t>B-RVB-QN</t>
  </si>
  <si>
    <t>B08XW1VX4Q</t>
  </si>
  <si>
    <t>BDDGUJ245EZV5GRZ</t>
  </si>
  <si>
    <t>LSTBDDGUJ245EZV5GRZNIFGRK</t>
  </si>
  <si>
    <t>FVBDNS33BR32685</t>
  </si>
  <si>
    <t>FN2152500-S-PM39235</t>
  </si>
  <si>
    <t>FN2152500-S-WH41218</t>
  </si>
  <si>
    <t>W-AND-4NMI</t>
  </si>
  <si>
    <t>W-AND-4N</t>
  </si>
  <si>
    <t>B0CR4BQFMW</t>
  </si>
  <si>
    <t>WCLGWZZNHBB9FHNY</t>
  </si>
  <si>
    <t>LSTWCLGWZZNHBB9FHNYWZSQLK</t>
  </si>
  <si>
    <t>FVSGCB33BR32692</t>
  </si>
  <si>
    <t>FN2166584-S-PM39235</t>
  </si>
  <si>
    <t>TU-PTL-M</t>
  </si>
  <si>
    <t>TU-PTL</t>
  </si>
  <si>
    <t>X0024ADWB1</t>
  </si>
  <si>
    <t>B0D9HFGGQ9</t>
  </si>
  <si>
    <t>TVUH3BMY2HKQQF6D</t>
  </si>
  <si>
    <t>LSTTVUH3BMY2HKQQF6DXBOIS8</t>
  </si>
  <si>
    <t>FVSGAV33BR50158</t>
  </si>
  <si>
    <t>FN2194323-S-PM39235</t>
  </si>
  <si>
    <t>SR-KPN-FW</t>
  </si>
  <si>
    <t>X0023FVU9D</t>
  </si>
  <si>
    <t>B09TXMJP9P</t>
  </si>
  <si>
    <t>CSDGCHW3YYJEYG6A</t>
  </si>
  <si>
    <t>LSTCSDGCHW3YYJEYG6A6XZNFH</t>
  </si>
  <si>
    <t>FVSGSR33WW20616</t>
  </si>
  <si>
    <t>FN1988014-S-PM39235</t>
  </si>
  <si>
    <t>FN1988014-S-WH41218</t>
  </si>
  <si>
    <t>W-AND-12NWF</t>
  </si>
  <si>
    <t>W-AND-12N</t>
  </si>
  <si>
    <t>X001YXWLWZ</t>
  </si>
  <si>
    <t>B0BCZ7QS8Q</t>
  </si>
  <si>
    <t>WCLGG2F5CBADX7WZ</t>
  </si>
  <si>
    <t>LSTWCLGG2F5CBADX7WZUJE5OU</t>
  </si>
  <si>
    <t>FVSGSR33BR71085</t>
  </si>
  <si>
    <t>FN2087155-S-PM39235</t>
  </si>
  <si>
    <t>FN2087155-S-WH41218</t>
  </si>
  <si>
    <t>W-AND-4NFW</t>
  </si>
  <si>
    <t>B0B8MXTLK2</t>
  </si>
  <si>
    <t>WCLGHCFHGA2YHGHM</t>
  </si>
  <si>
    <t>LSTWCLGHCFHGA2YHGHMLG96C4</t>
  </si>
  <si>
    <t>FVSGSR33BR71093</t>
  </si>
  <si>
    <t>FN2027701-S-PM39235</t>
  </si>
  <si>
    <t>FN2027701-S-WH41218</t>
  </si>
  <si>
    <t>W-AND-10NWF</t>
  </si>
  <si>
    <t>W-AND-10N</t>
  </si>
  <si>
    <t>X001YSPS43</t>
  </si>
  <si>
    <t>B0BCZ57BV8</t>
  </si>
  <si>
    <t>WCLGG2YP4TDN5FCG</t>
  </si>
  <si>
    <t>LSTWCLGG2YP4TDN5FCGBWKFAK</t>
  </si>
  <si>
    <t>FVSGSR33BR71081</t>
  </si>
  <si>
    <t>FN2087153-S-PM39235</t>
  </si>
  <si>
    <t>TU-LE-M</t>
  </si>
  <si>
    <t>TU-LE</t>
  </si>
  <si>
    <t>B06XMXN38X</t>
  </si>
  <si>
    <t>TVUH2APYR3HJFGMF</t>
  </si>
  <si>
    <t>LSTTVUH2APYR3HJFGMFHPDNOI</t>
  </si>
  <si>
    <t>FVSGAV11BM51543</t>
  </si>
  <si>
    <t>FN2229401-S-PM39235</t>
  </si>
  <si>
    <t>FN2229401-S-WH41218</t>
  </si>
  <si>
    <t>TU-VC-MF</t>
  </si>
  <si>
    <t>TU-VC</t>
  </si>
  <si>
    <t>B06X3XP3PM</t>
  </si>
  <si>
    <t>TVUHHBRJBZYKNZFX</t>
  </si>
  <si>
    <t>ST-KYA-M</t>
  </si>
  <si>
    <t>ST-KYA</t>
  </si>
  <si>
    <t>B0D9H9NBG2</t>
  </si>
  <si>
    <t>OSTH3CFTSQDAKVZC</t>
  </si>
  <si>
    <t>LSTOSTH3CFTSQDAKVZC4NSXRA</t>
  </si>
  <si>
    <t>FVTBST33BR50164</t>
  </si>
  <si>
    <t>FN2194322-S-PM39235</t>
  </si>
  <si>
    <t>FN2194322-S-WH41218</t>
  </si>
  <si>
    <t>S-PTE-W</t>
  </si>
  <si>
    <t>X001KOZCAB</t>
  </si>
  <si>
    <t>B09Y5SY1FT</t>
  </si>
  <si>
    <t>BSFGG8HTV922UEJH</t>
  </si>
  <si>
    <t>LSTBSFGG8HTV922UEJHMW9TEN</t>
  </si>
  <si>
    <t>FVSGCB33WG25100</t>
  </si>
  <si>
    <t>DE2034598-S-PM39397</t>
  </si>
  <si>
    <t>KC-OPT-1SF</t>
  </si>
  <si>
    <t>KC-OPT-1S</t>
  </si>
  <si>
    <t>B0F8ZH3X7Q</t>
  </si>
  <si>
    <t>KTCHCARUDGCFWGYT</t>
  </si>
  <si>
    <t>LSTKTCHCARUDGCFWGYTRAKZN8</t>
  </si>
  <si>
    <t>FVSGSB11WH51524</t>
  </si>
  <si>
    <t>KD2280086-S-PM39397</t>
  </si>
  <si>
    <t>W-AND-4MMI</t>
  </si>
  <si>
    <t>W-AND-4M</t>
  </si>
  <si>
    <t>B0CR4BK46M</t>
  </si>
  <si>
    <t>WCLGWZZNVVSVHHJH</t>
  </si>
  <si>
    <t>LSTWCLGWZZNVVSVHHJHN0EMDS</t>
  </si>
  <si>
    <t>FVSGCB33BR32691</t>
  </si>
  <si>
    <t>FN2166585-S-PM39235</t>
  </si>
  <si>
    <t>ST-MLM-NMF</t>
  </si>
  <si>
    <t>X0024ZRXCP</t>
  </si>
  <si>
    <t>B0DHL26N3W</t>
  </si>
  <si>
    <t>OSTH4WFAEEFKH56X</t>
  </si>
  <si>
    <t>LSTOSTH4WFAEEFKH56XOHIWWC</t>
  </si>
  <si>
    <t>FVTBST11BW51566</t>
  </si>
  <si>
    <t>FN2229398-S-PM39235</t>
  </si>
  <si>
    <t>FN2229398-S-WH41218</t>
  </si>
  <si>
    <t>TU-FL-OF</t>
  </si>
  <si>
    <t>B0FNMP7PS2</t>
  </si>
  <si>
    <t>TVUHH6GHKZ7UEFD2</t>
  </si>
  <si>
    <t>BT-OL-DWF</t>
  </si>
  <si>
    <t>BT-OL-D</t>
  </si>
  <si>
    <t>X001RHEID3</t>
  </si>
  <si>
    <t>B0CV5R64K5</t>
  </si>
  <si>
    <t>SITGP9UFBHUVTBEG</t>
  </si>
  <si>
    <t>LSTSITGP9UFBHUVTBEGYVN0WU</t>
  </si>
  <si>
    <t>FVTBBS33BR50139</t>
  </si>
  <si>
    <t>FN2087133-S-PM39235</t>
  </si>
  <si>
    <t>FN2087133-S-WH41218</t>
  </si>
  <si>
    <t>TU-RWT-MWF</t>
  </si>
  <si>
    <t>TU-RWT-M</t>
  </si>
  <si>
    <t>X001YY225F</t>
  </si>
  <si>
    <t>B09YRHB62S</t>
  </si>
  <si>
    <t>TVUGG8JJFZAM9MBJ</t>
  </si>
  <si>
    <t>LSTTVUGG8JJFZAM9MBJFDOMEB</t>
  </si>
  <si>
    <t>FVSGAV33WW20557</t>
  </si>
  <si>
    <t>FN2030342-S-PM39235</t>
  </si>
  <si>
    <t>FN2030342-S-WH41218</t>
  </si>
  <si>
    <t>B-MLT-QTMI</t>
  </si>
  <si>
    <t>B-MLT-QT</t>
  </si>
  <si>
    <t>B0CP3L1R7C</t>
  </si>
  <si>
    <t>BDDGVWRPKDPG8ENT</t>
  </si>
  <si>
    <t>LSTBDDGVWRPKDPG8ENTDXDQSO</t>
  </si>
  <si>
    <t>FVBDST33BR32683</t>
  </si>
  <si>
    <t>FN2152503-S-PM39235</t>
  </si>
  <si>
    <t>FN2152503-S-WH41218</t>
  </si>
  <si>
    <t>W-AND-2NFW</t>
  </si>
  <si>
    <t>W-AND-2N</t>
  </si>
  <si>
    <t>B0B8J7J2K1</t>
  </si>
  <si>
    <t>WCLGHCBMXMYDWS8Z</t>
  </si>
  <si>
    <t>LSTWCLGHCBMXMYDWS8ZFUXN6V</t>
  </si>
  <si>
    <t>FVSGCB33WH25042</t>
  </si>
  <si>
    <t>FN2027693-S-PM39235</t>
  </si>
  <si>
    <t>FN2027693-S-WH41218</t>
  </si>
  <si>
    <t>SR-KPN-OF</t>
  </si>
  <si>
    <t>B0FNMLFK2K</t>
  </si>
  <si>
    <t>SHKHH6GXCXBTNYNC</t>
  </si>
  <si>
    <t>CT-TLY.E-MI</t>
  </si>
  <si>
    <t>CT-TLY</t>
  </si>
  <si>
    <t>X001VG6ADB</t>
  </si>
  <si>
    <t>B0CBSLL2FN</t>
  </si>
  <si>
    <t>CFTH2QEES2DWHHQ4</t>
  </si>
  <si>
    <t>LSTCFTH2QEES2DWHHQ4CQW40S</t>
  </si>
  <si>
    <t>FVTBCF33BR50151</t>
  </si>
  <si>
    <t>FN2194297-S-PM39235</t>
  </si>
  <si>
    <t>CT-MT-ROF</t>
  </si>
  <si>
    <t>CT-MT-RO</t>
  </si>
  <si>
    <t>X001KC4HSV</t>
  </si>
  <si>
    <t>B09X1H9HXP</t>
  </si>
  <si>
    <t>CFTGDCFZFVFUYVBQ</t>
  </si>
  <si>
    <t>LSTCFTGDCFZFVFUYVBQ2BREIT</t>
  </si>
  <si>
    <t>FVTBCF33WH20641</t>
  </si>
  <si>
    <t>FN1991984-S-PM39235</t>
  </si>
  <si>
    <t>FN1991984-S-WH41218</t>
  </si>
  <si>
    <t>SB-MXL-LAWF</t>
  </si>
  <si>
    <t>SB-MXL-LA</t>
  </si>
  <si>
    <t>X001D0RNKT</t>
  </si>
  <si>
    <t>B08YWLTJYN</t>
  </si>
  <si>
    <t>BSFGF9PBFMBPQQ54</t>
  </si>
  <si>
    <t>LSTBSFGF9PBFMBPQQ545YGPZI</t>
  </si>
  <si>
    <t>FVSGBR33WN20577</t>
  </si>
  <si>
    <t>FN1988002-S-PM39235</t>
  </si>
  <si>
    <t>RG-KHS-SW-W1</t>
  </si>
  <si>
    <t>KHS-SW-W1</t>
  </si>
  <si>
    <t>X000MRHTH1</t>
  </si>
  <si>
    <t>B00OESB8NM</t>
  </si>
  <si>
    <t>RSFE3E9AWDNPGQPG</t>
  </si>
  <si>
    <t>LSTRSFE3E9AWDNPGQPGR3FBZ7</t>
  </si>
  <si>
    <t>DE1994927-S-PM39397</t>
  </si>
  <si>
    <t>TU-CRL-MF</t>
  </si>
  <si>
    <t>TU-CRL</t>
  </si>
  <si>
    <t>X001YY3VA5</t>
  </si>
  <si>
    <t>B0CP97NG2T</t>
  </si>
  <si>
    <t>TVUGWDKEZTKACFZP</t>
  </si>
  <si>
    <t>LSTTVUGWDKEZTKACFZPFKDFMZ</t>
  </si>
  <si>
    <t>FVTBAV33BR32713</t>
  </si>
  <si>
    <t>FN2166571-S-PM39235</t>
  </si>
  <si>
    <t>FN2166571-S-WH41218</t>
  </si>
  <si>
    <t>ST-WLD-MF</t>
  </si>
  <si>
    <t>ST-WLD</t>
  </si>
  <si>
    <t>X001YSQSXN</t>
  </si>
  <si>
    <t>B0CJBV5CWY</t>
  </si>
  <si>
    <t>OSTH7RE2R3YFECUV</t>
  </si>
  <si>
    <t>LSTOSTH7RE2R3YFECUVLR9BPF</t>
  </si>
  <si>
    <t>FVTBST33BR32749</t>
  </si>
  <si>
    <t>FN2135047-S-PM39235</t>
  </si>
  <si>
    <t>TU-PMG-LAMF</t>
  </si>
  <si>
    <t>X001YHHVBH</t>
  </si>
  <si>
    <t>B0CNXGMJ6H</t>
  </si>
  <si>
    <t>TVUGWDHNHGEWWVYY</t>
  </si>
  <si>
    <t>LSTTVUGWDHNHGEWWVYYRJL5VZ</t>
  </si>
  <si>
    <t>FVTBAV33BR32721</t>
  </si>
  <si>
    <t>FN2166559-S-PM39235</t>
  </si>
  <si>
    <t>SR-CLM-2W</t>
  </si>
  <si>
    <t>X001KBGMI5</t>
  </si>
  <si>
    <t>B09XBFG42M</t>
  </si>
  <si>
    <t>CSDGDC3HRKZZWKZM</t>
  </si>
  <si>
    <t>LSTCSDGDC3HRKZZWKZMHNIINE</t>
  </si>
  <si>
    <t>FVSGSR33WN20612</t>
  </si>
  <si>
    <t>FN2030333-S-PM39235</t>
  </si>
  <si>
    <t>FN2030333-S-WH41218</t>
  </si>
  <si>
    <t>RT-DR-W</t>
  </si>
  <si>
    <t>X0021NQCM7</t>
  </si>
  <si>
    <t>B08XKM34YM</t>
  </si>
  <si>
    <t>DTBGYV89GHVNHGGH</t>
  </si>
  <si>
    <t>LSTDTBGYV89GHVNHGGHH4FCZT</t>
  </si>
  <si>
    <t>FVTBDS33BR20498</t>
  </si>
  <si>
    <t>FN2030324-S-PM39235</t>
  </si>
  <si>
    <t>SB-WLB-MF</t>
  </si>
  <si>
    <t>SB-WLB</t>
  </si>
  <si>
    <t>X001WHRB69</t>
  </si>
  <si>
    <t>B0D9QLHQLV</t>
  </si>
  <si>
    <t>BSFGVWXTHFAFHAAR</t>
  </si>
  <si>
    <t>LSTBSFGVWXTHFAFHAARXVF2NE</t>
  </si>
  <si>
    <t>FVSGBR33BR32746</t>
  </si>
  <si>
    <t>FN2166556-S-PM39235</t>
  </si>
  <si>
    <t>S-LO-L5</t>
  </si>
  <si>
    <t>S-LO</t>
  </si>
  <si>
    <t>X000KKFET5</t>
  </si>
  <si>
    <t>B01FNYMQFE</t>
  </si>
  <si>
    <t>RSFEKHY8SGDBDUZ9</t>
  </si>
  <si>
    <t>LSTRSFEKHY8SGDBDUZ9XRLFQD</t>
  </si>
  <si>
    <t>FVSGCB33WL25094</t>
  </si>
  <si>
    <t>DE1994915-S-PM39397</t>
  </si>
  <si>
    <t>KH-SUT-5M</t>
  </si>
  <si>
    <t>KH-SUT-5</t>
  </si>
  <si>
    <t>B0DJMMFVV7</t>
  </si>
  <si>
    <t>KHRH7PCHZHDPPMZH</t>
  </si>
  <si>
    <t>LSTKHRH7PCHZHDPPMZHGPELX4</t>
  </si>
  <si>
    <t>DE2231298-S-PM39397</t>
  </si>
  <si>
    <t>TU-OL-M</t>
  </si>
  <si>
    <t>TU-OL</t>
  </si>
  <si>
    <t>X001X2QSRV</t>
  </si>
  <si>
    <t>B06WGS759B</t>
  </si>
  <si>
    <t>TVUGWM9QHXHETNY7</t>
  </si>
  <si>
    <t>LSTTVUGWM9QHXHETNY7AVPSU6</t>
  </si>
  <si>
    <t>FVTBAV33BR32720</t>
  </si>
  <si>
    <t>FN2166572-S-PM39235</t>
  </si>
  <si>
    <t>FN2166572-S-WH41218</t>
  </si>
  <si>
    <t>TU-RYE-STMI</t>
  </si>
  <si>
    <t>TU-RYE-ST</t>
  </si>
  <si>
    <t>X0021J58IP</t>
  </si>
  <si>
    <t>B0CT2ZMKGM</t>
  </si>
  <si>
    <t>TVUGZN6UWAZSAYZE</t>
  </si>
  <si>
    <t>LSTTVUGZN6UWAZSAYZE5C20L7</t>
  </si>
  <si>
    <t>FVSGAV33BR50157</t>
  </si>
  <si>
    <t>FN2194318-S-PM39235</t>
  </si>
  <si>
    <t>FN2194318-S-WH41218</t>
  </si>
  <si>
    <t>S-CRF-M</t>
  </si>
  <si>
    <t>S-CRF</t>
  </si>
  <si>
    <t>X0021NV8XF</t>
  </si>
  <si>
    <t>B0D4QW6WHR</t>
  </si>
  <si>
    <t>BSFH2QHKBXQXH8ZG</t>
  </si>
  <si>
    <t>LSTBSFH2QHKBXQXH8ZGYZFDWT</t>
  </si>
  <si>
    <t>FVSGBR11BM51558</t>
  </si>
  <si>
    <t>DE2198504-S-PM39397</t>
  </si>
  <si>
    <t>TU-RE-MI</t>
  </si>
  <si>
    <t>TU-RE-LA</t>
  </si>
  <si>
    <t>X001VNEWLL</t>
  </si>
  <si>
    <t>B0CGRPJN9Z</t>
  </si>
  <si>
    <t>TVUGUGZASASTJCSZ</t>
  </si>
  <si>
    <t>LSTTVUGUGZASASTJCSZLTEBY0</t>
  </si>
  <si>
    <t>FVTBAV33BR32723</t>
  </si>
  <si>
    <t>FN2152517-S-PM39235</t>
  </si>
  <si>
    <t>FN2152517-S-WH41218</t>
  </si>
  <si>
    <t>ST-CBN-PMF</t>
  </si>
  <si>
    <t>ST-CBN-P</t>
  </si>
  <si>
    <t>B0F6D9DH3F</t>
  </si>
  <si>
    <t>OSTHBWCGVJHARYP3</t>
  </si>
  <si>
    <t>FVTBST11BW51563</t>
  </si>
  <si>
    <t>FN2260666-S-PM39235</t>
  </si>
  <si>
    <t>FN2260666-S-WH41218</t>
  </si>
  <si>
    <t>DT-HE-4W</t>
  </si>
  <si>
    <t>DT-HE-4</t>
  </si>
  <si>
    <t>X000V55A7F</t>
  </si>
  <si>
    <t>B07D3SW8NK</t>
  </si>
  <si>
    <t>DNTFHHQCWEJXTGPD</t>
  </si>
  <si>
    <t>LSTDNTFHHQCWEJXTGPD9SFVHT</t>
  </si>
  <si>
    <t>FVTBDI33BR20507</t>
  </si>
  <si>
    <t>FN2030321-S-PM39235</t>
  </si>
  <si>
    <t>S-LO-W5</t>
  </si>
  <si>
    <t>X000KKFEQ3</t>
  </si>
  <si>
    <t>B01FNXRXVM</t>
  </si>
  <si>
    <t>BSFESMZZZFTS67J6</t>
  </si>
  <si>
    <t>LSTBSFESMZZZFTS67J6EEETRE</t>
  </si>
  <si>
    <t>FVSGCB33WG25095</t>
  </si>
  <si>
    <t>DE1994887-S-PM39397</t>
  </si>
  <si>
    <t>S-CRF-W</t>
  </si>
  <si>
    <t>X001K4HMOP</t>
  </si>
  <si>
    <t>B09Y5V46GY</t>
  </si>
  <si>
    <t>BSFGG8HNDBZ8AGSH</t>
  </si>
  <si>
    <t>LSTBSFGG8HNDBZ8AGSHRR4JVM</t>
  </si>
  <si>
    <t>FVSGCB33WG25085</t>
  </si>
  <si>
    <t>DE2034596-S-PM39397</t>
  </si>
  <si>
    <t>SB-SN-NMI</t>
  </si>
  <si>
    <t>X001XER945</t>
  </si>
  <si>
    <t>B0CK1RQWFF</t>
  </si>
  <si>
    <t>BSFGZMABGQVB6X36</t>
  </si>
  <si>
    <t>LSTBSFGZMABGQVB6X36XXFX9D</t>
  </si>
  <si>
    <t>FVSGBR33BR72368</t>
  </si>
  <si>
    <t>FN2152507-S-PM39235</t>
  </si>
  <si>
    <t>FN2152507-S-WH41218</t>
  </si>
  <si>
    <t>CT-MT-RTW</t>
  </si>
  <si>
    <t>CT-MT-RT</t>
  </si>
  <si>
    <t>B09X1LH2VV</t>
  </si>
  <si>
    <t>CFTGDCFVN5C2DDN9</t>
  </si>
  <si>
    <t>LSTCFTGDCFVN5C2DDN9XOHJR3</t>
  </si>
  <si>
    <t>FVTBCF33WN20643</t>
  </si>
  <si>
    <t>FN1991993-S-PM39235</t>
  </si>
  <si>
    <t>FN1991993-S-WH41218</t>
  </si>
  <si>
    <t>SH-DVN-M</t>
  </si>
  <si>
    <t>SH-DVN</t>
  </si>
  <si>
    <t>B0F6D7FKTV</t>
  </si>
  <si>
    <t>RSFHBWFFZUETWJXX</t>
  </si>
  <si>
    <t>S-LO-5M</t>
  </si>
  <si>
    <t>B0DFHF5SZZ</t>
  </si>
  <si>
    <t>BSFH45Z63EYHWFHP</t>
  </si>
  <si>
    <t>LSTBSFH45Z63EYHWFHPYQIXOV</t>
  </si>
  <si>
    <t>FVSGBR11BM51560</t>
  </si>
  <si>
    <t>DE2231312-S-PM39397</t>
  </si>
  <si>
    <t>S-BR-F6W</t>
  </si>
  <si>
    <t>X001GWVL6B</t>
  </si>
  <si>
    <t>B07CVHM2RJ</t>
  </si>
  <si>
    <t>BSFFBPZU3FSFZTWH</t>
  </si>
  <si>
    <t>LSTBSFFBPZU3FSFZTWHMMGANC</t>
  </si>
  <si>
    <t>FVSGCB33WG25080</t>
  </si>
  <si>
    <t>DE1994880-S-PM39397</t>
  </si>
  <si>
    <t>PU-SDI-STMF</t>
  </si>
  <si>
    <t>PU-SDI-ST</t>
  </si>
  <si>
    <t>X001WFR4EP</t>
  </si>
  <si>
    <t>B0CK2GCBYM</t>
  </si>
  <si>
    <t>HTEGVG9FE9EK6VGG</t>
  </si>
  <si>
    <t>LSTHTEGVG9FE9EK6VGGD1ERFM</t>
  </si>
  <si>
    <t>FVSGPR33BR72395</t>
  </si>
  <si>
    <t>DE2198498-S-PM39397</t>
  </si>
  <si>
    <t>SB-MXL-LAMF</t>
  </si>
  <si>
    <t>X001YSR0U3</t>
  </si>
  <si>
    <t>B0CP7FFSG5</t>
  </si>
  <si>
    <t>BSFH2QBMHN2GGXSS</t>
  </si>
  <si>
    <t>LSTBSFH2QBMHN2GGXSSEI7WBZ</t>
  </si>
  <si>
    <t>FVSGBR33BR72375</t>
  </si>
  <si>
    <t>FN2166560-S-PM39235</t>
  </si>
  <si>
    <t>FN2166560-S-WH41218</t>
  </si>
  <si>
    <t>SB-AXA-W52</t>
  </si>
  <si>
    <t>SB-AXA-52</t>
  </si>
  <si>
    <t>X000MOEA49</t>
  </si>
  <si>
    <t>B01NCJJHJ6</t>
  </si>
  <si>
    <t>BSFETYJKKYVGXHQJ</t>
  </si>
  <si>
    <t>LSTBSFETYJKKYVGXHQJFI1IYC</t>
  </si>
  <si>
    <t>FVSGBR33WN20568</t>
  </si>
  <si>
    <t>FN1988000-S-PM39235</t>
  </si>
  <si>
    <t>FN1988000-S-WH41218</t>
  </si>
  <si>
    <t>S-CC-W</t>
  </si>
  <si>
    <t>S-CC</t>
  </si>
  <si>
    <t>X001GMESC5</t>
  </si>
  <si>
    <t>B09B41HCTM</t>
  </si>
  <si>
    <t>RSFG5CF4G7AYHCTQ</t>
  </si>
  <si>
    <t>LSTRSFG5CF4G7AYHCTQC2KTOZ</t>
  </si>
  <si>
    <t>FVSGCB33WG25082</t>
  </si>
  <si>
    <t>DE1994903-S-PM39397</t>
  </si>
  <si>
    <t>TU-GAU-M</t>
  </si>
  <si>
    <t>TU-GAU</t>
  </si>
  <si>
    <t>X0023CVQ3L</t>
  </si>
  <si>
    <t>B0D4DB18VF</t>
  </si>
  <si>
    <t>TVUH2APAX4RGTQ35</t>
  </si>
  <si>
    <t>LSTTVUH2APAX4RGTQ35ZI71WS</t>
  </si>
  <si>
    <t>FVSGAV33BR50153</t>
  </si>
  <si>
    <t>FN2194314-S-PM39235</t>
  </si>
  <si>
    <t>FN2194314-S-WH41218</t>
  </si>
  <si>
    <t>SB-SN-DW</t>
  </si>
  <si>
    <t>SB-SN-D</t>
  </si>
  <si>
    <t>X001COED3V</t>
  </si>
  <si>
    <t>B08YX76Y3Q</t>
  </si>
  <si>
    <t>BSFGF9PAVXZMX2BV</t>
  </si>
  <si>
    <t>LSTBSFGF9PAVXZMX2BV6NCBKK</t>
  </si>
  <si>
    <t>FVSGBR33WN20583</t>
  </si>
  <si>
    <t>FN1987999-S-PM39235</t>
  </si>
  <si>
    <t>FN1987999-S-WH41218</t>
  </si>
  <si>
    <t>SB-WA-W</t>
  </si>
  <si>
    <t>SB-WA</t>
  </si>
  <si>
    <t>X001P6H3J7</t>
  </si>
  <si>
    <t>B06WRTMT7T</t>
  </si>
  <si>
    <t>BSFF4HQ4HR4MZUEZ</t>
  </si>
  <si>
    <t>LSTBSFF4HQ4HR4MZUEZZACIJS</t>
  </si>
  <si>
    <t>FVSGBR33WN20586</t>
  </si>
  <si>
    <t>FN1988001-S-PM39235</t>
  </si>
  <si>
    <t>FN1988001-S-WH41218</t>
  </si>
  <si>
    <t>ST-RDO-STM</t>
  </si>
  <si>
    <t>ST-RDO-ST</t>
  </si>
  <si>
    <t xml:space="preserve">Brown Maple </t>
  </si>
  <si>
    <t>B0FS6BXRGZ</t>
  </si>
  <si>
    <t>OSTHGGYB6AUHSBNN</t>
  </si>
  <si>
    <t>TU-PMP-LAWF</t>
  </si>
  <si>
    <t>TU-PMP-L</t>
  </si>
  <si>
    <t>B0CJRXHWR5</t>
  </si>
  <si>
    <t>TVUH7GJ2RUGGBJVN</t>
  </si>
  <si>
    <t>LSTTVUH7GJ2RUGGBJVNBP8M1D</t>
  </si>
  <si>
    <t>FVSGAV11WW51545</t>
  </si>
  <si>
    <t>FN2229403-S-PM39235</t>
  </si>
  <si>
    <t>S-AB-W4</t>
  </si>
  <si>
    <t>S-AB</t>
  </si>
  <si>
    <t>X000LINEYN</t>
  </si>
  <si>
    <t>B01FO9D8LY</t>
  </si>
  <si>
    <t>BSFESN7ZZ5MFKJDV</t>
  </si>
  <si>
    <t>LSTBSFESN7ZZ5MFKJDVTEOPQA</t>
  </si>
  <si>
    <t>FVSGCB33WG25065</t>
  </si>
  <si>
    <t>DE1994886-S-PM39397</t>
  </si>
  <si>
    <t>RG-KH-SW-WB</t>
  </si>
  <si>
    <t>KH-SW-WB</t>
  </si>
  <si>
    <t>X000MRNKGF</t>
  </si>
  <si>
    <t>B00PS6MFM2</t>
  </si>
  <si>
    <t>HOKE5EE9H83BFNUZ</t>
  </si>
  <si>
    <t>LSTHOKE5EE9H83BFNUZOXY7C0</t>
  </si>
  <si>
    <t>DE1994926-S-PM39397</t>
  </si>
  <si>
    <t>SB-SN-DMI</t>
  </si>
  <si>
    <t>X001YSPS3T</t>
  </si>
  <si>
    <t>B0CKLBGNBG</t>
  </si>
  <si>
    <t>BSFGVG6AURDBWWX4</t>
  </si>
  <si>
    <t>LSTBSFGVG6AURDBWWX4IGDCWT</t>
  </si>
  <si>
    <t>FVSGBR33BR32735</t>
  </si>
  <si>
    <t>FN2152506-S-PM39235</t>
  </si>
  <si>
    <t>FN2152506-S-WH41218</t>
  </si>
  <si>
    <t>TU-PM-LAW</t>
  </si>
  <si>
    <t>TU-PM-LA</t>
  </si>
  <si>
    <t>X0017BQL39</t>
  </si>
  <si>
    <t>B07V3H9VBF</t>
  </si>
  <si>
    <t>TVUFGGYN3JFTTQFH</t>
  </si>
  <si>
    <t>LSTTVUFGGYN3JFTTQFHUJBNRC</t>
  </si>
  <si>
    <t>FVSGAV33WN20544</t>
  </si>
  <si>
    <t>FN1986323-S-PM39235</t>
  </si>
  <si>
    <t>TU-DSK-M</t>
  </si>
  <si>
    <t>TU-DSK</t>
  </si>
  <si>
    <t>B0DFPPJ56P</t>
  </si>
  <si>
    <t>TVUH48P7MDAMZY3E</t>
  </si>
  <si>
    <t>LSTTVUH48P7MDAMZY3EJPFRIH</t>
  </si>
  <si>
    <t>FVSGAV11BM51541</t>
  </si>
  <si>
    <t>FN2200969-S-PM39235</t>
  </si>
  <si>
    <t>FN2200969-S-WH41218</t>
  </si>
  <si>
    <t>S-JVS-M</t>
  </si>
  <si>
    <t>S-JVS</t>
  </si>
  <si>
    <t>X001XEQWTD</t>
  </si>
  <si>
    <t>B0CQMFNHTH</t>
  </si>
  <si>
    <t>RSFGXBSHZKZR3ZE7</t>
  </si>
  <si>
    <t>LSTRSFGXBSHZKZR3ZE7UILGQL</t>
  </si>
  <si>
    <t>FVSGBR11BM51559</t>
  </si>
  <si>
    <t>DE2198505-S-PM39397</t>
  </si>
  <si>
    <t>TU-SNQ-LAM</t>
  </si>
  <si>
    <t>TU-SNQ-LA</t>
  </si>
  <si>
    <t>B0DG6Q5654</t>
  </si>
  <si>
    <t>TVUH4EQWX9ZQBV58</t>
  </si>
  <si>
    <t>LSTTVUH4EQWX9ZQBV58NKFSMT</t>
  </si>
  <si>
    <t>FVSGAV11BM51547</t>
  </si>
  <si>
    <t>FN2229404-S-PM39235</t>
  </si>
  <si>
    <t>SB-AXA-52M</t>
  </si>
  <si>
    <t>X001YXXOE9</t>
  </si>
  <si>
    <t>B0CJRPVG58</t>
  </si>
  <si>
    <t>BSFGVG62THPCMQPN</t>
  </si>
  <si>
    <t>LSTBSFGVG62THPCMQPNAREUTW</t>
  </si>
  <si>
    <t>FVSGBR33BR32733</t>
  </si>
  <si>
    <t>FN2152505-S-PM39235</t>
  </si>
  <si>
    <t>KC-OPT-1NF</t>
  </si>
  <si>
    <t>KC-OPT-1N</t>
  </si>
  <si>
    <t>B0F8Z3R239</t>
  </si>
  <si>
    <t>KTCHCARETSNRMJBD</t>
  </si>
  <si>
    <t>LSTKTCHCARETSNRMJBD9GIWSL</t>
  </si>
  <si>
    <t>FVSGSB11WH51523</t>
  </si>
  <si>
    <t>KD2280094-S-PM39397</t>
  </si>
  <si>
    <t>TU-PMS-LAW</t>
  </si>
  <si>
    <t>TU-PMS-LA</t>
  </si>
  <si>
    <t>X001IGDMYJ</t>
  </si>
  <si>
    <t>B09PBNSQBK</t>
  </si>
  <si>
    <t>TVUGABYHTYBCZV2H</t>
  </si>
  <si>
    <t>LSTTVUGABYHTYBCZV2HAH1YJT</t>
  </si>
  <si>
    <t>FVSGAV33WN20547</t>
  </si>
  <si>
    <t>FN1991910-S-PM39235</t>
  </si>
  <si>
    <t>TU-KU-LAM</t>
  </si>
  <si>
    <t>TU-KU-LA</t>
  </si>
  <si>
    <t>X002581S13</t>
  </si>
  <si>
    <t>B0DG8HC545</t>
  </si>
  <si>
    <t>TVUH4ES8EN3VCTG4</t>
  </si>
  <si>
    <t>LSTTVUH4ES8EN3VCTG4LZNKMR</t>
  </si>
  <si>
    <t>FVSGAV11BM51542</t>
  </si>
  <si>
    <t>FN2229400-S-PM39235</t>
  </si>
  <si>
    <t>FN2229400-S-WH41218</t>
  </si>
  <si>
    <t>KR-JSD-W</t>
  </si>
  <si>
    <t>KR-JSD</t>
  </si>
  <si>
    <t>X0010FPE2V</t>
  </si>
  <si>
    <t>B07MZKFKZ7</t>
  </si>
  <si>
    <t>RSFFD2CZYFJ5RHFX</t>
  </si>
  <si>
    <t>LSTRSFFD2CZYFJ5RHFXEC1HH8</t>
  </si>
  <si>
    <t>FVSGCB33WG25123</t>
  </si>
  <si>
    <t>DE2198497-S-PM39397</t>
  </si>
  <si>
    <t>CT-OL-M</t>
  </si>
  <si>
    <t>CT-OL</t>
  </si>
  <si>
    <t>B0D4QLXVJD</t>
  </si>
  <si>
    <t>CFTH2QGBRZRP8WMV</t>
  </si>
  <si>
    <t>LSTCFTH2QGBRZRP8WMV1MTFUB</t>
  </si>
  <si>
    <t>FVTBCF33BR50149</t>
  </si>
  <si>
    <t>FN2229388-S-PM39235</t>
  </si>
  <si>
    <t>TU-TK-LAMI</t>
  </si>
  <si>
    <t>TU-TK-LA</t>
  </si>
  <si>
    <t>X001XHPR4L</t>
  </si>
  <si>
    <t>B0BQWLXVX8</t>
  </si>
  <si>
    <t>TVUGW3ZQ3T3GQSBD</t>
  </si>
  <si>
    <t>LSTTVUGW3ZQ3T3GQSBDIIVJFX</t>
  </si>
  <si>
    <t>FVTBAV33BR32725</t>
  </si>
  <si>
    <t>FN2166564-S-PM39235</t>
  </si>
  <si>
    <t>FN2166564-S-WH41218</t>
  </si>
  <si>
    <t>SB-CB-W</t>
  </si>
  <si>
    <t>X001JXGL71</t>
  </si>
  <si>
    <t>B09T3DJLGR</t>
  </si>
  <si>
    <t>BSFGCABBQUZFQJHE</t>
  </si>
  <si>
    <t>LSTBSFGCABBQUZFQJHEWQ8IYG</t>
  </si>
  <si>
    <t>FVSGBR33WN20569</t>
  </si>
  <si>
    <t>FN2030329-S-PM39235</t>
  </si>
  <si>
    <t>FN2030329-S-WH41218</t>
  </si>
  <si>
    <t>S-BR-6W</t>
  </si>
  <si>
    <t>S-BR-6</t>
  </si>
  <si>
    <t>X001GVBLN5</t>
  </si>
  <si>
    <t>B09LCBRTQT</t>
  </si>
  <si>
    <t>RSFFBZZ3UAP2XSNP</t>
  </si>
  <si>
    <t>LSTRSFFBZZ3UAP2XSNPLANDD9</t>
  </si>
  <si>
    <t>FVSGCB33WG25078</t>
  </si>
  <si>
    <t>DE1994884-S-PM39397</t>
  </si>
  <si>
    <t>ST-RE-W</t>
  </si>
  <si>
    <t>ST-RE</t>
  </si>
  <si>
    <t>X000ZX97X1</t>
  </si>
  <si>
    <t>B07MZPNN9J</t>
  </si>
  <si>
    <t>OSTFD2FCDQWKGGXJ</t>
  </si>
  <si>
    <t>LSTOSTFD2FCDQWKGGXJCPAVGO</t>
  </si>
  <si>
    <t>FVTBST33WN20610</t>
  </si>
  <si>
    <t>FN1991948-S-PM39235</t>
  </si>
  <si>
    <t>FN1991948-S-WH41218</t>
  </si>
  <si>
    <t>CT-SY-M</t>
  </si>
  <si>
    <t>CT-SY</t>
  </si>
  <si>
    <t>B0CP6347KN</t>
  </si>
  <si>
    <t>CFTGW3G6BVGX3UBB</t>
  </si>
  <si>
    <t>LSTCFTGW3G6BVGX3UBB80JKCS</t>
  </si>
  <si>
    <t>FVTBCF33BR32703</t>
  </si>
  <si>
    <t>FN2166549-S-PM39235</t>
  </si>
  <si>
    <t>TU-PMS-STM</t>
  </si>
  <si>
    <t>TU-PMS-ST</t>
  </si>
  <si>
    <t>X001YOXSGH</t>
  </si>
  <si>
    <t>B0CT2RB6PY</t>
  </si>
  <si>
    <t>TVUGZN5SWTXXGCSF</t>
  </si>
  <si>
    <t>LSTTVUGZN5SWTXXGCSFZOHK7Z</t>
  </si>
  <si>
    <t>FVSGAV33BR50154</t>
  </si>
  <si>
    <t>FN2194315-S-PM39235</t>
  </si>
  <si>
    <t>RH-OT-WT</t>
  </si>
  <si>
    <t>RH-OT</t>
  </si>
  <si>
    <t>Wenge Tree</t>
  </si>
  <si>
    <t>X000PSRWWT</t>
  </si>
  <si>
    <t>B06W9LS166</t>
  </si>
  <si>
    <t>DKOET2ACAZJDSQZF</t>
  </si>
  <si>
    <t>LSTDKOET2ACAZJDSQZFGPDGYU</t>
  </si>
  <si>
    <t>DE2198500-S-PM39397</t>
  </si>
  <si>
    <t>S-LO-FW5</t>
  </si>
  <si>
    <t>X0017FRCMJ</t>
  </si>
  <si>
    <t>B08CZH6LT9</t>
  </si>
  <si>
    <t>BSFFUDQACYYWSZMD</t>
  </si>
  <si>
    <t>LSTBSFFUDQACYYWSZMDIIEJ5C</t>
  </si>
  <si>
    <t>FVSGCB33WH25093</t>
  </si>
  <si>
    <t>DE1994897-S-PM39397</t>
  </si>
  <si>
    <t>PU-SUB-STO</t>
  </si>
  <si>
    <t>PU-SUB-ST</t>
  </si>
  <si>
    <t>B0FS6GDH6B</t>
  </si>
  <si>
    <t>HTEHGGWYZ67P2ZCK</t>
  </si>
  <si>
    <t>KD2280091-S-PM39397</t>
  </si>
  <si>
    <t>S-CC-M</t>
  </si>
  <si>
    <t>B0DFHGF1VX</t>
  </si>
  <si>
    <t>RSFH45NYYHHBBG4P</t>
  </si>
  <si>
    <t>LSTRSFH45NYYHHBBG4PLFJGWW</t>
  </si>
  <si>
    <t>FVSGBR11BM51557</t>
  </si>
  <si>
    <t>DE2231309-S-PM39397</t>
  </si>
  <si>
    <t>SB-AXA-51M</t>
  </si>
  <si>
    <t>SB-AXA-51</t>
  </si>
  <si>
    <t>X001YSHDUF</t>
  </si>
  <si>
    <t>B0CQK3JNW2</t>
  </si>
  <si>
    <t>BSFGWDKT5UJTM7HA</t>
  </si>
  <si>
    <t>LSTBSFGWDKT5UJTM7HASRPKHN</t>
  </si>
  <si>
    <t>FVSGBR33BR32737</t>
  </si>
  <si>
    <t>FN2166575-S-PM39235</t>
  </si>
  <si>
    <t>FN2166575-S-WH41218</t>
  </si>
  <si>
    <t>SB-MOL-M</t>
  </si>
  <si>
    <t>SB-MOL</t>
  </si>
  <si>
    <t>B0DH8HFRS6</t>
  </si>
  <si>
    <t>BSFH4RWXN5H4XHFG</t>
  </si>
  <si>
    <t>LSTBSFH4RWXN5H4XHFGL0EEXJ</t>
  </si>
  <si>
    <t>FVSGBR11BM51551</t>
  </si>
  <si>
    <t>FN2229391-S-PM39235</t>
  </si>
  <si>
    <t>ST-MLM-W</t>
  </si>
  <si>
    <t>X001JK7AMT</t>
  </si>
  <si>
    <t>B07VSRQB89</t>
  </si>
  <si>
    <t>OSTFGGYHA7KD5K6Z</t>
  </si>
  <si>
    <t>LSTOSTFGGYHA7KD5K6Z469TBJ</t>
  </si>
  <si>
    <t>FVTBST33WN20608</t>
  </si>
  <si>
    <t>FN1988007-S-PM39235</t>
  </si>
  <si>
    <t>FN1988007-S-WH41218</t>
  </si>
  <si>
    <t>S-BR-6L</t>
  </si>
  <si>
    <t>X001GVCF6R</t>
  </si>
  <si>
    <t>B09LD599CZ</t>
  </si>
  <si>
    <t>RSFFB6HHRGKSPDXW</t>
  </si>
  <si>
    <t>LSTRSFFB6HHRGKSPDXW2TVCYB</t>
  </si>
  <si>
    <t>FVSGCB33WL25077</t>
  </si>
  <si>
    <t>DE2034595-S-PM39397</t>
  </si>
  <si>
    <t>TU-ETY-MM</t>
  </si>
  <si>
    <t>TU-ETY-M</t>
  </si>
  <si>
    <t>X001Y4YXCZ</t>
  </si>
  <si>
    <t>B0CR3TPG1P</t>
  </si>
  <si>
    <t>TVUGWNDBFTR2HYJK</t>
  </si>
  <si>
    <t>LSTTVUGWNDBFTR2HYJKZPRBBB</t>
  </si>
  <si>
    <t>FVTBAV33BR32716</t>
  </si>
  <si>
    <t>FN2166589-S-PM39235</t>
  </si>
  <si>
    <t>FN2166589-S-WH41218</t>
  </si>
  <si>
    <t>CT-MT-ROW</t>
  </si>
  <si>
    <t>B09X1HTQYK</t>
  </si>
  <si>
    <t>CFTGDCFRN4H4N8BW</t>
  </si>
  <si>
    <t>LSTCFTGDCFRN4H4N8BW1PKZVM</t>
  </si>
  <si>
    <t>FVTBCF33WN20642</t>
  </si>
  <si>
    <t>FN1991992-S-PM39235</t>
  </si>
  <si>
    <t>TU-MYN-MF</t>
  </si>
  <si>
    <t>TU-MYN</t>
  </si>
  <si>
    <t>X001YSPS2Z</t>
  </si>
  <si>
    <t>B0CJCKKYJ3</t>
  </si>
  <si>
    <t>TVUGUGZAU64G8PJB</t>
  </si>
  <si>
    <t>LSTTVUGUGZAU64G8PJB9RQLZZ</t>
  </si>
  <si>
    <t>FVTBAV33BR32704</t>
  </si>
  <si>
    <t>FN2135045-S-PM39235</t>
  </si>
  <si>
    <t>FN2135045-S-WH41218</t>
  </si>
  <si>
    <t>RH-RL-W</t>
  </si>
  <si>
    <t>RH-RL</t>
  </si>
  <si>
    <t>X000VDXVGT</t>
  </si>
  <si>
    <t>B07D7W5QW6</t>
  </si>
  <si>
    <t>SOXFC8JGPGF6PVFY</t>
  </si>
  <si>
    <t>LSTSOXFC8JGPGF6PVFYHGSWDR</t>
  </si>
  <si>
    <t>DE2034594-S-PM39397</t>
  </si>
  <si>
    <t>SB-CS-LAM</t>
  </si>
  <si>
    <t>SB-CS-LA</t>
  </si>
  <si>
    <t>X001X0KIRJ</t>
  </si>
  <si>
    <t>B0CP968FV1</t>
  </si>
  <si>
    <t>RSFGVWVGFSDCKWRA</t>
  </si>
  <si>
    <t>LSTRSFGVWVGFSDCKWRADS2BWA</t>
  </si>
  <si>
    <t>FVSGBR33BR32739</t>
  </si>
  <si>
    <t>FN2194304-S-PM39235</t>
  </si>
  <si>
    <t>KH-TO-18W</t>
  </si>
  <si>
    <t>KH-TO-18</t>
  </si>
  <si>
    <t>X0011TPSMR</t>
  </si>
  <si>
    <t>B07RV9W52P</t>
  </si>
  <si>
    <t>KHRH2QB9WNXUECGF</t>
  </si>
  <si>
    <t>LSTKHRH2QB9WNXUECGFVDOSKS</t>
  </si>
  <si>
    <t>DE1994924-S-PM39397</t>
  </si>
  <si>
    <t>SB-WA-L</t>
  </si>
  <si>
    <t>X000PSRCCT</t>
  </si>
  <si>
    <t>B06VX456SW</t>
  </si>
  <si>
    <t>BSFEVAQXA8S3XXRX</t>
  </si>
  <si>
    <t>LSTBSFEVAQXA8S3XXRX29DIMF</t>
  </si>
  <si>
    <t>FVSGBR33WA20585</t>
  </si>
  <si>
    <t>FN1991953-S-PM39235</t>
  </si>
  <si>
    <t>FN1991953-S-WH41218</t>
  </si>
  <si>
    <t>RG-KH-SW-W10</t>
  </si>
  <si>
    <t>KH-SW-W10</t>
  </si>
  <si>
    <t>X000MRHTGR</t>
  </si>
  <si>
    <t>B00IPAT3OG</t>
  </si>
  <si>
    <t>HOKE5EE9WGTZJZUG</t>
  </si>
  <si>
    <t>LSTHOKE5EE9WGTZJZUGOO7H0G</t>
  </si>
  <si>
    <t>DE1994922-S-PM39397</t>
  </si>
  <si>
    <t>TU-KVD-LAW</t>
  </si>
  <si>
    <t>TU-KVD-LA</t>
  </si>
  <si>
    <t>X001COF0YR</t>
  </si>
  <si>
    <t>B08YWV5WK8</t>
  </si>
  <si>
    <t>TVUGFGC28GXRGV6K</t>
  </si>
  <si>
    <t>LSTTVUGFGC28GXRGV6KHTDLN0</t>
  </si>
  <si>
    <t>FVSGAV33WN20533</t>
  </si>
  <si>
    <t>FN1991947-S-PM39235</t>
  </si>
  <si>
    <t>PU-SUB-STF</t>
  </si>
  <si>
    <t>B0FSCSPF5X</t>
  </si>
  <si>
    <t>HTEHGGWYKCC8ZHPR</t>
  </si>
  <si>
    <t>KD2280101-S-PM39397</t>
  </si>
  <si>
    <t>S-BR-F6M</t>
  </si>
  <si>
    <t>X00220QR29</t>
  </si>
  <si>
    <t>B0CR4B4ZMP</t>
  </si>
  <si>
    <t>BSFH2QG68X46NNXX</t>
  </si>
  <si>
    <t>LSTBSFH2QG68X46NNXXKK3E5Q</t>
  </si>
  <si>
    <t>FVSGBR11BM51555</t>
  </si>
  <si>
    <t>DE2198503-S-PM39397</t>
  </si>
  <si>
    <t>CT-MT-RTWF</t>
  </si>
  <si>
    <t>X001KN7JF3</t>
  </si>
  <si>
    <t>B09X2CC6PJ</t>
  </si>
  <si>
    <t>CFTGDCFZJTFYCUJU</t>
  </si>
  <si>
    <t>LSTCFTGDCFZJTFYCUJUOAMGUO</t>
  </si>
  <si>
    <t>FVTBCF33WH20644</t>
  </si>
  <si>
    <t>FN1991994-S-PM39235</t>
  </si>
  <si>
    <t>FN1991994-S-WH41218</t>
  </si>
  <si>
    <t>S-XD-W</t>
  </si>
  <si>
    <t>S-XD</t>
  </si>
  <si>
    <t>X001K5H5RX</t>
  </si>
  <si>
    <t>B09Y5VL36M</t>
  </si>
  <si>
    <t>BSFGG8HY8HXHCZAQ</t>
  </si>
  <si>
    <t>LSTBSFGG8HY8HXHCZAQINUBL6</t>
  </si>
  <si>
    <t>FVSGCB33WG25111</t>
  </si>
  <si>
    <t>DE2034599-S-PM39397</t>
  </si>
  <si>
    <t>SB-WA-M</t>
  </si>
  <si>
    <t>X001Y4U667</t>
  </si>
  <si>
    <t>B0CP674RGQ</t>
  </si>
  <si>
    <t>BSFGW3GGQFAYWSZU</t>
  </si>
  <si>
    <t>LSTBSFGW3GGQFAYWSZU0EO749</t>
  </si>
  <si>
    <t>FVSGBR33BR32745</t>
  </si>
  <si>
    <t>FN2166550-S-PM39235</t>
  </si>
  <si>
    <t>FN2166550-S-WH41218</t>
  </si>
  <si>
    <t>SB-JMY-M</t>
  </si>
  <si>
    <t>SB-JMY</t>
  </si>
  <si>
    <t>B0DG98BKCP</t>
  </si>
  <si>
    <t>BSFH4FQHRU2WR4GV</t>
  </si>
  <si>
    <t>LSTBSFH4FQHRU2WR4GVFM3GZK</t>
  </si>
  <si>
    <t>FVSGBR11BM51550</t>
  </si>
  <si>
    <t>FN2200963-S-PM39235</t>
  </si>
  <si>
    <t>FN2200963-S-WH41218</t>
  </si>
  <si>
    <t>S-JVS-W</t>
  </si>
  <si>
    <t>X0011TPRCN</t>
  </si>
  <si>
    <t>B07RW913XG</t>
  </si>
  <si>
    <t>RSFFGWA2XRZYWGEQ</t>
  </si>
  <si>
    <t>LSTRSFFGWA2XRZYWGEQ0C86GR</t>
  </si>
  <si>
    <t>FVSGCB33WG25089</t>
  </si>
  <si>
    <t>DE1994882-S-PM39397</t>
  </si>
  <si>
    <t>TU-RE-LAL</t>
  </si>
  <si>
    <t>X000PRZ0UL</t>
  </si>
  <si>
    <t>B06VX47DM9</t>
  </si>
  <si>
    <t>TVUEUPDZK7ACGY4F</t>
  </si>
  <si>
    <t>LSTTVUEUPDZK7ACGY4FVILQ4P</t>
  </si>
  <si>
    <t>FVSGAV33WA20552</t>
  </si>
  <si>
    <t>FN1991909-S-PM39235</t>
  </si>
  <si>
    <t>TS-NL-LAM</t>
  </si>
  <si>
    <t>TS-NL-LA</t>
  </si>
  <si>
    <t>X001WTIDRN</t>
  </si>
  <si>
    <t>B0CMM8KQH8</t>
  </si>
  <si>
    <t>LASH2QEQMXT6Z8HN</t>
  </si>
  <si>
    <t>LSTLASH2QEQMXT6Z8HNAYJOMO</t>
  </si>
  <si>
    <t>FN2166557-S-PM39235</t>
  </si>
  <si>
    <t>TU-TK-STMI</t>
  </si>
  <si>
    <t>TU-TK-ST</t>
  </si>
  <si>
    <t>X001XFV0UN</t>
  </si>
  <si>
    <t>B0BQWQ76V9</t>
  </si>
  <si>
    <t>TVUGW3PYNG4GFURQ</t>
  </si>
  <si>
    <t>LSTTVUGW3PYNG4GFURQZPSBQJ</t>
  </si>
  <si>
    <t>FVTBAV33BR32726</t>
  </si>
  <si>
    <t>FN2166565-S-PM39235</t>
  </si>
  <si>
    <t>PF-NAH-ROF</t>
  </si>
  <si>
    <t>PF-NAH-RO</t>
  </si>
  <si>
    <t>B0D9LLB6HS</t>
  </si>
  <si>
    <t>OTPH4RNTZ6F7HFDD</t>
  </si>
  <si>
    <t>LSTOTPH4RNTZ6F7HFDDXPZYDH</t>
  </si>
  <si>
    <t>FVSTOT51WH51530</t>
  </si>
  <si>
    <t>FN2200961-S-PM39235</t>
  </si>
  <si>
    <t>FN2200961-S-WH41218</t>
  </si>
  <si>
    <t>S-AO-W5</t>
  </si>
  <si>
    <t>S-AO</t>
  </si>
  <si>
    <t>X000KIW5XP</t>
  </si>
  <si>
    <t>B01FO8HFT6</t>
  </si>
  <si>
    <t>BSFETYADMNVRTZNG</t>
  </si>
  <si>
    <t>LSTBSFETYADMNVRTZNGGG3BHX</t>
  </si>
  <si>
    <t>FVSGCB33WG25072</t>
  </si>
  <si>
    <t>DE1994885-S-PM39397</t>
  </si>
  <si>
    <t>TU-MA-STMF</t>
  </si>
  <si>
    <t>TU-MA-ST</t>
  </si>
  <si>
    <t>X001XFKJOL</t>
  </si>
  <si>
    <t>B0BQWQ6BR1</t>
  </si>
  <si>
    <t>TVUGWFVQHHZ5UFFY</t>
  </si>
  <si>
    <t>LSTTVUGWFVQHHZ5UFFYOIO2BX</t>
  </si>
  <si>
    <t>FVTBAV33BR32719</t>
  </si>
  <si>
    <t>FN2166567-S-PM39235</t>
  </si>
  <si>
    <t>MD-TNO-STM</t>
  </si>
  <si>
    <t>MD-TNO-S</t>
  </si>
  <si>
    <t>X0023R03OJ</t>
  </si>
  <si>
    <t>B0D9HJS2P7</t>
  </si>
  <si>
    <t>MWMH95QBAFYFWF8P</t>
  </si>
  <si>
    <t>LSTMWMH95QBAFYFWF8P7OSVOX</t>
  </si>
  <si>
    <t>KD2280087-S-PM39397</t>
  </si>
  <si>
    <t>SB-MXL-LAMI</t>
  </si>
  <si>
    <t>B0DFWSWC7P</t>
  </si>
  <si>
    <t>BSFGW3NDDM4YNBSF</t>
  </si>
  <si>
    <t>LSTBSFGW3NDDM4YNBSFGS4GHY</t>
  </si>
  <si>
    <t>FVSGBR11BB51552</t>
  </si>
  <si>
    <t>FN2229392-S-PM39235</t>
  </si>
  <si>
    <t>PF-NAH-RON</t>
  </si>
  <si>
    <t>Brown</t>
  </si>
  <si>
    <t>B0D9LKN5GC</t>
  </si>
  <si>
    <t>OTPH4RNTJ5F8GWPT</t>
  </si>
  <si>
    <t>LSTOTPH4RNTJ5F8GWPTSAGK74</t>
  </si>
  <si>
    <t>FVSTOT51BR51531</t>
  </si>
  <si>
    <t>FN2200962-S-PM39235</t>
  </si>
  <si>
    <t>FN2200962-S-WH41218</t>
  </si>
  <si>
    <t>TU-MLE-M</t>
  </si>
  <si>
    <t>TU-MLE</t>
  </si>
  <si>
    <t>B0DGLVGZ55</t>
  </si>
  <si>
    <t>TVUH4HF7QGTVRCYG</t>
  </si>
  <si>
    <t>LSTTVUH4HF7QGTVRCYGHMJTPV</t>
  </si>
  <si>
    <t>FVSGAV11BM51544</t>
  </si>
  <si>
    <t>FN2229402-S-PM39235</t>
  </si>
  <si>
    <t>B-POL-QTFW</t>
  </si>
  <si>
    <t>B-POL-QT</t>
  </si>
  <si>
    <t>B092S7SQ6C</t>
  </si>
  <si>
    <t>BDDGD38FYRYW2H5Z</t>
  </si>
  <si>
    <t>LSTBDDGD38FYRYW2H5ZXBCNHN</t>
  </si>
  <si>
    <t>FVBDNS33WN20475</t>
  </si>
  <si>
    <t>FN1986317-S-PM39235</t>
  </si>
  <si>
    <t>SB-NBK-MF</t>
  </si>
  <si>
    <t>SB-NBK</t>
  </si>
  <si>
    <t>B0DFWPT67K</t>
  </si>
  <si>
    <t>BSFH7GBGCGSVWS67</t>
  </si>
  <si>
    <t>LSTBSFH7GBGCGSVWS67SM2BIK</t>
  </si>
  <si>
    <t>FVSGBR11BW51553</t>
  </si>
  <si>
    <t>FN2229393-S-PM39235</t>
  </si>
  <si>
    <t>FN2229393-S-WH41218</t>
  </si>
  <si>
    <t>CT-OSN-RTM</t>
  </si>
  <si>
    <t>CT-OSN-RT</t>
  </si>
  <si>
    <t>X001YHT5ZH</t>
  </si>
  <si>
    <t>B07D7W1RQX</t>
  </si>
  <si>
    <t>CFTGW3NQFZCAFKTF</t>
  </si>
  <si>
    <t>LSTCFTGW3NQFZCAFKTFXF91ZW</t>
  </si>
  <si>
    <t>FVTBCF33BR32702</t>
  </si>
  <si>
    <t>FN2166552-S-PM39235</t>
  </si>
  <si>
    <t>TU-ETY-LAM</t>
  </si>
  <si>
    <t>TU-ETY-LA</t>
  </si>
  <si>
    <t>X001Y4YVC7</t>
  </si>
  <si>
    <t>B099DT5CR3</t>
  </si>
  <si>
    <t>TVUGWMGRG26HXHMG</t>
  </si>
  <si>
    <t>LSTTVUGWMGRG26HXHMGEVH0IL</t>
  </si>
  <si>
    <t>FVTBAV33BR32715</t>
  </si>
  <si>
    <t>FN2166591-S-PM39235</t>
  </si>
  <si>
    <t>S-ETN-WF</t>
  </si>
  <si>
    <t>S-ETN</t>
  </si>
  <si>
    <t>X001K5H6WR</t>
  </si>
  <si>
    <t>B09T3D9K1Z</t>
  </si>
  <si>
    <t>RSFGBTHUZACX46D8</t>
  </si>
  <si>
    <t>LSTRSFGBTHUZACX46D8M8MEOL</t>
  </si>
  <si>
    <t>FVSGCB33WH25086</t>
  </si>
  <si>
    <t>DE1994913-S-PM39397</t>
  </si>
  <si>
    <t>BT-CO-WF</t>
  </si>
  <si>
    <t>BT-CO</t>
  </si>
  <si>
    <t>X001K2IJK3</t>
  </si>
  <si>
    <t>B09TXMR5YG</t>
  </si>
  <si>
    <t>SITGCNMNRQ3CG2JQ</t>
  </si>
  <si>
    <t>LSTSITGCNMNRQ3CG2JQGQ6DI8</t>
  </si>
  <si>
    <t>FVTBSI33BR20482</t>
  </si>
  <si>
    <t>FN1988016-S-PM39235</t>
  </si>
  <si>
    <t>FN1988016-S-WH41218</t>
  </si>
  <si>
    <t>TP-MTA-M</t>
  </si>
  <si>
    <t>TP-MTA</t>
  </si>
  <si>
    <t>B0DFPPGZY5</t>
  </si>
  <si>
    <t>TVUH48PVGQZ2FTBF</t>
  </si>
  <si>
    <t>LSTTVUH48PVGQZ2FTBF8UAMWE</t>
  </si>
  <si>
    <t>FN2200966-S-PM39235</t>
  </si>
  <si>
    <t>S-BR-6M</t>
  </si>
  <si>
    <t>B0DFHFQZRB</t>
  </si>
  <si>
    <t>RSFH45NYDYEWWYP3</t>
  </si>
  <si>
    <t>LSTRSFH45NYDYEWWYP319XRKJ</t>
  </si>
  <si>
    <t>FVSGBR11BM51554</t>
  </si>
  <si>
    <t>DE2231307-S-PM39397</t>
  </si>
  <si>
    <t>CT-KV-RTM</t>
  </si>
  <si>
    <t>CT-KV-RT</t>
  </si>
  <si>
    <t>B0DHNGJFQF</t>
  </si>
  <si>
    <t>CFTH4WFMZDHZPBPV</t>
  </si>
  <si>
    <t>LSTCFTH4WFMZDHZPBPVBT3TWH</t>
  </si>
  <si>
    <t>FVTBCF11BR51532</t>
  </si>
  <si>
    <t>FN2229386-S-PM39235</t>
  </si>
  <si>
    <t>FN2229386-S-WH41218</t>
  </si>
  <si>
    <t>CT-ETE-M</t>
  </si>
  <si>
    <t>CT-ETE</t>
  </si>
  <si>
    <t>X001YMY4VR</t>
  </si>
  <si>
    <t>B0CV38YYV2</t>
  </si>
  <si>
    <t>CFTGXUTCUAG3Z8YU</t>
  </si>
  <si>
    <t>LSTCFTGXUTCUAG3Z8YUHTKRG1</t>
  </si>
  <si>
    <t>FVTBCF33BR32699</t>
  </si>
  <si>
    <t>FN2194295-S-PM39235</t>
  </si>
  <si>
    <t>FN2194295-S-WH41218</t>
  </si>
  <si>
    <t>RG-KH-SW-W21</t>
  </si>
  <si>
    <t>KH-SW-W21</t>
  </si>
  <si>
    <t>X000MRHS59</t>
  </si>
  <si>
    <t>B00IPAT2G0</t>
  </si>
  <si>
    <t>HOKE5EE9E2TPEYFY</t>
  </si>
  <si>
    <t>LSTHOKE5EE9E2TPEYFYBVMF9C</t>
  </si>
  <si>
    <t>DE1994923-S-PM39397</t>
  </si>
  <si>
    <t>B-RVB-QNLF</t>
  </si>
  <si>
    <t>B09TXLNBYQ</t>
  </si>
  <si>
    <t>BDDGCHV6B4QVYJZA</t>
  </si>
  <si>
    <t>LSTBDDGCHV6B4QVYJZAGIYAH4</t>
  </si>
  <si>
    <t>FVBDNS33WA20479</t>
  </si>
  <si>
    <t>FN1991991-S-PM39235</t>
  </si>
  <si>
    <t>FN1991991-S-WH41218</t>
  </si>
  <si>
    <t>KH-SUT-10M</t>
  </si>
  <si>
    <t>KH-SUT-10</t>
  </si>
  <si>
    <t>B0DJMLST1B</t>
  </si>
  <si>
    <t>KHRH7PG79JYCCEDF</t>
  </si>
  <si>
    <t>LSTKHRH7PG79JYCCEDFTCDRJZ</t>
  </si>
  <si>
    <t>DE2231299-S-PM39397</t>
  </si>
  <si>
    <t>SB-WA-WMW</t>
  </si>
  <si>
    <t>SB-WA-WM</t>
  </si>
  <si>
    <t>X000VEIXNJ</t>
  </si>
  <si>
    <t>B07D1KM4DJ</t>
  </si>
  <si>
    <t>BSFFC9GTGK4ZRR4U</t>
  </si>
  <si>
    <t>LSTBSFFC9GTGK4ZRR4UERIXID</t>
  </si>
  <si>
    <t>FVSGBR33WN20587</t>
  </si>
  <si>
    <t>FN1991894-S-PM39235</t>
  </si>
  <si>
    <t>FN1991894-S-WH41218</t>
  </si>
  <si>
    <t>S-ATL-W</t>
  </si>
  <si>
    <t>S-ATL</t>
  </si>
  <si>
    <t>X001EJZ5LX</t>
  </si>
  <si>
    <t>B099DVN6WY</t>
  </si>
  <si>
    <t>BSFG53DZ5WHFRX9V</t>
  </si>
  <si>
    <t>LSTBSFG53DZ5WHFRX9VT6OIQ0</t>
  </si>
  <si>
    <t>FVSGCB33WG25075</t>
  </si>
  <si>
    <t>DE1994909-S-PM39397</t>
  </si>
  <si>
    <t>TU-ARO-LAM</t>
  </si>
  <si>
    <t>TU-ARO-LA</t>
  </si>
  <si>
    <t>B07HKXP3CG</t>
  </si>
  <si>
    <t>TVUHBWGAJT4GDRJS</t>
  </si>
  <si>
    <t>FVSGAV11BM51536</t>
  </si>
  <si>
    <t>FN2260667-S-PM39235</t>
  </si>
  <si>
    <t>TU-PM-STW</t>
  </si>
  <si>
    <t>TU-PM-ST</t>
  </si>
  <si>
    <t>X0011PVQOF</t>
  </si>
  <si>
    <t>B07RS2L6TV</t>
  </si>
  <si>
    <t>TVUFGGYNY9XEZHWG</t>
  </si>
  <si>
    <t>LSTTVUFGGYNY9XEZHWGV9REXW</t>
  </si>
  <si>
    <t>FVSGAV33WN20549</t>
  </si>
  <si>
    <t>FN1991889-S-PM39235</t>
  </si>
  <si>
    <t>RT-RI-MW</t>
  </si>
  <si>
    <t>RT-RI-M</t>
  </si>
  <si>
    <t>X001JVSOE1</t>
  </si>
  <si>
    <t>B09SGHLZYT</t>
  </si>
  <si>
    <t>DTBGCA9NJKXZGW4Y</t>
  </si>
  <si>
    <t>LSTDTBGCA9NJKXZGW4Y1MOSX8</t>
  </si>
  <si>
    <t>FVTBDS33BR20504</t>
  </si>
  <si>
    <t>FN1991931-S-PM39235</t>
  </si>
  <si>
    <t>TS-FV-W</t>
  </si>
  <si>
    <t>TS-FV</t>
  </si>
  <si>
    <t>X001D34CAF</t>
  </si>
  <si>
    <t>B08YX235BT</t>
  </si>
  <si>
    <t>LASGFPYBV59XBPFH</t>
  </si>
  <si>
    <t>LSTLASGFPYBV59XBPFHHHWWJR</t>
  </si>
  <si>
    <t>FVSGCB33BR25059</t>
  </si>
  <si>
    <t>KC-OPT-2SF</t>
  </si>
  <si>
    <t>KC-OPT-2S</t>
  </si>
  <si>
    <t>B0FBMBTKGQ</t>
  </si>
  <si>
    <t>KTCHCSG7SU3ZEEBB</t>
  </si>
  <si>
    <t>LSTKTCHCSG7SU3ZEEBBRR1JZD</t>
  </si>
  <si>
    <t>FVSGSB11WH51526</t>
  </si>
  <si>
    <t>KD2280093-S-PM39397</t>
  </si>
  <si>
    <t>SB-ASG-M</t>
  </si>
  <si>
    <t>SB-ASG</t>
  </si>
  <si>
    <t>X0023EJATL</t>
  </si>
  <si>
    <t>B0D4V1BC73</t>
  </si>
  <si>
    <t>BSFH3YS2WQTFNYDY</t>
  </si>
  <si>
    <t>LSTBSFH3YS2WQTFNYDY1M0MNS</t>
  </si>
  <si>
    <t>FVSGBR33BR50159</t>
  </si>
  <si>
    <t>FN2194303-S-PM39235</t>
  </si>
  <si>
    <t>FN2194303-S-WH41218</t>
  </si>
  <si>
    <t>SB-PH-W</t>
  </si>
  <si>
    <t>SB-PH</t>
  </si>
  <si>
    <t>X000KKFES1</t>
  </si>
  <si>
    <t>B019HBPT76</t>
  </si>
  <si>
    <t>BSFEUKMDNTVVGZ4U</t>
  </si>
  <si>
    <t>LSTBSFEUKMDNTVVGZ4UR6BO8R</t>
  </si>
  <si>
    <t>FVSGBR33WN20582</t>
  </si>
  <si>
    <t>DE1994883-S-PM39397</t>
  </si>
  <si>
    <t>KH-SUT-21M</t>
  </si>
  <si>
    <t>KH-SUT-21</t>
  </si>
  <si>
    <t>B0DJMLBSSD</t>
  </si>
  <si>
    <t>KHRH7PGGDCCCJ7FX</t>
  </si>
  <si>
    <t>LSTKHRH7PGGDCCCJ7FXGOJL9F</t>
  </si>
  <si>
    <t>DE2231300-S-PM39397</t>
  </si>
  <si>
    <t>MD-TNO-LAM</t>
  </si>
  <si>
    <t>MD-TNO-L</t>
  </si>
  <si>
    <t>X00248X1RN</t>
  </si>
  <si>
    <t>B0D9HKF635</t>
  </si>
  <si>
    <t>MWMH96KWD8VJAY9G</t>
  </si>
  <si>
    <t>LSTMWMH96KWD8VJAY9GQRTSII</t>
  </si>
  <si>
    <t>TS-NL-STM</t>
  </si>
  <si>
    <t>TS-NL-ST</t>
  </si>
  <si>
    <t>X001XLC5P1</t>
  </si>
  <si>
    <t>B0CMM5M79P</t>
  </si>
  <si>
    <t>LASGVG8BZHMFRMJN</t>
  </si>
  <si>
    <t>LSTLASGVG8BZHMFRMJNVT6CAA</t>
  </si>
  <si>
    <t>FN2152514-S-PM39235</t>
  </si>
  <si>
    <t>TU-RYE-LAWF</t>
  </si>
  <si>
    <t>TU-RYE-LA</t>
  </si>
  <si>
    <t>X001EQJ2Y7</t>
  </si>
  <si>
    <t>B099DBZJ1K</t>
  </si>
  <si>
    <t>TVUG5CCNE7MBNGTY</t>
  </si>
  <si>
    <t>LSTTVUG5CCNE7MBNGTYPHN5SH</t>
  </si>
  <si>
    <t>FVSGAV33WH20559</t>
  </si>
  <si>
    <t>FN1987998-S-PM39235</t>
  </si>
  <si>
    <t>FN1987998-S-WH41218</t>
  </si>
  <si>
    <t>TU-ETY-STM</t>
  </si>
  <si>
    <t>TU-ETY-ST</t>
  </si>
  <si>
    <t>X001Y5AGBL</t>
  </si>
  <si>
    <t>B0CQK28HLN</t>
  </si>
  <si>
    <t>TVUGWMG8FFGJDPHG</t>
  </si>
  <si>
    <t>LSTTVUGWMG8FFGJDPHGRDESOM</t>
  </si>
  <si>
    <t>FVTBAV33BR32717</t>
  </si>
  <si>
    <t>FN2166590-S-PM39235</t>
  </si>
  <si>
    <t>SB-MPL-W</t>
  </si>
  <si>
    <t>SB-MPL</t>
  </si>
  <si>
    <t>X001IPKNUV</t>
  </si>
  <si>
    <t>B09SHWVM7W</t>
  </si>
  <si>
    <t>BSFGBSHHASEZ5KT5</t>
  </si>
  <si>
    <t>LSTBSFGBSHHASEZ5KT5LZDVHS</t>
  </si>
  <si>
    <t>FVSGBR33WN20576</t>
  </si>
  <si>
    <t>FN2194305-S-PM39235</t>
  </si>
  <si>
    <t>KH-TO-40W</t>
  </si>
  <si>
    <t>KH-TO-40</t>
  </si>
  <si>
    <t>X00252N5X3</t>
  </si>
  <si>
    <t>B07V5LZ84X</t>
  </si>
  <si>
    <t>KHRH2QB9WJTZ96Q8</t>
  </si>
  <si>
    <t>LSTKHRH2QB9WJTZ96Q8N6UDC3</t>
  </si>
  <si>
    <t>DE1994925-S-PM39397</t>
  </si>
  <si>
    <t>RT-AT-W</t>
  </si>
  <si>
    <t>RT-AT</t>
  </si>
  <si>
    <t>X001C6P87T</t>
  </si>
  <si>
    <t>B08XJNTSSN</t>
  </si>
  <si>
    <t>DTBG465CMFJDQKZP</t>
  </si>
  <si>
    <t>LSTDTBG465CMFJDQKZP7VA0SB</t>
  </si>
  <si>
    <t>FVTBDS33BR20497</t>
  </si>
  <si>
    <t>FN1991901-S-PM39235</t>
  </si>
  <si>
    <t>ST-HE-W</t>
  </si>
  <si>
    <t>ST-HE</t>
  </si>
  <si>
    <t>X000LJ2NVR</t>
  </si>
  <si>
    <t>B01FQHBLW2</t>
  </si>
  <si>
    <t>OSTEKNZ9RX3F26H8</t>
  </si>
  <si>
    <t>LSTOSTEKNZ9RX3F26H8BSVHMH</t>
  </si>
  <si>
    <t>FVTBST33WN20605</t>
  </si>
  <si>
    <t>FN2030337-S-PM39235</t>
  </si>
  <si>
    <t>TU-PMG-STW</t>
  </si>
  <si>
    <t>X001I5KDG5</t>
  </si>
  <si>
    <t>B09PBSNBQB</t>
  </si>
  <si>
    <t>TVUGAB6EGEJMKKYY</t>
  </si>
  <si>
    <t>LSTTVUGAB6EGEJMKKYYSUTDUY</t>
  </si>
  <si>
    <t>FVSGAV33WN20543</t>
  </si>
  <si>
    <t>FN1991888-S-PM39235</t>
  </si>
  <si>
    <t>S-RY-M</t>
  </si>
  <si>
    <t>S-RY</t>
  </si>
  <si>
    <t>B0DM29T59F</t>
  </si>
  <si>
    <t>RSFHDWJT5SVBNFZG</t>
  </si>
  <si>
    <t>LSTRSFHDWJT5SVBNFZG6P2YBV</t>
  </si>
  <si>
    <t>FVSGBR11BM51561</t>
  </si>
  <si>
    <t>KD2280095-S-PM39397</t>
  </si>
  <si>
    <t>ST-RDO-STO</t>
  </si>
  <si>
    <t>B0FS7CG55C</t>
  </si>
  <si>
    <t>OSTHGGYBKQP77YFF</t>
  </si>
  <si>
    <t>S-AI-W</t>
  </si>
  <si>
    <t>S-AI</t>
  </si>
  <si>
    <t>X001EK3I6B</t>
  </si>
  <si>
    <t>B099DBMWDG</t>
  </si>
  <si>
    <t>BSFG53CEEENPVYBY</t>
  </si>
  <si>
    <t>LSTBSFG53CEEENPVYBYXG7PEE</t>
  </si>
  <si>
    <t>FVSGCB33WG25069</t>
  </si>
  <si>
    <t>DE1994910-S-PM39397</t>
  </si>
  <si>
    <t>CT-TYU-M</t>
  </si>
  <si>
    <t>CT-TYU</t>
  </si>
  <si>
    <t>B0DVSS7LSR</t>
  </si>
  <si>
    <t>CFTH95PPZHRHGF8Y</t>
  </si>
  <si>
    <t>LSTCFTH95PPZHRHGF8YUTWBTA</t>
  </si>
  <si>
    <t>FVTBCF11BR51534</t>
  </si>
  <si>
    <t>FN2229390-S-PM39235</t>
  </si>
  <si>
    <t>PF-MIS-RTE</t>
  </si>
  <si>
    <t>PF-MIS-RT</t>
  </si>
  <si>
    <t>Grey</t>
  </si>
  <si>
    <t>B0D9LKVBQM</t>
  </si>
  <si>
    <t>OTPH4RNTSJU2VU8B</t>
  </si>
  <si>
    <t>LSTOTPH4RNTSJU2VU8BDE6B3R</t>
  </si>
  <si>
    <t>FVSTOT51GY51528</t>
  </si>
  <si>
    <t>FN2200959-S-PM39235</t>
  </si>
  <si>
    <t>TS-NL-W</t>
  </si>
  <si>
    <t>TS-NLM</t>
  </si>
  <si>
    <t>X0023ZMR27</t>
  </si>
  <si>
    <t>B0785GFD58</t>
  </si>
  <si>
    <t>CPTFCAGVEZMXKDRN</t>
  </si>
  <si>
    <t>LSTCPTFCAGVEZMXKDRNGZP8KY</t>
  </si>
  <si>
    <t>FVSGCB33BR25062</t>
  </si>
  <si>
    <t>FN2194312-S-PM39235</t>
  </si>
  <si>
    <t>KH-RMT-M</t>
  </si>
  <si>
    <t>KH-RMT</t>
  </si>
  <si>
    <t>B0DFPS4R2M</t>
  </si>
  <si>
    <t>KHRH48QEVDJKAKJ6</t>
  </si>
  <si>
    <t>LSTKHRH48QEVDJKAKJ6NKUR0G</t>
  </si>
  <si>
    <t>DE2231297-S-PM39397</t>
  </si>
  <si>
    <t>KH-TOC-18F</t>
  </si>
  <si>
    <t>KH-TOC-18</t>
  </si>
  <si>
    <t>B0DSVPRZMS</t>
  </si>
  <si>
    <t>KHRH8JBRD6MHFHVU</t>
  </si>
  <si>
    <t>LSTKHRH8JBRD6MHFHVUX8M1LS</t>
  </si>
  <si>
    <t>KD2280096-S-PM39397</t>
  </si>
  <si>
    <t>BT-OL-M</t>
  </si>
  <si>
    <t>BT-OL</t>
  </si>
  <si>
    <t>X0023EXLQ9</t>
  </si>
  <si>
    <t>B06WGS777J</t>
  </si>
  <si>
    <t>SITH2QGZGKVWXJ24</t>
  </si>
  <si>
    <t>LSTSITH2QGZGKVWXJ24UJF4R4</t>
  </si>
  <si>
    <t>FVTBBS33BR50140</t>
  </si>
  <si>
    <t>FN2194292-S-PM39235</t>
  </si>
  <si>
    <t>RT-ALY-W</t>
  </si>
  <si>
    <t>RT-ALY</t>
  </si>
  <si>
    <t>X001C6PA8L</t>
  </si>
  <si>
    <t>B08XWL3ZBP</t>
  </si>
  <si>
    <t>DTBGFYHCZ8Y4UZQG</t>
  </si>
  <si>
    <t>LSTDTBGFYHCZ8Y4UZQGVHZL55</t>
  </si>
  <si>
    <t>FVTBDS33BR20496</t>
  </si>
  <si>
    <t>FN2030323-S-PM39235</t>
  </si>
  <si>
    <t>KH-EDL-M</t>
  </si>
  <si>
    <t>KH-EDL</t>
  </si>
  <si>
    <t>B0DGCYWWVC</t>
  </si>
  <si>
    <t>KHRH48Q5FTHZZTKA</t>
  </si>
  <si>
    <t>LSTKHRH48Q5FTHZZTKATZYX7Z</t>
  </si>
  <si>
    <t>DE2231296-S-PM39397</t>
  </si>
  <si>
    <t>SH-DVN-STM</t>
  </si>
  <si>
    <t>SH-DVN-ST</t>
  </si>
  <si>
    <t>B0FSKVZRFL</t>
  </si>
  <si>
    <t>RSFHHM4YYHYESEEM</t>
  </si>
  <si>
    <t>FT-EDR.P-WF</t>
  </si>
  <si>
    <t>FT-EDR</t>
  </si>
  <si>
    <t>X001RV75E3</t>
  </si>
  <si>
    <t>B0C43M1HTN</t>
  </si>
  <si>
    <t>SITGPPCN6UJAUHHX</t>
  </si>
  <si>
    <t>LSTSITGPPCN6UJAUHHXDDYTVL</t>
  </si>
  <si>
    <t>FVTBSI33BR50142</t>
  </si>
  <si>
    <t>FN2194300-S-PM39235</t>
  </si>
  <si>
    <t>FN2194300-S-WH41218</t>
  </si>
  <si>
    <t>S-GRB-W</t>
  </si>
  <si>
    <t>S-GRB</t>
  </si>
  <si>
    <t>X001KAZ7ZF</t>
  </si>
  <si>
    <t>B09T3FKXLG</t>
  </si>
  <si>
    <t>RSFGBTHYAPHPTHAG</t>
  </si>
  <si>
    <t>LSTRSFGBTHYAPHPTHAGXTS9WV</t>
  </si>
  <si>
    <t>FVSGCB33WG25088</t>
  </si>
  <si>
    <t>DE1994921-S-PM39397</t>
  </si>
  <si>
    <t>KH-WLR-M</t>
  </si>
  <si>
    <t>KH-WLR</t>
  </si>
  <si>
    <t>X00253IQLN</t>
  </si>
  <si>
    <t>B0DGCW4XVH</t>
  </si>
  <si>
    <t>KHRH4FR9DWGGFZRJ</t>
  </si>
  <si>
    <t>LSTKHRH4FR9DWGGFZRJTZLL8M</t>
  </si>
  <si>
    <t>DE2231302-S-PM39397</t>
  </si>
  <si>
    <t>SH-GTA-K</t>
  </si>
  <si>
    <t>SH-GTA</t>
  </si>
  <si>
    <t>Black</t>
  </si>
  <si>
    <t>B0FHBCDD2D</t>
  </si>
  <si>
    <t>KRKHDUF5VZGZZHCP</t>
  </si>
  <si>
    <t>LSTKRKHDUF5VZGZZHCPKYELRL</t>
  </si>
  <si>
    <t>B-MLT-KTMI</t>
  </si>
  <si>
    <t>B-MLT-KT</t>
  </si>
  <si>
    <t>B0CP3KM5LW</t>
  </si>
  <si>
    <t>BDDGW3NEJCUXZEM4</t>
  </si>
  <si>
    <t>LSTBDDGW3NEJCUXZEM4LTRECD</t>
  </si>
  <si>
    <t>FVBDST33BR32682</t>
  </si>
  <si>
    <t>FN2152502-S-PM39235</t>
  </si>
  <si>
    <t>B-POL-KTFW</t>
  </si>
  <si>
    <t>B-POL-KT</t>
  </si>
  <si>
    <t>B092SMVLBD</t>
  </si>
  <si>
    <t>BDDH2P3FZPXMFGSV</t>
  </si>
  <si>
    <t>LSTBDDH2P3FZPXMFGSV4MMASL</t>
  </si>
  <si>
    <t>FVBDNS33WN20473</t>
  </si>
  <si>
    <t>FN2030309-S-PM39235</t>
  </si>
  <si>
    <t>FN2030309-S-WH41218</t>
  </si>
  <si>
    <t>B-POL-KTMI</t>
  </si>
  <si>
    <t>B0CQNMYL8T</t>
  </si>
  <si>
    <t>BDDGZ5JZ2EZMTQSN</t>
  </si>
  <si>
    <t>LSTBDDGZ5JZ2EZMTQSNRXSWLY</t>
  </si>
  <si>
    <t>FVBDST33BR50132</t>
  </si>
  <si>
    <t>B-POL-SNWF</t>
  </si>
  <si>
    <t>B-POL-SN</t>
  </si>
  <si>
    <t>B0BCZ54CNJ</t>
  </si>
  <si>
    <t>BDDGHZHW6DRYQUH9</t>
  </si>
  <si>
    <t>LSTBDDGHZHW6DRYQUH90URHJE</t>
  </si>
  <si>
    <t>FVBDNS33BR50136</t>
  </si>
  <si>
    <t>FN2087156-S-PM39235</t>
  </si>
  <si>
    <t>B-RVB-D36NM</t>
  </si>
  <si>
    <t>B-RVB-D36N</t>
  </si>
  <si>
    <t>B0C8J4PN4Q</t>
  </si>
  <si>
    <t>BDDHYHDZMSFXQYWM</t>
  </si>
  <si>
    <t>LSTBDDHYHDZMSFXQYWMYSM6QG</t>
  </si>
  <si>
    <t>FVBDNS33BR50138</t>
  </si>
  <si>
    <t>FN2229385-S-PM39235</t>
  </si>
  <si>
    <t>FN2229385-S-WH41218</t>
  </si>
  <si>
    <t>B-RVB-KNM</t>
  </si>
  <si>
    <t>B-RVB-KN</t>
  </si>
  <si>
    <t>B0CJRXN75L</t>
  </si>
  <si>
    <t>BDDGUJ24KCGFF36G</t>
  </si>
  <si>
    <t>LSTBDDGUJ24KCGFF36GI2IXBZ</t>
  </si>
  <si>
    <t>FVBDNS33BR32684</t>
  </si>
  <si>
    <t>FN2152499-S-PM39235</t>
  </si>
  <si>
    <t>FN2152499-S-WH41218</t>
  </si>
  <si>
    <t>B-RVB-KNW</t>
  </si>
  <si>
    <t>B092S8DTLP</t>
  </si>
  <si>
    <t>BDDGD38YKZVZVGPG</t>
  </si>
  <si>
    <t>LSTBDDGD38YKZVZVGPGBK2FJ4</t>
  </si>
  <si>
    <t>FVBDNS33WN20477</t>
  </si>
  <si>
    <t>FN1991971-S-PM39235</t>
  </si>
  <si>
    <t>CH-PLI-MEK</t>
  </si>
  <si>
    <t>CH-PLI-ME</t>
  </si>
  <si>
    <t>B0FRFKPW75</t>
  </si>
  <si>
    <t>CH-ZLO-MEK</t>
  </si>
  <si>
    <t>CH-ZLO-ME</t>
  </si>
  <si>
    <t>B0FRFN4MXV</t>
  </si>
  <si>
    <t>CT-GSE-RTW2</t>
  </si>
  <si>
    <t>CT-GSE-RT2</t>
  </si>
  <si>
    <t>X001N6TDTR</t>
  </si>
  <si>
    <t>B09YRQDTY5</t>
  </si>
  <si>
    <t>CFTGG8K2GTFVU6EZ</t>
  </si>
  <si>
    <t>LSTCFTGG8K2GTFVU6EZM3FUXB</t>
  </si>
  <si>
    <t>FVTBCF33WN20630</t>
  </si>
  <si>
    <t>FN2030317-S-PM39235</t>
  </si>
  <si>
    <t>CT-GSE-SQF</t>
  </si>
  <si>
    <t>CT-GSE-SQ</t>
  </si>
  <si>
    <t>X001EQA3IL</t>
  </si>
  <si>
    <t>B099DJNDK9</t>
  </si>
  <si>
    <t>CFTG5Y2B66BKERPW</t>
  </si>
  <si>
    <t>LSTCFTG5Y2B66BKERPWIJYIJY</t>
  </si>
  <si>
    <t>FVTBCF33WH20631</t>
  </si>
  <si>
    <t>FN1991969-S-PM39235</t>
  </si>
  <si>
    <t>CT-GSE-SQF2</t>
  </si>
  <si>
    <t>CT-GSE-SQ2</t>
  </si>
  <si>
    <t>X001LIMNA3</t>
  </si>
  <si>
    <t>B09YRQMJ2N</t>
  </si>
  <si>
    <t>CFTGG8K2EZTGRHH6</t>
  </si>
  <si>
    <t>LSTCFTGG8K2EZTGRHH66FZWAE</t>
  </si>
  <si>
    <t>FVTBCF33WH20632</t>
  </si>
  <si>
    <t>FN2030318-S-PM39235</t>
  </si>
  <si>
    <t>CT-GSE-SQW</t>
  </si>
  <si>
    <t>X001EK390B</t>
  </si>
  <si>
    <t>B099DFK1Z3</t>
  </si>
  <si>
    <t>CFTG5Y2HEAFESGB2</t>
  </si>
  <si>
    <t>LSTCFTG5Y2HEAFESGB2QROEMS</t>
  </si>
  <si>
    <t>FVTBCF33WN20633</t>
  </si>
  <si>
    <t>FN1991983-S-PM39235</t>
  </si>
  <si>
    <t>CT-GSE-SQW2</t>
  </si>
  <si>
    <t>X001MHX70N</t>
  </si>
  <si>
    <t>B09YRQHCQG</t>
  </si>
  <si>
    <t>CFTGG8K3WS9KJMZZ</t>
  </si>
  <si>
    <t>LSTCFTGG8K3WS9KJMZZ8T6YF6</t>
  </si>
  <si>
    <t>FVTBCF33WN20634</t>
  </si>
  <si>
    <t>FN2030319-S-PM39235</t>
  </si>
  <si>
    <t>CT-KV-RTW</t>
  </si>
  <si>
    <t>X001JGX84H</t>
  </si>
  <si>
    <t>B09QS83C86</t>
  </si>
  <si>
    <t>CFTGBSG3A3GTR6QF</t>
  </si>
  <si>
    <t>LSTCFTGBSG3A3GTR6QFZA9CQZ</t>
  </si>
  <si>
    <t>FVTBCF33WN20635</t>
  </si>
  <si>
    <t>FN1991944-S-PM39235</t>
  </si>
  <si>
    <t>KC-OPT-2NF</t>
  </si>
  <si>
    <t>KC-OPT-2N</t>
  </si>
  <si>
    <t>B0FBMC4KNW</t>
  </si>
  <si>
    <t>KTCHCSGDHUKWRCH6</t>
  </si>
  <si>
    <t>LSTKTCHCSGDHUKWRCH6C5ZPFW</t>
  </si>
  <si>
    <t>FVSGSB11WH51525</t>
  </si>
  <si>
    <t>KH-LKN-MF</t>
  </si>
  <si>
    <t>KH-LKN-6</t>
  </si>
  <si>
    <t>X001YYWOGR</t>
  </si>
  <si>
    <t>B0CQTJ11F9</t>
  </si>
  <si>
    <t>KHRGVE4FSFSXZKBH</t>
  </si>
  <si>
    <t>LSTKHRGVE4FSFSXZKBHCCGMOF</t>
  </si>
  <si>
    <t>DE2198496-S-PM39397</t>
  </si>
  <si>
    <t>KH-TOC-40F</t>
  </si>
  <si>
    <t>KH-TOC-40</t>
  </si>
  <si>
    <t>B0DSVQBXV6</t>
  </si>
  <si>
    <t>KHRH8JBKVQMZAX4Y</t>
  </si>
  <si>
    <t>LSTKHRH8JBKVQMZAX4YAA7JRT</t>
  </si>
  <si>
    <t>KD2280089-S-PM39397</t>
  </si>
  <si>
    <t>PF-MIS-RTU</t>
  </si>
  <si>
    <t>Blue</t>
  </si>
  <si>
    <t>B0D9LLC7JB</t>
  </si>
  <si>
    <t>OTPH4RNTCGR9BATZ</t>
  </si>
  <si>
    <t>LSTOTPH4RNTCGR9BATZPTF6EP</t>
  </si>
  <si>
    <t>FVSTOT51BU51529</t>
  </si>
  <si>
    <t>FN2200960-S-PM39235</t>
  </si>
  <si>
    <t>PU-DRV-F</t>
  </si>
  <si>
    <t>PU-DRV</t>
  </si>
  <si>
    <t>B0FSKNWX7X</t>
  </si>
  <si>
    <t>HTEHGGW9FV5M3RTZ</t>
  </si>
  <si>
    <t>KD2280099-S-PM39397</t>
  </si>
  <si>
    <t>RT-RI-W</t>
  </si>
  <si>
    <t>RT-RI</t>
  </si>
  <si>
    <t>X000PRZ7B3</t>
  </si>
  <si>
    <t>B06WD67PF1</t>
  </si>
  <si>
    <t>DTBF2PYFZ3UHXNWY</t>
  </si>
  <si>
    <t>LSTDTBF2PYFZ3UHXNWYFWVKPC</t>
  </si>
  <si>
    <t>FVTBDS33BR20505</t>
  </si>
  <si>
    <t>FN2030327-S-PM39235</t>
  </si>
  <si>
    <t>SB-AA-WD</t>
  </si>
  <si>
    <t>SB-AA</t>
  </si>
  <si>
    <t>X000KIR5C1</t>
  </si>
  <si>
    <t>B019K1OVJK</t>
  </si>
  <si>
    <t>BSFEVYFZPNVCNKJG</t>
  </si>
  <si>
    <t>LSTBSFEVYFZPNVCNKJGYPHWMQ</t>
  </si>
  <si>
    <t>FVSGCB33WG25113</t>
  </si>
  <si>
    <t>DE2231304-S-PM39397</t>
  </si>
  <si>
    <t>SB-AXA-4M</t>
  </si>
  <si>
    <t>SB-AXA-4</t>
  </si>
  <si>
    <t>X001YSR0UN</t>
  </si>
  <si>
    <t>B0CP66B2J6</t>
  </si>
  <si>
    <t>BSFGW3GRJRUPXWMR</t>
  </si>
  <si>
    <t>LSTBSFGW3GRJRUPXWMRPXAJBG</t>
  </si>
  <si>
    <t>FVSGBR33BR32736</t>
  </si>
  <si>
    <t>FN2166548-S-PM39235</t>
  </si>
  <si>
    <t>SB-OVO-MF</t>
  </si>
  <si>
    <t>SB-OVO</t>
  </si>
  <si>
    <t>B0G9L6KSMZ</t>
  </si>
  <si>
    <t>BSFHJZGZW9ZYGZWH</t>
  </si>
  <si>
    <t>SB-SDA-M</t>
  </si>
  <si>
    <t>SB-SDA</t>
  </si>
  <si>
    <t>B0G9L34HC8</t>
  </si>
  <si>
    <t>BSFHJZGCV2TWXNVY</t>
  </si>
  <si>
    <t>SB-SRA-M</t>
  </si>
  <si>
    <t>SB-SRA</t>
  </si>
  <si>
    <t>B0G9MGPL46</t>
  </si>
  <si>
    <t>BSFHJYFXGVESPJXJ</t>
  </si>
  <si>
    <t>SF-WBR-4LIE</t>
  </si>
  <si>
    <t>SF-WBR-4LI</t>
  </si>
  <si>
    <t>B0FGXPNSFF</t>
  </si>
  <si>
    <t>SF-WBR-4LIF</t>
  </si>
  <si>
    <t>B0FGXP793C</t>
  </si>
  <si>
    <t>SF-WBR-4LIU</t>
  </si>
  <si>
    <t>B09VP3CVVQ</t>
  </si>
  <si>
    <t>SH-CHR-K</t>
  </si>
  <si>
    <t>SH-CHR</t>
  </si>
  <si>
    <t>B0DGCNPQN9</t>
  </si>
  <si>
    <t>RSFH48QSABQBXNNF</t>
  </si>
  <si>
    <t>LSTRSFH48QSABQBXNNFUEQA2T</t>
  </si>
  <si>
    <t>DE2231311-S-PM39397</t>
  </si>
  <si>
    <t>SH-YBO-M</t>
  </si>
  <si>
    <t>SH-YBO</t>
  </si>
  <si>
    <t>B0F6D6P1FZ</t>
  </si>
  <si>
    <t>RSFHBWFHPRS2YQBK</t>
  </si>
  <si>
    <t>SL-VE-PW</t>
  </si>
  <si>
    <t>SL-VE-P</t>
  </si>
  <si>
    <t>X000PRZ7BX</t>
  </si>
  <si>
    <t>B06WD66S6Y</t>
  </si>
  <si>
    <t>SLTET5ZCRWG5P9MJ</t>
  </si>
  <si>
    <t>LSTSLTET5ZCRWG5P9MJURE86S</t>
  </si>
  <si>
    <t>FVSGCB33BR25057</t>
  </si>
  <si>
    <t>DE2231313-S-PM39397</t>
  </si>
  <si>
    <t>SR-ADS-2W</t>
  </si>
  <si>
    <t>SR-ADS-2</t>
  </si>
  <si>
    <t>FN2156816-S-PM39235</t>
  </si>
  <si>
    <t>SR-FLV-W</t>
  </si>
  <si>
    <t>SR-FLV</t>
  </si>
  <si>
    <t>FN2186982-S-PM39235</t>
  </si>
  <si>
    <t>S-TCW-10P2</t>
  </si>
  <si>
    <t>X000KIR4BX</t>
  </si>
  <si>
    <t>RSFEEZXY7YKH9EYQ</t>
  </si>
  <si>
    <t>LSTRSFEEZXY7YKH9EYQRBBH6E</t>
  </si>
  <si>
    <t>FVSGCB33WG25104</t>
  </si>
  <si>
    <t>DE2231315-S-PM39397</t>
  </si>
  <si>
    <t>ST-HES-L</t>
  </si>
  <si>
    <t>ST-HES</t>
  </si>
  <si>
    <t>X000LJBLAL</t>
  </si>
  <si>
    <t>B01GO3VYBK</t>
  </si>
  <si>
    <t>OSTEKNZ9TDDXBZEQ</t>
  </si>
  <si>
    <t>LSTOSTEKNZ9TDDXBZEQFM4LZS</t>
  </si>
  <si>
    <t>FVTBST33WA20603</t>
  </si>
  <si>
    <t>ST-NFN-WF</t>
  </si>
  <si>
    <t>ST-NFN</t>
  </si>
  <si>
    <t>FN2189816-S-PM39235</t>
  </si>
  <si>
    <t>TS-NL-AL</t>
  </si>
  <si>
    <t>TS-NL-A</t>
  </si>
  <si>
    <t>X000VZBDN5</t>
  </si>
  <si>
    <t>B07D1M29LM</t>
  </si>
  <si>
    <t>CPTFCAGWZXJQSEFN</t>
  </si>
  <si>
    <t>LSTCPTFCAGWZXJQSEFNDHLZDA</t>
  </si>
  <si>
    <t>FVSGCB33BE25060</t>
  </si>
  <si>
    <t>FN2194311-S-PM39235</t>
  </si>
  <si>
    <t>TU-AMY-MF</t>
  </si>
  <si>
    <t>TU-AMY</t>
  </si>
  <si>
    <t>B0G3PD9179</t>
  </si>
  <si>
    <t>TVUHG8FHF8AVW7JT</t>
  </si>
  <si>
    <t>LSTTVUHG8FHF8AVW7JT9DBKMT</t>
  </si>
  <si>
    <t>TU-HRI-MF</t>
  </si>
  <si>
    <t>TU-HRI</t>
  </si>
  <si>
    <t>B0G3P6LNG3</t>
  </si>
  <si>
    <t>TVUHG8FHKSGJEHWX</t>
  </si>
  <si>
    <t>LSTTVUHG8FHKSGJEHWXRIFCTJ</t>
  </si>
  <si>
    <t>TU-KVD-STW</t>
  </si>
  <si>
    <t>TU-KVD-ST</t>
  </si>
  <si>
    <t>X001C73GPJ</t>
  </si>
  <si>
    <t>B08YWYYXV7</t>
  </si>
  <si>
    <t>TVUGFGDYUTNCGZJP</t>
  </si>
  <si>
    <t>LSTTVUGFGDYUTNCGZJPCJE0A7</t>
  </si>
  <si>
    <t>FVSGAV33WN20534</t>
  </si>
  <si>
    <t>FN1991980-S-PM39235</t>
  </si>
  <si>
    <t>TU-LMI-MF</t>
  </si>
  <si>
    <t>TU-LMI</t>
  </si>
  <si>
    <t>B0G3PFHTK9</t>
  </si>
  <si>
    <t>TVUHG8FYARDME5RG</t>
  </si>
  <si>
    <t>LSTTVUHG8FYARDME5RGQCGJF8</t>
  </si>
  <si>
    <t>TU-MSE-MF</t>
  </si>
  <si>
    <t>TU-MSE</t>
  </si>
  <si>
    <t>B0G3PX8MGR</t>
  </si>
  <si>
    <t>TVUHG8FHXDK52PZ3</t>
  </si>
  <si>
    <t>LSTTVUHG8FHXDK52PZ3TBQGUL</t>
  </si>
  <si>
    <t>TU-MSEP-MF</t>
  </si>
  <si>
    <t>TU-MSEP</t>
  </si>
  <si>
    <t>B0G3Q4HKH8</t>
  </si>
  <si>
    <t>TVUHG8FHDHDTB7QB</t>
  </si>
  <si>
    <t>LSTTVUHG8FHDHDTB7QBHHBWTB</t>
  </si>
  <si>
    <t>TU-OLA-MF</t>
  </si>
  <si>
    <t>TU-OLA</t>
  </si>
  <si>
    <t>B0G3PG1KDM</t>
  </si>
  <si>
    <t>TVUHG8FHT5GH4CJY</t>
  </si>
  <si>
    <t>LSTTVUHG8FHT5GH4CJYEXGO8F</t>
  </si>
  <si>
    <t>TU-OML-MF</t>
  </si>
  <si>
    <t>TU-OML</t>
  </si>
  <si>
    <t>B0G3PFQXNN</t>
  </si>
  <si>
    <t>TVUHG8FH4UQENHKF</t>
  </si>
  <si>
    <t>LSTTVUHG8FH4UQENHKFDHVB5W</t>
  </si>
  <si>
    <t>TU-PIN-MF</t>
  </si>
  <si>
    <t>TU-PIN</t>
  </si>
  <si>
    <t>B0G3B3ZR4V</t>
  </si>
  <si>
    <t>TVUHG8FHYQHTXEG3</t>
  </si>
  <si>
    <t>LSTTVUHG8FHYQHTXEG3X2ZVUB</t>
  </si>
  <si>
    <t>TU-RYE-LAMI</t>
  </si>
  <si>
    <t>X0022MPW3H</t>
  </si>
  <si>
    <t>B0CT2V51VB</t>
  </si>
  <si>
    <t>TVUGZN6YFECXZQAA</t>
  </si>
  <si>
    <t>LSTTVUGZN6YFECXZQAA4A4DN2</t>
  </si>
  <si>
    <t>FVSGAV33BR50156</t>
  </si>
  <si>
    <t>FN2194317-S-PM39235</t>
  </si>
  <si>
    <t>FN2194317-S-WH41218</t>
  </si>
  <si>
    <t>TU-RYE-STWF</t>
  </si>
  <si>
    <t>X001EQD9XR</t>
  </si>
  <si>
    <t>B099DTPB9X</t>
  </si>
  <si>
    <t>TVUG5CG5H9HNBNNF</t>
  </si>
  <si>
    <t>LSTTVUG5CG5H9HNBNNFLOCZNR</t>
  </si>
  <si>
    <t>FVSGAV33WN20560</t>
  </si>
  <si>
    <t>FN1991954-S-PM39235</t>
  </si>
  <si>
    <t>W-AND-2MMI</t>
  </si>
  <si>
    <t>B0CR469F3M</t>
  </si>
  <si>
    <t>WCLGWYH2FPJGJURK</t>
  </si>
  <si>
    <t>LSTWCLGWYH2FPJGJURKAH4DAH</t>
  </si>
  <si>
    <t>FVSGCB33BR32687</t>
  </si>
  <si>
    <t>FN2166581-S-PM39235</t>
  </si>
  <si>
    <t>W-AND-2NMI</t>
  </si>
  <si>
    <t>B0CR464G3J</t>
  </si>
  <si>
    <t>WCLGWYKNFPGAQM88</t>
  </si>
  <si>
    <t>LSTWCLGWYKNFPGAQM88PLLX64</t>
  </si>
  <si>
    <t>FVSGCB33BR32688</t>
  </si>
  <si>
    <t>FN2166580-S-PM39235</t>
  </si>
  <si>
    <t>W-AND-3MMI</t>
  </si>
  <si>
    <t>B0CR47QKV6</t>
  </si>
  <si>
    <t>WCLGWYHDFNGWAGDG</t>
  </si>
  <si>
    <t>LSTWCLGWYHDFNGWAGDGN74WAR</t>
  </si>
  <si>
    <t>FVSGCB33BR32689</t>
  </si>
  <si>
    <t>FN2166583-S-PM39235</t>
  </si>
  <si>
    <t>W-AND-4MFW</t>
  </si>
  <si>
    <t>B0B8MY8Q7G</t>
  </si>
  <si>
    <t>WCLGHCCJKZWHHXNV</t>
  </si>
  <si>
    <t>LSTWCLGHCCJKZWHHXNVQZYEK1</t>
  </si>
  <si>
    <t>FVSGSR33BR71091</t>
  </si>
  <si>
    <t>FN2027700-S-PM39235</t>
  </si>
  <si>
    <t>FN2027700-S-WH41218</t>
  </si>
  <si>
    <t>WA-PYS-NM</t>
  </si>
  <si>
    <t>WA-PYS-N</t>
  </si>
  <si>
    <t>B0F6D8BJ7K</t>
  </si>
  <si>
    <t>DSUHBWCGRKQBWPMH</t>
  </si>
  <si>
    <t>KD2280097-S-PM39397</t>
  </si>
  <si>
    <t>WA-PYS-SM</t>
  </si>
  <si>
    <t>WA-PYS-S</t>
  </si>
  <si>
    <t>B0F6D7KWNQ</t>
  </si>
  <si>
    <t>DSUHBWCRUUJHZGPK</t>
  </si>
  <si>
    <t>KD2280088-S-PM39397</t>
  </si>
  <si>
    <t>B-MLT-KTFW</t>
  </si>
  <si>
    <t>B09ST4HND8</t>
  </si>
  <si>
    <t>BDDGCAB7W4WQMGVZ</t>
  </si>
  <si>
    <t>LSTBDDGCAB7W4WQMGVZTXZ28E</t>
  </si>
  <si>
    <t>FVBDNS33WN20470</t>
  </si>
  <si>
    <t>FN1991912-S-PM39235</t>
  </si>
  <si>
    <t>FN1991912-S-WH41218</t>
  </si>
  <si>
    <t>B-MLT-QTFW</t>
  </si>
  <si>
    <t>B09ST5XFYJ</t>
  </si>
  <si>
    <t>BDDGCAB7G2U4HKWH</t>
  </si>
  <si>
    <t>LSTBDDGCAB7G2U4HKWHCBGMQB</t>
  </si>
  <si>
    <t>FVBDNS33WN20471</t>
  </si>
  <si>
    <t>FN1986320-S-PM39235</t>
  </si>
  <si>
    <t>FN1986320-S-WH41218</t>
  </si>
  <si>
    <t>B-POL-KNW</t>
  </si>
  <si>
    <t>B-POL-KN</t>
  </si>
  <si>
    <t>B092S8MRGZ</t>
  </si>
  <si>
    <t>BDDG4S4BCHNY7FZG</t>
  </si>
  <si>
    <t>LSTBDDG4S4BCHNY7FZG1GLYC7</t>
  </si>
  <si>
    <t>FVBDNS33WE20472</t>
  </si>
  <si>
    <t>FN1991973-S-PM39235</t>
  </si>
  <si>
    <t>B-POL-QTMI</t>
  </si>
  <si>
    <t>B0CQNMZQMH</t>
  </si>
  <si>
    <t>BDDGZ5KFQP9RXHQR</t>
  </si>
  <si>
    <t>LSTBDDGZ5KFQP9RXHQRFVUM7H</t>
  </si>
  <si>
    <t>FVBDST33BR50133</t>
  </si>
  <si>
    <t>FN2194289-S-PM39235</t>
  </si>
  <si>
    <t>B-POL-SNLF</t>
  </si>
  <si>
    <t>B0BCZ5XLC3</t>
  </si>
  <si>
    <t>BDDGHZNJWB8RETAZ</t>
  </si>
  <si>
    <t>LSTBDDGHZNJWB8RETAZKSM7GU</t>
  </si>
  <si>
    <t>FVBDNS33BR50134</t>
  </si>
  <si>
    <t>FN2087157-S-PM39235</t>
  </si>
  <si>
    <t>FN2087157-S-WH41218</t>
  </si>
  <si>
    <t>B-POL-SNMI</t>
  </si>
  <si>
    <t>B0CZRLG1NC</t>
  </si>
  <si>
    <t>BDDH25FE3X7XFFEW</t>
  </si>
  <si>
    <t>LSTBDDH25FE3X7XFFEWLEZMBG</t>
  </si>
  <si>
    <t>FVBDNS33BR50135</t>
  </si>
  <si>
    <t>FN2194290-S-PM39235</t>
  </si>
  <si>
    <t>B-RVB-D30NM</t>
  </si>
  <si>
    <t>B-RVB-D30N</t>
  </si>
  <si>
    <t>B-RVB-QNW</t>
  </si>
  <si>
    <t>B0DJC1TF83</t>
  </si>
  <si>
    <t>BDDGF9Z3JBKGRMCV</t>
  </si>
  <si>
    <t>LSTBDDGF9Z3JBKGRMCVENDK83</t>
  </si>
  <si>
    <t>FVBDNS33WN20480</t>
  </si>
  <si>
    <t>FN1991891-S-PM39235</t>
  </si>
  <si>
    <t>FN1991891-S-WH41218</t>
  </si>
  <si>
    <t>B-RVB-QNWF</t>
  </si>
  <si>
    <t>B09TXN6QVT</t>
  </si>
  <si>
    <t>BDDGCHVBVRMNJVZG</t>
  </si>
  <si>
    <t>LSTBDDGCHVBVRMNJVZGQRERUA</t>
  </si>
  <si>
    <t>FVBDNS33WN20481</t>
  </si>
  <si>
    <t>FN2030310-S-PM39235</t>
  </si>
  <si>
    <t>CT-ATD-SWF</t>
  </si>
  <si>
    <t>CT-ATD-ST</t>
  </si>
  <si>
    <t>X001K82IR7</t>
  </si>
  <si>
    <t>B09X1QL8Z3</t>
  </si>
  <si>
    <t>CFTGDCF27JRBAYXZ</t>
  </si>
  <si>
    <t>LSTCFTGDCF27JRBAYXZJEHSGQ</t>
  </si>
  <si>
    <t>FVTBCF33WW20623</t>
  </si>
  <si>
    <t>FN1991906-S-PM39235</t>
  </si>
  <si>
    <t>CT-DOV-DI</t>
  </si>
  <si>
    <t>Wildwood &amp; Beige</t>
  </si>
  <si>
    <t>X001VSK9OP</t>
  </si>
  <si>
    <t>B0CKF9VBWN</t>
  </si>
  <si>
    <t>FVTBCF33BR50147</t>
  </si>
  <si>
    <t>FN2194293-S-PM39235</t>
  </si>
  <si>
    <t>CT-DOV-MI</t>
  </si>
  <si>
    <t>X0022OVIKB</t>
  </si>
  <si>
    <t>B0D4DXXYFG</t>
  </si>
  <si>
    <t>CFTH2AZFMHEFWZAM</t>
  </si>
  <si>
    <t>LSTCFTH2AZFMHEFWZAMQTWFCM</t>
  </si>
  <si>
    <t>FVTBCF33BR50148</t>
  </si>
  <si>
    <t>FN2194294-S-PM39235</t>
  </si>
  <si>
    <t>CT-GSE-RTF</t>
  </si>
  <si>
    <t>CT-GSE-RT</t>
  </si>
  <si>
    <t>X001EQC9G5</t>
  </si>
  <si>
    <t>B099DRR4GJ</t>
  </si>
  <si>
    <t>CFTG5YFQN2NYSFRY</t>
  </si>
  <si>
    <t>LSTCFTG5YFQN2NYSFRYNBEYII</t>
  </si>
  <si>
    <t>FVTBCF33WH20627</t>
  </si>
  <si>
    <t>FN1991979-S-PM39235</t>
  </si>
  <si>
    <t>CT-GSE-RTF2</t>
  </si>
  <si>
    <t>X001L4LG4L</t>
  </si>
  <si>
    <t>B09YRQ16CR</t>
  </si>
  <si>
    <t>CFTGG8JXMH3KJ4SP</t>
  </si>
  <si>
    <t>LSTCFTGG8JXMH3KJ4SPMLSVQT</t>
  </si>
  <si>
    <t>FVTBCF33WH20628</t>
  </si>
  <si>
    <t>FN2030315-S-PM39235</t>
  </si>
  <si>
    <t>CT-GSE-RTW</t>
  </si>
  <si>
    <t>X001EK20CT</t>
  </si>
  <si>
    <t>B099DKSKGP</t>
  </si>
  <si>
    <t>CFTG5YFN5BFYFGPW</t>
  </si>
  <si>
    <t>LSTCFTG5YFN5BFYFGPWBM8PGL</t>
  </si>
  <si>
    <t>FVTBCF33WN20629</t>
  </si>
  <si>
    <t>FN2030316-S-PM39235</t>
  </si>
  <si>
    <t>CT-KV-SQW</t>
  </si>
  <si>
    <t>CT-KV-SQ</t>
  </si>
  <si>
    <t>X001JVV2WH</t>
  </si>
  <si>
    <t>B09QS76DX4</t>
  </si>
  <si>
    <t>CFTGBSGA9YAQTMPN</t>
  </si>
  <si>
    <t>LSTCFTGBSGA9YAQTMPNP2TH20</t>
  </si>
  <si>
    <t>FVTBCF33WN20636</t>
  </si>
  <si>
    <t>FN1988006-S-PM39235</t>
  </si>
  <si>
    <t>CT-LE-W</t>
  </si>
  <si>
    <t>X000PRZ6QJ</t>
  </si>
  <si>
    <t>B06WRTY881</t>
  </si>
  <si>
    <t>CFTEUJ2ZH8EZ6SBF</t>
  </si>
  <si>
    <t>LSTCFTEUJ2ZH8EZ6SBF4WTGFE</t>
  </si>
  <si>
    <t>FVTBCF33WN20638</t>
  </si>
  <si>
    <t>FN1991919-S-PM39235</t>
  </si>
  <si>
    <t>FN1991919-S-WH41218</t>
  </si>
  <si>
    <t>CT-MT-SQW</t>
  </si>
  <si>
    <t>CT-MT-SQ</t>
  </si>
  <si>
    <t>B09X1KDDHF</t>
  </si>
  <si>
    <t>CFTGDC22K4JQMW6H</t>
  </si>
  <si>
    <t>LSTCFTGDC22K4JQMW6HMWMAI9</t>
  </si>
  <si>
    <t>FVTBCF33BR20645</t>
  </si>
  <si>
    <t>FN1991995-S-PM39235</t>
  </si>
  <si>
    <t>CT-NO-SQL</t>
  </si>
  <si>
    <t>CT-NO-SQ</t>
  </si>
  <si>
    <t>X001OZCKP1</t>
  </si>
  <si>
    <t>B06WLNHWBK</t>
  </si>
  <si>
    <t>CFTF2SE9HVCDFEJ5</t>
  </si>
  <si>
    <t>LSTCFTF2SE9HVCDFEJ5MKQUFY</t>
  </si>
  <si>
    <t>FVTBCF33WA20649</t>
  </si>
  <si>
    <t>FN1991935-S-PM39235</t>
  </si>
  <si>
    <t>CT-SY-L</t>
  </si>
  <si>
    <t>X000PRV16N</t>
  </si>
  <si>
    <t>B06VX43PCL</t>
  </si>
  <si>
    <t>CFTEXAEKNUVNRPE8</t>
  </si>
  <si>
    <t>LSTCFTEXAEKNUVNRPE88PD15V</t>
  </si>
  <si>
    <t>FVTBCF33WA20655</t>
  </si>
  <si>
    <t>FN1991929-S-PM39235</t>
  </si>
  <si>
    <t>CT-SY-W</t>
  </si>
  <si>
    <t>X000PRZ6S7</t>
  </si>
  <si>
    <t>B06VWM8J7D</t>
  </si>
  <si>
    <t>CFTEUKFC4YCTZZ6P</t>
  </si>
  <si>
    <t>LSTCFTEUKFC4YCTZZ6PUUIAIX</t>
  </si>
  <si>
    <t>FVTBCF33WN20656</t>
  </si>
  <si>
    <t>FN2030320-S-PM39235</t>
  </si>
  <si>
    <t>CT-TR-RTWS</t>
  </si>
  <si>
    <t>CT-TR-RTS</t>
  </si>
  <si>
    <t>X001I5F46J</t>
  </si>
  <si>
    <t>B09PN63DBS</t>
  </si>
  <si>
    <t>CFTGAEBQGPZP7HJN</t>
  </si>
  <si>
    <t>LSTCFTGAEBQGPZP7HJN9K99W1</t>
  </si>
  <si>
    <t>FVTBCF33WN20658</t>
  </si>
  <si>
    <t>FN1991952-S-PM39235</t>
  </si>
  <si>
    <t>FT-EDR.P-LF</t>
  </si>
  <si>
    <t>X0020TUNNV</t>
  </si>
  <si>
    <t>B0C43M2SHP</t>
  </si>
  <si>
    <t>SITGPPCNQWFRHXQG</t>
  </si>
  <si>
    <t>LSTSITGPPCNQWFRHXQGQGLVYF</t>
  </si>
  <si>
    <t>FVTBSI33BR50141</t>
  </si>
  <si>
    <t>FN2194299-S-PM39235</t>
  </si>
  <si>
    <t>FN2194299-S-WH41218</t>
  </si>
  <si>
    <t>GH-IS-W</t>
  </si>
  <si>
    <t>GH-IS</t>
  </si>
  <si>
    <t>X000V77M0B</t>
  </si>
  <si>
    <t>B07D16ZFBM</t>
  </si>
  <si>
    <t>MGHFC89Q2FFQYCTB</t>
  </si>
  <si>
    <t>LSTMGHFC89Q2FFQYCTBXNPSDM</t>
  </si>
  <si>
    <t>DE2034593-S-PM39397</t>
  </si>
  <si>
    <t>KH-AM-B</t>
  </si>
  <si>
    <t>KH-AM</t>
  </si>
  <si>
    <t>X000KI65VD</t>
  </si>
  <si>
    <t>B019HACORU</t>
  </si>
  <si>
    <t>KHREFZ4SUEQVHMCS</t>
  </si>
  <si>
    <t>LSTKHREFZ4SUEQVHMCS7LKYEK</t>
  </si>
  <si>
    <t>DE2231295-S-PM39397</t>
  </si>
  <si>
    <t>KH-VD-CD</t>
  </si>
  <si>
    <t>KH-VD</t>
  </si>
  <si>
    <t>X000PRZ6ZP</t>
  </si>
  <si>
    <t>B06VWMF1R3</t>
  </si>
  <si>
    <t>KHRESX3DWP6GFTZK</t>
  </si>
  <si>
    <t>LSTKHRESX3DWP6GFTZKXVPDB0</t>
  </si>
  <si>
    <t>DE2231301-S-PM39397</t>
  </si>
  <si>
    <t>KH-VD-FV</t>
  </si>
  <si>
    <t>X000PSRWXD</t>
  </si>
  <si>
    <t>KHRESX49GDCXGSEZ</t>
  </si>
  <si>
    <t>LSTKHRESX49GDCXGSEZQWMYBQ</t>
  </si>
  <si>
    <t>PF-NAH-RTF</t>
  </si>
  <si>
    <t>PF-NAH-RT</t>
  </si>
  <si>
    <t>B0D9LKFY53</t>
  </si>
  <si>
    <t>PF-NAH-RTN</t>
  </si>
  <si>
    <t>B0D9LLKPBF</t>
  </si>
  <si>
    <t>RD-AW-WT</t>
  </si>
  <si>
    <t>RD-AW</t>
  </si>
  <si>
    <t>X000KM2AYP</t>
  </si>
  <si>
    <t>PLLEAD5HNCXFVZPW</t>
  </si>
  <si>
    <t>LSTPLLEAD5HNCXFVZPWO8Y9GZ</t>
  </si>
  <si>
    <t>RH-OT-WW</t>
  </si>
  <si>
    <t>Wenge Wave</t>
  </si>
  <si>
    <t>X000PRZ7AT</t>
  </si>
  <si>
    <t>B06WD67MLP</t>
  </si>
  <si>
    <t>DKOF3PHHHT8EYDGW</t>
  </si>
  <si>
    <t>LSTDKOF3PHHHT8EYDGWRYHVSU</t>
  </si>
  <si>
    <t>DE2198501-S-PM39397</t>
  </si>
  <si>
    <t>RT-ALY-LF</t>
  </si>
  <si>
    <t>X0020N97PH</t>
  </si>
  <si>
    <t>B0BNJ3R6C3</t>
  </si>
  <si>
    <t>DTBGQ9HZGNDECHCJ</t>
  </si>
  <si>
    <t>LSTDTBGQ9HZGNDECHCJXUZNP3</t>
  </si>
  <si>
    <t>FVTBDS33BR50145</t>
  </si>
  <si>
    <t>FN2087134-S-PM39235</t>
  </si>
  <si>
    <t>RT-FR-W</t>
  </si>
  <si>
    <t>X000PRZ0UB</t>
  </si>
  <si>
    <t>DTBEUZBGNHBXCYCZ</t>
  </si>
  <si>
    <t>LSTDTBEUZBGNHBXCYCZUGGWXZ</t>
  </si>
  <si>
    <t>FVTBDS33BR20500</t>
  </si>
  <si>
    <t>FN2030325-S-PM39235</t>
  </si>
  <si>
    <t>RT-T1-L</t>
  </si>
  <si>
    <t>RT-T1</t>
  </si>
  <si>
    <t>X000VZKQBZ</t>
  </si>
  <si>
    <t>RSFFC9VEEZHEKD7V</t>
  </si>
  <si>
    <t>LSTRSFFC9VEEZHEKD7VZWQ9LX</t>
  </si>
  <si>
    <t>FVSGCB33WL25121</t>
  </si>
  <si>
    <t>RT-T1-W</t>
  </si>
  <si>
    <t>X000VZL1KF</t>
  </si>
  <si>
    <t>B07CWTR1BL</t>
  </si>
  <si>
    <t>RSFFC896GFH8KVXJ</t>
  </si>
  <si>
    <t>LSTRSFFC896GFH8KVXJVMTPZ7</t>
  </si>
  <si>
    <t>FVSGCB33WG25122</t>
  </si>
  <si>
    <t>S-ATL-WF</t>
  </si>
  <si>
    <t>X001EK0Z9T</t>
  </si>
  <si>
    <t>B099DKZQRR</t>
  </si>
  <si>
    <t>BSFG53EDGRGCFBER</t>
  </si>
  <si>
    <t>LSTBSFG53EDGRGCFBERBRUY8C</t>
  </si>
  <si>
    <t>FVSGCB33WH25076</t>
  </si>
  <si>
    <t>DE1994902-S-PM39397</t>
  </si>
  <si>
    <t>SB-AXA-L4</t>
  </si>
  <si>
    <t>X000MLS0LB</t>
  </si>
  <si>
    <t>B01MQTGOJB</t>
  </si>
  <si>
    <t>BSFEWEUDRF5UCV3J</t>
  </si>
  <si>
    <t>LSTBSFEWEUDRF5UCV3JOJQ7AZ</t>
  </si>
  <si>
    <t>FVSGBR33WA20563</t>
  </si>
  <si>
    <t>FN1991964-S-PM39235</t>
  </si>
  <si>
    <t>SB-AXA-W4</t>
  </si>
  <si>
    <t>X000MLUBJZ</t>
  </si>
  <si>
    <t>B01NBI0YE0</t>
  </si>
  <si>
    <t>BSFEWFQDJRJ9KN7G</t>
  </si>
  <si>
    <t>LSTBSFEWFQDJRJ9KN7GXKFFDV</t>
  </si>
  <si>
    <t>FVSGBR33WN20566</t>
  </si>
  <si>
    <t>FN1991960-S-PM39235</t>
  </si>
  <si>
    <t>SB-AXA-W51</t>
  </si>
  <si>
    <t>X000MLAXCF</t>
  </si>
  <si>
    <t>B01NAFUY45</t>
  </si>
  <si>
    <t>BSFEWFPKMGDF2Y5D</t>
  </si>
  <si>
    <t>LSTBSFEWFPKMGDF2Y5DZ7CAXZ</t>
  </si>
  <si>
    <t>FVSGBR33WN20567</t>
  </si>
  <si>
    <t>FN2030328-S-PM39235</t>
  </si>
  <si>
    <t>SB-CS-LAW</t>
  </si>
  <si>
    <t>X000WD5CN3</t>
  </si>
  <si>
    <t>B07D18984S</t>
  </si>
  <si>
    <t>RSFFFEQZA6D6F3WU</t>
  </si>
  <si>
    <t>LSTRSFFFEQZA6D6F3WUVH2KX1</t>
  </si>
  <si>
    <t>FVSGBR33WN20571</t>
  </si>
  <si>
    <t>DE1994888-S-PM39397</t>
  </si>
  <si>
    <t>SB-MOL-W</t>
  </si>
  <si>
    <t>X001C6P8PV</t>
  </si>
  <si>
    <t>B08XJWS65L</t>
  </si>
  <si>
    <t>BSFGYU4SD2AGB7HK</t>
  </si>
  <si>
    <t>LSTBSFGYU4SD2AGB7HKPKNKAC</t>
  </si>
  <si>
    <t>FVSGBR33WN20575</t>
  </si>
  <si>
    <t>FN1991974-S-PM39235</t>
  </si>
  <si>
    <t>SB-MXL-STMI</t>
  </si>
  <si>
    <t>SB-MXL-ST</t>
  </si>
  <si>
    <t>X001ZHEIDP</t>
  </si>
  <si>
    <t>B0CP7HSJVJ</t>
  </si>
  <si>
    <t>BSFGW3NMEWYEQ28D</t>
  </si>
  <si>
    <t>LSTBSFGW3NMEWYEQ28DZHDZYX</t>
  </si>
  <si>
    <t>FVSGBR33BR32742</t>
  </si>
  <si>
    <t>FN2166561-S-PM39235</t>
  </si>
  <si>
    <t>SB-NBK.P-LF</t>
  </si>
  <si>
    <t>X0020N9IHJ</t>
  </si>
  <si>
    <t>B0C43LNB9Y</t>
  </si>
  <si>
    <t>BSFGPPBVFJFZSWGW</t>
  </si>
  <si>
    <t>LSTBSFGPPBVFJFZSWGWIFELZC</t>
  </si>
  <si>
    <t>FVSGBR33BR50161</t>
  </si>
  <si>
    <t>FN2117971-S-PM39235</t>
  </si>
  <si>
    <t>FN2117971-S-WH41218</t>
  </si>
  <si>
    <t>SB-NBK-MI</t>
  </si>
  <si>
    <t>X001ZSW3JP</t>
  </si>
  <si>
    <t>B0CP23TNK7</t>
  </si>
  <si>
    <t>BSFGVNWDMHCQY2VS</t>
  </si>
  <si>
    <t>LSTBSFGVNWDMHCQY2VSRQEXYM</t>
  </si>
  <si>
    <t>FVSGBR33BR32743</t>
  </si>
  <si>
    <t>FN2166562-S-PM39235</t>
  </si>
  <si>
    <t>SB-PH-L</t>
  </si>
  <si>
    <t>X000TSKDPD</t>
  </si>
  <si>
    <t>B079CLH4KN</t>
  </si>
  <si>
    <t>FVSGBR33WA20581</t>
  </si>
  <si>
    <t>DE1994898-S-PM39397</t>
  </si>
  <si>
    <t>SB-WLB-WF</t>
  </si>
  <si>
    <t>X001CZ85XT</t>
  </si>
  <si>
    <t>B08YX85FCK</t>
  </si>
  <si>
    <t>BSFGFAVB8P5GCZMJ</t>
  </si>
  <si>
    <t>LSTBSFGFAVB8P5GCZMJQAEO0G</t>
  </si>
  <si>
    <t>FVSGBR33WN20588</t>
  </si>
  <si>
    <t>FN2030332-S-PM39235</t>
  </si>
  <si>
    <t>S-CC-F</t>
  </si>
  <si>
    <t>X001I9SMMX</t>
  </si>
  <si>
    <t>B09B42198Z</t>
  </si>
  <si>
    <t>RSFG5CG4M8RFYHZG</t>
  </si>
  <si>
    <t>LSTRSFG5CG4M8RFYHZGGRLMLU</t>
  </si>
  <si>
    <t>FVSGCB33WH25081</t>
  </si>
  <si>
    <t>DE1994918-S-PM39397</t>
  </si>
  <si>
    <t>S-CC-WF</t>
  </si>
  <si>
    <t>X001GMD68R</t>
  </si>
  <si>
    <t>B09B4217CV</t>
  </si>
  <si>
    <t>RSFGAC72BQNABZEG</t>
  </si>
  <si>
    <t>LSTRSFGAC72BQNABZEGZAKPCC</t>
  </si>
  <si>
    <t>FVSGCB33WH25083</t>
  </si>
  <si>
    <t>DE1994917-S-PM39397</t>
  </si>
  <si>
    <t>S-ERA.P-LF</t>
  </si>
  <si>
    <t>S-ERA</t>
  </si>
  <si>
    <t>X001SHAMUZ</t>
  </si>
  <si>
    <t>B0C43R7KCT</t>
  </si>
  <si>
    <t>BSFGPPCGK2QYYHXG</t>
  </si>
  <si>
    <t>LSTBSFGPPCGK2QYYHXGJAFZYS</t>
  </si>
  <si>
    <t>FN2117972-S-PM39235</t>
  </si>
  <si>
    <t>FN2117972-S-WH41218</t>
  </si>
  <si>
    <t>S-MO-W5</t>
  </si>
  <si>
    <t>S-MO-5</t>
  </si>
  <si>
    <t>X000KM2AXV</t>
  </si>
  <si>
    <t>B019HCCD56</t>
  </si>
  <si>
    <t>BSFEUSK9CGZSZZ2Z</t>
  </si>
  <si>
    <t>LSTBSFEUSK9CGZSZZ2ZUFXWIV</t>
  </si>
  <si>
    <t>FVSGCB33WG25099</t>
  </si>
  <si>
    <t>DE1994901-S-PM39397</t>
  </si>
  <si>
    <t>SR-FLV-H</t>
  </si>
  <si>
    <t>Highland Teak</t>
  </si>
  <si>
    <t>FN2184460-S-PM39235</t>
  </si>
  <si>
    <t>SR-WHTO-W</t>
  </si>
  <si>
    <t>X0017S048F</t>
  </si>
  <si>
    <t>B08CND9FLZ</t>
  </si>
  <si>
    <t>BACGYCFGAHXFHEHN</t>
  </si>
  <si>
    <t xml:space="preserve"> LSTBACGYCFGAHXFHEHNUGVRCK</t>
  </si>
  <si>
    <t>FVSGSR33WN20621</t>
  </si>
  <si>
    <t>FN1991914-S-PM39235</t>
  </si>
  <si>
    <t>FN1991914-S-WH41218</t>
  </si>
  <si>
    <t>S-RY-W</t>
  </si>
  <si>
    <t>X000PSRTQX</t>
  </si>
  <si>
    <t>B06WLNKKTS</t>
  </si>
  <si>
    <t>BSFET2N7JW8RERF8</t>
  </si>
  <si>
    <t>LSTBSFET2N7JW8RERF8WFWMDQ</t>
  </si>
  <si>
    <t>FVSGCB33WG25102</t>
  </si>
  <si>
    <t>DE1994895-S-PM39397</t>
  </si>
  <si>
    <t>S-SBW-S3</t>
  </si>
  <si>
    <t>S-SB-S3</t>
  </si>
  <si>
    <t>X001YZH9D9</t>
  </si>
  <si>
    <t>B015VINANO</t>
  </si>
  <si>
    <t>RSFEC88ZKH4Q8BHM</t>
  </si>
  <si>
    <t>LSTRSFEC88ZKH4Q8BHMV5DXSF</t>
  </si>
  <si>
    <t>FVSGCB33WG25103</t>
  </si>
  <si>
    <t>DE2198507-S-PM39397</t>
  </si>
  <si>
    <t>ST-EFI-LAWF</t>
  </si>
  <si>
    <t>X001IL03CX</t>
  </si>
  <si>
    <t>B09Q6D5BBV</t>
  </si>
  <si>
    <t>OSTGAN6USBME5VPE</t>
  </si>
  <si>
    <t>LSTOSTGAN6USBME5VPEZNDTFX</t>
  </si>
  <si>
    <t>FVTBST33WN20592</t>
  </si>
  <si>
    <t>FN1988010-S-PM39235</t>
  </si>
  <si>
    <t>FN1988010-S-WH41218</t>
  </si>
  <si>
    <t>ST-EFI-STWF</t>
  </si>
  <si>
    <t>X001IDSIB9</t>
  </si>
  <si>
    <t>B09QCQTHTS</t>
  </si>
  <si>
    <t>OSTGAN6ZZHWWKGSZ</t>
  </si>
  <si>
    <t>LSTOSTGAN6ZZHWWKGSZEEJVIF</t>
  </si>
  <si>
    <t>FVTBST33WN20593</t>
  </si>
  <si>
    <t>FN1991946-S-PM39235</t>
  </si>
  <si>
    <t>FN1991946-S-WH41218</t>
  </si>
  <si>
    <t>ST-GSE-LAF</t>
  </si>
  <si>
    <t>ST-GSE-LA</t>
  </si>
  <si>
    <t>X001EQC9FV</t>
  </si>
  <si>
    <t>B099DHQZ2Q</t>
  </si>
  <si>
    <t>OSTG5CC2QHYQGX8J</t>
  </si>
  <si>
    <t>LSTOSTG5CC2QHYQGX8JWCHO3H</t>
  </si>
  <si>
    <t>FVTBST33WH20594</t>
  </si>
  <si>
    <t>FN1991962-S-PM39235</t>
  </si>
  <si>
    <t>FN1991962-S-WH41218</t>
  </si>
  <si>
    <t>ST-GSE-LAW</t>
  </si>
  <si>
    <t>X001EQA3I1</t>
  </si>
  <si>
    <t>B0999MVVPS</t>
  </si>
  <si>
    <t>OSTG5CGAUUHVREP2</t>
  </si>
  <si>
    <t>LSTOSTG5CGAUUHVREP2ECOHF2</t>
  </si>
  <si>
    <t>FVTBST33WN20595</t>
  </si>
  <si>
    <t>FN1988009-S-PM39235</t>
  </si>
  <si>
    <t>FN1988009-S-WH41218</t>
  </si>
  <si>
    <t>ST-GSE-STF</t>
  </si>
  <si>
    <t>ST-GSE-ST</t>
  </si>
  <si>
    <t>X001IXQ18B</t>
  </si>
  <si>
    <t>B09QL2YBD5</t>
  </si>
  <si>
    <t>OSTGBSGXZUWNGHYE</t>
  </si>
  <si>
    <t>LSTOSTGBSGXZUWNGHYEKI0JGT</t>
  </si>
  <si>
    <t>FVTBST33WH20596</t>
  </si>
  <si>
    <t>FN1991966-S-PM39235</t>
  </si>
  <si>
    <t>FN1991966-S-WH41218</t>
  </si>
  <si>
    <t>ST-GSE-STW</t>
  </si>
  <si>
    <t>X001J49ZF5</t>
  </si>
  <si>
    <t>B09QKZJ3BH</t>
  </si>
  <si>
    <t>OSTGBSGYGF3YHYAY</t>
  </si>
  <si>
    <t>LSTOSTGBSGYGF3YHYAYL9GRRG</t>
  </si>
  <si>
    <t>FVTBST33WN20597</t>
  </si>
  <si>
    <t>FN1991976-S-PM39235</t>
  </si>
  <si>
    <t>FN1991976-S-WH41218</t>
  </si>
  <si>
    <t>ST-GSE-WMNW</t>
  </si>
  <si>
    <t>ST-GSE-WMN</t>
  </si>
  <si>
    <t>X001EK15YX</t>
  </si>
  <si>
    <t>B099DFLKL2</t>
  </si>
  <si>
    <t>OSTG5YF4WWEG9G6Y</t>
  </si>
  <si>
    <t>LSTOSTG5YF4WWEG9G6YSADTOM</t>
  </si>
  <si>
    <t>FVTBST33WN20599</t>
  </si>
  <si>
    <t>FN1991990-S-PM39235</t>
  </si>
  <si>
    <t>ST-HE-L</t>
  </si>
  <si>
    <t>X000LJCQVJ</t>
  </si>
  <si>
    <t>B01FQI1SYC</t>
  </si>
  <si>
    <t>OSTEKNZ99SUZKHVS</t>
  </si>
  <si>
    <t>LSTOSTEKNZ99SUZKHVSI7V6FK</t>
  </si>
  <si>
    <t>FVTBST33WA20602</t>
  </si>
  <si>
    <t>FN2030336-S-PM39235</t>
  </si>
  <si>
    <t>ST-HES-W</t>
  </si>
  <si>
    <t>X000LJ4ZWR</t>
  </si>
  <si>
    <t>B01FOASQO2</t>
  </si>
  <si>
    <t>OSTEKNZ9ZPBFAYH7</t>
  </si>
  <si>
    <t>LSTOSTEKNZ9ZPBFAYH7RT0MPM</t>
  </si>
  <si>
    <t>FVTBST33WN20604</t>
  </si>
  <si>
    <t>FN2030338-S-PM39235</t>
  </si>
  <si>
    <t>S-TW-16S4</t>
  </si>
  <si>
    <t>S-T-16S4</t>
  </si>
  <si>
    <t>X000V62M1V</t>
  </si>
  <si>
    <t>B07CZKS1G2</t>
  </si>
  <si>
    <t>RSFFC7ZGB43M7QZH</t>
  </si>
  <si>
    <t>LSTRSFFC7ZGB43M7QZHYXU5CY</t>
  </si>
  <si>
    <t>FVSGCB33WG25109</t>
  </si>
  <si>
    <t>DE1994890-S-PM39397</t>
  </si>
  <si>
    <t>TU-ARO-LAW</t>
  </si>
  <si>
    <t>X000XBH61F</t>
  </si>
  <si>
    <t>TVUFC8DGJMZUU9CT</t>
  </si>
  <si>
    <t>LSTTVUFC8DGJMZUU9CTVNA85U</t>
  </si>
  <si>
    <t>FVSGAV33WN20513</t>
  </si>
  <si>
    <t>FN2030340-S-PM39235</t>
  </si>
  <si>
    <t>TU-ETY-STMF</t>
  </si>
  <si>
    <t>X0024B6N75</t>
  </si>
  <si>
    <t>B0DFWSGG44</t>
  </si>
  <si>
    <t>TVUH7GGKGUPAXSQE</t>
  </si>
  <si>
    <t>LSTTVUH7GGKGUPAXSQE71F8RV</t>
  </si>
  <si>
    <t>TU-ETY-STW</t>
  </si>
  <si>
    <t>X001EQMEOH</t>
  </si>
  <si>
    <t>B099DKKFJ1</t>
  </si>
  <si>
    <t>TVUG5CF7KY757XXS</t>
  </si>
  <si>
    <t>LSTTVUG5CF7KY757XXSZYZX5W</t>
  </si>
  <si>
    <t>FVSGAV33WN20525</t>
  </si>
  <si>
    <t>FN1991900-S-PM39235</t>
  </si>
  <si>
    <t>TU-ETY-STWF</t>
  </si>
  <si>
    <t>X001F6ZQEB</t>
  </si>
  <si>
    <t>B09B43TTKD</t>
  </si>
  <si>
    <t>TVUG5CHY3MUCFC3H</t>
  </si>
  <si>
    <t>LSTTVUG5CHY3MUCFC3H6XRJDL</t>
  </si>
  <si>
    <t>FVSGAV33WH20526</t>
  </si>
  <si>
    <t>FN1987995-S-PM39235</t>
  </si>
  <si>
    <t>TU-GAU-W</t>
  </si>
  <si>
    <t>X0010F30JZ</t>
  </si>
  <si>
    <t>B07MZNVQS9</t>
  </si>
  <si>
    <t>TVUFD2CAWZGSVJTD</t>
  </si>
  <si>
    <t>LSTTVUFD2CAWZGSVJTDUYTNEX</t>
  </si>
  <si>
    <t>FVSGAV33WN20529</t>
  </si>
  <si>
    <t>FN1991905-S-PM39235</t>
  </si>
  <si>
    <t>TU-HMD-W</t>
  </si>
  <si>
    <t>X0012RANJ1</t>
  </si>
  <si>
    <t>B0CG3KWL8C</t>
  </si>
  <si>
    <t>TVUFGHZNXJGPN4HV</t>
  </si>
  <si>
    <t>LSTTVUFGHZNXJGPN4HVINBVYC</t>
  </si>
  <si>
    <t>FVSGAV33WN20530</t>
  </si>
  <si>
    <t>FN1987989-S-PM39235</t>
  </si>
  <si>
    <t>TU-PMP-LWF</t>
  </si>
  <si>
    <t>X001QTN2JX</t>
  </si>
  <si>
    <t>TVUGPA5SZZHZBSD8</t>
  </si>
  <si>
    <t>LSTTVUGPA5SZZHZBSD8TOOHZG</t>
  </si>
  <si>
    <t>FVTBAV33BR70790</t>
  </si>
  <si>
    <t>FN2087144-S-PM39235</t>
  </si>
  <si>
    <t>TU-PM-STMF</t>
  </si>
  <si>
    <t>X0022ME0PN</t>
  </si>
  <si>
    <t>B0CT2ZLF3B</t>
  </si>
  <si>
    <t>TVUGZN6BZDHJNKMB</t>
  </si>
  <si>
    <t>LSTTVUGZN6BZDHJNKMB4SOVM0</t>
  </si>
  <si>
    <t>FVSGAV33BR50155</t>
  </si>
  <si>
    <t>FN2194316-S-PM39235</t>
  </si>
  <si>
    <t>TU-PR-FW</t>
  </si>
  <si>
    <t>TU-PR</t>
  </si>
  <si>
    <t>X001JUY3H9</t>
  </si>
  <si>
    <t>B09V86NLZ8</t>
  </si>
  <si>
    <t>TVUGDC43NKTFCZHR</t>
  </si>
  <si>
    <t>LSTTVUGDC43NKTFCZHR1RDIOW</t>
  </si>
  <si>
    <t>FVSGAV33WW20551</t>
  </si>
  <si>
    <t>FN1987997-S-PM39235</t>
  </si>
  <si>
    <t>FN1987997-S-WH41218</t>
  </si>
  <si>
    <t>TU-RWT-MWL</t>
  </si>
  <si>
    <t>B09YRMVTGM</t>
  </si>
  <si>
    <t>TVUGG8JPECZXJRER</t>
  </si>
  <si>
    <t>LSTTVUGG8JPECZXJRERK5BI91</t>
  </si>
  <si>
    <t>FVSGAV33WW20558</t>
  </si>
  <si>
    <t>FN2030343-S-PM39235</t>
  </si>
  <si>
    <t>FN2030343-S-WH41218</t>
  </si>
  <si>
    <t>WA-FBA.P-DW</t>
  </si>
  <si>
    <t>WA-FBA.P-D</t>
  </si>
  <si>
    <t>B0CBV3KSMP</t>
  </si>
  <si>
    <t>W-AND-10NMI</t>
  </si>
  <si>
    <t>X001YXXSTP</t>
  </si>
  <si>
    <t>B0CR49Z3QQ</t>
  </si>
  <si>
    <t>WCLGZN5GWFH2EMBH</t>
  </si>
  <si>
    <t>LSTWCLGZN5GWFH2EMBHZAPT2Z</t>
  </si>
  <si>
    <t>FVSGCB33BR50143</t>
  </si>
  <si>
    <t>FN2194319-S-PM39235</t>
  </si>
  <si>
    <t>W-AND-11NLF</t>
  </si>
  <si>
    <t>W-AND-11N</t>
  </si>
  <si>
    <t>X001YSQSXD</t>
  </si>
  <si>
    <t>B0BCZ57FNT</t>
  </si>
  <si>
    <t>WCLGG2YUKK3ZHYKX</t>
  </si>
  <si>
    <t>LSTWCLGG2YUKK3ZHYKX19KO9G</t>
  </si>
  <si>
    <t>FVSGSR33BR71082</t>
  </si>
  <si>
    <t>FN2087158-S-PM39235</t>
  </si>
  <si>
    <t>W-AND-11NWF</t>
  </si>
  <si>
    <t>X001YSHDUZ</t>
  </si>
  <si>
    <t>B0BCZ5QMBC</t>
  </si>
  <si>
    <t>WCLGG2YXGC6QUGJZ</t>
  </si>
  <si>
    <t>LSTWCLGG2YXGC6QUGJZDZIDCB</t>
  </si>
  <si>
    <t>FVSGSR33BR71083</t>
  </si>
  <si>
    <t>FN2087154-S-PM39235</t>
  </si>
  <si>
    <t>W-AND-2MFL</t>
  </si>
  <si>
    <t>B0B8J3J77N</t>
  </si>
  <si>
    <t>WCLGHCBVPSH5QUG8</t>
  </si>
  <si>
    <t>LSTWCLGHCBVPSH5QUG8VCQOCV</t>
  </si>
  <si>
    <t>FVSGCB33WH25043</t>
  </si>
  <si>
    <t>FN2027694-S-PM39235</t>
  </si>
  <si>
    <t>W-AND-2NFL</t>
  </si>
  <si>
    <t>B0B8J7HST4</t>
  </si>
  <si>
    <t>WCLGHCBZFKMAFZXP</t>
  </si>
  <si>
    <t>LSTWCLGHCBZFKMAFZXPTPUNPT</t>
  </si>
  <si>
    <t>FVSGCB33WH25044</t>
  </si>
  <si>
    <t>FN2027695-S-PM39235</t>
  </si>
  <si>
    <t>FN2027695-S-WH41218</t>
  </si>
  <si>
    <t>W-AND-3NMI</t>
  </si>
  <si>
    <t>B0CR4BB847</t>
  </si>
  <si>
    <t>WCLGWYHKVHCDHHGG</t>
  </si>
  <si>
    <t>LSTWCLGWYHKVHCDHHGGAT2XUR</t>
  </si>
  <si>
    <t>FVSGCB33BR32690</t>
  </si>
  <si>
    <t>FN2166582-S-PM39235</t>
  </si>
  <si>
    <t>W-AND-4MFL</t>
  </si>
  <si>
    <t>B0B8MX5GJQ</t>
  </si>
  <si>
    <t>WCLGHCFZQGS3UUMH</t>
  </si>
  <si>
    <t>LSTWCLGHCFZQGS3UUMHMUXKRC</t>
  </si>
  <si>
    <t>FVSGSR33BR71090</t>
  </si>
  <si>
    <t>FN2027702-S-PM39235</t>
  </si>
  <si>
    <t>FN2027702-S-WH41218</t>
  </si>
  <si>
    <t>W-MLT-2NM</t>
  </si>
  <si>
    <t>W-MLT-3NM</t>
  </si>
  <si>
    <t>B092SCNKFB</t>
  </si>
  <si>
    <t>WCLH2AQGRX8BMXVN</t>
  </si>
  <si>
    <t>LSTWCLH2AQGRX8BMXVNS1MEGH</t>
  </si>
  <si>
    <t>FVSGCB33BR50144</t>
  </si>
  <si>
    <t>FN2194320-S-PM39235</t>
  </si>
  <si>
    <t>W-MLT-4NM</t>
  </si>
  <si>
    <t>SKU</t>
  </si>
  <si>
    <t>PF</t>
  </si>
  <si>
    <t>Competitor URL</t>
  </si>
  <si>
    <t>Amazon Price</t>
  </si>
  <si>
    <t>Lowest competitor price</t>
  </si>
  <si>
    <t>SDF</t>
  </si>
  <si>
    <t>https://www.pepperfry.com/product/reyloye-tv-unit-in-brown-maple-beige-finish-2194318.html</t>
  </si>
  <si>
    <t>https://www.pepperfry.com/product/walten-book-shelf-in-wenge-finish-1991894.html</t>
  </si>
  <si>
    <t>https://www.flipkart.com/bluewud-engineered-wood-free-standing-chest-drawers/p/itm10b8893f55f33?pid=CSDGUGVTFGESHDZU&amp;lid=LSTCSDGUGVTFGESHDZUOMOZGM&amp;marketplace=FLIPKART&amp;q=BLUEWUD+Chest+of+Drawers&amp;store=wwe%2Fxdf%2Ffcg&amp;srno=s_1_5&amp;otracker=search&amp;otracker1=search&amp;fm=organic&amp;iid=4ea4d803-99b2-4447-99c3-49140171c0be.CSDGUGVTFGESHDZU.SEARCH&amp;ppt=hp&amp;ppn=homepage&amp;ssid=wxby8vkwuo0000001699037510339&amp;qH=6fbc34d45828e909</t>
  </si>
  <si>
    <t>https://www.pepperfry.com/product/andrie-4-door-wardrobe-in-wenge-and-white-finish-2027701.html</t>
  </si>
  <si>
    <t>https://www.flipkart.com/bluewud-mayrite-coffee-center-sofa-teapoy-console-table-set-living-room-home-engineered-wood/p/itmef82adee01408?pid=CFTGDCFRN4H4N8BW&amp;lid=LSTCFTGDCFRN4H4N8BW1PKZVM&amp;marketplace=FLIPKART&amp;store=wwe%2Fki7%2Fot1&amp;srno=b_9_334&amp;otracker=browse&amp;fm=organic&amp;iid=5fd64004-5d69-4a34-8323-5990ce10504a.CFTGDCFRN4H4N8BW.SEARCH&amp;ppt=None&amp;ppn=None&amp;ssid=9zttumtwa80000001724950377823</t>
  </si>
  <si>
    <t xml:space="preserve">Matched </t>
  </si>
  <si>
    <t>https://www.flipkart.com/bluewud-skywood-wood-key-holder/p/itma45469a869ff2?pid=HOKE5EE9H83BFNUZ</t>
  </si>
  <si>
    <t>Corrected</t>
  </si>
  <si>
    <t>https://www.pepperfry.com/product/duskin-tv-console-in-brown-maple-finish-2200969.html?type=clip&amp;pos=5&amp;total_result=211&amp;fromId=5415&amp;sort=sorting_score%7Cdesc&amp;filter=%7C&amp;cat=5415</t>
  </si>
  <si>
    <t>http://www.pepperfry.com/product/walten-book-shelf-in-wenge-finish-with-5-tier-1988001.html</t>
  </si>
  <si>
    <t>https://www.pepperfry.com/product/mayrone-chest-of-drawers-in-brown-maple-frosty-finish-2135040.html</t>
  </si>
  <si>
    <t>https://www.flipkart.com/bluewud-mayrite-coffee-center-sofa-teapoy-console-table-set-living-room-home-engineered-wood/p/itm0589afd138d61?pid=CFTGDCFVN5C2DDN9</t>
  </si>
  <si>
    <t>https://www.urbanladder.com/products/bluewud-aaron-engineered-wood-multipurpose-wall-decor-shelf-display-rack-wenge-fvxxcb33wg25113?sku=FVSGCB33WG25113&amp;src=subcat</t>
  </si>
  <si>
    <t>https://www.pepperfry.com/product/jameye-bookshelf-in-brown-maple-finish-2200963.html?type=clip&amp;pos=8&amp;total_result=205&amp;fromId=22&amp;sort=sorting_score%7Cdesc&amp;filter=%7C&amp;cat=22</t>
  </si>
  <si>
    <t>https://www.flipkart.com/bluewud-grubbin-particle-board-wall-shelf/p/itm9229b4f390e59?pid=RSFGBTHYAPHPTHAG&amp;lid=LSTRSFGBTHYAPHPTHAGXTS9WV&amp;marketplace=FLIPKART&amp;store=arb%2Fa77%2Fvk7&amp;srno=b_1_35&amp;otracker=browse&amp;fm=organic&amp;iid=8f1e3279-9035-4804-aecb-59df41f5f06c.RSFGBTHYAPHPTHAG.SEARCH&amp;ppt=browse&amp;ppn=browse&amp;ssid=fztydgbkj40000001670325614437</t>
  </si>
  <si>
    <t>https://www.flipkart.com/bluewud-skywood-wall-mount-key-chain-holder-key-organizer-stand-wood-holder/p/itm069d07ce6a597?pid=HOKE5EE9E2TPEYFY&amp;lid=LSTHOKE5EE9E2TPEYFYBVMF9C&amp;marketplace=FLIPKART&amp;store=arb%2Fa77%2F8js&amp;srno=b_14_557&amp;otracker=browse&amp;iid=en_xKoXMve-ZeGNGCjlWd7bcWnQnyeWnH684UQ3K_ozavMaHRU0Fk5WCr9go3AtA3Tx8pxqxel11tA4ZvEUUAuVAQ%3D%3D&amp;ssid=11exr99do00000001737521747682</t>
  </si>
  <si>
    <t>MTP.chk</t>
  </si>
  <si>
    <t xml:space="preserve">Master MTP Product Name </t>
  </si>
  <si>
    <t>CHP</t>
  </si>
  <si>
    <t>U.DP</t>
  </si>
  <si>
    <t>MOQ</t>
  </si>
  <si>
    <t>Y</t>
  </si>
  <si>
    <t>Carlem Tall Design Shoe Rack</t>
  </si>
  <si>
    <t>Wilbrome TV Unit</t>
  </si>
  <si>
    <t>Skiddo TV Unit</t>
  </si>
  <si>
    <t>Blesky TV Unit</t>
  </si>
  <si>
    <t>Corbyn L-Shape Study Table</t>
  </si>
  <si>
    <t>Blesky Miltra Combo TV Unit</t>
  </si>
  <si>
    <t>Darien TV Unit</t>
  </si>
  <si>
    <t>Fenily TV Unit</t>
  </si>
  <si>
    <t>Cylvie  Shoe Rack</t>
  </si>
  <si>
    <t>Brooklyn Shoe Rack</t>
  </si>
  <si>
    <t>Kaspen Shoe Rack</t>
  </si>
  <si>
    <t>Petree Wall Shelve</t>
  </si>
  <si>
    <t>Wilbrome Mini TV Unit</t>
  </si>
  <si>
    <t>Amalet Study Table</t>
  </si>
  <si>
    <t>Averyl TV Unit</t>
  </si>
  <si>
    <t>Radisso Study Table</t>
  </si>
  <si>
    <t>Carlem 3 Door Shoe Rack</t>
  </si>
  <si>
    <t>Carlem 2 Door Shoe Rack</t>
  </si>
  <si>
    <t>Rowlet Large TV Unit</t>
  </si>
  <si>
    <t>Blesky Mini TV Unit</t>
  </si>
  <si>
    <t>Whartin Shoe Rack</t>
  </si>
  <si>
    <t>Harmond TV Unit</t>
  </si>
  <si>
    <t>Primax Grande Standard TV Unit</t>
  </si>
  <si>
    <t>Coober Large TV Unit</t>
  </si>
  <si>
    <t>Colove Chest of Drawer</t>
  </si>
  <si>
    <t>Rowlet Mini TV Unit</t>
  </si>
  <si>
    <t>Corbyn Study Table</t>
  </si>
  <si>
    <t>Freddie Dressing Table</t>
  </si>
  <si>
    <t>Seonn Bookshelf</t>
  </si>
  <si>
    <t>Anatdol TV Unit</t>
  </si>
  <si>
    <t>Darci Dressing Table</t>
  </si>
  <si>
    <t>Prorage Shoe Rack</t>
  </si>
  <si>
    <t>Andrie 4 Door without Mirror Wardrobe</t>
  </si>
  <si>
    <t>Charley TV Unit</t>
  </si>
  <si>
    <t>Andrie 3 Door with Mirror Wardrobe</t>
  </si>
  <si>
    <t>Mayrone Large Chest of Drawer</t>
  </si>
  <si>
    <t>Duskin TV Unit</t>
  </si>
  <si>
    <t>Andrie 3 Door without Mirror Wardrobe</t>
  </si>
  <si>
    <t>Andrie 2 Door with Mirror Wardrobe</t>
  </si>
  <si>
    <t>Mayrone Standard Chest of Drawer</t>
  </si>
  <si>
    <t>Bevlyn TV Unit</t>
  </si>
  <si>
    <t>Karmiya Study Table</t>
  </si>
  <si>
    <t>Primax Grande Large TV Unit</t>
  </si>
  <si>
    <t>Mallium With Slider Study Table</t>
  </si>
  <si>
    <t>Wolabey Bookshelf</t>
  </si>
  <si>
    <t>Gautier TV Unit</t>
  </si>
  <si>
    <t>Crosbon Bookshelf</t>
  </si>
  <si>
    <t>Andrie 2 Door without Mirror Wardrobe</t>
  </si>
  <si>
    <t>Oleye Shoe Rack</t>
  </si>
  <si>
    <t>Skywood Key Holder</t>
  </si>
  <si>
    <t>Andrie 4 Door with Mirror Wardrobe</t>
  </si>
  <si>
    <t xml:space="preserve">Roverb Queen Bed </t>
  </si>
  <si>
    <t>Lagoon Bookshelf</t>
  </si>
  <si>
    <t xml:space="preserve">Maltein Queen With storage Bed </t>
  </si>
  <si>
    <t>Efflino Large Study Table</t>
  </si>
  <si>
    <t>Alex-5 Layer Wide Bookshelf</t>
  </si>
  <si>
    <t>Mavis Shoe Rack</t>
  </si>
  <si>
    <t>Andrie Single Door Wardrobe</t>
  </si>
  <si>
    <t>Noel Rectangle Coffee Table</t>
  </si>
  <si>
    <t>Anatdol Standard Coffee Table</t>
  </si>
  <si>
    <t>Albert Wall Shelve</t>
  </si>
  <si>
    <t>Reyloye Standard TV Unit</t>
  </si>
  <si>
    <t>DI</t>
  </si>
  <si>
    <t>Maxelle Large Bookshelf</t>
  </si>
  <si>
    <t>Smohn Coffee Table</t>
  </si>
  <si>
    <t>Primax Solo Large TV Unit</t>
  </si>
  <si>
    <t>Mallium without Slider Study Table</t>
  </si>
  <si>
    <t>Efflino Standard Study Table</t>
  </si>
  <si>
    <t>Miltra TV Top Shelf</t>
  </si>
  <si>
    <t>Norel Large Monitor Stand</t>
  </si>
  <si>
    <t>Louis Wall Shelve</t>
  </si>
  <si>
    <t>Reyloye Large TV Unit</t>
  </si>
  <si>
    <t>Javis Wall Shelve</t>
  </si>
  <si>
    <t>Primax Standard TV Unit</t>
  </si>
  <si>
    <t xml:space="preserve">Pollo Queen with Storage Bed </t>
  </si>
  <si>
    <t>Maisy Large TV Unit</t>
  </si>
  <si>
    <t>Kunsua Large TV Unit</t>
  </si>
  <si>
    <t>Oliver Bed Side Table</t>
  </si>
  <si>
    <t>Reynold Large TV Unit</t>
  </si>
  <si>
    <t>Crafte Wall Shelve</t>
  </si>
  <si>
    <t>Andrie Single Door with Two Drawer Wardrobe</t>
  </si>
  <si>
    <t>Walten Bookshelf</t>
  </si>
  <si>
    <t>RL</t>
  </si>
  <si>
    <t>Declove Coffee Table</t>
  </si>
  <si>
    <t>Cadlic Wall Shelve</t>
  </si>
  <si>
    <t>Oliver TV Unit</t>
  </si>
  <si>
    <t xml:space="preserve">Roverb SIngle Bed </t>
  </si>
  <si>
    <t>Hemming Dressing Table</t>
  </si>
  <si>
    <t>Primax Large TV Unit</t>
  </si>
  <si>
    <t>Braine 6 Shelves Wall Shelve</t>
  </si>
  <si>
    <t>Corbyn Solo Study Table</t>
  </si>
  <si>
    <t xml:space="preserve">Pollo King with Storage Bed </t>
  </si>
  <si>
    <t>Estoye Standard TV Unit</t>
  </si>
  <si>
    <t>Xude Wall Shelve</t>
  </si>
  <si>
    <t>Estoye Mini TV Unit</t>
  </si>
  <si>
    <t>Primax Plus Large TV Unit</t>
  </si>
  <si>
    <t>Adaly Dressing Table</t>
  </si>
  <si>
    <t>Torene 18 Key Holder</t>
  </si>
  <si>
    <t>Mayrite Round Coffee Table</t>
  </si>
  <si>
    <t>Braine F6 Shelves Wall Shelve</t>
  </si>
  <si>
    <t>Kyvid Large TV Unit</t>
  </si>
  <si>
    <t>Reynold Study Table</t>
  </si>
  <si>
    <t>Coras Bed Side Table</t>
  </si>
  <si>
    <t>Caselle Large Bookshelf</t>
  </si>
  <si>
    <t>Jasden Kitchen Rack</t>
  </si>
  <si>
    <t>Kasvon Rectangle Coffee Table</t>
  </si>
  <si>
    <t>Alex-5 Layer Narrow Design  Bookshelf</t>
  </si>
  <si>
    <t>Toska Large TV Unit</t>
  </si>
  <si>
    <t>Estoye Large TV Unit</t>
  </si>
  <si>
    <t>Leo Coffee Table</t>
  </si>
  <si>
    <t>Kyvid Standard TV Unit</t>
  </si>
  <si>
    <t>Siddhi  Standard Pooja Unit</t>
  </si>
  <si>
    <t>Asburg 6 Layer Bookshelf</t>
  </si>
  <si>
    <t>Skywood 10 Key Holder</t>
  </si>
  <si>
    <t>Skywood 5 Key Holder</t>
  </si>
  <si>
    <t>Primax Solo Standard TV Unit</t>
  </si>
  <si>
    <t>Toska Standard TV Unit</t>
  </si>
  <si>
    <t>Leo TV Unit</t>
  </si>
  <si>
    <t>Mayrone TV Unit</t>
  </si>
  <si>
    <t>Ender End Table</t>
  </si>
  <si>
    <t>Torene 40Key Holder</t>
  </si>
  <si>
    <t>Aero Large TV Unit</t>
  </si>
  <si>
    <t>Sanque Large TV Unit</t>
  </si>
  <si>
    <t>Molse Bookshelf</t>
  </si>
  <si>
    <t>Roland Remote Holder</t>
  </si>
  <si>
    <t xml:space="preserve">Maltein King With storage Bed </t>
  </si>
  <si>
    <t>Easton Wall Shelve</t>
  </si>
  <si>
    <t>Taury Rectangle Coffee Table</t>
  </si>
  <si>
    <t>Noah Round Pouff Ottoman</t>
  </si>
  <si>
    <t xml:space="preserve">Roverb King Bed </t>
  </si>
  <si>
    <t>Maisy Standard TV Unit</t>
  </si>
  <si>
    <t>Jameye Bookshelf</t>
  </si>
  <si>
    <t>Astrella Wall Shelve</t>
  </si>
  <si>
    <t>Petel TV Unit</t>
  </si>
  <si>
    <t xml:space="preserve">  Coffee Table</t>
  </si>
  <si>
    <t>Stuart 5 Key Holder</t>
  </si>
  <si>
    <t>Sydney Coffee Table</t>
  </si>
  <si>
    <t>Victor Coffee Table</t>
  </si>
  <si>
    <t>Walden Study Table</t>
  </si>
  <si>
    <t>Norel Standard Monitor Stand</t>
  </si>
  <si>
    <t>Tirano Large Microwave Stand</t>
  </si>
  <si>
    <t>Otto Remote Holder</t>
  </si>
  <si>
    <t>Rico Dressing Table</t>
  </si>
  <si>
    <t>Adora Wall Shelve</t>
  </si>
  <si>
    <t>Phelix Bookshelf</t>
  </si>
  <si>
    <t>Alba Wall Shelve</t>
  </si>
  <si>
    <t>Skywood 21 Key Holder</t>
  </si>
  <si>
    <t>Mayrite Rectangle Coffee Table</t>
  </si>
  <si>
    <t>Hemming Study Table</t>
  </si>
  <si>
    <t>Alaire Wall Shelve</t>
  </si>
  <si>
    <t>Taurley Coffee Table</t>
  </si>
  <si>
    <t>Grubbin  Wall Shelve</t>
  </si>
  <si>
    <t>Adonis 2 Door Shoe Rack</t>
  </si>
  <si>
    <t>Gustowe Rectangle Set of Two Coffee Table</t>
  </si>
  <si>
    <t>Norel  Monitor Stand Mini</t>
  </si>
  <si>
    <t>Alesti Dressing Table</t>
  </si>
  <si>
    <t>Stuart 10 Key Holder</t>
  </si>
  <si>
    <t>Novebuk Bookshelf</t>
  </si>
  <si>
    <t>Alex 4-Layer Bookshelf</t>
  </si>
  <si>
    <t>Osnale Rectangle Coffee Table</t>
  </si>
  <si>
    <t>Midase Rectangular Pouff Ottoman</t>
  </si>
  <si>
    <t>Millie TV Unit</t>
  </si>
  <si>
    <t>Maple Bookshelf</t>
  </si>
  <si>
    <t>Festvi Triple Monitor Stand</t>
  </si>
  <si>
    <t>Oliver  Coffee Table</t>
  </si>
  <si>
    <t>Tirano Standard Microwave Stand</t>
  </si>
  <si>
    <t>Rico Mini Dressing Table</t>
  </si>
  <si>
    <t>Ramnet Key Holder</t>
  </si>
  <si>
    <t>Larkyn Key Holder</t>
  </si>
  <si>
    <t>Mayrite Square Coffee Table</t>
  </si>
  <si>
    <t>Aaron Bookshelf</t>
  </si>
  <si>
    <t>Edell Key Holder</t>
  </si>
  <si>
    <t>Isvia Magzine Holder</t>
  </si>
  <si>
    <t>Stuart 21 Key Holder</t>
  </si>
  <si>
    <t>Norel Adjustable Monitor Stand</t>
  </si>
  <si>
    <t xml:space="preserve">Pollo Single Bed </t>
  </si>
  <si>
    <t>Walore Key Holder</t>
  </si>
  <si>
    <t>Chanorr Set of 2 Spice Rack</t>
  </si>
  <si>
    <t>Tayvue Coffee Table</t>
  </si>
  <si>
    <t>Gustowe Large Study Table</t>
  </si>
  <si>
    <t>Gustowe Square Coffee Table</t>
  </si>
  <si>
    <t>Maltein 3 Door Without Mirror Wardrobe</t>
  </si>
  <si>
    <t>Gustowe Square Set of Two Coffee Table</t>
  </si>
  <si>
    <t>Ved Pooja Stool</t>
  </si>
  <si>
    <t>Gustowe Rectangle Coffee Table</t>
  </si>
  <si>
    <t>Maltein 2 Door Without Mirror Wardrobe</t>
  </si>
  <si>
    <t>Maltein 4 Door Without Mirror Wardrobe</t>
  </si>
  <si>
    <t xml:space="preserve">Roverb Diwan 36" Bed </t>
  </si>
  <si>
    <t>Flovo Shoe Rack</t>
  </si>
  <si>
    <t>Brooklyn Tall Shoe Rack</t>
  </si>
  <si>
    <t>Torene 18 Glass Key Holder</t>
  </si>
  <si>
    <t>Torene 40 Glass Key Holder</t>
  </si>
  <si>
    <t>Nuffon Study Table</t>
  </si>
  <si>
    <t>Gustowe Standard Study Table</t>
  </si>
  <si>
    <t>Taury Rectangle Small Coffee Table</t>
  </si>
  <si>
    <t>Andrie Single Door With One Drawer Wardrobe</t>
  </si>
  <si>
    <t>Molse Standard Bookshelf</t>
  </si>
  <si>
    <t>Stellar Plus  Wall Shelve</t>
  </si>
  <si>
    <t>Riley Wall Shelve</t>
  </si>
  <si>
    <t>Prico TV Unit</t>
  </si>
  <si>
    <t>Kasvon Square Coffee Table</t>
  </si>
  <si>
    <t>Riodesk Ace Laptop Table</t>
  </si>
  <si>
    <t>Gustowe Wall Mount  Study Table</t>
  </si>
  <si>
    <t>Amadour Key Holder</t>
  </si>
  <si>
    <t xml:space="preserve">Pollo King Bed </t>
  </si>
  <si>
    <t>Morpheus Wall Shelve</t>
  </si>
  <si>
    <t>Vivid Key Holder</t>
  </si>
  <si>
    <t>Skybox Wall Shelve</t>
  </si>
  <si>
    <t>Ellera Wall Shelve</t>
  </si>
  <si>
    <t>Noah Rectangular Pouff Ottoman</t>
  </si>
  <si>
    <t>Noel Square Coffee Table</t>
  </si>
  <si>
    <t>Corbyn Plus Study Table</t>
  </si>
  <si>
    <t>Dolvin Ladder Style  Spice Rack</t>
  </si>
  <si>
    <t>Yobeo 4 Tier  Spice Rack</t>
  </si>
  <si>
    <t>Promys with Shelf Set of Two Wall Art</t>
  </si>
  <si>
    <t>Promys Set of Two Wall Art</t>
  </si>
  <si>
    <t>Nohee Bed Side Table</t>
  </si>
  <si>
    <t>Opryt Kichen Cabinet</t>
  </si>
  <si>
    <t>Opryt with Shelf  Kichen Cabinet</t>
  </si>
  <si>
    <t>Serrenh  Kichen Cabinet</t>
  </si>
  <si>
    <t>Brooklyn Highline Shoe Rack</t>
  </si>
  <si>
    <t>Mavis Combo Shoe Rack</t>
  </si>
  <si>
    <t>Bonco Wardrobe</t>
  </si>
  <si>
    <t>Calcio Combo Wardrobe</t>
  </si>
  <si>
    <t>Calcio 3-Tier Wardrobe</t>
  </si>
  <si>
    <t>Calcio 4-Tier Wardrobe</t>
  </si>
  <si>
    <t>Calcio 5-Tier Wardrobe</t>
  </si>
  <si>
    <t>Maltein Mini Wardrobe</t>
  </si>
  <si>
    <t>Opryt Set of 2 Kichen Cabinet</t>
  </si>
  <si>
    <t>Opryt with Shelf Set of 2 Kichen Cabinet</t>
  </si>
  <si>
    <t>Mavis Seating Shoe Rack</t>
  </si>
  <si>
    <t>Mavis Tall Shoe Rack</t>
  </si>
  <si>
    <t xml:space="preserve">Maltein Diwan 30" with Storage Bed </t>
  </si>
  <si>
    <t>Sharnam Pooja Unit</t>
  </si>
  <si>
    <t>Barnia Bookshelf</t>
  </si>
  <si>
    <t>Wilber 3+1, 4 Seater Interchangeable L Shape Sofa</t>
  </si>
  <si>
    <t>Furlyn Shoe Rack</t>
  </si>
  <si>
    <t>Skiddo Lite TV Unit</t>
  </si>
  <si>
    <t>Veluno Bookshelf</t>
  </si>
  <si>
    <t>Greta Metal Spice Rack</t>
  </si>
  <si>
    <t>Stellar Dressing Shelves</t>
  </si>
  <si>
    <t>Roverb Diwan 30 Inch Non Storage</t>
  </si>
  <si>
    <t>Febbora Wall art</t>
  </si>
  <si>
    <t>Wimzoe Shoe Rack</t>
  </si>
  <si>
    <t>Shubh Pooja Unit Temple</t>
  </si>
  <si>
    <t>Zylo Medium Back Chair</t>
  </si>
  <si>
    <t>Polli Medium Back Chair</t>
  </si>
  <si>
    <t>Shubh Mini Pooja Temple</t>
  </si>
  <si>
    <t>Radisso Mini Study Table</t>
  </si>
  <si>
    <t>Dhruv Wall Mount Pooja Unit</t>
  </si>
  <si>
    <t>Dolvin Mini Spice Rack</t>
  </si>
  <si>
    <t>Victor TV Unit</t>
  </si>
  <si>
    <t>Pinn TV Unit</t>
  </si>
  <si>
    <t>Orelia TV Unit</t>
  </si>
  <si>
    <t>Amy TV Unit</t>
  </si>
  <si>
    <t>Harri TV Unit</t>
  </si>
  <si>
    <t>Lami TV Unit</t>
  </si>
  <si>
    <t>Optimal TV Unit</t>
  </si>
  <si>
    <t>Mannsae TV Unit</t>
  </si>
  <si>
    <t>Mannsae Plus TV Unit  </t>
  </si>
  <si>
    <t>Orivo Bookshelf</t>
  </si>
  <si>
    <t>Steda Bookshelf</t>
  </si>
  <si>
    <t>Senara Bookshelf</t>
  </si>
  <si>
    <t>SB-CA</t>
  </si>
  <si>
    <t>SB-CS-ST</t>
  </si>
  <si>
    <t>S-BR-4</t>
  </si>
  <si>
    <t>TU-PMP-S</t>
  </si>
  <si>
    <t>TU-VCO</t>
  </si>
  <si>
    <t>BT-HE</t>
  </si>
  <si>
    <t>BT-LE-B</t>
  </si>
  <si>
    <t>CT-ATD-LA</t>
  </si>
  <si>
    <t>CT-ATD-M</t>
  </si>
  <si>
    <t>SR-ADS-3</t>
  </si>
  <si>
    <t>ST-DZL</t>
  </si>
  <si>
    <t>WA-BLS</t>
  </si>
  <si>
    <t>B-POL-QN</t>
  </si>
  <si>
    <t>BT-LE-S</t>
  </si>
  <si>
    <t>CMB-RELO</t>
  </si>
  <si>
    <t>CT-MD-RT</t>
  </si>
  <si>
    <t>CT-MD-SQ</t>
  </si>
  <si>
    <t>CT-OSN-OV</t>
  </si>
  <si>
    <t>DT-GRA</t>
  </si>
  <si>
    <t>DT-HE-3</t>
  </si>
  <si>
    <t>DT-MR</t>
  </si>
  <si>
    <t>GH-CE</t>
  </si>
  <si>
    <t>KH-RZ</t>
  </si>
  <si>
    <t>LT-FN</t>
  </si>
  <si>
    <t>RH-SU-2-2</t>
  </si>
  <si>
    <t>RH-SU-4</t>
  </si>
  <si>
    <t>RT-T</t>
  </si>
  <si>
    <t>SB-AL-2</t>
  </si>
  <si>
    <t>SB-AL-4</t>
  </si>
  <si>
    <t>SB-CB.P-T</t>
  </si>
  <si>
    <t>SB-OS</t>
  </si>
  <si>
    <t>SB-SML</t>
  </si>
  <si>
    <t>S-CK-2</t>
  </si>
  <si>
    <t>S-FE-W2</t>
  </si>
  <si>
    <t>S-LC</t>
  </si>
  <si>
    <t>SL-VE-18</t>
  </si>
  <si>
    <t>S-MO-3</t>
  </si>
  <si>
    <t>SR-LRL</t>
  </si>
  <si>
    <t>ST-CND-LA</t>
  </si>
  <si>
    <t>ST-CND-ST</t>
  </si>
  <si>
    <t>S-TCW-8P2</t>
  </si>
  <si>
    <t>ST-GSE-WMS</t>
  </si>
  <si>
    <t>ST-GSE-WMSF</t>
  </si>
  <si>
    <t>ST-GSE-WMSW</t>
  </si>
  <si>
    <t>S-TW12-S4</t>
  </si>
  <si>
    <t>TU-ARO-ST</t>
  </si>
  <si>
    <t>TU-CBR-ST</t>
  </si>
  <si>
    <t>TU-DAR</t>
  </si>
  <si>
    <t>TU-KU-ST</t>
  </si>
  <si>
    <t>TU-NVH-M</t>
  </si>
  <si>
    <t>TU-NVH-ST</t>
  </si>
  <si>
    <t>TU-RE-ST</t>
  </si>
  <si>
    <t>TU-TP</t>
  </si>
  <si>
    <t>TU-TT-L</t>
  </si>
  <si>
    <t>TU-TT-S</t>
  </si>
  <si>
    <t>WA-CCI.P-DW</t>
  </si>
  <si>
    <t>WT-EA</t>
  </si>
  <si>
    <t>Chk</t>
  </si>
  <si>
    <t>Count of ASIN</t>
  </si>
  <si>
    <t>Count of FK FSN</t>
  </si>
  <si>
    <t>Count of UL</t>
  </si>
  <si>
    <t xml:space="preserve">Count of PF </t>
  </si>
  <si>
    <t>YB</t>
  </si>
  <si>
    <t>YD</t>
  </si>
  <si>
    <t>Grand Total</t>
  </si>
  <si>
    <t>SKU Code</t>
  </si>
  <si>
    <t>OSR</t>
  </si>
  <si>
    <t>Product Name</t>
  </si>
  <si>
    <t>SB-AXA-W51-HB</t>
  </si>
  <si>
    <t>X0012WJNZV</t>
  </si>
  <si>
    <t>SB-AXA-W32-HB</t>
  </si>
  <si>
    <t>X0012VD2IV</t>
  </si>
  <si>
    <t>TU-PM-STWDB</t>
  </si>
  <si>
    <t>X001KLQ39X</t>
  </si>
  <si>
    <t>FVSGAV33BB20550</t>
  </si>
  <si>
    <t>FN1987996-S-PM39235</t>
  </si>
  <si>
    <t>GEC-007R</t>
  </si>
  <si>
    <t>X000W9K4XZ</t>
  </si>
  <si>
    <t>GEC-L5</t>
  </si>
  <si>
    <t>X000MIORE3</t>
  </si>
  <si>
    <t>GEC-004L</t>
  </si>
  <si>
    <t>X000W9ICG1</t>
  </si>
  <si>
    <t>GEC-L5E</t>
  </si>
  <si>
    <t>X000TJFDDJ</t>
  </si>
  <si>
    <t>GEC-L6M</t>
  </si>
  <si>
    <t>X000TJZ4AB</t>
  </si>
  <si>
    <t>GEC-L4M-SS</t>
  </si>
  <si>
    <t>X000TK4N7F</t>
  </si>
  <si>
    <t>GEC-L6M-SS</t>
  </si>
  <si>
    <t>NL</t>
  </si>
  <si>
    <t>X000TK4M5X</t>
  </si>
  <si>
    <t>GEC-L7M-SS</t>
  </si>
  <si>
    <t>X000MG9RDV</t>
  </si>
  <si>
    <t>GEC-002XL</t>
  </si>
  <si>
    <t>y</t>
  </si>
  <si>
    <t>X000W9KTKX</t>
  </si>
  <si>
    <t>BRC-762-WH</t>
  </si>
  <si>
    <t>X000NK059V</t>
  </si>
  <si>
    <t>GEC-L4</t>
  </si>
  <si>
    <t>X000MDOVJ9</t>
  </si>
  <si>
    <t>GEC-L3M</t>
  </si>
  <si>
    <t>X000MJKVID</t>
  </si>
  <si>
    <t>BRC-716-IV</t>
  </si>
  <si>
    <t>X000LIUGH1</t>
  </si>
  <si>
    <t>GEC-L3</t>
  </si>
  <si>
    <t>X000MHJRI5</t>
  </si>
  <si>
    <t>GEC-L5M-SS</t>
  </si>
  <si>
    <t>X000M4R2HV</t>
  </si>
  <si>
    <t>GEC-L6E</t>
  </si>
  <si>
    <t>X000TK4LM7</t>
  </si>
  <si>
    <t>GEC-L7</t>
  </si>
  <si>
    <t>X000TJ9FVZ</t>
  </si>
  <si>
    <t>GEC-L5SM</t>
  </si>
  <si>
    <t>X000LVFG19</t>
  </si>
  <si>
    <t>GEC-L4SM</t>
  </si>
  <si>
    <t>X000MP3DHD</t>
  </si>
  <si>
    <t>GEC-001XL</t>
  </si>
  <si>
    <t>X000W9JQA7</t>
  </si>
  <si>
    <t>GEC-008R</t>
  </si>
  <si>
    <t>X000W9KD3V</t>
  </si>
  <si>
    <t>GEC-009R</t>
  </si>
  <si>
    <t>X000W9JQAH</t>
  </si>
  <si>
    <t>GEC-L5T</t>
  </si>
  <si>
    <t>X000LTPXPP</t>
  </si>
  <si>
    <t>GEC-L6T</t>
  </si>
  <si>
    <t>X000TK4LLX</t>
  </si>
  <si>
    <t>GEC-L7T</t>
  </si>
  <si>
    <t>X000TJZ49R</t>
  </si>
  <si>
    <t>BRC-727-WH</t>
  </si>
  <si>
    <t>X000MN4RRP</t>
  </si>
  <si>
    <t>BRC-701-WH-P2</t>
  </si>
  <si>
    <t>X000SPTK9H</t>
  </si>
  <si>
    <t>BRC-717-WH</t>
  </si>
  <si>
    <t>X000LIUJZP</t>
  </si>
  <si>
    <t>BRC-725-IV</t>
  </si>
  <si>
    <t>X000N7BVKV</t>
  </si>
  <si>
    <t>BRC-703-WH</t>
  </si>
  <si>
    <t>X000LU4XFZ</t>
  </si>
  <si>
    <t>GEC-L6A</t>
  </si>
  <si>
    <t>X000LT64OJ</t>
  </si>
  <si>
    <t>GEC-L2M</t>
  </si>
  <si>
    <t>X000TJZ8LV</t>
  </si>
  <si>
    <t>GEC-L4M</t>
  </si>
  <si>
    <t>X000MJNSJ7</t>
  </si>
  <si>
    <t>GEC-508</t>
  </si>
  <si>
    <t>X000VJ2DSF</t>
  </si>
  <si>
    <t>GEC- 508</t>
  </si>
  <si>
    <t>X000N3VXAD</t>
  </si>
  <si>
    <t>GEC-L4D</t>
  </si>
  <si>
    <t>X000TJZ80H</t>
  </si>
  <si>
    <t>GEC-L4T</t>
  </si>
  <si>
    <t>X000MJ4F7V</t>
  </si>
  <si>
    <t>GEC-L4E</t>
  </si>
  <si>
    <t>X000TJZ6VN</t>
  </si>
  <si>
    <t>GEC-L4A-R</t>
  </si>
  <si>
    <t>X000TJZ53H</t>
  </si>
  <si>
    <t>GEC-L5A-R</t>
  </si>
  <si>
    <t>X000MUA0YH</t>
  </si>
  <si>
    <t>GEC-L6A-R</t>
  </si>
  <si>
    <t>X000NHSROT</t>
  </si>
  <si>
    <t>GEC-L7M</t>
  </si>
  <si>
    <t>X000MEB9QB</t>
  </si>
  <si>
    <t>BRC-727-IV</t>
  </si>
  <si>
    <t>X000MJZQHJ</t>
  </si>
  <si>
    <t>GEC-L5M</t>
  </si>
  <si>
    <t>X000LVBLK9</t>
  </si>
  <si>
    <t>KUK-5</t>
  </si>
  <si>
    <t>X0014S7V3J</t>
  </si>
  <si>
    <t>SL-RH</t>
  </si>
  <si>
    <t>X000KXCE5J</t>
  </si>
  <si>
    <t>SI-SD</t>
  </si>
  <si>
    <t>X000KVTCGP</t>
  </si>
  <si>
    <t>SI-TRO-24</t>
  </si>
  <si>
    <t>X000VHX25F</t>
  </si>
  <si>
    <t>SL-TRO 24</t>
  </si>
  <si>
    <t>X000KVU5ZR</t>
  </si>
  <si>
    <t>SL-TRA 24</t>
  </si>
  <si>
    <t>X000KXCE6N</t>
  </si>
  <si>
    <t>SI-DSD</t>
  </si>
  <si>
    <t>X000KVTCH9</t>
  </si>
  <si>
    <t>SL-DTH</t>
  </si>
  <si>
    <t>X000KVU5XJ</t>
  </si>
  <si>
    <t>SI-PH</t>
  </si>
  <si>
    <t>X000KVTCGZ</t>
  </si>
  <si>
    <t>SG-PH</t>
  </si>
  <si>
    <t>X000KVTCUV</t>
  </si>
  <si>
    <t>SL-PH</t>
  </si>
  <si>
    <t>X000KVTCVZ</t>
  </si>
  <si>
    <t>SI-LPH</t>
  </si>
  <si>
    <t>X000KXCE2H</t>
  </si>
  <si>
    <t>SL-LPH</t>
  </si>
  <si>
    <t>X000KXCE4F</t>
  </si>
  <si>
    <t>SL-TH</t>
  </si>
  <si>
    <t>X000KVU47V</t>
  </si>
  <si>
    <t>SI-LH</t>
  </si>
  <si>
    <t>X000KVTBNJ</t>
  </si>
  <si>
    <t>MH-EP-4</t>
  </si>
  <si>
    <t>X000KM29JV</t>
  </si>
  <si>
    <t>RG-SN-NR-P2</t>
  </si>
  <si>
    <t>X000NLLO1N</t>
  </si>
  <si>
    <t>MT-BS</t>
  </si>
  <si>
    <t>X000KVTCD3</t>
  </si>
  <si>
    <t>MT-TRO-18</t>
  </si>
  <si>
    <t>X000KVTBJD</t>
  </si>
  <si>
    <t>RG-SN-C1</t>
  </si>
  <si>
    <t>X000MIHFRJ</t>
  </si>
  <si>
    <t>MT-DSD</t>
  </si>
  <si>
    <t>X000KVTBLL</t>
  </si>
  <si>
    <t>RG-LB-SP-BL</t>
  </si>
  <si>
    <t>X0014S7V3T</t>
  </si>
  <si>
    <t>RG-LB-SP-BR</t>
  </si>
  <si>
    <t>X0014S975J</t>
  </si>
  <si>
    <t>RG-LB-SP-MA</t>
  </si>
  <si>
    <t>X0014S9LKF</t>
  </si>
  <si>
    <t>RG-LB-SP-PR</t>
  </si>
  <si>
    <t>X0014S9759</t>
  </si>
  <si>
    <t>RG-LB-SP-WR</t>
  </si>
  <si>
    <t>X0014S9LKP</t>
  </si>
  <si>
    <t>AV-MF-01C3</t>
  </si>
  <si>
    <t>X000KKFESV</t>
  </si>
  <si>
    <t>B07CVLRLMR</t>
  </si>
  <si>
    <t>KH-ND-6W</t>
  </si>
  <si>
    <t>X000UIS74V</t>
  </si>
  <si>
    <t>KHRF46EGUZ2SN4RJ</t>
  </si>
  <si>
    <t>LSTKHRF46EGUZ2SN4RJANCNFF</t>
  </si>
  <si>
    <t>WVB-SKH-09-6H</t>
  </si>
  <si>
    <t>X0014454CX</t>
  </si>
  <si>
    <t>WVB-EV-RH</t>
  </si>
  <si>
    <t>X00143VA1D</t>
  </si>
  <si>
    <t>WVB-KZ-RH</t>
  </si>
  <si>
    <t>X00143U2UX</t>
  </si>
  <si>
    <t>WVB-MA-RH</t>
  </si>
  <si>
    <t>X00133D5SZ</t>
  </si>
  <si>
    <t>WVB-SG-RH</t>
  </si>
  <si>
    <t>X0012ZPYLF</t>
  </si>
  <si>
    <t>WVB-SI-RH</t>
  </si>
  <si>
    <t>X00135QON1</t>
  </si>
  <si>
    <t>WVB-SL-RH</t>
  </si>
  <si>
    <t>X0012ZPYZV</t>
  </si>
  <si>
    <t>WVB-SR-RH</t>
  </si>
  <si>
    <t>X00132THF1</t>
  </si>
  <si>
    <t>WVB-SU-RH</t>
  </si>
  <si>
    <t>X00146P8EP</t>
  </si>
  <si>
    <t>WVB-SG-TRA 18</t>
  </si>
  <si>
    <t>X00134H4YF</t>
  </si>
  <si>
    <t>WVB-SG-TRA-18</t>
  </si>
  <si>
    <t>X00144AEKF</t>
  </si>
  <si>
    <t>WVB-SR-TRA-18</t>
  </si>
  <si>
    <t>X0012ZPZ19</t>
  </si>
  <si>
    <t>WVB-AC-TRA-18</t>
  </si>
  <si>
    <t>X00143VA13</t>
  </si>
  <si>
    <t>WVB-MA-TRA-18</t>
  </si>
  <si>
    <t>X00133D6AH</t>
  </si>
  <si>
    <t>WVB-MA-TRA-24</t>
  </si>
  <si>
    <t>X001351NKF</t>
  </si>
  <si>
    <t>WVB-PR-TRA-18</t>
  </si>
  <si>
    <t>X00131AZCL</t>
  </si>
  <si>
    <t>WVB-SL-TRA 18</t>
  </si>
  <si>
    <t>X0012Y84V3</t>
  </si>
  <si>
    <t>WVB-SL-TRA 24</t>
  </si>
  <si>
    <t>X0012Y8C5V</t>
  </si>
  <si>
    <t>WVB-SR-TRA-24</t>
  </si>
  <si>
    <t>X0012ZPZ0Z</t>
  </si>
  <si>
    <t>WVB-SS-TRA-24</t>
  </si>
  <si>
    <t>X00146KLYR</t>
  </si>
  <si>
    <t>WVB-SU-TRA-18</t>
  </si>
  <si>
    <t>X00134GWUR</t>
  </si>
  <si>
    <t>WVB-SI-TRA-18</t>
  </si>
  <si>
    <t>X0012Y9YKD</t>
  </si>
  <si>
    <t>WVB-SKH-09-4H</t>
  </si>
  <si>
    <t>X00144AEKZ</t>
  </si>
  <si>
    <t>WVB-AC-TRA-24</t>
  </si>
  <si>
    <t>X00143U2V7</t>
  </si>
  <si>
    <t>WVB-KZ-TRA-18</t>
  </si>
  <si>
    <t>X00143VA0T</t>
  </si>
  <si>
    <t>WVB-KZ-TRA-24</t>
  </si>
  <si>
    <t>X00143V9ZZ</t>
  </si>
  <si>
    <t>WVB-MT-TRA-18</t>
  </si>
  <si>
    <t>X00144EFEV</t>
  </si>
  <si>
    <t>ER-UO2X-VEI2</t>
  </si>
  <si>
    <t>X001451SR7</t>
  </si>
  <si>
    <t>WVB-MA-TRO-18</t>
  </si>
  <si>
    <t>X00143WL57</t>
  </si>
  <si>
    <t>WVB-MA-TRO-24</t>
  </si>
  <si>
    <t>X00133D53P</t>
  </si>
  <si>
    <t>IH-U5K6-0BT5</t>
  </si>
  <si>
    <t>X001451P4N</t>
  </si>
  <si>
    <t>WVB-PR-TRO 24</t>
  </si>
  <si>
    <t>X00144AEK5</t>
  </si>
  <si>
    <t>J0-7E8P-T390</t>
  </si>
  <si>
    <t>X001451SSB</t>
  </si>
  <si>
    <t>WVB-SG-TRO 18</t>
  </si>
  <si>
    <t>X00135O7ML</t>
  </si>
  <si>
    <t>U8-JXC9-13X6</t>
  </si>
  <si>
    <t>X001451SS1</t>
  </si>
  <si>
    <t>WVB-SG-TRO-24</t>
  </si>
  <si>
    <t>X00144EFEL</t>
  </si>
  <si>
    <t>Q1-7UUZ-WB9M</t>
  </si>
  <si>
    <t>X00144XS3P</t>
  </si>
  <si>
    <t>WVB-SG-TRO 24</t>
  </si>
  <si>
    <t>X00144EFFF</t>
  </si>
  <si>
    <t>WVB-SG-TRA 24</t>
  </si>
  <si>
    <t>X0012ZPZ05</t>
  </si>
  <si>
    <t>WVB-SI-TRO-18</t>
  </si>
  <si>
    <t>X00131CJ2Z</t>
  </si>
  <si>
    <t>6A-2VB8-ACS6</t>
  </si>
  <si>
    <t>X001451SRR</t>
  </si>
  <si>
    <t>WVB-SI-TRA-24</t>
  </si>
  <si>
    <t>X00135QSG9</t>
  </si>
  <si>
    <t>WVB-SI-TRO-24</t>
  </si>
  <si>
    <t>X00132UJR1</t>
  </si>
  <si>
    <t>WVB-SI-TRA 24</t>
  </si>
  <si>
    <t>X0014454D7</t>
  </si>
  <si>
    <t>WVB-SR-TRO-18</t>
  </si>
  <si>
    <t>X0012Y84VX</t>
  </si>
  <si>
    <t>WVB-SR-TRO-24</t>
  </si>
  <si>
    <t>X0012ZPYM9</t>
  </si>
  <si>
    <t>WVB-SL-TRO 18</t>
  </si>
  <si>
    <t>X00146KLXX</t>
  </si>
  <si>
    <t>WVB-SL-TRO-18</t>
  </si>
  <si>
    <t>X00144XUAB</t>
  </si>
  <si>
    <t>WVB-MA-SD</t>
  </si>
  <si>
    <t>X00133CZBN</t>
  </si>
  <si>
    <t>WVB-EV-TH-W-SD</t>
  </si>
  <si>
    <t>X00131EQ5D</t>
  </si>
  <si>
    <t>WVB-KZ-DSD</t>
  </si>
  <si>
    <t>X0012ZU28Z</t>
  </si>
  <si>
    <t>WVB-KZ-SD</t>
  </si>
  <si>
    <t>X00135QOMR</t>
  </si>
  <si>
    <t>WVB-MT-TH-W-SD</t>
  </si>
  <si>
    <t>X0013ZOEFL</t>
  </si>
  <si>
    <t>WVB-MT-SD</t>
  </si>
  <si>
    <t>X00135O7LH</t>
  </si>
  <si>
    <t>WVB-MA-DSD</t>
  </si>
  <si>
    <t>X00134H4YZ</t>
  </si>
  <si>
    <t>WVB-MA-TH-W-SD</t>
  </si>
  <si>
    <t>X001367105</t>
  </si>
  <si>
    <t>WVB-PR-TH-W-SD</t>
  </si>
  <si>
    <t>X0012YA13R</t>
  </si>
  <si>
    <t>WVB-SG-DSD</t>
  </si>
  <si>
    <t>X00134GWUH</t>
  </si>
  <si>
    <t>WVB-SG-TH-W-SD</t>
  </si>
  <si>
    <t>X0012Y8N6T</t>
  </si>
  <si>
    <t>WVB-SG-SD</t>
  </si>
  <si>
    <t>X00135O7LR</t>
  </si>
  <si>
    <t>WVB-SI-DSD</t>
  </si>
  <si>
    <t>X00132UJQH</t>
  </si>
  <si>
    <t>WVB-SI-TH-W-SD</t>
  </si>
  <si>
    <t>X00134IWE1</t>
  </si>
  <si>
    <t>WVB-SI-SD</t>
  </si>
  <si>
    <t>X00135QURB</t>
  </si>
  <si>
    <t>WVB-SL-DSD</t>
  </si>
  <si>
    <t>X0012ZPZ0F</t>
  </si>
  <si>
    <t>WVB-SL-TH-W-SD</t>
  </si>
  <si>
    <t>X00131AZBR</t>
  </si>
  <si>
    <t>WVB-SL-SD</t>
  </si>
  <si>
    <t>X0012Y8C5B</t>
  </si>
  <si>
    <t>WVB-SU-DSD</t>
  </si>
  <si>
    <t>X00132UJQR</t>
  </si>
  <si>
    <t>WVB-SU-SD</t>
  </si>
  <si>
    <t>X00135QSGJ</t>
  </si>
  <si>
    <t>WVB-WM-SD</t>
  </si>
  <si>
    <t>X00146KLY7</t>
  </si>
  <si>
    <t>WVB-EV-PH</t>
  </si>
  <si>
    <t>X00143WL4N</t>
  </si>
  <si>
    <t>WVB-AC-PH</t>
  </si>
  <si>
    <t>X00133D53F</t>
  </si>
  <si>
    <t>WVB-MA-LPH</t>
  </si>
  <si>
    <t>X00143WL3T</t>
  </si>
  <si>
    <t>WVB-MA-PH</t>
  </si>
  <si>
    <t>X001351T8V</t>
  </si>
  <si>
    <t>WVB-SG-PH</t>
  </si>
  <si>
    <t>X00132THE7</t>
  </si>
  <si>
    <t>WVB-SI-LPH</t>
  </si>
  <si>
    <t>X0012ZRG07</t>
  </si>
  <si>
    <t>WVB-SI-PH</t>
  </si>
  <si>
    <t>X00131CJ2F</t>
  </si>
  <si>
    <t>WVB-SL-LPH</t>
  </si>
  <si>
    <t>X00134GWVL</t>
  </si>
  <si>
    <t>WVB-SL-PH</t>
  </si>
  <si>
    <t>X00131AZBH</t>
  </si>
  <si>
    <t>WVB-SR-LPH</t>
  </si>
  <si>
    <t>X00146P8CR</t>
  </si>
  <si>
    <t>WVB-SU-LPH</t>
  </si>
  <si>
    <t>X00146LLLJ</t>
  </si>
  <si>
    <t>WVB-GB-375-G</t>
  </si>
  <si>
    <t>X00143U2VR</t>
  </si>
  <si>
    <t>WVB-SS01-375</t>
  </si>
  <si>
    <t>X00146P8E5</t>
  </si>
  <si>
    <t>WVB-SS01-450</t>
  </si>
  <si>
    <t>X00146P8DV</t>
  </si>
  <si>
    <t>WVB-SS02-300</t>
  </si>
  <si>
    <t>X00146P8D1</t>
  </si>
  <si>
    <t>WVB-SS02-375</t>
  </si>
  <si>
    <t>X00146LLLT</t>
  </si>
  <si>
    <t>WVB-SS02-450</t>
  </si>
  <si>
    <t>X00146LLKZ</t>
  </si>
  <si>
    <t>WVB-SS02-225</t>
  </si>
  <si>
    <t>X00146KLZB</t>
  </si>
  <si>
    <t>WVB-JDA-902-(WL)</t>
  </si>
  <si>
    <t>X00143WL4X</t>
  </si>
  <si>
    <t>WVB-JDA-900</t>
  </si>
  <si>
    <t>X00143U2UN</t>
  </si>
  <si>
    <t>WVB-JCH-S</t>
  </si>
  <si>
    <t>X00143VA0J</t>
  </si>
  <si>
    <t>WVB-JDA-903</t>
  </si>
  <si>
    <t>X00143WL5H</t>
  </si>
  <si>
    <t>WVB-JDA-904</t>
  </si>
  <si>
    <t>X00143U2W1</t>
  </si>
  <si>
    <t>WVB-SKH-009-2H</t>
  </si>
  <si>
    <t>X0014454E1</t>
  </si>
  <si>
    <t>WVB-RG-WSC-STL-300</t>
  </si>
  <si>
    <t>X00134H4XL</t>
  </si>
  <si>
    <t>WVB-RG-WSC-STL-175</t>
  </si>
  <si>
    <t>X0014454DH</t>
  </si>
  <si>
    <t>WVB-RG-WSC-STL-225</t>
  </si>
  <si>
    <t>X0012Y8C5L</t>
  </si>
  <si>
    <t>WVB-RG-WS-STL-300</t>
  </si>
  <si>
    <t>X00134H4Y5</t>
  </si>
  <si>
    <t>WVB-AC-NR</t>
  </si>
  <si>
    <t>X00143V9ZP</t>
  </si>
  <si>
    <t>WVB-MA-LH-W-NR</t>
  </si>
  <si>
    <t>X00143WL4D</t>
  </si>
  <si>
    <t>WVB-MA-TH-W-NR</t>
  </si>
  <si>
    <t>X00143WL3J</t>
  </si>
  <si>
    <t>WVB-MA-NR</t>
  </si>
  <si>
    <t>X00133D4J5</t>
  </si>
  <si>
    <t>WVB-PR-NR</t>
  </si>
  <si>
    <t>X00144EFF5</t>
  </si>
  <si>
    <t>WVB-SG-NR</t>
  </si>
  <si>
    <t>X0014454EB</t>
  </si>
  <si>
    <t>WVB-AC-BS</t>
  </si>
  <si>
    <t>X00143VA09</t>
  </si>
  <si>
    <t>WVB-EV-BS</t>
  </si>
  <si>
    <t>X00143WL43</t>
  </si>
  <si>
    <t>WVB-PR-BS</t>
  </si>
  <si>
    <t>X00135O7M1</t>
  </si>
  <si>
    <t>WVB-SI-BS</t>
  </si>
  <si>
    <t>X00135QUR1</t>
  </si>
  <si>
    <t>WVB-SL-BS</t>
  </si>
  <si>
    <t>X00144AEKP</t>
  </si>
  <si>
    <t>WVB-SG-LH-W-NR</t>
  </si>
  <si>
    <t>X0012Y8O3L</t>
  </si>
  <si>
    <t>WVB-SG-TH-W-NR</t>
  </si>
  <si>
    <t>X0012Y8M7J</t>
  </si>
  <si>
    <t>WVB-SI-TH-W-NR</t>
  </si>
  <si>
    <t>X0012YA141</t>
  </si>
  <si>
    <t>WVB-SL-LH-W-NR</t>
  </si>
  <si>
    <t>X00146KLZ1</t>
  </si>
  <si>
    <t>WVB-SL-TH-W-NR</t>
  </si>
  <si>
    <t>X00134H4XV</t>
  </si>
  <si>
    <t>WVB-SR-NR</t>
  </si>
  <si>
    <t>X00132THEH</t>
  </si>
  <si>
    <t>WVB-SI-TBH</t>
  </si>
  <si>
    <t>X00144EFEB</t>
  </si>
  <si>
    <t>WVB-SG-TBH</t>
  </si>
  <si>
    <t>X00132THER</t>
  </si>
  <si>
    <t>WVB-SL-TBH</t>
  </si>
  <si>
    <t>X00134GWV1</t>
  </si>
  <si>
    <t>WVB-SR-TBH</t>
  </si>
  <si>
    <t>X00134GWVV</t>
  </si>
  <si>
    <t>WVB-AC-TH</t>
  </si>
  <si>
    <t>X0012ZPYMJ</t>
  </si>
  <si>
    <t>WVB-EV-TH</t>
  </si>
  <si>
    <t>X0012ZPYLZ</t>
  </si>
  <si>
    <t>WVB-MA-TH</t>
  </si>
  <si>
    <t>X0012YSOTF</t>
  </si>
  <si>
    <t>WVB-SG-DTH</t>
  </si>
  <si>
    <t>X0012ZPYLP</t>
  </si>
  <si>
    <t>WVB-SG-TH</t>
  </si>
  <si>
    <t>X0012ZPZ0P</t>
  </si>
  <si>
    <t>WVB-SI-DTH</t>
  </si>
  <si>
    <t>MW</t>
  </si>
  <si>
    <t>X0012ZRG0H</t>
  </si>
  <si>
    <t>WVB-SI-TH</t>
  </si>
  <si>
    <t>X00131CJ2P</t>
  </si>
  <si>
    <t>WVB-SL-DTH</t>
  </si>
  <si>
    <t>X00131AZCV</t>
  </si>
  <si>
    <t>WVB-SL-TH</t>
  </si>
  <si>
    <t>X0012Y84W7</t>
  </si>
  <si>
    <t>WVB-SU-TH</t>
  </si>
  <si>
    <t>X00146P8DB</t>
  </si>
  <si>
    <t>WVB-SL-TRO 24</t>
  </si>
  <si>
    <t>X00134GWVB</t>
  </si>
  <si>
    <t>WVB-AC-LH</t>
  </si>
  <si>
    <t>X00134H4YP</t>
  </si>
  <si>
    <t>WVB-EV-LH</t>
  </si>
  <si>
    <t>X00131AZC1</t>
  </si>
  <si>
    <t>WVB-MT-LH</t>
  </si>
  <si>
    <t>X00140RODJ</t>
  </si>
  <si>
    <t>WVB-MA-LH</t>
  </si>
  <si>
    <t>X0012Y84VD</t>
  </si>
  <si>
    <t>WVB-PR-LH</t>
  </si>
  <si>
    <t>X00135O7MB</t>
  </si>
  <si>
    <t>WVB-SG-LH</t>
  </si>
  <si>
    <t>X0012Y84VN</t>
  </si>
  <si>
    <t>WVB-SI-LH</t>
  </si>
  <si>
    <t>X00135QONB</t>
  </si>
  <si>
    <t>WVB-SL-LH</t>
  </si>
  <si>
    <t>X0012Y8C51</t>
  </si>
  <si>
    <t>WVB-SU-LH</t>
  </si>
  <si>
    <t>X00132THFL</t>
  </si>
  <si>
    <t>OZ-6G5Z-J6PE</t>
  </si>
  <si>
    <t>X000T78XIX</t>
  </si>
  <si>
    <t>0T-HIOR-BWPU</t>
  </si>
  <si>
    <t>X000T7HOBF</t>
  </si>
  <si>
    <t>A6LR-C</t>
  </si>
  <si>
    <t>X000KM2AVN</t>
  </si>
  <si>
    <t>MH-A6S-W</t>
  </si>
  <si>
    <t>X000KM2AW7</t>
  </si>
  <si>
    <t>MH-A6L-W</t>
  </si>
  <si>
    <t>X000KM2AYF</t>
  </si>
  <si>
    <t>MH-A6L-B</t>
  </si>
  <si>
    <t>X000KIR4FT</t>
  </si>
  <si>
    <t>MH-A6S-R</t>
  </si>
  <si>
    <t>X000KM448P</t>
  </si>
  <si>
    <t>MH-A6L-R</t>
  </si>
  <si>
    <t>X000KM44CL</t>
  </si>
  <si>
    <t>MH-A4L-R</t>
  </si>
  <si>
    <t>X000KJ2M05</t>
  </si>
  <si>
    <t>MH-A4L-W</t>
  </si>
  <si>
    <t>X000KJ2LZV</t>
  </si>
  <si>
    <t>MH-A4L-B</t>
  </si>
  <si>
    <t>X000KM44A3</t>
  </si>
  <si>
    <t>MH-A4S-B</t>
  </si>
  <si>
    <t>X000KKFEKT</t>
  </si>
  <si>
    <t>MH-A4S-R</t>
  </si>
  <si>
    <t>X000KIW5WL</t>
  </si>
  <si>
    <t>MH-A4S-W</t>
  </si>
  <si>
    <t>X000KKFEOF</t>
  </si>
  <si>
    <t>MH-A5L-B</t>
  </si>
  <si>
    <t>X000KM2AYZ</t>
  </si>
  <si>
    <t>MH-A5L-R</t>
  </si>
  <si>
    <t>X000KI65W7</t>
  </si>
  <si>
    <t>MH-A5L-W</t>
  </si>
  <si>
    <t>X000KHEJIF</t>
  </si>
  <si>
    <t>MH-A5S-B</t>
  </si>
  <si>
    <t>X000KI77VP</t>
  </si>
  <si>
    <t>MH-A5S-R</t>
  </si>
  <si>
    <t>X000KIR5D5</t>
  </si>
  <si>
    <t>MH-A5S-W</t>
  </si>
  <si>
    <t>X000KJ2N9F</t>
  </si>
  <si>
    <t>PC-AY-LW</t>
  </si>
  <si>
    <t>X000UEW0PR</t>
  </si>
  <si>
    <t>B077XDNC3W</t>
  </si>
  <si>
    <t>KH-ND-12W</t>
  </si>
  <si>
    <t>X000UBV1NH</t>
  </si>
  <si>
    <t>PC-SM-LW</t>
  </si>
  <si>
    <t>X000UV31J9</t>
  </si>
  <si>
    <t>MH-WSB-2</t>
  </si>
  <si>
    <t>X000KI79V3</t>
  </si>
  <si>
    <t>MH-EB-4</t>
  </si>
  <si>
    <t>X000KKFENV</t>
  </si>
  <si>
    <t>MH-EW-4</t>
  </si>
  <si>
    <t>X000KM4485</t>
  </si>
  <si>
    <t>MH-EA-4</t>
  </si>
  <si>
    <t>X000KM2AXL</t>
  </si>
  <si>
    <t>B00T7O0MGW</t>
  </si>
  <si>
    <t>MH-ER-4</t>
  </si>
  <si>
    <t>X000KM4363</t>
  </si>
  <si>
    <t>MH-A2-R</t>
  </si>
  <si>
    <t>X000KIR4GN</t>
  </si>
  <si>
    <t>MH-A2-W</t>
  </si>
  <si>
    <t>X000KIR6L1</t>
  </si>
  <si>
    <t>MH-A2-B</t>
  </si>
  <si>
    <t>X000KHEJIP</t>
  </si>
  <si>
    <t>MH-A7S-R</t>
  </si>
  <si>
    <t>X000KKFF53</t>
  </si>
  <si>
    <t>MH-A7L-B</t>
  </si>
  <si>
    <t>X000KI77UV</t>
  </si>
  <si>
    <t>MH-A7L-R</t>
  </si>
  <si>
    <t>X000KJ2MTB</t>
  </si>
  <si>
    <t>MH-A7L-W</t>
  </si>
  <si>
    <t>X000KKFERH</t>
  </si>
  <si>
    <t>MH-A7S-B</t>
  </si>
  <si>
    <t>X000KM2AWH</t>
  </si>
  <si>
    <t>MH-A6S-B</t>
  </si>
  <si>
    <t>X000KM436D</t>
  </si>
  <si>
    <t>AV-IP-01B</t>
  </si>
  <si>
    <t>X000KIW5XF</t>
  </si>
  <si>
    <t>AV-IP-01-B</t>
  </si>
  <si>
    <t>X000UHEXL3</t>
  </si>
  <si>
    <t>AV-IP-01-W</t>
  </si>
  <si>
    <t>X000KIW5VR</t>
  </si>
  <si>
    <t>WC-EA-BW</t>
  </si>
  <si>
    <t>X000KM2B1H</t>
  </si>
  <si>
    <t>WC-EA-NW</t>
  </si>
  <si>
    <t>X000KIW5W1</t>
  </si>
  <si>
    <t>WC-EA-RW</t>
  </si>
  <si>
    <t>X000KIW247</t>
  </si>
  <si>
    <t>WC-EA-WR</t>
  </si>
  <si>
    <t>X000KHEJI5</t>
  </si>
  <si>
    <t>S-BR-6IL</t>
  </si>
  <si>
    <t>X001KAVHSB</t>
  </si>
  <si>
    <t>S-BR-6IW</t>
  </si>
  <si>
    <t>X001LDXVQD</t>
  </si>
  <si>
    <t>TU-CRL-W-HB</t>
  </si>
  <si>
    <t>X0012TRD1F</t>
  </si>
  <si>
    <t>BTS-LGC-8C2</t>
  </si>
  <si>
    <t>X000VKT7XX</t>
  </si>
  <si>
    <t>BTS-LGC-8H2</t>
  </si>
  <si>
    <t>X000VK4LE3</t>
  </si>
  <si>
    <t>BTS-LG-18H2</t>
  </si>
  <si>
    <t>X000VKJF3Z</t>
  </si>
  <si>
    <t>TU-RG-SW</t>
  </si>
  <si>
    <t>X000V6MMU7</t>
  </si>
  <si>
    <t>TU-RG-SL</t>
  </si>
  <si>
    <t>X000V2JKKV</t>
  </si>
  <si>
    <t>RG-SN-NR-P3</t>
  </si>
  <si>
    <t>X000NJEFW5</t>
  </si>
  <si>
    <t>RG-WH-SW-W4</t>
  </si>
  <si>
    <t>X000NH96WB</t>
  </si>
  <si>
    <t>RG-WH-SW-W6</t>
  </si>
  <si>
    <t>X000MRNKFB</t>
  </si>
  <si>
    <t>RG-WSC-SW-W12</t>
  </si>
  <si>
    <t>X000NJPMXB</t>
  </si>
  <si>
    <t>RG-WS-SW-W24</t>
  </si>
  <si>
    <t>X000TZXHHR</t>
  </si>
  <si>
    <t>O3-W0N7-3TUM</t>
  </si>
  <si>
    <t>X000MRNT6L</t>
  </si>
  <si>
    <t>MG-0WK9-5XQY</t>
  </si>
  <si>
    <t>X000MRNKGP</t>
  </si>
  <si>
    <t>RG-WS-SW-W30</t>
  </si>
  <si>
    <t>X000TZYWHV</t>
  </si>
  <si>
    <t>RG-WS-SW-W18</t>
  </si>
  <si>
    <t>X000MRHNV3</t>
  </si>
  <si>
    <t>TU-NVH-W-HB</t>
  </si>
  <si>
    <t>X0012TRFCR</t>
  </si>
  <si>
    <t>LT-MR-B</t>
  </si>
  <si>
    <t>X000KM449T</t>
  </si>
  <si>
    <t>TU-NVH-MW</t>
  </si>
  <si>
    <t>NF</t>
  </si>
  <si>
    <t>X0018PR6XN</t>
  </si>
  <si>
    <t>B08CXPTT6H</t>
  </si>
  <si>
    <t>TVUFUDQ8TFZCRT2Z</t>
  </si>
  <si>
    <t>LSTTVUFUDQ8TFZCRT2Z13L3YP</t>
  </si>
  <si>
    <t>FVSGAV33WN20538</t>
  </si>
  <si>
    <t>FN1987994-S-PM39235</t>
  </si>
  <si>
    <t>TU-NVH-W</t>
  </si>
  <si>
    <t>X000VE2MP9</t>
  </si>
  <si>
    <t>B07D7X3TVW</t>
  </si>
  <si>
    <t>FVSGAV33WN20539</t>
  </si>
  <si>
    <t>FN1991922-S-PM39235</t>
  </si>
  <si>
    <t>CMB-AROSN-W</t>
  </si>
  <si>
    <t>X0014GMOGF</t>
  </si>
  <si>
    <t>RG-SN-TH-IV</t>
  </si>
  <si>
    <t>X000ZAY1BR</t>
  </si>
  <si>
    <t>S-TW10-16S2</t>
  </si>
  <si>
    <t>X000KJ2N8V</t>
  </si>
  <si>
    <t>S-TW12-20S2</t>
  </si>
  <si>
    <t>X000KI77V5</t>
  </si>
  <si>
    <t>S-TW15-S3</t>
  </si>
  <si>
    <t>X000KI65VN</t>
  </si>
  <si>
    <t>S-TW15-16S2</t>
  </si>
  <si>
    <t>X000KJ2LZL</t>
  </si>
  <si>
    <t>S-TP15-12S2</t>
  </si>
  <si>
    <t>X000KKFESB</t>
  </si>
  <si>
    <t>S-BR-4W-R1</t>
  </si>
  <si>
    <t>X0019RWF8B</t>
  </si>
  <si>
    <t>WV-MT-30</t>
  </si>
  <si>
    <t>X000T7KQF1</t>
  </si>
  <si>
    <t>PC-AY-SW</t>
  </si>
  <si>
    <t>X000UEW151</t>
  </si>
  <si>
    <t>RG-PC-4</t>
  </si>
  <si>
    <t>X000T75U0H</t>
  </si>
  <si>
    <t>RG-PC-6</t>
  </si>
  <si>
    <t>X000T75U0R</t>
  </si>
  <si>
    <t>PC-AY-LW-R1</t>
  </si>
  <si>
    <t>X001K2GRXJ</t>
  </si>
  <si>
    <t>S-TP10-16S2</t>
  </si>
  <si>
    <t>X000KI76QB</t>
  </si>
  <si>
    <t>S-TP12-12S2</t>
  </si>
  <si>
    <t>X000KM44AD</t>
  </si>
  <si>
    <t>S-TP12-20S2</t>
  </si>
  <si>
    <t>X000KM2AX1</t>
  </si>
  <si>
    <t>S-TP12-8S3</t>
  </si>
  <si>
    <t>X000KIW23N</t>
  </si>
  <si>
    <t>S-TP15-16S2</t>
  </si>
  <si>
    <t>X000KJ2N8L</t>
  </si>
  <si>
    <t>S-TW10-12S2</t>
  </si>
  <si>
    <t>X000KIR6LB</t>
  </si>
  <si>
    <t>S-TW10-S4</t>
  </si>
  <si>
    <t>X000KKFEOP</t>
  </si>
  <si>
    <t>S-TW12-S4-R1</t>
  </si>
  <si>
    <t>X000UF90CH</t>
  </si>
  <si>
    <t>S-TP15-S3</t>
  </si>
  <si>
    <t>X000KKFESL</t>
  </si>
  <si>
    <t>S-TW10-8S3</t>
  </si>
  <si>
    <t>X000KKFEOZ</t>
  </si>
  <si>
    <t>S-TW15-20S2</t>
  </si>
  <si>
    <t>X000KI695Z</t>
  </si>
  <si>
    <t>S-TW10-20S2</t>
  </si>
  <si>
    <t>X000KI695F</t>
  </si>
  <si>
    <t>S-TW15-12S2</t>
  </si>
  <si>
    <t>X000KIW5V7</t>
  </si>
  <si>
    <t>S-TP10-12S2</t>
  </si>
  <si>
    <t>X000KHEJH1</t>
  </si>
  <si>
    <t>S-TP10-20S2</t>
  </si>
  <si>
    <t>X000KI77VF</t>
  </si>
  <si>
    <t>S-TP10-8S3</t>
  </si>
  <si>
    <t>X000KHEJJ9</t>
  </si>
  <si>
    <t>S-TP12-16S2</t>
  </si>
  <si>
    <t>X000KIW5VH</t>
  </si>
  <si>
    <t>SL-VE-L18</t>
  </si>
  <si>
    <t>X000PSRTRH</t>
  </si>
  <si>
    <t>SL-VE-L24</t>
  </si>
  <si>
    <t>X000PRZ0RJ</t>
  </si>
  <si>
    <t>SL-VE-W24</t>
  </si>
  <si>
    <t>X000PRZ6RX</t>
  </si>
  <si>
    <t>CS-VW-SR4</t>
  </si>
  <si>
    <t>CS-VW-4</t>
  </si>
  <si>
    <t>X000KHEJHV</t>
  </si>
  <si>
    <t>CS-VW-SR6</t>
  </si>
  <si>
    <t>CS-VW-6</t>
  </si>
  <si>
    <t>X000KM4499</t>
  </si>
  <si>
    <t>KH-VD-GS</t>
  </si>
  <si>
    <t>X000PRZ6Z5</t>
  </si>
  <si>
    <t>RG-KH-SW-WS</t>
  </si>
  <si>
    <t>X000MRNKF1</t>
  </si>
  <si>
    <t>S-TCW-8P4</t>
  </si>
  <si>
    <t>X000WXVM8H</t>
  </si>
  <si>
    <t>RSFFC8HW6EWJDWTC</t>
  </si>
  <si>
    <t>LSTRSFFC8HW6EWJDWTCKLMPHO</t>
  </si>
  <si>
    <t>S-TCW-S3</t>
  </si>
  <si>
    <t>X000KHEJHL</t>
  </si>
  <si>
    <t>S-SBP-S3</t>
  </si>
  <si>
    <t>X000KM44AN</t>
  </si>
  <si>
    <t>SB-SML-W</t>
  </si>
  <si>
    <t>X000ZS2TAJ</t>
  </si>
  <si>
    <t>PC-SM-LL</t>
  </si>
  <si>
    <t>X000V77UD5</t>
  </si>
  <si>
    <t>PC-SM-SL</t>
  </si>
  <si>
    <t>X000V77GJN</t>
  </si>
  <si>
    <t>RH-SU-R4</t>
  </si>
  <si>
    <t>X000KHEJFN</t>
  </si>
  <si>
    <t>RH-SU-W2-P2</t>
  </si>
  <si>
    <t>X000KIR6M5</t>
  </si>
  <si>
    <t>B019H7IT4U</t>
  </si>
  <si>
    <t>RH-SU-W4</t>
  </si>
  <si>
    <t>X000KM448F</t>
  </si>
  <si>
    <t>RH-SU-P2</t>
  </si>
  <si>
    <t>X000KM2AVD</t>
  </si>
  <si>
    <t>SL-TY-L3</t>
  </si>
  <si>
    <t>X000PSRWXN</t>
  </si>
  <si>
    <t>SL-TY-W3</t>
  </si>
  <si>
    <t>X000PSRCAB</t>
  </si>
  <si>
    <t>SL-TY-BB</t>
  </si>
  <si>
    <t>X000PSRWVP</t>
  </si>
  <si>
    <t>RD-AW-TL</t>
  </si>
  <si>
    <t>X000KM2B21</t>
  </si>
  <si>
    <t>RD-AW-GL</t>
  </si>
  <si>
    <t>X000KIR58P</t>
  </si>
  <si>
    <t>RD-AW-ST</t>
  </si>
  <si>
    <t>X000KKFEPT</t>
  </si>
  <si>
    <t>RD-AW-NR</t>
  </si>
  <si>
    <t>X000KKFENL</t>
  </si>
  <si>
    <t>CT-DOV-DB</t>
  </si>
  <si>
    <t>X001KJ2E6L</t>
  </si>
  <si>
    <t>B09YRN346K</t>
  </si>
  <si>
    <t>FVTBCF33BB20624</t>
  </si>
  <si>
    <t>FN2030344-S-PM39235</t>
  </si>
  <si>
    <t>SR-DI-L2</t>
  </si>
  <si>
    <t>X000LKMUXR</t>
  </si>
  <si>
    <t>SR-DI-L4</t>
  </si>
  <si>
    <t>X000LJ0CGZ</t>
  </si>
  <si>
    <t>SR-DI-W2</t>
  </si>
  <si>
    <t>X000LJ0CGP</t>
  </si>
  <si>
    <t>SR-DI-W4</t>
  </si>
  <si>
    <t>X000LINEYX</t>
  </si>
  <si>
    <t>RT-FR-D</t>
  </si>
  <si>
    <t>X0020MDVFF</t>
  </si>
  <si>
    <t>B0CKSWMDJM</t>
  </si>
  <si>
    <t>FN2194301-S-PM39235</t>
  </si>
  <si>
    <t>ST-GSE-WMNF</t>
  </si>
  <si>
    <t>X001EQA3IB</t>
  </si>
  <si>
    <t>B099DK8HVT</t>
  </si>
  <si>
    <t>OSTG5CHZVKXYHFRG</t>
  </si>
  <si>
    <t>LSTOSTG5CHZVKXYHFRGWMFKVB</t>
  </si>
  <si>
    <t>FVTBST33WH20598</t>
  </si>
  <si>
    <t>FN1991985-S-PM39235</t>
  </si>
  <si>
    <t>SL-TY-WB</t>
  </si>
  <si>
    <t>SL-TY-W</t>
  </si>
  <si>
    <t>X000PSRCD3</t>
  </si>
  <si>
    <t>B06VWV8TR6</t>
  </si>
  <si>
    <t>FVSGCB33BR25055</t>
  </si>
  <si>
    <t>FN2030307-S-PM39235</t>
  </si>
  <si>
    <t>X000PRZ79Z</t>
  </si>
  <si>
    <t>M-AK-SL</t>
  </si>
  <si>
    <t>X000PRZ6SH</t>
  </si>
  <si>
    <t>M-AK-SW</t>
  </si>
  <si>
    <t>X000PRZ6QT</t>
  </si>
  <si>
    <t>M-AK-BW</t>
  </si>
  <si>
    <t>X000PRZ7BN</t>
  </si>
  <si>
    <t>B06VWM9ZSX</t>
  </si>
  <si>
    <t>DTBFZ4RPUPNDZHD6</t>
  </si>
  <si>
    <t>LSTDTBFZ4RPUPNDZHD6RCVRGT</t>
  </si>
  <si>
    <t>FVTBDS33BR20495</t>
  </si>
  <si>
    <t>FN1991908-S-PM39235</t>
  </si>
  <si>
    <t>M-AK-BL</t>
  </si>
  <si>
    <t>X000PRZ0SD</t>
  </si>
  <si>
    <t>B06WLNKN2W</t>
  </si>
  <si>
    <t>FVTBDS33BE20494</t>
  </si>
  <si>
    <t>FN1991949-S-PM39235</t>
  </si>
  <si>
    <t>S-BR-6W-R1</t>
  </si>
  <si>
    <t>S-BR-F6L-R1</t>
  </si>
  <si>
    <t>S-BR-6L-R1</t>
  </si>
  <si>
    <t>S-BR-4IW</t>
  </si>
  <si>
    <t>X001KFHDF7</t>
  </si>
  <si>
    <t>S-BR-4IL</t>
  </si>
  <si>
    <t>X001K6XBBL</t>
  </si>
  <si>
    <t>SB-CS-LAW-R1</t>
  </si>
  <si>
    <t>X0020U9ZVV</t>
  </si>
  <si>
    <t>SB-CS-ISTW</t>
  </si>
  <si>
    <t>X001KISZ0V</t>
  </si>
  <si>
    <t>SB-CS-ILAW</t>
  </si>
  <si>
    <t>X001MDF05H</t>
  </si>
  <si>
    <t>TU-CBR-STW-R1</t>
  </si>
  <si>
    <t>X001G75GJJ</t>
  </si>
  <si>
    <t>FT-EDR.P-LF-R1</t>
  </si>
  <si>
    <t>FT-EDR.P-WF-R1</t>
  </si>
  <si>
    <t>X0020U1PX7</t>
  </si>
  <si>
    <t>TU-KU-W-R1</t>
  </si>
  <si>
    <t>X001OZCOP7</t>
  </si>
  <si>
    <t>CT-LE-W-R1</t>
  </si>
  <si>
    <t>X001JL87X9</t>
  </si>
  <si>
    <t>S-LO-IW</t>
  </si>
  <si>
    <t>X001M66ID7</t>
  </si>
  <si>
    <t>RD-AW-SS-R1</t>
  </si>
  <si>
    <t>X001APTQX9</t>
  </si>
  <si>
    <t>RD-AW-SS</t>
  </si>
  <si>
    <t>X000KI77W9</t>
  </si>
  <si>
    <t>B00Y0O2SA2</t>
  </si>
  <si>
    <t>FVSGCB33BR25137</t>
  </si>
  <si>
    <t>RD-AW-TM-R1</t>
  </si>
  <si>
    <t>X001APSWIJ</t>
  </si>
  <si>
    <t>RD-AW-TM</t>
  </si>
  <si>
    <t>X000KM44CV</t>
  </si>
  <si>
    <t>B00Y2P7X0E</t>
  </si>
  <si>
    <t>FVSGCB33BR25138</t>
  </si>
  <si>
    <t>RD-AW-SR-R1</t>
  </si>
  <si>
    <t>X001AS5ST7</t>
  </si>
  <si>
    <t>RD-AW-SE-R1</t>
  </si>
  <si>
    <t>X001APSRMF</t>
  </si>
  <si>
    <t>S-RY-IL</t>
  </si>
  <si>
    <t>X001K2JAGZ</t>
  </si>
  <si>
    <t>S-RY-IW</t>
  </si>
  <si>
    <t>X001K39FTV</t>
  </si>
  <si>
    <t>SB-SN-NW-R1</t>
  </si>
  <si>
    <t>X001JJ1IWD</t>
  </si>
  <si>
    <t>S-SBW-S3-R1</t>
  </si>
  <si>
    <t>RD-AW-CD-R1</t>
  </si>
  <si>
    <t>X001APUD4F</t>
  </si>
  <si>
    <t>RD-AW-SR</t>
  </si>
  <si>
    <t>X000KM29JL</t>
  </si>
  <si>
    <t>PLLEAD5HJECGGXGX</t>
  </si>
  <si>
    <t>LSTPLLEAD5HJECGGXGXWXXYE4</t>
  </si>
  <si>
    <t>RD-AW-CD</t>
  </si>
  <si>
    <t>X000KM2AWR</t>
  </si>
  <si>
    <t>B00Y0W63AK</t>
  </si>
  <si>
    <t>FVSGCB33BR25135</t>
  </si>
  <si>
    <t>TU-TP-L</t>
  </si>
  <si>
    <t>X000UU89ZL</t>
  </si>
  <si>
    <t>B07CY1C2XH</t>
  </si>
  <si>
    <t>FVTBAV33BR70804</t>
  </si>
  <si>
    <t>S-TW-16S2</t>
  </si>
  <si>
    <t>S-T-16S2</t>
  </si>
  <si>
    <t>X000V2JIYT</t>
  </si>
  <si>
    <t>B07CZKT5VY</t>
  </si>
  <si>
    <t>FVSGCB33WG25108</t>
  </si>
  <si>
    <t>S-TL-16S2</t>
  </si>
  <si>
    <t>X000V35H75</t>
  </si>
  <si>
    <t>B07CZL7Y8V</t>
  </si>
  <si>
    <t>RSFFC8JHJBDQSNPG</t>
  </si>
  <si>
    <t>LSTRSFFC8JHJBDQSNPGCOON5J</t>
  </si>
  <si>
    <t>FVSGCB33WL25106</t>
  </si>
  <si>
    <t>S-TL-16S4</t>
  </si>
  <si>
    <t>X000V62KVX</t>
  </si>
  <si>
    <t>B07CZLTFBK</t>
  </si>
  <si>
    <t>FVSGCB33WL25107</t>
  </si>
  <si>
    <t>DE1994900-S-PM39397</t>
  </si>
  <si>
    <t>RH-SU-B2-P2</t>
  </si>
  <si>
    <t>X000KIR5DZ</t>
  </si>
  <si>
    <t>B019H76I8E</t>
  </si>
  <si>
    <t>DKOEGZG9XAX5ZZCP</t>
  </si>
  <si>
    <t>LSTDKOEGZG9XAX5ZZCPWPE7IQ</t>
  </si>
  <si>
    <t>RH-SU-B4</t>
  </si>
  <si>
    <t>X000KI65VX</t>
  </si>
  <si>
    <t>B019H3R35K</t>
  </si>
  <si>
    <t>CT-NO-SQL-R1</t>
  </si>
  <si>
    <t>CT-NO-SQW-R1</t>
  </si>
  <si>
    <t>X001JKAZOJ</t>
  </si>
  <si>
    <t>S-TW12-8S3</t>
  </si>
  <si>
    <t>X000KIW5WB</t>
  </si>
  <si>
    <t>RT-T2-W</t>
  </si>
  <si>
    <t>X000VZL0PL</t>
  </si>
  <si>
    <t>X001UJVAWP</t>
  </si>
  <si>
    <t>B0CBV36W2Y</t>
  </si>
  <si>
    <t>S-AO-B5</t>
  </si>
  <si>
    <t>X000KM448Z</t>
  </si>
  <si>
    <t>SB-AXA-L52</t>
  </si>
  <si>
    <t>X000MLB6JT</t>
  </si>
  <si>
    <t>B01N0O8L3B</t>
  </si>
  <si>
    <t>BSFEWERVWMJHYNUZ</t>
  </si>
  <si>
    <t>LSTBSFEWERVWMJHYNUZHC89PM</t>
  </si>
  <si>
    <t>FVSGBR33WA20565</t>
  </si>
  <si>
    <t>FN1991892-S-PM39235</t>
  </si>
  <si>
    <t>SB-AXA-L2</t>
  </si>
  <si>
    <t>X000MOE4FT</t>
  </si>
  <si>
    <t>SB-AXA-L31</t>
  </si>
  <si>
    <t>X000MOE4I1</t>
  </si>
  <si>
    <t>SB-AXA-W2</t>
  </si>
  <si>
    <t>X000MLS0JX</t>
  </si>
  <si>
    <t>SB-AXA-W32</t>
  </si>
  <si>
    <t>X000MNKRZB</t>
  </si>
  <si>
    <t>SB-AXA-W31</t>
  </si>
  <si>
    <t>X000MLS0K7</t>
  </si>
  <si>
    <t>S-AX-W</t>
  </si>
  <si>
    <t>X000KI7BIJ</t>
  </si>
  <si>
    <t>S-BR-F6W-R1</t>
  </si>
  <si>
    <t>X001G7S2L3</t>
  </si>
  <si>
    <t>SB-CS-L</t>
  </si>
  <si>
    <t>X000VK4LG1</t>
  </si>
  <si>
    <t>SB-CS-W</t>
  </si>
  <si>
    <t>X000VK4JAJ</t>
  </si>
  <si>
    <t>TU-CRL-W</t>
  </si>
  <si>
    <t>X0011DP0QH</t>
  </si>
  <si>
    <t>B07N3WCZFH</t>
  </si>
  <si>
    <t>FVSGAV33WN20518</t>
  </si>
  <si>
    <t>FN1991896-S-PM39235</t>
  </si>
  <si>
    <t>S-CL-K</t>
  </si>
  <si>
    <t>X000V77HEH</t>
  </si>
  <si>
    <t>TU-CBR-STW</t>
  </si>
  <si>
    <t>X000VZL1K5</t>
  </si>
  <si>
    <t>TVUFC9NDNEWFHBU5</t>
  </si>
  <si>
    <t>LSTTVUFC9NDNEWFHBU5OVLIAB</t>
  </si>
  <si>
    <t>FVSGAV33WN20517</t>
  </si>
  <si>
    <t>FN1991930-S-PM39235</t>
  </si>
  <si>
    <t>LT-ED-R</t>
  </si>
  <si>
    <t>X000KM2B0X</t>
  </si>
  <si>
    <t>S-ED-L</t>
  </si>
  <si>
    <t>X000V77R5V</t>
  </si>
  <si>
    <t>S-ED-W</t>
  </si>
  <si>
    <t>X000V77UCV</t>
  </si>
  <si>
    <t>LT-FN-WF</t>
  </si>
  <si>
    <t>X001JYZS1P</t>
  </si>
  <si>
    <t>RT-FR-L</t>
  </si>
  <si>
    <t>X000PSRCAV</t>
  </si>
  <si>
    <t>B06WRTX8QV</t>
  </si>
  <si>
    <t>FVTBDS33BE20499</t>
  </si>
  <si>
    <t>FN1991898-S-PM39235</t>
  </si>
  <si>
    <t>WC-GA-R12</t>
  </si>
  <si>
    <t>X000KI6ASV</t>
  </si>
  <si>
    <t>ST-HES-B</t>
  </si>
  <si>
    <t>X000LJCQVT</t>
  </si>
  <si>
    <t>BT-LE-LB</t>
  </si>
  <si>
    <t>X000PSRCDN</t>
  </si>
  <si>
    <t>BT-LE-LS</t>
  </si>
  <si>
    <t>X000PSRWY7</t>
  </si>
  <si>
    <t>S-LO-B5</t>
  </si>
  <si>
    <t>X000KI79VD</t>
  </si>
  <si>
    <t>S-MOL-W</t>
  </si>
  <si>
    <t>X001EQMFYL</t>
  </si>
  <si>
    <t>RH-OT-LW</t>
  </si>
  <si>
    <t>X000PRV16D</t>
  </si>
  <si>
    <t>S-CK-N2</t>
  </si>
  <si>
    <t>X000KI6ASL</t>
  </si>
  <si>
    <t>S-TW12-12S2</t>
  </si>
  <si>
    <t>X000KM4377</t>
  </si>
  <si>
    <t>S-TCW-6P2</t>
  </si>
  <si>
    <t>X000KI77UB</t>
  </si>
  <si>
    <t>SB-WA-WML</t>
  </si>
  <si>
    <t>X000VEIXN9</t>
  </si>
  <si>
    <t>S-BR-4L</t>
  </si>
  <si>
    <t>X000VZLXPD</t>
  </si>
  <si>
    <t>B07D4HW5BG</t>
  </si>
  <si>
    <t>DE1994911-S-PM39397</t>
  </si>
  <si>
    <t>S-BR-4W</t>
  </si>
  <si>
    <t>X000VZL0PB</t>
  </si>
  <si>
    <t>B07D4HN2PX</t>
  </si>
  <si>
    <t>DE1994907-S-PM39397</t>
  </si>
  <si>
    <t>TS-NL-AW</t>
  </si>
  <si>
    <t>X000VZKQ1P</t>
  </si>
  <si>
    <t>B07D1MM9SM</t>
  </si>
  <si>
    <t>FVSGCB33BR25061</t>
  </si>
  <si>
    <t>TS-NL-AW-R1</t>
  </si>
  <si>
    <t>X001UJTW1V</t>
  </si>
  <si>
    <t>RT-DNL-W</t>
  </si>
  <si>
    <t>X0010YMLQT</t>
  </si>
  <si>
    <t>RT-DNL-L</t>
  </si>
  <si>
    <t>X0011U1UQT</t>
  </si>
  <si>
    <t>BT-ML-W</t>
  </si>
  <si>
    <t>X000VZLUAL</t>
  </si>
  <si>
    <t>CT-ML-RTW</t>
  </si>
  <si>
    <t>X000VZLZFV</t>
  </si>
  <si>
    <t>CT-ML-SQW</t>
  </si>
  <si>
    <t>X000VZLUAV</t>
  </si>
  <si>
    <t>LT-ML-W</t>
  </si>
  <si>
    <t>X000UCT5FH</t>
  </si>
  <si>
    <t>TU-ML-W</t>
  </si>
  <si>
    <t>X000VZKQ1Z</t>
  </si>
  <si>
    <t>WV-LT-ST</t>
  </si>
  <si>
    <t>X000T7KQER</t>
  </si>
  <si>
    <t>RT-T2-L</t>
  </si>
  <si>
    <t>X000VZLZFL</t>
  </si>
  <si>
    <t>TU-VL-W</t>
  </si>
  <si>
    <t>X001DXFDAD</t>
  </si>
  <si>
    <t>W-AND-12NLF</t>
  </si>
  <si>
    <t>X001YXXQK1</t>
  </si>
  <si>
    <t>WCLGG2F2GGNRK9RQ</t>
  </si>
  <si>
    <t>LSTWCLGG2F2GGNRK9RQP8JFKR</t>
  </si>
  <si>
    <t>FVSGSR33BR71084</t>
  </si>
  <si>
    <t>FN2087159-S-PM39235</t>
  </si>
  <si>
    <t>SB-CB-CC</t>
  </si>
  <si>
    <t>X001YSPS3J</t>
  </si>
  <si>
    <t>B0CT3DKXDX</t>
  </si>
  <si>
    <t>X001YSHDUP</t>
  </si>
  <si>
    <t>B0CG3JYC7K</t>
  </si>
  <si>
    <t>X0020UXAWL</t>
  </si>
  <si>
    <t>SR-OLY-FL</t>
  </si>
  <si>
    <t>X001YXZYGP</t>
  </si>
  <si>
    <t>CSDGDC3VKYRZUGDS</t>
  </si>
  <si>
    <t>LSTCSDGDC3VKYRZUGDSYVCWQ1</t>
  </si>
  <si>
    <t>FVSGSR33WW20619</t>
  </si>
  <si>
    <t>FN1991965-S-PM39235</t>
  </si>
  <si>
    <t>SB-SN-DLF</t>
  </si>
  <si>
    <t>X001YSHDU5</t>
  </si>
  <si>
    <t>B0CDCKDVKB</t>
  </si>
  <si>
    <t>TU-SKD-CCF</t>
  </si>
  <si>
    <t>X0020KIFV7</t>
  </si>
  <si>
    <t>SB-AA-WB</t>
  </si>
  <si>
    <t>X000KIR5CL</t>
  </si>
  <si>
    <t>B019HADA8M</t>
  </si>
  <si>
    <t>BSFEUZGEFDTFTKGR</t>
  </si>
  <si>
    <t>LSTBSFEUZGEFDTFTKGRFYQNNF</t>
  </si>
  <si>
    <t>FVSGCB33WG25112</t>
  </si>
  <si>
    <t>DE1994893-S-PM39397</t>
  </si>
  <si>
    <t>S-AO-L5</t>
  </si>
  <si>
    <t>X000KM2AXB</t>
  </si>
  <si>
    <t>B01FO8MZS2</t>
  </si>
  <si>
    <t>BSFEUPA8J56WDZQH</t>
  </si>
  <si>
    <t>LSTBSFEUPA8J56WDZQHU3JHHH</t>
  </si>
  <si>
    <t>FVSGCB33WL25071</t>
  </si>
  <si>
    <t>DE1994894-S-PM39397</t>
  </si>
  <si>
    <t>TU-ARO</t>
  </si>
  <si>
    <t>X001G7W3IV</t>
  </si>
  <si>
    <t>TU-ARO-W</t>
  </si>
  <si>
    <t>X000VDXV9B</t>
  </si>
  <si>
    <t>B07FLLMG95</t>
  </si>
  <si>
    <t>FVSGAV33WN20514</t>
  </si>
  <si>
    <t>FN1991932-S-PM39235</t>
  </si>
  <si>
    <t>TU-ARO-FW</t>
  </si>
  <si>
    <t>X0017LLZW1</t>
  </si>
  <si>
    <t>B08DHFL16Q</t>
  </si>
  <si>
    <t>FVSGAV33WH20512</t>
  </si>
  <si>
    <t>FN1991963-S-PM39235</t>
  </si>
  <si>
    <t>S-AI-F</t>
  </si>
  <si>
    <t>X001EK36M7</t>
  </si>
  <si>
    <t>B099DRFP25</t>
  </si>
  <si>
    <t>BSFG53CPKBCFMFY4</t>
  </si>
  <si>
    <t>LSTBSFG53CPKBCFMFY4O99VYJ</t>
  </si>
  <si>
    <t>FVSGCB33WH25068</t>
  </si>
  <si>
    <t>S-AB-L4</t>
  </si>
  <si>
    <t>X000LKN9TB</t>
  </si>
  <si>
    <t>B01FOA3OOE</t>
  </si>
  <si>
    <t>FVSGCB33WL25064</t>
  </si>
  <si>
    <t>DE1994892-S-PM39397</t>
  </si>
  <si>
    <t>S-AE-L6</t>
  </si>
  <si>
    <t>X000LKN9T1</t>
  </si>
  <si>
    <t>B01FOAUY4C</t>
  </si>
  <si>
    <t>FVSGCB33WL25066</t>
  </si>
  <si>
    <t>SB-AXA-L51</t>
  </si>
  <si>
    <t>X000MLB6KD</t>
  </si>
  <si>
    <t>B01MSWIS4S</t>
  </si>
  <si>
    <t>FVSGBR33WA20564</t>
  </si>
  <si>
    <t>FN1991918-S-PM39235</t>
  </si>
  <si>
    <t>SB-AXA-L32</t>
  </si>
  <si>
    <t>X000MLUBKT</t>
  </si>
  <si>
    <t>SB-AL-2L</t>
  </si>
  <si>
    <t>X000V77OEZ</t>
  </si>
  <si>
    <t>B07D1KSSMJ</t>
  </si>
  <si>
    <t>BSFFYZEMF4BSGACX</t>
  </si>
  <si>
    <t>LSTBSFFYZEMF4BSGACXVCS9UD</t>
  </si>
  <si>
    <t>FVSGCB33WL25114</t>
  </si>
  <si>
    <t>SB-AL-2W</t>
  </si>
  <si>
    <t>X000UU50RL</t>
  </si>
  <si>
    <t>B07D1KXZQR</t>
  </si>
  <si>
    <t>FVSGCB33WG25115</t>
  </si>
  <si>
    <t>SB-AL-4L</t>
  </si>
  <si>
    <t>X000V77HE7</t>
  </si>
  <si>
    <t>B07D1KY2VF</t>
  </si>
  <si>
    <t>FVSGCB33WL25116</t>
  </si>
  <si>
    <t>SB-AL-4W</t>
  </si>
  <si>
    <t>X000V77OEP</t>
  </si>
  <si>
    <t>B07D1L928R</t>
  </si>
  <si>
    <t>FVSGCB33WG25117</t>
  </si>
  <si>
    <t>KH-AM-W</t>
  </si>
  <si>
    <t>X000KHEJGR</t>
  </si>
  <si>
    <t>B019HAOMBG</t>
  </si>
  <si>
    <t>KHREFZ4S6MHWBHQP</t>
  </si>
  <si>
    <t>LSTKHREFZ4S6MHWBHQP9VVRUV</t>
  </si>
  <si>
    <t>KH-AM-C</t>
  </si>
  <si>
    <t>X000KKFEQX</t>
  </si>
  <si>
    <t>TU-ATD-WF</t>
  </si>
  <si>
    <t>X001IFRA7F</t>
  </si>
  <si>
    <t>B09PYZB7N1</t>
  </si>
  <si>
    <t>FVSGAV33WN20515</t>
  </si>
  <si>
    <t>FN1991902-S-PM39235</t>
  </si>
  <si>
    <t>S-ATL-F</t>
  </si>
  <si>
    <t>X001EK3F0P</t>
  </si>
  <si>
    <t>B099DG7874</t>
  </si>
  <si>
    <t>BSFG53E7TUGZQHZS</t>
  </si>
  <si>
    <t>LSTBSFG53E7TUGZQHZSEAQFKU</t>
  </si>
  <si>
    <t>FVSGCB33WH25073</t>
  </si>
  <si>
    <t>DE1994916-S-PM39397</t>
  </si>
  <si>
    <t>S-ATL-IW</t>
  </si>
  <si>
    <t>X001L3M6WX</t>
  </si>
  <si>
    <t>FVSGCB33WG25074</t>
  </si>
  <si>
    <t>SB-CA-W</t>
  </si>
  <si>
    <t>X000KM44BH</t>
  </si>
  <si>
    <t>B019HBZ3U4</t>
  </si>
  <si>
    <t>FVSGCB33WG25119</t>
  </si>
  <si>
    <t>SB-CS-STL</t>
  </si>
  <si>
    <t>X000WO7QUJ</t>
  </si>
  <si>
    <t>B07FJWBP7F</t>
  </si>
  <si>
    <t>FVSGBR33WA20572</t>
  </si>
  <si>
    <t>DE1994896-S-PM39397</t>
  </si>
  <si>
    <t>SB-CS-STW</t>
  </si>
  <si>
    <t>X000WRS12N</t>
  </si>
  <si>
    <t>B07FJVXP1C</t>
  </si>
  <si>
    <t>FVSGBR33WN20573</t>
  </si>
  <si>
    <t>DE1994889-S-PM39397</t>
  </si>
  <si>
    <t>SB-CS-LAL</t>
  </si>
  <si>
    <t>X000WKMCMP</t>
  </si>
  <si>
    <t>B07D18362N</t>
  </si>
  <si>
    <t>FVSGBR33WA20570</t>
  </si>
  <si>
    <t>DE1994891-S-PM39397</t>
  </si>
  <si>
    <t>GH-CE-W</t>
  </si>
  <si>
    <t>X000V77HDX</t>
  </si>
  <si>
    <t>B07D18MY9C</t>
  </si>
  <si>
    <t>GH-CE-L</t>
  </si>
  <si>
    <t>X000VBY1OH</t>
  </si>
  <si>
    <t>B07D18BP5Z</t>
  </si>
  <si>
    <t>CT-CTA.P-LF</t>
  </si>
  <si>
    <t>X001XIE8JP</t>
  </si>
  <si>
    <t>B0C8J3HS1F</t>
  </si>
  <si>
    <t>ST-CND-LAW</t>
  </si>
  <si>
    <t>X001ESH7KL</t>
  </si>
  <si>
    <t>B07V7TQ1FS</t>
  </si>
  <si>
    <t>FVTBST33WN20590</t>
  </si>
  <si>
    <t>FN1988008-S-PM39235</t>
  </si>
  <si>
    <t>ST-CND-STW</t>
  </si>
  <si>
    <t>X001ESH2J7</t>
  </si>
  <si>
    <t>B07RV9RDK3</t>
  </si>
  <si>
    <t>OSTFGGYHZBEEAPPF</t>
  </si>
  <si>
    <t>LSTOSTFGGYHZBEEAPPFO7SLV5</t>
  </si>
  <si>
    <t>FVTBST33WN20591</t>
  </si>
  <si>
    <t>FN1991940-S-PM39235</t>
  </si>
  <si>
    <t>TU-CBR-LAW</t>
  </si>
  <si>
    <t>X000VZLXPN</t>
  </si>
  <si>
    <t>FVSGAV33WN20516</t>
  </si>
  <si>
    <t>FN1987992-S-PM39235</t>
  </si>
  <si>
    <t>TU-CBR-M</t>
  </si>
  <si>
    <t>X0020ML2SD</t>
  </si>
  <si>
    <t>S-ERA.P-WF</t>
  </si>
  <si>
    <t>X001SEAGDL</t>
  </si>
  <si>
    <t>B0C43SKZXZ</t>
  </si>
  <si>
    <t>BSFGPPCG6NDMWBHD</t>
  </si>
  <si>
    <t>LSTBSFGPPCG6NDMWBHD9WU8BC</t>
  </si>
  <si>
    <t>FN2117973-S-PM39235</t>
  </si>
  <si>
    <t>TU-ETY-LAW</t>
  </si>
  <si>
    <t>X001EQK85T</t>
  </si>
  <si>
    <t>TVUG5CJBAVVKRE6U</t>
  </si>
  <si>
    <t>LSTTVUG5CJBAVVKRE6UET1C2J</t>
  </si>
  <si>
    <t>FVSGAV33WN20521</t>
  </si>
  <si>
    <t>FN1991928-S-PM39235</t>
  </si>
  <si>
    <t>TU-ETY-MW</t>
  </si>
  <si>
    <t>X001K9V37R</t>
  </si>
  <si>
    <t>B09Y3D9Y2P</t>
  </si>
  <si>
    <t>FVSGAV33WN20523</t>
  </si>
  <si>
    <t>FN1991970-S-PM39235</t>
  </si>
  <si>
    <t>TU-ETY-MWF</t>
  </si>
  <si>
    <t>X001JZ26WD</t>
  </si>
  <si>
    <t>B09V86X23Z</t>
  </si>
  <si>
    <t>TVUGG8J8AC77GHFK</t>
  </si>
  <si>
    <t>LSTTVUGG8J8AC77GHFK4QBXGT</t>
  </si>
  <si>
    <t>FVSGAV33WW20524</t>
  </si>
  <si>
    <t>FN1991945-S-PM39235</t>
  </si>
  <si>
    <t>LT-FN-W</t>
  </si>
  <si>
    <t>X001K0SO7N</t>
  </si>
  <si>
    <t>B09YCSZBT9</t>
  </si>
  <si>
    <t>PLLGPRNXTHQUGZYW</t>
  </si>
  <si>
    <t>LSTPLLGPRNXTHQUGZYWRN6LGA</t>
  </si>
  <si>
    <t>FVSGCB33BR25131</t>
  </si>
  <si>
    <t>FN2030296-S-PM39235</t>
  </si>
  <si>
    <t>X000KKFEMH</t>
  </si>
  <si>
    <t>B019HC4EI0</t>
  </si>
  <si>
    <t>FVSGCB33WG25087</t>
  </si>
  <si>
    <t>DE1994904-S-PM39397</t>
  </si>
  <si>
    <t>DT-GRA-W</t>
  </si>
  <si>
    <t>X0016UZDWV</t>
  </si>
  <si>
    <t>B0894PQ3FB</t>
  </si>
  <si>
    <t>FVSGCB33BR25139</t>
  </si>
  <si>
    <t>LT-GRA-W</t>
  </si>
  <si>
    <t>X0016V0EUL</t>
  </si>
  <si>
    <t>B08998ZM6K</t>
  </si>
  <si>
    <t>FVSGCB33BR25132</t>
  </si>
  <si>
    <t>FN2030297-S-PM39235</t>
  </si>
  <si>
    <t>X001EK15Z7</t>
  </si>
  <si>
    <t>B099DBC81G</t>
  </si>
  <si>
    <t>OSTG5YYB35AA2DZ9</t>
  </si>
  <si>
    <t>LSTOSTG5YYB35AA2DZ9QUEY6R</t>
  </si>
  <si>
    <t>FVTBST33WN20601</t>
  </si>
  <si>
    <t>FN2030335-S-PM39235</t>
  </si>
  <si>
    <t>BT-HE-L</t>
  </si>
  <si>
    <t>X000V77J63</t>
  </si>
  <si>
    <t>B07D11LMGD</t>
  </si>
  <si>
    <t>FVTBSI33BE20483</t>
  </si>
  <si>
    <t>FN1991982-S-PM39235</t>
  </si>
  <si>
    <t>BT-HE-W</t>
  </si>
  <si>
    <t>X000V77M01</t>
  </si>
  <si>
    <t>B07D1178VK</t>
  </si>
  <si>
    <t>SITFC7HEAY7V4ZYW</t>
  </si>
  <si>
    <t>LSTSITFC7HEAY7V4ZYWPKEPUD</t>
  </si>
  <si>
    <t>FVTBSI33BR20484</t>
  </si>
  <si>
    <t>FN2030311-S-PM39235</t>
  </si>
  <si>
    <t>DT-HE-4L</t>
  </si>
  <si>
    <t>X000VBY1O7</t>
  </si>
  <si>
    <t>B07D3TBD8P</t>
  </si>
  <si>
    <t>FVTBDI33BE20506</t>
  </si>
  <si>
    <t>FN1991943-S-PM39235</t>
  </si>
  <si>
    <t>DT-HE-L</t>
  </si>
  <si>
    <t>X000V77R6F</t>
  </si>
  <si>
    <t>B07D12R25C</t>
  </si>
  <si>
    <t>FVTBDI33BE20508</t>
  </si>
  <si>
    <t>FN1991941-S-PM39235</t>
  </si>
  <si>
    <t>GH-IS-L</t>
  </si>
  <si>
    <t>X000VBY1NX</t>
  </si>
  <si>
    <t>B07D185D8R</t>
  </si>
  <si>
    <t>MGHFC89UZNQ47RQZ</t>
  </si>
  <si>
    <t>LSTMGHFC89UZNQ47RQZUGZJFJ</t>
  </si>
  <si>
    <t>DE2034592-S-PM39397</t>
  </si>
  <si>
    <t>KR-JSD-IW</t>
  </si>
  <si>
    <t>X001K4JL9T</t>
  </si>
  <si>
    <t>B09XHZB43S</t>
  </si>
  <si>
    <t>S-JVS-IW</t>
  </si>
  <si>
    <t>X001L8RO93</t>
  </si>
  <si>
    <t>TU-KU-W</t>
  </si>
  <si>
    <t>X000VFWJ65</t>
  </si>
  <si>
    <t>B07D7VHCPG</t>
  </si>
  <si>
    <t>FVSGAV33WN20532</t>
  </si>
  <si>
    <t>FN2030341-S-PM39235</t>
  </si>
  <si>
    <t>SB-LGN-MF</t>
  </si>
  <si>
    <t>X0023CLHC1</t>
  </si>
  <si>
    <t>B0DB286YN8</t>
  </si>
  <si>
    <t>SB-LGN.P-LF</t>
  </si>
  <si>
    <t>SB-LGN.P</t>
  </si>
  <si>
    <t>X001SQ6P57</t>
  </si>
  <si>
    <t>B0C43PHLYC</t>
  </si>
  <si>
    <t>BSFGPPC4F9ADXFHG</t>
  </si>
  <si>
    <t>LSTBSFGPPC4F9ADXFHGWRUF3H</t>
  </si>
  <si>
    <t>FN2117970-S-PM39235</t>
  </si>
  <si>
    <t>SR-LRL-W</t>
  </si>
  <si>
    <t>X001C6PAYP</t>
  </si>
  <si>
    <t>B08XKH7P3V</t>
  </si>
  <si>
    <t>FVSGSR33WN20617</t>
  </si>
  <si>
    <t>FN1991972-S-PM39235</t>
  </si>
  <si>
    <t>BT-LE-WB</t>
  </si>
  <si>
    <t>X000PSRTR7</t>
  </si>
  <si>
    <t>B06WLN4FCS</t>
  </si>
  <si>
    <t>FVTBSI33BR20485</t>
  </si>
  <si>
    <t>FN1991977-S-PM39235</t>
  </si>
  <si>
    <t>CT-LE-L</t>
  </si>
  <si>
    <t>X000PRUWXB</t>
  </si>
  <si>
    <t>CFTEUSK9SEARWHA4</t>
  </si>
  <si>
    <t>LSTCFTEUSK9SEARWHA4N75Q2I</t>
  </si>
  <si>
    <t>FVTBCF33WA20637</t>
  </si>
  <si>
    <t>FN1991917-S-PM39235</t>
  </si>
  <si>
    <t>BT-LE-WS</t>
  </si>
  <si>
    <t>X000PRV14P</t>
  </si>
  <si>
    <t>B06VWM8J25</t>
  </si>
  <si>
    <t>FN1991981-S-PM39235</t>
  </si>
  <si>
    <t>TU-LE-L</t>
  </si>
  <si>
    <t>X000PSRZ21</t>
  </si>
  <si>
    <t>B06WGS759C</t>
  </si>
  <si>
    <t>FVSGAV33WA20535</t>
  </si>
  <si>
    <t>FN1991927-S-PM39235</t>
  </si>
  <si>
    <t>TU-LE-W</t>
  </si>
  <si>
    <t>X000PRZ0UV</t>
  </si>
  <si>
    <t>FVSGAV33WN20536</t>
  </si>
  <si>
    <t>FN1991911-S-PM39235</t>
  </si>
  <si>
    <t>S-LC-L</t>
  </si>
  <si>
    <t>X000V6M8QP</t>
  </si>
  <si>
    <t>B07D1QWS5J</t>
  </si>
  <si>
    <t>RSFFBR4ND8DCEYPD</t>
  </si>
  <si>
    <t>LSTRSFFBR4ND8DCEYPDYAKQUX</t>
  </si>
  <si>
    <t>FVSGCB33WL25090</t>
  </si>
  <si>
    <t>S-LC-W</t>
  </si>
  <si>
    <t>X000V6MHST</t>
  </si>
  <si>
    <t>B07CZCN67H</t>
  </si>
  <si>
    <t>RSFFC8GAGRBKPGPH</t>
  </si>
  <si>
    <t>LSTRSFFC8GAGRBKPGPHPMETXG</t>
  </si>
  <si>
    <t>FVSGCB33WG25091</t>
  </si>
  <si>
    <t>TU-MA-LAWF</t>
  </si>
  <si>
    <t>X001Q76C29</t>
  </si>
  <si>
    <t>FVTBAV33BR70783</t>
  </si>
  <si>
    <t>FN2087137-S-PM39235</t>
  </si>
  <si>
    <t>TU-MA-LALF</t>
  </si>
  <si>
    <t>X001Q78WT5</t>
  </si>
  <si>
    <t>FVTBAV33BR70782</t>
  </si>
  <si>
    <t>FN2087136-S-PM39235</t>
  </si>
  <si>
    <t>TU-MA-STLF</t>
  </si>
  <si>
    <t>X001RANENP</t>
  </si>
  <si>
    <t>TVUGP8QJGJQ6DHVC</t>
  </si>
  <si>
    <t>LSTTVUGP8QJGJQ6DHVCRMOHUV</t>
  </si>
  <si>
    <t>FVTBAV33BR70784</t>
  </si>
  <si>
    <t>FN2087138-S-PM39235</t>
  </si>
  <si>
    <t>ST-MLM-FLS</t>
  </si>
  <si>
    <t>X001LLUSPH</t>
  </si>
  <si>
    <t>B09Z6R4CRH</t>
  </si>
  <si>
    <t>FVTBST33WW20607</t>
  </si>
  <si>
    <t>FN2030339-S-PM39235</t>
  </si>
  <si>
    <t>ST-MLM-WS-R1</t>
  </si>
  <si>
    <t>ST-MLM-W-R1</t>
  </si>
  <si>
    <t>X001JIRVS9</t>
  </si>
  <si>
    <t>SB-MXL-STWF</t>
  </si>
  <si>
    <t>X001D9Z0EV</t>
  </si>
  <si>
    <t>B08YXHWVF4</t>
  </si>
  <si>
    <t>BSFGFAVDWE9AUZZK</t>
  </si>
  <si>
    <t>LSTBSFGFAVDWE9AUZZKFDDZNJ</t>
  </si>
  <si>
    <t>FVSGBR33WN20578</t>
  </si>
  <si>
    <t>FN2030330-S-PM39235</t>
  </si>
  <si>
    <t>TU-MLE-W-FR</t>
  </si>
  <si>
    <t>X001B3MT3J</t>
  </si>
  <si>
    <t>TU-MLE-FSW</t>
  </si>
  <si>
    <t>X001B0LGBD</t>
  </si>
  <si>
    <t>TU-MLE-W-FS</t>
  </si>
  <si>
    <t>X001B1FIUR</t>
  </si>
  <si>
    <t>DT-MR-L</t>
  </si>
  <si>
    <t>X000V3YL8V</t>
  </si>
  <si>
    <t>B07D17H9V2</t>
  </si>
  <si>
    <t>FVTBDI33BE20510</t>
  </si>
  <si>
    <t>FN2030322-S-PM39235</t>
  </si>
  <si>
    <t>DT-MR-W</t>
  </si>
  <si>
    <t>X000V4109D</t>
  </si>
  <si>
    <t>B07D16G2DT</t>
  </si>
  <si>
    <t>PLLFC7HQ5HPQKSGH</t>
  </si>
  <si>
    <t>LSTPLLFC7HQ5HPQKSGHIHNUBM</t>
  </si>
  <si>
    <t>FVTBDI33BR20511</t>
  </si>
  <si>
    <t>FN1988015-S-PM39235</t>
  </si>
  <si>
    <t>DT-MR-W-R1</t>
  </si>
  <si>
    <t>X001JR0D8Z</t>
  </si>
  <si>
    <t>LT-MR-L</t>
  </si>
  <si>
    <t>X000KKFELX</t>
  </si>
  <si>
    <t>B01FMPAU98</t>
  </si>
  <si>
    <t>FVSGCB33BE25133</t>
  </si>
  <si>
    <t>LT-MR-W</t>
  </si>
  <si>
    <t>X000KI79VN</t>
  </si>
  <si>
    <t>B01FMONQWM</t>
  </si>
  <si>
    <t>PLLEUDBZ8CQGBWHG</t>
  </si>
  <si>
    <t>LSTPLLEUDBZ8CQGBWHGGGAAOK</t>
  </si>
  <si>
    <t>FVSGCB33BR25134</t>
  </si>
  <si>
    <t>S-MO-L5</t>
  </si>
  <si>
    <t>X000TZ6QNT</t>
  </si>
  <si>
    <t>B079CKSRJB</t>
  </si>
  <si>
    <t>FVSGCB33WL25097</t>
  </si>
  <si>
    <t>DE1994914-S-PM39397</t>
  </si>
  <si>
    <t>S-MO-L3</t>
  </si>
  <si>
    <t>X000TZYXH5</t>
  </si>
  <si>
    <t>B079CLCPTC</t>
  </si>
  <si>
    <t>FVSGCB33WL25096</t>
  </si>
  <si>
    <t>DE1994908-S-PM39397</t>
  </si>
  <si>
    <t>S-MO-3IL</t>
  </si>
  <si>
    <t>X001KAPBBP</t>
  </si>
  <si>
    <t>CT-NO-RTW</t>
  </si>
  <si>
    <t>X001P0KP7F</t>
  </si>
  <si>
    <t>FVTBCF33WN20648</t>
  </si>
  <si>
    <t>FN1988003-S-PM39235</t>
  </si>
  <si>
    <t>X000PSRZ1R</t>
  </si>
  <si>
    <t>B06W9L8VSW</t>
  </si>
  <si>
    <t>FN1991907-S-PM39235</t>
  </si>
  <si>
    <t>CT-NO-RTW-R1</t>
  </si>
  <si>
    <t>X001LIFADZ</t>
  </si>
  <si>
    <t>CT-NO-SQW</t>
  </si>
  <si>
    <t>X000PSRCCJ</t>
  </si>
  <si>
    <t>B06VX41Z79</t>
  </si>
  <si>
    <t>FVTBCF33WN20650</t>
  </si>
  <si>
    <t>FN1991936-S-PM39235</t>
  </si>
  <si>
    <t>TS-NL-W-R1</t>
  </si>
  <si>
    <t>BT-OL-DLF</t>
  </si>
  <si>
    <t>X001RZYGKF</t>
  </si>
  <si>
    <t>B0CV5T3MVS</t>
  </si>
  <si>
    <t>SITGP9UFVWXD8GV8</t>
  </si>
  <si>
    <t>LSTSITGP9UFVWXD8GV862XM4F</t>
  </si>
  <si>
    <t>FN2087132-S-PM39235</t>
  </si>
  <si>
    <t>BT-OL-L</t>
  </si>
  <si>
    <t>X000PSRWW9</t>
  </si>
  <si>
    <t>FVTBSI33BE20486</t>
  </si>
  <si>
    <t>FN1991959-S-PM39235</t>
  </si>
  <si>
    <t>BT-OL-W</t>
  </si>
  <si>
    <t>X000PSRWVZ</t>
  </si>
  <si>
    <t>B06W2MS32X</t>
  </si>
  <si>
    <t>SITEVYBTBEBUTZ9Z</t>
  </si>
  <si>
    <t>LSTSITEVYBTBEBUTZ9ZSJ8CKJ</t>
  </si>
  <si>
    <t>FVTBSI33BR20487</t>
  </si>
  <si>
    <t>FN1991942-S-PM39235</t>
  </si>
  <si>
    <t>BT-OL-DLF-R1</t>
  </si>
  <si>
    <t>X0020TVMOF</t>
  </si>
  <si>
    <t>BT-OL-DWF-R1</t>
  </si>
  <si>
    <t>X0020U3Q2Z</t>
  </si>
  <si>
    <t>CT-OL-L</t>
  </si>
  <si>
    <t>X000PRZ0T7</t>
  </si>
  <si>
    <t>B06VWXSCP8</t>
  </si>
  <si>
    <t>FVTBCF33WN20651</t>
  </si>
  <si>
    <t>FN1991957-S-PM39235</t>
  </si>
  <si>
    <t>CT-OL-W</t>
  </si>
  <si>
    <t>X000PRZ6ZF</t>
  </si>
  <si>
    <t>B06WVF2JF2</t>
  </si>
  <si>
    <t>FVTBCF33WN20652</t>
  </si>
  <si>
    <t>FN1991951-S-PM39235</t>
  </si>
  <si>
    <t>TU-OL-W</t>
  </si>
  <si>
    <t>X000PRZ11J</t>
  </si>
  <si>
    <t>TVUEVJHHWZVZBH5Q</t>
  </si>
  <si>
    <t>LSTTVUEVJHHWZVZBH5QRI9STI</t>
  </si>
  <si>
    <t>FVSGAV33WN20541</t>
  </si>
  <si>
    <t>FN1987993-S-PM39235</t>
  </si>
  <si>
    <t>TU-OL-L</t>
  </si>
  <si>
    <t>X000PSRCBP</t>
  </si>
  <si>
    <t>B06W57VGJ1</t>
  </si>
  <si>
    <t>FVSGAV33WA20540</t>
  </si>
  <si>
    <t>FN1991913-S-PM39235</t>
  </si>
  <si>
    <t>CT-OSN-OVM-R1</t>
  </si>
  <si>
    <t>X0020UABAP</t>
  </si>
  <si>
    <t>CT-OSN-OVW</t>
  </si>
  <si>
    <t>X000VEPJ5J</t>
  </si>
  <si>
    <t>B07D7W5RNV</t>
  </si>
  <si>
    <t>CFTFC78VHGARAWAD</t>
  </si>
  <si>
    <t>LSTCFTFC78VHGARAWADXT8BER</t>
  </si>
  <si>
    <t>FVTBCF33WN20653</t>
  </si>
  <si>
    <t>FN1991903-S-PM39235</t>
  </si>
  <si>
    <t>CT-OSN-OVW-R1</t>
  </si>
  <si>
    <t>X001OZFA6R</t>
  </si>
  <si>
    <t>CT-OSN-RTW</t>
  </si>
  <si>
    <t>X000VFVW95</t>
  </si>
  <si>
    <t>FVTBCF33WN20654</t>
  </si>
  <si>
    <t>FN1988004-S-PM39235</t>
  </si>
  <si>
    <t>CT-OSN-RTW-R1</t>
  </si>
  <si>
    <t>X001OZCJ93</t>
  </si>
  <si>
    <t>SB-OS-L</t>
  </si>
  <si>
    <t>X000V77M0L</t>
  </si>
  <si>
    <t>B07CZHZ3FZ</t>
  </si>
  <si>
    <t>FVSGBR33WA20579</t>
  </si>
  <si>
    <t>FN1991921-S-PM39235</t>
  </si>
  <si>
    <t>SB-OS-M</t>
  </si>
  <si>
    <t>X001Y8SRDH</t>
  </si>
  <si>
    <t>B0CQP1465D</t>
  </si>
  <si>
    <t>BSFGWYKCVMPHCH8R</t>
  </si>
  <si>
    <t>LSTBSFGWYKCVMPHCH8RTKQUKN</t>
  </si>
  <si>
    <t>FN2166578-S-PM39235</t>
  </si>
  <si>
    <t>SB-OS-W</t>
  </si>
  <si>
    <t>X000V34Q09</t>
  </si>
  <si>
    <t>B07CZLVQX3</t>
  </si>
  <si>
    <t>FVSGBR33WN20580</t>
  </si>
  <si>
    <t>FN2030331-S-PM39235</t>
  </si>
  <si>
    <t>RH-OT-LT</t>
  </si>
  <si>
    <t>X000PRV15T</t>
  </si>
  <si>
    <t>B06WLNKHXL</t>
  </si>
  <si>
    <t>PC-SM-SW</t>
  </si>
  <si>
    <t>X000UVEMI3</t>
  </si>
  <si>
    <t>TU-PR-W</t>
  </si>
  <si>
    <t>X001S0GWFB</t>
  </si>
  <si>
    <t>B0C4NQJ9HF</t>
  </si>
  <si>
    <t>TVUGRZU7TH7KZNPK</t>
  </si>
  <si>
    <t>LSTTVUGRZU7TH7KZNPKY9CLIM</t>
  </si>
  <si>
    <t>TU-PM-STW-R1</t>
  </si>
  <si>
    <t>X001MMRDHV</t>
  </si>
  <si>
    <t>TU-PM-LAW-R1</t>
  </si>
  <si>
    <t>TU-PMG-LALF-R1</t>
  </si>
  <si>
    <t>X001QV7OIB</t>
  </si>
  <si>
    <t>TU-PMG-LALF</t>
  </si>
  <si>
    <t>X001OFCB6J</t>
  </si>
  <si>
    <t>B0BWTNBWPQ</t>
  </si>
  <si>
    <t>TU-PMG-STW-R1</t>
  </si>
  <si>
    <t>X001ON9ENJ</t>
  </si>
  <si>
    <t>TU-PMG-STLF</t>
  </si>
  <si>
    <t>X001R0CC7T</t>
  </si>
  <si>
    <t>B0BNJ8Z5L8</t>
  </si>
  <si>
    <t>FVTBAV33BR70786</t>
  </si>
  <si>
    <t>FN2087140-S-PM39235</t>
  </si>
  <si>
    <t>TU-PMS-STLF</t>
  </si>
  <si>
    <t>X001OFCDSP</t>
  </si>
  <si>
    <t>B0BZP9P17J</t>
  </si>
  <si>
    <t>TVUGPNCYWYPYGJRB</t>
  </si>
  <si>
    <t>LSTTVUGPNCYWYPYGJRBC4C6UJ</t>
  </si>
  <si>
    <t>FVTBAV33BR70794</t>
  </si>
  <si>
    <t>FN2087148-S-PM39235</t>
  </si>
  <si>
    <t>TU-PMN-STLF</t>
  </si>
  <si>
    <t>X001OFDHHV</t>
  </si>
  <si>
    <t>B0BNJ824C6</t>
  </si>
  <si>
    <t>FVTBAV33BR70788</t>
  </si>
  <si>
    <t>FN2087142-S-PM39235</t>
  </si>
  <si>
    <t>TU-PMN-LAW</t>
  </si>
  <si>
    <t>TU-PMN-LA</t>
  </si>
  <si>
    <t>X001I5LQVV</t>
  </si>
  <si>
    <t>B09PBS69KR</t>
  </si>
  <si>
    <t>FVSGAV33WN20545</t>
  </si>
  <si>
    <t>FN1987990-S-PM39235</t>
  </si>
  <si>
    <t>TU-PMN-LALF</t>
  </si>
  <si>
    <t>X001OFDUJL</t>
  </si>
  <si>
    <t>TVUGPNCYHXTVWFWE</t>
  </si>
  <si>
    <t>LSTTVUGPNCYHXTVWFWE8ROI61</t>
  </si>
  <si>
    <t>FVTBAV33BR70787</t>
  </si>
  <si>
    <t>FN2087141-S-PM39235</t>
  </si>
  <si>
    <t>TU-PMN-STW</t>
  </si>
  <si>
    <t>TU-PMN-ST</t>
  </si>
  <si>
    <t>X001I5ILG9</t>
  </si>
  <si>
    <t>B09PBSQ96Y</t>
  </si>
  <si>
    <t>FVSGAV33WN20546</t>
  </si>
  <si>
    <t>FN1991958-S-PM39235</t>
  </si>
  <si>
    <t>TU-PMP-SLF</t>
  </si>
  <si>
    <t>X001SNJXQ3</t>
  </si>
  <si>
    <t>B0CJRVMT41</t>
  </si>
  <si>
    <t>FVTBAV33BR70791</t>
  </si>
  <si>
    <t>FN2087145-S-PM39235</t>
  </si>
  <si>
    <t>TU-PMP-SWF</t>
  </si>
  <si>
    <t>X001QAY4ZD</t>
  </si>
  <si>
    <t>B0CJRWTKX5</t>
  </si>
  <si>
    <t>FVTBAV33BR70792</t>
  </si>
  <si>
    <t>FN2087146-S-PM39235</t>
  </si>
  <si>
    <t>TU-PMP-LLF</t>
  </si>
  <si>
    <t>X001SS5QUP</t>
  </si>
  <si>
    <t>B0CJRVY3LN</t>
  </si>
  <si>
    <t>TVUGPA5SNEU8BTK2</t>
  </si>
  <si>
    <t>LSTTVUGPA5SNEU8BTK2CMYIOF</t>
  </si>
  <si>
    <t>FVTBAV33BR70789</t>
  </si>
  <si>
    <t>FN2087143-S-PM39235</t>
  </si>
  <si>
    <t>TU-PMS-LALF</t>
  </si>
  <si>
    <t>X001OFBSIB</t>
  </si>
  <si>
    <t>B0CLCWH3LB</t>
  </si>
  <si>
    <t>TVUGPNCYZE7KUGDM</t>
  </si>
  <si>
    <t>LSTTVUGPNCYZE7KUGDM4YPKUX</t>
  </si>
  <si>
    <t>FVTBAV33BR70793</t>
  </si>
  <si>
    <t>FN2087147-S-PM39235</t>
  </si>
  <si>
    <t>TU-PMS-STW</t>
  </si>
  <si>
    <t>X001I0506X</t>
  </si>
  <si>
    <t>B09PBQV99Y</t>
  </si>
  <si>
    <t>FVSGAV33WN20548</t>
  </si>
  <si>
    <t>FN1991915-S-PM39235</t>
  </si>
  <si>
    <t>S-RG-W2</t>
  </si>
  <si>
    <t>X000V7MW7T</t>
  </si>
  <si>
    <t>S-RG-L2</t>
  </si>
  <si>
    <t>X000V7MJXB</t>
  </si>
  <si>
    <t>CMB-RELO-W</t>
  </si>
  <si>
    <t>X0014GNF4F</t>
  </si>
  <si>
    <t>B07YHYNH87</t>
  </si>
  <si>
    <t>TU-RE-STW</t>
  </si>
  <si>
    <t>X000PRZ0RT</t>
  </si>
  <si>
    <t>B06WVF2JFF</t>
  </si>
  <si>
    <t>TVUFGGZHFT3N9HGE</t>
  </si>
  <si>
    <t>LSTTVUFGGZHFT3N9HGEHIMBCZ</t>
  </si>
  <si>
    <t>FVSGAV33WN20555</t>
  </si>
  <si>
    <t>FN1991937-S-PM39235</t>
  </si>
  <si>
    <t>TU-RE-LAW</t>
  </si>
  <si>
    <t>X000PRZ11T</t>
  </si>
  <si>
    <t>B06WD5R14P</t>
  </si>
  <si>
    <t>FVSGAV33WN20553</t>
  </si>
  <si>
    <t>FN1991895-S-PM39235</t>
  </si>
  <si>
    <t>TU-RE-STL</t>
  </si>
  <si>
    <t>X000PRZ7AJ</t>
  </si>
  <si>
    <t>B06WLNHQNF</t>
  </si>
  <si>
    <t>TVUFGGZRSSGBSHYY</t>
  </si>
  <si>
    <t>LSTTVUFGGZRSSGBSHYYU0E1D2</t>
  </si>
  <si>
    <t>FVSGAV33WA20554</t>
  </si>
  <si>
    <t>FN1991975-S-PM39235</t>
  </si>
  <si>
    <t>RT-RI-L</t>
  </si>
  <si>
    <t>X000PSRWX3</t>
  </si>
  <si>
    <t>B06VWV8PG4</t>
  </si>
  <si>
    <t>FVTBDS33BE20501</t>
  </si>
  <si>
    <t>FN1991933-S-PM39235</t>
  </si>
  <si>
    <t>RT-RI-MFL</t>
  </si>
  <si>
    <t>X001IPIBI7</t>
  </si>
  <si>
    <t>B09SHYPSVB</t>
  </si>
  <si>
    <t>DTBGCAAXJXSY6XHS</t>
  </si>
  <si>
    <t>LSTDTBGCAAXJXSY6XHS7BRCDF</t>
  </si>
  <si>
    <t>FVTBDS33BE20502</t>
  </si>
  <si>
    <t>FN1991934-S-PM39235</t>
  </si>
  <si>
    <t>S-RY-L</t>
  </si>
  <si>
    <t>X000PSRTQN</t>
  </si>
  <si>
    <t>B06WGS6FNY</t>
  </si>
  <si>
    <t>FVSGCB33WL25101</t>
  </si>
  <si>
    <t>DE1994912-S-PM39397</t>
  </si>
  <si>
    <t>KH-RZ-L</t>
  </si>
  <si>
    <t>X000V77J5T</t>
  </si>
  <si>
    <t>B07D1QST4B</t>
  </si>
  <si>
    <t>KHRFBZN5U2HUZH7A</t>
  </si>
  <si>
    <t>LSTKHRFBZN5U2HUZH7A7J8ODC</t>
  </si>
  <si>
    <t>DE1994929-S-PM39397</t>
  </si>
  <si>
    <t>TU-SNQ.P-LALF</t>
  </si>
  <si>
    <t>TU-SNQ.P-LA</t>
  </si>
  <si>
    <t>X001VKO5TX</t>
  </si>
  <si>
    <t>B0C4L2DJWK</t>
  </si>
  <si>
    <t>FN2117974-S-PM39235</t>
  </si>
  <si>
    <t>TU-SNQ.P-STLF</t>
  </si>
  <si>
    <t>TU-SNQ.P-ST</t>
  </si>
  <si>
    <t>X001TINS2R</t>
  </si>
  <si>
    <t>B0C4KZHXG1</t>
  </si>
  <si>
    <t>TU-SNQ.P-STWF</t>
  </si>
  <si>
    <t>X001T1HMQ7</t>
  </si>
  <si>
    <t>B0C4L2KHMV</t>
  </si>
  <si>
    <t>TVUGPNJ4VEF8JVHJ</t>
  </si>
  <si>
    <t>LSTTVUGPNJ4VEF8JVHJOZL9VI</t>
  </si>
  <si>
    <t>TU-SNQ.P-LAWF</t>
  </si>
  <si>
    <t>X001T6LSBH</t>
  </si>
  <si>
    <t>B0C4KZWVWM</t>
  </si>
  <si>
    <t>TVUGPNJ4NARUFGPP</t>
  </si>
  <si>
    <t>LSTTVUGPNJ4NARUFGPP1ULGCC</t>
  </si>
  <si>
    <t>FN2117975-S-PM39235</t>
  </si>
  <si>
    <t>SB-SN-NM</t>
  </si>
  <si>
    <t>X001VVO7OZ</t>
  </si>
  <si>
    <t>BSFGVWXPTKPJCQDH</t>
  </si>
  <si>
    <t>LSTBSFGVWXPTKPJCQDHVJKEMF</t>
  </si>
  <si>
    <t>RG-SN-TH</t>
  </si>
  <si>
    <t>X000MRWVJ7</t>
  </si>
  <si>
    <t>B00PS6CVR6</t>
  </si>
  <si>
    <t>TBHDWBDJU5GYJHPX</t>
  </si>
  <si>
    <t>LSTTBHDWBDJU5GYJHPXU9V9NK</t>
  </si>
  <si>
    <t>KH-SP-W9</t>
  </si>
  <si>
    <t>X000KJ2N95</t>
  </si>
  <si>
    <t>B019H9F7Y8</t>
  </si>
  <si>
    <t>TU-TP-W</t>
  </si>
  <si>
    <t>X000UU8IVB</t>
  </si>
  <si>
    <t>B07CZM9SPZ</t>
  </si>
  <si>
    <t>FVSGCB33WG25125</t>
  </si>
  <si>
    <t>X000KM44CB</t>
  </si>
  <si>
    <t>B019HBGYHK</t>
  </si>
  <si>
    <t>RSFEFRQBRNKH9NEB</t>
  </si>
  <si>
    <t>LSTRSFEFRQBRNKH9NEBUNPIMP</t>
  </si>
  <si>
    <t>FVSGCB33WG25105</t>
  </si>
  <si>
    <t>X000KKFF5D</t>
  </si>
  <si>
    <t>B0161ONV7M</t>
  </si>
  <si>
    <t>RSFEC88NABMWJMZD</t>
  </si>
  <si>
    <t>LSTRSFEC88NABMWJMZDMLPJXV</t>
  </si>
  <si>
    <t>FVSGCB33WG25110</t>
  </si>
  <si>
    <t>S-TW12-16S2</t>
  </si>
  <si>
    <t>X000KI7BIT</t>
  </si>
  <si>
    <t>TU-TT-LL</t>
  </si>
  <si>
    <t>X000UVNWVB</t>
  </si>
  <si>
    <t>B07CZKC3K6</t>
  </si>
  <si>
    <t>TVUFV7VGCK7JUJFZ</t>
  </si>
  <si>
    <t>LSTTVUFV7VGCK7JUJFZ2UXQ29</t>
  </si>
  <si>
    <t>FVSGCB33WL25126</t>
  </si>
  <si>
    <t>TU-TT-SL</t>
  </si>
  <si>
    <t>X000UVO0PD</t>
  </si>
  <si>
    <t>B07CZJMTT1</t>
  </si>
  <si>
    <t>FVTBAV33BR70802</t>
  </si>
  <si>
    <t>TU-TT-LW</t>
  </si>
  <si>
    <t>X000UV31SF</t>
  </si>
  <si>
    <t>B07CZHW8JS</t>
  </si>
  <si>
    <t>FVSGCB33WG25127</t>
  </si>
  <si>
    <t>TU-TT-SW</t>
  </si>
  <si>
    <t>X000UVIL03</t>
  </si>
  <si>
    <t>B07CZJ3G93</t>
  </si>
  <si>
    <t>FVTBAV33BR70801</t>
  </si>
  <si>
    <t>TU-TK-LAWF</t>
  </si>
  <si>
    <t>X001R8L1V9</t>
  </si>
  <si>
    <t>FVTBAV33BR70796</t>
  </si>
  <si>
    <t>FN2087150-S-PM39235</t>
  </si>
  <si>
    <t>TU-TK-LALF</t>
  </si>
  <si>
    <t>X001T7KZYH</t>
  </si>
  <si>
    <t>B0BQWMPDND</t>
  </si>
  <si>
    <t>TVUGP8REABCSN5W3</t>
  </si>
  <si>
    <t>LSTTVUGP8REABCSN5W3BGLJPR</t>
  </si>
  <si>
    <t>FVTBAV33BR70795</t>
  </si>
  <si>
    <t>FN2087149-S-PM39235</t>
  </si>
  <si>
    <t>TU-TK-STWF</t>
  </si>
  <si>
    <t>X001QTMTJR</t>
  </si>
  <si>
    <t>B0BQWPR34N</t>
  </si>
  <si>
    <t>FVTBAV33BR70798</t>
  </si>
  <si>
    <t>FN2087152-S-PM39235</t>
  </si>
  <si>
    <t>TU-TK-STLF</t>
  </si>
  <si>
    <t>X001S5O8PR</t>
  </si>
  <si>
    <t>FVTBAV33BR70797</t>
  </si>
  <si>
    <t>FN2087151-S-PM39235</t>
  </si>
  <si>
    <t>SL-TY-LB</t>
  </si>
  <si>
    <t>X000PRZ6YL</t>
  </si>
  <si>
    <t>B06WGS6YXX</t>
  </si>
  <si>
    <t>FVSGCB33BE25053</t>
  </si>
  <si>
    <t>FN2030305-S-PM39235</t>
  </si>
  <si>
    <t>SL-TY-LS</t>
  </si>
  <si>
    <t>X000PRZ0S3</t>
  </si>
  <si>
    <t>B06WRTW5F4</t>
  </si>
  <si>
    <t>FVSGCB33BE25054</t>
  </si>
  <si>
    <t>FN2030306-S-PM39235</t>
  </si>
  <si>
    <t>SL-TY-WS</t>
  </si>
  <si>
    <t>X000PRV16X</t>
  </si>
  <si>
    <t>B06W57VFG6</t>
  </si>
  <si>
    <t>FVSGCB33BR25056</t>
  </si>
  <si>
    <t>FN2030308-S-PM39235</t>
  </si>
  <si>
    <t>SL-VE-PL</t>
  </si>
  <si>
    <t>X000PSRCBZ</t>
  </si>
  <si>
    <t>FVSGCB33BE25063</t>
  </si>
  <si>
    <t>SL-VE-W18</t>
  </si>
  <si>
    <t>X000PRUWYF</t>
  </si>
  <si>
    <t>B06WP7P9LP</t>
  </si>
  <si>
    <t>FVSGCB33BR25058</t>
  </si>
  <si>
    <t>CT-VC-L</t>
  </si>
  <si>
    <t>X000PRZ7CH</t>
  </si>
  <si>
    <t>B06W2MLCQS</t>
  </si>
  <si>
    <t>FVTBCF33WA20659</t>
  </si>
  <si>
    <t>FN1991955-S-PM39235</t>
  </si>
  <si>
    <t>TU-VC-L</t>
  </si>
  <si>
    <t>X000PRZ6RD</t>
  </si>
  <si>
    <t>FVSGAV33WA20561</t>
  </si>
  <si>
    <t>FN1991939-S-PM39235</t>
  </si>
  <si>
    <t>CS-VW-CF6</t>
  </si>
  <si>
    <t>X000KM2B1R</t>
  </si>
  <si>
    <t>B01FMKYLUC</t>
  </si>
  <si>
    <t>COAEK5RBHBE8XBZN</t>
  </si>
  <si>
    <t>LSTCOAEK5RBHBE8XBZNZNBF11</t>
  </si>
  <si>
    <t>CS-VW-CF4</t>
  </si>
  <si>
    <t>X000KM436X</t>
  </si>
  <si>
    <t>B01FMKOVGQ</t>
  </si>
  <si>
    <t>KH-VD-PN</t>
  </si>
  <si>
    <t>X000PRZ0SX</t>
  </si>
  <si>
    <t>B01NCZ6AGC</t>
  </si>
  <si>
    <t>KHRESVZPZHJ55FY2</t>
  </si>
  <si>
    <t>LSTKHRESVZPZHJ55FY27UV2BF</t>
  </si>
  <si>
    <t>KH-VD-YF</t>
  </si>
  <si>
    <t>X000PSRCBF</t>
  </si>
  <si>
    <t>B06WLNKKZ9</t>
  </si>
  <si>
    <t>KH-VD-SR</t>
  </si>
  <si>
    <t>X000PRZ6RN</t>
  </si>
  <si>
    <t>B06W2MS69K</t>
  </si>
  <si>
    <t>KHRESX3FHSU4UAWA</t>
  </si>
  <si>
    <t>LSTKHRESX3FHSU4UAWA0NHCHW</t>
  </si>
  <si>
    <t>SB-WA-W-R1</t>
  </si>
  <si>
    <t>TU-SNQ-LAMI</t>
  </si>
  <si>
    <t>TU-KU-LAW</t>
  </si>
  <si>
    <t>X000XBK103</t>
  </si>
  <si>
    <t>B07HL4LQ5T</t>
  </si>
  <si>
    <t>TVUFC7EJZU2KYGMX</t>
  </si>
  <si>
    <t>LSTTVUFC7EJZU2KYGMXDMCQTN</t>
  </si>
  <si>
    <t>FVSGAV33WN20531</t>
  </si>
  <si>
    <t>FN1991904-S-PM39235</t>
  </si>
  <si>
    <t>RH-OT-M</t>
  </si>
  <si>
    <t>X0020N5CZV</t>
  </si>
  <si>
    <t>B0CZRKV84M</t>
  </si>
  <si>
    <t>TU-VC-W</t>
  </si>
  <si>
    <t>X000PRV14F</t>
  </si>
  <si>
    <t>B06WGS6FNS</t>
  </si>
  <si>
    <t>TVUF2WT5ZPWMUTWF</t>
  </si>
  <si>
    <t>LSTTVUF2WT5ZPWMUTWFVC0ZNX</t>
  </si>
  <si>
    <t>FVSGAV33WN20562</t>
  </si>
  <si>
    <t>FN1991920-S-PM39235</t>
  </si>
  <si>
    <t>S-LO-M5</t>
  </si>
  <si>
    <t>CT-OSN-OVM</t>
  </si>
  <si>
    <t>X001YZZOAT</t>
  </si>
  <si>
    <t>B0D29FJCMH</t>
  </si>
  <si>
    <t>CFTGWDJMFQVBY8ZT</t>
  </si>
  <si>
    <t>LSTCFTGWDJMFQVBY8ZTWFTVIF</t>
  </si>
  <si>
    <t>FVTBCF33BR32701</t>
  </si>
  <si>
    <t>FN2166553-S-PM39235</t>
  </si>
  <si>
    <t>CT-MD-SQW</t>
  </si>
  <si>
    <t>X001IKLO1D</t>
  </si>
  <si>
    <t>B09NSLRSJV</t>
  </si>
  <si>
    <t>FVTBCF33BR20640</t>
  </si>
  <si>
    <t>FN1991923-S-PM39235</t>
  </si>
  <si>
    <t>TU-MA-STWF</t>
  </si>
  <si>
    <t>X001S12AA1</t>
  </si>
  <si>
    <t>TVUGP8QJX355ZZHM</t>
  </si>
  <si>
    <t>LSTTVUGP8QJX355ZZHMNGM0YD</t>
  </si>
  <si>
    <t>FVTBAV33BR70785</t>
  </si>
  <si>
    <t>FN2087139-S-PM39235</t>
  </si>
  <si>
    <t>SB-ASG-H</t>
  </si>
  <si>
    <t>X0022UWT0D</t>
  </si>
  <si>
    <t>B0D4TNJ75F</t>
  </si>
  <si>
    <t>BSFH2QGS32TZSARB</t>
  </si>
  <si>
    <t>LSTBSFH2QGS32TZSARB8LQLRR</t>
  </si>
  <si>
    <t>FN2194302-S-PM39235</t>
  </si>
  <si>
    <t>S-CK-B2</t>
  </si>
  <si>
    <t>S-CK</t>
  </si>
  <si>
    <t>X000KI77UL</t>
  </si>
  <si>
    <t>B0168JTWJ6</t>
  </si>
  <si>
    <t>FVSGCB33WG25084</t>
  </si>
  <si>
    <t>DE1994906-S-PM39397</t>
  </si>
  <si>
    <t>B-RVB.P-LF</t>
  </si>
  <si>
    <t>B0C8J4VL15</t>
  </si>
  <si>
    <t>RD-AW-SE</t>
  </si>
  <si>
    <t>X000KKFF3Z</t>
  </si>
  <si>
    <t>B00Y2KHYR6</t>
  </si>
  <si>
    <t>FVSGCB33BR25136</t>
  </si>
  <si>
    <t>KH-SP-W5</t>
  </si>
  <si>
    <t>X000KIR4G3</t>
  </si>
  <si>
    <t>B019H9RY8K</t>
  </si>
  <si>
    <t>X001EQC9GF</t>
  </si>
  <si>
    <t>B099DTGNWC</t>
  </si>
  <si>
    <t>OSTG5YY6WTKNQKGN</t>
  </si>
  <si>
    <t>LSTOSTG5YY6WTKNQKGNPILSJV</t>
  </si>
  <si>
    <t>FVTBST33WH20600</t>
  </si>
  <si>
    <t>FN1991989-S-PM39235</t>
  </si>
  <si>
    <t>S-MO-W3</t>
  </si>
  <si>
    <t>X000KKFF49</t>
  </si>
  <si>
    <t>B019HC5IEO</t>
  </si>
  <si>
    <t>BSFEUKNAHQXATWWJ</t>
  </si>
  <si>
    <t>LSTBSFEUKNAHQXATWWJKSIODE</t>
  </si>
  <si>
    <t>FVSGCB33WG25098</t>
  </si>
  <si>
    <t>DE2034597-S-PM39397</t>
  </si>
  <si>
    <t>KH-RZ-W</t>
  </si>
  <si>
    <t>X000VBY1OR</t>
  </si>
  <si>
    <t>B07D18FY7Z</t>
  </si>
  <si>
    <t>KHRFBZNGCTHA6VRM</t>
  </si>
  <si>
    <t>LSTKHRFBZNGCTHA6VRMMI74UI</t>
  </si>
  <si>
    <t>DE1994928-S-PM39397</t>
  </si>
  <si>
    <t>DT-HE-W</t>
  </si>
  <si>
    <t>X000V62LK3</t>
  </si>
  <si>
    <t>B07D12HMMG</t>
  </si>
  <si>
    <t>DNTFMMP8HBHXWHXC</t>
  </si>
  <si>
    <t>LSTDNTFMMP8HBHXWHXCQ2ONG0</t>
  </si>
  <si>
    <t>FVTBDI33BR20509</t>
  </si>
  <si>
    <t>FN1991956-S-PM39235</t>
  </si>
  <si>
    <t>SB-CA-L</t>
  </si>
  <si>
    <t>X000TB26CN</t>
  </si>
  <si>
    <t>B079CKWCVB</t>
  </si>
  <si>
    <t>FVSGCB33WL25118</t>
  </si>
  <si>
    <t>DE1994905-S-PM39397</t>
  </si>
  <si>
    <t>B-RVB.P-WF</t>
  </si>
  <si>
    <t>B0CBSCNBF8</t>
  </si>
  <si>
    <t>BDDH2QHDUDCJ4BRU</t>
  </si>
  <si>
    <t>LSTBDDH2QHDUDCJ4BRUGYLDXH</t>
  </si>
  <si>
    <t>FN2194291-S-PM39235</t>
  </si>
  <si>
    <t>TS-FV-M</t>
  </si>
  <si>
    <t>X001XGL65B</t>
  </si>
  <si>
    <t>B0CPYH8PKH</t>
  </si>
  <si>
    <t>LASGW3Z7PAWPDHUY</t>
  </si>
  <si>
    <t>LSTLASGW3Z7PAWPDHUYCSE6G3</t>
  </si>
  <si>
    <t>FN2166576-S-PM39235</t>
  </si>
  <si>
    <t>RT-RI-MFW</t>
  </si>
  <si>
    <t>X001JL9ON1</t>
  </si>
  <si>
    <t>B09SHYNJJF</t>
  </si>
  <si>
    <t>DTBGCA9XAWZ8PGS8</t>
  </si>
  <si>
    <t>LSTDTBGCA9XAWZ8PGS8M8ENBW</t>
  </si>
  <si>
    <t>FVTBDS33BR20503</t>
  </si>
  <si>
    <t>FN2030326-S-PM39235</t>
  </si>
  <si>
    <t>RT-RI-MMI</t>
  </si>
  <si>
    <t>X001YHM6RL</t>
  </si>
  <si>
    <t>B0CQNTX6DK</t>
  </si>
  <si>
    <t>DTBGWMAUXEFUM7PV</t>
  </si>
  <si>
    <t>LSTDTBGWMAUXEFUM7PVVPC3UZ</t>
  </si>
  <si>
    <t>FVTBDS33BR32694</t>
  </si>
  <si>
    <t>FN2166573-S-PM39235</t>
  </si>
  <si>
    <t>CT-MD-RTW</t>
  </si>
  <si>
    <t>X001IN8RIN</t>
  </si>
  <si>
    <t>B09NSLKCXV</t>
  </si>
  <si>
    <t>CFTGAEBVHVYVQ9CH</t>
  </si>
  <si>
    <t>LSTCFTGAEBVHVYVQ9CHWBQY1T</t>
  </si>
  <si>
    <t>FVTBCF33WN20639</t>
  </si>
  <si>
    <t>FN1991968-S-PM39235</t>
  </si>
  <si>
    <t>CT-ATD-LAWF</t>
  </si>
  <si>
    <t>X001IJWLVV</t>
  </si>
  <si>
    <t>B09PTNBS3R</t>
  </si>
  <si>
    <t>CFTGAN79CYMWZ5HC</t>
  </si>
  <si>
    <t>LSTCFTGAN79CYMWZ5HCNSJYO7</t>
  </si>
  <si>
    <t>FVTBCF33WW20622</t>
  </si>
  <si>
    <t>FN2030312-S-PM39235</t>
  </si>
  <si>
    <t>TU-ETY-LAWF</t>
  </si>
  <si>
    <t>X001FUFXW7</t>
  </si>
  <si>
    <t>B09B46DB4G</t>
  </si>
  <si>
    <t>TVUG5CFZTDUC2ATN</t>
  </si>
  <si>
    <t>LSTTVUG5CFZTDUC2ATNTQYGW6</t>
  </si>
  <si>
    <t>FVSGAV33WH20522</t>
  </si>
  <si>
    <t>FN1986326-S-PM39235</t>
  </si>
  <si>
    <t>CT-DOV-LF</t>
  </si>
  <si>
    <t>X001KFRY1Z</t>
  </si>
  <si>
    <t>B09YRPSCZD</t>
  </si>
  <si>
    <t>CFTGG8GUCYVZSZ5H</t>
  </si>
  <si>
    <t>LSTCFTGG8GUCYVZSZ5HY5UBVU</t>
  </si>
  <si>
    <t>FVTBCF33WW20625</t>
  </si>
  <si>
    <t>FN2030313-S-PM39235</t>
  </si>
  <si>
    <t>CT-TR-RTWL</t>
  </si>
  <si>
    <t>CT-TR-RTL</t>
  </si>
  <si>
    <t>X001INNA3Z</t>
  </si>
  <si>
    <t>B09PN18M4K</t>
  </si>
  <si>
    <t>CFTGAEBKHHVPDXKW</t>
  </si>
  <si>
    <t>LSTCFTGAEBKHHVPDXKW0DYSLD</t>
  </si>
  <si>
    <t>FVTBCF33WN20657</t>
  </si>
  <si>
    <t>FN1988005-S-PM39235</t>
  </si>
  <si>
    <t>ST-MLM-FL</t>
  </si>
  <si>
    <t>ST-MLM</t>
  </si>
  <si>
    <t>X001INUE75</t>
  </si>
  <si>
    <t>B09SD3W3KR</t>
  </si>
  <si>
    <t>OSTGBSG8EZAYH4BS</t>
  </si>
  <si>
    <t>LSTOSTGBSG8EZAYH4BS6RSPUR</t>
  </si>
  <si>
    <t>FVTBST33WA20606</t>
  </si>
  <si>
    <t>FN1991899-S-PM39235</t>
  </si>
  <si>
    <t>TU-DAR-M</t>
  </si>
  <si>
    <t>TU-MLE-W</t>
  </si>
  <si>
    <t>X0011WR8I1</t>
  </si>
  <si>
    <t>B07RRYJ31V</t>
  </si>
  <si>
    <t>FVSGAV33WN20537</t>
  </si>
  <si>
    <t>FN1991925-S-PM39235</t>
  </si>
  <si>
    <t>SB-LGN.P-MF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</si>
</sst>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rgb="FF9C0006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9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9C0006"/>
      <name val="Calibri"/>
      <family val="2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b/>
      <sz val="10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1"/>
      <color theme="3" tint="-0.249977111117893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Cambria"/>
      <family val="1"/>
    </font>
    <font>
      <sz val="10"/>
      <color rgb="FFFF0000"/>
      <name val="Cambria"/>
      <family val="1"/>
    </font>
    <font>
      <sz val="10"/>
      <name val="Aptos Display"/>
      <family val="1"/>
      <scheme val="major"/>
    </font>
    <font>
      <sz val="10"/>
      <color rgb="FF000000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BDD7EE"/>
        <bgColor rgb="FFBDD7EE"/>
      </patternFill>
    </fill>
    <fill>
      <patternFill patternType="solid">
        <fgColor rgb="FFC0E6F5"/>
        <bgColor rgb="FFC0E6F5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FFC000"/>
        <bgColor rgb="FF00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5" borderId="5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4" fillId="3" borderId="1" xfId="0" applyFont="1" applyFill="1" applyBorder="1"/>
    <xf numFmtId="0" fontId="3" fillId="2" borderId="1" xfId="0" applyFont="1" applyFill="1" applyBorder="1"/>
    <xf numFmtId="0" fontId="3" fillId="0" borderId="5" xfId="0" applyFont="1" applyBorder="1"/>
    <xf numFmtId="0" fontId="5" fillId="5" borderId="5" xfId="0" applyFont="1" applyFill="1" applyBorder="1"/>
    <xf numFmtId="0" fontId="5" fillId="0" borderId="5" xfId="0" applyFont="1" applyBorder="1"/>
    <xf numFmtId="0" fontId="5" fillId="0" borderId="6" xfId="0" applyFont="1" applyBorder="1"/>
    <xf numFmtId="0" fontId="3" fillId="2" borderId="8" xfId="0" applyFont="1" applyFill="1" applyBorder="1"/>
    <xf numFmtId="0" fontId="6" fillId="0" borderId="5" xfId="0" applyFont="1" applyBorder="1"/>
    <xf numFmtId="0" fontId="1" fillId="5" borderId="5" xfId="0" applyFont="1" applyFill="1" applyBorder="1"/>
    <xf numFmtId="0" fontId="5" fillId="5" borderId="6" xfId="0" applyFont="1" applyFill="1" applyBorder="1"/>
    <xf numFmtId="0" fontId="3" fillId="0" borderId="6" xfId="0" applyFont="1" applyBorder="1"/>
    <xf numFmtId="0" fontId="3" fillId="4" borderId="8" xfId="0" applyFont="1" applyFill="1" applyBorder="1" applyAlignment="1">
      <alignment horizontal="center"/>
    </xf>
    <xf numFmtId="0" fontId="3" fillId="4" borderId="8" xfId="0" applyFont="1" applyFill="1" applyBorder="1"/>
    <xf numFmtId="0" fontId="4" fillId="3" borderId="8" xfId="0" applyFont="1" applyFill="1" applyBorder="1"/>
    <xf numFmtId="49" fontId="7" fillId="0" borderId="7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7" fillId="0" borderId="1" xfId="0" applyFont="1" applyBorder="1"/>
    <xf numFmtId="0" fontId="7" fillId="0" borderId="4" xfId="0" applyFont="1" applyBorder="1"/>
    <xf numFmtId="0" fontId="7" fillId="0" borderId="8" xfId="0" applyFont="1" applyBorder="1"/>
    <xf numFmtId="0" fontId="7" fillId="0" borderId="9" xfId="0" applyFont="1" applyBorder="1"/>
    <xf numFmtId="0" fontId="3" fillId="5" borderId="10" xfId="0" applyFont="1" applyFill="1" applyBorder="1"/>
    <xf numFmtId="0" fontId="3" fillId="0" borderId="10" xfId="0" applyFont="1" applyBorder="1"/>
    <xf numFmtId="0" fontId="5" fillId="5" borderId="10" xfId="0" applyFont="1" applyFill="1" applyBorder="1"/>
    <xf numFmtId="0" fontId="5" fillId="0" borderId="10" xfId="0" applyFont="1" applyBorder="1"/>
    <xf numFmtId="0" fontId="6" fillId="0" borderId="10" xfId="0" applyFont="1" applyBorder="1"/>
    <xf numFmtId="0" fontId="1" fillId="5" borderId="10" xfId="0" applyFont="1" applyFill="1" applyBorder="1"/>
    <xf numFmtId="0" fontId="7" fillId="0" borderId="0" xfId="0" applyFont="1" applyAlignment="1">
      <alignment horizontal="left"/>
    </xf>
    <xf numFmtId="0" fontId="8" fillId="0" borderId="0" xfId="0" applyFont="1"/>
    <xf numFmtId="0" fontId="12" fillId="4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pivotButton="1"/>
    <xf numFmtId="0" fontId="10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left" vertical="center"/>
    </xf>
    <xf numFmtId="0" fontId="13" fillId="3" borderId="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7" fillId="0" borderId="1" xfId="0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0" fontId="10" fillId="0" borderId="11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20" fillId="9" borderId="1" xfId="0" applyFont="1" applyFill="1" applyBorder="1" applyAlignment="1">
      <alignment horizontal="center"/>
    </xf>
    <xf numFmtId="2" fontId="20" fillId="10" borderId="1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vertical="center"/>
    </xf>
    <xf numFmtId="0" fontId="12" fillId="4" borderId="8" xfId="0" applyFont="1" applyFill="1" applyBorder="1" applyAlignment="1">
      <alignment vertical="center"/>
    </xf>
    <xf numFmtId="0" fontId="11" fillId="0" borderId="1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2" fillId="4" borderId="11" xfId="0" applyFont="1" applyFill="1" applyBorder="1" applyAlignment="1">
      <alignment vertical="center"/>
    </xf>
    <xf numFmtId="0" fontId="12" fillId="4" borderId="12" xfId="0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21" fillId="11" borderId="13" xfId="0" applyFont="1" applyFill="1" applyBorder="1" applyAlignment="1">
      <alignment horizontal="center"/>
    </xf>
    <xf numFmtId="2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2" fillId="4" borderId="14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left" vertical="center"/>
    </xf>
    <xf numFmtId="0" fontId="22" fillId="12" borderId="15" xfId="0" applyFont="1" applyFill="1" applyBorder="1"/>
    <xf numFmtId="0" fontId="22" fillId="12" borderId="0" xfId="0" applyFont="1" applyFill="1"/>
    <xf numFmtId="0" fontId="23" fillId="5" borderId="15" xfId="0" applyFont="1" applyFill="1" applyBorder="1"/>
    <xf numFmtId="0" fontId="23" fillId="5" borderId="0" xfId="0" applyFont="1" applyFill="1"/>
    <xf numFmtId="0" fontId="23" fillId="5" borderId="16" xfId="0" applyFont="1" applyFill="1" applyBorder="1"/>
    <xf numFmtId="0" fontId="23" fillId="0" borderId="0" xfId="0" applyFont="1"/>
    <xf numFmtId="0" fontId="23" fillId="0" borderId="15" xfId="0" applyFont="1" applyBorder="1"/>
    <xf numFmtId="0" fontId="23" fillId="0" borderId="16" xfId="0" applyFont="1" applyBorder="1"/>
    <xf numFmtId="0" fontId="17" fillId="0" borderId="1" xfId="0" applyFont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0" fillId="4" borderId="8" xfId="0" applyFont="1" applyFill="1" applyBorder="1" applyAlignment="1">
      <alignment horizontal="left" vertical="center"/>
    </xf>
    <xf numFmtId="0" fontId="12" fillId="4" borderId="12" xfId="0" applyFont="1" applyFill="1" applyBorder="1" applyAlignment="1">
      <alignment horizontal="left" vertical="center"/>
    </xf>
    <xf numFmtId="0" fontId="12" fillId="4" borderId="11" xfId="0" applyFont="1" applyFill="1" applyBorder="1" applyAlignment="1">
      <alignment horizontal="left" vertical="center"/>
    </xf>
    <xf numFmtId="0" fontId="10" fillId="4" borderId="1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4" fillId="0" borderId="13" xfId="0" applyFont="1" applyBorder="1" applyAlignment="1">
      <alignment horizontal="left"/>
    </xf>
    <xf numFmtId="0" fontId="25" fillId="0" borderId="13" xfId="0" applyFont="1" applyBorder="1"/>
    <xf numFmtId="0" fontId="25" fillId="0" borderId="13" xfId="0" applyFont="1" applyBorder="1" applyAlignment="1">
      <alignment horizontal="left"/>
    </xf>
    <xf numFmtId="0" fontId="10" fillId="6" borderId="2" xfId="0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26" fillId="0" borderId="13" xfId="0" applyFont="1" applyBorder="1" applyAlignment="1">
      <alignment horizontal="left"/>
    </xf>
    <xf numFmtId="0" fontId="27" fillId="13" borderId="13" xfId="0" applyFont="1" applyFill="1" applyBorder="1"/>
    <xf numFmtId="0" fontId="27" fillId="13" borderId="17" xfId="0" applyFont="1" applyFill="1" applyBorder="1"/>
  </cellXfs>
  <cellStyles count="1">
    <cellStyle name="Normal" xfId="0" builtinId="0"/>
  </cellStyles>
  <dxfs count="2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name val="Calibri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z val="9"/>
        <name val="Calibri"/>
      </font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9"/>
        <name val="Calibri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9"/>
        <name val="Calibri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sz val="9"/>
        <name val="Calibri"/>
      </font>
      <numFmt numFmtId="0" formatCode="General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9C0006"/>
        <name val="Calibri"/>
        <scheme val="none"/>
      </font>
      <numFmt numFmtId="0" formatCode="General"/>
      <fill>
        <patternFill patternType="solid">
          <fgColor rgb="FF000000"/>
          <bgColor rgb="FFFFC7CE"/>
        </patternFill>
      </fill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0" formatCode="General"/>
      <fill>
        <patternFill patternType="solid">
          <fgColor rgb="FFBDD7EE"/>
          <bgColor rgb="FFBDD7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solid">
          <fgColor rgb="FFBDD7EE"/>
          <bgColor rgb="FFBDD7EE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numFmt numFmtId="0" formatCode="General"/>
      <fill>
        <patternFill patternType="solid">
          <fgColor rgb="FFBDD7EE"/>
          <bgColor rgb="FFBDD7EE"/>
        </patternFill>
      </fill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numFmt numFmtId="0" formatCode="General"/>
      <fill>
        <patternFill patternType="solid">
          <fgColor rgb="FFBDD7EE"/>
          <bgColor rgb="FFBDD7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numFmt numFmtId="0" formatCode="General"/>
      <fill>
        <patternFill patternType="solid">
          <fgColor rgb="FFBDD7EE"/>
          <bgColor rgb="FFBDD7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sz val="9"/>
        <name val="Calibri"/>
      </font>
      <alignment horizontal="general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9"/>
        <name val="Calibri"/>
      </font>
      <alignment horizontal="center" vertical="center"/>
    </dxf>
    <dxf>
      <font>
        <sz val="9"/>
        <name val="Calibri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bluewud.sharepoint.com/sites/fgwh.team/Shared%20Documents/General/Store%20Reports%20-%20FG/FG%20Snapshot%20-%20Bluewud.xlsx" TargetMode="External"/><Relationship Id="rId2" Type="http://schemas.openxmlformats.org/officeDocument/2006/relationships/externalLinkPath" Target="https://bluewud.sharepoint.com/sites/fgwh.team/Shared%20Documents/General/Store%20Reports%20-%20FG/FG%20Snapshot%20-%20Bluewud.xlsx" TargetMode="External"/><Relationship Id="rId1" Type="http://schemas.openxmlformats.org/officeDocument/2006/relationships/externalLinkPath" Target="/sites/fgwh.team/Shared%20Documents/General/Store%20Reports%20-%20FG/FG%20Snapshot%20-%20Bluewu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luewud-my.sharepoint.com/personal/abhinav_bluewud_com/Documents/Commercial%20Master/MTP%20-%20Bluewud/MTP%20Bluewud%20-%20Main.xlsx" TargetMode="External"/><Relationship Id="rId1" Type="http://schemas.openxmlformats.org/officeDocument/2006/relationships/externalLinkPath" Target="https://bluewud-my.sharepoint.com/personal/abhinav_bluewud_com/Documents/Commercial%20Master/MTP%20-%20Bluewud/MTP%20Bluewud%20-%20Ma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lW43yxLHkCxJ9y76oyC1ytPWmDNiCNIqDrfc_YzeIZIRZrhOrsOQoaTLa7ROdh2" itemId="01GB4W6UU6RYTXMR2FGJBYCKYIIUWGDJR7">
      <xxl21:absoluteUrl r:id="rId2"/>
      <xxl21:relativeUrl r:id="rId3"/>
    </xxl21:alternateUrls>
    <sheetNames>
      <sheetName val="FG Snapshot (V2)"/>
      <sheetName val="Part Inventory"/>
      <sheetName val="Inv.Age"/>
      <sheetName val="A.SalUS"/>
      <sheetName val="A.SalB"/>
      <sheetName val="B.Sales"/>
      <sheetName val="B.Sales2"/>
      <sheetName val="FBA.InvUS"/>
      <sheetName val="Flex.InvB"/>
      <sheetName val="Res.InvB"/>
      <sheetName val="Inv Sheet"/>
      <sheetName val="FG Snapshot (OLD)"/>
      <sheetName val="Sd"/>
      <sheetName val="Sheet2"/>
      <sheetName val="Shopify"/>
      <sheetName val="CTN STOCK"/>
      <sheetName val="Blue Tape"/>
      <sheetName val="HELP"/>
      <sheetName val="Sheet4"/>
      <sheetName val="B.Sales2 (2)"/>
      <sheetName val="B.Sales1 (2)"/>
      <sheetName val="B.Sales1 (3)"/>
      <sheetName val="B.Sales1 (4)"/>
      <sheetName val="B.Sales1 (5)"/>
      <sheetName val="PS &amp; Tar. Sales"/>
      <sheetName val="Sheet1"/>
      <sheetName val="Sale.History"/>
      <sheetName val="B.Sales1"/>
      <sheetName val="A.InvB"/>
      <sheetName val="FBA.InvB"/>
      <sheetName val="FK.PlnB"/>
      <sheetName val="CTN Stk"/>
    </sheetNames>
    <sheetDataSet>
      <sheetData sheetId="0">
        <row r="1">
          <cell r="A1" t="str">
            <v>SKU Code</v>
          </cell>
          <cell r="B1" t="str">
            <v>FG.Chk</v>
          </cell>
          <cell r="C1" t="str">
            <v>30Sal</v>
          </cell>
          <cell r="D1" t="str">
            <v>30Val</v>
          </cell>
          <cell r="E1" t="str">
            <v>O.SR</v>
          </cell>
        </row>
        <row r="2">
          <cell r="A2" t="str">
            <v>TU-SKD-WF</v>
          </cell>
          <cell r="B2" t="str">
            <v>Y</v>
          </cell>
          <cell r="C2">
            <v>126.8181818181818</v>
          </cell>
          <cell r="D2">
            <v>5.4276818181818181</v>
          </cell>
          <cell r="E2">
            <v>8</v>
          </cell>
        </row>
        <row r="3">
          <cell r="A3" t="str">
            <v>TU-WBM-MF</v>
          </cell>
          <cell r="B3" t="str">
            <v>Y</v>
          </cell>
          <cell r="C3">
            <v>126.8181818181818</v>
          </cell>
          <cell r="D3">
            <v>6.3720954545454536</v>
          </cell>
          <cell r="E3">
            <v>5</v>
          </cell>
        </row>
        <row r="4">
          <cell r="A4" t="str">
            <v>SR-MVS-ITM</v>
          </cell>
          <cell r="B4" t="str">
            <v>Y</v>
          </cell>
          <cell r="C4">
            <v>102.27272727272729</v>
          </cell>
          <cell r="D4">
            <v>7.5918545454545443</v>
          </cell>
          <cell r="E4">
            <v>3</v>
          </cell>
        </row>
        <row r="5">
          <cell r="A5" t="str">
            <v>TU-BKMT-M</v>
          </cell>
          <cell r="B5" t="str">
            <v>Y</v>
          </cell>
          <cell r="C5">
            <v>24.54545454545454</v>
          </cell>
          <cell r="D5">
            <v>1.8205227272727269</v>
          </cell>
          <cell r="E5">
            <v>31</v>
          </cell>
        </row>
        <row r="6">
          <cell r="A6" t="str">
            <v>TU-BKY-M</v>
          </cell>
          <cell r="B6" t="str">
            <v>Y</v>
          </cell>
          <cell r="C6">
            <v>155.45454545454541</v>
          </cell>
          <cell r="D6">
            <v>7.9998886363636341</v>
          </cell>
          <cell r="E6">
            <v>2</v>
          </cell>
        </row>
        <row r="7">
          <cell r="A7" t="str">
            <v>TU-SKD-MF</v>
          </cell>
          <cell r="B7" t="str">
            <v>Y</v>
          </cell>
          <cell r="C7">
            <v>127.5</v>
          </cell>
          <cell r="D7">
            <v>5.4549272727272724</v>
          </cell>
          <cell r="E7">
            <v>7</v>
          </cell>
        </row>
        <row r="8">
          <cell r="A8" t="str">
            <v>SR-CLM-TM</v>
          </cell>
          <cell r="B8" t="str">
            <v>Y</v>
          </cell>
          <cell r="C8">
            <v>229.09090909090909</v>
          </cell>
          <cell r="D8">
            <v>13.750759090909099</v>
          </cell>
          <cell r="E8">
            <v>1</v>
          </cell>
        </row>
        <row r="9">
          <cell r="A9" t="str">
            <v>TU-SKD-LF</v>
          </cell>
          <cell r="B9" t="str">
            <v>YD</v>
          </cell>
          <cell r="C9">
            <v>47.04545454545454</v>
          </cell>
          <cell r="D9">
            <v>2.1244977272727268</v>
          </cell>
          <cell r="E9">
            <v>27</v>
          </cell>
        </row>
        <row r="10">
          <cell r="A10" t="str">
            <v>ST-CBN-LSMF</v>
          </cell>
          <cell r="B10" t="str">
            <v>Y</v>
          </cell>
          <cell r="C10">
            <v>61.36363636363636</v>
          </cell>
          <cell r="D10">
            <v>2.257595454545454</v>
          </cell>
          <cell r="E10">
            <v>25</v>
          </cell>
        </row>
        <row r="11">
          <cell r="A11" t="str">
            <v>SR-CLE-MF</v>
          </cell>
          <cell r="B11" t="str">
            <v>Y</v>
          </cell>
          <cell r="C11">
            <v>42.954545454545453</v>
          </cell>
          <cell r="D11">
            <v>1.562331818181818</v>
          </cell>
          <cell r="E11">
            <v>36</v>
          </cell>
        </row>
        <row r="12">
          <cell r="A12" t="str">
            <v>W-MLT-3NMF</v>
          </cell>
          <cell r="B12" t="str">
            <v>Y</v>
          </cell>
          <cell r="C12">
            <v>21.81818181818182</v>
          </cell>
          <cell r="D12">
            <v>2.4125863636363629</v>
          </cell>
          <cell r="E12">
            <v>21</v>
          </cell>
        </row>
        <row r="13">
          <cell r="A13" t="str">
            <v>TU-FL-MI</v>
          </cell>
          <cell r="B13" t="str">
            <v>y</v>
          </cell>
          <cell r="C13">
            <v>10.90909090909091</v>
          </cell>
          <cell r="D13">
            <v>1.371988636363636</v>
          </cell>
          <cell r="E13">
            <v>42</v>
          </cell>
        </row>
        <row r="14">
          <cell r="A14" t="str">
            <v>W-MLT-4NMF</v>
          </cell>
          <cell r="B14" t="str">
            <v>RL</v>
          </cell>
          <cell r="C14">
            <v>21.81818181818182</v>
          </cell>
          <cell r="D14">
            <v>3.11719090909091</v>
          </cell>
          <cell r="E14">
            <v>14</v>
          </cell>
        </row>
        <row r="15">
          <cell r="A15" t="str">
            <v>SR-MVS-TM</v>
          </cell>
          <cell r="B15" t="str">
            <v>Y</v>
          </cell>
          <cell r="C15">
            <v>23.18181818181818</v>
          </cell>
          <cell r="D15">
            <v>0.97580454545454498</v>
          </cell>
          <cell r="E15">
            <v>60</v>
          </cell>
        </row>
        <row r="16">
          <cell r="A16" t="str">
            <v>TU-WBM-STMF</v>
          </cell>
          <cell r="B16" t="str">
            <v>Y</v>
          </cell>
          <cell r="C16">
            <v>78.409090909090907</v>
          </cell>
          <cell r="D16">
            <v>3.3527999999999998</v>
          </cell>
          <cell r="E16">
            <v>10</v>
          </cell>
        </row>
        <row r="17">
          <cell r="A17" t="str">
            <v>TU-FL-FW</v>
          </cell>
          <cell r="B17" t="str">
            <v>Y</v>
          </cell>
          <cell r="C17">
            <v>25.90909090909091</v>
          </cell>
          <cell r="D17">
            <v>3.2905295454545449</v>
          </cell>
          <cell r="E17">
            <v>11</v>
          </cell>
        </row>
        <row r="18">
          <cell r="A18" t="str">
            <v>TU-DRN-MF</v>
          </cell>
          <cell r="B18" t="str">
            <v>y</v>
          </cell>
          <cell r="C18">
            <v>102.27272727272729</v>
          </cell>
          <cell r="D18">
            <v>3.225395454545454</v>
          </cell>
          <cell r="E18">
            <v>12</v>
          </cell>
        </row>
        <row r="19">
          <cell r="A19" t="str">
            <v>SR-KPN-MF</v>
          </cell>
          <cell r="B19" t="str">
            <v>Y</v>
          </cell>
          <cell r="C19">
            <v>42.272727272727273</v>
          </cell>
          <cell r="D19">
            <v>2.3821977272727271</v>
          </cell>
          <cell r="E19">
            <v>22</v>
          </cell>
        </row>
        <row r="20">
          <cell r="A20" t="str">
            <v>CT-SH.E-MI</v>
          </cell>
          <cell r="B20" t="str">
            <v>Y</v>
          </cell>
          <cell r="C20">
            <v>150</v>
          </cell>
          <cell r="D20">
            <v>3.2080636363636361</v>
          </cell>
          <cell r="E20">
            <v>13</v>
          </cell>
        </row>
        <row r="21">
          <cell r="A21" t="str">
            <v>PU-SNM-F</v>
          </cell>
          <cell r="B21" t="str">
            <v>NL</v>
          </cell>
          <cell r="C21">
            <v>107.0454545454545</v>
          </cell>
          <cell r="D21">
            <v>7.26066818181818</v>
          </cell>
          <cell r="E21">
            <v>4</v>
          </cell>
        </row>
        <row r="22">
          <cell r="A22" t="str">
            <v>W-CLO-5M</v>
          </cell>
          <cell r="B22" t="str">
            <v>Y</v>
          </cell>
          <cell r="C22">
            <v>63.409090909090907</v>
          </cell>
          <cell r="D22">
            <v>2.968397727272726</v>
          </cell>
          <cell r="E22">
            <v>16</v>
          </cell>
        </row>
        <row r="23">
          <cell r="A23" t="str">
            <v>TU-BKY-STM</v>
          </cell>
          <cell r="B23" t="str">
            <v>Y</v>
          </cell>
          <cell r="C23">
            <v>52.5</v>
          </cell>
          <cell r="D23">
            <v>2.3713977272727269</v>
          </cell>
          <cell r="E23">
            <v>23</v>
          </cell>
        </row>
        <row r="24">
          <cell r="A24" t="str">
            <v>SR-BKN-TM</v>
          </cell>
          <cell r="B24" t="str">
            <v>Y</v>
          </cell>
          <cell r="C24">
            <v>48.409090909090907</v>
          </cell>
          <cell r="D24">
            <v>2.9691340909090909</v>
          </cell>
          <cell r="E24">
            <v>15</v>
          </cell>
        </row>
        <row r="25">
          <cell r="A25" t="str">
            <v>TU-FL-FL</v>
          </cell>
          <cell r="B25" t="str">
            <v>YD</v>
          </cell>
          <cell r="C25">
            <v>14.31818181818182</v>
          </cell>
          <cell r="D25">
            <v>1.9166045454545451</v>
          </cell>
          <cell r="E25">
            <v>29</v>
          </cell>
        </row>
        <row r="26">
          <cell r="A26" t="str">
            <v>SR-KPN-FW</v>
          </cell>
          <cell r="B26" t="str">
            <v>Y</v>
          </cell>
          <cell r="C26">
            <v>17.72727272727273</v>
          </cell>
          <cell r="D26">
            <v>1.0434749999999999</v>
          </cell>
          <cell r="E26">
            <v>53</v>
          </cell>
        </row>
        <row r="27">
          <cell r="A27" t="str">
            <v>W-MLT-MMF</v>
          </cell>
          <cell r="B27" t="str">
            <v>Y</v>
          </cell>
          <cell r="C27">
            <v>33.409090909090907</v>
          </cell>
          <cell r="D27">
            <v>2.3260431818181821</v>
          </cell>
          <cell r="E27">
            <v>24</v>
          </cell>
        </row>
        <row r="28">
          <cell r="A28" t="str">
            <v>S-PTE-M</v>
          </cell>
          <cell r="B28" t="str">
            <v>y</v>
          </cell>
          <cell r="C28">
            <v>137.72727272727269</v>
          </cell>
          <cell r="D28">
            <v>2.9059977272727271</v>
          </cell>
          <cell r="E28">
            <v>17</v>
          </cell>
        </row>
        <row r="29">
          <cell r="A29" t="str">
            <v>SR-KPN-FL</v>
          </cell>
          <cell r="B29" t="str">
            <v>YD</v>
          </cell>
          <cell r="C29">
            <v>19.77272727272727</v>
          </cell>
          <cell r="D29">
            <v>1.22524090909091</v>
          </cell>
          <cell r="E29">
            <v>49</v>
          </cell>
        </row>
        <row r="30">
          <cell r="A30" t="str">
            <v>TU-RWT-LAMI</v>
          </cell>
          <cell r="B30" t="str">
            <v>Y</v>
          </cell>
          <cell r="C30">
            <v>12.95454545454545</v>
          </cell>
          <cell r="D30">
            <v>1.4151477272727271</v>
          </cell>
          <cell r="E30">
            <v>39</v>
          </cell>
        </row>
        <row r="31">
          <cell r="A31" t="str">
            <v>TU-PMG-STMF</v>
          </cell>
          <cell r="B31" t="str">
            <v>Y</v>
          </cell>
          <cell r="C31">
            <v>32.72727272727272</v>
          </cell>
          <cell r="D31">
            <v>0.88549772727272702</v>
          </cell>
          <cell r="E31">
            <v>64</v>
          </cell>
        </row>
        <row r="32">
          <cell r="A32" t="str">
            <v>TU-AYL-M</v>
          </cell>
          <cell r="B32" t="str">
            <v>Y</v>
          </cell>
          <cell r="C32">
            <v>55.22727272727272</v>
          </cell>
          <cell r="D32">
            <v>1.5501818181818181</v>
          </cell>
          <cell r="E32">
            <v>37</v>
          </cell>
        </row>
        <row r="33">
          <cell r="A33" t="str">
            <v>TU-BVN-M</v>
          </cell>
          <cell r="B33" t="str">
            <v>Y</v>
          </cell>
          <cell r="C33">
            <v>19.77272727272727</v>
          </cell>
          <cell r="D33">
            <v>0.82208863636363605</v>
          </cell>
          <cell r="E33">
            <v>69</v>
          </cell>
        </row>
        <row r="34">
          <cell r="A34" t="str">
            <v>B-MLT-D30TM</v>
          </cell>
          <cell r="B34" t="str">
            <v>Y</v>
          </cell>
          <cell r="C34">
            <v>42.954545454545453</v>
          </cell>
          <cell r="D34">
            <v>2.7362386363636371</v>
          </cell>
          <cell r="E34">
            <v>18</v>
          </cell>
        </row>
        <row r="35">
          <cell r="A35" t="str">
            <v>TU-SKD-OF</v>
          </cell>
          <cell r="B35" t="str">
            <v>NL</v>
          </cell>
          <cell r="C35">
            <v>17.72727272727273</v>
          </cell>
          <cell r="D35">
            <v>0.77582045454545401</v>
          </cell>
          <cell r="E35">
            <v>73</v>
          </cell>
        </row>
        <row r="36">
          <cell r="A36" t="str">
            <v>SR-CLM-3M</v>
          </cell>
          <cell r="B36" t="str">
            <v>y</v>
          </cell>
          <cell r="C36">
            <v>111.8181818181818</v>
          </cell>
          <cell r="D36">
            <v>5.6155227272727268</v>
          </cell>
          <cell r="E36">
            <v>6</v>
          </cell>
        </row>
        <row r="37">
          <cell r="A37" t="str">
            <v>SR-BKN-HM</v>
          </cell>
          <cell r="B37" t="str">
            <v>Y</v>
          </cell>
          <cell r="C37">
            <v>40.22727272727272</v>
          </cell>
          <cell r="D37">
            <v>3.4894022727272729</v>
          </cell>
          <cell r="E37">
            <v>9</v>
          </cell>
        </row>
        <row r="38">
          <cell r="A38" t="str">
            <v>TU-SKDL-MF</v>
          </cell>
          <cell r="B38" t="str">
            <v>Y</v>
          </cell>
          <cell r="C38">
            <v>34.772727272727273</v>
          </cell>
          <cell r="D38">
            <v>1.2591068181818179</v>
          </cell>
          <cell r="E38">
            <v>45</v>
          </cell>
        </row>
        <row r="39">
          <cell r="A39" t="str">
            <v>ST-AML-MI</v>
          </cell>
          <cell r="B39" t="str">
            <v>Y</v>
          </cell>
          <cell r="C39">
            <v>70.909090909090907</v>
          </cell>
          <cell r="D39">
            <v>2.517081818181818</v>
          </cell>
          <cell r="E39">
            <v>19</v>
          </cell>
        </row>
        <row r="40">
          <cell r="A40" t="str">
            <v>KC-SRN-M</v>
          </cell>
          <cell r="B40" t="str">
            <v>Y</v>
          </cell>
          <cell r="C40">
            <v>17.04545454545454</v>
          </cell>
          <cell r="D40">
            <v>1.0105840909090911</v>
          </cell>
          <cell r="E40">
            <v>55</v>
          </cell>
        </row>
        <row r="41">
          <cell r="A41" t="str">
            <v>ST-CBN-MF</v>
          </cell>
          <cell r="B41" t="str">
            <v>y</v>
          </cell>
          <cell r="C41">
            <v>19.09090909090909</v>
          </cell>
          <cell r="D41">
            <v>0.99025909090909103</v>
          </cell>
          <cell r="E41">
            <v>58</v>
          </cell>
        </row>
        <row r="42">
          <cell r="A42" t="str">
            <v>TU-ATD-M</v>
          </cell>
          <cell r="B42" t="str">
            <v>y</v>
          </cell>
          <cell r="C42">
            <v>28.63636363636363</v>
          </cell>
          <cell r="D42">
            <v>1.021377272727273</v>
          </cell>
          <cell r="E42">
            <v>54</v>
          </cell>
        </row>
        <row r="43">
          <cell r="A43" t="str">
            <v>SR-BKN-M</v>
          </cell>
          <cell r="B43" t="str">
            <v>Y</v>
          </cell>
          <cell r="C43">
            <v>27.95454545454545</v>
          </cell>
          <cell r="D43">
            <v>1.140054545454545</v>
          </cell>
          <cell r="E43">
            <v>50</v>
          </cell>
        </row>
        <row r="44">
          <cell r="A44" t="str">
            <v>SR-FYN-MF</v>
          </cell>
          <cell r="B44" t="str">
            <v>Y</v>
          </cell>
          <cell r="C44">
            <v>15.68181818181818</v>
          </cell>
          <cell r="D44">
            <v>0.97782954545454503</v>
          </cell>
          <cell r="E44">
            <v>59</v>
          </cell>
        </row>
        <row r="45">
          <cell r="A45" t="str">
            <v>DC-CLV-MF</v>
          </cell>
          <cell r="B45" t="str">
            <v>y</v>
          </cell>
          <cell r="C45">
            <v>21.81818181818182</v>
          </cell>
          <cell r="D45">
            <v>1.473252272727273</v>
          </cell>
          <cell r="E45">
            <v>38</v>
          </cell>
        </row>
        <row r="46">
          <cell r="A46" t="str">
            <v>SR-WHTO-MI</v>
          </cell>
          <cell r="B46" t="str">
            <v>Y</v>
          </cell>
          <cell r="C46">
            <v>36.818181818181813</v>
          </cell>
          <cell r="D46">
            <v>1.6931113636363631</v>
          </cell>
          <cell r="E46">
            <v>34</v>
          </cell>
        </row>
        <row r="47">
          <cell r="A47" t="str">
            <v>TU-CBR-LAM</v>
          </cell>
          <cell r="B47" t="str">
            <v>Y</v>
          </cell>
          <cell r="C47">
            <v>49.772727272727273</v>
          </cell>
          <cell r="D47">
            <v>0.83545909090909098</v>
          </cell>
          <cell r="E47">
            <v>68</v>
          </cell>
        </row>
        <row r="48">
          <cell r="A48" t="str">
            <v>SR-CLM-2M</v>
          </cell>
          <cell r="B48" t="str">
            <v>y</v>
          </cell>
          <cell r="C48">
            <v>56.590909090909079</v>
          </cell>
          <cell r="D48">
            <v>2.007825</v>
          </cell>
          <cell r="E48">
            <v>28</v>
          </cell>
        </row>
        <row r="49">
          <cell r="A49" t="str">
            <v>TU-PMG-LAW</v>
          </cell>
          <cell r="B49" t="str">
            <v>Y</v>
          </cell>
          <cell r="C49">
            <v>25.22727272727273</v>
          </cell>
          <cell r="D49">
            <v>0.78101590909090901</v>
          </cell>
          <cell r="E49">
            <v>70</v>
          </cell>
        </row>
        <row r="50">
          <cell r="A50" t="str">
            <v>TU-CRL-MF</v>
          </cell>
          <cell r="B50" t="str">
            <v>y</v>
          </cell>
          <cell r="C50">
            <v>13.63636363636363</v>
          </cell>
          <cell r="D50">
            <v>0.588565909090909</v>
          </cell>
          <cell r="E50">
            <v>92</v>
          </cell>
        </row>
        <row r="51">
          <cell r="A51" t="str">
            <v>SR-WHTO-M</v>
          </cell>
          <cell r="B51" t="str">
            <v>Y</v>
          </cell>
          <cell r="C51">
            <v>26.59090909090909</v>
          </cell>
          <cell r="D51">
            <v>1.250406818181818</v>
          </cell>
          <cell r="E51">
            <v>46</v>
          </cell>
        </row>
        <row r="52">
          <cell r="A52" t="str">
            <v>SR-MVS-IM</v>
          </cell>
          <cell r="B52" t="str">
            <v>Y</v>
          </cell>
          <cell r="C52">
            <v>66.136363636363626</v>
          </cell>
          <cell r="D52">
            <v>2.4295022727272721</v>
          </cell>
          <cell r="E52">
            <v>20</v>
          </cell>
        </row>
        <row r="53">
          <cell r="A53" t="str">
            <v>TU-PMG-LAMF</v>
          </cell>
          <cell r="B53" t="str">
            <v>Y</v>
          </cell>
          <cell r="C53">
            <v>19.77272727272727</v>
          </cell>
          <cell r="D53">
            <v>0.62800227272727305</v>
          </cell>
          <cell r="E53">
            <v>86</v>
          </cell>
        </row>
        <row r="54">
          <cell r="A54" t="str">
            <v>CT-ATD-STM</v>
          </cell>
          <cell r="B54" t="str">
            <v>Y</v>
          </cell>
          <cell r="C54">
            <v>35.454545454545453</v>
          </cell>
          <cell r="D54">
            <v>0.71359772727272697</v>
          </cell>
          <cell r="E54">
            <v>77</v>
          </cell>
        </row>
        <row r="55">
          <cell r="A55" t="str">
            <v>RT-FR-M</v>
          </cell>
          <cell r="B55" t="str">
            <v>Y</v>
          </cell>
          <cell r="C55">
            <v>15.68181818181818</v>
          </cell>
          <cell r="D55">
            <v>0.608386363636363</v>
          </cell>
          <cell r="E55">
            <v>89</v>
          </cell>
        </row>
        <row r="56">
          <cell r="A56" t="str">
            <v>RT-DR-MF</v>
          </cell>
          <cell r="B56" t="str">
            <v>y</v>
          </cell>
          <cell r="C56">
            <v>14.31818181818182</v>
          </cell>
          <cell r="D56">
            <v>1.0010931818181821</v>
          </cell>
          <cell r="E56">
            <v>56</v>
          </cell>
        </row>
        <row r="57">
          <cell r="A57" t="str">
            <v>SR-WMO-M</v>
          </cell>
          <cell r="B57" t="str">
            <v>NL</v>
          </cell>
          <cell r="C57">
            <v>8.1818181818181817</v>
          </cell>
          <cell r="D57">
            <v>0.44184545454545399</v>
          </cell>
          <cell r="E57">
            <v>108</v>
          </cell>
        </row>
        <row r="58">
          <cell r="A58" t="str">
            <v>SB-CB-M</v>
          </cell>
          <cell r="B58" t="str">
            <v>Y</v>
          </cell>
          <cell r="C58">
            <v>25.90909090909091</v>
          </cell>
          <cell r="D58">
            <v>0.921947727272727</v>
          </cell>
          <cell r="E58">
            <v>63</v>
          </cell>
        </row>
        <row r="59">
          <cell r="A59" t="str">
            <v>W-CLO-3M</v>
          </cell>
          <cell r="B59" t="str">
            <v>Y</v>
          </cell>
          <cell r="C59">
            <v>58.636363636363633</v>
          </cell>
          <cell r="D59">
            <v>1.7831659090909091</v>
          </cell>
          <cell r="E59">
            <v>32</v>
          </cell>
        </row>
        <row r="60">
          <cell r="A60" t="str">
            <v>W-CLO-4M</v>
          </cell>
          <cell r="B60" t="str">
            <v>Y</v>
          </cell>
          <cell r="C60">
            <v>32.04545454545454</v>
          </cell>
          <cell r="D60">
            <v>1.2421295454545449</v>
          </cell>
          <cell r="E60">
            <v>47</v>
          </cell>
        </row>
        <row r="61">
          <cell r="A61" t="str">
            <v>SR-OLY-MI</v>
          </cell>
          <cell r="B61" t="str">
            <v>Y</v>
          </cell>
          <cell r="C61">
            <v>8.8636363636363598</v>
          </cell>
          <cell r="D61">
            <v>0.44017499999999998</v>
          </cell>
          <cell r="E61">
            <v>109</v>
          </cell>
        </row>
        <row r="62">
          <cell r="A62" t="str">
            <v>ST-RDO-M</v>
          </cell>
          <cell r="B62" t="str">
            <v>Y</v>
          </cell>
          <cell r="C62">
            <v>16.36363636363636</v>
          </cell>
          <cell r="D62">
            <v>0.65829545454545402</v>
          </cell>
          <cell r="E62">
            <v>82</v>
          </cell>
        </row>
        <row r="63">
          <cell r="A63" t="str">
            <v>SB-LGN-MI</v>
          </cell>
          <cell r="B63" t="str">
            <v>Y</v>
          </cell>
          <cell r="C63">
            <v>65.454545454545453</v>
          </cell>
          <cell r="D63">
            <v>1.336227272727273</v>
          </cell>
          <cell r="E63">
            <v>43</v>
          </cell>
        </row>
        <row r="64">
          <cell r="A64" t="str">
            <v>SR-CLM-3W</v>
          </cell>
          <cell r="B64" t="str">
            <v>Y</v>
          </cell>
          <cell r="C64">
            <v>12.95454545454545</v>
          </cell>
          <cell r="D64">
            <v>0.67084090909090899</v>
          </cell>
          <cell r="E64">
            <v>79</v>
          </cell>
        </row>
        <row r="65">
          <cell r="A65" t="str">
            <v>TU-LE-M</v>
          </cell>
          <cell r="B65" t="str">
            <v>Y</v>
          </cell>
          <cell r="C65">
            <v>21.13636363636363</v>
          </cell>
          <cell r="D65">
            <v>0.57591136363636397</v>
          </cell>
          <cell r="E65">
            <v>93</v>
          </cell>
        </row>
        <row r="66">
          <cell r="A66" t="str">
            <v>SR-BKN-MF</v>
          </cell>
          <cell r="B66" t="str">
            <v>Y</v>
          </cell>
          <cell r="C66">
            <v>12.27272727272727</v>
          </cell>
          <cell r="D66">
            <v>0.49329545454545398</v>
          </cell>
          <cell r="E66">
            <v>103</v>
          </cell>
        </row>
        <row r="67">
          <cell r="A67" t="str">
            <v>TU-MA-LAMF</v>
          </cell>
          <cell r="B67" t="str">
            <v>Y</v>
          </cell>
          <cell r="C67">
            <v>132.27272727272731</v>
          </cell>
          <cell r="D67">
            <v>1.1107772727272729</v>
          </cell>
          <cell r="E67">
            <v>52</v>
          </cell>
        </row>
        <row r="68">
          <cell r="A68" t="str">
            <v>SR-PRG-MF</v>
          </cell>
          <cell r="B68" t="str">
            <v>Y</v>
          </cell>
          <cell r="C68">
            <v>17.72727272727273</v>
          </cell>
          <cell r="D68">
            <v>0.87868636363636299</v>
          </cell>
          <cell r="E68">
            <v>65</v>
          </cell>
        </row>
        <row r="69">
          <cell r="A69" t="str">
            <v>TU-PMG-STW</v>
          </cell>
          <cell r="B69" t="str">
            <v>Y</v>
          </cell>
          <cell r="C69">
            <v>5.4545454545454541</v>
          </cell>
          <cell r="D69">
            <v>0.15077727272727301</v>
          </cell>
          <cell r="E69">
            <v>192</v>
          </cell>
        </row>
        <row r="70">
          <cell r="A70" t="str">
            <v>W-AND-10NWF</v>
          </cell>
          <cell r="B70" t="str">
            <v>Y</v>
          </cell>
          <cell r="C70">
            <v>7.5</v>
          </cell>
          <cell r="D70">
            <v>0.50090454545454499</v>
          </cell>
          <cell r="E70">
            <v>101</v>
          </cell>
        </row>
        <row r="71">
          <cell r="A71" t="str">
            <v>TU-DSK-M</v>
          </cell>
          <cell r="B71" t="str">
            <v>Y</v>
          </cell>
          <cell r="C71">
            <v>9.5454545454545432</v>
          </cell>
          <cell r="D71">
            <v>0.487765909090909</v>
          </cell>
          <cell r="E71">
            <v>104</v>
          </cell>
        </row>
        <row r="72">
          <cell r="A72" t="str">
            <v>TU-FL-OF</v>
          </cell>
          <cell r="B72" t="str">
            <v>NL</v>
          </cell>
          <cell r="C72">
            <v>2.045454545454545</v>
          </cell>
          <cell r="D72">
            <v>0.23429318181818201</v>
          </cell>
          <cell r="E72">
            <v>156</v>
          </cell>
        </row>
        <row r="73">
          <cell r="A73" t="str">
            <v>TU-KU-LAM</v>
          </cell>
          <cell r="B73" t="str">
            <v>Y</v>
          </cell>
          <cell r="C73">
            <v>10.22727272727273</v>
          </cell>
          <cell r="D73">
            <v>0.250731818181818</v>
          </cell>
          <cell r="E73">
            <v>151</v>
          </cell>
        </row>
        <row r="74">
          <cell r="A74" t="str">
            <v>SB-AXA-W52</v>
          </cell>
          <cell r="B74" t="str">
            <v>Y</v>
          </cell>
          <cell r="C74">
            <v>13.63636363636363</v>
          </cell>
          <cell r="D74">
            <v>0.64896818181818205</v>
          </cell>
          <cell r="E74">
            <v>83</v>
          </cell>
        </row>
        <row r="75">
          <cell r="A75" t="str">
            <v>ST-EFI-LAM</v>
          </cell>
          <cell r="B75" t="str">
            <v>Y</v>
          </cell>
          <cell r="C75">
            <v>32.04545454545454</v>
          </cell>
          <cell r="D75">
            <v>0.77708863636363601</v>
          </cell>
          <cell r="E75">
            <v>71</v>
          </cell>
        </row>
        <row r="76">
          <cell r="A76" t="str">
            <v>W-AND-4NMI</v>
          </cell>
          <cell r="B76" t="str">
            <v>Y</v>
          </cell>
          <cell r="C76">
            <v>2.7272727272727271</v>
          </cell>
          <cell r="D76">
            <v>0.60089999999999999</v>
          </cell>
          <cell r="E76">
            <v>90</v>
          </cell>
        </row>
        <row r="77">
          <cell r="A77" t="str">
            <v>TU-RWT-MWF</v>
          </cell>
          <cell r="B77" t="str">
            <v>Y</v>
          </cell>
          <cell r="C77">
            <v>15.68181818181818</v>
          </cell>
          <cell r="D77">
            <v>0.99038181818181803</v>
          </cell>
          <cell r="E77">
            <v>57</v>
          </cell>
        </row>
        <row r="78">
          <cell r="A78" t="str">
            <v>PU-SUB-F</v>
          </cell>
          <cell r="B78" t="str">
            <v>Y</v>
          </cell>
          <cell r="C78">
            <v>40.909090909090907</v>
          </cell>
          <cell r="D78">
            <v>1.7130136363636359</v>
          </cell>
          <cell r="E78">
            <v>33</v>
          </cell>
        </row>
        <row r="79">
          <cell r="A79" t="str">
            <v>SR-MVS-M</v>
          </cell>
          <cell r="B79" t="str">
            <v>Y</v>
          </cell>
          <cell r="C79">
            <v>17.72727272727273</v>
          </cell>
          <cell r="D79">
            <v>0.87323181818181805</v>
          </cell>
          <cell r="E79">
            <v>66</v>
          </cell>
        </row>
        <row r="80">
          <cell r="A80" t="str">
            <v>ST-EFI-STM</v>
          </cell>
          <cell r="B80" t="str">
            <v>Y</v>
          </cell>
          <cell r="C80">
            <v>10.90909090909091</v>
          </cell>
          <cell r="D80">
            <v>0.18840000000000001</v>
          </cell>
          <cell r="E80">
            <v>176</v>
          </cell>
        </row>
        <row r="81">
          <cell r="A81" t="str">
            <v>SB-VNO-M</v>
          </cell>
          <cell r="B81" t="str">
            <v>Y</v>
          </cell>
          <cell r="C81">
            <v>50.454545454545453</v>
          </cell>
          <cell r="D81">
            <v>1.620122727272727</v>
          </cell>
          <cell r="E81">
            <v>35</v>
          </cell>
        </row>
        <row r="82">
          <cell r="A82" t="str">
            <v>SB-LGN.P-WF</v>
          </cell>
          <cell r="B82" t="str">
            <v>Y</v>
          </cell>
          <cell r="C82">
            <v>27.27272727272727</v>
          </cell>
          <cell r="D82">
            <v>0.53757272727272698</v>
          </cell>
          <cell r="E82">
            <v>99</v>
          </cell>
        </row>
        <row r="83">
          <cell r="A83" t="str">
            <v>SB-MXL-LAMI</v>
          </cell>
          <cell r="B83" t="str">
            <v>DI</v>
          </cell>
          <cell r="C83">
            <v>7.5</v>
          </cell>
          <cell r="D83">
            <v>0.26426590909090902</v>
          </cell>
          <cell r="E83">
            <v>148</v>
          </cell>
        </row>
        <row r="84">
          <cell r="A84" t="str">
            <v>TU-RWT-LAWF</v>
          </cell>
          <cell r="B84" t="str">
            <v>Y</v>
          </cell>
          <cell r="C84">
            <v>6.1363636363636349</v>
          </cell>
          <cell r="D84">
            <v>0.66587727272727304</v>
          </cell>
          <cell r="E84">
            <v>80</v>
          </cell>
        </row>
        <row r="85">
          <cell r="A85" t="str">
            <v>DC-MYN-LAMF</v>
          </cell>
          <cell r="B85" t="str">
            <v>y</v>
          </cell>
          <cell r="C85">
            <v>10.90909090909091</v>
          </cell>
          <cell r="D85">
            <v>1.1296568181818181</v>
          </cell>
          <cell r="E85">
            <v>51</v>
          </cell>
        </row>
        <row r="86">
          <cell r="A86" t="str">
            <v>SR-KPN-OF</v>
          </cell>
          <cell r="B86" t="str">
            <v>NL</v>
          </cell>
          <cell r="C86">
            <v>4.0909090909090908</v>
          </cell>
          <cell r="D86">
            <v>0.23491363636363599</v>
          </cell>
          <cell r="E86">
            <v>155</v>
          </cell>
        </row>
        <row r="87">
          <cell r="A87" t="str">
            <v>TU-GAU-M</v>
          </cell>
          <cell r="B87" t="str">
            <v>Y</v>
          </cell>
          <cell r="C87">
            <v>15</v>
          </cell>
          <cell r="D87">
            <v>0.50243181818181804</v>
          </cell>
          <cell r="E87">
            <v>100</v>
          </cell>
        </row>
        <row r="88">
          <cell r="A88" t="str">
            <v>SB-WLB-MF</v>
          </cell>
          <cell r="B88" t="str">
            <v>Y</v>
          </cell>
          <cell r="C88">
            <v>14.31818181818182</v>
          </cell>
          <cell r="D88">
            <v>0.39174545454545401</v>
          </cell>
          <cell r="E88">
            <v>116</v>
          </cell>
        </row>
        <row r="89">
          <cell r="A89" t="str">
            <v>S-PTE-W</v>
          </cell>
          <cell r="B89" t="str">
            <v>Y</v>
          </cell>
          <cell r="C89">
            <v>25.90909090909091</v>
          </cell>
          <cell r="D89">
            <v>0.55166590909090896</v>
          </cell>
          <cell r="E89">
            <v>95</v>
          </cell>
        </row>
        <row r="90">
          <cell r="A90" t="str">
            <v>CT-VC-W</v>
          </cell>
          <cell r="B90" t="str">
            <v>Y</v>
          </cell>
          <cell r="C90">
            <v>21.13636363636363</v>
          </cell>
          <cell r="D90">
            <v>0.54276136363636396</v>
          </cell>
          <cell r="E90">
            <v>97</v>
          </cell>
        </row>
        <row r="91">
          <cell r="A91" t="str">
            <v>SR-CLM-2W</v>
          </cell>
          <cell r="B91" t="str">
            <v>y</v>
          </cell>
          <cell r="C91">
            <v>13.63636363636363</v>
          </cell>
          <cell r="D91">
            <v>0.497243181818182</v>
          </cell>
          <cell r="E91">
            <v>102</v>
          </cell>
        </row>
        <row r="92">
          <cell r="A92" t="str">
            <v>CT-OSN-RTM</v>
          </cell>
          <cell r="B92" t="str">
            <v>Y</v>
          </cell>
          <cell r="C92">
            <v>26.59090909090909</v>
          </cell>
          <cell r="D92">
            <v>0.41880681818181797</v>
          </cell>
          <cell r="E92">
            <v>112</v>
          </cell>
        </row>
        <row r="93">
          <cell r="A93" t="str">
            <v>SB-MXL-LAWF</v>
          </cell>
          <cell r="B93" t="str">
            <v>Y</v>
          </cell>
          <cell r="C93">
            <v>7.5</v>
          </cell>
          <cell r="D93">
            <v>0.26720454545454497</v>
          </cell>
          <cell r="E93">
            <v>145</v>
          </cell>
        </row>
        <row r="94">
          <cell r="A94" t="str">
            <v>S-BR-F6W</v>
          </cell>
          <cell r="B94" t="str">
            <v>Y</v>
          </cell>
          <cell r="C94">
            <v>9.5454545454545432</v>
          </cell>
          <cell r="D94">
            <v>0.148254545454545</v>
          </cell>
          <cell r="E94">
            <v>194</v>
          </cell>
        </row>
        <row r="95">
          <cell r="A95" t="str">
            <v>RG-KHS-SW-W1</v>
          </cell>
          <cell r="B95" t="str">
            <v>Y</v>
          </cell>
          <cell r="C95">
            <v>66.136363636363626</v>
          </cell>
          <cell r="D95">
            <v>0.28947954545454502</v>
          </cell>
          <cell r="E95">
            <v>137</v>
          </cell>
        </row>
        <row r="96">
          <cell r="A96" t="str">
            <v>B-RVB-QNM</v>
          </cell>
          <cell r="B96" t="str">
            <v>Y</v>
          </cell>
          <cell r="C96">
            <v>15.68181818181818</v>
          </cell>
          <cell r="D96">
            <v>1.385434090909091</v>
          </cell>
          <cell r="E96">
            <v>41</v>
          </cell>
        </row>
        <row r="97">
          <cell r="A97" t="str">
            <v>ST-MLM-WS</v>
          </cell>
          <cell r="B97" t="str">
            <v>Y</v>
          </cell>
          <cell r="C97">
            <v>21.13636363636363</v>
          </cell>
          <cell r="D97">
            <v>0.62507727272727298</v>
          </cell>
          <cell r="E97">
            <v>87</v>
          </cell>
        </row>
        <row r="98">
          <cell r="A98" t="str">
            <v>TU-TK-LAMI</v>
          </cell>
          <cell r="B98" t="str">
            <v>Y</v>
          </cell>
          <cell r="C98">
            <v>20.45454545454545</v>
          </cell>
          <cell r="D98">
            <v>0.324320454545454</v>
          </cell>
          <cell r="E98">
            <v>129</v>
          </cell>
        </row>
        <row r="99">
          <cell r="A99" t="str">
            <v>W-BNO-MF</v>
          </cell>
          <cell r="B99" t="str">
            <v>Y</v>
          </cell>
          <cell r="C99">
            <v>10.90909090909091</v>
          </cell>
          <cell r="D99">
            <v>0.600252272727273</v>
          </cell>
          <cell r="E99">
            <v>91</v>
          </cell>
        </row>
        <row r="100">
          <cell r="A100" t="str">
            <v>ST-KYA-M</v>
          </cell>
          <cell r="B100" t="str">
            <v>Y</v>
          </cell>
          <cell r="C100">
            <v>16.36363636363636</v>
          </cell>
          <cell r="D100">
            <v>0.64564090909090899</v>
          </cell>
          <cell r="E100">
            <v>84</v>
          </cell>
        </row>
        <row r="101">
          <cell r="A101" t="str">
            <v>SB-WA-M</v>
          </cell>
          <cell r="B101" t="str">
            <v>Y</v>
          </cell>
          <cell r="C101">
            <v>15.68181818181818</v>
          </cell>
          <cell r="D101">
            <v>0.23123863636363601</v>
          </cell>
          <cell r="E101">
            <v>158</v>
          </cell>
        </row>
        <row r="102">
          <cell r="A102" t="str">
            <v>ST-MLM-NMF</v>
          </cell>
          <cell r="B102" t="str">
            <v>Y</v>
          </cell>
          <cell r="C102">
            <v>8.1818181818181817</v>
          </cell>
          <cell r="D102">
            <v>0.22186363636363601</v>
          </cell>
          <cell r="E102">
            <v>164</v>
          </cell>
        </row>
        <row r="103">
          <cell r="A103" t="str">
            <v>TU-PMS-LAW</v>
          </cell>
          <cell r="B103" t="str">
            <v>Y</v>
          </cell>
          <cell r="C103">
            <v>7.5</v>
          </cell>
          <cell r="D103">
            <v>0.142943181818182</v>
          </cell>
          <cell r="E103">
            <v>198</v>
          </cell>
        </row>
        <row r="104">
          <cell r="A104" t="str">
            <v>KC-OPT-1NF</v>
          </cell>
          <cell r="B104" t="str">
            <v>Y</v>
          </cell>
          <cell r="C104">
            <v>12.95454545454545</v>
          </cell>
          <cell r="D104">
            <v>0.41166818181818199</v>
          </cell>
          <cell r="E104">
            <v>113</v>
          </cell>
        </row>
        <row r="105">
          <cell r="A105" t="str">
            <v>TU-HMD-MF</v>
          </cell>
          <cell r="B105" t="str">
            <v>y</v>
          </cell>
          <cell r="C105">
            <v>42.272727272727273</v>
          </cell>
          <cell r="D105">
            <v>1.83776590909091</v>
          </cell>
          <cell r="E105">
            <v>30</v>
          </cell>
        </row>
        <row r="106">
          <cell r="A106" t="str">
            <v>TU-PTL-M</v>
          </cell>
          <cell r="B106" t="str">
            <v>Y</v>
          </cell>
          <cell r="C106">
            <v>8.8636363636363598</v>
          </cell>
          <cell r="D106">
            <v>0.29303863636363597</v>
          </cell>
          <cell r="E106">
            <v>135</v>
          </cell>
        </row>
        <row r="107">
          <cell r="A107" t="str">
            <v>SB-WA-WMW</v>
          </cell>
          <cell r="B107" t="str">
            <v>Y</v>
          </cell>
          <cell r="C107">
            <v>23.18181818181818</v>
          </cell>
          <cell r="D107">
            <v>0.36711818181818201</v>
          </cell>
          <cell r="E107">
            <v>119</v>
          </cell>
        </row>
        <row r="108">
          <cell r="A108" t="str">
            <v>SB-BNA-M</v>
          </cell>
          <cell r="B108" t="str">
            <v>Y</v>
          </cell>
          <cell r="C108">
            <v>25.22727272727273</v>
          </cell>
          <cell r="D108">
            <v>0.67567500000000003</v>
          </cell>
          <cell r="E108">
            <v>78</v>
          </cell>
        </row>
        <row r="109">
          <cell r="A109" t="str">
            <v>KC-OPT-2SF</v>
          </cell>
          <cell r="B109" t="str">
            <v>Y</v>
          </cell>
          <cell r="C109">
            <v>12.95454545454545</v>
          </cell>
          <cell r="D109">
            <v>0.740815909090909</v>
          </cell>
          <cell r="E109">
            <v>74</v>
          </cell>
        </row>
        <row r="110">
          <cell r="A110" t="str">
            <v>DC-MYN-STMF</v>
          </cell>
          <cell r="B110" t="str">
            <v>y</v>
          </cell>
          <cell r="C110">
            <v>17.04545454545454</v>
          </cell>
          <cell r="D110">
            <v>1.226577272727273</v>
          </cell>
          <cell r="E110">
            <v>48</v>
          </cell>
        </row>
        <row r="111">
          <cell r="A111" t="str">
            <v>S-LO-L5</v>
          </cell>
          <cell r="B111" t="str">
            <v>YB</v>
          </cell>
          <cell r="C111">
            <v>43.636363636363633</v>
          </cell>
          <cell r="D111">
            <v>0.30715909090909099</v>
          </cell>
          <cell r="E111">
            <v>132</v>
          </cell>
        </row>
        <row r="112">
          <cell r="A112" t="str">
            <v>TU-PMS-STM</v>
          </cell>
          <cell r="B112" t="str">
            <v>Y</v>
          </cell>
          <cell r="C112">
            <v>13.63636363636363</v>
          </cell>
          <cell r="D112">
            <v>0.20834318181818201</v>
          </cell>
          <cell r="E112">
            <v>167</v>
          </cell>
        </row>
        <row r="113">
          <cell r="A113" t="str">
            <v>ST-CBN-SMF</v>
          </cell>
          <cell r="B113" t="str">
            <v>RL</v>
          </cell>
          <cell r="C113">
            <v>12.27272727272727</v>
          </cell>
          <cell r="D113">
            <v>0.28564772727272703</v>
          </cell>
          <cell r="E113">
            <v>138</v>
          </cell>
        </row>
        <row r="114">
          <cell r="A114" t="str">
            <v>SB-MXL-LAMF</v>
          </cell>
          <cell r="B114" t="str">
            <v>Y</v>
          </cell>
          <cell r="C114">
            <v>10.90909090909091</v>
          </cell>
          <cell r="D114">
            <v>0.35589545454545402</v>
          </cell>
          <cell r="E114">
            <v>121</v>
          </cell>
        </row>
        <row r="115">
          <cell r="A115" t="str">
            <v>S-AE-W6</v>
          </cell>
          <cell r="B115" t="str">
            <v>Y</v>
          </cell>
          <cell r="C115">
            <v>14.31818181818182</v>
          </cell>
          <cell r="D115">
            <v>0.419679545454545</v>
          </cell>
          <cell r="E115">
            <v>111</v>
          </cell>
        </row>
        <row r="116">
          <cell r="A116" t="str">
            <v>TU-TK-STMI</v>
          </cell>
          <cell r="B116" t="str">
            <v>Y</v>
          </cell>
          <cell r="C116">
            <v>19.77272727272727</v>
          </cell>
          <cell r="D116">
            <v>0.27964772727272702</v>
          </cell>
          <cell r="E116">
            <v>142</v>
          </cell>
        </row>
        <row r="117">
          <cell r="A117" t="str">
            <v>SB-SN-DMI</v>
          </cell>
          <cell r="B117" t="str">
            <v>Y</v>
          </cell>
          <cell r="C117">
            <v>4.0909090909090908</v>
          </cell>
          <cell r="D117">
            <v>0.225136363636364</v>
          </cell>
          <cell r="E117">
            <v>161</v>
          </cell>
        </row>
        <row r="118">
          <cell r="A118" t="str">
            <v>SB-CB-W</v>
          </cell>
          <cell r="B118" t="str">
            <v>Y</v>
          </cell>
          <cell r="C118">
            <v>19.77272727272727</v>
          </cell>
          <cell r="D118">
            <v>0.73222500000000001</v>
          </cell>
          <cell r="E118">
            <v>75</v>
          </cell>
        </row>
        <row r="119">
          <cell r="A119" t="str">
            <v>KR-JSD-W</v>
          </cell>
          <cell r="B119" t="str">
            <v>Y</v>
          </cell>
          <cell r="C119">
            <v>9.5454545454545432</v>
          </cell>
          <cell r="D119">
            <v>0.13706590909090899</v>
          </cell>
          <cell r="E119">
            <v>204</v>
          </cell>
        </row>
        <row r="120">
          <cell r="A120" t="str">
            <v>S-CRF-M</v>
          </cell>
          <cell r="B120" t="str">
            <v>y</v>
          </cell>
          <cell r="C120">
            <v>23.86363636363636</v>
          </cell>
          <cell r="D120">
            <v>0.37643181818181798</v>
          </cell>
          <cell r="E120">
            <v>118</v>
          </cell>
        </row>
        <row r="121">
          <cell r="A121" t="str">
            <v>CT-LE-M</v>
          </cell>
          <cell r="B121" t="str">
            <v>Y</v>
          </cell>
          <cell r="C121">
            <v>42.954545454545453</v>
          </cell>
          <cell r="D121">
            <v>0.92408863636363603</v>
          </cell>
          <cell r="E121">
            <v>62</v>
          </cell>
        </row>
        <row r="122">
          <cell r="A122" t="str">
            <v>TU-RE-MI</v>
          </cell>
          <cell r="B122" t="str">
            <v>y</v>
          </cell>
          <cell r="C122">
            <v>15</v>
          </cell>
          <cell r="D122">
            <v>0.33883636363636399</v>
          </cell>
          <cell r="E122">
            <v>126</v>
          </cell>
        </row>
        <row r="123">
          <cell r="A123" t="str">
            <v>KC-OPT-1SF</v>
          </cell>
          <cell r="B123" t="str">
            <v>Y</v>
          </cell>
          <cell r="C123">
            <v>8.1818181818181817</v>
          </cell>
          <cell r="D123">
            <v>0.28170000000000001</v>
          </cell>
          <cell r="E123">
            <v>140</v>
          </cell>
        </row>
        <row r="124">
          <cell r="A124" t="str">
            <v>W-AND-2NFW</v>
          </cell>
          <cell r="B124" t="str">
            <v>Y</v>
          </cell>
          <cell r="C124">
            <v>4.7727272727272716</v>
          </cell>
          <cell r="D124">
            <v>0.62464772727272699</v>
          </cell>
          <cell r="E124">
            <v>88</v>
          </cell>
        </row>
        <row r="125">
          <cell r="A125" t="str">
            <v>SB-WA-W</v>
          </cell>
          <cell r="B125" t="str">
            <v>Y</v>
          </cell>
          <cell r="C125">
            <v>20.45454545454545</v>
          </cell>
          <cell r="D125">
            <v>0.313206818181818</v>
          </cell>
          <cell r="E125">
            <v>131</v>
          </cell>
        </row>
        <row r="126">
          <cell r="A126" t="str">
            <v>B-RVB-SNM</v>
          </cell>
          <cell r="B126" t="str">
            <v>Y</v>
          </cell>
          <cell r="C126">
            <v>20.45454545454545</v>
          </cell>
          <cell r="D126">
            <v>1.4038840909090911</v>
          </cell>
          <cell r="E126">
            <v>40</v>
          </cell>
        </row>
        <row r="127">
          <cell r="A127" t="str">
            <v>SB-AXA-52M</v>
          </cell>
          <cell r="B127" t="str">
            <v>y</v>
          </cell>
          <cell r="C127">
            <v>5.4545454545454541</v>
          </cell>
          <cell r="D127">
            <v>0.22452954545454501</v>
          </cell>
          <cell r="E127">
            <v>162</v>
          </cell>
        </row>
        <row r="128">
          <cell r="A128" t="str">
            <v>S-BR-F6L</v>
          </cell>
          <cell r="B128" t="str">
            <v>YB</v>
          </cell>
          <cell r="C128">
            <v>22.5</v>
          </cell>
          <cell r="D128">
            <v>0.331820454545454</v>
          </cell>
          <cell r="E128">
            <v>127</v>
          </cell>
        </row>
        <row r="129">
          <cell r="A129" t="str">
            <v>SB-SN-NW</v>
          </cell>
          <cell r="B129" t="str">
            <v>Y</v>
          </cell>
          <cell r="C129">
            <v>6.1363636363636349</v>
          </cell>
          <cell r="D129">
            <v>0.24332045454545501</v>
          </cell>
          <cell r="E129">
            <v>153</v>
          </cell>
        </row>
        <row r="130">
          <cell r="A130" t="str">
            <v>TU-PM-LAW</v>
          </cell>
          <cell r="B130" t="str">
            <v>Y</v>
          </cell>
          <cell r="C130">
            <v>5.4545454545454541</v>
          </cell>
          <cell r="D130">
            <v>0.12960681818181799</v>
          </cell>
          <cell r="E130">
            <v>211</v>
          </cell>
        </row>
        <row r="131">
          <cell r="A131" t="str">
            <v>ST-CBN-PMF</v>
          </cell>
          <cell r="B131" t="str">
            <v>Y</v>
          </cell>
          <cell r="C131">
            <v>20.45454545454545</v>
          </cell>
          <cell r="D131">
            <v>0.63889772727272698</v>
          </cell>
          <cell r="E131">
            <v>85</v>
          </cell>
        </row>
        <row r="132">
          <cell r="A132" t="str">
            <v>CT-DOV-WF</v>
          </cell>
          <cell r="B132" t="str">
            <v>RL</v>
          </cell>
          <cell r="C132">
            <v>15</v>
          </cell>
          <cell r="D132">
            <v>0.54867272727272698</v>
          </cell>
          <cell r="E132">
            <v>96</v>
          </cell>
        </row>
        <row r="133">
          <cell r="A133" t="str">
            <v>W-MLT-2NMF</v>
          </cell>
          <cell r="B133" t="str">
            <v>Y</v>
          </cell>
          <cell r="C133">
            <v>4.0909090909090908</v>
          </cell>
          <cell r="D133">
            <v>0.31441363636363601</v>
          </cell>
          <cell r="E133">
            <v>130</v>
          </cell>
        </row>
        <row r="134">
          <cell r="A134" t="str">
            <v>S-JVS-W</v>
          </cell>
          <cell r="B134" t="str">
            <v>Y</v>
          </cell>
          <cell r="C134">
            <v>23.18181818181818</v>
          </cell>
          <cell r="D134">
            <v>0.34028181818181802</v>
          </cell>
          <cell r="E134">
            <v>125</v>
          </cell>
        </row>
        <row r="135">
          <cell r="A135" t="str">
            <v>TU-OL-M</v>
          </cell>
          <cell r="B135" t="str">
            <v>Y</v>
          </cell>
          <cell r="C135">
            <v>15.68181818181818</v>
          </cell>
          <cell r="D135">
            <v>0.30302045454545401</v>
          </cell>
          <cell r="E135">
            <v>134</v>
          </cell>
        </row>
        <row r="136">
          <cell r="A136" t="str">
            <v>CT-TR-RTM</v>
          </cell>
          <cell r="B136" t="str">
            <v>Y</v>
          </cell>
          <cell r="C136">
            <v>10.22727272727273</v>
          </cell>
          <cell r="D136">
            <v>0.226806818181818</v>
          </cell>
          <cell r="E136">
            <v>160</v>
          </cell>
        </row>
        <row r="137">
          <cell r="A137" t="str">
            <v>S-LO-5M</v>
          </cell>
          <cell r="B137" t="str">
            <v>Y</v>
          </cell>
          <cell r="C137">
            <v>32.04545454545454</v>
          </cell>
          <cell r="D137">
            <v>0.222409090909091</v>
          </cell>
          <cell r="E137">
            <v>163</v>
          </cell>
        </row>
        <row r="138">
          <cell r="A138" t="str">
            <v>PU-SUB-OF</v>
          </cell>
          <cell r="B138" t="str">
            <v>NL</v>
          </cell>
          <cell r="C138">
            <v>51.818181818181813</v>
          </cell>
          <cell r="D138">
            <v>2.1369750000000001</v>
          </cell>
          <cell r="E138">
            <v>26</v>
          </cell>
        </row>
        <row r="139">
          <cell r="A139" t="str">
            <v>S-CC-M</v>
          </cell>
          <cell r="B139" t="str">
            <v>Y</v>
          </cell>
          <cell r="C139">
            <v>10.22727272727273</v>
          </cell>
          <cell r="D139">
            <v>0.265868181818182</v>
          </cell>
          <cell r="E139">
            <v>146</v>
          </cell>
        </row>
        <row r="140">
          <cell r="A140" t="str">
            <v>KH-SUT-5M</v>
          </cell>
          <cell r="B140" t="str">
            <v>Y</v>
          </cell>
          <cell r="C140">
            <v>132.27272727272731</v>
          </cell>
          <cell r="D140">
            <v>0.25566136363636399</v>
          </cell>
          <cell r="E140">
            <v>150</v>
          </cell>
        </row>
        <row r="141">
          <cell r="A141" t="str">
            <v>BT-NHE-M</v>
          </cell>
          <cell r="B141" t="str">
            <v>Y</v>
          </cell>
          <cell r="C141">
            <v>39.54545454545454</v>
          </cell>
          <cell r="D141">
            <v>0.45796363636363602</v>
          </cell>
          <cell r="E141">
            <v>106</v>
          </cell>
        </row>
        <row r="142">
          <cell r="A142" t="str">
            <v>CT-NO-RTM</v>
          </cell>
          <cell r="B142" t="str">
            <v>Y</v>
          </cell>
          <cell r="C142">
            <v>27.95454545454545</v>
          </cell>
          <cell r="D142">
            <v>0.55867500000000003</v>
          </cell>
          <cell r="E142">
            <v>94</v>
          </cell>
        </row>
        <row r="143">
          <cell r="A143" t="str">
            <v>B-POL-SNWF</v>
          </cell>
          <cell r="B143" t="str">
            <v>Y</v>
          </cell>
          <cell r="C143">
            <v>1.3636363636363631</v>
          </cell>
          <cell r="D143">
            <v>8.9809090909090894E-2</v>
          </cell>
          <cell r="E143">
            <v>234</v>
          </cell>
        </row>
        <row r="144">
          <cell r="A144" t="str">
            <v>ST-MLM-LMF</v>
          </cell>
          <cell r="B144" t="str">
            <v>Y</v>
          </cell>
          <cell r="C144">
            <v>23.86363636363636</v>
          </cell>
          <cell r="D144">
            <v>0.77648181818181805</v>
          </cell>
          <cell r="E144">
            <v>72</v>
          </cell>
        </row>
        <row r="145">
          <cell r="A145" t="str">
            <v>CT-TLY.E-MI</v>
          </cell>
          <cell r="B145" t="str">
            <v>Y</v>
          </cell>
          <cell r="C145">
            <v>6.1363636363636349</v>
          </cell>
          <cell r="D145">
            <v>0.117975</v>
          </cell>
          <cell r="E145">
            <v>217</v>
          </cell>
        </row>
        <row r="146">
          <cell r="A146" t="str">
            <v>ST-MLM-W</v>
          </cell>
          <cell r="B146" t="str">
            <v>Y</v>
          </cell>
          <cell r="C146">
            <v>4.7727272727272716</v>
          </cell>
          <cell r="D146">
            <v>0.16690909090909101</v>
          </cell>
          <cell r="E146">
            <v>185</v>
          </cell>
        </row>
        <row r="147">
          <cell r="A147" t="str">
            <v>S-BR-F6M</v>
          </cell>
          <cell r="B147" t="str">
            <v>y</v>
          </cell>
          <cell r="C147">
            <v>27.95454545454545</v>
          </cell>
          <cell r="D147">
            <v>0.39619772727272701</v>
          </cell>
          <cell r="E147">
            <v>115</v>
          </cell>
        </row>
        <row r="148">
          <cell r="A148" t="str">
            <v>SB-SN-NMI</v>
          </cell>
          <cell r="B148" t="str">
            <v>Y</v>
          </cell>
          <cell r="C148">
            <v>8.8636363636363598</v>
          </cell>
          <cell r="D148">
            <v>0.34189772727272699</v>
          </cell>
          <cell r="E148">
            <v>123</v>
          </cell>
        </row>
        <row r="149">
          <cell r="A149" t="str">
            <v>TU-ETY-MM</v>
          </cell>
          <cell r="B149" t="str">
            <v>Y</v>
          </cell>
          <cell r="C149">
            <v>12.95454545454545</v>
          </cell>
          <cell r="D149">
            <v>0.18775909090909099</v>
          </cell>
          <cell r="E149">
            <v>178</v>
          </cell>
        </row>
        <row r="150">
          <cell r="A150" t="str">
            <v>S-JVS-M</v>
          </cell>
          <cell r="B150" t="str">
            <v>Y</v>
          </cell>
          <cell r="C150">
            <v>25.90909090909091</v>
          </cell>
          <cell r="D150">
            <v>0.37978636363636398</v>
          </cell>
          <cell r="E150">
            <v>117</v>
          </cell>
        </row>
        <row r="151">
          <cell r="A151" t="str">
            <v>TU-RE-LAL</v>
          </cell>
          <cell r="B151" t="str">
            <v>YB</v>
          </cell>
          <cell r="C151">
            <v>4.0909090909090908</v>
          </cell>
          <cell r="D151">
            <v>9.3852272727272701E-2</v>
          </cell>
          <cell r="E151">
            <v>231</v>
          </cell>
        </row>
        <row r="152">
          <cell r="A152" t="str">
            <v>S-CRF-W</v>
          </cell>
          <cell r="B152" t="str">
            <v>Y</v>
          </cell>
          <cell r="C152">
            <v>27.27272727272727</v>
          </cell>
          <cell r="D152">
            <v>0.46162500000000001</v>
          </cell>
          <cell r="E152">
            <v>105</v>
          </cell>
        </row>
        <row r="153">
          <cell r="A153" t="str">
            <v>TP-MTA-M</v>
          </cell>
          <cell r="B153" t="str">
            <v>Y</v>
          </cell>
          <cell r="C153">
            <v>5.4545454545454541</v>
          </cell>
          <cell r="D153">
            <v>0.15566590909090899</v>
          </cell>
          <cell r="E153">
            <v>188</v>
          </cell>
        </row>
        <row r="154">
          <cell r="A154" t="str">
            <v>TU-RYE-LAMI</v>
          </cell>
          <cell r="B154" t="str">
            <v>Y</v>
          </cell>
          <cell r="C154">
            <v>3.4090909090909092</v>
          </cell>
          <cell r="D154">
            <v>0.14244545454545501</v>
          </cell>
          <cell r="E154">
            <v>199</v>
          </cell>
        </row>
        <row r="155">
          <cell r="A155" t="str">
            <v>TU-KVD-LAW</v>
          </cell>
          <cell r="B155" t="str">
            <v>Y</v>
          </cell>
          <cell r="C155">
            <v>8.8636363636363598</v>
          </cell>
          <cell r="D155">
            <v>0.101843181818182</v>
          </cell>
          <cell r="E155">
            <v>227</v>
          </cell>
        </row>
        <row r="156">
          <cell r="A156" t="str">
            <v>MD-TNO-LAM</v>
          </cell>
          <cell r="B156" t="str">
            <v>Y</v>
          </cell>
          <cell r="C156">
            <v>4.7727272727272716</v>
          </cell>
          <cell r="D156">
            <v>0.127561363636364</v>
          </cell>
          <cell r="E156">
            <v>213</v>
          </cell>
        </row>
        <row r="157">
          <cell r="A157" t="str">
            <v>SB-SN-DW</v>
          </cell>
          <cell r="B157" t="str">
            <v>Y</v>
          </cell>
          <cell r="C157">
            <v>6.8181818181818166</v>
          </cell>
          <cell r="D157">
            <v>0.34085454545454502</v>
          </cell>
          <cell r="E157">
            <v>124</v>
          </cell>
        </row>
        <row r="158">
          <cell r="A158" t="str">
            <v>SB-AXA-51M</v>
          </cell>
          <cell r="B158" t="str">
            <v>Y</v>
          </cell>
          <cell r="C158">
            <v>6.8181818181818166</v>
          </cell>
          <cell r="D158">
            <v>0.23111590909090901</v>
          </cell>
          <cell r="E158">
            <v>159</v>
          </cell>
        </row>
        <row r="159">
          <cell r="A159" t="str">
            <v>TS-NL-LAM</v>
          </cell>
          <cell r="B159" t="str">
            <v>RL</v>
          </cell>
          <cell r="C159">
            <v>14.31818181818182</v>
          </cell>
          <cell r="D159">
            <v>0.116577272727273</v>
          </cell>
          <cell r="E159">
            <v>219</v>
          </cell>
        </row>
        <row r="160">
          <cell r="A160" t="str">
            <v>W-AND-4NFW</v>
          </cell>
          <cell r="B160" t="str">
            <v>Y</v>
          </cell>
          <cell r="C160">
            <v>2.045454545454545</v>
          </cell>
          <cell r="D160">
            <v>0.44403409090909102</v>
          </cell>
          <cell r="E160">
            <v>107</v>
          </cell>
        </row>
        <row r="161">
          <cell r="A161" t="str">
            <v>CT-KV-RTM</v>
          </cell>
          <cell r="B161" t="str">
            <v>RL</v>
          </cell>
          <cell r="C161">
            <v>7.5</v>
          </cell>
          <cell r="D161">
            <v>0.189988636363636</v>
          </cell>
          <cell r="E161">
            <v>175</v>
          </cell>
        </row>
        <row r="162">
          <cell r="A162" t="str">
            <v>ST-RE-W</v>
          </cell>
          <cell r="B162" t="str">
            <v>Y</v>
          </cell>
          <cell r="C162">
            <v>6.8181818181818166</v>
          </cell>
          <cell r="D162">
            <v>0.201709090909091</v>
          </cell>
          <cell r="E162">
            <v>169</v>
          </cell>
        </row>
        <row r="163">
          <cell r="A163" t="str">
            <v>TU-PM-STW</v>
          </cell>
          <cell r="B163" t="str">
            <v>Y</v>
          </cell>
          <cell r="C163">
            <v>16.36363636363636</v>
          </cell>
          <cell r="D163">
            <v>0.28512272727272697</v>
          </cell>
          <cell r="E163">
            <v>139</v>
          </cell>
        </row>
        <row r="164">
          <cell r="A164" t="str">
            <v>KH-TO-18W</v>
          </cell>
          <cell r="B164" t="str">
            <v>Y</v>
          </cell>
          <cell r="C164">
            <v>21.81818181818182</v>
          </cell>
          <cell r="D164">
            <v>0.20598409090909101</v>
          </cell>
          <cell r="E164">
            <v>168</v>
          </cell>
        </row>
        <row r="165">
          <cell r="A165" t="str">
            <v>W-AND-4MFW</v>
          </cell>
          <cell r="B165" t="str">
            <v>Y</v>
          </cell>
          <cell r="C165">
            <v>0.68181818181818199</v>
          </cell>
          <cell r="D165">
            <v>0.13289999999999999</v>
          </cell>
          <cell r="E165">
            <v>206</v>
          </cell>
        </row>
        <row r="166">
          <cell r="A166" t="str">
            <v>S-BR-6M</v>
          </cell>
          <cell r="B166" t="str">
            <v>Y</v>
          </cell>
          <cell r="C166">
            <v>7.5</v>
          </cell>
          <cell r="D166">
            <v>8.4034090909090906E-2</v>
          </cell>
          <cell r="E166">
            <v>237</v>
          </cell>
        </row>
        <row r="167">
          <cell r="A167" t="str">
            <v>SB-CS-LAM</v>
          </cell>
          <cell r="B167" t="str">
            <v>Y</v>
          </cell>
          <cell r="C167">
            <v>11.59090909090909</v>
          </cell>
          <cell r="D167">
            <v>0.18179318181818199</v>
          </cell>
          <cell r="E167">
            <v>181</v>
          </cell>
        </row>
        <row r="168">
          <cell r="A168" t="str">
            <v>TU-ETY-LAM</v>
          </cell>
          <cell r="B168" t="str">
            <v>Y</v>
          </cell>
          <cell r="C168">
            <v>4.0909090909090908</v>
          </cell>
          <cell r="D168">
            <v>0.10020681818181799</v>
          </cell>
          <cell r="E168">
            <v>229</v>
          </cell>
        </row>
        <row r="169">
          <cell r="A169" t="str">
            <v>TU-RYE-STMI</v>
          </cell>
          <cell r="B169" t="str">
            <v>Y</v>
          </cell>
          <cell r="C169">
            <v>10.90909090909091</v>
          </cell>
          <cell r="D169">
            <v>0.32836363636363602</v>
          </cell>
          <cell r="E169">
            <v>128</v>
          </cell>
        </row>
        <row r="170">
          <cell r="A170" t="str">
            <v>S-LO-W5</v>
          </cell>
          <cell r="B170" t="str">
            <v>Y</v>
          </cell>
          <cell r="C170">
            <v>38.86363636363636</v>
          </cell>
          <cell r="D170">
            <v>0.26554772727272702</v>
          </cell>
          <cell r="E170">
            <v>147</v>
          </cell>
        </row>
        <row r="171">
          <cell r="A171" t="str">
            <v>W-AND-3MFW</v>
          </cell>
          <cell r="B171" t="str">
            <v>Y</v>
          </cell>
          <cell r="C171">
            <v>8.1818181818181817</v>
          </cell>
          <cell r="D171">
            <v>1.297315909090909</v>
          </cell>
          <cell r="E171">
            <v>44</v>
          </cell>
        </row>
        <row r="172">
          <cell r="A172" t="str">
            <v>BT-OL-DWF</v>
          </cell>
          <cell r="B172" t="str">
            <v>Y</v>
          </cell>
          <cell r="C172">
            <v>11.59090909090909</v>
          </cell>
          <cell r="D172">
            <v>0.219293181818182</v>
          </cell>
          <cell r="E172">
            <v>165</v>
          </cell>
        </row>
        <row r="173">
          <cell r="A173" t="str">
            <v>CT-MT-ROF</v>
          </cell>
          <cell r="B173" t="str">
            <v>Y</v>
          </cell>
          <cell r="C173">
            <v>8.1818181818181817</v>
          </cell>
          <cell r="D173">
            <v>0.14735454545454499</v>
          </cell>
          <cell r="E173">
            <v>195</v>
          </cell>
        </row>
        <row r="174">
          <cell r="A174" t="str">
            <v>CT-MT-RTWF</v>
          </cell>
          <cell r="B174" t="str">
            <v>Y</v>
          </cell>
          <cell r="C174">
            <v>10.22727272727273</v>
          </cell>
          <cell r="D174">
            <v>0.165538636363636</v>
          </cell>
          <cell r="E174">
            <v>186</v>
          </cell>
        </row>
        <row r="175">
          <cell r="A175" t="str">
            <v>RG-KH-SW-W10</v>
          </cell>
          <cell r="B175" t="str">
            <v>Y</v>
          </cell>
          <cell r="C175">
            <v>29.31818181818182</v>
          </cell>
          <cell r="D175">
            <v>0.12979772727272701</v>
          </cell>
          <cell r="E175">
            <v>210</v>
          </cell>
        </row>
        <row r="176">
          <cell r="A176" t="str">
            <v>ST-WLD-MF</v>
          </cell>
          <cell r="B176" t="str">
            <v>RL</v>
          </cell>
          <cell r="C176">
            <v>-4.7727272727272716</v>
          </cell>
          <cell r="D176">
            <v>-0.25251136363636401</v>
          </cell>
          <cell r="E176">
            <v>309</v>
          </cell>
        </row>
        <row r="177">
          <cell r="A177" t="str">
            <v>W-AND-3NFW</v>
          </cell>
          <cell r="B177" t="str">
            <v>Y</v>
          </cell>
          <cell r="C177">
            <v>0.68181818181818199</v>
          </cell>
          <cell r="D177">
            <v>0.15315000000000001</v>
          </cell>
          <cell r="E177">
            <v>189</v>
          </cell>
        </row>
        <row r="178">
          <cell r="A178" t="str">
            <v>S-XD-W</v>
          </cell>
          <cell r="B178" t="str">
            <v>Y</v>
          </cell>
          <cell r="C178">
            <v>10.22727272727273</v>
          </cell>
          <cell r="D178">
            <v>0.18411136363636399</v>
          </cell>
          <cell r="E178">
            <v>179</v>
          </cell>
        </row>
        <row r="179">
          <cell r="A179" t="str">
            <v>PU-SDI-STMF</v>
          </cell>
          <cell r="B179" t="str">
            <v>y</v>
          </cell>
          <cell r="C179">
            <v>12.95454545454545</v>
          </cell>
          <cell r="D179">
            <v>0.30619772727272698</v>
          </cell>
          <cell r="E179">
            <v>133</v>
          </cell>
        </row>
        <row r="180">
          <cell r="A180" t="str">
            <v>CT-SY-M</v>
          </cell>
          <cell r="B180" t="str">
            <v>Y</v>
          </cell>
          <cell r="C180">
            <v>7.5</v>
          </cell>
          <cell r="D180">
            <v>0.166922727272727</v>
          </cell>
          <cell r="E180">
            <v>184</v>
          </cell>
        </row>
        <row r="181">
          <cell r="A181" t="str">
            <v>S-BR-6L</v>
          </cell>
          <cell r="B181" t="str">
            <v>YB</v>
          </cell>
          <cell r="C181">
            <v>14.31818181818182</v>
          </cell>
          <cell r="D181">
            <v>0.16393636363636399</v>
          </cell>
          <cell r="E181">
            <v>187</v>
          </cell>
        </row>
        <row r="182">
          <cell r="A182" t="str">
            <v>TU-MYN-MF</v>
          </cell>
          <cell r="B182" t="str">
            <v>y</v>
          </cell>
          <cell r="C182">
            <v>4.0909090909090908</v>
          </cell>
          <cell r="D182">
            <v>0.28020681818181797</v>
          </cell>
          <cell r="E182">
            <v>141</v>
          </cell>
        </row>
        <row r="183">
          <cell r="A183" t="str">
            <v>SB-MOL-M</v>
          </cell>
          <cell r="B183" t="str">
            <v>Y</v>
          </cell>
          <cell r="C183">
            <v>7.5</v>
          </cell>
          <cell r="D183">
            <v>0.26007272727272701</v>
          </cell>
          <cell r="E183">
            <v>149</v>
          </cell>
        </row>
        <row r="184">
          <cell r="A184" t="str">
            <v>TU-MA-STMF</v>
          </cell>
          <cell r="B184" t="str">
            <v>Y</v>
          </cell>
          <cell r="C184">
            <v>17.72727272727273</v>
          </cell>
          <cell r="D184">
            <v>0.12991363636363601</v>
          </cell>
          <cell r="E184">
            <v>209</v>
          </cell>
        </row>
        <row r="185">
          <cell r="A185" t="str">
            <v>S-BR-6W</v>
          </cell>
          <cell r="B185" t="str">
            <v>Y</v>
          </cell>
          <cell r="C185">
            <v>19.09090909090909</v>
          </cell>
          <cell r="D185">
            <v>0.219170454545455</v>
          </cell>
          <cell r="E185">
            <v>166</v>
          </cell>
        </row>
        <row r="186">
          <cell r="A186" t="str">
            <v>B-MLT-QTMI</v>
          </cell>
          <cell r="B186" t="str">
            <v>y</v>
          </cell>
          <cell r="C186">
            <v>4.0909090909090908</v>
          </cell>
          <cell r="D186">
            <v>0.54107727272727302</v>
          </cell>
          <cell r="E186">
            <v>98</v>
          </cell>
        </row>
        <row r="187">
          <cell r="A187" t="str">
            <v>CT-TYU-M</v>
          </cell>
          <cell r="B187" t="str">
            <v>Y</v>
          </cell>
          <cell r="C187">
            <v>4.7727272727272716</v>
          </cell>
          <cell r="D187">
            <v>0.100506818181818</v>
          </cell>
          <cell r="E187">
            <v>228</v>
          </cell>
        </row>
        <row r="188">
          <cell r="A188" t="str">
            <v>W-AND-2MFW</v>
          </cell>
          <cell r="B188" t="str">
            <v>Y</v>
          </cell>
          <cell r="C188">
            <v>6.8181818181818166</v>
          </cell>
          <cell r="D188">
            <v>0.86178409090909103</v>
          </cell>
          <cell r="E188">
            <v>67</v>
          </cell>
        </row>
        <row r="189">
          <cell r="A189" t="str">
            <v>SB-NBK-MF</v>
          </cell>
          <cell r="B189" t="str">
            <v>Y</v>
          </cell>
          <cell r="C189">
            <v>3.4090909090909092</v>
          </cell>
          <cell r="D189">
            <v>0.114961363636364</v>
          </cell>
          <cell r="E189">
            <v>221</v>
          </cell>
        </row>
        <row r="190">
          <cell r="A190" t="str">
            <v>DT-HE-4W</v>
          </cell>
          <cell r="B190" t="str">
            <v>Y</v>
          </cell>
          <cell r="C190">
            <v>6.8181818181818166</v>
          </cell>
          <cell r="D190">
            <v>0.29061136363636397</v>
          </cell>
          <cell r="E190">
            <v>136</v>
          </cell>
        </row>
        <row r="191">
          <cell r="A191" t="str">
            <v>B-POL-QTFW</v>
          </cell>
          <cell r="B191" t="str">
            <v>Y</v>
          </cell>
          <cell r="C191">
            <v>1.3636363636363631</v>
          </cell>
          <cell r="D191">
            <v>0.15081136363636399</v>
          </cell>
          <cell r="E191">
            <v>190</v>
          </cell>
        </row>
        <row r="192">
          <cell r="A192" t="str">
            <v>RT-AT-W</v>
          </cell>
          <cell r="B192" t="str">
            <v>Y</v>
          </cell>
          <cell r="C192">
            <v>3.4090909090909092</v>
          </cell>
          <cell r="D192">
            <v>0.1227</v>
          </cell>
          <cell r="E192">
            <v>215</v>
          </cell>
        </row>
        <row r="193">
          <cell r="A193" t="str">
            <v>TU-SNQ-LAM</v>
          </cell>
          <cell r="B193" t="str">
            <v>Y</v>
          </cell>
          <cell r="C193">
            <v>2.7272727272727271</v>
          </cell>
          <cell r="D193">
            <v>6.6995454545454497E-2</v>
          </cell>
          <cell r="E193">
            <v>241</v>
          </cell>
        </row>
        <row r="194">
          <cell r="A194" t="str">
            <v>S-AO-W5</v>
          </cell>
          <cell r="B194" t="str">
            <v>Y</v>
          </cell>
          <cell r="C194">
            <v>10.90909090909091</v>
          </cell>
          <cell r="D194">
            <v>0.14297727272727301</v>
          </cell>
          <cell r="E194">
            <v>197</v>
          </cell>
        </row>
        <row r="195">
          <cell r="A195" t="str">
            <v>CT-MT-RTW</v>
          </cell>
          <cell r="B195" t="str">
            <v>Y</v>
          </cell>
          <cell r="C195">
            <v>4.0909090909090908</v>
          </cell>
          <cell r="D195">
            <v>6.5625000000000003E-2</v>
          </cell>
          <cell r="E195">
            <v>242</v>
          </cell>
        </row>
        <row r="196">
          <cell r="A196" t="str">
            <v>MD-TNO-STM</v>
          </cell>
          <cell r="B196" t="str">
            <v>Y</v>
          </cell>
          <cell r="C196">
            <v>23.86363636363636</v>
          </cell>
          <cell r="D196">
            <v>0.43647954545454498</v>
          </cell>
          <cell r="E196">
            <v>110</v>
          </cell>
        </row>
        <row r="197">
          <cell r="A197" t="str">
            <v>CT-OL-M</v>
          </cell>
          <cell r="B197" t="str">
            <v>Y</v>
          </cell>
          <cell r="C197">
            <v>7.5</v>
          </cell>
          <cell r="D197">
            <v>0.137154545454545</v>
          </cell>
          <cell r="E197">
            <v>203</v>
          </cell>
        </row>
        <row r="198">
          <cell r="A198" t="str">
            <v>SB-WA-L</v>
          </cell>
          <cell r="B198" t="str">
            <v>YB</v>
          </cell>
          <cell r="C198">
            <v>15.68181818181818</v>
          </cell>
          <cell r="D198">
            <v>0.248993181818182</v>
          </cell>
          <cell r="E198">
            <v>152</v>
          </cell>
        </row>
        <row r="199">
          <cell r="A199" t="str">
            <v>RT-ALY-W</v>
          </cell>
          <cell r="B199" t="str">
            <v>Y</v>
          </cell>
          <cell r="C199">
            <v>1.3636363636363631</v>
          </cell>
          <cell r="D199">
            <v>6.5202272727272706E-2</v>
          </cell>
          <cell r="E199">
            <v>243</v>
          </cell>
        </row>
        <row r="200">
          <cell r="A200" t="str">
            <v>RG-KH-SW-W21</v>
          </cell>
          <cell r="B200" t="str">
            <v>Y</v>
          </cell>
          <cell r="C200">
            <v>6.8181818181818166</v>
          </cell>
          <cell r="D200">
            <v>6.1254545454545402E-2</v>
          </cell>
          <cell r="E200">
            <v>246</v>
          </cell>
        </row>
        <row r="201">
          <cell r="A201" t="str">
            <v>S-ETN-WF</v>
          </cell>
          <cell r="B201" t="str">
            <v>Y</v>
          </cell>
          <cell r="C201">
            <v>11.59090909090909</v>
          </cell>
          <cell r="D201">
            <v>0.115227272727273</v>
          </cell>
          <cell r="E201">
            <v>220</v>
          </cell>
        </row>
        <row r="202">
          <cell r="A202" t="str">
            <v>CT-ETE-M</v>
          </cell>
          <cell r="B202" t="str">
            <v>Y</v>
          </cell>
          <cell r="C202">
            <v>8.8636363636363598</v>
          </cell>
          <cell r="D202">
            <v>0.19173409090909099</v>
          </cell>
          <cell r="E202">
            <v>173</v>
          </cell>
        </row>
        <row r="203">
          <cell r="A203" t="str">
            <v>RG-KH-SW-WB</v>
          </cell>
          <cell r="B203" t="str">
            <v>Y</v>
          </cell>
          <cell r="C203">
            <v>47.04545454545454</v>
          </cell>
          <cell r="D203">
            <v>0.13242954545454499</v>
          </cell>
          <cell r="E203">
            <v>207</v>
          </cell>
        </row>
        <row r="204">
          <cell r="A204" t="str">
            <v>B-RVB-QNLF</v>
          </cell>
          <cell r="B204" t="str">
            <v>YB</v>
          </cell>
          <cell r="C204">
            <v>0</v>
          </cell>
          <cell r="D204">
            <v>0</v>
          </cell>
          <cell r="E204">
            <v>275</v>
          </cell>
        </row>
        <row r="205">
          <cell r="A205" t="str">
            <v>TU-PMP-LAWF</v>
          </cell>
          <cell r="B205" t="str">
            <v>Y</v>
          </cell>
          <cell r="C205">
            <v>5.4545454545454541</v>
          </cell>
          <cell r="D205">
            <v>0.14164772727272701</v>
          </cell>
          <cell r="E205">
            <v>201</v>
          </cell>
        </row>
        <row r="206">
          <cell r="A206" t="str">
            <v>KH-SUT-10M</v>
          </cell>
          <cell r="B206" t="str">
            <v>Y</v>
          </cell>
          <cell r="C206">
            <v>64.772727272727266</v>
          </cell>
          <cell r="D206">
            <v>0.20098636363636399</v>
          </cell>
          <cell r="E206">
            <v>170</v>
          </cell>
        </row>
        <row r="207">
          <cell r="A207" t="str">
            <v>W-AND-12NWF</v>
          </cell>
          <cell r="B207" t="str">
            <v>Y</v>
          </cell>
          <cell r="C207">
            <v>2.7272727272727271</v>
          </cell>
          <cell r="D207">
            <v>0.240559090909091</v>
          </cell>
          <cell r="E207">
            <v>154</v>
          </cell>
        </row>
        <row r="208">
          <cell r="A208" t="str">
            <v>RH-RL-W</v>
          </cell>
          <cell r="B208" t="str">
            <v>Y</v>
          </cell>
          <cell r="C208">
            <v>14.31818181818182</v>
          </cell>
          <cell r="D208">
            <v>6.8775000000000003E-2</v>
          </cell>
          <cell r="E208">
            <v>239</v>
          </cell>
        </row>
        <row r="209">
          <cell r="A209" t="str">
            <v>TU-MLE-M</v>
          </cell>
          <cell r="B209" t="str">
            <v>Y</v>
          </cell>
          <cell r="C209">
            <v>11.59090909090909</v>
          </cell>
          <cell r="D209">
            <v>0.119297727272727</v>
          </cell>
          <cell r="E209">
            <v>216</v>
          </cell>
        </row>
        <row r="210">
          <cell r="A210" t="str">
            <v>TU-ETY-STM</v>
          </cell>
          <cell r="B210" t="str">
            <v>Y</v>
          </cell>
          <cell r="C210">
            <v>9.5454545454545432</v>
          </cell>
          <cell r="D210">
            <v>0.19799318181818201</v>
          </cell>
          <cell r="E210">
            <v>171</v>
          </cell>
        </row>
        <row r="211">
          <cell r="A211" t="str">
            <v>S-RY-M</v>
          </cell>
          <cell r="B211" t="str">
            <v>Y</v>
          </cell>
          <cell r="C211">
            <v>19.77272727272727</v>
          </cell>
          <cell r="D211">
            <v>0.15081136363636399</v>
          </cell>
          <cell r="E211">
            <v>190</v>
          </cell>
        </row>
        <row r="212">
          <cell r="A212" t="str">
            <v>SB-JMY-M</v>
          </cell>
          <cell r="B212" t="str">
            <v>Y</v>
          </cell>
          <cell r="C212">
            <v>4.0909090909090908</v>
          </cell>
          <cell r="D212">
            <v>0.138654545454545</v>
          </cell>
          <cell r="E212">
            <v>202</v>
          </cell>
        </row>
        <row r="213">
          <cell r="A213" t="str">
            <v>S-CC-W</v>
          </cell>
          <cell r="B213" t="str">
            <v>Y</v>
          </cell>
          <cell r="C213">
            <v>2.045454545454545</v>
          </cell>
          <cell r="D213">
            <v>5.1852272727272698E-2</v>
          </cell>
          <cell r="E213">
            <v>249</v>
          </cell>
        </row>
        <row r="214">
          <cell r="A214" t="str">
            <v>SB-PH-W</v>
          </cell>
          <cell r="B214" t="str">
            <v>Y</v>
          </cell>
          <cell r="C214">
            <v>8.8636363636363598</v>
          </cell>
          <cell r="D214">
            <v>5.0209090909090898E-2</v>
          </cell>
          <cell r="E214">
            <v>251</v>
          </cell>
        </row>
        <row r="215">
          <cell r="A215" t="str">
            <v>S-AB-W4</v>
          </cell>
          <cell r="B215" t="str">
            <v>Y</v>
          </cell>
          <cell r="C215">
            <v>8.1818181818181817</v>
          </cell>
          <cell r="D215">
            <v>0.117818181818182</v>
          </cell>
          <cell r="E215">
            <v>218</v>
          </cell>
        </row>
        <row r="216">
          <cell r="A216" t="str">
            <v>TS-FV-W</v>
          </cell>
          <cell r="B216" t="str">
            <v>Y</v>
          </cell>
          <cell r="C216">
            <v>5.4545454545454541</v>
          </cell>
          <cell r="D216">
            <v>8.3134090909090894E-2</v>
          </cell>
          <cell r="E216">
            <v>238</v>
          </cell>
        </row>
        <row r="217">
          <cell r="A217" t="str">
            <v>RH-OT-WT</v>
          </cell>
          <cell r="B217" t="str">
            <v>Y</v>
          </cell>
          <cell r="C217">
            <v>13.63636363636363</v>
          </cell>
          <cell r="D217">
            <v>6.7452272727272694E-2</v>
          </cell>
          <cell r="E217">
            <v>240</v>
          </cell>
        </row>
        <row r="218">
          <cell r="A218" t="str">
            <v>KC-OPT-2NF</v>
          </cell>
          <cell r="B218" t="str">
            <v>Y</v>
          </cell>
          <cell r="C218">
            <v>2.045454545454545</v>
          </cell>
          <cell r="D218">
            <v>0.113754545454545</v>
          </cell>
          <cell r="E218">
            <v>223</v>
          </cell>
        </row>
        <row r="219">
          <cell r="A219" t="str">
            <v>B-RVB-D36NM</v>
          </cell>
          <cell r="B219" t="str">
            <v>Y</v>
          </cell>
          <cell r="C219">
            <v>4.7727272727272716</v>
          </cell>
          <cell r="D219">
            <v>0.27422727272727299</v>
          </cell>
          <cell r="E219">
            <v>143</v>
          </cell>
        </row>
        <row r="220">
          <cell r="A220" t="str">
            <v>CT-MT-ROW</v>
          </cell>
          <cell r="B220" t="str">
            <v>Y</v>
          </cell>
          <cell r="C220">
            <v>3.4090909090909092</v>
          </cell>
          <cell r="D220">
            <v>6.3545454545454502E-2</v>
          </cell>
          <cell r="E220">
            <v>245</v>
          </cell>
        </row>
        <row r="221">
          <cell r="A221" t="str">
            <v>SB-MPL-W</v>
          </cell>
          <cell r="B221" t="str">
            <v>Y</v>
          </cell>
          <cell r="C221">
            <v>8.1818181818181817</v>
          </cell>
          <cell r="D221">
            <v>0.10304318181818201</v>
          </cell>
          <cell r="E221">
            <v>226</v>
          </cell>
        </row>
        <row r="222">
          <cell r="A222" t="str">
            <v>TS-NL-W</v>
          </cell>
          <cell r="B222" t="str">
            <v>Y</v>
          </cell>
          <cell r="C222">
            <v>14.31818181818182</v>
          </cell>
          <cell r="D222">
            <v>4.86272727272727E-2</v>
          </cell>
          <cell r="E222">
            <v>252</v>
          </cell>
        </row>
        <row r="223">
          <cell r="A223" t="str">
            <v>S-LO-FW5</v>
          </cell>
          <cell r="B223" t="str">
            <v>YB</v>
          </cell>
          <cell r="C223">
            <v>13.63636363636363</v>
          </cell>
          <cell r="D223">
            <v>9.4731818181818195E-2</v>
          </cell>
          <cell r="E223">
            <v>230</v>
          </cell>
        </row>
        <row r="224">
          <cell r="A224" t="str">
            <v>SH-DVN-M</v>
          </cell>
          <cell r="B224" t="str">
            <v>Y</v>
          </cell>
          <cell r="C224">
            <v>36.818181818181813</v>
          </cell>
          <cell r="D224">
            <v>0.14216590909090901</v>
          </cell>
          <cell r="E224">
            <v>200</v>
          </cell>
        </row>
        <row r="225">
          <cell r="A225" t="str">
            <v>S-ATL-W</v>
          </cell>
          <cell r="B225" t="str">
            <v>Y</v>
          </cell>
          <cell r="C225">
            <v>7.5</v>
          </cell>
          <cell r="D225">
            <v>6.43772727272727E-2</v>
          </cell>
          <cell r="E225">
            <v>244</v>
          </cell>
        </row>
        <row r="226">
          <cell r="A226" t="str">
            <v>BT-OL-M</v>
          </cell>
          <cell r="B226" t="str">
            <v>Y</v>
          </cell>
          <cell r="C226">
            <v>7.5</v>
          </cell>
          <cell r="D226">
            <v>0.11376136363636399</v>
          </cell>
          <cell r="E226">
            <v>222</v>
          </cell>
        </row>
        <row r="227">
          <cell r="A227" t="str">
            <v>S-AI-W</v>
          </cell>
          <cell r="B227" t="str">
            <v>Y</v>
          </cell>
          <cell r="C227">
            <v>10.90909090909091</v>
          </cell>
          <cell r="D227">
            <v>9.1643181818181804E-2</v>
          </cell>
          <cell r="E227">
            <v>232</v>
          </cell>
        </row>
        <row r="228">
          <cell r="A228" t="str">
            <v>PF-NAH-ROF</v>
          </cell>
          <cell r="B228" t="str">
            <v>Y</v>
          </cell>
          <cell r="C228">
            <v>6.8181818181818166</v>
          </cell>
          <cell r="D228">
            <v>8.9822727272727207E-2</v>
          </cell>
          <cell r="E228">
            <v>233</v>
          </cell>
        </row>
        <row r="229">
          <cell r="A229" t="str">
            <v>SB-ASG-M</v>
          </cell>
          <cell r="B229" t="str">
            <v>y</v>
          </cell>
          <cell r="C229">
            <v>8.1818181818181817</v>
          </cell>
          <cell r="D229">
            <v>0.19755</v>
          </cell>
          <cell r="E229">
            <v>172</v>
          </cell>
        </row>
        <row r="230">
          <cell r="A230" t="str">
            <v>SB-AA-WD</v>
          </cell>
          <cell r="B230" t="str">
            <v>Y</v>
          </cell>
          <cell r="C230">
            <v>3.4090909090909092</v>
          </cell>
          <cell r="D230">
            <v>1.4972727272727301E-2</v>
          </cell>
          <cell r="E230">
            <v>264</v>
          </cell>
        </row>
        <row r="231">
          <cell r="A231" t="str">
            <v>S-GRB-W</v>
          </cell>
          <cell r="B231" t="str">
            <v>Y</v>
          </cell>
          <cell r="C231">
            <v>2.045454545454545</v>
          </cell>
          <cell r="D231">
            <v>1.61386363636364E-2</v>
          </cell>
          <cell r="E231">
            <v>263</v>
          </cell>
        </row>
        <row r="232">
          <cell r="A232" t="str">
            <v>KH-TO-40W</v>
          </cell>
          <cell r="B232" t="str">
            <v>Y</v>
          </cell>
          <cell r="C232">
            <v>2.7272727272727271</v>
          </cell>
          <cell r="D232">
            <v>4.8300000000000003E-2</v>
          </cell>
          <cell r="E232">
            <v>253</v>
          </cell>
        </row>
        <row r="233">
          <cell r="A233" t="str">
            <v>TU-ARO-LAM</v>
          </cell>
          <cell r="B233" t="str">
            <v>Y</v>
          </cell>
          <cell r="C233">
            <v>10.22727272727273</v>
          </cell>
          <cell r="D233">
            <v>0.14527499999999999</v>
          </cell>
          <cell r="E233">
            <v>196</v>
          </cell>
        </row>
        <row r="234">
          <cell r="A234" t="str">
            <v>KH-TOC-40F</v>
          </cell>
          <cell r="B234" t="str">
            <v>YH</v>
          </cell>
          <cell r="C234">
            <v>0</v>
          </cell>
          <cell r="D234">
            <v>0</v>
          </cell>
          <cell r="E234">
            <v>275</v>
          </cell>
        </row>
        <row r="235">
          <cell r="A235" t="str">
            <v>KH-RMT-M</v>
          </cell>
          <cell r="B235" t="str">
            <v>Y</v>
          </cell>
          <cell r="C235">
            <v>5.4545454545454541</v>
          </cell>
          <cell r="D235">
            <v>1.3295454545454499E-2</v>
          </cell>
          <cell r="E235">
            <v>267</v>
          </cell>
        </row>
        <row r="236">
          <cell r="A236" t="str">
            <v>KH-SUT-21M</v>
          </cell>
          <cell r="B236" t="str">
            <v>Y</v>
          </cell>
          <cell r="C236">
            <v>21.81818181818182</v>
          </cell>
          <cell r="D236">
            <v>8.6618181818181803E-2</v>
          </cell>
          <cell r="E236">
            <v>235</v>
          </cell>
        </row>
        <row r="237">
          <cell r="A237" t="str">
            <v>KH-EDL-M</v>
          </cell>
          <cell r="B237" t="str">
            <v>RL</v>
          </cell>
          <cell r="C237">
            <v>4.0909090909090908</v>
          </cell>
          <cell r="D237">
            <v>8.1545454545454508E-3</v>
          </cell>
          <cell r="E237">
            <v>270</v>
          </cell>
        </row>
        <row r="238">
          <cell r="A238" t="str">
            <v>WA-PYS-SM</v>
          </cell>
          <cell r="B238" t="str">
            <v>YH</v>
          </cell>
          <cell r="C238">
            <v>0</v>
          </cell>
          <cell r="D238">
            <v>1.97727272727273E-4</v>
          </cell>
          <cell r="E238">
            <v>274</v>
          </cell>
        </row>
        <row r="239">
          <cell r="A239" t="str">
            <v>TS-NL-STM</v>
          </cell>
          <cell r="B239" t="str">
            <v>RL</v>
          </cell>
          <cell r="C239">
            <v>6.1363636363636349</v>
          </cell>
          <cell r="D239">
            <v>4.1338636363636397E-2</v>
          </cell>
          <cell r="E239">
            <v>256</v>
          </cell>
        </row>
        <row r="240">
          <cell r="A240" t="str">
            <v>W-CLO-345M</v>
          </cell>
          <cell r="B240" t="str">
            <v>Y</v>
          </cell>
          <cell r="C240">
            <v>6.8181818181818166</v>
          </cell>
          <cell r="D240">
            <v>0.72876818181818204</v>
          </cell>
          <cell r="E240">
            <v>76</v>
          </cell>
        </row>
        <row r="241">
          <cell r="A241" t="str">
            <v>B-MLT-KTMI</v>
          </cell>
          <cell r="B241" t="str">
            <v>y</v>
          </cell>
          <cell r="C241">
            <v>0</v>
          </cell>
          <cell r="D241">
            <v>0</v>
          </cell>
          <cell r="E241">
            <v>275</v>
          </cell>
        </row>
        <row r="242">
          <cell r="A242" t="str">
            <v>BT-CO-WF</v>
          </cell>
          <cell r="B242" t="str">
            <v>YHRL</v>
          </cell>
          <cell r="C242">
            <v>4.7727272727272716</v>
          </cell>
          <cell r="D242">
            <v>5.8765909090909098E-2</v>
          </cell>
          <cell r="E242">
            <v>247</v>
          </cell>
        </row>
        <row r="243">
          <cell r="A243" t="str">
            <v>TU-RYE-LAWF</v>
          </cell>
          <cell r="B243" t="str">
            <v>Y</v>
          </cell>
          <cell r="C243">
            <v>0.68181818181818199</v>
          </cell>
          <cell r="D243">
            <v>2.7150000000000001E-2</v>
          </cell>
          <cell r="E243">
            <v>258</v>
          </cell>
        </row>
        <row r="244">
          <cell r="A244" t="str">
            <v>SR-FLV-W</v>
          </cell>
          <cell r="B244" t="str">
            <v>MW</v>
          </cell>
          <cell r="C244">
            <v>3.4090909090909092</v>
          </cell>
          <cell r="D244">
            <v>0.19135227272727301</v>
          </cell>
          <cell r="E244">
            <v>174</v>
          </cell>
        </row>
        <row r="245">
          <cell r="A245" t="str">
            <v>ST-NFN-WF</v>
          </cell>
          <cell r="B245" t="str">
            <v>MW</v>
          </cell>
          <cell r="C245">
            <v>1.3636363636363631</v>
          </cell>
          <cell r="D245">
            <v>5.4906818181818202E-2</v>
          </cell>
          <cell r="E245">
            <v>248</v>
          </cell>
        </row>
        <row r="246">
          <cell r="A246" t="str">
            <v>SR-ADS-2W</v>
          </cell>
          <cell r="B246" t="str">
            <v>MW</v>
          </cell>
          <cell r="C246">
            <v>0</v>
          </cell>
          <cell r="D246">
            <v>0</v>
          </cell>
          <cell r="E246">
            <v>275</v>
          </cell>
        </row>
        <row r="247">
          <cell r="A247" t="str">
            <v>FT-EDR.P-WF</v>
          </cell>
          <cell r="B247" t="str">
            <v>Y</v>
          </cell>
          <cell r="C247">
            <v>4.7727272727272716</v>
          </cell>
          <cell r="D247">
            <v>8.5097727272727297E-2</v>
          </cell>
          <cell r="E247">
            <v>236</v>
          </cell>
        </row>
        <row r="248">
          <cell r="A248" t="str">
            <v>CT-SYW-W</v>
          </cell>
          <cell r="B248" t="str">
            <v>MW</v>
          </cell>
          <cell r="C248">
            <v>0.68181818181818199</v>
          </cell>
          <cell r="D248">
            <v>2.0795454545454499E-2</v>
          </cell>
          <cell r="E248">
            <v>261</v>
          </cell>
        </row>
        <row r="249">
          <cell r="A249" t="str">
            <v>ST-HE-W</v>
          </cell>
          <cell r="B249" t="str">
            <v>Y</v>
          </cell>
          <cell r="C249">
            <v>1.3636363636363631</v>
          </cell>
          <cell r="D249">
            <v>4.28318181818182E-2</v>
          </cell>
          <cell r="E249">
            <v>255</v>
          </cell>
        </row>
        <row r="250">
          <cell r="A250" t="str">
            <v>RT-RI-MW</v>
          </cell>
          <cell r="B250" t="str">
            <v>Y</v>
          </cell>
          <cell r="C250">
            <v>8.8636363636363598</v>
          </cell>
          <cell r="D250">
            <v>0.150040909090909</v>
          </cell>
          <cell r="E250">
            <v>193</v>
          </cell>
        </row>
        <row r="251">
          <cell r="A251" t="str">
            <v>SH-YBO-M</v>
          </cell>
          <cell r="B251" t="str">
            <v>Y</v>
          </cell>
          <cell r="C251">
            <v>26.59090909090909</v>
          </cell>
          <cell r="D251">
            <v>0.131556818181818</v>
          </cell>
          <cell r="E251">
            <v>208</v>
          </cell>
        </row>
        <row r="252">
          <cell r="A252" t="str">
            <v>KH-TOC-18F</v>
          </cell>
          <cell r="B252" t="str">
            <v>YH</v>
          </cell>
          <cell r="C252">
            <v>0.68181818181818199</v>
          </cell>
          <cell r="D252">
            <v>9.7363636363636298E-3</v>
          </cell>
          <cell r="E252">
            <v>269</v>
          </cell>
        </row>
        <row r="253">
          <cell r="A253" t="str">
            <v>CT-GSE-SQF</v>
          </cell>
          <cell r="B253" t="str">
            <v>DI</v>
          </cell>
          <cell r="C253">
            <v>0</v>
          </cell>
          <cell r="D253">
            <v>0</v>
          </cell>
          <cell r="E253">
            <v>275</v>
          </cell>
        </row>
        <row r="254">
          <cell r="A254" t="str">
            <v>PF-NAH-RON</v>
          </cell>
          <cell r="B254" t="str">
            <v>Y</v>
          </cell>
          <cell r="C254">
            <v>1.3636363636363631</v>
          </cell>
          <cell r="D254">
            <v>1.8920454545454501E-2</v>
          </cell>
          <cell r="E254">
            <v>262</v>
          </cell>
        </row>
        <row r="255">
          <cell r="A255" t="str">
            <v>KH-WLR-M</v>
          </cell>
          <cell r="B255" t="str">
            <v>RL</v>
          </cell>
          <cell r="C255">
            <v>2.045454545454545</v>
          </cell>
          <cell r="D255">
            <v>3.39545454545454E-3</v>
          </cell>
          <cell r="E255">
            <v>273</v>
          </cell>
        </row>
        <row r="256">
          <cell r="A256" t="str">
            <v>PF-MIS-RTE</v>
          </cell>
          <cell r="B256" t="str">
            <v>Y</v>
          </cell>
          <cell r="C256">
            <v>1.3636363636363631</v>
          </cell>
          <cell r="D256">
            <v>1.3861363636363601E-2</v>
          </cell>
          <cell r="E256">
            <v>266</v>
          </cell>
        </row>
        <row r="257">
          <cell r="A257" t="str">
            <v>TU-KVD-STW</v>
          </cell>
          <cell r="B257" t="str">
            <v>DI</v>
          </cell>
          <cell r="C257">
            <v>0</v>
          </cell>
          <cell r="D257">
            <v>0</v>
          </cell>
          <cell r="E257">
            <v>275</v>
          </cell>
        </row>
        <row r="258">
          <cell r="A258" t="str">
            <v>TS-NL-AL</v>
          </cell>
          <cell r="B258" t="str">
            <v>DI</v>
          </cell>
          <cell r="C258">
            <v>1.3636363636363631</v>
          </cell>
          <cell r="D258">
            <v>3.4636363636363601E-3</v>
          </cell>
          <cell r="E258">
            <v>272</v>
          </cell>
        </row>
        <row r="259">
          <cell r="A259" t="str">
            <v>W-AND-2MMI</v>
          </cell>
          <cell r="B259" t="str">
            <v>DI</v>
          </cell>
          <cell r="C259">
            <v>0</v>
          </cell>
          <cell r="D259">
            <v>0</v>
          </cell>
          <cell r="E259">
            <v>275</v>
          </cell>
        </row>
        <row r="260">
          <cell r="A260" t="str">
            <v>B-POL-KTFW</v>
          </cell>
          <cell r="B260" t="str">
            <v>Y</v>
          </cell>
          <cell r="C260">
            <v>1.3636363636363631</v>
          </cell>
          <cell r="D260">
            <v>0.17353636363636399</v>
          </cell>
          <cell r="E260">
            <v>183</v>
          </cell>
        </row>
        <row r="261">
          <cell r="A261" t="str">
            <v>W-AND-4MMI</v>
          </cell>
          <cell r="B261" t="str">
            <v>y</v>
          </cell>
          <cell r="C261">
            <v>0.68181818181818199</v>
          </cell>
          <cell r="D261">
            <v>0.12602727272727299</v>
          </cell>
          <cell r="E261">
            <v>214</v>
          </cell>
        </row>
        <row r="262">
          <cell r="A262" t="str">
            <v>W-AND-3MMI</v>
          </cell>
          <cell r="B262" t="str">
            <v>DI</v>
          </cell>
          <cell r="C262">
            <v>0</v>
          </cell>
          <cell r="D262">
            <v>0</v>
          </cell>
          <cell r="E262">
            <v>275</v>
          </cell>
        </row>
        <row r="263">
          <cell r="A263" t="str">
            <v>CT-KV-RTW</v>
          </cell>
          <cell r="B263" t="str">
            <v>DI</v>
          </cell>
          <cell r="C263">
            <v>0</v>
          </cell>
          <cell r="D263">
            <v>0</v>
          </cell>
          <cell r="E263">
            <v>275</v>
          </cell>
        </row>
        <row r="264">
          <cell r="A264" t="str">
            <v>RT-DR-W</v>
          </cell>
          <cell r="B264" t="str">
            <v>Y</v>
          </cell>
          <cell r="C264">
            <v>3.4090909090909092</v>
          </cell>
          <cell r="D264">
            <v>0.2316</v>
          </cell>
          <cell r="E264">
            <v>157</v>
          </cell>
        </row>
        <row r="265">
          <cell r="A265" t="str">
            <v>TU-RYE-STWF</v>
          </cell>
          <cell r="B265" t="str">
            <v>YH</v>
          </cell>
          <cell r="C265">
            <v>4.0909090909090908</v>
          </cell>
          <cell r="D265">
            <v>0.12909545454545501</v>
          </cell>
          <cell r="E265">
            <v>212</v>
          </cell>
        </row>
        <row r="266">
          <cell r="A266" t="str">
            <v>B-RVB-KNM</v>
          </cell>
          <cell r="B266" t="str">
            <v>Y</v>
          </cell>
          <cell r="C266">
            <v>2.045454545454545</v>
          </cell>
          <cell r="D266">
            <v>0.18199772727272701</v>
          </cell>
          <cell r="E266">
            <v>180</v>
          </cell>
        </row>
        <row r="267">
          <cell r="A267" t="str">
            <v>B-RVB-KNW</v>
          </cell>
          <cell r="B267" t="str">
            <v>DI</v>
          </cell>
          <cell r="C267">
            <v>-0.68181818181818199</v>
          </cell>
          <cell r="D267">
            <v>-6.0640909090909099E-2</v>
          </cell>
          <cell r="E267">
            <v>308</v>
          </cell>
        </row>
        <row r="268">
          <cell r="A268" t="str">
            <v>RT-RI-W</v>
          </cell>
          <cell r="B268" t="str">
            <v>YH</v>
          </cell>
          <cell r="C268">
            <v>0</v>
          </cell>
          <cell r="D268">
            <v>0</v>
          </cell>
          <cell r="E268">
            <v>275</v>
          </cell>
        </row>
        <row r="269">
          <cell r="A269" t="str">
            <v>CT-GSE-RTW2</v>
          </cell>
          <cell r="B269" t="str">
            <v>DI</v>
          </cell>
          <cell r="C269">
            <v>0</v>
          </cell>
          <cell r="D269">
            <v>0</v>
          </cell>
          <cell r="E269">
            <v>275</v>
          </cell>
        </row>
        <row r="270">
          <cell r="A270" t="str">
            <v>CT-GSE-SQW</v>
          </cell>
          <cell r="B270" t="str">
            <v>DI</v>
          </cell>
          <cell r="C270">
            <v>-0.68181818181818199</v>
          </cell>
          <cell r="D270">
            <v>-1.06090909090909E-2</v>
          </cell>
          <cell r="E270">
            <v>307</v>
          </cell>
        </row>
        <row r="271">
          <cell r="A271" t="str">
            <v>KH-LKN-MF</v>
          </cell>
          <cell r="B271" t="str">
            <v>DI</v>
          </cell>
          <cell r="C271">
            <v>0</v>
          </cell>
          <cell r="D271">
            <v>0</v>
          </cell>
          <cell r="E271">
            <v>275</v>
          </cell>
        </row>
        <row r="272">
          <cell r="A272" t="str">
            <v>SL-VE-PW</v>
          </cell>
          <cell r="B272" t="str">
            <v>DI</v>
          </cell>
          <cell r="C272">
            <v>0</v>
          </cell>
          <cell r="D272">
            <v>0</v>
          </cell>
          <cell r="E272">
            <v>275</v>
          </cell>
        </row>
        <row r="273">
          <cell r="A273" t="str">
            <v>S-TCW-10P2</v>
          </cell>
          <cell r="B273" t="str">
            <v>DI</v>
          </cell>
          <cell r="C273">
            <v>0</v>
          </cell>
          <cell r="D273">
            <v>0</v>
          </cell>
          <cell r="E273">
            <v>275</v>
          </cell>
        </row>
        <row r="274">
          <cell r="A274" t="str">
            <v>W-AND-2NMI</v>
          </cell>
          <cell r="B274" t="str">
            <v>DI</v>
          </cell>
          <cell r="C274">
            <v>0</v>
          </cell>
          <cell r="D274">
            <v>0</v>
          </cell>
          <cell r="E274">
            <v>275</v>
          </cell>
        </row>
        <row r="275">
          <cell r="A275" t="str">
            <v>SB-AXA-4M</v>
          </cell>
          <cell r="B275" t="str">
            <v>Y</v>
          </cell>
          <cell r="C275">
            <v>0.68181818181818199</v>
          </cell>
          <cell r="D275">
            <v>2.66113636363636E-2</v>
          </cell>
          <cell r="E275">
            <v>259</v>
          </cell>
        </row>
        <row r="276">
          <cell r="A276" t="str">
            <v>SH-CHR-K</v>
          </cell>
          <cell r="B276" t="str">
            <v>DI</v>
          </cell>
          <cell r="C276">
            <v>0</v>
          </cell>
          <cell r="D276">
            <v>0</v>
          </cell>
          <cell r="E276">
            <v>275</v>
          </cell>
        </row>
        <row r="277">
          <cell r="A277" t="str">
            <v>ST-GSE-STM</v>
          </cell>
          <cell r="B277" t="str">
            <v>RL</v>
          </cell>
          <cell r="C277">
            <v>0</v>
          </cell>
          <cell r="D277">
            <v>0</v>
          </cell>
          <cell r="E277">
            <v>275</v>
          </cell>
        </row>
        <row r="278">
          <cell r="A278" t="str">
            <v>ST-HES-L</v>
          </cell>
          <cell r="B278" t="str">
            <v>DI</v>
          </cell>
          <cell r="C278">
            <v>0</v>
          </cell>
          <cell r="D278">
            <v>0</v>
          </cell>
          <cell r="E278">
            <v>275</v>
          </cell>
        </row>
        <row r="279">
          <cell r="A279" t="str">
            <v>CT-GSE-SQW2</v>
          </cell>
          <cell r="B279" t="str">
            <v>DI</v>
          </cell>
          <cell r="C279">
            <v>0</v>
          </cell>
          <cell r="D279">
            <v>0</v>
          </cell>
          <cell r="E279">
            <v>275</v>
          </cell>
        </row>
        <row r="280">
          <cell r="A280" t="str">
            <v>ST-GSE-LAM</v>
          </cell>
          <cell r="B280" t="str">
            <v>RL</v>
          </cell>
          <cell r="C280">
            <v>0</v>
          </cell>
          <cell r="D280">
            <v>0</v>
          </cell>
          <cell r="E280">
            <v>275</v>
          </cell>
        </row>
        <row r="281">
          <cell r="A281" t="str">
            <v>CT-GSE-SQF2</v>
          </cell>
          <cell r="B281" t="str">
            <v>DI</v>
          </cell>
          <cell r="C281">
            <v>0</v>
          </cell>
          <cell r="D281">
            <v>0</v>
          </cell>
          <cell r="E281">
            <v>275</v>
          </cell>
        </row>
        <row r="282">
          <cell r="A282" t="str">
            <v>PF-MIS-RTU</v>
          </cell>
          <cell r="B282" t="str">
            <v>Y</v>
          </cell>
          <cell r="C282">
            <v>1.3636363636363631</v>
          </cell>
          <cell r="D282">
            <v>1.3254545454545401E-2</v>
          </cell>
          <cell r="E282">
            <v>268</v>
          </cell>
        </row>
        <row r="283">
          <cell r="A283" t="str">
            <v>WA-PYS-NM</v>
          </cell>
          <cell r="B283" t="str">
            <v>NL</v>
          </cell>
          <cell r="C283">
            <v>2.045454545454545</v>
          </cell>
          <cell r="D283">
            <v>1.44E-2</v>
          </cell>
          <cell r="E283">
            <v>265</v>
          </cell>
        </row>
        <row r="284">
          <cell r="A284" t="str">
            <v>SF-WBR-4LIE</v>
          </cell>
          <cell r="B284" t="str">
            <v>NL</v>
          </cell>
          <cell r="C284">
            <v>0</v>
          </cell>
          <cell r="D284">
            <v>0</v>
          </cell>
          <cell r="E284">
            <v>275</v>
          </cell>
        </row>
        <row r="285">
          <cell r="A285" t="str">
            <v>SF-WBR-4LIF</v>
          </cell>
          <cell r="B285" t="str">
            <v>NL</v>
          </cell>
          <cell r="C285">
            <v>0</v>
          </cell>
          <cell r="D285">
            <v>0</v>
          </cell>
          <cell r="E285">
            <v>275</v>
          </cell>
        </row>
        <row r="286">
          <cell r="A286" t="str">
            <v>SF-WBR-4LIU</v>
          </cell>
          <cell r="B286" t="str">
            <v>NL</v>
          </cell>
          <cell r="C286">
            <v>0</v>
          </cell>
          <cell r="D286">
            <v>0</v>
          </cell>
          <cell r="E286">
            <v>275</v>
          </cell>
        </row>
        <row r="287">
          <cell r="A287" t="str">
            <v>SH-GTA-K</v>
          </cell>
          <cell r="B287" t="str">
            <v>NL</v>
          </cell>
          <cell r="C287">
            <v>0.68181818181818199</v>
          </cell>
          <cell r="D287">
            <v>4.6159090909090898E-3</v>
          </cell>
          <cell r="E287">
            <v>271</v>
          </cell>
        </row>
        <row r="288">
          <cell r="A288" t="str">
            <v>PU-SUB-STF</v>
          </cell>
          <cell r="B288" t="str">
            <v>NL</v>
          </cell>
          <cell r="C288">
            <v>10.22727272727273</v>
          </cell>
          <cell r="D288">
            <v>0.27041590909090901</v>
          </cell>
          <cell r="E288">
            <v>144</v>
          </cell>
        </row>
        <row r="289">
          <cell r="A289" t="str">
            <v>PU-SUB-STO</v>
          </cell>
          <cell r="B289" t="str">
            <v>NL</v>
          </cell>
          <cell r="C289">
            <v>25.22727272727273</v>
          </cell>
          <cell r="D289">
            <v>0.65940681818181801</v>
          </cell>
          <cell r="E289">
            <v>81</v>
          </cell>
        </row>
        <row r="290">
          <cell r="A290" t="str">
            <v>ST-RDO-STM</v>
          </cell>
          <cell r="B290" t="str">
            <v>NL</v>
          </cell>
          <cell r="C290">
            <v>2.045454545454545</v>
          </cell>
          <cell r="D290">
            <v>5.0297727272727299E-2</v>
          </cell>
          <cell r="E290">
            <v>250</v>
          </cell>
        </row>
        <row r="291">
          <cell r="A291" t="str">
            <v>ST-RDO-STO</v>
          </cell>
          <cell r="B291" t="str">
            <v>NL</v>
          </cell>
          <cell r="C291">
            <v>1.3636363636363631</v>
          </cell>
          <cell r="D291">
            <v>3.3504545454545398E-2</v>
          </cell>
          <cell r="E291">
            <v>257</v>
          </cell>
        </row>
        <row r="292">
          <cell r="A292" t="str">
            <v>SH-DVN-STM</v>
          </cell>
          <cell r="B292" t="str">
            <v>NL</v>
          </cell>
          <cell r="C292">
            <v>18.40909090909091</v>
          </cell>
          <cell r="D292">
            <v>4.4502272727272703E-2</v>
          </cell>
          <cell r="E292">
            <v>254</v>
          </cell>
        </row>
        <row r="293">
          <cell r="A293" t="str">
            <v>PU-DRV-F</v>
          </cell>
          <cell r="B293" t="str">
            <v>NL</v>
          </cell>
          <cell r="C293">
            <v>10.90909090909091</v>
          </cell>
          <cell r="D293">
            <v>0.135136363636364</v>
          </cell>
          <cell r="E293">
            <v>205</v>
          </cell>
        </row>
        <row r="294">
          <cell r="A294" t="str">
            <v>TU-VC-MF</v>
          </cell>
          <cell r="B294" t="str">
            <v>NL</v>
          </cell>
          <cell r="C294">
            <v>4.7727272727272716</v>
          </cell>
          <cell r="D294">
            <v>0.10564090909090899</v>
          </cell>
          <cell r="E294">
            <v>225</v>
          </cell>
        </row>
        <row r="295">
          <cell r="A295" t="str">
            <v>TU-PIN-MF</v>
          </cell>
          <cell r="B295" t="str">
            <v>NL</v>
          </cell>
          <cell r="C295">
            <v>13.63636363636363</v>
          </cell>
          <cell r="D295">
            <v>0.93269999999999997</v>
          </cell>
          <cell r="E295">
            <v>61</v>
          </cell>
        </row>
        <row r="296">
          <cell r="A296" t="str">
            <v>TU-OLA-MF</v>
          </cell>
          <cell r="B296" t="str">
            <v>NL</v>
          </cell>
          <cell r="C296">
            <v>4.0909090909090908</v>
          </cell>
          <cell r="D296">
            <v>0.18832499999999999</v>
          </cell>
          <cell r="E296">
            <v>177</v>
          </cell>
        </row>
        <row r="297">
          <cell r="A297" t="str">
            <v>TU-AMY-MF</v>
          </cell>
          <cell r="B297" t="str">
            <v>NL</v>
          </cell>
          <cell r="C297">
            <v>8.1818181818181817</v>
          </cell>
          <cell r="D297">
            <v>0.40034318181818201</v>
          </cell>
          <cell r="E297">
            <v>114</v>
          </cell>
        </row>
        <row r="298">
          <cell r="A298" t="str">
            <v>TU-HRI-MF</v>
          </cell>
          <cell r="B298" t="str">
            <v>NL</v>
          </cell>
          <cell r="C298">
            <v>0.68181818181818199</v>
          </cell>
          <cell r="D298">
            <v>2.42590909090909E-2</v>
          </cell>
          <cell r="E298">
            <v>260</v>
          </cell>
        </row>
        <row r="299">
          <cell r="A299" t="str">
            <v>TU-LMI-MF</v>
          </cell>
          <cell r="B299" t="str">
            <v>NL</v>
          </cell>
          <cell r="C299">
            <v>2.7272727272727271</v>
          </cell>
          <cell r="D299">
            <v>0.111259090909091</v>
          </cell>
          <cell r="E299">
            <v>224</v>
          </cell>
        </row>
        <row r="300">
          <cell r="A300" t="str">
            <v>TU-OML-MF</v>
          </cell>
          <cell r="B300" t="str">
            <v>NL</v>
          </cell>
          <cell r="C300">
            <v>8.1818181818181817</v>
          </cell>
          <cell r="D300">
            <v>0.34283181818181802</v>
          </cell>
          <cell r="E300">
            <v>122</v>
          </cell>
        </row>
        <row r="301">
          <cell r="A301" t="str">
            <v>TU-MSE-MF</v>
          </cell>
          <cell r="B301" t="str">
            <v>NL</v>
          </cell>
          <cell r="C301">
            <v>4.0909090909090908</v>
          </cell>
          <cell r="D301">
            <v>0.17447045454545501</v>
          </cell>
          <cell r="E301">
            <v>182</v>
          </cell>
        </row>
        <row r="302">
          <cell r="A302" t="str">
            <v>TU-MSEP-MF</v>
          </cell>
          <cell r="B302" t="str">
            <v>NL</v>
          </cell>
          <cell r="C302">
            <v>6.8181818181818166</v>
          </cell>
          <cell r="D302">
            <v>0.366497727272727</v>
          </cell>
          <cell r="E302">
            <v>120</v>
          </cell>
        </row>
        <row r="303">
          <cell r="A303" t="str">
            <v>B-POL-KTMI</v>
          </cell>
          <cell r="B303" t="str">
            <v>DI</v>
          </cell>
          <cell r="C303">
            <v>0</v>
          </cell>
          <cell r="D303">
            <v>0</v>
          </cell>
          <cell r="E303">
            <v>275</v>
          </cell>
        </row>
        <row r="304">
          <cell r="A304" t="str">
            <v>SR-ADS-3W</v>
          </cell>
          <cell r="B304" t="str">
            <v>MW</v>
          </cell>
          <cell r="C304">
            <v>0</v>
          </cell>
          <cell r="D304">
            <v>0</v>
          </cell>
          <cell r="E304">
            <v>275</v>
          </cell>
        </row>
        <row r="305">
          <cell r="A305" t="str">
            <v>ST-DZL-SW</v>
          </cell>
          <cell r="B305" t="str">
            <v>MW</v>
          </cell>
          <cell r="C305">
            <v>0</v>
          </cell>
          <cell r="D305">
            <v>0</v>
          </cell>
          <cell r="E305">
            <v>275</v>
          </cell>
        </row>
        <row r="306">
          <cell r="A306" t="str">
            <v>SB-OVO-MF</v>
          </cell>
          <cell r="B306" t="str">
            <v>NL</v>
          </cell>
          <cell r="C306">
            <v>0</v>
          </cell>
          <cell r="D306">
            <v>0</v>
          </cell>
          <cell r="E306">
            <v>275</v>
          </cell>
        </row>
        <row r="307">
          <cell r="A307" t="str">
            <v>SB-SDA-M</v>
          </cell>
          <cell r="B307" t="str">
            <v>NL</v>
          </cell>
          <cell r="C307">
            <v>0</v>
          </cell>
          <cell r="D307">
            <v>0</v>
          </cell>
          <cell r="E307">
            <v>275</v>
          </cell>
        </row>
        <row r="308">
          <cell r="A308" t="str">
            <v>SB-SRA-M</v>
          </cell>
          <cell r="B308" t="str">
            <v>NL</v>
          </cell>
          <cell r="C308">
            <v>0</v>
          </cell>
          <cell r="D308">
            <v>0</v>
          </cell>
          <cell r="E308">
            <v>275</v>
          </cell>
        </row>
        <row r="309">
          <cell r="A309" t="str">
            <v>CH-PLI-MEK</v>
          </cell>
          <cell r="B309" t="str">
            <v>NL</v>
          </cell>
          <cell r="C309">
            <v>0</v>
          </cell>
          <cell r="D309">
            <v>0</v>
          </cell>
          <cell r="E309">
            <v>275</v>
          </cell>
        </row>
        <row r="310">
          <cell r="A310" t="str">
            <v>CH-ZLO-MEK</v>
          </cell>
          <cell r="B310" t="str">
            <v>NL</v>
          </cell>
          <cell r="C310">
            <v>0</v>
          </cell>
          <cell r="D310">
            <v>0</v>
          </cell>
          <cell r="E310">
            <v>275</v>
          </cell>
        </row>
        <row r="311">
          <cell r="A311"/>
          <cell r="C311"/>
          <cell r="D311"/>
        </row>
        <row r="312">
          <cell r="A312"/>
          <cell r="C312"/>
          <cell r="D312"/>
        </row>
        <row r="313">
          <cell r="A313"/>
          <cell r="C313">
            <v>11</v>
          </cell>
          <cell r="D313" t="str">
            <v>RL</v>
          </cell>
        </row>
        <row r="314">
          <cell r="A314"/>
          <cell r="C314">
            <v>19</v>
          </cell>
          <cell r="D314" t="str">
            <v>DI</v>
          </cell>
        </row>
        <row r="315">
          <cell r="A315"/>
          <cell r="C315">
            <v>226</v>
          </cell>
          <cell r="D315" t="str">
            <v>Y</v>
          </cell>
        </row>
        <row r="316">
          <cell r="C316">
            <v>31</v>
          </cell>
          <cell r="D316" t="str">
            <v>NL</v>
          </cell>
        </row>
        <row r="317">
          <cell r="C317">
            <v>3</v>
          </cell>
          <cell r="D317" t="str">
            <v>YD</v>
          </cell>
        </row>
        <row r="318">
          <cell r="C318">
            <v>7</v>
          </cell>
          <cell r="D318" t="str">
            <v>YB</v>
          </cell>
        </row>
        <row r="319">
          <cell r="C319">
            <v>5</v>
          </cell>
          <cell r="D319" t="str">
            <v>YH</v>
          </cell>
        </row>
        <row r="320">
          <cell r="C320">
            <v>0</v>
          </cell>
          <cell r="D320" t="str">
            <v>YAFP</v>
          </cell>
        </row>
        <row r="321">
          <cell r="C321">
            <v>6</v>
          </cell>
          <cell r="D321" t="str">
            <v>MW</v>
          </cell>
        </row>
        <row r="322">
          <cell r="C322">
            <v>278</v>
          </cell>
        </row>
        <row r="324">
          <cell r="C324" t="str">
            <v>YB</v>
          </cell>
          <cell r="D324" t="str">
            <v xml:space="preserve">Production only from Balancing - NOT FROM FRESH SHEETS </v>
          </cell>
        </row>
        <row r="325">
          <cell r="C325" t="str">
            <v>RL</v>
          </cell>
          <cell r="D325" t="str">
            <v>Relaunch in new Design</v>
          </cell>
        </row>
        <row r="326">
          <cell r="C326" t="str">
            <v>Y</v>
          </cell>
          <cell r="D326" t="str">
            <v>Live</v>
          </cell>
        </row>
        <row r="327">
          <cell r="C327" t="str">
            <v>YD</v>
          </cell>
          <cell r="D327" t="str">
            <v>Live til diwali @5% higher prices</v>
          </cell>
        </row>
        <row r="328">
          <cell r="C328" t="str">
            <v>YAFP</v>
          </cell>
          <cell r="D328" t="str">
            <v>Live on Amazon/Flipkart/PF not on UL</v>
          </cell>
        </row>
        <row r="329">
          <cell r="C329" t="str">
            <v>TC</v>
          </cell>
          <cell r="D329" t="str">
            <v>Confused abt DI - to take call in future</v>
          </cell>
        </row>
        <row r="330">
          <cell r="C330" t="str">
            <v>YH</v>
          </cell>
          <cell r="D330" t="str">
            <v>HOLD TIL DIWALI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4z8S4i8ZkmUZfUCluYumFRGJwt0nVxEpT1AD7yUvSNylRma3rksSq3wcpVINi-Q" itemId="01JLS63UVVA3CYZGKTQZEJD5WKTAYSRLWJ">
      <xxl21:absoluteUrl r:id="rId2"/>
    </xxl21:alternateUrls>
    <sheetNames>
      <sheetName val="MTP"/>
      <sheetName val="SKU.Mapping"/>
      <sheetName val="All.ListingsB x"/>
      <sheetName val="Amz.Active x"/>
      <sheetName val="ARF.Amz x"/>
      <sheetName val="FBA Fee Analysis x"/>
      <sheetName val="FK-Listings x "/>
      <sheetName val="Prod.Cat x"/>
      <sheetName val="Rates"/>
      <sheetName val="HELP"/>
    </sheetNames>
    <sheetDataSet>
      <sheetData sheetId="0">
        <row r="1">
          <cell r="A1" t="str">
            <v>MTP-sku</v>
          </cell>
          <cell r="B1" t="str">
            <v>MRP</v>
          </cell>
          <cell r="C1" t="str">
            <v>MTP.Chk</v>
          </cell>
          <cell r="D1" t="str">
            <v>SP.PF</v>
          </cell>
          <cell r="E1" t="str">
            <v>U.DP</v>
          </cell>
          <cell r="F1" t="str">
            <v>DP</v>
          </cell>
          <cell r="G1" t="str">
            <v>TMS.CAT</v>
          </cell>
          <cell r="H1" t="str">
            <v>TMS.S%</v>
          </cell>
          <cell r="I1" t="str">
            <v>TMS.D%</v>
          </cell>
          <cell r="J1" t="str">
            <v>TMS</v>
          </cell>
          <cell r="K1" t="str">
            <v>SSP</v>
          </cell>
          <cell r="L1" t="str">
            <v>COGS</v>
          </cell>
          <cell r="M1" t="str">
            <v>COG%</v>
          </cell>
          <cell r="N1" t="str">
            <v>WhtCount</v>
          </cell>
          <cell r="O1" t="str">
            <v>ARF.S%</v>
          </cell>
          <cell r="P1" t="str">
            <v>ARF.D%</v>
          </cell>
          <cell r="Q1" t="str">
            <v>Mode</v>
          </cell>
          <cell r="R1" t="str">
            <v>Ins</v>
          </cell>
          <cell r="S1" t="str">
            <v>FCF</v>
          </cell>
          <cell r="T1" t="str">
            <v>WH</v>
          </cell>
          <cell r="U1" t="str">
            <v>WH%</v>
          </cell>
          <cell r="V1" t="str">
            <v>TechFee</v>
          </cell>
          <cell r="W1" t="str">
            <v>COA%</v>
          </cell>
          <cell r="X1" t="str">
            <v>TSO.S%</v>
          </cell>
          <cell r="Y1" t="str">
            <v>TSO.D%</v>
          </cell>
          <cell r="Z1" t="str">
            <v>TCO.S%</v>
          </cell>
          <cell r="AA1" t="str">
            <v>TCO.D%</v>
          </cell>
          <cell r="AB1" t="str">
            <v>GST%</v>
          </cell>
          <cell r="AC1" t="str">
            <v>PF/UL</v>
          </cell>
          <cell r="AE1" t="str">
            <v>Com%</v>
          </cell>
          <cell r="AF1" t="str">
            <v>WH.LL</v>
          </cell>
          <cell r="AG1" t="str">
            <v>TMS</v>
          </cell>
          <cell r="AH1" t="str">
            <v>TMS.Diff</v>
          </cell>
          <cell r="AJ1" t="str">
            <v>Comm</v>
          </cell>
          <cell r="AL1" t="str">
            <v>MU</v>
          </cell>
          <cell r="AM1" t="str">
            <v>CHP</v>
          </cell>
          <cell r="AN1" t="str">
            <v>diff</v>
          </cell>
          <cell r="AO1" t="str">
            <v>MOQ</v>
          </cell>
        </row>
        <row r="2">
          <cell r="O2" t="str">
            <v>d</v>
          </cell>
          <cell r="P2" t="str">
            <v xml:space="preserve"> </v>
          </cell>
          <cell r="V2">
            <v>14</v>
          </cell>
          <cell r="W2">
            <v>7</v>
          </cell>
          <cell r="AC2" t="str">
            <v>Bw.Dis</v>
          </cell>
          <cell r="AD2" t="str">
            <v>AF</v>
          </cell>
          <cell r="AE2">
            <v>38</v>
          </cell>
          <cell r="AF2">
            <v>1.5</v>
          </cell>
          <cell r="AI2">
            <v>18</v>
          </cell>
          <cell r="AJ2">
            <v>38</v>
          </cell>
          <cell r="AK2" t="str">
            <v>SSP</v>
          </cell>
          <cell r="AL2">
            <v>45</v>
          </cell>
          <cell r="AM2">
            <v>48</v>
          </cell>
          <cell r="AN2">
            <v>3</v>
          </cell>
        </row>
        <row r="3">
          <cell r="A3" t="str">
            <v>B-MLT-D30T</v>
          </cell>
          <cell r="B3">
            <v>15799</v>
          </cell>
          <cell r="C3" t="str">
            <v>Y</v>
          </cell>
          <cell r="D3">
            <v>10999</v>
          </cell>
          <cell r="E3">
            <v>7799</v>
          </cell>
          <cell r="F3">
            <v>6999</v>
          </cell>
          <cell r="G3" t="str">
            <v>TL3</v>
          </cell>
          <cell r="H3">
            <v>22.178303368638851</v>
          </cell>
          <cell r="I3">
            <v>21.641302729321744</v>
          </cell>
          <cell r="J3">
            <v>1729.6858797201442</v>
          </cell>
          <cell r="K3">
            <v>8300</v>
          </cell>
          <cell r="L3">
            <v>2011.5196647956102</v>
          </cell>
          <cell r="M3">
            <v>28.740100940071585</v>
          </cell>
          <cell r="N3">
            <v>89</v>
          </cell>
          <cell r="O3">
            <v>0.115</v>
          </cell>
          <cell r="P3">
            <v>7.0000000000000007E-2</v>
          </cell>
          <cell r="Q3" t="str">
            <v>SS</v>
          </cell>
          <cell r="S3">
            <v>100</v>
          </cell>
          <cell r="T3">
            <v>661.5</v>
          </cell>
          <cell r="U3">
            <v>8.4818566482882432</v>
          </cell>
          <cell r="V3">
            <v>0</v>
          </cell>
          <cell r="W3">
            <v>7</v>
          </cell>
          <cell r="X3">
            <v>28.264072316963713</v>
          </cell>
          <cell r="Y3">
            <v>24.880125732247464</v>
          </cell>
          <cell r="Z3">
            <v>62.567459343225565</v>
          </cell>
          <cell r="AA3">
            <v>63.104459982542672</v>
          </cell>
          <cell r="AB3">
            <v>18</v>
          </cell>
          <cell r="AC3">
            <v>0</v>
          </cell>
          <cell r="AD3">
            <v>7799</v>
          </cell>
          <cell r="AE3">
            <v>32.203389830508478</v>
          </cell>
          <cell r="AF3">
            <v>66.75</v>
          </cell>
          <cell r="AG3">
            <v>17.894473602017428</v>
          </cell>
          <cell r="AH3">
            <v>-3.7468291273043164</v>
          </cell>
          <cell r="AI3">
            <v>37.27206613757879</v>
          </cell>
          <cell r="AJ3">
            <v>37</v>
          </cell>
          <cell r="AK3">
            <v>7830</v>
          </cell>
          <cell r="AL3" t="str">
            <v>PA</v>
          </cell>
          <cell r="AM3">
            <v>7712.4339876121812</v>
          </cell>
          <cell r="AN3">
            <v>-1.1099629745841617</v>
          </cell>
          <cell r="AO3">
            <v>1</v>
          </cell>
        </row>
        <row r="4">
          <cell r="A4" t="str">
            <v>B-MLT-KT</v>
          </cell>
          <cell r="B4">
            <v>25799</v>
          </cell>
          <cell r="C4" t="str">
            <v>Y</v>
          </cell>
          <cell r="D4">
            <v>17999</v>
          </cell>
          <cell r="E4">
            <v>17599</v>
          </cell>
          <cell r="F4">
            <v>15999</v>
          </cell>
          <cell r="G4" t="str">
            <v>TL3</v>
          </cell>
          <cell r="H4">
            <v>22.673911092156679</v>
          </cell>
          <cell r="I4">
            <v>21.16644421350599</v>
          </cell>
          <cell r="J4">
            <v>3990.3816131086537</v>
          </cell>
          <cell r="K4">
            <v>18700</v>
          </cell>
          <cell r="L4">
            <v>4472.4775688363643</v>
          </cell>
          <cell r="M4">
            <v>27.954731975975776</v>
          </cell>
          <cell r="N4">
            <v>188</v>
          </cell>
          <cell r="O4">
            <v>0.1</v>
          </cell>
          <cell r="P4">
            <v>7.0000000000000007E-2</v>
          </cell>
          <cell r="Q4" t="str">
            <v>SS</v>
          </cell>
          <cell r="R4">
            <v>600</v>
          </cell>
          <cell r="S4">
            <v>100</v>
          </cell>
          <cell r="T4">
            <v>1283.8</v>
          </cell>
          <cell r="U4">
            <v>7.2947326552645029</v>
          </cell>
          <cell r="V4">
            <v>0</v>
          </cell>
          <cell r="W4">
            <v>7</v>
          </cell>
          <cell r="X4">
            <v>28.27223137678277</v>
          </cell>
          <cell r="Y4">
            <v>26.399524970310644</v>
          </cell>
          <cell r="Z4">
            <v>62.071851619707736</v>
          </cell>
          <cell r="AA4">
            <v>63.579318498358425</v>
          </cell>
          <cell r="AB4">
            <v>18</v>
          </cell>
          <cell r="AC4">
            <v>0</v>
          </cell>
          <cell r="AD4">
            <v>17599</v>
          </cell>
          <cell r="AE4">
            <v>32.203389830508478</v>
          </cell>
          <cell r="AF4">
            <v>141</v>
          </cell>
          <cell r="AG4">
            <v>18.32794269307044</v>
          </cell>
          <cell r="AH4">
            <v>-4.3459683990862388</v>
          </cell>
          <cell r="AI4">
            <v>37.931053488653973</v>
          </cell>
          <cell r="AJ4">
            <v>37.5</v>
          </cell>
          <cell r="AK4">
            <v>17382</v>
          </cell>
          <cell r="AL4" t="str">
            <v>PA</v>
          </cell>
          <cell r="AM4">
            <v>18279.851906732558</v>
          </cell>
          <cell r="AN4">
            <v>3.8686965551028911</v>
          </cell>
          <cell r="AO4">
            <v>1</v>
          </cell>
        </row>
        <row r="5">
          <cell r="A5" t="str">
            <v>B-MLT-QT</v>
          </cell>
          <cell r="B5">
            <v>23599</v>
          </cell>
          <cell r="C5" t="str">
            <v>Y</v>
          </cell>
          <cell r="D5">
            <v>16499</v>
          </cell>
          <cell r="E5">
            <v>15999</v>
          </cell>
          <cell r="F5">
            <v>14899</v>
          </cell>
          <cell r="G5" t="str">
            <v>TL3</v>
          </cell>
          <cell r="H5">
            <v>23.063223570103816</v>
          </cell>
          <cell r="I5">
            <v>22.764291221896777</v>
          </cell>
          <cell r="J5">
            <v>3689.8851389809097</v>
          </cell>
          <cell r="K5">
            <v>17000</v>
          </cell>
          <cell r="L5">
            <v>3969.3679979626154</v>
          </cell>
          <cell r="M5">
            <v>26.641841720669944</v>
          </cell>
          <cell r="N5">
            <v>170</v>
          </cell>
          <cell r="O5">
            <v>0.1</v>
          </cell>
          <cell r="P5">
            <v>7.0000000000000007E-2</v>
          </cell>
          <cell r="Q5" t="str">
            <v>SS</v>
          </cell>
          <cell r="R5">
            <v>600</v>
          </cell>
          <cell r="S5">
            <v>100</v>
          </cell>
          <cell r="T5">
            <v>1169.5</v>
          </cell>
          <cell r="U5">
            <v>7.3098318644915299</v>
          </cell>
          <cell r="V5">
            <v>0</v>
          </cell>
          <cell r="W5">
            <v>7</v>
          </cell>
          <cell r="X5">
            <v>28.685105319082442</v>
          </cell>
          <cell r="Y5">
            <v>26.547822001476611</v>
          </cell>
          <cell r="Z5">
            <v>61.6825391417606</v>
          </cell>
          <cell r="AA5">
            <v>61.981471489967639</v>
          </cell>
          <cell r="AB5">
            <v>18</v>
          </cell>
          <cell r="AC5">
            <v>0</v>
          </cell>
          <cell r="AD5">
            <v>15999</v>
          </cell>
          <cell r="AE5">
            <v>32.203389830508478</v>
          </cell>
          <cell r="AF5">
            <v>127.5</v>
          </cell>
          <cell r="AG5">
            <v>18.935347455000432</v>
          </cell>
          <cell r="AH5">
            <v>-3.8289437668963444</v>
          </cell>
          <cell r="AI5">
            <v>38.882656816035201</v>
          </cell>
          <cell r="AJ5">
            <v>38.5</v>
          </cell>
          <cell r="AK5">
            <v>15435</v>
          </cell>
          <cell r="AL5" t="str">
            <v>PA</v>
          </cell>
          <cell r="AM5">
            <v>16360.627277059431</v>
          </cell>
          <cell r="AN5">
            <v>2.2603117511058906</v>
          </cell>
          <cell r="AO5">
            <v>1</v>
          </cell>
        </row>
        <row r="6">
          <cell r="A6" t="str">
            <v>B-POL-KT</v>
          </cell>
          <cell r="B6">
            <v>28599</v>
          </cell>
          <cell r="C6" t="str">
            <v>Y</v>
          </cell>
          <cell r="D6">
            <v>19999</v>
          </cell>
          <cell r="E6">
            <v>17999</v>
          </cell>
          <cell r="F6">
            <v>16009</v>
          </cell>
          <cell r="G6" t="str">
            <v>TL3</v>
          </cell>
          <cell r="H6">
            <v>22.233857589650583</v>
          </cell>
          <cell r="I6">
            <v>21.576496655600636</v>
          </cell>
          <cell r="J6">
            <v>4001.8720275612081</v>
          </cell>
          <cell r="K6">
            <v>19100</v>
          </cell>
          <cell r="L6">
            <v>4658.035942065615</v>
          </cell>
          <cell r="M6">
            <v>29.096357936570772</v>
          </cell>
          <cell r="N6">
            <v>189</v>
          </cell>
          <cell r="O6">
            <v>0.1</v>
          </cell>
          <cell r="P6">
            <v>0.05</v>
          </cell>
          <cell r="Q6" t="str">
            <v>SS</v>
          </cell>
          <cell r="R6">
            <v>600</v>
          </cell>
          <cell r="S6">
            <v>100</v>
          </cell>
          <cell r="T6">
            <v>1296.5</v>
          </cell>
          <cell r="U6">
            <v>7.2031779543307959</v>
          </cell>
          <cell r="V6">
            <v>0</v>
          </cell>
          <cell r="W6">
            <v>7</v>
          </cell>
          <cell r="X6">
            <v>28.09228290460581</v>
          </cell>
          <cell r="Y6">
            <v>24.471110000624648</v>
          </cell>
          <cell r="Z6">
            <v>62.511905122213832</v>
          </cell>
          <cell r="AA6">
            <v>63.16926605626378</v>
          </cell>
          <cell r="AB6">
            <v>18</v>
          </cell>
          <cell r="AC6">
            <v>0</v>
          </cell>
          <cell r="AD6">
            <v>17999</v>
          </cell>
          <cell r="AE6">
            <v>32.203389830508478</v>
          </cell>
          <cell r="AF6">
            <v>141.75</v>
          </cell>
          <cell r="AG6">
            <v>17.875413927716195</v>
          </cell>
          <cell r="AH6">
            <v>-3.7010827278844403</v>
          </cell>
          <cell r="AI6">
            <v>37.215544155354323</v>
          </cell>
          <cell r="AJ6">
            <v>37</v>
          </cell>
          <cell r="AK6">
            <v>18083</v>
          </cell>
          <cell r="AL6" t="str">
            <v>PA</v>
          </cell>
          <cell r="AM6">
            <v>18971.196758218346</v>
          </cell>
          <cell r="AN6">
            <v>5.401393178611845</v>
          </cell>
          <cell r="AO6">
            <v>1</v>
          </cell>
        </row>
        <row r="7">
          <cell r="A7" t="str">
            <v>B-POL-QT</v>
          </cell>
          <cell r="B7">
            <v>24999</v>
          </cell>
          <cell r="C7" t="str">
            <v>Y</v>
          </cell>
          <cell r="D7">
            <v>17499</v>
          </cell>
          <cell r="E7">
            <v>15099</v>
          </cell>
          <cell r="F7">
            <v>13999</v>
          </cell>
          <cell r="G7" t="str">
            <v>TL2</v>
          </cell>
          <cell r="H7">
            <v>19.130388174963059</v>
          </cell>
          <cell r="I7">
            <v>18.310335886185882</v>
          </cell>
          <cell r="J7">
            <v>2888.4973105376721</v>
          </cell>
          <cell r="K7">
            <v>16050</v>
          </cell>
          <cell r="L7">
            <v>4103.9363919749903</v>
          </cell>
          <cell r="M7">
            <v>29.315925365918922</v>
          </cell>
          <cell r="N7">
            <v>172</v>
          </cell>
          <cell r="O7">
            <v>0.1</v>
          </cell>
          <cell r="P7">
            <v>7.0000000000000007E-2</v>
          </cell>
          <cell r="Q7" t="str">
            <v>SS</v>
          </cell>
          <cell r="R7">
            <v>600</v>
          </cell>
          <cell r="S7">
            <v>100</v>
          </cell>
          <cell r="T7">
            <v>1182.1999999999998</v>
          </cell>
          <cell r="U7">
            <v>7.8296575932180925</v>
          </cell>
          <cell r="V7">
            <v>0</v>
          </cell>
          <cell r="W7">
            <v>7</v>
          </cell>
          <cell r="X7">
            <v>29.465726207033576</v>
          </cell>
          <cell r="Y7">
            <v>27.445246089006357</v>
          </cell>
          <cell r="Z7">
            <v>65.615374536901356</v>
          </cell>
          <cell r="AA7">
            <v>66.435426825678533</v>
          </cell>
          <cell r="AB7">
            <v>18</v>
          </cell>
          <cell r="AC7">
            <v>0</v>
          </cell>
          <cell r="AD7">
            <v>15099</v>
          </cell>
          <cell r="AE7">
            <v>32.203389830508478</v>
          </cell>
          <cell r="AF7">
            <v>129</v>
          </cell>
          <cell r="AG7">
            <v>16.507824951195062</v>
          </cell>
          <cell r="AH7">
            <v>-1.8025109349908206</v>
          </cell>
          <cell r="AI7">
            <v>35.095268735906032</v>
          </cell>
          <cell r="AJ7">
            <v>35</v>
          </cell>
          <cell r="AK7">
            <v>15948</v>
          </cell>
          <cell r="AL7" t="str">
            <v>PA</v>
          </cell>
          <cell r="AM7">
            <v>16866.617946007249</v>
          </cell>
          <cell r="AN7">
            <v>11.706854401001715</v>
          </cell>
          <cell r="AO7">
            <v>1</v>
          </cell>
        </row>
        <row r="8">
          <cell r="A8" t="str">
            <v>B-POL-SN</v>
          </cell>
          <cell r="B8">
            <v>15799</v>
          </cell>
          <cell r="C8" t="str">
            <v>Y</v>
          </cell>
          <cell r="D8">
            <v>10999</v>
          </cell>
          <cell r="E8">
            <v>9499</v>
          </cell>
          <cell r="F8">
            <v>7999</v>
          </cell>
          <cell r="G8" t="str">
            <v>TL2</v>
          </cell>
          <cell r="H8">
            <v>20.338053760400427</v>
          </cell>
          <cell r="I8">
            <v>16.229282235560319</v>
          </cell>
          <cell r="J8">
            <v>1931.9117267004365</v>
          </cell>
          <cell r="K8">
            <v>10100</v>
          </cell>
          <cell r="L8">
            <v>2367.8746415786195</v>
          </cell>
          <cell r="M8">
            <v>29.602133286393546</v>
          </cell>
          <cell r="N8">
            <v>89</v>
          </cell>
          <cell r="O8">
            <v>0.115</v>
          </cell>
          <cell r="P8">
            <v>7.0000000000000007E-2</v>
          </cell>
          <cell r="Q8" t="str">
            <v>SS</v>
          </cell>
          <cell r="R8">
            <v>450</v>
          </cell>
          <cell r="S8">
            <v>100</v>
          </cell>
          <cell r="T8">
            <v>661.5</v>
          </cell>
          <cell r="U8">
            <v>6.9638909358879886</v>
          </cell>
          <cell r="V8">
            <v>0</v>
          </cell>
          <cell r="W8">
            <v>7</v>
          </cell>
          <cell r="X8">
            <v>31.253974102537111</v>
          </cell>
          <cell r="Y8">
            <v>29.145643205400678</v>
          </cell>
          <cell r="Z8">
            <v>64.407708951463988</v>
          </cell>
          <cell r="AA8">
            <v>68.516480476304096</v>
          </cell>
          <cell r="AB8">
            <v>18</v>
          </cell>
          <cell r="AC8">
            <v>0</v>
          </cell>
          <cell r="AD8">
            <v>9499</v>
          </cell>
          <cell r="AE8">
            <v>32.203389830508478</v>
          </cell>
          <cell r="AF8">
            <v>66.75</v>
          </cell>
          <cell r="AG8">
            <v>18.912047146240447</v>
          </cell>
          <cell r="AH8">
            <v>2.6827649106801275</v>
          </cell>
          <cell r="AI8">
            <v>38.809400331682433</v>
          </cell>
          <cell r="AJ8">
            <v>38.5</v>
          </cell>
          <cell r="AK8">
            <v>9173</v>
          </cell>
          <cell r="AL8" t="str">
            <v>PA</v>
          </cell>
          <cell r="AM8">
            <v>9900.858165931475</v>
          </cell>
          <cell r="AN8">
            <v>4.2305312762551326</v>
          </cell>
          <cell r="AO8">
            <v>1</v>
          </cell>
        </row>
        <row r="9">
          <cell r="A9" t="str">
            <v>B-RVB-D36N</v>
          </cell>
          <cell r="B9">
            <v>11599</v>
          </cell>
          <cell r="C9" t="str">
            <v>RL</v>
          </cell>
          <cell r="D9">
            <v>7999</v>
          </cell>
          <cell r="E9">
            <v>6799</v>
          </cell>
          <cell r="F9">
            <v>6499</v>
          </cell>
          <cell r="G9" t="str">
            <v>TL2</v>
          </cell>
          <cell r="H9">
            <v>20.714305526255231</v>
          </cell>
          <cell r="I9">
            <v>23.112530306116312</v>
          </cell>
          <cell r="J9">
            <v>1408.3656327300932</v>
          </cell>
          <cell r="K9">
            <v>7250</v>
          </cell>
          <cell r="L9">
            <v>1789.9878000372696</v>
          </cell>
          <cell r="M9">
            <v>27.542511156135863</v>
          </cell>
          <cell r="N9">
            <v>70</v>
          </cell>
          <cell r="O9">
            <v>0.115</v>
          </cell>
          <cell r="P9">
            <v>7.0000000000000007E-2</v>
          </cell>
          <cell r="Q9" t="str">
            <v>SF</v>
          </cell>
          <cell r="S9">
            <v>65</v>
          </cell>
          <cell r="T9">
            <v>636</v>
          </cell>
          <cell r="U9">
            <v>9.3543168112957797</v>
          </cell>
          <cell r="V9">
            <v>14</v>
          </cell>
          <cell r="W9">
            <v>7</v>
          </cell>
          <cell r="X9">
            <v>29.01625239005736</v>
          </cell>
          <cell r="Y9">
            <v>25.0016925680874</v>
          </cell>
          <cell r="Z9">
            <v>64.031457185609185</v>
          </cell>
          <cell r="AA9">
            <v>61.633232405748103</v>
          </cell>
          <cell r="AB9">
            <v>18</v>
          </cell>
          <cell r="AC9">
            <v>0</v>
          </cell>
          <cell r="AD9">
            <v>6799</v>
          </cell>
          <cell r="AE9">
            <v>32.203389830508478</v>
          </cell>
          <cell r="AF9">
            <v>52.5</v>
          </cell>
          <cell r="AG9">
            <v>17.442978852274152</v>
          </cell>
          <cell r="AH9">
            <v>-5.6695514538421605</v>
          </cell>
          <cell r="AI9">
            <v>36.53089493486555</v>
          </cell>
          <cell r="AJ9">
            <v>36.5</v>
          </cell>
          <cell r="AK9">
            <v>6942</v>
          </cell>
          <cell r="AL9" t="str">
            <v>PA</v>
          </cell>
          <cell r="AM9">
            <v>6837.4836007151425</v>
          </cell>
          <cell r="AN9">
            <v>0.56601854265542773</v>
          </cell>
          <cell r="AO9">
            <v>1</v>
          </cell>
        </row>
        <row r="10">
          <cell r="A10" t="str">
            <v>B-RVB-KN</v>
          </cell>
          <cell r="B10">
            <v>20799</v>
          </cell>
          <cell r="C10" t="str">
            <v>Y</v>
          </cell>
          <cell r="D10">
            <v>14499</v>
          </cell>
          <cell r="E10">
            <v>11999</v>
          </cell>
          <cell r="F10">
            <v>10999</v>
          </cell>
          <cell r="G10" t="str">
            <v>TL2</v>
          </cell>
          <cell r="H10">
            <v>19.805584248434229</v>
          </cell>
          <cell r="I10">
            <v>20.083366004645683</v>
          </cell>
          <cell r="J10">
            <v>2376.4720539696232</v>
          </cell>
          <cell r="K10">
            <v>12750</v>
          </cell>
          <cell r="L10">
            <v>3349.8173036293142</v>
          </cell>
          <cell r="M10">
            <v>30.455653274200511</v>
          </cell>
          <cell r="N10">
            <v>146</v>
          </cell>
          <cell r="O10">
            <v>0.115</v>
          </cell>
          <cell r="P10">
            <v>7.0000000000000007E-2</v>
          </cell>
          <cell r="Q10" t="str">
            <v>SS</v>
          </cell>
          <cell r="S10">
            <v>100</v>
          </cell>
          <cell r="T10">
            <v>1017.0999999999999</v>
          </cell>
          <cell r="U10">
            <v>8.4765397116426371</v>
          </cell>
          <cell r="V10">
            <v>0</v>
          </cell>
          <cell r="W10">
            <v>7</v>
          </cell>
          <cell r="X10">
            <v>27.809942495207935</v>
          </cell>
          <cell r="Y10">
            <v>24.156377852532049</v>
          </cell>
          <cell r="Z10">
            <v>64.940178463430186</v>
          </cell>
          <cell r="AA10">
            <v>64.662396707218733</v>
          </cell>
          <cell r="AB10">
            <v>18</v>
          </cell>
          <cell r="AC10">
            <v>0</v>
          </cell>
          <cell r="AD10">
            <v>11999</v>
          </cell>
          <cell r="AE10">
            <v>32.203389830508478</v>
          </cell>
          <cell r="AF10">
            <v>109.5</v>
          </cell>
          <cell r="AG10">
            <v>15.712326180553248</v>
          </cell>
          <cell r="AH10">
            <v>-4.3710398240924349</v>
          </cell>
          <cell r="AI10">
            <v>33.869481820853025</v>
          </cell>
          <cell r="AJ10">
            <v>33.5</v>
          </cell>
          <cell r="AK10">
            <v>13033</v>
          </cell>
          <cell r="AL10" t="str">
            <v>PA</v>
          </cell>
          <cell r="AM10">
            <v>12840.428211632947</v>
          </cell>
          <cell r="AN10">
            <v>7.0124861374526786</v>
          </cell>
          <cell r="AO10">
            <v>1</v>
          </cell>
        </row>
        <row r="11">
          <cell r="A11" t="str">
            <v>B-RVB-QN</v>
          </cell>
          <cell r="B11">
            <v>18599</v>
          </cell>
          <cell r="C11" t="str">
            <v>Y</v>
          </cell>
          <cell r="D11">
            <v>12999</v>
          </cell>
          <cell r="E11">
            <v>10499</v>
          </cell>
          <cell r="F11">
            <v>9899</v>
          </cell>
          <cell r="G11" t="str">
            <v>TL2</v>
          </cell>
          <cell r="H11">
            <v>19.092417959366173</v>
          </cell>
          <cell r="I11">
            <v>20.734350795864913</v>
          </cell>
          <cell r="J11">
            <v>2004.5129615538544</v>
          </cell>
          <cell r="K11">
            <v>11150</v>
          </cell>
          <cell r="L11">
            <v>2987.3907259885646</v>
          </cell>
          <cell r="M11">
            <v>30.178712253647486</v>
          </cell>
          <cell r="N11">
            <v>124</v>
          </cell>
          <cell r="O11">
            <v>0.115</v>
          </cell>
          <cell r="P11">
            <v>7.0000000000000007E-2</v>
          </cell>
          <cell r="Q11" t="str">
            <v>SS</v>
          </cell>
          <cell r="S11">
            <v>100</v>
          </cell>
          <cell r="T11">
            <v>877.4</v>
          </cell>
          <cell r="U11">
            <v>8.356986379655206</v>
          </cell>
          <cell r="V11">
            <v>0</v>
          </cell>
          <cell r="W11">
            <v>7</v>
          </cell>
          <cell r="X11">
            <v>27.809458043623202</v>
          </cell>
          <cell r="Y11">
            <v>23.87372461864835</v>
          </cell>
          <cell r="Z11">
            <v>65.653344752498242</v>
          </cell>
          <cell r="AA11">
            <v>64.011411915999503</v>
          </cell>
          <cell r="AB11">
            <v>18</v>
          </cell>
          <cell r="AC11">
            <v>0</v>
          </cell>
          <cell r="AD11">
            <v>10499</v>
          </cell>
          <cell r="AE11">
            <v>32.203389830508478</v>
          </cell>
          <cell r="AF11">
            <v>93</v>
          </cell>
          <cell r="AG11">
            <v>15.202524076816786</v>
          </cell>
          <cell r="AH11">
            <v>-5.5318267190481265</v>
          </cell>
          <cell r="AI11">
            <v>33.058971279488979</v>
          </cell>
          <cell r="AJ11">
            <v>33</v>
          </cell>
          <cell r="AK11">
            <v>11606</v>
          </cell>
          <cell r="AL11" t="str">
            <v>PA</v>
          </cell>
          <cell r="AM11">
            <v>11432.275028978745</v>
          </cell>
          <cell r="AN11">
            <v>8.8891801979116636</v>
          </cell>
          <cell r="AO11">
            <v>1</v>
          </cell>
        </row>
        <row r="12">
          <cell r="A12" t="str">
            <v>B-RVB-SN</v>
          </cell>
          <cell r="B12">
            <v>13599</v>
          </cell>
          <cell r="C12" t="str">
            <v>Y</v>
          </cell>
          <cell r="D12">
            <v>9399</v>
          </cell>
          <cell r="E12">
            <v>8199</v>
          </cell>
          <cell r="F12">
            <v>7199</v>
          </cell>
          <cell r="G12" t="str">
            <v>TL2</v>
          </cell>
          <cell r="H12">
            <v>20.238725136560532</v>
          </cell>
          <cell r="I12">
            <v>18.347971201944077</v>
          </cell>
          <cell r="J12">
            <v>1659.373073946598</v>
          </cell>
          <cell r="K12">
            <v>8700</v>
          </cell>
          <cell r="L12">
            <v>2254.0729404504996</v>
          </cell>
          <cell r="M12">
            <v>31.310917355889703</v>
          </cell>
          <cell r="N12">
            <v>91</v>
          </cell>
          <cell r="O12">
            <v>0.115</v>
          </cell>
          <cell r="P12">
            <v>7.0000000000000007E-2</v>
          </cell>
          <cell r="Q12" t="str">
            <v>SS</v>
          </cell>
          <cell r="S12">
            <v>100</v>
          </cell>
          <cell r="T12">
            <v>674.2</v>
          </cell>
          <cell r="U12">
            <v>8.2229540187827794</v>
          </cell>
          <cell r="V12">
            <v>0</v>
          </cell>
          <cell r="W12">
            <v>7</v>
          </cell>
          <cell r="X12">
            <v>27.942614953043055</v>
          </cell>
          <cell r="Y12">
            <v>24.754271426587028</v>
          </cell>
          <cell r="Z12">
            <v>64.507037575303883</v>
          </cell>
          <cell r="AA12">
            <v>66.397791509920339</v>
          </cell>
          <cell r="AB12">
            <v>18</v>
          </cell>
          <cell r="AC12">
            <v>0</v>
          </cell>
          <cell r="AD12">
            <v>8199</v>
          </cell>
          <cell r="AE12">
            <v>32.203389830508478</v>
          </cell>
          <cell r="AF12">
            <v>68.25</v>
          </cell>
          <cell r="AG12">
            <v>16.21790720931665</v>
          </cell>
          <cell r="AH12">
            <v>-2.1300639926274272</v>
          </cell>
          <cell r="AI12">
            <v>34.63172737232572</v>
          </cell>
          <cell r="AJ12">
            <v>34.5</v>
          </cell>
          <cell r="AK12">
            <v>8749</v>
          </cell>
          <cell r="AL12" t="str">
            <v>PA</v>
          </cell>
          <cell r="AM12">
            <v>8616.8839724207483</v>
          </cell>
          <cell r="AN12">
            <v>5.096767562150851</v>
          </cell>
          <cell r="AO12">
            <v>1</v>
          </cell>
        </row>
        <row r="13">
          <cell r="A13" t="str">
            <v>BT-CO</v>
          </cell>
          <cell r="B13">
            <v>3099</v>
          </cell>
          <cell r="C13" t="str">
            <v>Y</v>
          </cell>
          <cell r="D13">
            <v>2149</v>
          </cell>
          <cell r="E13">
            <v>1749</v>
          </cell>
          <cell r="F13">
            <v>1599</v>
          </cell>
          <cell r="G13" t="str">
            <v>TL1</v>
          </cell>
          <cell r="H13">
            <v>18.726600497557953</v>
          </cell>
          <cell r="I13">
            <v>18.768892972763723</v>
          </cell>
          <cell r="J13">
            <v>327.52824270228865</v>
          </cell>
          <cell r="K13">
            <v>1900</v>
          </cell>
          <cell r="L13">
            <v>366.91866994000003</v>
          </cell>
          <cell r="M13">
            <v>22.94675859537211</v>
          </cell>
          <cell r="N13">
            <v>14</v>
          </cell>
          <cell r="O13">
            <v>0.115</v>
          </cell>
          <cell r="P13">
            <v>7.0000000000000007E-2</v>
          </cell>
          <cell r="Q13" t="str">
            <v>SF</v>
          </cell>
          <cell r="S13">
            <v>65</v>
          </cell>
          <cell r="T13">
            <v>252</v>
          </cell>
          <cell r="U13">
            <v>14.408233276157805</v>
          </cell>
          <cell r="V13">
            <v>14</v>
          </cell>
          <cell r="W13">
            <v>7</v>
          </cell>
          <cell r="X13">
            <v>37.425100057175527</v>
          </cell>
          <cell r="Y13">
            <v>34.700437773608506</v>
          </cell>
          <cell r="Z13">
            <v>66.019162214306462</v>
          </cell>
          <cell r="AA13">
            <v>65.976869739100692</v>
          </cell>
          <cell r="AB13">
            <v>18</v>
          </cell>
          <cell r="AC13">
            <v>0</v>
          </cell>
          <cell r="AD13">
            <v>1749</v>
          </cell>
          <cell r="AE13">
            <v>32.203389830508478</v>
          </cell>
          <cell r="AF13">
            <v>10.5</v>
          </cell>
          <cell r="AG13">
            <v>22.963260820749859</v>
          </cell>
          <cell r="AH13">
            <v>4.1943678479861362</v>
          </cell>
          <cell r="AI13">
            <v>44.310601851841071</v>
          </cell>
          <cell r="AJ13">
            <v>42.5</v>
          </cell>
          <cell r="AK13">
            <v>1422</v>
          </cell>
          <cell r="AL13" t="str">
            <v>PB</v>
          </cell>
          <cell r="AM13">
            <v>1433.7686794921519</v>
          </cell>
          <cell r="AN13">
            <v>-18.023517467572791</v>
          </cell>
          <cell r="AO13">
            <v>1</v>
          </cell>
        </row>
        <row r="14">
          <cell r="A14" t="str">
            <v>BT-NHE</v>
          </cell>
          <cell r="B14">
            <v>2799</v>
          </cell>
          <cell r="C14" t="str">
            <v>Y</v>
          </cell>
          <cell r="D14">
            <v>1899</v>
          </cell>
          <cell r="E14">
            <v>1399</v>
          </cell>
          <cell r="F14">
            <v>1349</v>
          </cell>
          <cell r="G14" t="str">
            <v>TL1</v>
          </cell>
          <cell r="H14">
            <v>18.758695891938757</v>
          </cell>
          <cell r="I14">
            <v>21.498611873409267</v>
          </cell>
          <cell r="J14">
            <v>262.43415552822319</v>
          </cell>
          <cell r="K14">
            <v>1500</v>
          </cell>
          <cell r="L14">
            <v>274.69478557199994</v>
          </cell>
          <cell r="M14">
            <v>20.362845483469233</v>
          </cell>
          <cell r="N14">
            <v>10</v>
          </cell>
          <cell r="O14">
            <v>0.115</v>
          </cell>
          <cell r="P14">
            <v>7.0000000000000007E-2</v>
          </cell>
          <cell r="Q14" t="str">
            <v>SF</v>
          </cell>
          <cell r="S14">
            <v>65</v>
          </cell>
          <cell r="T14">
            <v>220</v>
          </cell>
          <cell r="U14">
            <v>15.725518227305217</v>
          </cell>
          <cell r="V14">
            <v>14</v>
          </cell>
          <cell r="W14">
            <v>7</v>
          </cell>
          <cell r="X14">
            <v>39.872408863473908</v>
          </cell>
          <cell r="Y14">
            <v>36.164566345441067</v>
          </cell>
          <cell r="Z14">
            <v>65.987066819925658</v>
          </cell>
          <cell r="AA14">
            <v>63.247150838455148</v>
          </cell>
          <cell r="AB14">
            <v>18</v>
          </cell>
          <cell r="AC14">
            <v>0</v>
          </cell>
          <cell r="AD14">
            <v>1399</v>
          </cell>
          <cell r="AE14">
            <v>32.203389830508478</v>
          </cell>
          <cell r="AF14">
            <v>7.5</v>
          </cell>
          <cell r="AG14">
            <v>24.371194498796967</v>
          </cell>
          <cell r="AH14">
            <v>2.8725826253877003</v>
          </cell>
          <cell r="AI14">
            <v>47.312108900879437</v>
          </cell>
          <cell r="AJ14">
            <v>45</v>
          </cell>
          <cell r="AK14">
            <v>1063</v>
          </cell>
          <cell r="AL14" t="str">
            <v>PA</v>
          </cell>
          <cell r="AM14">
            <v>1046.4401807223112</v>
          </cell>
          <cell r="AN14">
            <v>-25.200844837576039</v>
          </cell>
          <cell r="AO14">
            <v>1</v>
          </cell>
        </row>
        <row r="15">
          <cell r="A15" t="str">
            <v>BT-OL</v>
          </cell>
          <cell r="B15">
            <v>3599</v>
          </cell>
          <cell r="C15" t="str">
            <v>Y</v>
          </cell>
          <cell r="D15">
            <v>2449</v>
          </cell>
          <cell r="E15">
            <v>1799</v>
          </cell>
          <cell r="F15">
            <v>1699</v>
          </cell>
          <cell r="G15" t="str">
            <v>TL1</v>
          </cell>
          <cell r="H15">
            <v>19.944611503084531</v>
          </cell>
          <cell r="I15">
            <v>21.719411314221674</v>
          </cell>
          <cell r="J15">
            <v>358.80356094049068</v>
          </cell>
          <cell r="K15">
            <v>1950</v>
          </cell>
          <cell r="L15">
            <v>377.41181221500005</v>
          </cell>
          <cell r="M15">
            <v>22.213761754855803</v>
          </cell>
          <cell r="N15">
            <v>14</v>
          </cell>
          <cell r="O15">
            <v>0.115</v>
          </cell>
          <cell r="P15">
            <v>7.0000000000000007E-2</v>
          </cell>
          <cell r="Q15" t="str">
            <v>SF</v>
          </cell>
          <cell r="S15">
            <v>65</v>
          </cell>
          <cell r="T15">
            <v>252</v>
          </cell>
          <cell r="U15">
            <v>14.007782101167317</v>
          </cell>
          <cell r="V15">
            <v>14</v>
          </cell>
          <cell r="W15">
            <v>7</v>
          </cell>
          <cell r="X15">
            <v>36.899110617009455</v>
          </cell>
          <cell r="Y15">
            <v>33.482048263684518</v>
          </cell>
          <cell r="Z15">
            <v>64.801151208779885</v>
          </cell>
          <cell r="AA15">
            <v>63.026351397642742</v>
          </cell>
          <cell r="AB15">
            <v>18</v>
          </cell>
          <cell r="AC15">
            <v>0</v>
          </cell>
          <cell r="AD15">
            <v>1799</v>
          </cell>
          <cell r="AE15">
            <v>32.203389830508478</v>
          </cell>
          <cell r="AF15">
            <v>10.5</v>
          </cell>
          <cell r="AG15">
            <v>22.979737405258092</v>
          </cell>
          <cell r="AH15">
            <v>1.2603260910364185</v>
          </cell>
          <cell r="AI15">
            <v>45.146876148403493</v>
          </cell>
          <cell r="AJ15">
            <v>43</v>
          </cell>
          <cell r="AK15">
            <v>1461</v>
          </cell>
          <cell r="AL15" t="str">
            <v>PA</v>
          </cell>
          <cell r="AM15">
            <v>1439.4974612627454</v>
          </cell>
          <cell r="AN15">
            <v>-19.983465188285415</v>
          </cell>
          <cell r="AO15">
            <v>1</v>
          </cell>
        </row>
        <row r="16">
          <cell r="A16" t="str">
            <v>BT-OL-D</v>
          </cell>
          <cell r="B16">
            <v>4149</v>
          </cell>
          <cell r="C16" t="str">
            <v>Y</v>
          </cell>
          <cell r="D16">
            <v>2899</v>
          </cell>
          <cell r="E16">
            <v>2449</v>
          </cell>
          <cell r="F16">
            <v>2249</v>
          </cell>
          <cell r="G16" t="str">
            <v>TL1</v>
          </cell>
          <cell r="H16">
            <v>18.9026033014418</v>
          </cell>
          <cell r="I16">
            <v>19.192451286286385</v>
          </cell>
          <cell r="J16">
            <v>462.92475485230972</v>
          </cell>
          <cell r="K16">
            <v>2600</v>
          </cell>
          <cell r="L16">
            <v>586.79246162499987</v>
          </cell>
          <cell r="M16">
            <v>26.091261077145393</v>
          </cell>
          <cell r="N16">
            <v>20</v>
          </cell>
          <cell r="O16">
            <v>0.115</v>
          </cell>
          <cell r="P16">
            <v>7.0000000000000007E-2</v>
          </cell>
          <cell r="Q16" t="str">
            <v>SF</v>
          </cell>
          <cell r="S16">
            <v>65</v>
          </cell>
          <cell r="T16">
            <v>300</v>
          </cell>
          <cell r="U16">
            <v>12.249897917517355</v>
          </cell>
          <cell r="V16">
            <v>14</v>
          </cell>
          <cell r="W16">
            <v>7</v>
          </cell>
          <cell r="X16">
            <v>33.975704369130256</v>
          </cell>
          <cell r="Y16">
            <v>30.851934192974657</v>
          </cell>
          <cell r="Z16">
            <v>65.843159410422615</v>
          </cell>
          <cell r="AA16">
            <v>65.55331142557803</v>
          </cell>
          <cell r="AB16">
            <v>18</v>
          </cell>
          <cell r="AC16">
            <v>0</v>
          </cell>
          <cell r="AD16">
            <v>2449</v>
          </cell>
          <cell r="AE16">
            <v>32.203389830508478</v>
          </cell>
          <cell r="AF16">
            <v>15</v>
          </cell>
          <cell r="AG16">
            <v>19.969385473230169</v>
          </cell>
          <cell r="AH16">
            <v>0.7769341869437838</v>
          </cell>
          <cell r="AI16">
            <v>40.433659074141495</v>
          </cell>
          <cell r="AJ16">
            <v>39.5</v>
          </cell>
          <cell r="AK16">
            <v>2267</v>
          </cell>
          <cell r="AL16" t="str">
            <v>PA</v>
          </cell>
          <cell r="AM16">
            <v>2232.7485812381005</v>
          </cell>
          <cell r="AN16">
            <v>-8.8301926811718854</v>
          </cell>
          <cell r="AO16">
            <v>1</v>
          </cell>
        </row>
        <row r="17">
          <cell r="A17" t="str">
            <v>CH-PLI-ME</v>
          </cell>
          <cell r="C17" t="str">
            <v>Y</v>
          </cell>
          <cell r="D17">
            <v>5999</v>
          </cell>
          <cell r="E17">
            <v>4599</v>
          </cell>
          <cell r="F17">
            <v>3899</v>
          </cell>
          <cell r="G17" t="str">
            <v>TL3</v>
          </cell>
          <cell r="H17">
            <v>10.387792122880839</v>
          </cell>
          <cell r="I17">
            <v>4.8594311553792977</v>
          </cell>
          <cell r="J17">
            <v>477.73455973128978</v>
          </cell>
          <cell r="K17">
            <v>4900</v>
          </cell>
          <cell r="L17">
            <v>1770.5294914675626</v>
          </cell>
          <cell r="M17">
            <v>45.409835636510962</v>
          </cell>
          <cell r="N17">
            <v>36</v>
          </cell>
          <cell r="O17">
            <v>0.115</v>
          </cell>
          <cell r="P17">
            <v>7.0000000000000007E-2</v>
          </cell>
          <cell r="Q17" t="str">
            <v>SS</v>
          </cell>
          <cell r="S17">
            <v>100</v>
          </cell>
          <cell r="T17">
            <v>318.60000000000002</v>
          </cell>
          <cell r="U17">
            <v>6.9275929549902155</v>
          </cell>
          <cell r="V17">
            <v>0</v>
          </cell>
          <cell r="W17">
            <v>7</v>
          </cell>
          <cell r="X17">
            <v>27.601978691019788</v>
          </cell>
          <cell r="Y17">
            <v>24.73608617594255</v>
          </cell>
          <cell r="Z17">
            <v>74.357970588983576</v>
          </cell>
          <cell r="AA17">
            <v>79.886331556485118</v>
          </cell>
          <cell r="AB17">
            <v>18</v>
          </cell>
          <cell r="AC17">
            <v>0</v>
          </cell>
          <cell r="AD17">
            <v>4599</v>
          </cell>
          <cell r="AE17">
            <v>32.203389830508478</v>
          </cell>
          <cell r="AF17">
            <v>27</v>
          </cell>
          <cell r="AG17">
            <v>5.4571480179603551</v>
          </cell>
          <cell r="AH17">
            <v>0.59771686258105738</v>
          </cell>
          <cell r="AI17">
            <v>22.895170264903719</v>
          </cell>
          <cell r="AJ17">
            <v>22.5</v>
          </cell>
          <cell r="AK17">
            <v>6772</v>
          </cell>
          <cell r="AL17" t="str">
            <v>P2-</v>
          </cell>
          <cell r="AM17">
            <v>6062.3974955993535</v>
          </cell>
          <cell r="AN17">
            <v>31.819906405726321</v>
          </cell>
          <cell r="AO17">
            <v>3</v>
          </cell>
        </row>
        <row r="18">
          <cell r="A18" t="str">
            <v>CH-ZLO-ME</v>
          </cell>
          <cell r="C18" t="str">
            <v>Y</v>
          </cell>
          <cell r="D18">
            <v>5999</v>
          </cell>
          <cell r="E18">
            <v>4599</v>
          </cell>
          <cell r="F18">
            <v>3999</v>
          </cell>
          <cell r="G18" t="str">
            <v>TL3</v>
          </cell>
          <cell r="H18" t="str">
            <v>ERR</v>
          </cell>
          <cell r="I18" t="str">
            <v>ERR</v>
          </cell>
          <cell r="J18" t="str">
            <v>ERR</v>
          </cell>
          <cell r="K18">
            <v>4900</v>
          </cell>
          <cell r="L18">
            <v>1770.5294914675626</v>
          </cell>
          <cell r="M18">
            <v>44.274305863154851</v>
          </cell>
          <cell r="N18">
            <v>1</v>
          </cell>
          <cell r="O18">
            <v>0.115</v>
          </cell>
          <cell r="P18">
            <v>7.0000000000000007E-2</v>
          </cell>
          <cell r="Q18" t="str">
            <v>SF</v>
          </cell>
          <cell r="S18">
            <v>65</v>
          </cell>
          <cell r="T18" t="str">
            <v>ERR</v>
          </cell>
          <cell r="U18" t="e">
            <v>#VALUE!</v>
          </cell>
          <cell r="V18">
            <v>14</v>
          </cell>
          <cell r="W18">
            <v>7</v>
          </cell>
          <cell r="X18" t="e">
            <v>#VALUE!</v>
          </cell>
          <cell r="Y18" t="e">
            <v>#VALUE!</v>
          </cell>
          <cell r="Z18" t="e">
            <v>#VALUE!</v>
          </cell>
          <cell r="AA18" t="e">
            <v>#VALUE!</v>
          </cell>
          <cell r="AB18">
            <v>18</v>
          </cell>
          <cell r="AC18">
            <v>0</v>
          </cell>
          <cell r="AD18">
            <v>4599</v>
          </cell>
          <cell r="AE18">
            <v>32.203389830508478</v>
          </cell>
          <cell r="AF18">
            <v>0.75</v>
          </cell>
          <cell r="AG18">
            <v>6.0279242736681109</v>
          </cell>
          <cell r="AH18" t="e">
            <v>#VALUE!</v>
          </cell>
          <cell r="AI18">
            <v>23.568686246638872</v>
          </cell>
          <cell r="AJ18">
            <v>23.5</v>
          </cell>
          <cell r="AK18">
            <v>6673</v>
          </cell>
          <cell r="AL18" t="str">
            <v>P2-</v>
          </cell>
          <cell r="AM18">
            <v>5996.0513417532002</v>
          </cell>
          <cell r="AN18">
            <v>30.377285100091328</v>
          </cell>
          <cell r="AO18">
            <v>3</v>
          </cell>
        </row>
        <row r="19">
          <cell r="A19" t="str">
            <v>CT-ATD</v>
          </cell>
          <cell r="B19">
            <v>6599</v>
          </cell>
          <cell r="C19" t="str">
            <v>Y</v>
          </cell>
          <cell r="D19">
            <v>4599</v>
          </cell>
          <cell r="E19">
            <v>2699</v>
          </cell>
          <cell r="F19">
            <v>2329</v>
          </cell>
          <cell r="G19" t="str">
            <v>TL2</v>
          </cell>
          <cell r="H19">
            <v>19.987556845985836</v>
          </cell>
          <cell r="I19">
            <v>17.138679142948035</v>
          </cell>
          <cell r="J19">
            <v>539.46415927315763</v>
          </cell>
          <cell r="K19">
            <v>2900</v>
          </cell>
          <cell r="L19">
            <v>581.58569648125001</v>
          </cell>
          <cell r="M19">
            <v>24.971476877683557</v>
          </cell>
          <cell r="N19">
            <v>32</v>
          </cell>
          <cell r="O19">
            <v>0.115</v>
          </cell>
          <cell r="P19">
            <v>7.0000000000000007E-2</v>
          </cell>
          <cell r="Q19" t="str">
            <v>SF</v>
          </cell>
          <cell r="S19">
            <v>65</v>
          </cell>
          <cell r="T19">
            <v>396</v>
          </cell>
          <cell r="U19">
            <v>14.672100778065952</v>
          </cell>
          <cell r="V19">
            <v>14</v>
          </cell>
          <cell r="W19">
            <v>7</v>
          </cell>
          <cell r="X19">
            <v>36.099110781771031</v>
          </cell>
          <cell r="Y19">
            <v>34.395019321597253</v>
          </cell>
          <cell r="Z19">
            <v>64.75820586587858</v>
          </cell>
          <cell r="AA19">
            <v>67.60708356891638</v>
          </cell>
          <cell r="AB19">
            <v>18</v>
          </cell>
          <cell r="AC19">
            <v>0</v>
          </cell>
          <cell r="AD19">
            <v>2699</v>
          </cell>
          <cell r="AE19">
            <v>32.203389830508478</v>
          </cell>
          <cell r="AF19">
            <v>24</v>
          </cell>
          <cell r="AG19">
            <v>22.104962859820176</v>
          </cell>
          <cell r="AH19">
            <v>4.966283716872141</v>
          </cell>
          <cell r="AI19">
            <v>43.892990290564157</v>
          </cell>
          <cell r="AJ19">
            <v>42</v>
          </cell>
          <cell r="AK19">
            <v>2282</v>
          </cell>
          <cell r="AL19" t="str">
            <v>PA</v>
          </cell>
          <cell r="AM19">
            <v>2219.2077224309437</v>
          </cell>
          <cell r="AN19">
            <v>-17.776668305633802</v>
          </cell>
          <cell r="AO19">
            <v>1</v>
          </cell>
        </row>
        <row r="20">
          <cell r="A20" t="str">
            <v>CT-DOV</v>
          </cell>
          <cell r="B20">
            <v>7599</v>
          </cell>
          <cell r="C20" t="str">
            <v>Y</v>
          </cell>
          <cell r="D20">
            <v>5299</v>
          </cell>
          <cell r="E20">
            <v>4749</v>
          </cell>
          <cell r="F20">
            <v>4199</v>
          </cell>
          <cell r="G20" t="str">
            <v>TL2</v>
          </cell>
          <cell r="H20">
            <v>20.459846118611893</v>
          </cell>
          <cell r="I20">
            <v>18.962643421234191</v>
          </cell>
          <cell r="J20">
            <v>971.63809217287883</v>
          </cell>
          <cell r="K20">
            <v>5050</v>
          </cell>
          <cell r="L20">
            <v>1193.5136684312502</v>
          </cell>
          <cell r="M20">
            <v>28.42375966733151</v>
          </cell>
          <cell r="N20">
            <v>46</v>
          </cell>
          <cell r="O20">
            <v>0.115</v>
          </cell>
          <cell r="P20">
            <v>7.0000000000000007E-2</v>
          </cell>
          <cell r="Q20" t="str">
            <v>SF</v>
          </cell>
          <cell r="S20">
            <v>65</v>
          </cell>
          <cell r="T20">
            <v>508</v>
          </cell>
          <cell r="U20">
            <v>10.696988839755738</v>
          </cell>
          <cell r="V20">
            <v>14</v>
          </cell>
          <cell r="W20">
            <v>7</v>
          </cell>
          <cell r="X20">
            <v>30.860496946725625</v>
          </cell>
          <cell r="Y20">
            <v>27.979518933079305</v>
          </cell>
          <cell r="Z20">
            <v>64.285916593252523</v>
          </cell>
          <cell r="AA20">
            <v>65.783119290630225</v>
          </cell>
          <cell r="AB20">
            <v>18</v>
          </cell>
          <cell r="AC20">
            <v>0</v>
          </cell>
          <cell r="AD20">
            <v>4749</v>
          </cell>
          <cell r="AE20">
            <v>32.203389830508478</v>
          </cell>
          <cell r="AF20">
            <v>34.5</v>
          </cell>
          <cell r="AG20">
            <v>18.684009680024076</v>
          </cell>
          <cell r="AH20">
            <v>-0.27863374121011475</v>
          </cell>
          <cell r="AI20">
            <v>38.460771715392639</v>
          </cell>
          <cell r="AJ20">
            <v>38</v>
          </cell>
          <cell r="AK20">
            <v>4627</v>
          </cell>
          <cell r="AL20" t="str">
            <v>PA</v>
          </cell>
          <cell r="AM20">
            <v>4555.8482876339731</v>
          </cell>
          <cell r="AN20">
            <v>-4.0672080936202759</v>
          </cell>
          <cell r="AO20">
            <v>1</v>
          </cell>
        </row>
        <row r="21">
          <cell r="A21" t="str">
            <v>CT-ETE</v>
          </cell>
          <cell r="B21">
            <v>5099</v>
          </cell>
          <cell r="C21" t="str">
            <v>Y</v>
          </cell>
          <cell r="D21">
            <v>3549</v>
          </cell>
          <cell r="E21">
            <v>2749</v>
          </cell>
          <cell r="F21">
            <v>2499</v>
          </cell>
          <cell r="G21" t="str">
            <v>TL2</v>
          </cell>
          <cell r="H21">
            <v>20.271040661928069</v>
          </cell>
          <cell r="I21">
            <v>20.171728732162535</v>
          </cell>
          <cell r="J21">
            <v>557.25090779640266</v>
          </cell>
          <cell r="K21">
            <v>2950</v>
          </cell>
          <cell r="L21">
            <v>641.23692417500001</v>
          </cell>
          <cell r="M21">
            <v>25.659740863345341</v>
          </cell>
          <cell r="N21">
            <v>24</v>
          </cell>
          <cell r="O21">
            <v>0.115</v>
          </cell>
          <cell r="P21">
            <v>7.0000000000000007E-2</v>
          </cell>
          <cell r="Q21" t="str">
            <v>SF</v>
          </cell>
          <cell r="S21">
            <v>65</v>
          </cell>
          <cell r="T21">
            <v>332</v>
          </cell>
          <cell r="U21">
            <v>12.077118952346309</v>
          </cell>
          <cell r="V21">
            <v>14</v>
          </cell>
          <cell r="W21">
            <v>7</v>
          </cell>
          <cell r="X21">
            <v>33.450891233175703</v>
          </cell>
          <cell r="Y21">
            <v>30.446578631452581</v>
          </cell>
          <cell r="Z21">
            <v>64.474722049936346</v>
          </cell>
          <cell r="AA21">
            <v>64.574033979701881</v>
          </cell>
          <cell r="AB21">
            <v>18</v>
          </cell>
          <cell r="AC21">
            <v>0</v>
          </cell>
          <cell r="AD21">
            <v>2749</v>
          </cell>
          <cell r="AE21">
            <v>32.203389830508478</v>
          </cell>
          <cell r="AF21">
            <v>18</v>
          </cell>
          <cell r="AG21">
            <v>20.561400739668045</v>
          </cell>
          <cell r="AH21">
            <v>0.38967200750551001</v>
          </cell>
          <cell r="AI21">
            <v>41.379235038186806</v>
          </cell>
          <cell r="AJ21">
            <v>40.5</v>
          </cell>
          <cell r="AK21">
            <v>2484</v>
          </cell>
          <cell r="AL21" t="str">
            <v>PA</v>
          </cell>
          <cell r="AM21">
            <v>2446.7796312913224</v>
          </cell>
          <cell r="AN21">
            <v>-10.993829345532106</v>
          </cell>
          <cell r="AO21">
            <v>1</v>
          </cell>
        </row>
        <row r="22">
          <cell r="A22" t="str">
            <v>CT-GSE-RT</v>
          </cell>
          <cell r="B22">
            <v>3599</v>
          </cell>
          <cell r="C22" t="str">
            <v>Y</v>
          </cell>
          <cell r="D22">
            <v>2279</v>
          </cell>
          <cell r="E22">
            <v>1799</v>
          </cell>
          <cell r="F22">
            <v>1599</v>
          </cell>
          <cell r="G22" t="str">
            <v>TL1</v>
          </cell>
          <cell r="H22">
            <v>14.903165105620701</v>
          </cell>
          <cell r="I22">
            <v>12.981326755871663</v>
          </cell>
          <cell r="J22">
            <v>268.10794025011637</v>
          </cell>
          <cell r="K22">
            <v>1950</v>
          </cell>
          <cell r="L22">
            <v>445.60400822280002</v>
          </cell>
          <cell r="M22">
            <v>27.867667806303942</v>
          </cell>
          <cell r="N22">
            <v>13</v>
          </cell>
          <cell r="O22">
            <v>0.115</v>
          </cell>
          <cell r="P22">
            <v>7.0000000000000007E-2</v>
          </cell>
          <cell r="Q22" t="str">
            <v>SF</v>
          </cell>
          <cell r="S22">
            <v>65</v>
          </cell>
          <cell r="T22">
            <v>252</v>
          </cell>
          <cell r="U22">
            <v>14.007782101167317</v>
          </cell>
          <cell r="V22">
            <v>14</v>
          </cell>
          <cell r="W22">
            <v>7</v>
          </cell>
          <cell r="X22">
            <v>36.899110617009455</v>
          </cell>
          <cell r="Y22">
            <v>34.700437773608506</v>
          </cell>
          <cell r="Z22">
            <v>69.842597606243714</v>
          </cell>
          <cell r="AA22">
            <v>71.764435955992752</v>
          </cell>
          <cell r="AB22">
            <v>18</v>
          </cell>
          <cell r="AC22">
            <v>0</v>
          </cell>
          <cell r="AD22">
            <v>1799</v>
          </cell>
          <cell r="AE22">
            <v>32.203389830508478</v>
          </cell>
          <cell r="AF22">
            <v>9.75</v>
          </cell>
          <cell r="AG22">
            <v>19.230866031839525</v>
          </cell>
          <cell r="AH22">
            <v>6.2495392759678623</v>
          </cell>
          <cell r="AI22">
            <v>39.247163396061012</v>
          </cell>
          <cell r="AJ22">
            <v>38.5</v>
          </cell>
          <cell r="AK22">
            <v>1716</v>
          </cell>
          <cell r="AL22" t="str">
            <v>PA</v>
          </cell>
          <cell r="AM22">
            <v>1687.8987112647499</v>
          </cell>
          <cell r="AN22">
            <v>-6.1757247768343602</v>
          </cell>
          <cell r="AO22">
            <v>1</v>
          </cell>
        </row>
        <row r="23">
          <cell r="A23" t="str">
            <v>CT-GSE-RT2</v>
          </cell>
          <cell r="B23">
            <v>4999</v>
          </cell>
          <cell r="C23" t="str">
            <v>Y</v>
          </cell>
          <cell r="D23">
            <v>3467</v>
          </cell>
          <cell r="E23">
            <v>2549</v>
          </cell>
          <cell r="F23">
            <v>2299</v>
          </cell>
          <cell r="G23" t="str">
            <v>TL1</v>
          </cell>
          <cell r="H23">
            <v>15.637196559977639</v>
          </cell>
          <cell r="I23">
            <v>14.633872707010397</v>
          </cell>
          <cell r="J23">
            <v>398.59214031383004</v>
          </cell>
          <cell r="K23">
            <v>2750</v>
          </cell>
          <cell r="L23">
            <v>660.91154226435617</v>
          </cell>
          <cell r="M23">
            <v>28.747783482573126</v>
          </cell>
          <cell r="N23">
            <v>23</v>
          </cell>
          <cell r="O23">
            <v>0.115</v>
          </cell>
          <cell r="P23">
            <v>7.0000000000000007E-2</v>
          </cell>
          <cell r="Q23" t="str">
            <v>SF</v>
          </cell>
          <cell r="S23">
            <v>65</v>
          </cell>
          <cell r="T23">
            <v>332</v>
          </cell>
          <cell r="U23">
            <v>13.024715574735191</v>
          </cell>
          <cell r="V23">
            <v>14</v>
          </cell>
          <cell r="W23">
            <v>7</v>
          </cell>
          <cell r="X23">
            <v>34.623970184386039</v>
          </cell>
          <cell r="Y23">
            <v>31.877337973031754</v>
          </cell>
          <cell r="Z23">
            <v>69.108566151886777</v>
          </cell>
          <cell r="AA23">
            <v>70.111890004854018</v>
          </cell>
          <cell r="AB23">
            <v>18</v>
          </cell>
          <cell r="AC23">
            <v>0</v>
          </cell>
          <cell r="AD23">
            <v>2549</v>
          </cell>
          <cell r="AE23">
            <v>32.203389830508478</v>
          </cell>
          <cell r="AF23">
            <v>17.25</v>
          </cell>
          <cell r="AG23">
            <v>17.937369261726424</v>
          </cell>
          <cell r="AH23">
            <v>3.3034965547160269</v>
          </cell>
          <cell r="AI23">
            <v>37.269628307976447</v>
          </cell>
          <cell r="AJ23">
            <v>37</v>
          </cell>
          <cell r="AK23">
            <v>2555</v>
          </cell>
          <cell r="AL23" t="str">
            <v>PA</v>
          </cell>
          <cell r="AM23">
            <v>2516.8036716477136</v>
          </cell>
          <cell r="AN23">
            <v>-1.2630964437931111</v>
          </cell>
          <cell r="AO23">
            <v>1</v>
          </cell>
        </row>
        <row r="24">
          <cell r="A24" t="str">
            <v>CT-GSE-SQ</v>
          </cell>
          <cell r="B24">
            <v>3499</v>
          </cell>
          <cell r="C24" t="str">
            <v>Y</v>
          </cell>
          <cell r="D24">
            <v>2399</v>
          </cell>
          <cell r="E24">
            <v>1979</v>
          </cell>
          <cell r="F24">
            <v>1799</v>
          </cell>
          <cell r="G24" t="str">
            <v>TL1</v>
          </cell>
          <cell r="H24">
            <v>15.237945320296717</v>
          </cell>
          <cell r="I24">
            <v>14.634328238316613</v>
          </cell>
          <cell r="J24">
            <v>301.55893788867201</v>
          </cell>
          <cell r="K24">
            <v>2100</v>
          </cell>
          <cell r="L24">
            <v>486.04865126249996</v>
          </cell>
          <cell r="M24">
            <v>27.017712688299056</v>
          </cell>
          <cell r="N24">
            <v>17</v>
          </cell>
          <cell r="O24">
            <v>0.115</v>
          </cell>
          <cell r="P24">
            <v>7.0000000000000007E-2</v>
          </cell>
          <cell r="Q24" t="str">
            <v>SF</v>
          </cell>
          <cell r="S24">
            <v>65</v>
          </cell>
          <cell r="T24">
            <v>284</v>
          </cell>
          <cell r="U24">
            <v>14.35068216270844</v>
          </cell>
          <cell r="V24">
            <v>14</v>
          </cell>
          <cell r="W24">
            <v>7</v>
          </cell>
          <cell r="X24">
            <v>36.842597271349163</v>
          </cell>
          <cell r="Y24">
            <v>34.177876598110061</v>
          </cell>
          <cell r="Z24">
            <v>69.507817391567698</v>
          </cell>
          <cell r="AA24">
            <v>70.111434473547803</v>
          </cell>
          <cell r="AB24">
            <v>18</v>
          </cell>
          <cell r="AC24">
            <v>0</v>
          </cell>
          <cell r="AD24">
            <v>1979</v>
          </cell>
          <cell r="AE24">
            <v>32.203389830508478</v>
          </cell>
          <cell r="AF24">
            <v>12.75</v>
          </cell>
          <cell r="AG24">
            <v>19.337792221300347</v>
          </cell>
          <cell r="AH24">
            <v>4.7034639829837346</v>
          </cell>
          <cell r="AI24">
            <v>39.454807817515551</v>
          </cell>
          <cell r="AJ24">
            <v>39</v>
          </cell>
          <cell r="AK24">
            <v>1879</v>
          </cell>
          <cell r="AL24" t="str">
            <v>PA</v>
          </cell>
          <cell r="AM24">
            <v>1849.8938922302523</v>
          </cell>
          <cell r="AN24">
            <v>-6.5238053446057469</v>
          </cell>
          <cell r="AO24">
            <v>1</v>
          </cell>
        </row>
        <row r="25">
          <cell r="A25" t="str">
            <v>CT-GSE-SQ2</v>
          </cell>
          <cell r="B25">
            <v>4899</v>
          </cell>
          <cell r="C25" t="str">
            <v>Y</v>
          </cell>
          <cell r="D25">
            <v>3399</v>
          </cell>
          <cell r="E25">
            <v>2699</v>
          </cell>
          <cell r="F25">
            <v>2449</v>
          </cell>
          <cell r="G25" t="str">
            <v>TL1</v>
          </cell>
          <cell r="H25">
            <v>16.290389594515403</v>
          </cell>
          <cell r="I25">
            <v>15.690821085190265</v>
          </cell>
          <cell r="J25">
            <v>439.67761515597073</v>
          </cell>
          <cell r="K25">
            <v>2900</v>
          </cell>
          <cell r="L25">
            <v>692.70339882500002</v>
          </cell>
          <cell r="M25">
            <v>28.285153075745203</v>
          </cell>
          <cell r="N25">
            <v>25</v>
          </cell>
          <cell r="O25">
            <v>0.115</v>
          </cell>
          <cell r="P25">
            <v>7.0000000000000007E-2</v>
          </cell>
          <cell r="Q25" t="str">
            <v>SF</v>
          </cell>
          <cell r="S25">
            <v>65</v>
          </cell>
          <cell r="T25">
            <v>348</v>
          </cell>
          <cell r="U25">
            <v>12.893664320118564</v>
          </cell>
          <cell r="V25">
            <v>14</v>
          </cell>
          <cell r="W25">
            <v>7</v>
          </cell>
          <cell r="X25">
            <v>34.320674323823638</v>
          </cell>
          <cell r="Y25">
            <v>31.435688035933033</v>
          </cell>
          <cell r="Z25">
            <v>68.455373117349012</v>
          </cell>
          <cell r="AA25">
            <v>69.05494162667415</v>
          </cell>
          <cell r="AB25">
            <v>18</v>
          </cell>
          <cell r="AC25">
            <v>0</v>
          </cell>
          <cell r="AD25">
            <v>2699</v>
          </cell>
          <cell r="AE25">
            <v>32.203389830508478</v>
          </cell>
          <cell r="AF25">
            <v>18.75</v>
          </cell>
          <cell r="AG25">
            <v>18.182484077169192</v>
          </cell>
          <cell r="AH25">
            <v>2.4916629919789273</v>
          </cell>
          <cell r="AI25">
            <v>37.661307368804934</v>
          </cell>
          <cell r="AJ25">
            <v>37.5</v>
          </cell>
          <cell r="AK25">
            <v>2680</v>
          </cell>
          <cell r="AL25" t="str">
            <v>PA</v>
          </cell>
          <cell r="AM25">
            <v>2639.3817396807926</v>
          </cell>
          <cell r="AN25">
            <v>-2.2089018273140928</v>
          </cell>
          <cell r="AO25">
            <v>1</v>
          </cell>
        </row>
        <row r="26">
          <cell r="A26" t="str">
            <v>CT-KV-RT</v>
          </cell>
          <cell r="B26">
            <v>6199</v>
          </cell>
          <cell r="C26" t="str">
            <v>Y</v>
          </cell>
          <cell r="D26">
            <v>4199</v>
          </cell>
          <cell r="E26">
            <v>3099</v>
          </cell>
          <cell r="F26">
            <v>2799</v>
          </cell>
          <cell r="G26" t="str">
            <v>TL2</v>
          </cell>
          <cell r="H26">
            <v>20.256613401662889</v>
          </cell>
          <cell r="I26">
            <v>19.827444129401215</v>
          </cell>
          <cell r="J26">
            <v>627.75244931753298</v>
          </cell>
          <cell r="K26">
            <v>3300</v>
          </cell>
          <cell r="L26">
            <v>750.52912565650001</v>
          </cell>
          <cell r="M26">
            <v>26.814188126348697</v>
          </cell>
          <cell r="N26">
            <v>26</v>
          </cell>
          <cell r="O26">
            <v>0.115</v>
          </cell>
          <cell r="P26">
            <v>7.0000000000000007E-2</v>
          </cell>
          <cell r="Q26" t="str">
            <v>SF</v>
          </cell>
          <cell r="S26">
            <v>65</v>
          </cell>
          <cell r="T26">
            <v>348</v>
          </cell>
          <cell r="U26">
            <v>11.229428848015489</v>
          </cell>
          <cell r="V26">
            <v>14</v>
          </cell>
          <cell r="W26">
            <v>7</v>
          </cell>
          <cell r="X26">
            <v>32.278638270409814</v>
          </cell>
          <cell r="Y26">
            <v>29.255448374419437</v>
          </cell>
          <cell r="Z26">
            <v>64.489149310201526</v>
          </cell>
          <cell r="AA26">
            <v>64.918318582463201</v>
          </cell>
          <cell r="AB26">
            <v>18</v>
          </cell>
          <cell r="AC26">
            <v>0</v>
          </cell>
          <cell r="AD26">
            <v>3099</v>
          </cell>
          <cell r="AE26">
            <v>32.203389830508478</v>
          </cell>
          <cell r="AF26">
            <v>19.5</v>
          </cell>
          <cell r="AG26">
            <v>19.694708290955802</v>
          </cell>
          <cell r="AH26">
            <v>-0.13273583844541292</v>
          </cell>
          <cell r="AI26">
            <v>40.009099393181323</v>
          </cell>
          <cell r="AJ26">
            <v>39.5</v>
          </cell>
          <cell r="AK26">
            <v>2901</v>
          </cell>
          <cell r="AL26" t="str">
            <v>PA</v>
          </cell>
          <cell r="AM26">
            <v>2857.4719592856932</v>
          </cell>
          <cell r="AN26">
            <v>-7.7937412298905082</v>
          </cell>
          <cell r="AO26">
            <v>1</v>
          </cell>
        </row>
        <row r="27">
          <cell r="A27" t="str">
            <v>CT-LE</v>
          </cell>
          <cell r="B27">
            <v>6449</v>
          </cell>
          <cell r="C27" t="str">
            <v>Y</v>
          </cell>
          <cell r="D27">
            <v>4399</v>
          </cell>
          <cell r="E27">
            <v>2599</v>
          </cell>
          <cell r="F27">
            <v>2399</v>
          </cell>
          <cell r="G27" t="str">
            <v>TL2</v>
          </cell>
          <cell r="H27">
            <v>20.236346302836893</v>
          </cell>
          <cell r="I27">
            <v>20.900630053647447</v>
          </cell>
          <cell r="J27">
            <v>525.94264041073086</v>
          </cell>
          <cell r="K27">
            <v>2800</v>
          </cell>
          <cell r="L27">
            <v>602.09378381249996</v>
          </cell>
          <cell r="M27">
            <v>25.097698366506879</v>
          </cell>
          <cell r="N27">
            <v>22</v>
          </cell>
          <cell r="O27">
            <v>0.115</v>
          </cell>
          <cell r="P27">
            <v>7.0000000000000007E-2</v>
          </cell>
          <cell r="Q27" t="str">
            <v>SF</v>
          </cell>
          <cell r="S27">
            <v>65</v>
          </cell>
          <cell r="T27">
            <v>316</v>
          </cell>
          <cell r="U27">
            <v>12.158522508657176</v>
          </cell>
          <cell r="V27">
            <v>14</v>
          </cell>
          <cell r="W27">
            <v>7</v>
          </cell>
          <cell r="X27">
            <v>33.698153135821471</v>
          </cell>
          <cell r="Y27">
            <v>30.465193830762818</v>
          </cell>
          <cell r="Z27">
            <v>64.509416409027523</v>
          </cell>
          <cell r="AA27">
            <v>63.845132658216968</v>
          </cell>
          <cell r="AB27">
            <v>18</v>
          </cell>
          <cell r="AC27">
            <v>0</v>
          </cell>
          <cell r="AD27">
            <v>2599</v>
          </cell>
          <cell r="AE27">
            <v>32.203389830508478</v>
          </cell>
          <cell r="AF27">
            <v>16.5</v>
          </cell>
          <cell r="AG27">
            <v>20.741149956673368</v>
          </cell>
          <cell r="AH27">
            <v>-0.15948009697407883</v>
          </cell>
          <cell r="AI27">
            <v>41.653575055200569</v>
          </cell>
          <cell r="AJ27">
            <v>40.5</v>
          </cell>
          <cell r="AK27">
            <v>2331</v>
          </cell>
          <cell r="AL27" t="str">
            <v>PA</v>
          </cell>
          <cell r="AM27">
            <v>2295.8420424661658</v>
          </cell>
          <cell r="AN27">
            <v>-11.664407754283731</v>
          </cell>
          <cell r="AO27">
            <v>1</v>
          </cell>
        </row>
        <row r="28">
          <cell r="A28" t="str">
            <v>CT-MT-RO</v>
          </cell>
          <cell r="B28">
            <v>4299</v>
          </cell>
          <cell r="C28" t="str">
            <v>Y</v>
          </cell>
          <cell r="D28">
            <v>2999</v>
          </cell>
          <cell r="E28">
            <v>1999</v>
          </cell>
          <cell r="F28">
            <v>1999</v>
          </cell>
          <cell r="G28" t="str">
            <v>TL1</v>
          </cell>
          <cell r="H28">
            <v>19.164337349558366</v>
          </cell>
          <cell r="I28">
            <v>23.664337349558352</v>
          </cell>
          <cell r="J28">
            <v>383.09510361767173</v>
          </cell>
          <cell r="K28">
            <v>2150</v>
          </cell>
          <cell r="L28">
            <v>469.29149849060002</v>
          </cell>
          <cell r="M28">
            <v>23.47631308107054</v>
          </cell>
          <cell r="N28">
            <v>11</v>
          </cell>
          <cell r="O28">
            <v>0.115</v>
          </cell>
          <cell r="P28">
            <v>7.0000000000000007E-2</v>
          </cell>
          <cell r="Q28" t="str">
            <v>SS</v>
          </cell>
          <cell r="S28">
            <v>100</v>
          </cell>
          <cell r="T28">
            <v>217</v>
          </cell>
          <cell r="U28">
            <v>10.85542771385693</v>
          </cell>
          <cell r="V28">
            <v>0</v>
          </cell>
          <cell r="W28">
            <v>7</v>
          </cell>
          <cell r="X28">
            <v>34.357928964482241</v>
          </cell>
          <cell r="Y28">
            <v>29.857928964482245</v>
          </cell>
          <cell r="Z28">
            <v>65.581425362306049</v>
          </cell>
          <cell r="AA28">
            <v>61.081425362306064</v>
          </cell>
          <cell r="AB28">
            <v>18</v>
          </cell>
          <cell r="AC28">
            <v>0</v>
          </cell>
          <cell r="AD28">
            <v>1999</v>
          </cell>
          <cell r="AE28">
            <v>32.203389830508478</v>
          </cell>
          <cell r="AF28">
            <v>8.25</v>
          </cell>
          <cell r="AG28">
            <v>20.653353447108799</v>
          </cell>
          <cell r="AH28">
            <v>-3.0109839024495528</v>
          </cell>
          <cell r="AI28">
            <v>41.429280753819533</v>
          </cell>
          <cell r="AJ28">
            <v>40.5</v>
          </cell>
          <cell r="AK28">
            <v>1799</v>
          </cell>
          <cell r="AL28" t="str">
            <v>PA</v>
          </cell>
          <cell r="AM28">
            <v>1768.9974131521581</v>
          </cell>
          <cell r="AN28">
            <v>-11.505882283533865</v>
          </cell>
          <cell r="AO28">
            <v>1</v>
          </cell>
        </row>
        <row r="29">
          <cell r="A29" t="str">
            <v>CT-MT-RT</v>
          </cell>
          <cell r="B29">
            <v>3899</v>
          </cell>
          <cell r="C29" t="str">
            <v>Y</v>
          </cell>
          <cell r="D29">
            <v>2699</v>
          </cell>
          <cell r="E29">
            <v>1899</v>
          </cell>
          <cell r="F29">
            <v>1799</v>
          </cell>
          <cell r="G29" t="str">
            <v>TL1</v>
          </cell>
          <cell r="H29">
            <v>18.585076687521862</v>
          </cell>
          <cell r="I29">
            <v>20.435788970771299</v>
          </cell>
          <cell r="J29">
            <v>352.93060629604014</v>
          </cell>
          <cell r="K29">
            <v>2050</v>
          </cell>
          <cell r="L29">
            <v>442.16272752050003</v>
          </cell>
          <cell r="M29">
            <v>24.578250557003894</v>
          </cell>
          <cell r="N29">
            <v>13</v>
          </cell>
          <cell r="O29">
            <v>0.115</v>
          </cell>
          <cell r="P29">
            <v>7.0000000000000007E-2</v>
          </cell>
          <cell r="Q29" t="str">
            <v>SS</v>
          </cell>
          <cell r="S29">
            <v>100</v>
          </cell>
          <cell r="T29">
            <v>217</v>
          </cell>
          <cell r="U29">
            <v>11.427066877303846</v>
          </cell>
          <cell r="V29">
            <v>0</v>
          </cell>
          <cell r="W29">
            <v>7</v>
          </cell>
          <cell r="X29">
            <v>35.192996313849392</v>
          </cell>
          <cell r="Y29">
            <v>31.620900500277934</v>
          </cell>
          <cell r="Z29">
            <v>66.160686024342553</v>
          </cell>
          <cell r="AA29">
            <v>64.309973741093117</v>
          </cell>
          <cell r="AB29">
            <v>18</v>
          </cell>
          <cell r="AC29">
            <v>0</v>
          </cell>
          <cell r="AD29">
            <v>1899</v>
          </cell>
          <cell r="AE29">
            <v>32.203389830508478</v>
          </cell>
          <cell r="AF29">
            <v>9.75</v>
          </cell>
          <cell r="AG29">
            <v>20.744967535358029</v>
          </cell>
          <cell r="AH29">
            <v>0.30917856458673043</v>
          </cell>
          <cell r="AI29">
            <v>41.612280959943504</v>
          </cell>
          <cell r="AJ29">
            <v>40.5</v>
          </cell>
          <cell r="AK29">
            <v>1703</v>
          </cell>
          <cell r="AL29" t="str">
            <v>PA</v>
          </cell>
          <cell r="AM29">
            <v>1674.4438846601622</v>
          </cell>
          <cell r="AN29">
            <v>-11.824966579243696</v>
          </cell>
          <cell r="AO29">
            <v>1</v>
          </cell>
        </row>
        <row r="30">
          <cell r="A30" t="str">
            <v>CT-NO-RT</v>
          </cell>
          <cell r="B30">
            <v>5199</v>
          </cell>
          <cell r="C30" t="str">
            <v>Y</v>
          </cell>
          <cell r="D30">
            <v>3599</v>
          </cell>
          <cell r="E30">
            <v>2349</v>
          </cell>
          <cell r="F30">
            <v>2249</v>
          </cell>
          <cell r="G30" t="str">
            <v>TL2</v>
          </cell>
          <cell r="H30">
            <v>19.144104370813963</v>
          </cell>
          <cell r="I30">
            <v>21.54976651660985</v>
          </cell>
          <cell r="J30">
            <v>449.69501167042</v>
          </cell>
          <cell r="K30">
            <v>2500</v>
          </cell>
          <cell r="L30">
            <v>534.90071761750005</v>
          </cell>
          <cell r="M30">
            <v>23.783935865606939</v>
          </cell>
          <cell r="N30">
            <v>22</v>
          </cell>
          <cell r="O30">
            <v>0.115</v>
          </cell>
          <cell r="P30">
            <v>7.0000000000000007E-2</v>
          </cell>
          <cell r="Q30" t="str">
            <v>SF</v>
          </cell>
          <cell r="S30">
            <v>65</v>
          </cell>
          <cell r="T30">
            <v>316</v>
          </cell>
          <cell r="U30">
            <v>13.452532992762878</v>
          </cell>
          <cell r="V30">
            <v>14</v>
          </cell>
          <cell r="W30">
            <v>7</v>
          </cell>
          <cell r="X30">
            <v>35.315666240953597</v>
          </cell>
          <cell r="Y30">
            <v>31.563361493997334</v>
          </cell>
          <cell r="Z30">
            <v>65.601658341050452</v>
          </cell>
          <cell r="AA30">
            <v>63.195996195254565</v>
          </cell>
          <cell r="AB30">
            <v>18</v>
          </cell>
          <cell r="AC30">
            <v>0</v>
          </cell>
          <cell r="AD30">
            <v>2349</v>
          </cell>
          <cell r="AE30">
            <v>32.203389830508478</v>
          </cell>
          <cell r="AF30">
            <v>16.5</v>
          </cell>
          <cell r="AG30">
            <v>21.068523685208632</v>
          </cell>
          <cell r="AH30">
            <v>-0.48124283140121804</v>
          </cell>
          <cell r="AI30">
            <v>42.193665975781002</v>
          </cell>
          <cell r="AJ30">
            <v>41</v>
          </cell>
          <cell r="AK30">
            <v>2077</v>
          </cell>
          <cell r="AL30" t="str">
            <v>PA</v>
          </cell>
          <cell r="AM30">
            <v>2046.4154498564399</v>
          </cell>
          <cell r="AN30">
            <v>-12.881419759197962</v>
          </cell>
          <cell r="AO30">
            <v>1</v>
          </cell>
        </row>
        <row r="31">
          <cell r="A31" t="str">
            <v>CT-OL</v>
          </cell>
          <cell r="B31">
            <v>4899</v>
          </cell>
          <cell r="C31" t="str">
            <v>Y</v>
          </cell>
          <cell r="D31">
            <v>3399</v>
          </cell>
          <cell r="E31">
            <v>2399</v>
          </cell>
          <cell r="F31">
            <v>2159</v>
          </cell>
          <cell r="G31" t="str">
            <v>TL1</v>
          </cell>
          <cell r="H31">
            <v>18.460608169962569</v>
          </cell>
          <cell r="I31">
            <v>17.648687331585336</v>
          </cell>
          <cell r="J31">
            <v>442.86998999740206</v>
          </cell>
          <cell r="K31">
            <v>2550</v>
          </cell>
          <cell r="L31">
            <v>564.93673493250003</v>
          </cell>
          <cell r="M31">
            <v>26.166592632352941</v>
          </cell>
          <cell r="N31">
            <v>22</v>
          </cell>
          <cell r="O31">
            <v>0.115</v>
          </cell>
          <cell r="P31">
            <v>7.0000000000000007E-2</v>
          </cell>
          <cell r="Q31" t="str">
            <v>SF</v>
          </cell>
          <cell r="S31">
            <v>65</v>
          </cell>
          <cell r="T31">
            <v>316</v>
          </cell>
          <cell r="U31">
            <v>13.172155064610255</v>
          </cell>
          <cell r="V31">
            <v>14</v>
          </cell>
          <cell r="W31">
            <v>7</v>
          </cell>
          <cell r="X31">
            <v>34.965193830762814</v>
          </cell>
          <cell r="Y31">
            <v>32.295507179249654</v>
          </cell>
          <cell r="Z31">
            <v>66.285154541901846</v>
          </cell>
          <cell r="AA31">
            <v>67.09707538027908</v>
          </cell>
          <cell r="AB31">
            <v>18</v>
          </cell>
          <cell r="AC31">
            <v>0</v>
          </cell>
          <cell r="AD31">
            <v>2399</v>
          </cell>
          <cell r="AE31">
            <v>32.203389830508478</v>
          </cell>
          <cell r="AF31">
            <v>16.5</v>
          </cell>
          <cell r="AG31">
            <v>20.305743663661062</v>
          </cell>
          <cell r="AH31">
            <v>2.6570563320757259</v>
          </cell>
          <cell r="AI31">
            <v>40.990858199121902</v>
          </cell>
          <cell r="AJ31">
            <v>40</v>
          </cell>
          <cell r="AK31">
            <v>2191</v>
          </cell>
          <cell r="AL31" t="str">
            <v>PA</v>
          </cell>
          <cell r="AM31">
            <v>2157.8663333025506</v>
          </cell>
          <cell r="AN31">
            <v>-10.051424205812813</v>
          </cell>
          <cell r="AO31">
            <v>1</v>
          </cell>
        </row>
        <row r="32">
          <cell r="A32" t="str">
            <v>CT-OSN-RT</v>
          </cell>
          <cell r="B32">
            <v>4149</v>
          </cell>
          <cell r="C32" t="str">
            <v>Y</v>
          </cell>
          <cell r="D32">
            <v>2899</v>
          </cell>
          <cell r="E32">
            <v>2099</v>
          </cell>
          <cell r="F32">
            <v>1899</v>
          </cell>
          <cell r="G32" t="str">
            <v>TL2</v>
          </cell>
          <cell r="H32">
            <v>19.948502356012227</v>
          </cell>
          <cell r="I32">
            <v>19.572540233226306</v>
          </cell>
          <cell r="J32">
            <v>418.71906445269661</v>
          </cell>
          <cell r="K32">
            <v>2250</v>
          </cell>
          <cell r="L32">
            <v>469.75901869874997</v>
          </cell>
          <cell r="M32">
            <v>24.737178446484993</v>
          </cell>
          <cell r="N32">
            <v>16</v>
          </cell>
          <cell r="O32">
            <v>0.115</v>
          </cell>
          <cell r="P32">
            <v>7.0000000000000007E-2</v>
          </cell>
          <cell r="Q32" t="str">
            <v>SF</v>
          </cell>
          <cell r="S32">
            <v>65</v>
          </cell>
          <cell r="T32">
            <v>268</v>
          </cell>
          <cell r="U32">
            <v>12.76798475464507</v>
          </cell>
          <cell r="V32">
            <v>14</v>
          </cell>
          <cell r="W32">
            <v>7</v>
          </cell>
          <cell r="X32">
            <v>35.031681753215821</v>
          </cell>
          <cell r="Y32">
            <v>32.27277514481306</v>
          </cell>
          <cell r="Z32">
            <v>64.797260355852188</v>
          </cell>
          <cell r="AA32">
            <v>65.17322247863811</v>
          </cell>
          <cell r="AB32">
            <v>18</v>
          </cell>
          <cell r="AC32">
            <v>0</v>
          </cell>
          <cell r="AD32">
            <v>2099</v>
          </cell>
          <cell r="AE32">
            <v>32.203389830508478</v>
          </cell>
          <cell r="AF32">
            <v>12</v>
          </cell>
          <cell r="AG32">
            <v>21.590537783749923</v>
          </cell>
          <cell r="AH32">
            <v>2.0179975505236172</v>
          </cell>
          <cell r="AI32">
            <v>42.962010293195895</v>
          </cell>
          <cell r="AJ32">
            <v>41.5</v>
          </cell>
          <cell r="AK32">
            <v>1815</v>
          </cell>
          <cell r="AL32" t="str">
            <v>PA</v>
          </cell>
          <cell r="AM32">
            <v>1787.1735914625754</v>
          </cell>
          <cell r="AN32">
            <v>-14.855950859334191</v>
          </cell>
          <cell r="AO32">
            <v>1</v>
          </cell>
        </row>
        <row r="33">
          <cell r="A33" t="str">
            <v>CT-SH</v>
          </cell>
          <cell r="B33">
            <v>5749</v>
          </cell>
          <cell r="C33" t="str">
            <v>Y</v>
          </cell>
          <cell r="D33">
            <v>3999</v>
          </cell>
          <cell r="E33">
            <v>2749</v>
          </cell>
          <cell r="F33">
            <v>2419</v>
          </cell>
          <cell r="G33" t="str">
            <v>TL2</v>
          </cell>
          <cell r="H33">
            <v>19.725348024762738</v>
          </cell>
          <cell r="I33">
            <v>17.879032668523152</v>
          </cell>
          <cell r="J33">
            <v>542.24981720072765</v>
          </cell>
          <cell r="K33">
            <v>2950</v>
          </cell>
          <cell r="L33">
            <v>640.4858644725</v>
          </cell>
          <cell r="M33">
            <v>26.477299068726744</v>
          </cell>
          <cell r="N33">
            <v>26</v>
          </cell>
          <cell r="O33">
            <v>0.115</v>
          </cell>
          <cell r="P33">
            <v>7.0000000000000007E-2</v>
          </cell>
          <cell r="Q33" t="str">
            <v>SF</v>
          </cell>
          <cell r="S33">
            <v>65</v>
          </cell>
          <cell r="T33">
            <v>348</v>
          </cell>
          <cell r="U33">
            <v>12.659148781375047</v>
          </cell>
          <cell r="V33">
            <v>14</v>
          </cell>
          <cell r="W33">
            <v>7</v>
          </cell>
          <cell r="X33">
            <v>34.032921062204437</v>
          </cell>
          <cell r="Y33">
            <v>31.651922281934684</v>
          </cell>
          <cell r="Z33">
            <v>65.020414687101677</v>
          </cell>
          <cell r="AA33">
            <v>66.866730043341263</v>
          </cell>
          <cell r="AB33">
            <v>18</v>
          </cell>
          <cell r="AC33">
            <v>0</v>
          </cell>
          <cell r="AD33">
            <v>2749</v>
          </cell>
          <cell r="AE33">
            <v>32.203389830508478</v>
          </cell>
          <cell r="AF33">
            <v>19.5</v>
          </cell>
          <cell r="AG33">
            <v>20.534156640086373</v>
          </cell>
          <cell r="AH33">
            <v>2.6551239715632207</v>
          </cell>
          <cell r="AI33">
            <v>41.357725874749306</v>
          </cell>
          <cell r="AJ33">
            <v>40.5</v>
          </cell>
          <cell r="AK33">
            <v>2487</v>
          </cell>
          <cell r="AL33" t="str">
            <v>PA</v>
          </cell>
          <cell r="AM33">
            <v>2449.7634416061856</v>
          </cell>
          <cell r="AN33">
            <v>-10.885287682568732</v>
          </cell>
          <cell r="AO33">
            <v>1</v>
          </cell>
        </row>
        <row r="34">
          <cell r="A34" t="str">
            <v>CT-SY</v>
          </cell>
          <cell r="B34">
            <v>6999</v>
          </cell>
          <cell r="C34" t="str">
            <v>Y</v>
          </cell>
          <cell r="D34">
            <v>4899</v>
          </cell>
          <cell r="E34">
            <v>2649</v>
          </cell>
          <cell r="F34">
            <v>2449</v>
          </cell>
          <cell r="G34" t="str">
            <v>TL2</v>
          </cell>
          <cell r="H34">
            <v>20.482478326901685</v>
          </cell>
          <cell r="I34">
            <v>21.245174579660954</v>
          </cell>
          <cell r="J34">
            <v>542.58085087962559</v>
          </cell>
          <cell r="K34">
            <v>2850</v>
          </cell>
          <cell r="L34">
            <v>614.48827320125008</v>
          </cell>
          <cell r="M34">
            <v>25.091395394089428</v>
          </cell>
          <cell r="N34">
            <v>22</v>
          </cell>
          <cell r="O34">
            <v>0.115</v>
          </cell>
          <cell r="P34">
            <v>7.0000000000000007E-2</v>
          </cell>
          <cell r="Q34" t="str">
            <v>SF</v>
          </cell>
          <cell r="S34">
            <v>65</v>
          </cell>
          <cell r="T34">
            <v>316</v>
          </cell>
          <cell r="U34">
            <v>11.929029822574558</v>
          </cell>
          <cell r="V34">
            <v>14</v>
          </cell>
          <cell r="W34">
            <v>7</v>
          </cell>
          <cell r="X34">
            <v>33.411287278218197</v>
          </cell>
          <cell r="Y34">
            <v>30.129032258064516</v>
          </cell>
          <cell r="Z34">
            <v>64.263284384962731</v>
          </cell>
          <cell r="AA34">
            <v>63.500588132203461</v>
          </cell>
          <cell r="AB34">
            <v>18</v>
          </cell>
          <cell r="AC34">
            <v>0</v>
          </cell>
          <cell r="AD34">
            <v>2649</v>
          </cell>
          <cell r="AE34">
            <v>32.203389830508478</v>
          </cell>
          <cell r="AF34">
            <v>16.5</v>
          </cell>
          <cell r="AG34">
            <v>20.722506018341583</v>
          </cell>
          <cell r="AH34">
            <v>-0.52266856131937089</v>
          </cell>
          <cell r="AI34">
            <v>41.619649076555618</v>
          </cell>
          <cell r="AJ34">
            <v>40.5</v>
          </cell>
          <cell r="AK34">
            <v>2377</v>
          </cell>
          <cell r="AL34" t="str">
            <v>PA</v>
          </cell>
          <cell r="AM34">
            <v>2341.63583628579</v>
          </cell>
          <cell r="AN34">
            <v>-11.603026187776898</v>
          </cell>
          <cell r="AO34">
            <v>1</v>
          </cell>
        </row>
        <row r="35">
          <cell r="A35" t="str">
            <v>CT-TLY</v>
          </cell>
          <cell r="B35">
            <v>5299</v>
          </cell>
          <cell r="C35" t="str">
            <v>Y</v>
          </cell>
          <cell r="D35">
            <v>3699</v>
          </cell>
          <cell r="E35">
            <v>2399</v>
          </cell>
          <cell r="F35">
            <v>2399</v>
          </cell>
          <cell r="G35" t="str">
            <v>TL1</v>
          </cell>
          <cell r="H35">
            <v>18.249655506837314</v>
          </cell>
          <cell r="I35">
            <v>22.749655506837314</v>
          </cell>
          <cell r="J35">
            <v>437.80923560902716</v>
          </cell>
          <cell r="K35">
            <v>2550</v>
          </cell>
          <cell r="L35">
            <v>568.74181341999997</v>
          </cell>
          <cell r="M35">
            <v>23.70745366486036</v>
          </cell>
          <cell r="N35">
            <v>22</v>
          </cell>
          <cell r="O35">
            <v>0.115</v>
          </cell>
          <cell r="P35">
            <v>7.0000000000000007E-2</v>
          </cell>
          <cell r="Q35" t="str">
            <v>SF</v>
          </cell>
          <cell r="S35">
            <v>65</v>
          </cell>
          <cell r="T35">
            <v>316</v>
          </cell>
          <cell r="U35">
            <v>13.172155064610255</v>
          </cell>
          <cell r="V35">
            <v>14</v>
          </cell>
          <cell r="W35">
            <v>7</v>
          </cell>
          <cell r="X35">
            <v>34.965193830762814</v>
          </cell>
          <cell r="Y35">
            <v>30.465193830762818</v>
          </cell>
          <cell r="Z35">
            <v>66.496107205027101</v>
          </cell>
          <cell r="AA35">
            <v>61.996107205027101</v>
          </cell>
          <cell r="AB35">
            <v>18</v>
          </cell>
          <cell r="AC35">
            <v>0</v>
          </cell>
          <cell r="AD35">
            <v>2399</v>
          </cell>
          <cell r="AE35">
            <v>32.203389830508478</v>
          </cell>
          <cell r="AF35">
            <v>16.5</v>
          </cell>
          <cell r="AG35">
            <v>20.147132638754847</v>
          </cell>
          <cell r="AH35">
            <v>-2.6025228680824668</v>
          </cell>
          <cell r="AI35">
            <v>40.741934056634101</v>
          </cell>
          <cell r="AJ35">
            <v>40</v>
          </cell>
          <cell r="AK35">
            <v>2205</v>
          </cell>
          <cell r="AL35" t="str">
            <v>PA</v>
          </cell>
          <cell r="AM35">
            <v>2171.8626676547497</v>
          </cell>
          <cell r="AN35">
            <v>-9.4680005145998489</v>
          </cell>
          <cell r="AO35">
            <v>1</v>
          </cell>
        </row>
        <row r="36">
          <cell r="A36" t="str">
            <v>CT-TR-RT</v>
          </cell>
          <cell r="B36">
            <v>6449</v>
          </cell>
          <cell r="C36" t="str">
            <v>Y</v>
          </cell>
          <cell r="D36">
            <v>4399</v>
          </cell>
          <cell r="E36">
            <v>2699</v>
          </cell>
          <cell r="F36">
            <v>2549</v>
          </cell>
          <cell r="G36" t="str">
            <v>TL2</v>
          </cell>
          <cell r="H36">
            <v>19.021399546310505</v>
          </cell>
          <cell r="I36">
            <v>20.742406029310459</v>
          </cell>
          <cell r="J36">
            <v>513.38757375492048</v>
          </cell>
          <cell r="K36">
            <v>2900</v>
          </cell>
          <cell r="L36">
            <v>649.31245251000007</v>
          </cell>
          <cell r="M36">
            <v>25.47322293095332</v>
          </cell>
          <cell r="N36">
            <v>24</v>
          </cell>
          <cell r="O36">
            <v>0.115</v>
          </cell>
          <cell r="P36">
            <v>7.0000000000000007E-2</v>
          </cell>
          <cell r="Q36" t="str">
            <v>SF</v>
          </cell>
          <cell r="S36">
            <v>65</v>
          </cell>
          <cell r="T36">
            <v>332</v>
          </cell>
          <cell r="U36">
            <v>12.300852167469435</v>
          </cell>
          <cell r="V36">
            <v>14</v>
          </cell>
          <cell r="W36">
            <v>7</v>
          </cell>
          <cell r="X36">
            <v>33.727862171174507</v>
          </cell>
          <cell r="Y36">
            <v>30.123970184386035</v>
          </cell>
          <cell r="Z36">
            <v>65.72436316555391</v>
          </cell>
          <cell r="AA36">
            <v>64.003356682553957</v>
          </cell>
          <cell r="AB36">
            <v>18</v>
          </cell>
          <cell r="AC36">
            <v>0</v>
          </cell>
          <cell r="AD36">
            <v>2699</v>
          </cell>
          <cell r="AE36">
            <v>32.203389830508478</v>
          </cell>
          <cell r="AF36">
            <v>18</v>
          </cell>
          <cell r="AG36">
            <v>19.817939664979491</v>
          </cell>
          <cell r="AH36">
            <v>-0.92446636433096785</v>
          </cell>
          <cell r="AI36">
            <v>40.217170693990596</v>
          </cell>
          <cell r="AJ36">
            <v>39.5</v>
          </cell>
          <cell r="AK36">
            <v>2514</v>
          </cell>
          <cell r="AL36" t="str">
            <v>PA</v>
          </cell>
          <cell r="AM36">
            <v>2476.1520474337217</v>
          </cell>
          <cell r="AN36">
            <v>-8.2566859046416567</v>
          </cell>
          <cell r="AO36">
            <v>1</v>
          </cell>
        </row>
        <row r="37">
          <cell r="A37" t="str">
            <v>CT-TYU</v>
          </cell>
          <cell r="B37">
            <v>4299</v>
          </cell>
          <cell r="C37" t="str">
            <v>Y</v>
          </cell>
          <cell r="D37">
            <v>3599</v>
          </cell>
          <cell r="E37">
            <v>2099</v>
          </cell>
          <cell r="F37">
            <v>1999</v>
          </cell>
          <cell r="G37" t="str">
            <v>TL2</v>
          </cell>
          <cell r="H37">
            <v>20.999607889472799</v>
          </cell>
          <cell r="I37">
            <v>23.23616842862279</v>
          </cell>
          <cell r="J37">
            <v>440.78176960003407</v>
          </cell>
          <cell r="K37">
            <v>2250</v>
          </cell>
          <cell r="L37">
            <v>441.14044339999992</v>
          </cell>
          <cell r="M37">
            <v>22.068056198099047</v>
          </cell>
          <cell r="N37">
            <v>18</v>
          </cell>
          <cell r="O37">
            <v>0.115</v>
          </cell>
          <cell r="P37">
            <v>7.0000000000000007E-2</v>
          </cell>
          <cell r="Q37" t="str">
            <v>SF</v>
          </cell>
          <cell r="S37">
            <v>65</v>
          </cell>
          <cell r="T37">
            <v>284</v>
          </cell>
          <cell r="U37">
            <v>13.530252501191045</v>
          </cell>
          <cell r="V37">
            <v>14</v>
          </cell>
          <cell r="W37">
            <v>7</v>
          </cell>
          <cell r="X37">
            <v>35.793949499761794</v>
          </cell>
          <cell r="Y37">
            <v>32.159079539769891</v>
          </cell>
          <cell r="Z37">
            <v>63.746154822391617</v>
          </cell>
          <cell r="AA37">
            <v>61.509594283241626</v>
          </cell>
          <cell r="AB37">
            <v>18</v>
          </cell>
          <cell r="AC37">
            <v>0</v>
          </cell>
          <cell r="AD37">
            <v>2099</v>
          </cell>
          <cell r="AE37">
            <v>32.203389830508478</v>
          </cell>
          <cell r="AF37">
            <v>13.5</v>
          </cell>
          <cell r="AG37">
            <v>22.88251373890715</v>
          </cell>
          <cell r="AH37">
            <v>-0.35365468971563985</v>
          </cell>
          <cell r="AI37">
            <v>45.01746489414198</v>
          </cell>
          <cell r="AJ37">
            <v>43</v>
          </cell>
          <cell r="AK37">
            <v>1713</v>
          </cell>
          <cell r="AL37" t="str">
            <v>PA</v>
          </cell>
          <cell r="AM37">
            <v>1686.8064328786534</v>
          </cell>
          <cell r="AN37">
            <v>-19.637616346895982</v>
          </cell>
          <cell r="AO37">
            <v>1</v>
          </cell>
        </row>
        <row r="38">
          <cell r="A38" t="str">
            <v>CT-VC</v>
          </cell>
          <cell r="B38">
            <v>6999</v>
          </cell>
          <cell r="C38" t="str">
            <v>Y</v>
          </cell>
          <cell r="D38">
            <v>4899</v>
          </cell>
          <cell r="E38">
            <v>3199</v>
          </cell>
          <cell r="F38">
            <v>2879</v>
          </cell>
          <cell r="G38" t="str">
            <v>TL2</v>
          </cell>
          <cell r="H38">
            <v>20.809656859254211</v>
          </cell>
          <cell r="I38">
            <v>20.259447108356241</v>
          </cell>
          <cell r="J38">
            <v>665.70092292754225</v>
          </cell>
          <cell r="K38">
            <v>3400</v>
          </cell>
          <cell r="L38">
            <v>747.74513250000018</v>
          </cell>
          <cell r="M38">
            <v>25.972390847516508</v>
          </cell>
          <cell r="N38">
            <v>30</v>
          </cell>
          <cell r="O38">
            <v>0.115</v>
          </cell>
          <cell r="P38">
            <v>7.0000000000000007E-2</v>
          </cell>
          <cell r="Q38" t="str">
            <v>SF</v>
          </cell>
          <cell r="S38">
            <v>65</v>
          </cell>
          <cell r="T38">
            <v>380</v>
          </cell>
          <cell r="U38">
            <v>11.878712097530478</v>
          </cell>
          <cell r="V38">
            <v>14</v>
          </cell>
          <cell r="W38">
            <v>7</v>
          </cell>
          <cell r="X38">
            <v>32.848233823069712</v>
          </cell>
          <cell r="Y38">
            <v>29.94303577631122</v>
          </cell>
          <cell r="Z38">
            <v>63.936105852610204</v>
          </cell>
          <cell r="AA38">
            <v>64.486315603508174</v>
          </cell>
          <cell r="AB38">
            <v>18</v>
          </cell>
          <cell r="AC38">
            <v>0</v>
          </cell>
          <cell r="AD38">
            <v>3199</v>
          </cell>
          <cell r="AE38">
            <v>32.203389830508478</v>
          </cell>
          <cell r="AF38">
            <v>22.5</v>
          </cell>
          <cell r="AG38">
            <v>20.464688214272464</v>
          </cell>
          <cell r="AH38">
            <v>0.20524110591622247</v>
          </cell>
          <cell r="AI38">
            <v>41.246364146748981</v>
          </cell>
          <cell r="AJ38">
            <v>40</v>
          </cell>
          <cell r="AK38">
            <v>2902</v>
          </cell>
          <cell r="AL38" t="str">
            <v>PA</v>
          </cell>
          <cell r="AM38">
            <v>2858.5124769735589</v>
          </cell>
          <cell r="AN38">
            <v>-10.643561207453613</v>
          </cell>
          <cell r="AO38">
            <v>1</v>
          </cell>
        </row>
        <row r="39">
          <cell r="A39" t="str">
            <v>DC-CLV</v>
          </cell>
          <cell r="B39">
            <v>14299</v>
          </cell>
          <cell r="C39" t="str">
            <v>Y</v>
          </cell>
          <cell r="D39">
            <v>9999</v>
          </cell>
          <cell r="E39">
            <v>8799</v>
          </cell>
          <cell r="F39">
            <v>7399</v>
          </cell>
          <cell r="G39" t="str">
            <v>TL3</v>
          </cell>
          <cell r="H39">
            <v>22.455630844476474</v>
          </cell>
          <cell r="I39">
            <v>18.669891607506202</v>
          </cell>
          <cell r="J39">
            <v>1975.8709580054849</v>
          </cell>
          <cell r="K39">
            <v>9350</v>
          </cell>
          <cell r="L39">
            <v>2391.3486488808003</v>
          </cell>
          <cell r="M39">
            <v>32.319889834853363</v>
          </cell>
          <cell r="N39">
            <v>76</v>
          </cell>
          <cell r="O39">
            <v>0.115</v>
          </cell>
          <cell r="P39">
            <v>7.0000000000000007E-2</v>
          </cell>
          <cell r="Q39" t="str">
            <v>SS</v>
          </cell>
          <cell r="S39">
            <v>100</v>
          </cell>
          <cell r="T39">
            <v>572.59999999999991</v>
          </cell>
          <cell r="U39">
            <v>6.5075576770087507</v>
          </cell>
          <cell r="V39">
            <v>0</v>
          </cell>
          <cell r="W39">
            <v>7</v>
          </cell>
          <cell r="X39">
            <v>26.144050460279576</v>
          </cell>
          <cell r="Y39">
            <v>23.090417624003244</v>
          </cell>
          <cell r="Z39">
            <v>62.290131867387942</v>
          </cell>
          <cell r="AA39">
            <v>66.075871104358214</v>
          </cell>
          <cell r="AB39">
            <v>18</v>
          </cell>
          <cell r="AC39">
            <v>0</v>
          </cell>
          <cell r="AD39">
            <v>8799</v>
          </cell>
          <cell r="AE39">
            <v>32.203389830508478</v>
          </cell>
          <cell r="AF39">
            <v>57</v>
          </cell>
          <cell r="AG39">
            <v>16.717067177516853</v>
          </cell>
          <cell r="AH39">
            <v>-1.9528244299893487</v>
          </cell>
          <cell r="AI39">
            <v>35.343218893584186</v>
          </cell>
          <cell r="AJ39">
            <v>35</v>
          </cell>
          <cell r="AK39">
            <v>9224</v>
          </cell>
          <cell r="AL39" t="str">
            <v>PA</v>
          </cell>
          <cell r="AM39">
            <v>9085.0305180127361</v>
          </cell>
          <cell r="AN39">
            <v>3.2507161951669072</v>
          </cell>
          <cell r="AO39">
            <v>1</v>
          </cell>
        </row>
        <row r="40">
          <cell r="A40" t="str">
            <v>DC-MYN-LA</v>
          </cell>
          <cell r="B40">
            <v>22899</v>
          </cell>
          <cell r="C40" t="str">
            <v>Y</v>
          </cell>
          <cell r="D40">
            <v>15999</v>
          </cell>
          <cell r="E40">
            <v>15009</v>
          </cell>
          <cell r="F40">
            <v>11799</v>
          </cell>
          <cell r="G40" t="str">
            <v>TL3</v>
          </cell>
          <cell r="H40">
            <v>23.207475703478153</v>
          </cell>
          <cell r="I40">
            <v>14.090525004527407</v>
          </cell>
          <cell r="J40">
            <v>3483.210028335036</v>
          </cell>
          <cell r="K40">
            <v>15950</v>
          </cell>
          <cell r="L40">
            <v>4243.4973662320999</v>
          </cell>
          <cell r="M40">
            <v>35.964889958743115</v>
          </cell>
          <cell r="N40">
            <v>133</v>
          </cell>
          <cell r="O40">
            <v>0.1</v>
          </cell>
          <cell r="P40">
            <v>7.0000000000000007E-2</v>
          </cell>
          <cell r="Q40" t="str">
            <v>SS</v>
          </cell>
          <cell r="S40">
            <v>100</v>
          </cell>
          <cell r="T40">
            <v>940.9</v>
          </cell>
          <cell r="U40">
            <v>6.2689053234725831</v>
          </cell>
          <cell r="V40">
            <v>0</v>
          </cell>
          <cell r="W40">
            <v>7</v>
          </cell>
          <cell r="X40">
            <v>23.935172229995338</v>
          </cell>
          <cell r="Y40">
            <v>22.821934062208665</v>
          </cell>
          <cell r="Z40">
            <v>61.538287008386263</v>
          </cell>
          <cell r="AA40">
            <v>70.655237707337008</v>
          </cell>
          <cell r="AB40">
            <v>18</v>
          </cell>
          <cell r="AC40">
            <v>0</v>
          </cell>
          <cell r="AD40">
            <v>15009</v>
          </cell>
          <cell r="AE40">
            <v>32.203389830508478</v>
          </cell>
          <cell r="AF40">
            <v>99.75</v>
          </cell>
          <cell r="AG40">
            <v>15.604753011730381</v>
          </cell>
          <cell r="AH40">
            <v>1.5142280072029735</v>
          </cell>
          <cell r="AI40">
            <v>33.604095099176114</v>
          </cell>
          <cell r="AJ40">
            <v>33.5</v>
          </cell>
          <cell r="AK40">
            <v>16363</v>
          </cell>
          <cell r="AL40" t="str">
            <v>PA</v>
          </cell>
          <cell r="AM40">
            <v>16115.835905343472</v>
          </cell>
          <cell r="AN40">
            <v>7.3744813468150605</v>
          </cell>
          <cell r="AO40">
            <v>1</v>
          </cell>
        </row>
        <row r="41">
          <cell r="A41" t="str">
            <v>DC-MYN-ST</v>
          </cell>
          <cell r="B41">
            <v>16599</v>
          </cell>
          <cell r="C41" t="str">
            <v>Y</v>
          </cell>
          <cell r="D41">
            <v>11599</v>
          </cell>
          <cell r="E41">
            <v>9599</v>
          </cell>
          <cell r="F41">
            <v>7999</v>
          </cell>
          <cell r="G41" t="str">
            <v>TL3</v>
          </cell>
          <cell r="H41">
            <v>24.193244384036888</v>
          </cell>
          <cell r="I41">
            <v>20.281689274082638</v>
          </cell>
          <cell r="J41">
            <v>2322.3095284237011</v>
          </cell>
          <cell r="K41">
            <v>10200</v>
          </cell>
          <cell r="L41">
            <v>2479.4144618708001</v>
          </cell>
          <cell r="M41">
            <v>30.996555342802854</v>
          </cell>
          <cell r="N41">
            <v>74</v>
          </cell>
          <cell r="O41">
            <v>0.115</v>
          </cell>
          <cell r="P41">
            <v>7.0000000000000007E-2</v>
          </cell>
          <cell r="Q41" t="str">
            <v>SF</v>
          </cell>
          <cell r="S41">
            <v>65</v>
          </cell>
          <cell r="T41">
            <v>660</v>
          </cell>
          <cell r="U41">
            <v>6.8757162204396298</v>
          </cell>
          <cell r="V41">
            <v>14</v>
          </cell>
          <cell r="W41">
            <v>7</v>
          </cell>
          <cell r="X41">
            <v>26.198718616522555</v>
          </cell>
          <cell r="Y41">
            <v>23.238654831853982</v>
          </cell>
          <cell r="Z41">
            <v>60.552518327827528</v>
          </cell>
          <cell r="AA41">
            <v>64.464073437781778</v>
          </cell>
          <cell r="AB41">
            <v>18</v>
          </cell>
          <cell r="AC41">
            <v>0</v>
          </cell>
          <cell r="AD41">
            <v>9599</v>
          </cell>
          <cell r="AE41">
            <v>32.203389830508478</v>
          </cell>
          <cell r="AF41">
            <v>55.5</v>
          </cell>
          <cell r="AG41">
            <v>18.134263058761903</v>
          </cell>
          <cell r="AH41">
            <v>-2.1474262153207349</v>
          </cell>
          <cell r="AI41">
            <v>37.540257772059235</v>
          </cell>
          <cell r="AJ41">
            <v>37.5</v>
          </cell>
          <cell r="AK41">
            <v>9550</v>
          </cell>
          <cell r="AL41" t="str">
            <v>PA</v>
          </cell>
          <cell r="AM41">
            <v>9405.866903303533</v>
          </cell>
          <cell r="AN41">
            <v>-2.0120126752418686</v>
          </cell>
          <cell r="AO41">
            <v>1</v>
          </cell>
        </row>
        <row r="42">
          <cell r="A42" t="str">
            <v>DT-HE-4</v>
          </cell>
          <cell r="B42">
            <v>9299</v>
          </cell>
          <cell r="C42" t="str">
            <v>Y</v>
          </cell>
          <cell r="D42">
            <v>6399</v>
          </cell>
          <cell r="E42">
            <v>5499</v>
          </cell>
          <cell r="F42">
            <v>4699</v>
          </cell>
          <cell r="G42" t="str">
            <v>TL2</v>
          </cell>
          <cell r="H42">
            <v>19.618333069977737</v>
          </cell>
          <cell r="I42">
            <v>16.180060306941058</v>
          </cell>
          <cell r="J42">
            <v>1078.8121355180758</v>
          </cell>
          <cell r="K42">
            <v>5850</v>
          </cell>
          <cell r="L42">
            <v>1558.67846316342</v>
          </cell>
          <cell r="M42">
            <v>33.17042909477378</v>
          </cell>
          <cell r="N42">
            <v>34</v>
          </cell>
          <cell r="O42">
            <v>0.115</v>
          </cell>
          <cell r="P42">
            <v>7.0000000000000007E-2</v>
          </cell>
          <cell r="Q42" t="str">
            <v>SF</v>
          </cell>
          <cell r="S42">
            <v>65</v>
          </cell>
          <cell r="T42">
            <v>412</v>
          </cell>
          <cell r="U42">
            <v>7.4922713220585555</v>
          </cell>
          <cell r="V42">
            <v>14</v>
          </cell>
          <cell r="W42">
            <v>7</v>
          </cell>
          <cell r="X42">
            <v>27.428896162938717</v>
          </cell>
          <cell r="Y42">
            <v>24.44903170887423</v>
          </cell>
          <cell r="Z42">
            <v>65.127429641886678</v>
          </cell>
          <cell r="AA42">
            <v>68.565702404923357</v>
          </cell>
          <cell r="AB42">
            <v>18</v>
          </cell>
          <cell r="AC42">
            <v>0</v>
          </cell>
          <cell r="AD42">
            <v>5499</v>
          </cell>
          <cell r="AE42">
            <v>32.203389830508478</v>
          </cell>
          <cell r="AF42">
            <v>25.5</v>
          </cell>
          <cell r="AG42">
            <v>15.733890190622709</v>
          </cell>
          <cell r="AH42">
            <v>-0.44617011631834913</v>
          </cell>
          <cell r="AI42">
            <v>33.728540096587189</v>
          </cell>
          <cell r="AJ42">
            <v>33.5</v>
          </cell>
          <cell r="AK42">
            <v>5968</v>
          </cell>
          <cell r="AL42" t="str">
            <v>PA</v>
          </cell>
          <cell r="AM42">
            <v>5877.5219542512605</v>
          </cell>
          <cell r="AN42">
            <v>6.8834688898210663</v>
          </cell>
          <cell r="AO42">
            <v>1</v>
          </cell>
        </row>
        <row r="43">
          <cell r="A43" t="str">
            <v>DT-MR</v>
          </cell>
          <cell r="B43">
            <v>3299</v>
          </cell>
          <cell r="C43" t="str">
            <v>Y</v>
          </cell>
          <cell r="D43">
            <v>2299</v>
          </cell>
          <cell r="E43">
            <v>2049</v>
          </cell>
          <cell r="F43">
            <v>1949</v>
          </cell>
          <cell r="G43" t="str">
            <v>TL1</v>
          </cell>
          <cell r="H43" t="str">
            <v>ERR</v>
          </cell>
          <cell r="I43" t="str">
            <v>ERR</v>
          </cell>
          <cell r="J43" t="str">
            <v>ERR</v>
          </cell>
          <cell r="K43">
            <v>2200</v>
          </cell>
          <cell r="L43" t="e">
            <v>#N/A</v>
          </cell>
          <cell r="M43" t="e">
            <v>#N/A</v>
          </cell>
          <cell r="N43">
            <v>13</v>
          </cell>
          <cell r="O43">
            <v>0.115</v>
          </cell>
          <cell r="P43">
            <v>7.0000000000000007E-2</v>
          </cell>
          <cell r="Q43" t="str">
            <v>SF</v>
          </cell>
          <cell r="S43">
            <v>65</v>
          </cell>
          <cell r="T43">
            <v>252</v>
          </cell>
          <cell r="U43">
            <v>12.298682284040996</v>
          </cell>
          <cell r="V43">
            <v>14</v>
          </cell>
          <cell r="W43">
            <v>7</v>
          </cell>
          <cell r="X43">
            <v>34.654221571498297</v>
          </cell>
          <cell r="Y43">
            <v>30.983068240123142</v>
          </cell>
          <cell r="Z43" t="e">
            <v>#N/A</v>
          </cell>
          <cell r="AA43" t="e">
            <v>#N/A</v>
          </cell>
          <cell r="AB43">
            <v>18</v>
          </cell>
          <cell r="AC43">
            <v>0</v>
          </cell>
          <cell r="AD43">
            <v>2049</v>
          </cell>
          <cell r="AE43">
            <v>32.203389830508478</v>
          </cell>
          <cell r="AF43">
            <v>9.75</v>
          </cell>
          <cell r="AG43" t="e">
            <v>#N/A</v>
          </cell>
          <cell r="AH43" t="e">
            <v>#N/A</v>
          </cell>
          <cell r="AI43" t="str">
            <v>ERR</v>
          </cell>
          <cell r="AJ43" t="e">
            <v>#VALUE!</v>
          </cell>
          <cell r="AK43" t="e">
            <v>#N/A</v>
          </cell>
          <cell r="AL43" t="str">
            <v>PA</v>
          </cell>
          <cell r="AM43" t="e">
            <v>#N/A</v>
          </cell>
          <cell r="AN43" t="e">
            <v>#N/A</v>
          </cell>
          <cell r="AO43">
            <v>1</v>
          </cell>
        </row>
        <row r="44">
          <cell r="A44" t="str">
            <v>FT-EDR</v>
          </cell>
          <cell r="B44">
            <v>3599</v>
          </cell>
          <cell r="C44" t="str">
            <v>Y</v>
          </cell>
          <cell r="D44">
            <v>2499</v>
          </cell>
          <cell r="E44">
            <v>2199</v>
          </cell>
          <cell r="F44">
            <v>1949</v>
          </cell>
          <cell r="G44" t="str">
            <v>TL2</v>
          </cell>
          <cell r="H44">
            <v>19.981384554198428</v>
          </cell>
          <cell r="I44">
            <v>18.54701075254809</v>
          </cell>
          <cell r="J44">
            <v>439.39064634682342</v>
          </cell>
          <cell r="K44">
            <v>2350</v>
          </cell>
          <cell r="L44">
            <v>491.9952448775</v>
          </cell>
          <cell r="M44">
            <v>25.243470747947669</v>
          </cell>
          <cell r="N44">
            <v>18</v>
          </cell>
          <cell r="O44">
            <v>0.115</v>
          </cell>
          <cell r="P44">
            <v>7.0000000000000007E-2</v>
          </cell>
          <cell r="Q44" t="str">
            <v>SF</v>
          </cell>
          <cell r="S44">
            <v>65</v>
          </cell>
          <cell r="T44">
            <v>284</v>
          </cell>
          <cell r="U44">
            <v>12.914961346066395</v>
          </cell>
          <cell r="V44">
            <v>14</v>
          </cell>
          <cell r="W44">
            <v>7</v>
          </cell>
          <cell r="X44">
            <v>35.007503410641206</v>
          </cell>
          <cell r="Y44">
            <v>32.624935864545918</v>
          </cell>
          <cell r="Z44">
            <v>64.764378157665988</v>
          </cell>
          <cell r="AA44">
            <v>66.198751959316326</v>
          </cell>
          <cell r="AB44">
            <v>18</v>
          </cell>
          <cell r="AC44">
            <v>0</v>
          </cell>
          <cell r="AD44">
            <v>2199</v>
          </cell>
          <cell r="AE44">
            <v>32.203389830508478</v>
          </cell>
          <cell r="AF44">
            <v>13.5</v>
          </cell>
          <cell r="AG44">
            <v>21.554867429900725</v>
          </cell>
          <cell r="AH44">
            <v>3.0078566773526347</v>
          </cell>
          <cell r="AI44">
            <v>42.922467607514861</v>
          </cell>
          <cell r="AJ44">
            <v>41.5</v>
          </cell>
          <cell r="AK44">
            <v>1904</v>
          </cell>
          <cell r="AL44" t="str">
            <v>PA</v>
          </cell>
          <cell r="AM44">
            <v>1875.6977495120359</v>
          </cell>
          <cell r="AN44">
            <v>-14.702239676578632</v>
          </cell>
          <cell r="AO44">
            <v>1</v>
          </cell>
        </row>
        <row r="45">
          <cell r="A45" t="str">
            <v>GH-IS</v>
          </cell>
          <cell r="B45">
            <v>999</v>
          </cell>
          <cell r="C45" t="str">
            <v>Y</v>
          </cell>
          <cell r="D45">
            <v>679</v>
          </cell>
          <cell r="E45">
            <v>399</v>
          </cell>
          <cell r="F45">
            <v>499</v>
          </cell>
          <cell r="G45" t="str">
            <v>TL2</v>
          </cell>
          <cell r="H45">
            <v>23.075132421715793</v>
          </cell>
          <cell r="I45">
            <v>36.133842404958159</v>
          </cell>
          <cell r="J45">
            <v>92.069778362646019</v>
          </cell>
          <cell r="K45">
            <v>450</v>
          </cell>
          <cell r="L45">
            <v>83.639194157999981</v>
          </cell>
          <cell r="M45">
            <v>16.761361554709413</v>
          </cell>
          <cell r="N45">
            <v>3</v>
          </cell>
          <cell r="O45">
            <v>0</v>
          </cell>
          <cell r="P45">
            <v>0</v>
          </cell>
          <cell r="Q45" t="str">
            <v>SF</v>
          </cell>
          <cell r="S45">
            <v>11</v>
          </cell>
          <cell r="T45">
            <v>121</v>
          </cell>
          <cell r="U45">
            <v>30.32581453634085</v>
          </cell>
          <cell r="V45">
            <v>14</v>
          </cell>
          <cell r="W45">
            <v>7</v>
          </cell>
          <cell r="X45">
            <v>43.591478696741852</v>
          </cell>
          <cell r="Y45">
            <v>36.258517034068134</v>
          </cell>
          <cell r="Z45">
            <v>72.162962816379434</v>
          </cell>
          <cell r="AA45">
            <v>59.104252833137068</v>
          </cell>
          <cell r="AB45">
            <v>5</v>
          </cell>
          <cell r="AC45">
            <v>0</v>
          </cell>
          <cell r="AD45">
            <v>399</v>
          </cell>
          <cell r="AE45">
            <v>32.203389830508478</v>
          </cell>
          <cell r="AF45">
            <v>2.25</v>
          </cell>
          <cell r="AG45">
            <v>33.508591583526609</v>
          </cell>
          <cell r="AH45">
            <v>-2.6252508214315498</v>
          </cell>
          <cell r="AI45">
            <v>56.761187585945436</v>
          </cell>
          <cell r="AJ45">
            <v>52</v>
          </cell>
          <cell r="AK45">
            <v>232</v>
          </cell>
          <cell r="AL45" t="str">
            <v>PB</v>
          </cell>
          <cell r="AM45">
            <v>325.09677187339082</v>
          </cell>
          <cell r="AN45">
            <v>-18.522112312433379</v>
          </cell>
          <cell r="AO45">
            <v>1</v>
          </cell>
        </row>
        <row r="46">
          <cell r="A46" t="str">
            <v>KC-OPT-1N</v>
          </cell>
          <cell r="B46">
            <v>7299</v>
          </cell>
          <cell r="C46" t="str">
            <v>L</v>
          </cell>
          <cell r="D46">
            <v>4999</v>
          </cell>
          <cell r="E46">
            <v>3599</v>
          </cell>
          <cell r="F46">
            <v>3299</v>
          </cell>
          <cell r="G46" t="str">
            <v>TL3</v>
          </cell>
          <cell r="H46">
            <v>23.42215515059678</v>
          </cell>
          <cell r="I46">
            <v>24.027919846449976</v>
          </cell>
          <cell r="J46">
            <v>842.96336386997814</v>
          </cell>
          <cell r="K46">
            <v>3850</v>
          </cell>
          <cell r="L46">
            <v>813.70047829324994</v>
          </cell>
          <cell r="M46">
            <v>24.665064513284324</v>
          </cell>
          <cell r="N46">
            <v>30</v>
          </cell>
          <cell r="O46">
            <v>0.115</v>
          </cell>
          <cell r="P46">
            <v>7.0000000000000007E-2</v>
          </cell>
          <cell r="Q46" t="str">
            <v>SF</v>
          </cell>
          <cell r="S46">
            <v>65</v>
          </cell>
          <cell r="T46">
            <v>380</v>
          </cell>
          <cell r="U46">
            <v>10.558488469019171</v>
          </cell>
          <cell r="V46">
            <v>14</v>
          </cell>
          <cell r="W46">
            <v>7</v>
          </cell>
          <cell r="X46">
            <v>31.253542650736314</v>
          </cell>
          <cell r="Y46">
            <v>27.913307062746288</v>
          </cell>
          <cell r="Z46">
            <v>61.323607561267636</v>
          </cell>
          <cell r="AA46">
            <v>60.71784286541444</v>
          </cell>
          <cell r="AB46">
            <v>18</v>
          </cell>
          <cell r="AC46">
            <v>0</v>
          </cell>
          <cell r="AD46">
            <v>3599</v>
          </cell>
          <cell r="AE46">
            <v>32.203389830508478</v>
          </cell>
          <cell r="AF46">
            <v>22.5</v>
          </cell>
          <cell r="AG46">
            <v>21.30812786070436</v>
          </cell>
          <cell r="AH46">
            <v>-2.7197919857456156</v>
          </cell>
          <cell r="AI46">
            <v>42.539618487540245</v>
          </cell>
          <cell r="AJ46">
            <v>41</v>
          </cell>
          <cell r="AK46">
            <v>3150</v>
          </cell>
          <cell r="AL46" t="str">
            <v>PA</v>
          </cell>
          <cell r="AM46">
            <v>3103.1180238241013</v>
          </cell>
          <cell r="AN46">
            <v>-13.778326651178068</v>
          </cell>
          <cell r="AO46">
            <v>1</v>
          </cell>
        </row>
        <row r="47">
          <cell r="A47" t="str">
            <v>KC-OPT-1S</v>
          </cell>
          <cell r="B47">
            <v>7299</v>
          </cell>
          <cell r="C47" t="str">
            <v>Y</v>
          </cell>
          <cell r="D47">
            <v>4999</v>
          </cell>
          <cell r="E47">
            <v>3999</v>
          </cell>
          <cell r="F47">
            <v>3499</v>
          </cell>
          <cell r="G47" t="str">
            <v>TL3</v>
          </cell>
          <cell r="H47">
            <v>22.72773979902658</v>
          </cell>
          <cell r="I47">
            <v>21.009102629429862</v>
          </cell>
          <cell r="J47">
            <v>908.88231456307301</v>
          </cell>
          <cell r="K47">
            <v>4250</v>
          </cell>
          <cell r="L47">
            <v>927.2825084845</v>
          </cell>
          <cell r="M47">
            <v>26.501357773206628</v>
          </cell>
          <cell r="N47">
            <v>36</v>
          </cell>
          <cell r="O47">
            <v>0.115</v>
          </cell>
          <cell r="P47">
            <v>7.0000000000000007E-2</v>
          </cell>
          <cell r="Q47" t="str">
            <v>SF</v>
          </cell>
          <cell r="S47">
            <v>65</v>
          </cell>
          <cell r="T47">
            <v>428</v>
          </cell>
          <cell r="U47">
            <v>10.702675668917228</v>
          </cell>
          <cell r="V47">
            <v>14</v>
          </cell>
          <cell r="W47">
            <v>7</v>
          </cell>
          <cell r="X47">
            <v>31.178169542385596</v>
          </cell>
          <cell r="Y47">
            <v>28.489854244069733</v>
          </cell>
          <cell r="Z47">
            <v>62.018022912837836</v>
          </cell>
          <cell r="AA47">
            <v>63.736660082434554</v>
          </cell>
          <cell r="AB47">
            <v>18</v>
          </cell>
          <cell r="AC47">
            <v>0</v>
          </cell>
          <cell r="AD47">
            <v>3999</v>
          </cell>
          <cell r="AE47">
            <v>32.203389830508478</v>
          </cell>
          <cell r="AF47">
            <v>27</v>
          </cell>
          <cell r="AG47">
            <v>20.679344412126127</v>
          </cell>
          <cell r="AH47">
            <v>-0.32975821730373411</v>
          </cell>
          <cell r="AI47">
            <v>41.572273848072669</v>
          </cell>
          <cell r="AJ47">
            <v>40.5</v>
          </cell>
          <cell r="AK47">
            <v>3595</v>
          </cell>
          <cell r="AL47" t="str">
            <v>PA</v>
          </cell>
          <cell r="AM47">
            <v>3539.931380023766</v>
          </cell>
          <cell r="AN47">
            <v>-11.479585395754789</v>
          </cell>
          <cell r="AO47">
            <v>1</v>
          </cell>
        </row>
        <row r="48">
          <cell r="A48" t="str">
            <v>KC-OPT-2N</v>
          </cell>
          <cell r="B48">
            <v>13199</v>
          </cell>
          <cell r="C48" t="str">
            <v>Y</v>
          </cell>
          <cell r="D48">
            <v>9199</v>
          </cell>
          <cell r="E48">
            <v>6399</v>
          </cell>
          <cell r="F48">
            <v>5999</v>
          </cell>
          <cell r="G48" t="str">
            <v>TL3</v>
          </cell>
          <cell r="H48">
            <v>23.299313700143131</v>
          </cell>
          <cell r="I48">
            <v>24.935739837051202</v>
          </cell>
          <cell r="J48">
            <v>1490.923083672159</v>
          </cell>
          <cell r="K48">
            <v>6800</v>
          </cell>
          <cell r="L48">
            <v>1627.4009565864999</v>
          </cell>
          <cell r="M48">
            <v>27.127870588206363</v>
          </cell>
          <cell r="N48">
            <v>61</v>
          </cell>
          <cell r="O48">
            <v>0.115</v>
          </cell>
          <cell r="P48">
            <v>7.0000000000000007E-2</v>
          </cell>
          <cell r="Q48" t="str">
            <v>SS</v>
          </cell>
          <cell r="S48">
            <v>100</v>
          </cell>
          <cell r="T48">
            <v>483.7</v>
          </cell>
          <cell r="U48">
            <v>7.558993592748867</v>
          </cell>
          <cell r="V48">
            <v>0</v>
          </cell>
          <cell r="W48">
            <v>7</v>
          </cell>
          <cell r="X48">
            <v>27.621737771526803</v>
          </cell>
          <cell r="Y48">
            <v>23.729954992498751</v>
          </cell>
          <cell r="Z48">
            <v>61.446449011721285</v>
          </cell>
          <cell r="AA48">
            <v>59.810022874813214</v>
          </cell>
          <cell r="AB48">
            <v>18</v>
          </cell>
          <cell r="AC48">
            <v>0</v>
          </cell>
          <cell r="AD48">
            <v>6399</v>
          </cell>
          <cell r="AE48">
            <v>32.203389830508478</v>
          </cell>
          <cell r="AF48">
            <v>45.75</v>
          </cell>
          <cell r="AG48">
            <v>18.395303705133088</v>
          </cell>
          <cell r="AH48">
            <v>-6.5404361319181135</v>
          </cell>
          <cell r="AI48">
            <v>38.003193291657247</v>
          </cell>
          <cell r="AJ48">
            <v>38</v>
          </cell>
          <cell r="AK48">
            <v>6304</v>
          </cell>
          <cell r="AL48" t="str">
            <v>PA</v>
          </cell>
          <cell r="AM48">
            <v>6206.8129707251255</v>
          </cell>
          <cell r="AN48">
            <v>-3.0033916123593447</v>
          </cell>
          <cell r="AO48">
            <v>1</v>
          </cell>
        </row>
        <row r="49">
          <cell r="A49" t="str">
            <v>KC-OPT-2S</v>
          </cell>
          <cell r="B49">
            <v>13599</v>
          </cell>
          <cell r="C49" t="str">
            <v>Y</v>
          </cell>
          <cell r="D49">
            <v>9299</v>
          </cell>
          <cell r="E49">
            <v>7099</v>
          </cell>
          <cell r="F49">
            <v>6499</v>
          </cell>
          <cell r="G49" t="str">
            <v>TL3</v>
          </cell>
          <cell r="H49">
            <v>22.383648715966821</v>
          </cell>
          <cell r="I49">
            <v>22.834215203497422</v>
          </cell>
          <cell r="J49">
            <v>1589.0152223464845</v>
          </cell>
          <cell r="K49">
            <v>7550</v>
          </cell>
          <cell r="L49">
            <v>1854.565016969</v>
          </cell>
          <cell r="M49">
            <v>28.536159670241577</v>
          </cell>
          <cell r="N49">
            <v>71</v>
          </cell>
          <cell r="O49">
            <v>0.115</v>
          </cell>
          <cell r="P49">
            <v>7.0000000000000007E-2</v>
          </cell>
          <cell r="Q49" t="str">
            <v>SS</v>
          </cell>
          <cell r="S49">
            <v>100</v>
          </cell>
          <cell r="T49">
            <v>547.20000000000005</v>
          </cell>
          <cell r="U49">
            <v>7.708127905338781</v>
          </cell>
          <cell r="V49">
            <v>0</v>
          </cell>
          <cell r="W49">
            <v>7</v>
          </cell>
          <cell r="X49">
            <v>27.616777010846597</v>
          </cell>
          <cell r="Y49">
            <v>23.958455146945685</v>
          </cell>
          <cell r="Z49">
            <v>62.362113995897595</v>
          </cell>
          <cell r="AA49">
            <v>61.911547508366993</v>
          </cell>
          <cell r="AB49">
            <v>18</v>
          </cell>
          <cell r="AC49">
            <v>0</v>
          </cell>
          <cell r="AD49">
            <v>7099</v>
          </cell>
          <cell r="AE49">
            <v>32.203389830508478</v>
          </cell>
          <cell r="AF49">
            <v>53.25</v>
          </cell>
          <cell r="AG49">
            <v>17.66795371007828</v>
          </cell>
          <cell r="AH49">
            <v>-5.1662614934191424</v>
          </cell>
          <cell r="AI49">
            <v>36.875377692193986</v>
          </cell>
          <cell r="AJ49">
            <v>36.5</v>
          </cell>
          <cell r="AK49">
            <v>7188</v>
          </cell>
          <cell r="AL49" t="str">
            <v>PA</v>
          </cell>
          <cell r="AM49">
            <v>7078.7089138936863</v>
          </cell>
          <cell r="AN49">
            <v>-0.28583020293440969</v>
          </cell>
          <cell r="AO49">
            <v>1</v>
          </cell>
        </row>
        <row r="50">
          <cell r="A50" t="str">
            <v>KC-SRN</v>
          </cell>
          <cell r="B50">
            <v>12399</v>
          </cell>
          <cell r="C50" t="str">
            <v>Y</v>
          </cell>
          <cell r="D50">
            <v>8499</v>
          </cell>
          <cell r="E50">
            <v>8199</v>
          </cell>
          <cell r="F50">
            <v>6799</v>
          </cell>
          <cell r="G50" t="str">
            <v>TL3</v>
          </cell>
          <cell r="H50">
            <v>22.31864865007573</v>
          </cell>
          <cell r="I50">
            <v>17.773500880329578</v>
          </cell>
          <cell r="J50">
            <v>1829.9060028197091</v>
          </cell>
          <cell r="K50">
            <v>8700</v>
          </cell>
          <cell r="L50">
            <v>2134.2737458090628</v>
          </cell>
          <cell r="M50">
            <v>31.390994937624107</v>
          </cell>
          <cell r="N50">
            <v>78</v>
          </cell>
          <cell r="O50">
            <v>0.115</v>
          </cell>
          <cell r="P50">
            <v>7.0000000000000007E-2</v>
          </cell>
          <cell r="Q50" t="str">
            <v>SF</v>
          </cell>
          <cell r="S50">
            <v>65</v>
          </cell>
          <cell r="T50">
            <v>684</v>
          </cell>
          <cell r="U50">
            <v>8.3424807903402858</v>
          </cell>
          <cell r="V50">
            <v>14</v>
          </cell>
          <cell r="W50">
            <v>7</v>
          </cell>
          <cell r="X50">
            <v>27.806012928405906</v>
          </cell>
          <cell r="Y50">
            <v>25.222238564494781</v>
          </cell>
          <cell r="Z50">
            <v>62.427114061788686</v>
          </cell>
          <cell r="AA50">
            <v>66.972261831534837</v>
          </cell>
          <cell r="AB50">
            <v>18</v>
          </cell>
          <cell r="AC50">
            <v>0</v>
          </cell>
          <cell r="AD50">
            <v>8199</v>
          </cell>
          <cell r="AE50">
            <v>32.203389830508478</v>
          </cell>
          <cell r="AF50">
            <v>58.5</v>
          </cell>
          <cell r="AG50">
            <v>17.797968127007081</v>
          </cell>
          <cell r="AH50">
            <v>2.4467246677502885E-2</v>
          </cell>
          <cell r="AI50">
            <v>37.065168719688465</v>
          </cell>
          <cell r="AJ50">
            <v>37</v>
          </cell>
          <cell r="AK50">
            <v>8261</v>
          </cell>
          <cell r="AL50" t="str">
            <v>PA</v>
          </cell>
          <cell r="AM50">
            <v>8135.6671515245735</v>
          </cell>
          <cell r="AN50">
            <v>-0.77244601140903213</v>
          </cell>
          <cell r="AO50">
            <v>1</v>
          </cell>
        </row>
        <row r="51">
          <cell r="A51" t="str">
            <v>KH-EDL</v>
          </cell>
          <cell r="B51">
            <v>499</v>
          </cell>
          <cell r="C51" t="str">
            <v>Y</v>
          </cell>
          <cell r="D51">
            <v>325</v>
          </cell>
          <cell r="E51">
            <v>259</v>
          </cell>
          <cell r="F51">
            <v>239</v>
          </cell>
          <cell r="G51" t="str">
            <v>TL3</v>
          </cell>
          <cell r="H51">
            <v>27.337035030373229</v>
          </cell>
          <cell r="I51">
            <v>22.240712000438336</v>
          </cell>
          <cell r="J51">
            <v>70.802920728666663</v>
          </cell>
          <cell r="K51">
            <v>300</v>
          </cell>
          <cell r="L51">
            <v>37.554646199999993</v>
          </cell>
          <cell r="M51">
            <v>15.713241087866106</v>
          </cell>
          <cell r="N51">
            <v>1</v>
          </cell>
          <cell r="O51">
            <v>0</v>
          </cell>
          <cell r="P51">
            <v>0</v>
          </cell>
          <cell r="Q51" t="str">
            <v>SF</v>
          </cell>
          <cell r="S51">
            <v>6</v>
          </cell>
          <cell r="T51">
            <v>63</v>
          </cell>
          <cell r="U51">
            <v>24.324324324324326</v>
          </cell>
          <cell r="V51">
            <v>14</v>
          </cell>
          <cell r="W51">
            <v>7</v>
          </cell>
          <cell r="X51">
            <v>39.046332046332047</v>
          </cell>
          <cell r="Y51">
            <v>41.728033472803347</v>
          </cell>
          <cell r="Z51">
            <v>67.901060207721997</v>
          </cell>
          <cell r="AA51">
            <v>72.997383237656891</v>
          </cell>
          <cell r="AB51">
            <v>5</v>
          </cell>
          <cell r="AC51">
            <v>0</v>
          </cell>
          <cell r="AD51">
            <v>259</v>
          </cell>
          <cell r="AE51">
            <v>32.203389830508478</v>
          </cell>
          <cell r="AF51">
            <v>0.75</v>
          </cell>
          <cell r="AG51">
            <v>40.245266720328054</v>
          </cell>
          <cell r="AH51">
            <v>18.004554719889718</v>
          </cell>
          <cell r="AI51">
            <v>56.750674308813373</v>
          </cell>
          <cell r="AJ51">
            <v>52</v>
          </cell>
          <cell r="AK51">
            <v>103</v>
          </cell>
          <cell r="AL51" t="str">
            <v>PE</v>
          </cell>
          <cell r="AM51">
            <v>210.38256078865379</v>
          </cell>
          <cell r="AN51">
            <v>-18.771212050712823</v>
          </cell>
          <cell r="AO51">
            <v>10</v>
          </cell>
        </row>
        <row r="52">
          <cell r="A52" t="str">
            <v>KH-LKN-6</v>
          </cell>
          <cell r="B52">
            <v>1299</v>
          </cell>
          <cell r="C52" t="str">
            <v>Y</v>
          </cell>
          <cell r="D52">
            <v>899</v>
          </cell>
          <cell r="E52">
            <v>399</v>
          </cell>
          <cell r="F52">
            <v>349</v>
          </cell>
          <cell r="G52" t="str">
            <v>TL3</v>
          </cell>
          <cell r="H52">
            <v>33.382188037725456</v>
          </cell>
          <cell r="I52">
            <v>25.523175544835809</v>
          </cell>
          <cell r="J52">
            <v>133.19493027052457</v>
          </cell>
          <cell r="K52">
            <v>450</v>
          </cell>
          <cell r="L52">
            <v>53.203552627877087</v>
          </cell>
          <cell r="M52">
            <v>15.244570953546443</v>
          </cell>
          <cell r="N52">
            <v>2</v>
          </cell>
          <cell r="O52">
            <v>0</v>
          </cell>
          <cell r="P52">
            <v>0</v>
          </cell>
          <cell r="Q52" t="str">
            <v>SF</v>
          </cell>
          <cell r="S52">
            <v>11</v>
          </cell>
          <cell r="T52">
            <v>88</v>
          </cell>
          <cell r="U52">
            <v>22.055137844611529</v>
          </cell>
          <cell r="V52">
            <v>14</v>
          </cell>
          <cell r="W52">
            <v>7</v>
          </cell>
          <cell r="X52">
            <v>35.320802005012531</v>
          </cell>
          <cell r="Y52">
            <v>39.378223495702002</v>
          </cell>
          <cell r="Z52">
            <v>61.855907200369771</v>
          </cell>
          <cell r="AA52">
            <v>69.714919693259418</v>
          </cell>
          <cell r="AB52">
            <v>5</v>
          </cell>
          <cell r="AC52">
            <v>0</v>
          </cell>
          <cell r="AD52">
            <v>399</v>
          </cell>
          <cell r="AE52">
            <v>32.203389830508478</v>
          </cell>
          <cell r="AF52">
            <v>1.5</v>
          </cell>
          <cell r="AG52">
            <v>41.324541841702768</v>
          </cell>
          <cell r="AH52">
            <v>15.801366296866959</v>
          </cell>
          <cell r="AI52">
            <v>59.385919227874432</v>
          </cell>
          <cell r="AJ52">
            <v>54</v>
          </cell>
          <cell r="AK52">
            <v>148</v>
          </cell>
          <cell r="AL52" t="str">
            <v>PE</v>
          </cell>
          <cell r="AM52">
            <v>299.84394443796032</v>
          </cell>
          <cell r="AN52">
            <v>-24.851141744872098</v>
          </cell>
          <cell r="AO52">
            <v>10</v>
          </cell>
        </row>
        <row r="53">
          <cell r="A53" t="str">
            <v>KH-RMT</v>
          </cell>
          <cell r="B53">
            <v>499</v>
          </cell>
          <cell r="C53" t="str">
            <v>Y</v>
          </cell>
          <cell r="D53">
            <v>325</v>
          </cell>
          <cell r="E53">
            <v>279</v>
          </cell>
          <cell r="F53">
            <v>229</v>
          </cell>
          <cell r="G53" t="str">
            <v>TL3</v>
          </cell>
          <cell r="H53">
            <v>35.280974930532508</v>
          </cell>
          <cell r="I53">
            <v>23.718284907047192</v>
          </cell>
          <cell r="J53">
            <v>98.433920056185698</v>
          </cell>
          <cell r="K53">
            <v>300</v>
          </cell>
          <cell r="L53">
            <v>32.537872190000002</v>
          </cell>
          <cell r="M53">
            <v>14.208677812227075</v>
          </cell>
          <cell r="N53">
            <v>1</v>
          </cell>
          <cell r="O53">
            <v>0</v>
          </cell>
          <cell r="P53">
            <v>0</v>
          </cell>
          <cell r="Q53" t="str">
            <v>SF</v>
          </cell>
          <cell r="S53">
            <v>6</v>
          </cell>
          <cell r="T53">
            <v>63</v>
          </cell>
          <cell r="U53">
            <v>22.580645161290324</v>
          </cell>
          <cell r="V53">
            <v>14</v>
          </cell>
          <cell r="W53">
            <v>7</v>
          </cell>
          <cell r="X53">
            <v>36.749103942652326</v>
          </cell>
          <cell r="Y53">
            <v>43.244541484716159</v>
          </cell>
          <cell r="Z53">
            <v>59.957120307562718</v>
          </cell>
          <cell r="AA53">
            <v>71.519810331048035</v>
          </cell>
          <cell r="AB53">
            <v>5</v>
          </cell>
          <cell r="AC53">
            <v>0</v>
          </cell>
          <cell r="AD53">
            <v>279</v>
          </cell>
          <cell r="AE53">
            <v>32.203389830508478</v>
          </cell>
          <cell r="AF53">
            <v>0.75</v>
          </cell>
          <cell r="AG53">
            <v>43.103568421923669</v>
          </cell>
          <cell r="AH53">
            <v>19.385283514876477</v>
          </cell>
          <cell r="AI53">
            <v>63.438288769282842</v>
          </cell>
          <cell r="AJ53">
            <v>57</v>
          </cell>
          <cell r="AK53">
            <v>90</v>
          </cell>
          <cell r="AL53" t="str">
            <v>PE</v>
          </cell>
          <cell r="AM53">
            <v>182.51544270047114</v>
          </cell>
          <cell r="AN53">
            <v>-34.58227860198167</v>
          </cell>
          <cell r="AO53">
            <v>10</v>
          </cell>
        </row>
        <row r="54">
          <cell r="A54" t="str">
            <v>KHS-SW-W1</v>
          </cell>
          <cell r="B54">
            <v>999</v>
          </cell>
          <cell r="C54" t="str">
            <v>Y</v>
          </cell>
          <cell r="D54">
            <v>575</v>
          </cell>
          <cell r="E54">
            <v>499</v>
          </cell>
          <cell r="F54">
            <v>429</v>
          </cell>
          <cell r="G54" t="str">
            <v>TL3</v>
          </cell>
          <cell r="H54">
            <v>33.69836582149761</v>
          </cell>
          <cell r="I54">
            <v>24.799109273334821</v>
          </cell>
          <cell r="J54">
            <v>168.15484544927307</v>
          </cell>
          <cell r="K54">
            <v>550</v>
          </cell>
          <cell r="L54">
            <v>114.00662592322502</v>
          </cell>
          <cell r="M54">
            <v>26.574971077674828</v>
          </cell>
          <cell r="N54">
            <v>2</v>
          </cell>
          <cell r="O54">
            <v>0</v>
          </cell>
          <cell r="P54">
            <v>0</v>
          </cell>
          <cell r="Q54" t="str">
            <v>SF</v>
          </cell>
          <cell r="S54">
            <v>11</v>
          </cell>
          <cell r="T54">
            <v>88</v>
          </cell>
          <cell r="U54">
            <v>17.635270541082164</v>
          </cell>
          <cell r="V54">
            <v>14</v>
          </cell>
          <cell r="W54">
            <v>7</v>
          </cell>
          <cell r="X54">
            <v>29.645290581162325</v>
          </cell>
          <cell r="Y54">
            <v>33.340326340326342</v>
          </cell>
          <cell r="Z54">
            <v>61.539729416597616</v>
          </cell>
          <cell r="AA54">
            <v>70.438985964760406</v>
          </cell>
          <cell r="AB54">
            <v>5</v>
          </cell>
          <cell r="AC54">
            <v>0</v>
          </cell>
          <cell r="AD54">
            <v>499</v>
          </cell>
          <cell r="AE54">
            <v>32.203389830508478</v>
          </cell>
          <cell r="AF54">
            <v>1.5</v>
          </cell>
          <cell r="AG54">
            <v>31.887084982090762</v>
          </cell>
          <cell r="AH54">
            <v>7.0879757087559412</v>
          </cell>
          <cell r="AI54">
            <v>53.150805136301052</v>
          </cell>
          <cell r="AJ54">
            <v>49</v>
          </cell>
          <cell r="AK54">
            <v>312</v>
          </cell>
          <cell r="AL54" t="str">
            <v>PC</v>
          </cell>
          <cell r="AM54">
            <v>448.46579268036936</v>
          </cell>
          <cell r="AN54">
            <v>-10.1270956552366</v>
          </cell>
          <cell r="AO54">
            <v>10</v>
          </cell>
        </row>
        <row r="55">
          <cell r="A55" t="str">
            <v>KH-SUT-10</v>
          </cell>
          <cell r="B55">
            <v>999</v>
          </cell>
          <cell r="C55" t="str">
            <v>Y</v>
          </cell>
          <cell r="D55">
            <v>679</v>
          </cell>
          <cell r="E55">
            <v>339</v>
          </cell>
          <cell r="F55">
            <v>319</v>
          </cell>
          <cell r="G55" t="str">
            <v>TL3</v>
          </cell>
          <cell r="H55">
            <v>36.36171199329727</v>
          </cell>
          <cell r="I55">
            <v>33.109274172306797</v>
          </cell>
          <cell r="J55">
            <v>123.26620365727774</v>
          </cell>
          <cell r="K55">
            <v>400</v>
          </cell>
          <cell r="L55">
            <v>44.151225728575412</v>
          </cell>
          <cell r="M55">
            <v>13.840509632782261</v>
          </cell>
          <cell r="N55">
            <v>1</v>
          </cell>
          <cell r="O55">
            <v>0</v>
          </cell>
          <cell r="P55">
            <v>0</v>
          </cell>
          <cell r="Q55" t="str">
            <v>SF</v>
          </cell>
          <cell r="S55">
            <v>11</v>
          </cell>
          <cell r="T55">
            <v>63</v>
          </cell>
          <cell r="U55">
            <v>18.584070796460175</v>
          </cell>
          <cell r="V55">
            <v>14</v>
          </cell>
          <cell r="W55">
            <v>7</v>
          </cell>
          <cell r="X55">
            <v>32.958702064896755</v>
          </cell>
          <cell r="Y55">
            <v>34.58620689655173</v>
          </cell>
          <cell r="Z55">
            <v>58.876383244797957</v>
          </cell>
          <cell r="AA55">
            <v>62.128821065788429</v>
          </cell>
          <cell r="AB55">
            <v>5</v>
          </cell>
          <cell r="AC55">
            <v>0</v>
          </cell>
          <cell r="AD55">
            <v>339</v>
          </cell>
          <cell r="AE55">
            <v>32.203389830508478</v>
          </cell>
          <cell r="AF55">
            <v>0.75</v>
          </cell>
          <cell r="AG55">
            <v>41.789506077623507</v>
          </cell>
          <cell r="AH55">
            <v>8.6802319053167096</v>
          </cell>
          <cell r="AI55">
            <v>60.297026641766308</v>
          </cell>
          <cell r="AJ55">
            <v>54.5</v>
          </cell>
          <cell r="AK55">
            <v>121</v>
          </cell>
          <cell r="AL55" t="str">
            <v>PE</v>
          </cell>
          <cell r="AM55">
            <v>247.2180035380853</v>
          </cell>
          <cell r="AN55">
            <v>-27.074335239502862</v>
          </cell>
          <cell r="AO55">
            <v>10</v>
          </cell>
        </row>
        <row r="56">
          <cell r="A56" t="str">
            <v>KH-SUT-21</v>
          </cell>
          <cell r="B56">
            <v>1999</v>
          </cell>
          <cell r="C56" t="str">
            <v>Y</v>
          </cell>
          <cell r="D56">
            <v>1169</v>
          </cell>
          <cell r="E56">
            <v>429</v>
          </cell>
          <cell r="F56">
            <v>399</v>
          </cell>
          <cell r="G56" t="str">
            <v>TL3</v>
          </cell>
          <cell r="H56">
            <v>25.79071450706131</v>
          </cell>
          <cell r="I56">
            <v>21.095422722773051</v>
          </cell>
          <cell r="J56">
            <v>110.64216523529301</v>
          </cell>
          <cell r="K56">
            <v>500</v>
          </cell>
          <cell r="L56">
            <v>77.838825797053005</v>
          </cell>
          <cell r="M56">
            <v>19.50847764337168</v>
          </cell>
          <cell r="N56">
            <v>2</v>
          </cell>
          <cell r="O56">
            <v>0</v>
          </cell>
          <cell r="P56">
            <v>0</v>
          </cell>
          <cell r="Q56" t="str">
            <v>SF</v>
          </cell>
          <cell r="S56">
            <v>11</v>
          </cell>
          <cell r="T56">
            <v>88</v>
          </cell>
          <cell r="U56">
            <v>20.512820512820511</v>
          </cell>
          <cell r="V56">
            <v>14</v>
          </cell>
          <cell r="W56">
            <v>7</v>
          </cell>
          <cell r="X56">
            <v>33.340326340326342</v>
          </cell>
          <cell r="Y56">
            <v>35.320802005012531</v>
          </cell>
          <cell r="Z56">
            <v>69.447380731033917</v>
          </cell>
          <cell r="AA56">
            <v>74.142672515322175</v>
          </cell>
          <cell r="AB56">
            <v>5</v>
          </cell>
          <cell r="AC56">
            <v>0</v>
          </cell>
          <cell r="AD56">
            <v>429</v>
          </cell>
          <cell r="AE56">
            <v>32.203389830508478</v>
          </cell>
          <cell r="AF56">
            <v>1.5</v>
          </cell>
          <cell r="AG56">
            <v>36.54080662039491</v>
          </cell>
          <cell r="AH56">
            <v>15.445383897621859</v>
          </cell>
          <cell r="AI56">
            <v>48.122040787330036</v>
          </cell>
          <cell r="AJ56">
            <v>45.5</v>
          </cell>
          <cell r="AK56">
            <v>214</v>
          </cell>
          <cell r="AL56" t="str">
            <v>PE</v>
          </cell>
          <cell r="AM56">
            <v>436.25756122576234</v>
          </cell>
          <cell r="AN56">
            <v>1.691739213464416</v>
          </cell>
          <cell r="AO56">
            <v>10</v>
          </cell>
        </row>
        <row r="57">
          <cell r="A57" t="str">
            <v>KH-SUT-5</v>
          </cell>
          <cell r="B57">
            <v>649</v>
          </cell>
          <cell r="C57" t="str">
            <v>Y</v>
          </cell>
          <cell r="D57">
            <v>452</v>
          </cell>
          <cell r="E57">
            <v>209</v>
          </cell>
          <cell r="F57">
            <v>199</v>
          </cell>
          <cell r="G57" t="str">
            <v>TL3</v>
          </cell>
          <cell r="H57">
            <v>28.199870741982309</v>
          </cell>
          <cell r="I57">
            <v>25.182874536147509</v>
          </cell>
          <cell r="J57">
            <v>58.937729850743025</v>
          </cell>
          <cell r="K57">
            <v>250</v>
          </cell>
          <cell r="L57">
            <v>21.346677988379888</v>
          </cell>
          <cell r="M57">
            <v>10.726973863507482</v>
          </cell>
          <cell r="N57">
            <v>1</v>
          </cell>
          <cell r="O57">
            <v>0</v>
          </cell>
          <cell r="P57">
            <v>0</v>
          </cell>
          <cell r="Q57" t="str">
            <v>SF</v>
          </cell>
          <cell r="S57">
            <v>6</v>
          </cell>
          <cell r="T57">
            <v>63</v>
          </cell>
          <cell r="U57">
            <v>30.14354066985646</v>
          </cell>
          <cell r="V57">
            <v>14</v>
          </cell>
          <cell r="W57">
            <v>7</v>
          </cell>
          <cell r="X57">
            <v>46.712918660287087</v>
          </cell>
          <cell r="Y57">
            <v>48.708542713567837</v>
          </cell>
          <cell r="Z57">
            <v>67.038224496112917</v>
          </cell>
          <cell r="AA57">
            <v>70.055220701947718</v>
          </cell>
          <cell r="AB57">
            <v>5</v>
          </cell>
          <cell r="AC57">
            <v>0</v>
          </cell>
          <cell r="AD57">
            <v>209</v>
          </cell>
          <cell r="AE57">
            <v>32.203389830508478</v>
          </cell>
          <cell r="AF57">
            <v>0.75</v>
          </cell>
          <cell r="AG57">
            <v>44.462132207404984</v>
          </cell>
          <cell r="AH57">
            <v>19.279257671257476</v>
          </cell>
          <cell r="AI57">
            <v>66.733646518601347</v>
          </cell>
          <cell r="AJ57">
            <v>59.5</v>
          </cell>
          <cell r="AK57">
            <v>60</v>
          </cell>
          <cell r="AL57" t="str">
            <v>PE</v>
          </cell>
          <cell r="AM57">
            <v>119.61892179898109</v>
          </cell>
          <cell r="AN57">
            <v>-42.766066124889434</v>
          </cell>
          <cell r="AO57">
            <v>10</v>
          </cell>
        </row>
        <row r="58">
          <cell r="A58" t="str">
            <v>KH-SW-W10</v>
          </cell>
          <cell r="B58">
            <v>999</v>
          </cell>
          <cell r="C58" t="str">
            <v>Y</v>
          </cell>
          <cell r="D58">
            <v>679</v>
          </cell>
          <cell r="E58">
            <v>499</v>
          </cell>
          <cell r="F58">
            <v>469</v>
          </cell>
          <cell r="G58" t="str">
            <v>TL2</v>
          </cell>
          <cell r="H58">
            <v>20.290629350902591</v>
          </cell>
          <cell r="I58">
            <v>15.944309571338039</v>
          </cell>
          <cell r="J58">
            <v>101.25024046100394</v>
          </cell>
          <cell r="K58">
            <v>550</v>
          </cell>
          <cell r="L58">
            <v>161.9325607285754</v>
          </cell>
          <cell r="M58">
            <v>34.527198449589633</v>
          </cell>
          <cell r="N58">
            <v>2</v>
          </cell>
          <cell r="O58">
            <v>0</v>
          </cell>
          <cell r="P58">
            <v>0</v>
          </cell>
          <cell r="Q58" t="str">
            <v>SF</v>
          </cell>
          <cell r="S58">
            <v>11</v>
          </cell>
          <cell r="T58">
            <v>88</v>
          </cell>
          <cell r="U58">
            <v>17.635270541082164</v>
          </cell>
          <cell r="V58">
            <v>14</v>
          </cell>
          <cell r="W58">
            <v>7</v>
          </cell>
          <cell r="X58">
            <v>29.645290581162325</v>
          </cell>
          <cell r="Y58">
            <v>31.093816631130061</v>
          </cell>
          <cell r="Z58">
            <v>74.947465887192635</v>
          </cell>
          <cell r="AA58">
            <v>79.293785666757188</v>
          </cell>
          <cell r="AB58">
            <v>5</v>
          </cell>
          <cell r="AC58">
            <v>0</v>
          </cell>
          <cell r="AD58">
            <v>499</v>
          </cell>
          <cell r="AE58">
            <v>32.203389830508478</v>
          </cell>
          <cell r="AF58">
            <v>1.5</v>
          </cell>
          <cell r="AG58">
            <v>22.282689229515533</v>
          </cell>
          <cell r="AH58">
            <v>6.3383796581774945</v>
          </cell>
          <cell r="AI58">
            <v>37.329676100998938</v>
          </cell>
          <cell r="AJ58">
            <v>37</v>
          </cell>
          <cell r="AK58">
            <v>441</v>
          </cell>
          <cell r="AL58" t="str">
            <v>PC</v>
          </cell>
          <cell r="AM58">
            <v>634.1613258207351</v>
          </cell>
          <cell r="AN58">
            <v>27.086438040227474</v>
          </cell>
          <cell r="AO58">
            <v>3</v>
          </cell>
        </row>
        <row r="59">
          <cell r="A59" t="str">
            <v>KH-SW-W21</v>
          </cell>
          <cell r="B59">
            <v>1999</v>
          </cell>
          <cell r="C59" t="str">
            <v>Y</v>
          </cell>
          <cell r="D59">
            <v>1169</v>
          </cell>
          <cell r="E59">
            <v>999</v>
          </cell>
          <cell r="F59">
            <v>899</v>
          </cell>
          <cell r="G59" t="str">
            <v>TL2</v>
          </cell>
          <cell r="H59">
            <v>25.532758285407979</v>
          </cell>
          <cell r="I59">
            <v>18.557748613251448</v>
          </cell>
          <cell r="J59">
            <v>255.07225527122571</v>
          </cell>
          <cell r="K59">
            <v>1100</v>
          </cell>
          <cell r="L59">
            <v>327.66928091500404</v>
          </cell>
          <cell r="M59">
            <v>36.448195874861405</v>
          </cell>
          <cell r="N59">
            <v>3</v>
          </cell>
          <cell r="O59">
            <v>0</v>
          </cell>
          <cell r="P59">
            <v>0</v>
          </cell>
          <cell r="Q59" t="str">
            <v>SF</v>
          </cell>
          <cell r="S59">
            <v>34</v>
          </cell>
          <cell r="T59">
            <v>121</v>
          </cell>
          <cell r="U59">
            <v>12.112112112112111</v>
          </cell>
          <cell r="V59">
            <v>14</v>
          </cell>
          <cell r="W59">
            <v>7</v>
          </cell>
          <cell r="X59">
            <v>23.916916916916918</v>
          </cell>
          <cell r="Y59">
            <v>25.798665183537263</v>
          </cell>
          <cell r="Z59">
            <v>69.705336952687247</v>
          </cell>
          <cell r="AA59">
            <v>76.680346624843779</v>
          </cell>
          <cell r="AB59">
            <v>5</v>
          </cell>
          <cell r="AC59">
            <v>0</v>
          </cell>
          <cell r="AD59">
            <v>999</v>
          </cell>
          <cell r="AE59">
            <v>32.203389830508478</v>
          </cell>
          <cell r="AF59">
            <v>2.25</v>
          </cell>
          <cell r="AG59">
            <v>22.009752363041798</v>
          </cell>
          <cell r="AH59">
            <v>3.4520037497903502</v>
          </cell>
          <cell r="AI59">
            <v>36.844850972977611</v>
          </cell>
          <cell r="AJ59">
            <v>36.5</v>
          </cell>
          <cell r="AK59">
            <v>891</v>
          </cell>
          <cell r="AL59" t="str">
            <v>PC</v>
          </cell>
          <cell r="AM59">
            <v>1283.592612361829</v>
          </cell>
          <cell r="AN59">
            <v>28.487748985168064</v>
          </cell>
          <cell r="AO59">
            <v>1</v>
          </cell>
        </row>
        <row r="60">
          <cell r="A60" t="str">
            <v>KH-SW-WB</v>
          </cell>
          <cell r="B60">
            <v>649</v>
          </cell>
          <cell r="C60" t="str">
            <v>Y</v>
          </cell>
          <cell r="D60">
            <v>452</v>
          </cell>
          <cell r="E60">
            <v>319</v>
          </cell>
          <cell r="F60">
            <v>299</v>
          </cell>
          <cell r="G60" t="str">
            <v>TL2</v>
          </cell>
          <cell r="H60">
            <v>22.553402320317389</v>
          </cell>
          <cell r="I60">
            <v>18.159777375984433</v>
          </cell>
          <cell r="J60">
            <v>71.945353401812469</v>
          </cell>
          <cell r="K60">
            <v>350</v>
          </cell>
          <cell r="L60">
            <v>87.058861323575428</v>
          </cell>
          <cell r="M60">
            <v>29.116676027951645</v>
          </cell>
          <cell r="N60">
            <v>1</v>
          </cell>
          <cell r="O60">
            <v>0</v>
          </cell>
          <cell r="P60">
            <v>0</v>
          </cell>
          <cell r="Q60" t="str">
            <v>SF</v>
          </cell>
          <cell r="S60">
            <v>11</v>
          </cell>
          <cell r="T60">
            <v>63</v>
          </cell>
          <cell r="U60">
            <v>19.749216300940439</v>
          </cell>
          <cell r="V60">
            <v>14</v>
          </cell>
          <cell r="W60">
            <v>7</v>
          </cell>
          <cell r="X60">
            <v>34.58620689655173</v>
          </cell>
          <cell r="Y60">
            <v>36.431438127090303</v>
          </cell>
          <cell r="Z60">
            <v>72.684692917777838</v>
          </cell>
          <cell r="AA60">
            <v>77.078317862110794</v>
          </cell>
          <cell r="AB60">
            <v>5</v>
          </cell>
          <cell r="AC60">
            <v>0</v>
          </cell>
          <cell r="AD60">
            <v>319</v>
          </cell>
          <cell r="AE60">
            <v>32.203389830508478</v>
          </cell>
          <cell r="AF60">
            <v>0.75</v>
          </cell>
          <cell r="AG60">
            <v>27.5084165914189</v>
          </cell>
          <cell r="AH60">
            <v>9.3486392154344671</v>
          </cell>
          <cell r="AI60">
            <v>45.907309408820922</v>
          </cell>
          <cell r="AJ60">
            <v>43.5</v>
          </cell>
          <cell r="AK60">
            <v>237</v>
          </cell>
          <cell r="AL60" t="str">
            <v>PC</v>
          </cell>
          <cell r="AM60">
            <v>340.6241290215026</v>
          </cell>
          <cell r="AN60">
            <v>6.7787238311920364</v>
          </cell>
          <cell r="AO60">
            <v>5</v>
          </cell>
        </row>
        <row r="61">
          <cell r="A61" t="str">
            <v>KH-TO-18</v>
          </cell>
          <cell r="B61">
            <v>1999</v>
          </cell>
          <cell r="C61" t="str">
            <v>Y</v>
          </cell>
          <cell r="D61">
            <v>1349</v>
          </cell>
          <cell r="E61">
            <v>999</v>
          </cell>
          <cell r="F61">
            <v>899</v>
          </cell>
          <cell r="G61" t="str">
            <v>TL2</v>
          </cell>
          <cell r="H61">
            <v>25.58769832278584</v>
          </cell>
          <cell r="I61">
            <v>18.618799889492252</v>
          </cell>
          <cell r="J61">
            <v>255.62110624463054</v>
          </cell>
          <cell r="K61">
            <v>1100</v>
          </cell>
          <cell r="L61">
            <v>279.99818422918401</v>
          </cell>
          <cell r="M61">
            <v>31.14551548711724</v>
          </cell>
          <cell r="N61">
            <v>8</v>
          </cell>
          <cell r="O61">
            <v>0</v>
          </cell>
          <cell r="P61">
            <v>0</v>
          </cell>
          <cell r="Q61" t="str">
            <v>SF</v>
          </cell>
          <cell r="S61">
            <v>34</v>
          </cell>
          <cell r="T61">
            <v>187</v>
          </cell>
          <cell r="U61">
            <v>18.718718718718719</v>
          </cell>
          <cell r="V61">
            <v>14</v>
          </cell>
          <cell r="W61">
            <v>7</v>
          </cell>
          <cell r="X61">
            <v>30.523523523523522</v>
          </cell>
          <cell r="Y61">
            <v>33.140155728587317</v>
          </cell>
          <cell r="Z61">
            <v>69.650396915309386</v>
          </cell>
          <cell r="AA61">
            <v>76.619295348602975</v>
          </cell>
          <cell r="AB61">
            <v>5</v>
          </cell>
          <cell r="AC61">
            <v>0</v>
          </cell>
          <cell r="AD61">
            <v>999</v>
          </cell>
          <cell r="AE61">
            <v>32.203389830508478</v>
          </cell>
          <cell r="AF61">
            <v>6</v>
          </cell>
          <cell r="AG61">
            <v>26.406258537798557</v>
          </cell>
          <cell r="AH61">
            <v>7.7874586483063055</v>
          </cell>
          <cell r="AI61">
            <v>44.262533069936339</v>
          </cell>
          <cell r="AJ61">
            <v>42.5</v>
          </cell>
          <cell r="AK61">
            <v>772</v>
          </cell>
          <cell r="AL61" t="str">
            <v>PC</v>
          </cell>
          <cell r="AM61">
            <v>1110.4852394552195</v>
          </cell>
          <cell r="AN61">
            <v>11.159683629151099</v>
          </cell>
          <cell r="AO61">
            <v>1</v>
          </cell>
        </row>
        <row r="62">
          <cell r="A62" t="str">
            <v>KH-TO-40</v>
          </cell>
          <cell r="B62">
            <v>2999</v>
          </cell>
          <cell r="C62" t="str">
            <v>Y</v>
          </cell>
          <cell r="D62">
            <v>1699</v>
          </cell>
          <cell r="E62">
            <v>1999</v>
          </cell>
          <cell r="F62">
            <v>1899</v>
          </cell>
          <cell r="G62" t="str">
            <v>TL3</v>
          </cell>
          <cell r="H62">
            <v>26.62406832113075</v>
          </cell>
          <cell r="I62">
            <v>24.32738443924741</v>
          </cell>
          <cell r="J62">
            <v>532.21512573940367</v>
          </cell>
          <cell r="K62">
            <v>2150</v>
          </cell>
          <cell r="L62">
            <v>398.88567196999998</v>
          </cell>
          <cell r="M62">
            <v>21.005038018430753</v>
          </cell>
          <cell r="N62">
            <v>12</v>
          </cell>
          <cell r="O62">
            <v>0.18</v>
          </cell>
          <cell r="P62">
            <v>0.18</v>
          </cell>
          <cell r="Q62" t="str">
            <v>SF</v>
          </cell>
          <cell r="S62">
            <v>65</v>
          </cell>
          <cell r="T62">
            <v>236</v>
          </cell>
          <cell r="U62">
            <v>11.805902951475739</v>
          </cell>
          <cell r="V62">
            <v>14</v>
          </cell>
          <cell r="W62">
            <v>7</v>
          </cell>
          <cell r="X62">
            <v>40.757878939469734</v>
          </cell>
          <cell r="Y62">
            <v>41.587677725118482</v>
          </cell>
          <cell r="Z62">
            <v>68.614026916964477</v>
          </cell>
          <cell r="AA62">
            <v>70.910710798847816</v>
          </cell>
          <cell r="AB62">
            <v>5</v>
          </cell>
          <cell r="AC62">
            <v>0</v>
          </cell>
          <cell r="AD62">
            <v>1999</v>
          </cell>
          <cell r="AE62">
            <v>32.203389830508478</v>
          </cell>
          <cell r="AF62">
            <v>9</v>
          </cell>
          <cell r="AG62">
            <v>34.630219566166033</v>
          </cell>
          <cell r="AH62">
            <v>10.302835126918623</v>
          </cell>
          <cell r="AI62">
            <v>57.739432134692166</v>
          </cell>
          <cell r="AJ62">
            <v>52.5</v>
          </cell>
          <cell r="AK62">
            <v>1101</v>
          </cell>
          <cell r="AL62" t="str">
            <v>PC</v>
          </cell>
          <cell r="AM62">
            <v>1586.4891869262958</v>
          </cell>
          <cell r="AN62">
            <v>-20.635858582976699</v>
          </cell>
          <cell r="AO62">
            <v>1</v>
          </cell>
        </row>
        <row r="63">
          <cell r="A63" t="str">
            <v>KH-TOC-18</v>
          </cell>
          <cell r="B63">
            <v>2799</v>
          </cell>
          <cell r="C63" t="str">
            <v>Y</v>
          </cell>
          <cell r="D63">
            <v>1899</v>
          </cell>
          <cell r="E63">
            <v>1499</v>
          </cell>
          <cell r="F63">
            <v>1399</v>
          </cell>
          <cell r="G63" t="str">
            <v>TL3</v>
          </cell>
          <cell r="H63">
            <v>32.226999894987287</v>
          </cell>
          <cell r="I63">
            <v>33.545363344371992</v>
          </cell>
          <cell r="J63">
            <v>483.08272842585939</v>
          </cell>
          <cell r="K63">
            <v>1600</v>
          </cell>
          <cell r="L63">
            <v>311.04679025300004</v>
          </cell>
          <cell r="M63">
            <v>22.233508953037887</v>
          </cell>
          <cell r="N63">
            <v>6</v>
          </cell>
          <cell r="O63">
            <v>0.115</v>
          </cell>
          <cell r="P63">
            <v>7.0000000000000007E-2</v>
          </cell>
          <cell r="Q63" t="str">
            <v>SF</v>
          </cell>
          <cell r="S63">
            <v>65</v>
          </cell>
          <cell r="T63">
            <v>154</v>
          </cell>
          <cell r="U63">
            <v>10.273515677118079</v>
          </cell>
          <cell r="V63">
            <v>14</v>
          </cell>
          <cell r="W63">
            <v>7</v>
          </cell>
          <cell r="X63">
            <v>34.043695797198133</v>
          </cell>
          <cell r="Y63">
            <v>30.654753395282345</v>
          </cell>
          <cell r="Z63">
            <v>63.011095343107939</v>
          </cell>
          <cell r="AA63">
            <v>61.692731893723234</v>
          </cell>
          <cell r="AB63">
            <v>5</v>
          </cell>
          <cell r="AC63">
            <v>0</v>
          </cell>
          <cell r="AD63">
            <v>1499</v>
          </cell>
          <cell r="AE63">
            <v>32.203389830508478</v>
          </cell>
          <cell r="AF63">
            <v>4.5</v>
          </cell>
          <cell r="AG63">
            <v>33.984219066492685</v>
          </cell>
          <cell r="AH63">
            <v>0.43885572212069235</v>
          </cell>
          <cell r="AI63">
            <v>56.605184759340503</v>
          </cell>
          <cell r="AJ63">
            <v>52</v>
          </cell>
          <cell r="AK63">
            <v>852</v>
          </cell>
          <cell r="AL63" t="str">
            <v>PC</v>
          </cell>
          <cell r="AM63">
            <v>1226.9632939040819</v>
          </cell>
          <cell r="AN63">
            <v>-18.147878992389469</v>
          </cell>
          <cell r="AO63">
            <v>10</v>
          </cell>
        </row>
        <row r="64">
          <cell r="A64" t="str">
            <v>KH-TOC-40</v>
          </cell>
          <cell r="B64">
            <v>3499</v>
          </cell>
          <cell r="C64" t="str">
            <v>Y</v>
          </cell>
          <cell r="D64">
            <v>2399</v>
          </cell>
          <cell r="E64">
            <v>1999</v>
          </cell>
          <cell r="F64">
            <v>1849</v>
          </cell>
          <cell r="G64" t="str">
            <v>TL3</v>
          </cell>
          <cell r="H64">
            <v>28.548159813070313</v>
          </cell>
          <cell r="I64">
            <v>29.138754559552879</v>
          </cell>
          <cell r="J64">
            <v>570.67771466327554</v>
          </cell>
          <cell r="K64">
            <v>2150</v>
          </cell>
          <cell r="L64">
            <v>464.41032173799994</v>
          </cell>
          <cell r="M64">
            <v>25.116837303299079</v>
          </cell>
          <cell r="N64">
            <v>12</v>
          </cell>
          <cell r="O64">
            <v>0.115</v>
          </cell>
          <cell r="P64">
            <v>7.0000000000000007E-2</v>
          </cell>
          <cell r="Q64" t="str">
            <v>SF</v>
          </cell>
          <cell r="S64">
            <v>65</v>
          </cell>
          <cell r="T64">
            <v>236</v>
          </cell>
          <cell r="U64">
            <v>11.805902951475739</v>
          </cell>
          <cell r="V64">
            <v>14</v>
          </cell>
          <cell r="W64">
            <v>7</v>
          </cell>
          <cell r="X64">
            <v>34.257878939469734</v>
          </cell>
          <cell r="Y64">
            <v>31.036235803136833</v>
          </cell>
          <cell r="Z64">
            <v>66.689935425024913</v>
          </cell>
          <cell r="AA64">
            <v>66.099340678542347</v>
          </cell>
          <cell r="AB64">
            <v>5</v>
          </cell>
          <cell r="AC64">
            <v>0</v>
          </cell>
          <cell r="AD64">
            <v>1999</v>
          </cell>
          <cell r="AE64">
            <v>32.203389830508478</v>
          </cell>
          <cell r="AF64">
            <v>9</v>
          </cell>
          <cell r="AG64">
            <v>31.352348142053977</v>
          </cell>
          <cell r="AH64">
            <v>2.2135935825010975</v>
          </cell>
          <cell r="AI64">
            <v>52.339860095180846</v>
          </cell>
          <cell r="AJ64">
            <v>48.5</v>
          </cell>
          <cell r="AK64">
            <v>1278</v>
          </cell>
          <cell r="AL64" t="str">
            <v>PC</v>
          </cell>
          <cell r="AM64">
            <v>1841.3834101193449</v>
          </cell>
          <cell r="AN64">
            <v>-7.8847718799727398</v>
          </cell>
          <cell r="AO64">
            <v>1</v>
          </cell>
        </row>
        <row r="65">
          <cell r="A65" t="str">
            <v>KH-WLR</v>
          </cell>
          <cell r="B65">
            <v>599</v>
          </cell>
          <cell r="C65" t="str">
            <v>Y</v>
          </cell>
          <cell r="D65">
            <v>339</v>
          </cell>
          <cell r="E65">
            <v>229</v>
          </cell>
          <cell r="F65">
            <v>209</v>
          </cell>
          <cell r="G65" t="str">
            <v>TL2</v>
          </cell>
          <cell r="H65">
            <v>23.887127187003529</v>
          </cell>
          <cell r="I65">
            <v>17.729139813693308</v>
          </cell>
          <cell r="J65">
            <v>54.701521258238081</v>
          </cell>
          <cell r="K65">
            <v>250</v>
          </cell>
          <cell r="L65">
            <v>32.343576299999995</v>
          </cell>
          <cell r="M65">
            <v>15.475395358851673</v>
          </cell>
          <cell r="N65">
            <v>1</v>
          </cell>
          <cell r="O65">
            <v>0</v>
          </cell>
          <cell r="P65">
            <v>0</v>
          </cell>
          <cell r="Q65" t="str">
            <v>SF</v>
          </cell>
          <cell r="S65">
            <v>6</v>
          </cell>
          <cell r="T65">
            <v>63</v>
          </cell>
          <cell r="U65">
            <v>27.510917030567686</v>
          </cell>
          <cell r="V65">
            <v>14</v>
          </cell>
          <cell r="W65">
            <v>7</v>
          </cell>
          <cell r="X65">
            <v>43.244541484716159</v>
          </cell>
          <cell r="Y65">
            <v>46.712918660287087</v>
          </cell>
          <cell r="Z65">
            <v>71.350968051091698</v>
          </cell>
          <cell r="AA65">
            <v>77.508955424401918</v>
          </cell>
          <cell r="AB65">
            <v>5</v>
          </cell>
          <cell r="AC65">
            <v>0</v>
          </cell>
          <cell r="AD65">
            <v>229</v>
          </cell>
          <cell r="AE65">
            <v>32.203389830508478</v>
          </cell>
          <cell r="AF65">
            <v>0.75</v>
          </cell>
          <cell r="AG65">
            <v>40.583362045141335</v>
          </cell>
          <cell r="AH65">
            <v>22.854222231448027</v>
          </cell>
          <cell r="AI65">
            <v>57.58890615053317</v>
          </cell>
          <cell r="AJ65">
            <v>52.5</v>
          </cell>
          <cell r="AK65">
            <v>89</v>
          </cell>
          <cell r="AL65" t="str">
            <v>PE</v>
          </cell>
          <cell r="AM65">
            <v>181.01036425701921</v>
          </cell>
          <cell r="AN65">
            <v>-20.956172813528731</v>
          </cell>
          <cell r="AO65">
            <v>10</v>
          </cell>
        </row>
        <row r="66">
          <cell r="A66" t="str">
            <v>KR-JSD</v>
          </cell>
          <cell r="B66">
            <v>3299</v>
          </cell>
          <cell r="C66" t="str">
            <v>Y</v>
          </cell>
          <cell r="D66">
            <v>2299</v>
          </cell>
          <cell r="E66">
            <v>1849</v>
          </cell>
          <cell r="F66">
            <v>1659</v>
          </cell>
          <cell r="G66" t="str">
            <v>TL2</v>
          </cell>
          <cell r="H66">
            <v>20.23350175314927</v>
          </cell>
          <cell r="I66">
            <v>19.46386366866713</v>
          </cell>
          <cell r="J66">
            <v>374.11744741573</v>
          </cell>
          <cell r="K66">
            <v>2000</v>
          </cell>
          <cell r="L66">
            <v>378.77195874183678</v>
          </cell>
          <cell r="M66">
            <v>22.831341696313249</v>
          </cell>
          <cell r="N66">
            <v>16</v>
          </cell>
          <cell r="O66">
            <v>0.115</v>
          </cell>
          <cell r="P66">
            <v>7.0000000000000007E-2</v>
          </cell>
          <cell r="Q66" t="str">
            <v>SF</v>
          </cell>
          <cell r="S66">
            <v>65</v>
          </cell>
          <cell r="T66">
            <v>268</v>
          </cell>
          <cell r="U66">
            <v>14.49432125473229</v>
          </cell>
          <cell r="V66">
            <v>14</v>
          </cell>
          <cell r="W66">
            <v>7</v>
          </cell>
          <cell r="X66">
            <v>37.266901027582477</v>
          </cell>
          <cell r="Y66">
            <v>34.916214587100662</v>
          </cell>
          <cell r="Z66">
            <v>64.512260958715146</v>
          </cell>
          <cell r="AA66">
            <v>65.281899043197285</v>
          </cell>
          <cell r="AB66">
            <v>18</v>
          </cell>
          <cell r="AC66">
            <v>0</v>
          </cell>
          <cell r="AD66">
            <v>1849</v>
          </cell>
          <cell r="AE66">
            <v>32.203389830508478</v>
          </cell>
          <cell r="AF66">
            <v>12</v>
          </cell>
          <cell r="AG66">
            <v>23.408140391262002</v>
          </cell>
          <cell r="AH66">
            <v>3.9442767225948714</v>
          </cell>
          <cell r="AI66">
            <v>45.844655919446261</v>
          </cell>
          <cell r="AJ66">
            <v>43.5</v>
          </cell>
          <cell r="AK66">
            <v>1472</v>
          </cell>
          <cell r="AL66" t="str">
            <v>PA</v>
          </cell>
          <cell r="AM66">
            <v>1449.734081603139</v>
          </cell>
          <cell r="AN66">
            <v>-21.593613758618769</v>
          </cell>
          <cell r="AO66">
            <v>1</v>
          </cell>
        </row>
        <row r="67">
          <cell r="A67" t="str">
            <v>MD-TNO-L</v>
          </cell>
          <cell r="B67">
            <v>4899</v>
          </cell>
          <cell r="C67" t="str">
            <v>Y</v>
          </cell>
          <cell r="D67">
            <v>3999</v>
          </cell>
          <cell r="E67">
            <v>3099</v>
          </cell>
          <cell r="F67">
            <v>2999</v>
          </cell>
          <cell r="G67" t="str">
            <v>TL2</v>
          </cell>
          <cell r="H67">
            <v>19.582762851892625</v>
          </cell>
          <cell r="I67">
            <v>22.52681087256714</v>
          </cell>
          <cell r="J67">
            <v>606.86982078015239</v>
          </cell>
          <cell r="K67">
            <v>3300</v>
          </cell>
          <cell r="L67">
            <v>766.23035012069568</v>
          </cell>
          <cell r="M67">
            <v>25.549528180083218</v>
          </cell>
          <cell r="N67">
            <v>26</v>
          </cell>
          <cell r="O67">
            <v>0.115</v>
          </cell>
          <cell r="P67">
            <v>7.0000000000000007E-2</v>
          </cell>
          <cell r="Q67" t="str">
            <v>SF</v>
          </cell>
          <cell r="S67">
            <v>65</v>
          </cell>
          <cell r="T67">
            <v>348</v>
          </cell>
          <cell r="U67">
            <v>11.229428848015489</v>
          </cell>
          <cell r="V67">
            <v>14</v>
          </cell>
          <cell r="W67">
            <v>7</v>
          </cell>
          <cell r="X67">
            <v>32.278638270409814</v>
          </cell>
          <cell r="Y67">
            <v>28.238079359786596</v>
          </cell>
          <cell r="Z67">
            <v>65.162999859971791</v>
          </cell>
          <cell r="AA67">
            <v>62.218951839297276</v>
          </cell>
          <cell r="AB67">
            <v>18</v>
          </cell>
          <cell r="AC67">
            <v>0</v>
          </cell>
          <cell r="AD67">
            <v>3099</v>
          </cell>
          <cell r="AE67">
            <v>32.203389830508478</v>
          </cell>
          <cell r="AF67">
            <v>19.5</v>
          </cell>
          <cell r="AG67">
            <v>19.188053742256365</v>
          </cell>
          <cell r="AH67">
            <v>-3.3387571303107748</v>
          </cell>
          <cell r="AI67">
            <v>39.21395574445242</v>
          </cell>
          <cell r="AJ67">
            <v>38.5</v>
          </cell>
          <cell r="AK67">
            <v>2960</v>
          </cell>
          <cell r="AL67" t="str">
            <v>PA</v>
          </cell>
          <cell r="AM67">
            <v>2915.5292888610802</v>
          </cell>
          <cell r="AN67">
            <v>-5.9203198173255824</v>
          </cell>
          <cell r="AO67">
            <v>1</v>
          </cell>
        </row>
        <row r="68">
          <cell r="A68" t="str">
            <v>MD-TNO-S</v>
          </cell>
          <cell r="B68">
            <v>3649</v>
          </cell>
          <cell r="C68" t="str">
            <v>Y</v>
          </cell>
          <cell r="D68">
            <v>2799</v>
          </cell>
          <cell r="E68">
            <v>2199</v>
          </cell>
          <cell r="F68">
            <v>1999</v>
          </cell>
          <cell r="G68" t="str">
            <v>TL2</v>
          </cell>
          <cell r="H68">
            <v>19.717448379527625</v>
          </cell>
          <cell r="I68">
            <v>19.562289366787581</v>
          </cell>
          <cell r="J68">
            <v>433.58668986581245</v>
          </cell>
          <cell r="K68">
            <v>2350</v>
          </cell>
          <cell r="L68">
            <v>496.35912193089166</v>
          </cell>
          <cell r="M68">
            <v>24.830371282185677</v>
          </cell>
          <cell r="N68">
            <v>18</v>
          </cell>
          <cell r="O68">
            <v>0.115</v>
          </cell>
          <cell r="P68">
            <v>7.0000000000000007E-2</v>
          </cell>
          <cell r="Q68" t="str">
            <v>SF</v>
          </cell>
          <cell r="S68">
            <v>65</v>
          </cell>
          <cell r="T68">
            <v>284</v>
          </cell>
          <cell r="U68">
            <v>12.914961346066395</v>
          </cell>
          <cell r="V68">
            <v>14</v>
          </cell>
          <cell r="W68">
            <v>7</v>
          </cell>
          <cell r="X68">
            <v>35.007503410641206</v>
          </cell>
          <cell r="Y68">
            <v>32.159079539769891</v>
          </cell>
          <cell r="Z68">
            <v>65.028314332336791</v>
          </cell>
          <cell r="AA68">
            <v>65.183473345076834</v>
          </cell>
          <cell r="AB68">
            <v>18</v>
          </cell>
          <cell r="AC68">
            <v>0</v>
          </cell>
          <cell r="AD68">
            <v>2199</v>
          </cell>
          <cell r="AE68">
            <v>32.203389830508478</v>
          </cell>
          <cell r="AF68">
            <v>13.5</v>
          </cell>
          <cell r="AG68">
            <v>21.356419178268546</v>
          </cell>
          <cell r="AH68">
            <v>1.7941298114809641</v>
          </cell>
          <cell r="AI68">
            <v>42.611022921403318</v>
          </cell>
          <cell r="AJ68">
            <v>41</v>
          </cell>
          <cell r="AK68">
            <v>1921</v>
          </cell>
          <cell r="AL68" t="str">
            <v>PA</v>
          </cell>
          <cell r="AM68">
            <v>1891.5933973917781</v>
          </cell>
          <cell r="AN68">
            <v>-13.979381655671755</v>
          </cell>
          <cell r="AO68">
            <v>1</v>
          </cell>
        </row>
        <row r="69">
          <cell r="A69" t="str">
            <v>PF-MIS-RT</v>
          </cell>
          <cell r="B69">
            <v>1749</v>
          </cell>
          <cell r="C69" t="str">
            <v>Y</v>
          </cell>
          <cell r="D69">
            <v>1699</v>
          </cell>
          <cell r="E69">
            <v>1649</v>
          </cell>
          <cell r="F69">
            <v>999</v>
          </cell>
          <cell r="G69" t="str">
            <v>TL2</v>
          </cell>
          <cell r="H69">
            <v>19.846776493276138</v>
          </cell>
          <cell r="I69">
            <v>1.1572459206211221</v>
          </cell>
          <cell r="J69">
            <v>327.27334437412355</v>
          </cell>
          <cell r="K69">
            <v>1750</v>
          </cell>
          <cell r="L69">
            <v>400.08968627407558</v>
          </cell>
          <cell r="M69">
            <v>40.049017645052608</v>
          </cell>
          <cell r="N69">
            <v>6</v>
          </cell>
          <cell r="O69">
            <v>0.115</v>
          </cell>
          <cell r="P69">
            <v>0</v>
          </cell>
          <cell r="Q69" t="str">
            <v>SF</v>
          </cell>
          <cell r="S69">
            <v>65</v>
          </cell>
          <cell r="T69">
            <v>154</v>
          </cell>
          <cell r="U69">
            <v>9.3389933292904797</v>
          </cell>
          <cell r="V69">
            <v>14</v>
          </cell>
          <cell r="W69">
            <v>7</v>
          </cell>
          <cell r="X69">
            <v>32.629775621588841</v>
          </cell>
          <cell r="Y69">
            <v>30.323323323323322</v>
          </cell>
          <cell r="Z69">
            <v>64.898986218588277</v>
          </cell>
          <cell r="AA69">
            <v>83.588516791243293</v>
          </cell>
          <cell r="AB69">
            <v>18</v>
          </cell>
          <cell r="AC69">
            <v>0</v>
          </cell>
          <cell r="AD69">
            <v>1649</v>
          </cell>
          <cell r="AE69">
            <v>32.203389830508478</v>
          </cell>
          <cell r="AF69">
            <v>4.5</v>
          </cell>
          <cell r="AG69">
            <v>20.00691586049021</v>
          </cell>
          <cell r="AH69">
            <v>18.849669939869088</v>
          </cell>
          <cell r="AI69">
            <v>40.360318154121636</v>
          </cell>
          <cell r="AJ69">
            <v>39.5</v>
          </cell>
          <cell r="AK69">
            <v>1524</v>
          </cell>
          <cell r="AL69" t="str">
            <v>PA</v>
          </cell>
          <cell r="AM69">
            <v>1494.1787691914515</v>
          </cell>
          <cell r="AN69">
            <v>-9.3887950763219248</v>
          </cell>
          <cell r="AO69">
            <v>2</v>
          </cell>
        </row>
        <row r="70">
          <cell r="A70" t="str">
            <v>PF-NAH-RO</v>
          </cell>
          <cell r="B70">
            <v>1999</v>
          </cell>
          <cell r="C70" t="str">
            <v>Y</v>
          </cell>
          <cell r="D70">
            <v>2199</v>
          </cell>
          <cell r="E70">
            <v>1849</v>
          </cell>
          <cell r="F70">
            <v>1599</v>
          </cell>
          <cell r="G70" t="str">
            <v>TL2</v>
          </cell>
          <cell r="H70">
            <v>18.961243010659359</v>
          </cell>
          <cell r="I70">
            <v>16.06841629064607</v>
          </cell>
          <cell r="J70">
            <v>350.59338326709155</v>
          </cell>
          <cell r="K70">
            <v>2000</v>
          </cell>
          <cell r="L70">
            <v>432.54945058291827</v>
          </cell>
          <cell r="M70">
            <v>27.051247691239418</v>
          </cell>
          <cell r="N70">
            <v>10</v>
          </cell>
          <cell r="O70">
            <v>0.115</v>
          </cell>
          <cell r="P70">
            <v>7.0000000000000007E-2</v>
          </cell>
          <cell r="Q70" t="str">
            <v>SF</v>
          </cell>
          <cell r="S70">
            <v>65</v>
          </cell>
          <cell r="T70">
            <v>220</v>
          </cell>
          <cell r="U70">
            <v>11.89832341806382</v>
          </cell>
          <cell r="V70">
            <v>14</v>
          </cell>
          <cell r="W70">
            <v>7</v>
          </cell>
          <cell r="X70">
            <v>34.670903190914004</v>
          </cell>
          <cell r="Y70">
            <v>32.699186991869922</v>
          </cell>
          <cell r="Z70">
            <v>65.784519701205056</v>
          </cell>
          <cell r="AA70">
            <v>68.677346421218346</v>
          </cell>
          <cell r="AB70">
            <v>18</v>
          </cell>
          <cell r="AC70">
            <v>0</v>
          </cell>
          <cell r="AD70">
            <v>1849</v>
          </cell>
          <cell r="AE70">
            <v>32.203389830508478</v>
          </cell>
          <cell r="AF70">
            <v>7.5</v>
          </cell>
          <cell r="AG70">
            <v>20.743051595097512</v>
          </cell>
          <cell r="AH70">
            <v>4.6746353044514422</v>
          </cell>
          <cell r="AI70">
            <v>41.567295416720832</v>
          </cell>
          <cell r="AJ70">
            <v>40.5</v>
          </cell>
          <cell r="AK70">
            <v>1658</v>
          </cell>
          <cell r="AL70" t="str">
            <v>PA</v>
          </cell>
          <cell r="AM70">
            <v>1618.59926047915</v>
          </cell>
          <cell r="AN70">
            <v>-12.460829611727965</v>
          </cell>
          <cell r="AO70">
            <v>1</v>
          </cell>
        </row>
        <row r="71">
          <cell r="A71" t="str">
            <v>PU-DRV</v>
          </cell>
          <cell r="B71">
            <v>4999</v>
          </cell>
          <cell r="C71" t="str">
            <v>Y</v>
          </cell>
          <cell r="D71">
            <v>3799</v>
          </cell>
          <cell r="E71">
            <v>1299</v>
          </cell>
          <cell r="F71">
            <v>1399</v>
          </cell>
          <cell r="G71" t="str">
            <v>TL2</v>
          </cell>
          <cell r="H71">
            <v>19.140398337995293</v>
          </cell>
          <cell r="I71">
            <v>27.007472274654987</v>
          </cell>
          <cell r="J71">
            <v>248.63377441055886</v>
          </cell>
          <cell r="K71">
            <v>1400</v>
          </cell>
          <cell r="L71">
            <v>235.26216783199999</v>
          </cell>
          <cell r="M71">
            <v>16.816452311079342</v>
          </cell>
          <cell r="N71">
            <v>10</v>
          </cell>
          <cell r="O71">
            <v>0.115</v>
          </cell>
          <cell r="P71">
            <v>7.0000000000000007E-2</v>
          </cell>
          <cell r="Q71" t="str">
            <v>SF</v>
          </cell>
          <cell r="S71">
            <v>65</v>
          </cell>
          <cell r="T71">
            <v>220</v>
          </cell>
          <cell r="U71">
            <v>16.936104695919937</v>
          </cell>
          <cell r="V71">
            <v>14</v>
          </cell>
          <cell r="W71">
            <v>7</v>
          </cell>
          <cell r="X71">
            <v>41.517705927636641</v>
          </cell>
          <cell r="Y71">
            <v>35.372408863473908</v>
          </cell>
          <cell r="Z71">
            <v>65.605364373869122</v>
          </cell>
          <cell r="AA71">
            <v>57.738290437209429</v>
          </cell>
          <cell r="AB71">
            <v>18</v>
          </cell>
          <cell r="AC71">
            <v>0</v>
          </cell>
          <cell r="AD71">
            <v>1299</v>
          </cell>
          <cell r="AE71">
            <v>32.203389830508478</v>
          </cell>
          <cell r="AF71">
            <v>7.5</v>
          </cell>
          <cell r="AG71">
            <v>25.853984287668482</v>
          </cell>
          <cell r="AH71">
            <v>-1.1534879869865051</v>
          </cell>
          <cell r="AI71">
            <v>49.655269730905253</v>
          </cell>
          <cell r="AJ71">
            <v>46.5</v>
          </cell>
          <cell r="AK71">
            <v>915</v>
          </cell>
          <cell r="AL71" t="str">
            <v>PA</v>
          </cell>
          <cell r="AM71">
            <v>900.48671281540771</v>
          </cell>
          <cell r="AN71">
            <v>-30.678467065788475</v>
          </cell>
          <cell r="AO71">
            <v>2</v>
          </cell>
        </row>
        <row r="72">
          <cell r="A72" t="str">
            <v>PU-SDI-ST</v>
          </cell>
          <cell r="B72">
            <v>4099</v>
          </cell>
          <cell r="C72" t="str">
            <v>Y</v>
          </cell>
          <cell r="D72">
            <v>3049</v>
          </cell>
          <cell r="E72">
            <v>2999</v>
          </cell>
          <cell r="F72">
            <v>2849</v>
          </cell>
          <cell r="G72" t="str">
            <v>TL2</v>
          </cell>
          <cell r="H72">
            <v>23.271815645057828</v>
          </cell>
          <cell r="I72">
            <v>21.298810358985179</v>
          </cell>
          <cell r="J72">
            <v>697.92175119528429</v>
          </cell>
          <cell r="K72">
            <v>3200</v>
          </cell>
          <cell r="L72">
            <v>558.21252570324987</v>
          </cell>
          <cell r="M72">
            <v>19.593279245463318</v>
          </cell>
          <cell r="N72">
            <v>18</v>
          </cell>
          <cell r="O72">
            <v>0.17</v>
          </cell>
          <cell r="P72">
            <v>0.17</v>
          </cell>
          <cell r="Q72" t="str">
            <v>SF</v>
          </cell>
          <cell r="S72">
            <v>65</v>
          </cell>
          <cell r="T72">
            <v>284</v>
          </cell>
          <cell r="U72">
            <v>9.4698232744248081</v>
          </cell>
          <cell r="V72">
            <v>14</v>
          </cell>
          <cell r="W72">
            <v>7</v>
          </cell>
          <cell r="X72">
            <v>36.104034678226078</v>
          </cell>
          <cell r="Y72">
            <v>36.74131274131274</v>
          </cell>
          <cell r="Z72">
            <v>61.473947066806588</v>
          </cell>
          <cell r="AA72">
            <v>63.446952352879237</v>
          </cell>
          <cell r="AB72">
            <v>18</v>
          </cell>
          <cell r="AC72">
            <v>0</v>
          </cell>
          <cell r="AD72">
            <v>2999</v>
          </cell>
          <cell r="AE72">
            <v>32.203389830508478</v>
          </cell>
          <cell r="AF72">
            <v>13.5</v>
          </cell>
          <cell r="AG72">
            <v>25.47893421169104</v>
          </cell>
          <cell r="AH72">
            <v>4.1801238527058615</v>
          </cell>
          <cell r="AI72">
            <v>48.292326322455324</v>
          </cell>
          <cell r="AJ72">
            <v>45.5</v>
          </cell>
          <cell r="AK72">
            <v>2154</v>
          </cell>
          <cell r="AL72" t="str">
            <v>PB</v>
          </cell>
          <cell r="AM72">
            <v>2172.6987022569574</v>
          </cell>
          <cell r="AN72">
            <v>-27.552560778360874</v>
          </cell>
          <cell r="AO72">
            <v>1</v>
          </cell>
        </row>
        <row r="73">
          <cell r="A73" t="str">
            <v>PU-SNM</v>
          </cell>
          <cell r="B73">
            <v>13599</v>
          </cell>
          <cell r="C73" t="str">
            <v>Y</v>
          </cell>
          <cell r="D73">
            <v>9499</v>
          </cell>
          <cell r="E73">
            <v>8999</v>
          </cell>
          <cell r="F73">
            <v>7599</v>
          </cell>
          <cell r="G73" t="str">
            <v>TL3</v>
          </cell>
          <cell r="H73">
            <v>23.114554829220204</v>
          </cell>
          <cell r="I73">
            <v>19.668286762934912</v>
          </cell>
          <cell r="J73">
            <v>2080.0787890815263</v>
          </cell>
          <cell r="K73">
            <v>9550</v>
          </cell>
          <cell r="L73">
            <v>2270.2695505202878</v>
          </cell>
          <cell r="M73">
            <v>29.875898809320805</v>
          </cell>
          <cell r="N73">
            <v>82</v>
          </cell>
          <cell r="O73">
            <v>0.115</v>
          </cell>
          <cell r="P73">
            <v>7.0000000000000007E-2</v>
          </cell>
          <cell r="Q73" t="str">
            <v>SF</v>
          </cell>
          <cell r="S73">
            <v>65</v>
          </cell>
          <cell r="T73">
            <v>708</v>
          </cell>
          <cell r="U73">
            <v>7.8675408378708749</v>
          </cell>
          <cell r="V73">
            <v>14</v>
          </cell>
          <cell r="W73">
            <v>7</v>
          </cell>
          <cell r="X73">
            <v>27.245416157350817</v>
          </cell>
          <cell r="Y73">
            <v>24.356625871825241</v>
          </cell>
          <cell r="Z73">
            <v>61.631207882644212</v>
          </cell>
          <cell r="AA73">
            <v>65.077475948929504</v>
          </cell>
          <cell r="AB73">
            <v>18</v>
          </cell>
          <cell r="AC73">
            <v>0</v>
          </cell>
          <cell r="AD73">
            <v>8999</v>
          </cell>
          <cell r="AE73">
            <v>32.203389830508478</v>
          </cell>
          <cell r="AF73">
            <v>61.5</v>
          </cell>
          <cell r="AG73">
            <v>18.630943272285066</v>
          </cell>
          <cell r="AH73">
            <v>-1.037343490649846</v>
          </cell>
          <cell r="AI73">
            <v>37.378342828272046</v>
          </cell>
          <cell r="AJ73">
            <v>37</v>
          </cell>
          <cell r="AK73">
            <v>8785</v>
          </cell>
          <cell r="AL73" t="str">
            <v>PB</v>
          </cell>
          <cell r="AM73">
            <v>8860.4754349437899</v>
          </cell>
          <cell r="AN73">
            <v>-1.5393328709435508</v>
          </cell>
          <cell r="AO73">
            <v>1</v>
          </cell>
        </row>
        <row r="74">
          <cell r="A74" t="str">
            <v>PU-SUB</v>
          </cell>
          <cell r="B74">
            <v>9499</v>
          </cell>
          <cell r="C74" t="str">
            <v>Y</v>
          </cell>
          <cell r="D74">
            <v>6599</v>
          </cell>
          <cell r="E74">
            <v>5599</v>
          </cell>
          <cell r="F74">
            <v>4999</v>
          </cell>
          <cell r="G74" t="str">
            <v>TL2</v>
          </cell>
          <cell r="H74">
            <v>22.716453559750335</v>
          </cell>
          <cell r="I74">
            <v>21.991891549094504</v>
          </cell>
          <cell r="J74">
            <v>1271.8942348104213</v>
          </cell>
          <cell r="K74">
            <v>5950</v>
          </cell>
          <cell r="L74">
            <v>1385.1173078397501</v>
          </cell>
          <cell r="M74">
            <v>27.70788773434187</v>
          </cell>
          <cell r="N74">
            <v>50</v>
          </cell>
          <cell r="O74">
            <v>0.115</v>
          </cell>
          <cell r="P74">
            <v>7.0000000000000007E-2</v>
          </cell>
          <cell r="Q74" t="str">
            <v>SF</v>
          </cell>
          <cell r="S74">
            <v>65</v>
          </cell>
          <cell r="T74">
            <v>516</v>
          </cell>
          <cell r="U74">
            <v>9.2159314163243433</v>
          </cell>
          <cell r="V74">
            <v>14</v>
          </cell>
          <cell r="W74">
            <v>7</v>
          </cell>
          <cell r="X74">
            <v>29.126897660296482</v>
          </cell>
          <cell r="Y74">
            <v>25.902380476095221</v>
          </cell>
          <cell r="Z74">
            <v>62.029309152114081</v>
          </cell>
          <cell r="AA74">
            <v>62.753871162769912</v>
          </cell>
          <cell r="AB74">
            <v>18</v>
          </cell>
          <cell r="AC74">
            <v>0</v>
          </cell>
          <cell r="AD74">
            <v>5599</v>
          </cell>
          <cell r="AE74">
            <v>32.203389830508478</v>
          </cell>
          <cell r="AF74">
            <v>37.5</v>
          </cell>
          <cell r="AG74">
            <v>19.133955166768501</v>
          </cell>
          <cell r="AH74">
            <v>-2.8579363823260024</v>
          </cell>
          <cell r="AI74">
            <v>39.14483473970882</v>
          </cell>
          <cell r="AJ74">
            <v>38.5</v>
          </cell>
          <cell r="AK74">
            <v>5360</v>
          </cell>
          <cell r="AL74" t="str">
            <v>PA</v>
          </cell>
          <cell r="AM74">
            <v>5277.9783234018423</v>
          </cell>
          <cell r="AN74">
            <v>-5.7335537881435554</v>
          </cell>
          <cell r="AO74">
            <v>3</v>
          </cell>
        </row>
        <row r="75">
          <cell r="A75" t="str">
            <v>PU-SUB-ST</v>
          </cell>
          <cell r="B75">
            <v>4999</v>
          </cell>
          <cell r="C75" t="str">
            <v>Y</v>
          </cell>
          <cell r="D75">
            <v>3799</v>
          </cell>
          <cell r="E75">
            <v>2999</v>
          </cell>
          <cell r="F75">
            <v>2899</v>
          </cell>
          <cell r="G75" t="str">
            <v>TL3</v>
          </cell>
          <cell r="H75">
            <v>21.879924982306051</v>
          </cell>
          <cell r="I75">
            <v>24.849540790186069</v>
          </cell>
          <cell r="J75">
            <v>656.17895021935851</v>
          </cell>
          <cell r="K75">
            <v>3200</v>
          </cell>
          <cell r="L75">
            <v>679.34697256350012</v>
          </cell>
          <cell r="M75">
            <v>23.433838308502938</v>
          </cell>
          <cell r="N75">
            <v>26</v>
          </cell>
          <cell r="O75">
            <v>0.115</v>
          </cell>
          <cell r="P75">
            <v>7.0000000000000007E-2</v>
          </cell>
          <cell r="Q75" t="str">
            <v>SF</v>
          </cell>
          <cell r="S75">
            <v>65</v>
          </cell>
          <cell r="T75">
            <v>348</v>
          </cell>
          <cell r="U75">
            <v>11.603867955985329</v>
          </cell>
          <cell r="V75">
            <v>14</v>
          </cell>
          <cell r="W75">
            <v>7</v>
          </cell>
          <cell r="X75">
            <v>32.738079359786596</v>
          </cell>
          <cell r="Y75">
            <v>28.729216971369439</v>
          </cell>
          <cell r="Z75">
            <v>62.865837729558365</v>
          </cell>
          <cell r="AA75">
            <v>59.896221921678347</v>
          </cell>
          <cell r="AB75">
            <v>18</v>
          </cell>
          <cell r="AC75">
            <v>0</v>
          </cell>
          <cell r="AD75">
            <v>2999</v>
          </cell>
          <cell r="AE75">
            <v>32.203389830508478</v>
          </cell>
          <cell r="AF75">
            <v>19.5</v>
          </cell>
          <cell r="AG75">
            <v>21.239706240358927</v>
          </cell>
          <cell r="AH75">
            <v>-3.6098345498271414</v>
          </cell>
          <cell r="AI75">
            <v>42.441989371752008</v>
          </cell>
          <cell r="AJ75">
            <v>41</v>
          </cell>
          <cell r="AK75">
            <v>2633</v>
          </cell>
          <cell r="AL75" t="str">
            <v>PA</v>
          </cell>
          <cell r="AM75">
            <v>2593.3089165167503</v>
          </cell>
          <cell r="AN75">
            <v>-13.527545297874283</v>
          </cell>
          <cell r="AO75">
            <v>1</v>
          </cell>
        </row>
        <row r="76">
          <cell r="A76" t="str">
            <v>RH-OT</v>
          </cell>
          <cell r="B76">
            <v>1199</v>
          </cell>
          <cell r="C76" t="str">
            <v>Y</v>
          </cell>
          <cell r="D76">
            <v>799</v>
          </cell>
          <cell r="E76">
            <v>559</v>
          </cell>
          <cell r="F76">
            <v>489</v>
          </cell>
          <cell r="G76" t="str">
            <v>TL3</v>
          </cell>
          <cell r="H76">
            <v>35.243840727635835</v>
          </cell>
          <cell r="I76">
            <v>27.657751124911584</v>
          </cell>
          <cell r="J76">
            <v>197.0130696674843</v>
          </cell>
          <cell r="K76">
            <v>600</v>
          </cell>
          <cell r="L76">
            <v>101.5771047312</v>
          </cell>
          <cell r="M76">
            <v>20.772414055460121</v>
          </cell>
          <cell r="N76">
            <v>2</v>
          </cell>
          <cell r="O76">
            <v>0</v>
          </cell>
          <cell r="P76">
            <v>0</v>
          </cell>
          <cell r="Q76" t="str">
            <v>SF</v>
          </cell>
          <cell r="S76">
            <v>34</v>
          </cell>
          <cell r="T76">
            <v>88</v>
          </cell>
          <cell r="U76">
            <v>15.742397137745975</v>
          </cell>
          <cell r="V76">
            <v>14</v>
          </cell>
          <cell r="W76">
            <v>7</v>
          </cell>
          <cell r="X76">
            <v>31.329159212880143</v>
          </cell>
          <cell r="Y76">
            <v>34.811860940695297</v>
          </cell>
          <cell r="Z76">
            <v>59.994254510459392</v>
          </cell>
          <cell r="AA76">
            <v>67.580344113183642</v>
          </cell>
          <cell r="AB76">
            <v>5</v>
          </cell>
          <cell r="AC76">
            <v>0</v>
          </cell>
          <cell r="AD76">
            <v>559</v>
          </cell>
          <cell r="AE76">
            <v>32.203389830508478</v>
          </cell>
          <cell r="AF76">
            <v>1.5</v>
          </cell>
          <cell r="AG76">
            <v>36.595151788409645</v>
          </cell>
          <cell r="AH76">
            <v>8.9374006634980603</v>
          </cell>
          <cell r="AI76">
            <v>56.999503078288285</v>
          </cell>
          <cell r="AJ76">
            <v>52</v>
          </cell>
          <cell r="AK76">
            <v>278</v>
          </cell>
          <cell r="AL76" t="str">
            <v>PD</v>
          </cell>
          <cell r="AM76">
            <v>451.89409602793961</v>
          </cell>
          <cell r="AN76">
            <v>-19.160269046880213</v>
          </cell>
          <cell r="AO76">
            <v>5</v>
          </cell>
        </row>
        <row r="77">
          <cell r="A77" t="str">
            <v>RH-RL</v>
          </cell>
          <cell r="B77">
            <v>1199</v>
          </cell>
          <cell r="C77" t="str">
            <v>Y</v>
          </cell>
          <cell r="D77">
            <v>749</v>
          </cell>
          <cell r="E77">
            <v>509</v>
          </cell>
          <cell r="F77">
            <v>499</v>
          </cell>
          <cell r="G77" t="str">
            <v>TL3</v>
          </cell>
          <cell r="H77">
            <v>35.959102924965556</v>
          </cell>
          <cell r="I77">
            <v>34.911427728309647</v>
          </cell>
          <cell r="J77">
            <v>183.03183388807469</v>
          </cell>
          <cell r="K77">
            <v>550</v>
          </cell>
          <cell r="L77">
            <v>82.472311172000005</v>
          </cell>
          <cell r="M77">
            <v>16.527517268937878</v>
          </cell>
          <cell r="N77">
            <v>2</v>
          </cell>
          <cell r="O77">
            <v>0</v>
          </cell>
          <cell r="P77">
            <v>0</v>
          </cell>
          <cell r="Q77" t="str">
            <v>SF</v>
          </cell>
          <cell r="S77">
            <v>34</v>
          </cell>
          <cell r="T77">
            <v>88</v>
          </cell>
          <cell r="U77">
            <v>17.288801571709236</v>
          </cell>
          <cell r="V77">
            <v>14</v>
          </cell>
          <cell r="W77">
            <v>7</v>
          </cell>
          <cell r="X77">
            <v>33.719056974459725</v>
          </cell>
          <cell r="Y77">
            <v>34.254509018036075</v>
          </cell>
          <cell r="Z77">
            <v>59.27899231312967</v>
          </cell>
          <cell r="AA77">
            <v>60.32666750978558</v>
          </cell>
          <cell r="AB77">
            <v>5</v>
          </cell>
          <cell r="AC77">
            <v>0</v>
          </cell>
          <cell r="AD77">
            <v>509</v>
          </cell>
          <cell r="AE77">
            <v>32.203389830508478</v>
          </cell>
          <cell r="AF77">
            <v>1.5</v>
          </cell>
          <cell r="AG77">
            <v>38.537198301103452</v>
          </cell>
          <cell r="AH77">
            <v>3.6257705727938045</v>
          </cell>
          <cell r="AI77">
            <v>60.632488013345416</v>
          </cell>
          <cell r="AJ77">
            <v>55</v>
          </cell>
          <cell r="AK77">
            <v>227</v>
          </cell>
          <cell r="AL77" t="str">
            <v>PD</v>
          </cell>
          <cell r="AM77">
            <v>366.81750532125676</v>
          </cell>
          <cell r="AN77">
            <v>-27.933692471265864</v>
          </cell>
          <cell r="AO77">
            <v>5</v>
          </cell>
        </row>
        <row r="78">
          <cell r="A78" t="str">
            <v>RT-ALY</v>
          </cell>
          <cell r="B78">
            <v>9999</v>
          </cell>
          <cell r="C78" t="str">
            <v>Y</v>
          </cell>
          <cell r="D78">
            <v>6999</v>
          </cell>
          <cell r="E78">
            <v>6199</v>
          </cell>
          <cell r="F78">
            <v>5699</v>
          </cell>
          <cell r="G78" t="str">
            <v>TL3</v>
          </cell>
          <cell r="H78">
            <v>22.738208427692172</v>
          </cell>
          <cell r="I78">
            <v>23.421086627010268</v>
          </cell>
          <cell r="J78">
            <v>1409.5415404326377</v>
          </cell>
          <cell r="K78">
            <v>6600</v>
          </cell>
          <cell r="L78">
            <v>1646.265631635968</v>
          </cell>
          <cell r="M78">
            <v>28.886921067484963</v>
          </cell>
          <cell r="N78">
            <v>50</v>
          </cell>
          <cell r="O78">
            <v>0.115</v>
          </cell>
          <cell r="P78">
            <v>7.0000000000000007E-2</v>
          </cell>
          <cell r="Q78" t="str">
            <v>SS</v>
          </cell>
          <cell r="S78">
            <v>100</v>
          </cell>
          <cell r="T78">
            <v>407.5</v>
          </cell>
          <cell r="U78">
            <v>6.5736409098241646</v>
          </cell>
          <cell r="V78">
            <v>0</v>
          </cell>
          <cell r="W78">
            <v>7</v>
          </cell>
          <cell r="X78">
            <v>26.686804323277947</v>
          </cell>
          <cell r="Y78">
            <v>22.90507106509914</v>
          </cell>
          <cell r="Z78">
            <v>62.007554284172244</v>
          </cell>
          <cell r="AA78">
            <v>61.324676084854147</v>
          </cell>
          <cell r="AB78">
            <v>18</v>
          </cell>
          <cell r="AC78">
            <v>0</v>
          </cell>
          <cell r="AD78">
            <v>6199</v>
          </cell>
          <cell r="AE78">
            <v>32.203389830508478</v>
          </cell>
          <cell r="AF78">
            <v>37.5</v>
          </cell>
          <cell r="AG78">
            <v>17.380481743495508</v>
          </cell>
          <cell r="AH78">
            <v>-6.0406048835147601</v>
          </cell>
          <cell r="AI78">
            <v>36.367690235691441</v>
          </cell>
          <cell r="AJ78">
            <v>36</v>
          </cell>
          <cell r="AK78">
            <v>6344</v>
          </cell>
          <cell r="AL78" t="str">
            <v>PA</v>
          </cell>
          <cell r="AM78">
            <v>6246.7178280960843</v>
          </cell>
          <cell r="AN78">
            <v>0.76976654454080173</v>
          </cell>
          <cell r="AO78">
            <v>1</v>
          </cell>
        </row>
        <row r="79">
          <cell r="A79" t="str">
            <v>RT-AT</v>
          </cell>
          <cell r="B79">
            <v>7299</v>
          </cell>
          <cell r="C79" t="str">
            <v>Y</v>
          </cell>
          <cell r="D79">
            <v>4999</v>
          </cell>
          <cell r="E79">
            <v>4299</v>
          </cell>
          <cell r="F79">
            <v>4049</v>
          </cell>
          <cell r="G79" t="str">
            <v>TL3</v>
          </cell>
          <cell r="H79">
            <v>22.130018016718012</v>
          </cell>
          <cell r="I79">
            <v>23.906151340060418</v>
          </cell>
          <cell r="J79">
            <v>951.36947453870732</v>
          </cell>
          <cell r="K79">
            <v>4600</v>
          </cell>
          <cell r="L79">
            <v>1056.79388304086</v>
          </cell>
          <cell r="M79">
            <v>26.100120598687575</v>
          </cell>
          <cell r="N79">
            <v>34</v>
          </cell>
          <cell r="O79">
            <v>0.115</v>
          </cell>
          <cell r="P79">
            <v>7.0000000000000007E-2</v>
          </cell>
          <cell r="Q79" t="str">
            <v>SF</v>
          </cell>
          <cell r="S79">
            <v>65</v>
          </cell>
          <cell r="T79">
            <v>412</v>
          </cell>
          <cell r="U79">
            <v>9.5836240986275882</v>
          </cell>
          <cell r="V79">
            <v>14</v>
          </cell>
          <cell r="W79">
            <v>7</v>
          </cell>
          <cell r="X79">
            <v>29.921260758315888</v>
          </cell>
          <cell r="Y79">
            <v>26.12645097554952</v>
          </cell>
          <cell r="Z79">
            <v>62.615744695146404</v>
          </cell>
          <cell r="AA79">
            <v>60.839611371803997</v>
          </cell>
          <cell r="AB79">
            <v>18</v>
          </cell>
          <cell r="AC79">
            <v>0</v>
          </cell>
          <cell r="AD79">
            <v>4299</v>
          </cell>
          <cell r="AE79">
            <v>32.203389830508478</v>
          </cell>
          <cell r="AF79">
            <v>25.5</v>
          </cell>
          <cell r="AG79">
            <v>19.366892931580168</v>
          </cell>
          <cell r="AH79">
            <v>-4.5392584084802508</v>
          </cell>
          <cell r="AI79">
            <v>39.48057873821061</v>
          </cell>
          <cell r="AJ79">
            <v>39</v>
          </cell>
          <cell r="AK79">
            <v>4078</v>
          </cell>
          <cell r="AL79" t="str">
            <v>PA</v>
          </cell>
          <cell r="AM79">
            <v>4016.2057758544197</v>
          </cell>
          <cell r="AN79">
            <v>-6.5781396637725118</v>
          </cell>
          <cell r="AO79">
            <v>1</v>
          </cell>
        </row>
        <row r="80">
          <cell r="A80" t="str">
            <v>RT-DR</v>
          </cell>
          <cell r="B80">
            <v>17199</v>
          </cell>
          <cell r="C80" t="str">
            <v>Y</v>
          </cell>
          <cell r="D80">
            <v>11250</v>
          </cell>
          <cell r="E80">
            <v>8699</v>
          </cell>
          <cell r="F80">
            <v>7599</v>
          </cell>
          <cell r="G80" t="str">
            <v>TL2</v>
          </cell>
          <cell r="H80">
            <v>18.804401701139795</v>
          </cell>
          <cell r="I80">
            <v>16.436985315852638</v>
          </cell>
          <cell r="J80">
            <v>1635.7949039821508</v>
          </cell>
          <cell r="K80">
            <v>9250</v>
          </cell>
          <cell r="L80">
            <v>2587.6872137766427</v>
          </cell>
          <cell r="M80">
            <v>34.052996628196382</v>
          </cell>
          <cell r="N80">
            <v>78</v>
          </cell>
          <cell r="O80">
            <v>0.115</v>
          </cell>
          <cell r="P80">
            <v>7.0000000000000007E-2</v>
          </cell>
          <cell r="Q80" t="str">
            <v>SS</v>
          </cell>
          <cell r="S80">
            <v>100</v>
          </cell>
          <cell r="T80">
            <v>585.29999999999995</v>
          </cell>
          <cell r="U80">
            <v>6.728359581561099</v>
          </cell>
          <cell r="V80">
            <v>0</v>
          </cell>
          <cell r="W80">
            <v>7</v>
          </cell>
          <cell r="X80">
            <v>26.377917001954248</v>
          </cell>
          <cell r="Y80">
            <v>23.018291880510596</v>
          </cell>
          <cell r="Z80">
            <v>65.94136101072462</v>
          </cell>
          <cell r="AA80">
            <v>68.308777396011777</v>
          </cell>
          <cell r="AB80">
            <v>18</v>
          </cell>
          <cell r="AC80">
            <v>0</v>
          </cell>
          <cell r="AD80">
            <v>8699</v>
          </cell>
          <cell r="AE80">
            <v>32.203389830508478</v>
          </cell>
          <cell r="AF80">
            <v>58.5</v>
          </cell>
          <cell r="AG80">
            <v>14.122931407891819</v>
          </cell>
          <cell r="AH80">
            <v>-2.3140539079608189</v>
          </cell>
          <cell r="AI80">
            <v>31.281596582353572</v>
          </cell>
          <cell r="AJ80">
            <v>31</v>
          </cell>
          <cell r="AK80">
            <v>9970</v>
          </cell>
          <cell r="AL80" t="str">
            <v>PA</v>
          </cell>
          <cell r="AM80">
            <v>9818.9515226312596</v>
          </cell>
          <cell r="AN80">
            <v>12.874485833213699</v>
          </cell>
          <cell r="AO80">
            <v>1</v>
          </cell>
        </row>
        <row r="81">
          <cell r="A81" t="str">
            <v>RT-FR</v>
          </cell>
          <cell r="B81">
            <v>10999</v>
          </cell>
          <cell r="C81" t="str">
            <v>Y</v>
          </cell>
          <cell r="D81">
            <v>7699</v>
          </cell>
          <cell r="E81">
            <v>4999</v>
          </cell>
          <cell r="F81">
            <v>4399</v>
          </cell>
          <cell r="G81" t="str">
            <v>TL3</v>
          </cell>
          <cell r="H81">
            <v>23.903009843569535</v>
          </cell>
          <cell r="I81">
            <v>22.627685515091031</v>
          </cell>
          <cell r="J81">
            <v>1194.911462080041</v>
          </cell>
          <cell r="K81">
            <v>5300</v>
          </cell>
          <cell r="L81">
            <v>1295.8753502902714</v>
          </cell>
          <cell r="M81">
            <v>29.458407599233265</v>
          </cell>
          <cell r="N81">
            <v>32</v>
          </cell>
          <cell r="O81">
            <v>0.115</v>
          </cell>
          <cell r="P81">
            <v>7.0000000000000007E-2</v>
          </cell>
          <cell r="Q81" t="str">
            <v>SS</v>
          </cell>
          <cell r="S81">
            <v>100</v>
          </cell>
          <cell r="T81">
            <v>293.2</v>
          </cell>
          <cell r="U81">
            <v>5.8651730346069213</v>
          </cell>
          <cell r="V81">
            <v>0</v>
          </cell>
          <cell r="W81">
            <v>7</v>
          </cell>
          <cell r="X81">
            <v>26.365573114622926</v>
          </cell>
          <cell r="Y81">
            <v>22.938395089793136</v>
          </cell>
          <cell r="Z81">
            <v>60.84275286829488</v>
          </cell>
          <cell r="AA81">
            <v>62.118077196773385</v>
          </cell>
          <cell r="AB81">
            <v>18</v>
          </cell>
          <cell r="AC81">
            <v>0</v>
          </cell>
          <cell r="AD81">
            <v>4999</v>
          </cell>
          <cell r="AE81">
            <v>32.203389830508478</v>
          </cell>
          <cell r="AF81">
            <v>24</v>
          </cell>
          <cell r="AG81">
            <v>18.139585318037838</v>
          </cell>
          <cell r="AH81">
            <v>-4.4881001970531926</v>
          </cell>
          <cell r="AI81">
            <v>37.510414588006569</v>
          </cell>
          <cell r="AJ81">
            <v>37.5</v>
          </cell>
          <cell r="AK81">
            <v>4973</v>
          </cell>
          <cell r="AL81" t="str">
            <v>PA</v>
          </cell>
          <cell r="AM81">
            <v>4897.1069481438244</v>
          </cell>
          <cell r="AN81">
            <v>-2.0382686908616838</v>
          </cell>
          <cell r="AO81">
            <v>1</v>
          </cell>
        </row>
        <row r="82">
          <cell r="A82" t="str">
            <v>RT-RI</v>
          </cell>
          <cell r="B82">
            <v>5199</v>
          </cell>
          <cell r="C82" t="str">
            <v>Y</v>
          </cell>
          <cell r="D82">
            <v>3599</v>
          </cell>
          <cell r="E82">
            <v>2899</v>
          </cell>
          <cell r="F82">
            <v>2899</v>
          </cell>
          <cell r="G82" t="str">
            <v>TL2</v>
          </cell>
          <cell r="H82">
            <v>19.791975125605788</v>
          </cell>
          <cell r="I82">
            <v>24.291975125605788</v>
          </cell>
          <cell r="J82">
            <v>573.76935889131175</v>
          </cell>
          <cell r="K82">
            <v>3100</v>
          </cell>
          <cell r="L82">
            <v>727.59045272604328</v>
          </cell>
          <cell r="M82">
            <v>25.097980432081521</v>
          </cell>
          <cell r="N82">
            <v>20</v>
          </cell>
          <cell r="O82">
            <v>0.115</v>
          </cell>
          <cell r="P82">
            <v>7.0000000000000007E-2</v>
          </cell>
          <cell r="Q82" t="str">
            <v>SF</v>
          </cell>
          <cell r="S82">
            <v>65</v>
          </cell>
          <cell r="T82">
            <v>300</v>
          </cell>
          <cell r="U82">
            <v>10.348395998620214</v>
          </cell>
          <cell r="V82">
            <v>14</v>
          </cell>
          <cell r="W82">
            <v>7</v>
          </cell>
          <cell r="X82">
            <v>31.573473611590202</v>
          </cell>
          <cell r="Y82">
            <v>27.073473611590206</v>
          </cell>
          <cell r="Z82">
            <v>64.953787586258628</v>
          </cell>
          <cell r="AA82">
            <v>60.453787586258628</v>
          </cell>
          <cell r="AB82">
            <v>18</v>
          </cell>
          <cell r="AC82">
            <v>0</v>
          </cell>
          <cell r="AD82">
            <v>2899</v>
          </cell>
          <cell r="AE82">
            <v>32.203389830508478</v>
          </cell>
          <cell r="AF82">
            <v>15</v>
          </cell>
          <cell r="AG82">
            <v>18.926972649343405</v>
          </cell>
          <cell r="AH82">
            <v>-5.3650024762623829</v>
          </cell>
          <cell r="AI82">
            <v>38.760674145972679</v>
          </cell>
          <cell r="AJ82">
            <v>38.5</v>
          </cell>
          <cell r="AK82">
            <v>2798</v>
          </cell>
          <cell r="AL82" t="str">
            <v>PA</v>
          </cell>
          <cell r="AM82">
            <v>2754.9195924657201</v>
          </cell>
          <cell r="AN82">
            <v>-4.9700037093577052</v>
          </cell>
          <cell r="AO82">
            <v>1</v>
          </cell>
        </row>
        <row r="83">
          <cell r="A83" t="str">
            <v>RT-RI-M</v>
          </cell>
          <cell r="B83">
            <v>4299</v>
          </cell>
          <cell r="C83" t="str">
            <v>Y</v>
          </cell>
          <cell r="D83">
            <v>2949</v>
          </cell>
          <cell r="E83">
            <v>2299</v>
          </cell>
          <cell r="F83">
            <v>2099</v>
          </cell>
          <cell r="G83" t="str">
            <v>TL2</v>
          </cell>
          <cell r="H83">
            <v>20.584845071792046</v>
          </cell>
          <cell r="I83">
            <v>20.734114472452134</v>
          </cell>
          <cell r="J83">
            <v>473.24558820049913</v>
          </cell>
          <cell r="K83">
            <v>2450</v>
          </cell>
          <cell r="L83">
            <v>528.37932071072464</v>
          </cell>
          <cell r="M83">
            <v>25.172907132478546</v>
          </cell>
          <cell r="N83">
            <v>16</v>
          </cell>
          <cell r="O83">
            <v>0.115</v>
          </cell>
          <cell r="P83">
            <v>7.0000000000000007E-2</v>
          </cell>
          <cell r="Q83" t="str">
            <v>SF</v>
          </cell>
          <cell r="S83">
            <v>65</v>
          </cell>
          <cell r="T83">
            <v>268</v>
          </cell>
          <cell r="U83">
            <v>11.65724227925185</v>
          </cell>
          <cell r="V83">
            <v>14</v>
          </cell>
          <cell r="W83">
            <v>7</v>
          </cell>
          <cell r="X83">
            <v>33.593518921270118</v>
          </cell>
          <cell r="Y83">
            <v>30.531681753215818</v>
          </cell>
          <cell r="Z83">
            <v>64.16091764007237</v>
          </cell>
          <cell r="AA83">
            <v>64.011648239412281</v>
          </cell>
          <cell r="AB83">
            <v>18</v>
          </cell>
          <cell r="AC83">
            <v>0</v>
          </cell>
          <cell r="AD83">
            <v>2299</v>
          </cell>
          <cell r="AE83">
            <v>32.203389830508478</v>
          </cell>
          <cell r="AF83">
            <v>12</v>
          </cell>
          <cell r="AG83">
            <v>21.037400253660209</v>
          </cell>
          <cell r="AH83">
            <v>0.30328578120807492</v>
          </cell>
          <cell r="AI83">
            <v>42.074549546611095</v>
          </cell>
          <cell r="AJ83">
            <v>41</v>
          </cell>
          <cell r="AK83">
            <v>2036</v>
          </cell>
          <cell r="AL83" t="str">
            <v>PA</v>
          </cell>
          <cell r="AM83">
            <v>2004.8644615204471</v>
          </cell>
          <cell r="AN83">
            <v>-12.794064309680422</v>
          </cell>
          <cell r="AO83">
            <v>1</v>
          </cell>
        </row>
        <row r="84">
          <cell r="A84" t="str">
            <v>S-AB</v>
          </cell>
          <cell r="B84">
            <v>3299</v>
          </cell>
          <cell r="C84" t="str">
            <v>Y</v>
          </cell>
          <cell r="D84">
            <v>2249</v>
          </cell>
          <cell r="E84">
            <v>1799</v>
          </cell>
          <cell r="F84">
            <v>1538</v>
          </cell>
          <cell r="G84" t="str">
            <v>TL2</v>
          </cell>
          <cell r="H84">
            <v>19.797076664471419</v>
          </cell>
          <cell r="I84">
            <v>16.414692361240242</v>
          </cell>
          <cell r="J84">
            <v>356.14940919384082</v>
          </cell>
          <cell r="K84">
            <v>1950</v>
          </cell>
          <cell r="L84">
            <v>391.43749021999997</v>
          </cell>
          <cell r="M84">
            <v>25.451072185955784</v>
          </cell>
          <cell r="N84">
            <v>12</v>
          </cell>
          <cell r="O84">
            <v>0.115</v>
          </cell>
          <cell r="P84">
            <v>7.0000000000000007E-2</v>
          </cell>
          <cell r="Q84" t="str">
            <v>SF</v>
          </cell>
          <cell r="S84">
            <v>65</v>
          </cell>
          <cell r="T84">
            <v>236</v>
          </cell>
          <cell r="U84">
            <v>13.118399110617011</v>
          </cell>
          <cell r="V84">
            <v>14</v>
          </cell>
          <cell r="W84">
            <v>7</v>
          </cell>
          <cell r="X84">
            <v>36.009727626459146</v>
          </cell>
          <cell r="Y84">
            <v>34.481144343302986</v>
          </cell>
          <cell r="Z84">
            <v>64.948686047392997</v>
          </cell>
          <cell r="AA84">
            <v>68.331070350624174</v>
          </cell>
          <cell r="AB84">
            <v>18</v>
          </cell>
          <cell r="AC84">
            <v>0</v>
          </cell>
          <cell r="AD84">
            <v>1799</v>
          </cell>
          <cell r="AE84">
            <v>32.203389830508478</v>
          </cell>
          <cell r="AF84">
            <v>9</v>
          </cell>
          <cell r="AG84">
            <v>22.28347959508578</v>
          </cell>
          <cell r="AH84">
            <v>5.8687872338455378</v>
          </cell>
          <cell r="AI84">
            <v>44.021701103320289</v>
          </cell>
          <cell r="AJ84">
            <v>42.5</v>
          </cell>
          <cell r="AK84">
            <v>1509</v>
          </cell>
          <cell r="AL84" t="str">
            <v>PA</v>
          </cell>
          <cell r="AM84">
            <v>1485.1676920947498</v>
          </cell>
          <cell r="AN84">
            <v>-17.444819783504737</v>
          </cell>
          <cell r="AO84">
            <v>1</v>
          </cell>
        </row>
        <row r="85">
          <cell r="A85" t="str">
            <v>S-AE</v>
          </cell>
          <cell r="B85">
            <v>7999</v>
          </cell>
          <cell r="C85" t="str">
            <v>Y</v>
          </cell>
          <cell r="D85">
            <v>5599</v>
          </cell>
          <cell r="E85">
            <v>3299</v>
          </cell>
          <cell r="F85">
            <v>3299</v>
          </cell>
          <cell r="G85" t="str">
            <v>TL2</v>
          </cell>
          <cell r="H85">
            <v>19.983118829221127</v>
          </cell>
          <cell r="I85">
            <v>24.483118829221112</v>
          </cell>
          <cell r="J85">
            <v>659.24309017600501</v>
          </cell>
          <cell r="K85">
            <v>3500</v>
          </cell>
          <cell r="L85">
            <v>814.43956517924994</v>
          </cell>
          <cell r="M85">
            <v>24.687467874484689</v>
          </cell>
          <cell r="N85">
            <v>28</v>
          </cell>
          <cell r="O85">
            <v>0.115</v>
          </cell>
          <cell r="P85">
            <v>7.0000000000000007E-2</v>
          </cell>
          <cell r="Q85" t="str">
            <v>SF</v>
          </cell>
          <cell r="S85">
            <v>65</v>
          </cell>
          <cell r="T85">
            <v>364</v>
          </cell>
          <cell r="U85">
            <v>11.033646559563504</v>
          </cell>
          <cell r="V85">
            <v>14</v>
          </cell>
          <cell r="W85">
            <v>7</v>
          </cell>
          <cell r="X85">
            <v>31.928311609578657</v>
          </cell>
          <cell r="Y85">
            <v>27.42831160957866</v>
          </cell>
          <cell r="Z85">
            <v>64.762643882643289</v>
          </cell>
          <cell r="AA85">
            <v>60.262643882643303</v>
          </cell>
          <cell r="AB85">
            <v>18</v>
          </cell>
          <cell r="AC85">
            <v>0</v>
          </cell>
          <cell r="AD85">
            <v>3299</v>
          </cell>
          <cell r="AE85">
            <v>32.203389830508478</v>
          </cell>
          <cell r="AF85">
            <v>21</v>
          </cell>
          <cell r="AG85">
            <v>19.21834847458873</v>
          </cell>
          <cell r="AH85">
            <v>-5.2647703546323825</v>
          </cell>
          <cell r="AI85">
            <v>39.264351209690368</v>
          </cell>
          <cell r="AJ85">
            <v>38.5</v>
          </cell>
          <cell r="AK85">
            <v>3148</v>
          </cell>
          <cell r="AL85" t="str">
            <v>PA</v>
          </cell>
          <cell r="AM85">
            <v>3099.5128874003526</v>
          </cell>
          <cell r="AN85">
            <v>-6.0468964110229582</v>
          </cell>
          <cell r="AO85">
            <v>1</v>
          </cell>
        </row>
        <row r="86">
          <cell r="A86" t="str">
            <v>S-AI</v>
          </cell>
          <cell r="B86">
            <v>2099</v>
          </cell>
          <cell r="C86" t="str">
            <v>Y</v>
          </cell>
          <cell r="D86">
            <v>1449</v>
          </cell>
          <cell r="E86">
            <v>949</v>
          </cell>
          <cell r="F86">
            <v>899</v>
          </cell>
          <cell r="G86" t="str">
            <v>TL2</v>
          </cell>
          <cell r="H86">
            <v>20.861561722209359</v>
          </cell>
          <cell r="I86">
            <v>17.697813057601181</v>
          </cell>
          <cell r="J86">
            <v>197.97622074376682</v>
          </cell>
          <cell r="K86">
            <v>1050</v>
          </cell>
          <cell r="L86">
            <v>229.19629127204996</v>
          </cell>
          <cell r="M86">
            <v>25.494581899004444</v>
          </cell>
          <cell r="N86">
            <v>8</v>
          </cell>
          <cell r="O86">
            <v>0</v>
          </cell>
          <cell r="P86">
            <v>0</v>
          </cell>
          <cell r="Q86" t="str">
            <v>SF</v>
          </cell>
          <cell r="S86">
            <v>34</v>
          </cell>
          <cell r="T86">
            <v>187</v>
          </cell>
          <cell r="U86">
            <v>19.704952581664909</v>
          </cell>
          <cell r="V86">
            <v>14</v>
          </cell>
          <cell r="W86">
            <v>7</v>
          </cell>
          <cell r="X86">
            <v>31.762908324552161</v>
          </cell>
          <cell r="Y86">
            <v>33.140155728587317</v>
          </cell>
          <cell r="Z86">
            <v>63.884200989655056</v>
          </cell>
          <cell r="AA86">
            <v>67.047949654263235</v>
          </cell>
          <cell r="AB86">
            <v>18</v>
          </cell>
          <cell r="AC86">
            <v>0</v>
          </cell>
          <cell r="AD86">
            <v>949</v>
          </cell>
          <cell r="AE86">
            <v>32.203389830508478</v>
          </cell>
          <cell r="AF86">
            <v>6</v>
          </cell>
          <cell r="AG86">
            <v>19.758780544996611</v>
          </cell>
          <cell r="AH86">
            <v>2.0609674873954305</v>
          </cell>
          <cell r="AI86">
            <v>40.110826183102731</v>
          </cell>
          <cell r="AJ86">
            <v>39.5</v>
          </cell>
          <cell r="AK86">
            <v>886</v>
          </cell>
          <cell r="AL86" t="str">
            <v>PA</v>
          </cell>
          <cell r="AM86">
            <v>872.33663022720839</v>
          </cell>
          <cell r="AN86">
            <v>-8.0783319044037523</v>
          </cell>
          <cell r="AO86">
            <v>2</v>
          </cell>
        </row>
        <row r="87">
          <cell r="A87" t="str">
            <v>S-AO</v>
          </cell>
          <cell r="B87">
            <v>2799</v>
          </cell>
          <cell r="C87" t="str">
            <v>Y</v>
          </cell>
          <cell r="D87">
            <v>1949</v>
          </cell>
          <cell r="E87">
            <v>1599</v>
          </cell>
          <cell r="F87">
            <v>1399</v>
          </cell>
          <cell r="G87" t="str">
            <v>TL2</v>
          </cell>
          <cell r="H87">
            <v>20.439464125103555</v>
          </cell>
          <cell r="I87">
            <v>18.391029730999065</v>
          </cell>
          <cell r="J87">
            <v>326.82703136040584</v>
          </cell>
          <cell r="K87">
            <v>1700</v>
          </cell>
          <cell r="L87">
            <v>313.86670255812493</v>
          </cell>
          <cell r="M87">
            <v>22.43507523646354</v>
          </cell>
          <cell r="N87">
            <v>12</v>
          </cell>
          <cell r="O87">
            <v>0.115</v>
          </cell>
          <cell r="P87">
            <v>7.0000000000000007E-2</v>
          </cell>
          <cell r="Q87" t="str">
            <v>SF</v>
          </cell>
          <cell r="S87">
            <v>65</v>
          </cell>
          <cell r="T87">
            <v>236</v>
          </cell>
          <cell r="U87">
            <v>14.759224515322076</v>
          </cell>
          <cell r="V87">
            <v>14</v>
          </cell>
          <cell r="W87">
            <v>7</v>
          </cell>
          <cell r="X87">
            <v>38.199812382739211</v>
          </cell>
          <cell r="Y87">
            <v>36.516082916368831</v>
          </cell>
          <cell r="Z87">
            <v>64.30629858676086</v>
          </cell>
          <cell r="AA87">
            <v>66.35473298086535</v>
          </cell>
          <cell r="AB87">
            <v>18</v>
          </cell>
          <cell r="AC87">
            <v>0</v>
          </cell>
          <cell r="AD87">
            <v>1599</v>
          </cell>
          <cell r="AE87">
            <v>32.203389830508478</v>
          </cell>
          <cell r="AF87">
            <v>9</v>
          </cell>
          <cell r="AG87">
            <v>24.350584103486952</v>
          </cell>
          <cell r="AH87">
            <v>5.9595543724878866</v>
          </cell>
          <cell r="AI87">
            <v>47.290181176064969</v>
          </cell>
          <cell r="AJ87">
            <v>45</v>
          </cell>
          <cell r="AK87">
            <v>1216</v>
          </cell>
          <cell r="AL87" t="str">
            <v>PA</v>
          </cell>
          <cell r="AM87">
            <v>1198.061415160277</v>
          </cell>
          <cell r="AN87">
            <v>-25.074333010614325</v>
          </cell>
          <cell r="AO87">
            <v>1</v>
          </cell>
        </row>
        <row r="88">
          <cell r="A88" t="str">
            <v>S-ATL</v>
          </cell>
          <cell r="B88">
            <v>2299</v>
          </cell>
          <cell r="C88" t="str">
            <v>Y</v>
          </cell>
          <cell r="D88">
            <v>1549</v>
          </cell>
          <cell r="E88">
            <v>999</v>
          </cell>
          <cell r="F88">
            <v>899</v>
          </cell>
          <cell r="G88" t="str">
            <v>TL2</v>
          </cell>
          <cell r="H88">
            <v>20.398931014229277</v>
          </cell>
          <cell r="I88">
            <v>14.019973094581331</v>
          </cell>
          <cell r="J88">
            <v>203.78532083215046</v>
          </cell>
          <cell r="K88">
            <v>1100</v>
          </cell>
          <cell r="L88">
            <v>254.05627718750003</v>
          </cell>
          <cell r="M88">
            <v>28.259875104282539</v>
          </cell>
          <cell r="N88">
            <v>8</v>
          </cell>
          <cell r="O88">
            <v>0</v>
          </cell>
          <cell r="P88">
            <v>0</v>
          </cell>
          <cell r="Q88" t="str">
            <v>SF</v>
          </cell>
          <cell r="S88">
            <v>34</v>
          </cell>
          <cell r="T88">
            <v>187</v>
          </cell>
          <cell r="U88">
            <v>18.718718718718719</v>
          </cell>
          <cell r="V88">
            <v>14</v>
          </cell>
          <cell r="W88">
            <v>7</v>
          </cell>
          <cell r="X88">
            <v>30.523523523523522</v>
          </cell>
          <cell r="Y88">
            <v>33.140155728587317</v>
          </cell>
          <cell r="Z88">
            <v>64.346831697635139</v>
          </cell>
          <cell r="AA88">
            <v>70.725789617283084</v>
          </cell>
          <cell r="AB88">
            <v>18</v>
          </cell>
          <cell r="AC88">
            <v>0</v>
          </cell>
          <cell r="AD88">
            <v>999</v>
          </cell>
          <cell r="AE88">
            <v>32.203389830508478</v>
          </cell>
          <cell r="AF88">
            <v>6</v>
          </cell>
          <cell r="AG88">
            <v>18.510713503227805</v>
          </cell>
          <cell r="AH88">
            <v>4.4907404086464737</v>
          </cell>
          <cell r="AI88">
            <v>38.13978764583959</v>
          </cell>
          <cell r="AJ88">
            <v>38</v>
          </cell>
          <cell r="AK88">
            <v>980</v>
          </cell>
          <cell r="AL88" t="str">
            <v>PA</v>
          </cell>
          <cell r="AM88">
            <v>964.12986645402646</v>
          </cell>
          <cell r="AN88">
            <v>-3.4905038584558103</v>
          </cell>
          <cell r="AO88">
            <v>2</v>
          </cell>
        </row>
        <row r="89">
          <cell r="A89" t="str">
            <v>SB-AA</v>
          </cell>
          <cell r="B89">
            <v>1199</v>
          </cell>
          <cell r="C89" t="str">
            <v>Y</v>
          </cell>
          <cell r="D89">
            <v>799</v>
          </cell>
          <cell r="E89">
            <v>527</v>
          </cell>
          <cell r="F89">
            <v>519</v>
          </cell>
          <cell r="G89" t="str">
            <v>TL1</v>
          </cell>
          <cell r="H89">
            <v>20.496954175156034</v>
          </cell>
          <cell r="I89">
            <v>19.614506259368625</v>
          </cell>
          <cell r="J89">
            <v>108.01894850307231</v>
          </cell>
          <cell r="K89">
            <v>600</v>
          </cell>
          <cell r="L89">
            <v>97.359663234375006</v>
          </cell>
          <cell r="M89">
            <v>18.759087328395953</v>
          </cell>
          <cell r="N89">
            <v>4</v>
          </cell>
          <cell r="O89">
            <v>0</v>
          </cell>
          <cell r="P89">
            <v>0</v>
          </cell>
          <cell r="Q89" t="str">
            <v>SF</v>
          </cell>
          <cell r="S89">
            <v>34</v>
          </cell>
          <cell r="T89">
            <v>121</v>
          </cell>
          <cell r="U89">
            <v>22.960151802656547</v>
          </cell>
          <cell r="V89">
            <v>14</v>
          </cell>
          <cell r="W89">
            <v>7</v>
          </cell>
          <cell r="X89">
            <v>39.068311195445922</v>
          </cell>
          <cell r="Y89">
            <v>39.562620423892099</v>
          </cell>
          <cell r="Z89">
            <v>64.248808536708381</v>
          </cell>
          <cell r="AA89">
            <v>65.131256452495791</v>
          </cell>
          <cell r="AB89">
            <v>18</v>
          </cell>
          <cell r="AC89">
            <v>0</v>
          </cell>
          <cell r="AD89">
            <v>527</v>
          </cell>
          <cell r="AE89">
            <v>32.203389830508478</v>
          </cell>
          <cell r="AF89">
            <v>3</v>
          </cell>
          <cell r="AG89">
            <v>25.49879351999445</v>
          </cell>
          <cell r="AH89">
            <v>5.8842872606258254</v>
          </cell>
          <cell r="AI89">
            <v>48.375286382092099</v>
          </cell>
          <cell r="AJ89">
            <v>45.5</v>
          </cell>
          <cell r="AK89">
            <v>378</v>
          </cell>
          <cell r="AL89" t="str">
            <v>PB</v>
          </cell>
          <cell r="AM89">
            <v>379.78225083318659</v>
          </cell>
          <cell r="AN89">
            <v>-27.935056767896285</v>
          </cell>
          <cell r="AO89">
            <v>4</v>
          </cell>
        </row>
        <row r="90">
          <cell r="A90" t="str">
            <v>SB-ASG</v>
          </cell>
          <cell r="B90">
            <v>4799</v>
          </cell>
          <cell r="C90" t="str">
            <v>Y</v>
          </cell>
          <cell r="D90">
            <v>3299</v>
          </cell>
          <cell r="E90">
            <v>2999</v>
          </cell>
          <cell r="F90">
            <v>2749</v>
          </cell>
          <cell r="G90" t="str">
            <v>TL1</v>
          </cell>
          <cell r="H90">
            <v>14.834840735000185</v>
          </cell>
          <cell r="I90">
            <v>14.65942040243705</v>
          </cell>
          <cell r="J90">
            <v>444.89687364265552</v>
          </cell>
          <cell r="K90">
            <v>3200</v>
          </cell>
          <cell r="L90">
            <v>802.11545119260006</v>
          </cell>
          <cell r="M90">
            <v>29.178444932433617</v>
          </cell>
          <cell r="N90">
            <v>32</v>
          </cell>
          <cell r="O90">
            <v>0.115</v>
          </cell>
          <cell r="P90">
            <v>7.0000000000000007E-2</v>
          </cell>
          <cell r="Q90" t="str">
            <v>SF</v>
          </cell>
          <cell r="S90">
            <v>65</v>
          </cell>
          <cell r="T90">
            <v>396</v>
          </cell>
          <cell r="U90">
            <v>13.204401467155719</v>
          </cell>
          <cell r="V90">
            <v>14</v>
          </cell>
          <cell r="W90">
            <v>7</v>
          </cell>
          <cell r="X90">
            <v>34.338612870956986</v>
          </cell>
          <cell r="Y90">
            <v>31.279010549290653</v>
          </cell>
          <cell r="Z90">
            <v>69.91092197686423</v>
          </cell>
          <cell r="AA90">
            <v>70.086342309427366</v>
          </cell>
          <cell r="AB90">
            <v>18</v>
          </cell>
          <cell r="AC90">
            <v>0</v>
          </cell>
          <cell r="AD90">
            <v>2999</v>
          </cell>
          <cell r="AE90">
            <v>32.203389830508478</v>
          </cell>
          <cell r="AF90">
            <v>24</v>
          </cell>
          <cell r="AG90">
            <v>16.996009053660025</v>
          </cell>
          <cell r="AH90">
            <v>2.336588651222975</v>
          </cell>
          <cell r="AI90">
            <v>35.840360483438928</v>
          </cell>
          <cell r="AJ90">
            <v>35.5</v>
          </cell>
          <cell r="AK90">
            <v>3112</v>
          </cell>
          <cell r="AL90" t="str">
            <v>PA</v>
          </cell>
          <cell r="AM90">
            <v>3065.9223992787101</v>
          </cell>
          <cell r="AN90">
            <v>2.2314904727812652</v>
          </cell>
          <cell r="AO90">
            <v>1</v>
          </cell>
        </row>
        <row r="91">
          <cell r="A91" t="str">
            <v>SB-AXA-4</v>
          </cell>
          <cell r="B91">
            <v>9299</v>
          </cell>
          <cell r="C91" t="str">
            <v>Y</v>
          </cell>
          <cell r="D91">
            <v>6499</v>
          </cell>
          <cell r="E91">
            <v>5199</v>
          </cell>
          <cell r="F91">
            <v>4699</v>
          </cell>
          <cell r="G91" t="str">
            <v>TL3</v>
          </cell>
          <cell r="H91">
            <v>23.101852879971418</v>
          </cell>
          <cell r="I91">
            <v>23.011098482025794</v>
          </cell>
          <cell r="J91">
            <v>1201.065331229714</v>
          </cell>
          <cell r="K91">
            <v>5550</v>
          </cell>
          <cell r="L91">
            <v>1239.1367459850501</v>
          </cell>
          <cell r="M91">
            <v>26.370222302299425</v>
          </cell>
          <cell r="N91">
            <v>50</v>
          </cell>
          <cell r="O91">
            <v>0.115</v>
          </cell>
          <cell r="P91">
            <v>7.0000000000000007E-2</v>
          </cell>
          <cell r="Q91" t="str">
            <v>sf</v>
          </cell>
          <cell r="S91">
            <v>65</v>
          </cell>
          <cell r="T91">
            <v>516</v>
          </cell>
          <cell r="U91">
            <v>9.9249855741488737</v>
          </cell>
          <cell r="V91">
            <v>14</v>
          </cell>
          <cell r="W91">
            <v>7</v>
          </cell>
          <cell r="X91">
            <v>29.944508559338335</v>
          </cell>
          <cell r="Y91">
            <v>26.66226856778038</v>
          </cell>
          <cell r="Z91">
            <v>61.643909831892998</v>
          </cell>
          <cell r="AA91">
            <v>61.734664229838621</v>
          </cell>
          <cell r="AB91">
            <v>18</v>
          </cell>
          <cell r="AC91">
            <v>0</v>
          </cell>
          <cell r="AD91">
            <v>5199</v>
          </cell>
          <cell r="AE91">
            <v>32.203389830508478</v>
          </cell>
          <cell r="AF91">
            <v>37.5</v>
          </cell>
          <cell r="AG91">
            <v>19.986944029941235</v>
          </cell>
          <cell r="AH91">
            <v>-3.0241544520845594</v>
          </cell>
          <cell r="AI91">
            <v>40.503581281997739</v>
          </cell>
          <cell r="AJ91">
            <v>39.5</v>
          </cell>
          <cell r="AK91">
            <v>4810</v>
          </cell>
          <cell r="AL91" t="str">
            <v>PA</v>
          </cell>
          <cell r="AM91">
            <v>4736.8754127541715</v>
          </cell>
          <cell r="AN91">
            <v>-8.8887206625471915</v>
          </cell>
          <cell r="AO91">
            <v>1</v>
          </cell>
        </row>
        <row r="92">
          <cell r="A92" t="str">
            <v>SB-AXA-51</v>
          </cell>
          <cell r="B92">
            <v>7299</v>
          </cell>
          <cell r="C92" t="str">
            <v>Y</v>
          </cell>
          <cell r="D92">
            <v>4999</v>
          </cell>
          <cell r="E92">
            <v>4199</v>
          </cell>
          <cell r="F92">
            <v>3799</v>
          </cell>
          <cell r="G92" t="str">
            <v>TL2</v>
          </cell>
          <cell r="H92">
            <v>20.634045050443831</v>
          </cell>
          <cell r="I92">
            <v>20.331547797332959</v>
          </cell>
          <cell r="J92">
            <v>866.4235516681365</v>
          </cell>
          <cell r="K92">
            <v>4500</v>
          </cell>
          <cell r="L92">
            <v>1022.733853085</v>
          </cell>
          <cell r="M92">
            <v>26.921133274151089</v>
          </cell>
          <cell r="N92">
            <v>42</v>
          </cell>
          <cell r="O92">
            <v>0.115</v>
          </cell>
          <cell r="P92">
            <v>7.0000000000000007E-2</v>
          </cell>
          <cell r="Q92" t="str">
            <v>SF</v>
          </cell>
          <cell r="S92">
            <v>65</v>
          </cell>
          <cell r="T92">
            <v>476</v>
          </cell>
          <cell r="U92">
            <v>11.336032388663966</v>
          </cell>
          <cell r="V92">
            <v>14</v>
          </cell>
          <cell r="W92">
            <v>7</v>
          </cell>
          <cell r="X92">
            <v>31.717432722076687</v>
          </cell>
          <cell r="Y92">
            <v>28.609107659910503</v>
          </cell>
          <cell r="Z92">
            <v>64.111717661420585</v>
          </cell>
          <cell r="AA92">
            <v>64.414214914531456</v>
          </cell>
          <cell r="AB92">
            <v>18</v>
          </cell>
          <cell r="AC92">
            <v>0</v>
          </cell>
          <cell r="AD92">
            <v>4199</v>
          </cell>
          <cell r="AE92">
            <v>32.203389830508478</v>
          </cell>
          <cell r="AF92">
            <v>31.5</v>
          </cell>
          <cell r="AG92">
            <v>19.435589049848438</v>
          </cell>
          <cell r="AH92">
            <v>-0.89595874748452076</v>
          </cell>
          <cell r="AI92">
            <v>39.649533007106498</v>
          </cell>
          <cell r="AJ92">
            <v>39</v>
          </cell>
          <cell r="AK92">
            <v>3972</v>
          </cell>
          <cell r="AL92" t="str">
            <v>PA</v>
          </cell>
          <cell r="AM92">
            <v>3911.2350686046589</v>
          </cell>
          <cell r="AN92">
            <v>-6.8531776945782594</v>
          </cell>
          <cell r="AO92">
            <v>1</v>
          </cell>
        </row>
        <row r="93">
          <cell r="A93" t="str">
            <v>SB-AXA-52</v>
          </cell>
          <cell r="B93">
            <v>10499</v>
          </cell>
          <cell r="C93" t="str">
            <v>Y</v>
          </cell>
          <cell r="D93">
            <v>7299</v>
          </cell>
          <cell r="E93">
            <v>5649</v>
          </cell>
          <cell r="F93">
            <v>5099</v>
          </cell>
          <cell r="G93" t="str">
            <v>TL2</v>
          </cell>
          <cell r="H93">
            <v>19.59706164670277</v>
          </cell>
          <cell r="I93">
            <v>19.065332761462741</v>
          </cell>
          <cell r="J93">
            <v>1107.0380124222395</v>
          </cell>
          <cell r="K93">
            <v>6000</v>
          </cell>
          <cell r="L93">
            <v>1488.8609948653996</v>
          </cell>
          <cell r="M93">
            <v>29.199078149939194</v>
          </cell>
          <cell r="N93">
            <v>60</v>
          </cell>
          <cell r="O93">
            <v>0.115</v>
          </cell>
          <cell r="P93">
            <v>7.0000000000000007E-2</v>
          </cell>
          <cell r="Q93" t="str">
            <v>sf</v>
          </cell>
          <cell r="S93">
            <v>65</v>
          </cell>
          <cell r="T93">
            <v>576</v>
          </cell>
          <cell r="U93">
            <v>10.196494954859267</v>
          </cell>
          <cell r="V93">
            <v>14</v>
          </cell>
          <cell r="W93">
            <v>7</v>
          </cell>
          <cell r="X93">
            <v>30.094972561515313</v>
          </cell>
          <cell r="Y93">
            <v>26.845656010982545</v>
          </cell>
          <cell r="Z93">
            <v>65.148701065161646</v>
          </cell>
          <cell r="AA93">
            <v>65.680429950401674</v>
          </cell>
          <cell r="AB93">
            <v>18</v>
          </cell>
          <cell r="AC93">
            <v>0</v>
          </cell>
          <cell r="AD93">
            <v>5649</v>
          </cell>
          <cell r="AE93">
            <v>32.203389830508478</v>
          </cell>
          <cell r="AF93">
            <v>45</v>
          </cell>
          <cell r="AG93">
            <v>17.389584868160689</v>
          </cell>
          <cell r="AH93">
            <v>-1.6757478933020522</v>
          </cell>
          <cell r="AI93">
            <v>36.456610987046254</v>
          </cell>
          <cell r="AJ93">
            <v>36</v>
          </cell>
          <cell r="AK93">
            <v>5779</v>
          </cell>
          <cell r="AL93" t="str">
            <v>PA</v>
          </cell>
          <cell r="AM93">
            <v>5691.8623626883145</v>
          </cell>
          <cell r="AN93">
            <v>0.75876018212629726</v>
          </cell>
          <cell r="AO93">
            <v>1</v>
          </cell>
        </row>
        <row r="94">
          <cell r="A94" t="str">
            <v>SB-BNA</v>
          </cell>
          <cell r="B94">
            <v>6199</v>
          </cell>
          <cell r="C94" t="str">
            <v>Y</v>
          </cell>
          <cell r="D94">
            <v>4299</v>
          </cell>
          <cell r="E94">
            <v>3899</v>
          </cell>
          <cell r="F94">
            <v>3099</v>
          </cell>
          <cell r="G94" t="str">
            <v>TL3</v>
          </cell>
          <cell r="H94">
            <v>21.945710486845272</v>
          </cell>
          <cell r="I94">
            <v>15.00974992536888</v>
          </cell>
          <cell r="J94">
            <v>855.66325188209714</v>
          </cell>
          <cell r="K94">
            <v>4150</v>
          </cell>
          <cell r="L94">
            <v>929.51807237104993</v>
          </cell>
          <cell r="M94">
            <v>29.994129473089707</v>
          </cell>
          <cell r="N94">
            <v>34</v>
          </cell>
          <cell r="O94">
            <v>0.115</v>
          </cell>
          <cell r="P94">
            <v>7.0000000000000007E-2</v>
          </cell>
          <cell r="Q94" t="str">
            <v>SF</v>
          </cell>
          <cell r="S94">
            <v>65</v>
          </cell>
          <cell r="T94">
            <v>412</v>
          </cell>
          <cell r="U94">
            <v>10.566812003077711</v>
          </cell>
          <cell r="V94">
            <v>14</v>
          </cell>
          <cell r="W94">
            <v>7</v>
          </cell>
          <cell r="X94">
            <v>31.092972557065913</v>
          </cell>
          <cell r="Y94">
            <v>29.843820587286224</v>
          </cell>
          <cell r="Z94">
            <v>62.800052225019144</v>
          </cell>
          <cell r="AA94">
            <v>69.736012786495536</v>
          </cell>
          <cell r="AB94">
            <v>18</v>
          </cell>
          <cell r="AC94">
            <v>0</v>
          </cell>
          <cell r="AD94">
            <v>3899</v>
          </cell>
          <cell r="AE94">
            <v>32.203389830508478</v>
          </cell>
          <cell r="AF94">
            <v>25.5</v>
          </cell>
          <cell r="AG94">
            <v>20.048449506874015</v>
          </cell>
          <cell r="AH94">
            <v>5.038699581505135</v>
          </cell>
          <cell r="AI94">
            <v>40.573909649163234</v>
          </cell>
          <cell r="AJ94">
            <v>39.5</v>
          </cell>
          <cell r="AK94">
            <v>3598</v>
          </cell>
          <cell r="AL94" t="str">
            <v>PA</v>
          </cell>
          <cell r="AM94">
            <v>3544.5876972453257</v>
          </cell>
          <cell r="AN94">
            <v>-9.0898256669575357</v>
          </cell>
          <cell r="AO94">
            <v>1</v>
          </cell>
        </row>
        <row r="95">
          <cell r="A95" t="str">
            <v>SB-CA</v>
          </cell>
          <cell r="B95">
            <v>1899</v>
          </cell>
          <cell r="C95" t="str">
            <v>Y</v>
          </cell>
          <cell r="D95">
            <v>1299</v>
          </cell>
          <cell r="E95">
            <v>849</v>
          </cell>
          <cell r="F95">
            <v>749</v>
          </cell>
          <cell r="G95" t="str">
            <v>TL2</v>
          </cell>
          <cell r="H95">
            <v>27.903638282498981</v>
          </cell>
          <cell r="I95">
            <v>21.24914903959305</v>
          </cell>
          <cell r="J95">
            <v>236.90188901841637</v>
          </cell>
          <cell r="K95">
            <v>900</v>
          </cell>
          <cell r="L95">
            <v>166.28544090625002</v>
          </cell>
          <cell r="M95">
            <v>22.200993445427237</v>
          </cell>
          <cell r="N95">
            <v>6</v>
          </cell>
          <cell r="O95">
            <v>0</v>
          </cell>
          <cell r="P95">
            <v>0</v>
          </cell>
          <cell r="Q95" t="str">
            <v>SF</v>
          </cell>
          <cell r="S95">
            <v>34</v>
          </cell>
          <cell r="T95">
            <v>154</v>
          </cell>
          <cell r="U95">
            <v>18.138987043580684</v>
          </cell>
          <cell r="V95">
            <v>14</v>
          </cell>
          <cell r="W95">
            <v>7</v>
          </cell>
          <cell r="X95">
            <v>30.792697290930505</v>
          </cell>
          <cell r="Y95">
            <v>33.969292389853138</v>
          </cell>
          <cell r="Z95">
            <v>56.842124429365434</v>
          </cell>
          <cell r="AA95">
            <v>63.496613672271366</v>
          </cell>
          <cell r="AB95">
            <v>18</v>
          </cell>
          <cell r="AC95">
            <v>0</v>
          </cell>
          <cell r="AD95">
            <v>849</v>
          </cell>
          <cell r="AE95">
            <v>32.203389830508478</v>
          </cell>
          <cell r="AF95">
            <v>4.5</v>
          </cell>
          <cell r="AG95">
            <v>24.426302103234605</v>
          </cell>
          <cell r="AH95">
            <v>3.1771530636415548</v>
          </cell>
          <cell r="AI95">
            <v>47.396234280533712</v>
          </cell>
          <cell r="AJ95">
            <v>45</v>
          </cell>
          <cell r="AK95">
            <v>643</v>
          </cell>
          <cell r="AL95" t="str">
            <v>PA</v>
          </cell>
          <cell r="AM95">
            <v>633.13744766866</v>
          </cell>
          <cell r="AN95">
            <v>-25.425506752808008</v>
          </cell>
          <cell r="AO95">
            <v>3</v>
          </cell>
        </row>
        <row r="96">
          <cell r="A96" t="str">
            <v>SB-CB</v>
          </cell>
          <cell r="B96">
            <v>7799</v>
          </cell>
          <cell r="C96" t="str">
            <v>Y</v>
          </cell>
          <cell r="D96">
            <v>5399</v>
          </cell>
          <cell r="E96">
            <v>4399</v>
          </cell>
          <cell r="F96">
            <v>4049</v>
          </cell>
          <cell r="G96" t="str">
            <v>TL2</v>
          </cell>
          <cell r="H96">
            <v>21.35333145521291</v>
          </cell>
          <cell r="I96">
            <v>21.972780469826873</v>
          </cell>
          <cell r="J96">
            <v>939.33305071481584</v>
          </cell>
          <cell r="K96">
            <v>4700</v>
          </cell>
          <cell r="L96">
            <v>1055.50229397</v>
          </cell>
          <cell r="M96">
            <v>26.068221634230671</v>
          </cell>
          <cell r="N96">
            <v>44</v>
          </cell>
          <cell r="O96">
            <v>0.115</v>
          </cell>
          <cell r="P96">
            <v>7.0000000000000007E-2</v>
          </cell>
          <cell r="Q96" t="str">
            <v>SF</v>
          </cell>
          <cell r="S96">
            <v>65</v>
          </cell>
          <cell r="T96">
            <v>492</v>
          </cell>
          <cell r="U96">
            <v>11.184360081836781</v>
          </cell>
          <cell r="V96">
            <v>14</v>
          </cell>
          <cell r="W96">
            <v>7</v>
          </cell>
          <cell r="X96">
            <v>31.480222777904068</v>
          </cell>
          <cell r="Y96">
            <v>28.102247468510743</v>
          </cell>
          <cell r="Z96">
            <v>63.392431256651506</v>
          </cell>
          <cell r="AA96">
            <v>62.772982242037543</v>
          </cell>
          <cell r="AB96">
            <v>18</v>
          </cell>
          <cell r="AC96">
            <v>0</v>
          </cell>
          <cell r="AD96">
            <v>4399</v>
          </cell>
          <cell r="AE96">
            <v>32.203389830508478</v>
          </cell>
          <cell r="AF96">
            <v>33</v>
          </cell>
          <cell r="AG96">
            <v>19.798060674718059</v>
          </cell>
          <cell r="AH96">
            <v>-2.174719795108814</v>
          </cell>
          <cell r="AI96">
            <v>40.218392812991176</v>
          </cell>
          <cell r="AJ96">
            <v>39.5</v>
          </cell>
          <cell r="AK96">
            <v>4101</v>
          </cell>
          <cell r="AL96" t="str">
            <v>PA</v>
          </cell>
          <cell r="AM96">
            <v>4038.5311036945091</v>
          </cell>
          <cell r="AN96">
            <v>-8.194337265412388</v>
          </cell>
          <cell r="AO96">
            <v>1</v>
          </cell>
        </row>
        <row r="97">
          <cell r="A97" t="str">
            <v>SB-CS-LA</v>
          </cell>
          <cell r="B97">
            <v>3399</v>
          </cell>
          <cell r="C97" t="str">
            <v>Y</v>
          </cell>
          <cell r="D97">
            <v>2349</v>
          </cell>
          <cell r="E97">
            <v>1949</v>
          </cell>
          <cell r="F97">
            <v>1749</v>
          </cell>
          <cell r="G97" t="str">
            <v>TL2</v>
          </cell>
          <cell r="H97">
            <v>20.222630251820789</v>
          </cell>
          <cell r="I97">
            <v>19.459836374171431</v>
          </cell>
          <cell r="J97">
            <v>394.13906360798717</v>
          </cell>
          <cell r="K97">
            <v>2100</v>
          </cell>
          <cell r="L97">
            <v>413.52695612500003</v>
          </cell>
          <cell r="M97">
            <v>23.643622419954262</v>
          </cell>
          <cell r="N97">
            <v>16</v>
          </cell>
          <cell r="O97">
            <v>0.115</v>
          </cell>
          <cell r="P97">
            <v>7.0000000000000007E-2</v>
          </cell>
          <cell r="Q97" t="str">
            <v>SF</v>
          </cell>
          <cell r="S97">
            <v>65</v>
          </cell>
          <cell r="T97">
            <v>268</v>
          </cell>
          <cell r="U97">
            <v>13.750641354540791</v>
          </cell>
          <cell r="V97">
            <v>14</v>
          </cell>
          <cell r="W97">
            <v>7</v>
          </cell>
          <cell r="X97">
            <v>36.304002052334532</v>
          </cell>
          <cell r="Y97">
            <v>33.839908519153809</v>
          </cell>
          <cell r="Z97">
            <v>64.523132460043627</v>
          </cell>
          <cell r="AA97">
            <v>65.285926337692985</v>
          </cell>
          <cell r="AB97">
            <v>18</v>
          </cell>
          <cell r="AC97">
            <v>0</v>
          </cell>
          <cell r="AD97">
            <v>1949</v>
          </cell>
          <cell r="AE97">
            <v>32.203389830508478</v>
          </cell>
          <cell r="AF97">
            <v>12</v>
          </cell>
          <cell r="AG97">
            <v>22.709281238205598</v>
          </cell>
          <cell r="AH97">
            <v>3.2494448640341673</v>
          </cell>
          <cell r="AI97">
            <v>44.73489969509621</v>
          </cell>
          <cell r="AJ97">
            <v>43</v>
          </cell>
          <cell r="AK97">
            <v>1603</v>
          </cell>
          <cell r="AL97" t="str">
            <v>PA</v>
          </cell>
          <cell r="AM97">
            <v>1578.628336321274</v>
          </cell>
          <cell r="AN97">
            <v>-19.00316386242822</v>
          </cell>
          <cell r="AO97">
            <v>1</v>
          </cell>
        </row>
        <row r="98">
          <cell r="A98" t="str">
            <v>SB-JMY</v>
          </cell>
          <cell r="B98">
            <v>6449</v>
          </cell>
          <cell r="C98" t="str">
            <v>Y</v>
          </cell>
          <cell r="D98">
            <v>5499</v>
          </cell>
          <cell r="E98">
            <v>4499</v>
          </cell>
          <cell r="F98">
            <v>3799</v>
          </cell>
          <cell r="G98" t="str">
            <v>TL2</v>
          </cell>
          <cell r="H98">
            <v>21.242209422413779</v>
          </cell>
          <cell r="I98">
            <v>17.44989899792958</v>
          </cell>
          <cell r="J98">
            <v>955.68700191439598</v>
          </cell>
          <cell r="K98">
            <v>4800</v>
          </cell>
          <cell r="L98">
            <v>1093.0149342048001</v>
          </cell>
          <cell r="M98">
            <v>28.771122248086339</v>
          </cell>
          <cell r="N98">
            <v>44</v>
          </cell>
          <cell r="O98">
            <v>0.115</v>
          </cell>
          <cell r="P98">
            <v>7.0000000000000007E-2</v>
          </cell>
          <cell r="Q98" t="str">
            <v>sf</v>
          </cell>
          <cell r="S98">
            <v>65</v>
          </cell>
          <cell r="T98">
            <v>492</v>
          </cell>
          <cell r="U98">
            <v>10.935763503000667</v>
          </cell>
          <cell r="V98">
            <v>14</v>
          </cell>
          <cell r="W98">
            <v>7</v>
          </cell>
          <cell r="X98">
            <v>31.191709268726385</v>
          </cell>
          <cell r="Y98">
            <v>29.030271123979993</v>
          </cell>
          <cell r="Z98">
            <v>63.503553289450636</v>
          </cell>
          <cell r="AA98">
            <v>67.295863713934835</v>
          </cell>
          <cell r="AB98">
            <v>18</v>
          </cell>
          <cell r="AC98">
            <v>0</v>
          </cell>
          <cell r="AD98">
            <v>4499</v>
          </cell>
          <cell r="AE98">
            <v>32.203389830508478</v>
          </cell>
          <cell r="AF98">
            <v>33</v>
          </cell>
          <cell r="AG98">
            <v>19.514256984383266</v>
          </cell>
          <cell r="AH98">
            <v>2.0643579864536861</v>
          </cell>
          <cell r="AI98">
            <v>39.766498383173747</v>
          </cell>
          <cell r="AJ98">
            <v>39</v>
          </cell>
          <cell r="AK98">
            <v>4242</v>
          </cell>
          <cell r="AL98" t="str">
            <v>PA</v>
          </cell>
          <cell r="AM98">
            <v>4177.6525011806871</v>
          </cell>
          <cell r="AN98">
            <v>-7.1426427832699027</v>
          </cell>
          <cell r="AO98">
            <v>1</v>
          </cell>
        </row>
        <row r="99">
          <cell r="A99" t="str">
            <v>SB-LGN</v>
          </cell>
          <cell r="B99">
            <v>4299</v>
          </cell>
          <cell r="C99" t="str">
            <v>Y</v>
          </cell>
          <cell r="D99">
            <v>2999</v>
          </cell>
          <cell r="E99">
            <v>2649</v>
          </cell>
          <cell r="F99">
            <v>2279</v>
          </cell>
          <cell r="G99" t="str">
            <v>TL2</v>
          </cell>
          <cell r="H99">
            <v>19.421972373230957</v>
          </cell>
          <cell r="I99">
            <v>16.320040637691534</v>
          </cell>
          <cell r="J99">
            <v>514.48804816688812</v>
          </cell>
          <cell r="K99">
            <v>2850</v>
          </cell>
          <cell r="L99">
            <v>611.55053088</v>
          </cell>
          <cell r="M99">
            <v>26.834161074155332</v>
          </cell>
          <cell r="N99">
            <v>26</v>
          </cell>
          <cell r="O99">
            <v>0.115</v>
          </cell>
          <cell r="P99">
            <v>7.0000000000000007E-2</v>
          </cell>
          <cell r="Q99" t="str">
            <v>SF</v>
          </cell>
          <cell r="S99">
            <v>65</v>
          </cell>
          <cell r="T99">
            <v>348</v>
          </cell>
          <cell r="U99">
            <v>13.137032842582107</v>
          </cell>
          <cell r="V99">
            <v>14</v>
          </cell>
          <cell r="W99">
            <v>7</v>
          </cell>
          <cell r="X99">
            <v>34.619290298225749</v>
          </cell>
          <cell r="Y99">
            <v>32.736287845546293</v>
          </cell>
          <cell r="Z99">
            <v>65.323790338633458</v>
          </cell>
          <cell r="AA99">
            <v>68.425722074172882</v>
          </cell>
          <cell r="AB99">
            <v>18</v>
          </cell>
          <cell r="AC99">
            <v>0</v>
          </cell>
          <cell r="AD99">
            <v>2649</v>
          </cell>
          <cell r="AE99">
            <v>32.203389830508478</v>
          </cell>
          <cell r="AF99">
            <v>19.5</v>
          </cell>
          <cell r="AG99">
            <v>20.720155785093191</v>
          </cell>
          <cell r="AH99">
            <v>4.4001151474016567</v>
          </cell>
          <cell r="AI99">
            <v>41.660060280744737</v>
          </cell>
          <cell r="AJ99">
            <v>40.5</v>
          </cell>
          <cell r="AK99">
            <v>2378</v>
          </cell>
          <cell r="AL99" t="str">
            <v>PA</v>
          </cell>
          <cell r="AM99">
            <v>2341.2984592347689</v>
          </cell>
          <cell r="AN99">
            <v>-11.615762203292984</v>
          </cell>
          <cell r="AO99">
            <v>1</v>
          </cell>
        </row>
        <row r="100">
          <cell r="A100" t="str">
            <v>SB-MOL</v>
          </cell>
          <cell r="B100">
            <v>7599</v>
          </cell>
          <cell r="C100" t="str">
            <v>Y</v>
          </cell>
          <cell r="D100">
            <v>5299</v>
          </cell>
          <cell r="E100">
            <v>4499</v>
          </cell>
          <cell r="F100">
            <v>3899</v>
          </cell>
          <cell r="G100" t="str">
            <v>TL3</v>
          </cell>
          <cell r="H100">
            <v>22.009356014184391</v>
          </cell>
          <cell r="I100">
            <v>19.702009510309551</v>
          </cell>
          <cell r="J100">
            <v>990.20092707815581</v>
          </cell>
          <cell r="K100">
            <v>4800</v>
          </cell>
          <cell r="L100">
            <v>1067.0646145328001</v>
          </cell>
          <cell r="M100">
            <v>27.367648487632728</v>
          </cell>
          <cell r="N100">
            <v>44</v>
          </cell>
          <cell r="O100">
            <v>0.115</v>
          </cell>
          <cell r="P100">
            <v>7.0000000000000007E-2</v>
          </cell>
          <cell r="Q100" t="str">
            <v>SF</v>
          </cell>
          <cell r="S100">
            <v>65</v>
          </cell>
          <cell r="T100">
            <v>492</v>
          </cell>
          <cell r="U100">
            <v>10.935763503000667</v>
          </cell>
          <cell r="V100">
            <v>14</v>
          </cell>
          <cell r="W100">
            <v>7</v>
          </cell>
          <cell r="X100">
            <v>31.191709268726385</v>
          </cell>
          <cell r="Y100">
            <v>28.644780713003335</v>
          </cell>
          <cell r="Z100">
            <v>62.736406697680025</v>
          </cell>
          <cell r="AA100">
            <v>65.043753201554864</v>
          </cell>
          <cell r="AB100">
            <v>18</v>
          </cell>
          <cell r="AC100">
            <v>0</v>
          </cell>
          <cell r="AD100">
            <v>4499</v>
          </cell>
          <cell r="AE100">
            <v>32.203389830508478</v>
          </cell>
          <cell r="AF100">
            <v>33</v>
          </cell>
          <cell r="AG100">
            <v>20.091058933082977</v>
          </cell>
          <cell r="AH100">
            <v>0.38904942277342514</v>
          </cell>
          <cell r="AI100">
            <v>40.671731361463067</v>
          </cell>
          <cell r="AJ100">
            <v>40</v>
          </cell>
          <cell r="AK100">
            <v>4145</v>
          </cell>
          <cell r="AL100" t="str">
            <v>PA</v>
          </cell>
          <cell r="AM100">
            <v>4081.1232867817403</v>
          </cell>
          <cell r="AN100">
            <v>-9.2882132300124418</v>
          </cell>
          <cell r="AO100">
            <v>1</v>
          </cell>
        </row>
        <row r="101">
          <cell r="A101" t="str">
            <v>SB-MPL</v>
          </cell>
          <cell r="B101">
            <v>3099</v>
          </cell>
          <cell r="C101" t="str">
            <v>Y</v>
          </cell>
          <cell r="D101">
            <v>2149</v>
          </cell>
          <cell r="E101">
            <v>1649</v>
          </cell>
          <cell r="F101">
            <v>1499</v>
          </cell>
          <cell r="G101" t="str">
            <v>TL2</v>
          </cell>
          <cell r="H101">
            <v>20.266280493785274</v>
          </cell>
          <cell r="I101">
            <v>20.165264928267021</v>
          </cell>
          <cell r="J101">
            <v>334.19096534251918</v>
          </cell>
          <cell r="K101">
            <v>1750</v>
          </cell>
          <cell r="L101">
            <v>333.23433216249998</v>
          </cell>
          <cell r="M101">
            <v>22.230442439126083</v>
          </cell>
          <cell r="N101">
            <v>12</v>
          </cell>
          <cell r="O101">
            <v>0.115</v>
          </cell>
          <cell r="P101">
            <v>7.0000000000000007E-2</v>
          </cell>
          <cell r="Q101" t="str">
            <v>SF</v>
          </cell>
          <cell r="S101">
            <v>65</v>
          </cell>
          <cell r="T101">
            <v>236</v>
          </cell>
          <cell r="U101">
            <v>14.311704063068527</v>
          </cell>
          <cell r="V101">
            <v>14</v>
          </cell>
          <cell r="W101">
            <v>7</v>
          </cell>
          <cell r="X101">
            <v>37.602486355366892</v>
          </cell>
          <cell r="Y101">
            <v>35.014009339559706</v>
          </cell>
          <cell r="Z101">
            <v>64.479482218079141</v>
          </cell>
          <cell r="AA101">
            <v>64.580497783597394</v>
          </cell>
          <cell r="AB101">
            <v>18</v>
          </cell>
          <cell r="AC101">
            <v>0</v>
          </cell>
          <cell r="AD101">
            <v>1649</v>
          </cell>
          <cell r="AE101">
            <v>32.203389830508478</v>
          </cell>
          <cell r="AF101">
            <v>9</v>
          </cell>
          <cell r="AG101">
            <v>23.788319990967821</v>
          </cell>
          <cell r="AH101">
            <v>3.6230550627008</v>
          </cell>
          <cell r="AI101">
            <v>46.401118199161473</v>
          </cell>
          <cell r="AJ101">
            <v>44</v>
          </cell>
          <cell r="AK101">
            <v>1289</v>
          </cell>
          <cell r="AL101" t="str">
            <v>PA</v>
          </cell>
          <cell r="AM101">
            <v>1269.8892491834256</v>
          </cell>
          <cell r="AN101">
            <v>-22.990342681417491</v>
          </cell>
          <cell r="AO101">
            <v>1</v>
          </cell>
        </row>
        <row r="102">
          <cell r="A102" t="str">
            <v>SB-MXL-LA</v>
          </cell>
          <cell r="B102">
            <v>7599</v>
          </cell>
          <cell r="C102" t="str">
            <v>Y</v>
          </cell>
          <cell r="D102">
            <v>5299</v>
          </cell>
          <cell r="E102">
            <v>4299</v>
          </cell>
          <cell r="F102">
            <v>3899</v>
          </cell>
          <cell r="G102" t="str">
            <v>TL1</v>
          </cell>
          <cell r="H102">
            <v>17.406952229449416</v>
          </cell>
          <cell r="I102">
            <v>16.896558745744358</v>
          </cell>
          <cell r="J102">
            <v>748.32487634403037</v>
          </cell>
          <cell r="K102">
            <v>4600</v>
          </cell>
          <cell r="L102">
            <v>1131.2635057436248</v>
          </cell>
          <cell r="M102">
            <v>29.014196094989092</v>
          </cell>
          <cell r="N102">
            <v>50</v>
          </cell>
          <cell r="O102">
            <v>0.115</v>
          </cell>
          <cell r="P102">
            <v>7.0000000000000007E-2</v>
          </cell>
          <cell r="Q102" t="str">
            <v>sf</v>
          </cell>
          <cell r="S102">
            <v>65</v>
          </cell>
          <cell r="T102">
            <v>516</v>
          </cell>
          <cell r="U102">
            <v>12.002791346824843</v>
          </cell>
          <cell r="V102">
            <v>14</v>
          </cell>
          <cell r="W102">
            <v>7</v>
          </cell>
          <cell r="X102">
            <v>32.340428006513143</v>
          </cell>
          <cell r="Y102">
            <v>29.260323159784559</v>
          </cell>
          <cell r="Z102">
            <v>67.338810482414999</v>
          </cell>
          <cell r="AA102">
            <v>67.849203966120058</v>
          </cell>
          <cell r="AB102">
            <v>18</v>
          </cell>
          <cell r="AC102">
            <v>0</v>
          </cell>
          <cell r="AD102">
            <v>4299</v>
          </cell>
          <cell r="AE102">
            <v>32.203389830508478</v>
          </cell>
          <cell r="AF102">
            <v>37.5</v>
          </cell>
          <cell r="AG102">
            <v>17.355503708440722</v>
          </cell>
          <cell r="AH102">
            <v>0.4589449626963642</v>
          </cell>
          <cell r="AI102">
            <v>36.432599536774951</v>
          </cell>
          <cell r="AJ102">
            <v>36</v>
          </cell>
          <cell r="AK102">
            <v>4403</v>
          </cell>
          <cell r="AL102" t="str">
            <v>PA</v>
          </cell>
          <cell r="AM102">
            <v>4336.52244389727</v>
          </cell>
          <cell r="AN102">
            <v>0.8728179552749481</v>
          </cell>
          <cell r="AO102">
            <v>1</v>
          </cell>
        </row>
        <row r="103">
          <cell r="A103" t="str">
            <v>SB-MXL-ST</v>
          </cell>
          <cell r="B103">
            <v>4599</v>
          </cell>
          <cell r="C103" t="str">
            <v>Y</v>
          </cell>
          <cell r="D103">
            <v>3149</v>
          </cell>
          <cell r="E103">
            <v>2499</v>
          </cell>
          <cell r="F103">
            <v>2349</v>
          </cell>
          <cell r="G103" t="str">
            <v>TL2</v>
          </cell>
          <cell r="H103">
            <v>19.64111356559826</v>
          </cell>
          <cell r="I103">
            <v>21.165082330204513</v>
          </cell>
          <cell r="J103">
            <v>490.83142800430056</v>
          </cell>
          <cell r="K103">
            <v>2650</v>
          </cell>
          <cell r="L103">
            <v>578.68434749262485</v>
          </cell>
          <cell r="M103">
            <v>24.635348977974665</v>
          </cell>
          <cell r="N103">
            <v>22</v>
          </cell>
          <cell r="O103">
            <v>0.115</v>
          </cell>
          <cell r="P103">
            <v>7.0000000000000007E-2</v>
          </cell>
          <cell r="Q103" t="str">
            <v>SF</v>
          </cell>
          <cell r="S103">
            <v>65</v>
          </cell>
          <cell r="T103">
            <v>316</v>
          </cell>
          <cell r="U103">
            <v>12.645058023209284</v>
          </cell>
          <cell r="V103">
            <v>14</v>
          </cell>
          <cell r="W103">
            <v>7</v>
          </cell>
          <cell r="X103">
            <v>34.306322529011609</v>
          </cell>
          <cell r="Y103">
            <v>30.815666240953597</v>
          </cell>
          <cell r="Z103">
            <v>65.104649146266155</v>
          </cell>
          <cell r="AA103">
            <v>63.580680381659903</v>
          </cell>
          <cell r="AB103">
            <v>18</v>
          </cell>
          <cell r="AC103">
            <v>0</v>
          </cell>
          <cell r="AD103">
            <v>2499</v>
          </cell>
          <cell r="AE103">
            <v>32.203389830508478</v>
          </cell>
          <cell r="AF103">
            <v>16.5</v>
          </cell>
          <cell r="AG103">
            <v>20.725472221386951</v>
          </cell>
          <cell r="AH103">
            <v>-0.43961010881756124</v>
          </cell>
          <cell r="AI103">
            <v>41.638862946981781</v>
          </cell>
          <cell r="AJ103">
            <v>40.5</v>
          </cell>
          <cell r="AK103">
            <v>2242</v>
          </cell>
          <cell r="AL103" t="str">
            <v>PA</v>
          </cell>
          <cell r="AM103">
            <v>2208.7360848837056</v>
          </cell>
          <cell r="AN103">
            <v>-11.615202685726066</v>
          </cell>
          <cell r="AO103">
            <v>1</v>
          </cell>
        </row>
        <row r="104">
          <cell r="A104" t="str">
            <v>SB-NBK</v>
          </cell>
          <cell r="B104">
            <v>7799</v>
          </cell>
          <cell r="C104" t="str">
            <v>Y</v>
          </cell>
          <cell r="D104">
            <v>5399</v>
          </cell>
          <cell r="E104">
            <v>3799</v>
          </cell>
          <cell r="F104">
            <v>3499</v>
          </cell>
          <cell r="G104" t="str">
            <v>TL2</v>
          </cell>
          <cell r="H104">
            <v>20.56451752159434</v>
          </cell>
          <cell r="I104">
            <v>21.147863175472303</v>
          </cell>
          <cell r="J104">
            <v>781.24602064536896</v>
          </cell>
          <cell r="K104">
            <v>4050</v>
          </cell>
          <cell r="L104">
            <v>911.60188329200002</v>
          </cell>
          <cell r="M104">
            <v>26.053211868876822</v>
          </cell>
          <cell r="N104">
            <v>38</v>
          </cell>
          <cell r="O104">
            <v>0.115</v>
          </cell>
          <cell r="P104">
            <v>7.0000000000000007E-2</v>
          </cell>
          <cell r="Q104" t="str">
            <v>sf</v>
          </cell>
          <cell r="S104">
            <v>65</v>
          </cell>
          <cell r="T104">
            <v>444</v>
          </cell>
          <cell r="U104">
            <v>11.687286127928402</v>
          </cell>
          <cell r="V104">
            <v>14</v>
          </cell>
          <cell r="W104">
            <v>7</v>
          </cell>
          <cell r="X104">
            <v>32.266780731771519</v>
          </cell>
          <cell r="Y104">
            <v>28.947127750785938</v>
          </cell>
          <cell r="Z104">
            <v>64.181245190270076</v>
          </cell>
          <cell r="AA104">
            <v>63.597899536392113</v>
          </cell>
          <cell r="AB104">
            <v>18</v>
          </cell>
          <cell r="AC104">
            <v>0</v>
          </cell>
          <cell r="AD104">
            <v>3799</v>
          </cell>
          <cell r="AE104">
            <v>32.203389830508478</v>
          </cell>
          <cell r="AF104">
            <v>28.5</v>
          </cell>
          <cell r="AG104">
            <v>19.796337522261439</v>
          </cell>
          <cell r="AH104">
            <v>-1.3515256532108637</v>
          </cell>
          <cell r="AI104">
            <v>40.215698982930647</v>
          </cell>
          <cell r="AJ104">
            <v>39.5</v>
          </cell>
          <cell r="AK104">
            <v>3542</v>
          </cell>
          <cell r="AL104" t="str">
            <v>PA</v>
          </cell>
          <cell r="AM104">
            <v>3489.2773690935041</v>
          </cell>
          <cell r="AN104">
            <v>-8.1527410083310308</v>
          </cell>
          <cell r="AO104">
            <v>1</v>
          </cell>
        </row>
        <row r="105">
          <cell r="A105" t="str">
            <v>SB-OVO</v>
          </cell>
          <cell r="B105">
            <v>14599</v>
          </cell>
          <cell r="C105" t="str">
            <v>Y</v>
          </cell>
          <cell r="D105">
            <v>7999</v>
          </cell>
          <cell r="E105">
            <v>6799</v>
          </cell>
          <cell r="F105">
            <v>5999</v>
          </cell>
          <cell r="G105" t="str">
            <v>TL3</v>
          </cell>
          <cell r="H105">
            <v>21.188716612196608</v>
          </cell>
          <cell r="I105">
            <v>19.680109030977377</v>
          </cell>
          <cell r="J105">
            <v>1440.6208424632473</v>
          </cell>
          <cell r="K105">
            <v>7250</v>
          </cell>
          <cell r="L105">
            <v>1758.2014411712501</v>
          </cell>
          <cell r="M105">
            <v>29.308242059864146</v>
          </cell>
          <cell r="N105">
            <v>62</v>
          </cell>
          <cell r="O105">
            <v>0.115</v>
          </cell>
          <cell r="P105">
            <v>7.0000000000000007E-2</v>
          </cell>
          <cell r="Q105" t="str">
            <v>SF</v>
          </cell>
          <cell r="S105">
            <v>65</v>
          </cell>
          <cell r="T105">
            <v>588</v>
          </cell>
          <cell r="U105">
            <v>8.648330636858363</v>
          </cell>
          <cell r="V105">
            <v>14</v>
          </cell>
          <cell r="W105">
            <v>7</v>
          </cell>
          <cell r="X105">
            <v>28.310266215619947</v>
          </cell>
          <cell r="Y105">
            <v>25.118519753292215</v>
          </cell>
          <cell r="Z105">
            <v>63.557046099667808</v>
          </cell>
          <cell r="AA105">
            <v>65.065653680887038</v>
          </cell>
          <cell r="AB105">
            <v>18</v>
          </cell>
          <cell r="AC105">
            <v>0</v>
          </cell>
          <cell r="AD105">
            <v>6799</v>
          </cell>
          <cell r="AE105">
            <v>32.203389830508478</v>
          </cell>
          <cell r="AF105">
            <v>46.5</v>
          </cell>
          <cell r="AG105">
            <v>17.998742330227088</v>
          </cell>
          <cell r="AH105">
            <v>-1.6813667007502886</v>
          </cell>
          <cell r="AI105">
            <v>36.361769291169765</v>
          </cell>
          <cell r="AJ105">
            <v>36</v>
          </cell>
          <cell r="AK105">
            <v>6799</v>
          </cell>
          <cell r="AL105" t="str">
            <v>PB</v>
          </cell>
          <cell r="AM105">
            <v>6858.310419728462</v>
          </cell>
          <cell r="AN105">
            <v>0.87234034017446638</v>
          </cell>
          <cell r="AO105">
            <v>4</v>
          </cell>
        </row>
        <row r="106">
          <cell r="A106" t="str">
            <v>SB-PH</v>
          </cell>
          <cell r="B106">
            <v>1749</v>
          </cell>
          <cell r="C106" t="str">
            <v>Y</v>
          </cell>
          <cell r="D106">
            <v>959</v>
          </cell>
          <cell r="E106">
            <v>599</v>
          </cell>
          <cell r="F106">
            <v>669</v>
          </cell>
          <cell r="G106" t="str">
            <v>TL1</v>
          </cell>
          <cell r="H106">
            <v>21.249086696375059</v>
          </cell>
          <cell r="I106">
            <v>27.160547564961391</v>
          </cell>
          <cell r="J106">
            <v>127.28202931128659</v>
          </cell>
          <cell r="K106">
            <v>650</v>
          </cell>
          <cell r="L106">
            <v>127.379766415625</v>
          </cell>
          <cell r="M106">
            <v>19.040323828942451</v>
          </cell>
          <cell r="N106">
            <v>4</v>
          </cell>
          <cell r="O106">
            <v>0</v>
          </cell>
          <cell r="P106">
            <v>0</v>
          </cell>
          <cell r="Q106" t="str">
            <v>SF</v>
          </cell>
          <cell r="S106">
            <v>34</v>
          </cell>
          <cell r="T106">
            <v>121</v>
          </cell>
          <cell r="U106">
            <v>20.20033388981636</v>
          </cell>
          <cell r="V106">
            <v>14</v>
          </cell>
          <cell r="W106">
            <v>7</v>
          </cell>
          <cell r="X106">
            <v>35.213689482470784</v>
          </cell>
          <cell r="Y106">
            <v>32.261584454409565</v>
          </cell>
          <cell r="Z106">
            <v>63.496676015489356</v>
          </cell>
          <cell r="AA106">
            <v>57.585215146903025</v>
          </cell>
          <cell r="AB106">
            <v>18</v>
          </cell>
          <cell r="AC106">
            <v>0</v>
          </cell>
          <cell r="AD106">
            <v>599</v>
          </cell>
          <cell r="AE106">
            <v>32.203389830508478</v>
          </cell>
          <cell r="AF106">
            <v>3</v>
          </cell>
          <cell r="AG106">
            <v>22.776134748530382</v>
          </cell>
          <cell r="AH106">
            <v>-4.3844128164310092</v>
          </cell>
          <cell r="AI106">
            <v>44.795090916079822</v>
          </cell>
          <cell r="AJ106">
            <v>43</v>
          </cell>
          <cell r="AK106">
            <v>491</v>
          </cell>
          <cell r="AL106" t="str">
            <v>PA</v>
          </cell>
          <cell r="AM106">
            <v>483.3689991010246</v>
          </cell>
          <cell r="AN106">
            <v>-19.304006827875693</v>
          </cell>
          <cell r="AO106">
            <v>4</v>
          </cell>
        </row>
        <row r="107">
          <cell r="A107" t="str">
            <v>S-BR-4</v>
          </cell>
          <cell r="B107">
            <v>2099</v>
          </cell>
          <cell r="C107" t="str">
            <v>Y</v>
          </cell>
          <cell r="D107">
            <v>1449</v>
          </cell>
          <cell r="E107">
            <v>919</v>
          </cell>
          <cell r="F107">
            <v>879</v>
          </cell>
          <cell r="G107" t="str">
            <v>TL2</v>
          </cell>
          <cell r="H107">
            <v>22.094442325689492</v>
          </cell>
          <cell r="I107">
            <v>19.561959031665594</v>
          </cell>
          <cell r="J107">
            <v>203.04792497308642</v>
          </cell>
          <cell r="K107">
            <v>1000</v>
          </cell>
          <cell r="L107">
            <v>207.84634161575002</v>
          </cell>
          <cell r="M107">
            <v>23.645772652531289</v>
          </cell>
          <cell r="N107">
            <v>8</v>
          </cell>
          <cell r="O107">
            <v>0</v>
          </cell>
          <cell r="P107">
            <v>0</v>
          </cell>
          <cell r="Q107" t="str">
            <v>SF</v>
          </cell>
          <cell r="S107">
            <v>34</v>
          </cell>
          <cell r="T107">
            <v>187</v>
          </cell>
          <cell r="U107">
            <v>20.348204570184986</v>
          </cell>
          <cell r="V107">
            <v>14</v>
          </cell>
          <cell r="W107">
            <v>7</v>
          </cell>
          <cell r="X107">
            <v>32.571273122959738</v>
          </cell>
          <cell r="Y107">
            <v>33.734926052332199</v>
          </cell>
          <cell r="Z107">
            <v>62.651320386174923</v>
          </cell>
          <cell r="AA107">
            <v>65.183803680198821</v>
          </cell>
          <cell r="AB107">
            <v>18</v>
          </cell>
          <cell r="AC107">
            <v>0</v>
          </cell>
          <cell r="AD107">
            <v>919</v>
          </cell>
          <cell r="AE107">
            <v>32.203389830508478</v>
          </cell>
          <cell r="AF107">
            <v>6</v>
          </cell>
          <cell r="AG107">
            <v>21.272912422623605</v>
          </cell>
          <cell r="AH107">
            <v>1.7109533909580108</v>
          </cell>
          <cell r="AI107">
            <v>42.495141617871816</v>
          </cell>
          <cell r="AJ107">
            <v>41</v>
          </cell>
          <cell r="AK107">
            <v>806</v>
          </cell>
          <cell r="AL107" t="str">
            <v>PA</v>
          </cell>
          <cell r="AM107">
            <v>792.32051885764224</v>
          </cell>
          <cell r="AN107">
            <v>-13.784491963259821</v>
          </cell>
          <cell r="AO107">
            <v>2</v>
          </cell>
        </row>
        <row r="108">
          <cell r="A108" t="str">
            <v>S-BR-6</v>
          </cell>
          <cell r="B108">
            <v>2699</v>
          </cell>
          <cell r="C108" t="str">
            <v>Y</v>
          </cell>
          <cell r="D108">
            <v>1849</v>
          </cell>
          <cell r="E108">
            <v>1499</v>
          </cell>
          <cell r="F108">
            <v>1299</v>
          </cell>
          <cell r="G108" t="str">
            <v>TL2</v>
          </cell>
          <cell r="H108">
            <v>20.042475549340224</v>
          </cell>
          <cell r="I108">
            <v>17.428805470429666</v>
          </cell>
          <cell r="J108">
            <v>300.43670848460999</v>
          </cell>
          <cell r="K108">
            <v>1600</v>
          </cell>
          <cell r="L108">
            <v>295.93028162874998</v>
          </cell>
          <cell r="M108">
            <v>22.781391965261736</v>
          </cell>
          <cell r="N108">
            <v>10</v>
          </cell>
          <cell r="O108">
            <v>0.115</v>
          </cell>
          <cell r="P108">
            <v>7.0000000000000007E-2</v>
          </cell>
          <cell r="Q108" t="str">
            <v>SF</v>
          </cell>
          <cell r="S108">
            <v>65</v>
          </cell>
          <cell r="T108">
            <v>220</v>
          </cell>
          <cell r="U108">
            <v>14.67645096731154</v>
          </cell>
          <cell r="V108">
            <v>14</v>
          </cell>
          <cell r="W108">
            <v>7</v>
          </cell>
          <cell r="X108">
            <v>38.446631087391594</v>
          </cell>
          <cell r="Y108">
            <v>37.017705927636641</v>
          </cell>
          <cell r="Z108">
            <v>64.703287162524191</v>
          </cell>
          <cell r="AA108">
            <v>67.31695724143475</v>
          </cell>
          <cell r="AB108">
            <v>18</v>
          </cell>
          <cell r="AC108">
            <v>0</v>
          </cell>
          <cell r="AD108">
            <v>1499</v>
          </cell>
          <cell r="AE108">
            <v>32.203389830508478</v>
          </cell>
          <cell r="AF108">
            <v>7.5</v>
          </cell>
          <cell r="AG108">
            <v>24.300192652620112</v>
          </cell>
          <cell r="AH108">
            <v>6.8713871821904462</v>
          </cell>
          <cell r="AI108">
            <v>47.186752235613064</v>
          </cell>
          <cell r="AJ108">
            <v>44.5</v>
          </cell>
          <cell r="AK108">
            <v>1143</v>
          </cell>
          <cell r="AL108" t="str">
            <v>PA</v>
          </cell>
          <cell r="AM108">
            <v>1125.7722079250852</v>
          </cell>
          <cell r="AN108">
            <v>-24.898451772842879</v>
          </cell>
          <cell r="AO108">
            <v>1</v>
          </cell>
        </row>
        <row r="109">
          <cell r="A109" t="str">
            <v>S-BR-F6</v>
          </cell>
          <cell r="B109">
            <v>3199</v>
          </cell>
          <cell r="C109" t="str">
            <v>Y</v>
          </cell>
          <cell r="D109">
            <v>2199</v>
          </cell>
          <cell r="E109">
            <v>1749</v>
          </cell>
          <cell r="F109">
            <v>1619</v>
          </cell>
          <cell r="G109" t="str">
            <v>TL2</v>
          </cell>
          <cell r="H109">
            <v>19.635533822838681</v>
          </cell>
          <cell r="I109">
            <v>20.392896543299869</v>
          </cell>
          <cell r="J109">
            <v>343.42548656144851</v>
          </cell>
          <cell r="K109">
            <v>1900</v>
          </cell>
          <cell r="L109">
            <v>364.06985208200001</v>
          </cell>
          <cell r="M109">
            <v>22.487328726497836</v>
          </cell>
          <cell r="N109">
            <v>14</v>
          </cell>
          <cell r="O109">
            <v>0.115</v>
          </cell>
          <cell r="P109">
            <v>7.0000000000000007E-2</v>
          </cell>
          <cell r="Q109" t="str">
            <v>SF</v>
          </cell>
          <cell r="S109">
            <v>65</v>
          </cell>
          <cell r="T109">
            <v>252</v>
          </cell>
          <cell r="U109">
            <v>14.408233276157805</v>
          </cell>
          <cell r="V109">
            <v>14</v>
          </cell>
          <cell r="W109">
            <v>7</v>
          </cell>
          <cell r="X109">
            <v>37.425100057175527</v>
          </cell>
          <cell r="Y109">
            <v>34.444718962322419</v>
          </cell>
          <cell r="Z109">
            <v>65.110228889025734</v>
          </cell>
          <cell r="AA109">
            <v>64.352866168564546</v>
          </cell>
          <cell r="AB109">
            <v>18</v>
          </cell>
          <cell r="AC109">
            <v>0</v>
          </cell>
          <cell r="AD109">
            <v>1749</v>
          </cell>
          <cell r="AE109">
            <v>32.203389830508478</v>
          </cell>
          <cell r="AF109">
            <v>10.5</v>
          </cell>
          <cell r="AG109">
            <v>23.126143488445692</v>
          </cell>
          <cell r="AH109">
            <v>2.7332469451458223</v>
          </cell>
          <cell r="AI109">
            <v>45.38314317567233</v>
          </cell>
          <cell r="AJ109">
            <v>43.5</v>
          </cell>
          <cell r="AK109">
            <v>1411</v>
          </cell>
          <cell r="AL109" t="str">
            <v>PA</v>
          </cell>
          <cell r="AM109">
            <v>1388.8629033464172</v>
          </cell>
          <cell r="AN109">
            <v>-20.591028968186556</v>
          </cell>
          <cell r="AO109">
            <v>1</v>
          </cell>
        </row>
        <row r="110">
          <cell r="A110" t="str">
            <v>SB-SDA</v>
          </cell>
          <cell r="B110">
            <v>4299</v>
          </cell>
          <cell r="C110" t="str">
            <v>Y</v>
          </cell>
          <cell r="D110">
            <v>2999</v>
          </cell>
          <cell r="E110">
            <v>2599</v>
          </cell>
          <cell r="F110">
            <v>2299</v>
          </cell>
          <cell r="G110" t="str">
            <v>TL3</v>
          </cell>
          <cell r="H110">
            <v>21.973344465777451</v>
          </cell>
          <cell r="I110">
            <v>20.696169401042312</v>
          </cell>
          <cell r="J110">
            <v>571.08722266555594</v>
          </cell>
          <cell r="K110">
            <v>2800</v>
          </cell>
          <cell r="L110">
            <v>592.21063925999999</v>
          </cell>
          <cell r="M110">
            <v>25.759488441061333</v>
          </cell>
          <cell r="N110">
            <v>18</v>
          </cell>
          <cell r="O110">
            <v>0.115</v>
          </cell>
          <cell r="P110">
            <v>7.0000000000000007E-2</v>
          </cell>
          <cell r="Q110" t="str">
            <v>SF</v>
          </cell>
          <cell r="S110">
            <v>65</v>
          </cell>
          <cell r="T110">
            <v>284</v>
          </cell>
          <cell r="U110">
            <v>10.927279722970374</v>
          </cell>
          <cell r="V110">
            <v>14</v>
          </cell>
          <cell r="W110">
            <v>7</v>
          </cell>
          <cell r="X110">
            <v>32.466910350134668</v>
          </cell>
          <cell r="Y110">
            <v>29.789473684210527</v>
          </cell>
          <cell r="Z110">
            <v>62.772418246086964</v>
          </cell>
          <cell r="AA110">
            <v>64.049593310822104</v>
          </cell>
          <cell r="AB110">
            <v>18</v>
          </cell>
          <cell r="AC110">
            <v>0</v>
          </cell>
          <cell r="AD110">
            <v>2599</v>
          </cell>
          <cell r="AE110">
            <v>32.203389830508478</v>
          </cell>
          <cell r="AF110">
            <v>13.5</v>
          </cell>
          <cell r="AG110">
            <v>21.236846168774164</v>
          </cell>
          <cell r="AH110">
            <v>0.54067676773185269</v>
          </cell>
          <cell r="AI110">
            <v>42.386572633526583</v>
          </cell>
          <cell r="AJ110">
            <v>41</v>
          </cell>
          <cell r="AK110">
            <v>2282</v>
          </cell>
          <cell r="AL110" t="str">
            <v>PA</v>
          </cell>
          <cell r="AM110">
            <v>2247.650418870981</v>
          </cell>
          <cell r="AN110">
            <v>-13.518644906849522</v>
          </cell>
          <cell r="AO110">
            <v>5</v>
          </cell>
        </row>
        <row r="111">
          <cell r="A111" t="str">
            <v>SB-SN-D</v>
          </cell>
          <cell r="B111">
            <v>10999</v>
          </cell>
          <cell r="C111" t="str">
            <v>Y</v>
          </cell>
          <cell r="D111">
            <v>7699</v>
          </cell>
          <cell r="E111">
            <v>6789</v>
          </cell>
          <cell r="F111">
            <v>5999</v>
          </cell>
          <cell r="G111" t="str">
            <v>TL3</v>
          </cell>
          <cell r="H111">
            <v>23.1904545214081</v>
          </cell>
          <cell r="I111">
            <v>22.020560627349006</v>
          </cell>
          <cell r="J111">
            <v>1574.3999574583959</v>
          </cell>
          <cell r="K111">
            <v>7200</v>
          </cell>
          <cell r="L111">
            <v>1705.2818594361499</v>
          </cell>
          <cell r="M111">
            <v>28.426102007603767</v>
          </cell>
          <cell r="N111">
            <v>60</v>
          </cell>
          <cell r="O111">
            <v>0.115</v>
          </cell>
          <cell r="P111">
            <v>7.0000000000000007E-2</v>
          </cell>
          <cell r="Q111" t="str">
            <v>sf</v>
          </cell>
          <cell r="S111">
            <v>65</v>
          </cell>
          <cell r="T111">
            <v>576</v>
          </cell>
          <cell r="U111">
            <v>8.4843128590366774</v>
          </cell>
          <cell r="V111">
            <v>14</v>
          </cell>
          <cell r="W111">
            <v>7</v>
          </cell>
          <cell r="X111">
            <v>28.147959935189277</v>
          </cell>
          <cell r="Y111">
            <v>24.918486414402402</v>
          </cell>
          <cell r="Z111">
            <v>61.555308190456316</v>
          </cell>
          <cell r="AA111">
            <v>62.725202084515409</v>
          </cell>
          <cell r="AB111">
            <v>18</v>
          </cell>
          <cell r="AC111">
            <v>0</v>
          </cell>
          <cell r="AD111">
            <v>6789</v>
          </cell>
          <cell r="AE111">
            <v>32.203389830508478</v>
          </cell>
          <cell r="AF111">
            <v>45</v>
          </cell>
          <cell r="AG111">
            <v>18.761228980396297</v>
          </cell>
          <cell r="AH111">
            <v>-3.2593316469527096</v>
          </cell>
          <cell r="AI111">
            <v>38.557181467092462</v>
          </cell>
          <cell r="AJ111">
            <v>38</v>
          </cell>
          <cell r="AK111">
            <v>6594</v>
          </cell>
          <cell r="AL111" t="str">
            <v>PA</v>
          </cell>
          <cell r="AM111">
            <v>6494.4924344665678</v>
          </cell>
          <cell r="AN111">
            <v>-4.3380109814911201</v>
          </cell>
          <cell r="AO111">
            <v>1</v>
          </cell>
        </row>
        <row r="112">
          <cell r="A112" t="str">
            <v>SB-SN-N</v>
          </cell>
          <cell r="B112">
            <v>8499</v>
          </cell>
          <cell r="C112" t="str">
            <v>Y</v>
          </cell>
          <cell r="D112">
            <v>5899</v>
          </cell>
          <cell r="E112">
            <v>5199</v>
          </cell>
          <cell r="F112">
            <v>4399</v>
          </cell>
          <cell r="G112" t="str">
            <v>TL3</v>
          </cell>
          <cell r="H112">
            <v>22.462917534220708</v>
          </cell>
          <cell r="I112">
            <v>19.000590609438945</v>
          </cell>
          <cell r="J112">
            <v>1167.8470826041346</v>
          </cell>
          <cell r="K112">
            <v>5550</v>
          </cell>
          <cell r="L112">
            <v>1264.1128727712003</v>
          </cell>
          <cell r="M112">
            <v>28.736369010484207</v>
          </cell>
          <cell r="N112">
            <v>50</v>
          </cell>
          <cell r="O112">
            <v>0.115</v>
          </cell>
          <cell r="P112">
            <v>7.0000000000000007E-2</v>
          </cell>
          <cell r="Q112" t="str">
            <v>sf</v>
          </cell>
          <cell r="S112">
            <v>65</v>
          </cell>
          <cell r="T112">
            <v>516</v>
          </cell>
          <cell r="U112">
            <v>9.9249855741488737</v>
          </cell>
          <cell r="V112">
            <v>14</v>
          </cell>
          <cell r="W112">
            <v>7</v>
          </cell>
          <cell r="X112">
            <v>29.944508559338335</v>
          </cell>
          <cell r="Y112">
            <v>27.525801318481474</v>
          </cell>
          <cell r="Z112">
            <v>62.282845177643708</v>
          </cell>
          <cell r="AA112">
            <v>65.745172102425471</v>
          </cell>
          <cell r="AB112">
            <v>18</v>
          </cell>
          <cell r="AC112">
            <v>0</v>
          </cell>
          <cell r="AD112">
            <v>5199</v>
          </cell>
          <cell r="AE112">
            <v>32.203389830508478</v>
          </cell>
          <cell r="AF112">
            <v>37.5</v>
          </cell>
          <cell r="AG112">
            <v>19.50654151433919</v>
          </cell>
          <cell r="AH112">
            <v>0.50595090490024575</v>
          </cell>
          <cell r="AI112">
            <v>39.749637574011892</v>
          </cell>
          <cell r="AJ112">
            <v>39</v>
          </cell>
          <cell r="AK112">
            <v>4904</v>
          </cell>
          <cell r="AL112" t="str">
            <v>PA</v>
          </cell>
          <cell r="AM112">
            <v>4828.9262983447297</v>
          </cell>
          <cell r="AN112">
            <v>-7.118170833915566</v>
          </cell>
          <cell r="AO112">
            <v>1</v>
          </cell>
        </row>
        <row r="113">
          <cell r="A113" t="str">
            <v>SB-SRA</v>
          </cell>
          <cell r="B113">
            <v>3999</v>
          </cell>
          <cell r="C113" t="str">
            <v>Y</v>
          </cell>
          <cell r="D113">
            <v>2499</v>
          </cell>
          <cell r="E113">
            <v>1499</v>
          </cell>
          <cell r="F113">
            <v>1599</v>
          </cell>
          <cell r="G113" t="str">
            <v>TL2</v>
          </cell>
          <cell r="H113">
            <v>21.722535757494832</v>
          </cell>
          <cell r="I113">
            <v>29.006977718368475</v>
          </cell>
          <cell r="J113">
            <v>325.62081100484755</v>
          </cell>
          <cell r="K113">
            <v>1600</v>
          </cell>
          <cell r="L113">
            <v>276.99486620000005</v>
          </cell>
          <cell r="M113">
            <v>17.323006016260166</v>
          </cell>
          <cell r="N113">
            <v>10</v>
          </cell>
          <cell r="O113">
            <v>0.115</v>
          </cell>
          <cell r="P113">
            <v>7.0000000000000007E-2</v>
          </cell>
          <cell r="Q113" t="str">
            <v>SF</v>
          </cell>
          <cell r="S113">
            <v>65</v>
          </cell>
          <cell r="T113">
            <v>220</v>
          </cell>
          <cell r="U113">
            <v>14.67645096731154</v>
          </cell>
          <cell r="V113">
            <v>14</v>
          </cell>
          <cell r="W113">
            <v>7</v>
          </cell>
          <cell r="X113">
            <v>38.446631087391594</v>
          </cell>
          <cell r="Y113">
            <v>32.699186991869922</v>
          </cell>
          <cell r="Z113">
            <v>63.023226954369584</v>
          </cell>
          <cell r="AA113">
            <v>55.738784993495941</v>
          </cell>
          <cell r="AB113">
            <v>18</v>
          </cell>
          <cell r="AC113">
            <v>0</v>
          </cell>
          <cell r="AD113">
            <v>1499</v>
          </cell>
          <cell r="AE113">
            <v>32.203389830508478</v>
          </cell>
          <cell r="AF113">
            <v>7.5</v>
          </cell>
          <cell r="AG113">
            <v>25.563395816646121</v>
          </cell>
          <cell r="AH113">
            <v>-3.4435819017223537</v>
          </cell>
          <cell r="AI113">
            <v>49.169223281235489</v>
          </cell>
          <cell r="AJ113">
            <v>46</v>
          </cell>
          <cell r="AK113">
            <v>1072</v>
          </cell>
          <cell r="AL113" t="str">
            <v>PA</v>
          </cell>
          <cell r="AM113">
            <v>1054.9703835898079</v>
          </cell>
          <cell r="AN113">
            <v>-29.621722242174258</v>
          </cell>
          <cell r="AO113">
            <v>6</v>
          </cell>
        </row>
        <row r="114">
          <cell r="A114" t="str">
            <v>SB-VNO</v>
          </cell>
          <cell r="B114">
            <v>7299</v>
          </cell>
          <cell r="C114" t="str">
            <v>Y</v>
          </cell>
          <cell r="D114">
            <v>4999</v>
          </cell>
          <cell r="E114">
            <v>4199</v>
          </cell>
          <cell r="F114">
            <v>3499</v>
          </cell>
          <cell r="G114" t="str">
            <v>TL3</v>
          </cell>
          <cell r="H114">
            <v>22.811781124897422</v>
          </cell>
          <cell r="I114">
            <v>18.62250215637016</v>
          </cell>
          <cell r="J114">
            <v>957.86668943444283</v>
          </cell>
          <cell r="K114">
            <v>4500</v>
          </cell>
          <cell r="L114">
            <v>990.0698397268751</v>
          </cell>
          <cell r="M114">
            <v>28.295794219116178</v>
          </cell>
          <cell r="N114">
            <v>36</v>
          </cell>
          <cell r="O114">
            <v>0.115</v>
          </cell>
          <cell r="P114">
            <v>7.0000000000000007E-2</v>
          </cell>
          <cell r="Q114" t="str">
            <v>SF</v>
          </cell>
          <cell r="S114">
            <v>65</v>
          </cell>
          <cell r="T114">
            <v>428</v>
          </cell>
          <cell r="U114">
            <v>10.192903072160037</v>
          </cell>
          <cell r="V114">
            <v>14</v>
          </cell>
          <cell r="W114">
            <v>7</v>
          </cell>
          <cell r="X114">
            <v>30.574303405572756</v>
          </cell>
          <cell r="Y114">
            <v>28.489854244069733</v>
          </cell>
          <cell r="Z114">
            <v>61.933981586966993</v>
          </cell>
          <cell r="AA114">
            <v>66.123260555494255</v>
          </cell>
          <cell r="AB114">
            <v>18</v>
          </cell>
          <cell r="AC114">
            <v>0</v>
          </cell>
          <cell r="AD114">
            <v>4199</v>
          </cell>
          <cell r="AE114">
            <v>32.203389830508478</v>
          </cell>
          <cell r="AF114">
            <v>27</v>
          </cell>
          <cell r="AG114">
            <v>20.320657241277942</v>
          </cell>
          <cell r="AH114">
            <v>1.698155084907782</v>
          </cell>
          <cell r="AI114">
            <v>40.996827662125341</v>
          </cell>
          <cell r="AJ114">
            <v>40</v>
          </cell>
          <cell r="AK114">
            <v>3832</v>
          </cell>
          <cell r="AL114" t="str">
            <v>PA</v>
          </cell>
          <cell r="AM114">
            <v>3774.5186267563049</v>
          </cell>
          <cell r="AN114">
            <v>-10.109106293014886</v>
          </cell>
          <cell r="AO114">
            <v>1</v>
          </cell>
        </row>
        <row r="115">
          <cell r="A115" t="str">
            <v>SB-WA</v>
          </cell>
          <cell r="B115">
            <v>3499</v>
          </cell>
          <cell r="C115" t="str">
            <v>Y</v>
          </cell>
          <cell r="D115">
            <v>2399</v>
          </cell>
          <cell r="E115">
            <v>1999</v>
          </cell>
          <cell r="F115">
            <v>1799</v>
          </cell>
          <cell r="G115" t="str">
            <v>TL2</v>
          </cell>
          <cell r="H115">
            <v>20.704001222110293</v>
          </cell>
          <cell r="I115">
            <v>20.140992718524501</v>
          </cell>
          <cell r="J115">
            <v>413.8729844299848</v>
          </cell>
          <cell r="K115">
            <v>2150</v>
          </cell>
          <cell r="L115">
            <v>423.59384374449991</v>
          </cell>
          <cell r="M115">
            <v>23.54607247051139</v>
          </cell>
          <cell r="N115">
            <v>16</v>
          </cell>
          <cell r="O115">
            <v>0.115</v>
          </cell>
          <cell r="P115">
            <v>7.0000000000000007E-2</v>
          </cell>
          <cell r="Q115" t="str">
            <v>SF</v>
          </cell>
          <cell r="S115">
            <v>65</v>
          </cell>
          <cell r="T115">
            <v>268</v>
          </cell>
          <cell r="U115">
            <v>13.406703351675839</v>
          </cell>
          <cell r="V115">
            <v>14</v>
          </cell>
          <cell r="W115">
            <v>7</v>
          </cell>
          <cell r="X115">
            <v>35.858679339669834</v>
          </cell>
          <cell r="Y115">
            <v>33.288493607559758</v>
          </cell>
          <cell r="Z115">
            <v>64.041761489754123</v>
          </cell>
          <cell r="AA115">
            <v>64.604769993339914</v>
          </cell>
          <cell r="AB115">
            <v>18</v>
          </cell>
          <cell r="AC115">
            <v>0</v>
          </cell>
          <cell r="AD115">
            <v>1999</v>
          </cell>
          <cell r="AE115">
            <v>32.203389830508478</v>
          </cell>
          <cell r="AF115">
            <v>12</v>
          </cell>
          <cell r="AG115">
            <v>22.751785400390446</v>
          </cell>
          <cell r="AH115">
            <v>2.610792681865945</v>
          </cell>
          <cell r="AI115">
            <v>44.795608885811994</v>
          </cell>
          <cell r="AJ115">
            <v>43</v>
          </cell>
          <cell r="AK115">
            <v>1641</v>
          </cell>
          <cell r="AL115" t="str">
            <v>PA</v>
          </cell>
          <cell r="AM115">
            <v>1615.9629378101308</v>
          </cell>
          <cell r="AN115">
            <v>-19.161433826406665</v>
          </cell>
          <cell r="AO115">
            <v>1</v>
          </cell>
        </row>
        <row r="116">
          <cell r="A116" t="str">
            <v>SB-WA-WM</v>
          </cell>
          <cell r="B116">
            <v>3499</v>
          </cell>
          <cell r="C116" t="str">
            <v>Y</v>
          </cell>
          <cell r="D116">
            <v>2399</v>
          </cell>
          <cell r="E116">
            <v>1999</v>
          </cell>
          <cell r="F116">
            <v>1645</v>
          </cell>
          <cell r="G116" t="str">
            <v>TL2</v>
          </cell>
          <cell r="H116">
            <v>18.956297444801507</v>
          </cell>
          <cell r="I116">
            <v>13.279719508910773</v>
          </cell>
          <cell r="J116">
            <v>378.93638592158209</v>
          </cell>
          <cell r="K116">
            <v>2150</v>
          </cell>
          <cell r="L116">
            <v>449.86196292374996</v>
          </cell>
          <cell r="M116">
            <v>27.34723178867781</v>
          </cell>
          <cell r="N116">
            <v>16</v>
          </cell>
          <cell r="O116">
            <v>0.115</v>
          </cell>
          <cell r="P116">
            <v>7.0000000000000007E-2</v>
          </cell>
          <cell r="Q116" t="str">
            <v>SF</v>
          </cell>
          <cell r="S116">
            <v>65</v>
          </cell>
          <cell r="T116">
            <v>268</v>
          </cell>
          <cell r="U116">
            <v>13.406703351675839</v>
          </cell>
          <cell r="V116">
            <v>14</v>
          </cell>
          <cell r="W116">
            <v>7</v>
          </cell>
          <cell r="X116">
            <v>35.858679339669834</v>
          </cell>
          <cell r="Y116">
            <v>35.09422492401216</v>
          </cell>
          <cell r="Z116">
            <v>65.789465267062909</v>
          </cell>
          <cell r="AA116">
            <v>71.466043202953642</v>
          </cell>
          <cell r="AB116">
            <v>18</v>
          </cell>
          <cell r="AC116">
            <v>0</v>
          </cell>
          <cell r="AD116">
            <v>1999</v>
          </cell>
          <cell r="AE116">
            <v>32.203389830508478</v>
          </cell>
          <cell r="AF116">
            <v>12</v>
          </cell>
          <cell r="AG116">
            <v>21.437722409932718</v>
          </cell>
          <cell r="AH116">
            <v>8.1580029010219448</v>
          </cell>
          <cell r="AI116">
            <v>42.73331842858763</v>
          </cell>
          <cell r="AJ116">
            <v>41.5</v>
          </cell>
          <cell r="AK116">
            <v>1740</v>
          </cell>
          <cell r="AL116" t="str">
            <v>PA</v>
          </cell>
          <cell r="AM116">
            <v>1713.3822990354843</v>
          </cell>
          <cell r="AN116">
            <v>-14.288029062757166</v>
          </cell>
          <cell r="AO116">
            <v>1</v>
          </cell>
        </row>
        <row r="117">
          <cell r="A117" t="str">
            <v>SB-WLB</v>
          </cell>
          <cell r="B117">
            <v>6449</v>
          </cell>
          <cell r="C117" t="str">
            <v>Y</v>
          </cell>
          <cell r="D117">
            <v>4399</v>
          </cell>
          <cell r="E117">
            <v>3599</v>
          </cell>
          <cell r="F117">
            <v>3299</v>
          </cell>
          <cell r="G117" t="str">
            <v>TL2</v>
          </cell>
          <cell r="H117">
            <v>19.219178603086519</v>
          </cell>
          <cell r="I117">
            <v>19.442738702318593</v>
          </cell>
          <cell r="J117">
            <v>691.69823792508373</v>
          </cell>
          <cell r="K117">
            <v>3850</v>
          </cell>
          <cell r="L117">
            <v>858.02403673875017</v>
          </cell>
          <cell r="M117">
            <v>26.008609782926648</v>
          </cell>
          <cell r="N117">
            <v>38</v>
          </cell>
          <cell r="O117">
            <v>0.115</v>
          </cell>
          <cell r="P117">
            <v>7.0000000000000007E-2</v>
          </cell>
          <cell r="Q117" t="str">
            <v>SF</v>
          </cell>
          <cell r="S117">
            <v>65</v>
          </cell>
          <cell r="T117">
            <v>444</v>
          </cell>
          <cell r="U117">
            <v>12.336760211169768</v>
          </cell>
          <cell r="V117">
            <v>14</v>
          </cell>
          <cell r="W117">
            <v>7</v>
          </cell>
          <cell r="X117">
            <v>33.031814392886915</v>
          </cell>
          <cell r="Y117">
            <v>29.853288875416794</v>
          </cell>
          <cell r="Z117">
            <v>65.526584108777897</v>
          </cell>
          <cell r="AA117">
            <v>65.303024009545823</v>
          </cell>
          <cell r="AB117">
            <v>18</v>
          </cell>
          <cell r="AC117">
            <v>0</v>
          </cell>
          <cell r="AD117">
            <v>3599</v>
          </cell>
          <cell r="AE117">
            <v>32.203389830508478</v>
          </cell>
          <cell r="AF117">
            <v>28.5</v>
          </cell>
          <cell r="AG117">
            <v>19.909862830265347</v>
          </cell>
          <cell r="AH117">
            <v>0.46712412794675373</v>
          </cell>
          <cell r="AI117">
            <v>39.481745505740449</v>
          </cell>
          <cell r="AJ117">
            <v>39</v>
          </cell>
          <cell r="AK117">
            <v>3340</v>
          </cell>
          <cell r="AL117" t="str">
            <v>PB</v>
          </cell>
          <cell r="AM117">
            <v>3368.9534711704396</v>
          </cell>
          <cell r="AN117">
            <v>-6.3919568999600003</v>
          </cell>
          <cell r="AO117">
            <v>1</v>
          </cell>
        </row>
        <row r="118">
          <cell r="A118" t="str">
            <v>S-CC</v>
          </cell>
          <cell r="B118">
            <v>5749</v>
          </cell>
          <cell r="C118" t="str">
            <v>Y</v>
          </cell>
          <cell r="D118">
            <v>3999</v>
          </cell>
          <cell r="E118">
            <v>3199</v>
          </cell>
          <cell r="F118">
            <v>2899</v>
          </cell>
          <cell r="G118" t="str">
            <v>TL2</v>
          </cell>
          <cell r="H118">
            <v>20.861920153619494</v>
          </cell>
          <cell r="I118">
            <v>20.665420406301976</v>
          </cell>
          <cell r="J118">
            <v>667.37282571428761</v>
          </cell>
          <cell r="K118">
            <v>3400</v>
          </cell>
          <cell r="L118">
            <v>758.51813792349992</v>
          </cell>
          <cell r="M118">
            <v>26.164820211228008</v>
          </cell>
          <cell r="N118">
            <v>28</v>
          </cell>
          <cell r="O118">
            <v>0.115</v>
          </cell>
          <cell r="P118">
            <v>7.0000000000000007E-2</v>
          </cell>
          <cell r="Q118" t="str">
            <v>SF</v>
          </cell>
          <cell r="S118">
            <v>65</v>
          </cell>
          <cell r="T118">
            <v>364</v>
          </cell>
          <cell r="U118">
            <v>11.37855579868709</v>
          </cell>
          <cell r="V118">
            <v>14</v>
          </cell>
          <cell r="W118">
            <v>7</v>
          </cell>
          <cell r="X118">
            <v>32.348077524226319</v>
          </cell>
          <cell r="Y118">
            <v>29.281131424629184</v>
          </cell>
          <cell r="Z118">
            <v>63.883842558244922</v>
          </cell>
          <cell r="AA118">
            <v>64.080342305562439</v>
          </cell>
          <cell r="AB118">
            <v>18</v>
          </cell>
          <cell r="AC118">
            <v>0</v>
          </cell>
          <cell r="AD118">
            <v>3199</v>
          </cell>
          <cell r="AE118">
            <v>32.203389830508478</v>
          </cell>
          <cell r="AF118">
            <v>21</v>
          </cell>
          <cell r="AG118">
            <v>20.174816209786691</v>
          </cell>
          <cell r="AH118">
            <v>-0.4906041965152852</v>
          </cell>
          <cell r="AI118">
            <v>40.77318019202437</v>
          </cell>
          <cell r="AJ118">
            <v>40</v>
          </cell>
          <cell r="AK118">
            <v>2937</v>
          </cell>
          <cell r="AL118" t="str">
            <v>PA</v>
          </cell>
          <cell r="AM118">
            <v>2893.2735172797497</v>
          </cell>
          <cell r="AN118">
            <v>-9.5569391284854728</v>
          </cell>
          <cell r="AO118">
            <v>1</v>
          </cell>
        </row>
        <row r="119">
          <cell r="A119" t="str">
            <v>S-CRF</v>
          </cell>
          <cell r="B119">
            <v>3599</v>
          </cell>
          <cell r="C119" t="str">
            <v>Y</v>
          </cell>
          <cell r="D119">
            <v>2449</v>
          </cell>
          <cell r="E119">
            <v>2079</v>
          </cell>
          <cell r="F119">
            <v>1849</v>
          </cell>
          <cell r="G119" t="str">
            <v>TL2</v>
          </cell>
          <cell r="H119">
            <v>19.846450295251003</v>
          </cell>
          <cell r="I119">
            <v>18.574767301296916</v>
          </cell>
          <cell r="J119">
            <v>412.60770163826834</v>
          </cell>
          <cell r="K119">
            <v>2250</v>
          </cell>
          <cell r="L119">
            <v>452.36218431683676</v>
          </cell>
          <cell r="M119">
            <v>24.465234414106913</v>
          </cell>
          <cell r="N119">
            <v>18</v>
          </cell>
          <cell r="O119">
            <v>0.115</v>
          </cell>
          <cell r="P119">
            <v>7.0000000000000007E-2</v>
          </cell>
          <cell r="Q119" t="str">
            <v>SF</v>
          </cell>
          <cell r="S119">
            <v>65</v>
          </cell>
          <cell r="T119">
            <v>284</v>
          </cell>
          <cell r="U119">
            <v>13.660413660413662</v>
          </cell>
          <cell r="V119">
            <v>14</v>
          </cell>
          <cell r="W119">
            <v>7</v>
          </cell>
          <cell r="X119">
            <v>35.960317460317462</v>
          </cell>
          <cell r="Y119">
            <v>33.632233639805307</v>
          </cell>
          <cell r="Z119">
            <v>64.899312416613412</v>
          </cell>
          <cell r="AA119">
            <v>66.1709954105675</v>
          </cell>
          <cell r="AB119">
            <v>18</v>
          </cell>
          <cell r="AC119">
            <v>0</v>
          </cell>
          <cell r="AD119">
            <v>2079</v>
          </cell>
          <cell r="AE119">
            <v>32.203389830508478</v>
          </cell>
          <cell r="AF119">
            <v>13.5</v>
          </cell>
          <cell r="AG119">
            <v>22.134379407722605</v>
          </cell>
          <cell r="AH119">
            <v>3.5596121064256891</v>
          </cell>
          <cell r="AI119">
            <v>43.845752185337012</v>
          </cell>
          <cell r="AJ119">
            <v>42</v>
          </cell>
          <cell r="AK119">
            <v>1755</v>
          </cell>
          <cell r="AL119" t="str">
            <v>PA</v>
          </cell>
          <cell r="AM119">
            <v>1729.0009085673455</v>
          </cell>
          <cell r="AN119">
            <v>-16.834973132883814</v>
          </cell>
          <cell r="AO119">
            <v>1</v>
          </cell>
        </row>
        <row r="120">
          <cell r="A120" t="str">
            <v>S-ERA</v>
          </cell>
          <cell r="B120">
            <v>3899</v>
          </cell>
          <cell r="C120" t="str">
            <v>Y</v>
          </cell>
          <cell r="D120">
            <v>2649</v>
          </cell>
          <cell r="E120">
            <v>2549</v>
          </cell>
          <cell r="F120">
            <v>2349</v>
          </cell>
          <cell r="G120" t="str">
            <v>TL2</v>
          </cell>
          <cell r="H120" t="str">
            <v>ERR</v>
          </cell>
          <cell r="I120" t="str">
            <v>ERR</v>
          </cell>
          <cell r="J120" t="str">
            <v>ERR</v>
          </cell>
          <cell r="K120">
            <v>2750</v>
          </cell>
          <cell r="L120" t="e">
            <v>#N/A</v>
          </cell>
          <cell r="M120" t="e">
            <v>#N/A</v>
          </cell>
          <cell r="N120">
            <v>20</v>
          </cell>
          <cell r="O120">
            <v>0.115</v>
          </cell>
          <cell r="P120">
            <v>7.0000000000000007E-2</v>
          </cell>
          <cell r="Q120" t="str">
            <v>SF</v>
          </cell>
          <cell r="S120">
            <v>65</v>
          </cell>
          <cell r="T120">
            <v>300</v>
          </cell>
          <cell r="U120">
            <v>11.769321302471559</v>
          </cell>
          <cell r="V120">
            <v>14</v>
          </cell>
          <cell r="W120">
            <v>7</v>
          </cell>
          <cell r="X120">
            <v>33.368575912122402</v>
          </cell>
          <cell r="Y120">
            <v>30.13452532992763</v>
          </cell>
          <cell r="Z120" t="e">
            <v>#N/A</v>
          </cell>
          <cell r="AA120" t="e">
            <v>#N/A</v>
          </cell>
          <cell r="AB120">
            <v>18</v>
          </cell>
          <cell r="AC120">
            <v>0</v>
          </cell>
          <cell r="AD120">
            <v>2549</v>
          </cell>
          <cell r="AE120">
            <v>32.203389830508478</v>
          </cell>
          <cell r="AF120">
            <v>15</v>
          </cell>
          <cell r="AG120" t="e">
            <v>#N/A</v>
          </cell>
          <cell r="AH120" t="e">
            <v>#N/A</v>
          </cell>
          <cell r="AI120" t="str">
            <v>ERR</v>
          </cell>
          <cell r="AJ120" t="e">
            <v>#VALUE!</v>
          </cell>
          <cell r="AK120" t="e">
            <v>#N/A</v>
          </cell>
          <cell r="AL120" t="str">
            <v>PA</v>
          </cell>
          <cell r="AM120" t="e">
            <v>#N/A</v>
          </cell>
          <cell r="AN120" t="e">
            <v>#N/A</v>
          </cell>
          <cell r="AO120">
            <v>1</v>
          </cell>
        </row>
        <row r="121">
          <cell r="A121" t="str">
            <v>S-ETN</v>
          </cell>
          <cell r="B121">
            <v>2499</v>
          </cell>
          <cell r="C121" t="str">
            <v>Y</v>
          </cell>
          <cell r="D121">
            <v>1749</v>
          </cell>
          <cell r="E121">
            <v>1349</v>
          </cell>
          <cell r="F121">
            <v>1299</v>
          </cell>
          <cell r="G121" t="str">
            <v>TL2</v>
          </cell>
          <cell r="H121">
            <v>19.900602443095892</v>
          </cell>
          <cell r="I121">
            <v>22.616724064775312</v>
          </cell>
          <cell r="J121">
            <v>268.45912695736359</v>
          </cell>
          <cell r="K121">
            <v>1450</v>
          </cell>
          <cell r="L121">
            <v>245.26030979374997</v>
          </cell>
          <cell r="M121">
            <v>18.880701292821399</v>
          </cell>
          <cell r="N121">
            <v>10</v>
          </cell>
          <cell r="O121">
            <v>0.115</v>
          </cell>
          <cell r="P121">
            <v>7.0000000000000007E-2</v>
          </cell>
          <cell r="Q121" t="str">
            <v>SF</v>
          </cell>
          <cell r="S121">
            <v>65</v>
          </cell>
          <cell r="T121">
            <v>220</v>
          </cell>
          <cell r="U121">
            <v>16.308376575240921</v>
          </cell>
          <cell r="V121">
            <v>14</v>
          </cell>
          <cell r="W121">
            <v>7</v>
          </cell>
          <cell r="X121">
            <v>40.664566345441067</v>
          </cell>
          <cell r="Y121">
            <v>37.017705927636641</v>
          </cell>
          <cell r="Z121">
            <v>64.845160268768524</v>
          </cell>
          <cell r="AA121">
            <v>62.129038647089104</v>
          </cell>
          <cell r="AB121">
            <v>18</v>
          </cell>
          <cell r="AC121">
            <v>0</v>
          </cell>
          <cell r="AD121">
            <v>1349</v>
          </cell>
          <cell r="AE121">
            <v>32.203389830508478</v>
          </cell>
          <cell r="AF121">
            <v>7.5</v>
          </cell>
          <cell r="AG121">
            <v>25.805507811396701</v>
          </cell>
          <cell r="AH121">
            <v>3.1887837466213895</v>
          </cell>
          <cell r="AI121">
            <v>49.570857658242318</v>
          </cell>
          <cell r="AJ121">
            <v>46.5</v>
          </cell>
          <cell r="AK121">
            <v>952</v>
          </cell>
          <cell r="AL121" t="str">
            <v>PA</v>
          </cell>
          <cell r="AM121">
            <v>937.62405276393622</v>
          </cell>
          <cell r="AN121">
            <v>-30.494881188737121</v>
          </cell>
          <cell r="AO121">
            <v>1</v>
          </cell>
        </row>
        <row r="122">
          <cell r="A122" t="str">
            <v>SF-WBR-4LI</v>
          </cell>
          <cell r="B122">
            <v>25799</v>
          </cell>
          <cell r="C122" t="str">
            <v>Y</v>
          </cell>
          <cell r="D122">
            <v>17999</v>
          </cell>
          <cell r="E122">
            <v>17999</v>
          </cell>
          <cell r="F122">
            <v>14599</v>
          </cell>
          <cell r="G122" t="str">
            <v>TL3</v>
          </cell>
          <cell r="H122" t="str">
            <v>ERR</v>
          </cell>
          <cell r="I122" t="str">
            <v>ERR</v>
          </cell>
          <cell r="J122" t="str">
            <v>ERR</v>
          </cell>
          <cell r="K122">
            <v>19100</v>
          </cell>
          <cell r="L122" t="e">
            <v>#N/A</v>
          </cell>
          <cell r="M122" t="e">
            <v>#N/A</v>
          </cell>
          <cell r="N122">
            <v>109</v>
          </cell>
          <cell r="O122">
            <v>0.115</v>
          </cell>
          <cell r="P122">
            <v>7.0000000000000007E-2</v>
          </cell>
          <cell r="Q122" t="str">
            <v>SF</v>
          </cell>
          <cell r="S122">
            <v>65</v>
          </cell>
          <cell r="T122">
            <v>876</v>
          </cell>
          <cell r="U122">
            <v>4.8669370520584474</v>
          </cell>
          <cell r="V122">
            <v>14</v>
          </cell>
          <cell r="W122">
            <v>7</v>
          </cell>
          <cell r="X122">
            <v>23.805850325018056</v>
          </cell>
          <cell r="Y122">
            <v>20.541543941365848</v>
          </cell>
          <cell r="Z122" t="e">
            <v>#N/A</v>
          </cell>
          <cell r="AA122" t="e">
            <v>#N/A</v>
          </cell>
          <cell r="AB122">
            <v>18</v>
          </cell>
          <cell r="AC122">
            <v>0</v>
          </cell>
          <cell r="AD122">
            <v>17999</v>
          </cell>
          <cell r="AE122">
            <v>32.203389830508478</v>
          </cell>
          <cell r="AF122">
            <v>81.75</v>
          </cell>
          <cell r="AG122" t="e">
            <v>#N/A</v>
          </cell>
          <cell r="AH122" t="e">
            <v>#N/A</v>
          </cell>
          <cell r="AI122" t="str">
            <v>ERR</v>
          </cell>
          <cell r="AJ122" t="e">
            <v>#VALUE!</v>
          </cell>
          <cell r="AK122" t="e">
            <v>#N/A</v>
          </cell>
          <cell r="AL122" t="str">
            <v>PA</v>
          </cell>
          <cell r="AM122" t="e">
            <v>#N/A</v>
          </cell>
          <cell r="AN122" t="e">
            <v>#N/A</v>
          </cell>
          <cell r="AO122">
            <v>1</v>
          </cell>
        </row>
        <row r="123">
          <cell r="A123" t="str">
            <v>S-GRB</v>
          </cell>
          <cell r="B123">
            <v>2499</v>
          </cell>
          <cell r="C123" t="str">
            <v>Y</v>
          </cell>
          <cell r="D123">
            <v>1749</v>
          </cell>
          <cell r="E123">
            <v>999</v>
          </cell>
          <cell r="F123">
            <v>989</v>
          </cell>
          <cell r="G123" t="str">
            <v>TL2</v>
          </cell>
          <cell r="H123">
            <v>15.976496739642187</v>
          </cell>
          <cell r="I123">
            <v>15.351933888558051</v>
          </cell>
          <cell r="J123">
            <v>159.60520242902544</v>
          </cell>
          <cell r="K123">
            <v>1100</v>
          </cell>
          <cell r="L123">
            <v>262.46238125000002</v>
          </cell>
          <cell r="M123">
            <v>26.53815786147624</v>
          </cell>
          <cell r="N123">
            <v>10</v>
          </cell>
          <cell r="O123">
            <v>0</v>
          </cell>
          <cell r="P123">
            <v>0</v>
          </cell>
          <cell r="Q123" t="str">
            <v>SF</v>
          </cell>
          <cell r="S123">
            <v>34</v>
          </cell>
          <cell r="T123">
            <v>220</v>
          </cell>
          <cell r="U123">
            <v>22.022022022022021</v>
          </cell>
          <cell r="V123">
            <v>14</v>
          </cell>
          <cell r="W123">
            <v>7</v>
          </cell>
          <cell r="X123">
            <v>33.826826826826832</v>
          </cell>
          <cell r="Y123">
            <v>34.098078867542966</v>
          </cell>
          <cell r="Z123">
            <v>68.769265972222229</v>
          </cell>
          <cell r="AA123">
            <v>69.393828823306364</v>
          </cell>
          <cell r="AB123">
            <v>18</v>
          </cell>
          <cell r="AC123">
            <v>0</v>
          </cell>
          <cell r="AD123">
            <v>999</v>
          </cell>
          <cell r="AE123">
            <v>32.203389830508478</v>
          </cell>
          <cell r="AF123">
            <v>7.5</v>
          </cell>
          <cell r="AG123">
            <v>17.519111494969536</v>
          </cell>
          <cell r="AH123">
            <v>2.1671776064114852</v>
          </cell>
          <cell r="AI123">
            <v>36.642035922547549</v>
          </cell>
          <cell r="AJ123">
            <v>36.5</v>
          </cell>
          <cell r="AK123">
            <v>1017</v>
          </cell>
          <cell r="AL123" t="str">
            <v>PA</v>
          </cell>
          <cell r="AM123">
            <v>1001.3628889242789</v>
          </cell>
          <cell r="AN123">
            <v>0.23652541784573347</v>
          </cell>
          <cell r="AO123">
            <v>1</v>
          </cell>
        </row>
        <row r="124">
          <cell r="A124" t="str">
            <v>SH-CHR</v>
          </cell>
          <cell r="B124">
            <v>1449</v>
          </cell>
          <cell r="C124" t="str">
            <v>Y</v>
          </cell>
          <cell r="D124">
            <v>999</v>
          </cell>
          <cell r="E124">
            <v>599</v>
          </cell>
          <cell r="F124">
            <v>629</v>
          </cell>
          <cell r="G124" t="str">
            <v>TL2</v>
          </cell>
          <cell r="H124">
            <v>26.652285555290547</v>
          </cell>
          <cell r="I124">
            <v>29.589605571958501</v>
          </cell>
          <cell r="J124">
            <v>159.64719047619036</v>
          </cell>
          <cell r="K124">
            <v>650</v>
          </cell>
          <cell r="L124">
            <v>150.30000000000001</v>
          </cell>
          <cell r="M124">
            <v>23.895071542130367</v>
          </cell>
          <cell r="N124">
            <v>3</v>
          </cell>
          <cell r="O124">
            <v>0</v>
          </cell>
          <cell r="P124">
            <v>0</v>
          </cell>
          <cell r="Q124" t="str">
            <v>SF</v>
          </cell>
          <cell r="S124">
            <v>34</v>
          </cell>
          <cell r="T124">
            <v>121</v>
          </cell>
          <cell r="U124">
            <v>20.20033388981636</v>
          </cell>
          <cell r="V124">
            <v>14</v>
          </cell>
          <cell r="W124">
            <v>7</v>
          </cell>
          <cell r="X124">
            <v>35.213689482470784</v>
          </cell>
          <cell r="Y124">
            <v>33.868044515103335</v>
          </cell>
          <cell r="Z124">
            <v>68.58580968280468</v>
          </cell>
          <cell r="AA124">
            <v>65.648489666136726</v>
          </cell>
          <cell r="AB124">
            <v>5</v>
          </cell>
          <cell r="AC124">
            <v>0</v>
          </cell>
          <cell r="AD124">
            <v>599</v>
          </cell>
          <cell r="AE124">
            <v>32.203389830508478</v>
          </cell>
          <cell r="AF124">
            <v>2.25</v>
          </cell>
          <cell r="AG124">
            <v>29.567259664681906</v>
          </cell>
          <cell r="AH124">
            <v>-2.2345907276594801E-2</v>
          </cell>
          <cell r="AI124">
            <v>51.318611813339679</v>
          </cell>
          <cell r="AJ124">
            <v>48</v>
          </cell>
          <cell r="AK124">
            <v>412</v>
          </cell>
          <cell r="AL124" t="str">
            <v>PA</v>
          </cell>
          <cell r="AM124">
            <v>564.67990384615382</v>
          </cell>
          <cell r="AN124">
            <v>-5.7295653011429346</v>
          </cell>
          <cell r="AO124">
            <v>2</v>
          </cell>
        </row>
        <row r="125">
          <cell r="A125" t="str">
            <v>SH-DVN</v>
          </cell>
          <cell r="B125">
            <v>1349</v>
          </cell>
          <cell r="C125" t="str">
            <v>Y</v>
          </cell>
          <cell r="D125">
            <v>919</v>
          </cell>
          <cell r="E125">
            <v>369</v>
          </cell>
          <cell r="F125">
            <v>409</v>
          </cell>
          <cell r="G125" t="str">
            <v>TL2</v>
          </cell>
          <cell r="H125">
            <v>24.792493798386559</v>
          </cell>
          <cell r="I125">
            <v>30.997442594446085</v>
          </cell>
          <cell r="J125">
            <v>91.484302116046408</v>
          </cell>
          <cell r="K125">
            <v>400</v>
          </cell>
          <cell r="L125">
            <v>88.858598174999983</v>
          </cell>
          <cell r="M125">
            <v>21.725818624694373</v>
          </cell>
          <cell r="N125">
            <v>2</v>
          </cell>
          <cell r="O125">
            <v>0</v>
          </cell>
          <cell r="P125">
            <v>0</v>
          </cell>
          <cell r="Q125" t="str">
            <v>SF</v>
          </cell>
          <cell r="S125">
            <v>11</v>
          </cell>
          <cell r="T125">
            <v>88</v>
          </cell>
          <cell r="U125">
            <v>23.848238482384826</v>
          </cell>
          <cell r="V125">
            <v>14</v>
          </cell>
          <cell r="W125">
            <v>7</v>
          </cell>
          <cell r="X125">
            <v>37.62330623306233</v>
          </cell>
          <cell r="Y125">
            <v>34.628361858190715</v>
          </cell>
          <cell r="Z125">
            <v>70.445601439708668</v>
          </cell>
          <cell r="AA125">
            <v>64.240652643649142</v>
          </cell>
          <cell r="AB125">
            <v>5</v>
          </cell>
          <cell r="AC125">
            <v>0</v>
          </cell>
          <cell r="AD125">
            <v>369</v>
          </cell>
          <cell r="AE125">
            <v>32.203389830508478</v>
          </cell>
          <cell r="AF125">
            <v>1.5</v>
          </cell>
          <cell r="AG125">
            <v>30.547280427911957</v>
          </cell>
          <cell r="AH125">
            <v>-0.45016216653412755</v>
          </cell>
          <cell r="AI125">
            <v>51.930969240361726</v>
          </cell>
          <cell r="AJ125">
            <v>48.5</v>
          </cell>
          <cell r="AK125">
            <v>244</v>
          </cell>
          <cell r="AL125" t="str">
            <v>PB</v>
          </cell>
          <cell r="AM125">
            <v>342.9147894291562</v>
          </cell>
          <cell r="AN125">
            <v>-7.0691627563262331</v>
          </cell>
          <cell r="AO125">
            <v>10</v>
          </cell>
        </row>
        <row r="126">
          <cell r="A126" t="str">
            <v>SH-DVN-ST</v>
          </cell>
          <cell r="B126">
            <v>1299</v>
          </cell>
          <cell r="C126" t="str">
            <v>Y</v>
          </cell>
          <cell r="D126">
            <v>999</v>
          </cell>
          <cell r="E126">
            <v>299</v>
          </cell>
          <cell r="F126">
            <v>289</v>
          </cell>
          <cell r="G126" t="str">
            <v>TL2</v>
          </cell>
          <cell r="H126">
            <v>30.481522561841047</v>
          </cell>
          <cell r="I126">
            <v>28.483025237403183</v>
          </cell>
          <cell r="J126">
            <v>91.139752459904727</v>
          </cell>
          <cell r="K126">
            <v>350</v>
          </cell>
          <cell r="L126">
            <v>65.804953999999995</v>
          </cell>
          <cell r="M126">
            <v>22.769880276816608</v>
          </cell>
          <cell r="N126">
            <v>1</v>
          </cell>
          <cell r="O126">
            <v>0</v>
          </cell>
          <cell r="P126">
            <v>0</v>
          </cell>
          <cell r="Q126" t="str">
            <v>SF</v>
          </cell>
          <cell r="S126">
            <v>6</v>
          </cell>
          <cell r="T126">
            <v>63</v>
          </cell>
          <cell r="U126">
            <v>21.070234113712374</v>
          </cell>
          <cell r="V126">
            <v>14</v>
          </cell>
          <cell r="W126">
            <v>7</v>
          </cell>
          <cell r="X126">
            <v>34.759197324414714</v>
          </cell>
          <cell r="Y126">
            <v>35.719723183391004</v>
          </cell>
          <cell r="Z126">
            <v>64.75657267625418</v>
          </cell>
          <cell r="AA126">
            <v>66.755070000692044</v>
          </cell>
          <cell r="AB126">
            <v>5</v>
          </cell>
          <cell r="AC126">
            <v>0</v>
          </cell>
          <cell r="AD126">
            <v>299</v>
          </cell>
          <cell r="AE126">
            <v>32.203389830508478</v>
          </cell>
          <cell r="AF126">
            <v>0.75</v>
          </cell>
          <cell r="AG126">
            <v>32.77552346778743</v>
          </cell>
          <cell r="AH126">
            <v>4.2924982303842469</v>
          </cell>
          <cell r="AI126">
            <v>55.448062843708229</v>
          </cell>
          <cell r="AJ126">
            <v>51</v>
          </cell>
          <cell r="AK126">
            <v>180</v>
          </cell>
          <cell r="AL126" t="str">
            <v>PB</v>
          </cell>
          <cell r="AM126">
            <v>252.35311699596147</v>
          </cell>
          <cell r="AN126">
            <v>-15.6009642153975</v>
          </cell>
          <cell r="AO126">
            <v>3</v>
          </cell>
        </row>
        <row r="127">
          <cell r="A127" t="str">
            <v>SH-GTA</v>
          </cell>
          <cell r="B127">
            <v>2599</v>
          </cell>
          <cell r="C127" t="str">
            <v>Y</v>
          </cell>
          <cell r="D127">
            <v>1799</v>
          </cell>
          <cell r="E127">
            <v>999</v>
          </cell>
          <cell r="F127">
            <v>979</v>
          </cell>
          <cell r="G127" t="str">
            <v>TL2</v>
          </cell>
          <cell r="H127">
            <v>18.773373258172271</v>
          </cell>
          <cell r="I127">
            <v>17.354277814251475</v>
          </cell>
          <cell r="J127">
            <v>187.545998849141</v>
          </cell>
          <cell r="K127">
            <v>1100</v>
          </cell>
          <cell r="L127">
            <v>345.07712224017314</v>
          </cell>
          <cell r="M127">
            <v>35.247918512785816</v>
          </cell>
          <cell r="N127">
            <v>8</v>
          </cell>
          <cell r="O127">
            <v>0</v>
          </cell>
          <cell r="P127">
            <v>0</v>
          </cell>
          <cell r="Q127" t="str">
            <v>SF</v>
          </cell>
          <cell r="S127">
            <v>34</v>
          </cell>
          <cell r="T127">
            <v>187</v>
          </cell>
          <cell r="U127">
            <v>18.718718718718719</v>
          </cell>
          <cell r="V127">
            <v>14</v>
          </cell>
          <cell r="W127">
            <v>7</v>
          </cell>
          <cell r="X127">
            <v>30.523523523523522</v>
          </cell>
          <cell r="Y127">
            <v>31.004085801838613</v>
          </cell>
          <cell r="Z127">
            <v>76.464721979922956</v>
          </cell>
          <cell r="AA127">
            <v>77.883817423843752</v>
          </cell>
          <cell r="AB127">
            <v>5</v>
          </cell>
          <cell r="AC127">
            <v>0</v>
          </cell>
          <cell r="AD127">
            <v>999</v>
          </cell>
          <cell r="AE127">
            <v>32.203389830508478</v>
          </cell>
          <cell r="AF127">
            <v>6</v>
          </cell>
          <cell r="AG127">
            <v>19.891850328490342</v>
          </cell>
          <cell r="AH127">
            <v>2.5375725142388674</v>
          </cell>
          <cell r="AI127">
            <v>36.22162949369234</v>
          </cell>
          <cell r="AJ127">
            <v>36</v>
          </cell>
          <cell r="AK127">
            <v>948</v>
          </cell>
          <cell r="AL127" t="str">
            <v>PA</v>
          </cell>
          <cell r="AM127">
            <v>1300.7139043080267</v>
          </cell>
          <cell r="AN127">
            <v>30.201592022825498</v>
          </cell>
          <cell r="AO127">
            <v>1</v>
          </cell>
        </row>
        <row r="128">
          <cell r="A128" t="str">
            <v>SH-YBO</v>
          </cell>
          <cell r="B128">
            <v>1649</v>
          </cell>
          <cell r="C128" t="str">
            <v>Y</v>
          </cell>
          <cell r="D128">
            <v>1149</v>
          </cell>
          <cell r="E128">
            <v>499</v>
          </cell>
          <cell r="F128">
            <v>449</v>
          </cell>
          <cell r="G128" t="str">
            <v>TL2</v>
          </cell>
          <cell r="H128">
            <v>27.558544118375792</v>
          </cell>
          <cell r="I128">
            <v>20.801355797694342</v>
          </cell>
          <cell r="J128">
            <v>137.51713515069522</v>
          </cell>
          <cell r="K128">
            <v>550</v>
          </cell>
          <cell r="L128">
            <v>115.03371979999999</v>
          </cell>
          <cell r="M128">
            <v>25.619982138084627</v>
          </cell>
          <cell r="N128">
            <v>4</v>
          </cell>
          <cell r="O128">
            <v>0</v>
          </cell>
          <cell r="P128">
            <v>0</v>
          </cell>
          <cell r="Q128" t="str">
            <v>SF</v>
          </cell>
          <cell r="S128">
            <v>11</v>
          </cell>
          <cell r="T128">
            <v>121</v>
          </cell>
          <cell r="U128">
            <v>24.248496993987974</v>
          </cell>
          <cell r="V128">
            <v>14</v>
          </cell>
          <cell r="W128">
            <v>7</v>
          </cell>
          <cell r="X128">
            <v>36.258517034068134</v>
          </cell>
          <cell r="Y128">
            <v>39.516703786191535</v>
          </cell>
          <cell r="Z128">
            <v>67.679551119719434</v>
          </cell>
          <cell r="AA128">
            <v>74.436739440400885</v>
          </cell>
          <cell r="AB128">
            <v>5</v>
          </cell>
          <cell r="AC128">
            <v>0</v>
          </cell>
          <cell r="AD128">
            <v>499</v>
          </cell>
          <cell r="AE128">
            <v>32.203389830508478</v>
          </cell>
          <cell r="AF128">
            <v>3</v>
          </cell>
          <cell r="AG128">
            <v>31.380653343458505</v>
          </cell>
          <cell r="AH128">
            <v>10.579297545764163</v>
          </cell>
          <cell r="AI128">
            <v>53.354713322208497</v>
          </cell>
          <cell r="AJ128">
            <v>49.5</v>
          </cell>
          <cell r="AK128">
            <v>319</v>
          </cell>
          <cell r="AL128" t="str">
            <v>PB</v>
          </cell>
          <cell r="AM128">
            <v>448.16710024371145</v>
          </cell>
          <cell r="AN128">
            <v>-10.186953858975661</v>
          </cell>
          <cell r="AO128">
            <v>5</v>
          </cell>
        </row>
        <row r="129">
          <cell r="A129" t="str">
            <v>S-JVS</v>
          </cell>
          <cell r="B129">
            <v>3099</v>
          </cell>
          <cell r="C129" t="str">
            <v>Y</v>
          </cell>
          <cell r="D129">
            <v>2149</v>
          </cell>
          <cell r="E129">
            <v>1799</v>
          </cell>
          <cell r="F129">
            <v>1619</v>
          </cell>
          <cell r="G129" t="str">
            <v>TL2</v>
          </cell>
          <cell r="H129">
            <v>19.568697884884529</v>
          </cell>
          <cell r="I129">
            <v>18.879153926356821</v>
          </cell>
          <cell r="J129">
            <v>352.04087494907264</v>
          </cell>
          <cell r="K129">
            <v>1950</v>
          </cell>
          <cell r="L129">
            <v>382.49653852433676</v>
          </cell>
          <cell r="M129">
            <v>23.625481070064033</v>
          </cell>
          <cell r="N129">
            <v>14</v>
          </cell>
          <cell r="O129">
            <v>0.115</v>
          </cell>
          <cell r="P129">
            <v>7.0000000000000007E-2</v>
          </cell>
          <cell r="Q129" t="str">
            <v>SF</v>
          </cell>
          <cell r="S129">
            <v>65</v>
          </cell>
          <cell r="T129">
            <v>252</v>
          </cell>
          <cell r="U129">
            <v>14.007782101167317</v>
          </cell>
          <cell r="V129">
            <v>14</v>
          </cell>
          <cell r="W129">
            <v>7</v>
          </cell>
          <cell r="X129">
            <v>36.899110617009455</v>
          </cell>
          <cell r="Y129">
            <v>34.444718962322419</v>
          </cell>
          <cell r="Z129">
            <v>65.177064826979887</v>
          </cell>
          <cell r="AA129">
            <v>65.866608785507594</v>
          </cell>
          <cell r="AB129">
            <v>18</v>
          </cell>
          <cell r="AC129">
            <v>0</v>
          </cell>
          <cell r="AD129">
            <v>1799</v>
          </cell>
          <cell r="AE129">
            <v>32.203389830508478</v>
          </cell>
          <cell r="AF129">
            <v>10.5</v>
          </cell>
          <cell r="AG129">
            <v>22.697095587062606</v>
          </cell>
          <cell r="AH129">
            <v>3.8179416607057846</v>
          </cell>
          <cell r="AI129">
            <v>44.703298078927503</v>
          </cell>
          <cell r="AJ129">
            <v>43</v>
          </cell>
          <cell r="AK129">
            <v>1481</v>
          </cell>
          <cell r="AL129" t="str">
            <v>PA</v>
          </cell>
          <cell r="AM129">
            <v>1457.7780279695835</v>
          </cell>
          <cell r="AN129">
            <v>-18.96731362036779</v>
          </cell>
          <cell r="AO129">
            <v>1</v>
          </cell>
        </row>
        <row r="130">
          <cell r="A130" t="str">
            <v>S-LO</v>
          </cell>
          <cell r="B130">
            <v>1999</v>
          </cell>
          <cell r="C130" t="str">
            <v>Y</v>
          </cell>
          <cell r="D130">
            <v>1349</v>
          </cell>
          <cell r="E130">
            <v>839</v>
          </cell>
          <cell r="F130">
            <v>779</v>
          </cell>
          <cell r="G130" t="str">
            <v>TL2</v>
          </cell>
          <cell r="H130">
            <v>20.108010108247612</v>
          </cell>
          <cell r="I130">
            <v>15.668645337750803</v>
          </cell>
          <cell r="J130">
            <v>168.70620480819747</v>
          </cell>
          <cell r="K130">
            <v>900</v>
          </cell>
          <cell r="L130">
            <v>186.90281529649999</v>
          </cell>
          <cell r="M130">
            <v>23.992659216495507</v>
          </cell>
          <cell r="N130">
            <v>8</v>
          </cell>
          <cell r="O130">
            <v>0</v>
          </cell>
          <cell r="P130">
            <v>0</v>
          </cell>
          <cell r="Q130" t="str">
            <v>SF</v>
          </cell>
          <cell r="S130">
            <v>34</v>
          </cell>
          <cell r="T130">
            <v>187</v>
          </cell>
          <cell r="U130">
            <v>22.288438617401667</v>
          </cell>
          <cell r="V130">
            <v>14</v>
          </cell>
          <cell r="W130">
            <v>7</v>
          </cell>
          <cell r="X130">
            <v>35.009535160905841</v>
          </cell>
          <cell r="Y130">
            <v>37.166880616174581</v>
          </cell>
          <cell r="Z130">
            <v>64.637752603616804</v>
          </cell>
          <cell r="AA130">
            <v>69.077117374113612</v>
          </cell>
          <cell r="AB130">
            <v>18</v>
          </cell>
          <cell r="AC130">
            <v>0</v>
          </cell>
          <cell r="AD130">
            <v>839</v>
          </cell>
          <cell r="AE130">
            <v>32.203389830508478</v>
          </cell>
          <cell r="AF130">
            <v>6</v>
          </cell>
          <cell r="AG130">
            <v>21.550380593334481</v>
          </cell>
          <cell r="AH130">
            <v>5.8817352555836777</v>
          </cell>
          <cell r="AI130">
            <v>42.95484167743421</v>
          </cell>
          <cell r="AJ130">
            <v>41.5</v>
          </cell>
          <cell r="AK130">
            <v>727</v>
          </cell>
          <cell r="AL130" t="str">
            <v>PA</v>
          </cell>
          <cell r="AM130">
            <v>714.15784480634659</v>
          </cell>
          <cell r="AN130">
            <v>-14.879875470042123</v>
          </cell>
          <cell r="AO130">
            <v>2</v>
          </cell>
        </row>
        <row r="131">
          <cell r="A131" t="str">
            <v>SL-VE-P</v>
          </cell>
          <cell r="B131">
            <v>2199</v>
          </cell>
          <cell r="C131" t="str">
            <v>Y</v>
          </cell>
          <cell r="D131">
            <v>1499</v>
          </cell>
          <cell r="E131">
            <v>549</v>
          </cell>
          <cell r="F131">
            <v>549</v>
          </cell>
          <cell r="G131" t="str">
            <v>TL1</v>
          </cell>
          <cell r="H131">
            <v>15.504924417875344</v>
          </cell>
          <cell r="I131">
            <v>15.504924417875344</v>
          </cell>
          <cell r="J131">
            <v>85.122035054135637</v>
          </cell>
          <cell r="K131">
            <v>600</v>
          </cell>
          <cell r="L131">
            <v>105.03924979999999</v>
          </cell>
          <cell r="M131">
            <v>19.132832386156647</v>
          </cell>
          <cell r="N131">
            <v>5</v>
          </cell>
          <cell r="O131">
            <v>0</v>
          </cell>
          <cell r="P131">
            <v>0</v>
          </cell>
          <cell r="Q131" t="str">
            <v>SF</v>
          </cell>
          <cell r="S131">
            <v>34</v>
          </cell>
          <cell r="T131">
            <v>154</v>
          </cell>
          <cell r="U131">
            <v>28.051001821493625</v>
          </cell>
          <cell r="V131">
            <v>14</v>
          </cell>
          <cell r="W131">
            <v>7</v>
          </cell>
          <cell r="X131">
            <v>43.794171220400727</v>
          </cell>
          <cell r="Y131">
            <v>43.794171220400727</v>
          </cell>
          <cell r="Z131">
            <v>69.240838293989071</v>
          </cell>
          <cell r="AA131">
            <v>69.240838293989071</v>
          </cell>
          <cell r="AB131">
            <v>18</v>
          </cell>
          <cell r="AC131">
            <v>0</v>
          </cell>
          <cell r="AD131">
            <v>549</v>
          </cell>
          <cell r="AE131">
            <v>32.203389830508478</v>
          </cell>
          <cell r="AF131">
            <v>3.75</v>
          </cell>
          <cell r="AG131">
            <v>24.726480385909667</v>
          </cell>
          <cell r="AH131">
            <v>9.2215559680343233</v>
          </cell>
          <cell r="AI131">
            <v>47.926921924204017</v>
          </cell>
          <cell r="AJ131">
            <v>45.5</v>
          </cell>
          <cell r="AK131">
            <v>410</v>
          </cell>
          <cell r="AL131" t="str">
            <v>PA</v>
          </cell>
          <cell r="AM131">
            <v>400.45806392173068</v>
          </cell>
          <cell r="AN131">
            <v>-27.056818957790401</v>
          </cell>
          <cell r="AO131">
            <v>3</v>
          </cell>
        </row>
        <row r="132">
          <cell r="A132" t="str">
            <v>S-MO-3</v>
          </cell>
          <cell r="B132">
            <v>1449</v>
          </cell>
          <cell r="C132" t="str">
            <v>Y</v>
          </cell>
          <cell r="D132">
            <v>999</v>
          </cell>
          <cell r="E132">
            <v>699</v>
          </cell>
          <cell r="F132" t="e">
            <v>#N/A</v>
          </cell>
          <cell r="G132" t="str">
            <v>TL1</v>
          </cell>
          <cell r="H132" t="str">
            <v>ERR</v>
          </cell>
          <cell r="I132" t="str">
            <v>ERR</v>
          </cell>
          <cell r="J132" t="str">
            <v>ERR</v>
          </cell>
          <cell r="K132">
            <v>750</v>
          </cell>
          <cell r="L132" t="e">
            <v>#N/A</v>
          </cell>
          <cell r="M132" t="e">
            <v>#N/A</v>
          </cell>
          <cell r="N132">
            <v>6</v>
          </cell>
          <cell r="O132">
            <v>0.115</v>
          </cell>
          <cell r="P132">
            <v>7.0000000000000007E-2</v>
          </cell>
          <cell r="Q132" t="str">
            <v>SF</v>
          </cell>
          <cell r="S132">
            <v>34</v>
          </cell>
          <cell r="T132">
            <v>154</v>
          </cell>
          <cell r="U132">
            <v>22.031473533619454</v>
          </cell>
          <cell r="V132">
            <v>14</v>
          </cell>
          <cell r="W132">
            <v>7</v>
          </cell>
          <cell r="X132">
            <v>47.398426323319029</v>
          </cell>
          <cell r="Y132" t="e">
            <v>#N/A</v>
          </cell>
          <cell r="Z132" t="e">
            <v>#N/A</v>
          </cell>
          <cell r="AA132" t="e">
            <v>#N/A</v>
          </cell>
          <cell r="AB132">
            <v>18</v>
          </cell>
          <cell r="AC132">
            <v>0</v>
          </cell>
          <cell r="AD132">
            <v>699</v>
          </cell>
          <cell r="AE132">
            <v>32.203389830508478</v>
          </cell>
          <cell r="AF132">
            <v>4.5</v>
          </cell>
          <cell r="AG132" t="e">
            <v>#N/A</v>
          </cell>
          <cell r="AH132" t="e">
            <v>#N/A</v>
          </cell>
          <cell r="AI132" t="str">
            <v>ERR</v>
          </cell>
          <cell r="AJ132" t="e">
            <v>#VALUE!</v>
          </cell>
          <cell r="AK132" t="e">
            <v>#N/A</v>
          </cell>
          <cell r="AL132" t="str">
            <v>PA</v>
          </cell>
          <cell r="AM132" t="e">
            <v>#N/A</v>
          </cell>
          <cell r="AN132" t="e">
            <v>#N/A</v>
          </cell>
          <cell r="AO132">
            <v>2</v>
          </cell>
        </row>
        <row r="133">
          <cell r="A133" t="str">
            <v>S-MO-5</v>
          </cell>
          <cell r="B133">
            <v>2399</v>
          </cell>
          <cell r="C133" t="str">
            <v>Y</v>
          </cell>
          <cell r="D133">
            <v>1649</v>
          </cell>
          <cell r="E133">
            <v>999</v>
          </cell>
          <cell r="F133" t="e">
            <v>#N/A</v>
          </cell>
          <cell r="G133" t="str">
            <v>TL1</v>
          </cell>
          <cell r="H133" t="str">
            <v>ERR</v>
          </cell>
          <cell r="I133" t="str">
            <v>ERR</v>
          </cell>
          <cell r="J133" t="str">
            <v>ERR</v>
          </cell>
          <cell r="K133">
            <v>1100</v>
          </cell>
          <cell r="L133" t="e">
            <v>#N/A</v>
          </cell>
          <cell r="M133" t="e">
            <v>#N/A</v>
          </cell>
          <cell r="N133">
            <v>10</v>
          </cell>
          <cell r="O133">
            <v>0.115</v>
          </cell>
          <cell r="P133">
            <v>7.0000000000000007E-2</v>
          </cell>
          <cell r="Q133" t="str">
            <v>SF</v>
          </cell>
          <cell r="S133">
            <v>34</v>
          </cell>
          <cell r="T133">
            <v>220</v>
          </cell>
          <cell r="U133">
            <v>22.022022022022021</v>
          </cell>
          <cell r="V133">
            <v>14</v>
          </cell>
          <cell r="W133">
            <v>7</v>
          </cell>
          <cell r="X133">
            <v>45.326826826826832</v>
          </cell>
          <cell r="Y133" t="e">
            <v>#N/A</v>
          </cell>
          <cell r="Z133" t="e">
            <v>#N/A</v>
          </cell>
          <cell r="AA133" t="e">
            <v>#N/A</v>
          </cell>
          <cell r="AB133">
            <v>18</v>
          </cell>
          <cell r="AC133">
            <v>0</v>
          </cell>
          <cell r="AD133">
            <v>999</v>
          </cell>
          <cell r="AE133">
            <v>32.203389830508478</v>
          </cell>
          <cell r="AF133">
            <v>7.5</v>
          </cell>
          <cell r="AG133" t="e">
            <v>#N/A</v>
          </cell>
          <cell r="AH133" t="e">
            <v>#N/A</v>
          </cell>
          <cell r="AI133" t="str">
            <v>ERR</v>
          </cell>
          <cell r="AJ133" t="e">
            <v>#VALUE!</v>
          </cell>
          <cell r="AK133" t="e">
            <v>#N/A</v>
          </cell>
          <cell r="AL133" t="str">
            <v>PA</v>
          </cell>
          <cell r="AM133" t="e">
            <v>#N/A</v>
          </cell>
          <cell r="AN133" t="e">
            <v>#N/A</v>
          </cell>
          <cell r="AO133">
            <v>1</v>
          </cell>
        </row>
        <row r="134">
          <cell r="A134" t="str">
            <v>S-PTE</v>
          </cell>
          <cell r="B134">
            <v>4499</v>
          </cell>
          <cell r="C134" t="str">
            <v>Y</v>
          </cell>
          <cell r="D134">
            <v>3099</v>
          </cell>
          <cell r="E134">
            <v>2799</v>
          </cell>
          <cell r="F134">
            <v>2349</v>
          </cell>
          <cell r="G134" t="str">
            <v>TL3</v>
          </cell>
          <cell r="H134">
            <v>22.548983930436478</v>
          </cell>
          <cell r="I134">
            <v>18.677953512538409</v>
          </cell>
          <cell r="J134">
            <v>631.14606021291706</v>
          </cell>
          <cell r="K134">
            <v>3000</v>
          </cell>
          <cell r="L134">
            <v>598.55100608433668</v>
          </cell>
          <cell r="M134">
            <v>25.481098598737194</v>
          </cell>
          <cell r="N134">
            <v>26</v>
          </cell>
          <cell r="O134">
            <v>0.115</v>
          </cell>
          <cell r="P134">
            <v>7.0000000000000007E-2</v>
          </cell>
          <cell r="Q134" t="str">
            <v>SF</v>
          </cell>
          <cell r="S134">
            <v>65</v>
          </cell>
          <cell r="T134">
            <v>348</v>
          </cell>
          <cell r="U134">
            <v>12.433011789924974</v>
          </cell>
          <cell r="V134">
            <v>14</v>
          </cell>
          <cell r="W134">
            <v>7</v>
          </cell>
          <cell r="X134">
            <v>33.755448374419437</v>
          </cell>
          <cell r="Y134">
            <v>32.17794806300553</v>
          </cell>
          <cell r="Z134">
            <v>62.196778781427938</v>
          </cell>
          <cell r="AA134">
            <v>66.067809199326007</v>
          </cell>
          <cell r="AB134">
            <v>18</v>
          </cell>
          <cell r="AC134">
            <v>0</v>
          </cell>
          <cell r="AD134">
            <v>2799</v>
          </cell>
          <cell r="AE134">
            <v>32.203389830508478</v>
          </cell>
          <cell r="AF134">
            <v>19.5</v>
          </cell>
          <cell r="AG134">
            <v>22.461236543937687</v>
          </cell>
          <cell r="AH134">
            <v>3.7832830313992787</v>
          </cell>
          <cell r="AI134">
            <v>44.377150805689261</v>
          </cell>
          <cell r="AJ134">
            <v>42.5</v>
          </cell>
          <cell r="AK134">
            <v>2329</v>
          </cell>
          <cell r="AL134" t="str">
            <v>PA</v>
          </cell>
          <cell r="AM134">
            <v>2293.6646446800833</v>
          </cell>
          <cell r="AN134">
            <v>-18.054139168271409</v>
          </cell>
          <cell r="AO134">
            <v>1</v>
          </cell>
        </row>
        <row r="135">
          <cell r="A135" t="str">
            <v>SR-BKN-2</v>
          </cell>
          <cell r="B135">
            <v>7999</v>
          </cell>
          <cell r="C135" t="str">
            <v>Y</v>
          </cell>
          <cell r="D135">
            <v>5599</v>
          </cell>
          <cell r="E135">
            <v>4999</v>
          </cell>
          <cell r="F135">
            <v>4399</v>
          </cell>
          <cell r="G135" t="str">
            <v>TL3</v>
          </cell>
          <cell r="H135">
            <v>23.283578811919853</v>
          </cell>
          <cell r="I135">
            <v>21.923767413882409</v>
          </cell>
          <cell r="J135">
            <v>1163.9461048078736</v>
          </cell>
          <cell r="K135">
            <v>5300</v>
          </cell>
          <cell r="L135">
            <v>1197.5034384648334</v>
          </cell>
          <cell r="M135">
            <v>27.222174095586119</v>
          </cell>
          <cell r="N135">
            <v>42</v>
          </cell>
          <cell r="O135">
            <v>0.115</v>
          </cell>
          <cell r="P135">
            <v>7.0000000000000007E-2</v>
          </cell>
          <cell r="Q135" t="str">
            <v>sf</v>
          </cell>
          <cell r="S135">
            <v>65</v>
          </cell>
          <cell r="T135">
            <v>476</v>
          </cell>
          <cell r="U135">
            <v>9.5219043808761743</v>
          </cell>
          <cell r="V135">
            <v>14</v>
          </cell>
          <cell r="W135">
            <v>7</v>
          </cell>
          <cell r="X135">
            <v>29.602220444088818</v>
          </cell>
          <cell r="Y135">
            <v>26.616503750852466</v>
          </cell>
          <cell r="Z135">
            <v>61.462183899944563</v>
          </cell>
          <cell r="AA135">
            <v>62.821995297982006</v>
          </cell>
          <cell r="AB135">
            <v>18</v>
          </cell>
          <cell r="AC135">
            <v>0</v>
          </cell>
          <cell r="AD135">
            <v>4999</v>
          </cell>
          <cell r="AE135">
            <v>32.203389830508478</v>
          </cell>
          <cell r="AF135">
            <v>31.5</v>
          </cell>
          <cell r="AG135">
            <v>19.95738711490597</v>
          </cell>
          <cell r="AH135">
            <v>-1.9663802989764392</v>
          </cell>
          <cell r="AI135">
            <v>40.42169441234828</v>
          </cell>
          <cell r="AJ135">
            <v>39.5</v>
          </cell>
          <cell r="AK135">
            <v>4630</v>
          </cell>
          <cell r="AL135" t="str">
            <v>PA</v>
          </cell>
          <cell r="AM135">
            <v>4560.5488097681364</v>
          </cell>
          <cell r="AN135">
            <v>-8.7707779602293172</v>
          </cell>
          <cell r="AO135">
            <v>1</v>
          </cell>
        </row>
        <row r="136">
          <cell r="A136" t="str">
            <v>SR-BKN-H</v>
          </cell>
          <cell r="B136">
            <v>18299</v>
          </cell>
          <cell r="C136" t="str">
            <v>Y</v>
          </cell>
          <cell r="D136">
            <v>12599</v>
          </cell>
          <cell r="E136">
            <v>10799</v>
          </cell>
          <cell r="F136">
            <v>9799</v>
          </cell>
          <cell r="G136" t="str">
            <v>TL3</v>
          </cell>
          <cell r="H136">
            <v>21.536845521135639</v>
          </cell>
          <cell r="I136">
            <v>21.474245542492014</v>
          </cell>
          <cell r="J136">
            <v>2325.7639478274377</v>
          </cell>
          <cell r="K136">
            <v>11450</v>
          </cell>
          <cell r="L136">
            <v>2894.0721559600001</v>
          </cell>
          <cell r="M136">
            <v>29.534362240636803</v>
          </cell>
          <cell r="N136">
            <v>113</v>
          </cell>
          <cell r="O136">
            <v>0.115</v>
          </cell>
          <cell r="P136">
            <v>7.0000000000000007E-2</v>
          </cell>
          <cell r="Q136" t="str">
            <v>SF</v>
          </cell>
          <cell r="S136">
            <v>65</v>
          </cell>
          <cell r="T136">
            <v>900</v>
          </cell>
          <cell r="U136">
            <v>8.3341050097231228</v>
          </cell>
          <cell r="V136">
            <v>14</v>
          </cell>
          <cell r="W136">
            <v>7</v>
          </cell>
          <cell r="X136">
            <v>27.565654227243265</v>
          </cell>
          <cell r="Y136">
            <v>23.990815389325444</v>
          </cell>
          <cell r="Z136">
            <v>63.208917190728776</v>
          </cell>
          <cell r="AA136">
            <v>63.271517169372402</v>
          </cell>
          <cell r="AB136">
            <v>18</v>
          </cell>
          <cell r="AC136">
            <v>0</v>
          </cell>
          <cell r="AD136">
            <v>10799</v>
          </cell>
          <cell r="AE136">
            <v>32.203389830508478</v>
          </cell>
          <cell r="AF136">
            <v>84.75</v>
          </cell>
          <cell r="AG136">
            <v>16.958132155733189</v>
          </cell>
          <cell r="AH136">
            <v>-4.5161133867588248</v>
          </cell>
          <cell r="AI136">
            <v>35.774891734756707</v>
          </cell>
          <cell r="AJ136">
            <v>35.5</v>
          </cell>
          <cell r="AK136">
            <v>11223</v>
          </cell>
          <cell r="AL136" t="str">
            <v>PA</v>
          </cell>
          <cell r="AM136">
            <v>11053.881063017037</v>
          </cell>
          <cell r="AN136">
            <v>2.3602283824153845</v>
          </cell>
          <cell r="AO136">
            <v>1</v>
          </cell>
        </row>
        <row r="137">
          <cell r="A137" t="str">
            <v>SR-BKN-T</v>
          </cell>
          <cell r="B137">
            <v>13499</v>
          </cell>
          <cell r="C137" t="str">
            <v>Y</v>
          </cell>
          <cell r="E137">
            <v>7799</v>
          </cell>
          <cell r="F137">
            <v>6799</v>
          </cell>
          <cell r="G137" t="str">
            <v>TL3</v>
          </cell>
          <cell r="H137">
            <v>22.298843523875085</v>
          </cell>
          <cell r="I137">
            <v>20.335110741408641</v>
          </cell>
          <cell r="J137">
            <v>1739.086806427018</v>
          </cell>
          <cell r="K137">
            <v>8300</v>
          </cell>
          <cell r="L137">
            <v>2071.2934041137501</v>
          </cell>
          <cell r="M137">
            <v>30.464677218910872</v>
          </cell>
          <cell r="N137">
            <v>76</v>
          </cell>
          <cell r="O137">
            <v>0.115</v>
          </cell>
          <cell r="P137">
            <v>7.0000000000000007E-2</v>
          </cell>
          <cell r="Q137" t="str">
            <v>SS</v>
          </cell>
          <cell r="S137">
            <v>100</v>
          </cell>
          <cell r="T137">
            <v>572.59999999999991</v>
          </cell>
          <cell r="U137">
            <v>7.3419669188357473</v>
          </cell>
          <cell r="V137">
            <v>0</v>
          </cell>
          <cell r="W137">
            <v>7</v>
          </cell>
          <cell r="X137">
            <v>27.124182587511221</v>
          </cell>
          <cell r="Y137">
            <v>23.89263126930431</v>
          </cell>
          <cell r="Z137">
            <v>62.44691918798933</v>
          </cell>
          <cell r="AA137">
            <v>64.410651970455774</v>
          </cell>
          <cell r="AB137">
            <v>18</v>
          </cell>
          <cell r="AC137">
            <v>0</v>
          </cell>
          <cell r="AD137">
            <v>7799</v>
          </cell>
          <cell r="AE137">
            <v>32.203389830508478</v>
          </cell>
          <cell r="AF137">
            <v>57</v>
          </cell>
          <cell r="AG137">
            <v>17.253061378422871</v>
          </cell>
          <cell r="AH137">
            <v>-3.0820493629857708</v>
          </cell>
          <cell r="AI137">
            <v>36.216752552684724</v>
          </cell>
          <cell r="AJ137">
            <v>36</v>
          </cell>
          <cell r="AK137">
            <v>8018</v>
          </cell>
          <cell r="AL137" t="str">
            <v>PA</v>
          </cell>
          <cell r="AM137">
            <v>7898.0564035257039</v>
          </cell>
          <cell r="AN137">
            <v>1.2701167268329774</v>
          </cell>
          <cell r="AO137">
            <v>1</v>
          </cell>
        </row>
        <row r="138">
          <cell r="A138" t="str">
            <v>SR-CLE</v>
          </cell>
          <cell r="B138">
            <v>8599</v>
          </cell>
          <cell r="C138" t="str">
            <v>Y</v>
          </cell>
          <cell r="D138">
            <v>5999</v>
          </cell>
          <cell r="E138">
            <v>4599</v>
          </cell>
          <cell r="F138">
            <v>4099</v>
          </cell>
          <cell r="G138" t="str">
            <v>TL3</v>
          </cell>
          <cell r="H138">
            <v>22.602107833517607</v>
          </cell>
          <cell r="I138">
            <v>21.778412434841485</v>
          </cell>
          <cell r="J138">
            <v>1039.4709392634747</v>
          </cell>
          <cell r="K138">
            <v>4900</v>
          </cell>
          <cell r="L138">
            <v>1103.8884871091502</v>
          </cell>
          <cell r="M138">
            <v>26.930677899710908</v>
          </cell>
          <cell r="N138">
            <v>40</v>
          </cell>
          <cell r="O138">
            <v>0.115</v>
          </cell>
          <cell r="P138">
            <v>7.0000000000000007E-2</v>
          </cell>
          <cell r="Q138" t="str">
            <v>sf</v>
          </cell>
          <cell r="S138">
            <v>65</v>
          </cell>
          <cell r="T138">
            <v>460</v>
          </cell>
          <cell r="U138">
            <v>10.00217438573603</v>
          </cell>
          <cell r="V138">
            <v>14</v>
          </cell>
          <cell r="W138">
            <v>7</v>
          </cell>
          <cell r="X138">
            <v>30.219939117199388</v>
          </cell>
          <cell r="Y138">
            <v>27.149548670407416</v>
          </cell>
          <cell r="Z138">
            <v>62.143654878346808</v>
          </cell>
          <cell r="AA138">
            <v>62.967350277022931</v>
          </cell>
          <cell r="AB138">
            <v>18</v>
          </cell>
          <cell r="AC138">
            <v>0</v>
          </cell>
          <cell r="AD138">
            <v>4599</v>
          </cell>
          <cell r="AE138">
            <v>32.203389830508478</v>
          </cell>
          <cell r="AF138">
            <v>30</v>
          </cell>
          <cell r="AG138">
            <v>19.887263355173062</v>
          </cell>
          <cell r="AH138">
            <v>-1.8911490796684234</v>
          </cell>
          <cell r="AI138">
            <v>40.32028285129158</v>
          </cell>
          <cell r="AJ138">
            <v>39.5</v>
          </cell>
          <cell r="AK138">
            <v>4272</v>
          </cell>
          <cell r="AL138" t="str">
            <v>PA</v>
          </cell>
          <cell r="AM138">
            <v>4207.8825911346084</v>
          </cell>
          <cell r="AN138">
            <v>-8.5044011494975322</v>
          </cell>
          <cell r="AO138">
            <v>1</v>
          </cell>
        </row>
        <row r="139">
          <cell r="A139" t="str">
            <v>SR-CLM-2</v>
          </cell>
          <cell r="B139">
            <v>7799</v>
          </cell>
          <cell r="C139" t="str">
            <v>Y</v>
          </cell>
          <cell r="D139">
            <v>5399</v>
          </cell>
          <cell r="E139">
            <v>4449</v>
          </cell>
          <cell r="F139">
            <v>3999</v>
          </cell>
          <cell r="G139" t="str">
            <v>TL3</v>
          </cell>
          <cell r="H139">
            <v>22.397497449097621</v>
          </cell>
          <cell r="I139">
            <v>21.963334066190626</v>
          </cell>
          <cell r="J139">
            <v>996.46466151035315</v>
          </cell>
          <cell r="K139">
            <v>4750</v>
          </cell>
          <cell r="L139">
            <v>1085.5709184514999</v>
          </cell>
          <cell r="M139">
            <v>27.146059476156534</v>
          </cell>
          <cell r="N139">
            <v>36</v>
          </cell>
          <cell r="O139">
            <v>0.115</v>
          </cell>
          <cell r="P139">
            <v>7.0000000000000007E-2</v>
          </cell>
          <cell r="Q139" t="str">
            <v>SF</v>
          </cell>
          <cell r="S139">
            <v>65</v>
          </cell>
          <cell r="T139">
            <v>428</v>
          </cell>
          <cell r="U139">
            <v>9.6201393571589122</v>
          </cell>
          <cell r="V139">
            <v>14</v>
          </cell>
          <cell r="W139">
            <v>7</v>
          </cell>
          <cell r="X139">
            <v>29.895819285232633</v>
          </cell>
          <cell r="Y139">
            <v>26.678169542385596</v>
          </cell>
          <cell r="Z139">
            <v>62.348265262766795</v>
          </cell>
          <cell r="AA139">
            <v>62.782428645673789</v>
          </cell>
          <cell r="AB139">
            <v>18</v>
          </cell>
          <cell r="AC139">
            <v>0</v>
          </cell>
          <cell r="AD139">
            <v>4449</v>
          </cell>
          <cell r="AE139">
            <v>32.203389830508478</v>
          </cell>
          <cell r="AF139">
            <v>27</v>
          </cell>
          <cell r="AG139">
            <v>19.535159609800523</v>
          </cell>
          <cell r="AH139">
            <v>-2.4281744563901029</v>
          </cell>
          <cell r="AI139">
            <v>39.74999776539034</v>
          </cell>
          <cell r="AJ139">
            <v>39</v>
          </cell>
          <cell r="AK139">
            <v>4192</v>
          </cell>
          <cell r="AL139" t="str">
            <v>PA</v>
          </cell>
          <cell r="AM139">
            <v>4128.6990696802259</v>
          </cell>
          <cell r="AN139">
            <v>-7.1993915558501707</v>
          </cell>
          <cell r="AO139">
            <v>1</v>
          </cell>
        </row>
        <row r="140">
          <cell r="A140" t="str">
            <v>SR-CLM-3</v>
          </cell>
          <cell r="B140">
            <v>10599</v>
          </cell>
          <cell r="C140" t="str">
            <v>Y</v>
          </cell>
          <cell r="D140">
            <v>7399</v>
          </cell>
          <cell r="E140">
            <v>6499</v>
          </cell>
          <cell r="F140">
            <v>5499</v>
          </cell>
          <cell r="G140" t="str">
            <v>TL3</v>
          </cell>
          <cell r="H140">
            <v>21.969592682499346</v>
          </cell>
          <cell r="I140">
            <v>18.417916008674098</v>
          </cell>
          <cell r="J140">
            <v>1427.8038284356326</v>
          </cell>
          <cell r="K140">
            <v>6900</v>
          </cell>
          <cell r="L140">
            <v>1680.0814212093499</v>
          </cell>
          <cell r="M140">
            <v>30.55248992924804</v>
          </cell>
          <cell r="N140">
            <v>57</v>
          </cell>
          <cell r="O140">
            <v>0.115</v>
          </cell>
          <cell r="P140">
            <v>7.0000000000000007E-2</v>
          </cell>
          <cell r="Q140" t="str">
            <v>sf</v>
          </cell>
          <cell r="S140">
            <v>65</v>
          </cell>
          <cell r="T140">
            <v>564</v>
          </cell>
          <cell r="U140">
            <v>8.6782581935682419</v>
          </cell>
          <cell r="V140">
            <v>14</v>
          </cell>
          <cell r="W140">
            <v>7</v>
          </cell>
          <cell r="X140">
            <v>28.393829819972304</v>
          </cell>
          <cell r="Y140">
            <v>25.693035097290416</v>
          </cell>
          <cell r="Z140">
            <v>62.776170029365069</v>
          </cell>
          <cell r="AA140">
            <v>66.327846703190318</v>
          </cell>
          <cell r="AB140">
            <v>18</v>
          </cell>
          <cell r="AC140">
            <v>0</v>
          </cell>
          <cell r="AD140">
            <v>6499</v>
          </cell>
          <cell r="AE140">
            <v>32.203389830508478</v>
          </cell>
          <cell r="AF140">
            <v>42.75</v>
          </cell>
          <cell r="AG140">
            <v>18.033195758577811</v>
          </cell>
          <cell r="AH140">
            <v>-0.38472025009628652</v>
          </cell>
          <cell r="AI140">
            <v>37.412642215018408</v>
          </cell>
          <cell r="AJ140">
            <v>37</v>
          </cell>
          <cell r="AK140">
            <v>6491</v>
          </cell>
          <cell r="AL140" t="str">
            <v>PA</v>
          </cell>
          <cell r="AM140">
            <v>6390.9365784658285</v>
          </cell>
          <cell r="AN140">
            <v>-1.662769988216211</v>
          </cell>
          <cell r="AO140">
            <v>1</v>
          </cell>
        </row>
        <row r="141">
          <cell r="A141" t="str">
            <v>SR-CLM-T</v>
          </cell>
          <cell r="B141">
            <v>10199</v>
          </cell>
          <cell r="C141" t="str">
            <v>Y</v>
          </cell>
          <cell r="D141">
            <v>8499</v>
          </cell>
          <cell r="E141">
            <v>7599</v>
          </cell>
          <cell r="F141">
            <v>6599</v>
          </cell>
          <cell r="G141" t="str">
            <v>TL3</v>
          </cell>
          <cell r="H141">
            <v>21.489409560540359</v>
          </cell>
          <cell r="I141">
            <v>19.207116311362597</v>
          </cell>
          <cell r="J141">
            <v>1632.980232505462</v>
          </cell>
          <cell r="K141">
            <v>8100</v>
          </cell>
          <cell r="L141">
            <v>2019.5753954654999</v>
          </cell>
          <cell r="M141">
            <v>30.604264213752085</v>
          </cell>
          <cell r="N141">
            <v>70</v>
          </cell>
          <cell r="O141">
            <v>0.115</v>
          </cell>
          <cell r="P141">
            <v>7.0000000000000007E-2</v>
          </cell>
          <cell r="Q141" t="str">
            <v>sf</v>
          </cell>
          <cell r="S141">
            <v>65</v>
          </cell>
          <cell r="T141">
            <v>636</v>
          </cell>
          <cell r="U141">
            <v>8.3695223055665231</v>
          </cell>
          <cell r="V141">
            <v>14</v>
          </cell>
          <cell r="W141">
            <v>7</v>
          </cell>
          <cell r="X141">
            <v>27.909132780629029</v>
          </cell>
          <cell r="Y141">
            <v>24.83497499621155</v>
          </cell>
          <cell r="Z141">
            <v>63.256353151324056</v>
          </cell>
          <cell r="AA141">
            <v>65.538646400501818</v>
          </cell>
          <cell r="AB141">
            <v>18</v>
          </cell>
          <cell r="AC141">
            <v>0</v>
          </cell>
          <cell r="AD141">
            <v>7599</v>
          </cell>
          <cell r="AE141">
            <v>32.203389830508478</v>
          </cell>
          <cell r="AF141">
            <v>52.5</v>
          </cell>
          <cell r="AG141">
            <v>17.274635080783483</v>
          </cell>
          <cell r="AH141">
            <v>-1.9324812305791141</v>
          </cell>
          <cell r="AI141">
            <v>36.235041115363138</v>
          </cell>
          <cell r="AJ141">
            <v>36</v>
          </cell>
          <cell r="AK141">
            <v>7807</v>
          </cell>
          <cell r="AL141" t="str">
            <v>PA</v>
          </cell>
          <cell r="AM141">
            <v>7688.3675964523391</v>
          </cell>
          <cell r="AN141">
            <v>1.1760441696583637</v>
          </cell>
          <cell r="AO141">
            <v>1</v>
          </cell>
        </row>
        <row r="142">
          <cell r="A142" t="str">
            <v>SR-FYN</v>
          </cell>
          <cell r="B142">
            <v>13599</v>
          </cell>
          <cell r="C142" t="str">
            <v>Y</v>
          </cell>
          <cell r="D142">
            <v>9499</v>
          </cell>
          <cell r="E142">
            <v>7999</v>
          </cell>
          <cell r="F142">
            <v>6999</v>
          </cell>
          <cell r="G142" t="str">
            <v>TL2</v>
          </cell>
          <cell r="H142">
            <v>19.148470512416679</v>
          </cell>
          <cell r="I142">
            <v>16.919324605937504</v>
          </cell>
          <cell r="J142">
            <v>1531.6861562882102</v>
          </cell>
          <cell r="K142">
            <v>8500</v>
          </cell>
          <cell r="L142">
            <v>2222.7912804765597</v>
          </cell>
          <cell r="M142">
            <v>31.758698106537501</v>
          </cell>
          <cell r="N142">
            <v>86</v>
          </cell>
          <cell r="O142">
            <v>0.115</v>
          </cell>
          <cell r="P142">
            <v>7.0000000000000007E-2</v>
          </cell>
          <cell r="Q142" t="str">
            <v>SF</v>
          </cell>
          <cell r="S142">
            <v>65</v>
          </cell>
          <cell r="T142">
            <v>732</v>
          </cell>
          <cell r="U142">
            <v>9.1511438929866245</v>
          </cell>
          <cell r="V142">
            <v>14</v>
          </cell>
          <cell r="W142">
            <v>7</v>
          </cell>
          <cell r="X142">
            <v>28.638767345918239</v>
          </cell>
          <cell r="Y142">
            <v>25.587369624232036</v>
          </cell>
          <cell r="Z142">
            <v>65.597292199447736</v>
          </cell>
          <cell r="AA142">
            <v>67.826438105926911</v>
          </cell>
          <cell r="AB142">
            <v>18</v>
          </cell>
          <cell r="AC142">
            <v>0</v>
          </cell>
          <cell r="AD142">
            <v>7999</v>
          </cell>
          <cell r="AE142">
            <v>32.203389830508478</v>
          </cell>
          <cell r="AF142">
            <v>64.5</v>
          </cell>
          <cell r="AG142">
            <v>15.94765753598076</v>
          </cell>
          <cell r="AH142">
            <v>-0.97166706995674446</v>
          </cell>
          <cell r="AI142">
            <v>34.197446736093106</v>
          </cell>
          <cell r="AJ142">
            <v>34</v>
          </cell>
          <cell r="AK142">
            <v>8618</v>
          </cell>
          <cell r="AL142" t="str">
            <v>PA</v>
          </cell>
          <cell r="AM142">
            <v>8488.7557392289327</v>
          </cell>
          <cell r="AN142">
            <v>6.1227120793715812</v>
          </cell>
          <cell r="AO142">
            <v>1</v>
          </cell>
        </row>
        <row r="143">
          <cell r="A143" t="str">
            <v>SR-KPN</v>
          </cell>
          <cell r="B143">
            <v>12399</v>
          </cell>
          <cell r="C143" t="str">
            <v>Y</v>
          </cell>
          <cell r="D143">
            <v>8499</v>
          </cell>
          <cell r="E143">
            <v>7499</v>
          </cell>
          <cell r="F143">
            <v>6449</v>
          </cell>
          <cell r="G143" t="str">
            <v>TL3</v>
          </cell>
          <cell r="H143">
            <v>22.68539494478587</v>
          </cell>
          <cell r="I143">
            <v>20.093072700184777</v>
          </cell>
          <cell r="J143">
            <v>1701.1777669094924</v>
          </cell>
          <cell r="K143">
            <v>7950</v>
          </cell>
          <cell r="L143">
            <v>1918.4902096640749</v>
          </cell>
          <cell r="M143">
            <v>29.748646451606064</v>
          </cell>
          <cell r="N143">
            <v>70</v>
          </cell>
          <cell r="O143">
            <v>0.115</v>
          </cell>
          <cell r="P143">
            <v>7.0000000000000007E-2</v>
          </cell>
          <cell r="Q143" t="str">
            <v>sf</v>
          </cell>
          <cell r="S143">
            <v>65</v>
          </cell>
          <cell r="T143">
            <v>636</v>
          </cell>
          <cell r="U143">
            <v>8.4811308174423257</v>
          </cell>
          <cell r="V143">
            <v>14</v>
          </cell>
          <cell r="W143">
            <v>7</v>
          </cell>
          <cell r="X143">
            <v>28.034604613948527</v>
          </cell>
          <cell r="Y143">
            <v>25.086990231043576</v>
          </cell>
          <cell r="Z143">
            <v>62.060367767078546</v>
          </cell>
          <cell r="AA143">
            <v>64.652690011679638</v>
          </cell>
          <cell r="AB143">
            <v>18</v>
          </cell>
          <cell r="AC143">
            <v>0</v>
          </cell>
          <cell r="AD143">
            <v>7499</v>
          </cell>
          <cell r="AE143">
            <v>32.203389830508478</v>
          </cell>
          <cell r="AF143">
            <v>52.5</v>
          </cell>
          <cell r="AG143">
            <v>18.258998969313325</v>
          </cell>
          <cell r="AH143">
            <v>-1.8340737308714523</v>
          </cell>
          <cell r="AI143">
            <v>37.783489331286859</v>
          </cell>
          <cell r="AJ143">
            <v>37.5</v>
          </cell>
          <cell r="AK143">
            <v>7426</v>
          </cell>
          <cell r="AL143" t="str">
            <v>PA</v>
          </cell>
          <cell r="AM143">
            <v>7314.0545564176318</v>
          </cell>
          <cell r="AN143">
            <v>-2.4662680835093771</v>
          </cell>
          <cell r="AO143">
            <v>1</v>
          </cell>
        </row>
        <row r="144">
          <cell r="A144" t="str">
            <v>SR-MVS</v>
          </cell>
          <cell r="B144">
            <v>10999</v>
          </cell>
          <cell r="C144" t="str">
            <v>Y</v>
          </cell>
          <cell r="D144">
            <v>7699</v>
          </cell>
          <cell r="E144">
            <v>6299</v>
          </cell>
          <cell r="F144">
            <v>5549</v>
          </cell>
          <cell r="G144" t="str">
            <v>TL2</v>
          </cell>
          <cell r="H144">
            <v>19.565876732627416</v>
          </cell>
          <cell r="I144">
            <v>17.756647234622775</v>
          </cell>
          <cell r="J144">
            <v>1232.454575388201</v>
          </cell>
          <cell r="K144">
            <v>6700</v>
          </cell>
          <cell r="L144">
            <v>1709.2977577685251</v>
          </cell>
          <cell r="M144">
            <v>30.803708015291495</v>
          </cell>
          <cell r="N144">
            <v>62</v>
          </cell>
          <cell r="O144">
            <v>0.115</v>
          </cell>
          <cell r="P144">
            <v>7.0000000000000007E-2</v>
          </cell>
          <cell r="Q144" t="str">
            <v>sf</v>
          </cell>
          <cell r="S144">
            <v>65</v>
          </cell>
          <cell r="T144">
            <v>588</v>
          </cell>
          <cell r="U144">
            <v>9.3348150500079381</v>
          </cell>
          <cell r="V144">
            <v>14</v>
          </cell>
          <cell r="W144">
            <v>7</v>
          </cell>
          <cell r="X144">
            <v>29.088982378155265</v>
          </cell>
          <cell r="Y144">
            <v>26.020183816903948</v>
          </cell>
          <cell r="Z144">
            <v>65.179885979237</v>
          </cell>
          <cell r="AA144">
            <v>66.98911547724164</v>
          </cell>
          <cell r="AB144">
            <v>18</v>
          </cell>
          <cell r="AC144">
            <v>0</v>
          </cell>
          <cell r="AD144">
            <v>6299</v>
          </cell>
          <cell r="AE144">
            <v>32.203389830508478</v>
          </cell>
          <cell r="AF144">
            <v>46.5</v>
          </cell>
          <cell r="AG144">
            <v>16.668142721512702</v>
          </cell>
          <cell r="AH144">
            <v>-1.0885045131100739</v>
          </cell>
          <cell r="AI144">
            <v>35.30164310141415</v>
          </cell>
          <cell r="AJ144">
            <v>35</v>
          </cell>
          <cell r="AK144">
            <v>6615</v>
          </cell>
          <cell r="AL144" t="str">
            <v>PA</v>
          </cell>
          <cell r="AM144">
            <v>6513.4244728011545</v>
          </cell>
          <cell r="AN144">
            <v>3.4041033942078815</v>
          </cell>
          <cell r="AO144">
            <v>1</v>
          </cell>
        </row>
        <row r="145">
          <cell r="A145" t="str">
            <v>SR-MVS-I</v>
          </cell>
          <cell r="B145">
            <v>8599</v>
          </cell>
          <cell r="C145" t="str">
            <v>Y</v>
          </cell>
          <cell r="D145">
            <v>5999</v>
          </cell>
          <cell r="E145">
            <v>4999</v>
          </cell>
          <cell r="F145">
            <v>4249</v>
          </cell>
          <cell r="G145" t="str">
            <v>TL3</v>
          </cell>
          <cell r="H145">
            <v>20.758161461553826</v>
          </cell>
          <cell r="I145">
            <v>17.229048508451228</v>
          </cell>
          <cell r="J145">
            <v>1037.7004914630757</v>
          </cell>
          <cell r="K145">
            <v>5300</v>
          </cell>
          <cell r="L145">
            <v>1268.3648018819749</v>
          </cell>
          <cell r="M145">
            <v>29.850901432854197</v>
          </cell>
          <cell r="N145">
            <v>45</v>
          </cell>
          <cell r="O145">
            <v>0.115</v>
          </cell>
          <cell r="P145">
            <v>7.0000000000000007E-2</v>
          </cell>
          <cell r="Q145" t="str">
            <v>SF</v>
          </cell>
          <cell r="S145">
            <v>65</v>
          </cell>
          <cell r="T145">
            <v>508</v>
          </cell>
          <cell r="U145">
            <v>10.162032406481297</v>
          </cell>
          <cell r="V145">
            <v>14</v>
          </cell>
          <cell r="W145">
            <v>7</v>
          </cell>
          <cell r="X145">
            <v>30.242348469693937</v>
          </cell>
          <cell r="Y145">
            <v>27.81501529771711</v>
          </cell>
          <cell r="Z145">
            <v>63.98760125031059</v>
          </cell>
          <cell r="AA145">
            <v>67.516714203413187</v>
          </cell>
          <cell r="AB145">
            <v>18</v>
          </cell>
          <cell r="AC145">
            <v>0</v>
          </cell>
          <cell r="AD145">
            <v>4999</v>
          </cell>
          <cell r="AE145">
            <v>32.203389830508478</v>
          </cell>
          <cell r="AF145">
            <v>33.75</v>
          </cell>
          <cell r="AG145">
            <v>18.494867342608686</v>
          </cell>
          <cell r="AH145">
            <v>1.2658188341574572</v>
          </cell>
          <cell r="AI145">
            <v>38.143942387005993</v>
          </cell>
          <cell r="AJ145">
            <v>38</v>
          </cell>
          <cell r="AK145">
            <v>4906</v>
          </cell>
          <cell r="AL145" t="str">
            <v>PA</v>
          </cell>
          <cell r="AM145">
            <v>4833.1567700565156</v>
          </cell>
          <cell r="AN145">
            <v>-3.3175281044905862</v>
          </cell>
          <cell r="AO145">
            <v>1</v>
          </cell>
        </row>
        <row r="146">
          <cell r="A146" t="str">
            <v>SR-MVS-IT</v>
          </cell>
          <cell r="B146">
            <v>15999</v>
          </cell>
          <cell r="C146" t="str">
            <v>Y</v>
          </cell>
          <cell r="D146">
            <v>10999</v>
          </cell>
          <cell r="E146">
            <v>9999</v>
          </cell>
          <cell r="F146">
            <v>8359</v>
          </cell>
          <cell r="G146" t="str">
            <v>TL3</v>
          </cell>
          <cell r="H146">
            <v>21.947407568663969</v>
          </cell>
          <cell r="I146">
            <v>17.756260010959849</v>
          </cell>
          <cell r="J146">
            <v>2194.5212827907103</v>
          </cell>
          <cell r="K146">
            <v>10600</v>
          </cell>
          <cell r="L146">
            <v>2700.5206998260246</v>
          </cell>
          <cell r="M146">
            <v>32.306743627539475</v>
          </cell>
          <cell r="N146">
            <v>102</v>
          </cell>
          <cell r="O146">
            <v>0.115</v>
          </cell>
          <cell r="P146">
            <v>7.0000000000000007E-2</v>
          </cell>
          <cell r="Q146" t="str">
            <v>SS</v>
          </cell>
          <cell r="S146">
            <v>100</v>
          </cell>
          <cell r="T146">
            <v>737.69999999999993</v>
          </cell>
          <cell r="U146">
            <v>7.3777377737773771</v>
          </cell>
          <cell r="V146">
            <v>0</v>
          </cell>
          <cell r="W146">
            <v>7</v>
          </cell>
          <cell r="X146">
            <v>26.877837783778375</v>
          </cell>
          <cell r="Y146">
            <v>24.021533676277066</v>
          </cell>
          <cell r="Z146">
            <v>62.798355143200446</v>
          </cell>
          <cell r="AA146">
            <v>66.989502700904566</v>
          </cell>
          <cell r="AB146">
            <v>18</v>
          </cell>
          <cell r="AC146">
            <v>0</v>
          </cell>
          <cell r="AD146">
            <v>9999</v>
          </cell>
          <cell r="AE146">
            <v>32.203389830508478</v>
          </cell>
          <cell r="AF146">
            <v>76.5</v>
          </cell>
          <cell r="AG146">
            <v>16.769388584666018</v>
          </cell>
          <cell r="AH146">
            <v>-0.98687142629383118</v>
          </cell>
          <cell r="AI146">
            <v>35.47099923685407</v>
          </cell>
          <cell r="AJ146">
            <v>35</v>
          </cell>
          <cell r="AK146">
            <v>10463</v>
          </cell>
          <cell r="AL146" t="str">
            <v>PA</v>
          </cell>
          <cell r="AM146">
            <v>10304.911864643249</v>
          </cell>
          <cell r="AN146">
            <v>3.0594245888913787</v>
          </cell>
          <cell r="AO146">
            <v>1</v>
          </cell>
        </row>
        <row r="147">
          <cell r="A147" t="str">
            <v>SR-MVS-T</v>
          </cell>
          <cell r="B147">
            <v>10499</v>
          </cell>
          <cell r="C147" t="str">
            <v>Y</v>
          </cell>
          <cell r="D147">
            <v>7299</v>
          </cell>
          <cell r="E147">
            <v>5499</v>
          </cell>
          <cell r="F147">
            <v>4799</v>
          </cell>
          <cell r="G147" t="str">
            <v>TL3</v>
          </cell>
          <cell r="H147">
            <v>21.685527318782292</v>
          </cell>
          <cell r="I147">
            <v>19.68580554858903</v>
          </cell>
          <cell r="J147">
            <v>1192.4871472598381</v>
          </cell>
          <cell r="K147">
            <v>5850</v>
          </cell>
          <cell r="L147">
            <v>1432.1558979440497</v>
          </cell>
          <cell r="M147">
            <v>29.842798456846211</v>
          </cell>
          <cell r="N147">
            <v>56</v>
          </cell>
          <cell r="O147">
            <v>0.115</v>
          </cell>
          <cell r="P147">
            <v>7.0000000000000007E-2</v>
          </cell>
          <cell r="Q147" t="str">
            <v>SS</v>
          </cell>
          <cell r="S147">
            <v>100</v>
          </cell>
          <cell r="T147">
            <v>445.6</v>
          </cell>
          <cell r="U147">
            <v>8.1032915075468264</v>
          </cell>
          <cell r="V147">
            <v>0</v>
          </cell>
          <cell r="W147">
            <v>7</v>
          </cell>
          <cell r="X147">
            <v>28.421803964357157</v>
          </cell>
          <cell r="Y147">
            <v>25.369035215669932</v>
          </cell>
          <cell r="Z147">
            <v>63.060235393082124</v>
          </cell>
          <cell r="AA147">
            <v>65.059957163275385</v>
          </cell>
          <cell r="AB147">
            <v>18</v>
          </cell>
          <cell r="AC147">
            <v>0</v>
          </cell>
          <cell r="AD147">
            <v>5499</v>
          </cell>
          <cell r="AE147">
            <v>32.203389830508478</v>
          </cell>
          <cell r="AF147">
            <v>42</v>
          </cell>
          <cell r="AG147">
            <v>17.73466424443923</v>
          </cell>
          <cell r="AH147">
            <v>-1.9511413041498002</v>
          </cell>
          <cell r="AI147">
            <v>36.985396140509344</v>
          </cell>
          <cell r="AJ147">
            <v>36.5</v>
          </cell>
          <cell r="AK147">
            <v>5554</v>
          </cell>
          <cell r="AL147" t="str">
            <v>PA</v>
          </cell>
          <cell r="AM147">
            <v>5470.024325355962</v>
          </cell>
          <cell r="AN147">
            <v>-0.52692625284666317</v>
          </cell>
          <cell r="AO147">
            <v>1</v>
          </cell>
        </row>
        <row r="148">
          <cell r="A148" t="str">
            <v>SR-OLY</v>
          </cell>
          <cell r="B148">
            <v>10499</v>
          </cell>
          <cell r="C148" t="str">
            <v>Y</v>
          </cell>
          <cell r="D148">
            <v>7299</v>
          </cell>
          <cell r="E148">
            <v>5999</v>
          </cell>
          <cell r="F148">
            <v>5499</v>
          </cell>
          <cell r="G148" t="str">
            <v>TL1</v>
          </cell>
          <cell r="H148">
            <v>18.691697398395235</v>
          </cell>
          <cell r="I148">
            <v>18.867814391169446</v>
          </cell>
          <cell r="J148">
            <v>1121.3149269297301</v>
          </cell>
          <cell r="K148">
            <v>6400</v>
          </cell>
          <cell r="L148">
            <v>1661.4799835752001</v>
          </cell>
          <cell r="M148">
            <v>30.214220468725223</v>
          </cell>
          <cell r="N148">
            <v>58</v>
          </cell>
          <cell r="O148">
            <v>0.115</v>
          </cell>
          <cell r="P148">
            <v>7.0000000000000007E-2</v>
          </cell>
          <cell r="Q148" t="str">
            <v>sf</v>
          </cell>
          <cell r="S148">
            <v>65</v>
          </cell>
          <cell r="T148">
            <v>564</v>
          </cell>
          <cell r="U148">
            <v>9.4015669278213032</v>
          </cell>
          <cell r="V148">
            <v>14</v>
          </cell>
          <cell r="W148">
            <v>7</v>
          </cell>
          <cell r="X148">
            <v>29.218453075512585</v>
          </cell>
          <cell r="Y148">
            <v>25.693035097290416</v>
          </cell>
          <cell r="Z148">
            <v>66.054065313469181</v>
          </cell>
          <cell r="AA148">
            <v>65.877948320694969</v>
          </cell>
          <cell r="AB148">
            <v>18</v>
          </cell>
          <cell r="AC148">
            <v>0</v>
          </cell>
          <cell r="AD148">
            <v>5999</v>
          </cell>
          <cell r="AE148">
            <v>32.203389830508478</v>
          </cell>
          <cell r="AF148">
            <v>43.5</v>
          </cell>
          <cell r="AG148">
            <v>16.121302976785174</v>
          </cell>
          <cell r="AH148">
            <v>-2.7465114143842726</v>
          </cell>
          <cell r="AI148">
            <v>34.438334952110047</v>
          </cell>
          <cell r="AJ148">
            <v>34</v>
          </cell>
          <cell r="AK148">
            <v>6424</v>
          </cell>
          <cell r="AL148" t="str">
            <v>PA</v>
          </cell>
          <cell r="AM148">
            <v>6325.9887467784101</v>
          </cell>
          <cell r="AN148">
            <v>5.4507208997901335</v>
          </cell>
          <cell r="AO148">
            <v>1</v>
          </cell>
        </row>
        <row r="149">
          <cell r="A149" t="str">
            <v>SR-PRG</v>
          </cell>
          <cell r="B149">
            <v>9299</v>
          </cell>
          <cell r="C149" t="str">
            <v>Y</v>
          </cell>
          <cell r="D149">
            <v>6399</v>
          </cell>
          <cell r="E149">
            <v>6299</v>
          </cell>
          <cell r="F149">
            <v>5599</v>
          </cell>
          <cell r="G149" t="str">
            <v>TL1</v>
          </cell>
          <cell r="H149">
            <v>17.354820650423733</v>
          </cell>
          <cell r="I149">
            <v>15.742361382160027</v>
          </cell>
          <cell r="J149">
            <v>1093.1801527701909</v>
          </cell>
          <cell r="K149">
            <v>6700</v>
          </cell>
          <cell r="L149">
            <v>1777.9251431956004</v>
          </cell>
          <cell r="M149">
            <v>31.75433368808002</v>
          </cell>
          <cell r="N149">
            <v>70</v>
          </cell>
          <cell r="O149">
            <v>0.115</v>
          </cell>
          <cell r="P149">
            <v>7.0000000000000007E-2</v>
          </cell>
          <cell r="Q149" t="str">
            <v>sf</v>
          </cell>
          <cell r="S149">
            <v>65</v>
          </cell>
          <cell r="T149">
            <v>636</v>
          </cell>
          <cell r="U149">
            <v>10.096840768375932</v>
          </cell>
          <cell r="V149">
            <v>14</v>
          </cell>
          <cell r="W149">
            <v>7</v>
          </cell>
          <cell r="X149">
            <v>29.851008096523259</v>
          </cell>
          <cell r="Y149">
            <v>26.770137524557956</v>
          </cell>
          <cell r="Z149">
            <v>67.390942061440683</v>
          </cell>
          <cell r="AA149">
            <v>69.003401329704388</v>
          </cell>
          <cell r="AB149">
            <v>18</v>
          </cell>
          <cell r="AC149">
            <v>0</v>
          </cell>
          <cell r="AD149">
            <v>6299</v>
          </cell>
          <cell r="AE149">
            <v>32.203389830508478</v>
          </cell>
          <cell r="AF149">
            <v>52.5</v>
          </cell>
          <cell r="AG149">
            <v>15.483392992554528</v>
          </cell>
          <cell r="AH149">
            <v>-0.25896838960549928</v>
          </cell>
          <cell r="AI149">
            <v>33.479388478628756</v>
          </cell>
          <cell r="AJ149">
            <v>33</v>
          </cell>
          <cell r="AK149">
            <v>6896</v>
          </cell>
          <cell r="AL149" t="str">
            <v>PA</v>
          </cell>
          <cell r="AM149">
            <v>6792.1704589475285</v>
          </cell>
          <cell r="AN149">
            <v>7.8293452761950855</v>
          </cell>
          <cell r="AO149">
            <v>1</v>
          </cell>
        </row>
        <row r="150">
          <cell r="A150" t="str">
            <v>SR-WHTO</v>
          </cell>
          <cell r="B150">
            <v>9299</v>
          </cell>
          <cell r="C150" t="str">
            <v>Y</v>
          </cell>
          <cell r="D150">
            <v>6499</v>
          </cell>
          <cell r="E150">
            <v>5999</v>
          </cell>
          <cell r="F150">
            <v>5099</v>
          </cell>
          <cell r="G150" t="str">
            <v>TL2</v>
          </cell>
          <cell r="H150">
            <v>19.58260831909719</v>
          </cell>
          <cell r="I150">
            <v>15.846319055812131</v>
          </cell>
          <cell r="J150">
            <v>1174.7606730626403</v>
          </cell>
          <cell r="K150">
            <v>6400</v>
          </cell>
          <cell r="L150">
            <v>1630.3177684376737</v>
          </cell>
          <cell r="M150">
            <v>31.973284338844355</v>
          </cell>
          <cell r="N150">
            <v>56</v>
          </cell>
          <cell r="O150">
            <v>0.115</v>
          </cell>
          <cell r="P150">
            <v>7.0000000000000007E-2</v>
          </cell>
          <cell r="Q150" t="str">
            <v>sf</v>
          </cell>
          <cell r="S150">
            <v>65</v>
          </cell>
          <cell r="T150">
            <v>552</v>
          </cell>
          <cell r="U150">
            <v>9.201533588931488</v>
          </cell>
          <cell r="V150">
            <v>14</v>
          </cell>
          <cell r="W150">
            <v>7</v>
          </cell>
          <cell r="X150">
            <v>29.018419736622768</v>
          </cell>
          <cell r="Y150">
            <v>26.374975485389292</v>
          </cell>
          <cell r="Z150">
            <v>65.163154392767225</v>
          </cell>
          <cell r="AA150">
            <v>68.899443656052284</v>
          </cell>
          <cell r="AB150">
            <v>18</v>
          </cell>
          <cell r="AC150">
            <v>0</v>
          </cell>
          <cell r="AD150">
            <v>5999</v>
          </cell>
          <cell r="AE150">
            <v>32.203389830508478</v>
          </cell>
          <cell r="AF150">
            <v>42</v>
          </cell>
          <cell r="AG150">
            <v>16.66576397257657</v>
          </cell>
          <cell r="AH150">
            <v>0.81944491676443931</v>
          </cell>
          <cell r="AI150">
            <v>35.283075416134608</v>
          </cell>
          <cell r="AJ150">
            <v>35</v>
          </cell>
          <cell r="AK150">
            <v>6301</v>
          </cell>
          <cell r="AL150" t="str">
            <v>PA</v>
          </cell>
          <cell r="AM150">
            <v>6204.9381085231798</v>
          </cell>
          <cell r="AN150">
            <v>3.432873954378727</v>
          </cell>
          <cell r="AO150">
            <v>1</v>
          </cell>
        </row>
        <row r="151">
          <cell r="A151" t="str">
            <v>SR-WMO</v>
          </cell>
          <cell r="B151">
            <v>10999</v>
          </cell>
          <cell r="C151" t="str">
            <v>Y</v>
          </cell>
          <cell r="D151">
            <v>7099</v>
          </cell>
          <cell r="E151">
            <v>7199</v>
          </cell>
          <cell r="F151">
            <v>5899</v>
          </cell>
          <cell r="G151" t="str">
            <v>TL1</v>
          </cell>
          <cell r="H151">
            <v>21.417053281496216</v>
          </cell>
          <cell r="I151">
            <v>16.037866595705637</v>
          </cell>
          <cell r="J151">
            <v>1541.8136657349125</v>
          </cell>
          <cell r="K151">
            <v>7650</v>
          </cell>
          <cell r="L151">
            <v>1959.0338543451001</v>
          </cell>
          <cell r="M151">
            <v>33.209592377438547</v>
          </cell>
          <cell r="N151">
            <v>76</v>
          </cell>
          <cell r="O151">
            <v>0.115</v>
          </cell>
          <cell r="P151">
            <v>7.0000000000000007E-2</v>
          </cell>
          <cell r="Q151" t="str">
            <v>SF</v>
          </cell>
          <cell r="S151">
            <v>65</v>
          </cell>
          <cell r="T151">
            <v>672</v>
          </cell>
          <cell r="U151">
            <v>9.3346298096957909</v>
          </cell>
          <cell r="V151">
            <v>14</v>
          </cell>
          <cell r="W151">
            <v>7</v>
          </cell>
          <cell r="X151">
            <v>28.932004445061814</v>
          </cell>
          <cell r="Y151">
            <v>26.730971351076455</v>
          </cell>
          <cell r="Z151">
            <v>63.3287094303682</v>
          </cell>
          <cell r="AA151">
            <v>68.707896116158778</v>
          </cell>
          <cell r="AB151">
            <v>18</v>
          </cell>
          <cell r="AC151">
            <v>0</v>
          </cell>
          <cell r="AD151">
            <v>7199</v>
          </cell>
          <cell r="AE151">
            <v>32.203389830508478</v>
          </cell>
          <cell r="AF151">
            <v>57</v>
          </cell>
          <cell r="AG151">
            <v>16.53801318771653</v>
          </cell>
          <cell r="AH151">
            <v>0.50014659201089273</v>
          </cell>
          <cell r="AI151">
            <v>37.237591687278737</v>
          </cell>
          <cell r="AJ151">
            <v>37</v>
          </cell>
          <cell r="AK151">
            <v>7596</v>
          </cell>
          <cell r="AL151" t="str">
            <v>P1-</v>
          </cell>
          <cell r="AM151">
            <v>7121.1870158532674</v>
          </cell>
          <cell r="AN151">
            <v>-1.080886013984339</v>
          </cell>
          <cell r="AO151">
            <v>2</v>
          </cell>
        </row>
        <row r="152">
          <cell r="A152" t="str">
            <v>S-RY</v>
          </cell>
          <cell r="B152">
            <v>2199</v>
          </cell>
          <cell r="C152" t="str">
            <v>Y</v>
          </cell>
          <cell r="D152">
            <v>1499</v>
          </cell>
          <cell r="E152">
            <v>899</v>
          </cell>
          <cell r="F152">
            <v>879</v>
          </cell>
          <cell r="G152" t="str">
            <v>TL1</v>
          </cell>
          <cell r="H152">
            <v>18.967958571743452</v>
          </cell>
          <cell r="I152">
            <v>17.630579637952295</v>
          </cell>
          <cell r="J152">
            <v>170.52194755997363</v>
          </cell>
          <cell r="K152">
            <v>1000</v>
          </cell>
          <cell r="L152">
            <v>220.61087159374998</v>
          </cell>
          <cell r="M152">
            <v>25.097937610210465</v>
          </cell>
          <cell r="N152">
            <v>8</v>
          </cell>
          <cell r="O152">
            <v>0</v>
          </cell>
          <cell r="P152">
            <v>0</v>
          </cell>
          <cell r="Q152" t="str">
            <v>SF</v>
          </cell>
          <cell r="S152">
            <v>34</v>
          </cell>
          <cell r="T152">
            <v>187</v>
          </cell>
          <cell r="U152">
            <v>20.800889877641822</v>
          </cell>
          <cell r="V152">
            <v>14</v>
          </cell>
          <cell r="W152">
            <v>7</v>
          </cell>
          <cell r="X152">
            <v>33.140155728587317</v>
          </cell>
          <cell r="Y152">
            <v>33.734926052332199</v>
          </cell>
          <cell r="Z152">
            <v>65.777804140120963</v>
          </cell>
          <cell r="AA152">
            <v>67.115183073912121</v>
          </cell>
          <cell r="AB152">
            <v>18</v>
          </cell>
          <cell r="AC152">
            <v>0</v>
          </cell>
          <cell r="AD152">
            <v>899</v>
          </cell>
          <cell r="AE152">
            <v>32.203389830508478</v>
          </cell>
          <cell r="AF152">
            <v>6</v>
          </cell>
          <cell r="AG152">
            <v>19.335379378157938</v>
          </cell>
          <cell r="AH152">
            <v>1.7047997402056438</v>
          </cell>
          <cell r="AI152">
            <v>39.460033161375847</v>
          </cell>
          <cell r="AJ152">
            <v>39</v>
          </cell>
          <cell r="AK152">
            <v>854</v>
          </cell>
          <cell r="AL152" t="str">
            <v>PA</v>
          </cell>
          <cell r="AM152">
            <v>840.38089590105164</v>
          </cell>
          <cell r="AN152">
            <v>-6.520478765177792</v>
          </cell>
          <cell r="AO152">
            <v>2</v>
          </cell>
        </row>
        <row r="153">
          <cell r="A153" t="str">
            <v>S-T-16S4</v>
          </cell>
          <cell r="B153">
            <v>1999</v>
          </cell>
          <cell r="C153" t="str">
            <v>Y</v>
          </cell>
          <cell r="D153">
            <v>1399</v>
          </cell>
          <cell r="E153">
            <v>799</v>
          </cell>
          <cell r="F153">
            <v>699</v>
          </cell>
          <cell r="G153" t="str">
            <v>TL1</v>
          </cell>
          <cell r="H153" t="str">
            <v>ERR</v>
          </cell>
          <cell r="I153" t="str">
            <v>ERR</v>
          </cell>
          <cell r="J153" t="str">
            <v>ERR</v>
          </cell>
          <cell r="K153">
            <v>850</v>
          </cell>
          <cell r="L153" t="e">
            <v>#N/A</v>
          </cell>
          <cell r="M153" t="e">
            <v>#N/A</v>
          </cell>
          <cell r="N153">
            <v>8</v>
          </cell>
          <cell r="O153">
            <v>0</v>
          </cell>
          <cell r="P153">
            <v>0</v>
          </cell>
          <cell r="Q153" t="str">
            <v>SF</v>
          </cell>
          <cell r="S153">
            <v>34</v>
          </cell>
          <cell r="T153">
            <v>187</v>
          </cell>
          <cell r="U153">
            <v>23.404255319148934</v>
          </cell>
          <cell r="V153">
            <v>14</v>
          </cell>
          <cell r="W153">
            <v>7</v>
          </cell>
          <cell r="X153">
            <v>36.411764705882348</v>
          </cell>
          <cell r="Y153">
            <v>40.619456366237479</v>
          </cell>
          <cell r="Z153" t="e">
            <v>#N/A</v>
          </cell>
          <cell r="AA153" t="e">
            <v>#N/A</v>
          </cell>
          <cell r="AB153">
            <v>18</v>
          </cell>
          <cell r="AC153">
            <v>0</v>
          </cell>
          <cell r="AD153">
            <v>799</v>
          </cell>
          <cell r="AE153">
            <v>32.203389830508478</v>
          </cell>
          <cell r="AF153">
            <v>6</v>
          </cell>
          <cell r="AG153" t="e">
            <v>#N/A</v>
          </cell>
          <cell r="AH153" t="e">
            <v>#N/A</v>
          </cell>
          <cell r="AI153" t="str">
            <v>ERR</v>
          </cell>
          <cell r="AJ153" t="e">
            <v>#VALUE!</v>
          </cell>
          <cell r="AK153" t="e">
            <v>#N/A</v>
          </cell>
          <cell r="AL153" t="str">
            <v>PA</v>
          </cell>
          <cell r="AM153" t="e">
            <v>#N/A</v>
          </cell>
          <cell r="AN153" t="e">
            <v>#N/A</v>
          </cell>
          <cell r="AO153">
            <v>2</v>
          </cell>
        </row>
        <row r="154">
          <cell r="A154" t="str">
            <v>ST-AML</v>
          </cell>
          <cell r="B154">
            <v>7299</v>
          </cell>
          <cell r="C154" t="str">
            <v>Y</v>
          </cell>
          <cell r="D154">
            <v>4999</v>
          </cell>
          <cell r="E154">
            <v>4599</v>
          </cell>
          <cell r="F154">
            <v>3999</v>
          </cell>
          <cell r="G154" t="str">
            <v>TL2</v>
          </cell>
          <cell r="H154">
            <v>20.477902576494671</v>
          </cell>
          <cell r="I154">
            <v>18.111006832253139</v>
          </cell>
          <cell r="J154">
            <v>941.77873949298998</v>
          </cell>
          <cell r="K154">
            <v>4900</v>
          </cell>
          <cell r="L154">
            <v>1165.3111937034998</v>
          </cell>
          <cell r="M154">
            <v>29.140064858802194</v>
          </cell>
          <cell r="N154">
            <v>42</v>
          </cell>
          <cell r="O154">
            <v>0.115</v>
          </cell>
          <cell r="P154">
            <v>7.0000000000000007E-2</v>
          </cell>
          <cell r="Q154" t="str">
            <v>sf</v>
          </cell>
          <cell r="S154">
            <v>65</v>
          </cell>
          <cell r="T154">
            <v>476</v>
          </cell>
          <cell r="U154">
            <v>10.350076103500761</v>
          </cell>
          <cell r="V154">
            <v>14</v>
          </cell>
          <cell r="W154">
            <v>7</v>
          </cell>
          <cell r="X154">
            <v>30.567840834964123</v>
          </cell>
          <cell r="Y154">
            <v>27.878469617404352</v>
          </cell>
          <cell r="Z154">
            <v>64.267860135369745</v>
          </cell>
          <cell r="AA154">
            <v>66.634755879611276</v>
          </cell>
          <cell r="AB154">
            <v>18</v>
          </cell>
          <cell r="AC154">
            <v>0</v>
          </cell>
          <cell r="AD154">
            <v>4599</v>
          </cell>
          <cell r="AE154">
            <v>32.203389830508478</v>
          </cell>
          <cell r="AF154">
            <v>31.5</v>
          </cell>
          <cell r="AG154">
            <v>18.519080998261785</v>
          </cell>
          <cell r="AH154">
            <v>0.40807416600864599</v>
          </cell>
          <cell r="AI154">
            <v>38.18575804743918</v>
          </cell>
          <cell r="AJ154">
            <v>38</v>
          </cell>
          <cell r="AK154">
            <v>4509</v>
          </cell>
          <cell r="AL154" t="str">
            <v>PA</v>
          </cell>
          <cell r="AM154">
            <v>4441.1589174176916</v>
          </cell>
          <cell r="AN154">
            <v>-3.4320739852643714</v>
          </cell>
          <cell r="AO154">
            <v>1</v>
          </cell>
        </row>
        <row r="155">
          <cell r="A155" t="str">
            <v>ST-CBN</v>
          </cell>
          <cell r="B155">
            <v>8899</v>
          </cell>
          <cell r="C155" t="str">
            <v>Y</v>
          </cell>
          <cell r="D155">
            <v>8499</v>
          </cell>
          <cell r="E155">
            <v>7299</v>
          </cell>
          <cell r="F155">
            <v>6139</v>
          </cell>
          <cell r="G155" t="str">
            <v>TL3</v>
          </cell>
          <cell r="H155">
            <v>21.634039218541616</v>
          </cell>
          <cell r="I155">
            <v>17.704392818109227</v>
          </cell>
          <cell r="J155">
            <v>1579.0685225613527</v>
          </cell>
          <cell r="K155">
            <v>7750</v>
          </cell>
          <cell r="L155">
            <v>1928.7290960734065</v>
          </cell>
          <cell r="M155">
            <v>31.417642874627894</v>
          </cell>
          <cell r="N155">
            <v>65</v>
          </cell>
          <cell r="O155">
            <v>0.115</v>
          </cell>
          <cell r="P155">
            <v>7.0000000000000007E-2</v>
          </cell>
          <cell r="Q155" t="str">
            <v>sf</v>
          </cell>
          <cell r="S155">
            <v>65</v>
          </cell>
          <cell r="T155">
            <v>612</v>
          </cell>
          <cell r="U155">
            <v>8.3847102342786695</v>
          </cell>
          <cell r="V155">
            <v>14</v>
          </cell>
          <cell r="W155">
            <v>7</v>
          </cell>
          <cell r="X155">
            <v>27.967050280860391</v>
          </cell>
          <cell r="Y155">
            <v>25.255904870500082</v>
          </cell>
          <cell r="Z155">
            <v>63.111723493322799</v>
          </cell>
          <cell r="AA155">
            <v>67.041369893755189</v>
          </cell>
          <cell r="AB155">
            <v>18</v>
          </cell>
          <cell r="AC155">
            <v>0</v>
          </cell>
          <cell r="AD155">
            <v>7299</v>
          </cell>
          <cell r="AE155">
            <v>32.203389830508478</v>
          </cell>
          <cell r="AF155">
            <v>48.75</v>
          </cell>
          <cell r="AG155">
            <v>17.449906843906874</v>
          </cell>
          <cell r="AH155">
            <v>-0.2544859742023533</v>
          </cell>
          <cell r="AI155">
            <v>36.501163948792929</v>
          </cell>
          <cell r="AJ155">
            <v>36.5</v>
          </cell>
          <cell r="AK155">
            <v>7450</v>
          </cell>
          <cell r="AL155" t="str">
            <v>PA</v>
          </cell>
          <cell r="AM155">
            <v>7336.1616572645471</v>
          </cell>
          <cell r="AN155">
            <v>0.50913354246536657</v>
          </cell>
          <cell r="AO155">
            <v>1</v>
          </cell>
        </row>
        <row r="156">
          <cell r="A156" t="str">
            <v>ST-CBN-LS</v>
          </cell>
          <cell r="B156">
            <v>6599</v>
          </cell>
          <cell r="C156" t="str">
            <v>Y</v>
          </cell>
          <cell r="D156">
            <v>4599</v>
          </cell>
          <cell r="E156">
            <v>5099</v>
          </cell>
          <cell r="F156">
            <v>3999</v>
          </cell>
          <cell r="G156" t="str">
            <v>TL3</v>
          </cell>
          <cell r="H156">
            <v>21.441683927673431</v>
          </cell>
          <cell r="I156">
            <v>13.617481211341826</v>
          </cell>
          <cell r="J156">
            <v>1093.3114634720682</v>
          </cell>
          <cell r="K156">
            <v>5450</v>
          </cell>
          <cell r="L156">
            <v>1300.4210354931565</v>
          </cell>
          <cell r="M156">
            <v>32.518655551216717</v>
          </cell>
          <cell r="N156">
            <v>41</v>
          </cell>
          <cell r="O156">
            <v>0.115</v>
          </cell>
          <cell r="P156">
            <v>7.0000000000000007E-2</v>
          </cell>
          <cell r="Q156" t="str">
            <v>SF</v>
          </cell>
          <cell r="S156">
            <v>65</v>
          </cell>
          <cell r="T156">
            <v>476</v>
          </cell>
          <cell r="U156">
            <v>9.3351637575995294</v>
          </cell>
          <cell r="V156">
            <v>14</v>
          </cell>
          <cell r="W156">
            <v>7</v>
          </cell>
          <cell r="X156">
            <v>29.384487154343987</v>
          </cell>
          <cell r="Y156">
            <v>27.878469617404352</v>
          </cell>
          <cell r="Z156">
            <v>63.304078784190985</v>
          </cell>
          <cell r="AA156">
            <v>71.12828150052259</v>
          </cell>
          <cell r="AB156">
            <v>18</v>
          </cell>
          <cell r="AC156">
            <v>0</v>
          </cell>
          <cell r="AD156">
            <v>5099</v>
          </cell>
          <cell r="AE156">
            <v>32.203389830508478</v>
          </cell>
          <cell r="AF156">
            <v>30.75</v>
          </cell>
          <cell r="AG156">
            <v>18.435861104671162</v>
          </cell>
          <cell r="AH156">
            <v>4.818379893329336</v>
          </cell>
          <cell r="AI156">
            <v>38.023271757149253</v>
          </cell>
          <cell r="AJ156">
            <v>38</v>
          </cell>
          <cell r="AK156">
            <v>5015</v>
          </cell>
          <cell r="AL156" t="str">
            <v>PA</v>
          </cell>
          <cell r="AM156">
            <v>4940.5037825933696</v>
          </cell>
          <cell r="AN156">
            <v>-3.1083784547289746</v>
          </cell>
          <cell r="AO156">
            <v>1</v>
          </cell>
        </row>
        <row r="157">
          <cell r="A157" t="str">
            <v>ST-CBN-P</v>
          </cell>
          <cell r="B157">
            <v>6499</v>
          </cell>
          <cell r="C157" t="str">
            <v>Y</v>
          </cell>
          <cell r="D157">
            <v>4549</v>
          </cell>
          <cell r="E157">
            <v>3799</v>
          </cell>
          <cell r="F157">
            <v>3649</v>
          </cell>
          <cell r="G157" t="str">
            <v>TL2</v>
          </cell>
          <cell r="H157">
            <v>19.156049710204144</v>
          </cell>
          <cell r="I157">
            <v>21.720325689856381</v>
          </cell>
          <cell r="J157">
            <v>727.73832849065536</v>
          </cell>
          <cell r="K157">
            <v>4050</v>
          </cell>
          <cell r="L157">
            <v>987.92345634065668</v>
          </cell>
          <cell r="M157">
            <v>27.07381354729122</v>
          </cell>
          <cell r="N157">
            <v>32</v>
          </cell>
          <cell r="O157">
            <v>0.115</v>
          </cell>
          <cell r="P157">
            <v>7.0000000000000007E-2</v>
          </cell>
          <cell r="Q157" t="str">
            <v>SF</v>
          </cell>
          <cell r="S157">
            <v>65</v>
          </cell>
          <cell r="T157">
            <v>396</v>
          </cell>
          <cell r="U157">
            <v>10.423795735719926</v>
          </cell>
          <cell r="V157">
            <v>14</v>
          </cell>
          <cell r="W157">
            <v>7</v>
          </cell>
          <cell r="X157">
            <v>31.003290339563044</v>
          </cell>
          <cell r="Y157">
            <v>27.017265004110715</v>
          </cell>
          <cell r="Z157">
            <v>65.589713001660272</v>
          </cell>
          <cell r="AA157">
            <v>63.025437022008035</v>
          </cell>
          <cell r="AB157">
            <v>18</v>
          </cell>
          <cell r="AC157">
            <v>0</v>
          </cell>
          <cell r="AD157">
            <v>3799</v>
          </cell>
          <cell r="AE157">
            <v>32.203389830508478</v>
          </cell>
          <cell r="AF157">
            <v>24</v>
          </cell>
          <cell r="AG157">
            <v>17.905798616005669</v>
          </cell>
          <cell r="AH157">
            <v>-3.8145270738507122</v>
          </cell>
          <cell r="AI157">
            <v>37.202561927322293</v>
          </cell>
          <cell r="AJ157">
            <v>37</v>
          </cell>
          <cell r="AK157">
            <v>3812</v>
          </cell>
          <cell r="AL157" t="str">
            <v>PA</v>
          </cell>
          <cell r="AM157">
            <v>3755.0199722172238</v>
          </cell>
          <cell r="AN157">
            <v>-1.1576738031791585</v>
          </cell>
          <cell r="AO157">
            <v>1</v>
          </cell>
        </row>
        <row r="158">
          <cell r="A158" t="str">
            <v>ST-CBN-S</v>
          </cell>
          <cell r="B158">
            <v>5199</v>
          </cell>
          <cell r="C158" t="str">
            <v>Y</v>
          </cell>
          <cell r="D158">
            <v>3499</v>
          </cell>
          <cell r="E158">
            <v>2999</v>
          </cell>
          <cell r="F158">
            <v>2699</v>
          </cell>
          <cell r="G158" t="str">
            <v>TL2</v>
          </cell>
          <cell r="H158">
            <v>20.303746083565869</v>
          </cell>
          <cell r="I158">
            <v>19.697186250853903</v>
          </cell>
          <cell r="J158">
            <v>608.9093450461404</v>
          </cell>
          <cell r="K158">
            <v>3200</v>
          </cell>
          <cell r="L158">
            <v>738.94817946065677</v>
          </cell>
          <cell r="M158">
            <v>27.378591310139193</v>
          </cell>
          <cell r="N158">
            <v>22</v>
          </cell>
          <cell r="O158">
            <v>0.115</v>
          </cell>
          <cell r="P158">
            <v>7.0000000000000007E-2</v>
          </cell>
          <cell r="Q158" t="str">
            <v>SF</v>
          </cell>
          <cell r="S158">
            <v>65</v>
          </cell>
          <cell r="T158">
            <v>316</v>
          </cell>
          <cell r="U158">
            <v>10.536845615205069</v>
          </cell>
          <cell r="V158">
            <v>14</v>
          </cell>
          <cell r="W158">
            <v>7</v>
          </cell>
          <cell r="X158">
            <v>31.671057019006334</v>
          </cell>
          <cell r="Y158">
            <v>28.63505001852538</v>
          </cell>
          <cell r="Z158">
            <v>64.442016628298546</v>
          </cell>
          <cell r="AA158">
            <v>65.048576461010512</v>
          </cell>
          <cell r="AB158">
            <v>18</v>
          </cell>
          <cell r="AC158">
            <v>0</v>
          </cell>
          <cell r="AD158">
            <v>2999</v>
          </cell>
          <cell r="AE158">
            <v>32.203389830508478</v>
          </cell>
          <cell r="AF158">
            <v>16.5</v>
          </cell>
          <cell r="AG158">
            <v>19.352370231784178</v>
          </cell>
          <cell r="AH158">
            <v>-0.34481601906972514</v>
          </cell>
          <cell r="AI158">
            <v>39.441051255566698</v>
          </cell>
          <cell r="AJ158">
            <v>39</v>
          </cell>
          <cell r="AK158">
            <v>2846</v>
          </cell>
          <cell r="AL158" t="str">
            <v>PA</v>
          </cell>
          <cell r="AM158">
            <v>2802.8107001728395</v>
          </cell>
          <cell r="AN158">
            <v>-6.5418239355505348</v>
          </cell>
          <cell r="AO158">
            <v>1</v>
          </cell>
        </row>
        <row r="159">
          <cell r="A159" t="str">
            <v>ST-EFI-LA</v>
          </cell>
          <cell r="B159">
            <v>5999</v>
          </cell>
          <cell r="C159" t="str">
            <v>Y</v>
          </cell>
          <cell r="D159">
            <v>4149</v>
          </cell>
          <cell r="E159">
            <v>2999</v>
          </cell>
          <cell r="F159">
            <v>2749</v>
          </cell>
          <cell r="G159" t="str">
            <v>TL1</v>
          </cell>
          <cell r="H159">
            <v>17.189848044739961</v>
          </cell>
          <cell r="I159">
            <v>17.22859716559077</v>
          </cell>
          <cell r="J159">
            <v>515.52354286175148</v>
          </cell>
          <cell r="K159">
            <v>3200</v>
          </cell>
          <cell r="L159">
            <v>749.01269238124985</v>
          </cell>
          <cell r="M159">
            <v>27.246733080438336</v>
          </cell>
          <cell r="N159">
            <v>32</v>
          </cell>
          <cell r="O159">
            <v>0.115</v>
          </cell>
          <cell r="P159">
            <v>7.0000000000000007E-2</v>
          </cell>
          <cell r="Q159" t="str">
            <v>SF</v>
          </cell>
          <cell r="S159">
            <v>65</v>
          </cell>
          <cell r="T159">
            <v>396</v>
          </cell>
          <cell r="U159">
            <v>13.204401467155719</v>
          </cell>
          <cell r="V159">
            <v>14</v>
          </cell>
          <cell r="W159">
            <v>7</v>
          </cell>
          <cell r="X159">
            <v>34.338612870956986</v>
          </cell>
          <cell r="Y159">
            <v>31.279010549290653</v>
          </cell>
          <cell r="Z159">
            <v>67.555914667124455</v>
          </cell>
          <cell r="AA159">
            <v>67.517165546273645</v>
          </cell>
          <cell r="AB159">
            <v>18</v>
          </cell>
          <cell r="AC159">
            <v>0</v>
          </cell>
          <cell r="AD159">
            <v>2999</v>
          </cell>
          <cell r="AE159">
            <v>32.203389830508478</v>
          </cell>
          <cell r="AF159">
            <v>24</v>
          </cell>
          <cell r="AG159">
            <v>18.766691241434287</v>
          </cell>
          <cell r="AH159">
            <v>1.5380940758435173</v>
          </cell>
          <cell r="AI159">
            <v>38.61926910893186</v>
          </cell>
          <cell r="AJ159">
            <v>38</v>
          </cell>
          <cell r="AK159">
            <v>2912</v>
          </cell>
          <cell r="AL159" t="str">
            <v>PA</v>
          </cell>
          <cell r="AM159">
            <v>2868.9826485716167</v>
          </cell>
          <cell r="AN159">
            <v>-4.3353568332238526</v>
          </cell>
          <cell r="AO159">
            <v>1</v>
          </cell>
        </row>
        <row r="160">
          <cell r="A160" t="str">
            <v>ST-EFI-ST</v>
          </cell>
          <cell r="B160">
            <v>4399</v>
          </cell>
          <cell r="C160" t="str">
            <v>Y</v>
          </cell>
          <cell r="D160">
            <v>3049</v>
          </cell>
          <cell r="E160">
            <v>2299</v>
          </cell>
          <cell r="F160">
            <v>1999</v>
          </cell>
          <cell r="G160" t="str">
            <v>TL1</v>
          </cell>
          <cell r="H160">
            <v>18.026178785477939</v>
          </cell>
          <cell r="I160">
            <v>15.289622918586531</v>
          </cell>
          <cell r="J160">
            <v>414.42185027813781</v>
          </cell>
          <cell r="K160">
            <v>2450</v>
          </cell>
          <cell r="L160">
            <v>548.54754471249998</v>
          </cell>
          <cell r="M160">
            <v>27.441097784517261</v>
          </cell>
          <cell r="N160">
            <v>20</v>
          </cell>
          <cell r="O160">
            <v>0.115</v>
          </cell>
          <cell r="P160">
            <v>7.0000000000000007E-2</v>
          </cell>
          <cell r="Q160" t="str">
            <v>SF</v>
          </cell>
          <cell r="S160">
            <v>65</v>
          </cell>
          <cell r="T160">
            <v>300</v>
          </cell>
          <cell r="U160">
            <v>13.049151805132666</v>
          </cell>
          <cell r="V160">
            <v>14</v>
          </cell>
          <cell r="W160">
            <v>7</v>
          </cell>
          <cell r="X160">
            <v>34.985428447150937</v>
          </cell>
          <cell r="Y160">
            <v>32.959479739869934</v>
          </cell>
          <cell r="Z160">
            <v>66.719583926386477</v>
          </cell>
          <cell r="AA160">
            <v>69.456139793277885</v>
          </cell>
          <cell r="AB160">
            <v>18</v>
          </cell>
          <cell r="AC160">
            <v>0</v>
          </cell>
          <cell r="AD160">
            <v>2299</v>
          </cell>
          <cell r="AE160">
            <v>32.203389830508478</v>
          </cell>
          <cell r="AF160">
            <v>15</v>
          </cell>
          <cell r="AG160">
            <v>20.029648013478592</v>
          </cell>
          <cell r="AH160">
            <v>4.7400250948920615</v>
          </cell>
          <cell r="AI160">
            <v>40.543796577999245</v>
          </cell>
          <cell r="AJ160">
            <v>39.5</v>
          </cell>
          <cell r="AK160">
            <v>2123</v>
          </cell>
          <cell r="AL160" t="str">
            <v>PA</v>
          </cell>
          <cell r="AM160">
            <v>2090.3344999577998</v>
          </cell>
          <cell r="AN160">
            <v>-9.0763592884819566</v>
          </cell>
          <cell r="AO160">
            <v>1</v>
          </cell>
        </row>
        <row r="161">
          <cell r="A161" t="str">
            <v>ST-GSE-LA</v>
          </cell>
          <cell r="B161">
            <v>5899</v>
          </cell>
          <cell r="C161" t="str">
            <v>Y</v>
          </cell>
          <cell r="D161">
            <v>4099</v>
          </cell>
          <cell r="E161">
            <v>2899</v>
          </cell>
          <cell r="F161">
            <v>2699</v>
          </cell>
          <cell r="G161" t="str">
            <v>TL1</v>
          </cell>
          <cell r="H161" t="str">
            <v>ERR</v>
          </cell>
          <cell r="I161" t="str">
            <v>ERR</v>
          </cell>
          <cell r="J161" t="str">
            <v>ERR</v>
          </cell>
          <cell r="K161">
            <v>3100</v>
          </cell>
          <cell r="L161" t="e">
            <v>#N/A</v>
          </cell>
          <cell r="M161" t="e">
            <v>#N/A</v>
          </cell>
          <cell r="N161">
            <v>27</v>
          </cell>
          <cell r="O161">
            <v>0.115</v>
          </cell>
          <cell r="P161">
            <v>7.0000000000000007E-2</v>
          </cell>
          <cell r="Q161" t="str">
            <v>SF</v>
          </cell>
          <cell r="S161">
            <v>65</v>
          </cell>
          <cell r="T161">
            <v>364</v>
          </cell>
          <cell r="U161">
            <v>12.556053811659194</v>
          </cell>
          <cell r="V161">
            <v>14</v>
          </cell>
          <cell r="W161">
            <v>7</v>
          </cell>
          <cell r="X161">
            <v>33.78113142462918</v>
          </cell>
          <cell r="Y161">
            <v>30.413486476472769</v>
          </cell>
          <cell r="Z161" t="e">
            <v>#N/A</v>
          </cell>
          <cell r="AA161" t="e">
            <v>#N/A</v>
          </cell>
          <cell r="AB161">
            <v>18</v>
          </cell>
          <cell r="AC161">
            <v>0</v>
          </cell>
          <cell r="AD161">
            <v>2899</v>
          </cell>
          <cell r="AE161">
            <v>32.203389830508478</v>
          </cell>
          <cell r="AF161">
            <v>20.25</v>
          </cell>
          <cell r="AG161" t="e">
            <v>#N/A</v>
          </cell>
          <cell r="AH161" t="e">
            <v>#N/A</v>
          </cell>
          <cell r="AI161" t="str">
            <v>ERR</v>
          </cell>
          <cell r="AJ161" t="e">
            <v>#VALUE!</v>
          </cell>
          <cell r="AK161" t="e">
            <v>#N/A</v>
          </cell>
          <cell r="AL161" t="str">
            <v>PA</v>
          </cell>
          <cell r="AM161" t="e">
            <v>#N/A</v>
          </cell>
          <cell r="AN161" t="e">
            <v>#N/A</v>
          </cell>
          <cell r="AO161">
            <v>1</v>
          </cell>
        </row>
        <row r="162">
          <cell r="A162" t="str">
            <v>ST-GSE-ST</v>
          </cell>
          <cell r="B162">
            <v>4499</v>
          </cell>
          <cell r="C162" t="str">
            <v>Y</v>
          </cell>
          <cell r="D162">
            <v>3099</v>
          </cell>
          <cell r="E162">
            <v>2349</v>
          </cell>
          <cell r="F162">
            <v>1999</v>
          </cell>
          <cell r="G162" t="str">
            <v>TL1</v>
          </cell>
          <cell r="H162" t="str">
            <v>ERR</v>
          </cell>
          <cell r="I162" t="str">
            <v>ERR</v>
          </cell>
          <cell r="J162" t="str">
            <v>ERR</v>
          </cell>
          <cell r="K162">
            <v>2500</v>
          </cell>
          <cell r="L162" t="e">
            <v>#N/A</v>
          </cell>
          <cell r="M162" t="e">
            <v>#N/A</v>
          </cell>
          <cell r="N162">
            <v>20</v>
          </cell>
          <cell r="O162">
            <v>0.115</v>
          </cell>
          <cell r="P162">
            <v>7.0000000000000007E-2</v>
          </cell>
          <cell r="Q162" t="str">
            <v>SF</v>
          </cell>
          <cell r="S162">
            <v>65</v>
          </cell>
          <cell r="T162">
            <v>300</v>
          </cell>
          <cell r="U162">
            <v>12.771392081736909</v>
          </cell>
          <cell r="V162">
            <v>14</v>
          </cell>
          <cell r="W162">
            <v>7</v>
          </cell>
          <cell r="X162">
            <v>34.634525329927627</v>
          </cell>
          <cell r="Y162">
            <v>32.959479739869934</v>
          </cell>
          <cell r="Z162" t="e">
            <v>#N/A</v>
          </cell>
          <cell r="AA162" t="e">
            <v>#N/A</v>
          </cell>
          <cell r="AB162">
            <v>18</v>
          </cell>
          <cell r="AC162">
            <v>0</v>
          </cell>
          <cell r="AD162">
            <v>2349</v>
          </cell>
          <cell r="AE162">
            <v>32.203389830508478</v>
          </cell>
          <cell r="AF162">
            <v>15</v>
          </cell>
          <cell r="AG162" t="e">
            <v>#N/A</v>
          </cell>
          <cell r="AH162" t="e">
            <v>#N/A</v>
          </cell>
          <cell r="AI162" t="str">
            <v>ERR</v>
          </cell>
          <cell r="AJ162" t="e">
            <v>#VALUE!</v>
          </cell>
          <cell r="AK162" t="e">
            <v>#N/A</v>
          </cell>
          <cell r="AL162" t="str">
            <v>PA</v>
          </cell>
          <cell r="AM162" t="e">
            <v>#N/A</v>
          </cell>
          <cell r="AN162" t="e">
            <v>#N/A</v>
          </cell>
          <cell r="AO162">
            <v>1</v>
          </cell>
        </row>
        <row r="163">
          <cell r="A163" t="str">
            <v>ST-GSE-WMN</v>
          </cell>
          <cell r="B163">
            <v>2999</v>
          </cell>
          <cell r="C163" t="str">
            <v>Y</v>
          </cell>
          <cell r="D163">
            <v>1699</v>
          </cell>
          <cell r="E163">
            <v>1849</v>
          </cell>
          <cell r="F163">
            <v>1799</v>
          </cell>
          <cell r="G163" t="str">
            <v>TL1</v>
          </cell>
          <cell r="H163" t="str">
            <v>ERR</v>
          </cell>
          <cell r="I163" t="str">
            <v>ERR</v>
          </cell>
          <cell r="J163" t="str">
            <v>ERR</v>
          </cell>
          <cell r="K163">
            <v>2000</v>
          </cell>
          <cell r="L163" t="e">
            <v>#N/A</v>
          </cell>
          <cell r="M163" t="e">
            <v>#N/A</v>
          </cell>
          <cell r="N163">
            <v>13</v>
          </cell>
          <cell r="O163">
            <v>0.115</v>
          </cell>
          <cell r="P163">
            <v>7.0000000000000007E-2</v>
          </cell>
          <cell r="Q163" t="str">
            <v>SF</v>
          </cell>
          <cell r="S163">
            <v>65</v>
          </cell>
          <cell r="T163">
            <v>252</v>
          </cell>
          <cell r="U163">
            <v>13.628988642509466</v>
          </cell>
          <cell r="V163">
            <v>14</v>
          </cell>
          <cell r="W163">
            <v>7</v>
          </cell>
          <cell r="X163">
            <v>36.401568415359655</v>
          </cell>
          <cell r="Y163">
            <v>32.399110617009455</v>
          </cell>
          <cell r="Z163" t="e">
            <v>#N/A</v>
          </cell>
          <cell r="AA163" t="e">
            <v>#N/A</v>
          </cell>
          <cell r="AB163">
            <v>18</v>
          </cell>
          <cell r="AC163">
            <v>0</v>
          </cell>
          <cell r="AD163">
            <v>1849</v>
          </cell>
          <cell r="AE163">
            <v>32.203389830508478</v>
          </cell>
          <cell r="AF163">
            <v>9.75</v>
          </cell>
          <cell r="AG163" t="e">
            <v>#N/A</v>
          </cell>
          <cell r="AH163" t="e">
            <v>#N/A</v>
          </cell>
          <cell r="AI163" t="str">
            <v>ERR</v>
          </cell>
          <cell r="AJ163" t="e">
            <v>#VALUE!</v>
          </cell>
          <cell r="AK163" t="e">
            <v>#N/A</v>
          </cell>
          <cell r="AL163" t="str">
            <v>PA</v>
          </cell>
          <cell r="AM163" t="e">
            <v>#N/A</v>
          </cell>
          <cell r="AN163" t="e">
            <v>#N/A</v>
          </cell>
          <cell r="AO163">
            <v>1</v>
          </cell>
        </row>
        <row r="164">
          <cell r="A164" t="str">
            <v>ST-GSE-WMS</v>
          </cell>
          <cell r="B164">
            <v>2899</v>
          </cell>
          <cell r="C164" t="str">
            <v>Y</v>
          </cell>
          <cell r="D164">
            <v>1999</v>
          </cell>
          <cell r="E164">
            <v>2099</v>
          </cell>
          <cell r="F164">
            <v>1999</v>
          </cell>
          <cell r="G164" t="str">
            <v>TL1</v>
          </cell>
          <cell r="H164" t="str">
            <v>ERR</v>
          </cell>
          <cell r="I164" t="str">
            <v>ERR</v>
          </cell>
          <cell r="J164" t="str">
            <v>ERR</v>
          </cell>
          <cell r="K164">
            <v>2250</v>
          </cell>
          <cell r="L164" t="e">
            <v>#N/A</v>
          </cell>
          <cell r="M164" t="e">
            <v>#N/A</v>
          </cell>
          <cell r="N164">
            <v>17</v>
          </cell>
          <cell r="O164">
            <v>0.115</v>
          </cell>
          <cell r="P164">
            <v>7.0000000000000007E-2</v>
          </cell>
          <cell r="Q164" t="str">
            <v>SF</v>
          </cell>
          <cell r="S164">
            <v>65</v>
          </cell>
          <cell r="T164">
            <v>284</v>
          </cell>
          <cell r="U164">
            <v>13.530252501191045</v>
          </cell>
          <cell r="V164">
            <v>14</v>
          </cell>
          <cell r="W164">
            <v>7</v>
          </cell>
          <cell r="X164">
            <v>35.793949499761794</v>
          </cell>
          <cell r="Y164">
            <v>32.159079539769891</v>
          </cell>
          <cell r="Z164" t="e">
            <v>#N/A</v>
          </cell>
          <cell r="AA164" t="e">
            <v>#N/A</v>
          </cell>
          <cell r="AB164">
            <v>18</v>
          </cell>
          <cell r="AC164">
            <v>0</v>
          </cell>
          <cell r="AD164">
            <v>2099</v>
          </cell>
          <cell r="AE164">
            <v>32.203389830508478</v>
          </cell>
          <cell r="AF164">
            <v>12.75</v>
          </cell>
          <cell r="AG164" t="e">
            <v>#N/A</v>
          </cell>
          <cell r="AH164" t="e">
            <v>#N/A</v>
          </cell>
          <cell r="AI164" t="str">
            <v>ERR</v>
          </cell>
          <cell r="AJ164" t="e">
            <v>#VALUE!</v>
          </cell>
          <cell r="AK164" t="e">
            <v>#N/A</v>
          </cell>
          <cell r="AL164" t="str">
            <v>PA</v>
          </cell>
          <cell r="AM164" t="e">
            <v>#N/A</v>
          </cell>
          <cell r="AN164" t="e">
            <v>#N/A</v>
          </cell>
          <cell r="AO164">
            <v>1</v>
          </cell>
        </row>
        <row r="165">
          <cell r="A165" t="str">
            <v>ST-HE</v>
          </cell>
          <cell r="B165">
            <v>5199</v>
          </cell>
          <cell r="C165" t="str">
            <v>Y</v>
          </cell>
          <cell r="D165">
            <v>3499</v>
          </cell>
          <cell r="E165">
            <v>2699</v>
          </cell>
          <cell r="F165">
            <v>2499</v>
          </cell>
          <cell r="G165" t="str">
            <v>TL1</v>
          </cell>
          <cell r="H165">
            <v>14.300875127789752</v>
          </cell>
          <cell r="I165">
            <v>14.64362121950046</v>
          </cell>
          <cell r="J165">
            <v>385.98061969904541</v>
          </cell>
          <cell r="K165">
            <v>2900</v>
          </cell>
          <cell r="L165">
            <v>805.25753074750003</v>
          </cell>
          <cell r="M165">
            <v>32.223190506102441</v>
          </cell>
          <cell r="N165">
            <v>14</v>
          </cell>
          <cell r="O165">
            <v>0.115</v>
          </cell>
          <cell r="P165">
            <v>7.0000000000000007E-2</v>
          </cell>
          <cell r="Q165" t="str">
            <v>SF</v>
          </cell>
          <cell r="S165">
            <v>65</v>
          </cell>
          <cell r="T165">
            <v>252</v>
          </cell>
          <cell r="U165">
            <v>9.3367914042237867</v>
          </cell>
          <cell r="V165">
            <v>14</v>
          </cell>
          <cell r="W165">
            <v>7</v>
          </cell>
          <cell r="X165">
            <v>30.763801407928863</v>
          </cell>
          <cell r="Y165">
            <v>27.2452981192477</v>
          </cell>
          <cell r="Z165">
            <v>70.444887584074664</v>
          </cell>
          <cell r="AA165">
            <v>70.102141492363955</v>
          </cell>
          <cell r="AB165">
            <v>18</v>
          </cell>
          <cell r="AC165">
            <v>0</v>
          </cell>
          <cell r="AD165">
            <v>2699</v>
          </cell>
          <cell r="AE165">
            <v>32.203389830508478</v>
          </cell>
          <cell r="AF165">
            <v>10.5</v>
          </cell>
          <cell r="AG165">
            <v>14.31793676622069</v>
          </cell>
          <cell r="AH165">
            <v>-0.32568445327977003</v>
          </cell>
          <cell r="AI165">
            <v>31.477259401440296</v>
          </cell>
          <cell r="AJ165">
            <v>31</v>
          </cell>
          <cell r="AK165">
            <v>3073</v>
          </cell>
          <cell r="AL165" t="str">
            <v>PA</v>
          </cell>
          <cell r="AM165">
            <v>3026.171438551065</v>
          </cell>
          <cell r="AN165">
            <v>12.121950298298072</v>
          </cell>
          <cell r="AO165">
            <v>1</v>
          </cell>
        </row>
        <row r="166">
          <cell r="A166" t="str">
            <v>ST-HES</v>
          </cell>
          <cell r="B166">
            <v>4599</v>
          </cell>
          <cell r="C166" t="str">
            <v>Y</v>
          </cell>
          <cell r="D166">
            <v>3199</v>
          </cell>
          <cell r="E166">
            <v>2999</v>
          </cell>
          <cell r="F166">
            <v>2699</v>
          </cell>
          <cell r="G166" t="str">
            <v>TL1</v>
          </cell>
          <cell r="H166" t="str">
            <v>ERR</v>
          </cell>
          <cell r="I166" t="str">
            <v>ERR</v>
          </cell>
          <cell r="J166" t="str">
            <v>ERR</v>
          </cell>
          <cell r="K166">
            <v>3200</v>
          </cell>
          <cell r="L166" t="e">
            <v>#N/A</v>
          </cell>
          <cell r="M166" t="e">
            <v>#N/A</v>
          </cell>
          <cell r="N166">
            <v>22</v>
          </cell>
          <cell r="O166">
            <v>0.115</v>
          </cell>
          <cell r="P166">
            <v>7.0000000000000007E-2</v>
          </cell>
          <cell r="Q166" t="str">
            <v>SF</v>
          </cell>
          <cell r="S166">
            <v>65</v>
          </cell>
          <cell r="T166">
            <v>316</v>
          </cell>
          <cell r="U166">
            <v>10.536845615205069</v>
          </cell>
          <cell r="V166">
            <v>14</v>
          </cell>
          <cell r="W166">
            <v>7</v>
          </cell>
          <cell r="X166">
            <v>31.671057019006334</v>
          </cell>
          <cell r="Y166">
            <v>28.63505001852538</v>
          </cell>
          <cell r="Z166" t="e">
            <v>#N/A</v>
          </cell>
          <cell r="AA166" t="e">
            <v>#N/A</v>
          </cell>
          <cell r="AB166">
            <v>18</v>
          </cell>
          <cell r="AC166">
            <v>0</v>
          </cell>
          <cell r="AD166">
            <v>2999</v>
          </cell>
          <cell r="AE166">
            <v>32.203389830508478</v>
          </cell>
          <cell r="AF166">
            <v>16.5</v>
          </cell>
          <cell r="AG166" t="e">
            <v>#N/A</v>
          </cell>
          <cell r="AH166" t="e">
            <v>#N/A</v>
          </cell>
          <cell r="AI166" t="str">
            <v>ERR</v>
          </cell>
          <cell r="AJ166" t="e">
            <v>#VALUE!</v>
          </cell>
          <cell r="AK166" t="e">
            <v>#N/A</v>
          </cell>
          <cell r="AL166" t="str">
            <v>PA</v>
          </cell>
          <cell r="AM166" t="e">
            <v>#N/A</v>
          </cell>
          <cell r="AN166" t="e">
            <v>#N/A</v>
          </cell>
          <cell r="AO166">
            <v>1</v>
          </cell>
        </row>
        <row r="167">
          <cell r="A167" t="str">
            <v>ST-KYA</v>
          </cell>
          <cell r="B167">
            <v>8299</v>
          </cell>
          <cell r="C167" t="str">
            <v>Y</v>
          </cell>
          <cell r="D167">
            <v>5799</v>
          </cell>
          <cell r="E167">
            <v>4999</v>
          </cell>
          <cell r="F167">
            <v>4399</v>
          </cell>
          <cell r="G167" t="str">
            <v>TL2</v>
          </cell>
          <cell r="H167">
            <v>18.945466234243412</v>
          </cell>
          <cell r="I167">
            <v>16.993959553958661</v>
          </cell>
          <cell r="J167">
            <v>947.08385704982823</v>
          </cell>
          <cell r="K167">
            <v>5300</v>
          </cell>
          <cell r="L167">
            <v>1330.4825721174996</v>
          </cell>
          <cell r="M167">
            <v>30.245114164980667</v>
          </cell>
          <cell r="N167">
            <v>50</v>
          </cell>
          <cell r="O167">
            <v>0.115</v>
          </cell>
          <cell r="P167">
            <v>7.0000000000000007E-2</v>
          </cell>
          <cell r="Q167" t="str">
            <v>sf</v>
          </cell>
          <cell r="S167">
            <v>65</v>
          </cell>
          <cell r="T167">
            <v>516</v>
          </cell>
          <cell r="U167">
            <v>10.322064412882575</v>
          </cell>
          <cell r="V167">
            <v>14</v>
          </cell>
          <cell r="W167">
            <v>7</v>
          </cell>
          <cell r="X167">
            <v>30.402380476095217</v>
          </cell>
          <cell r="Y167">
            <v>27.525801318481474</v>
          </cell>
          <cell r="Z167">
            <v>65.800296477621004</v>
          </cell>
          <cell r="AA167">
            <v>67.751803157905755</v>
          </cell>
          <cell r="AB167">
            <v>18</v>
          </cell>
          <cell r="AC167">
            <v>0</v>
          </cell>
          <cell r="AD167">
            <v>4999</v>
          </cell>
          <cell r="AE167">
            <v>32.203389830508478</v>
          </cell>
          <cell r="AF167">
            <v>37.5</v>
          </cell>
          <cell r="AG167">
            <v>17.177248414112498</v>
          </cell>
          <cell r="AH167">
            <v>0.18328886015383716</v>
          </cell>
          <cell r="AI167">
            <v>36.105282082792499</v>
          </cell>
          <cell r="AJ167">
            <v>36</v>
          </cell>
          <cell r="AK167">
            <v>5154</v>
          </cell>
          <cell r="AL167" t="str">
            <v>PA</v>
          </cell>
          <cell r="AM167">
            <v>5075.6454621703806</v>
          </cell>
          <cell r="AN167">
            <v>1.5332158865849288</v>
          </cell>
          <cell r="AO167">
            <v>1</v>
          </cell>
        </row>
        <row r="168">
          <cell r="A168" t="str">
            <v>ST-MLM-L</v>
          </cell>
          <cell r="B168">
            <v>7499</v>
          </cell>
          <cell r="C168" t="str">
            <v>Y</v>
          </cell>
          <cell r="D168">
            <v>5199</v>
          </cell>
          <cell r="E168">
            <v>4199</v>
          </cell>
          <cell r="F168">
            <v>3799</v>
          </cell>
          <cell r="G168" t="str">
            <v>TL2</v>
          </cell>
          <cell r="H168">
            <v>19.086646652145149</v>
          </cell>
          <cell r="I168">
            <v>18.621222481603496</v>
          </cell>
          <cell r="J168">
            <v>801.44829292357474</v>
          </cell>
          <cell r="K168">
            <v>4500</v>
          </cell>
          <cell r="L168">
            <v>1083.6175062764</v>
          </cell>
          <cell r="M168">
            <v>28.523756416857069</v>
          </cell>
          <cell r="N168">
            <v>40</v>
          </cell>
          <cell r="O168">
            <v>0.115</v>
          </cell>
          <cell r="P168">
            <v>7.0000000000000007E-2</v>
          </cell>
          <cell r="Q168" t="str">
            <v>SF</v>
          </cell>
          <cell r="S168">
            <v>65</v>
          </cell>
          <cell r="T168">
            <v>460</v>
          </cell>
          <cell r="U168">
            <v>10.954989283162657</v>
          </cell>
          <cell r="V168">
            <v>14</v>
          </cell>
          <cell r="W168">
            <v>7</v>
          </cell>
          <cell r="X168">
            <v>31.336389616575374</v>
          </cell>
          <cell r="Y168">
            <v>28.187944195841013</v>
          </cell>
          <cell r="Z168">
            <v>65.659116059719267</v>
          </cell>
          <cell r="AA168">
            <v>66.124540230260919</v>
          </cell>
          <cell r="AB168">
            <v>18</v>
          </cell>
          <cell r="AC168">
            <v>0</v>
          </cell>
          <cell r="AD168">
            <v>4199</v>
          </cell>
          <cell r="AE168">
            <v>32.203389830508478</v>
          </cell>
          <cell r="AF168">
            <v>30</v>
          </cell>
          <cell r="AG168">
            <v>18.021355823094439</v>
          </cell>
          <cell r="AH168">
            <v>-0.59986665850905752</v>
          </cell>
          <cell r="AI168">
            <v>37.416124926168571</v>
          </cell>
          <cell r="AJ168">
            <v>37</v>
          </cell>
          <cell r="AK168">
            <v>4196</v>
          </cell>
          <cell r="AL168" t="str">
            <v>PA</v>
          </cell>
          <cell r="AM168">
            <v>4131.262232411611</v>
          </cell>
          <cell r="AN168">
            <v>-1.613188082600358</v>
          </cell>
          <cell r="AO168">
            <v>1</v>
          </cell>
        </row>
        <row r="169">
          <cell r="A169" t="str">
            <v>ST-MLM-N</v>
          </cell>
          <cell r="B169">
            <v>5299</v>
          </cell>
          <cell r="C169" t="str">
            <v>Y</v>
          </cell>
          <cell r="D169">
            <v>3699</v>
          </cell>
          <cell r="E169">
            <v>3599</v>
          </cell>
          <cell r="F169">
            <v>3199</v>
          </cell>
          <cell r="G169" t="str">
            <v>TL2</v>
          </cell>
          <cell r="H169">
            <v>20.53128927967964</v>
          </cell>
          <cell r="I169">
            <v>19.315193820825655</v>
          </cell>
          <cell r="J169">
            <v>738.92110117567029</v>
          </cell>
          <cell r="K169">
            <v>3850</v>
          </cell>
          <cell r="L169">
            <v>867.86759310100001</v>
          </cell>
          <cell r="M169">
            <v>27.129340203219758</v>
          </cell>
          <cell r="N169">
            <v>34</v>
          </cell>
          <cell r="O169">
            <v>0.115</v>
          </cell>
          <cell r="P169">
            <v>7.0000000000000007E-2</v>
          </cell>
          <cell r="Q169" t="str">
            <v>SF</v>
          </cell>
          <cell r="S169">
            <v>65</v>
          </cell>
          <cell r="T169">
            <v>412</v>
          </cell>
          <cell r="U169">
            <v>11.447624340094469</v>
          </cell>
          <cell r="V169">
            <v>14</v>
          </cell>
          <cell r="W169">
            <v>7</v>
          </cell>
          <cell r="X169">
            <v>32.142678521811618</v>
          </cell>
          <cell r="Y169">
            <v>29.348546420756488</v>
          </cell>
          <cell r="Z169">
            <v>64.214473432184775</v>
          </cell>
          <cell r="AA169">
            <v>65.43056889103876</v>
          </cell>
          <cell r="AB169">
            <v>18</v>
          </cell>
          <cell r="AC169">
            <v>0</v>
          </cell>
          <cell r="AD169">
            <v>3599</v>
          </cell>
          <cell r="AE169">
            <v>32.203389830508478</v>
          </cell>
          <cell r="AF169">
            <v>25.5</v>
          </cell>
          <cell r="AG169">
            <v>19.719711222534031</v>
          </cell>
          <cell r="AH169">
            <v>0.40451740170837525</v>
          </cell>
          <cell r="AI169">
            <v>40.079216431989188</v>
          </cell>
          <cell r="AJ169">
            <v>39.5</v>
          </cell>
          <cell r="AK169">
            <v>3366</v>
          </cell>
          <cell r="AL169" t="str">
            <v>PA</v>
          </cell>
          <cell r="AM169">
            <v>3315.5435640293817</v>
          </cell>
          <cell r="AN169">
            <v>-7.8759776596448523</v>
          </cell>
          <cell r="AO169">
            <v>1</v>
          </cell>
        </row>
        <row r="170">
          <cell r="A170" t="str">
            <v>ST-RDO</v>
          </cell>
          <cell r="B170">
            <v>8149</v>
          </cell>
          <cell r="C170" t="str">
            <v>Y</v>
          </cell>
          <cell r="D170">
            <v>5699</v>
          </cell>
          <cell r="E170">
            <v>5399</v>
          </cell>
          <cell r="F170">
            <v>4559</v>
          </cell>
          <cell r="G170" t="str">
            <v>TL2</v>
          </cell>
          <cell r="H170">
            <v>20.495822516102706</v>
          </cell>
          <cell r="I170">
            <v>16.566353385933837</v>
          </cell>
          <cell r="J170">
            <v>1106.569457644385</v>
          </cell>
          <cell r="K170">
            <v>5750</v>
          </cell>
          <cell r="L170">
            <v>1437.3979482474999</v>
          </cell>
          <cell r="M170">
            <v>31.528799040304886</v>
          </cell>
          <cell r="N170">
            <v>57</v>
          </cell>
          <cell r="O170">
            <v>0.115</v>
          </cell>
          <cell r="P170">
            <v>7.0000000000000007E-2</v>
          </cell>
          <cell r="Q170" t="str">
            <v>SS</v>
          </cell>
          <cell r="S170">
            <v>100</v>
          </cell>
          <cell r="T170">
            <v>458.29999999999995</v>
          </cell>
          <cell r="U170">
            <v>8.4886090016669744</v>
          </cell>
          <cell r="V170">
            <v>0</v>
          </cell>
          <cell r="W170">
            <v>7</v>
          </cell>
          <cell r="X170">
            <v>28.840803852565287</v>
          </cell>
          <cell r="Y170">
            <v>26.246106602325071</v>
          </cell>
          <cell r="Z170">
            <v>64.24994019576171</v>
          </cell>
          <cell r="AA170">
            <v>68.179409325930578</v>
          </cell>
          <cell r="AB170">
            <v>18</v>
          </cell>
          <cell r="AC170">
            <v>0</v>
          </cell>
          <cell r="AD170">
            <v>5399</v>
          </cell>
          <cell r="AE170">
            <v>32.203389830508478</v>
          </cell>
          <cell r="AF170">
            <v>42.75</v>
          </cell>
          <cell r="AG170">
            <v>17.127148798238693</v>
          </cell>
          <cell r="AH170">
            <v>0.56079541230485574</v>
          </cell>
          <cell r="AI170">
            <v>36.042879422492582</v>
          </cell>
          <cell r="AJ170">
            <v>36</v>
          </cell>
          <cell r="AK170">
            <v>5577</v>
          </cell>
          <cell r="AL170" t="str">
            <v>PA</v>
          </cell>
          <cell r="AM170">
            <v>5490.6191215294293</v>
          </cell>
          <cell r="AN170">
            <v>1.696964651406359</v>
          </cell>
          <cell r="AO170">
            <v>1</v>
          </cell>
        </row>
        <row r="171">
          <cell r="A171" t="str">
            <v>ST-RDO-ST</v>
          </cell>
          <cell r="B171">
            <v>4999</v>
          </cell>
          <cell r="C171" t="str">
            <v>Y</v>
          </cell>
          <cell r="D171">
            <v>3499</v>
          </cell>
          <cell r="E171">
            <v>2899</v>
          </cell>
          <cell r="F171">
            <v>2749</v>
          </cell>
          <cell r="G171" t="str">
            <v>TL2</v>
          </cell>
          <cell r="H171">
            <v>19.434061556448754</v>
          </cell>
          <cell r="I171">
            <v>21.379767204570847</v>
          </cell>
          <cell r="J171">
            <v>563.3934445214494</v>
          </cell>
          <cell r="K171">
            <v>3100</v>
          </cell>
          <cell r="L171">
            <v>687.27159134999999</v>
          </cell>
          <cell r="M171">
            <v>25.000785425609315</v>
          </cell>
          <cell r="N171">
            <v>28</v>
          </cell>
          <cell r="O171">
            <v>0.115</v>
          </cell>
          <cell r="P171">
            <v>7.0000000000000007E-2</v>
          </cell>
          <cell r="Q171" t="str">
            <v>SF</v>
          </cell>
          <cell r="S171">
            <v>65</v>
          </cell>
          <cell r="T171">
            <v>364</v>
          </cell>
          <cell r="U171">
            <v>12.556053811659194</v>
          </cell>
          <cell r="V171">
            <v>14</v>
          </cell>
          <cell r="W171">
            <v>7</v>
          </cell>
          <cell r="X171">
            <v>33.78113142462918</v>
          </cell>
          <cell r="Y171">
            <v>30.114950891233178</v>
          </cell>
          <cell r="Z171">
            <v>65.311701155415662</v>
          </cell>
          <cell r="AA171">
            <v>63.365995507293569</v>
          </cell>
          <cell r="AB171">
            <v>18</v>
          </cell>
          <cell r="AC171">
            <v>0</v>
          </cell>
          <cell r="AD171">
            <v>2899</v>
          </cell>
          <cell r="AE171">
            <v>32.203389830508478</v>
          </cell>
          <cell r="AF171">
            <v>21</v>
          </cell>
          <cell r="AG171">
            <v>20.110789875146892</v>
          </cell>
          <cell r="AH171">
            <v>-1.2689773294239544</v>
          </cell>
          <cell r="AI171">
            <v>40.699150208185927</v>
          </cell>
          <cell r="AJ171">
            <v>40</v>
          </cell>
          <cell r="AK171">
            <v>2668</v>
          </cell>
          <cell r="AL171" t="str">
            <v>PA</v>
          </cell>
          <cell r="AM171">
            <v>2628.756276766298</v>
          </cell>
          <cell r="AN171">
            <v>-9.321963547212901</v>
          </cell>
          <cell r="AO171">
            <v>1</v>
          </cell>
        </row>
        <row r="172">
          <cell r="A172" t="str">
            <v>ST-RE</v>
          </cell>
          <cell r="B172">
            <v>5899</v>
          </cell>
          <cell r="C172" t="str">
            <v>Y</v>
          </cell>
          <cell r="D172">
            <v>4099</v>
          </cell>
          <cell r="E172">
            <v>3699</v>
          </cell>
          <cell r="F172">
            <v>3249</v>
          </cell>
          <cell r="G172" t="str">
            <v>TL2</v>
          </cell>
          <cell r="H172">
            <v>18.776984828209535</v>
          </cell>
          <cell r="I172">
            <v>16.70236185263407</v>
          </cell>
          <cell r="J172">
            <v>694.56066879547075</v>
          </cell>
          <cell r="K172">
            <v>3950</v>
          </cell>
          <cell r="L172">
            <v>951.03014580180002</v>
          </cell>
          <cell r="M172">
            <v>29.271472631634349</v>
          </cell>
          <cell r="N172">
            <v>34</v>
          </cell>
          <cell r="O172">
            <v>0.115</v>
          </cell>
          <cell r="P172">
            <v>7.0000000000000007E-2</v>
          </cell>
          <cell r="Q172" t="str">
            <v>sf</v>
          </cell>
          <cell r="S172">
            <v>65</v>
          </cell>
          <cell r="T172">
            <v>412</v>
          </cell>
          <cell r="U172">
            <v>11.138145444714787</v>
          </cell>
          <cell r="V172">
            <v>14</v>
          </cell>
          <cell r="W172">
            <v>7</v>
          </cell>
          <cell r="X172">
            <v>31.773857799405242</v>
          </cell>
          <cell r="Y172">
            <v>29.112342259156662</v>
          </cell>
          <cell r="Z172">
            <v>65.96877788365488</v>
          </cell>
          <cell r="AA172">
            <v>68.043400859230346</v>
          </cell>
          <cell r="AB172">
            <v>18</v>
          </cell>
          <cell r="AC172">
            <v>0</v>
          </cell>
          <cell r="AD172">
            <v>3699</v>
          </cell>
          <cell r="AE172">
            <v>32.203389830508478</v>
          </cell>
          <cell r="AF172">
            <v>25.5</v>
          </cell>
          <cell r="AG172">
            <v>18.142531145703053</v>
          </cell>
          <cell r="AH172">
            <v>1.4401692930689833</v>
          </cell>
          <cell r="AI172">
            <v>37.596531202450805</v>
          </cell>
          <cell r="AJ172">
            <v>37.5</v>
          </cell>
          <cell r="AK172">
            <v>3679</v>
          </cell>
          <cell r="AL172" t="str">
            <v>PA</v>
          </cell>
          <cell r="AM172">
            <v>3624.137761882253</v>
          </cell>
          <cell r="AN172">
            <v>-2.0238507195930517</v>
          </cell>
          <cell r="AO172">
            <v>1</v>
          </cell>
        </row>
        <row r="173">
          <cell r="A173" t="str">
            <v>ST-WLD</v>
          </cell>
          <cell r="B173">
            <v>16599</v>
          </cell>
          <cell r="C173" t="str">
            <v>Y</v>
          </cell>
          <cell r="D173">
            <v>11599</v>
          </cell>
          <cell r="E173">
            <v>9799</v>
          </cell>
          <cell r="F173">
            <v>8399</v>
          </cell>
          <cell r="G173" t="str">
            <v>TL2</v>
          </cell>
          <cell r="H173">
            <v>20.29375528321529</v>
          </cell>
          <cell r="I173">
            <v>17.134175523707157</v>
          </cell>
          <cell r="J173">
            <v>1988.5850802022662</v>
          </cell>
          <cell r="K173">
            <v>10400</v>
          </cell>
          <cell r="L173">
            <v>2417.99790070175</v>
          </cell>
          <cell r="M173">
            <v>28.789116569850581</v>
          </cell>
          <cell r="N173">
            <v>94</v>
          </cell>
          <cell r="O173">
            <v>0.115</v>
          </cell>
          <cell r="P173">
            <v>7.0000000000000007E-2</v>
          </cell>
          <cell r="Q173" t="str">
            <v>SS</v>
          </cell>
          <cell r="R173">
            <v>500</v>
          </cell>
          <cell r="S173">
            <v>100</v>
          </cell>
          <cell r="T173">
            <v>686.9</v>
          </cell>
          <cell r="U173">
            <v>7.0098989692825802</v>
          </cell>
          <cell r="V173">
            <v>0</v>
          </cell>
          <cell r="W173">
            <v>7</v>
          </cell>
          <cell r="X173">
            <v>31.632972752321667</v>
          </cell>
          <cell r="Y173">
            <v>29.322062150255984</v>
          </cell>
          <cell r="Z173">
            <v>64.452007428649125</v>
          </cell>
          <cell r="AA173">
            <v>67.611587188157259</v>
          </cell>
          <cell r="AB173">
            <v>18</v>
          </cell>
          <cell r="AC173">
            <v>0</v>
          </cell>
          <cell r="AD173">
            <v>9799</v>
          </cell>
          <cell r="AE173">
            <v>32.203389830508478</v>
          </cell>
          <cell r="AF173">
            <v>70.5</v>
          </cell>
          <cell r="AG173">
            <v>19.14694578979811</v>
          </cell>
          <cell r="AH173">
            <v>2.0127702660909534</v>
          </cell>
          <cell r="AI173">
            <v>39.184574901915227</v>
          </cell>
          <cell r="AJ173">
            <v>38.5</v>
          </cell>
          <cell r="AK173">
            <v>9376</v>
          </cell>
          <cell r="AL173" t="str">
            <v>PA</v>
          </cell>
          <cell r="AM173">
            <v>10196.74798366024</v>
          </cell>
          <cell r="AN173">
            <v>4.0590670850111206</v>
          </cell>
          <cell r="AO173">
            <v>1</v>
          </cell>
        </row>
        <row r="174">
          <cell r="A174" t="str">
            <v>S-XD</v>
          </cell>
          <cell r="B174">
            <v>3899</v>
          </cell>
          <cell r="C174" t="str">
            <v>Y</v>
          </cell>
          <cell r="D174">
            <v>2699</v>
          </cell>
          <cell r="E174">
            <v>2199</v>
          </cell>
          <cell r="F174">
            <v>1999</v>
          </cell>
          <cell r="G174" t="str">
            <v>TL2</v>
          </cell>
          <cell r="H174">
            <v>20.224111225921931</v>
          </cell>
          <cell r="I174">
            <v>20.119643843636538</v>
          </cell>
          <cell r="J174">
            <v>444.72820585802327</v>
          </cell>
          <cell r="K174">
            <v>2350</v>
          </cell>
          <cell r="L174">
            <v>487.98204223749997</v>
          </cell>
          <cell r="M174">
            <v>24.411307765757879</v>
          </cell>
          <cell r="N174">
            <v>18</v>
          </cell>
          <cell r="O174">
            <v>0.115</v>
          </cell>
          <cell r="P174">
            <v>7.0000000000000007E-2</v>
          </cell>
          <cell r="Q174" t="str">
            <v>SF</v>
          </cell>
          <cell r="S174">
            <v>65</v>
          </cell>
          <cell r="T174">
            <v>284</v>
          </cell>
          <cell r="U174">
            <v>12.914961346066395</v>
          </cell>
          <cell r="V174">
            <v>14</v>
          </cell>
          <cell r="W174">
            <v>7</v>
          </cell>
          <cell r="X174">
            <v>35.007503410641206</v>
          </cell>
          <cell r="Y174">
            <v>32.159079539769891</v>
          </cell>
          <cell r="Z174">
            <v>64.521651485942485</v>
          </cell>
          <cell r="AA174">
            <v>64.626118868227877</v>
          </cell>
          <cell r="AB174">
            <v>18</v>
          </cell>
          <cell r="AC174">
            <v>0</v>
          </cell>
          <cell r="AD174">
            <v>2199</v>
          </cell>
          <cell r="AE174">
            <v>32.203389830508478</v>
          </cell>
          <cell r="AF174">
            <v>13.5</v>
          </cell>
          <cell r="AG174">
            <v>21.737368686835694</v>
          </cell>
          <cell r="AH174">
            <v>1.6177248431991558</v>
          </cell>
          <cell r="AI174">
            <v>43.208885080148598</v>
          </cell>
          <cell r="AJ174">
            <v>41.5</v>
          </cell>
          <cell r="AK174">
            <v>1889</v>
          </cell>
          <cell r="AL174" t="str">
            <v>PA</v>
          </cell>
          <cell r="AM174">
            <v>1860.5257085673436</v>
          </cell>
          <cell r="AN174">
            <v>-15.392191515809751</v>
          </cell>
          <cell r="AO174">
            <v>1</v>
          </cell>
        </row>
        <row r="175">
          <cell r="A175" t="str">
            <v>TP-MTA</v>
          </cell>
          <cell r="B175">
            <v>5449</v>
          </cell>
          <cell r="C175" t="str">
            <v>Y</v>
          </cell>
          <cell r="D175">
            <v>3799</v>
          </cell>
          <cell r="E175">
            <v>3599</v>
          </cell>
          <cell r="F175">
            <v>3149</v>
          </cell>
          <cell r="G175" t="str">
            <v>TL2</v>
          </cell>
          <cell r="H175">
            <v>22.372083967254241</v>
          </cell>
          <cell r="I175">
            <v>20.602425207306766</v>
          </cell>
          <cell r="J175">
            <v>805.17130198148016</v>
          </cell>
          <cell r="K175">
            <v>3850</v>
          </cell>
          <cell r="L175">
            <v>818.05541204400004</v>
          </cell>
          <cell r="M175">
            <v>25.978260147475392</v>
          </cell>
          <cell r="N175">
            <v>34</v>
          </cell>
          <cell r="O175">
            <v>0.115</v>
          </cell>
          <cell r="P175">
            <v>7.0000000000000007E-2</v>
          </cell>
          <cell r="Q175" t="str">
            <v>SF</v>
          </cell>
          <cell r="S175">
            <v>65</v>
          </cell>
          <cell r="T175">
            <v>412</v>
          </cell>
          <cell r="U175">
            <v>11.447624340094469</v>
          </cell>
          <cell r="V175">
            <v>14</v>
          </cell>
          <cell r="W175">
            <v>7</v>
          </cell>
          <cell r="X175">
            <v>32.142678521811618</v>
          </cell>
          <cell r="Y175">
            <v>29.592251508415373</v>
          </cell>
          <cell r="Z175">
            <v>62.373678744610174</v>
          </cell>
          <cell r="AA175">
            <v>64.14333750455765</v>
          </cell>
          <cell r="AB175">
            <v>18</v>
          </cell>
          <cell r="AC175">
            <v>0</v>
          </cell>
          <cell r="AD175">
            <v>3599</v>
          </cell>
          <cell r="AE175">
            <v>32.203389830508478</v>
          </cell>
          <cell r="AF175">
            <v>25.5</v>
          </cell>
          <cell r="AG175">
            <v>21.103767378605163</v>
          </cell>
          <cell r="AH175">
            <v>0.50134217129839698</v>
          </cell>
          <cell r="AI175">
            <v>42.251354163327214</v>
          </cell>
          <cell r="AJ175">
            <v>41</v>
          </cell>
          <cell r="AK175">
            <v>3178</v>
          </cell>
          <cell r="AL175" t="str">
            <v>PA</v>
          </cell>
          <cell r="AM175">
            <v>3130.8074271670271</v>
          </cell>
          <cell r="AN175">
            <v>-13.008962846150956</v>
          </cell>
          <cell r="AO175">
            <v>1</v>
          </cell>
        </row>
        <row r="176">
          <cell r="A176" t="str">
            <v>TS-FV</v>
          </cell>
          <cell r="B176">
            <v>2299</v>
          </cell>
          <cell r="C176" t="str">
            <v>Y</v>
          </cell>
          <cell r="D176">
            <v>1999</v>
          </cell>
          <cell r="E176">
            <v>1599</v>
          </cell>
          <cell r="F176">
            <v>1499</v>
          </cell>
          <cell r="G176" t="str">
            <v>TL2</v>
          </cell>
          <cell r="H176">
            <v>20.165368137032488</v>
          </cell>
          <cell r="I176">
            <v>21.591292448251167</v>
          </cell>
          <cell r="J176">
            <v>322.44423651114948</v>
          </cell>
          <cell r="K176">
            <v>1700</v>
          </cell>
          <cell r="L176">
            <v>317.16203703125001</v>
          </cell>
          <cell r="M176">
            <v>21.158241296280853</v>
          </cell>
          <cell r="N176">
            <v>12</v>
          </cell>
          <cell r="O176">
            <v>0.115</v>
          </cell>
          <cell r="P176">
            <v>7.0000000000000007E-2</v>
          </cell>
          <cell r="Q176" t="str">
            <v>SF</v>
          </cell>
          <cell r="S176">
            <v>65</v>
          </cell>
          <cell r="T176">
            <v>236</v>
          </cell>
          <cell r="U176">
            <v>14.759224515322076</v>
          </cell>
          <cell r="V176">
            <v>14</v>
          </cell>
          <cell r="W176">
            <v>7</v>
          </cell>
          <cell r="X176">
            <v>38.199812382739211</v>
          </cell>
          <cell r="Y176">
            <v>35.014009339559706</v>
          </cell>
          <cell r="Z176">
            <v>64.580394574831928</v>
          </cell>
          <cell r="AA176">
            <v>63.154470263613248</v>
          </cell>
          <cell r="AB176">
            <v>18</v>
          </cell>
          <cell r="AC176">
            <v>0</v>
          </cell>
          <cell r="AD176">
            <v>1599</v>
          </cell>
          <cell r="AE176">
            <v>32.203389830508478</v>
          </cell>
          <cell r="AF176">
            <v>9</v>
          </cell>
          <cell r="AG176">
            <v>24.144496894410963</v>
          </cell>
          <cell r="AH176">
            <v>2.5532044461597962</v>
          </cell>
          <cell r="AI176">
            <v>46.966747910141109</v>
          </cell>
          <cell r="AJ176">
            <v>44.5</v>
          </cell>
          <cell r="AK176">
            <v>1229</v>
          </cell>
          <cell r="AL176" t="str">
            <v>PA</v>
          </cell>
          <cell r="AM176">
            <v>1209.7057469514725</v>
          </cell>
          <cell r="AN176">
            <v>-24.346107132490776</v>
          </cell>
          <cell r="AO176">
            <v>1</v>
          </cell>
        </row>
        <row r="177">
          <cell r="A177" t="str">
            <v>TS-NL-A</v>
          </cell>
          <cell r="B177">
            <v>1199</v>
          </cell>
          <cell r="C177" t="str">
            <v>Y</v>
          </cell>
          <cell r="D177">
            <v>749</v>
          </cell>
          <cell r="E177">
            <v>599</v>
          </cell>
          <cell r="F177">
            <v>499</v>
          </cell>
          <cell r="G177" t="str">
            <v>TL2</v>
          </cell>
          <cell r="H177">
            <v>20.382535782640701</v>
          </cell>
          <cell r="I177">
            <v>8.8868991234776331</v>
          </cell>
          <cell r="J177">
            <v>122.09138933801781</v>
          </cell>
          <cell r="K177">
            <v>650</v>
          </cell>
          <cell r="L177">
            <v>128.10398335000002</v>
          </cell>
          <cell r="M177">
            <v>25.67214095190381</v>
          </cell>
          <cell r="N177">
            <v>4</v>
          </cell>
          <cell r="O177">
            <v>0</v>
          </cell>
          <cell r="P177">
            <v>0</v>
          </cell>
          <cell r="Q177" t="str">
            <v>SF</v>
          </cell>
          <cell r="S177">
            <v>34</v>
          </cell>
          <cell r="T177">
            <v>121</v>
          </cell>
          <cell r="U177">
            <v>20.20033388981636</v>
          </cell>
          <cell r="V177">
            <v>14</v>
          </cell>
          <cell r="W177">
            <v>7</v>
          </cell>
          <cell r="X177">
            <v>35.213689482470784</v>
          </cell>
          <cell r="Y177">
            <v>40.867735470941881</v>
          </cell>
          <cell r="Z177">
            <v>64.363226929223714</v>
          </cell>
          <cell r="AA177">
            <v>75.858863588386782</v>
          </cell>
          <cell r="AB177">
            <v>18</v>
          </cell>
          <cell r="AC177">
            <v>0</v>
          </cell>
          <cell r="AD177">
            <v>599</v>
          </cell>
          <cell r="AE177">
            <v>32.203389830508478</v>
          </cell>
          <cell r="AF177">
            <v>3</v>
          </cell>
          <cell r="AG177">
            <v>22.655230418918521</v>
          </cell>
          <cell r="AH177">
            <v>13.768331295440888</v>
          </cell>
          <cell r="AI177">
            <v>43.772560837873286</v>
          </cell>
          <cell r="AJ177">
            <v>42</v>
          </cell>
          <cell r="AK177">
            <v>494</v>
          </cell>
          <cell r="AL177" t="str">
            <v>PB</v>
          </cell>
          <cell r="AM177">
            <v>495.6217451803318</v>
          </cell>
          <cell r="AN177">
            <v>-17.258473258709216</v>
          </cell>
          <cell r="AO177">
            <v>5</v>
          </cell>
        </row>
        <row r="178">
          <cell r="A178" t="str">
            <v>TS-NL-LA</v>
          </cell>
          <cell r="B178">
            <v>1999</v>
          </cell>
          <cell r="C178" t="str">
            <v>Y</v>
          </cell>
          <cell r="D178">
            <v>1399</v>
          </cell>
          <cell r="E178">
            <v>949</v>
          </cell>
          <cell r="F178">
            <v>899</v>
          </cell>
          <cell r="G178" t="str">
            <v>TL2</v>
          </cell>
          <cell r="H178">
            <v>22.769571336909721</v>
          </cell>
          <cell r="I178">
            <v>19.71194111583327</v>
          </cell>
          <cell r="J178">
            <v>216.08323198727325</v>
          </cell>
          <cell r="K178">
            <v>1050</v>
          </cell>
          <cell r="L178">
            <v>215.58199710400004</v>
          </cell>
          <cell r="M178">
            <v>23.980199900333709</v>
          </cell>
          <cell r="N178">
            <v>8</v>
          </cell>
          <cell r="O178">
            <v>0</v>
          </cell>
          <cell r="P178">
            <v>0</v>
          </cell>
          <cell r="Q178" t="str">
            <v>SF</v>
          </cell>
          <cell r="S178">
            <v>34</v>
          </cell>
          <cell r="T178">
            <v>187</v>
          </cell>
          <cell r="U178">
            <v>19.704952581664909</v>
          </cell>
          <cell r="V178">
            <v>14</v>
          </cell>
          <cell r="W178">
            <v>7</v>
          </cell>
          <cell r="X178">
            <v>31.762908324552161</v>
          </cell>
          <cell r="Y178">
            <v>33.140155728587317</v>
          </cell>
          <cell r="Z178">
            <v>61.976191374954695</v>
          </cell>
          <cell r="AA178">
            <v>65.033821596031146</v>
          </cell>
          <cell r="AB178">
            <v>18</v>
          </cell>
          <cell r="AC178">
            <v>0</v>
          </cell>
          <cell r="AD178">
            <v>949</v>
          </cell>
          <cell r="AE178">
            <v>32.203389830508478</v>
          </cell>
          <cell r="AF178">
            <v>6</v>
          </cell>
          <cell r="AG178">
            <v>21.193374240260042</v>
          </cell>
          <cell r="AH178">
            <v>1.481433124426772</v>
          </cell>
          <cell r="AI178">
            <v>42.362277528449148</v>
          </cell>
          <cell r="AJ178">
            <v>41</v>
          </cell>
          <cell r="AK178">
            <v>835</v>
          </cell>
          <cell r="AL178" t="str">
            <v>PA</v>
          </cell>
          <cell r="AM178">
            <v>821.73054118281561</v>
          </cell>
          <cell r="AN178">
            <v>-13.410901877469376</v>
          </cell>
          <cell r="AO178">
            <v>1</v>
          </cell>
        </row>
        <row r="179">
          <cell r="A179" t="str">
            <v>TS-NLM</v>
          </cell>
          <cell r="B179">
            <v>899</v>
          </cell>
          <cell r="C179" t="str">
            <v>Y</v>
          </cell>
          <cell r="D179">
            <v>599</v>
          </cell>
          <cell r="E179">
            <v>399</v>
          </cell>
          <cell r="F179">
            <v>399</v>
          </cell>
          <cell r="G179" t="str">
            <v>TL2</v>
          </cell>
          <cell r="H179">
            <v>17.390816515122566</v>
          </cell>
          <cell r="I179">
            <v>17.390816515122566</v>
          </cell>
          <cell r="J179">
            <v>69.389357895339032</v>
          </cell>
          <cell r="K179">
            <v>450</v>
          </cell>
          <cell r="L179">
            <v>71.290402500000013</v>
          </cell>
          <cell r="M179">
            <v>17.867268796992484</v>
          </cell>
          <cell r="N179">
            <v>4</v>
          </cell>
          <cell r="O179">
            <v>0</v>
          </cell>
          <cell r="P179">
            <v>0</v>
          </cell>
          <cell r="Q179" t="str">
            <v>SF</v>
          </cell>
          <cell r="S179">
            <v>11</v>
          </cell>
          <cell r="T179">
            <v>121</v>
          </cell>
          <cell r="U179">
            <v>30.32581453634085</v>
          </cell>
          <cell r="V179">
            <v>14</v>
          </cell>
          <cell r="W179">
            <v>7</v>
          </cell>
          <cell r="X179">
            <v>43.591478696741852</v>
          </cell>
          <cell r="Y179">
            <v>43.591478696741852</v>
          </cell>
          <cell r="Z179">
            <v>67.354946196741849</v>
          </cell>
          <cell r="AA179">
            <v>67.354946196741849</v>
          </cell>
          <cell r="AB179">
            <v>18</v>
          </cell>
          <cell r="AC179">
            <v>0</v>
          </cell>
          <cell r="AD179">
            <v>399</v>
          </cell>
          <cell r="AE179">
            <v>32.203389830508478</v>
          </cell>
          <cell r="AF179">
            <v>3</v>
          </cell>
          <cell r="AG179">
            <v>25.923224385115326</v>
          </cell>
          <cell r="AH179">
            <v>8.5324078699927597</v>
          </cell>
          <cell r="AI179">
            <v>49.831890304887217</v>
          </cell>
          <cell r="AJ179">
            <v>46.5</v>
          </cell>
          <cell r="AK179">
            <v>280</v>
          </cell>
          <cell r="AL179" t="str">
            <v>PA</v>
          </cell>
          <cell r="AM179">
            <v>273.33373311778848</v>
          </cell>
          <cell r="AN179">
            <v>-31.495304983010403</v>
          </cell>
          <cell r="AO179">
            <v>5</v>
          </cell>
        </row>
        <row r="180">
          <cell r="A180" t="str">
            <v>TS-NL-ST</v>
          </cell>
          <cell r="B180">
            <v>899</v>
          </cell>
          <cell r="C180" t="str">
            <v>Y</v>
          </cell>
          <cell r="D180">
            <v>999</v>
          </cell>
          <cell r="E180">
            <v>599</v>
          </cell>
          <cell r="F180">
            <v>549</v>
          </cell>
          <cell r="G180" t="str">
            <v>TL2</v>
          </cell>
          <cell r="H180">
            <v>20.632340254435363</v>
          </cell>
          <cell r="I180">
            <v>15.430753509678624</v>
          </cell>
          <cell r="J180">
            <v>123.58771812406783</v>
          </cell>
          <cell r="K180">
            <v>650</v>
          </cell>
          <cell r="L180">
            <v>130.157444</v>
          </cell>
          <cell r="M180">
            <v>23.708095446265936</v>
          </cell>
          <cell r="N180">
            <v>4</v>
          </cell>
          <cell r="O180">
            <v>0</v>
          </cell>
          <cell r="P180">
            <v>0</v>
          </cell>
          <cell r="Q180" t="str">
            <v>SF</v>
          </cell>
          <cell r="S180">
            <v>34</v>
          </cell>
          <cell r="T180">
            <v>121</v>
          </cell>
          <cell r="U180">
            <v>20.20033388981636</v>
          </cell>
          <cell r="V180">
            <v>14</v>
          </cell>
          <cell r="W180">
            <v>7</v>
          </cell>
          <cell r="X180">
            <v>35.213689482470784</v>
          </cell>
          <cell r="Y180">
            <v>37.783242258652095</v>
          </cell>
          <cell r="Z180">
            <v>64.113422457429053</v>
          </cell>
          <cell r="AA180">
            <v>69.315009202185792</v>
          </cell>
          <cell r="AB180">
            <v>18</v>
          </cell>
          <cell r="AC180">
            <v>0</v>
          </cell>
          <cell r="AD180">
            <v>599</v>
          </cell>
          <cell r="AE180">
            <v>32.203389830508478</v>
          </cell>
          <cell r="AF180">
            <v>3</v>
          </cell>
          <cell r="AG180">
            <v>22.31241561925242</v>
          </cell>
          <cell r="AH180">
            <v>6.8816621095737958</v>
          </cell>
          <cell r="AI180">
            <v>44.06733011459098</v>
          </cell>
          <cell r="AJ180">
            <v>42.5</v>
          </cell>
          <cell r="AK180">
            <v>502</v>
          </cell>
          <cell r="AL180" t="str">
            <v>PA</v>
          </cell>
          <cell r="AM180">
            <v>493.61275144999996</v>
          </cell>
          <cell r="AN180">
            <v>-17.593864532554264</v>
          </cell>
          <cell r="AO180">
            <v>5</v>
          </cell>
        </row>
        <row r="181">
          <cell r="A181" t="str">
            <v>TU-AMY</v>
          </cell>
          <cell r="B181">
            <v>10799</v>
          </cell>
          <cell r="C181" t="str">
            <v>Y</v>
          </cell>
          <cell r="D181">
            <v>7499</v>
          </cell>
          <cell r="E181">
            <v>6299</v>
          </cell>
          <cell r="F181">
            <v>5699</v>
          </cell>
          <cell r="G181" t="str">
            <v>TL2</v>
          </cell>
          <cell r="H181">
            <v>19.870280106823145</v>
          </cell>
          <cell r="I181">
            <v>19.487793782375903</v>
          </cell>
          <cell r="J181">
            <v>1251.62894392879</v>
          </cell>
          <cell r="K181">
            <v>6700</v>
          </cell>
          <cell r="L181">
            <v>1676.835826535</v>
          </cell>
          <cell r="M181">
            <v>29.423334383839268</v>
          </cell>
          <cell r="N181">
            <v>66</v>
          </cell>
          <cell r="O181">
            <v>0.115</v>
          </cell>
          <cell r="P181">
            <v>7.0000000000000007E-2</v>
          </cell>
          <cell r="Q181" t="str">
            <v>SF</v>
          </cell>
          <cell r="S181">
            <v>65</v>
          </cell>
          <cell r="T181">
            <v>612</v>
          </cell>
          <cell r="U181">
            <v>9.7158279091919351</v>
          </cell>
          <cell r="V181">
            <v>14</v>
          </cell>
          <cell r="W181">
            <v>7</v>
          </cell>
          <cell r="X181">
            <v>29.469995237339262</v>
          </cell>
          <cell r="Y181">
            <v>26.124934198982277</v>
          </cell>
          <cell r="Z181">
            <v>64.87548260504127</v>
          </cell>
          <cell r="AA181">
            <v>65.257968929488513</v>
          </cell>
          <cell r="AB181">
            <v>18</v>
          </cell>
          <cell r="AC181">
            <v>0</v>
          </cell>
          <cell r="AD181">
            <v>6299</v>
          </cell>
          <cell r="AE181">
            <v>32.203389830508478</v>
          </cell>
          <cell r="AF181">
            <v>49.5</v>
          </cell>
          <cell r="AG181">
            <v>17.135866665528027</v>
          </cell>
          <cell r="AH181">
            <v>-2.3519271168478753</v>
          </cell>
          <cell r="AI181">
            <v>36.054234860072576</v>
          </cell>
          <cell r="AJ181">
            <v>36</v>
          </cell>
          <cell r="AK181">
            <v>6504</v>
          </cell>
          <cell r="AL181" t="str">
            <v>PA</v>
          </cell>
          <cell r="AM181">
            <v>6406.3036374475905</v>
          </cell>
          <cell r="AN181">
            <v>1.7035027376978966</v>
          </cell>
          <cell r="AO181">
            <v>3</v>
          </cell>
        </row>
        <row r="182">
          <cell r="A182" t="str">
            <v>TU-ARO-LA</v>
          </cell>
          <cell r="B182">
            <v>2199</v>
          </cell>
          <cell r="C182" t="str">
            <v>Y</v>
          </cell>
          <cell r="D182">
            <v>2099</v>
          </cell>
          <cell r="E182">
            <v>1799</v>
          </cell>
          <cell r="F182">
            <v>1699</v>
          </cell>
          <cell r="G182" t="str">
            <v>TL2</v>
          </cell>
          <cell r="H182">
            <v>20.639353305749893</v>
          </cell>
          <cell r="I182">
            <v>22.455044335407678</v>
          </cell>
          <cell r="J182">
            <v>371.30196597044062</v>
          </cell>
          <cell r="K182">
            <v>1950</v>
          </cell>
          <cell r="L182">
            <v>368.01451520000001</v>
          </cell>
          <cell r="M182">
            <v>21.660654220129491</v>
          </cell>
          <cell r="N182">
            <v>14</v>
          </cell>
          <cell r="O182">
            <v>0.115</v>
          </cell>
          <cell r="P182">
            <v>7.0000000000000007E-2</v>
          </cell>
          <cell r="Q182" t="str">
            <v>SF</v>
          </cell>
          <cell r="S182">
            <v>65</v>
          </cell>
          <cell r="T182">
            <v>252</v>
          </cell>
          <cell r="U182">
            <v>14.007782101167317</v>
          </cell>
          <cell r="V182">
            <v>14</v>
          </cell>
          <cell r="W182">
            <v>7</v>
          </cell>
          <cell r="X182">
            <v>36.899110617009455</v>
          </cell>
          <cell r="Y182">
            <v>33.482048263684518</v>
          </cell>
          <cell r="Z182">
            <v>64.106409406114523</v>
          </cell>
          <cell r="AA182">
            <v>62.290718376456738</v>
          </cell>
          <cell r="AB182">
            <v>18</v>
          </cell>
          <cell r="AC182">
            <v>0</v>
          </cell>
          <cell r="AD182">
            <v>1799</v>
          </cell>
          <cell r="AE182">
            <v>32.203389830508478</v>
          </cell>
          <cell r="AF182">
            <v>10.5</v>
          </cell>
          <cell r="AG182">
            <v>23.50209966290123</v>
          </cell>
          <cell r="AH182">
            <v>1.0470553274935526</v>
          </cell>
          <cell r="AI182">
            <v>45.966671475548637</v>
          </cell>
          <cell r="AJ182">
            <v>44</v>
          </cell>
          <cell r="AK182">
            <v>1426</v>
          </cell>
          <cell r="AL182" t="str">
            <v>PA</v>
          </cell>
          <cell r="AM182">
            <v>1404.2422933907694</v>
          </cell>
          <cell r="AN182">
            <v>-21.943174352931106</v>
          </cell>
          <cell r="AO182">
            <v>1</v>
          </cell>
        </row>
        <row r="183">
          <cell r="A183" t="str">
            <v>TU-ATD</v>
          </cell>
          <cell r="B183">
            <v>6899</v>
          </cell>
          <cell r="C183" t="str">
            <v>Y</v>
          </cell>
          <cell r="D183">
            <v>4799</v>
          </cell>
          <cell r="E183">
            <v>4399</v>
          </cell>
          <cell r="F183">
            <v>3999</v>
          </cell>
          <cell r="G183" t="str">
            <v>TL2</v>
          </cell>
          <cell r="H183">
            <v>20.225198828710788</v>
          </cell>
          <cell r="I183">
            <v>20.121991638597905</v>
          </cell>
          <cell r="J183">
            <v>889.7064964749876</v>
          </cell>
          <cell r="K183">
            <v>4700</v>
          </cell>
          <cell r="L183">
            <v>1092.8154926465625</v>
          </cell>
          <cell r="M183">
            <v>27.327219120944296</v>
          </cell>
          <cell r="N183">
            <v>44</v>
          </cell>
          <cell r="O183">
            <v>0.115</v>
          </cell>
          <cell r="P183">
            <v>7.0000000000000007E-2</v>
          </cell>
          <cell r="Q183" t="str">
            <v>SF</v>
          </cell>
          <cell r="S183">
            <v>65</v>
          </cell>
          <cell r="T183">
            <v>492</v>
          </cell>
          <cell r="U183">
            <v>11.184360081836781</v>
          </cell>
          <cell r="V183">
            <v>14</v>
          </cell>
          <cell r="W183">
            <v>7</v>
          </cell>
          <cell r="X183">
            <v>31.480222777904068</v>
          </cell>
          <cell r="Y183">
            <v>28.278569642410602</v>
          </cell>
          <cell r="Z183">
            <v>64.520563883153628</v>
          </cell>
          <cell r="AA183">
            <v>64.623771073266511</v>
          </cell>
          <cell r="AB183">
            <v>18</v>
          </cell>
          <cell r="AC183">
            <v>0</v>
          </cell>
          <cell r="AD183">
            <v>4399</v>
          </cell>
          <cell r="AE183">
            <v>32.203389830508478</v>
          </cell>
          <cell r="AF183">
            <v>33</v>
          </cell>
          <cell r="AG183">
            <v>18.94984065479165</v>
          </cell>
          <cell r="AH183">
            <v>-1.1721509838062545</v>
          </cell>
          <cell r="AI183">
            <v>38.887196313718682</v>
          </cell>
          <cell r="AJ183">
            <v>38.5</v>
          </cell>
          <cell r="AK183">
            <v>4242</v>
          </cell>
          <cell r="AL183" t="str">
            <v>PA</v>
          </cell>
          <cell r="AM183">
            <v>4176.9128414786455</v>
          </cell>
          <cell r="AN183">
            <v>-5.04858282612763</v>
          </cell>
          <cell r="AO183">
            <v>1</v>
          </cell>
        </row>
        <row r="184">
          <cell r="A184" t="str">
            <v>TU-AYL</v>
          </cell>
          <cell r="B184">
            <v>6199</v>
          </cell>
          <cell r="C184" t="str">
            <v>Y</v>
          </cell>
          <cell r="D184">
            <v>4199</v>
          </cell>
          <cell r="E184">
            <v>3499</v>
          </cell>
          <cell r="F184">
            <v>3099</v>
          </cell>
          <cell r="G184" t="str">
            <v>TL2</v>
          </cell>
          <cell r="H184">
            <v>20.496218018409138</v>
          </cell>
          <cell r="I184">
            <v>19.091146099279712</v>
          </cell>
          <cell r="J184">
            <v>717.16266846413578</v>
          </cell>
          <cell r="K184">
            <v>3750</v>
          </cell>
          <cell r="L184">
            <v>834.41847280000002</v>
          </cell>
          <cell r="M184">
            <v>26.925410545337208</v>
          </cell>
          <cell r="N184">
            <v>34</v>
          </cell>
          <cell r="O184">
            <v>0.115</v>
          </cell>
          <cell r="P184">
            <v>7.0000000000000007E-2</v>
          </cell>
          <cell r="Q184" t="str">
            <v>SF</v>
          </cell>
          <cell r="S184">
            <v>65</v>
          </cell>
          <cell r="T184">
            <v>412</v>
          </cell>
          <cell r="U184">
            <v>11.774792797942268</v>
          </cell>
          <cell r="V184">
            <v>14</v>
          </cell>
          <cell r="W184">
            <v>7</v>
          </cell>
          <cell r="X184">
            <v>32.532580737353527</v>
          </cell>
          <cell r="Y184">
            <v>29.843820587286224</v>
          </cell>
          <cell r="Z184">
            <v>64.249544693455277</v>
          </cell>
          <cell r="AA184">
            <v>65.654616612584704</v>
          </cell>
          <cell r="AB184">
            <v>18</v>
          </cell>
          <cell r="AC184">
            <v>0</v>
          </cell>
          <cell r="AD184">
            <v>3499</v>
          </cell>
          <cell r="AE184">
            <v>32.203389830508478</v>
          </cell>
          <cell r="AF184">
            <v>25.5</v>
          </cell>
          <cell r="AG184">
            <v>19.966251909649728</v>
          </cell>
          <cell r="AH184">
            <v>0.875105810370016</v>
          </cell>
          <cell r="AI184">
            <v>40.474022543231783</v>
          </cell>
          <cell r="AJ184">
            <v>39.5</v>
          </cell>
          <cell r="AK184">
            <v>3240</v>
          </cell>
          <cell r="AL184" t="str">
            <v>PA</v>
          </cell>
          <cell r="AM184">
            <v>3191.4923553746153</v>
          </cell>
          <cell r="AN184">
            <v>-8.7884436874931318</v>
          </cell>
          <cell r="AO184">
            <v>1</v>
          </cell>
        </row>
        <row r="185">
          <cell r="A185" t="str">
            <v>TU-BKMT</v>
          </cell>
          <cell r="B185">
            <v>15799</v>
          </cell>
          <cell r="C185" t="str">
            <v>Y</v>
          </cell>
          <cell r="D185">
            <v>10999</v>
          </cell>
          <cell r="E185">
            <v>9499</v>
          </cell>
          <cell r="F185">
            <v>8199</v>
          </cell>
          <cell r="G185" t="str">
            <v>TL3</v>
          </cell>
          <cell r="H185">
            <v>21.616169364771864</v>
          </cell>
          <cell r="I185">
            <v>19.039883067513614</v>
          </cell>
          <cell r="J185">
            <v>2053.3199279596793</v>
          </cell>
          <cell r="K185">
            <v>10100</v>
          </cell>
          <cell r="L185">
            <v>2532.60531732355</v>
          </cell>
          <cell r="M185">
            <v>30.889197674393831</v>
          </cell>
          <cell r="N185">
            <v>96</v>
          </cell>
          <cell r="O185">
            <v>0.115</v>
          </cell>
          <cell r="P185">
            <v>7.0000000000000007E-2</v>
          </cell>
          <cell r="Q185" t="str">
            <v>SF</v>
          </cell>
          <cell r="S185">
            <v>65</v>
          </cell>
          <cell r="T185">
            <v>792</v>
          </cell>
          <cell r="U185">
            <v>8.3377197599747355</v>
          </cell>
          <cell r="V185">
            <v>14</v>
          </cell>
          <cell r="W185">
            <v>7</v>
          </cell>
          <cell r="X185">
            <v>27.669386251184335</v>
          </cell>
          <cell r="Y185">
            <v>24.623246737407001</v>
          </cell>
          <cell r="Z185">
            <v>63.129593347092552</v>
          </cell>
          <cell r="AA185">
            <v>65.705879644350802</v>
          </cell>
          <cell r="AB185">
            <v>18</v>
          </cell>
          <cell r="AC185">
            <v>0</v>
          </cell>
          <cell r="AD185">
            <v>9499</v>
          </cell>
          <cell r="AE185">
            <v>32.203389830508478</v>
          </cell>
          <cell r="AF185">
            <v>72</v>
          </cell>
          <cell r="AG185">
            <v>17.122588511174335</v>
          </cell>
          <cell r="AH185">
            <v>-1.9172945563392787</v>
          </cell>
          <cell r="AI185">
            <v>36.02254568894012</v>
          </cell>
          <cell r="AJ185">
            <v>36</v>
          </cell>
          <cell r="AK185">
            <v>9813</v>
          </cell>
          <cell r="AL185" t="str">
            <v>PA</v>
          </cell>
          <cell r="AM185">
            <v>9664.8641431893575</v>
          </cell>
          <cell r="AN185">
            <v>1.7461221516934151</v>
          </cell>
          <cell r="AO185">
            <v>1</v>
          </cell>
        </row>
        <row r="186">
          <cell r="A186" t="str">
            <v>TU-BKY</v>
          </cell>
          <cell r="B186">
            <v>8999</v>
          </cell>
          <cell r="C186" t="str">
            <v>Y</v>
          </cell>
          <cell r="D186">
            <v>7899</v>
          </cell>
          <cell r="E186">
            <v>6599</v>
          </cell>
          <cell r="F186">
            <v>5999</v>
          </cell>
          <cell r="G186" t="str">
            <v>TL3</v>
          </cell>
          <cell r="H186">
            <v>22.249129421048323</v>
          </cell>
          <cell r="I186">
            <v>22.348732692511959</v>
          </cell>
          <cell r="J186">
            <v>1468.2200504949788</v>
          </cell>
          <cell r="K186">
            <v>7000</v>
          </cell>
          <cell r="L186">
            <v>1672.4344592939501</v>
          </cell>
          <cell r="M186">
            <v>27.878554080579264</v>
          </cell>
          <cell r="N186">
            <v>63</v>
          </cell>
          <cell r="O186">
            <v>0.115</v>
          </cell>
          <cell r="P186">
            <v>7.0000000000000007E-2</v>
          </cell>
          <cell r="Q186" t="str">
            <v>SF</v>
          </cell>
          <cell r="S186">
            <v>65</v>
          </cell>
          <cell r="T186">
            <v>600</v>
          </cell>
          <cell r="U186">
            <v>9.0922867101075919</v>
          </cell>
          <cell r="V186">
            <v>14</v>
          </cell>
          <cell r="W186">
            <v>7</v>
          </cell>
          <cell r="X186">
            <v>28.789437793605092</v>
          </cell>
          <cell r="Y186">
            <v>25.318553092182032</v>
          </cell>
          <cell r="Z186">
            <v>62.496633290816092</v>
          </cell>
          <cell r="AA186">
            <v>62.397030019352457</v>
          </cell>
          <cell r="AB186">
            <v>18</v>
          </cell>
          <cell r="AC186">
            <v>0</v>
          </cell>
          <cell r="AD186">
            <v>6599</v>
          </cell>
          <cell r="AE186">
            <v>32.203389830508478</v>
          </cell>
          <cell r="AF186">
            <v>47.25</v>
          </cell>
          <cell r="AG186">
            <v>18.482599289994354</v>
          </cell>
          <cell r="AH186">
            <v>-3.8661334025176046</v>
          </cell>
          <cell r="AI186">
            <v>38.140608570754281</v>
          </cell>
          <cell r="AJ186">
            <v>38</v>
          </cell>
          <cell r="AK186">
            <v>6479</v>
          </cell>
          <cell r="AL186" t="str">
            <v>PA</v>
          </cell>
          <cell r="AM186">
            <v>6379.0189514391977</v>
          </cell>
          <cell r="AN186">
            <v>-3.3335512738415258</v>
          </cell>
          <cell r="AO186">
            <v>1</v>
          </cell>
        </row>
        <row r="187">
          <cell r="A187" t="str">
            <v>TU-BKY-ST</v>
          </cell>
          <cell r="B187">
            <v>9299</v>
          </cell>
          <cell r="C187" t="str">
            <v>Y</v>
          </cell>
          <cell r="D187">
            <v>6399</v>
          </cell>
          <cell r="E187">
            <v>5599</v>
          </cell>
          <cell r="F187">
            <v>4999</v>
          </cell>
          <cell r="G187" t="str">
            <v>TL3</v>
          </cell>
          <cell r="H187">
            <v>21.933924753984911</v>
          </cell>
          <cell r="I187">
            <v>21.11544050218901</v>
          </cell>
          <cell r="J187">
            <v>1228.0804469756154</v>
          </cell>
          <cell r="K187">
            <v>5950</v>
          </cell>
          <cell r="L187">
            <v>1400.01489267795</v>
          </cell>
          <cell r="M187">
            <v>28.005899033365672</v>
          </cell>
          <cell r="N187">
            <v>53</v>
          </cell>
          <cell r="O187">
            <v>0.115</v>
          </cell>
          <cell r="P187">
            <v>7.0000000000000007E-2</v>
          </cell>
          <cell r="Q187" t="str">
            <v>SF</v>
          </cell>
          <cell r="S187">
            <v>65</v>
          </cell>
          <cell r="T187">
            <v>540</v>
          </cell>
          <cell r="U187">
            <v>9.6445793891766378</v>
          </cell>
          <cell r="V187">
            <v>14</v>
          </cell>
          <cell r="W187">
            <v>7</v>
          </cell>
          <cell r="X187">
            <v>29.555545633148775</v>
          </cell>
          <cell r="Y187">
            <v>26.382476495299059</v>
          </cell>
          <cell r="Z187">
            <v>62.811837957879504</v>
          </cell>
          <cell r="AA187">
            <v>63.630322209675406</v>
          </cell>
          <cell r="AB187">
            <v>18</v>
          </cell>
          <cell r="AC187">
            <v>0</v>
          </cell>
          <cell r="AD187">
            <v>5599</v>
          </cell>
          <cell r="AE187">
            <v>32.203389830508478</v>
          </cell>
          <cell r="AF187">
            <v>39.75</v>
          </cell>
          <cell r="AG187">
            <v>18.827693605093209</v>
          </cell>
          <cell r="AH187">
            <v>-2.2877468970958006</v>
          </cell>
          <cell r="AI187">
            <v>38.679836174874545</v>
          </cell>
          <cell r="AJ187">
            <v>38.5</v>
          </cell>
          <cell r="AK187">
            <v>5424</v>
          </cell>
          <cell r="AL187" t="str">
            <v>PA</v>
          </cell>
          <cell r="AM187">
            <v>5341.016770248898</v>
          </cell>
          <cell r="AN187">
            <v>-4.6076661859457406</v>
          </cell>
          <cell r="AO187">
            <v>1</v>
          </cell>
        </row>
        <row r="188">
          <cell r="A188" t="str">
            <v>TU-BVN</v>
          </cell>
          <cell r="B188">
            <v>8999</v>
          </cell>
          <cell r="C188" t="str">
            <v>Y</v>
          </cell>
          <cell r="D188">
            <v>6099</v>
          </cell>
          <cell r="E188">
            <v>5299</v>
          </cell>
          <cell r="F188">
            <v>4699</v>
          </cell>
          <cell r="G188" t="str">
            <v>TL1</v>
          </cell>
          <cell r="H188">
            <v>18.147479358534525</v>
          </cell>
          <cell r="I188">
            <v>16.505966268090191</v>
          </cell>
          <cell r="J188">
            <v>961.63493120874443</v>
          </cell>
          <cell r="K188">
            <v>5650</v>
          </cell>
          <cell r="L188">
            <v>1441.9007781150003</v>
          </cell>
          <cell r="M188">
            <v>30.685268740476701</v>
          </cell>
          <cell r="N188">
            <v>56</v>
          </cell>
          <cell r="O188">
            <v>0.115</v>
          </cell>
          <cell r="P188">
            <v>7.0000000000000007E-2</v>
          </cell>
          <cell r="Q188" t="str">
            <v>sf</v>
          </cell>
          <cell r="S188">
            <v>65</v>
          </cell>
          <cell r="T188">
            <v>552</v>
          </cell>
          <cell r="U188">
            <v>10.417059822608039</v>
          </cell>
          <cell r="V188">
            <v>14</v>
          </cell>
          <cell r="W188">
            <v>7</v>
          </cell>
          <cell r="X188">
            <v>30.407907152292886</v>
          </cell>
          <cell r="Y188">
            <v>27.428389018940202</v>
          </cell>
          <cell r="Z188">
            <v>66.59828335332989</v>
          </cell>
          <cell r="AA188">
            <v>68.239796443774225</v>
          </cell>
          <cell r="AB188">
            <v>18</v>
          </cell>
          <cell r="AC188">
            <v>0</v>
          </cell>
          <cell r="AD188">
            <v>5299</v>
          </cell>
          <cell r="AE188">
            <v>32.203389830508478</v>
          </cell>
          <cell r="AF188">
            <v>42</v>
          </cell>
          <cell r="AG188">
            <v>16.538961329836781</v>
          </cell>
          <cell r="AH188">
            <v>3.2995061746589727E-2</v>
          </cell>
          <cell r="AI188">
            <v>35.120085276963941</v>
          </cell>
          <cell r="AJ188">
            <v>35</v>
          </cell>
          <cell r="AK188">
            <v>5591</v>
          </cell>
          <cell r="AL188" t="str">
            <v>PA</v>
          </cell>
          <cell r="AM188">
            <v>5505.5877896053416</v>
          </cell>
          <cell r="AN188">
            <v>3.8986184111217521</v>
          </cell>
          <cell r="AO188">
            <v>1</v>
          </cell>
        </row>
        <row r="189">
          <cell r="A189" t="str">
            <v>TU-CBR-LA</v>
          </cell>
          <cell r="B189">
            <v>3799</v>
          </cell>
          <cell r="C189" t="str">
            <v>Y</v>
          </cell>
          <cell r="D189">
            <v>2599</v>
          </cell>
          <cell r="E189">
            <v>2099</v>
          </cell>
          <cell r="F189">
            <v>1899</v>
          </cell>
          <cell r="G189" t="str">
            <v>TL2</v>
          </cell>
          <cell r="H189">
            <v>20.918428055667</v>
          </cell>
          <cell r="I189">
            <v>20.644617138742575</v>
          </cell>
          <cell r="J189">
            <v>439.07780488845037</v>
          </cell>
          <cell r="K189">
            <v>2250</v>
          </cell>
          <cell r="L189">
            <v>442.42161987487492</v>
          </cell>
          <cell r="M189">
            <v>23.297610314632699</v>
          </cell>
          <cell r="N189">
            <v>18</v>
          </cell>
          <cell r="O189">
            <v>0.115</v>
          </cell>
          <cell r="P189">
            <v>7.0000000000000007E-2</v>
          </cell>
          <cell r="Q189" t="str">
            <v>SF</v>
          </cell>
          <cell r="S189">
            <v>65</v>
          </cell>
          <cell r="T189">
            <v>284</v>
          </cell>
          <cell r="U189">
            <v>13.530252501191045</v>
          </cell>
          <cell r="V189">
            <v>14</v>
          </cell>
          <cell r="W189">
            <v>7</v>
          </cell>
          <cell r="X189">
            <v>35.793949499761794</v>
          </cell>
          <cell r="Y189">
            <v>33.115323854660346</v>
          </cell>
          <cell r="Z189">
            <v>63.827334656197415</v>
          </cell>
          <cell r="AA189">
            <v>64.10114557312184</v>
          </cell>
          <cell r="AB189">
            <v>18</v>
          </cell>
          <cell r="AC189">
            <v>0</v>
          </cell>
          <cell r="AD189">
            <v>2099</v>
          </cell>
          <cell r="AE189">
            <v>32.203389830508478</v>
          </cell>
          <cell r="AF189">
            <v>13.5</v>
          </cell>
          <cell r="AG189">
            <v>22.821476269880229</v>
          </cell>
          <cell r="AH189">
            <v>2.1768591311376539</v>
          </cell>
          <cell r="AI189">
            <v>44.921672690251143</v>
          </cell>
          <cell r="AJ189">
            <v>43</v>
          </cell>
          <cell r="AK189">
            <v>1718</v>
          </cell>
          <cell r="AL189" t="str">
            <v>PA</v>
          </cell>
          <cell r="AM189">
            <v>1691.5578729398005</v>
          </cell>
          <cell r="AN189">
            <v>-19.411249502629801</v>
          </cell>
          <cell r="AO189">
            <v>1</v>
          </cell>
        </row>
        <row r="190">
          <cell r="A190" t="str">
            <v>TU-CRL</v>
          </cell>
          <cell r="B190">
            <v>8599</v>
          </cell>
          <cell r="C190" t="str">
            <v>Y</v>
          </cell>
          <cell r="D190">
            <v>5999</v>
          </cell>
          <cell r="E190">
            <v>5599</v>
          </cell>
          <cell r="F190">
            <v>4899</v>
          </cell>
          <cell r="G190" t="str">
            <v>TL2</v>
          </cell>
          <cell r="H190">
            <v>19.599719423027395</v>
          </cell>
          <cell r="I190">
            <v>17.434638732644473</v>
          </cell>
          <cell r="J190">
            <v>1097.3882904953039</v>
          </cell>
          <cell r="K190">
            <v>5950</v>
          </cell>
          <cell r="L190">
            <v>1480.2345592044999</v>
          </cell>
          <cell r="M190">
            <v>30.215034888844659</v>
          </cell>
          <cell r="N190">
            <v>58</v>
          </cell>
          <cell r="O190">
            <v>0.115</v>
          </cell>
          <cell r="P190">
            <v>7.0000000000000007E-2</v>
          </cell>
          <cell r="Q190" t="str">
            <v>sf</v>
          </cell>
          <cell r="S190">
            <v>65</v>
          </cell>
          <cell r="T190">
            <v>564</v>
          </cell>
          <cell r="U190">
            <v>10.073227362028934</v>
          </cell>
          <cell r="V190">
            <v>14</v>
          </cell>
          <cell r="W190">
            <v>7</v>
          </cell>
          <cell r="X190">
            <v>29.984193606001071</v>
          </cell>
          <cell r="Y190">
            <v>27.125127577056542</v>
          </cell>
          <cell r="Z190">
            <v>65.146043288837021</v>
          </cell>
          <cell r="AA190">
            <v>67.311123979219943</v>
          </cell>
          <cell r="AB190">
            <v>18</v>
          </cell>
          <cell r="AC190">
            <v>0</v>
          </cell>
          <cell r="AD190">
            <v>5599</v>
          </cell>
          <cell r="AE190">
            <v>32.203389830508478</v>
          </cell>
          <cell r="AF190">
            <v>43.5</v>
          </cell>
          <cell r="AG190">
            <v>17.327967466022841</v>
          </cell>
          <cell r="AH190">
            <v>-0.10667126662163184</v>
          </cell>
          <cell r="AI190">
            <v>36.352246522315745</v>
          </cell>
          <cell r="AJ190">
            <v>36</v>
          </cell>
          <cell r="AK190">
            <v>5741</v>
          </cell>
          <cell r="AL190" t="str">
            <v>PA</v>
          </cell>
          <cell r="AM190">
            <v>5653.8122065882262</v>
          </cell>
          <cell r="AN190">
            <v>0.97896421840018244</v>
          </cell>
          <cell r="AO190">
            <v>1</v>
          </cell>
        </row>
        <row r="191">
          <cell r="A191" t="str">
            <v>TU-DRN</v>
          </cell>
          <cell r="B191">
            <v>6199</v>
          </cell>
          <cell r="C191" t="str">
            <v>Y</v>
          </cell>
          <cell r="D191">
            <v>4199</v>
          </cell>
          <cell r="E191">
            <v>3899</v>
          </cell>
          <cell r="F191">
            <v>3449</v>
          </cell>
          <cell r="G191" t="str">
            <v>TL3</v>
          </cell>
          <cell r="H191">
            <v>20.86420797569015</v>
          </cell>
          <cell r="I191">
            <v>19.443158503008675</v>
          </cell>
          <cell r="J191">
            <v>813.49546897215896</v>
          </cell>
          <cell r="K191">
            <v>4150</v>
          </cell>
          <cell r="L191">
            <v>923.27719674499986</v>
          </cell>
          <cell r="M191">
            <v>26.769417128008111</v>
          </cell>
          <cell r="N191">
            <v>35</v>
          </cell>
          <cell r="O191">
            <v>0.115</v>
          </cell>
          <cell r="P191">
            <v>7.0000000000000007E-2</v>
          </cell>
          <cell r="Q191" t="str">
            <v>SF</v>
          </cell>
          <cell r="S191">
            <v>65</v>
          </cell>
          <cell r="T191">
            <v>432</v>
          </cell>
          <cell r="U191">
            <v>11.079764042062067</v>
          </cell>
          <cell r="V191">
            <v>14</v>
          </cell>
          <cell r="W191">
            <v>7</v>
          </cell>
          <cell r="X191">
            <v>31.605924596050269</v>
          </cell>
          <cell r="Y191">
            <v>28.81588866338069</v>
          </cell>
          <cell r="Z191">
            <v>63.881554736174266</v>
          </cell>
          <cell r="AA191">
            <v>65.30260420885574</v>
          </cell>
          <cell r="AB191">
            <v>18</v>
          </cell>
          <cell r="AC191">
            <v>0</v>
          </cell>
          <cell r="AD191">
            <v>3899</v>
          </cell>
          <cell r="AE191">
            <v>32.203389830508478</v>
          </cell>
          <cell r="AF191">
            <v>26.25</v>
          </cell>
          <cell r="AG191">
            <v>20.189277299283617</v>
          </cell>
          <cell r="AH191">
            <v>0.74611879627494204</v>
          </cell>
          <cell r="AI191">
            <v>39.880321964276675</v>
          </cell>
          <cell r="AJ191">
            <v>39</v>
          </cell>
          <cell r="AK191">
            <v>3577</v>
          </cell>
          <cell r="AL191" t="str">
            <v>PB</v>
          </cell>
          <cell r="AM191">
            <v>3605.7093995903465</v>
          </cell>
          <cell r="AN191">
            <v>-7.5222005747538727</v>
          </cell>
          <cell r="AO191">
            <v>1</v>
          </cell>
        </row>
        <row r="192">
          <cell r="A192" t="str">
            <v>TU-DSK</v>
          </cell>
          <cell r="B192">
            <v>9299</v>
          </cell>
          <cell r="C192" t="str">
            <v>Y</v>
          </cell>
          <cell r="D192">
            <v>7599</v>
          </cell>
          <cell r="E192">
            <v>6299</v>
          </cell>
          <cell r="F192">
            <v>5499</v>
          </cell>
          <cell r="G192" t="str">
            <v>TL3</v>
          </cell>
          <cell r="H192">
            <v>22.709862591312657</v>
          </cell>
          <cell r="I192">
            <v>20.876216456298756</v>
          </cell>
          <cell r="J192">
            <v>1430.4942446267844</v>
          </cell>
          <cell r="K192">
            <v>6700</v>
          </cell>
          <cell r="L192">
            <v>1569.4183072131998</v>
          </cell>
          <cell r="M192">
            <v>28.540067416133837</v>
          </cell>
          <cell r="N192">
            <v>59</v>
          </cell>
          <cell r="O192">
            <v>0.115</v>
          </cell>
          <cell r="P192">
            <v>7.0000000000000007E-2</v>
          </cell>
          <cell r="Q192" t="str">
            <v>sf</v>
          </cell>
          <cell r="S192">
            <v>65</v>
          </cell>
          <cell r="T192">
            <v>576</v>
          </cell>
          <cell r="U192">
            <v>9.1443086204159396</v>
          </cell>
          <cell r="V192">
            <v>14</v>
          </cell>
          <cell r="W192">
            <v>7</v>
          </cell>
          <cell r="X192">
            <v>28.898475948563263</v>
          </cell>
          <cell r="Y192">
            <v>25.911256592107655</v>
          </cell>
          <cell r="Z192">
            <v>62.035900120551759</v>
          </cell>
          <cell r="AA192">
            <v>63.869546255565659</v>
          </cell>
          <cell r="AB192">
            <v>18</v>
          </cell>
          <cell r="AC192">
            <v>0</v>
          </cell>
          <cell r="AD192">
            <v>6299</v>
          </cell>
          <cell r="AE192">
            <v>32.203389830508478</v>
          </cell>
          <cell r="AF192">
            <v>44.25</v>
          </cell>
          <cell r="AG192">
            <v>18.924523901943331</v>
          </cell>
          <cell r="AH192">
            <v>-1.9516925543554251</v>
          </cell>
          <cell r="AI192">
            <v>38.828898375291395</v>
          </cell>
          <cell r="AJ192">
            <v>38.5</v>
          </cell>
          <cell r="AK192">
            <v>6080</v>
          </cell>
          <cell r="AL192" t="str">
            <v>PA</v>
          </cell>
          <cell r="AM192">
            <v>5986.5830874243384</v>
          </cell>
          <cell r="AN192">
            <v>-4.9597858799120749</v>
          </cell>
          <cell r="AO192">
            <v>1</v>
          </cell>
        </row>
        <row r="193">
          <cell r="A193" t="str">
            <v>TU-ETY-LA</v>
          </cell>
          <cell r="B193">
            <v>5299</v>
          </cell>
          <cell r="C193" t="str">
            <v>Y</v>
          </cell>
          <cell r="D193">
            <v>3699</v>
          </cell>
          <cell r="E193">
            <v>2999</v>
          </cell>
          <cell r="F193">
            <v>2699</v>
          </cell>
          <cell r="G193" t="str">
            <v>TL2</v>
          </cell>
          <cell r="H193">
            <v>19.866041507920187</v>
          </cell>
          <cell r="I193">
            <v>19.210829814262055</v>
          </cell>
          <cell r="J193">
            <v>595.78258482252647</v>
          </cell>
          <cell r="K193">
            <v>3200</v>
          </cell>
          <cell r="L193">
            <v>724.75777361375003</v>
          </cell>
          <cell r="M193">
            <v>26.852825995322345</v>
          </cell>
          <cell r="N193">
            <v>26</v>
          </cell>
          <cell r="O193">
            <v>0.115</v>
          </cell>
          <cell r="P193">
            <v>7.0000000000000007E-2</v>
          </cell>
          <cell r="Q193" t="str">
            <v>SF</v>
          </cell>
          <cell r="S193">
            <v>65</v>
          </cell>
          <cell r="T193">
            <v>348</v>
          </cell>
          <cell r="U193">
            <v>11.603867955985329</v>
          </cell>
          <cell r="V193">
            <v>14</v>
          </cell>
          <cell r="W193">
            <v>7</v>
          </cell>
          <cell r="X193">
            <v>32.738079359786596</v>
          </cell>
          <cell r="Y193">
            <v>29.820674323823638</v>
          </cell>
          <cell r="Z193">
            <v>64.879721203944229</v>
          </cell>
          <cell r="AA193">
            <v>65.53493289760236</v>
          </cell>
          <cell r="AB193">
            <v>18</v>
          </cell>
          <cell r="AC193">
            <v>0</v>
          </cell>
          <cell r="AD193">
            <v>2999</v>
          </cell>
          <cell r="AE193">
            <v>32.203389830508478</v>
          </cell>
          <cell r="AF193">
            <v>19.5</v>
          </cell>
          <cell r="AG193">
            <v>19.725508139316915</v>
          </cell>
          <cell r="AH193">
            <v>0.51467832505485944</v>
          </cell>
          <cell r="AI193">
            <v>40.065606871976684</v>
          </cell>
          <cell r="AJ193">
            <v>39.5</v>
          </cell>
          <cell r="AK193">
            <v>2804</v>
          </cell>
          <cell r="AL193" t="str">
            <v>PA</v>
          </cell>
          <cell r="AM193">
            <v>2761.1449354117631</v>
          </cell>
          <cell r="AN193">
            <v>-7.9311458682306419</v>
          </cell>
          <cell r="AO193">
            <v>1</v>
          </cell>
        </row>
        <row r="194">
          <cell r="A194" t="str">
            <v>TU-ETY-M</v>
          </cell>
          <cell r="B194">
            <v>3299</v>
          </cell>
          <cell r="C194" t="str">
            <v>Y</v>
          </cell>
          <cell r="D194">
            <v>2249</v>
          </cell>
          <cell r="E194">
            <v>1699</v>
          </cell>
          <cell r="F194">
            <v>1599</v>
          </cell>
          <cell r="G194" t="str">
            <v>TL2</v>
          </cell>
          <cell r="H194">
            <v>19.261317284142223</v>
          </cell>
          <cell r="I194">
            <v>20.822952967211513</v>
          </cell>
          <cell r="J194">
            <v>327.24978065757637</v>
          </cell>
          <cell r="K194">
            <v>1850</v>
          </cell>
          <cell r="L194">
            <v>351.3276148999999</v>
          </cell>
          <cell r="M194">
            <v>21.971708248905561</v>
          </cell>
          <cell r="N194">
            <v>14</v>
          </cell>
          <cell r="O194">
            <v>0.115</v>
          </cell>
          <cell r="P194">
            <v>7.0000000000000007E-2</v>
          </cell>
          <cell r="Q194" t="str">
            <v>SF</v>
          </cell>
          <cell r="S194">
            <v>65</v>
          </cell>
          <cell r="T194">
            <v>252</v>
          </cell>
          <cell r="U194">
            <v>14.83225426721601</v>
          </cell>
          <cell r="V194">
            <v>14</v>
          </cell>
          <cell r="W194">
            <v>7</v>
          </cell>
          <cell r="X194">
            <v>37.982048263684518</v>
          </cell>
          <cell r="Y194">
            <v>34.700437773608506</v>
          </cell>
          <cell r="Z194">
            <v>65.484445427722193</v>
          </cell>
          <cell r="AA194">
            <v>63.922809744652902</v>
          </cell>
          <cell r="AB194">
            <v>18</v>
          </cell>
          <cell r="AC194">
            <v>0</v>
          </cell>
          <cell r="AD194">
            <v>1699</v>
          </cell>
          <cell r="AE194">
            <v>32.203389830508478</v>
          </cell>
          <cell r="AF194">
            <v>10.5</v>
          </cell>
          <cell r="AG194">
            <v>23.245868178589603</v>
          </cell>
          <cell r="AH194">
            <v>2.4229152113780899</v>
          </cell>
          <cell r="AI194">
            <v>45.577918844964103</v>
          </cell>
          <cell r="AJ194">
            <v>43.5</v>
          </cell>
          <cell r="AK194">
            <v>1363</v>
          </cell>
          <cell r="AL194" t="str">
            <v>PA</v>
          </cell>
          <cell r="AM194">
            <v>1342.010202566634</v>
          </cell>
          <cell r="AN194">
            <v>-21.011759707673104</v>
          </cell>
          <cell r="AO194">
            <v>1</v>
          </cell>
        </row>
        <row r="195">
          <cell r="A195" t="str">
            <v>TU-ETY-ST</v>
          </cell>
          <cell r="B195">
            <v>4799</v>
          </cell>
          <cell r="C195" t="str">
            <v>Y</v>
          </cell>
          <cell r="D195">
            <v>3299</v>
          </cell>
          <cell r="E195">
            <v>2499</v>
          </cell>
          <cell r="F195">
            <v>2299</v>
          </cell>
          <cell r="G195" t="str">
            <v>TL2</v>
          </cell>
          <cell r="H195">
            <v>20.115764073602605</v>
          </cell>
          <cell r="I195">
            <v>20.602715040260989</v>
          </cell>
          <cell r="J195">
            <v>502.69294419932908</v>
          </cell>
          <cell r="K195">
            <v>2650</v>
          </cell>
          <cell r="L195">
            <v>581.79598945124997</v>
          </cell>
          <cell r="M195">
            <v>25.306480619889083</v>
          </cell>
          <cell r="N195">
            <v>20</v>
          </cell>
          <cell r="O195">
            <v>0.115</v>
          </cell>
          <cell r="P195">
            <v>7.0000000000000007E-2</v>
          </cell>
          <cell r="Q195" t="str">
            <v>SF</v>
          </cell>
          <cell r="S195">
            <v>65</v>
          </cell>
          <cell r="T195">
            <v>300</v>
          </cell>
          <cell r="U195">
            <v>12.004801920768308</v>
          </cell>
          <cell r="V195">
            <v>14</v>
          </cell>
          <cell r="W195">
            <v>7</v>
          </cell>
          <cell r="X195">
            <v>33.66606642657063</v>
          </cell>
          <cell r="Y195">
            <v>30.485428447150937</v>
          </cell>
          <cell r="Z195">
            <v>64.62999863826181</v>
          </cell>
          <cell r="AA195">
            <v>64.143047671603426</v>
          </cell>
          <cell r="AB195">
            <v>18</v>
          </cell>
          <cell r="AC195">
            <v>0</v>
          </cell>
          <cell r="AD195">
            <v>2499</v>
          </cell>
          <cell r="AE195">
            <v>32.203389830508478</v>
          </cell>
          <cell r="AF195">
            <v>15</v>
          </cell>
          <cell r="AG195">
            <v>20.660980746451969</v>
          </cell>
          <cell r="AH195">
            <v>5.8265706190979927E-2</v>
          </cell>
          <cell r="AI195">
            <v>41.514276676879092</v>
          </cell>
          <cell r="AJ195">
            <v>40.5</v>
          </cell>
          <cell r="AK195">
            <v>2248</v>
          </cell>
          <cell r="AL195" t="str">
            <v>PA</v>
          </cell>
          <cell r="AM195">
            <v>2214.2183954937223</v>
          </cell>
          <cell r="AN195">
            <v>-11.395822509254812</v>
          </cell>
          <cell r="AO195">
            <v>1</v>
          </cell>
        </row>
        <row r="196">
          <cell r="A196" t="str">
            <v>TU-FL</v>
          </cell>
          <cell r="B196">
            <v>25799</v>
          </cell>
          <cell r="C196" t="str">
            <v>Y</v>
          </cell>
          <cell r="D196">
            <v>17999</v>
          </cell>
          <cell r="E196">
            <v>16299</v>
          </cell>
          <cell r="F196">
            <v>13699</v>
          </cell>
          <cell r="G196" t="str">
            <v>TL3</v>
          </cell>
          <cell r="H196">
            <v>21.790890061866477</v>
          </cell>
          <cell r="I196">
            <v>16.068890726878905</v>
          </cell>
          <cell r="J196">
            <v>3551.6971711836172</v>
          </cell>
          <cell r="K196">
            <v>17300</v>
          </cell>
          <cell r="L196">
            <v>4254.7253332504997</v>
          </cell>
          <cell r="M196">
            <v>31.058656349007222</v>
          </cell>
          <cell r="N196">
            <v>164</v>
          </cell>
          <cell r="O196">
            <v>0.1</v>
          </cell>
          <cell r="P196">
            <v>7.0000000000000007E-2</v>
          </cell>
          <cell r="Q196" t="str">
            <v>SS</v>
          </cell>
          <cell r="R196">
            <v>600</v>
          </cell>
          <cell r="S196">
            <v>100</v>
          </cell>
          <cell r="T196">
            <v>1131.4000000000001</v>
          </cell>
          <cell r="U196">
            <v>6.941530155224247</v>
          </cell>
          <cell r="V196">
            <v>0</v>
          </cell>
          <cell r="W196">
            <v>7</v>
          </cell>
          <cell r="X196">
            <v>28.236272163936437</v>
          </cell>
          <cell r="Y196">
            <v>27.368859040805898</v>
          </cell>
          <cell r="Z196">
            <v>62.954872649997938</v>
          </cell>
          <cell r="AA196">
            <v>68.67687198498551</v>
          </cell>
          <cell r="AB196">
            <v>18</v>
          </cell>
          <cell r="AC196">
            <v>0</v>
          </cell>
          <cell r="AD196">
            <v>16299</v>
          </cell>
          <cell r="AE196">
            <v>32.203389830508478</v>
          </cell>
          <cell r="AF196">
            <v>123</v>
          </cell>
          <cell r="AG196">
            <v>17.68351446519236</v>
          </cell>
          <cell r="AH196">
            <v>1.6146237383134547</v>
          </cell>
          <cell r="AI196">
            <v>36.901567347669584</v>
          </cell>
          <cell r="AJ196">
            <v>36.5</v>
          </cell>
          <cell r="AK196">
            <v>16493</v>
          </cell>
          <cell r="AL196" t="str">
            <v>PA</v>
          </cell>
          <cell r="AM196">
            <v>17403.341933026131</v>
          </cell>
          <cell r="AN196">
            <v>6.7755195596425013</v>
          </cell>
          <cell r="AO196">
            <v>1</v>
          </cell>
        </row>
        <row r="197">
          <cell r="A197" t="str">
            <v>TU-GAU</v>
          </cell>
          <cell r="B197">
            <v>7499</v>
          </cell>
          <cell r="C197" t="str">
            <v>Y</v>
          </cell>
          <cell r="D197">
            <v>5199</v>
          </cell>
          <cell r="E197">
            <v>3999</v>
          </cell>
          <cell r="F197">
            <v>3599</v>
          </cell>
          <cell r="G197" t="str">
            <v>TL2</v>
          </cell>
          <cell r="H197">
            <v>19.246950808615338</v>
          </cell>
          <cell r="I197">
            <v>18.523409613477909</v>
          </cell>
          <cell r="J197">
            <v>769.68556283652731</v>
          </cell>
          <cell r="K197">
            <v>4250</v>
          </cell>
          <cell r="L197">
            <v>1019.9116451210002</v>
          </cell>
          <cell r="M197">
            <v>28.338750906390668</v>
          </cell>
          <cell r="N197">
            <v>38</v>
          </cell>
          <cell r="O197">
            <v>0.115</v>
          </cell>
          <cell r="P197">
            <v>7.0000000000000007E-2</v>
          </cell>
          <cell r="Q197" t="str">
            <v>SF</v>
          </cell>
          <cell r="S197">
            <v>65</v>
          </cell>
          <cell r="T197">
            <v>444</v>
          </cell>
          <cell r="U197">
            <v>11.10277569392348</v>
          </cell>
          <cell r="V197">
            <v>14</v>
          </cell>
          <cell r="W197">
            <v>7</v>
          </cell>
          <cell r="X197">
            <v>31.57826956739185</v>
          </cell>
          <cell r="Y197">
            <v>28.531814392886915</v>
          </cell>
          <cell r="Z197">
            <v>65.498811903249077</v>
          </cell>
          <cell r="AA197">
            <v>66.222353098386506</v>
          </cell>
          <cell r="AB197">
            <v>18</v>
          </cell>
          <cell r="AC197">
            <v>0</v>
          </cell>
          <cell r="AD197">
            <v>3999</v>
          </cell>
          <cell r="AE197">
            <v>32.203389830508478</v>
          </cell>
          <cell r="AF197">
            <v>28.5</v>
          </cell>
          <cell r="AG197">
            <v>18.325527541996081</v>
          </cell>
          <cell r="AH197">
            <v>-0.19788207148182835</v>
          </cell>
          <cell r="AI197">
            <v>37.892799803628471</v>
          </cell>
          <cell r="AJ197">
            <v>37.5</v>
          </cell>
          <cell r="AK197">
            <v>3950</v>
          </cell>
          <cell r="AL197" t="str">
            <v>PA</v>
          </cell>
          <cell r="AM197">
            <v>3891.4800146458633</v>
          </cell>
          <cell r="AN197">
            <v>-2.688671801803868</v>
          </cell>
          <cell r="AO197">
            <v>1</v>
          </cell>
        </row>
        <row r="198">
          <cell r="A198" t="str">
            <v>TU-HMD</v>
          </cell>
          <cell r="B198">
            <v>9999</v>
          </cell>
          <cell r="C198" t="str">
            <v>Y</v>
          </cell>
          <cell r="D198">
            <v>6999</v>
          </cell>
          <cell r="E198">
            <v>5999</v>
          </cell>
          <cell r="F198">
            <v>4899</v>
          </cell>
          <cell r="G198" t="str">
            <v>TL3</v>
          </cell>
          <cell r="H198">
            <v>21.637489922581331</v>
          </cell>
          <cell r="I198">
            <v>16.121343756381819</v>
          </cell>
          <cell r="J198">
            <v>1298.0330204556542</v>
          </cell>
          <cell r="K198">
            <v>6400</v>
          </cell>
          <cell r="L198">
            <v>1519.5866801722498</v>
          </cell>
          <cell r="M198">
            <v>31.018303330725651</v>
          </cell>
          <cell r="N198">
            <v>59</v>
          </cell>
          <cell r="O198">
            <v>0.115</v>
          </cell>
          <cell r="P198">
            <v>7.0000000000000007E-2</v>
          </cell>
          <cell r="Q198" t="str">
            <v>SF</v>
          </cell>
          <cell r="S198">
            <v>65</v>
          </cell>
          <cell r="T198">
            <v>576</v>
          </cell>
          <cell r="U198">
            <v>9.6016002667111184</v>
          </cell>
          <cell r="V198">
            <v>14</v>
          </cell>
          <cell r="W198">
            <v>7</v>
          </cell>
          <cell r="X198">
            <v>29.418486414402402</v>
          </cell>
          <cell r="Y198">
            <v>27.370075525617473</v>
          </cell>
          <cell r="Z198">
            <v>63.108272789283085</v>
          </cell>
          <cell r="AA198">
            <v>68.624418955482597</v>
          </cell>
          <cell r="AB198">
            <v>18</v>
          </cell>
          <cell r="AC198">
            <v>0</v>
          </cell>
          <cell r="AD198">
            <v>5999</v>
          </cell>
          <cell r="AE198">
            <v>32.203389830508478</v>
          </cell>
          <cell r="AF198">
            <v>44.25</v>
          </cell>
          <cell r="AG198">
            <v>18.474083496921033</v>
          </cell>
          <cell r="AH198">
            <v>2.3527397405392136</v>
          </cell>
          <cell r="AI198">
            <v>38.135657011796496</v>
          </cell>
          <cell r="AJ198">
            <v>38</v>
          </cell>
          <cell r="AK198">
            <v>5892</v>
          </cell>
          <cell r="AL198" t="str">
            <v>PA</v>
          </cell>
          <cell r="AM198">
            <v>5801.1979090618916</v>
          </cell>
          <cell r="AN198">
            <v>-3.2972510574780536</v>
          </cell>
          <cell r="AO198">
            <v>1</v>
          </cell>
        </row>
        <row r="199">
          <cell r="A199" t="str">
            <v>TU-HRI</v>
          </cell>
          <cell r="B199">
            <v>8499</v>
          </cell>
          <cell r="C199" t="str">
            <v>Y</v>
          </cell>
          <cell r="D199">
            <v>5899</v>
          </cell>
          <cell r="E199">
            <v>5199</v>
          </cell>
          <cell r="F199">
            <v>4199</v>
          </cell>
          <cell r="G199" t="str">
            <v>TL2</v>
          </cell>
          <cell r="H199">
            <v>20.68520164695579</v>
          </cell>
          <cell r="I199">
            <v>14.334865599109008</v>
          </cell>
          <cell r="J199">
            <v>1075.4236336252316</v>
          </cell>
          <cell r="K199">
            <v>5550</v>
          </cell>
          <cell r="L199">
            <v>1306.5365186199997</v>
          </cell>
          <cell r="M199">
            <v>31.115420781614663</v>
          </cell>
          <cell r="N199">
            <v>55</v>
          </cell>
          <cell r="O199">
            <v>0.115</v>
          </cell>
          <cell r="P199">
            <v>7.0000000000000007E-2</v>
          </cell>
          <cell r="Q199" t="str">
            <v>SF</v>
          </cell>
          <cell r="S199">
            <v>65</v>
          </cell>
          <cell r="T199">
            <v>552</v>
          </cell>
          <cell r="U199">
            <v>10.617426428159261</v>
          </cell>
          <cell r="V199">
            <v>14</v>
          </cell>
          <cell r="W199">
            <v>7</v>
          </cell>
          <cell r="X199">
            <v>30.63694941334872</v>
          </cell>
          <cell r="Y199">
            <v>29.027387473207906</v>
          </cell>
          <cell r="Z199">
            <v>64.060561064908626</v>
          </cell>
          <cell r="AA199">
            <v>70.410897112755407</v>
          </cell>
          <cell r="AB199">
            <v>18</v>
          </cell>
          <cell r="AC199">
            <v>0</v>
          </cell>
          <cell r="AD199">
            <v>5199</v>
          </cell>
          <cell r="AE199">
            <v>32.203389830508478</v>
          </cell>
          <cell r="AF199">
            <v>41.25</v>
          </cell>
          <cell r="AG199">
            <v>18.618415993108201</v>
          </cell>
          <cell r="AH199">
            <v>4.2835503939991924</v>
          </cell>
          <cell r="AI199">
            <v>38.383900513132772</v>
          </cell>
          <cell r="AJ199">
            <v>38</v>
          </cell>
          <cell r="AK199">
            <v>5078</v>
          </cell>
          <cell r="AL199" t="str">
            <v>PA</v>
          </cell>
          <cell r="AM199">
            <v>5000.1070695359031</v>
          </cell>
          <cell r="AN199">
            <v>-3.8255997396441033</v>
          </cell>
          <cell r="AO199">
            <v>3</v>
          </cell>
        </row>
        <row r="200">
          <cell r="A200" t="str">
            <v>TU-KU-LA</v>
          </cell>
          <cell r="B200">
            <v>4899</v>
          </cell>
          <cell r="C200" t="str">
            <v>Y</v>
          </cell>
          <cell r="D200">
            <v>3399</v>
          </cell>
          <cell r="E200">
            <v>2999</v>
          </cell>
          <cell r="F200">
            <v>2699</v>
          </cell>
          <cell r="G200" t="str">
            <v>TL2</v>
          </cell>
          <cell r="H200">
            <v>20.474220389153515</v>
          </cell>
          <cell r="I200">
            <v>19.886609163954063</v>
          </cell>
          <cell r="J200">
            <v>614.02186947071391</v>
          </cell>
          <cell r="K200">
            <v>3200</v>
          </cell>
          <cell r="L200">
            <v>699.01395057000002</v>
          </cell>
          <cell r="M200">
            <v>25.898997798073363</v>
          </cell>
          <cell r="N200">
            <v>28</v>
          </cell>
          <cell r="O200">
            <v>0.115</v>
          </cell>
          <cell r="P200">
            <v>7.0000000000000007E-2</v>
          </cell>
          <cell r="Q200" t="str">
            <v>SF</v>
          </cell>
          <cell r="S200">
            <v>65</v>
          </cell>
          <cell r="T200">
            <v>364</v>
          </cell>
          <cell r="U200">
            <v>12.137379126375459</v>
          </cell>
          <cell r="V200">
            <v>14</v>
          </cell>
          <cell r="W200">
            <v>7</v>
          </cell>
          <cell r="X200">
            <v>33.271590530176724</v>
          </cell>
          <cell r="Y200">
            <v>30.413486476472769</v>
          </cell>
          <cell r="Z200">
            <v>64.2715423227109</v>
          </cell>
          <cell r="AA200">
            <v>64.859153547910353</v>
          </cell>
          <cell r="AB200">
            <v>18</v>
          </cell>
          <cell r="AC200">
            <v>0</v>
          </cell>
          <cell r="AD200">
            <v>2999</v>
          </cell>
          <cell r="AE200">
            <v>32.203389830508478</v>
          </cell>
          <cell r="AF200">
            <v>21</v>
          </cell>
          <cell r="AG200">
            <v>20.533905039742052</v>
          </cell>
          <cell r="AH200">
            <v>0.64729587578798942</v>
          </cell>
          <cell r="AI200">
            <v>41.353781459667957</v>
          </cell>
          <cell r="AJ200">
            <v>40.5</v>
          </cell>
          <cell r="AK200">
            <v>2713</v>
          </cell>
          <cell r="AL200" t="str">
            <v>PA</v>
          </cell>
          <cell r="AM200">
            <v>2671.4392378350863</v>
          </cell>
          <cell r="AN200">
            <v>-10.922332849780386</v>
          </cell>
          <cell r="AO200">
            <v>1</v>
          </cell>
        </row>
        <row r="201">
          <cell r="A201" t="str">
            <v>TU-KVD-LA</v>
          </cell>
          <cell r="B201">
            <v>2599</v>
          </cell>
          <cell r="C201" t="str">
            <v>Y</v>
          </cell>
          <cell r="D201">
            <v>1799</v>
          </cell>
          <cell r="E201">
            <v>1449</v>
          </cell>
          <cell r="F201">
            <v>1299</v>
          </cell>
          <cell r="G201" t="str">
            <v>TL2</v>
          </cell>
          <cell r="H201">
            <v>20.342224918743312</v>
          </cell>
          <cell r="I201">
            <v>19.541585450715459</v>
          </cell>
          <cell r="J201">
            <v>294.7588390725906</v>
          </cell>
          <cell r="K201">
            <v>1550</v>
          </cell>
          <cell r="L201">
            <v>275.29493430249994</v>
          </cell>
          <cell r="M201">
            <v>21.192835589107002</v>
          </cell>
          <cell r="N201">
            <v>10</v>
          </cell>
          <cell r="O201">
            <v>0.115</v>
          </cell>
          <cell r="P201">
            <v>7.0000000000000007E-2</v>
          </cell>
          <cell r="Q201" t="str">
            <v>SF</v>
          </cell>
          <cell r="S201">
            <v>65</v>
          </cell>
          <cell r="T201">
            <v>220</v>
          </cell>
          <cell r="U201">
            <v>15.18288474810214</v>
          </cell>
          <cell r="V201">
            <v>14</v>
          </cell>
          <cell r="W201">
            <v>7</v>
          </cell>
          <cell r="X201">
            <v>39.134920634920633</v>
          </cell>
          <cell r="Y201">
            <v>37.017705927636641</v>
          </cell>
          <cell r="Z201">
            <v>64.403537793121103</v>
          </cell>
          <cell r="AA201">
            <v>65.204177261148956</v>
          </cell>
          <cell r="AB201">
            <v>18</v>
          </cell>
          <cell r="AC201">
            <v>0</v>
          </cell>
          <cell r="AD201">
            <v>1449</v>
          </cell>
          <cell r="AE201">
            <v>32.203389830508478</v>
          </cell>
          <cell r="AF201">
            <v>7.5</v>
          </cell>
          <cell r="AG201">
            <v>25.025814268346956</v>
          </cell>
          <cell r="AH201">
            <v>5.4842288176314966</v>
          </cell>
          <cell r="AI201">
            <v>48.332265707774781</v>
          </cell>
          <cell r="AJ201">
            <v>45.5</v>
          </cell>
          <cell r="AK201">
            <v>1065</v>
          </cell>
          <cell r="AL201" t="str">
            <v>PA</v>
          </cell>
          <cell r="AM201">
            <v>1048.9543861584059</v>
          </cell>
          <cell r="AN201">
            <v>-27.60839294973044</v>
          </cell>
          <cell r="AO201">
            <v>1</v>
          </cell>
        </row>
        <row r="202">
          <cell r="A202" t="str">
            <v>TU-KVD-ST</v>
          </cell>
          <cell r="B202">
            <v>1999</v>
          </cell>
          <cell r="C202" t="str">
            <v>Y</v>
          </cell>
          <cell r="D202">
            <v>1399</v>
          </cell>
          <cell r="E202">
            <v>849</v>
          </cell>
          <cell r="F202">
            <v>839</v>
          </cell>
          <cell r="G202" t="str">
            <v>TL1</v>
          </cell>
          <cell r="H202">
            <v>20.485647196031096</v>
          </cell>
          <cell r="I202">
            <v>19.803166677367997</v>
          </cell>
          <cell r="J202">
            <v>173.923144694304</v>
          </cell>
          <cell r="K202">
            <v>900</v>
          </cell>
          <cell r="L202">
            <v>188.82585017249997</v>
          </cell>
          <cell r="M202">
            <v>22.506060807210961</v>
          </cell>
          <cell r="N202">
            <v>7</v>
          </cell>
          <cell r="O202">
            <v>0</v>
          </cell>
          <cell r="P202">
            <v>0</v>
          </cell>
          <cell r="Q202" t="str">
            <v>SF</v>
          </cell>
          <cell r="S202">
            <v>34</v>
          </cell>
          <cell r="T202">
            <v>187</v>
          </cell>
          <cell r="U202">
            <v>22.025912838633687</v>
          </cell>
          <cell r="V202">
            <v>14</v>
          </cell>
          <cell r="W202">
            <v>7</v>
          </cell>
          <cell r="X202">
            <v>34.679623085983508</v>
          </cell>
          <cell r="Y202">
            <v>35.009535160905841</v>
          </cell>
          <cell r="Z202">
            <v>64.26011551583332</v>
          </cell>
          <cell r="AA202">
            <v>64.942596034496418</v>
          </cell>
          <cell r="AB202">
            <v>18</v>
          </cell>
          <cell r="AC202">
            <v>0</v>
          </cell>
          <cell r="AD202">
            <v>849</v>
          </cell>
          <cell r="AE202">
            <v>32.203389830508478</v>
          </cell>
          <cell r="AF202">
            <v>5.25</v>
          </cell>
          <cell r="AG202">
            <v>21.683026571285268</v>
          </cell>
          <cell r="AH202">
            <v>1.8798598939172706</v>
          </cell>
          <cell r="AI202">
            <v>43.125336953978639</v>
          </cell>
          <cell r="AJ202">
            <v>41.5</v>
          </cell>
          <cell r="AK202">
            <v>731</v>
          </cell>
          <cell r="AL202" t="str">
            <v>PA</v>
          </cell>
          <cell r="AM202">
            <v>719.38586934166574</v>
          </cell>
          <cell r="AN202">
            <v>-15.266682056340901</v>
          </cell>
          <cell r="AO202">
            <v>1</v>
          </cell>
        </row>
        <row r="203">
          <cell r="A203" t="str">
            <v>TU-LE</v>
          </cell>
          <cell r="B203">
            <v>7999</v>
          </cell>
          <cell r="C203" t="str">
            <v>Y</v>
          </cell>
          <cell r="D203">
            <v>4797</v>
          </cell>
          <cell r="E203">
            <v>3499</v>
          </cell>
          <cell r="F203">
            <v>3049</v>
          </cell>
          <cell r="G203" t="str">
            <v>TL2</v>
          </cell>
          <cell r="H203">
            <v>19.366664986314262</v>
          </cell>
          <cell r="I203">
            <v>16.947808319703057</v>
          </cell>
          <cell r="J203">
            <v>677.63960787113604</v>
          </cell>
          <cell r="K203">
            <v>3750</v>
          </cell>
          <cell r="L203">
            <v>876.1651349</v>
          </cell>
          <cell r="M203">
            <v>28.73614742210561</v>
          </cell>
          <cell r="N203">
            <v>32</v>
          </cell>
          <cell r="O203">
            <v>0.115</v>
          </cell>
          <cell r="P203">
            <v>7.0000000000000007E-2</v>
          </cell>
          <cell r="Q203" t="str">
            <v>SF</v>
          </cell>
          <cell r="S203">
            <v>65</v>
          </cell>
          <cell r="T203">
            <v>396</v>
          </cell>
          <cell r="U203">
            <v>11.317519291226064</v>
          </cell>
          <cell r="V203">
            <v>14</v>
          </cell>
          <cell r="W203">
            <v>7</v>
          </cell>
          <cell r="X203">
            <v>32.075307230637321</v>
          </cell>
          <cell r="Y203">
            <v>29.578878320760907</v>
          </cell>
          <cell r="Z203">
            <v>65.379097725550153</v>
          </cell>
          <cell r="AA203">
            <v>67.797954392161358</v>
          </cell>
          <cell r="AB203">
            <v>18</v>
          </cell>
          <cell r="AC203">
            <v>0</v>
          </cell>
          <cell r="AD203">
            <v>3499</v>
          </cell>
          <cell r="AE203">
            <v>32.203389830508478</v>
          </cell>
          <cell r="AF203">
            <v>24</v>
          </cell>
          <cell r="AG203">
            <v>18.816018640144151</v>
          </cell>
          <cell r="AH203">
            <v>1.8682103204410936</v>
          </cell>
          <cell r="AI203">
            <v>38.652153109115183</v>
          </cell>
          <cell r="AJ203">
            <v>38</v>
          </cell>
          <cell r="AK203">
            <v>3391</v>
          </cell>
          <cell r="AL203" t="str">
            <v>PA</v>
          </cell>
          <cell r="AM203">
            <v>3341.0662743358653</v>
          </cell>
          <cell r="AN203">
            <v>-4.51368178519962</v>
          </cell>
          <cell r="AO203">
            <v>1</v>
          </cell>
        </row>
        <row r="204">
          <cell r="A204" t="str">
            <v>TU-LMI</v>
          </cell>
          <cell r="B204">
            <v>9299</v>
          </cell>
          <cell r="C204" t="str">
            <v>Y</v>
          </cell>
          <cell r="D204">
            <v>6499</v>
          </cell>
          <cell r="E204">
            <v>5999</v>
          </cell>
          <cell r="F204">
            <v>4699</v>
          </cell>
          <cell r="G204" t="str">
            <v>TL2</v>
          </cell>
          <cell r="H204">
            <v>22.054622791532282</v>
          </cell>
          <cell r="I204">
            <v>14.328940327937516</v>
          </cell>
          <cell r="J204">
            <v>1323.0568212640217</v>
          </cell>
          <cell r="K204">
            <v>6400</v>
          </cell>
          <cell r="L204">
            <v>1464.6815667824999</v>
          </cell>
          <cell r="M204">
            <v>31.170069520802294</v>
          </cell>
          <cell r="N204">
            <v>68</v>
          </cell>
          <cell r="O204">
            <v>0.115</v>
          </cell>
          <cell r="P204">
            <v>7.0000000000000007E-2</v>
          </cell>
          <cell r="Q204" t="str">
            <v>SF</v>
          </cell>
          <cell r="S204">
            <v>65</v>
          </cell>
          <cell r="T204">
            <v>624</v>
          </cell>
          <cell r="U204">
            <v>10.401733622270378</v>
          </cell>
          <cell r="V204">
            <v>14</v>
          </cell>
          <cell r="W204">
            <v>7</v>
          </cell>
          <cell r="X204">
            <v>30.218619769961659</v>
          </cell>
          <cell r="Y204">
            <v>28.960629921259844</v>
          </cell>
          <cell r="Z204">
            <v>62.691139920332134</v>
          </cell>
          <cell r="AA204">
            <v>70.416822383926899</v>
          </cell>
          <cell r="AB204">
            <v>18</v>
          </cell>
          <cell r="AC204">
            <v>0</v>
          </cell>
          <cell r="AD204">
            <v>5999</v>
          </cell>
          <cell r="AE204">
            <v>32.203389830508478</v>
          </cell>
          <cell r="AF204">
            <v>51</v>
          </cell>
          <cell r="AG204">
            <v>19.276802506585135</v>
          </cell>
          <cell r="AH204">
            <v>4.9478621786476182</v>
          </cell>
          <cell r="AI204">
            <v>39.43925902803042</v>
          </cell>
          <cell r="AJ204">
            <v>39</v>
          </cell>
          <cell r="AK204">
            <v>5710</v>
          </cell>
          <cell r="AL204" t="str">
            <v>PA</v>
          </cell>
          <cell r="AM204">
            <v>5625.266156807791</v>
          </cell>
          <cell r="AN204">
            <v>-6.2299357091550078</v>
          </cell>
          <cell r="AO204">
            <v>3</v>
          </cell>
        </row>
        <row r="205">
          <cell r="A205" t="str">
            <v>TU-MA-LA</v>
          </cell>
          <cell r="B205">
            <v>2399</v>
          </cell>
          <cell r="C205" t="str">
            <v>Y</v>
          </cell>
          <cell r="D205">
            <v>1649</v>
          </cell>
          <cell r="E205">
            <v>999</v>
          </cell>
          <cell r="F205">
            <v>999</v>
          </cell>
          <cell r="G205" t="str">
            <v>TL2</v>
          </cell>
          <cell r="H205">
            <v>16.667800082993551</v>
          </cell>
          <cell r="I205">
            <v>16.667800082993551</v>
          </cell>
          <cell r="J205">
            <v>166.51132282910558</v>
          </cell>
          <cell r="K205">
            <v>1100</v>
          </cell>
          <cell r="L205">
            <v>251.04097333999999</v>
          </cell>
          <cell r="M205">
            <v>25.129226560560561</v>
          </cell>
          <cell r="N205">
            <v>10</v>
          </cell>
          <cell r="O205">
            <v>0</v>
          </cell>
          <cell r="P205">
            <v>0</v>
          </cell>
          <cell r="Q205" t="str">
            <v>SF</v>
          </cell>
          <cell r="S205">
            <v>34</v>
          </cell>
          <cell r="T205">
            <v>220</v>
          </cell>
          <cell r="U205">
            <v>22.022022022022021</v>
          </cell>
          <cell r="V205">
            <v>14</v>
          </cell>
          <cell r="W205">
            <v>7</v>
          </cell>
          <cell r="X205">
            <v>33.826826826826832</v>
          </cell>
          <cell r="Y205">
            <v>33.826826826826832</v>
          </cell>
          <cell r="Z205">
            <v>68.077962628870864</v>
          </cell>
          <cell r="AA205">
            <v>68.077962628870864</v>
          </cell>
          <cell r="AB205">
            <v>18</v>
          </cell>
          <cell r="AC205">
            <v>0</v>
          </cell>
          <cell r="AD205">
            <v>999</v>
          </cell>
          <cell r="AE205">
            <v>32.203389830508478</v>
          </cell>
          <cell r="AF205">
            <v>7.5</v>
          </cell>
          <cell r="AG205">
            <v>18.662395570044616</v>
          </cell>
          <cell r="AH205">
            <v>1.9945954870510647</v>
          </cell>
          <cell r="AI205">
            <v>37.457773867702151</v>
          </cell>
          <cell r="AJ205">
            <v>37</v>
          </cell>
          <cell r="AK205">
            <v>974</v>
          </cell>
          <cell r="AL205" t="str">
            <v>PB</v>
          </cell>
          <cell r="AM205">
            <v>981.58620703944018</v>
          </cell>
          <cell r="AN205">
            <v>-1.7431224184744563</v>
          </cell>
          <cell r="AO205">
            <v>1</v>
          </cell>
        </row>
        <row r="206">
          <cell r="A206" t="str">
            <v>TU-MA-ST</v>
          </cell>
          <cell r="B206">
            <v>1999</v>
          </cell>
          <cell r="C206" t="str">
            <v>Y</v>
          </cell>
          <cell r="D206">
            <v>1399</v>
          </cell>
          <cell r="E206">
            <v>899</v>
          </cell>
          <cell r="F206">
            <v>849</v>
          </cell>
          <cell r="G206" t="str">
            <v>TL2</v>
          </cell>
          <cell r="H206">
            <v>26.155266065544055</v>
          </cell>
          <cell r="I206">
            <v>23.116956486844394</v>
          </cell>
          <cell r="J206">
            <v>235.13584192924102</v>
          </cell>
          <cell r="K206">
            <v>1000</v>
          </cell>
          <cell r="L206">
            <v>192.07524934000003</v>
          </cell>
          <cell r="M206">
            <v>22.623704280329804</v>
          </cell>
          <cell r="N206">
            <v>6</v>
          </cell>
          <cell r="O206">
            <v>0</v>
          </cell>
          <cell r="P206">
            <v>0</v>
          </cell>
          <cell r="Q206" t="str">
            <v>SF</v>
          </cell>
          <cell r="S206">
            <v>34</v>
          </cell>
          <cell r="T206">
            <v>154</v>
          </cell>
          <cell r="U206">
            <v>17.130144605116797</v>
          </cell>
          <cell r="V206">
            <v>14</v>
          </cell>
          <cell r="W206">
            <v>7</v>
          </cell>
          <cell r="X206">
            <v>29.469410456062292</v>
          </cell>
          <cell r="Y206">
            <v>30.792697290930505</v>
          </cell>
          <cell r="Z206">
            <v>58.590496646320361</v>
          </cell>
          <cell r="AA206">
            <v>61.628806225020021</v>
          </cell>
          <cell r="AB206">
            <v>18</v>
          </cell>
          <cell r="AC206">
            <v>0</v>
          </cell>
          <cell r="AD206">
            <v>899</v>
          </cell>
          <cell r="AE206">
            <v>32.203389830508478</v>
          </cell>
          <cell r="AF206">
            <v>4.5</v>
          </cell>
          <cell r="AG206">
            <v>22.676382965894305</v>
          </cell>
          <cell r="AH206">
            <v>-0.44057352095008895</v>
          </cell>
          <cell r="AI206">
            <v>43.806462010734649</v>
          </cell>
          <cell r="AJ206">
            <v>42</v>
          </cell>
          <cell r="AK206">
            <v>741</v>
          </cell>
          <cell r="AL206" t="str">
            <v>PB</v>
          </cell>
          <cell r="AM206">
            <v>746.45753660213268</v>
          </cell>
          <cell r="AN206">
            <v>-16.968015950819503</v>
          </cell>
          <cell r="AO206">
            <v>1</v>
          </cell>
        </row>
        <row r="207">
          <cell r="A207" t="str">
            <v>TU-MLE</v>
          </cell>
          <cell r="B207">
            <v>1649</v>
          </cell>
          <cell r="C207" t="str">
            <v>Y</v>
          </cell>
          <cell r="D207">
            <v>2199</v>
          </cell>
          <cell r="E207">
            <v>1999</v>
          </cell>
          <cell r="F207">
            <v>1599</v>
          </cell>
          <cell r="G207" t="str">
            <v>TL2</v>
          </cell>
          <cell r="H207">
            <v>24.280271395896428</v>
          </cell>
          <cell r="I207">
            <v>18.282337358130832</v>
          </cell>
          <cell r="J207">
            <v>485.36262520396957</v>
          </cell>
          <cell r="K207">
            <v>2150</v>
          </cell>
          <cell r="L207">
            <v>369.84223414000002</v>
          </cell>
          <cell r="M207">
            <v>23.129595631019388</v>
          </cell>
          <cell r="N207">
            <v>16</v>
          </cell>
          <cell r="O207">
            <v>0.115</v>
          </cell>
          <cell r="P207">
            <v>7.0000000000000007E-2</v>
          </cell>
          <cell r="Q207" t="str">
            <v>SF</v>
          </cell>
          <cell r="S207">
            <v>65</v>
          </cell>
          <cell r="T207">
            <v>268</v>
          </cell>
          <cell r="U207">
            <v>13.406703351675839</v>
          </cell>
          <cell r="V207">
            <v>14</v>
          </cell>
          <cell r="W207">
            <v>7</v>
          </cell>
          <cell r="X207">
            <v>35.858679339669834</v>
          </cell>
          <cell r="Y207">
            <v>35.701063164477802</v>
          </cell>
          <cell r="Z207">
            <v>60.465491315967988</v>
          </cell>
          <cell r="AA207">
            <v>66.463425353733584</v>
          </cell>
          <cell r="AB207">
            <v>18</v>
          </cell>
          <cell r="AC207">
            <v>0</v>
          </cell>
          <cell r="AD207">
            <v>1999</v>
          </cell>
          <cell r="AE207">
            <v>32.203389830508478</v>
          </cell>
          <cell r="AF207">
            <v>12</v>
          </cell>
          <cell r="AG207">
            <v>25.440710343086792</v>
          </cell>
          <cell r="AH207">
            <v>7.1583729849559603</v>
          </cell>
          <cell r="AI207">
            <v>49.015607690879634</v>
          </cell>
          <cell r="AJ207">
            <v>46</v>
          </cell>
          <cell r="AK207">
            <v>1439</v>
          </cell>
          <cell r="AL207" t="str">
            <v>PA</v>
          </cell>
          <cell r="AM207">
            <v>1417.0206702672888</v>
          </cell>
          <cell r="AN207">
            <v>-29.113523248259693</v>
          </cell>
          <cell r="AO207">
            <v>1</v>
          </cell>
        </row>
        <row r="208">
          <cell r="A208" t="str">
            <v>TU-MSE</v>
          </cell>
          <cell r="B208">
            <v>9299</v>
          </cell>
          <cell r="C208" t="str">
            <v>Y</v>
          </cell>
          <cell r="D208">
            <v>6499</v>
          </cell>
          <cell r="E208">
            <v>5499</v>
          </cell>
          <cell r="F208">
            <v>4799</v>
          </cell>
          <cell r="G208" t="str">
            <v>TL2</v>
          </cell>
          <cell r="H208">
            <v>20.752052470340921</v>
          </cell>
          <cell r="I208">
            <v>18.616170584725907</v>
          </cell>
          <cell r="J208">
            <v>1141.1553653440471</v>
          </cell>
          <cell r="K208">
            <v>5850</v>
          </cell>
          <cell r="L208">
            <v>1406.5406963769751</v>
          </cell>
          <cell r="M208">
            <v>29.309037223941967</v>
          </cell>
          <cell r="N208">
            <v>56</v>
          </cell>
          <cell r="O208">
            <v>0.115</v>
          </cell>
          <cell r="P208">
            <v>7.0000000000000007E-2</v>
          </cell>
          <cell r="Q208" t="str">
            <v>SF</v>
          </cell>
          <cell r="S208">
            <v>65</v>
          </cell>
          <cell r="T208">
            <v>552</v>
          </cell>
          <cell r="U208">
            <v>10.038188761593016</v>
          </cell>
          <cell r="V208">
            <v>14</v>
          </cell>
          <cell r="W208">
            <v>7</v>
          </cell>
          <cell r="X208">
            <v>29.974813602473176</v>
          </cell>
          <cell r="Y208">
            <v>27.148572619295688</v>
          </cell>
          <cell r="Z208">
            <v>63.993710241523495</v>
          </cell>
          <cell r="AA208">
            <v>66.129592127138508</v>
          </cell>
          <cell r="AB208">
            <v>18</v>
          </cell>
          <cell r="AC208">
            <v>0</v>
          </cell>
          <cell r="AD208">
            <v>5499</v>
          </cell>
          <cell r="AE208">
            <v>32.203389830508478</v>
          </cell>
          <cell r="AF208">
            <v>42</v>
          </cell>
          <cell r="AG208">
            <v>18.200479875773553</v>
          </cell>
          <cell r="AH208">
            <v>-0.41569070895235427</v>
          </cell>
          <cell r="AI208">
            <v>37.71644719232544</v>
          </cell>
          <cell r="AJ208">
            <v>37.5</v>
          </cell>
          <cell r="AK208">
            <v>5457</v>
          </cell>
          <cell r="AL208" t="str">
            <v>PA</v>
          </cell>
          <cell r="AM208">
            <v>5375.0264095442235</v>
          </cell>
          <cell r="AN208">
            <v>-2.2544751855933169</v>
          </cell>
          <cell r="AO208">
            <v>3</v>
          </cell>
        </row>
        <row r="209">
          <cell r="A209" t="str">
            <v>TU-MSEP</v>
          </cell>
          <cell r="B209">
            <v>11899</v>
          </cell>
          <cell r="C209" t="str">
            <v>Y</v>
          </cell>
          <cell r="D209">
            <v>8299</v>
          </cell>
          <cell r="E209">
            <v>6799</v>
          </cell>
          <cell r="F209">
            <v>6099</v>
          </cell>
          <cell r="G209" t="str">
            <v>TL2</v>
          </cell>
          <cell r="H209">
            <v>19.921883012368838</v>
          </cell>
          <cell r="I209">
            <v>19.105156370354266</v>
          </cell>
          <cell r="J209">
            <v>1354.4888260109574</v>
          </cell>
          <cell r="K209">
            <v>7250</v>
          </cell>
          <cell r="L209">
            <v>1821.474120878725</v>
          </cell>
          <cell r="M209">
            <v>29.865127412341778</v>
          </cell>
          <cell r="N209">
            <v>72</v>
          </cell>
          <cell r="O209">
            <v>0.115</v>
          </cell>
          <cell r="P209">
            <v>7.0000000000000007E-2</v>
          </cell>
          <cell r="Q209" t="str">
            <v>SF</v>
          </cell>
          <cell r="S209">
            <v>65</v>
          </cell>
          <cell r="T209">
            <v>648</v>
          </cell>
          <cell r="U209">
            <v>9.530813354905133</v>
          </cell>
          <cell r="V209">
            <v>14</v>
          </cell>
          <cell r="W209">
            <v>7</v>
          </cell>
          <cell r="X209">
            <v>29.192748933666717</v>
          </cell>
          <cell r="Y209">
            <v>25.919986883095589</v>
          </cell>
          <cell r="Z209">
            <v>64.823879699495578</v>
          </cell>
          <cell r="AA209">
            <v>65.64060634151015</v>
          </cell>
          <cell r="AB209">
            <v>18</v>
          </cell>
          <cell r="AC209">
            <v>0</v>
          </cell>
          <cell r="AD209">
            <v>6799</v>
          </cell>
          <cell r="AE209">
            <v>32.203389830508478</v>
          </cell>
          <cell r="AF209">
            <v>54</v>
          </cell>
          <cell r="AG209">
            <v>16.957814551031973</v>
          </cell>
          <cell r="AH209">
            <v>-2.1473418193222926</v>
          </cell>
          <cell r="AI209">
            <v>35.778069049756269</v>
          </cell>
          <cell r="AJ209">
            <v>35.5</v>
          </cell>
          <cell r="AK209">
            <v>7066</v>
          </cell>
          <cell r="AL209" t="str">
            <v>PA</v>
          </cell>
          <cell r="AM209">
            <v>6958.8708502204254</v>
          </cell>
          <cell r="AN209">
            <v>2.3513877073161553</v>
          </cell>
          <cell r="AO209">
            <v>3</v>
          </cell>
        </row>
        <row r="210">
          <cell r="A210" t="str">
            <v>TU-MYN</v>
          </cell>
          <cell r="B210">
            <v>15799</v>
          </cell>
          <cell r="C210" t="str">
            <v>Y</v>
          </cell>
          <cell r="D210">
            <v>10999</v>
          </cell>
          <cell r="E210">
            <v>9599</v>
          </cell>
          <cell r="F210">
            <v>7999</v>
          </cell>
          <cell r="G210" t="str">
            <v>TL3</v>
          </cell>
          <cell r="H210">
            <v>19.581342349700918</v>
          </cell>
          <cell r="I210">
            <v>14.747291520914615</v>
          </cell>
          <cell r="J210">
            <v>1879.613052147791</v>
          </cell>
          <cell r="K210">
            <v>10200</v>
          </cell>
          <cell r="L210">
            <v>2785.8027898978003</v>
          </cell>
          <cell r="M210">
            <v>34.826888234751848</v>
          </cell>
          <cell r="N210">
            <v>92</v>
          </cell>
          <cell r="O210">
            <v>0.115</v>
          </cell>
          <cell r="P210">
            <v>7.0000000000000007E-2</v>
          </cell>
          <cell r="Q210" t="str">
            <v>SS</v>
          </cell>
          <cell r="S210">
            <v>100</v>
          </cell>
          <cell r="T210">
            <v>674.2</v>
          </cell>
          <cell r="U210">
            <v>7.0236482966975737</v>
          </cell>
          <cell r="V210">
            <v>0</v>
          </cell>
          <cell r="W210">
            <v>7</v>
          </cell>
          <cell r="X210">
            <v>26.565423481612669</v>
          </cell>
          <cell r="Y210">
            <v>23.678709838729844</v>
          </cell>
          <cell r="Z210">
            <v>65.164420362163497</v>
          </cell>
          <cell r="AA210">
            <v>69.9984711909498</v>
          </cell>
          <cell r="AB210">
            <v>18</v>
          </cell>
          <cell r="AC210">
            <v>0</v>
          </cell>
          <cell r="AD210">
            <v>9599</v>
          </cell>
          <cell r="AE210">
            <v>32.203389830508478</v>
          </cell>
          <cell r="AF210">
            <v>69</v>
          </cell>
          <cell r="AG210">
            <v>14.801745837936821</v>
          </cell>
          <cell r="AH210">
            <v>5.4454317022205601E-2</v>
          </cell>
          <cell r="AI210">
            <v>32.36497032539215</v>
          </cell>
          <cell r="AJ210">
            <v>32</v>
          </cell>
          <cell r="AK210">
            <v>10756</v>
          </cell>
          <cell r="AL210" t="str">
            <v>PA</v>
          </cell>
          <cell r="AM210">
            <v>10594.078231380592</v>
          </cell>
          <cell r="AN210">
            <v>10.366478085015023</v>
          </cell>
          <cell r="AO210">
            <v>1</v>
          </cell>
        </row>
        <row r="211">
          <cell r="A211" t="str">
            <v>TU-OL</v>
          </cell>
          <cell r="B211">
            <v>4599</v>
          </cell>
          <cell r="C211" t="str">
            <v>Y</v>
          </cell>
          <cell r="D211">
            <v>3199</v>
          </cell>
          <cell r="E211">
            <v>2499</v>
          </cell>
          <cell r="F211">
            <v>2199</v>
          </cell>
          <cell r="G211" t="str">
            <v>TL1</v>
          </cell>
          <cell r="H211">
            <v>17.737371962671986</v>
          </cell>
          <cell r="I211">
            <v>15.619583320217359</v>
          </cell>
          <cell r="J211">
            <v>443.25692534717291</v>
          </cell>
          <cell r="K211">
            <v>2650</v>
          </cell>
          <cell r="L211">
            <v>602.42457505437494</v>
          </cell>
          <cell r="M211">
            <v>27.395387678689175</v>
          </cell>
          <cell r="N211">
            <v>24</v>
          </cell>
          <cell r="O211">
            <v>0.115</v>
          </cell>
          <cell r="P211">
            <v>7.0000000000000007E-2</v>
          </cell>
          <cell r="Q211" t="str">
            <v>SF</v>
          </cell>
          <cell r="S211">
            <v>65</v>
          </cell>
          <cell r="T211">
            <v>332</v>
          </cell>
          <cell r="U211">
            <v>13.285314125650261</v>
          </cell>
          <cell r="V211">
            <v>14</v>
          </cell>
          <cell r="W211">
            <v>7</v>
          </cell>
          <cell r="X211">
            <v>34.946578631452581</v>
          </cell>
          <cell r="Y211">
            <v>32.690313778990451</v>
          </cell>
          <cell r="Z211">
            <v>67.008390749192429</v>
          </cell>
          <cell r="AA211">
            <v>69.126179391647057</v>
          </cell>
          <cell r="AB211">
            <v>18</v>
          </cell>
          <cell r="AC211">
            <v>0</v>
          </cell>
          <cell r="AD211">
            <v>2499</v>
          </cell>
          <cell r="AE211">
            <v>32.203389830508478</v>
          </cell>
          <cell r="AF211">
            <v>18</v>
          </cell>
          <cell r="AG211">
            <v>19.715459113673866</v>
          </cell>
          <cell r="AH211">
            <v>4.0958757934565071</v>
          </cell>
          <cell r="AI211">
            <v>40.077121725076601</v>
          </cell>
          <cell r="AJ211">
            <v>39.5</v>
          </cell>
          <cell r="AK211">
            <v>2337</v>
          </cell>
          <cell r="AL211" t="str">
            <v>PA</v>
          </cell>
          <cell r="AM211">
            <v>2302.261140369927</v>
          </cell>
          <cell r="AN211">
            <v>-7.872703466589555</v>
          </cell>
          <cell r="AO211">
            <v>1</v>
          </cell>
        </row>
        <row r="212">
          <cell r="A212" t="str">
            <v>TU-OLA</v>
          </cell>
          <cell r="B212">
            <v>9999</v>
          </cell>
          <cell r="C212" t="str">
            <v>Y</v>
          </cell>
          <cell r="D212">
            <v>6999</v>
          </cell>
          <cell r="E212">
            <v>5399</v>
          </cell>
          <cell r="F212">
            <v>5099</v>
          </cell>
          <cell r="G212" t="str">
            <v>TL2</v>
          </cell>
          <cell r="H212">
            <v>20.787530945581302</v>
          </cell>
          <cell r="I212">
            <v>22.612992893044542</v>
          </cell>
          <cell r="J212">
            <v>1122.3187957519347</v>
          </cell>
          <cell r="K212">
            <v>5750</v>
          </cell>
          <cell r="L212">
            <v>1370.8946865125001</v>
          </cell>
          <cell r="M212">
            <v>26.885559649195923</v>
          </cell>
          <cell r="N212">
            <v>56</v>
          </cell>
          <cell r="O212">
            <v>0.115</v>
          </cell>
          <cell r="P212">
            <v>7.0000000000000007E-2</v>
          </cell>
          <cell r="Q212" t="str">
            <v>SF</v>
          </cell>
          <cell r="S212">
            <v>65</v>
          </cell>
          <cell r="T212">
            <v>552</v>
          </cell>
          <cell r="U212">
            <v>10.224115576958695</v>
          </cell>
          <cell r="V212">
            <v>14</v>
          </cell>
          <cell r="W212">
            <v>7</v>
          </cell>
          <cell r="X212">
            <v>30.187349509168364</v>
          </cell>
          <cell r="Y212">
            <v>26.374975485389292</v>
          </cell>
          <cell r="Z212">
            <v>63.958231766283113</v>
          </cell>
          <cell r="AA212">
            <v>62.132769818819874</v>
          </cell>
          <cell r="AB212">
            <v>18</v>
          </cell>
          <cell r="AC212">
            <v>0</v>
          </cell>
          <cell r="AD212">
            <v>5399</v>
          </cell>
          <cell r="AE212">
            <v>32.203389830508478</v>
          </cell>
          <cell r="AF212">
            <v>42</v>
          </cell>
          <cell r="AG212">
            <v>18.372810249155521</v>
          </cell>
          <cell r="AH212">
            <v>-4.2401826438890211</v>
          </cell>
          <cell r="AI212">
            <v>37.992411168499402</v>
          </cell>
          <cell r="AJ212">
            <v>37.5</v>
          </cell>
          <cell r="AK212">
            <v>5323</v>
          </cell>
          <cell r="AL212" t="str">
            <v>PA</v>
          </cell>
          <cell r="AM212">
            <v>5241.096928729532</v>
          </cell>
          <cell r="AN212">
            <v>-2.9246725554819037</v>
          </cell>
          <cell r="AO212">
            <v>3</v>
          </cell>
        </row>
        <row r="213">
          <cell r="A213" t="str">
            <v>TU-OML</v>
          </cell>
          <cell r="B213">
            <v>8899</v>
          </cell>
          <cell r="C213" t="str">
            <v>Y</v>
          </cell>
          <cell r="D213">
            <v>6199</v>
          </cell>
          <cell r="E213">
            <v>5299</v>
          </cell>
          <cell r="F213">
            <v>4599</v>
          </cell>
          <cell r="G213" t="str">
            <v>TL2</v>
          </cell>
          <cell r="H213">
            <v>20.329662830553559</v>
          </cell>
          <cell r="I213">
            <v>17.840910946031357</v>
          </cell>
          <cell r="J213">
            <v>1077.2688333910332</v>
          </cell>
          <cell r="K213">
            <v>5650</v>
          </cell>
          <cell r="L213">
            <v>1373.0031073012501</v>
          </cell>
          <cell r="M213">
            <v>29.854383720401174</v>
          </cell>
          <cell r="N213">
            <v>52</v>
          </cell>
          <cell r="O213">
            <v>0.115</v>
          </cell>
          <cell r="P213">
            <v>7.0000000000000007E-2</v>
          </cell>
          <cell r="Q213" t="str">
            <v>SF</v>
          </cell>
          <cell r="S213">
            <v>65</v>
          </cell>
          <cell r="T213">
            <v>528</v>
          </cell>
          <cell r="U213">
            <v>9.9641441781468192</v>
          </cell>
          <cell r="V213">
            <v>14</v>
          </cell>
          <cell r="W213">
            <v>7</v>
          </cell>
          <cell r="X213">
            <v>29.954991507831664</v>
          </cell>
          <cell r="Y213">
            <v>27.198521417699499</v>
          </cell>
          <cell r="Z213">
            <v>64.416099881310856</v>
          </cell>
          <cell r="AA213">
            <v>66.904851765833058</v>
          </cell>
          <cell r="AB213">
            <v>18</v>
          </cell>
          <cell r="AC213">
            <v>0</v>
          </cell>
          <cell r="AD213">
            <v>5299</v>
          </cell>
          <cell r="AE213">
            <v>32.203389830508478</v>
          </cell>
          <cell r="AF213">
            <v>39</v>
          </cell>
          <cell r="AG213">
            <v>17.895777159498039</v>
          </cell>
          <cell r="AH213">
            <v>5.4866213466681302E-2</v>
          </cell>
          <cell r="AI213">
            <v>37.227426371040167</v>
          </cell>
          <cell r="AJ213">
            <v>37</v>
          </cell>
          <cell r="AK213">
            <v>5320</v>
          </cell>
          <cell r="AL213" t="str">
            <v>PA</v>
          </cell>
          <cell r="AM213">
            <v>5239.1086392893476</v>
          </cell>
          <cell r="AN213">
            <v>-1.1302389264135195</v>
          </cell>
          <cell r="AO213">
            <v>3</v>
          </cell>
        </row>
        <row r="214">
          <cell r="A214" t="str">
            <v>TU-PIN</v>
          </cell>
          <cell r="B214">
            <v>14999</v>
          </cell>
          <cell r="C214" t="str">
            <v>Y</v>
          </cell>
          <cell r="D214">
            <v>10499</v>
          </cell>
          <cell r="E214">
            <v>8999</v>
          </cell>
          <cell r="F214">
            <v>7799</v>
          </cell>
          <cell r="G214" t="str">
            <v>TL2</v>
          </cell>
          <cell r="H214">
            <v>19.080509815148744</v>
          </cell>
          <cell r="I214">
            <v>16.323386661403546</v>
          </cell>
          <cell r="J214">
            <v>1717.0550782652356</v>
          </cell>
          <cell r="K214">
            <v>9550</v>
          </cell>
          <cell r="L214">
            <v>2527.3692542672502</v>
          </cell>
          <cell r="M214">
            <v>32.406324583501096</v>
          </cell>
          <cell r="N214">
            <v>98</v>
          </cell>
          <cell r="O214">
            <v>0.115</v>
          </cell>
          <cell r="P214">
            <v>7.0000000000000007E-2</v>
          </cell>
          <cell r="Q214" t="str">
            <v>SF</v>
          </cell>
          <cell r="S214">
            <v>65</v>
          </cell>
          <cell r="T214">
            <v>804</v>
          </cell>
          <cell r="U214">
            <v>8.9343260362262473</v>
          </cell>
          <cell r="V214">
            <v>14</v>
          </cell>
          <cell r="W214">
            <v>7</v>
          </cell>
          <cell r="X214">
            <v>28.31220135570619</v>
          </cell>
          <cell r="Y214">
            <v>25.321964354404411</v>
          </cell>
          <cell r="Z214">
            <v>65.665252896715671</v>
          </cell>
          <cell r="AA214">
            <v>68.422376050460869</v>
          </cell>
          <cell r="AB214">
            <v>18</v>
          </cell>
          <cell r="AC214">
            <v>0</v>
          </cell>
          <cell r="AD214">
            <v>8999</v>
          </cell>
          <cell r="AE214">
            <v>32.203389830508478</v>
          </cell>
          <cell r="AF214">
            <v>73.5</v>
          </cell>
          <cell r="AG214">
            <v>15.640614305211358</v>
          </cell>
          <cell r="AH214">
            <v>-0.68277235619218857</v>
          </cell>
          <cell r="AI214">
            <v>33.719625428969643</v>
          </cell>
          <cell r="AJ214">
            <v>33.5</v>
          </cell>
          <cell r="AK214">
            <v>9799</v>
          </cell>
          <cell r="AL214" t="str">
            <v>PA</v>
          </cell>
          <cell r="AM214">
            <v>9651.7915516430603</v>
          </cell>
          <cell r="AN214">
            <v>7.2540454677526434</v>
          </cell>
          <cell r="AO214">
            <v>3</v>
          </cell>
        </row>
        <row r="215">
          <cell r="A215" t="str">
            <v>TU-PMG-LA</v>
          </cell>
          <cell r="B215">
            <v>8149</v>
          </cell>
          <cell r="C215" t="str">
            <v>Y</v>
          </cell>
          <cell r="D215">
            <v>5699</v>
          </cell>
          <cell r="E215">
            <v>3899</v>
          </cell>
          <cell r="F215">
            <v>3599</v>
          </cell>
          <cell r="G215" t="str">
            <v>TL1</v>
          </cell>
          <cell r="H215">
            <v>18.195818516699234</v>
          </cell>
          <cell r="I215">
            <v>18.690543924159769</v>
          </cell>
          <cell r="J215">
            <v>709.45496396610315</v>
          </cell>
          <cell r="K215">
            <v>4150</v>
          </cell>
          <cell r="L215">
            <v>1003.3588903530001</v>
          </cell>
          <cell r="M215">
            <v>27.878824405473743</v>
          </cell>
          <cell r="N215">
            <v>40</v>
          </cell>
          <cell r="O215">
            <v>0.115</v>
          </cell>
          <cell r="P215">
            <v>7.0000000000000007E-2</v>
          </cell>
          <cell r="Q215" t="str">
            <v>SF</v>
          </cell>
          <cell r="S215">
            <v>65</v>
          </cell>
          <cell r="T215">
            <v>460</v>
          </cell>
          <cell r="U215">
            <v>11.797896896640163</v>
          </cell>
          <cell r="V215">
            <v>14</v>
          </cell>
          <cell r="W215">
            <v>7</v>
          </cell>
          <cell r="X215">
            <v>32.324057450628366</v>
          </cell>
          <cell r="Y215">
            <v>28.976382328424563</v>
          </cell>
          <cell r="Z215">
            <v>66.549944195165182</v>
          </cell>
          <cell r="AA215">
            <v>66.055218787704646</v>
          </cell>
          <cell r="AB215">
            <v>18</v>
          </cell>
          <cell r="AC215">
            <v>0</v>
          </cell>
          <cell r="AD215">
            <v>3899</v>
          </cell>
          <cell r="AE215">
            <v>32.203389830508478</v>
          </cell>
          <cell r="AF215">
            <v>30</v>
          </cell>
          <cell r="AG215">
            <v>18.039195390896836</v>
          </cell>
          <cell r="AH215">
            <v>-0.65134853326293296</v>
          </cell>
          <cell r="AI215">
            <v>37.46552853244426</v>
          </cell>
          <cell r="AJ215">
            <v>37</v>
          </cell>
          <cell r="AK215">
            <v>3893</v>
          </cell>
          <cell r="AL215" t="str">
            <v>PA</v>
          </cell>
          <cell r="AM215">
            <v>3834.1877308572321</v>
          </cell>
          <cell r="AN215">
            <v>-1.6622792803992803</v>
          </cell>
          <cell r="AO215">
            <v>1</v>
          </cell>
        </row>
        <row r="216">
          <cell r="A216" t="str">
            <v>TU-PMG-ST</v>
          </cell>
          <cell r="B216">
            <v>6899</v>
          </cell>
          <cell r="C216" t="str">
            <v>Y</v>
          </cell>
          <cell r="D216">
            <v>4799</v>
          </cell>
          <cell r="E216">
            <v>3299</v>
          </cell>
          <cell r="F216">
            <v>2999</v>
          </cell>
          <cell r="G216" t="str">
            <v>TL1</v>
          </cell>
          <cell r="H216">
            <v>18.680691665670679</v>
          </cell>
          <cell r="I216">
            <v>18.42259853000607</v>
          </cell>
          <cell r="J216">
            <v>616.27601805047573</v>
          </cell>
          <cell r="K216">
            <v>3500</v>
          </cell>
          <cell r="L216">
            <v>822.68548407062519</v>
          </cell>
          <cell r="M216">
            <v>27.431993466843121</v>
          </cell>
          <cell r="N216">
            <v>32</v>
          </cell>
          <cell r="O216">
            <v>0.115</v>
          </cell>
          <cell r="P216">
            <v>7.0000000000000007E-2</v>
          </cell>
          <cell r="Q216" t="str">
            <v>SF</v>
          </cell>
          <cell r="S216">
            <v>65</v>
          </cell>
          <cell r="T216">
            <v>396</v>
          </cell>
          <cell r="U216">
            <v>12.003637465898757</v>
          </cell>
          <cell r="V216">
            <v>14</v>
          </cell>
          <cell r="W216">
            <v>7</v>
          </cell>
          <cell r="X216">
            <v>32.898302515913912</v>
          </cell>
          <cell r="Y216">
            <v>29.838612870956986</v>
          </cell>
          <cell r="Z216">
            <v>66.065071046193736</v>
          </cell>
          <cell r="AA216">
            <v>66.323164181858346</v>
          </cell>
          <cell r="AB216">
            <v>18</v>
          </cell>
          <cell r="AC216">
            <v>0</v>
          </cell>
          <cell r="AD216">
            <v>3299</v>
          </cell>
          <cell r="AE216">
            <v>32.203389830508478</v>
          </cell>
          <cell r="AF216">
            <v>24</v>
          </cell>
          <cell r="AG216">
            <v>18.877459754025679</v>
          </cell>
          <cell r="AH216">
            <v>0.45486122401960927</v>
          </cell>
          <cell r="AI216">
            <v>38.764771182163123</v>
          </cell>
          <cell r="AJ216">
            <v>38.5</v>
          </cell>
          <cell r="AK216">
            <v>3190</v>
          </cell>
          <cell r="AL216" t="str">
            <v>PA</v>
          </cell>
          <cell r="AM216">
            <v>3142.2095308273092</v>
          </cell>
          <cell r="AN216">
            <v>-4.7526665405483719</v>
          </cell>
          <cell r="AO216">
            <v>1</v>
          </cell>
        </row>
        <row r="217">
          <cell r="A217" t="str">
            <v>TU-PM-LA</v>
          </cell>
          <cell r="B217">
            <v>6449</v>
          </cell>
          <cell r="C217" t="str">
            <v>Y</v>
          </cell>
          <cell r="D217">
            <v>4399</v>
          </cell>
          <cell r="E217">
            <v>2999</v>
          </cell>
          <cell r="F217">
            <v>2709</v>
          </cell>
          <cell r="G217" t="str">
            <v>TL1</v>
          </cell>
          <cell r="H217">
            <v>15.977228735471101</v>
          </cell>
          <cell r="I217">
            <v>15.095953411309409</v>
          </cell>
          <cell r="J217">
            <v>479.15708977677838</v>
          </cell>
          <cell r="K217">
            <v>3200</v>
          </cell>
          <cell r="L217">
            <v>776.35589018950009</v>
          </cell>
          <cell r="M217">
            <v>28.658393879272797</v>
          </cell>
          <cell r="N217">
            <v>32</v>
          </cell>
          <cell r="O217">
            <v>0.115</v>
          </cell>
          <cell r="P217">
            <v>7.0000000000000007E-2</v>
          </cell>
          <cell r="Q217" t="str">
            <v>SF</v>
          </cell>
          <cell r="S217">
            <v>65</v>
          </cell>
          <cell r="T217">
            <v>396</v>
          </cell>
          <cell r="U217">
            <v>13.204401467155719</v>
          </cell>
          <cell r="V217">
            <v>14</v>
          </cell>
          <cell r="W217">
            <v>7</v>
          </cell>
          <cell r="X217">
            <v>34.338612870956986</v>
          </cell>
          <cell r="Y217">
            <v>31.534145441122185</v>
          </cell>
          <cell r="Z217">
            <v>68.768533976393314</v>
          </cell>
          <cell r="AA217">
            <v>69.649809300555006</v>
          </cell>
          <cell r="AB217">
            <v>18</v>
          </cell>
          <cell r="AC217">
            <v>0</v>
          </cell>
          <cell r="AD217">
            <v>2999</v>
          </cell>
          <cell r="AE217">
            <v>32.203389830508478</v>
          </cell>
          <cell r="AF217">
            <v>24</v>
          </cell>
          <cell r="AG217">
            <v>17.854947399878768</v>
          </cell>
          <cell r="AH217">
            <v>2.7589939885693582</v>
          </cell>
          <cell r="AI217">
            <v>37.188378323994613</v>
          </cell>
          <cell r="AJ217">
            <v>37</v>
          </cell>
          <cell r="AK217">
            <v>3015</v>
          </cell>
          <cell r="AL217" t="str">
            <v>PA</v>
          </cell>
          <cell r="AM217">
            <v>2970.3891042893288</v>
          </cell>
          <cell r="AN217">
            <v>-0.95401452853188495</v>
          </cell>
          <cell r="AO217">
            <v>1</v>
          </cell>
        </row>
        <row r="218">
          <cell r="A218" t="str">
            <v>TU-PMP-L</v>
          </cell>
          <cell r="B218">
            <v>7299</v>
          </cell>
          <cell r="C218" t="str">
            <v>Y</v>
          </cell>
          <cell r="D218">
            <v>4999</v>
          </cell>
          <cell r="E218">
            <v>3499</v>
          </cell>
          <cell r="F218">
            <v>3199</v>
          </cell>
          <cell r="G218" t="str">
            <v>TL1</v>
          </cell>
          <cell r="H218">
            <v>15.408838892835803</v>
          </cell>
          <cell r="I218">
            <v>15.141387456227918</v>
          </cell>
          <cell r="J218">
            <v>539.15527286032477</v>
          </cell>
          <cell r="K218">
            <v>3750</v>
          </cell>
          <cell r="L218">
            <v>932.16839430662503</v>
          </cell>
          <cell r="M218">
            <v>29.139368374699128</v>
          </cell>
          <cell r="N218">
            <v>40</v>
          </cell>
          <cell r="O218">
            <v>0.115</v>
          </cell>
          <cell r="P218">
            <v>7.0000000000000007E-2</v>
          </cell>
          <cell r="Q218" t="str">
            <v>SF</v>
          </cell>
          <cell r="S218">
            <v>65</v>
          </cell>
          <cell r="T218">
            <v>460</v>
          </cell>
          <cell r="U218">
            <v>13.146613318090882</v>
          </cell>
          <cell r="V218">
            <v>14</v>
          </cell>
          <cell r="W218">
            <v>7</v>
          </cell>
          <cell r="X218">
            <v>33.904401257502144</v>
          </cell>
          <cell r="Y218">
            <v>30.849015317286653</v>
          </cell>
          <cell r="Z218">
            <v>69.336923819028613</v>
          </cell>
          <cell r="AA218">
            <v>69.604375255636498</v>
          </cell>
          <cell r="AB218">
            <v>18</v>
          </cell>
          <cell r="AC218">
            <v>0</v>
          </cell>
          <cell r="AD218">
            <v>3499</v>
          </cell>
          <cell r="AE218">
            <v>32.203389830508478</v>
          </cell>
          <cell r="AF218">
            <v>30</v>
          </cell>
          <cell r="AG218">
            <v>17.04399064910028</v>
          </cell>
          <cell r="AH218">
            <v>1.9026031928723626</v>
          </cell>
          <cell r="AI218">
            <v>35.937905743789173</v>
          </cell>
          <cell r="AJ218">
            <v>35.5</v>
          </cell>
          <cell r="AK218">
            <v>3625</v>
          </cell>
          <cell r="AL218" t="str">
            <v>PA</v>
          </cell>
          <cell r="AM218">
            <v>3571.3206700390888</v>
          </cell>
          <cell r="AN218">
            <v>2.0668953998024802</v>
          </cell>
          <cell r="AO218">
            <v>1</v>
          </cell>
        </row>
        <row r="219">
          <cell r="A219" t="str">
            <v>TU-PMP-S</v>
          </cell>
          <cell r="B219">
            <v>5899</v>
          </cell>
          <cell r="C219" t="str">
            <v>Y</v>
          </cell>
          <cell r="D219">
            <v>4099</v>
          </cell>
          <cell r="E219">
            <v>3199</v>
          </cell>
          <cell r="F219">
            <v>2899</v>
          </cell>
          <cell r="G219" t="str">
            <v>TL1</v>
          </cell>
          <cell r="H219">
            <v>18.877469110712298</v>
          </cell>
          <cell r="I219">
            <v>18.475610511075999</v>
          </cell>
          <cell r="J219">
            <v>603.89023685168638</v>
          </cell>
          <cell r="K219">
            <v>3400</v>
          </cell>
          <cell r="L219">
            <v>758.12910699312499</v>
          </cell>
          <cell r="M219">
            <v>26.151400724150569</v>
          </cell>
          <cell r="N219">
            <v>36</v>
          </cell>
          <cell r="O219">
            <v>0.115</v>
          </cell>
          <cell r="P219">
            <v>7.0000000000000007E-2</v>
          </cell>
          <cell r="Q219" t="str">
            <v>SF</v>
          </cell>
          <cell r="S219">
            <v>65</v>
          </cell>
          <cell r="T219">
            <v>428</v>
          </cell>
          <cell r="U219">
            <v>13.379180994060645</v>
          </cell>
          <cell r="V219">
            <v>14</v>
          </cell>
          <cell r="W219">
            <v>7</v>
          </cell>
          <cell r="X219">
            <v>34.348702719599878</v>
          </cell>
          <cell r="Y219">
            <v>31.488789237668161</v>
          </cell>
          <cell r="Z219">
            <v>65.868293601152118</v>
          </cell>
          <cell r="AA219">
            <v>66.270152200788417</v>
          </cell>
          <cell r="AB219">
            <v>18</v>
          </cell>
          <cell r="AC219">
            <v>0</v>
          </cell>
          <cell r="AD219">
            <v>3199</v>
          </cell>
          <cell r="AE219">
            <v>32.203389830508478</v>
          </cell>
          <cell r="AF219">
            <v>27</v>
          </cell>
          <cell r="AG219">
            <v>19.999418614612416</v>
          </cell>
          <cell r="AH219">
            <v>1.5238081035364175</v>
          </cell>
          <cell r="AI219">
            <v>40.570946529696457</v>
          </cell>
          <cell r="AJ219">
            <v>39.5</v>
          </cell>
          <cell r="AK219">
            <v>2958</v>
          </cell>
          <cell r="AL219" t="str">
            <v>PA</v>
          </cell>
          <cell r="AM219">
            <v>2913.1768900696948</v>
          </cell>
          <cell r="AN219">
            <v>-8.9347642991655292</v>
          </cell>
          <cell r="AO219">
            <v>1</v>
          </cell>
        </row>
        <row r="220">
          <cell r="A220" t="str">
            <v>TU-PMS-LA</v>
          </cell>
          <cell r="B220">
            <v>5199</v>
          </cell>
          <cell r="C220" t="str">
            <v>Y</v>
          </cell>
          <cell r="D220">
            <v>3499</v>
          </cell>
          <cell r="E220">
            <v>2499</v>
          </cell>
          <cell r="F220">
            <v>2129</v>
          </cell>
          <cell r="G220" t="str">
            <v>TL1</v>
          </cell>
          <cell r="H220">
            <v>17.941462197912173</v>
          </cell>
          <cell r="I220">
            <v>14.046633080879616</v>
          </cell>
          <cell r="J220">
            <v>448.35714032582518</v>
          </cell>
          <cell r="K220">
            <v>2650</v>
          </cell>
          <cell r="L220">
            <v>598.58982695012503</v>
          </cell>
          <cell r="M220">
            <v>28.116008781123771</v>
          </cell>
          <cell r="N220">
            <v>24</v>
          </cell>
          <cell r="O220">
            <v>0.115</v>
          </cell>
          <cell r="P220">
            <v>7.0000000000000007E-2</v>
          </cell>
          <cell r="Q220" t="str">
            <v>SF</v>
          </cell>
          <cell r="S220">
            <v>65</v>
          </cell>
          <cell r="T220">
            <v>332</v>
          </cell>
          <cell r="U220">
            <v>13.285314125650261</v>
          </cell>
          <cell r="V220">
            <v>14</v>
          </cell>
          <cell r="W220">
            <v>7</v>
          </cell>
          <cell r="X220">
            <v>34.946578631452581</v>
          </cell>
          <cell r="Y220">
            <v>33.304837952090182</v>
          </cell>
          <cell r="Z220">
            <v>66.804300513952242</v>
          </cell>
          <cell r="AA220">
            <v>70.6991296309848</v>
          </cell>
          <cell r="AB220">
            <v>18</v>
          </cell>
          <cell r="AC220">
            <v>0</v>
          </cell>
          <cell r="AD220">
            <v>2499</v>
          </cell>
          <cell r="AE220">
            <v>32.203389830508478</v>
          </cell>
          <cell r="AF220">
            <v>18</v>
          </cell>
          <cell r="AG220">
            <v>19.868910418365743</v>
          </cell>
          <cell r="AH220">
            <v>5.8222773374861276</v>
          </cell>
          <cell r="AI220">
            <v>40.31794820266002</v>
          </cell>
          <cell r="AJ220">
            <v>39.5</v>
          </cell>
          <cell r="AK220">
            <v>2323</v>
          </cell>
          <cell r="AL220" t="str">
            <v>PA</v>
          </cell>
          <cell r="AM220">
            <v>2288.0393870640696</v>
          </cell>
          <cell r="AN220">
            <v>-8.4418012379323883</v>
          </cell>
          <cell r="AO220">
            <v>1</v>
          </cell>
        </row>
        <row r="221">
          <cell r="A221" t="str">
            <v>TU-PMS-ST</v>
          </cell>
          <cell r="B221">
            <v>4299</v>
          </cell>
          <cell r="C221" t="str">
            <v>Y</v>
          </cell>
          <cell r="D221">
            <v>2999</v>
          </cell>
          <cell r="E221">
            <v>1999</v>
          </cell>
          <cell r="F221">
            <v>1799</v>
          </cell>
          <cell r="G221" t="str">
            <v>TL1</v>
          </cell>
          <cell r="H221">
            <v>17.447135629403178</v>
          </cell>
          <cell r="I221">
            <v>16.522052018234604</v>
          </cell>
          <cell r="J221">
            <v>348.76824123176948</v>
          </cell>
          <cell r="K221">
            <v>2150</v>
          </cell>
          <cell r="L221">
            <v>472.54477848000005</v>
          </cell>
          <cell r="M221">
            <v>26.267080515842139</v>
          </cell>
          <cell r="N221">
            <v>16</v>
          </cell>
          <cell r="O221">
            <v>0.115</v>
          </cell>
          <cell r="P221">
            <v>7.0000000000000007E-2</v>
          </cell>
          <cell r="Q221" t="str">
            <v>SF</v>
          </cell>
          <cell r="S221">
            <v>65</v>
          </cell>
          <cell r="T221">
            <v>268</v>
          </cell>
          <cell r="U221">
            <v>13.406703351675839</v>
          </cell>
          <cell r="V221">
            <v>14</v>
          </cell>
          <cell r="W221">
            <v>7</v>
          </cell>
          <cell r="X221">
            <v>35.858679339669834</v>
          </cell>
          <cell r="Y221">
            <v>33.288493607559758</v>
          </cell>
          <cell r="Z221">
            <v>67.298627082461238</v>
          </cell>
          <cell r="AA221">
            <v>68.223710693629812</v>
          </cell>
          <cell r="AB221">
            <v>18</v>
          </cell>
          <cell r="AC221">
            <v>0</v>
          </cell>
          <cell r="AD221">
            <v>1999</v>
          </cell>
          <cell r="AE221">
            <v>32.203389830508478</v>
          </cell>
          <cell r="AF221">
            <v>12</v>
          </cell>
          <cell r="AG221">
            <v>20.30301427805427</v>
          </cell>
          <cell r="AH221">
            <v>3.7809622598196668</v>
          </cell>
          <cell r="AI221">
            <v>40.952507486417602</v>
          </cell>
          <cell r="AJ221">
            <v>40</v>
          </cell>
          <cell r="AK221">
            <v>1826</v>
          </cell>
          <cell r="AL221" t="str">
            <v>PA</v>
          </cell>
          <cell r="AM221">
            <v>1797.5050101897693</v>
          </cell>
          <cell r="AN221">
            <v>-10.079789385204135</v>
          </cell>
          <cell r="AO221">
            <v>1</v>
          </cell>
        </row>
        <row r="222">
          <cell r="A222" t="str">
            <v>TU-PM-ST</v>
          </cell>
          <cell r="B222">
            <v>5299</v>
          </cell>
          <cell r="C222" t="str">
            <v>Y</v>
          </cell>
          <cell r="D222">
            <v>3649</v>
          </cell>
          <cell r="E222">
            <v>2499</v>
          </cell>
          <cell r="F222">
            <v>2169</v>
          </cell>
          <cell r="G222" t="str">
            <v>TL1</v>
          </cell>
          <cell r="H222">
            <v>16.0850347771065</v>
          </cell>
          <cell r="I222">
            <v>12.953388756603914</v>
          </cell>
          <cell r="J222">
            <v>401.96501907989142</v>
          </cell>
          <cell r="K222">
            <v>2650</v>
          </cell>
          <cell r="L222">
            <v>633.47112112000002</v>
          </cell>
          <cell r="M222">
            <v>29.205676400184416</v>
          </cell>
          <cell r="N222">
            <v>24</v>
          </cell>
          <cell r="O222">
            <v>0.115</v>
          </cell>
          <cell r="P222">
            <v>7.0000000000000007E-2</v>
          </cell>
          <cell r="Q222" t="str">
            <v>SF</v>
          </cell>
          <cell r="S222">
            <v>65</v>
          </cell>
          <cell r="T222">
            <v>332</v>
          </cell>
          <cell r="U222">
            <v>13.285314125650261</v>
          </cell>
          <cell r="V222">
            <v>14</v>
          </cell>
          <cell r="W222">
            <v>7</v>
          </cell>
          <cell r="X222">
            <v>34.946578631452581</v>
          </cell>
          <cell r="Y222">
            <v>32.948824343015218</v>
          </cell>
          <cell r="Z222">
            <v>68.660727934757915</v>
          </cell>
          <cell r="AA222">
            <v>71.792373955260501</v>
          </cell>
          <cell r="AB222">
            <v>18</v>
          </cell>
          <cell r="AC222">
            <v>0</v>
          </cell>
          <cell r="AD222">
            <v>2499</v>
          </cell>
          <cell r="AE222">
            <v>32.203389830508478</v>
          </cell>
          <cell r="AF222">
            <v>18</v>
          </cell>
          <cell r="AG222">
            <v>18.473100327534411</v>
          </cell>
          <cell r="AH222">
            <v>5.5197115709304967</v>
          </cell>
          <cell r="AI222">
            <v>38.127363846109333</v>
          </cell>
          <cell r="AJ222">
            <v>38</v>
          </cell>
          <cell r="AK222">
            <v>2454</v>
          </cell>
          <cell r="AL222" t="str">
            <v>PA</v>
          </cell>
          <cell r="AM222">
            <v>2417.9212636152311</v>
          </cell>
          <cell r="AN222">
            <v>-3.2444472342844719</v>
          </cell>
          <cell r="AO222">
            <v>1</v>
          </cell>
        </row>
        <row r="223">
          <cell r="A223" t="str">
            <v>TU-PR</v>
          </cell>
          <cell r="B223">
            <v>3899</v>
          </cell>
          <cell r="C223" t="str">
            <v>Y</v>
          </cell>
          <cell r="D223">
            <v>2649</v>
          </cell>
          <cell r="E223">
            <v>1999</v>
          </cell>
          <cell r="F223">
            <v>1899</v>
          </cell>
          <cell r="G223" t="str">
            <v>TL1</v>
          </cell>
          <cell r="H223" t="str">
            <v>ERR</v>
          </cell>
          <cell r="I223" t="str">
            <v>ERR</v>
          </cell>
          <cell r="J223" t="str">
            <v>ERR</v>
          </cell>
          <cell r="K223">
            <v>2150</v>
          </cell>
          <cell r="L223" t="e">
            <v>#N/A</v>
          </cell>
          <cell r="M223" t="e">
            <v>#N/A</v>
          </cell>
          <cell r="N223">
            <v>16</v>
          </cell>
          <cell r="O223">
            <v>0.115</v>
          </cell>
          <cell r="P223">
            <v>7.0000000000000007E-2</v>
          </cell>
          <cell r="Q223" t="str">
            <v>SF</v>
          </cell>
          <cell r="S223">
            <v>65</v>
          </cell>
          <cell r="T223">
            <v>268</v>
          </cell>
          <cell r="U223">
            <v>13.406703351675839</v>
          </cell>
          <cell r="V223">
            <v>14</v>
          </cell>
          <cell r="W223">
            <v>7</v>
          </cell>
          <cell r="X223">
            <v>35.858679339669834</v>
          </cell>
          <cell r="Y223">
            <v>32.27277514481306</v>
          </cell>
          <cell r="Z223" t="e">
            <v>#N/A</v>
          </cell>
          <cell r="AA223" t="e">
            <v>#N/A</v>
          </cell>
          <cell r="AB223">
            <v>18</v>
          </cell>
          <cell r="AC223">
            <v>0</v>
          </cell>
          <cell r="AD223">
            <v>1999</v>
          </cell>
          <cell r="AE223">
            <v>32.203389830508478</v>
          </cell>
          <cell r="AF223">
            <v>12</v>
          </cell>
          <cell r="AG223" t="e">
            <v>#N/A</v>
          </cell>
          <cell r="AH223" t="e">
            <v>#N/A</v>
          </cell>
          <cell r="AI223" t="str">
            <v>ERR</v>
          </cell>
          <cell r="AJ223" t="e">
            <v>#VALUE!</v>
          </cell>
          <cell r="AK223" t="e">
            <v>#N/A</v>
          </cell>
          <cell r="AL223" t="str">
            <v>PA</v>
          </cell>
          <cell r="AM223" t="e">
            <v>#N/A</v>
          </cell>
          <cell r="AN223" t="e">
            <v>#N/A</v>
          </cell>
          <cell r="AO223">
            <v>1</v>
          </cell>
        </row>
        <row r="224">
          <cell r="A224" t="str">
            <v>TU-PTL</v>
          </cell>
          <cell r="B224">
            <v>6449</v>
          </cell>
          <cell r="C224" t="str">
            <v>Y</v>
          </cell>
          <cell r="D224">
            <v>4499</v>
          </cell>
          <cell r="E224">
            <v>4099</v>
          </cell>
          <cell r="F224">
            <v>3599</v>
          </cell>
          <cell r="G224" t="str">
            <v>TL1</v>
          </cell>
          <cell r="H224">
            <v>17.576490166585074</v>
          </cell>
          <cell r="I224">
            <v>15.314990785468197</v>
          </cell>
          <cell r="J224">
            <v>720.46033192832215</v>
          </cell>
          <cell r="K224">
            <v>4350</v>
          </cell>
          <cell r="L224">
            <v>1082.6717907</v>
          </cell>
          <cell r="M224">
            <v>30.08257267852181</v>
          </cell>
          <cell r="N224">
            <v>42</v>
          </cell>
          <cell r="O224">
            <v>0.115</v>
          </cell>
          <cell r="P224">
            <v>7.0000000000000007E-2</v>
          </cell>
          <cell r="Q224" t="str">
            <v>SF</v>
          </cell>
          <cell r="S224">
            <v>65</v>
          </cell>
          <cell r="T224">
            <v>476</v>
          </cell>
          <cell r="U224">
            <v>11.612588436203952</v>
          </cell>
          <cell r="V224">
            <v>14</v>
          </cell>
          <cell r="W224">
            <v>7</v>
          </cell>
          <cell r="X224">
            <v>32.039887777506706</v>
          </cell>
          <cell r="Y224">
            <v>29.420950263962212</v>
          </cell>
          <cell r="Z224">
            <v>67.169272545279341</v>
          </cell>
          <cell r="AA224">
            <v>69.430771926396218</v>
          </cell>
          <cell r="AB224">
            <v>18</v>
          </cell>
          <cell r="AC224">
            <v>0</v>
          </cell>
          <cell r="AD224">
            <v>4099</v>
          </cell>
          <cell r="AE224">
            <v>32.203389830508478</v>
          </cell>
          <cell r="AF224">
            <v>31.5</v>
          </cell>
          <cell r="AG224">
            <v>17.360821510289824</v>
          </cell>
          <cell r="AH224">
            <v>2.0458307248216272</v>
          </cell>
          <cell r="AI224">
            <v>36.400519435848267</v>
          </cell>
          <cell r="AJ224">
            <v>36</v>
          </cell>
          <cell r="AK224">
            <v>4198</v>
          </cell>
          <cell r="AL224" t="str">
            <v>PA</v>
          </cell>
          <cell r="AM224">
            <v>4133.2356699325956</v>
          </cell>
          <cell r="AN224">
            <v>0.83522005202721528</v>
          </cell>
          <cell r="AO224">
            <v>1</v>
          </cell>
        </row>
        <row r="225">
          <cell r="A225" t="str">
            <v>TU-RE-LA</v>
          </cell>
          <cell r="B225">
            <v>4099</v>
          </cell>
          <cell r="C225" t="str">
            <v>Y</v>
          </cell>
          <cell r="D225">
            <v>3299</v>
          </cell>
          <cell r="E225">
            <v>2899</v>
          </cell>
          <cell r="F225">
            <v>2549</v>
          </cell>
          <cell r="G225" t="str">
            <v>TL2</v>
          </cell>
          <cell r="H225">
            <v>19.057489582294124</v>
          </cell>
          <cell r="I225">
            <v>17.078126853635979</v>
          </cell>
          <cell r="J225">
            <v>552.47662299070669</v>
          </cell>
          <cell r="K225">
            <v>3100</v>
          </cell>
          <cell r="L225">
            <v>707.50980302725009</v>
          </cell>
          <cell r="M225">
            <v>27.7563673215869</v>
          </cell>
          <cell r="N225">
            <v>26</v>
          </cell>
          <cell r="O225">
            <v>0.115</v>
          </cell>
          <cell r="P225">
            <v>7.0000000000000007E-2</v>
          </cell>
          <cell r="Q225" t="str">
            <v>SF</v>
          </cell>
          <cell r="S225">
            <v>65</v>
          </cell>
          <cell r="T225">
            <v>348</v>
          </cell>
          <cell r="U225">
            <v>12.004139358399449</v>
          </cell>
          <cell r="V225">
            <v>14</v>
          </cell>
          <cell r="W225">
            <v>7</v>
          </cell>
          <cell r="X225">
            <v>33.229216971369439</v>
          </cell>
          <cell r="Y225">
            <v>30.75166732051785</v>
          </cell>
          <cell r="Z225">
            <v>65.688273129570291</v>
          </cell>
          <cell r="AA225">
            <v>67.667635858228437</v>
          </cell>
          <cell r="AB225">
            <v>18</v>
          </cell>
          <cell r="AC225">
            <v>0</v>
          </cell>
          <cell r="AD225">
            <v>2899</v>
          </cell>
          <cell r="AE225">
            <v>32.203389830508478</v>
          </cell>
          <cell r="AF225">
            <v>19.5</v>
          </cell>
          <cell r="AG225">
            <v>19.464421759339714</v>
          </cell>
          <cell r="AH225">
            <v>2.3862949057037355</v>
          </cell>
          <cell r="AI225">
            <v>39.664591760228838</v>
          </cell>
          <cell r="AJ225">
            <v>39</v>
          </cell>
          <cell r="AK225">
            <v>2739</v>
          </cell>
          <cell r="AL225" t="str">
            <v>PA</v>
          </cell>
          <cell r="AM225">
            <v>2697.755106034715</v>
          </cell>
          <cell r="AN225">
            <v>-6.9418728515103476</v>
          </cell>
          <cell r="AO225">
            <v>1</v>
          </cell>
        </row>
        <row r="226">
          <cell r="A226" t="str">
            <v>TU-RWT-LA</v>
          </cell>
          <cell r="B226">
            <v>21599</v>
          </cell>
          <cell r="C226" t="str">
            <v>Y</v>
          </cell>
          <cell r="D226">
            <v>15100</v>
          </cell>
          <cell r="E226">
            <v>13599</v>
          </cell>
          <cell r="F226">
            <v>11999</v>
          </cell>
          <cell r="G226" t="str">
            <v>TL3</v>
          </cell>
          <cell r="H226">
            <v>22.827204241094577</v>
          </cell>
          <cell r="I226">
            <v>21.537580643025414</v>
          </cell>
          <cell r="J226">
            <v>3104.2715047464517</v>
          </cell>
          <cell r="K226">
            <v>14450</v>
          </cell>
          <cell r="L226">
            <v>3280.8945612330758</v>
          </cell>
          <cell r="M226">
            <v>27.343066599158895</v>
          </cell>
          <cell r="N226">
            <v>134</v>
          </cell>
          <cell r="O226">
            <v>0.115</v>
          </cell>
          <cell r="P226">
            <v>7.0000000000000007E-2</v>
          </cell>
          <cell r="Q226" t="str">
            <v>SS</v>
          </cell>
          <cell r="R226">
            <v>500</v>
          </cell>
          <cell r="S226">
            <v>100</v>
          </cell>
          <cell r="T226">
            <v>940.9</v>
          </cell>
          <cell r="U226">
            <v>6.9188910949334508</v>
          </cell>
          <cell r="V226">
            <v>0</v>
          </cell>
          <cell r="W226">
            <v>7</v>
          </cell>
          <cell r="X226">
            <v>29.83098021913376</v>
          </cell>
          <cell r="Y226">
            <v>26.841903491957666</v>
          </cell>
          <cell r="Z226">
            <v>61.918558470769838</v>
          </cell>
          <cell r="AA226">
            <v>63.208182068839001</v>
          </cell>
          <cell r="AB226">
            <v>18</v>
          </cell>
          <cell r="AC226">
            <v>0</v>
          </cell>
          <cell r="AD226">
            <v>13599</v>
          </cell>
          <cell r="AE226">
            <v>32.203389830508478</v>
          </cell>
          <cell r="AF226">
            <v>100.5</v>
          </cell>
          <cell r="AG226">
            <v>19.677349267611717</v>
          </cell>
          <cell r="AH226">
            <v>-1.8602313754136972</v>
          </cell>
          <cell r="AI226">
            <v>40.024608247671246</v>
          </cell>
          <cell r="AJ226">
            <v>39.5</v>
          </cell>
          <cell r="AK226">
            <v>12740</v>
          </cell>
          <cell r="AL226" t="str">
            <v>PA</v>
          </cell>
          <cell r="AM226">
            <v>13512.894541034588</v>
          </cell>
          <cell r="AN226">
            <v>-0.63317493172595229</v>
          </cell>
          <cell r="AO226">
            <v>1</v>
          </cell>
        </row>
        <row r="227">
          <cell r="A227" t="str">
            <v>TU-RWT-M</v>
          </cell>
          <cell r="B227">
            <v>13599</v>
          </cell>
          <cell r="C227" t="str">
            <v>Y</v>
          </cell>
          <cell r="D227">
            <v>9299</v>
          </cell>
          <cell r="E227">
            <v>7799</v>
          </cell>
          <cell r="F227">
            <v>6899</v>
          </cell>
          <cell r="G227" t="str">
            <v>TL2</v>
          </cell>
          <cell r="H227">
            <v>20.169790027362794</v>
          </cell>
          <cell r="I227">
            <v>18.659009419151246</v>
          </cell>
          <cell r="J227">
            <v>1573.0419242340242</v>
          </cell>
          <cell r="K227">
            <v>8300</v>
          </cell>
          <cell r="L227">
            <v>2119.1466989956998</v>
          </cell>
          <cell r="M227">
            <v>30.716722698879547</v>
          </cell>
          <cell r="N227">
            <v>80</v>
          </cell>
          <cell r="O227">
            <v>0.115</v>
          </cell>
          <cell r="P227">
            <v>7.0000000000000007E-2</v>
          </cell>
          <cell r="Q227" t="str">
            <v>sf</v>
          </cell>
          <cell r="S227">
            <v>65</v>
          </cell>
          <cell r="T227">
            <v>696</v>
          </cell>
          <cell r="U227">
            <v>8.924221053981281</v>
          </cell>
          <cell r="V227">
            <v>14</v>
          </cell>
          <cell r="W227">
            <v>7</v>
          </cell>
          <cell r="X227">
            <v>28.437171432234905</v>
          </cell>
          <cell r="Y227">
            <v>25.233512103203363</v>
          </cell>
          <cell r="Z227">
            <v>64.575972684501622</v>
          </cell>
          <cell r="AA227">
            <v>66.086753292713169</v>
          </cell>
          <cell r="AB227">
            <v>18</v>
          </cell>
          <cell r="AC227">
            <v>0</v>
          </cell>
          <cell r="AD227">
            <v>7799</v>
          </cell>
          <cell r="AE227">
            <v>32.203389830508478</v>
          </cell>
          <cell r="AF227">
            <v>60</v>
          </cell>
          <cell r="AG227">
            <v>16.601012463408757</v>
          </cell>
          <cell r="AH227">
            <v>-2.0579969557424889</v>
          </cell>
          <cell r="AI227">
            <v>35.208405828903047</v>
          </cell>
          <cell r="AJ227">
            <v>35</v>
          </cell>
          <cell r="AK227">
            <v>8210</v>
          </cell>
          <cell r="AL227" t="str">
            <v>PA</v>
          </cell>
          <cell r="AM227">
            <v>8087.0661711792445</v>
          </cell>
          <cell r="AN227">
            <v>3.6936295830137778</v>
          </cell>
          <cell r="AO227">
            <v>1</v>
          </cell>
        </row>
        <row r="228">
          <cell r="A228" t="str">
            <v>TU-RYE-LA</v>
          </cell>
          <cell r="B228">
            <v>8999</v>
          </cell>
          <cell r="C228" t="str">
            <v>Y</v>
          </cell>
          <cell r="D228">
            <v>6049</v>
          </cell>
          <cell r="E228">
            <v>5099</v>
          </cell>
          <cell r="F228">
            <v>4699</v>
          </cell>
          <cell r="G228" t="str">
            <v>TL2</v>
          </cell>
          <cell r="H228">
            <v>20.690690230622991</v>
          </cell>
          <cell r="I228">
            <v>21.312837710406654</v>
          </cell>
          <cell r="J228">
            <v>1055.0182948594663</v>
          </cell>
          <cell r="K228">
            <v>5450</v>
          </cell>
          <cell r="L228">
            <v>1272.0700344500001</v>
          </cell>
          <cell r="M228">
            <v>27.071079686103428</v>
          </cell>
          <cell r="N228">
            <v>56</v>
          </cell>
          <cell r="O228">
            <v>0.115</v>
          </cell>
          <cell r="P228">
            <v>7.0000000000000007E-2</v>
          </cell>
          <cell r="Q228" t="str">
            <v>SF</v>
          </cell>
          <cell r="S228">
            <v>65</v>
          </cell>
          <cell r="T228">
            <v>552</v>
          </cell>
          <cell r="U228">
            <v>10.825652088644832</v>
          </cell>
          <cell r="V228">
            <v>14</v>
          </cell>
          <cell r="W228">
            <v>7</v>
          </cell>
          <cell r="X228">
            <v>30.874975485389292</v>
          </cell>
          <cell r="Y228">
            <v>27.428389018940202</v>
          </cell>
          <cell r="Z228">
            <v>64.055072481241424</v>
          </cell>
          <cell r="AA228">
            <v>63.432925001457761</v>
          </cell>
          <cell r="AB228">
            <v>18</v>
          </cell>
          <cell r="AC228">
            <v>0</v>
          </cell>
          <cell r="AD228">
            <v>5099</v>
          </cell>
          <cell r="AE228">
            <v>32.203389830508478</v>
          </cell>
          <cell r="AF228">
            <v>42</v>
          </cell>
          <cell r="AG228">
            <v>18.771240611302986</v>
          </cell>
          <cell r="AH228">
            <v>-2.5415970991036687</v>
          </cell>
          <cell r="AI228">
            <v>38.635530259544424</v>
          </cell>
          <cell r="AJ228">
            <v>38</v>
          </cell>
          <cell r="AK228">
            <v>4951</v>
          </cell>
          <cell r="AL228" t="str">
            <v>PA</v>
          </cell>
          <cell r="AM228">
            <v>4875.1674258400481</v>
          </cell>
          <cell r="AN228">
            <v>-4.3897347354373784</v>
          </cell>
          <cell r="AO228">
            <v>1</v>
          </cell>
        </row>
        <row r="229">
          <cell r="A229" t="str">
            <v>TU-RYE-ST</v>
          </cell>
          <cell r="B229">
            <v>7199</v>
          </cell>
          <cell r="C229" t="str">
            <v>Y</v>
          </cell>
          <cell r="D229">
            <v>4949</v>
          </cell>
          <cell r="E229">
            <v>3799</v>
          </cell>
          <cell r="F229">
            <v>3429</v>
          </cell>
          <cell r="G229" t="str">
            <v>TL2</v>
          </cell>
          <cell r="H229">
            <v>19.408643562315191</v>
          </cell>
          <cell r="I229">
            <v>18.854769521681405</v>
          </cell>
          <cell r="J229">
            <v>737.3343689323541</v>
          </cell>
          <cell r="K229">
            <v>4050</v>
          </cell>
          <cell r="L229">
            <v>932.58808758750001</v>
          </cell>
          <cell r="M229">
            <v>27.197086252187226</v>
          </cell>
          <cell r="N229">
            <v>40</v>
          </cell>
          <cell r="O229">
            <v>0.115</v>
          </cell>
          <cell r="P229">
            <v>7.0000000000000007E-2</v>
          </cell>
          <cell r="Q229" t="str">
            <v>SF</v>
          </cell>
          <cell r="S229">
            <v>65</v>
          </cell>
          <cell r="T229">
            <v>460</v>
          </cell>
          <cell r="U229">
            <v>12.108449591997893</v>
          </cell>
          <cell r="V229">
            <v>14</v>
          </cell>
          <cell r="W229">
            <v>7</v>
          </cell>
          <cell r="X229">
            <v>32.687944195841013</v>
          </cell>
          <cell r="Y229">
            <v>29.718868474773988</v>
          </cell>
          <cell r="Z229">
            <v>65.337119149549224</v>
          </cell>
          <cell r="AA229">
            <v>65.890993190183011</v>
          </cell>
          <cell r="AB229">
            <v>18</v>
          </cell>
          <cell r="AC229">
            <v>0</v>
          </cell>
          <cell r="AD229">
            <v>3799</v>
          </cell>
          <cell r="AE229">
            <v>32.203389830508478</v>
          </cell>
          <cell r="AF229">
            <v>30</v>
          </cell>
          <cell r="AG229">
            <v>19.204439541332242</v>
          </cell>
          <cell r="AH229">
            <v>0.34967001965083711</v>
          </cell>
          <cell r="AI229">
            <v>39.302149390370573</v>
          </cell>
          <cell r="AJ229">
            <v>38.5</v>
          </cell>
          <cell r="AK229">
            <v>3627</v>
          </cell>
          <cell r="AL229" t="str">
            <v>PA</v>
          </cell>
          <cell r="AM229">
            <v>3572.8771671394111</v>
          </cell>
          <cell r="AN229">
            <v>-5.9521672245482735</v>
          </cell>
          <cell r="AO229">
            <v>1</v>
          </cell>
        </row>
        <row r="230">
          <cell r="A230" t="str">
            <v>TU-SKD</v>
          </cell>
          <cell r="B230">
            <v>9599</v>
          </cell>
          <cell r="C230" t="str">
            <v>Y</v>
          </cell>
          <cell r="D230">
            <v>6599</v>
          </cell>
          <cell r="E230">
            <v>4999</v>
          </cell>
          <cell r="F230">
            <v>4799</v>
          </cell>
          <cell r="G230" t="str">
            <v>TL2</v>
          </cell>
          <cell r="H230">
            <v>17.245756823599692</v>
          </cell>
          <cell r="I230">
            <v>19.703664475682857</v>
          </cell>
          <cell r="J230">
            <v>862.1153836117486</v>
          </cell>
          <cell r="K230">
            <v>5300</v>
          </cell>
          <cell r="L230">
            <v>1421.9626273341003</v>
          </cell>
          <cell r="M230">
            <v>29.630394401627427</v>
          </cell>
          <cell r="N230">
            <v>58</v>
          </cell>
          <cell r="O230">
            <v>0.115</v>
          </cell>
          <cell r="P230">
            <v>7.0000000000000007E-2</v>
          </cell>
          <cell r="Q230" t="str">
            <v>SS</v>
          </cell>
          <cell r="S230">
            <v>100</v>
          </cell>
          <cell r="T230">
            <v>458.29999999999995</v>
          </cell>
          <cell r="U230">
            <v>9.167833566713341</v>
          </cell>
          <cell r="V230">
            <v>0</v>
          </cell>
          <cell r="W230">
            <v>7</v>
          </cell>
          <cell r="X230">
            <v>29.668233646729345</v>
          </cell>
          <cell r="Y230">
            <v>25.633673682017086</v>
          </cell>
          <cell r="Z230">
            <v>67.500005888264724</v>
          </cell>
          <cell r="AA230">
            <v>65.042098236181559</v>
          </cell>
          <cell r="AB230">
            <v>18</v>
          </cell>
          <cell r="AC230">
            <v>0</v>
          </cell>
          <cell r="AD230">
            <v>4999</v>
          </cell>
          <cell r="AE230">
            <v>32.203389830508478</v>
          </cell>
          <cell r="AF230">
            <v>43.5</v>
          </cell>
          <cell r="AG230">
            <v>15.227257311559967</v>
          </cell>
          <cell r="AH230">
            <v>-4.4764071641228895</v>
          </cell>
          <cell r="AI230">
            <v>33.091703393916049</v>
          </cell>
          <cell r="AJ230">
            <v>33</v>
          </cell>
          <cell r="AK230">
            <v>5521</v>
          </cell>
          <cell r="AL230" t="str">
            <v>PA</v>
          </cell>
          <cell r="AM230">
            <v>5437.9902438727158</v>
          </cell>
          <cell r="AN230">
            <v>8.7815611896922547</v>
          </cell>
          <cell r="AO230">
            <v>1</v>
          </cell>
        </row>
        <row r="231">
          <cell r="A231" t="str">
            <v>TU-SKDL</v>
          </cell>
          <cell r="B231">
            <v>8599</v>
          </cell>
          <cell r="C231" t="str">
            <v>Y</v>
          </cell>
          <cell r="D231">
            <v>5999</v>
          </cell>
          <cell r="E231">
            <v>4499</v>
          </cell>
          <cell r="F231">
            <v>3999</v>
          </cell>
          <cell r="G231" t="str">
            <v>TL2</v>
          </cell>
          <cell r="H231">
            <v>19.875024101313173</v>
          </cell>
          <cell r="I231">
            <v>18.577232327050694</v>
          </cell>
          <cell r="J231">
            <v>894.17733431807972</v>
          </cell>
          <cell r="K231">
            <v>4800</v>
          </cell>
          <cell r="L231">
            <v>1127.2327293900003</v>
          </cell>
          <cell r="M231">
            <v>28.187865201050268</v>
          </cell>
          <cell r="N231">
            <v>45</v>
          </cell>
          <cell r="O231">
            <v>0.115</v>
          </cell>
          <cell r="P231">
            <v>7.0000000000000007E-2</v>
          </cell>
          <cell r="Q231" t="str">
            <v>SF</v>
          </cell>
          <cell r="S231">
            <v>65</v>
          </cell>
          <cell r="T231">
            <v>508</v>
          </cell>
          <cell r="U231">
            <v>11.291398088464103</v>
          </cell>
          <cell r="V231">
            <v>14</v>
          </cell>
          <cell r="W231">
            <v>7</v>
          </cell>
          <cell r="X231">
            <v>31.547343854189819</v>
          </cell>
          <cell r="Y231">
            <v>28.678669667416855</v>
          </cell>
          <cell r="Z231">
            <v>64.870738610551243</v>
          </cell>
          <cell r="AA231">
            <v>66.168530384813721</v>
          </cell>
          <cell r="AB231">
            <v>18</v>
          </cell>
          <cell r="AC231">
            <v>0</v>
          </cell>
          <cell r="AD231">
            <v>4499</v>
          </cell>
          <cell r="AE231">
            <v>32.203389830508478</v>
          </cell>
          <cell r="AF231">
            <v>33.75</v>
          </cell>
          <cell r="AG231">
            <v>18.737022150304576</v>
          </cell>
          <cell r="AH231">
            <v>0.15978982325388102</v>
          </cell>
          <cell r="AI231">
            <v>38.553197477113436</v>
          </cell>
          <cell r="AJ231">
            <v>38</v>
          </cell>
          <cell r="AK231">
            <v>4374</v>
          </cell>
          <cell r="AL231" t="str">
            <v>PA</v>
          </cell>
          <cell r="AM231">
            <v>4309.7467665934901</v>
          </cell>
          <cell r="AN231">
            <v>-4.2065622006336945</v>
          </cell>
          <cell r="AO231">
            <v>1</v>
          </cell>
        </row>
        <row r="232">
          <cell r="A232" t="str">
            <v>TU-SNQ-LA</v>
          </cell>
          <cell r="B232">
            <v>5499</v>
          </cell>
          <cell r="C232" t="str">
            <v>Y</v>
          </cell>
          <cell r="D232">
            <v>3849</v>
          </cell>
          <cell r="E232">
            <v>2999</v>
          </cell>
          <cell r="F232">
            <v>2699</v>
          </cell>
          <cell r="G232" t="str">
            <v>TL2</v>
          </cell>
          <cell r="H232">
            <v>20.037039055356416</v>
          </cell>
          <cell r="I232">
            <v>19.400834128734544</v>
          </cell>
          <cell r="J232">
            <v>600.91080127013902</v>
          </cell>
          <cell r="K232">
            <v>3200</v>
          </cell>
          <cell r="L232">
            <v>696.84182139749998</v>
          </cell>
          <cell r="M232">
            <v>25.818518762412005</v>
          </cell>
          <cell r="N232">
            <v>30</v>
          </cell>
          <cell r="O232">
            <v>0.115</v>
          </cell>
          <cell r="P232">
            <v>7.0000000000000007E-2</v>
          </cell>
          <cell r="Q232" t="str">
            <v>SF</v>
          </cell>
          <cell r="S232">
            <v>65</v>
          </cell>
          <cell r="T232">
            <v>380</v>
          </cell>
          <cell r="U232">
            <v>12.67089029676559</v>
          </cell>
          <cell r="V232">
            <v>14</v>
          </cell>
          <cell r="W232">
            <v>7</v>
          </cell>
          <cell r="X232">
            <v>33.805101700566858</v>
          </cell>
          <cell r="Y232">
            <v>31.006298629121897</v>
          </cell>
          <cell r="Z232">
            <v>64.708723656507999</v>
          </cell>
          <cell r="AA232">
            <v>65.344928583129871</v>
          </cell>
          <cell r="AB232">
            <v>18</v>
          </cell>
          <cell r="AC232">
            <v>0</v>
          </cell>
          <cell r="AD232">
            <v>2999</v>
          </cell>
          <cell r="AE232">
            <v>32.203389830508478</v>
          </cell>
          <cell r="AF232">
            <v>22.5</v>
          </cell>
          <cell r="AG232">
            <v>20.55631681608417</v>
          </cell>
          <cell r="AH232">
            <v>1.1554826873496253</v>
          </cell>
          <cell r="AI232">
            <v>41.408430993623327</v>
          </cell>
          <cell r="AJ232">
            <v>40.5</v>
          </cell>
          <cell r="AK232">
            <v>2710</v>
          </cell>
          <cell r="AL232" t="str">
            <v>PA</v>
          </cell>
          <cell r="AM232">
            <v>2670.2489472405359</v>
          </cell>
          <cell r="AN232">
            <v>-10.962022432793068</v>
          </cell>
          <cell r="AO232">
            <v>1</v>
          </cell>
        </row>
        <row r="233">
          <cell r="A233" t="str">
            <v>TU-TK-LA</v>
          </cell>
          <cell r="B233">
            <v>3499</v>
          </cell>
          <cell r="C233" t="str">
            <v>Y</v>
          </cell>
          <cell r="D233">
            <v>2399</v>
          </cell>
          <cell r="E233">
            <v>1849</v>
          </cell>
          <cell r="F233">
            <v>1769</v>
          </cell>
          <cell r="G233" t="str">
            <v>TL1</v>
          </cell>
          <cell r="H233">
            <v>17.784209633430123</v>
          </cell>
          <cell r="I233">
            <v>20.092618764987648</v>
          </cell>
          <cell r="J233">
            <v>328.83003612212298</v>
          </cell>
          <cell r="K233">
            <v>2000</v>
          </cell>
          <cell r="L233">
            <v>412.82264392500002</v>
          </cell>
          <cell r="M233">
            <v>23.336497678066703</v>
          </cell>
          <cell r="N233">
            <v>16</v>
          </cell>
          <cell r="O233">
            <v>0.115</v>
          </cell>
          <cell r="P233">
            <v>7.0000000000000007E-2</v>
          </cell>
          <cell r="Q233" t="str">
            <v>SF</v>
          </cell>
          <cell r="S233">
            <v>65</v>
          </cell>
          <cell r="T233">
            <v>268</v>
          </cell>
          <cell r="U233">
            <v>14.49432125473229</v>
          </cell>
          <cell r="V233">
            <v>14</v>
          </cell>
          <cell r="W233">
            <v>7</v>
          </cell>
          <cell r="X233">
            <v>37.266901027582477</v>
          </cell>
          <cell r="Y233">
            <v>33.615602035048049</v>
          </cell>
          <cell r="Z233">
            <v>66.961553078434292</v>
          </cell>
          <cell r="AA233">
            <v>64.653143946876767</v>
          </cell>
          <cell r="AB233">
            <v>18</v>
          </cell>
          <cell r="AC233">
            <v>0</v>
          </cell>
          <cell r="AD233">
            <v>1849</v>
          </cell>
          <cell r="AE233">
            <v>32.203389830508478</v>
          </cell>
          <cell r="AF233">
            <v>12</v>
          </cell>
          <cell r="AG233">
            <v>21.566567368916779</v>
          </cell>
          <cell r="AH233">
            <v>1.4739486039291307</v>
          </cell>
          <cell r="AI233">
            <v>42.954491218177672</v>
          </cell>
          <cell r="AJ233">
            <v>41.5</v>
          </cell>
          <cell r="AK233">
            <v>1601</v>
          </cell>
          <cell r="AL233" t="str">
            <v>PA</v>
          </cell>
          <cell r="AM233">
            <v>1576.0162861718509</v>
          </cell>
          <cell r="AN233">
            <v>-14.763856886324994</v>
          </cell>
          <cell r="AO233">
            <v>1</v>
          </cell>
        </row>
        <row r="234">
          <cell r="A234" t="str">
            <v>TU-TK-ST</v>
          </cell>
          <cell r="B234">
            <v>2949</v>
          </cell>
          <cell r="C234" t="str">
            <v>Y</v>
          </cell>
          <cell r="D234">
            <v>2049</v>
          </cell>
          <cell r="E234">
            <v>1649</v>
          </cell>
          <cell r="F234">
            <v>1549</v>
          </cell>
          <cell r="G234" t="str">
            <v>TL1</v>
          </cell>
          <cell r="H234">
            <v>18.598764945991149</v>
          </cell>
          <cell r="I234">
            <v>20.022780584088423</v>
          </cell>
          <cell r="J234">
            <v>306.69363395939405</v>
          </cell>
          <cell r="K234">
            <v>1750</v>
          </cell>
          <cell r="L234">
            <v>341.87894222500006</v>
          </cell>
          <cell r="M234">
            <v>22.070945269528732</v>
          </cell>
          <cell r="N234">
            <v>14</v>
          </cell>
          <cell r="O234">
            <v>0.115</v>
          </cell>
          <cell r="P234">
            <v>7.0000000000000007E-2</v>
          </cell>
          <cell r="Q234" t="str">
            <v>SF</v>
          </cell>
          <cell r="S234">
            <v>65</v>
          </cell>
          <cell r="T234">
            <v>252</v>
          </cell>
          <cell r="U234">
            <v>15.281989084293512</v>
          </cell>
          <cell r="V234">
            <v>14</v>
          </cell>
          <cell r="W234">
            <v>7</v>
          </cell>
          <cell r="X234">
            <v>38.572771376591874</v>
          </cell>
          <cell r="Y234">
            <v>35.368624919302775</v>
          </cell>
          <cell r="Z234">
            <v>66.146997765873266</v>
          </cell>
          <cell r="AA234">
            <v>64.722982127775992</v>
          </cell>
          <cell r="AB234">
            <v>18</v>
          </cell>
          <cell r="AC234">
            <v>0</v>
          </cell>
          <cell r="AD234">
            <v>1649</v>
          </cell>
          <cell r="AE234">
            <v>32.203389830508478</v>
          </cell>
          <cell r="AF234">
            <v>10.5</v>
          </cell>
          <cell r="AG234">
            <v>23.173122291604557</v>
          </cell>
          <cell r="AH234">
            <v>3.1503417075161337</v>
          </cell>
          <cell r="AI234">
            <v>45.471048397336858</v>
          </cell>
          <cell r="AJ234">
            <v>43.5</v>
          </cell>
          <cell r="AK234">
            <v>1328</v>
          </cell>
          <cell r="AL234" t="str">
            <v>PA</v>
          </cell>
          <cell r="AM234">
            <v>1306.8529616940627</v>
          </cell>
          <cell r="AN234">
            <v>-20.748759145296379</v>
          </cell>
          <cell r="AO234">
            <v>1</v>
          </cell>
        </row>
        <row r="235">
          <cell r="A235" t="str">
            <v>TU-VC</v>
          </cell>
          <cell r="B235">
            <v>5799</v>
          </cell>
          <cell r="C235" t="str">
            <v>Y</v>
          </cell>
          <cell r="D235">
            <v>3999</v>
          </cell>
          <cell r="E235">
            <v>2799</v>
          </cell>
          <cell r="F235">
            <v>2549</v>
          </cell>
          <cell r="G235" t="str">
            <v>TL1</v>
          </cell>
          <cell r="H235">
            <v>18.610342400597006</v>
          </cell>
          <cell r="I235">
            <v>18.438371008750451</v>
          </cell>
          <cell r="J235">
            <v>520.90348379271018</v>
          </cell>
          <cell r="K235">
            <v>3000</v>
          </cell>
          <cell r="L235">
            <v>681.4401612874999</v>
          </cell>
          <cell r="M235">
            <v>26.733627355335422</v>
          </cell>
          <cell r="N235">
            <v>26</v>
          </cell>
          <cell r="O235">
            <v>0.115</v>
          </cell>
          <cell r="P235">
            <v>7.0000000000000007E-2</v>
          </cell>
          <cell r="Q235" t="str">
            <v>SF</v>
          </cell>
          <cell r="S235">
            <v>65</v>
          </cell>
          <cell r="T235">
            <v>348</v>
          </cell>
          <cell r="U235">
            <v>12.433011789924974</v>
          </cell>
          <cell r="V235">
            <v>14</v>
          </cell>
          <cell r="W235">
            <v>7</v>
          </cell>
          <cell r="X235">
            <v>33.755448374419437</v>
          </cell>
          <cell r="Y235">
            <v>30.75166732051785</v>
          </cell>
          <cell r="Z235">
            <v>66.13542031126741</v>
          </cell>
          <cell r="AA235">
            <v>66.307391703113964</v>
          </cell>
          <cell r="AB235">
            <v>18</v>
          </cell>
          <cell r="AC235">
            <v>0</v>
          </cell>
          <cell r="AD235">
            <v>2799</v>
          </cell>
          <cell r="AE235">
            <v>32.203389830508478</v>
          </cell>
          <cell r="AF235">
            <v>19.5</v>
          </cell>
          <cell r="AG235">
            <v>19.499851935035821</v>
          </cell>
          <cell r="AH235">
            <v>1.0614809262853697</v>
          </cell>
          <cell r="AI235">
            <v>39.729553800478669</v>
          </cell>
          <cell r="AJ235">
            <v>39</v>
          </cell>
          <cell r="AK235">
            <v>2641</v>
          </cell>
          <cell r="AL235" t="str">
            <v>PA</v>
          </cell>
          <cell r="AM235">
            <v>2601.0718289287379</v>
          </cell>
          <cell r="AN235">
            <v>-7.0713887485266929</v>
          </cell>
          <cell r="AO235">
            <v>1</v>
          </cell>
        </row>
        <row r="236">
          <cell r="A236" t="str">
            <v>TU-WBM</v>
          </cell>
          <cell r="B236">
            <v>10799</v>
          </cell>
          <cell r="C236" t="str">
            <v>Y</v>
          </cell>
          <cell r="D236">
            <v>7499</v>
          </cell>
          <cell r="E236">
            <v>6299</v>
          </cell>
          <cell r="F236">
            <v>5649</v>
          </cell>
          <cell r="G236" t="str">
            <v>TL2</v>
          </cell>
          <cell r="H236">
            <v>19.500872043355031</v>
          </cell>
          <cell r="I236">
            <v>18.622189279232003</v>
          </cell>
          <cell r="J236">
            <v>1228.3599300109333</v>
          </cell>
          <cell r="K236">
            <v>6700</v>
          </cell>
          <cell r="L236">
            <v>1712.3764385033123</v>
          </cell>
          <cell r="M236">
            <v>30.312912701421709</v>
          </cell>
          <cell r="N236">
            <v>62</v>
          </cell>
          <cell r="O236">
            <v>0.115</v>
          </cell>
          <cell r="P236">
            <v>7.0000000000000007E-2</v>
          </cell>
          <cell r="Q236" t="str">
            <v>sf</v>
          </cell>
          <cell r="S236">
            <v>65</v>
          </cell>
          <cell r="T236">
            <v>588</v>
          </cell>
          <cell r="U236">
            <v>9.3348150500079381</v>
          </cell>
          <cell r="V236">
            <v>14</v>
          </cell>
          <cell r="W236">
            <v>7</v>
          </cell>
          <cell r="X236">
            <v>29.088982378155265</v>
          </cell>
          <cell r="Y236">
            <v>25.807399539741546</v>
          </cell>
          <cell r="Z236">
            <v>65.244890668509385</v>
          </cell>
          <cell r="AA236">
            <v>66.123573432632412</v>
          </cell>
          <cell r="AB236">
            <v>18</v>
          </cell>
          <cell r="AC236">
            <v>0</v>
          </cell>
          <cell r="AD236">
            <v>6299</v>
          </cell>
          <cell r="AE236">
            <v>32.203389830508478</v>
          </cell>
          <cell r="AF236">
            <v>46.5</v>
          </cell>
          <cell r="AG236">
            <v>16.61926701529287</v>
          </cell>
          <cell r="AH236">
            <v>-2.0029222639391335</v>
          </cell>
          <cell r="AI236">
            <v>35.224937568072747</v>
          </cell>
          <cell r="AJ236">
            <v>35</v>
          </cell>
          <cell r="AK236">
            <v>6627</v>
          </cell>
          <cell r="AL236" t="str">
            <v>PA</v>
          </cell>
          <cell r="AM236">
            <v>6526.5730031800731</v>
          </cell>
          <cell r="AN236">
            <v>3.6128433589470248</v>
          </cell>
          <cell r="AO236">
            <v>1</v>
          </cell>
        </row>
        <row r="237">
          <cell r="A237" t="str">
            <v>TU-WBM-ST</v>
          </cell>
          <cell r="B237">
            <v>8999</v>
          </cell>
          <cell r="C237" t="str">
            <v>Y</v>
          </cell>
          <cell r="D237">
            <v>6099</v>
          </cell>
          <cell r="E237">
            <v>5399</v>
          </cell>
          <cell r="F237">
            <v>4699</v>
          </cell>
          <cell r="G237" t="str">
            <v>TL3</v>
          </cell>
          <cell r="H237">
            <v>22.730456850145124</v>
          </cell>
          <cell r="I237">
            <v>20.748074619201624</v>
          </cell>
          <cell r="J237">
            <v>1227.2173653393354</v>
          </cell>
          <cell r="K237">
            <v>5750</v>
          </cell>
          <cell r="L237">
            <v>1319.0912507324997</v>
          </cell>
          <cell r="M237">
            <v>28.071744003670986</v>
          </cell>
          <cell r="N237">
            <v>50</v>
          </cell>
          <cell r="O237">
            <v>0.115</v>
          </cell>
          <cell r="P237">
            <v>7.0000000000000007E-2</v>
          </cell>
          <cell r="Q237" t="str">
            <v>SF</v>
          </cell>
          <cell r="S237">
            <v>65</v>
          </cell>
          <cell r="T237">
            <v>516</v>
          </cell>
          <cell r="U237">
            <v>9.5573254306353022</v>
          </cell>
          <cell r="V237">
            <v>14</v>
          </cell>
          <cell r="W237">
            <v>7</v>
          </cell>
          <cell r="X237">
            <v>29.520559362844971</v>
          </cell>
          <cell r="Y237">
            <v>26.66226856778038</v>
          </cell>
          <cell r="Z237">
            <v>62.015305861719291</v>
          </cell>
          <cell r="AA237">
            <v>63.997688092662791</v>
          </cell>
          <cell r="AB237">
            <v>18</v>
          </cell>
          <cell r="AC237">
            <v>0</v>
          </cell>
          <cell r="AD237">
            <v>5399</v>
          </cell>
          <cell r="AE237">
            <v>32.203389830508478</v>
          </cell>
          <cell r="AF237">
            <v>37.5</v>
          </cell>
          <cell r="AG237">
            <v>19.415659587551531</v>
          </cell>
          <cell r="AH237">
            <v>-1.3324150316500933</v>
          </cell>
          <cell r="AI237">
            <v>39.596602909805803</v>
          </cell>
          <cell r="AJ237">
            <v>39</v>
          </cell>
          <cell r="AK237">
            <v>5111</v>
          </cell>
          <cell r="AL237" t="str">
            <v>PA</v>
          </cell>
          <cell r="AM237">
            <v>5033.1682250723579</v>
          </cell>
          <cell r="AN237">
            <v>-6.7759172981596976</v>
          </cell>
          <cell r="AO237">
            <v>1</v>
          </cell>
        </row>
        <row r="238">
          <cell r="A238" t="str">
            <v>WA-BLS</v>
          </cell>
          <cell r="B238">
            <v>1599</v>
          </cell>
          <cell r="C238" t="str">
            <v>DI</v>
          </cell>
          <cell r="D238">
            <v>1099</v>
          </cell>
          <cell r="E238">
            <v>999</v>
          </cell>
          <cell r="F238">
            <v>999</v>
          </cell>
          <cell r="H238" t="str">
            <v>ERR</v>
          </cell>
          <cell r="I238" t="str">
            <v>ERR</v>
          </cell>
          <cell r="J238" t="str">
            <v>ERR</v>
          </cell>
          <cell r="K238">
            <v>1100</v>
          </cell>
          <cell r="L238" t="e">
            <v>#N/A</v>
          </cell>
          <cell r="M238" t="e">
            <v>#N/A</v>
          </cell>
          <cell r="N238">
            <v>1</v>
          </cell>
          <cell r="O238">
            <v>0</v>
          </cell>
          <cell r="P238">
            <v>0</v>
          </cell>
          <cell r="Q238" t="str">
            <v>SF</v>
          </cell>
          <cell r="S238">
            <v>34</v>
          </cell>
          <cell r="T238" t="str">
            <v>ERR</v>
          </cell>
          <cell r="U238" t="e">
            <v>#VALUE!</v>
          </cell>
          <cell r="V238">
            <v>14</v>
          </cell>
          <cell r="W238">
            <v>7</v>
          </cell>
          <cell r="X238" t="e">
            <v>#VALUE!</v>
          </cell>
          <cell r="Y238" t="e">
            <v>#VALUE!</v>
          </cell>
          <cell r="Z238" t="e">
            <v>#VALUE!</v>
          </cell>
          <cell r="AA238" t="e">
            <v>#VALUE!</v>
          </cell>
          <cell r="AB238">
            <v>5</v>
          </cell>
          <cell r="AC238">
            <v>0</v>
          </cell>
          <cell r="AD238">
            <v>999</v>
          </cell>
          <cell r="AE238">
            <v>32.203389830508478</v>
          </cell>
          <cell r="AF238">
            <v>0.75</v>
          </cell>
          <cell r="AG238" t="e">
            <v>#N/A</v>
          </cell>
          <cell r="AH238" t="e">
            <v>#N/A</v>
          </cell>
          <cell r="AI238" t="str">
            <v>ERR</v>
          </cell>
          <cell r="AJ238" t="e">
            <v>#VALUE!</v>
          </cell>
          <cell r="AK238" t="e">
            <v>#N/A</v>
          </cell>
          <cell r="AL238" t="str">
            <v>PC</v>
          </cell>
          <cell r="AM238" t="e">
            <v>#N/A</v>
          </cell>
          <cell r="AN238" t="e">
            <v>#N/A</v>
          </cell>
          <cell r="AO238">
            <v>4</v>
          </cell>
        </row>
        <row r="239">
          <cell r="A239" t="str">
            <v>W-AND-10N</v>
          </cell>
          <cell r="B239">
            <v>15799</v>
          </cell>
          <cell r="C239" t="str">
            <v>Y</v>
          </cell>
          <cell r="D239">
            <v>10999</v>
          </cell>
          <cell r="E239">
            <v>9099</v>
          </cell>
          <cell r="F239">
            <v>8299</v>
          </cell>
          <cell r="G239" t="str">
            <v>TL2</v>
          </cell>
          <cell r="H239">
            <v>19.854987980068373</v>
          </cell>
          <cell r="I239">
            <v>19.88304921811671</v>
          </cell>
          <cell r="J239">
            <v>1806.6053563064213</v>
          </cell>
          <cell r="K239">
            <v>9650</v>
          </cell>
          <cell r="L239">
            <v>2216.6139795835502</v>
          </cell>
          <cell r="M239">
            <v>26.709410526371254</v>
          </cell>
          <cell r="N239">
            <v>87</v>
          </cell>
          <cell r="O239">
            <v>0.115</v>
          </cell>
          <cell r="P239">
            <v>7.0000000000000007E-2</v>
          </cell>
          <cell r="Q239" t="str">
            <v>SF</v>
          </cell>
          <cell r="R239">
            <v>450</v>
          </cell>
          <cell r="S239">
            <v>65</v>
          </cell>
          <cell r="T239">
            <v>744</v>
          </cell>
          <cell r="U239">
            <v>8.1767227167820646</v>
          </cell>
          <cell r="V239">
            <v>14</v>
          </cell>
          <cell r="W239">
            <v>7</v>
          </cell>
          <cell r="X239">
            <v>32.490548411913394</v>
          </cell>
          <cell r="Y239">
            <v>29.339197493673939</v>
          </cell>
          <cell r="Z239">
            <v>64.890774731796043</v>
          </cell>
          <cell r="AA239">
            <v>64.862713493747705</v>
          </cell>
          <cell r="AB239">
            <v>18</v>
          </cell>
          <cell r="AC239">
            <v>0</v>
          </cell>
          <cell r="AD239">
            <v>9099</v>
          </cell>
          <cell r="AE239">
            <v>32.203389830508478</v>
          </cell>
          <cell r="AF239">
            <v>65.25</v>
          </cell>
          <cell r="AG239">
            <v>19.464188689867314</v>
          </cell>
          <cell r="AH239">
            <v>-0.41886052824939668</v>
          </cell>
          <cell r="AI239">
            <v>39.681541053319897</v>
          </cell>
          <cell r="AJ239">
            <v>39</v>
          </cell>
          <cell r="AK239">
            <v>8597</v>
          </cell>
          <cell r="AL239" t="str">
            <v>PA</v>
          </cell>
          <cell r="AM239">
            <v>9332.0385762055321</v>
          </cell>
          <cell r="AN239">
            <v>2.5611449192826914</v>
          </cell>
          <cell r="AO239">
            <v>1</v>
          </cell>
        </row>
        <row r="240">
          <cell r="A240" t="str">
            <v>W-AND-11N</v>
          </cell>
          <cell r="B240">
            <v>18899</v>
          </cell>
          <cell r="C240" t="str">
            <v>Y</v>
          </cell>
          <cell r="D240">
            <v>12499</v>
          </cell>
          <cell r="E240">
            <v>10599</v>
          </cell>
          <cell r="F240">
            <v>9399</v>
          </cell>
          <cell r="G240" t="str">
            <v>TL3</v>
          </cell>
          <cell r="H240">
            <v>22.546696200055422</v>
          </cell>
          <cell r="I240">
            <v>21.467498432827973</v>
          </cell>
          <cell r="J240">
            <v>2389.7243302438742</v>
          </cell>
          <cell r="K240">
            <v>11250</v>
          </cell>
          <cell r="L240">
            <v>2533.3564357794248</v>
          </cell>
          <cell r="M240">
            <v>26.953467770820566</v>
          </cell>
          <cell r="N240">
            <v>97</v>
          </cell>
          <cell r="O240">
            <v>0.115</v>
          </cell>
          <cell r="P240">
            <v>7.0000000000000007E-2</v>
          </cell>
          <cell r="Q240" t="str">
            <v>SS</v>
          </cell>
          <cell r="R240">
            <v>450</v>
          </cell>
          <cell r="S240">
            <v>100</v>
          </cell>
          <cell r="T240">
            <v>712.3</v>
          </cell>
          <cell r="U240">
            <v>6.7204453250306635</v>
          </cell>
          <cell r="V240">
            <v>0</v>
          </cell>
          <cell r="W240">
            <v>7</v>
          </cell>
          <cell r="X240">
            <v>30.40961411453911</v>
          </cell>
          <cell r="Y240">
            <v>27.430152143845092</v>
          </cell>
          <cell r="Z240">
            <v>62.199066511808994</v>
          </cell>
          <cell r="AA240">
            <v>63.278264279036442</v>
          </cell>
          <cell r="AB240">
            <v>18</v>
          </cell>
          <cell r="AC240">
            <v>0</v>
          </cell>
          <cell r="AD240">
            <v>10599</v>
          </cell>
          <cell r="AE240">
            <v>32.203389830508478</v>
          </cell>
          <cell r="AF240">
            <v>72.75</v>
          </cell>
          <cell r="AG240">
            <v>19.954143465567419</v>
          </cell>
          <cell r="AH240">
            <v>-1.513354967260554</v>
          </cell>
          <cell r="AI240">
            <v>40.43851127170273</v>
          </cell>
          <cell r="AJ240">
            <v>39.5</v>
          </cell>
          <cell r="AK240">
            <v>9819</v>
          </cell>
          <cell r="AL240" t="str">
            <v>PA</v>
          </cell>
          <cell r="AM240">
            <v>10537.072858462732</v>
          </cell>
          <cell r="AN240">
            <v>-0.58427343652483954</v>
          </cell>
          <cell r="AO240">
            <v>1</v>
          </cell>
        </row>
        <row r="241">
          <cell r="A241" t="str">
            <v>W-AND-12N</v>
          </cell>
          <cell r="B241">
            <v>18899</v>
          </cell>
          <cell r="C241" t="str">
            <v>Y</v>
          </cell>
          <cell r="D241">
            <v>12499</v>
          </cell>
          <cell r="E241">
            <v>10899</v>
          </cell>
          <cell r="F241">
            <v>9699</v>
          </cell>
          <cell r="G241" t="str">
            <v>TL3</v>
          </cell>
          <cell r="H241">
            <v>21.884439052465126</v>
          </cell>
          <cell r="I241">
            <v>20.895874417834833</v>
          </cell>
          <cell r="J241">
            <v>2385.1850123281743</v>
          </cell>
          <cell r="K241">
            <v>11600</v>
          </cell>
          <cell r="L241">
            <v>2686.1959892014502</v>
          </cell>
          <cell r="M241">
            <v>27.695597372939996</v>
          </cell>
          <cell r="N241">
            <v>98</v>
          </cell>
          <cell r="O241">
            <v>0.115</v>
          </cell>
          <cell r="P241">
            <v>7.0000000000000007E-2</v>
          </cell>
          <cell r="Q241" t="str">
            <v>SS</v>
          </cell>
          <cell r="R241">
            <v>450</v>
          </cell>
          <cell r="S241">
            <v>100</v>
          </cell>
          <cell r="T241">
            <v>712.3</v>
          </cell>
          <cell r="U241">
            <v>6.5354619689879803</v>
          </cell>
          <cell r="V241">
            <v>0</v>
          </cell>
          <cell r="W241">
            <v>7</v>
          </cell>
          <cell r="X241">
            <v>30.081796495091293</v>
          </cell>
          <cell r="Y241">
            <v>27.014743788019384</v>
          </cell>
          <cell r="Z241">
            <v>62.861323659399289</v>
          </cell>
          <cell r="AA241">
            <v>63.849888294029583</v>
          </cell>
          <cell r="AB241">
            <v>18</v>
          </cell>
          <cell r="AC241">
            <v>0</v>
          </cell>
          <cell r="AD241">
            <v>10899</v>
          </cell>
          <cell r="AE241">
            <v>32.203389830508478</v>
          </cell>
          <cell r="AF241">
            <v>73.5</v>
          </cell>
          <cell r="AG241">
            <v>19.221738059799357</v>
          </cell>
          <cell r="AH241">
            <v>-1.6741363580354758</v>
          </cell>
          <cell r="AI241">
            <v>39.284396867118488</v>
          </cell>
          <cell r="AJ241">
            <v>38.5</v>
          </cell>
          <cell r="AK241">
            <v>10397</v>
          </cell>
          <cell r="AL241" t="str">
            <v>PA</v>
          </cell>
          <cell r="AM241">
            <v>11106.786471490377</v>
          </cell>
          <cell r="AN241">
            <v>1.9064728093437671</v>
          </cell>
          <cell r="AO241">
            <v>1</v>
          </cell>
        </row>
        <row r="242">
          <cell r="A242" t="str">
            <v>W-AND-2M</v>
          </cell>
          <cell r="B242">
            <v>25799</v>
          </cell>
          <cell r="C242" t="str">
            <v>Y</v>
          </cell>
          <cell r="D242">
            <v>17999</v>
          </cell>
          <cell r="E242">
            <v>16299</v>
          </cell>
          <cell r="F242">
            <v>14599</v>
          </cell>
          <cell r="G242" t="str">
            <v>TL3</v>
          </cell>
          <cell r="H242">
            <v>21.519269658644369</v>
          </cell>
          <cell r="I242">
            <v>19.136364104121867</v>
          </cell>
          <cell r="J242">
            <v>3507.4257616624459</v>
          </cell>
          <cell r="K242">
            <v>17300</v>
          </cell>
          <cell r="L242">
            <v>4458.0872952964928</v>
          </cell>
          <cell r="M242">
            <v>30.536936059295105</v>
          </cell>
          <cell r="N242">
            <v>152</v>
          </cell>
          <cell r="O242">
            <v>0.1</v>
          </cell>
          <cell r="P242">
            <v>7.0000000000000007E-2</v>
          </cell>
          <cell r="Q242" t="str">
            <v>SS</v>
          </cell>
          <cell r="R242">
            <v>450</v>
          </cell>
          <cell r="S242">
            <v>100</v>
          </cell>
          <cell r="T242">
            <v>1055.1999999999998</v>
          </cell>
          <cell r="U242">
            <v>6.4740168108472895</v>
          </cell>
          <cell r="V242">
            <v>0</v>
          </cell>
          <cell r="W242">
            <v>7</v>
          </cell>
          <cell r="X242">
            <v>26.848456960549726</v>
          </cell>
          <cell r="Y242">
            <v>24.995273648880058</v>
          </cell>
          <cell r="Z242">
            <v>63.226493053220047</v>
          </cell>
          <cell r="AA242">
            <v>65.609398607742548</v>
          </cell>
          <cell r="AB242">
            <v>18</v>
          </cell>
          <cell r="AC242">
            <v>0</v>
          </cell>
          <cell r="AD242">
            <v>16299</v>
          </cell>
          <cell r="AE242">
            <v>32.203389830508478</v>
          </cell>
          <cell r="AF242">
            <v>114</v>
          </cell>
          <cell r="AG242">
            <v>16.491036631914298</v>
          </cell>
          <cell r="AH242">
            <v>-2.645327472207569</v>
          </cell>
          <cell r="AI242">
            <v>35.008590703489091</v>
          </cell>
          <cell r="AJ242">
            <v>35</v>
          </cell>
          <cell r="AK242">
            <v>17226</v>
          </cell>
          <cell r="AL242" t="str">
            <v>PA</v>
          </cell>
          <cell r="AM242">
            <v>17833.887209575551</v>
          </cell>
          <cell r="AN242">
            <v>9.417063682284498</v>
          </cell>
          <cell r="AO242">
            <v>1</v>
          </cell>
        </row>
        <row r="243">
          <cell r="A243" t="str">
            <v>W-AND-2N</v>
          </cell>
          <cell r="B243">
            <v>24299</v>
          </cell>
          <cell r="C243" t="str">
            <v>Y</v>
          </cell>
          <cell r="D243">
            <v>16999</v>
          </cell>
          <cell r="E243">
            <v>15999</v>
          </cell>
          <cell r="F243">
            <v>14199</v>
          </cell>
          <cell r="G243" t="str">
            <v>TL3</v>
          </cell>
          <cell r="H243">
            <v>22.738750640866641</v>
          </cell>
          <cell r="I243">
            <v>21.723388873996015</v>
          </cell>
          <cell r="J243">
            <v>3637.9727150322542</v>
          </cell>
          <cell r="K243">
            <v>17000</v>
          </cell>
          <cell r="L243">
            <v>4045.7795949164924</v>
          </cell>
          <cell r="M243">
            <v>28.493412176325741</v>
          </cell>
          <cell r="N243">
            <v>147</v>
          </cell>
          <cell r="O243">
            <v>0.115</v>
          </cell>
          <cell r="P243">
            <v>7.0000000000000007E-2</v>
          </cell>
          <cell r="Q243" t="str">
            <v>SS</v>
          </cell>
          <cell r="R243">
            <v>450</v>
          </cell>
          <cell r="S243">
            <v>100</v>
          </cell>
          <cell r="T243">
            <v>1029.8</v>
          </cell>
          <cell r="U243">
            <v>6.4366522907681727</v>
          </cell>
          <cell r="V243">
            <v>0</v>
          </cell>
          <cell r="W243">
            <v>7</v>
          </cell>
          <cell r="X243">
            <v>28.374367147946746</v>
          </cell>
          <cell r="Y243">
            <v>25.126135643355166</v>
          </cell>
          <cell r="Z243">
            <v>62.007012070997774</v>
          </cell>
          <cell r="AA243">
            <v>63.0223738378684</v>
          </cell>
          <cell r="AB243">
            <v>18</v>
          </cell>
          <cell r="AC243">
            <v>0</v>
          </cell>
          <cell r="AD243">
            <v>15999</v>
          </cell>
          <cell r="AE243">
            <v>32.203389830508478</v>
          </cell>
          <cell r="AF243">
            <v>110.25</v>
          </cell>
          <cell r="AG243">
            <v>18.565564362595424</v>
          </cell>
          <cell r="AH243">
            <v>-3.1578245114005909</v>
          </cell>
          <cell r="AI243">
            <v>38.260334419264062</v>
          </cell>
          <cell r="AJ243">
            <v>38</v>
          </cell>
          <cell r="AK243">
            <v>15658</v>
          </cell>
          <cell r="AL243" t="str">
            <v>PA</v>
          </cell>
          <cell r="AM243">
            <v>16290.934516916261</v>
          </cell>
          <cell r="AN243">
            <v>1.8247047747750527</v>
          </cell>
          <cell r="AO243">
            <v>1</v>
          </cell>
        </row>
        <row r="244">
          <cell r="A244" t="str">
            <v>W-AND-3M</v>
          </cell>
          <cell r="B244">
            <v>31599</v>
          </cell>
          <cell r="C244" t="str">
            <v>Y</v>
          </cell>
          <cell r="D244">
            <v>22999</v>
          </cell>
          <cell r="E244">
            <v>20999</v>
          </cell>
          <cell r="F244">
            <v>17999</v>
          </cell>
          <cell r="G244" t="str">
            <v>TL3</v>
          </cell>
          <cell r="H244">
            <v>21.849449318497463</v>
          </cell>
          <cell r="I244">
            <v>19.199638763461024</v>
          </cell>
          <cell r="J244">
            <v>4588.1658623912826</v>
          </cell>
          <cell r="K244">
            <v>22300</v>
          </cell>
          <cell r="L244">
            <v>5763.2081574985923</v>
          </cell>
          <cell r="M244">
            <v>32.019601963990176</v>
          </cell>
          <cell r="N244">
            <v>201</v>
          </cell>
          <cell r="O244">
            <v>0.1</v>
          </cell>
          <cell r="P244">
            <v>0.05</v>
          </cell>
          <cell r="Q244" t="str">
            <v>SS</v>
          </cell>
          <cell r="R244">
            <v>500</v>
          </cell>
          <cell r="S244">
            <v>100</v>
          </cell>
          <cell r="T244">
            <v>1372.7</v>
          </cell>
          <cell r="U244">
            <v>6.536977951331016</v>
          </cell>
          <cell r="V244">
            <v>0</v>
          </cell>
          <cell r="W244">
            <v>7</v>
          </cell>
          <cell r="X244">
            <v>26.394256869374733</v>
          </cell>
          <cell r="Y244">
            <v>22.960053336296461</v>
          </cell>
          <cell r="Z244">
            <v>62.896313393366952</v>
          </cell>
          <cell r="AA244">
            <v>65.546123948403391</v>
          </cell>
          <cell r="AB244">
            <v>18</v>
          </cell>
          <cell r="AC244">
            <v>0</v>
          </cell>
          <cell r="AD244">
            <v>20999</v>
          </cell>
          <cell r="AE244">
            <v>32.203389830508478</v>
          </cell>
          <cell r="AF244">
            <v>150.75</v>
          </cell>
          <cell r="AG244">
            <v>16.379326272000284</v>
          </cell>
          <cell r="AH244">
            <v>-2.82031249146074</v>
          </cell>
          <cell r="AI244">
            <v>34.840461534462172</v>
          </cell>
          <cell r="AJ244">
            <v>34.5</v>
          </cell>
          <cell r="AK244">
            <v>22281</v>
          </cell>
          <cell r="AL244" t="str">
            <v>PA</v>
          </cell>
          <cell r="AM244">
            <v>22910.763330261605</v>
          </cell>
          <cell r="AN244">
            <v>9.1040684330758843</v>
          </cell>
          <cell r="AO244">
            <v>1</v>
          </cell>
        </row>
        <row r="245">
          <cell r="A245" t="str">
            <v>W-AND-3N</v>
          </cell>
          <cell r="B245">
            <v>28699</v>
          </cell>
          <cell r="C245" t="str">
            <v>Y</v>
          </cell>
          <cell r="D245">
            <v>21999</v>
          </cell>
          <cell r="E245">
            <v>19999</v>
          </cell>
          <cell r="F245">
            <v>17599</v>
          </cell>
          <cell r="G245" t="str">
            <v>TL3</v>
          </cell>
          <cell r="H245">
            <v>21.865136823469363</v>
          </cell>
          <cell r="I245">
            <v>20.608332338433385</v>
          </cell>
          <cell r="J245">
            <v>4372.8087133256377</v>
          </cell>
          <cell r="K245">
            <v>21200</v>
          </cell>
          <cell r="L245">
            <v>5434.8619333985916</v>
          </cell>
          <cell r="M245">
            <v>30.881651988173143</v>
          </cell>
          <cell r="N245">
            <v>198</v>
          </cell>
          <cell r="O245">
            <v>0.1</v>
          </cell>
          <cell r="P245">
            <v>0.05</v>
          </cell>
          <cell r="Q245" t="str">
            <v>SS</v>
          </cell>
          <cell r="R245">
            <v>500</v>
          </cell>
          <cell r="S245">
            <v>100</v>
          </cell>
          <cell r="T245">
            <v>1347.3</v>
          </cell>
          <cell r="U245">
            <v>6.7368368418420914</v>
          </cell>
          <cell r="V245">
            <v>0</v>
          </cell>
          <cell r="W245">
            <v>7</v>
          </cell>
          <cell r="X245">
            <v>26.736986849342465</v>
          </cell>
          <cell r="Y245">
            <v>23.064833229160747</v>
          </cell>
          <cell r="Z245">
            <v>62.880625888395052</v>
          </cell>
          <cell r="AA245">
            <v>64.13743037343103</v>
          </cell>
          <cell r="AB245">
            <v>18</v>
          </cell>
          <cell r="AC245">
            <v>0</v>
          </cell>
          <cell r="AD245">
            <v>19999</v>
          </cell>
          <cell r="AE245">
            <v>32.203389830508478</v>
          </cell>
          <cell r="AF245">
            <v>148.5</v>
          </cell>
          <cell r="AG245">
            <v>16.624167304084104</v>
          </cell>
          <cell r="AH245">
            <v>-3.9841650343492816</v>
          </cell>
          <cell r="AI245">
            <v>35.234312124227465</v>
          </cell>
          <cell r="AJ245">
            <v>35</v>
          </cell>
          <cell r="AK245">
            <v>21036</v>
          </cell>
          <cell r="AL245" t="str">
            <v>PA</v>
          </cell>
          <cell r="AM245">
            <v>21683.233151075354</v>
          </cell>
          <cell r="AN245">
            <v>8.4215868347185054</v>
          </cell>
          <cell r="AO245">
            <v>1</v>
          </cell>
        </row>
        <row r="246">
          <cell r="A246" t="str">
            <v>W-AND-4M</v>
          </cell>
          <cell r="B246">
            <v>41599</v>
          </cell>
          <cell r="C246" t="str">
            <v>Y</v>
          </cell>
          <cell r="D246">
            <v>28999</v>
          </cell>
          <cell r="E246">
            <v>27599</v>
          </cell>
          <cell r="F246">
            <v>23999</v>
          </cell>
          <cell r="G246" t="str">
            <v>TL3</v>
          </cell>
          <cell r="H246">
            <v>21.916676731310758</v>
          </cell>
          <cell r="I246">
            <v>20.042027390505183</v>
          </cell>
          <cell r="J246">
            <v>6048.7836110744565</v>
          </cell>
          <cell r="K246">
            <v>29300</v>
          </cell>
          <cell r="L246">
            <v>7636.5183757691757</v>
          </cell>
          <cell r="M246">
            <v>31.820152405388455</v>
          </cell>
          <cell r="N246">
            <v>267</v>
          </cell>
          <cell r="O246">
            <v>0.1</v>
          </cell>
          <cell r="P246">
            <v>0.05</v>
          </cell>
          <cell r="Q246" t="str">
            <v>SS</v>
          </cell>
          <cell r="R246">
            <v>600</v>
          </cell>
          <cell r="S246">
            <v>100</v>
          </cell>
          <cell r="T246">
            <v>1791.8</v>
          </cell>
          <cell r="U246">
            <v>6.4922642124714658</v>
          </cell>
          <cell r="V246">
            <v>0</v>
          </cell>
          <cell r="W246">
            <v>7</v>
          </cell>
          <cell r="X246">
            <v>26.028587992318563</v>
          </cell>
          <cell r="Y246">
            <v>22.382932622192591</v>
          </cell>
          <cell r="Z246">
            <v>62.829085980553657</v>
          </cell>
          <cell r="AA246">
            <v>64.703735321359233</v>
          </cell>
          <cell r="AB246">
            <v>18</v>
          </cell>
          <cell r="AC246">
            <v>0</v>
          </cell>
          <cell r="AD246">
            <v>27599</v>
          </cell>
          <cell r="AE246">
            <v>32.203389830508478</v>
          </cell>
          <cell r="AF246">
            <v>200.25</v>
          </cell>
          <cell r="AG246">
            <v>16.147255754760124</v>
          </cell>
          <cell r="AH246">
            <v>-3.8947716357450588</v>
          </cell>
          <cell r="AI246">
            <v>34.479240048798353</v>
          </cell>
          <cell r="AJ246">
            <v>34</v>
          </cell>
          <cell r="AK246">
            <v>29526</v>
          </cell>
          <cell r="AL246" t="str">
            <v>PA</v>
          </cell>
          <cell r="AM246">
            <v>30240.049399367028</v>
          </cell>
          <cell r="AN246">
            <v>9.569366279093547</v>
          </cell>
          <cell r="AO246">
            <v>1</v>
          </cell>
        </row>
        <row r="247">
          <cell r="A247" t="str">
            <v>W-AND-4N</v>
          </cell>
          <cell r="B247">
            <v>39999</v>
          </cell>
          <cell r="C247" t="str">
            <v>Y</v>
          </cell>
          <cell r="D247">
            <v>27999</v>
          </cell>
          <cell r="E247">
            <v>26999</v>
          </cell>
          <cell r="F247">
            <v>22999</v>
          </cell>
          <cell r="G247" t="str">
            <v>TL3</v>
          </cell>
          <cell r="H247">
            <v>22.66162129444524</v>
          </cell>
          <cell r="I247">
            <v>19.820560132234846</v>
          </cell>
          <cell r="J247">
            <v>6118.4111332872699</v>
          </cell>
          <cell r="K247">
            <v>28650</v>
          </cell>
          <cell r="L247">
            <v>7268.9980009691762</v>
          </cell>
          <cell r="M247">
            <v>31.605713296096248</v>
          </cell>
          <cell r="N247">
            <v>269</v>
          </cell>
          <cell r="O247">
            <v>0.1</v>
          </cell>
          <cell r="P247">
            <v>0.05</v>
          </cell>
          <cell r="Q247" t="str">
            <v>SS</v>
          </cell>
          <cell r="R247">
            <v>600</v>
          </cell>
          <cell r="S247">
            <v>100</v>
          </cell>
          <cell r="T247">
            <v>1804.5</v>
          </cell>
          <cell r="U247">
            <v>6.6835808733656803</v>
          </cell>
          <cell r="V247">
            <v>0</v>
          </cell>
          <cell r="W247">
            <v>7</v>
          </cell>
          <cell r="X247">
            <v>26.276269491462646</v>
          </cell>
          <cell r="Y247">
            <v>22.889603895821558</v>
          </cell>
          <cell r="Z247">
            <v>62.084141417419175</v>
          </cell>
          <cell r="AA247">
            <v>64.92520257962957</v>
          </cell>
          <cell r="AB247">
            <v>18</v>
          </cell>
          <cell r="AC247">
            <v>0</v>
          </cell>
          <cell r="AD247">
            <v>26999</v>
          </cell>
          <cell r="AE247">
            <v>32.203389830508478</v>
          </cell>
          <cell r="AF247">
            <v>201.75</v>
          </cell>
          <cell r="AG247">
            <v>16.871911008808148</v>
          </cell>
          <cell r="AH247">
            <v>-2.9486491234266978</v>
          </cell>
          <cell r="AI247">
            <v>35.624956247560938</v>
          </cell>
          <cell r="AJ247">
            <v>35.5</v>
          </cell>
          <cell r="AK247">
            <v>28146</v>
          </cell>
          <cell r="AL247" t="str">
            <v>PA</v>
          </cell>
          <cell r="AM247">
            <v>28883.389701671262</v>
          </cell>
          <cell r="AN247">
            <v>6.9794796165460262</v>
          </cell>
          <cell r="AO247">
            <v>1</v>
          </cell>
        </row>
        <row r="248">
          <cell r="A248" t="str">
            <v>WA-PYS-N</v>
          </cell>
          <cell r="B248">
            <v>2399</v>
          </cell>
          <cell r="C248" t="str">
            <v>Y</v>
          </cell>
          <cell r="D248">
            <v>1649</v>
          </cell>
          <cell r="E248">
            <v>679</v>
          </cell>
          <cell r="F248">
            <v>649</v>
          </cell>
          <cell r="G248" t="str">
            <v>TL2</v>
          </cell>
          <cell r="H248">
            <v>25.41811569607394</v>
          </cell>
          <cell r="I248">
            <v>22.514264561619953</v>
          </cell>
          <cell r="J248">
            <v>172.58900557634206</v>
          </cell>
          <cell r="K248">
            <v>750</v>
          </cell>
          <cell r="L248">
            <v>184.48972857473106</v>
          </cell>
          <cell r="M248">
            <v>28.426768655582595</v>
          </cell>
          <cell r="N248">
            <v>4</v>
          </cell>
          <cell r="O248">
            <v>0</v>
          </cell>
          <cell r="P248">
            <v>0</v>
          </cell>
          <cell r="Q248" t="str">
            <v>SF</v>
          </cell>
          <cell r="S248">
            <v>34</v>
          </cell>
          <cell r="T248">
            <v>121</v>
          </cell>
          <cell r="U248">
            <v>17.820324005891017</v>
          </cell>
          <cell r="V248">
            <v>14</v>
          </cell>
          <cell r="W248">
            <v>7</v>
          </cell>
          <cell r="X248">
            <v>31.889543446244478</v>
          </cell>
          <cell r="Y248">
            <v>33.040061633281972</v>
          </cell>
          <cell r="Z248">
            <v>69.819979542021287</v>
          </cell>
          <cell r="AA248">
            <v>72.723830676475274</v>
          </cell>
          <cell r="AB248">
            <v>5</v>
          </cell>
          <cell r="AC248">
            <v>0</v>
          </cell>
          <cell r="AD248">
            <v>679</v>
          </cell>
          <cell r="AE248">
            <v>32.203389830508478</v>
          </cell>
          <cell r="AF248">
            <v>3</v>
          </cell>
          <cell r="AG248">
            <v>27.422079697022532</v>
          </cell>
          <cell r="AH248">
            <v>4.9078151354025792</v>
          </cell>
          <cell r="AI248">
            <v>45.861682854209668</v>
          </cell>
          <cell r="AJ248">
            <v>43.5</v>
          </cell>
          <cell r="AK248">
            <v>506</v>
          </cell>
          <cell r="AL248" t="str">
            <v>PC</v>
          </cell>
          <cell r="AM248">
            <v>729.06559342494347</v>
          </cell>
          <cell r="AN248">
            <v>7.3734305485925589</v>
          </cell>
          <cell r="AO248">
            <v>5</v>
          </cell>
        </row>
        <row r="249">
          <cell r="A249" t="str">
            <v>WA-PYS-S</v>
          </cell>
          <cell r="B249">
            <v>2099</v>
          </cell>
          <cell r="C249" t="str">
            <v>Y</v>
          </cell>
          <cell r="D249">
            <v>1449</v>
          </cell>
          <cell r="E249">
            <v>749</v>
          </cell>
          <cell r="F249">
            <v>699</v>
          </cell>
          <cell r="G249" t="str">
            <v>TL2</v>
          </cell>
          <cell r="H249">
            <v>26.98235095494266</v>
          </cell>
          <cell r="I249">
            <v>22.600681120668511</v>
          </cell>
          <cell r="J249">
            <v>202.09780865252051</v>
          </cell>
          <cell r="K249">
            <v>800</v>
          </cell>
          <cell r="L249">
            <v>207.5970807169146</v>
          </cell>
          <cell r="M249">
            <v>29.699153178385494</v>
          </cell>
          <cell r="N249">
            <v>4</v>
          </cell>
          <cell r="O249">
            <v>0</v>
          </cell>
          <cell r="P249">
            <v>0</v>
          </cell>
          <cell r="Q249" t="str">
            <v>SF</v>
          </cell>
          <cell r="S249">
            <v>34</v>
          </cell>
          <cell r="T249">
            <v>121</v>
          </cell>
          <cell r="U249">
            <v>16.154873164218959</v>
          </cell>
          <cell r="V249">
            <v>14</v>
          </cell>
          <cell r="W249">
            <v>7</v>
          </cell>
          <cell r="X249">
            <v>29.563417890520693</v>
          </cell>
          <cell r="Y249">
            <v>31.177396280400572</v>
          </cell>
          <cell r="Z249">
            <v>68.255744283152566</v>
          </cell>
          <cell r="AA249">
            <v>72.637414117426715</v>
          </cell>
          <cell r="AB249">
            <v>5</v>
          </cell>
          <cell r="AC249">
            <v>0</v>
          </cell>
          <cell r="AD249">
            <v>749</v>
          </cell>
          <cell r="AE249">
            <v>32.203389830508478</v>
          </cell>
          <cell r="AF249">
            <v>3</v>
          </cell>
          <cell r="AG249">
            <v>26.917605178359175</v>
          </cell>
          <cell r="AH249">
            <v>4.3169240576906631</v>
          </cell>
          <cell r="AI249">
            <v>45.011377064082012</v>
          </cell>
          <cell r="AJ249">
            <v>43</v>
          </cell>
          <cell r="AK249">
            <v>569</v>
          </cell>
          <cell r="AL249" t="str">
            <v>PC</v>
          </cell>
          <cell r="AM249">
            <v>818.78463612918949</v>
          </cell>
          <cell r="AN249">
            <v>9.3170408717208932</v>
          </cell>
          <cell r="AO249">
            <v>5</v>
          </cell>
        </row>
        <row r="250">
          <cell r="A250" t="str">
            <v>W-BNO</v>
          </cell>
          <cell r="B250">
            <v>12599</v>
          </cell>
          <cell r="C250" t="str">
            <v>Y</v>
          </cell>
          <cell r="D250">
            <v>8599</v>
          </cell>
          <cell r="E250">
            <v>7499</v>
          </cell>
          <cell r="F250">
            <v>6599</v>
          </cell>
          <cell r="G250" t="str">
            <v>TL3</v>
          </cell>
          <cell r="H250">
            <v>20.864625968064686</v>
          </cell>
          <cell r="I250">
            <v>19.175351370486297</v>
          </cell>
          <cell r="J250">
            <v>1564.6383013451709</v>
          </cell>
          <cell r="K250">
            <v>7950</v>
          </cell>
          <cell r="L250">
            <v>1985.0612364041665</v>
          </cell>
          <cell r="M250">
            <v>30.081243164178915</v>
          </cell>
          <cell r="N250">
            <v>77</v>
          </cell>
          <cell r="O250">
            <v>0.115</v>
          </cell>
          <cell r="P250">
            <v>7.0000000000000007E-2</v>
          </cell>
          <cell r="Q250" t="str">
            <v>SF</v>
          </cell>
          <cell r="S250">
            <v>65</v>
          </cell>
          <cell r="T250">
            <v>684</v>
          </cell>
          <cell r="U250">
            <v>9.1212161621549548</v>
          </cell>
          <cell r="V250">
            <v>14</v>
          </cell>
          <cell r="W250">
            <v>7</v>
          </cell>
          <cell r="X250">
            <v>28.674689958661155</v>
          </cell>
          <cell r="Y250">
            <v>25.562357933020156</v>
          </cell>
          <cell r="Z250">
            <v>63.881136743799729</v>
          </cell>
          <cell r="AA250">
            <v>65.570411341378119</v>
          </cell>
          <cell r="AB250">
            <v>18</v>
          </cell>
          <cell r="AC250">
            <v>0</v>
          </cell>
          <cell r="AD250">
            <v>7499</v>
          </cell>
          <cell r="AE250">
            <v>32.203389830508478</v>
          </cell>
          <cell r="AF250">
            <v>57.75</v>
          </cell>
          <cell r="AG250">
            <v>17.301257580593607</v>
          </cell>
          <cell r="AH250">
            <v>-1.8740937898926902</v>
          </cell>
          <cell r="AI250">
            <v>36.307671630714779</v>
          </cell>
          <cell r="AJ250">
            <v>36</v>
          </cell>
          <cell r="AK250">
            <v>7696</v>
          </cell>
          <cell r="AL250" t="str">
            <v>PA</v>
          </cell>
          <cell r="AM250">
            <v>7578.8280661642984</v>
          </cell>
          <cell r="AN250">
            <v>1.0645161510107806</v>
          </cell>
          <cell r="AO250">
            <v>1</v>
          </cell>
        </row>
        <row r="251">
          <cell r="A251" t="str">
            <v>W-CLO-3</v>
          </cell>
          <cell r="B251">
            <v>7299</v>
          </cell>
          <cell r="C251" t="str">
            <v>Y</v>
          </cell>
          <cell r="D251">
            <v>4999</v>
          </cell>
          <cell r="E251">
            <v>3899</v>
          </cell>
          <cell r="F251">
            <v>3419</v>
          </cell>
          <cell r="G251" t="str">
            <v>TL2</v>
          </cell>
          <cell r="H251">
            <v>20.419951060128426</v>
          </cell>
          <cell r="I251">
            <v>18.486377034731149</v>
          </cell>
          <cell r="J251">
            <v>796.17389183440741</v>
          </cell>
          <cell r="K251">
            <v>4150</v>
          </cell>
          <cell r="L251">
            <v>962.21683932420012</v>
          </cell>
          <cell r="M251">
            <v>28.143224314834754</v>
          </cell>
          <cell r="N251">
            <v>36</v>
          </cell>
          <cell r="O251">
            <v>0.115</v>
          </cell>
          <cell r="P251">
            <v>7.0000000000000007E-2</v>
          </cell>
          <cell r="Q251" t="str">
            <v>SF</v>
          </cell>
          <cell r="S251">
            <v>65</v>
          </cell>
          <cell r="T251">
            <v>428</v>
          </cell>
          <cell r="U251">
            <v>10.977173634265196</v>
          </cell>
          <cell r="V251">
            <v>14</v>
          </cell>
          <cell r="W251">
            <v>7</v>
          </cell>
          <cell r="X251">
            <v>31.503334188253397</v>
          </cell>
          <cell r="Y251">
            <v>28.828897338403042</v>
          </cell>
          <cell r="Z251">
            <v>64.325811651735989</v>
          </cell>
          <cell r="AA251">
            <v>66.259385677133267</v>
          </cell>
          <cell r="AB251">
            <v>18</v>
          </cell>
          <cell r="AC251">
            <v>0</v>
          </cell>
          <cell r="AD251">
            <v>3899</v>
          </cell>
          <cell r="AE251">
            <v>32.203389830508478</v>
          </cell>
          <cell r="AF251">
            <v>27</v>
          </cell>
          <cell r="AG251">
            <v>19.171333144905553</v>
          </cell>
          <cell r="AH251">
            <v>0.68495611017440439</v>
          </cell>
          <cell r="AI251">
            <v>39.212343994988473</v>
          </cell>
          <cell r="AJ251">
            <v>38.5</v>
          </cell>
          <cell r="AK251">
            <v>3727</v>
          </cell>
          <cell r="AL251" t="str">
            <v>PA</v>
          </cell>
          <cell r="AM251">
            <v>3670.6445666090767</v>
          </cell>
          <cell r="AN251">
            <v>-5.8567692585515072</v>
          </cell>
          <cell r="AO251">
            <v>1</v>
          </cell>
        </row>
        <row r="252">
          <cell r="A252" t="str">
            <v>W-CLO-345</v>
          </cell>
          <cell r="B252">
            <v>23999</v>
          </cell>
          <cell r="C252" t="str">
            <v>Y</v>
          </cell>
          <cell r="D252">
            <v>16499</v>
          </cell>
          <cell r="E252">
            <v>13299</v>
          </cell>
          <cell r="F252">
            <v>11999</v>
          </cell>
          <cell r="G252" t="str">
            <v>TL2</v>
          </cell>
          <cell r="H252">
            <v>19.563175600790913</v>
          </cell>
          <cell r="I252">
            <v>19.005473855279149</v>
          </cell>
          <cell r="J252">
            <v>2601.7067231491837</v>
          </cell>
          <cell r="K252">
            <v>14100</v>
          </cell>
          <cell r="L252">
            <v>3808.8851578208005</v>
          </cell>
          <cell r="M252">
            <v>31.743354928084013</v>
          </cell>
          <cell r="N252">
            <v>149</v>
          </cell>
          <cell r="O252">
            <v>0.115</v>
          </cell>
          <cell r="P252">
            <v>7.0000000000000007E-2</v>
          </cell>
          <cell r="Q252" t="str">
            <v>SS</v>
          </cell>
          <cell r="S252">
            <v>100</v>
          </cell>
          <cell r="T252">
            <v>1042.5</v>
          </cell>
          <cell r="U252">
            <v>7.8389352582900962</v>
          </cell>
          <cell r="V252">
            <v>0</v>
          </cell>
          <cell r="W252">
            <v>7</v>
          </cell>
          <cell r="X252">
            <v>27.0908714940973</v>
          </cell>
          <cell r="Y252">
            <v>23.52162680223352</v>
          </cell>
          <cell r="Z252">
            <v>65.182587111073502</v>
          </cell>
          <cell r="AA252">
            <v>65.740288856585266</v>
          </cell>
          <cell r="AB252">
            <v>18</v>
          </cell>
          <cell r="AC252">
            <v>0</v>
          </cell>
          <cell r="AD252">
            <v>13299</v>
          </cell>
          <cell r="AE252">
            <v>32.203389830508478</v>
          </cell>
          <cell r="AF252">
            <v>111.75</v>
          </cell>
          <cell r="AG252">
            <v>15.061696455904396</v>
          </cell>
          <cell r="AH252">
            <v>-3.9437773993747527</v>
          </cell>
          <cell r="AI252">
            <v>32.820234854620921</v>
          </cell>
          <cell r="AJ252">
            <v>32.5</v>
          </cell>
          <cell r="AK252">
            <v>14771</v>
          </cell>
          <cell r="AL252" t="str">
            <v>PA</v>
          </cell>
          <cell r="AM252">
            <v>14550.451974725796</v>
          </cell>
          <cell r="AN252">
            <v>9.4101208716880684</v>
          </cell>
          <cell r="AO252">
            <v>1</v>
          </cell>
        </row>
        <row r="253">
          <cell r="A253" t="str">
            <v>W-CLO-4</v>
          </cell>
          <cell r="B253">
            <v>8899</v>
          </cell>
          <cell r="C253" t="str">
            <v>Y</v>
          </cell>
          <cell r="D253">
            <v>6099</v>
          </cell>
          <cell r="E253">
            <v>4999</v>
          </cell>
          <cell r="F253">
            <v>4499</v>
          </cell>
          <cell r="G253" t="str">
            <v>TL2</v>
          </cell>
          <cell r="H253">
            <v>20.292194790876863</v>
          </cell>
          <cell r="I253">
            <v>19.685107891456155</v>
          </cell>
          <cell r="J253">
            <v>1014.4068175959344</v>
          </cell>
          <cell r="K253">
            <v>5300</v>
          </cell>
          <cell r="L253">
            <v>1279.8638047896</v>
          </cell>
          <cell r="M253">
            <v>28.44773960412536</v>
          </cell>
          <cell r="N253">
            <v>50</v>
          </cell>
          <cell r="O253">
            <v>0.115</v>
          </cell>
          <cell r="P253">
            <v>7.0000000000000007E-2</v>
          </cell>
          <cell r="Q253" t="str">
            <v>SF</v>
          </cell>
          <cell r="S253">
            <v>65</v>
          </cell>
          <cell r="T253">
            <v>516</v>
          </cell>
          <cell r="U253">
            <v>10.322064412882575</v>
          </cell>
          <cell r="V253">
            <v>14</v>
          </cell>
          <cell r="W253">
            <v>7</v>
          </cell>
          <cell r="X253">
            <v>30.402380476095217</v>
          </cell>
          <cell r="Y253">
            <v>27.22516114692154</v>
          </cell>
          <cell r="Z253">
            <v>64.453567920987552</v>
          </cell>
          <cell r="AA253">
            <v>65.06065482040826</v>
          </cell>
          <cell r="AB253">
            <v>18</v>
          </cell>
          <cell r="AC253">
            <v>0</v>
          </cell>
          <cell r="AD253">
            <v>4999</v>
          </cell>
          <cell r="AE253">
            <v>32.203389830508478</v>
          </cell>
          <cell r="AF253">
            <v>37.5</v>
          </cell>
          <cell r="AG253">
            <v>18.189826276242911</v>
          </cell>
          <cell r="AH253">
            <v>-1.4952816152132442</v>
          </cell>
          <cell r="AI253">
            <v>37.694421779619979</v>
          </cell>
          <cell r="AJ253">
            <v>37.5</v>
          </cell>
          <cell r="AK253">
            <v>4963</v>
          </cell>
          <cell r="AL253" t="str">
            <v>PA</v>
          </cell>
          <cell r="AM253">
            <v>4887.7448991091214</v>
          </cell>
          <cell r="AN253">
            <v>-2.2255471272430198</v>
          </cell>
          <cell r="AO253">
            <v>1</v>
          </cell>
        </row>
        <row r="254">
          <cell r="A254" t="str">
            <v>W-CLO-5</v>
          </cell>
          <cell r="B254">
            <v>10499</v>
          </cell>
          <cell r="C254" t="str">
            <v>Y</v>
          </cell>
          <cell r="D254">
            <v>7299</v>
          </cell>
          <cell r="E254">
            <v>5999</v>
          </cell>
          <cell r="F254">
            <v>5199</v>
          </cell>
          <cell r="G254" t="str">
            <v>TL2</v>
          </cell>
          <cell r="H254">
            <v>20.590653473152798</v>
          </cell>
          <cell r="I254">
            <v>18.065439510665911</v>
          </cell>
          <cell r="J254">
            <v>1235.2333018544364</v>
          </cell>
          <cell r="K254">
            <v>6400</v>
          </cell>
          <cell r="L254">
            <v>1566.8045137070001</v>
          </cell>
          <cell r="M254">
            <v>30.136651542738988</v>
          </cell>
          <cell r="N254">
            <v>60</v>
          </cell>
          <cell r="O254">
            <v>0.115</v>
          </cell>
          <cell r="P254">
            <v>7.0000000000000007E-2</v>
          </cell>
          <cell r="Q254" t="str">
            <v>SF</v>
          </cell>
          <cell r="S254">
            <v>65</v>
          </cell>
          <cell r="T254">
            <v>576</v>
          </cell>
          <cell r="U254">
            <v>9.6016002667111184</v>
          </cell>
          <cell r="V254">
            <v>14</v>
          </cell>
          <cell r="W254">
            <v>7</v>
          </cell>
          <cell r="X254">
            <v>29.418486414402402</v>
          </cell>
          <cell r="Y254">
            <v>26.598576649355646</v>
          </cell>
          <cell r="Z254">
            <v>64.155109238711617</v>
          </cell>
          <cell r="AA254">
            <v>66.680323201198505</v>
          </cell>
          <cell r="AB254">
            <v>18</v>
          </cell>
          <cell r="AC254">
            <v>0</v>
          </cell>
          <cell r="AD254">
            <v>5999</v>
          </cell>
          <cell r="AE254">
            <v>32.203389830508478</v>
          </cell>
          <cell r="AF254">
            <v>45</v>
          </cell>
          <cell r="AG254">
            <v>17.674486338482119</v>
          </cell>
          <cell r="AH254">
            <v>-0.39095317218379222</v>
          </cell>
          <cell r="AI254">
            <v>36.885637542727707</v>
          </cell>
          <cell r="AJ254">
            <v>36.5</v>
          </cell>
          <cell r="AK254">
            <v>6073</v>
          </cell>
          <cell r="AL254" t="str">
            <v>PA</v>
          </cell>
          <cell r="AM254">
            <v>5980.9278936229794</v>
          </cell>
          <cell r="AN254">
            <v>-0.3012519816139464</v>
          </cell>
          <cell r="AO254">
            <v>1</v>
          </cell>
        </row>
        <row r="255">
          <cell r="A255" t="str">
            <v>W-MLT-2N</v>
          </cell>
          <cell r="B255">
            <v>15799</v>
          </cell>
          <cell r="C255" t="str">
            <v>Y</v>
          </cell>
          <cell r="D255">
            <v>10999</v>
          </cell>
          <cell r="E255">
            <v>10299</v>
          </cell>
          <cell r="F255">
            <v>9599</v>
          </cell>
          <cell r="G255" t="str">
            <v>TL2</v>
          </cell>
          <cell r="H255">
            <v>19.774518196035899</v>
          </cell>
          <cell r="I255">
            <v>20.885636941626075</v>
          </cell>
          <cell r="J255">
            <v>2036.5776290097372</v>
          </cell>
          <cell r="K255">
            <v>10950</v>
          </cell>
          <cell r="L255">
            <v>2630.3559945001339</v>
          </cell>
          <cell r="M255">
            <v>27.402396025629066</v>
          </cell>
          <cell r="N255">
            <v>101</v>
          </cell>
          <cell r="O255">
            <v>0.115</v>
          </cell>
          <cell r="P255">
            <v>7.0000000000000007E-2</v>
          </cell>
          <cell r="Q255" t="str">
            <v>SS</v>
          </cell>
          <cell r="R255">
            <v>450</v>
          </cell>
          <cell r="S255">
            <v>100</v>
          </cell>
          <cell r="T255">
            <v>737.69999999999993</v>
          </cell>
          <cell r="U255">
            <v>7.1628313428488202</v>
          </cell>
          <cell r="V255">
            <v>0</v>
          </cell>
          <cell r="W255">
            <v>7</v>
          </cell>
          <cell r="X255">
            <v>31.003155646179238</v>
          </cell>
          <cell r="Y255">
            <v>27.414939056151681</v>
          </cell>
          <cell r="Z255">
            <v>64.971244515828516</v>
          </cell>
          <cell r="AA255">
            <v>63.860125770238341</v>
          </cell>
          <cell r="AB255">
            <v>18</v>
          </cell>
          <cell r="AC255">
            <v>0</v>
          </cell>
          <cell r="AD255">
            <v>10299</v>
          </cell>
          <cell r="AE255">
            <v>32.203389830508478</v>
          </cell>
          <cell r="AF255">
            <v>75.75</v>
          </cell>
          <cell r="AG255">
            <v>18.266948136233736</v>
          </cell>
          <cell r="AH255">
            <v>-2.6186888053923383</v>
          </cell>
          <cell r="AI255">
            <v>37.809755337717156</v>
          </cell>
          <cell r="AJ255">
            <v>37.5</v>
          </cell>
          <cell r="AK255">
            <v>10195</v>
          </cell>
          <cell r="AL255" t="str">
            <v>PA</v>
          </cell>
          <cell r="AM255">
            <v>10907.772183449053</v>
          </cell>
          <cell r="AN255">
            <v>5.9109834299354604</v>
          </cell>
          <cell r="AO255">
            <v>1</v>
          </cell>
        </row>
        <row r="256">
          <cell r="A256" t="str">
            <v>W-MLT-3N</v>
          </cell>
          <cell r="B256">
            <v>21499</v>
          </cell>
          <cell r="C256" t="str">
            <v>Y</v>
          </cell>
          <cell r="D256">
            <v>14999</v>
          </cell>
          <cell r="E256">
            <v>14999</v>
          </cell>
          <cell r="F256">
            <v>12599</v>
          </cell>
          <cell r="G256" t="str">
            <v>TL2</v>
          </cell>
          <cell r="H256">
            <v>20.729013239353662</v>
          </cell>
          <cell r="I256">
            <v>16.558468058464229</v>
          </cell>
          <cell r="J256">
            <v>3109.1446957706562</v>
          </cell>
          <cell r="K256">
            <v>15900</v>
          </cell>
          <cell r="L256">
            <v>3888.6144762269846</v>
          </cell>
          <cell r="M256">
            <v>30.864469213643819</v>
          </cell>
          <cell r="N256">
            <v>151</v>
          </cell>
          <cell r="O256">
            <v>0.115</v>
          </cell>
          <cell r="P256">
            <v>7.0000000000000007E-2</v>
          </cell>
          <cell r="Q256" t="str">
            <v>SS</v>
          </cell>
          <cell r="R256">
            <v>500</v>
          </cell>
          <cell r="S256">
            <v>100</v>
          </cell>
          <cell r="T256">
            <v>1055.1999999999998</v>
          </cell>
          <cell r="U256">
            <v>7.0351356757117127</v>
          </cell>
          <cell r="V256">
            <v>0</v>
          </cell>
          <cell r="W256">
            <v>7</v>
          </cell>
          <cell r="X256">
            <v>29.535402360157342</v>
          </cell>
          <cell r="Y256">
            <v>27.13755059925391</v>
          </cell>
          <cell r="Z256">
            <v>64.016749472510753</v>
          </cell>
          <cell r="AA256">
            <v>68.187294653400187</v>
          </cell>
          <cell r="AB256">
            <v>18</v>
          </cell>
          <cell r="AC256">
            <v>0</v>
          </cell>
          <cell r="AD256">
            <v>14999</v>
          </cell>
          <cell r="AE256">
            <v>32.203389830508478</v>
          </cell>
          <cell r="AF256">
            <v>113.25</v>
          </cell>
          <cell r="AG256">
            <v>17.861497648160494</v>
          </cell>
          <cell r="AH256">
            <v>1.3030295896962656</v>
          </cell>
          <cell r="AI256">
            <v>37.181051010129828</v>
          </cell>
          <cell r="AJ256">
            <v>37</v>
          </cell>
          <cell r="AK256">
            <v>15077</v>
          </cell>
          <cell r="AL256" t="str">
            <v>PA</v>
          </cell>
          <cell r="AM256">
            <v>15815.755802699501</v>
          </cell>
          <cell r="AN256">
            <v>5.445401711444104</v>
          </cell>
          <cell r="AO256">
            <v>1</v>
          </cell>
        </row>
        <row r="257">
          <cell r="A257" t="str">
            <v>W-MLT-4N</v>
          </cell>
          <cell r="B257">
            <v>31999</v>
          </cell>
          <cell r="C257" t="str">
            <v>Y</v>
          </cell>
          <cell r="D257">
            <v>21999</v>
          </cell>
          <cell r="E257">
            <v>18999</v>
          </cell>
          <cell r="F257">
            <v>16499</v>
          </cell>
          <cell r="G257" t="str">
            <v>TL2</v>
          </cell>
          <cell r="H257">
            <v>19.536552741620682</v>
          </cell>
          <cell r="I257">
            <v>16.080159934443913</v>
          </cell>
          <cell r="J257">
            <v>3711.7496553805136</v>
          </cell>
          <cell r="K257">
            <v>20150</v>
          </cell>
          <cell r="L257">
            <v>5461.5472197342915</v>
          </cell>
          <cell r="M257">
            <v>33.10229237974599</v>
          </cell>
          <cell r="N257">
            <v>204</v>
          </cell>
          <cell r="O257">
            <v>0.09</v>
          </cell>
          <cell r="P257">
            <v>0.05</v>
          </cell>
          <cell r="Q257" t="str">
            <v>SS</v>
          </cell>
          <cell r="R257">
            <v>600</v>
          </cell>
          <cell r="S257">
            <v>100</v>
          </cell>
          <cell r="T257">
            <v>1385.3999999999999</v>
          </cell>
          <cell r="U257">
            <v>7.2919627348807818</v>
          </cell>
          <cell r="V257">
            <v>0</v>
          </cell>
          <cell r="W257">
            <v>7</v>
          </cell>
          <cell r="X257">
            <v>26.976367177219849</v>
          </cell>
          <cell r="Y257">
            <v>24.639553912358323</v>
          </cell>
          <cell r="Z257">
            <v>65.209209970243734</v>
          </cell>
          <cell r="AA257">
            <v>68.665602777420503</v>
          </cell>
          <cell r="AB257">
            <v>18</v>
          </cell>
          <cell r="AC257">
            <v>0</v>
          </cell>
          <cell r="AD257">
            <v>18999</v>
          </cell>
          <cell r="AE257">
            <v>32.203389830508478</v>
          </cell>
          <cell r="AF257">
            <v>153</v>
          </cell>
          <cell r="AG257">
            <v>14.990568998339505</v>
          </cell>
          <cell r="AH257">
            <v>-1.0895909361044076</v>
          </cell>
          <cell r="AI257">
            <v>32.694984964203407</v>
          </cell>
          <cell r="AJ257">
            <v>32.5</v>
          </cell>
          <cell r="AK257">
            <v>21153</v>
          </cell>
          <cell r="AL257" t="str">
            <v>PA</v>
          </cell>
          <cell r="AM257">
            <v>21994.411179341503</v>
          </cell>
          <cell r="AN257">
            <v>15.766151793997068</v>
          </cell>
          <cell r="AO257">
            <v>1</v>
          </cell>
        </row>
        <row r="258">
          <cell r="A258" t="str">
            <v>W-MLT-M</v>
          </cell>
          <cell r="B258">
            <v>15999</v>
          </cell>
          <cell r="C258" t="str">
            <v>Y</v>
          </cell>
          <cell r="D258">
            <v>10599</v>
          </cell>
          <cell r="E258">
            <v>8999</v>
          </cell>
          <cell r="F258">
            <v>7899</v>
          </cell>
          <cell r="G258" t="str">
            <v>TL3</v>
          </cell>
          <cell r="H258">
            <v>20.279008752715328</v>
          </cell>
          <cell r="I258">
            <v>18.3777643730389</v>
          </cell>
          <cell r="J258">
            <v>1824.9079976568523</v>
          </cell>
          <cell r="K258">
            <v>9550</v>
          </cell>
          <cell r="L258">
            <v>2446.2768336720501</v>
          </cell>
          <cell r="M258">
            <v>30.96944972366186</v>
          </cell>
          <cell r="N258">
            <v>98</v>
          </cell>
          <cell r="O258">
            <v>0.115</v>
          </cell>
          <cell r="P258">
            <v>7.0000000000000007E-2</v>
          </cell>
          <cell r="Q258" t="str">
            <v>SF</v>
          </cell>
          <cell r="S258">
            <v>65</v>
          </cell>
          <cell r="T258">
            <v>804</v>
          </cell>
          <cell r="U258">
            <v>8.9343260362262473</v>
          </cell>
          <cell r="V258">
            <v>14</v>
          </cell>
          <cell r="W258">
            <v>7</v>
          </cell>
          <cell r="X258">
            <v>28.31220135570619</v>
          </cell>
          <cell r="Y258">
            <v>25.178630206355237</v>
          </cell>
          <cell r="Z258">
            <v>64.466753959149088</v>
          </cell>
          <cell r="AA258">
            <v>66.367998338825515</v>
          </cell>
          <cell r="AB258">
            <v>18</v>
          </cell>
          <cell r="AC258">
            <v>0</v>
          </cell>
          <cell r="AD258">
            <v>8999</v>
          </cell>
          <cell r="AE258">
            <v>32.203389830508478</v>
          </cell>
          <cell r="AF258">
            <v>73.5</v>
          </cell>
          <cell r="AG258">
            <v>16.541741325938105</v>
          </cell>
          <cell r="AH258">
            <v>-1.8360230471007952</v>
          </cell>
          <cell r="AI258">
            <v>35.133854175298204</v>
          </cell>
          <cell r="AJ258">
            <v>35</v>
          </cell>
          <cell r="AK258">
            <v>9493</v>
          </cell>
          <cell r="AL258" t="str">
            <v>PA</v>
          </cell>
          <cell r="AM258">
            <v>9352.2016802625931</v>
          </cell>
          <cell r="AN258">
            <v>3.9248992139414725</v>
          </cell>
          <cell r="AO258">
            <v>1</v>
          </cell>
        </row>
        <row r="261">
          <cell r="A261" t="str">
            <v xml:space="preserve">Testing </v>
          </cell>
          <cell r="B261">
            <v>1299</v>
          </cell>
          <cell r="C261" t="str">
            <v>Y</v>
          </cell>
          <cell r="D261">
            <v>999</v>
          </cell>
          <cell r="E261">
            <v>399</v>
          </cell>
          <cell r="F261">
            <v>299</v>
          </cell>
          <cell r="H261">
            <v>26.854636591478688</v>
          </cell>
          <cell r="I261">
            <v>9.0006370441152939</v>
          </cell>
          <cell r="J261">
            <v>107.14999999999996</v>
          </cell>
          <cell r="K261">
            <v>450</v>
          </cell>
          <cell r="L261">
            <v>125</v>
          </cell>
          <cell r="M261">
            <v>41.80602006688963</v>
          </cell>
          <cell r="N261">
            <v>1</v>
          </cell>
          <cell r="O261">
            <v>0</v>
          </cell>
          <cell r="P261">
            <v>0</v>
          </cell>
          <cell r="Q261" t="str">
            <v>SF</v>
          </cell>
          <cell r="S261">
            <v>11</v>
          </cell>
          <cell r="T261">
            <v>63</v>
          </cell>
          <cell r="U261">
            <v>15.789473684210526</v>
          </cell>
          <cell r="V261">
            <v>14</v>
          </cell>
          <cell r="W261">
            <v>7</v>
          </cell>
          <cell r="X261">
            <v>29.055137844611529</v>
          </cell>
          <cell r="Y261">
            <v>36.431438127090303</v>
          </cell>
          <cell r="Z261">
            <v>60.383458646616539</v>
          </cell>
          <cell r="AA261">
            <v>78.237458193979933</v>
          </cell>
          <cell r="AB261">
            <v>5</v>
          </cell>
          <cell r="AC261">
            <v>0</v>
          </cell>
          <cell r="AD261">
            <v>399</v>
          </cell>
          <cell r="AF261">
            <v>0.75</v>
          </cell>
          <cell r="AG261">
            <v>55.721804511278201</v>
          </cell>
          <cell r="AH261">
            <v>46.721167467162907</v>
          </cell>
          <cell r="AI261">
            <v>44.511729323308273</v>
          </cell>
          <cell r="AJ261">
            <v>42.5</v>
          </cell>
          <cell r="AK261">
            <v>340</v>
          </cell>
          <cell r="AL261" t="str">
            <v>PB</v>
          </cell>
          <cell r="AM261">
            <v>475.08413461538458</v>
          </cell>
          <cell r="AN261">
            <v>19.068705417389619</v>
          </cell>
          <cell r="AO261">
            <v>3</v>
          </cell>
        </row>
        <row r="262">
          <cell r="A262" t="str">
            <v>BS-MNK-KN</v>
          </cell>
          <cell r="C262" t="str">
            <v>OFL</v>
          </cell>
          <cell r="D262">
            <v>6600</v>
          </cell>
          <cell r="L262">
            <v>6600</v>
          </cell>
          <cell r="AL262" t="str">
            <v>PC</v>
          </cell>
          <cell r="AM262">
            <v>25691.769230769227</v>
          </cell>
        </row>
        <row r="263">
          <cell r="A263" t="str">
            <v>BS-MLN-KN</v>
          </cell>
          <cell r="C263" t="str">
            <v>OFL</v>
          </cell>
          <cell r="D263">
            <v>6360</v>
          </cell>
          <cell r="L263">
            <v>6360</v>
          </cell>
          <cell r="AL263" t="str">
            <v>PC</v>
          </cell>
          <cell r="AM263">
            <v>24757.523076923073</v>
          </cell>
        </row>
        <row r="264">
          <cell r="A264" t="str">
            <v>BS-RMH-*</v>
          </cell>
          <cell r="C264" t="str">
            <v>OFL</v>
          </cell>
          <cell r="D264">
            <v>5370</v>
          </cell>
          <cell r="L264">
            <v>5370</v>
          </cell>
          <cell r="AL264" t="str">
            <v>PC</v>
          </cell>
          <cell r="AM264">
            <v>20903.757692307692</v>
          </cell>
        </row>
        <row r="265">
          <cell r="A265" t="str">
            <v>BS-NPS-KN</v>
          </cell>
          <cell r="C265" t="str">
            <v>OFL</v>
          </cell>
          <cell r="D265">
            <v>9080</v>
          </cell>
          <cell r="L265">
            <v>9080</v>
          </cell>
          <cell r="AL265" t="str">
            <v>PC</v>
          </cell>
          <cell r="AM265">
            <v>35345.646153846144</v>
          </cell>
        </row>
        <row r="266">
          <cell r="A266" t="str">
            <v>CH-PSA-*</v>
          </cell>
          <cell r="C266" t="str">
            <v>OFL</v>
          </cell>
          <cell r="D266">
            <v>1490</v>
          </cell>
          <cell r="L266">
            <v>1490</v>
          </cell>
          <cell r="AL266" t="str">
            <v>PC</v>
          </cell>
          <cell r="AM266">
            <v>5800.1115384615387</v>
          </cell>
        </row>
        <row r="267">
          <cell r="A267" t="str">
            <v>CH-TNO-*</v>
          </cell>
          <cell r="C267" t="str">
            <v>OFL</v>
          </cell>
          <cell r="D267">
            <v>1900</v>
          </cell>
          <cell r="L267">
            <v>1900</v>
          </cell>
          <cell r="AL267" t="str">
            <v>PC</v>
          </cell>
          <cell r="AM267">
            <v>7396.1153846153838</v>
          </cell>
        </row>
        <row r="268">
          <cell r="A268" t="str">
            <v>CH-CPC-*</v>
          </cell>
          <cell r="C268" t="str">
            <v>OFL</v>
          </cell>
          <cell r="D268">
            <v>2230</v>
          </cell>
          <cell r="L268">
            <v>2230</v>
          </cell>
          <cell r="AL268" t="str">
            <v>PC</v>
          </cell>
          <cell r="AM268">
            <v>8680.703846153845</v>
          </cell>
        </row>
        <row r="269">
          <cell r="A269" t="str">
            <v>CH-SNA-*</v>
          </cell>
          <cell r="C269" t="str">
            <v>OFL</v>
          </cell>
          <cell r="D269">
            <v>3470</v>
          </cell>
          <cell r="L269">
            <v>3470</v>
          </cell>
          <cell r="AL269" t="str">
            <v>PC</v>
          </cell>
          <cell r="AM269">
            <v>13507.642307692306</v>
          </cell>
        </row>
        <row r="270">
          <cell r="A270" t="str">
            <v>CH-MDN-*</v>
          </cell>
          <cell r="C270" t="str">
            <v>OFL</v>
          </cell>
          <cell r="D270">
            <v>4210</v>
          </cell>
          <cell r="L270">
            <v>4210</v>
          </cell>
          <cell r="AL270" t="str">
            <v>PC</v>
          </cell>
          <cell r="AM270">
            <v>16388.234615384616</v>
          </cell>
        </row>
        <row r="271">
          <cell r="A271" t="str">
            <v>CH-LCE-*</v>
          </cell>
          <cell r="C271" t="str">
            <v>OFL</v>
          </cell>
          <cell r="D271">
            <v>3220</v>
          </cell>
          <cell r="L271">
            <v>3220</v>
          </cell>
          <cell r="AL271" t="str">
            <v>PC</v>
          </cell>
          <cell r="AM271">
            <v>12534.469230769229</v>
          </cell>
        </row>
        <row r="272">
          <cell r="A272" t="str">
            <v>CH-GNV-MN</v>
          </cell>
          <cell r="C272" t="str">
            <v>OFL</v>
          </cell>
          <cell r="D272">
            <v>7920</v>
          </cell>
          <cell r="L272">
            <v>7920</v>
          </cell>
          <cell r="AL272" t="str">
            <v>PC</v>
          </cell>
          <cell r="AM272">
            <v>30830.123076923075</v>
          </cell>
        </row>
        <row r="273">
          <cell r="A273" t="str">
            <v>CH-RMI-*</v>
          </cell>
          <cell r="C273" t="str">
            <v>OFL</v>
          </cell>
          <cell r="D273">
            <v>2230</v>
          </cell>
          <cell r="L273">
            <v>2230</v>
          </cell>
          <cell r="AL273" t="str">
            <v>PC</v>
          </cell>
          <cell r="AM273">
            <v>8680.703846153845</v>
          </cell>
        </row>
        <row r="274">
          <cell r="A274" t="str">
            <v>BS-TNT-*</v>
          </cell>
          <cell r="C274" t="str">
            <v>OFL</v>
          </cell>
          <cell r="D274">
            <v>3450</v>
          </cell>
          <cell r="L274">
            <v>3450</v>
          </cell>
          <cell r="AL274" t="str">
            <v>PC</v>
          </cell>
          <cell r="AM274">
            <v>13429.788461538461</v>
          </cell>
        </row>
        <row r="275">
          <cell r="A275" t="str">
            <v>BS-VRN-*</v>
          </cell>
          <cell r="C275" t="str">
            <v>OFL</v>
          </cell>
          <cell r="D275">
            <v>3470</v>
          </cell>
          <cell r="L275">
            <v>3470</v>
          </cell>
          <cell r="AL275" t="str">
            <v>PC</v>
          </cell>
          <cell r="AM275">
            <v>13507.642307692306</v>
          </cell>
        </row>
        <row r="276">
          <cell r="A276" t="str">
            <v>BS-MSN-*</v>
          </cell>
          <cell r="C276" t="str">
            <v>OFL</v>
          </cell>
          <cell r="D276">
            <v>3220</v>
          </cell>
          <cell r="L276">
            <v>3220</v>
          </cell>
          <cell r="AL276" t="str">
            <v>PC</v>
          </cell>
          <cell r="AM276">
            <v>12534.469230769229</v>
          </cell>
        </row>
        <row r="277">
          <cell r="A277" t="str">
            <v>CH-SVN-MN</v>
          </cell>
          <cell r="C277" t="str">
            <v>OFL</v>
          </cell>
          <cell r="D277">
            <v>2560</v>
          </cell>
          <cell r="L277">
            <v>2560</v>
          </cell>
          <cell r="AL277" t="str">
            <v>PC</v>
          </cell>
          <cell r="AM277">
            <v>9965.2923076923053</v>
          </cell>
        </row>
        <row r="278">
          <cell r="A278" t="str">
            <v>CH-PMO-*</v>
          </cell>
          <cell r="C278" t="str">
            <v>OFL</v>
          </cell>
          <cell r="D278">
            <v>830</v>
          </cell>
          <cell r="L278">
            <v>830</v>
          </cell>
          <cell r="AL278" t="str">
            <v>PC</v>
          </cell>
          <cell r="AM278">
            <v>3230.934615384615</v>
          </cell>
        </row>
        <row r="279">
          <cell r="A279" t="str">
            <v>CH-AMF-*</v>
          </cell>
          <cell r="C279" t="str">
            <v>OFL</v>
          </cell>
          <cell r="D279">
            <v>3100</v>
          </cell>
          <cell r="L279">
            <v>3100</v>
          </cell>
          <cell r="AL279" t="str">
            <v>PC</v>
          </cell>
          <cell r="AM279">
            <v>12067.346153846152</v>
          </cell>
        </row>
        <row r="280">
          <cell r="A280" t="str">
            <v>CH-ARC-*</v>
          </cell>
          <cell r="C280" t="str">
            <v>OFL</v>
          </cell>
          <cell r="D280">
            <v>3220</v>
          </cell>
          <cell r="L280">
            <v>3220</v>
          </cell>
          <cell r="AL280" t="str">
            <v>PC</v>
          </cell>
          <cell r="AM280">
            <v>12534.469230769229</v>
          </cell>
        </row>
        <row r="281">
          <cell r="A281" t="str">
            <v>CH-SLR-*</v>
          </cell>
          <cell r="C281" t="str">
            <v>OFL</v>
          </cell>
          <cell r="D281">
            <v>2480</v>
          </cell>
          <cell r="L281">
            <v>2480</v>
          </cell>
          <cell r="AL281" t="str">
            <v>PC</v>
          </cell>
          <cell r="AM281">
            <v>9653.8769230769212</v>
          </cell>
        </row>
        <row r="282">
          <cell r="A282" t="str">
            <v>CH-MDR-*</v>
          </cell>
          <cell r="C282" t="str">
            <v>OFL</v>
          </cell>
          <cell r="D282">
            <v>2070</v>
          </cell>
          <cell r="L282">
            <v>2070</v>
          </cell>
          <cell r="AL282" t="str">
            <v>PC</v>
          </cell>
          <cell r="AM282">
            <v>8057.873076923077</v>
          </cell>
        </row>
        <row r="283">
          <cell r="A283" t="str">
            <v>TLS-MD-K</v>
          </cell>
          <cell r="C283" t="str">
            <v>OFL</v>
          </cell>
          <cell r="D283">
            <v>3470</v>
          </cell>
          <cell r="L283">
            <v>3470</v>
          </cell>
          <cell r="AL283" t="str">
            <v>PC</v>
          </cell>
          <cell r="AM283">
            <v>13507.642307692306</v>
          </cell>
        </row>
        <row r="284">
          <cell r="A284" t="str">
            <v>TLS-CD-D</v>
          </cell>
          <cell r="C284" t="str">
            <v>OFL</v>
          </cell>
          <cell r="D284">
            <v>4130</v>
          </cell>
          <cell r="L284">
            <v>4130</v>
          </cell>
          <cell r="AL284" t="str">
            <v>PC</v>
          </cell>
          <cell r="AM284">
            <v>16076.81923076923</v>
          </cell>
        </row>
        <row r="285">
          <cell r="A285" t="str">
            <v>TLS-MD-K</v>
          </cell>
          <cell r="C285" t="str">
            <v>OFL</v>
          </cell>
          <cell r="D285">
            <v>4130</v>
          </cell>
          <cell r="L285">
            <v>4130</v>
          </cell>
          <cell r="AL285" t="str">
            <v>PC</v>
          </cell>
          <cell r="AM285">
            <v>16076.81923076923</v>
          </cell>
        </row>
        <row r="286">
          <cell r="A286" t="str">
            <v>TLS-CD-K</v>
          </cell>
          <cell r="C286" t="str">
            <v>OFL</v>
          </cell>
          <cell r="D286">
            <v>6270</v>
          </cell>
          <cell r="L286">
            <v>6270</v>
          </cell>
          <cell r="AL286" t="str">
            <v>PC</v>
          </cell>
          <cell r="AM286">
            <v>24407.180769230767</v>
          </cell>
        </row>
        <row r="287">
          <cell r="A287" t="str">
            <v>CH-SPZ-G</v>
          </cell>
          <cell r="C287" t="str">
            <v>OFL</v>
          </cell>
          <cell r="D287">
            <v>1820</v>
          </cell>
          <cell r="L287">
            <v>1820</v>
          </cell>
          <cell r="AL287" t="str">
            <v>PC</v>
          </cell>
          <cell r="AM287">
            <v>7084.7</v>
          </cell>
        </row>
        <row r="288">
          <cell r="A288" t="str">
            <v>CH-NVO-*</v>
          </cell>
          <cell r="C288" t="str">
            <v>OFL</v>
          </cell>
          <cell r="D288">
            <v>3470</v>
          </cell>
          <cell r="L288">
            <v>3470</v>
          </cell>
          <cell r="AL288" t="str">
            <v>PC</v>
          </cell>
          <cell r="AM288">
            <v>13507.642307692306</v>
          </cell>
        </row>
        <row r="289">
          <cell r="A289" t="str">
            <v>CH-PLI-K</v>
          </cell>
          <cell r="C289" t="str">
            <v>OFL</v>
          </cell>
          <cell r="D289">
            <v>3800</v>
          </cell>
          <cell r="L289">
            <v>3800</v>
          </cell>
          <cell r="AL289" t="str">
            <v>PC</v>
          </cell>
          <cell r="AM289">
            <v>14792.230769230768</v>
          </cell>
        </row>
        <row r="290">
          <cell r="A290" t="str">
            <v xml:space="preserve">                             </v>
          </cell>
          <cell r="C290" t="str">
            <v>OFL</v>
          </cell>
          <cell r="D290">
            <v>4210</v>
          </cell>
          <cell r="L290">
            <v>4210</v>
          </cell>
        </row>
        <row r="309">
          <cell r="F309">
            <v>222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ukesh Jha" id="{F0E25D4A-C552-4D74-A483-8129906CBC61}" userId="S::mukesh.jha@bluewud.com::c12440f5-03d8-49c9-8d7e-f3123ba2135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kesh" refreshedDate="46045.845070370371" createdVersion="8" refreshedVersion="8" minRefreshableVersion="3" recordCount="390" xr:uid="{704C8802-D05D-4F5A-A980-99A444D99018}">
  <cacheSource type="worksheet">
    <worksheetSource name="Table1"/>
  </cacheSource>
  <cacheFields count="17">
    <cacheField name="SKU Code" numFmtId="0">
      <sharedItems/>
    </cacheField>
    <cacheField name="Chk" numFmtId="0">
      <sharedItems count="12">
        <s v="Y"/>
        <s v="NL"/>
        <s v="RL"/>
        <s v="YD"/>
        <s v="YB"/>
        <s v="DI"/>
        <s v="YHRL"/>
        <s v="YH"/>
        <s v="MW"/>
        <s v="AR"/>
        <e v="#N/A" u="1"/>
        <s v="YAFP" u="1"/>
      </sharedItems>
    </cacheField>
    <cacheField name="OSR" numFmtId="0">
      <sharedItems containsMixedTypes="1" containsNumber="1" containsInteger="1" minValue="1" maxValue="250"/>
    </cacheField>
    <cacheField name="MTP SKU" numFmtId="0">
      <sharedItems/>
    </cacheField>
    <cacheField name="MTP Name" numFmtId="0">
      <sharedItems/>
    </cacheField>
    <cacheField name=" Child Color" numFmtId="0">
      <sharedItems containsMixedTypes="1" containsNumber="1" containsInteger="1" minValue="0" maxValue="0"/>
    </cacheField>
    <cacheField name="SKU Product Name" numFmtId="0">
      <sharedItems/>
    </cacheField>
    <cacheField name="MRP" numFmtId="0">
      <sharedItems/>
    </cacheField>
    <cacheField name="Barcode" numFmtId="0">
      <sharedItems containsNonDate="0" containsString="0" containsBlank="1"/>
    </cacheField>
    <cacheField name="FNSKU" numFmtId="0">
      <sharedItems containsBlank="1"/>
    </cacheField>
    <cacheField name="ASIN" numFmtId="0">
      <sharedItems containsBlank="1"/>
    </cacheField>
    <cacheField name="FK FSN" numFmtId="0">
      <sharedItems containsBlank="1"/>
    </cacheField>
    <cacheField name="FK List.ID" numFmtId="0">
      <sharedItems containsBlank="1"/>
    </cacheField>
    <cacheField name="UL" numFmtId="0">
      <sharedItems containsBlank="1"/>
    </cacheField>
    <cacheField name="PF " numFmtId="0">
      <sharedItems containsBlank="1"/>
    </cacheField>
    <cacheField name="PF WH SKU" numFmtId="0">
      <sharedItems/>
    </cacheField>
    <cacheField name="Myntra" numFmtId="0">
      <sharedItems containsBlank="1" containsMixedTypes="1" containsNumber="1" containsInteger="1" minValue="27465476" maxValue="355240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s v="SR-CLM-TM"/>
    <x v="0"/>
    <n v="1"/>
    <s v="SR-CLM-T"/>
    <s v="Carlem Tall Design Shoe Rack"/>
    <s v="Brown Maple"/>
    <s v="Carlem Tall Design Shoe Rack Brown Maple"/>
    <s v="Carlem Tall Design Shoe Rack"/>
    <m/>
    <e v="#N/A"/>
    <s v="B0DG9834LM"/>
    <s v="SHKH4FQ2G6XVBAWG"/>
    <s v="LSTSHKH4FQ2G6XVBAWGDAI5VU"/>
    <s v="FVSGSR11BM51569"/>
    <s v="FN2200964-S-PM39235"/>
    <s v="FN2200964-S-WH41218"/>
    <n v="34399022"/>
  </r>
  <r>
    <s v="TU-WBM-MF"/>
    <x v="0"/>
    <n v="2"/>
    <s v="TU-WBM"/>
    <s v="Wilbrome TV Unit"/>
    <s v="Brown Maple &amp; White"/>
    <s v="Wilbrome TV Unit Brown Maple &amp; White"/>
    <s v="Wilbrome TV Unit"/>
    <m/>
    <s v="X0023REYJ9"/>
    <s v="B0CJC6PTKS"/>
    <s v="TVUGUGZ55QPQGEHY"/>
    <s v="LSTTVUGUGZ55QPQGEHY8HJVMU"/>
    <s v="FVTBAV33BR32705"/>
    <s v="FN2135043-S-PM39235"/>
    <s v="FN2135043-S-WH41218"/>
    <n v="34399074"/>
  </r>
  <r>
    <s v="TU-BKY-M"/>
    <x v="0"/>
    <n v="3"/>
    <s v="TU-BKY"/>
    <s v="Blesky TV Unit"/>
    <s v="Brown Maple"/>
    <s v="Blesky TV Unit Brown Maple"/>
    <s v="Blesky TV Unit"/>
    <m/>
    <e v="#N/A"/>
    <s v="B0DFPSHRLG"/>
    <s v="TVUH48ZZFZFFTYZH"/>
    <s v="LSTTVUH48ZZFZFFTYZHBYMZVY"/>
    <s v="FVSGAV11BM51538"/>
    <s v="FN2200968-S-PM39235"/>
    <s v="FN2200968-S-WH41218"/>
    <n v="34399027"/>
  </r>
  <r>
    <s v="TU-SKD-WF"/>
    <x v="0"/>
    <n v="4"/>
    <s v="TU-SKD"/>
    <s v="Skiddo TV Unit"/>
    <s v="Wenge &amp; White"/>
    <s v="Skiddo TV Unit Wenge &amp; White"/>
    <s v="Skiddo TV Unit"/>
    <m/>
    <s v="X0023REYIZ"/>
    <s v="B0BCZ4GVFM"/>
    <s v="TVUGG2FKZKVE897E"/>
    <s v="LSTTVUGG2FKZKVE897E7WSGLU"/>
    <s v="FVTBAV33BR70800"/>
    <s v="FN2087160-S-PM39235"/>
    <s v="FN2087160-S-WH41218"/>
    <e v="#N/A"/>
  </r>
  <r>
    <s v="PU-SNM-F"/>
    <x v="1"/>
    <n v="5"/>
    <s v="PU-SNM"/>
    <s v="Sharnam Pooja Unit"/>
    <s v="White"/>
    <s v="Sharnam Pooja Unit White"/>
    <s v="Sharnam Pooja Unit"/>
    <m/>
    <m/>
    <s v="B0FGVBK5KB"/>
    <s v="HTEHDWFAK35EYHA3"/>
    <s v="LSTHTEHDWFAK35EYHA3P0TGWN"/>
    <s v="FVSGPR11WH51575"/>
    <s v="KD2280098-S-PM39397"/>
    <s v="Not in WH"/>
    <e v="#N/A"/>
  </r>
  <r>
    <s v="TU-SKD-MF"/>
    <x v="0"/>
    <n v="6"/>
    <s v="TU-SKD"/>
    <s v="Skiddo TV Unit"/>
    <s v="Brown Maple &amp; White"/>
    <s v="Skiddo TV Unit Brown Maple &amp; White"/>
    <s v="Skiddo TV Unit"/>
    <m/>
    <s v="X0023RTQJH"/>
    <s v="B0CJLRT2TR"/>
    <s v="TVUGUGZAHZGDRSFH"/>
    <s v="LSTTVUGUGZAHZGDRSFH1SZQVK"/>
    <s v="FVTBAV33BR32706"/>
    <s v="FN2152519-S-PM39235"/>
    <s v="FN2152519-S-WH41218"/>
    <n v="34398993"/>
  </r>
  <r>
    <s v="W-MLT-4NMF"/>
    <x v="2"/>
    <n v="7"/>
    <s v="W-MLT-4N"/>
    <s v="Maltein 4 Door Without Mirror Wardrobe"/>
    <s v="Brown Maple &amp; White"/>
    <s v="Maltein 4 Door Without Mirror Wardrobe Brown Maple &amp; White"/>
    <s v="Maltein 4 Door Without Mirror Wardrobe"/>
    <m/>
    <m/>
    <s v="B0FDVHM7XN"/>
    <s v="WCLHDTDAXGCVRGGD"/>
    <s v="LSTWCLHDTDAXGCVRGGDNCGVVY"/>
    <s v="FVSGCB11BW51520"/>
    <s v="FN2260676-S-PM39235"/>
    <s v="FN2260676-S-WH41218"/>
    <e v="#N/A"/>
  </r>
  <r>
    <s v="ST-CBN-LSMF"/>
    <x v="0"/>
    <n v="8"/>
    <s v="ST-CBN-LS"/>
    <s v="Corbyn L-Shape Study Table"/>
    <s v="Brown Maple &amp; White"/>
    <s v="Corbyn L-Shape Study Table Brown Maple &amp; White"/>
    <s v="Corbyn L-Shape Study Table"/>
    <m/>
    <e v="#N/A"/>
    <s v="B0DFQ1Q1LJ"/>
    <s v="OSTHAYGSVZ5TZJRE"/>
    <s v="LSTOSTHAYGSVZ5TZJRE1LYIVS"/>
    <s v="FVTBST11BW51562"/>
    <s v="FN2200965-S-PM39235"/>
    <s v="FN2200965-S-WH41218"/>
    <n v="34399075"/>
  </r>
  <r>
    <s v="W-MLT-3NMF"/>
    <x v="0"/>
    <n v="9"/>
    <s v="W-MLT-3N"/>
    <s v="Maltein 3 Door Without Mirror Wardrobe"/>
    <s v="Brown Maple &amp; White"/>
    <s v="Maltein 3 Door Without Mirror Wardrobe Brown Maple &amp; White"/>
    <s v="Maltein 3 Door Without Mirror Wardrobe"/>
    <m/>
    <m/>
    <s v="B0FDW1B81W"/>
    <s v="WCLHDUERQCB3KWG3"/>
    <s v="LSTWCLHDUERQCB3KWG3Z9CHDZ"/>
    <s v="FVSGCB11BW51519"/>
    <s v="FN2260675-S-PM39235"/>
    <s v="FN2260675-S-WH41218"/>
    <e v="#N/A"/>
  </r>
  <r>
    <s v="CT-SH.E-MI"/>
    <x v="0"/>
    <n v="10"/>
    <s v="CT-SH"/>
    <s v="Smohn Coffee Table"/>
    <s v="Brown Maple &amp; Beige"/>
    <s v="Smohn Coffee Table Brown Maple &amp; Beige"/>
    <s v="Smohn Coffee Table"/>
    <m/>
    <s v="X001VCIAFL"/>
    <s v="B0C8J81BP6"/>
    <s v="CFTH2QF2E6NJTFGD"/>
    <s v="LSTCFTH2QF2E6NJTFGDTEKR8H"/>
    <s v="FVTBCF33BR50150"/>
    <s v="FN2194296-S-PM39235"/>
    <s v="Not in WH"/>
    <n v="34399060"/>
  </r>
  <r>
    <s v="ST-AML-MI"/>
    <x v="0"/>
    <n v="11"/>
    <s v="ST-AML"/>
    <s v="Amalet Study Table"/>
    <s v="Brown Maple &amp; Beige"/>
    <s v="Amalet Study Table Brown Maple &amp; Beige"/>
    <s v="Amalet Study Table"/>
    <m/>
    <s v="X0024E1F2P"/>
    <s v="B07N3WXJJ5"/>
    <s v="OSTGUJYGB83ZH9PB"/>
    <s v="LSTOSTGUJYGB83ZH9PBF06U6Y"/>
    <s v="FVTBST33BR72381"/>
    <s v="FN2152512-S-PM39235"/>
    <s v="FN2152512-S-WH41218"/>
    <n v="34399107"/>
  </r>
  <r>
    <s v="W-CLO-5M"/>
    <x v="0"/>
    <n v="12"/>
    <s v="W-CLO-5"/>
    <s v="Calcio 5-Tier Wardrobe"/>
    <s v="Brown Maple"/>
    <s v="Calcio 5-Tier Wardrobe Brown Maple"/>
    <s v="Calcio 5-Tier Wardrobe"/>
    <m/>
    <m/>
    <s v="B0F91468XK"/>
    <s v="WCLHCARGJE9DFNG7"/>
    <s v="LSTWCLHCARGJE9DFNG78VG4UU"/>
    <s v="FVSGCB11BR51517"/>
    <s v="FN2260673-S-PM39235"/>
    <s v="FN2260673-S-WH41218"/>
    <e v="#N/A"/>
  </r>
  <r>
    <s v="SR-BKN-TM"/>
    <x v="0"/>
    <n v="13"/>
    <s v="SR-BKN-T"/>
    <s v="Brooklyn Tall Shoe Rack"/>
    <s v="Brown Maple"/>
    <s v="Brooklyn Tall Shoe Rack Brown Maple"/>
    <s v="Brooklyn Tall Shoe Rack"/>
    <m/>
    <e v="#N/A"/>
    <s v="B0DSQ5MH6T"/>
    <s v="SHKH95M3REHRAZHJ"/>
    <s v=" LSTSHKH95M3REHRAZHJSNG9HZ"/>
    <s v="FVSGSR11BM51568"/>
    <s v="FN2260661-S-PM39235"/>
    <s v="FN2260661-S-WH41218"/>
    <n v="34399229"/>
  </r>
  <r>
    <s v="TU-SKD-LF"/>
    <x v="3"/>
    <n v="14"/>
    <s v="TU-SKD"/>
    <s v="Skiddo TV Unit"/>
    <s v="Walnut &amp; White"/>
    <s v="Skiddo TV Unit Walnut &amp; White"/>
    <s v="Skiddo TV Unit"/>
    <m/>
    <s v="X0023REYJJ"/>
    <s v="B0BCZ699P2"/>
    <s v="TVUGG2FKGHH8SXA9"/>
    <s v="LSTTVUGG2FKGHH8SXA9QIZKRE"/>
    <s v="FVTBAV33BR70799"/>
    <s v="FN2087161-S-PM39235"/>
    <s v="FN2087161-S-WH41218"/>
    <n v="34399021"/>
  </r>
  <r>
    <s v="SR-CLM-3M"/>
    <x v="0"/>
    <n v="15"/>
    <s v="SR-CLM-3"/>
    <s v="Carlem 3 Door Shoe Rack"/>
    <s v="Brown Maple"/>
    <s v="Carlem 3 Door Shoe Rack Brown Maple"/>
    <s v="Carlem 3 Door Shoe Rack"/>
    <m/>
    <s v="X0022LYPC7"/>
    <s v="B0CR69LX8T"/>
    <s v="CSDGWZYSKGJSWHK6"/>
    <s v="LSTCSDGWZYSKGJSWHK6YBM4FU"/>
    <s v="FVSGBR33BR72391"/>
    <s v="FN2166587-S-PM39235"/>
    <s v="FN2166587-S-WH41218"/>
    <n v="34399038"/>
  </r>
  <r>
    <s v="W-MLT-MMF"/>
    <x v="0"/>
    <n v="16"/>
    <s v="W-MLT-M"/>
    <s v="Maltein Mini Wardrobe"/>
    <s v="Brown Maple &amp; White"/>
    <s v="Maltein Mini Wardrobe Brown Maple &amp; White"/>
    <s v="Maltein Mini Wardrobe"/>
    <m/>
    <m/>
    <s v="B0F8ZQGWZM"/>
    <s v="WCLHC8TZMCYUGJ2H"/>
    <s v="LSTWCLHC8TZMCYUGJ2HGRGYQT"/>
    <s v="FVSGCB11BW51521"/>
    <s v="FN2260677-S-PM39235"/>
    <s v="FN2260677-S-WH41218"/>
    <e v="#N/A"/>
  </r>
  <r>
    <s v="TU-WBM-STMF"/>
    <x v="0"/>
    <n v="17"/>
    <s v="TU-WBM-ST"/>
    <s v="Wilbrome Mini TV Unit"/>
    <s v="Brown Maple &amp; White"/>
    <s v="Wilbrome Mini TV Unit Brown Maple &amp; White"/>
    <s v="Wilbrome Mini TV Unit"/>
    <m/>
    <e v="#N/A"/>
    <s v="B0DSQ3TL2Q"/>
    <s v="TVUH8GZ2FZTB4FXF"/>
    <s v="LSTTVUH8GZ2FZTB4FXFINMHZF"/>
    <s v="FVSGAV11BW51548"/>
    <s v="FN2229405-S-PM39235"/>
    <s v="FN2229405-S-WH41218"/>
    <e v="#N/A"/>
  </r>
  <r>
    <s v="SR-MVS-IM"/>
    <x v="0"/>
    <n v="18"/>
    <s v="SR-MVS-I"/>
    <s v="Mavis Seating Shoe Rack"/>
    <s v="Brown Maple"/>
    <s v="Mavis Seating Shoe Rack Brown Maple"/>
    <s v="Mavis Seating Shoe Rack"/>
    <m/>
    <m/>
    <s v="B0FBM1HTL7"/>
    <s v="SHKHCSGK2HQ3ZUPD"/>
    <s v="LSTSHKHCSGK2HQ3ZUPDK2V99U"/>
    <s v="FVSGSR11BM51571"/>
    <s v="FN2260663-S-PM39235"/>
    <s v="FN2260663-S-WH41218"/>
    <n v="35524081"/>
  </r>
  <r>
    <s v="SR-KPN-MF"/>
    <x v="0"/>
    <n v="19"/>
    <s v="SR-KPN"/>
    <s v="Kaspen Shoe Rack"/>
    <s v="Brown Maple &amp; White"/>
    <s v="Kaspen Shoe Rack Brown Maple &amp; White"/>
    <s v="Kaspen Shoe Rack"/>
    <m/>
    <s v="X001YXTP9H"/>
    <s v="B0CJML27W6"/>
    <s v="SHKGUJF3UF2DGWVH"/>
    <s v="LSTSHKGUJF3UF2DGWVHCMW77H"/>
    <s v="FVSGSR33BR32753"/>
    <s v="FN2152510-S-PM39235"/>
    <s v="FN2152510-S-WH41218"/>
    <n v="34399166"/>
  </r>
  <r>
    <s v="TU-FL-FW"/>
    <x v="0"/>
    <n v="20"/>
    <s v="TU-FL"/>
    <s v="Fenily TV Unit"/>
    <s v="Wenge"/>
    <s v="Fenily TV Unit Wenge"/>
    <s v="Fenily TV Unit"/>
    <m/>
    <e v="#N/A"/>
    <s v="B09XJ3Y86J"/>
    <s v="TVUH4MFSZKDU3XHM"/>
    <s v="LSTTVUH4MFSZKDU3XHMCHDSCE"/>
    <s v="FVSGAV33WW20528"/>
    <s v="FN1987991-S-PM39235"/>
    <s v="FN1987991-S-WH41218"/>
    <n v="34399237"/>
  </r>
  <r>
    <s v="SR-MVS-ITM"/>
    <x v="0"/>
    <n v="21"/>
    <s v="SR-MVS-IT"/>
    <s v="Mavis Combo Shoe Rack"/>
    <s v="Brown Maple"/>
    <s v="Mavis Combo Shoe Rack Brown Maple"/>
    <s v="Mavis Combo Shoe Rack"/>
    <m/>
    <m/>
    <s v="B0F91299Q2"/>
    <s v="SHKHCAT3GDMYGRFN"/>
    <s v="LSTSHKHCAT3GDMYGRFNDS6X1K"/>
    <s v="FVSGSR11BM51572"/>
    <s v="FN2260664-S-PM39235"/>
    <s v="FN2260664-S-WH41218"/>
    <n v="35524079"/>
  </r>
  <r>
    <s v="TU-BKY-STM"/>
    <x v="0"/>
    <n v="22"/>
    <s v="TU-BKY-ST"/>
    <s v="Blesky Mini TV Unit"/>
    <s v="Brown Maple"/>
    <s v="Blesky Mini TV Unit Brown Maple"/>
    <s v="Blesky Mini TV Unit"/>
    <m/>
    <e v="#N/A"/>
    <s v="B0DSQ19SZT"/>
    <s v="TVUH8GYTFPGJXSNX"/>
    <s v="LSTTVUH8GYTFPGJXSNX003FCA"/>
    <s v="FVSGAV11BM51539"/>
    <s v="FN2229399-S-PM39235"/>
    <s v="FN2229399-S-WH41218"/>
    <n v="34399093"/>
  </r>
  <r>
    <s v="SR-BKN-M"/>
    <x v="0"/>
    <n v="23"/>
    <s v="SR-BKN-2"/>
    <s v="Brooklyn Shoe Rack"/>
    <s v="Brown Maple"/>
    <s v="Brooklyn Shoe Rack Brown Maple"/>
    <s v="Brooklyn Shoe Rack"/>
    <m/>
    <s v="X001YXXSTF"/>
    <s v="B0CP7G5QDT"/>
    <s v="SHKH7GBQ3Y5UGHY6"/>
    <s v="LSTSHKH7GBQ3Y5UGHY6YCUBOR"/>
    <s v="FVSGSR33BR32751"/>
    <s v="FN2166555-S-PM39235"/>
    <s v="FN2166555-S-WH41218"/>
    <n v="34399032"/>
  </r>
  <r>
    <s v="S-PTE-M"/>
    <x v="0"/>
    <n v="24"/>
    <s v="S-PTE"/>
    <s v="Petree Wall Shelve"/>
    <s v="Brown Maple"/>
    <s v="Petree Wall Shelve Brown Maple"/>
    <s v="Petree Wall Shelve"/>
    <m/>
    <s v="X001XQD9H9"/>
    <s v="B0CQNX8LKS"/>
    <s v="BSFGWYJSA2HHHPHT"/>
    <s v="LSTBSFGWYJSA2HHHPHTYDE7VD"/>
    <s v="FVSGWS33BR72396"/>
    <s v="DE2198506-S-PM39397"/>
    <s v="Not in WH"/>
    <n v="29525078"/>
  </r>
  <r>
    <s v="SR-CLE-MF"/>
    <x v="0"/>
    <n v="25"/>
    <s v="SR-CLE"/>
    <s v="Cylvie  Shoe Rack"/>
    <s v="Brown Maple &amp; White"/>
    <s v="Cylvie  Shoe Rack Brown Maple &amp; White"/>
    <s v="Cylvie  Shoe Rack"/>
    <m/>
    <s v="X001YXXQJH"/>
    <s v="B0CV33DPSP"/>
    <s v="SHKGXUTFT7GNNTMQ"/>
    <s v="LSTSHKGXUTFT7GNNTMQLWFGXU"/>
    <s v="FVSGSR33BR32755"/>
    <s v="FN2194306-S-PM39235"/>
    <s v="FN2194306-S-WH41218"/>
    <n v="34399203"/>
  </r>
  <r>
    <s v="TU-AYL-M"/>
    <x v="0"/>
    <n v="26"/>
    <s v="TU-AYL"/>
    <s v="Averyl TV Unit"/>
    <s v="Brown Maple"/>
    <s v="Averyl TV Unit Brown Maple"/>
    <s v="Averyl TV Unit"/>
    <m/>
    <s v="X001YODXTT"/>
    <s v="B0CV3HL1JS"/>
    <s v="TVUGXUTJUQHJ9KJS"/>
    <s v="LSTTVUGXUTJUQHJ9KJSKLQSEQ"/>
    <s v="FVTBAV33BR32711"/>
    <s v="FN2194313-S-PM39235"/>
    <s v="FN2194313-S-WH41218"/>
    <n v="34398996"/>
  </r>
  <r>
    <s v="SR-KPN-FL"/>
    <x v="3"/>
    <n v="27"/>
    <s v="SR-KPN"/>
    <s v="Kaspen Shoe Rack"/>
    <s v="Walnut &amp; White"/>
    <s v="Kaspen Shoe Rack Walnut &amp; White"/>
    <s v="Kaspen Shoe Rack"/>
    <m/>
    <s v="X001YXTP97"/>
    <s v="B09WR9FZXZ"/>
    <s v="CSDGDC3QJKBD2EFA"/>
    <s v="LSTCSDGDC3QJKBD2EFAJWVEYL"/>
    <s v="FVSGSR33WW20615"/>
    <s v="FN1991916-S-PM39235"/>
    <s v="FN1991916-S-WH41218"/>
    <n v="34399025"/>
  </r>
  <r>
    <s v="SR-BKN-HM"/>
    <x v="0"/>
    <n v="28"/>
    <s v="SR-BKN-H"/>
    <s v="Brooklyn Highline Shoe Rack"/>
    <s v="Brown Maple"/>
    <s v="Brooklyn Highline Shoe Rack Brown Maple"/>
    <s v="Brooklyn Highline Shoe Rack"/>
    <m/>
    <m/>
    <s v="B0F9139B7X"/>
    <s v="SHKHCAS8YHF9HXMA"/>
    <s v="LSTSHKHCAS8YHF9HXMAPBOC3L"/>
    <s v="FVSGSR11BM51567"/>
    <s v="FN2260660-S-PM39235"/>
    <s v="FN2260660-S-WH41218"/>
    <n v="35524073"/>
  </r>
  <r>
    <s v="TU-SKD-OF"/>
    <x v="1"/>
    <n v="29"/>
    <s v="TU-SKD"/>
    <s v="Skiddo TV Unit"/>
    <s v="European Oak &amp; White"/>
    <s v="Skiddo TV Unit European Oak &amp; White"/>
    <s v="Skiddo TV Unit"/>
    <m/>
    <m/>
    <s v="B0FNMKSVYJ"/>
    <s v="TVUHH6GPYWDFP4HT"/>
    <m/>
    <m/>
    <m/>
    <s v="Not in WH"/>
    <m/>
  </r>
  <r>
    <s v="TU-FL-FL"/>
    <x v="3"/>
    <n v="30"/>
    <s v="TU-FL"/>
    <s v="Fenily TV Unit"/>
    <s v="Walnut &amp; White"/>
    <s v="Fenily TV Unit Walnut &amp; White"/>
    <s v="Fenily TV Unit"/>
    <m/>
    <e v="#N/A"/>
    <s v="B09XJ24NG8"/>
    <s v="TVUH7RE5XBS4HBXR"/>
    <s v="LSTTVUH7RE5XBS4HBXRD9VHIU"/>
    <s v="FVSGAV33WW20527"/>
    <s v="FN1991938-S-PM39235"/>
    <s v="FN1991938-S-WH41218"/>
    <n v="34398994"/>
  </r>
  <r>
    <s v="TU-SKDL-MF"/>
    <x v="0"/>
    <n v="31"/>
    <s v="TU-SKDL"/>
    <s v="Skiddo Lite TV Unit"/>
    <s v="Brown Maple &amp; White"/>
    <s v="Skiddo Lite TV Unit Brown Maple &amp; White"/>
    <s v="Skiddo Lite TV Unit"/>
    <m/>
    <m/>
    <s v="B0CDLQ8B41"/>
    <s v="TVUHDUEWGYRCH3GH"/>
    <s v="LSTTVUHDUEWGYRCH3GHMOH1VQ"/>
    <s v="FVSGAV11BW51546"/>
    <s v="FN2260668-S-PM39235"/>
    <s v="FN2260668-S-WH41218"/>
    <n v="35524076"/>
  </r>
  <r>
    <s v="TU-HMD-MF"/>
    <x v="0"/>
    <n v="32"/>
    <s v="TU-HMD"/>
    <s v="Harmond TV Unit"/>
    <s v="Brown Maple &amp; White"/>
    <s v="Harmond TV Unit Brown Maple &amp; White"/>
    <s v="Harmond TV Unit"/>
    <m/>
    <s v="X001YXXODZ"/>
    <s v="B07N41C315"/>
    <s v="TVUGVHFNDSJJDECC"/>
    <s v="LSTTVUGVHFNDSJJDECCOUFRNZ"/>
    <s v="FVTBAV33BR32709"/>
    <s v="FN2152520-S-PM39235"/>
    <s v="FN2152520-S-WH41218"/>
    <n v="34399103"/>
  </r>
  <r>
    <s v="DC-MYN-STMF"/>
    <x v="0"/>
    <n v="33"/>
    <s v="DC-MYN-ST"/>
    <s v="Mayrone Standard Chest of Drawer"/>
    <s v="Brown Maple &amp; White"/>
    <s v="Mayrone Standard Chest of Drawer Brown Maple &amp; White"/>
    <s v="Mayrone Standard Chest of Drawer"/>
    <m/>
    <e v="#N/A"/>
    <s v="B0CJCJJJ54"/>
    <s v="CSDGUGVTFGESHDZU"/>
    <s v="LSTCSDGUGVTFGESHDZUEAHMTI"/>
    <s v="FVSGDR33BR32696"/>
    <s v="FN2135042-S-PM39235"/>
    <s v="FN2135042-S-WH41218"/>
    <n v="35522194"/>
  </r>
  <r>
    <s v="B-MLT-D30TM"/>
    <x v="0"/>
    <n v="34"/>
    <s v="B-MLT-D30T"/>
    <s v="Maltein Diwan 30&quot; with Storage Bed "/>
    <s v="Brown Maple"/>
    <s v="Maltein Diwan 30&quot; with Storage Bed  Brown Maple"/>
    <s v="Maltein Diwan 30&quot; with Storage Bed "/>
    <m/>
    <m/>
    <s v="B0FGTVTZFS"/>
    <s v="BDDHDTC8CFHQU3Z8"/>
    <s v="LSTBDDHDTC8CFHQU3Z8Z07AT5"/>
    <m/>
    <s v="FN2260655-S-PM39235"/>
    <s v="FN2260655-S-WH41218"/>
    <e v="#N/A"/>
  </r>
  <r>
    <s v="SR-MVS-TM"/>
    <x v="0"/>
    <n v="35"/>
    <s v="SR-MVS-T"/>
    <s v="Mavis Tall Shoe Rack"/>
    <s v="Brown Maple"/>
    <s v="Mavis Tall Shoe Rack Brown Maple"/>
    <s v="Mavis Tall Shoe Rack"/>
    <m/>
    <m/>
    <s v="B0FBM7C35S"/>
    <s v="SHKHCSGQGTHDWQP8"/>
    <s v="LSTSHKHCSGQGTHDWQP8G3V4M2"/>
    <s v="FVSGSR11BM51573"/>
    <s v="FN2260665-S-PM39235"/>
    <s v="FN2260665-S-WH41218"/>
    <n v="35524078"/>
  </r>
  <r>
    <s v="SR-CLM-2M"/>
    <x v="0"/>
    <n v="36"/>
    <s v="SR-CLM-2"/>
    <s v="Carlem 2 Door Shoe Rack"/>
    <s v="Brown Maple"/>
    <s v="Carlem 2 Door Shoe Rack Brown Maple"/>
    <s v="Carlem 2 Door Shoe Rack"/>
    <m/>
    <s v="X001YAPESL"/>
    <s v="B0CR6B1KPV"/>
    <s v="CSDGXYYPHCGGZQWS"/>
    <s v="LSTCSDGXYYPHCGGZQWSZANXDC"/>
    <s v="FVSGBR33BR72390"/>
    <s v="FN2166588-S-PM39235"/>
    <s v="FN2166588-S-WH41218"/>
    <n v="34399190"/>
  </r>
  <r>
    <s v="PU-SUB-OF"/>
    <x v="1"/>
    <n v="37"/>
    <s v="PU-SUB"/>
    <s v="Shubh Pooja Unit Temple"/>
    <s v="European Oak"/>
    <s v="Shubh Pooja Unit Temple European Oak"/>
    <s v="Shubh Pooja Unit Temple"/>
    <m/>
    <m/>
    <s v="B0FPR86F6F"/>
    <s v="HTEHGGVNH77K924P"/>
    <m/>
    <m/>
    <s v="KD2280090-S-PM39397"/>
    <s v="Not in WH"/>
    <m/>
  </r>
  <r>
    <s v="TU-BKMT-M"/>
    <x v="0"/>
    <n v="38"/>
    <s v="TU-BKMT"/>
    <s v="Blesky Miltra Combo TV Unit"/>
    <s v="Brown Maple"/>
    <s v="Blesky Miltra Combo TV Unit Brown Maple"/>
    <s v="Blesky Miltra Combo TV Unit"/>
    <m/>
    <e v="#N/A"/>
    <s v="B0DGCY3HW8"/>
    <s v="TVUH63FQ8JG2UPFD"/>
    <s v="LSTTVUH63FQ8JG2UPFDVDFM6F"/>
    <s v="FVSGAV11BM51537"/>
    <s v="FN2200967-S-PM39235"/>
    <s v="Not in WH"/>
    <n v="34399085"/>
  </r>
  <r>
    <s v="CT-LE-M"/>
    <x v="0"/>
    <n v="39"/>
    <s v="CT-LE"/>
    <s v="Leo Coffee Table"/>
    <s v="Brown Maple"/>
    <s v="Leo Coffee Table Brown Maple"/>
    <s v="Leo Coffee Table"/>
    <m/>
    <e v="#N/A"/>
    <s v="B06WLNKHXC"/>
    <s v="CFTH89D5BUVCGSSG"/>
    <s v="LSTCFTH89D5BUVCGSSGQU1TLP"/>
    <s v="FVTBCF11BR51533"/>
    <s v="FN2229387-S-PM39235"/>
    <s v="FN2229387-S-WH41218"/>
    <n v="34399215"/>
  </r>
  <r>
    <s v="TU-RWT-LAMI"/>
    <x v="0"/>
    <n v="40"/>
    <s v="TU-RWT-LA"/>
    <s v="Rowlet Large TV Unit"/>
    <s v="Brown Maple &amp; Beige"/>
    <s v="Rowlet Large TV Unit Brown Maple &amp; Beige"/>
    <s v="Rowlet Large TV Unit"/>
    <m/>
    <e v="#N/A"/>
    <s v="B0CK2PLPCY"/>
    <s v="TVUGVG6GDSWGBU8F"/>
    <s v="LSTTVUGVG6GDSWGBU8FRLYIGE"/>
    <s v="FVTBAV33BR32708"/>
    <s v="FN2152518-S-PM39235"/>
    <s v="FN2152518-S-WH41218"/>
    <n v="34399018"/>
  </r>
  <r>
    <s v="SR-WHTO-M"/>
    <x v="0"/>
    <n v="41"/>
    <s v="SR-WHTO"/>
    <s v="Whartin Shoe Rack"/>
    <s v="Brown Maple"/>
    <s v="Whartin Shoe Rack Brown Maple"/>
    <s v="Whartin Shoe Rack"/>
    <m/>
    <s v="X0025381C7"/>
    <s v="B0DFHFPL32"/>
    <s v="BACH45NRKZGZEQJN"/>
    <s v="LSTBACH45NRKZGZEQJNG7P04M"/>
    <s v="FVSGSR11BM51574"/>
    <s v="FN2229394-S-PM39235"/>
    <s v="FN2229394-S-WH41218"/>
    <n v="34398990"/>
  </r>
  <r>
    <s v="SB-LGN-MI"/>
    <x v="0"/>
    <n v="42"/>
    <s v="SB-LGN"/>
    <s v="Lagoon Bookshelf"/>
    <s v="Brown Maple &amp; Beige"/>
    <s v="Lagoon Bookshelf Brown Maple &amp; Beige"/>
    <s v="Lagoon Bookshelf"/>
    <m/>
    <s v="X001XQER93"/>
    <s v="B0CPJGM9LK"/>
    <s v="BSFGWYK9HARSNFE3"/>
    <s v="LSTBSFGWYK9HARSNFE31TXHZC"/>
    <s v="FVSGBR33BR72374"/>
    <s v="FN2166579-S-PM39235"/>
    <s v="FN2166579-S-WH41218"/>
    <n v="34380984"/>
  </r>
  <r>
    <s v="B-RVB-SNM"/>
    <x v="0"/>
    <n v="43"/>
    <s v="B-RVB-SN"/>
    <s v="Roverb SIngle Bed "/>
    <s v="Brown Maple"/>
    <s v="Roverb SIngle Bed  Brown Maple"/>
    <s v="Roverb SIngle Bed "/>
    <m/>
    <e v="#N/A"/>
    <s v="B0CJRX5M44"/>
    <s v="BDDGUJ24RAZM6RP6"/>
    <s v="LSTBDDGUJ24RAZM6RP6TNTPP3"/>
    <s v="FVBDNS33BR32686"/>
    <s v="FN2152501-S-PM39235"/>
    <s v="FN2152501-S-WH41218"/>
    <e v="#N/A"/>
  </r>
  <r>
    <s v="W-CLO-3M"/>
    <x v="0"/>
    <n v="44"/>
    <s v="W-CLO-3"/>
    <s v="Calcio 3-Tier Wardrobe"/>
    <s v="Brown Maple"/>
    <s v="Calcio 3-Tier Wardrobe Brown Maple"/>
    <s v="Calcio 3-Tier Wardrobe"/>
    <m/>
    <m/>
    <s v="B0F914627M"/>
    <s v="WCLHCARGGQHJGZVB"/>
    <s v="LSTWCLHCARGGQHJGZVBKE36Y8"/>
    <s v="FVSGCB11BR51515"/>
    <s v="FN2260671-S-PM39235"/>
    <s v="FN2260671-S-WH41218"/>
    <e v="#N/A"/>
  </r>
  <r>
    <s v="DC-MYN-LAMF"/>
    <x v="0"/>
    <n v="45"/>
    <s v="DC-MYN-LA"/>
    <s v="Mayrone Large Chest of Drawer"/>
    <s v="Brown Maple &amp; White"/>
    <s v="Mayrone Large Chest of Drawer Brown Maple &amp; White"/>
    <s v="Mayrone Large Chest of Drawer"/>
    <m/>
    <e v="#N/A"/>
    <s v="B0CJCLT2M9"/>
    <s v="CSDGUGWYHH2WCNKW"/>
    <s v="LSTCSDGUGWYHH2WCNKW5JEU5I"/>
    <s v="FVSGDR33BR32697"/>
    <s v="FN2135040-S-PM39235"/>
    <s v="FN2135040-S-WH41218"/>
    <e v="#N/A"/>
  </r>
  <r>
    <s v="TU-DRN-MF"/>
    <x v="0"/>
    <n v="46"/>
    <s v="TU-DRN"/>
    <s v="Darien TV Unit"/>
    <s v="Brown Maple &amp; White"/>
    <s v="Darien TV Unit Brown Maple &amp; White"/>
    <s v="Darien TV Unit"/>
    <m/>
    <s v="X001VVR7SX"/>
    <s v="B0CJC2W6D5"/>
    <s v="TVUGUGZAGAPNY5GG"/>
    <s v="LSTTVUGUGZAGAPNY5GGHT2VRR"/>
    <s v="FVTBAV33BR32714"/>
    <s v="FN2135044-S-PM39235"/>
    <s v="FN2135044-S-WH41218"/>
    <e v="#N/A"/>
  </r>
  <r>
    <s v="TU-FL-MI"/>
    <x v="0"/>
    <n v="47"/>
    <s v="TU-FL"/>
    <s v="Fenily TV Unit"/>
    <s v="Brown Maple &amp; Beige"/>
    <s v="Fenily TV Unit Brown Maple &amp; Beige"/>
    <s v="Fenily TV Unit"/>
    <m/>
    <e v="#N/A"/>
    <s v="B0CJMLPGLL"/>
    <s v="TVUH2Z7H6EAGCGZH"/>
    <s v="LSTTVUH2Z7H6EAGCGZHVGKWZ0"/>
    <s v="FVTBAV33BR32707"/>
    <s v="FN2152515-S-PM39235"/>
    <s v="FN2152515-S-WH41218"/>
    <n v="34399002"/>
  </r>
  <r>
    <s v="KC-SRN-M"/>
    <x v="0"/>
    <n v="48"/>
    <s v="KC-SRN"/>
    <s v="Serrenh  Kichen Cabinet"/>
    <s v="Brown Maple"/>
    <s v="Serrenh  Kichen Cabinet Brown Maple"/>
    <s v="Serrenh  Kichen Cabinet"/>
    <m/>
    <m/>
    <s v="B0F8ZT7YCR"/>
    <s v="KTCHCASRYPGKK7AF"/>
    <s v="LSTKTCHCASRYPGKK7AFXTT0DQ"/>
    <s v="FVSGSB11BR51527"/>
    <s v="KD2280092-S-PM39397"/>
    <s v="Not in WH"/>
    <n v="35522196"/>
  </r>
  <r>
    <s v="ST-CBN-MF"/>
    <x v="0"/>
    <n v="49"/>
    <s v="ST-CBN"/>
    <s v="Corbyn Study Table"/>
    <s v="Brown Maple &amp; White"/>
    <s v="Corbyn Study Table Brown Maple &amp; White"/>
    <s v="Corbyn Study Table"/>
    <m/>
    <s v="X001YSR0UX"/>
    <s v="B0CJBVQFC4"/>
    <s v="OSTGUGZH7B4UXDFZ"/>
    <s v="LSTOSTGUGZH7B4UXDFZNLS2LU"/>
    <s v="FVTBST33BR72382"/>
    <s v="FN2135046-S-PM39235"/>
    <s v="FN2135046-S-WH41218"/>
    <n v="34399080"/>
  </r>
  <r>
    <s v="SR-FYN-MF"/>
    <x v="0"/>
    <n v="50"/>
    <s v="SR-FYN"/>
    <s v="Furlyn Shoe Rack"/>
    <s v="Brown Maple &amp; White"/>
    <s v="Furlyn Shoe Rack Brown Maple &amp; White"/>
    <s v="Furlyn Shoe Rack"/>
    <m/>
    <m/>
    <s v="B0FGV1B3SF"/>
    <s v="SHKHDTCHJX3RARFD"/>
    <s v="LSTSHKHDTCHJX3RARFDVJVMFT"/>
    <s v="FVSGSR11BW51570"/>
    <s v="FN2260662-S-PM39235"/>
    <s v="FN2260662-S-WH41218"/>
    <n v="35524072"/>
  </r>
  <r>
    <s v="SR-WMO-M"/>
    <x v="1"/>
    <n v="51"/>
    <s v="SR-WMO"/>
    <s v="Wimzoe Shoe Rack"/>
    <s v="Brown Maple"/>
    <s v="Wimzoe Shoe Rack Brown Maple"/>
    <s v="Wimzoe Shoe Rack"/>
    <m/>
    <m/>
    <s v="B0FPR98T9T"/>
    <s v="SHKHH6J5DFFH3BZV"/>
    <m/>
    <m/>
    <m/>
    <s v="Not in WH"/>
    <m/>
  </r>
  <r>
    <s v="SB-VNO-M"/>
    <x v="0"/>
    <n v="52"/>
    <s v="SB-VNO"/>
    <s v="Veluno Bookshelf"/>
    <s v="Brown Maple"/>
    <s v="Veluno Bookshelf Brown Maple"/>
    <s v="Veluno Bookshelf"/>
    <m/>
    <m/>
    <s v="B0FGV4V8CC"/>
    <s v="BSFHDTCWNHFDM8KQ"/>
    <s v="LSTBSFHDTCWNHFDM8KQZ08BY6"/>
    <s v="FVSGBR11BM51556"/>
    <s v="FN2260659-S-PM39235"/>
    <s v="FN2260659-S-WH41218"/>
    <e v="#N/A"/>
  </r>
  <r>
    <s v="W-AND-2MFW"/>
    <x v="0"/>
    <n v="53"/>
    <s v="W-AND-2M"/>
    <s v="Andrie 2 Door with Mirror Wardrobe"/>
    <s v="Wenge &amp; White"/>
    <s v="Andrie 2 Door with Mirror Wardrobe Wenge &amp; White"/>
    <s v="Andrie 2 Door with Mirror Wardrobe"/>
    <m/>
    <e v="#N/A"/>
    <s v="B0B8J5QLZR"/>
    <s v="WCLGS2ZB9JCRBMBZ"/>
    <s v="LSTWCLGS2ZB9JCRBMBZJT2QVK"/>
    <s v="FVSGCB33WH25041"/>
    <s v="FN2027692-S-PM39235"/>
    <s v="FN2027692-S-WH41218"/>
    <e v="#N/A"/>
  </r>
  <r>
    <s v="PU-SUB-F"/>
    <x v="0"/>
    <n v="54"/>
    <s v="PU-SUB"/>
    <s v="Shubh Pooja Unit Temple"/>
    <s v="White"/>
    <s v="Shubh Pooja Unit Temple White"/>
    <s v="Shubh Pooja Unit Temple"/>
    <m/>
    <m/>
    <s v="B0FPR7JXCG"/>
    <s v="HTEHGGVN5BUSYZFY"/>
    <m/>
    <m/>
    <s v="KD2280100-S-PM39397"/>
    <s v="Not in WH"/>
    <m/>
  </r>
  <r>
    <s v="TU-ATD-M"/>
    <x v="0"/>
    <n v="55"/>
    <s v="TU-ATD"/>
    <s v="Anatdol TV Unit"/>
    <s v="Brown Maple"/>
    <s v="Anatdol TV Unit Brown Maple"/>
    <s v="Anatdol TV Unit"/>
    <m/>
    <s v="X001XQDYCT"/>
    <s v="B0CMLV7KNG"/>
    <s v="TVUH4M232FUMGQJF"/>
    <s v=" LSTTVUH4M232FUMGQJFQYIEDH"/>
    <s v="FVTBAV33BR32710"/>
    <s v="FN2166570-S-PM39235"/>
    <s v="FN2166570-S-WH41218"/>
    <n v="34398987"/>
  </r>
  <r>
    <s v="W-CLO-345M"/>
    <x v="0"/>
    <n v="56"/>
    <s v="W-CLO-345"/>
    <s v="Calcio Combo Wardrobe"/>
    <s v="Brown Maple"/>
    <s v="Calcio Combo Wardrobe Brown Maple"/>
    <s v="Calcio Combo Wardrobe"/>
    <m/>
    <m/>
    <s v="B0F8ZYDHKR"/>
    <s v="WCLHCARG9TGYQJRF"/>
    <s v="LSTWCLHCARG9TGYQJRFYL3KLZ"/>
    <s v="FVSGCB11BR51514"/>
    <s v="FN2260670-S-PM39235"/>
    <s v="FN2260670-S-WH41218"/>
    <e v="#N/A"/>
  </r>
  <r>
    <s v="TU-BVN-M"/>
    <x v="0"/>
    <n v="57"/>
    <s v="TU-BVN"/>
    <s v="Bevlyn TV Unit"/>
    <s v="Brown Maple"/>
    <s v="Bevlyn TV Unit Brown Maple"/>
    <s v="Bevlyn TV Unit"/>
    <m/>
    <s v="X0023H3JO5"/>
    <s v="B0D9HHMNMB"/>
    <s v="TVUH3BM6JZSR9HGN"/>
    <s v="LSTTVUH3BM6JZSR9HGNAVTQYX"/>
    <s v="FVSGAV11BM51540"/>
    <s v="FN2194324-S-PM39235"/>
    <s v="FN2194324-S-WH41218"/>
    <n v="34399063"/>
  </r>
  <r>
    <s v="W-MLT-2NMF"/>
    <x v="0"/>
    <n v="58"/>
    <s v="W-MLT-2N"/>
    <s v="Maltein 2 Door Without Mirror Wardrobe"/>
    <s v="Brown Maple &amp; White"/>
    <s v="Maltein 2 Door Without Mirror Wardrobe Brown Maple &amp; White"/>
    <s v="Maltein 2 Door Without Mirror Wardrobe"/>
    <m/>
    <m/>
    <s v="B0FDW98P3K"/>
    <s v="WCLHDTBWZ5XXGEHT"/>
    <s v="LSTWCLHDTBWZ5XXGEHTVXESDU"/>
    <s v="FVSGCB11BW51518"/>
    <s v="FN2260674-S-PM39235"/>
    <s v="FN2260674-S-WH41218"/>
    <e v="#N/A"/>
  </r>
  <r>
    <s v="DC-CLV-MF"/>
    <x v="0"/>
    <n v="59"/>
    <s v="DC-CLV"/>
    <s v="Colove Chest of Drawer"/>
    <s v="Brown Maple &amp; White"/>
    <s v="Colove Chest of Drawer Brown Maple &amp; White"/>
    <s v="Colove Chest of Drawer"/>
    <m/>
    <s v="X001YSQSY7"/>
    <s v="B0CJCHPL4Z"/>
    <s v="CSDGUGVE64QRTE3F"/>
    <s v="LSTCSDGUGVE64QRTE3FN3KP4P"/>
    <s v="FVSGDR33BR32695"/>
    <s v="FN2135041-S-PM39235"/>
    <s v="FN2135041-S-WH41218"/>
    <n v="35522198"/>
  </r>
  <r>
    <s v="RT-DR-MF"/>
    <x v="0"/>
    <n v="60"/>
    <s v="RT-DR"/>
    <s v="Darci Dressing Table"/>
    <s v="Brown Maple &amp; White"/>
    <s v="Darci Dressing Table Brown Maple &amp; White"/>
    <s v="Darci Dressing Table"/>
    <m/>
    <s v="X0021GF0F9"/>
    <s v="B0CR4D1HLL"/>
    <s v="DTBGWZXDGMTHG5GZ"/>
    <s v="LSTDTBGWZXDGMTHG5GZVL70AO"/>
    <s v="FVTBDS33BR32693"/>
    <s v="FN2166586-S-PM39235"/>
    <s v="FN2166586-S-WH41218"/>
    <e v="#N/A"/>
  </r>
  <r>
    <s v="ST-EFI-LAM"/>
    <x v="0"/>
    <n v="61"/>
    <s v="ST-EFI-LA"/>
    <s v="Efflino Large Study Table"/>
    <s v="Brown Maple"/>
    <s v="Efflino Large Study Table Brown Maple"/>
    <s v="Efflino Large Study Table"/>
    <m/>
    <s v="X0022AMS4Z"/>
    <s v="B0D4HRH2ZL"/>
    <s v="OSTHFRUZHPMABGER"/>
    <s v="LSTOSTHFRUZHPMABGER4LTFJH"/>
    <s v="FVTBST33BR50162"/>
    <s v="FN2194310-S-PM39235"/>
    <s v="FN2194310-S-WH41218"/>
    <n v="34399098"/>
  </r>
  <r>
    <s v="TU-CBR-LAM"/>
    <x v="0"/>
    <n v="62"/>
    <s v="TU-CBR-LA"/>
    <s v="Coober Large TV Unit"/>
    <s v="Brown Maple"/>
    <s v="Coober Large TV Unit Brown Maple"/>
    <s v="Coober Large TV Unit"/>
    <m/>
    <s v="X001XQKNIH"/>
    <s v="B07D6SJYVN"/>
    <s v="TVUGWDJWVAP6PPGW"/>
    <s v="LSTTVUGWDJWVAP6PPGWF8MY3F"/>
    <s v="FVTBAV33BR32712"/>
    <s v="FN2166563-S-PM39235"/>
    <s v="FN2166563-S-WH41218"/>
    <e v="#N/A"/>
  </r>
  <r>
    <s v="SR-WHTO-MI"/>
    <x v="0"/>
    <n v="63"/>
    <s v="SR-WHTO"/>
    <s v="Whartin Shoe Rack"/>
    <s v="Brown Maple &amp; Beige"/>
    <s v="Whartin Shoe Rack Brown Maple &amp; Beige"/>
    <s v="Whartin Shoe Rack"/>
    <m/>
    <s v="X001WVFFQX"/>
    <s v="B0CPC1LQSV"/>
    <s v="BACGVHFJYWJFGBYZ"/>
    <s v="LSTBACGVHFJYWJFGBYZTVCFPH"/>
    <s v="FVSGBR33BR72388"/>
    <s v="FN2166554-S-PM39235"/>
    <s v="FN2152511-S-WH41218"/>
    <n v="34399114"/>
  </r>
  <r>
    <s v="SR-CLM-3W"/>
    <x v="0"/>
    <n v="64"/>
    <s v="SR-CLM-3"/>
    <s v="Carlem 3 Door Shoe Rack"/>
    <s v="Wenge"/>
    <s v="Carlem 3 Door Shoe Rack Wenge"/>
    <s v="Carlem 3 Door Shoe Rack"/>
    <m/>
    <s v="X0021JQGUJ"/>
    <s v="B09XBK1XZL"/>
    <s v="CSDGDC3H5ZPBBDQS"/>
    <s v="LSTCSDGDC3H5ZPBBDQSXKIAZO"/>
    <s v="FVSGSR33WN20613"/>
    <s v="FN1988012-S-PM39235"/>
    <s v="FN1988012-S-WH41218"/>
    <n v="34399082"/>
  </r>
  <r>
    <s v="ST-MLM-WS"/>
    <x v="0"/>
    <n v="65"/>
    <s v="ST-MLM-N"/>
    <s v="Mallium without Slider Study Table"/>
    <s v="Wenge"/>
    <s v="Mallium without Slider Study Table Wenge"/>
    <s v="Mallium without Slider Study Table"/>
    <m/>
    <s v="X001EC6JZB"/>
    <s v="B07RSZD7Q9"/>
    <s v="OSTFNFWGJSNYJXW8"/>
    <s v="LSTOSTFNFWGJSNYJXW8COY6OJ"/>
    <s v="FVSGCB33BR25130"/>
    <s v="FN1991887-S-PM39235"/>
    <s v="FN1991887-S-WH41218"/>
    <n v="34399017"/>
  </r>
  <r>
    <s v="SB-CB-M"/>
    <x v="0"/>
    <n v="66"/>
    <s v="SB-CB"/>
    <s v="Crosbon Bookshelf"/>
    <s v="Brown Maple"/>
    <s v="Crosbon Bookshelf Brown Maple"/>
    <s v="Crosbon Bookshelf"/>
    <m/>
    <s v="X001X2WOD3"/>
    <s v="B0CP94C3ZR"/>
    <s v="BSFGWM9NY3JHADDH"/>
    <s v="LSTBSFGWM9NY3JHADDHC5TSUQ"/>
    <s v="FVSGBR33BR32738"/>
    <s v="FN2166574-S-PM39235"/>
    <s v="FN2166574-S-WH41218"/>
    <n v="34380504"/>
  </r>
  <r>
    <s v="SB-LGN.P-WF"/>
    <x v="0"/>
    <n v="67"/>
    <s v="SB-LGN"/>
    <s v="Lagoon Bookshelf"/>
    <s v="Wenge &amp; White"/>
    <s v="Lagoon Bookshelf Wenge &amp; White"/>
    <s v="Lagoon Bookshelf"/>
    <m/>
    <s v="X001SQ9RV1"/>
    <s v="B0C43R6BDK"/>
    <s v="BSFGPPC4THYJBGCR"/>
    <s v="LSTBSFGPPC4THYJBGCROSV3L8"/>
    <s v="FVSGBR33BR50160"/>
    <s v="FN2117969-S-PM39235"/>
    <s v="FN2117969-S-WH41218"/>
    <n v="34380953"/>
  </r>
  <r>
    <s v="SB-BNA-M"/>
    <x v="0"/>
    <n v="68"/>
    <s v="SB-BNA"/>
    <s v="Barnia Bookshelf"/>
    <s v="Brown Maple"/>
    <s v="Barnia Bookshelf Brown Maple"/>
    <s v="Barnia Bookshelf"/>
    <m/>
    <m/>
    <s v="B0FGV4VKVR"/>
    <s v="BSFHDTCRGH6MCMGT"/>
    <s v="LSTBSFHDTCRGH6MCMGTYYXJPQ"/>
    <s v="FVSGBR11BM51549"/>
    <s v="FN2260658-S-PM39235"/>
    <s v="FN2260658-S-WH41218"/>
    <e v="#N/A"/>
  </r>
  <r>
    <s v="TU-RWT-LAWF"/>
    <x v="0"/>
    <n v="69"/>
    <s v="TU-RWT-LA"/>
    <s v="Rowlet Large TV Unit"/>
    <s v="Wenge &amp; White"/>
    <s v="Rowlet Large TV Unit Wenge &amp; White"/>
    <s v="Rowlet Large TV Unit"/>
    <m/>
    <e v="#N/A"/>
    <s v="B08XWB6RDQ"/>
    <s v="TVUGD37H8ZS3YBPU"/>
    <s v="LSTTVUGD37H8ZS3YBPUOGZJOC"/>
    <s v="FVSGAV33WN20556"/>
    <s v="FN1986324-S-PM39235"/>
    <s v="FN1986324-S-WH41218"/>
    <e v="#N/A"/>
  </r>
  <r>
    <s v="W-AND-3MFW"/>
    <x v="0"/>
    <n v="70"/>
    <s v="W-AND-3M"/>
    <s v="Andrie 3 Door with Mirror Wardrobe"/>
    <s v="Wenge &amp; White"/>
    <s v="Andrie 3 Door with Mirror Wardrobe Wenge &amp; White"/>
    <s v="Andrie 3 Door with Mirror Wardrobe"/>
    <m/>
    <e v="#N/A"/>
    <s v="B0B8MY6R22"/>
    <s v="WCLGHCC3BKEDHRZ4"/>
    <s v="LSTWCLGHCC3BKEDHRZ4HSYBOQ"/>
    <s v="FVSGCB33WH25045"/>
    <s v="FN2027696-S-PM39235"/>
    <s v="FN2027696-S-WH41218"/>
    <e v="#N/A"/>
  </r>
  <r>
    <s v="W-AND-3NFW"/>
    <x v="0"/>
    <n v="71"/>
    <s v="W-AND-3N"/>
    <s v="Andrie 3 Door without Mirror Wardrobe"/>
    <s v="Wenge &amp; White"/>
    <s v="Andrie 3 Door without Mirror Wardrobe Wenge &amp; White"/>
    <s v="Andrie 3 Door without Mirror Wardrobe"/>
    <m/>
    <e v="#N/A"/>
    <s v="B0B8MVG5YX"/>
    <s v="WCLGHCC7YS3EYJFX"/>
    <s v="LSTWCLGHCC7YS3EYJFXWGBVSL"/>
    <s v="FVSGSR33BR71089"/>
    <s v="FN2027697-S-PM39235"/>
    <s v="FN2027697-S-WH41218"/>
    <e v="#N/A"/>
  </r>
  <r>
    <s v="ST-EFI-STM"/>
    <x v="0"/>
    <n v="72"/>
    <s v="ST-EFI-ST"/>
    <s v="Efflino Standard Study Table"/>
    <s v="Brown Maple"/>
    <s v="Efflino Standard Study Table Brown Maple"/>
    <s v="Efflino Standard Study Table"/>
    <m/>
    <e v="#N/A"/>
    <s v="B0DK38L15H"/>
    <s v="OSTH63GVZG8SFV5E"/>
    <s v="LSTOSTH63GVZG8SFV5E9E8XVK"/>
    <s v="FVTBST11BM51564"/>
    <s v="FN2229395-S-PM39235"/>
    <s v="Not in WH"/>
    <n v="34399110"/>
  </r>
  <r>
    <s v="ST-EFI-STM"/>
    <x v="0"/>
    <n v="72"/>
    <s v="ST-EFI-ST"/>
    <s v="Efflino Standard Study Table"/>
    <s v="Brown Maple"/>
    <s v="Efflino Standard Study Table Brown Maple"/>
    <s v="Efflino Standard Study Table"/>
    <m/>
    <e v="#N/A"/>
    <s v="B0DK38L15H"/>
    <s v="OSTH63GVZG8SFV5E"/>
    <s v="LSTOSTH63GVZG8SFV5E9E8XVK"/>
    <s v="FVTBST11BM51564"/>
    <s v="FN2229395-S-PM39235"/>
    <s v="Not in WH"/>
    <n v="34399110"/>
  </r>
  <r>
    <s v="SR-MVS-M"/>
    <x v="0"/>
    <n v="73"/>
    <s v="SR-MVS"/>
    <s v="Mavis Shoe Rack"/>
    <s v="Brown Maple"/>
    <s v="Mavis Shoe Rack Brown Maple"/>
    <s v="Mavis Shoe Rack"/>
    <m/>
    <s v="X00200SJOP"/>
    <s v="B0CVN4PGRQ"/>
    <s v="SHKGYH55S26RRHND"/>
    <s v="LSTSHKGYH55S26RRHND9OWP0G"/>
    <s v="FVSGBR33BR72392"/>
    <s v="FN2194307-S-PM39235"/>
    <s v="FN2194307-S-WH41218"/>
    <n v="34398999"/>
  </r>
  <r>
    <s v="BT-NHE-M"/>
    <x v="0"/>
    <n v="74"/>
    <s v="BT-NHE"/>
    <s v="Nohee Bed Side Table"/>
    <s v="Brown Maple"/>
    <s v="Nohee Bed Side Table Brown Maple"/>
    <s v="Nohee Bed Side Table"/>
    <m/>
    <m/>
    <s v="B0F8ZSS6BZ"/>
    <s v="SITHCASHGFFHJWTF"/>
    <s v="LSTSITHCASHGFFHJWTFK4UQO9"/>
    <s v="FVTBBS11BR51512"/>
    <s v="FN2260656-S-PM39235"/>
    <s v="FN2260656-S-WH41218"/>
    <n v="35520708"/>
  </r>
  <r>
    <s v="RT-FR-M"/>
    <x v="0"/>
    <n v="75"/>
    <s v="RT-FR"/>
    <s v="Freddie Dressing Table"/>
    <s v="Brown Maple"/>
    <s v="Freddie Dressing Table Brown Maple"/>
    <s v="Freddie Dressing Table"/>
    <m/>
    <m/>
    <s v="B06VWXSCPF"/>
    <s v="DTBHBZRA4MNW9DHD"/>
    <m/>
    <s v="FVTBDS11BR51522"/>
    <s v="FN2260657-S-PM39235"/>
    <s v="Not in WH"/>
    <e v="#N/A"/>
  </r>
  <r>
    <s v="CT-TR-RTM"/>
    <x v="0"/>
    <n v="76"/>
    <s v="CT-TR-RT"/>
    <s v="Taury Rectangle Coffee Table"/>
    <s v="Brown Maple"/>
    <s v="Taury Rectangle Coffee Table Brown Maple"/>
    <s v="Taury Rectangle Coffee Table"/>
    <m/>
    <s v="X00232P8UD"/>
    <s v="B0D4QM611T"/>
    <s v="CFTH2QGHWFZEUDHT"/>
    <s v="LSTCFTH2QGHWFZEUDHT8FKVZO"/>
    <s v="FVTBCF33BR50152"/>
    <s v="FN2229389-S-PM39235"/>
    <s v="Not in WH"/>
    <n v="34399035"/>
  </r>
  <r>
    <s v="SR-PRG-MF"/>
    <x v="0"/>
    <n v="77"/>
    <s v="SR-PRG"/>
    <s v="Prorage Shoe Rack"/>
    <s v="Brown Maple &amp; White"/>
    <s v="Prorage Shoe Rack Brown Maple &amp; White"/>
    <s v="Prorage Shoe Rack"/>
    <m/>
    <s v="X00200LJ3D"/>
    <s v="B0CV3CFF9C"/>
    <s v="SHKH4FRRPNHUEGXB"/>
    <s v="LSTSHKH4FRRPNHUEGXBE8GVX0"/>
    <s v="FVSGBR33BR72394"/>
    <s v="FN2194308-S-PM39235"/>
    <s v="FN2194308-S-WH41218"/>
    <n v="34399015"/>
  </r>
  <r>
    <s v="TU-MA-LAMF"/>
    <x v="0"/>
    <n v="78"/>
    <s v="TU-MA-LA"/>
    <s v="Maisy Large TV Unit"/>
    <s v="Brown Maple &amp; White"/>
    <s v="Maisy Large TV Unit Brown Maple &amp; White"/>
    <s v="Maisy Large TV Unit"/>
    <m/>
    <s v="X0024877YL"/>
    <s v="B0CK5QKMHP"/>
    <s v="TVUGWG73GTZSTCB6"/>
    <s v="LSTTVUGWG73GTZSTCB60MCREC"/>
    <s v="FVTBAV33BR32718"/>
    <s v="FN2166566-S-PM39235"/>
    <s v="FN2166566-S-WH41218"/>
    <n v="34398998"/>
  </r>
  <r>
    <s v="SR-OLY-MI"/>
    <x v="0"/>
    <n v="79"/>
    <s v="SR-OLY"/>
    <s v="Oleye Shoe Rack"/>
    <s v="Brown Maple &amp; Beige"/>
    <s v="Oleye Shoe Rack Brown Maple &amp; Beige"/>
    <s v="Oleye Shoe Rack"/>
    <m/>
    <s v="X001YXZYGZ"/>
    <s v="B09XBDHDPW"/>
    <s v="CSDGVWVPZGESQVSN"/>
    <s v="LSTCSDGVWVPZGESQVSNANCYOY"/>
    <s v="FVSGSR33BR32759"/>
    <s v="FN2166551-S-PM39235"/>
    <s v="FN2166551-S-WH41218"/>
    <n v="34399084"/>
  </r>
  <r>
    <s v="S-AE-W6"/>
    <x v="0"/>
    <n v="80"/>
    <s v="S-AE"/>
    <s v="Albert Wall Shelve"/>
    <s v="Wenge"/>
    <s v="Albert Wall Shelve Wenge"/>
    <s v="Albert Wall Shelve"/>
    <m/>
    <s v="X000LKMUXH"/>
    <s v="B01FOAFXLQ"/>
    <s v="BSFETYFVRDHUHU9Z"/>
    <s v="LSTBSFETYFVRDHUHU9ZXAWOCQ"/>
    <s v="FVSGCB33WG25067"/>
    <s v="FN2030304-S-PM39235"/>
    <s v="Not in WH"/>
    <n v="34163061"/>
  </r>
  <r>
    <s v="W-CLO-4M"/>
    <x v="0"/>
    <n v="81"/>
    <s v="W-CLO-4"/>
    <s v="Calcio 4-Tier Wardrobe"/>
    <s v="Brown Maple"/>
    <s v="Calcio 4-Tier Wardrobe Brown Maple"/>
    <s v="Calcio 4-Tier Wardrobe"/>
    <m/>
    <m/>
    <s v="B0F916LBY9"/>
    <s v="WCLHCARGGWNAWKHC"/>
    <s v="LSTWCLHCARGGWNAWKHCLUS45C"/>
    <s v="FVSGCB11BR51516"/>
    <s v="FN2260672-S-PM39235"/>
    <s v="FN2260672-S-WH41218"/>
    <e v="#N/A"/>
  </r>
  <r>
    <s v="ST-CBN-SMF"/>
    <x v="2"/>
    <n v="82"/>
    <s v="ST-CBN-S"/>
    <s v="Corbyn Solo Study Table"/>
    <s v="Brown Maple &amp; White"/>
    <s v="Corbyn Solo Study Table Brown Maple &amp; White"/>
    <s v="Corbyn Solo Study Table"/>
    <m/>
    <s v="X001Z313P5"/>
    <s v="B0CVN9LTNC"/>
    <s v="OSTGYH5Q4QZCH9C2"/>
    <s v="LSTOSTGYH5Q4QZCH9C2LYE6LC"/>
    <s v="FVTBST33BR32750"/>
    <s v="FN2194309-S-PM39235"/>
    <s v="FN2194309-S-WH41218"/>
    <n v="34399005"/>
  </r>
  <r>
    <s v="SR-BKN-MF"/>
    <x v="0"/>
    <n v="83"/>
    <s v="SR-BKN-2"/>
    <s v="Brooklyn Shoe Rack"/>
    <s v="Brown Maple &amp; White"/>
    <s v="Brooklyn Shoe Rack Brown Maple &amp; White"/>
    <s v="Brooklyn Shoe Rack"/>
    <m/>
    <s v="X001YSR0UD"/>
    <s v="B0CJRS1LB2"/>
    <s v="SHKGUJYVKZPFWZA7"/>
    <s v="LSTSHKGUJYVKZPFWZA7IYNNVA"/>
    <s v="FVSGSR33BR32752"/>
    <s v="FN2152509-S-PM39235"/>
    <s v="FN2152509-S-WH41218"/>
    <n v="34399130"/>
  </r>
  <r>
    <s v="SB-SN-NW"/>
    <x v="0"/>
    <n v="84"/>
    <s v="SB-SN-N"/>
    <s v="Seonn Bookshelf"/>
    <s v="Wenge"/>
    <s v="Seonn Bookshelf Wenge"/>
    <s v="Seonn Bookshelf"/>
    <m/>
    <s v="X001CODCSX"/>
    <s v="B08YWPGQ65"/>
    <s v="BSFGF9PA3FDZUTB7"/>
    <s v="LSTBSFGF9PA3FDZUTB7VVXN8G"/>
    <s v="FVSGBR33WN20584"/>
    <s v="FN1991893-S-PM39235"/>
    <s v="FN1991893-S-WH41218"/>
    <n v="34380988"/>
  </r>
  <r>
    <s v="TU-PMG-STMF"/>
    <x v="0"/>
    <n v="85"/>
    <s v="TU-PMG-ST"/>
    <s v="Primax Grande Standard TV Unit"/>
    <s v="Brown Maple &amp; White"/>
    <s v="Primax Grande Standard TV Unit Brown Maple &amp; White"/>
    <s v="Primax Grande Standard TV Unit"/>
    <m/>
    <s v="X001VYW48X"/>
    <s v="B0CK5TZTNF"/>
    <s v="TVUGVG6QPFPWDQRG"/>
    <s v="LSTTVUGVG6QPFPWDQRGVUV3JZ"/>
    <s v="FVTBAV33BR32722"/>
    <s v="FN2152516-S-PM39235"/>
    <s v="Not in WH"/>
    <n v="34399040"/>
  </r>
  <r>
    <s v="CT-NO-RTM"/>
    <x v="0"/>
    <n v="86"/>
    <s v="CT-NO-RT"/>
    <s v="Noel Rectangle Coffee Table"/>
    <s v="Brown Maple"/>
    <s v="Noel Rectangle Coffee Table Brown Maple"/>
    <s v="Noel Rectangle Coffee Table"/>
    <m/>
    <s v="X001WE0PVP"/>
    <s v="B06VWV8XVD"/>
    <s v="CFTGW3KGDBBDXSZF"/>
    <s v="LSTCFTGW3KGDBBDXSZFZXQDDV"/>
    <s v="FVTBCF33BR32700"/>
    <s v="FN2152504-S-PM39235"/>
    <s v="FN2152504-S-WH41218"/>
    <n v="34399095"/>
  </r>
  <r>
    <s v="W-BNO-MF"/>
    <x v="0"/>
    <n v="87"/>
    <s v="W-BNO"/>
    <s v="Bonco Wardrobe"/>
    <s v="Brown Maple &amp; White"/>
    <s v="Bonco Wardrobe Brown Maple &amp; White"/>
    <s v="Bonco Wardrobe"/>
    <m/>
    <m/>
    <s v="B0F9173CCD"/>
    <s v="WCLHC8U9KUQEJBZE"/>
    <s v="LSTWCLHC8U9KUQEJBZE7TGRQZ"/>
    <s v="FVSGCB11BW51513"/>
    <s v="FN2260669-S-PM39235"/>
    <s v="FN2260669-S-WH41218"/>
    <e v="#N/A"/>
  </r>
  <r>
    <s v="CT-DOV-WF"/>
    <x v="2"/>
    <n v="88"/>
    <s v="CT-DOV"/>
    <s v="Declove Coffee Table"/>
    <s v="Wenge &amp; White"/>
    <s v="Declove Coffee Table Wenge &amp; White"/>
    <s v="Declove Coffee Table"/>
    <m/>
    <s v="X001KJRCDV"/>
    <s v="B09YRPFNVT"/>
    <s v="CFTGG8GZKRJFZXF3"/>
    <s v="LSTCFTGG8GZKRJFZXF3MWOHZ7"/>
    <s v="FVTBCF33WW20626"/>
    <s v="FN2030314-S-PM39235"/>
    <s v="FN2030314-S-WH41218"/>
    <n v="34399102"/>
  </r>
  <r>
    <s v="TU-PMG-LAW"/>
    <x v="0"/>
    <n v="89"/>
    <s v="TU-PMG-LA"/>
    <s v="Primax Grande Large TV Unit"/>
    <s v="Wenge"/>
    <s v="Primax Grande Large TV Unit Wenge"/>
    <s v="Primax Grande Large TV Unit"/>
    <m/>
    <s v="X001I5KUIL"/>
    <s v="B09PBSL1M2"/>
    <s v="TVUGAB6HTH3Z7CEK"/>
    <s v="LSTTVUGAB6HTH3Z7CEKYJMK5O"/>
    <s v="FVSGAV33WN20542"/>
    <s v="FN1986325-S-PM39235"/>
    <s v="Not in WH"/>
    <n v="34399150"/>
  </r>
  <r>
    <s v="ST-MLM-LMF"/>
    <x v="0"/>
    <n v="90"/>
    <s v="ST-MLM-L"/>
    <s v="Mallium With Slider Study Table"/>
    <s v="Brown Maple &amp; White"/>
    <s v="Mallium With Slider Study Table Brown Maple &amp; White"/>
    <s v="Mallium With Slider Study Table"/>
    <m/>
    <s v="X0024ZGY0H"/>
    <s v="B0DFGZJT6J"/>
    <s v="OSTH45Z8Y5BHYPDH"/>
    <s v="LSTOSTH45Z8Y5BHYPDHVACS56"/>
    <s v="FVTBST11BW51565"/>
    <s v="FN2229397-S-PM39235"/>
    <s v="FN2229397-S-WH41218"/>
    <n v="34399066"/>
  </r>
  <r>
    <s v="CT-ATD-STM"/>
    <x v="0"/>
    <n v="91"/>
    <s v="CT-ATD"/>
    <s v="Anatdol Standard Coffee Table"/>
    <s v="Brown Maple"/>
    <s v="Anatdol Standard Coffee Table Brown Maple"/>
    <s v="Anatdol Standard Coffee Table"/>
    <m/>
    <s v="X0020NXUKF"/>
    <s v="B0CP93LCVW"/>
    <s v="CFTGWDMF66BKQHEN"/>
    <s v="LSTCFTGWDMF66BKQHENJ0TER0"/>
    <s v="FVTBCF33BR32698"/>
    <s v="FN2166569-S-PM39235"/>
    <s v="Not in WH"/>
    <n v="34399031"/>
  </r>
  <r>
    <s v="ST-RDO-M"/>
    <x v="0"/>
    <n v="92"/>
    <s v="ST-RDO"/>
    <s v="Radisso Study Table"/>
    <s v="Brown Maple"/>
    <s v="Radisso Study Table Brown Maple"/>
    <s v="Radisso Study Table"/>
    <m/>
    <e v="#N/A"/>
    <s v="B0D9HDHH7T"/>
    <s v="OSTH3CFVGZGGFBHY"/>
    <s v="LSTOSTH3CFVGZGGFBHYLHBDXF"/>
    <s v="FVTBST33BR50163"/>
    <s v="FN2194321-S-PM39235"/>
    <s v="FN2194321-S-WH41218"/>
    <n v="34399125"/>
  </r>
  <r>
    <s v="CT-VC-W"/>
    <x v="0"/>
    <n v="93"/>
    <s v="CT-VC"/>
    <s v="Victor Coffee Table"/>
    <s v="Wenge"/>
    <s v="Victor Coffee Table Wenge"/>
    <s v="Victor Coffee Table"/>
    <m/>
    <s v="X000PRUWX1"/>
    <s v="B06WLNKHXD"/>
    <s v="CFTET3C435FSJRF6"/>
    <s v="LSTCFTET3C435FSJRF6NYLPLG"/>
    <s v="FVTBCF33WN20660"/>
    <s v="FN1991897-S-PM39235"/>
    <s v="FN1991897-S-WH41218"/>
    <n v="34399172"/>
  </r>
  <r>
    <s v="S-BR-F6L"/>
    <x v="4"/>
    <n v="94"/>
    <s v="S-BR-F6"/>
    <s v="Braine F6 Shelves Wall Shelve"/>
    <s v="Walnut"/>
    <s v="Braine F6 Shelves Wall Shelve Walnut"/>
    <s v="Braine F6 Shelves Wall Shelve"/>
    <m/>
    <s v="X001GVD3H7"/>
    <s v="B09LD22YFC"/>
    <s v="BSFFBPZUDDHGG28P"/>
    <s v="LSTBSFFBPZUDDHGG28PBZLSNA"/>
    <s v="FVSGCB33WL25079"/>
    <s v="DE2231308-S-PM39397"/>
    <s v="Not in WH"/>
    <n v="29525066"/>
  </r>
  <r>
    <s v="B-RVB-QNM"/>
    <x v="0"/>
    <n v="95"/>
    <s v="B-RVB-QN"/>
    <s v="Roverb Queen Bed "/>
    <s v="Brown Maple"/>
    <s v="Roverb Queen Bed  Brown Maple"/>
    <s v="Roverb Queen Bed "/>
    <m/>
    <e v="#N/A"/>
    <s v="B08XW1VX4Q"/>
    <s v="BDDGUJ245EZV5GRZ"/>
    <s v="LSTBDDGUJ245EZV5GRZNIFGRK"/>
    <s v="FVBDNS33BR32685"/>
    <s v="FN2152500-S-PM39235"/>
    <s v="FN2152500-S-WH41218"/>
    <e v="#N/A"/>
  </r>
  <r>
    <s v="W-AND-4NMI"/>
    <x v="0"/>
    <n v="96"/>
    <s v="W-AND-4N"/>
    <s v="Andrie 4 Door without Mirror Wardrobe"/>
    <s v="Brown Maple &amp; Beige"/>
    <s v="Andrie 4 Door without Mirror Wardrobe Brown Maple &amp; Beige"/>
    <s v="Andrie 4 Door without Mirror Wardrobe"/>
    <m/>
    <e v="#N/A"/>
    <s v="B0CR4BQFMW"/>
    <s v="WCLGWZZNHBB9FHNY"/>
    <s v="LSTWCLGWZZNHBB9FHNYWZSQLK"/>
    <s v="FVSGCB33BR32692"/>
    <s v="FN2166584-S-PM39235"/>
    <s v="Not in WH"/>
    <e v="#N/A"/>
  </r>
  <r>
    <s v="TU-PTL-M"/>
    <x v="0"/>
    <n v="97"/>
    <s v="TU-PTL"/>
    <s v="Petel TV Unit"/>
    <s v="Brown Maple"/>
    <s v="Petel TV Unit Brown Maple"/>
    <s v="Petel TV Unit"/>
    <m/>
    <s v="X0024ADWB1"/>
    <s v="B0D9HFGGQ9"/>
    <s v="TVUH3BMY2HKQQF6D"/>
    <s v="LSTTVUH3BMY2HKQQF6DXBOIS8"/>
    <s v="FVSGAV33BR50158"/>
    <s v="FN2194323-S-PM39235"/>
    <s v="Not in WH"/>
    <n v="34399099"/>
  </r>
  <r>
    <s v="SR-KPN-FW"/>
    <x v="0"/>
    <n v="98"/>
    <s v="SR-KPN"/>
    <s v="Kaspen Shoe Rack"/>
    <s v="Wenge"/>
    <s v="Kaspen Shoe Rack Wenge"/>
    <s v="Kaspen Shoe Rack"/>
    <m/>
    <s v="X0023FVU9D"/>
    <s v="B09TXMJP9P"/>
    <s v="CSDGCHW3YYJEYG6A"/>
    <s v="LSTCSDGCHW3YYJEYG6A6XZNFH"/>
    <s v="FVSGSR33WW20616"/>
    <s v="FN1988014-S-PM39235"/>
    <s v="FN1988014-S-WH41218"/>
    <n v="34399041"/>
  </r>
  <r>
    <s v="W-AND-12NWF"/>
    <x v="0"/>
    <n v="99"/>
    <s v="W-AND-12N"/>
    <s v="Andrie Single Door with Two Drawer Wardrobe"/>
    <s v="Wenge &amp; White"/>
    <s v="Andrie Single Door with Two Drawer Wardrobe Wenge &amp; White"/>
    <s v="Andrie Single Door with Two Drawer Wardrobe"/>
    <m/>
    <s v="X001YXWLWZ"/>
    <s v="B0BCZ7QS8Q"/>
    <s v="WCLGG2F5CBADX7WZ"/>
    <s v="LSTWCLGG2F5CBADX7WZUJE5OU"/>
    <s v="FVSGSR33BR71085"/>
    <s v="FN2087155-S-PM39235"/>
    <s v="FN2087155-S-WH41218"/>
    <e v="#N/A"/>
  </r>
  <r>
    <s v="W-AND-4NFW"/>
    <x v="0"/>
    <n v="100"/>
    <s v="W-AND-4N"/>
    <s v="Andrie 4 Door without Mirror Wardrobe"/>
    <s v="Wenge &amp; White"/>
    <s v="Andrie 4 Door without Mirror Wardrobe Wenge &amp; White"/>
    <s v="Andrie 4 Door without Mirror Wardrobe"/>
    <m/>
    <e v="#N/A"/>
    <s v="B0B8MXTLK2"/>
    <s v="WCLGHCFHGA2YHGHM"/>
    <s v="LSTWCLGHCFHGA2YHGHMLG96C4"/>
    <s v="FVSGSR33BR71093"/>
    <s v="FN2027701-S-PM39235"/>
    <s v="FN2027701-S-WH41218"/>
    <e v="#N/A"/>
  </r>
  <r>
    <s v="W-AND-10NWF"/>
    <x v="0"/>
    <n v="101"/>
    <s v="W-AND-10N"/>
    <s v="Andrie Single Door Wardrobe"/>
    <s v="Wenge &amp; White"/>
    <s v="Andrie Single Door Wardrobe Wenge &amp; White"/>
    <s v="Andrie Single Door Wardrobe"/>
    <m/>
    <s v="X001YSPS43"/>
    <s v="B0BCZ57BV8"/>
    <s v="WCLGG2YP4TDN5FCG"/>
    <s v="LSTWCLGG2YP4TDN5FCGBWKFAK"/>
    <s v="FVSGSR33BR71081"/>
    <s v="FN2087153-S-PM39235"/>
    <s v="Not in WH"/>
    <e v="#N/A"/>
  </r>
  <r>
    <s v="TU-LE-M"/>
    <x v="0"/>
    <n v="102"/>
    <s v="TU-LE"/>
    <s v="Leo TV Unit"/>
    <s v="Brown Maple"/>
    <s v="Leo TV Unit Brown Maple"/>
    <s v="Leo TV Unit"/>
    <m/>
    <e v="#N/A"/>
    <s v="B06XMXN38X"/>
    <s v="TVUH2APYR3HJFGMF"/>
    <s v="LSTTVUH2APYR3HJFGMFHPDNOI"/>
    <s v="FVSGAV11BM51543"/>
    <s v="FN2229401-S-PM39235"/>
    <s v="FN2229401-S-WH41218"/>
    <n v="34399008"/>
  </r>
  <r>
    <s v="TU-VC-MF"/>
    <x v="1"/>
    <n v="103"/>
    <s v="TU-VC"/>
    <s v="Victor TV Unit"/>
    <s v="Brown Maple &amp; White"/>
    <s v="Victor TV Unit Brown Maple &amp; White"/>
    <s v="Victor TV Unit"/>
    <m/>
    <m/>
    <s v="B06X3XP3PM"/>
    <s v="TVUHHBRJBZYKNZFX"/>
    <m/>
    <m/>
    <m/>
    <s v="Not in WH"/>
    <e v="#N/A"/>
  </r>
  <r>
    <s v="ST-KYA-M"/>
    <x v="0"/>
    <n v="104"/>
    <s v="ST-KYA"/>
    <s v="Karmiya Study Table"/>
    <s v="Brown Maple"/>
    <s v="Karmiya Study Table Brown Maple"/>
    <s v="Karmiya Study Table"/>
    <m/>
    <e v="#N/A"/>
    <s v="B0D9H9NBG2"/>
    <s v="OSTH3CFTSQDAKVZC"/>
    <s v="LSTOSTH3CFTSQDAKVZC4NSXRA"/>
    <s v="FVTBST33BR50164"/>
    <s v="FN2194322-S-PM39235"/>
    <s v="FN2194322-S-WH41218"/>
    <n v="34399037"/>
  </r>
  <r>
    <s v="S-PTE-W"/>
    <x v="0"/>
    <n v="105"/>
    <s v="S-PTE"/>
    <s v="Petree Wall Shelve"/>
    <s v="Wenge"/>
    <s v="Petree Wall Shelve Wenge"/>
    <s v="Petree Wall Shelve"/>
    <m/>
    <s v="X001KOZCAB"/>
    <s v="B09Y5SY1FT"/>
    <s v="BSFGG8HTV922UEJH"/>
    <s v="LSTBSFGG8HTV922UEJHMW9TEN"/>
    <s v="FVSGCB33WG25100"/>
    <s v="DE2034598-S-PM39397"/>
    <s v="Not in WH"/>
    <n v="29525094"/>
  </r>
  <r>
    <s v="KC-OPT-1SF"/>
    <x v="0"/>
    <n v="106"/>
    <s v="KC-OPT-1S"/>
    <s v="Opryt with Shelf  Kichen Cabinet"/>
    <s v="White"/>
    <s v="Opryt with Shelf  Kichen Cabinet White"/>
    <s v="Opryt with Shelf  Kichen Cabinet"/>
    <m/>
    <m/>
    <s v="B0F8ZH3X7Q"/>
    <s v="KTCHCARUDGCFWGYT"/>
    <s v="LSTKTCHCARUDGCFWGYTRAKZN8"/>
    <s v="FVSGSB11WH51524"/>
    <s v="KD2280086-S-PM39397"/>
    <s v="Not in WH"/>
    <n v="35522197"/>
  </r>
  <r>
    <s v="W-AND-4MMI"/>
    <x v="0"/>
    <n v="107"/>
    <s v="W-AND-4M"/>
    <s v="Andrie 4 Door with Mirror Wardrobe"/>
    <s v="Brown Maple &amp; Beige"/>
    <s v="Andrie 4 Door with Mirror Wardrobe Brown Maple &amp; Beige"/>
    <s v="Andrie 4 Door with Mirror Wardrobe"/>
    <m/>
    <e v="#N/A"/>
    <s v="B0CR4BK46M"/>
    <s v="WCLGWZZNVVSVHHJH"/>
    <s v="LSTWCLGWZZNVVSVHHJHN0EMDS"/>
    <s v="FVSGCB33BR32691"/>
    <s v="FN2166585-S-PM39235"/>
    <s v="Not in WH"/>
    <e v="#N/A"/>
  </r>
  <r>
    <s v="ST-MLM-NMF"/>
    <x v="0"/>
    <n v="108"/>
    <s v="ST-MLM-N"/>
    <s v="Mallium without Slider Study Table"/>
    <s v="Brown Maple &amp; White"/>
    <s v="Mallium without Slider Study Table Brown Maple &amp; White"/>
    <s v="Mallium without Slider Study Table"/>
    <m/>
    <s v="X0024ZRXCP"/>
    <s v="B0DHL26N3W"/>
    <s v="OSTH4WFAEEFKH56X"/>
    <s v="LSTOSTH4WFAEEFKH56XOHIWWC"/>
    <s v="FVTBST11BW51566"/>
    <s v="FN2229398-S-PM39235"/>
    <s v="FN2229398-S-WH41218"/>
    <n v="34399028"/>
  </r>
  <r>
    <s v="TU-FL-OF"/>
    <x v="1"/>
    <n v="109"/>
    <s v="TU-FL"/>
    <s v="Fenily TV Unit"/>
    <s v="European Oak &amp; White"/>
    <s v="Fenily TV Unit European Oak &amp; White"/>
    <s v="Fenily TV Unit"/>
    <m/>
    <m/>
    <s v="B0FNMP7PS2"/>
    <s v="TVUHH6GHKZ7UEFD2"/>
    <m/>
    <m/>
    <m/>
    <s v="Not in WH"/>
    <m/>
  </r>
  <r>
    <s v="BT-OL-DWF"/>
    <x v="0"/>
    <n v="110"/>
    <s v="BT-OL-D"/>
    <s v="Oliver Bed Side Table"/>
    <s v="Wenge &amp; White"/>
    <s v="Oliver Bed Side Table Wenge &amp; White"/>
    <s v="Oliver Bed Side Table"/>
    <m/>
    <s v="X001RHEID3"/>
    <s v="B0CV5R64K5"/>
    <s v="SITGP9UFBHUVTBEG"/>
    <s v="LSTSITGP9UFBHUVTBEGYVN0WU"/>
    <s v="FVTBBS33BR50139"/>
    <s v="FN2087133-S-PM39235"/>
    <s v="FN2087133-S-WH41218"/>
    <n v="34399079"/>
  </r>
  <r>
    <s v="TU-RWT-MWF"/>
    <x v="0"/>
    <n v="111"/>
    <s v="TU-RWT-M"/>
    <s v="Rowlet Mini TV Unit"/>
    <s v="Wenge &amp; White"/>
    <s v="Rowlet Mini TV Unit Wenge &amp; White"/>
    <s v="Rowlet Mini TV Unit"/>
    <m/>
    <s v="X001YY225F"/>
    <s v="B09YRHB62S"/>
    <s v="TVUGG8JJFZAM9MBJ"/>
    <s v="LSTTVUGG8JJFZAM9MBJFDOMEB"/>
    <s v="FVSGAV33WW20557"/>
    <s v="FN2030342-S-PM39235"/>
    <s v="FN2030342-S-WH41218"/>
    <e v="#N/A"/>
  </r>
  <r>
    <s v="B-MLT-QTMI"/>
    <x v="0"/>
    <n v="112"/>
    <s v="B-MLT-QT"/>
    <s v="Maltein Queen With storage Bed "/>
    <s v="Brown Maple &amp; Beige"/>
    <s v="Maltein Queen With storage Bed  Brown Maple &amp; Beige"/>
    <s v="Maltein Queen With storage Bed "/>
    <m/>
    <e v="#N/A"/>
    <s v="B0CP3L1R7C"/>
    <s v="BDDGVWRPKDPG8ENT"/>
    <s v="LSTBDDGVWRPKDPG8ENTDXDQSO"/>
    <s v="FVBDST33BR32683"/>
    <s v="FN2152503-S-PM39235"/>
    <s v="FN2152503-S-WH41218"/>
    <e v="#N/A"/>
  </r>
  <r>
    <s v="W-AND-2NFW"/>
    <x v="0"/>
    <n v="112"/>
    <s v="W-AND-2N"/>
    <s v="Andrie 2 Door without Mirror Wardrobe"/>
    <s v="Wenge &amp; White"/>
    <s v="Andrie 2 Door without Mirror Wardrobe Wenge &amp; White"/>
    <s v="Andrie 2 Door without Mirror Wardrobe"/>
    <m/>
    <e v="#N/A"/>
    <s v="B0B8J7J2K1"/>
    <s v="WCLGHCBMXMYDWS8Z"/>
    <s v="LSTWCLGHCBMXMYDWS8ZFUXN6V"/>
    <s v="FVSGCB33WH25042"/>
    <s v="FN2027693-S-PM39235"/>
    <s v="FN2027693-S-WH41218"/>
    <e v="#N/A"/>
  </r>
  <r>
    <s v="SR-KPN-OF"/>
    <x v="1"/>
    <n v="114"/>
    <s v="SR-KPN"/>
    <s v="Kaspen Shoe Rack"/>
    <s v="European Oak &amp; White"/>
    <s v="Kaspen Shoe Rack European Oak &amp; White"/>
    <s v="Kaspen Shoe Rack"/>
    <m/>
    <m/>
    <s v="B0FNMLFK2K"/>
    <s v="SHKHH6GXCXBTNYNC"/>
    <m/>
    <m/>
    <m/>
    <s v="Not in WH"/>
    <e v="#N/A"/>
  </r>
  <r>
    <s v="CT-TLY.E-MI"/>
    <x v="0"/>
    <n v="115"/>
    <s v="CT-TLY"/>
    <s v="Taurley Coffee Table"/>
    <s v="Brown Maple &amp; Beige"/>
    <s v="Taurley Coffee Table Brown Maple &amp; Beige"/>
    <s v="Taurley Coffee Table"/>
    <m/>
    <s v="X001VG6ADB"/>
    <s v="B0CBSLL2FN"/>
    <s v="CFTH2QEES2DWHHQ4"/>
    <s v="LSTCFTH2QEES2DWHHQ4CQW40S"/>
    <s v="FVTBCF33BR50151"/>
    <s v="FN2194297-S-PM39235"/>
    <s v="Not in WH"/>
    <n v="34399209"/>
  </r>
  <r>
    <s v="CT-MT-ROF"/>
    <x v="0"/>
    <n v="116"/>
    <s v="CT-MT-RO"/>
    <s v="Mayrite Round Coffee Table"/>
    <s v="White"/>
    <s v="Mayrite Round Coffee Table White"/>
    <s v="Mayrite Round Coffee Table"/>
    <m/>
    <s v="X001KC4HSV"/>
    <s v="B09X1H9HXP"/>
    <s v="CFTGDCFZFVFUYVBQ"/>
    <s v="LSTCFTGDCFZFVFUYVBQ2BREIT"/>
    <s v="FVTBCF33WH20641"/>
    <s v="FN1991984-S-PM39235"/>
    <s v="FN1991984-S-WH41218"/>
    <n v="34399048"/>
  </r>
  <r>
    <s v="SB-MXL-LAWF"/>
    <x v="0"/>
    <n v="117"/>
    <s v="SB-MXL-LA"/>
    <s v="Maxelle Large Bookshelf"/>
    <s v="Wenge &amp; White"/>
    <s v="Maxelle Large Bookshelf Wenge &amp; White"/>
    <s v="Maxelle Large Bookshelf"/>
    <m/>
    <s v="X001D0RNKT"/>
    <s v="B08YWLTJYN"/>
    <s v="BSFGF9PBFMBPQQ54"/>
    <s v="LSTBSFGF9PBFMBPQQ545YGPZI"/>
    <s v="FVSGBR33WN20577"/>
    <s v="FN1988002-S-PM39235"/>
    <s v="Not in WH"/>
    <n v="34380943"/>
  </r>
  <r>
    <s v="RG-KHS-SW-W1"/>
    <x v="0"/>
    <n v="118"/>
    <s v="KHS-SW-W1"/>
    <s v="Skywood Key Holder"/>
    <s v="Wenge"/>
    <s v="Skywood Key Holder Wenge"/>
    <s v="Skywood Key Holder"/>
    <m/>
    <s v="X000MRHTH1"/>
    <s v="B00OESB8NM"/>
    <s v="RSFE3E9AWDNPGQPG"/>
    <s v="LSTRSFE3E9AWDNPGQPGR3FBZ7"/>
    <m/>
    <s v="DE1994927-S-PM39397"/>
    <s v="Not in WH"/>
    <e v="#N/A"/>
  </r>
  <r>
    <s v="TU-CRL-MF"/>
    <x v="0"/>
    <n v="119"/>
    <s v="TU-CRL"/>
    <s v="Charley TV Unit"/>
    <s v="Brown Maple &amp; White"/>
    <s v="Charley TV Unit Brown Maple &amp; White"/>
    <s v="Charley TV Unit"/>
    <m/>
    <s v="X001YY3VA5"/>
    <s v="B0CP97NG2T"/>
    <s v="TVUGWDKEZTKACFZP"/>
    <s v="LSTTVUGWDKEZTKACFZPFKDFMZ"/>
    <s v="FVTBAV33BR32713"/>
    <s v="FN2166571-S-PM39235"/>
    <s v="FN2166571-S-WH41218"/>
    <n v="34399012"/>
  </r>
  <r>
    <s v="ST-WLD-MF"/>
    <x v="2"/>
    <n v="120"/>
    <s v="ST-WLD"/>
    <s v="Walden Study Table"/>
    <s v="Brown Maple &amp; White"/>
    <s v="Walden Study Table Brown Maple &amp; White"/>
    <s v="Walden Study Table"/>
    <m/>
    <s v="X001YSQSXN"/>
    <s v="B0CJBV5CWY"/>
    <s v="OSTH7RE2R3YFECUV"/>
    <s v="LSTOSTH7RE2R3YFECUVLR9BPF"/>
    <s v="FVTBST33BR32749"/>
    <s v="FN2135047-S-PM39235"/>
    <s v="Not in WH"/>
    <n v="34399135"/>
  </r>
  <r>
    <s v="TU-PMG-LAMF"/>
    <x v="0"/>
    <n v="121"/>
    <s v="TU-PMG-LA"/>
    <s v="Primax Grande Large TV Unit"/>
    <s v="Brown Maple &amp; White"/>
    <s v="Primax Grande Large TV Unit Brown Maple &amp; White"/>
    <s v="Primax Grande Large TV Unit"/>
    <m/>
    <s v="X001YHHVBH"/>
    <s v="B0CNXGMJ6H"/>
    <s v="TVUGWDHNHGEWWVYY"/>
    <s v="LSTTVUGWDHNHGEWWVYYRJL5VZ"/>
    <s v="FVTBAV33BR32721"/>
    <s v="FN2166559-S-PM39235"/>
    <s v="Not in WH"/>
    <n v="34399198"/>
  </r>
  <r>
    <s v="SR-CLM-2W"/>
    <x v="0"/>
    <n v="122"/>
    <s v="SR-CLM-2"/>
    <s v="Carlem 2 Door Shoe Rack"/>
    <s v="Wenge"/>
    <s v="Carlem 2 Door Shoe Rack Wenge"/>
    <s v="Carlem 2 Door Shoe Rack"/>
    <m/>
    <s v="X001KBGMI5"/>
    <s v="B09XBFG42M"/>
    <s v="CSDGDC3HRKZZWKZM"/>
    <s v="LSTCSDGDC3HRKZZWKZMHNIINE"/>
    <s v="FVSGSR33WN20612"/>
    <s v="FN2030333-S-PM39235"/>
    <s v="FN2030333-S-WH41218"/>
    <n v="34398988"/>
  </r>
  <r>
    <s v="RT-DR-W"/>
    <x v="0"/>
    <n v="123"/>
    <s v="RT-DR"/>
    <s v="Darci Dressing Table"/>
    <s v="Wenge"/>
    <s v="Darci Dressing Table Wenge"/>
    <s v="Darci Dressing Table"/>
    <m/>
    <s v="X0021NQCM7"/>
    <s v="B08XKM34YM"/>
    <s v="DTBGYV89GHVNHGGH"/>
    <s v="LSTDTBGYV89GHVNHGGHH4FCZT"/>
    <s v="FVTBDS33BR20498"/>
    <s v="FN2030324-S-PM39235"/>
    <s v="Not in WH"/>
    <e v="#N/A"/>
  </r>
  <r>
    <s v="SB-WLB-MF"/>
    <x v="0"/>
    <n v="124"/>
    <s v="SB-WLB"/>
    <s v="Wolabey Bookshelf"/>
    <s v="Brown Maple &amp; White"/>
    <s v="Wolabey Bookshelf Brown Maple &amp; White"/>
    <s v="Wolabey Bookshelf"/>
    <m/>
    <s v="X001WHRB69"/>
    <s v="B0D9QLHQLV"/>
    <s v="BSFGVWXTHFAFHAAR"/>
    <s v="LSTBSFGVWXTHFAFHAARXVF2NE"/>
    <s v="FVSGBR33BR32746"/>
    <s v="FN2166556-S-PM39235"/>
    <s v="Not in WH"/>
    <n v="34380510"/>
  </r>
  <r>
    <s v="S-LO-L5"/>
    <x v="4"/>
    <n v="125"/>
    <s v="S-LO"/>
    <s v="Louis Wall Shelve"/>
    <s v="Walnut"/>
    <s v="Louis Wall Shelve Walnut"/>
    <s v="Louis Wall Shelve"/>
    <m/>
    <s v="X000KKFET5"/>
    <s v="B01FNYMQFE"/>
    <s v="RSFEKHY8SGDBDUZ9"/>
    <s v="LSTRSFEKHY8SGDBDUZ9XRLFQD"/>
    <s v="FVSGCB33WL25094"/>
    <s v="DE1994915-S-PM39397"/>
    <s v="Not in WH"/>
    <n v="29525068"/>
  </r>
  <r>
    <s v="KH-SUT-5M"/>
    <x v="0"/>
    <n v="126"/>
    <s v="KH-SUT-5"/>
    <s v="Stuart 5 Key Holder"/>
    <s v="Brown Maple"/>
    <s v="Stuart 5 Key Holder Brown Maple"/>
    <s v="Stuart 5 Key Holder"/>
    <m/>
    <e v="#N/A"/>
    <s v="B0DJMMFVV7"/>
    <s v="KHRH7PCHZHDPPMZH"/>
    <s v="LSTKHRH7PCHZHDPPMZHGPELX4"/>
    <m/>
    <s v="DE2231298-S-PM39397"/>
    <s v="Not in WH"/>
    <n v="34165355"/>
  </r>
  <r>
    <s v="TU-OL-M"/>
    <x v="0"/>
    <n v="127"/>
    <s v="TU-OL"/>
    <s v="Oliver TV Unit"/>
    <s v="Brown Maple"/>
    <s v="Oliver TV Unit Brown Maple"/>
    <s v="Oliver TV Unit"/>
    <m/>
    <s v="X001X2QSRV"/>
    <s v="B06WGS759B"/>
    <s v="TVUGWM9QHXHETNY7"/>
    <s v="LSTTVUGWM9QHXHETNY7AVPSU6"/>
    <s v="FVTBAV33BR32720"/>
    <s v="FN2166572-S-PM39235"/>
    <s v="FN2166572-S-WH41218"/>
    <n v="34399240"/>
  </r>
  <r>
    <s v="TU-RYE-STMI"/>
    <x v="0"/>
    <n v="128"/>
    <s v="TU-RYE-ST"/>
    <s v="Reyloye Standard TV Unit"/>
    <s v="Brown Maple &amp; Beige"/>
    <s v="Reyloye Standard TV Unit Brown Maple &amp; Beige"/>
    <s v="Reyloye Standard TV Unit"/>
    <m/>
    <s v="X0021J58IP"/>
    <s v="B0CT2ZMKGM"/>
    <s v="TVUGZN6UWAZSAYZE"/>
    <s v="LSTTVUGZN6UWAZSAYZE5C20L7"/>
    <s v="FVSGAV33BR50157"/>
    <s v="FN2194318-S-PM39235"/>
    <s v="FN2194318-S-WH41218"/>
    <e v="#N/A"/>
  </r>
  <r>
    <s v="S-CRF-M"/>
    <x v="0"/>
    <n v="129"/>
    <s v="S-CRF"/>
    <s v="Crafte Wall Shelve"/>
    <s v="Brown Maple"/>
    <s v="Crafte Wall Shelve Brown Maple"/>
    <s v="Crafte Wall Shelve"/>
    <m/>
    <s v="X0021NV8XF"/>
    <s v="B0D4QW6WHR"/>
    <s v="BSFH2QHKBXQXH8ZG"/>
    <s v="LSTBSFH2QHKBXQXH8ZGYZFDWT"/>
    <s v="FVSGBR11BM51558"/>
    <s v="DE2198504-S-PM39397"/>
    <s v="Not in WH"/>
    <n v="34163068"/>
  </r>
  <r>
    <s v="TU-RE-MI"/>
    <x v="0"/>
    <n v="130"/>
    <s v="TU-RE-LA"/>
    <s v="Reynold Large TV Unit"/>
    <s v="Brown Maple &amp; Beige"/>
    <s v="Reynold Large TV Unit Brown Maple &amp; Beige"/>
    <s v="Reynold Large TV Unit"/>
    <m/>
    <s v="X001VNEWLL"/>
    <s v="B0CGRPJN9Z"/>
    <s v="TVUGUGZASASTJCSZ"/>
    <s v="LSTTVUGUGZASASTJCSZLTEBY0"/>
    <s v="FVTBAV33BR32723"/>
    <s v="FN2152517-S-PM39235"/>
    <s v="FN2152517-S-WH41218"/>
    <n v="34399009"/>
  </r>
  <r>
    <s v="ST-CBN-PMF"/>
    <x v="0"/>
    <n v="131"/>
    <s v="ST-CBN-P"/>
    <s v="Corbyn Plus Study Table"/>
    <s v="Brown Maple &amp; White"/>
    <s v="Corbyn Plus Study Table Brown Maple &amp; White"/>
    <s v="Corbyn Plus Study Table"/>
    <m/>
    <m/>
    <s v="B0F6D9DH3F"/>
    <s v="OSTHBWCGVJHARYP3"/>
    <m/>
    <s v="FVTBST11BW51563"/>
    <s v="FN2260666-S-PM39235"/>
    <s v="FN2260666-S-WH41218"/>
    <e v="#N/A"/>
  </r>
  <r>
    <s v="DT-HE-4W"/>
    <x v="0"/>
    <n v="132"/>
    <s v="DT-HE-4"/>
    <s v="Hemming Dressing Table"/>
    <s v="Wenge"/>
    <s v="Hemming Dressing Table Wenge"/>
    <s v="Hemming Dressing Table"/>
    <m/>
    <s v="X000V55A7F"/>
    <s v="B07D3SW8NK"/>
    <s v="DNTFHHQCWEJXTGPD"/>
    <s v="LSTDNTFHHQCWEJXTGPD9SFVHT"/>
    <s v="FVTBDI33BR20507"/>
    <s v="FN2030321-S-PM39235"/>
    <s v="Not in WH"/>
    <e v="#N/A"/>
  </r>
  <r>
    <s v="S-LO-W5"/>
    <x v="0"/>
    <n v="133"/>
    <s v="S-LO"/>
    <s v="Louis Wall Shelve"/>
    <s v="Wenge"/>
    <s v="Louis Wall Shelve Wenge"/>
    <s v="Louis Wall Shelve"/>
    <m/>
    <s v="X000KKFEQ3"/>
    <s v="B01FNXRXVM"/>
    <s v="BSFESMZZZFTS67J6"/>
    <s v="LSTBSFESMZZZFTS67J6EEETRE"/>
    <s v="FVSGCB33WG25095"/>
    <s v="DE1994887-S-PM39397"/>
    <s v="Not in WH"/>
    <n v="34163069"/>
  </r>
  <r>
    <s v="S-CRF-W"/>
    <x v="0"/>
    <n v="134"/>
    <s v="S-CRF"/>
    <s v="Crafte Wall Shelve"/>
    <s v="Wenge"/>
    <s v="Crafte Wall Shelve Wenge"/>
    <s v="Crafte Wall Shelve"/>
    <m/>
    <s v="X001K4HMOP"/>
    <s v="B09Y5V46GY"/>
    <s v="BSFGG8HNDBZ8AGSH"/>
    <s v="LSTBSFGG8HNDBZ8AGSHRR4JVM"/>
    <s v="FVSGCB33WG25085"/>
    <s v="DE2034596-S-PM39397"/>
    <s v="Not in WH"/>
    <n v="29525096"/>
  </r>
  <r>
    <s v="SB-SN-NMI"/>
    <x v="0"/>
    <n v="135"/>
    <s v="SB-SN-N"/>
    <s v="Seonn Bookshelf"/>
    <s v="Brown Maple &amp; Beige"/>
    <s v="Seonn Bookshelf Brown Maple &amp; Beige"/>
    <s v="Seonn Bookshelf"/>
    <m/>
    <s v="X001XER945"/>
    <s v="B0CK1RQWFF"/>
    <s v="BSFGZMABGQVB6X36"/>
    <s v="LSTBSFGZMABGQVB6X36XXFX9D"/>
    <s v="FVSGBR33BR72368"/>
    <s v="FN2152507-S-PM39235"/>
    <s v="FN2152507-S-WH41218"/>
    <n v="34380500"/>
  </r>
  <r>
    <s v="CT-MT-RTW"/>
    <x v="0"/>
    <n v="136"/>
    <s v="CT-MT-RT"/>
    <s v="Mayrite Rectangle Coffee Table"/>
    <s v="Wenge"/>
    <s v="Mayrite Rectangle Coffee Table Wenge"/>
    <s v="Mayrite Rectangle Coffee Table"/>
    <m/>
    <e v="#N/A"/>
    <s v="B09X1LH2VV"/>
    <s v="CFTGDCFVN5C2DDN9"/>
    <s v="LSTCFTGDCFVN5C2DDN9XOHJR3"/>
    <s v="FVTBCF33WN20643"/>
    <s v="FN1991993-S-PM39235"/>
    <s v="FN1991993-S-WH41218"/>
    <n v="34398986"/>
  </r>
  <r>
    <s v="SH-DVN-M"/>
    <x v="0"/>
    <n v="137"/>
    <s v="SH-DVN"/>
    <s v="Dolvin Ladder Style  Spice Rack"/>
    <s v="Brown Maple"/>
    <s v="Dolvin Ladder Style  Spice Rack Brown Maple"/>
    <s v="Dolvin Ladder Style  Spice Rack"/>
    <m/>
    <m/>
    <s v="B0F6D7FKTV"/>
    <s v="RSFHBWFFZUETWJXX"/>
    <m/>
    <m/>
    <e v="#N/A"/>
    <s v="Not in WH"/>
    <e v="#N/A"/>
  </r>
  <r>
    <s v="S-LO-5M"/>
    <x v="0"/>
    <n v="138"/>
    <s v="S-LO"/>
    <s v="Louis Wall Shelve"/>
    <s v="Brown Maple"/>
    <s v="Louis Wall Shelve Brown Maple"/>
    <s v="Louis Wall Shelve"/>
    <m/>
    <e v="#N/A"/>
    <s v="B0DFHF5SZZ"/>
    <s v="BSFH45Z63EYHWFHP"/>
    <s v="LSTBSFH45Z63EYHWFHPYQIXOV"/>
    <s v="FVSGBR11BM51560"/>
    <s v="DE2231312-S-PM39397"/>
    <s v="Not in WH"/>
    <n v="34163075"/>
  </r>
  <r>
    <s v="S-BR-F6W"/>
    <x v="0"/>
    <n v="139"/>
    <s v="S-BR-F6"/>
    <s v="Braine F6 Shelves Wall Shelve"/>
    <s v="Wenge"/>
    <s v="Braine F6 Shelves Wall Shelve Wenge"/>
    <s v="Braine F6 Shelves Wall Shelve"/>
    <m/>
    <s v="X001GWVL6B"/>
    <s v="B07CVHM2RJ"/>
    <s v="BSFFBPZU3FSFZTWH"/>
    <s v="LSTBSFFBPZU3FSFZTWHMMGANC"/>
    <s v="FVSGCB33WG25080"/>
    <s v="DE1994880-S-PM39397"/>
    <s v="Not in WH"/>
    <n v="29525080"/>
  </r>
  <r>
    <s v="PU-SDI-STMF"/>
    <x v="0"/>
    <n v="140"/>
    <s v="PU-SDI-ST"/>
    <s v="Siddhi  Standard Pooja Unit"/>
    <s v="Brown Maple &amp; White"/>
    <s v="Siddhi  Standard Pooja Unit Brown Maple &amp; White"/>
    <s v="Siddhi  Standard Pooja Unit"/>
    <m/>
    <s v="X001WFR4EP"/>
    <s v="B0CK2GCBYM"/>
    <s v="HTEGVG9FE9EK6VGG"/>
    <s v="LSTHTEGVG9FE9EK6VGGD1ERFM"/>
    <s v="FVSGPR33BR72395"/>
    <s v="DE2198498-S-PM39397"/>
    <s v="Not in WH"/>
    <e v="#N/A"/>
  </r>
  <r>
    <s v="SB-MXL-LAMF"/>
    <x v="0"/>
    <n v="141"/>
    <s v="SB-MXL-LA"/>
    <s v="Maxelle Large Bookshelf"/>
    <s v="Brown Maple &amp; White"/>
    <s v="Maxelle Large Bookshelf Brown Maple &amp; White"/>
    <s v="Maxelle Large Bookshelf"/>
    <m/>
    <s v="X001YSR0U3"/>
    <s v="B0CP7FFSG5"/>
    <s v="BSFH2QBMHN2GGXSS"/>
    <s v="LSTBSFH2QBMHN2GGXSSEI7WBZ"/>
    <s v="FVSGBR33BR72375"/>
    <s v="FN2166560-S-PM39235"/>
    <s v="FN2166560-S-WH41218"/>
    <n v="34380508"/>
  </r>
  <r>
    <s v="SB-AXA-W52"/>
    <x v="0"/>
    <n v="142"/>
    <s v="SB-AXA-52"/>
    <s v="Alex-5 Layer Wide Bookshelf"/>
    <s v="Wenge"/>
    <s v="Alex-5 Layer Wide Bookshelf Wenge"/>
    <s v="Alex-5 Layer Wide Bookshelf"/>
    <m/>
    <s v="X000MOEA49"/>
    <s v="B01NCJJHJ6"/>
    <s v="BSFETYJKKYVGXHQJ"/>
    <s v="LSTBSFETYJKKYVGXHQJFI1IYC"/>
    <s v="FVSGBR33WN20568"/>
    <s v="FN1988000-S-PM39235"/>
    <s v="FN1988000-S-WH41218"/>
    <n v="34380948"/>
  </r>
  <r>
    <s v="S-CC-W"/>
    <x v="0"/>
    <n v="143"/>
    <s v="S-CC"/>
    <s v="Cadlic Wall Shelve"/>
    <s v="Wenge"/>
    <s v="Cadlic Wall Shelve Wenge"/>
    <s v="Cadlic Wall Shelve"/>
    <m/>
    <s v="X001GMESC5"/>
    <s v="B09B41HCTM"/>
    <s v="RSFG5CF4G7AYHCTQ"/>
    <s v="LSTRSFG5CF4G7AYHCTQC2KTOZ"/>
    <s v="FVSGCB33WG25082"/>
    <s v="DE1994903-S-PM39397"/>
    <s v="Not in WH"/>
    <n v="29525074"/>
  </r>
  <r>
    <s v="TU-GAU-M"/>
    <x v="0"/>
    <n v="144"/>
    <s v="TU-GAU"/>
    <s v="Gautier TV Unit"/>
    <s v="Brown Maple"/>
    <s v="Gautier TV Unit Brown Maple"/>
    <s v="Gautier TV Unit"/>
    <m/>
    <s v="X0023CVQ3L"/>
    <s v="B0D4DB18VF"/>
    <s v="TVUH2APAX4RGTQ35"/>
    <s v="LSTTVUH2APAX4RGTQ35ZI71WS"/>
    <s v="FVSGAV33BR50153"/>
    <s v="FN2194314-S-PM39235"/>
    <s v="FN2194314-S-WH41218"/>
    <n v="34399088"/>
  </r>
  <r>
    <s v="SB-SN-DW"/>
    <x v="0"/>
    <n v="145"/>
    <s v="SB-SN-D"/>
    <s v="Seonn Bookshelf"/>
    <s v="Wenge"/>
    <s v="Seonn Bookshelf Wenge"/>
    <s v="Seonn Bookshelf"/>
    <m/>
    <s v="X001COED3V"/>
    <s v="B08YX76Y3Q"/>
    <s v="BSFGF9PAVXZMX2BV"/>
    <s v="LSTBSFGF9PAVXZMX2BV6NCBKK"/>
    <s v="FVSGBR33WN20583"/>
    <s v="FN1987999-S-PM39235"/>
    <s v="FN1987999-S-WH41218"/>
    <n v="34380962"/>
  </r>
  <r>
    <s v="SB-WA-W"/>
    <x v="0"/>
    <n v="146"/>
    <s v="SB-WA"/>
    <s v="Walten Bookshelf"/>
    <s v="Wenge"/>
    <s v="Walten Bookshelf Wenge"/>
    <s v="Walten Bookshelf"/>
    <m/>
    <s v="X001P6H3J7"/>
    <s v="B06WRTMT7T"/>
    <s v="BSFF4HQ4HR4MZUEZ"/>
    <s v="LSTBSFF4HQ4HR4MZUEZZACIJS"/>
    <s v="FVSGBR33WN20586"/>
    <s v="FN1988001-S-PM39235"/>
    <s v="FN1988001-S-WH41218"/>
    <n v="34380506"/>
  </r>
  <r>
    <s v="ST-RDO-STM"/>
    <x v="1"/>
    <n v="147"/>
    <s v="ST-RDO-ST"/>
    <s v="Radisso Mini Study Table"/>
    <s v="Brown Maple "/>
    <s v="Radisso Mini Study Table Brown Maple "/>
    <s v="Radisso Mini Study Table"/>
    <m/>
    <m/>
    <s v="B0FS6BXRGZ"/>
    <s v="OSTHGGYB6AUHSBNN"/>
    <m/>
    <m/>
    <m/>
    <s v="Not in WH"/>
    <m/>
  </r>
  <r>
    <s v="TU-PMP-LAWF"/>
    <x v="0"/>
    <n v="148"/>
    <s v="TU-PMP-L"/>
    <s v="Primax Plus Large TV Unit"/>
    <s v="Wenge &amp; White"/>
    <s v="Primax Plus Large TV Unit Wenge &amp; White"/>
    <s v="Primax Plus Large TV Unit"/>
    <m/>
    <e v="#N/A"/>
    <s v="B0CJRXHWR5"/>
    <s v="TVUH7GJ2RUGGBJVN"/>
    <s v="LSTTVUH7GJ2RUGGBJVNBP8M1D"/>
    <s v="FVSGAV11WW51545"/>
    <s v="FN2229403-S-PM39235"/>
    <s v="Not in WH"/>
    <n v="34398989"/>
  </r>
  <r>
    <s v="S-AB-W4"/>
    <x v="0"/>
    <n v="149"/>
    <s v="S-AB"/>
    <s v="Alba Wall Shelve"/>
    <s v="Wenge"/>
    <s v="Alba Wall Shelve Wenge"/>
    <s v="Alba Wall Shelve"/>
    <m/>
    <s v="X000LINEYN"/>
    <s v="B01FO9D8LY"/>
    <s v="BSFESN7ZZ5MFKJDV"/>
    <s v="LSTBSFESN7ZZ5MFKJDVTEOPQA"/>
    <s v="FVSGCB33WG25065"/>
    <s v="DE1994886-S-PM39397"/>
    <s v="Not in WH"/>
    <e v="#N/A"/>
  </r>
  <r>
    <s v="RG-KH-SW-WB"/>
    <x v="0"/>
    <n v="150"/>
    <s v="KH-SW-WB"/>
    <s v="Skywood 5 Key Holder"/>
    <s v="Wenge"/>
    <s v="Skywood 5 Key Holder Wenge"/>
    <s v="Skywood 5 Key Holder"/>
    <m/>
    <s v="X000MRNKGF"/>
    <s v="B00PS6MFM2"/>
    <s v="HOKE5EE9H83BFNUZ"/>
    <s v="LSTHOKE5EE9H83BFNUZOXY7C0"/>
    <m/>
    <s v="DE1994926-S-PM39397"/>
    <s v="Not in WH"/>
    <n v="34165366"/>
  </r>
  <r>
    <s v="SB-SN-DMI"/>
    <x v="0"/>
    <n v="151"/>
    <s v="SB-SN-D"/>
    <s v="Seonn Bookshelf"/>
    <s v="Brown Maple &amp; Beige"/>
    <s v="Seonn Bookshelf Brown Maple &amp; Beige"/>
    <s v="Seonn Bookshelf"/>
    <m/>
    <s v="X001YSPS3T"/>
    <s v="B0CKLBGNBG"/>
    <s v="BSFGVG6AURDBWWX4"/>
    <s v="LSTBSFGVG6AURDBWWX4IGDCWT"/>
    <s v="FVSGBR33BR32735"/>
    <s v="FN2152506-S-PM39235"/>
    <s v="FN2152506-S-WH41218"/>
    <n v="34380977"/>
  </r>
  <r>
    <s v="TU-PM-LAW"/>
    <x v="0"/>
    <n v="152"/>
    <s v="TU-PM-LA"/>
    <s v="Primax Large TV Unit"/>
    <s v="Wenge"/>
    <s v="Primax Large TV Unit Wenge"/>
    <s v="Primax Large TV Unit"/>
    <m/>
    <s v="X0017BQL39"/>
    <s v="B07V3H9VBF"/>
    <s v="TVUFGGYN3JFTTQFH"/>
    <s v="LSTTVUFGGYN3JFTTQFHUJBNRC"/>
    <s v="FVSGAV33WN20544"/>
    <s v="FN1986323-S-PM39235"/>
    <s v="Not in WH"/>
    <n v="34399076"/>
  </r>
  <r>
    <s v="TU-DSK-M"/>
    <x v="0"/>
    <n v="153"/>
    <s v="TU-DSK"/>
    <s v="Duskin TV Unit"/>
    <s v="Brown Maple"/>
    <s v="Duskin TV Unit Brown Maple"/>
    <s v="Duskin TV Unit"/>
    <m/>
    <e v="#N/A"/>
    <s v="B0DFPPJ56P"/>
    <s v="TVUH48P7MDAMZY3E"/>
    <s v="LSTTVUH48P7MDAMZY3EJPFRIH"/>
    <s v="FVSGAV11BM51541"/>
    <s v="FN2200969-S-PM39235"/>
    <s v="FN2200969-S-WH41218"/>
    <n v="34399155"/>
  </r>
  <r>
    <s v="S-JVS-M"/>
    <x v="0"/>
    <n v="154"/>
    <s v="S-JVS"/>
    <s v="Javis Wall Shelve"/>
    <s v="Brown Maple"/>
    <s v="Javis Wall Shelve Brown Maple"/>
    <s v="Javis Wall Shelve"/>
    <m/>
    <s v="X001XEQWTD"/>
    <s v="B0CQMFNHTH"/>
    <s v="RSFGXBSHZKZR3ZE7"/>
    <s v="LSTRSFGXBSHZKZR3ZE7UILGQL"/>
    <s v="FVSGBR11BM51559"/>
    <s v="DE2198505-S-PM39397"/>
    <s v="Not in WH"/>
    <n v="29525084"/>
  </r>
  <r>
    <s v="TU-SNQ-LAM"/>
    <x v="0"/>
    <n v="155"/>
    <s v="TU-SNQ-LA"/>
    <s v="Sanque Large TV Unit"/>
    <s v="Brown Maple"/>
    <s v="Sanque Large TV Unit Brown Maple"/>
    <s v="Sanque Large TV Unit"/>
    <m/>
    <e v="#N/A"/>
    <s v="B0DG6Q5654"/>
    <s v="TVUH4EQWX9ZQBV58"/>
    <s v="LSTTVUH4EQWX9ZQBV58NKFSMT"/>
    <s v="FVSGAV11BM51547"/>
    <s v="FN2229404-S-PM39235"/>
    <s v="Not in WH"/>
    <e v="#N/A"/>
  </r>
  <r>
    <s v="SB-AXA-52M"/>
    <x v="0"/>
    <n v="156"/>
    <s v="SB-AXA-52"/>
    <s v="Alex-5 Layer Wide Bookshelf"/>
    <s v="Brown Maple"/>
    <s v="Alex-5 Layer Wide Bookshelf Brown Maple"/>
    <s v="Alex-5 Layer Wide Bookshelf"/>
    <m/>
    <s v="X001YXXOE9"/>
    <s v="B0CJRPVG58"/>
    <s v="BSFGVG62THPCMQPN"/>
    <s v="LSTBSFGVG62THPCMQPNAREUTW"/>
    <s v="FVSGBR33BR32733"/>
    <s v="FN2152505-S-PM39235"/>
    <s v="Not in WH"/>
    <n v="34380970"/>
  </r>
  <r>
    <s v="KC-OPT-1NF"/>
    <x v="0"/>
    <n v="157"/>
    <s v="KC-OPT-1N"/>
    <s v="Opryt Kichen Cabinet"/>
    <s v="White"/>
    <s v="Opryt Kichen Cabinet White"/>
    <s v="Opryt Kichen Cabinet"/>
    <m/>
    <m/>
    <s v="B0F8Z3R239"/>
    <s v="KTCHCARETSNRMJBD"/>
    <s v="LSTKTCHCARETSNRMJBD9GIWSL"/>
    <s v="FVSGSB11WH51523"/>
    <s v="KD2280094-S-PM39397"/>
    <s v="Not in WH"/>
    <n v="35522195"/>
  </r>
  <r>
    <s v="TU-PMS-LAW"/>
    <x v="0"/>
    <n v="158"/>
    <s v="TU-PMS-LA"/>
    <s v="Primax Solo Large TV Unit"/>
    <s v="Wenge"/>
    <s v="Primax Solo Large TV Unit Wenge"/>
    <s v="Primax Solo Large TV Unit"/>
    <m/>
    <s v="X001IGDMYJ"/>
    <s v="B09PBNSQBK"/>
    <s v="TVUGABYHTYBCZV2H"/>
    <s v="LSTTVUGABYHTYBCZV2HAH1YJT"/>
    <s v="FVSGAV33WN20547"/>
    <s v="FN1991910-S-PM39235"/>
    <s v="Not in WH"/>
    <n v="34399233"/>
  </r>
  <r>
    <s v="TU-KU-LAM"/>
    <x v="0"/>
    <n v="159"/>
    <s v="TU-KU-LA"/>
    <s v="Kunsua Large TV Unit"/>
    <s v="Brown Maple"/>
    <s v="Kunsua Large TV Unit Brown Maple"/>
    <s v="Kunsua Large TV Unit"/>
    <m/>
    <s v="X002581S13"/>
    <s v="B0DG8HC545"/>
    <s v="TVUH4ES8EN3VCTG4"/>
    <s v="LSTTVUH4ES8EN3VCTG4LZNKMR"/>
    <s v="FVSGAV11BM51542"/>
    <s v="FN2229400-S-PM39235"/>
    <s v="FN2229400-S-WH41218"/>
    <n v="34399226"/>
  </r>
  <r>
    <s v="KR-JSD-W"/>
    <x v="0"/>
    <n v="160"/>
    <s v="KR-JSD"/>
    <s v="Jasden Kitchen Rack"/>
    <s v="Wenge"/>
    <s v="Jasden Kitchen Rack Wenge"/>
    <s v="Jasden Kitchen Rack"/>
    <m/>
    <s v="X0010FPE2V"/>
    <s v="B07MZKFKZ7"/>
    <s v="RSFFD2CZYFJ5RHFX"/>
    <s v="LSTRSFFD2CZYFJ5RHFXEC1HH8"/>
    <s v="FVSGCB33WG25123"/>
    <s v="DE2198497-S-PM39397"/>
    <s v="Not in WH"/>
    <e v="#N/A"/>
  </r>
  <r>
    <s v="CT-OL-M"/>
    <x v="0"/>
    <n v="161"/>
    <s v="CT-OL"/>
    <s v="Oliver  Coffee Table"/>
    <s v="Brown Maple"/>
    <s v="Oliver  Coffee Table Brown Maple"/>
    <s v="Oliver  Coffee Table"/>
    <m/>
    <e v="#N/A"/>
    <s v="B0D4QLXVJD"/>
    <s v="CFTH2QGBRZRP8WMV"/>
    <s v="LSTCFTH2QGBRZRP8WMV1MTFUB"/>
    <s v="FVTBCF33BR50149"/>
    <s v="FN2229388-S-PM39235"/>
    <s v="Not in WH"/>
    <n v="34399034"/>
  </r>
  <r>
    <s v="TU-TK-LAMI"/>
    <x v="0"/>
    <n v="162"/>
    <s v="TU-TK-LA"/>
    <s v="Toska Large TV Unit"/>
    <s v="Brown Maple &amp; Beige"/>
    <s v="Toska Large TV Unit Brown Maple &amp; Beige"/>
    <s v="Toska Large TV Unit"/>
    <m/>
    <s v="X001XHPR4L"/>
    <s v="B0BQWLXVX8"/>
    <s v="TVUGW3ZQ3T3GQSBD"/>
    <s v="LSTTVUGW3ZQ3T3GQSBDIIVJFX"/>
    <s v="FVTBAV33BR32725"/>
    <s v="FN2166564-S-PM39235"/>
    <s v="FN2166564-S-WH41218"/>
    <n v="34399056"/>
  </r>
  <r>
    <s v="SB-CB-W"/>
    <x v="0"/>
    <n v="163"/>
    <s v="SB-CB"/>
    <s v="Crosbon Bookshelf"/>
    <s v="Wenge"/>
    <s v="Crosbon Bookshelf Wenge"/>
    <s v="Crosbon Bookshelf"/>
    <m/>
    <s v="X001JXGL71"/>
    <s v="B09T3DJLGR"/>
    <s v="BSFGCABBQUZFQJHE"/>
    <s v="LSTBSFGCABBQUZFQJHEWQ8IYG"/>
    <s v="FVSGBR33WN20569"/>
    <s v="FN2030329-S-PM39235"/>
    <s v="FN2030329-S-WH41218"/>
    <n v="34380994"/>
  </r>
  <r>
    <s v="S-BR-6W"/>
    <x v="0"/>
    <n v="164"/>
    <s v="S-BR-6"/>
    <s v="Braine 6 Shelves Wall Shelve"/>
    <s v="Wenge"/>
    <s v="Braine 6 Shelves Wall Shelve Wenge"/>
    <s v="Braine 6 Shelves Wall Shelve"/>
    <m/>
    <s v="X001GVBLN5"/>
    <s v="B09LCBRTQT"/>
    <s v="RSFFBZZ3UAP2XSNP"/>
    <s v="LSTRSFFBZZ3UAP2XSNPLANDD9"/>
    <s v="FVSGCB33WG25078"/>
    <s v="DE1994884-S-PM39397"/>
    <s v="Not in WH"/>
    <n v="29525086"/>
  </r>
  <r>
    <s v="ST-RE-W"/>
    <x v="0"/>
    <n v="165"/>
    <s v="ST-RE"/>
    <s v="Reynold Study Table"/>
    <s v="Wenge"/>
    <s v="Reynold Study Table Wenge"/>
    <s v="Reynold Study Table"/>
    <m/>
    <s v="X000ZX97X1"/>
    <s v="B07MZPNN9J"/>
    <s v="OSTFD2FCDQWKGGXJ"/>
    <s v="LSTOSTFD2FCDQWKGGXJCPAVGO"/>
    <s v="FVTBST33WN20610"/>
    <s v="FN1991948-S-PM39235"/>
    <s v="FN1991948-S-WH41218"/>
    <n v="34399141"/>
  </r>
  <r>
    <s v="CT-SY-M"/>
    <x v="0"/>
    <n v="166"/>
    <s v="CT-SY"/>
    <s v="Sydney Coffee Table"/>
    <s v="Brown Maple"/>
    <s v="Sydney Coffee Table Brown Maple"/>
    <s v="Sydney Coffee Table"/>
    <m/>
    <e v="#N/A"/>
    <s v="B0CP6347KN"/>
    <s v="CFTGW3G6BVGX3UBB"/>
    <s v="LSTCFTGW3G6BVGX3UBB80JKCS"/>
    <s v="FVTBCF33BR32703"/>
    <s v="FN2166549-S-PM39235"/>
    <s v="Not in WH"/>
    <n v="34399014"/>
  </r>
  <r>
    <s v="TU-PMS-STM"/>
    <x v="0"/>
    <n v="167"/>
    <s v="TU-PMS-ST"/>
    <s v="Primax Solo Standard TV Unit"/>
    <s v="Brown Maple"/>
    <s v="Primax Solo Standard TV Unit Brown Maple"/>
    <s v="Primax Solo Standard TV Unit"/>
    <m/>
    <s v="X001YOXSGH"/>
    <s v="B0CT2RB6PY"/>
    <s v="TVUGZN5SWTXXGCSF"/>
    <s v="LSTTVUGZN5SWTXXGCSFZOHK7Z"/>
    <s v="FVSGAV33BR50154"/>
    <s v="FN2194315-S-PM39235"/>
    <s v="Not in WH"/>
    <n v="34399178"/>
  </r>
  <r>
    <s v="RH-OT-WT"/>
    <x v="0"/>
    <n v="168"/>
    <s v="RH-OT"/>
    <s v="Otto Remote Holder"/>
    <s v="Wenge Tree"/>
    <s v="Otto Remote Holder Wenge Tree"/>
    <s v="Otto Remote Holder"/>
    <m/>
    <s v="X000PSRWWT"/>
    <s v="B06W9LS166"/>
    <s v="DKOET2ACAZJDSQZF"/>
    <s v="LSTDKOET2ACAZJDSQZFGPDGYU"/>
    <m/>
    <s v="DE2198500-S-PM39397"/>
    <s v="Not in WH"/>
    <e v="#N/A"/>
  </r>
  <r>
    <s v="S-LO-FW5"/>
    <x v="4"/>
    <n v="169"/>
    <s v="S-LO"/>
    <s v="Louis Wall Shelve"/>
    <s v="Wenge"/>
    <s v="Louis Wall Shelve Wenge"/>
    <s v="Louis Wall Shelve"/>
    <m/>
    <s v="X0017FRCMJ"/>
    <s v="B08CZH6LT9"/>
    <s v="BSFFUDQACYYWSZMD"/>
    <s v="LSTBSFFUDQACYYWSZMDIIEJ5C"/>
    <s v="FVSGCB33WH25093"/>
    <s v="DE1994897-S-PM39397"/>
    <s v="Not in WH"/>
    <n v="34163063"/>
  </r>
  <r>
    <s v="PU-SUB-STO"/>
    <x v="1"/>
    <n v="170"/>
    <s v="PU-SUB-ST"/>
    <s v="Shubh Mini Pooja Temple"/>
    <s v="European Oak"/>
    <s v="Shubh Mini Pooja Temple European Oak"/>
    <s v="Shubh Mini Pooja Temple"/>
    <m/>
    <m/>
    <s v="B0FS6GDH6B"/>
    <s v="HTEHGGWYZ67P2ZCK"/>
    <m/>
    <m/>
    <s v="KD2280091-S-PM39397"/>
    <s v="Not in WH"/>
    <m/>
  </r>
  <r>
    <s v="S-CC-M"/>
    <x v="0"/>
    <n v="171"/>
    <s v="S-CC"/>
    <s v="Cadlic Wall Shelve"/>
    <s v="Brown Maple"/>
    <s v="Cadlic Wall Shelve Brown Maple"/>
    <s v="Cadlic Wall Shelve"/>
    <m/>
    <e v="#N/A"/>
    <s v="B0DFHGF1VX"/>
    <s v="RSFH45NYYHHBBG4P"/>
    <s v="LSTRSFH45NYYHHBBG4PLFJGWW"/>
    <s v="FVSGBR11BM51557"/>
    <s v="DE2231309-S-PM39397"/>
    <s v="Not in WH"/>
    <e v="#N/A"/>
  </r>
  <r>
    <s v="SB-AXA-51M"/>
    <x v="0"/>
    <n v="172"/>
    <s v="SB-AXA-51"/>
    <s v="Alex-5 Layer Narrow Design  Bookshelf"/>
    <s v="Brown Maple"/>
    <s v="Alex-5 Layer Narrow Design  Bookshelf Brown Maple"/>
    <s v="Alex-5 Layer Narrow Design  Bookshelf"/>
    <m/>
    <s v="X001YSHDUF"/>
    <s v="B0CQK3JNW2"/>
    <s v="BSFGWDKT5UJTM7HA"/>
    <s v="LSTBSFGWDKT5UJTM7HASRPKHN"/>
    <s v="FVSGBR33BR32737"/>
    <s v="FN2166575-S-PM39235"/>
    <s v="FN2166575-S-WH41218"/>
    <n v="34380990"/>
  </r>
  <r>
    <s v="SB-MOL-M"/>
    <x v="0"/>
    <n v="173"/>
    <s v="SB-MOL"/>
    <s v="Molse Bookshelf"/>
    <s v="Brown Maple"/>
    <s v="Molse Bookshelf Brown Maple"/>
    <s v="Molse Bookshelf"/>
    <m/>
    <e v="#N/A"/>
    <s v="B0DH8HFRS6"/>
    <s v="BSFH4RWXN5H4XHFG"/>
    <s v="LSTBSFH4RWXN5H4XHFGL0EEXJ"/>
    <s v="FVSGBR11BM51551"/>
    <s v="FN2229391-S-PM39235"/>
    <s v="Not in WH"/>
    <n v="34380967"/>
  </r>
  <r>
    <s v="ST-MLM-W"/>
    <x v="0"/>
    <n v="174"/>
    <s v="ST-MLM-L"/>
    <s v="Mallium With Slider Study Table"/>
    <s v="Wenge"/>
    <s v="Mallium With Slider Study Table Wenge"/>
    <s v="Mallium With Slider Study Table"/>
    <m/>
    <s v="X001JK7AMT"/>
    <s v="B07VSRQB89"/>
    <s v="OSTFGGYHA7KD5K6Z"/>
    <s v="LSTOSTFGGYHA7KD5K6Z469TBJ"/>
    <s v="FVTBST33WN20608"/>
    <s v="FN1988007-S-PM39235"/>
    <s v="FN1988007-S-WH41218"/>
    <n v="34399029"/>
  </r>
  <r>
    <s v="S-BR-6L"/>
    <x v="4"/>
    <n v="175"/>
    <s v="S-BR-6"/>
    <s v="Braine 6 Shelves Wall Shelve"/>
    <s v="Walnut"/>
    <s v="Braine 6 Shelves Wall Shelve Walnut"/>
    <s v="Braine 6 Shelves Wall Shelve"/>
    <m/>
    <s v="X001GVCF6R"/>
    <s v="B09LD599CZ"/>
    <s v="RSFFB6HHRGKSPDXW"/>
    <s v="LSTRSFFB6HHRGKSPDXW2TVCYB"/>
    <s v="FVSGCB33WL25077"/>
    <s v="DE2034595-S-PM39397"/>
    <s v="Not in WH"/>
    <n v="29525092"/>
  </r>
  <r>
    <s v="TU-ETY-MM"/>
    <x v="0"/>
    <n v="176"/>
    <s v="TU-ETY-M"/>
    <s v="Estoye Mini TV Unit"/>
    <s v="Brown Maple"/>
    <s v="Estoye Mini TV Unit Brown Maple"/>
    <s v="Estoye Mini TV Unit"/>
    <m/>
    <s v="X001Y4YXCZ"/>
    <s v="B0CR3TPG1P"/>
    <s v="TVUGWNDBFTR2HYJK"/>
    <s v="LSTTVUGWNDBFTR2HYJKZPRBBB"/>
    <s v="FVTBAV33BR32716"/>
    <s v="FN2166589-S-PM39235"/>
    <s v="FN2166589-S-WH41218"/>
    <n v="34399051"/>
  </r>
  <r>
    <s v="CT-MT-ROW"/>
    <x v="0"/>
    <n v="177"/>
    <s v="CT-MT-RO"/>
    <s v="Mayrite Round Coffee Table"/>
    <s v="Wenge"/>
    <s v="Mayrite Round Coffee Table Wenge"/>
    <s v="Mayrite Round Coffee Table"/>
    <m/>
    <e v="#N/A"/>
    <s v="B09X1HTQYK"/>
    <s v="CFTGDCFRN4H4N8BW"/>
    <s v="LSTCFTGDCFRN4H4N8BW1PKZVM"/>
    <s v="FVTBCF33WN20642"/>
    <s v="FN1991992-S-PM39235"/>
    <s v="Not in WH"/>
    <n v="34399003"/>
  </r>
  <r>
    <s v="TU-MYN-MF"/>
    <x v="0"/>
    <n v="178"/>
    <s v="TU-MYN"/>
    <s v="Mayrone TV Unit"/>
    <s v="Brown Maple &amp; White"/>
    <s v="Mayrone TV Unit Brown Maple &amp; White"/>
    <s v="Mayrone TV Unit"/>
    <m/>
    <s v="X001YSPS2Z"/>
    <s v="B0CJCKKYJ3"/>
    <s v="TVUGUGZAU64G8PJB"/>
    <s v="LSTTVUGUGZAU64G8PJB9RQLZZ"/>
    <s v="FVTBAV33BR32704"/>
    <s v="FN2135045-S-PM39235"/>
    <s v="FN2135045-S-WH41218"/>
    <e v="#N/A"/>
  </r>
  <r>
    <s v="RH-RL-W"/>
    <x v="0"/>
    <n v="179"/>
    <s v="RH-RL"/>
    <s v="Roland Remote Holder"/>
    <s v="Wenge"/>
    <s v="Roland Remote Holder Wenge"/>
    <s v="Roland Remote Holder"/>
    <m/>
    <s v="X000VDXVGT"/>
    <s v="B07D7W5QW6"/>
    <s v="SOXFC8JGPGF6PVFY"/>
    <s v="LSTSOXFC8JGPGF6PVFYHGSWDR"/>
    <m/>
    <s v="DE2034594-S-PM39397"/>
    <s v="Not in WH"/>
    <e v="#N/A"/>
  </r>
  <r>
    <s v="SB-CS-LAM"/>
    <x v="0"/>
    <n v="180"/>
    <s v="SB-CS-LA"/>
    <s v="Caselle Large Bookshelf"/>
    <s v="Brown Maple"/>
    <s v="Caselle Large Bookshelf Brown Maple"/>
    <s v="Caselle Large Bookshelf"/>
    <m/>
    <s v="X001X0KIRJ"/>
    <s v="B0CP968FV1"/>
    <s v="RSFGVWVGFSDCKWRA"/>
    <s v="LSTRSFGVWVGFSDCKWRADS2BWA"/>
    <s v="FVSGBR33BR32739"/>
    <s v="FN2194304-S-PM39235"/>
    <s v="Not in WH"/>
    <n v="34380938"/>
  </r>
  <r>
    <s v="KH-TO-18W"/>
    <x v="0"/>
    <n v="181"/>
    <s v="KH-TO-18"/>
    <s v="Torene 18 Key Holder"/>
    <s v="Wenge"/>
    <s v="Torene 18 Key Holder Wenge"/>
    <s v="Torene 18 Key Holder"/>
    <m/>
    <s v="X0011TPSMR"/>
    <s v="B07RV9W52P"/>
    <s v="KHRH2QB9WNXUECGF"/>
    <s v="LSTKHRH2QB9WNXUECGFVDOSKS"/>
    <m/>
    <s v="DE1994924-S-PM39397"/>
    <s v="Not in WH"/>
    <n v="27465480"/>
  </r>
  <r>
    <s v="SB-WA-L"/>
    <x v="4"/>
    <n v="182"/>
    <s v="SB-WA"/>
    <s v="Walten Bookshelf"/>
    <s v="Walnut"/>
    <s v="Walten Bookshelf Walnut"/>
    <s v="Walten Bookshelf"/>
    <m/>
    <s v="X000PSRCCT"/>
    <s v="B06VX456SW"/>
    <s v="BSFEVAQXA8S3XXRX"/>
    <s v="LSTBSFEVAQXA8S3XXRX29DIMF"/>
    <s v="FVSGBR33WA20585"/>
    <s v="FN1991953-S-PM39235"/>
    <s v="FN1991953-S-WH41218"/>
    <n v="34380981"/>
  </r>
  <r>
    <s v="RG-KH-SW-W10"/>
    <x v="0"/>
    <n v="183"/>
    <s v="KH-SW-W10"/>
    <s v="Skywood 10 Key Holder"/>
    <s v="Wenge"/>
    <s v="Skywood 10 Key Holder Wenge"/>
    <s v="Skywood 10 Key Holder"/>
    <m/>
    <s v="X000MRHTGR"/>
    <s v="B00IPAT3OG"/>
    <s v="HOKE5EE9WGTZJZUG"/>
    <s v="LSTHOKE5EE9WGTZJZUGOO7H0G"/>
    <m/>
    <s v="DE1994922-S-PM39397"/>
    <s v="Not in WH"/>
    <n v="34165360"/>
  </r>
  <r>
    <s v="TU-KVD-LAW"/>
    <x v="0"/>
    <n v="184"/>
    <s v="TU-KVD-LA"/>
    <s v="Kyvid Large TV Unit"/>
    <s v="Wenge"/>
    <s v="Kyvid Large TV Unit Wenge"/>
    <s v="Kyvid Large TV Unit"/>
    <m/>
    <s v="X001COF0YR"/>
    <s v="B08YWV5WK8"/>
    <s v="TVUGFGC28GXRGV6K"/>
    <s v="LSTTVUGFGC28GXRGV6KHTDLN0"/>
    <s v="FVSGAV33WN20533"/>
    <s v="FN1991947-S-PM39235"/>
    <s v="Not in WH"/>
    <e v="#N/A"/>
  </r>
  <r>
    <s v="PU-SUB-STF"/>
    <x v="1"/>
    <n v="185"/>
    <s v="PU-SUB-ST"/>
    <s v="Shubh Mini Pooja Temple"/>
    <s v="White"/>
    <s v="Shubh Mini Pooja Temple White"/>
    <s v="Shubh Mini Pooja Temple"/>
    <m/>
    <m/>
    <s v="B0FSCSPF5X"/>
    <s v="HTEHGGWYKCC8ZHPR"/>
    <m/>
    <m/>
    <s v="KD2280101-S-PM39397"/>
    <s v="Not in WH"/>
    <m/>
  </r>
  <r>
    <s v="S-BR-F6M"/>
    <x v="0"/>
    <n v="186"/>
    <s v="S-BR-F6"/>
    <s v="Braine F6 Shelves Wall Shelve"/>
    <s v="Brown Maple"/>
    <s v="Braine F6 Shelves Wall Shelve Brown Maple"/>
    <s v="Braine F6 Shelves Wall Shelve"/>
    <m/>
    <s v="X00220QR29"/>
    <s v="B0CR4B4ZMP"/>
    <s v="BSFH2QG68X46NNXX"/>
    <s v="LSTBSFH2QG68X46NNXXKK3E5Q"/>
    <s v="FVSGBR11BM51555"/>
    <s v="DE2198503-S-PM39397"/>
    <s v="Not in WH"/>
    <n v="29525072"/>
  </r>
  <r>
    <s v="CT-MT-RTWF"/>
    <x v="0"/>
    <n v="187"/>
    <s v="CT-MT-RT"/>
    <s v="Mayrite Rectangle Coffee Table"/>
    <s v="Wenge &amp; White"/>
    <s v="Mayrite Rectangle Coffee Table Wenge &amp; White"/>
    <s v="Mayrite Rectangle Coffee Table"/>
    <m/>
    <s v="X001KN7JF3"/>
    <s v="B09X2CC6PJ"/>
    <s v="CFTGDCFZJTFYCUJU"/>
    <s v="LSTCFTGDCFZJTFYCUJUOAMGUO"/>
    <s v="FVTBCF33WH20644"/>
    <s v="FN1991994-S-PM39235"/>
    <s v="FN1991994-S-WH41218"/>
    <n v="34399052"/>
  </r>
  <r>
    <s v="S-XD-W"/>
    <x v="0"/>
    <n v="188"/>
    <s v="S-XD"/>
    <s v="Xude Wall Shelve"/>
    <s v="Wenge"/>
    <s v="Xude Wall Shelve Wenge"/>
    <s v="Xude Wall Shelve"/>
    <m/>
    <s v="X001K5H5RX"/>
    <s v="B09Y5VL36M"/>
    <s v="BSFGG8HY8HXHCZAQ"/>
    <s v="LSTBSFGG8HY8HXHCZAQINUBL6"/>
    <s v="FVSGCB33WG25111"/>
    <s v="DE2034599-S-PM39397"/>
    <s v="Not in WH"/>
    <n v="34163066"/>
  </r>
  <r>
    <s v="SB-WA-M"/>
    <x v="0"/>
    <n v="189"/>
    <s v="SB-WA"/>
    <s v="Walten Bookshelf"/>
    <s v="Brown Maple"/>
    <s v="Walten Bookshelf Brown Maple"/>
    <s v="Walten Bookshelf"/>
    <m/>
    <s v="X001Y4U667"/>
    <s v="B0CP674RGQ"/>
    <s v="BSFGW3GGQFAYWSZU"/>
    <s v="LSTBSFGW3GGQFAYWSZU0EO749"/>
    <s v="FVSGBR33BR32745"/>
    <s v="FN2166550-S-PM39235"/>
    <s v="FN2166550-S-WH41218"/>
    <n v="34380965"/>
  </r>
  <r>
    <s v="SB-JMY-M"/>
    <x v="0"/>
    <n v="190"/>
    <s v="SB-JMY"/>
    <s v="Jameye Bookshelf"/>
    <s v="Brown Maple"/>
    <s v="Jameye Bookshelf Brown Maple"/>
    <s v="Jameye Bookshelf"/>
    <m/>
    <e v="#N/A"/>
    <s v="B0DG98BKCP"/>
    <s v="BSFH4FQHRU2WR4GV"/>
    <s v="LSTBSFH4FQHRU2WR4GVFM3GZK"/>
    <s v="FVSGBR11BM51550"/>
    <s v="FN2200963-S-PM39235"/>
    <s v="FN2200963-S-WH41218"/>
    <n v="34380502"/>
  </r>
  <r>
    <s v="S-JVS-W"/>
    <x v="0"/>
    <n v="191"/>
    <s v="S-JVS"/>
    <s v="Javis Wall Shelve"/>
    <s v="Wenge"/>
    <s v="Javis Wall Shelve Wenge"/>
    <s v="Javis Wall Shelve"/>
    <m/>
    <s v="X0011TPRCN"/>
    <s v="B07RW913XG"/>
    <s v="RSFFGWA2XRZYWGEQ"/>
    <s v="LSTRSFFGWA2XRZYWGEQ0C86GR"/>
    <s v="FVSGCB33WG25089"/>
    <s v="DE1994882-S-PM39397"/>
    <s v="Not in WH"/>
    <n v="29525076"/>
  </r>
  <r>
    <s v="TU-RE-LAL"/>
    <x v="4"/>
    <n v="192"/>
    <s v="TU-RE-LA"/>
    <s v="Reynold Large TV Unit"/>
    <s v="Walnut"/>
    <s v="Reynold Large TV Unit Walnut"/>
    <s v="Reynold Large TV Unit"/>
    <m/>
    <s v="X000PRZ0UL"/>
    <s v="B06VX47DM9"/>
    <s v="TVUEUPDZK7ACGY4F"/>
    <s v="LSTTVUEUPDZK7ACGY4FVILQ4P"/>
    <s v="FVSGAV33WA20552"/>
    <s v="FN1991909-S-PM39235"/>
    <s v="Not in WH"/>
    <n v="34399089"/>
  </r>
  <r>
    <s v="TS-NL-LAM"/>
    <x v="2"/>
    <n v="193"/>
    <s v="TS-NL-LA"/>
    <s v="Norel Large Monitor Stand"/>
    <s v="Brown Maple"/>
    <s v="Norel Large Monitor Stand Brown Maple"/>
    <s v="Norel Large Monitor Stand"/>
    <m/>
    <s v="X001WTIDRN"/>
    <s v="B0CMM8KQH8"/>
    <s v="LASH2QEQMXT6Z8HN"/>
    <s v="LSTLASH2QEQMXT6Z8HNAYJOMO"/>
    <m/>
    <s v="FN2166557-S-PM39235"/>
    <s v="Not in WH"/>
    <e v="#N/A"/>
  </r>
  <r>
    <s v="TU-TK-STMI"/>
    <x v="0"/>
    <n v="194"/>
    <s v="TU-TK-ST"/>
    <s v="Toska Standard TV Unit"/>
    <s v="Brown Maple &amp; Beige"/>
    <s v="Toska Standard TV Unit Brown Maple &amp; Beige"/>
    <s v="Toska Standard TV Unit"/>
    <m/>
    <s v="X001XFV0UN"/>
    <s v="B0BQWQ76V9"/>
    <s v="TVUGW3PYNG4GFURQ"/>
    <s v="LSTTVUGW3PYNG4GFURQZPSBQJ"/>
    <s v="FVTBAV33BR32726"/>
    <s v="FN2166565-S-PM39235"/>
    <s v="Not in WH"/>
    <e v="#N/A"/>
  </r>
  <r>
    <s v="PF-NAH-ROF"/>
    <x v="0"/>
    <n v="195"/>
    <s v="PF-NAH-RO"/>
    <s v="Noah Round Pouff Ottoman"/>
    <s v="White"/>
    <s v="Noah Round Pouff Ottoman White"/>
    <s v="Noah Round Pouff Ottoman"/>
    <m/>
    <e v="#N/A"/>
    <s v="B0D9LLB6HS"/>
    <s v="OTPH4RNTZ6F7HFDD"/>
    <s v="LSTOTPH4RNTZ6F7HFDDXPZYDH"/>
    <s v="FVSTOT51WH51530"/>
    <s v="FN2200961-S-PM39235"/>
    <s v="FN2200961-S-WH41218"/>
    <e v="#N/A"/>
  </r>
  <r>
    <s v="S-AO-W5"/>
    <x v="0"/>
    <n v="196"/>
    <s v="S-AO"/>
    <s v="Adora Wall Shelve"/>
    <s v="Wenge"/>
    <s v="Adora Wall Shelve Wenge"/>
    <s v="Adora Wall Shelve"/>
    <m/>
    <s v="X000KIW5XP"/>
    <s v="B01FO8HFT6"/>
    <s v="BSFETYADMNVRTZNG"/>
    <s v="LSTBSFETYADMNVRTZNGGG3BHX"/>
    <s v="FVSGCB33WG25072"/>
    <s v="DE1994885-S-PM39397"/>
    <s v="Not in WH"/>
    <e v="#N/A"/>
  </r>
  <r>
    <s v="TU-MA-STMF"/>
    <x v="0"/>
    <n v="197"/>
    <s v="TU-MA-ST"/>
    <s v="Maisy Standard TV Unit"/>
    <s v="Brown Maple &amp; White"/>
    <s v="Maisy Standard TV Unit Brown Maple &amp; White"/>
    <s v="Maisy Standard TV Unit"/>
    <m/>
    <s v="X001XFKJOL"/>
    <s v="B0BQWQ6BR1"/>
    <s v="TVUGWFVQHHZ5UFFY"/>
    <s v="LSTTVUGWFVQHHZ5UFFYOIO2BX"/>
    <s v="FVTBAV33BR32719"/>
    <s v="FN2166567-S-PM39235"/>
    <s v="Not in WH"/>
    <n v="34399024"/>
  </r>
  <r>
    <s v="MD-TNO-STM"/>
    <x v="0"/>
    <n v="198"/>
    <s v="MD-TNO-S"/>
    <s v="Tirano Standard Microwave Stand"/>
    <s v="Brown Maple"/>
    <s v="Tirano Standard Microwave Stand Brown Maple"/>
    <s v="Tirano Standard Microwave Stand"/>
    <m/>
    <s v="X0023R03OJ"/>
    <s v="B0D9HJS2P7"/>
    <s v="MWMH95QBAFYFWF8P"/>
    <s v="LSTMWMH95QBAFYFWF8P7OSVOX"/>
    <m/>
    <s v="KD2280087-S-PM39397"/>
    <s v="Not in WH"/>
    <e v="#N/A"/>
  </r>
  <r>
    <s v="SB-MXL-LAMI"/>
    <x v="5"/>
    <n v="199"/>
    <s v="SB-MXL-LA"/>
    <s v="Maxelle Large Bookshelf"/>
    <s v="Brown Maple &amp; Beige"/>
    <s v="Maxelle Large Bookshelf Brown Maple &amp; Beige"/>
    <s v="Maxelle Large Bookshelf"/>
    <m/>
    <e v="#N/A"/>
    <s v="B0DFWSWC7P"/>
    <s v="BSFGW3NDDM4YNBSF"/>
    <s v="LSTBSFGW3NDDM4YNBSFGS4GHY"/>
    <s v="FVSGBR11BB51552"/>
    <s v="FN2229392-S-PM39235"/>
    <s v="Not in WH"/>
    <n v="34381000"/>
  </r>
  <r>
    <s v="PF-NAH-RON"/>
    <x v="0"/>
    <n v="200"/>
    <s v="PF-NAH-RO"/>
    <s v="Noah Round Pouff Ottoman"/>
    <s v="Brown"/>
    <s v="Noah Round Pouff Ottoman Brown"/>
    <s v="Noah Round Pouff Ottoman"/>
    <m/>
    <e v="#N/A"/>
    <s v="B0D9LKN5GC"/>
    <s v="OTPH4RNTJ5F8GWPT"/>
    <s v="LSTOTPH4RNTJ5F8GWPTSAGK74"/>
    <s v="FVSTOT51BR51531"/>
    <s v="FN2200962-S-PM39235"/>
    <s v="FN2200962-S-WH41218"/>
    <e v="#N/A"/>
  </r>
  <r>
    <s v="TU-MLE-M"/>
    <x v="0"/>
    <n v="201"/>
    <s v="TU-MLE"/>
    <s v="Millie TV Unit"/>
    <s v="Brown Maple"/>
    <s v="Millie TV Unit Brown Maple"/>
    <s v="Millie TV Unit"/>
    <m/>
    <e v="#N/A"/>
    <s v="B0DGLVGZ55"/>
    <s v="TVUH4HF7QGTVRCYG"/>
    <s v="LSTTVUH4HF7QGTVRCYGHMJTPV"/>
    <s v="FVSGAV11BM51544"/>
    <s v="FN2229402-S-PM39235"/>
    <s v="Not in WH"/>
    <e v="#N/A"/>
  </r>
  <r>
    <s v="B-POL-QTFW"/>
    <x v="0"/>
    <n v="202"/>
    <s v="B-POL-QT"/>
    <s v="Pollo Queen with Storage Bed "/>
    <s v="Wenge"/>
    <s v="Pollo Queen with Storage Bed  Wenge"/>
    <s v="Pollo Queen with Storage Bed "/>
    <m/>
    <e v="#N/A"/>
    <s v="B092S7SQ6C"/>
    <s v="BDDGD38FYRYW2H5Z"/>
    <s v="LSTBDDGD38FYRYW2H5ZXBCNHN"/>
    <s v="FVBDNS33WN20475"/>
    <s v="FN1986317-S-PM39235"/>
    <s v="Not in WH"/>
    <e v="#N/A"/>
  </r>
  <r>
    <s v="SB-NBK-MF"/>
    <x v="0"/>
    <n v="203"/>
    <s v="SB-NBK"/>
    <s v="Novebuk Bookshelf"/>
    <s v="Brown Maple &amp; White"/>
    <s v="Novebuk Bookshelf Brown Maple &amp; White"/>
    <s v="Novebuk Bookshelf"/>
    <m/>
    <e v="#N/A"/>
    <s v="B0DFWPT67K"/>
    <s v="BSFH7GBGCGSVWS67"/>
    <s v="LSTBSFH7GBGCGSVWS67SM2BIK"/>
    <s v="FVSGBR11BW51553"/>
    <s v="FN2229393-S-PM39235"/>
    <s v="FN2229393-S-WH41218"/>
    <n v="34380997"/>
  </r>
  <r>
    <s v="CT-OSN-RTM"/>
    <x v="0"/>
    <n v="204"/>
    <s v="CT-OSN-RT"/>
    <s v="Osnale Rectangle Coffee Table"/>
    <s v="Brown Maple"/>
    <s v="Osnale Rectangle Coffee Table Brown Maple"/>
    <s v="Osnale Rectangle Coffee Table"/>
    <m/>
    <s v="X001YHT5ZH"/>
    <s v="B07D7W1RQX"/>
    <s v="CFTGW3NQFZCAFKTF"/>
    <s v="LSTCFTGW3NQFZCAFKTFXF91ZW"/>
    <s v="FVTBCF33BR32702"/>
    <s v="FN2166552-S-PM39235"/>
    <s v="Not in WH"/>
    <n v="34399184"/>
  </r>
  <r>
    <s v="TU-ETY-LAM"/>
    <x v="0"/>
    <n v="205"/>
    <s v="TU-ETY-LA"/>
    <s v="Estoye Large TV Unit"/>
    <s v="Brown Maple"/>
    <s v="Estoye Large TV Unit Brown Maple"/>
    <s v="Estoye Large TV Unit"/>
    <m/>
    <s v="X001Y4YVC7"/>
    <s v="B099DT5CR3"/>
    <s v="TVUGWMGRG26HXHMG"/>
    <s v="LSTTVUGWMGRG26HXHMGEVH0IL"/>
    <s v="FVTBAV33BR32715"/>
    <s v="FN2166591-S-PM39235"/>
    <s v="Not in WH"/>
    <n v="34399161"/>
  </r>
  <r>
    <s v="S-ETN-WF"/>
    <x v="0"/>
    <n v="206"/>
    <s v="S-ETN"/>
    <s v="Easton Wall Shelve"/>
    <s v="Wenge &amp; White"/>
    <s v="Easton Wall Shelve Wenge &amp; White"/>
    <s v="Easton Wall Shelve"/>
    <m/>
    <s v="X001K5H6WR"/>
    <s v="B09T3D9K1Z"/>
    <s v="RSFGBTHUZACX46D8"/>
    <s v="LSTRSFGBTHUZACX46D8M8MEOL"/>
    <s v="FVSGCB33WH25086"/>
    <s v="DE1994913-S-PM39397"/>
    <s v="Not in WH"/>
    <n v="34163056"/>
  </r>
  <r>
    <s v="BT-CO-WF"/>
    <x v="6"/>
    <n v="207"/>
    <s v="BT-CO"/>
    <s v="Coras Bed Side Table"/>
    <s v="Wenge &amp; White"/>
    <s v="Coras Bed Side Table Wenge &amp; White"/>
    <s v="Coras Bed Side Table"/>
    <m/>
    <s v="X001K2IJK3"/>
    <s v="B09TXMR5YG"/>
    <s v="SITGCNMNRQ3CG2JQ"/>
    <s v="LSTSITGCNMNRQ3CG2JQGQ6DI8"/>
    <s v="FVTBSI33BR20482"/>
    <s v="FN1988016-S-PM39235"/>
    <s v="FN1988016-S-WH41218"/>
    <n v="34399019"/>
  </r>
  <r>
    <s v="TP-MTA-M"/>
    <x v="0"/>
    <n v="208"/>
    <s v="TP-MTA"/>
    <s v="Miltra TV Top Shelf"/>
    <s v="Brown Maple"/>
    <s v="Miltra TV Top Shelf Brown Maple"/>
    <s v="Miltra TV Top Shelf"/>
    <m/>
    <e v="#N/A"/>
    <s v="B0DFPPGZY5"/>
    <s v="TVUH48PVGQZ2FTBF"/>
    <s v="LSTTVUH48PVGQZ2FTBF8UAMWE"/>
    <m/>
    <s v="FN2200966-S-PM39235"/>
    <s v="Not in WH"/>
    <e v="#N/A"/>
  </r>
  <r>
    <s v="S-BR-6M"/>
    <x v="0"/>
    <n v="209"/>
    <s v="S-BR-6"/>
    <s v="Braine 6 Shelves Wall Shelve"/>
    <s v="Brown Maple"/>
    <s v="Braine 6 Shelves Wall Shelve Brown Maple"/>
    <s v="Braine 6 Shelves Wall Shelve"/>
    <m/>
    <e v="#N/A"/>
    <s v="B0DFHFQZRB"/>
    <s v="RSFH45NYDYEWWYP3"/>
    <s v="LSTRSFH45NYDYEWWYP319XRKJ"/>
    <s v="FVSGBR11BM51554"/>
    <s v="DE2231307-S-PM39397"/>
    <s v="Not in WH"/>
    <n v="34163077"/>
  </r>
  <r>
    <s v="CT-KV-RTM"/>
    <x v="2"/>
    <n v="210"/>
    <s v="CT-KV-RT"/>
    <s v="Kasvon Rectangle Coffee Table"/>
    <s v="Brown Maple"/>
    <s v="Kasvon Rectangle Coffee Table Brown Maple"/>
    <s v="Kasvon Rectangle Coffee Table"/>
    <m/>
    <e v="#N/A"/>
    <s v="B0DHNGJFQF"/>
    <s v="CFTH4WFMZDHZPBPV"/>
    <s v="LSTCFTH4WFMZDHZPBPVBT3TWH"/>
    <s v="FVTBCF11BR51532"/>
    <s v="FN2229386-S-PM39235"/>
    <s v="FN2229386-S-WH41218"/>
    <n v="34399011"/>
  </r>
  <r>
    <s v="CT-ETE-M"/>
    <x v="0"/>
    <n v="211"/>
    <s v="CT-ETE"/>
    <s v="  Coffee Table"/>
    <s v="Brown Maple"/>
    <s v="  Coffee Table Brown Maple"/>
    <s v="  Coffee Table"/>
    <m/>
    <s v="X001YMY4VR"/>
    <s v="B0CV38YYV2"/>
    <s v="CFTGXUTCUAG3Z8YU"/>
    <s v="LSTCFTGXUTCUAG3Z8YUHTKRG1"/>
    <s v="FVTBCF33BR32699"/>
    <s v="FN2194295-S-PM39235"/>
    <s v="FN2194295-S-WH41218"/>
    <n v="34399094"/>
  </r>
  <r>
    <s v="RG-KH-SW-W21"/>
    <x v="0"/>
    <n v="212"/>
    <s v="KH-SW-W21"/>
    <s v="Skywood 21 Key Holder"/>
    <s v="Wenge"/>
    <s v="Skywood 21 Key Holder Wenge"/>
    <s v="Skywood 21 Key Holder"/>
    <m/>
    <s v="X000MRHS59"/>
    <s v="B00IPAT2G0"/>
    <s v="HOKE5EE9E2TPEYFY"/>
    <s v="LSTHOKE5EE9E2TPEYFYBVMF9C"/>
    <m/>
    <s v="DE1994923-S-PM39397"/>
    <s v="Not in WH"/>
    <n v="34165357"/>
  </r>
  <r>
    <s v="B-RVB-QNLF"/>
    <x v="4"/>
    <n v="213"/>
    <s v="B-RVB-QN"/>
    <s v="Roverb Queen Bed "/>
    <s v="Walnut &amp; White"/>
    <s v="Roverb Queen Bed  Walnut &amp; White"/>
    <s v="Roverb Queen Bed "/>
    <m/>
    <e v="#N/A"/>
    <s v="B09TXLNBYQ"/>
    <s v="BDDGCHV6B4QVYJZA"/>
    <s v="LSTBDDGCHV6B4QVYJZAGIYAH4"/>
    <s v="FVBDNS33WA20479"/>
    <s v="FN1991991-S-PM39235"/>
    <s v="FN1991991-S-WH41218"/>
    <e v="#N/A"/>
  </r>
  <r>
    <s v="KH-SUT-10M"/>
    <x v="0"/>
    <n v="214"/>
    <s v="KH-SUT-10"/>
    <s v="Stuart 10 Key Holder"/>
    <s v="Brown Maple"/>
    <s v="Stuart 10 Key Holder Brown Maple"/>
    <s v="Stuart 10 Key Holder"/>
    <m/>
    <e v="#N/A"/>
    <s v="B0DJMLST1B"/>
    <s v="KHRH7PG79JYCCEDF"/>
    <s v="LSTKHRH7PG79JYCCEDFTCDRJZ"/>
    <m/>
    <s v="DE2231299-S-PM39397"/>
    <s v="Not in WH"/>
    <n v="34165358"/>
  </r>
  <r>
    <s v="SB-WA-WMW"/>
    <x v="0"/>
    <n v="215"/>
    <s v="SB-WA-WM"/>
    <s v="Walten Bookshelf"/>
    <s v="Wenge"/>
    <s v="Walten Bookshelf Wenge"/>
    <s v="Walten Bookshelf"/>
    <m/>
    <s v="X000VEIXNJ"/>
    <s v="B07D1KM4DJ"/>
    <s v="BSFFC9GTGK4ZRR4U"/>
    <s v="LSTBSFFC9GTGK4ZRR4UERIXID"/>
    <s v="FVSGBR33WN20587"/>
    <s v="FN1991894-S-PM39235"/>
    <s v="FN1991894-S-WH41218"/>
    <n v="34381003"/>
  </r>
  <r>
    <s v="S-ATL-W"/>
    <x v="0"/>
    <n v="216"/>
    <s v="S-ATL"/>
    <s v="Astrella Wall Shelve"/>
    <s v="Wenge"/>
    <s v="Astrella Wall Shelve Wenge"/>
    <s v="Astrella Wall Shelve"/>
    <m/>
    <s v="X001EJZ5LX"/>
    <s v="B099DVN6WY"/>
    <s v="BSFG53DZ5WHFRX9V"/>
    <s v="LSTBSFG53DZ5WHFRX9VT6OIQ0"/>
    <s v="FVSGCB33WG25075"/>
    <s v="DE1994909-S-PM39397"/>
    <s v="Not in WH"/>
    <n v="34163064"/>
  </r>
  <r>
    <s v="TU-ARO-LAM"/>
    <x v="0"/>
    <n v="217"/>
    <s v="TU-ARO-LA"/>
    <s v="Aero Large TV Unit"/>
    <s v="Brown Maple"/>
    <s v="Aero Large TV Unit Brown Maple"/>
    <s v="Aero Large TV Unit"/>
    <m/>
    <m/>
    <s v="B07HKXP3CG"/>
    <s v="TVUHBWGAJT4GDRJS"/>
    <m/>
    <s v="FVSGAV11BM51536"/>
    <s v="FN2260667-S-PM39235"/>
    <s v="Not in WH"/>
    <n v="35524075"/>
  </r>
  <r>
    <s v="TU-PM-STW"/>
    <x v="0"/>
    <n v="218"/>
    <s v="TU-PM-ST"/>
    <s v="Primax Standard TV Unit"/>
    <s v="Wenge"/>
    <s v="Primax Standard TV Unit Wenge"/>
    <s v="Primax Standard TV Unit"/>
    <m/>
    <s v="X0011PVQOF"/>
    <s v="B07RS2L6TV"/>
    <s v="TVUFGGYNY9XEZHWG"/>
    <s v="LSTTVUFGGYNY9XEZHWGV9REXW"/>
    <s v="FVSGAV33WN20549"/>
    <s v="FN1991889-S-PM39235"/>
    <s v="Not in WH"/>
    <n v="34399068"/>
  </r>
  <r>
    <s v="RT-RI-MW"/>
    <x v="0"/>
    <n v="219"/>
    <s v="RT-RI-M"/>
    <s v="Rico Mini Dressing Table"/>
    <s v="Wenge"/>
    <s v="Rico Mini Dressing Table Wenge"/>
    <s v="Rico Mini Dressing Table"/>
    <m/>
    <s v="X001JVSOE1"/>
    <s v="B09SGHLZYT"/>
    <s v="DTBGCA9NJKXZGW4Y"/>
    <s v="LSTDTBGCA9NJKXZGW4Y1MOSX8"/>
    <s v="FVTBDS33BR20504"/>
    <s v="FN1991931-S-PM39235"/>
    <s v="Not in WH"/>
    <e v="#N/A"/>
  </r>
  <r>
    <s v="TS-FV-W"/>
    <x v="0"/>
    <n v="220"/>
    <s v="TS-FV"/>
    <s v="Festvi Triple Monitor Stand"/>
    <s v="Wenge"/>
    <s v="Festvi Triple Monitor Stand Wenge"/>
    <s v="Festvi Triple Monitor Stand"/>
    <m/>
    <s v="X001D34CAF"/>
    <s v="B08YX235BT"/>
    <s v="LASGFPYBV59XBPFH"/>
    <s v="LSTLASGFPYBV59XBPFHHHWWJR"/>
    <s v="FVSGCB33BR25059"/>
    <e v="#N/A"/>
    <s v="Not in WH"/>
    <e v="#N/A"/>
  </r>
  <r>
    <s v="KC-OPT-2SF"/>
    <x v="0"/>
    <n v="221"/>
    <s v="KC-OPT-2S"/>
    <s v="Opryt with Shelf Set of 2 Kichen Cabinet"/>
    <s v="White"/>
    <s v="Opryt with Shelf Set of 2 Kichen Cabinet White"/>
    <s v="Opryt with Shelf Set of 2 Kichen Cabinet"/>
    <m/>
    <m/>
    <s v="B0FBMBTKGQ"/>
    <s v="KTCHCSG7SU3ZEEBB"/>
    <s v="LSTKTCHCSG7SU3ZEEBBRR1JZD"/>
    <s v="FVSGSB11WH51526"/>
    <s v="KD2280093-S-PM39397"/>
    <s v="Not in WH"/>
    <e v="#N/A"/>
  </r>
  <r>
    <s v="SB-ASG-M"/>
    <x v="0"/>
    <n v="222"/>
    <s v="SB-ASG"/>
    <s v="Asburg 6 Layer Bookshelf"/>
    <s v="Brown Maple"/>
    <s v="Asburg 6 Layer Bookshelf Brown Maple"/>
    <s v="Asburg 6 Layer Bookshelf"/>
    <m/>
    <s v="X0023EJATL"/>
    <s v="B0D4V1BC73"/>
    <s v="BSFH3YS2WQTFNYDY"/>
    <s v="LSTBSFH3YS2WQTFNYDY1M0MNS"/>
    <s v="FVSGBR33BR50159"/>
    <s v="FN2194303-S-PM39235"/>
    <s v="FN2194303-S-WH41218"/>
    <n v="34380974"/>
  </r>
  <r>
    <s v="SB-PH-W"/>
    <x v="0"/>
    <n v="223"/>
    <s v="SB-PH"/>
    <s v="Phelix Bookshelf"/>
    <s v="Wenge"/>
    <s v="Phelix Bookshelf Wenge"/>
    <s v="Phelix Bookshelf"/>
    <m/>
    <s v="X000KKFES1"/>
    <s v="B019HBPT76"/>
    <s v="BSFEUKMDNTVVGZ4U"/>
    <s v="LSTBSFEUKMDNTVVGZ4UR6BO8R"/>
    <s v="FVSGBR33WN20582"/>
    <s v="DE1994883-S-PM39397"/>
    <s v="Not in WH"/>
    <e v="#N/A"/>
  </r>
  <r>
    <s v="KH-SUT-21M"/>
    <x v="0"/>
    <n v="224"/>
    <s v="KH-SUT-21"/>
    <s v="Stuart 21 Key Holder"/>
    <s v="Brown Maple"/>
    <s v="Stuart 21 Key Holder Brown Maple"/>
    <s v="Stuart 21 Key Holder"/>
    <m/>
    <e v="#N/A"/>
    <s v="B0DJMLBSSD"/>
    <s v="KHRH7PGGDCCCJ7FX"/>
    <s v="LSTKHRH7PGGDCCCJ7FXGOJL9F"/>
    <m/>
    <s v="DE2231300-S-PM39397"/>
    <s v="Not in WH"/>
    <n v="34165363"/>
  </r>
  <r>
    <s v="MD-TNO-LAM"/>
    <x v="0"/>
    <n v="225"/>
    <s v="MD-TNO-L"/>
    <s v="Tirano Large Microwave Stand"/>
    <s v="Brown Maple"/>
    <s v="Tirano Large Microwave Stand Brown Maple"/>
    <s v="Tirano Large Microwave Stand"/>
    <m/>
    <s v="X00248X1RN"/>
    <s v="B0D9HKF635"/>
    <s v="MWMH96KWD8VJAY9G"/>
    <s v="LSTMWMH96KWD8VJAY9GQRTSII"/>
    <m/>
    <m/>
    <s v="Not in WH"/>
    <e v="#N/A"/>
  </r>
  <r>
    <s v="TS-NL-STM"/>
    <x v="2"/>
    <n v="226"/>
    <s v="TS-NL-ST"/>
    <s v="Norel Standard Monitor Stand"/>
    <s v="Brown Maple"/>
    <s v="Norel Standard Monitor Stand Brown Maple"/>
    <s v="Norel Standard Monitor Stand"/>
    <m/>
    <s v="X001XLC5P1"/>
    <s v="B0CMM5M79P"/>
    <s v="LASGVG8BZHMFRMJN"/>
    <s v="LSTLASGVG8BZHMFRMJNVT6CAA"/>
    <m/>
    <s v="FN2152514-S-PM39235"/>
    <s v="Not in WH"/>
    <e v="#N/A"/>
  </r>
  <r>
    <s v="TU-RYE-LAWF"/>
    <x v="0"/>
    <n v="227"/>
    <s v="TU-RYE-LA"/>
    <s v="Reyloye Large TV Unit"/>
    <s v="Wenge &amp; White"/>
    <s v="Reyloye Large TV Unit Wenge &amp; White"/>
    <s v="Reyloye Large TV Unit"/>
    <m/>
    <s v="X001EQJ2Y7"/>
    <s v="B099DBZJ1K"/>
    <s v="TVUG5CCNE7MBNGTY"/>
    <s v="LSTTVUG5CCNE7MBNGTYPHN5SH"/>
    <s v="FVSGAV33WH20559"/>
    <s v="FN1987998-S-PM39235"/>
    <s v="FN1987998-S-WH41218"/>
    <n v="34399146"/>
  </r>
  <r>
    <s v="TU-ETY-STM"/>
    <x v="0"/>
    <n v="228"/>
    <s v="TU-ETY-ST"/>
    <s v="Estoye Standard TV Unit"/>
    <s v="Brown Maple"/>
    <s v="Estoye Standard TV Unit Brown Maple"/>
    <s v="Estoye Standard TV Unit"/>
    <m/>
    <s v="X001Y5AGBL"/>
    <s v="B0CQK28HLN"/>
    <s v="TVUGWMG8FFGJDPHG"/>
    <s v="LSTTVUGWMG8FFGJDPHGRDESOM"/>
    <s v="FVTBAV33BR32717"/>
    <s v="FN2166590-S-PM39235"/>
    <s v="Not in WH"/>
    <n v="34398992"/>
  </r>
  <r>
    <s v="SB-MPL-W"/>
    <x v="0"/>
    <n v="229"/>
    <s v="SB-MPL"/>
    <s v="Maple Bookshelf"/>
    <s v="Wenge"/>
    <s v="Maple Bookshelf Wenge"/>
    <s v="Maple Bookshelf"/>
    <m/>
    <s v="X001IPKNUV"/>
    <s v="B09SHWVM7W"/>
    <s v="BSFGBSHHASEZ5KT5"/>
    <s v="LSTBSFGBSHHASEZ5KT5LZDVHS"/>
    <s v="FVSGBR33WN20576"/>
    <s v="FN2194305-S-PM39235"/>
    <s v="Not in WH"/>
    <n v="34380940"/>
  </r>
  <r>
    <s v="KH-TO-40W"/>
    <x v="0"/>
    <n v="230"/>
    <s v="KH-TO-40"/>
    <s v="Torene 40Key Holder"/>
    <s v="Wenge"/>
    <s v="Torene 40Key Holder Wenge"/>
    <s v="Torene 40Key Holder"/>
    <m/>
    <s v="X00252N5X3"/>
    <s v="B07V5LZ84X"/>
    <s v="KHRH2QB9WJTZ96Q8"/>
    <s v="LSTKHRH2QB9WJTZ96Q8N6UDC3"/>
    <m/>
    <s v="DE1994925-S-PM39397"/>
    <s v="Not in WH"/>
    <n v="27465476"/>
  </r>
  <r>
    <s v="RT-AT-W"/>
    <x v="0"/>
    <n v="231"/>
    <s v="RT-AT"/>
    <s v="Alesti Dressing Table"/>
    <s v="Wenge"/>
    <s v="Alesti Dressing Table Wenge"/>
    <s v="Alesti Dressing Table"/>
    <m/>
    <s v="X001C6P87T"/>
    <s v="B08XJNTSSN"/>
    <s v="DTBG465CMFJDQKZP"/>
    <s v="LSTDTBG465CMFJDQKZP7VA0SB"/>
    <s v="FVTBDS33BR20497"/>
    <s v="FN1991901-S-PM39235"/>
    <s v="Not in WH"/>
    <e v="#N/A"/>
  </r>
  <r>
    <s v="ST-HE-W"/>
    <x v="0"/>
    <n v="232"/>
    <s v="ST-HE"/>
    <s v="Hemming Study Table"/>
    <s v="Wenge"/>
    <s v="Hemming Study Table Wenge"/>
    <s v="Hemming Study Table"/>
    <m/>
    <s v="X000LJ2NVR"/>
    <s v="B01FQHBLW2"/>
    <s v="OSTEKNZ9RX3F26H8"/>
    <s v="LSTOSTEKNZ9RX3F26H8BSVHMH"/>
    <s v="FVTBST33WN20605"/>
    <s v="FN2030337-S-PM39235"/>
    <s v="Not in WH"/>
    <n v="34399121"/>
  </r>
  <r>
    <s v="TU-PMG-STW"/>
    <x v="0"/>
    <n v="233"/>
    <s v="TU-PMG-ST"/>
    <s v="Primax Grande Standard TV Unit"/>
    <s v="Wenge"/>
    <s v="Primax Grande Standard TV Unit Wenge"/>
    <s v="Primax Grande Standard TV Unit"/>
    <m/>
    <s v="X001I5KDG5"/>
    <s v="B09PBSNBQB"/>
    <s v="TVUGAB6EGEJMKKYY"/>
    <s v="LSTTVUGAB6EGEJMKKYYSUTDUY"/>
    <s v="FVSGAV33WN20543"/>
    <s v="FN1991888-S-PM39235"/>
    <s v="Not in WH"/>
    <n v="34399220"/>
  </r>
  <r>
    <s v="S-RY-M"/>
    <x v="0"/>
    <n v="234"/>
    <s v="S-RY"/>
    <s v="Riley Wall Shelve"/>
    <s v="Brown Maple"/>
    <s v="Riley Wall Shelve Brown Maple"/>
    <s v="Riley Wall Shelve"/>
    <m/>
    <m/>
    <s v="B0DM29T59F"/>
    <s v="RSFHDWJT5SVBNFZG"/>
    <s v="LSTRSFHDWJT5SVBNFZG6P2YBV"/>
    <s v="FVSGBR11BM51561"/>
    <s v="KD2280095-S-PM39397"/>
    <s v="Not in WH"/>
    <e v="#N/A"/>
  </r>
  <r>
    <s v="ST-RDO-STO"/>
    <x v="1"/>
    <n v="235"/>
    <s v="ST-RDO-ST"/>
    <s v="Radisso Mini Study Table"/>
    <s v="European Oak"/>
    <s v="Radisso Mini Study Table European Oak"/>
    <s v="Radisso Mini Study Table"/>
    <m/>
    <m/>
    <s v="B0FS7CG55C"/>
    <s v="OSTHGGYBKQP77YFF"/>
    <m/>
    <m/>
    <m/>
    <s v="Not in WH"/>
    <m/>
  </r>
  <r>
    <s v="S-AI-W"/>
    <x v="0"/>
    <n v="236"/>
    <s v="S-AI"/>
    <s v="Alaire Wall Shelve"/>
    <s v="Wenge"/>
    <s v="Alaire Wall Shelve Wenge"/>
    <s v="Alaire Wall Shelve"/>
    <m/>
    <s v="X001EK3I6B"/>
    <s v="B099DBMWDG"/>
    <s v="BSFG53CEEENPVYBY"/>
    <s v="LSTBSFG53CEEENPVYBYXG7PEE"/>
    <s v="FVSGCB33WG25069"/>
    <s v="DE1994910-S-PM39397"/>
    <s v="Not in WH"/>
    <n v="34163059"/>
  </r>
  <r>
    <s v="CT-TYU-M"/>
    <x v="0"/>
    <n v="237"/>
    <s v="CT-TYU"/>
    <s v="Tayvue Coffee Table"/>
    <s v="Brown Maple"/>
    <s v="Tayvue Coffee Table Brown Maple"/>
    <s v="Tayvue Coffee Table"/>
    <m/>
    <e v="#N/A"/>
    <s v="B0DVSS7LSR"/>
    <s v="CFTH95PPZHRHGF8Y"/>
    <s v="LSTCFTH95PPZHRHGF8YUTWBTA"/>
    <s v="FVTBCF11BR51534"/>
    <s v="FN2229390-S-PM39235"/>
    <s v="Not in WH"/>
    <n v="35520704"/>
  </r>
  <r>
    <s v="PF-MIS-RTE"/>
    <x v="0"/>
    <n v="238"/>
    <s v="PF-MIS-RT"/>
    <s v="Midase Rectangular Pouff Ottoman"/>
    <s v="Grey"/>
    <s v="Midase Rectangular Pouff Ottoman Grey"/>
    <s v="Midase Rectangular Pouff Ottoman"/>
    <m/>
    <e v="#N/A"/>
    <s v="B0D9LKVBQM"/>
    <s v="OTPH4RNTSJU2VU8B"/>
    <s v="LSTOTPH4RNTSJU2VU8BDE6B3R"/>
    <s v="FVSTOT51GY51528"/>
    <s v="FN2200959-S-PM39235"/>
    <s v="Not in WH"/>
    <e v="#N/A"/>
  </r>
  <r>
    <s v="TS-NL-W"/>
    <x v="0"/>
    <n v="239"/>
    <s v="TS-NL"/>
    <s v="Norel  Monitor Stand"/>
    <s v="Wenge"/>
    <s v="Norel  Monitor Stand Wenge"/>
    <s v="Norel  Monitor Stand"/>
    <m/>
    <s v="X0023ZMR27"/>
    <s v="B0785GFD58"/>
    <s v="CPTFCAGVEZMXKDRN"/>
    <s v="LSTCPTFCAGVEZMXKDRNGZP8KY"/>
    <s v="FVSGCB33BR25062"/>
    <s v="FN2194312-S-PM39235"/>
    <s v="Not in WH"/>
    <e v="#N/A"/>
  </r>
  <r>
    <s v="KH-RMT-M"/>
    <x v="0"/>
    <n v="240"/>
    <s v="KH-RMT"/>
    <s v="Ramnet Key Holder"/>
    <s v="Brown Maple"/>
    <s v="Ramnet Key Holder Brown Maple"/>
    <s v="Ramnet Key Holder"/>
    <m/>
    <e v="#N/A"/>
    <s v="B0DFPS4R2M"/>
    <s v="KHRH48QEVDJKAKJ6"/>
    <s v="LSTKHRH48QEVDJKAKJ6NKUR0G"/>
    <m/>
    <s v="DE2231297-S-PM39397"/>
    <s v="Not in WH"/>
    <n v="34165359"/>
  </r>
  <r>
    <s v="KH-TOC-18F"/>
    <x v="7"/>
    <n v="241"/>
    <s v="KH-TOC-18"/>
    <s v="Torene 18 Glass Key Holder"/>
    <s v="White"/>
    <s v="Torene 18 Glass Key Holder White"/>
    <s v="Torene 18 Glass Key Holder"/>
    <m/>
    <e v="#N/A"/>
    <s v="B0DSVPRZMS"/>
    <s v="KHRH8JBRD6MHFHVU"/>
    <s v="LSTKHRH8JBRD6MHFHVUX8M1LS"/>
    <m/>
    <s v="KD2280096-S-PM39397"/>
    <s v="Not in WH"/>
    <n v="34165361"/>
  </r>
  <r>
    <s v="BT-OL-M"/>
    <x v="0"/>
    <n v="242"/>
    <s v="BT-OL"/>
    <s v="Oliver Bed Side Table"/>
    <s v="Brown Maple"/>
    <s v="Oliver Bed Side Table Brown Maple"/>
    <s v="Oliver Bed Side Table"/>
    <m/>
    <s v="X0023EXLQ9"/>
    <s v="B06WGS777J"/>
    <s v="SITH2QGZGKVWXJ24"/>
    <s v="LSTSITH2QGZGKVWXJ24UJF4R4"/>
    <s v="FVTBBS33BR50140"/>
    <s v="FN2194292-S-PM39235"/>
    <s v="Not in WH"/>
    <n v="34399070"/>
  </r>
  <r>
    <s v="RT-ALY-W"/>
    <x v="0"/>
    <n v="243"/>
    <s v="RT-ALY"/>
    <s v="Adaly Dressing Table"/>
    <s v="Wenge"/>
    <s v="Adaly Dressing Table Wenge"/>
    <s v="Adaly Dressing Table"/>
    <m/>
    <s v="X001C6PA8L"/>
    <s v="B08XWL3ZBP"/>
    <s v="DTBGFYHCZ8Y4UZQG"/>
    <s v="LSTDTBGFYHCZ8Y4UZQGVHZL55"/>
    <s v="FVTBDS33BR20496"/>
    <s v="FN2030323-S-PM39235"/>
    <s v="Not in WH"/>
    <e v="#N/A"/>
  </r>
  <r>
    <s v="KH-EDL-M"/>
    <x v="2"/>
    <n v="244"/>
    <s v="KH-EDL"/>
    <s v="Edell Key Holder"/>
    <s v="Brown Maple"/>
    <s v="Edell Key Holder Brown Maple"/>
    <s v="Edell Key Holder"/>
    <m/>
    <e v="#N/A"/>
    <s v="B0DGCYWWVC"/>
    <s v="KHRH48Q5FTHZZTKA"/>
    <s v="LSTKHRH48Q5FTHZZTKATZYX7Z"/>
    <m/>
    <s v="DE2231296-S-PM39397"/>
    <s v="Not in WH"/>
    <n v="34165365"/>
  </r>
  <r>
    <s v="SH-DVN-STM"/>
    <x v="1"/>
    <n v="245"/>
    <s v="SH-DVN-ST"/>
    <s v="Dolvin Mini Spice Rack"/>
    <s v="Brown Maple"/>
    <s v="Dolvin Mini Spice Rack Brown Maple"/>
    <s v="Dolvin Mini Spice Rack"/>
    <m/>
    <m/>
    <s v="B0FSKVZRFL"/>
    <m/>
    <m/>
    <m/>
    <e v="#N/A"/>
    <s v="Not in WH"/>
    <e v="#N/A"/>
  </r>
  <r>
    <s v="FT-EDR.P-WF"/>
    <x v="0"/>
    <n v="246"/>
    <s v="FT-EDR"/>
    <s v="Ender End Table"/>
    <s v="Wenge &amp; White"/>
    <s v="Ender End Table Wenge &amp; White"/>
    <s v="Ender End Table"/>
    <m/>
    <s v="X001RV75E3"/>
    <s v="B0C43M1HTN"/>
    <s v="SITGPPCN6UJAUHHX"/>
    <s v="LSTSITGPPCN6UJAUHHXDDYTVL"/>
    <s v="FVTBSI33BR50142"/>
    <s v="FN2194300-S-PM39235"/>
    <s v="FN2194300-S-WH41218"/>
    <n v="35520706"/>
  </r>
  <r>
    <s v="S-GRB-W"/>
    <x v="0"/>
    <n v="247"/>
    <s v="S-GRB"/>
    <s v="Grubbin  Wall Shelve"/>
    <s v="Wenge"/>
    <s v="Grubbin  Wall Shelve Wenge"/>
    <s v="Grubbin  Wall Shelve"/>
    <m/>
    <s v="X001KAZ7ZF"/>
    <s v="B09T3FKXLG"/>
    <s v="RSFGBTHYAPHPTHAG"/>
    <s v="LSTRSFGBTHYAPHPTHAGXTS9WV"/>
    <s v="FVSGCB33WG25088"/>
    <s v="DE1994921-S-PM39397"/>
    <s v="Not in WH"/>
    <n v="29525082"/>
  </r>
  <r>
    <s v="KH-WLR-M"/>
    <x v="2"/>
    <n v="248"/>
    <s v="KH-WLR"/>
    <s v="Walore Key Holder"/>
    <s v="Brown Maple"/>
    <s v="Walore Key Holder Brown Maple"/>
    <s v="Walore Key Holder"/>
    <m/>
    <s v="X00253IQLN"/>
    <s v="B0DGCW4XVH"/>
    <s v="KHRH4FR9DWGGFZRJ"/>
    <s v="LSTKHRH4FR9DWGGFZRJTZLL8M"/>
    <m/>
    <s v="DE2231302-S-PM39397"/>
    <s v="Not in WH"/>
    <n v="34165364"/>
  </r>
  <r>
    <s v="SH-GTA-K"/>
    <x v="1"/>
    <n v="249"/>
    <s v="SH-GTA"/>
    <s v="Greta Metal Spice Rack"/>
    <s v="Black"/>
    <s v="Greta Metal Spice Rack Black"/>
    <s v="Greta Metal Spice Rack"/>
    <m/>
    <m/>
    <s v="B0FHBCDD2D"/>
    <s v="KRKHDUF5VZGZZHCP"/>
    <s v="LSTKRKHDUF5VZGZZHCPKYELRL"/>
    <m/>
    <e v="#N/A"/>
    <s v="Not in WH"/>
    <e v="#N/A"/>
  </r>
  <r>
    <s v="B-MLT-KTMI"/>
    <x v="0"/>
    <n v="250"/>
    <s v="B-MLT-KT"/>
    <s v="Maltein King With storage Bed "/>
    <s v="Brown Maple &amp; Beige"/>
    <s v="Maltein King With storage Bed  Brown Maple &amp; Beige"/>
    <s v="Maltein King With storage Bed "/>
    <m/>
    <e v="#N/A"/>
    <s v="B0CP3KM5LW"/>
    <s v="BDDGW3NEJCUXZEM4"/>
    <s v="LSTBDDGW3NEJCUXZEM4LTRECD"/>
    <s v="FVBDST33BR32682"/>
    <s v="FN2152502-S-PM39235"/>
    <s v="Not in WH"/>
    <e v="#N/A"/>
  </r>
  <r>
    <s v="B-POL-KTFW"/>
    <x v="0"/>
    <n v="250"/>
    <s v="B-POL-KT"/>
    <s v="Pollo King with Storage Bed "/>
    <s v="Wenge"/>
    <s v="Pollo King with Storage Bed  Wenge"/>
    <s v="Pollo King with Storage Bed "/>
    <m/>
    <e v="#N/A"/>
    <s v="B092SMVLBD"/>
    <s v="BDDH2P3FZPXMFGSV"/>
    <s v="LSTBDDH2P3FZPXMFGSV4MMASL"/>
    <s v="FVBDNS33WN20473"/>
    <s v="FN2030309-S-PM39235"/>
    <s v="FN2030309-S-WH41218"/>
    <e v="#N/A"/>
  </r>
  <r>
    <s v="B-POL-KTMI"/>
    <x v="5"/>
    <n v="250"/>
    <s v="B-POL-KT"/>
    <s v="Pollo King with Storage Bed "/>
    <s v="Brown Maple &amp; Beige"/>
    <s v="Pollo King with Storage Bed  Brown Maple &amp; Beige"/>
    <s v="Pollo King with Storage Bed "/>
    <m/>
    <e v="#N/A"/>
    <s v="B0CQNMYL8T"/>
    <s v="BDDGZ5JZ2EZMTQSN"/>
    <s v="LSTBDDGZ5JZ2EZMTQSNRXSWLY"/>
    <s v="FVBDST33BR50132"/>
    <e v="#N/A"/>
    <s v="Not in WH"/>
    <e v="#N/A"/>
  </r>
  <r>
    <s v="B-POL-SNWF"/>
    <x v="0"/>
    <n v="250"/>
    <s v="B-POL-SN"/>
    <s v="Pollo Single Bed "/>
    <s v="Wenge &amp; White"/>
    <s v="Pollo Single Bed  Wenge &amp; White"/>
    <s v="Pollo Single Bed "/>
    <m/>
    <e v="#N/A"/>
    <s v="B0BCZ54CNJ"/>
    <s v="BDDGHZHW6DRYQUH9"/>
    <s v="LSTBDDGHZHW6DRYQUH90URHJE"/>
    <s v="FVBDNS33BR50136"/>
    <s v="FN2087156-S-PM39235"/>
    <s v="Not in WH"/>
    <e v="#N/A"/>
  </r>
  <r>
    <s v="B-RVB-D36NM"/>
    <x v="0"/>
    <n v="250"/>
    <s v="B-RVB-D36N"/>
    <s v="Roverb Diwan 36&quot; Bed "/>
    <s v="Brown Maple"/>
    <s v="Roverb Diwan 36&quot; Bed  Brown Maple"/>
    <s v="Roverb Diwan 36&quot; Bed "/>
    <m/>
    <e v="#N/A"/>
    <s v="B0C8J4PN4Q"/>
    <s v="BDDHYHDZMSFXQYWM"/>
    <s v="LSTBDDHYHDZMSFXQYWMYSM6QG"/>
    <s v="FVBDNS33BR50138"/>
    <s v="FN2229385-S-PM39235"/>
    <s v="FN2229385-S-WH41218"/>
    <e v="#N/A"/>
  </r>
  <r>
    <s v="B-RVB-KNM"/>
    <x v="0"/>
    <n v="250"/>
    <s v="B-RVB-KN"/>
    <s v="Roverb King Bed "/>
    <s v="Brown Maple"/>
    <s v="Roverb King Bed  Brown Maple"/>
    <s v="Roverb King Bed "/>
    <m/>
    <e v="#N/A"/>
    <s v="B0CJRXN75L"/>
    <s v="BDDGUJ24KCGFF36G"/>
    <s v="LSTBDDGUJ24KCGFF36GI2IXBZ"/>
    <s v="FVBDNS33BR32684"/>
    <s v="FN2152499-S-PM39235"/>
    <s v="FN2152499-S-WH41218"/>
    <e v="#N/A"/>
  </r>
  <r>
    <s v="B-RVB-KNW"/>
    <x v="5"/>
    <n v="250"/>
    <s v="B-RVB-KN"/>
    <s v="Roverb King Bed "/>
    <s v="Wenge"/>
    <s v="Roverb King Bed  Wenge"/>
    <s v="Roverb King Bed "/>
    <m/>
    <e v="#N/A"/>
    <s v="B092S8DTLP"/>
    <s v="BDDGD38YKZVZVGPG"/>
    <s v="LSTBDDGD38YKZVZVGPGBK2FJ4"/>
    <s v="FVBDNS33WN20477"/>
    <s v="FN1991971-S-PM39235"/>
    <s v="Not in WH"/>
    <e v="#N/A"/>
  </r>
  <r>
    <s v="CH-PLI-MEK"/>
    <x v="1"/>
    <n v="250"/>
    <s v="CH-PLI-ME"/>
    <s v="Polli Medium Back Chair"/>
    <s v="Black"/>
    <s v="Polli Medium Back Chair Black"/>
    <s v="Polli Medium Back Chair"/>
    <m/>
    <m/>
    <s v="B0FRFKPW75"/>
    <m/>
    <m/>
    <m/>
    <m/>
    <s v="Not in WH"/>
    <m/>
  </r>
  <r>
    <s v="CH-ZLO-MEK"/>
    <x v="1"/>
    <n v="250"/>
    <s v="CH-ZLO-ME"/>
    <s v="Zylo Medium Back Chair"/>
    <s v="Black"/>
    <s v="Zylo Medium Back Chair Black"/>
    <s v="Zylo Medium Back Chair"/>
    <m/>
    <m/>
    <s v="B0FRFN4MXV"/>
    <m/>
    <m/>
    <m/>
    <m/>
    <s v="Not in WH"/>
    <m/>
  </r>
  <r>
    <s v="CT-GSE-RTW2"/>
    <x v="5"/>
    <n v="250"/>
    <s v="CT-GSE-RT2"/>
    <s v="Gustowe Rectangle Set of Two Coffee Table"/>
    <s v="Wenge"/>
    <s v="Gustowe Rectangle Set of Two Coffee Table Wenge"/>
    <s v="Gustowe Rectangle Set of Two Coffee Table"/>
    <m/>
    <s v="X001N6TDTR"/>
    <s v="B09YRQDTY5"/>
    <s v="CFTGG8K2GTFVU6EZ"/>
    <s v="LSTCFTGG8K2GTFVU6EZM3FUXB"/>
    <s v="FVTBCF33WN20630"/>
    <s v="FN2030317-S-PM39235"/>
    <s v="Not in WH"/>
    <e v="#N/A"/>
  </r>
  <r>
    <s v="CT-GSE-SQF"/>
    <x v="5"/>
    <n v="250"/>
    <s v="CT-GSE-SQ"/>
    <s v="Gustowe Square Coffee Table"/>
    <s v="White"/>
    <s v="Gustowe Square Coffee Table White"/>
    <s v="Gustowe Square Coffee Table"/>
    <m/>
    <s v="X001EQA3IL"/>
    <s v="B099DJNDK9"/>
    <s v="CFTG5Y2B66BKERPW"/>
    <s v="LSTCFTG5Y2B66BKERPWIJYIJY"/>
    <s v="FVTBCF33WH20631"/>
    <s v="FN1991969-S-PM39235"/>
    <s v="Not in WH"/>
    <e v="#N/A"/>
  </r>
  <r>
    <s v="CT-GSE-SQF2"/>
    <x v="5"/>
    <n v="250"/>
    <s v="CT-GSE-SQ2"/>
    <s v="Gustowe Square Set of Two Coffee Table"/>
    <s v="White"/>
    <s v="Gustowe Square Set of Two Coffee Table White"/>
    <s v="Gustowe Square Set of Two Coffee Table"/>
    <m/>
    <s v="X001LIMNA3"/>
    <s v="B09YRQMJ2N"/>
    <s v="CFTGG8K2EZTGRHH6"/>
    <s v="LSTCFTGG8K2EZTGRHH66FZWAE"/>
    <s v="FVTBCF33WH20632"/>
    <s v="FN2030318-S-PM39235"/>
    <s v="Not in WH"/>
    <e v="#N/A"/>
  </r>
  <r>
    <s v="CT-GSE-SQW"/>
    <x v="5"/>
    <n v="250"/>
    <s v="CT-GSE-SQ"/>
    <s v="Gustowe Square Coffee Table"/>
    <s v="Wenge"/>
    <s v="Gustowe Square Coffee Table Wenge"/>
    <s v="Gustowe Square Coffee Table"/>
    <m/>
    <s v="X001EK390B"/>
    <s v="B099DFK1Z3"/>
    <s v="CFTG5Y2HEAFESGB2"/>
    <s v="LSTCFTG5Y2HEAFESGB2QROEMS"/>
    <s v="FVTBCF33WN20633"/>
    <s v="FN1991983-S-PM39235"/>
    <s v="Not in WH"/>
    <e v="#N/A"/>
  </r>
  <r>
    <s v="CT-GSE-SQW2"/>
    <x v="5"/>
    <n v="250"/>
    <s v="CT-GSE-SQ2"/>
    <s v="Gustowe Square Set of Two Coffee Table"/>
    <s v="Wenge"/>
    <s v="Gustowe Square Set of Two Coffee Table Wenge"/>
    <s v="Gustowe Square Set of Two Coffee Table"/>
    <m/>
    <s v="X001MHX70N"/>
    <s v="B09YRQHCQG"/>
    <s v="CFTGG8K3WS9KJMZZ"/>
    <s v="LSTCFTGG8K3WS9KJMZZ8T6YF6"/>
    <s v="FVTBCF33WN20634"/>
    <s v="FN2030319-S-PM39235"/>
    <s v="Not in WH"/>
    <e v="#N/A"/>
  </r>
  <r>
    <s v="CT-KV-RTW"/>
    <x v="5"/>
    <n v="250"/>
    <s v="CT-KV-RT"/>
    <s v="Kasvon Rectangle Coffee Table"/>
    <s v="Wenge"/>
    <s v="Kasvon Rectangle Coffee Table Wenge"/>
    <s v="Kasvon Rectangle Coffee Table"/>
    <m/>
    <s v="X001JGX84H"/>
    <s v="B09QS83C86"/>
    <s v="CFTGBSG3A3GTR6QF"/>
    <s v="LSTCFTGBSG3A3GTR6QFZA9CQZ"/>
    <s v="FVTBCF33WN20635"/>
    <s v="FN1991944-S-PM39235"/>
    <s v="Not in WH"/>
    <n v="34399058"/>
  </r>
  <r>
    <s v="KC-OPT-2NF"/>
    <x v="0"/>
    <n v="250"/>
    <s v="KC-OPT-2N"/>
    <s v="Opryt Set of 2 Kichen Cabinet"/>
    <s v="White"/>
    <s v="Opryt Set of 2 Kichen Cabinet White"/>
    <s v="Opryt Set of 2 Kichen Cabinet"/>
    <m/>
    <m/>
    <s v="B0FBMC4KNW"/>
    <s v="KTCHCSGDHUKWRCH6"/>
    <s v="LSTKTCHCSGDHUKWRCH6C5ZPFW"/>
    <s v="FVSGSB11WH51525"/>
    <m/>
    <s v="Not in WH"/>
    <e v="#N/A"/>
  </r>
  <r>
    <s v="KH-LKN-MF"/>
    <x v="5"/>
    <n v="250"/>
    <s v="KH-LKN-6"/>
    <s v="Larkyn Key Holder"/>
    <s v="Brown Maple &amp; White"/>
    <s v="Larkyn Key Holder Brown Maple &amp; White"/>
    <s v="Larkyn Key Holder"/>
    <m/>
    <s v="X001YYWOGR"/>
    <s v="B0CQTJ11F9"/>
    <s v="KHRGVE4FSFSXZKBH"/>
    <s v="LSTKHRGVE4FSFSXZKBHCCGMOF"/>
    <m/>
    <s v="DE2198496-S-PM39397"/>
    <s v="Not in WH"/>
    <n v="27465478"/>
  </r>
  <r>
    <s v="KH-TOC-40F"/>
    <x v="7"/>
    <n v="250"/>
    <s v="KH-TOC-40"/>
    <s v="Torene 40 Glass Key Holder"/>
    <s v="White"/>
    <s v="Torene 40 Glass Key Holder White"/>
    <s v="Torene 40 Glass Key Holder"/>
    <m/>
    <e v="#N/A"/>
    <s v="B0DSVQBXV6"/>
    <s v="KHRH8JBKVQMZAX4Y"/>
    <s v="LSTKHRH8JBKVQMZAX4YAA7JRT"/>
    <m/>
    <s v="KD2280089-S-PM39397"/>
    <s v="Not in WH"/>
    <n v="34165356"/>
  </r>
  <r>
    <s v="PF-MIS-RTU"/>
    <x v="0"/>
    <n v="250"/>
    <s v="PF-MIS-RT"/>
    <s v="Midase Rectangular Pouff Ottoman"/>
    <s v="Blue"/>
    <s v="Midase Rectangular Pouff Ottoman Blue"/>
    <s v="Midase Rectangular Pouff Ottoman"/>
    <m/>
    <e v="#N/A"/>
    <s v="B0D9LLC7JB"/>
    <s v="OTPH4RNTCGR9BATZ"/>
    <s v="LSTOTPH4RNTCGR9BATZPTF6EP"/>
    <s v="FVSTOT51BU51529"/>
    <s v="FN2200960-S-PM39235"/>
    <s v="Not in WH"/>
    <e v="#N/A"/>
  </r>
  <r>
    <s v="PU-DRV-F"/>
    <x v="1"/>
    <n v="250"/>
    <s v="PU-DRV"/>
    <s v="Dhruv Wall Mount Pooja Unit"/>
    <s v="White"/>
    <s v="Dhruv Wall Mount Pooja Unit White"/>
    <s v="Dhruv Wall Mount Pooja Unit"/>
    <m/>
    <m/>
    <s v="B0FSKNWX7X"/>
    <s v="HTEHGGW9FV5M3RTZ"/>
    <m/>
    <m/>
    <s v="KD2280099-S-PM39397"/>
    <s v="Not in WH"/>
    <m/>
  </r>
  <r>
    <s v="RT-RI-W"/>
    <x v="7"/>
    <n v="250"/>
    <s v="RT-RI"/>
    <s v="Rico Dressing Table"/>
    <s v="Wenge"/>
    <s v="Rico Dressing Table Wenge"/>
    <s v="Rico Dressing Table"/>
    <m/>
    <s v="X000PRZ7B3"/>
    <s v="B06WD67PF1"/>
    <s v="DTBF2PYFZ3UHXNWY"/>
    <s v="LSTDTBF2PYFZ3UHXNWYFWVKPC"/>
    <s v="FVTBDS33BR20505"/>
    <s v="FN2030327-S-PM39235"/>
    <s v="Not in WH"/>
    <e v="#N/A"/>
  </r>
  <r>
    <s v="SB-AA-WD"/>
    <x v="0"/>
    <n v="250"/>
    <s v="SB-AA"/>
    <s v="Aaron Bookshelf"/>
    <s v="Wenge"/>
    <s v="Aaron Bookshelf Wenge"/>
    <s v="Aaron Bookshelf"/>
    <m/>
    <s v="X000KIR5C1"/>
    <s v="B019K1OVJK"/>
    <s v="BSFEVYFZPNVCNKJG"/>
    <s v="LSTBSFEVYFZPNVCNKJGYPHWMQ"/>
    <s v="FVSGCB33WG25113"/>
    <s v="DE2231304-S-PM39397"/>
    <s v="Not in WH"/>
    <e v="#N/A"/>
  </r>
  <r>
    <s v="SB-AXA-4M"/>
    <x v="0"/>
    <n v="250"/>
    <s v="SB-AXA-4"/>
    <s v="Alex 4-Layer Bookshelf"/>
    <s v="Brown Maple"/>
    <s v="Alex 4-Layer Bookshelf Brown Maple"/>
    <s v="Alex 4-Layer Bookshelf"/>
    <m/>
    <s v="X001YSR0UN"/>
    <s v="B0CP66B2J6"/>
    <s v="BSFGW3GRJRUPXWMR"/>
    <s v="LSTBSFGW3GRJRUPXWMRPXAJBG"/>
    <s v="FVSGBR33BR32736"/>
    <s v="FN2166548-S-PM39235"/>
    <s v="Not in WH"/>
    <n v="34380957"/>
  </r>
  <r>
    <s v="SB-OVO-MF"/>
    <x v="1"/>
    <n v="250"/>
    <s v="SB-OVO"/>
    <s v="Orivo Bookshelf"/>
    <s v="Brown Maple &amp; White"/>
    <s v="Orivo Bookshelf Brown Maple &amp; White"/>
    <s v="Orivo Bookshelf"/>
    <m/>
    <m/>
    <s v="B0G9L6KSMZ"/>
    <m/>
    <m/>
    <m/>
    <m/>
    <s v="Not in WH"/>
    <m/>
  </r>
  <r>
    <s v="SB-SDA-M"/>
    <x v="1"/>
    <n v="250"/>
    <s v="SB-SDA"/>
    <s v="Steda Bookshelf"/>
    <s v="Brown Maple"/>
    <s v="Steda Bookshelf Brown Maple"/>
    <s v="Steda Bookshelf"/>
    <m/>
    <m/>
    <s v="B0G9L34HC8"/>
    <m/>
    <m/>
    <m/>
    <m/>
    <s v="Not in WH"/>
    <m/>
  </r>
  <r>
    <s v="SB-SRA-M"/>
    <x v="1"/>
    <n v="250"/>
    <s v="SB-SRA"/>
    <s v="Senara Bookshelf"/>
    <s v="Brown Maple"/>
    <s v="Senara Bookshelf Brown Maple"/>
    <s v="Senara Bookshelf"/>
    <m/>
    <m/>
    <s v="B0G9MGPL46"/>
    <m/>
    <m/>
    <m/>
    <m/>
    <s v="Not in WH"/>
    <m/>
  </r>
  <r>
    <s v="SF-WBR-4LIE"/>
    <x v="1"/>
    <n v="250"/>
    <s v="SF-WBR-4LI"/>
    <s v="Wilber 3+1, 4 Seater Interchangeable L Shape Sofa"/>
    <s v="Grey"/>
    <s v="Wilber 3+1, 4 Seater Interchangeable L Shape Sofa Grey"/>
    <s v="Wilber 3+1, 4 Seater Interchangeable L Shape Sofa"/>
    <m/>
    <m/>
    <s v="B0FGXPNSFF"/>
    <m/>
    <m/>
    <m/>
    <m/>
    <s v="Not in WH"/>
    <e v="#N/A"/>
  </r>
  <r>
    <s v="SF-WBR-4LIF"/>
    <x v="1"/>
    <n v="250"/>
    <s v="SF-WBR-4LI"/>
    <s v="Wilber 3+1, 4 Seater Interchangeable L Shape Sofa"/>
    <s v="White"/>
    <s v="Wilber 3+1, 4 Seater Interchangeable L Shape Sofa White"/>
    <s v="Wilber 3+1, 4 Seater Interchangeable L Shape Sofa"/>
    <m/>
    <m/>
    <s v="B0FGXP793C"/>
    <m/>
    <m/>
    <m/>
    <m/>
    <s v="Not in WH"/>
    <e v="#N/A"/>
  </r>
  <r>
    <s v="SF-WBR-4LIU"/>
    <x v="1"/>
    <n v="250"/>
    <s v="SF-WBR-4LI"/>
    <s v="Wilber 3+1, 4 Seater Interchangeable L Shape Sofa"/>
    <s v="Blue"/>
    <s v="Wilber 3+1, 4 Seater Interchangeable L Shape Sofa Blue"/>
    <s v="Wilber 3+1, 4 Seater Interchangeable L Shape Sofa"/>
    <m/>
    <m/>
    <s v="B09VP3CVVQ"/>
    <m/>
    <m/>
    <m/>
    <m/>
    <s v="Not in WH"/>
    <e v="#N/A"/>
  </r>
  <r>
    <s v="SH-CHR-K"/>
    <x v="5"/>
    <n v="250"/>
    <s v="SH-CHR"/>
    <s v="Chanorr Set of 2 Spice Rack"/>
    <s v="Black"/>
    <s v="Chanorr Set of 2 Spice Rack Black"/>
    <s v="Chanorr Set of 2 Spice Rack"/>
    <m/>
    <e v="#N/A"/>
    <s v="B0DGCNPQN9"/>
    <s v="RSFH48QSABQBXNNF"/>
    <s v="LSTRSFH48QSABQBXNNFUEQA2T"/>
    <m/>
    <s v="DE2231311-S-PM39397"/>
    <s v="Not in WH"/>
    <e v="#N/A"/>
  </r>
  <r>
    <s v="SH-YBO-M"/>
    <x v="0"/>
    <n v="250"/>
    <s v="SH-YBO"/>
    <s v="Yobeo 4 Tier  Spice Rack"/>
    <s v="Brown Maple"/>
    <s v="Yobeo 4 Tier  Spice Rack Brown Maple"/>
    <s v="Yobeo 4 Tier  Spice Rack"/>
    <m/>
    <m/>
    <s v="B0F6D6P1FZ"/>
    <s v="RSFHBWFHPRS2YQBK"/>
    <m/>
    <m/>
    <e v="#N/A"/>
    <s v="Not in WH"/>
    <e v="#N/A"/>
  </r>
  <r>
    <s v="SL-VE-PW"/>
    <x v="5"/>
    <n v="250"/>
    <s v="SL-VE-P"/>
    <s v="Ved Pooja Stool"/>
    <s v="Wenge"/>
    <s v="Ved Pooja Stool Wenge"/>
    <s v="Ved Pooja Stool"/>
    <m/>
    <s v="X000PRZ7BX"/>
    <s v="B06WD66S6Y"/>
    <s v="SLTET5ZCRWG5P9MJ"/>
    <s v="LSTSLTET5ZCRWG5P9MJURE86S"/>
    <s v="FVSGCB33BR25057"/>
    <s v="DE2231313-S-PM39397"/>
    <s v="Not in WH"/>
    <e v="#N/A"/>
  </r>
  <r>
    <s v="SR-ADS-2W"/>
    <x v="8"/>
    <n v="250"/>
    <s v="SR-ADS-2"/>
    <s v="Adonis 2 Door Shoe Rack"/>
    <s v="Wenge"/>
    <s v="Adonis 2 Door Shoe Rack Wenge"/>
    <s v="Adonis 2 Door Shoe Rack"/>
    <m/>
    <e v="#N/A"/>
    <m/>
    <m/>
    <m/>
    <m/>
    <s v="FN2156816-S-PM39235"/>
    <s v="Not in WH"/>
    <e v="#N/A"/>
  </r>
  <r>
    <s v="SR-FLV-W"/>
    <x v="8"/>
    <n v="250"/>
    <s v="SR-FLV"/>
    <s v="Flovo Shoe Rack"/>
    <s v="Wenge"/>
    <s v="Flovo Shoe Rack Wenge"/>
    <s v="Flovo Shoe Rack"/>
    <m/>
    <e v="#N/A"/>
    <m/>
    <m/>
    <m/>
    <m/>
    <s v="FN2186982-S-PM39235"/>
    <s v="Not in WH"/>
    <e v="#N/A"/>
  </r>
  <r>
    <s v="S-TCW-10P2"/>
    <x v="5"/>
    <n v="250"/>
    <s v="S-TCW-10P2"/>
    <s v="Stellar Plus  Wall Shelve"/>
    <s v="Wenge"/>
    <s v="Stellar Plus  Wall Shelve Wenge"/>
    <s v="Stellar Plus  Wall Shelve"/>
    <m/>
    <s v="X000KIR4BX"/>
    <m/>
    <s v="RSFEEZXY7YKH9EYQ"/>
    <s v="LSTRSFEEZXY7YKH9EYQRBBH6E"/>
    <s v="FVSGCB33WG25104"/>
    <s v="DE2231315-S-PM39397"/>
    <s v="Not in WH"/>
    <e v="#N/A"/>
  </r>
  <r>
    <s v="ST-HES-L"/>
    <x v="5"/>
    <n v="250"/>
    <s v="ST-HES"/>
    <s v="Hemming Study Table"/>
    <s v="Walnut"/>
    <s v="Hemming Study Table Walnut"/>
    <s v="Hemming Study Table"/>
    <m/>
    <s v="X000LJBLAL"/>
    <s v="B01GO3VYBK"/>
    <s v="OSTEKNZ9TDDXBZEQ"/>
    <s v="LSTOSTEKNZ9TDDXBZEQFM4LZS"/>
    <s v="FVTBST33WA20603"/>
    <e v="#N/A"/>
    <s v="Not in WH"/>
    <n v="34399128"/>
  </r>
  <r>
    <s v="ST-NFN-WF"/>
    <x v="8"/>
    <n v="250"/>
    <s v="ST-NFN"/>
    <s v="Nuffon Study Table"/>
    <s v="Wenge &amp; White"/>
    <s v="Nuffon Study Table Wenge &amp; White"/>
    <s v="Nuffon Study Table"/>
    <m/>
    <e v="#N/A"/>
    <m/>
    <m/>
    <m/>
    <m/>
    <s v="FN2189816-S-PM39235"/>
    <s v="Not in WH"/>
    <e v="#N/A"/>
  </r>
  <r>
    <s v="TS-NL-AL"/>
    <x v="5"/>
    <n v="250"/>
    <s v="TS-NL-A"/>
    <s v="Norel Adjustable Monitor Stand"/>
    <s v="Walnut"/>
    <s v="Norel Adjustable Monitor Stand Walnut"/>
    <s v="Norel Adjustable Monitor Stand"/>
    <m/>
    <s v="X000VZBDN5"/>
    <s v="B07D1M29LM"/>
    <s v="CPTFCAGWZXJQSEFN"/>
    <s v="LSTCPTFCAGWZXJQSEFNDHLZDA"/>
    <s v="FVSGCB33BE25060"/>
    <s v="FN2194311-S-PM39235"/>
    <s v="Not in WH"/>
    <e v="#N/A"/>
  </r>
  <r>
    <s v="TU-AMY-MF"/>
    <x v="1"/>
    <n v="250"/>
    <s v="TU-AMY"/>
    <s v="Amy TV Unit"/>
    <s v="Brown Maple &amp; White"/>
    <s v="Amy TV Unit Brown Maple &amp; White"/>
    <s v="Amy TV Unit"/>
    <m/>
    <m/>
    <s v="B0G3PD9179"/>
    <s v="TVUHG8FHF8AVW7JT"/>
    <s v="LSTTVUHG8FHF8AVW7JT9DBKMT"/>
    <m/>
    <m/>
    <s v="Not in WH"/>
    <m/>
  </r>
  <r>
    <s v="TU-HRI-MF"/>
    <x v="1"/>
    <n v="250"/>
    <s v="TU-HRI"/>
    <s v="Harri TV Unit"/>
    <s v="Brown Maple &amp; White"/>
    <s v="Harri TV Unit Brown Maple &amp; White"/>
    <s v="Harri TV Unit"/>
    <m/>
    <m/>
    <s v="B0G3P6LNG3"/>
    <s v="TVUHG8FHKSGJEHWX"/>
    <s v="LSTTVUHG8FHKSGJEHWXRIFCTJ"/>
    <m/>
    <m/>
    <s v="Not in WH"/>
    <m/>
  </r>
  <r>
    <s v="TU-KVD-STW"/>
    <x v="5"/>
    <n v="250"/>
    <s v="TU-KVD-ST"/>
    <s v="Kyvid Standard TV Unit"/>
    <s v="Wenge"/>
    <s v="Kyvid Standard TV Unit Wenge"/>
    <s v="Kyvid Standard TV Unit"/>
    <m/>
    <s v="X001C73GPJ"/>
    <s v="B08YWYYXV7"/>
    <s v="TVUGFGDYUTNCGZJP"/>
    <s v="LSTTVUGFGDYUTNCGZJPCJE0A7"/>
    <s v="FVSGAV33WN20534"/>
    <s v="FN1991980-S-PM39235"/>
    <s v="Not in WH"/>
    <e v="#N/A"/>
  </r>
  <r>
    <s v="TU-LMI-MF"/>
    <x v="1"/>
    <n v="250"/>
    <s v="TU-LMI"/>
    <s v="Lami TV Unit"/>
    <s v="Brown Maple &amp; White"/>
    <s v="Lami TV Unit Brown Maple &amp; White"/>
    <s v="Lami TV Unit"/>
    <m/>
    <m/>
    <s v="B0G3PFHTK9"/>
    <s v="TVUHG8FYARDME5RG"/>
    <s v="LSTTVUHG8FYARDME5RGQCGJF8"/>
    <m/>
    <m/>
    <s v="Not in WH"/>
    <m/>
  </r>
  <r>
    <s v="TU-MSE-MF"/>
    <x v="1"/>
    <n v="250"/>
    <s v="TU-MSE"/>
    <s v="Mannsae TV Unit"/>
    <s v="Brown Maple &amp; White"/>
    <s v="Mannsae TV Unit Brown Maple &amp; White"/>
    <s v="Mannsae TV Unit"/>
    <m/>
    <m/>
    <s v="B0G3PX8MGR"/>
    <s v="TVUHG8FHXDK52PZ3"/>
    <s v="LSTTVUHG8FHXDK52PZ3TBQGUL"/>
    <m/>
    <m/>
    <s v="Not in WH"/>
    <m/>
  </r>
  <r>
    <s v="TU-MSEP-MF"/>
    <x v="1"/>
    <n v="250"/>
    <s v="TU-MSEP"/>
    <s v="Mannsae Plus TV Unit  "/>
    <s v="Brown Maple &amp; White"/>
    <s v="Mannsae Plus TV Unit   Brown Maple &amp; White"/>
    <s v="Mannsae Plus TV Unit  "/>
    <m/>
    <m/>
    <s v="B0G3Q4HKH8"/>
    <s v="TVUHG8FHDHDTB7QB"/>
    <s v="LSTTVUHG8FHDHDTB7QBHHBWTB"/>
    <m/>
    <m/>
    <s v="Not in WH"/>
    <m/>
  </r>
  <r>
    <s v="TU-OLA-MF"/>
    <x v="1"/>
    <n v="250"/>
    <s v="TU-OLA"/>
    <s v="Orelia TV Unit"/>
    <s v="Brown Maple &amp; White"/>
    <s v="Orelia TV Unit Brown Maple &amp; White"/>
    <s v="Orelia TV Unit"/>
    <m/>
    <m/>
    <s v="B0G3PG1KDM"/>
    <s v="TVUHG8FHT5GH4CJY"/>
    <s v="LSTTVUHG8FHT5GH4CJYEXGO8F"/>
    <m/>
    <m/>
    <s v="Not in WH"/>
    <m/>
  </r>
  <r>
    <s v="TU-OML-MF"/>
    <x v="1"/>
    <n v="250"/>
    <s v="TU-OML"/>
    <s v="Optimal TV Unit"/>
    <s v="Brown Maple &amp; White"/>
    <s v="Optimal TV Unit Brown Maple &amp; White"/>
    <s v="Optimal TV Unit"/>
    <m/>
    <m/>
    <s v="B0G3PFQXNN"/>
    <s v="TVUHG8FH4UQENHKF"/>
    <s v="LSTTVUHG8FH4UQENHKFDHVB5W"/>
    <m/>
    <m/>
    <s v="Not in WH"/>
    <m/>
  </r>
  <r>
    <s v="TU-PIN-MF"/>
    <x v="1"/>
    <n v="250"/>
    <s v="TU-PIN"/>
    <s v="Pinn TV Unit"/>
    <s v="Brown Maple &amp; White"/>
    <s v="Pinn TV Unit Brown Maple &amp; White"/>
    <s v="Pinn TV Unit"/>
    <m/>
    <m/>
    <s v="B0G3B3ZR4V"/>
    <s v="TVUHG8FHYQHTXEG3"/>
    <s v="LSTTVUHG8FHYQHTXEG3X2ZVUB"/>
    <m/>
    <m/>
    <s v="Not in WH"/>
    <m/>
  </r>
  <r>
    <s v="TU-RYE-LAMI"/>
    <x v="0"/>
    <n v="250"/>
    <s v="TU-RYE-LA"/>
    <s v="Reyloye Large TV Unit"/>
    <s v="Brown Maple &amp; Beige"/>
    <s v="Reyloye Large TV Unit Brown Maple &amp; Beige"/>
    <s v="Reyloye Large TV Unit"/>
    <m/>
    <s v="X0022MPW3H"/>
    <s v="B0CT2V51VB"/>
    <s v="TVUGZN6YFECXZQAA"/>
    <s v="LSTTVUGZN6YFECXZQAA4A4DN2"/>
    <s v="FVSGAV33BR50156"/>
    <s v="FN2194317-S-PM39235"/>
    <s v="FN2194317-S-WH41218"/>
    <n v="34399044"/>
  </r>
  <r>
    <s v="TU-RYE-STWF"/>
    <x v="7"/>
    <n v="250"/>
    <s v="TU-RYE-ST"/>
    <s v="Reyloye Standard TV Unit"/>
    <s v="Wenge &amp; White"/>
    <s v="Reyloye Standard TV Unit Wenge &amp; White"/>
    <s v="Reyloye Standard TV Unit"/>
    <m/>
    <s v="X001EQD9XR"/>
    <s v="B099DTPB9X"/>
    <s v="TVUG5CG5H9HNBNNF"/>
    <s v="LSTTVUG5CG5H9HNBNNFLOCZNR"/>
    <s v="FVSGAV33WN20560"/>
    <s v="FN1991954-S-PM39235"/>
    <s v="Not in WH"/>
    <n v="34399047"/>
  </r>
  <r>
    <s v="W-AND-2MMI"/>
    <x v="5"/>
    <n v="250"/>
    <s v="W-AND-2M"/>
    <s v="Andrie 2 Door with Mirror Wardrobe"/>
    <s v="Brown Maple &amp; Beige"/>
    <s v="Andrie 2 Door with Mirror Wardrobe Brown Maple &amp; Beige"/>
    <s v="Andrie 2 Door with Mirror Wardrobe"/>
    <m/>
    <e v="#N/A"/>
    <s v="B0CR469F3M"/>
    <s v="WCLGWYH2FPJGJURK"/>
    <s v="LSTWCLGWYH2FPJGJURKAH4DAH"/>
    <s v="FVSGCB33BR32687"/>
    <s v="FN2166581-S-PM39235"/>
    <s v="Not in WH"/>
    <e v="#N/A"/>
  </r>
  <r>
    <s v="W-AND-2NMI"/>
    <x v="5"/>
    <n v="250"/>
    <s v="W-AND-2N"/>
    <s v="Andrie 2 Door without Mirror Wardrobe"/>
    <s v="Brown Maple &amp; Beige"/>
    <s v="Andrie 2 Door without Mirror Wardrobe Brown Maple &amp; Beige"/>
    <s v="Andrie 2 Door without Mirror Wardrobe"/>
    <m/>
    <e v="#N/A"/>
    <s v="B0CR464G3J"/>
    <s v="WCLGWYKNFPGAQM88"/>
    <s v="LSTWCLGWYKNFPGAQM88PLLX64"/>
    <s v="FVSGCB33BR32688"/>
    <s v="FN2166580-S-PM39235"/>
    <s v="Not in WH"/>
    <e v="#N/A"/>
  </r>
  <r>
    <s v="W-AND-3MMI"/>
    <x v="5"/>
    <n v="250"/>
    <s v="W-AND-3M"/>
    <s v="Andrie 3 Door with Mirror Wardrobe"/>
    <s v="Brown Maple &amp; Beige"/>
    <s v="Andrie 3 Door with Mirror Wardrobe Brown Maple &amp; Beige"/>
    <s v="Andrie 3 Door with Mirror Wardrobe"/>
    <m/>
    <e v="#N/A"/>
    <s v="B0CR47QKV6"/>
    <s v="WCLGWYHDFNGWAGDG"/>
    <s v="LSTWCLGWYHDFNGWAGDGN74WAR"/>
    <s v="FVSGCB33BR32689"/>
    <s v="FN2166583-S-PM39235"/>
    <s v="Not in WH"/>
    <e v="#N/A"/>
  </r>
  <r>
    <s v="W-AND-4MFW"/>
    <x v="0"/>
    <n v="250"/>
    <s v="W-AND-4M"/>
    <s v="Andrie 4 Door with Mirror Wardrobe"/>
    <s v="Wenge &amp; White"/>
    <s v="Andrie 4 Door with Mirror Wardrobe Wenge &amp; White"/>
    <s v="Andrie 4 Door with Mirror Wardrobe"/>
    <m/>
    <e v="#N/A"/>
    <s v="B0B8MY8Q7G"/>
    <s v="WCLGHCCJKZWHHXNV"/>
    <s v="LSTWCLGHCCJKZWHHXNVQZYEK1"/>
    <s v="FVSGSR33BR71091"/>
    <s v="FN2027700-S-PM39235"/>
    <s v="FN2027700-S-WH41218"/>
    <e v="#N/A"/>
  </r>
  <r>
    <s v="WA-PYS-NM"/>
    <x v="1"/>
    <n v="250"/>
    <s v="WA-PYS-N"/>
    <s v="Promys Set of Two Wall Art"/>
    <s v="Brown Maple"/>
    <s v="Promys Set of Two Wall Art Brown Maple"/>
    <s v="Promys Set of Two Wall Art"/>
    <m/>
    <m/>
    <s v="B0F6D8BJ7K"/>
    <s v="DSUHBWCGRKQBWPMH"/>
    <m/>
    <m/>
    <s v="KD2280097-S-PM39397"/>
    <s v="Not in WH"/>
    <e v="#N/A"/>
  </r>
  <r>
    <s v="WA-PYS-SM"/>
    <x v="7"/>
    <n v="250"/>
    <s v="WA-PYS-S"/>
    <s v="Promys with Shelf Set of Two Wall Art"/>
    <s v="Brown Maple"/>
    <s v="Promys with Shelf Set of Two Wall Art Brown Maple"/>
    <s v="Promys with Shelf Set of Two Wall Art"/>
    <m/>
    <m/>
    <s v="B0F6D7KWNQ"/>
    <s v="DSUHBWCRUUJHZGPK"/>
    <m/>
    <m/>
    <s v="KD2280088-S-PM39397"/>
    <s v="Not in WH"/>
    <e v="#N/A"/>
  </r>
  <r>
    <s v="B-MLT-KTFW"/>
    <x v="9"/>
    <s v="AR"/>
    <s v="B-MLT-KT"/>
    <s v="Maltein King With storage Bed "/>
    <s v="Wenge"/>
    <s v="Maltein King With storage Bed  Wenge"/>
    <s v="Maltein King With storage Bed "/>
    <m/>
    <e v="#N/A"/>
    <s v="B09ST4HND8"/>
    <s v="BDDGCAB7W4WQMGVZ"/>
    <s v="LSTBDDGCAB7W4WQMGVZTXZ28E"/>
    <s v="FVBDNS33WN20470"/>
    <s v="FN1991912-S-PM39235"/>
    <s v="FN1991912-S-WH41218"/>
    <e v="#N/A"/>
  </r>
  <r>
    <s v="B-MLT-QTFW"/>
    <x v="9"/>
    <s v="AR"/>
    <s v="B-MLT-QT"/>
    <s v="Maltein Queen With storage Bed "/>
    <s v="Wenge"/>
    <s v="Maltein Queen With storage Bed  Wenge"/>
    <s v="Maltein Queen With storage Bed "/>
    <m/>
    <e v="#N/A"/>
    <s v="B09ST5XFYJ"/>
    <s v="BDDGCAB7G2U4HKWH"/>
    <s v="LSTBDDGCAB7G2U4HKWHCBGMQB"/>
    <s v="FVBDNS33WN20471"/>
    <s v="FN1986320-S-PM39235"/>
    <s v="FN1986320-S-WH41218"/>
    <e v="#N/A"/>
  </r>
  <r>
    <s v="B-POL-KNW"/>
    <x v="9"/>
    <s v="AR"/>
    <s v="B-POL-KN"/>
    <s v="Pollo King Bed "/>
    <s v="Wenge"/>
    <s v="Pollo King Bed  Wenge"/>
    <s v="Pollo King Bed "/>
    <m/>
    <e v="#N/A"/>
    <s v="B092S8MRGZ"/>
    <s v="BDDG4S4BCHNY7FZG"/>
    <s v="LSTBDDG4S4BCHNY7FZG1GLYC7"/>
    <s v="FVBDNS33WE20472"/>
    <s v="FN1991973-S-PM39235"/>
    <s v="Not in WH"/>
    <e v="#N/A"/>
  </r>
  <r>
    <s v="B-POL-QTMI"/>
    <x v="9"/>
    <s v="AR"/>
    <s v="B-POL-QT"/>
    <s v="Pollo Queen with Storage Bed "/>
    <s v="Brown Maple &amp; Beige"/>
    <s v="Pollo Queen with Storage Bed  Brown Maple &amp; Beige"/>
    <s v="Pollo Queen with Storage Bed "/>
    <m/>
    <e v="#N/A"/>
    <s v="B0CQNMZQMH"/>
    <s v="BDDGZ5KFQP9RXHQR"/>
    <s v="LSTBDDGZ5KFQP9RXHQRFVUM7H"/>
    <s v="FVBDST33BR50133"/>
    <s v="FN2194289-S-PM39235"/>
    <s v="Not in WH"/>
    <e v="#N/A"/>
  </r>
  <r>
    <s v="B-POL-SNLF"/>
    <x v="9"/>
    <s v="AR"/>
    <s v="B-POL-SN"/>
    <s v="Pollo Single Bed "/>
    <s v="Walnut &amp; White"/>
    <s v="Pollo Single Bed  Walnut &amp; White"/>
    <s v="Pollo Single Bed "/>
    <m/>
    <e v="#N/A"/>
    <s v="B0BCZ5XLC3"/>
    <s v="BDDGHZNJWB8RETAZ"/>
    <s v="LSTBDDGHZNJWB8RETAZKSM7GU"/>
    <s v="FVBDNS33BR50134"/>
    <s v="FN2087157-S-PM39235"/>
    <s v="FN2087157-S-WH41218"/>
    <e v="#N/A"/>
  </r>
  <r>
    <s v="B-POL-SNMI"/>
    <x v="9"/>
    <s v="AR"/>
    <s v="B-POL-SN"/>
    <s v="Pollo Single Bed "/>
    <s v="Brown Maple &amp; Beige"/>
    <s v="Pollo Single Bed  Brown Maple &amp; Beige"/>
    <s v="Pollo Single Bed "/>
    <m/>
    <e v="#N/A"/>
    <s v="B0CZRLG1NC"/>
    <s v="BDDH25FE3X7XFFEW"/>
    <s v="LSTBDDH25FE3X7XFFEWLEZMBG"/>
    <s v="FVBDNS33BR50135"/>
    <s v="FN2194290-S-PM39235"/>
    <s v="Not in WH"/>
    <e v="#N/A"/>
  </r>
  <r>
    <s v="B-RVB-D30NM"/>
    <x v="9"/>
    <s v="AR"/>
    <s v="B-RVB-D30N"/>
    <s v="Roverb Diwan 30 Inch Non Storage"/>
    <s v="Brown Maple"/>
    <s v="Roverb Diwan 30 Inch Non Storage Brown Maple"/>
    <s v="Roverb Diwan 30 Inch Non Storage"/>
    <m/>
    <e v="#N/A"/>
    <m/>
    <m/>
    <m/>
    <m/>
    <e v="#N/A"/>
    <s v="Not in WH"/>
    <e v="#N/A"/>
  </r>
  <r>
    <s v="B-RVB-QNW"/>
    <x v="9"/>
    <s v="AR"/>
    <s v="B-RVB-QN"/>
    <s v="Roverb Queen Bed "/>
    <s v="Wenge"/>
    <s v="Roverb Queen Bed  Wenge"/>
    <s v="Roverb Queen Bed "/>
    <m/>
    <e v="#N/A"/>
    <s v="B0DJC1TF83"/>
    <s v="BDDGF9Z3JBKGRMCV"/>
    <s v="LSTBDDGF9Z3JBKGRMCVENDK83"/>
    <s v="FVBDNS33WN20480"/>
    <s v="FN1991891-S-PM39235"/>
    <s v="FN1991891-S-WH41218"/>
    <e v="#N/A"/>
  </r>
  <r>
    <s v="B-RVB-QNWF"/>
    <x v="9"/>
    <s v="AR"/>
    <s v="B-RVB-QN"/>
    <s v="Roverb Queen Bed "/>
    <s v="Wenge &amp; White"/>
    <s v="Roverb Queen Bed  Wenge &amp; White"/>
    <s v="Roverb Queen Bed "/>
    <m/>
    <e v="#N/A"/>
    <s v="B09TXN6QVT"/>
    <s v="BDDGCHVBVRMNJVZG"/>
    <s v="LSTBDDGCHVBVRMNJVZGQRERUA"/>
    <s v="FVBDNS33WN20481"/>
    <s v="FN2030310-S-PM39235"/>
    <s v="Not in WH"/>
    <e v="#N/A"/>
  </r>
  <r>
    <s v="CT-ATD-SWF"/>
    <x v="9"/>
    <s v="AR"/>
    <s v="CT-ATD-ST"/>
    <s v="Anatdol Standard Coffee Table"/>
    <s v="Wenge &amp; White"/>
    <s v="Anatdol Standard Coffee Table Wenge &amp; White"/>
    <s v="Anatdol Standard Coffee Table"/>
    <m/>
    <s v="X001K82IR7"/>
    <s v="B09X1QL8Z3"/>
    <s v="CFTGDCF27JRBAYXZ"/>
    <s v="LSTCFTGDCF27JRBAYXZJEHSGQ"/>
    <s v="FVTBCF33WW20623"/>
    <s v="FN1991906-S-PM39235"/>
    <s v="Not in WH"/>
    <e v="#N/A"/>
  </r>
  <r>
    <s v="CT-DOV-DI"/>
    <x v="9"/>
    <s v="AR"/>
    <s v="CT-DOV"/>
    <s v="Declove Coffee Table"/>
    <s v="Wildwood &amp; Beige"/>
    <s v="Declove Coffee Table Wildwood &amp; Beige"/>
    <s v="Declove Coffee Table"/>
    <m/>
    <s v="X001VSK9OP"/>
    <s v="B0CKF9VBWN"/>
    <m/>
    <m/>
    <s v="FVTBCF33BR50147"/>
    <s v="FN2194293-S-PM39235"/>
    <s v="Not in WH"/>
    <e v="#N/A"/>
  </r>
  <r>
    <s v="CT-DOV-MI"/>
    <x v="9"/>
    <s v="AR"/>
    <s v="CT-DOV"/>
    <s v="Declove Coffee Table"/>
    <s v="Brown Maple &amp; Beige"/>
    <s v="Declove Coffee Table Brown Maple &amp; Beige"/>
    <s v="Declove Coffee Table"/>
    <m/>
    <s v="X0022OVIKB"/>
    <s v="B0D4DXXYFG"/>
    <s v="CFTH2AZFMHEFWZAM"/>
    <s v="LSTCFTH2AZFMHEFWZAMQTWFCM"/>
    <s v="FVTBCF33BR50148"/>
    <s v="FN2194294-S-PM39235"/>
    <s v="Not in WH"/>
    <e v="#N/A"/>
  </r>
  <r>
    <s v="CT-GSE-RTF"/>
    <x v="9"/>
    <s v="AR"/>
    <s v="CT-GSE-RT"/>
    <s v="Gustowe Rectangle Coffee Table"/>
    <s v="White"/>
    <s v="Gustowe Rectangle Coffee Table White"/>
    <s v="Gustowe Rectangle Coffee Table"/>
    <m/>
    <s v="X001EQC9G5"/>
    <s v="B099DRR4GJ"/>
    <s v="CFTG5YFQN2NYSFRY"/>
    <s v="LSTCFTG5YFQN2NYSFRYNBEYII"/>
    <s v="FVTBCF33WH20627"/>
    <s v="FN1991979-S-PM39235"/>
    <s v="Not in WH"/>
    <e v="#N/A"/>
  </r>
  <r>
    <s v="CT-GSE-RTF2"/>
    <x v="9"/>
    <s v="AR"/>
    <s v="CT-GSE-RT2"/>
    <s v="Gustowe Rectangle Set of Two Coffee Table"/>
    <s v="White"/>
    <s v="Gustowe Rectangle Set of Two Coffee Table White"/>
    <s v="Gustowe Rectangle Set of Two Coffee Table"/>
    <m/>
    <s v="X001L4LG4L"/>
    <s v="B09YRQ16CR"/>
    <s v="CFTGG8JXMH3KJ4SP"/>
    <s v="LSTCFTGG8JXMH3KJ4SPMLSVQT"/>
    <s v="FVTBCF33WH20628"/>
    <s v="FN2030315-S-PM39235"/>
    <s v="Not in WH"/>
    <e v="#N/A"/>
  </r>
  <r>
    <s v="CT-GSE-RTW"/>
    <x v="9"/>
    <s v="AR"/>
    <s v="CT-GSE-RT"/>
    <s v="Gustowe Rectangle Coffee Table"/>
    <s v="Wenge"/>
    <s v="Gustowe Rectangle Coffee Table Wenge"/>
    <s v="Gustowe Rectangle Coffee Table"/>
    <m/>
    <s v="X001EK20CT"/>
    <s v="B099DKSKGP"/>
    <s v="CFTG5YFN5BFYFGPW"/>
    <s v="LSTCFTG5YFN5BFYFGPWBM8PGL"/>
    <s v="FVTBCF33WN20629"/>
    <s v="FN2030316-S-PM39235"/>
    <s v="Not in WH"/>
    <e v="#N/A"/>
  </r>
  <r>
    <s v="CT-KV-SQW"/>
    <x v="9"/>
    <s v="AR"/>
    <s v="CT-KV-SQ"/>
    <s v="Kasvon Square Coffee Table"/>
    <s v="Wenge"/>
    <s v="Kasvon Square Coffee Table Wenge"/>
    <s v="Kasvon Square Coffee Table"/>
    <m/>
    <s v="X001JVV2WH"/>
    <s v="B09QS76DX4"/>
    <s v="CFTGBSGA9YAQTMPN"/>
    <s v="LSTCFTGBSGA9YAQTMPNP2TH20"/>
    <s v="FVTBCF33WN20636"/>
    <s v="FN1988006-S-PM39235"/>
    <s v="Not in WH"/>
    <e v="#N/A"/>
  </r>
  <r>
    <s v="CT-LE-W"/>
    <x v="9"/>
    <s v="AR"/>
    <s v="CT-LE"/>
    <s v="Leo Coffee Table"/>
    <s v="Wenge"/>
    <s v="Leo Coffee Table Wenge"/>
    <s v="Leo Coffee Table"/>
    <m/>
    <s v="X000PRZ6QJ"/>
    <s v="B06WRTY881"/>
    <s v="CFTEUJ2ZH8EZ6SBF"/>
    <s v="LSTCFTEUJ2ZH8EZ6SBF4WTGFE"/>
    <s v="FVTBCF33WN20638"/>
    <s v="FN1991919-S-PM39235"/>
    <s v="FN1991919-S-WH41218"/>
    <e v="#N/A"/>
  </r>
  <r>
    <s v="CT-MT-SQW"/>
    <x v="9"/>
    <s v="AR"/>
    <s v="CT-MT-SQ"/>
    <s v="Mayrite Square Coffee Table"/>
    <s v="Wenge"/>
    <s v="Mayrite Square Coffee Table Wenge"/>
    <s v="Mayrite Square Coffee Table"/>
    <m/>
    <e v="#N/A"/>
    <s v="B09X1KDDHF"/>
    <s v="CFTGDC22K4JQMW6H"/>
    <s v="LSTCFTGDC22K4JQMW6HMWMAI9"/>
    <s v="FVTBCF33BR20645"/>
    <s v="FN1991995-S-PM39235"/>
    <s v="Not in WH"/>
    <e v="#N/A"/>
  </r>
  <r>
    <s v="CT-NO-SQL"/>
    <x v="9"/>
    <s v="AR"/>
    <s v="CT-NO-SQ"/>
    <s v="Noel Square Coffee Table"/>
    <s v="Walnut"/>
    <s v="Noel Square Coffee Table Walnut"/>
    <s v="Noel Square Coffee Table"/>
    <m/>
    <s v="X001OZCKP1"/>
    <s v="B06WLNHWBK"/>
    <s v="CFTF2SE9HVCDFEJ5"/>
    <s v="LSTCFTF2SE9HVCDFEJ5MKQUFY"/>
    <s v="FVTBCF33WA20649"/>
    <s v="FN1991935-S-PM39235"/>
    <s v="Not in WH"/>
    <e v="#N/A"/>
  </r>
  <r>
    <s v="CT-SY-L"/>
    <x v="9"/>
    <s v="AR"/>
    <s v="CT-SY"/>
    <s v="Sydney Coffee Table"/>
    <s v="Walnut"/>
    <s v="Sydney Coffee Table Walnut"/>
    <s v="Sydney Coffee Table"/>
    <m/>
    <s v="X000PRV16N"/>
    <s v="B06VX43PCL"/>
    <s v="CFTEXAEKNUVNRPE8"/>
    <s v="LSTCFTEXAEKNUVNRPE88PD15V"/>
    <s v="FVTBCF33WA20655"/>
    <s v="FN1991929-S-PM39235"/>
    <s v="Not in WH"/>
    <e v="#N/A"/>
  </r>
  <r>
    <s v="CT-SY-W"/>
    <x v="9"/>
    <s v="AR"/>
    <s v="CT-SY"/>
    <s v="Sydney Coffee Table"/>
    <s v="Wenge"/>
    <s v="Sydney Coffee Table Wenge"/>
    <s v="Sydney Coffee Table"/>
    <m/>
    <s v="X000PRZ6S7"/>
    <s v="B06VWM8J7D"/>
    <s v="CFTEUKFC4YCTZZ6P"/>
    <s v="LSTCFTEUKFC4YCTZZ6PUUIAIX"/>
    <s v="FVTBCF33WN20656"/>
    <s v="FN2030320-S-PM39235"/>
    <s v="Not in WH"/>
    <e v="#N/A"/>
  </r>
  <r>
    <s v="CT-TR-RTWS"/>
    <x v="9"/>
    <s v="AR"/>
    <s v="CT-TR-RTS"/>
    <s v="Taury Rectangle Small Coffee Table"/>
    <s v="Wenge"/>
    <s v="Taury Rectangle Small Coffee Table Wenge"/>
    <s v="Taury Rectangle Small Coffee Table"/>
    <m/>
    <s v="X001I5F46J"/>
    <s v="B09PN63DBS"/>
    <s v="CFTGAEBQGPZP7HJN"/>
    <s v="LSTCFTGAEBQGPZP7HJN9K99W1"/>
    <s v="FVTBCF33WN20658"/>
    <s v="FN1991952-S-PM39235"/>
    <s v="Not in WH"/>
    <e v="#N/A"/>
  </r>
  <r>
    <s v="FT-EDR.P-LF"/>
    <x v="9"/>
    <s v="AR"/>
    <s v="FT-EDR"/>
    <s v="Ender End Table"/>
    <s v="Walnut &amp; White"/>
    <s v="Ender End Table Walnut &amp; White"/>
    <s v="Ender End Table"/>
    <m/>
    <s v="X0020TUNNV"/>
    <s v="B0C43M2SHP"/>
    <s v="SITGPPCNQWFRHXQG"/>
    <s v="LSTSITGPPCNQWFRHXQGQGLVYF"/>
    <s v="FVTBSI33BR50141"/>
    <s v="FN2194299-S-PM39235"/>
    <s v="FN2194299-S-WH41218"/>
    <e v="#N/A"/>
  </r>
  <r>
    <s v="GH-IS-W"/>
    <x v="9"/>
    <s v="AR"/>
    <s v="GH-IS"/>
    <s v="Isvia Magzine Holder"/>
    <s v="Wenge"/>
    <s v="Isvia Magzine Holder Wenge"/>
    <s v="Isvia Magzine Holder"/>
    <m/>
    <s v="X000V77M0B"/>
    <s v="B07D16ZFBM"/>
    <s v="MGHFC89Q2FFQYCTB"/>
    <s v="LSTMGHFC89Q2FFQYCTBXNPSDM"/>
    <m/>
    <s v="DE2034593-S-PM39397"/>
    <s v="Not in WH"/>
    <e v="#N/A"/>
  </r>
  <r>
    <s v="KH-AM-B"/>
    <x v="9"/>
    <s v="AR"/>
    <s v="KH-AM"/>
    <s v="Amadour Key Holder"/>
    <s v="Black"/>
    <s v="Amadour Key Holder Black"/>
    <s v="Amadour Key Holder"/>
    <m/>
    <s v="X000KI65VD"/>
    <s v="B019HACORU"/>
    <s v="KHREFZ4SUEQVHMCS"/>
    <s v="LSTKHREFZ4SUEQVHMCS7LKYEK"/>
    <m/>
    <s v="DE2231295-S-PM39397"/>
    <s v="Not in WH"/>
    <e v="#N/A"/>
  </r>
  <r>
    <s v="KH-VD-CD"/>
    <x v="9"/>
    <s v="AR"/>
    <s v="KH-VD"/>
    <s v="Vivid Key Holder"/>
    <n v="0"/>
    <s v="Vivid Key Holder 0"/>
    <s v="Vivid Key Holder"/>
    <m/>
    <s v="X000PRZ6ZP"/>
    <s v="B06VWMF1R3"/>
    <s v="KHRESX3DWP6GFTZK"/>
    <s v="LSTKHRESX3DWP6GFTZKXVPDB0"/>
    <m/>
    <s v="DE2231301-S-PM39397"/>
    <s v="Not in WH"/>
    <e v="#N/A"/>
  </r>
  <r>
    <s v="KH-VD-FV"/>
    <x v="9"/>
    <s v="AR"/>
    <s v="KH-VD"/>
    <s v="Vivid Key Holder"/>
    <n v="0"/>
    <s v="Vivid Key Holder 0"/>
    <s v="Vivid Key Holder"/>
    <m/>
    <s v="X000PSRWXD"/>
    <m/>
    <s v="KHRESX49GDCXGSEZ"/>
    <s v="LSTKHRESX49GDCXGSEZQWMYBQ"/>
    <m/>
    <e v="#N/A"/>
    <s v="Not in WH"/>
    <e v="#N/A"/>
  </r>
  <r>
    <s v="PF-NAH-RTF"/>
    <x v="9"/>
    <s v="AR"/>
    <s v="PF-NAH-RT"/>
    <s v="Noah Rectangular Pouff Ottoman"/>
    <s v="White"/>
    <s v="Noah Rectangular Pouff Ottoman White"/>
    <s v="Noah Rectangular Pouff Ottoman"/>
    <m/>
    <e v="#N/A"/>
    <s v="B0D9LKFY53"/>
    <m/>
    <m/>
    <m/>
    <e v="#N/A"/>
    <s v="Not in WH"/>
    <e v="#N/A"/>
  </r>
  <r>
    <s v="PF-NAH-RTN"/>
    <x v="9"/>
    <s v="AR"/>
    <s v="PF-NAH-RT"/>
    <s v="Noah Rectangular Pouff Ottoman"/>
    <s v="Brown"/>
    <s v="Noah Rectangular Pouff Ottoman Brown"/>
    <s v="Noah Rectangular Pouff Ottoman"/>
    <m/>
    <e v="#N/A"/>
    <s v="B0D9LLKPBF"/>
    <m/>
    <m/>
    <m/>
    <e v="#N/A"/>
    <s v="Not in WH"/>
    <e v="#N/A"/>
  </r>
  <r>
    <s v="RD-AW-WT"/>
    <x v="9"/>
    <s v="AR"/>
    <s v="RD-AW"/>
    <s v="Riodesk Ace Laptop Table"/>
    <s v="Wenge Tree"/>
    <s v="Riodesk Ace Laptop Table Wenge Tree"/>
    <s v="Riodesk Ace Laptop Table"/>
    <m/>
    <s v="X000KM2AYP"/>
    <m/>
    <s v="PLLEAD5HNCXFVZPW"/>
    <s v="LSTPLLEAD5HNCXFVZPWO8Y9GZ"/>
    <m/>
    <e v="#N/A"/>
    <s v="Not in WH"/>
    <e v="#N/A"/>
  </r>
  <r>
    <s v="RH-OT-WW"/>
    <x v="9"/>
    <s v="AR"/>
    <s v="RH-OT"/>
    <s v="Otto Remote Holder"/>
    <s v="Wenge Wave"/>
    <s v="Otto Remote Holder Wenge Wave"/>
    <s v="Otto Remote Holder"/>
    <m/>
    <s v="X000PRZ7AT"/>
    <s v="B06WD67MLP"/>
    <s v="DKOF3PHHHT8EYDGW"/>
    <s v="LSTDKOF3PHHHT8EYDGWRYHVSU"/>
    <m/>
    <s v="DE2198501-S-PM39397"/>
    <s v="Not in WH"/>
    <e v="#N/A"/>
  </r>
  <r>
    <s v="RT-ALY-LF"/>
    <x v="9"/>
    <s v="AR"/>
    <s v="RT-ALY"/>
    <s v="Adaly Dressing Table"/>
    <s v="Walnut &amp; White"/>
    <s v="Adaly Dressing Table Walnut &amp; White"/>
    <s v="Adaly Dressing Table"/>
    <m/>
    <s v="X0020N97PH"/>
    <s v="B0BNJ3R6C3"/>
    <s v="DTBGQ9HZGNDECHCJ"/>
    <s v="LSTDTBGQ9HZGNDECHCJXUZNP3"/>
    <s v="FVTBDS33BR50145"/>
    <s v="FN2087134-S-PM39235"/>
    <s v="Not in WH"/>
    <e v="#N/A"/>
  </r>
  <r>
    <s v="RT-FR-W"/>
    <x v="9"/>
    <s v="AR"/>
    <s v="RT-FR"/>
    <s v="Freddie Dressing Table"/>
    <s v="Wenge"/>
    <s v="Freddie Dressing Table Wenge"/>
    <s v="Freddie Dressing Table"/>
    <m/>
    <s v="X000PRZ0UB"/>
    <s v="B06VWXSCPF"/>
    <s v="DTBEUZBGNHBXCYCZ"/>
    <s v="LSTDTBEUZBGNHBXCYCZUGGWXZ"/>
    <s v="FVTBDS33BR20500"/>
    <s v="FN2030325-S-PM39235"/>
    <s v="Not in WH"/>
    <e v="#N/A"/>
  </r>
  <r>
    <s v="RT-T1-L"/>
    <x v="9"/>
    <s v="AR"/>
    <s v="RT-T1"/>
    <s v="Stellar Dressing Shelves"/>
    <s v="Walnut"/>
    <s v="Stellar Dressing Shelves Walnut"/>
    <s v="Stellar Dressing Shelves"/>
    <m/>
    <s v="X000VZKQBZ"/>
    <m/>
    <s v="RSFFC9VEEZHEKD7V"/>
    <s v="LSTRSFFC9VEEZHEKD7VZWQ9LX"/>
    <s v="FVSGCB33WL25121"/>
    <e v="#N/A"/>
    <s v="Not in WH"/>
    <e v="#N/A"/>
  </r>
  <r>
    <s v="RT-T1-W"/>
    <x v="9"/>
    <s v="AR"/>
    <s v="RT-T1"/>
    <s v="Stellar Dressing Shelves"/>
    <s v="Wenge"/>
    <s v="Stellar Dressing Shelves Wenge"/>
    <s v="Stellar Dressing Shelves"/>
    <m/>
    <s v="X000VZL1KF"/>
    <s v="B07CWTR1BL"/>
    <s v="RSFFC896GFH8KVXJ"/>
    <s v="LSTRSFFC896GFH8KVXJVMTPZ7"/>
    <s v="FVSGCB33WG25122"/>
    <e v="#N/A"/>
    <s v="Not in WH"/>
    <e v="#N/A"/>
  </r>
  <r>
    <s v="S-ATL-WF"/>
    <x v="9"/>
    <s v="AR"/>
    <s v="S-ATL"/>
    <s v="Astrella Wall Shelve"/>
    <s v="Wenge &amp; White"/>
    <s v="Astrella Wall Shelve Wenge &amp; White"/>
    <s v="Astrella Wall Shelve"/>
    <m/>
    <s v="X001EK0Z9T"/>
    <s v="B099DKZQRR"/>
    <s v="BSFG53EDGRGCFBER"/>
    <s v="LSTBSFG53EDGRGCFBERBRUY8C"/>
    <s v="FVSGCB33WH25076"/>
    <s v="DE1994902-S-PM39397"/>
    <s v="Not in WH"/>
    <e v="#N/A"/>
  </r>
  <r>
    <s v="SB-AXA-L4"/>
    <x v="9"/>
    <s v="AR"/>
    <s v="SB-AXA-4"/>
    <s v="Alex 4-Layer Bookshelf"/>
    <s v="Walnut"/>
    <s v="Alex 4-Layer Bookshelf Walnut"/>
    <s v="Alex 4-Layer Bookshelf"/>
    <m/>
    <s v="X000MLS0LB"/>
    <s v="B01MQTGOJB"/>
    <s v="BSFEWEUDRF5UCV3J"/>
    <s v="LSTBSFEWEUDRF5UCV3JOJQ7AZ"/>
    <s v="FVSGBR33WA20563"/>
    <s v="FN1991964-S-PM39235"/>
    <s v="Not in WH"/>
    <e v="#N/A"/>
  </r>
  <r>
    <s v="SB-AXA-W4"/>
    <x v="9"/>
    <s v="AR"/>
    <s v="SB-AXA-4"/>
    <s v="Alex 4-Layer Bookshelf"/>
    <s v="Wenge"/>
    <s v="Alex 4-Layer Bookshelf Wenge"/>
    <s v="Alex 4-Layer Bookshelf"/>
    <m/>
    <s v="X000MLUBJZ"/>
    <s v="B01NBI0YE0"/>
    <s v="BSFEWFQDJRJ9KN7G"/>
    <s v="LSTBSFEWFQDJRJ9KN7GXKFFDV"/>
    <s v="FVSGBR33WN20566"/>
    <s v="FN1991960-S-PM39235"/>
    <s v="Not in WH"/>
    <e v="#N/A"/>
  </r>
  <r>
    <s v="SB-AXA-W51"/>
    <x v="9"/>
    <s v="AR"/>
    <s v="SB-AXA-51"/>
    <s v="Alex-5 Layer Narrow Design  Bookshelf"/>
    <s v="Wenge"/>
    <s v="Alex-5 Layer Narrow Design  Bookshelf Wenge"/>
    <s v="Alex-5 Layer Narrow Design  Bookshelf"/>
    <m/>
    <s v="X000MLAXCF"/>
    <s v="B01NAFUY45"/>
    <s v="BSFEWFPKMGDF2Y5D"/>
    <s v="LSTBSFEWFPKMGDF2Y5DZ7CAXZ"/>
    <s v="FVSGBR33WN20567"/>
    <s v="FN2030328-S-PM39235"/>
    <s v="Not in WH"/>
    <e v="#N/A"/>
  </r>
  <r>
    <s v="SB-CS-LAW"/>
    <x v="9"/>
    <s v="AR"/>
    <s v="SB-CS-LA"/>
    <s v="Caselle Large Bookshelf"/>
    <s v="Wenge"/>
    <s v="Caselle Large Bookshelf Wenge"/>
    <s v="Caselle Large Bookshelf"/>
    <m/>
    <s v="X000WD5CN3"/>
    <s v="B07D18984S"/>
    <s v="RSFFFEQZA6D6F3WU"/>
    <s v="LSTRSFFFEQZA6D6F3WUVH2KX1"/>
    <s v="FVSGBR33WN20571"/>
    <s v="DE1994888-S-PM39397"/>
    <s v="Not in WH"/>
    <e v="#N/A"/>
  </r>
  <r>
    <s v="SB-MOL-W"/>
    <x v="9"/>
    <s v="AR"/>
    <s v="SB-MOL"/>
    <s v="Molse Bookshelf"/>
    <s v="Wenge"/>
    <s v="Molse Bookshelf Wenge"/>
    <s v="Molse Bookshelf"/>
    <m/>
    <s v="X001C6P8PV"/>
    <s v="B08XJWS65L"/>
    <s v="BSFGYU4SD2AGB7HK"/>
    <s v="LSTBSFGYU4SD2AGB7HKPKNKAC"/>
    <s v="FVSGBR33WN20575"/>
    <s v="FN1991974-S-PM39235"/>
    <s v="Not in WH"/>
    <e v="#N/A"/>
  </r>
  <r>
    <s v="SB-MXL-STMI"/>
    <x v="9"/>
    <s v="AR"/>
    <s v="SB-MXL-ST"/>
    <s v="Molse Standard Bookshelf"/>
    <s v="Brown Maple &amp; Beige"/>
    <s v="Molse Standard Bookshelf Brown Maple &amp; Beige"/>
    <s v="Molse Standard Bookshelf"/>
    <m/>
    <s v="X001ZHEIDP"/>
    <s v="B0CP7HSJVJ"/>
    <s v="BSFGW3NMEWYEQ28D"/>
    <s v="LSTBSFGW3NMEWYEQ28DZHDZYX"/>
    <s v="FVSGBR33BR32742"/>
    <s v="FN2166561-S-PM39235"/>
    <s v="Not in WH"/>
    <e v="#N/A"/>
  </r>
  <r>
    <s v="SB-NBK.P-LF"/>
    <x v="9"/>
    <s v="AR"/>
    <s v="SB-NBK"/>
    <s v="Novebuk Bookshelf"/>
    <s v="Walnut &amp; White"/>
    <s v="Novebuk Bookshelf Walnut &amp; White"/>
    <s v="Novebuk Bookshelf"/>
    <m/>
    <s v="X0020N9IHJ"/>
    <s v="B0C43LNB9Y"/>
    <s v="BSFGPPBVFJFZSWGW"/>
    <s v="LSTBSFGPPBVFJFZSWGWIFELZC"/>
    <s v="FVSGBR33BR50161"/>
    <s v="FN2117971-S-PM39235"/>
    <s v="FN2117971-S-WH41218"/>
    <e v="#N/A"/>
  </r>
  <r>
    <s v="SB-NBK-MI"/>
    <x v="9"/>
    <s v="AR"/>
    <s v="SB-NBK"/>
    <s v="Novebuk Bookshelf"/>
    <s v="Brown Maple &amp; Beige"/>
    <s v="Novebuk Bookshelf Brown Maple &amp; Beige"/>
    <s v="Novebuk Bookshelf"/>
    <m/>
    <s v="X001ZSW3JP"/>
    <s v="B0CP23TNK7"/>
    <s v="BSFGVNWDMHCQY2VS"/>
    <s v="LSTBSFGVNWDMHCQY2VSRQEXYM"/>
    <s v="FVSGBR33BR32743"/>
    <s v="FN2166562-S-PM39235"/>
    <s v="Not in WH"/>
    <e v="#N/A"/>
  </r>
  <r>
    <s v="SB-PH-L"/>
    <x v="9"/>
    <s v="AR"/>
    <s v="SB-PH"/>
    <s v="Phelix Bookshelf"/>
    <s v="Walnut"/>
    <s v="Phelix Bookshelf Walnut"/>
    <s v="Phelix Bookshelf"/>
    <m/>
    <s v="X000TSKDPD"/>
    <s v="B079CLH4KN"/>
    <m/>
    <m/>
    <s v="FVSGBR33WA20581"/>
    <s v="DE1994898-S-PM39397"/>
    <s v="Not in WH"/>
    <e v="#N/A"/>
  </r>
  <r>
    <s v="SB-WLB-WF"/>
    <x v="9"/>
    <s v="AR"/>
    <s v="SB-WLB"/>
    <s v="Wolabey Bookshelf"/>
    <s v="Wenge &amp; White"/>
    <s v="Wolabey Bookshelf Wenge &amp; White"/>
    <s v="Wolabey Bookshelf"/>
    <m/>
    <s v="X001CZ85XT"/>
    <s v="B08YX85FCK"/>
    <s v="BSFGFAVB8P5GCZMJ"/>
    <s v="LSTBSFGFAVB8P5GCZMJQAEO0G"/>
    <s v="FVSGBR33WN20588"/>
    <s v="FN2030332-S-PM39235"/>
    <s v="Not in WH"/>
    <e v="#N/A"/>
  </r>
  <r>
    <s v="S-CC-F"/>
    <x v="9"/>
    <s v="AR"/>
    <s v="S-CC"/>
    <s v="Cadlic Wall Shelve"/>
    <s v="White"/>
    <s v="Cadlic Wall Shelve White"/>
    <s v="Cadlic Wall Shelve"/>
    <m/>
    <s v="X001I9SMMX"/>
    <s v="B09B42198Z"/>
    <s v="RSFG5CG4M8RFYHZG"/>
    <s v="LSTRSFG5CG4M8RFYHZGGRLMLU"/>
    <s v="FVSGCB33WH25081"/>
    <s v="DE1994918-S-PM39397"/>
    <s v="Not in WH"/>
    <n v="29525070"/>
  </r>
  <r>
    <s v="S-CC-WF"/>
    <x v="9"/>
    <s v="AR"/>
    <s v="S-CC"/>
    <s v="Cadlic Wall Shelve"/>
    <s v="Wenge &amp; White"/>
    <s v="Cadlic Wall Shelve Wenge &amp; White"/>
    <s v="Cadlic Wall Shelve"/>
    <m/>
    <s v="X001GMD68R"/>
    <s v="B09B4217CV"/>
    <s v="RSFGAC72BQNABZEG"/>
    <s v="LSTRSFGAC72BQNABZEGZAKPCC"/>
    <s v="FVSGCB33WH25083"/>
    <s v="DE1994917-S-PM39397"/>
    <s v="Not in WH"/>
    <e v="#N/A"/>
  </r>
  <r>
    <s v="S-ERA.P-LF"/>
    <x v="9"/>
    <s v="AR"/>
    <s v="S-ERA"/>
    <s v="Ellera Wall Shelve"/>
    <s v="Walnut &amp; White"/>
    <s v="Ellera Wall Shelve Walnut &amp; White"/>
    <s v="Ellera Wall Shelve"/>
    <m/>
    <s v="X001SHAMUZ"/>
    <s v="B0C43R7KCT"/>
    <s v="BSFGPPCGK2QYYHXG"/>
    <s v="LSTBSFGPPCGK2QYYHXGJAFZYS"/>
    <m/>
    <s v="FN2117972-S-PM39235"/>
    <s v="FN2117972-S-WH41218"/>
    <e v="#N/A"/>
  </r>
  <r>
    <s v="S-MO-W5"/>
    <x v="9"/>
    <s v="AR"/>
    <s v="S-MO-5"/>
    <s v="Morpheus Wall Shelve"/>
    <s v="Wenge"/>
    <s v="Morpheus Wall Shelve Wenge"/>
    <s v="Morpheus Wall Shelve"/>
    <m/>
    <s v="X000KM2AXV"/>
    <s v="B019HCCD56"/>
    <s v="BSFEUSK9CGZSZZ2Z"/>
    <s v="LSTBSFEUSK9CGZSZZ2ZUFXWIV"/>
    <s v="FVSGCB33WG25099"/>
    <s v="DE1994901-S-PM39397"/>
    <s v="Not in WH"/>
    <e v="#N/A"/>
  </r>
  <r>
    <s v="SR-FLV-H"/>
    <x v="9"/>
    <s v="AR"/>
    <s v="SR-FLV-H"/>
    <s v="Flovo Shoe Rack"/>
    <s v="Highland Teak"/>
    <s v="Flovo Shoe Rack Highland Teak"/>
    <s v="Flovo Shoe Rack"/>
    <m/>
    <e v="#N/A"/>
    <m/>
    <m/>
    <m/>
    <m/>
    <s v="FN2184460-S-PM39235"/>
    <s v="Not in WH"/>
    <e v="#N/A"/>
  </r>
  <r>
    <s v="SR-WHTO-W"/>
    <x v="9"/>
    <s v="AR"/>
    <s v="SR-WHTO"/>
    <s v="Whartin Shoe Rack"/>
    <s v="Wenge"/>
    <s v="Whartin Shoe Rack Wenge"/>
    <s v="Whartin Shoe Rack"/>
    <m/>
    <s v="X0017S048F"/>
    <s v="B08CND9FLZ"/>
    <s v="BACGYCFGAHXFHEHN"/>
    <s v=" LSTBACGYCFGAHXFHEHNUGVRCK"/>
    <s v="FVSGSR33WN20621"/>
    <s v="FN1991914-S-PM39235"/>
    <s v="FN1991914-S-WH41218"/>
    <e v="#N/A"/>
  </r>
  <r>
    <s v="S-RY-W"/>
    <x v="9"/>
    <s v="AR"/>
    <s v="S-RY"/>
    <s v="Riley Wall Shelve"/>
    <s v="Wenge"/>
    <s v="Riley Wall Shelve Wenge"/>
    <s v="Riley Wall Shelve"/>
    <m/>
    <s v="X000PSRTQX"/>
    <s v="B06WLNKKTS"/>
    <s v="BSFET2N7JW8RERF8"/>
    <s v="LSTBSFET2N7JW8RERF8WFWMDQ"/>
    <s v="FVSGCB33WG25102"/>
    <s v="DE1994895-S-PM39397"/>
    <s v="Not in WH"/>
    <n v="29525090"/>
  </r>
  <r>
    <s v="S-SBW-S3"/>
    <x v="9"/>
    <s v="AR"/>
    <s v="S-SB-S3"/>
    <s v="Skybox Wall Shelve"/>
    <s v="Walnut"/>
    <s v="Skybox Wall Shelve Walnut"/>
    <s v="Skybox Wall Shelve"/>
    <m/>
    <s v="X001YZH9D9"/>
    <s v="B015VINANO"/>
    <s v="RSFEC88ZKH4Q8BHM"/>
    <s v="LSTRSFEC88ZKH4Q8BHMV5DXSF"/>
    <s v="FVSGCB33WG25103"/>
    <s v="DE2198507-S-PM39397"/>
    <s v="Not in WH"/>
    <n v="29525088"/>
  </r>
  <r>
    <s v="ST-EFI-LAWF"/>
    <x v="9"/>
    <s v="AR"/>
    <s v="ST-EFI-LA"/>
    <s v="Efflino Large Study Table"/>
    <s v="Wenge &amp; White"/>
    <s v="Efflino Large Study Table Wenge &amp; White"/>
    <s v="Efflino Large Study Table"/>
    <m/>
    <s v="X001IL03CX"/>
    <s v="B09Q6D5BBV"/>
    <s v="OSTGAN6USBME5VPE"/>
    <s v="LSTOSTGAN6USBME5VPEZNDTFX"/>
    <s v="FVTBST33WN20592"/>
    <s v="FN1988010-S-PM39235"/>
    <s v="FN1988010-S-WH41218"/>
    <e v="#N/A"/>
  </r>
  <r>
    <s v="ST-EFI-STWF"/>
    <x v="9"/>
    <s v="AR"/>
    <s v="ST-EFI-ST"/>
    <s v="Efflino Standard Study Table"/>
    <s v="Wenge &amp; White"/>
    <s v="Efflino Standard Study Table Wenge &amp; White"/>
    <s v="Efflino Standard Study Table"/>
    <m/>
    <s v="X001IDSIB9"/>
    <s v="B09QCQTHTS"/>
    <s v="OSTGAN6ZZHWWKGSZ"/>
    <s v="LSTOSTGAN6ZZHWWKGSZEEJVIF"/>
    <s v="FVTBST33WN20593"/>
    <s v="FN1991946-S-PM39235"/>
    <s v="FN1991946-S-WH41218"/>
    <e v="#N/A"/>
  </r>
  <r>
    <s v="ST-GSE-LAF"/>
    <x v="9"/>
    <s v="AR"/>
    <s v="ST-GSE-LA"/>
    <s v="Gustowe Large Study Table"/>
    <s v="Walnut &amp; White"/>
    <s v="Gustowe Large Study Table Walnut &amp; White"/>
    <s v="Gustowe Large Study Table"/>
    <m/>
    <s v="X001EQC9FV"/>
    <s v="B099DHQZ2Q"/>
    <s v="OSTG5CC2QHYQGX8J"/>
    <s v="LSTOSTG5CC2QHYQGX8JWCHO3H"/>
    <s v="FVTBST33WH20594"/>
    <s v="FN1991962-S-PM39235"/>
    <s v="FN1991962-S-WH41218"/>
    <e v="#N/A"/>
  </r>
  <r>
    <s v="ST-GSE-LAW"/>
    <x v="9"/>
    <s v="AR"/>
    <s v="ST-GSE-LA"/>
    <s v="Gustowe Large Study Table"/>
    <s v="Wenge"/>
    <s v="Gustowe Large Study Table Wenge"/>
    <s v="Gustowe Large Study Table"/>
    <m/>
    <s v="X001EQA3I1"/>
    <s v="B0999MVVPS"/>
    <s v="OSTG5CGAUUHVREP2"/>
    <s v="LSTOSTG5CGAUUHVREP2ECOHF2"/>
    <s v="FVTBST33WN20595"/>
    <s v="FN1988009-S-PM39235"/>
    <s v="FN1988009-S-WH41218"/>
    <n v="34399116"/>
  </r>
  <r>
    <s v="ST-GSE-STF"/>
    <x v="9"/>
    <s v="AR"/>
    <s v="ST-GSE-ST"/>
    <s v="Gustowe Standard Study Table"/>
    <s v="White"/>
    <s v="Gustowe Standard Study Table White"/>
    <s v="Gustowe Standard Study Table"/>
    <m/>
    <s v="X001IXQ18B"/>
    <s v="B09QL2YBD5"/>
    <s v="OSTGBSGXZUWNGHYE"/>
    <s v="LSTOSTGBSGXZUWNGHYEKI0JGT"/>
    <s v="FVTBST33WH20596"/>
    <s v="FN1991966-S-PM39235"/>
    <s v="FN1991966-S-WH41218"/>
    <n v="34399133"/>
  </r>
  <r>
    <s v="ST-GSE-STW"/>
    <x v="9"/>
    <s v="AR"/>
    <s v="ST-GSE-ST"/>
    <s v="Gustowe Standard Study Table"/>
    <s v="Wenge"/>
    <s v="Gustowe Standard Study Table Wenge"/>
    <s v="Gustowe Standard Study Table"/>
    <m/>
    <s v="X001J49ZF5"/>
    <s v="B09QKZJ3BH"/>
    <s v="OSTGBSGYGF3YHYAY"/>
    <s v="LSTOSTGBSGYGF3YHYAYL9GRRG"/>
    <s v="FVTBST33WN20597"/>
    <s v="FN1991976-S-PM39235"/>
    <s v="FN1991976-S-WH41218"/>
    <e v="#N/A"/>
  </r>
  <r>
    <s v="ST-GSE-WMNW"/>
    <x v="9"/>
    <s v="AR"/>
    <s v="ST-GSE-WMN"/>
    <s v="Gustowe Wall Mount  Study Table"/>
    <s v="Wenge"/>
    <s v="Gustowe Wall Mount  Study Table Wenge"/>
    <s v="Gustowe Wall Mount  Study Table"/>
    <m/>
    <s v="X001EK15YX"/>
    <s v="B099DFLKL2"/>
    <s v="OSTG5YF4WWEG9G6Y"/>
    <s v="LSTOSTG5YF4WWEG9G6YSADTOM"/>
    <s v="FVTBST33WN20599"/>
    <s v="FN1991990-S-PM39235"/>
    <s v="Not in WH"/>
    <e v="#N/A"/>
  </r>
  <r>
    <s v="ST-HE-L"/>
    <x v="9"/>
    <s v="AR"/>
    <s v="ST-HE"/>
    <s v="Hemming Study Table"/>
    <s v="Walnut"/>
    <s v="Hemming Study Table Walnut"/>
    <s v="Hemming Study Table"/>
    <m/>
    <s v="X000LJCQVJ"/>
    <s v="B01FQI1SYC"/>
    <s v="OSTEKNZ99SUZKHVS"/>
    <s v="LSTOSTEKNZ99SUZKHVSI7V6FK"/>
    <s v="FVTBST33WA20602"/>
    <s v="FN2030336-S-PM39235"/>
    <s v="Not in WH"/>
    <e v="#N/A"/>
  </r>
  <r>
    <s v="ST-HES-W"/>
    <x v="9"/>
    <s v="AR"/>
    <s v="ST-HES"/>
    <s v="Hemming Study Table"/>
    <s v="Wenge"/>
    <s v="Hemming Study Table Wenge"/>
    <s v="Hemming Study Table"/>
    <m/>
    <s v="X000LJ4ZWR"/>
    <s v="B01FOASQO2"/>
    <s v="OSTEKNZ9ZPBFAYH7"/>
    <s v="LSTOSTEKNZ9ZPBFAYH7RT0MPM"/>
    <s v="FVTBST33WN20604"/>
    <s v="FN2030338-S-PM39235"/>
    <s v="Not in WH"/>
    <e v="#N/A"/>
  </r>
  <r>
    <s v="S-TW-16S4"/>
    <x v="9"/>
    <s v="AR"/>
    <s v="S-T-16S4"/>
    <s v="Stellar Plus  Wall Shelve"/>
    <s v="Wenge"/>
    <s v="Stellar Plus  Wall Shelve Wenge"/>
    <s v="Stellar Plus  Wall Shelve"/>
    <m/>
    <s v="X000V62M1V"/>
    <s v="B07CZKS1G2"/>
    <s v="RSFFC7ZGB43M7QZH"/>
    <s v="LSTRSFFC7ZGB43M7QZHYXU5CY"/>
    <s v="FVSGCB33WG25109"/>
    <s v="DE1994890-S-PM39397"/>
    <s v="Not in WH"/>
    <e v="#N/A"/>
  </r>
  <r>
    <s v="TU-ARO-LAW"/>
    <x v="9"/>
    <s v="AR"/>
    <s v="TU-ARO-LA"/>
    <s v="Aero Large TV Unit"/>
    <s v="Wenge"/>
    <s v="Aero Large TV Unit Wenge"/>
    <s v="Aero Large TV Unit"/>
    <m/>
    <s v="X000XBH61F"/>
    <s v="B07HKXP3CG"/>
    <s v="TVUFC8DGJMZUU9CT"/>
    <s v="LSTTVUFC8DGJMZUU9CTVNA85U"/>
    <s v="FVSGAV33WN20513"/>
    <s v="FN2030340-S-PM39235"/>
    <s v="Not in WH"/>
    <e v="#N/A"/>
  </r>
  <r>
    <s v="TU-ETY-STMF"/>
    <x v="9"/>
    <s v="AR"/>
    <s v="TU-ETY-ST"/>
    <s v="Estoye Standard TV Unit"/>
    <s v="Brown Maple &amp; White"/>
    <s v="Estoye Standard TV Unit Brown Maple &amp; White"/>
    <s v="Estoye Standard TV Unit"/>
    <m/>
    <s v="X0024B6N75"/>
    <s v="B0DFWSGG44"/>
    <s v="TVUH7GGKGUPAXSQE"/>
    <s v="LSTTVUH7GGKGUPAXSQE71F8RV"/>
    <m/>
    <e v="#N/A"/>
    <s v="Not in WH"/>
    <e v="#N/A"/>
  </r>
  <r>
    <s v="TU-ETY-STW"/>
    <x v="9"/>
    <s v="AR"/>
    <s v="TU-ETY-ST"/>
    <s v="Estoye Standard TV Unit"/>
    <s v="Wenge"/>
    <s v="Estoye Standard TV Unit Wenge"/>
    <s v="Estoye Standard TV Unit"/>
    <m/>
    <s v="X001EQMEOH"/>
    <s v="B099DKKFJ1"/>
    <s v="TVUG5CF7KY757XXS"/>
    <s v="LSTTVUG5CF7KY757XXSZYZX5W"/>
    <s v="FVSGAV33WN20525"/>
    <s v="FN1991900-S-PM39235"/>
    <s v="Not in WH"/>
    <e v="#N/A"/>
  </r>
  <r>
    <s v="TU-ETY-STWF"/>
    <x v="9"/>
    <s v="AR"/>
    <s v="TU-ETY-ST"/>
    <s v="Estoye Standard TV Unit"/>
    <s v="Wenge &amp; White"/>
    <s v="Estoye Standard TV Unit Wenge &amp; White"/>
    <s v="Estoye Standard TV Unit"/>
    <m/>
    <s v="X001F6ZQEB"/>
    <s v="B09B43TTKD"/>
    <s v="TVUG5CHY3MUCFC3H"/>
    <s v="LSTTVUG5CHY3MUCFC3H6XRJDL"/>
    <s v="FVSGAV33WH20526"/>
    <s v="FN1987995-S-PM39235"/>
    <s v="Not in WH"/>
    <e v="#N/A"/>
  </r>
  <r>
    <s v="TU-GAU-W"/>
    <x v="9"/>
    <s v="AR"/>
    <s v="TU-GAU"/>
    <s v="Gautier TV Unit"/>
    <s v="Wenge"/>
    <s v="Gautier TV Unit Wenge"/>
    <s v="Gautier TV Unit"/>
    <m/>
    <s v="X0010F30JZ"/>
    <s v="B07MZNVQS9"/>
    <s v="TVUFD2CAWZGSVJTD"/>
    <s v="LSTTVUFD2CAWZGSVJTDUYTNEX"/>
    <s v="FVSGAV33WN20529"/>
    <s v="FN1991905-S-PM39235"/>
    <s v="Not in WH"/>
    <e v="#N/A"/>
  </r>
  <r>
    <s v="TU-HMD-W"/>
    <x v="9"/>
    <s v="AR"/>
    <s v="TU-HMD"/>
    <s v="Harmond TV Unit"/>
    <s v="Wenge"/>
    <s v="Harmond TV Unit Wenge"/>
    <s v="Harmond TV Unit"/>
    <m/>
    <s v="X0012RANJ1"/>
    <s v="B0CG3KWL8C"/>
    <s v="TVUFGHZNXJGPN4HV"/>
    <s v="LSTTVUFGHZNXJGPN4HVINBVYC"/>
    <s v="FVSGAV33WN20530"/>
    <s v="FN1987989-S-PM39235"/>
    <s v="Not in WH"/>
    <e v="#N/A"/>
  </r>
  <r>
    <s v="TU-PMP-LWF"/>
    <x v="9"/>
    <s v="AR"/>
    <s v="TU-PMP-L"/>
    <s v="Primax Plus Large TV Unit"/>
    <s v="Wenge &amp; White"/>
    <s v="Primax Plus Large TV Unit Wenge &amp; White"/>
    <s v="Primax Plus Large TV Unit"/>
    <m/>
    <s v="X001QTN2JX"/>
    <s v="B0CJRXHWR5"/>
    <s v="TVUGPA5SZZHZBSD8"/>
    <s v="LSTTVUGPA5SZZHZBSD8TOOHZG"/>
    <s v="FVTBAV33BR70790"/>
    <s v="FN2087144-S-PM39235"/>
    <s v="Not in WH"/>
    <e v="#N/A"/>
  </r>
  <r>
    <s v="TU-PM-STMF"/>
    <x v="9"/>
    <s v="AR"/>
    <s v="TU-PM-ST"/>
    <s v="Primax Standard TV Unit"/>
    <s v="Brown Maple &amp; White"/>
    <s v="Primax Standard TV Unit Brown Maple &amp; White"/>
    <s v="Primax Standard TV Unit"/>
    <m/>
    <s v="X0022ME0PN"/>
    <s v="B0CT2ZLF3B"/>
    <s v="TVUGZN6BZDHJNKMB"/>
    <s v="LSTTVUGZN6BZDHJNKMB4SOVM0"/>
    <s v="FVSGAV33BR50155"/>
    <s v="FN2194316-S-PM39235"/>
    <s v="Not in WH"/>
    <e v="#N/A"/>
  </r>
  <r>
    <s v="TU-PR-FW"/>
    <x v="9"/>
    <s v="AR"/>
    <s v="TU-PR"/>
    <s v="Prico TV Unit"/>
    <s v="Wenge"/>
    <s v="Prico TV Unit Wenge"/>
    <s v="Prico TV Unit"/>
    <m/>
    <s v="X001JUY3H9"/>
    <s v="B09V86NLZ8"/>
    <s v="TVUGDC43NKTFCZHR"/>
    <s v="LSTTVUGDC43NKTFCZHR1RDIOW"/>
    <s v="FVSGAV33WW20551"/>
    <s v="FN1987997-S-PM39235"/>
    <s v="FN1987997-S-WH41218"/>
    <e v="#N/A"/>
  </r>
  <r>
    <s v="TU-RWT-MWL"/>
    <x v="9"/>
    <s v="AR"/>
    <s v="TU-RWT-M"/>
    <s v="Rowlet Mini TV Unit"/>
    <s v="Walnut &amp; White"/>
    <s v="Rowlet Mini TV Unit Walnut &amp; White"/>
    <s v="Rowlet Mini TV Unit"/>
    <m/>
    <e v="#N/A"/>
    <s v="B09YRMVTGM"/>
    <s v="TVUGG8JPECZXJRER"/>
    <s v="LSTTVUGG8JPECZXJRERK5BI91"/>
    <s v="FVSGAV33WW20558"/>
    <s v="FN2030343-S-PM39235"/>
    <s v="FN2030343-S-WH41218"/>
    <e v="#N/A"/>
  </r>
  <r>
    <s v="WA-FBA.P-DW"/>
    <x v="9"/>
    <s v="AR"/>
    <s v="WA-FBA.P-D"/>
    <s v="Febbora Wall art"/>
    <s v="Wenge"/>
    <s v="Febbora Wall art Wenge"/>
    <s v="Febbora Wall art"/>
    <m/>
    <e v="#N/A"/>
    <s v="B0CBV3KSMP"/>
    <m/>
    <m/>
    <m/>
    <e v="#N/A"/>
    <s v="Not in WH"/>
    <e v="#N/A"/>
  </r>
  <r>
    <s v="W-AND-10NMI"/>
    <x v="9"/>
    <s v="AR"/>
    <s v="W-AND-10N"/>
    <s v="Andrie Single Door Wardrobe"/>
    <s v="Brown Maple &amp; Beige"/>
    <s v="Andrie Single Door Wardrobe Brown Maple &amp; Beige"/>
    <s v="Andrie Single Door Wardrobe"/>
    <m/>
    <s v="X001YXXSTP"/>
    <s v="B0CR49Z3QQ"/>
    <s v="WCLGZN5GWFH2EMBH"/>
    <s v="LSTWCLGZN5GWFH2EMBHZAPT2Z"/>
    <s v="FVSGCB33BR50143"/>
    <s v="FN2194319-S-PM39235"/>
    <s v="Not in WH"/>
    <e v="#N/A"/>
  </r>
  <r>
    <s v="W-AND-11NLF"/>
    <x v="9"/>
    <s v="AR"/>
    <s v="W-AND-11N"/>
    <s v="Andrie Single Door With One Drawer Wardrobe"/>
    <s v="Walnut &amp; White"/>
    <s v="Andrie Single Door With One Drawer Wardrobe Walnut &amp; White"/>
    <s v="Andrie Single Door With One Drawer Wardrobe"/>
    <m/>
    <s v="X001YSQSXD"/>
    <s v="B0BCZ57FNT"/>
    <s v="WCLGG2YUKK3ZHYKX"/>
    <s v="LSTWCLGG2YUKK3ZHYKX19KO9G"/>
    <s v="FVSGSR33BR71082"/>
    <s v="FN2087158-S-PM39235"/>
    <s v="Not in WH"/>
    <e v="#N/A"/>
  </r>
  <r>
    <s v="W-AND-11NWF"/>
    <x v="9"/>
    <s v="AR"/>
    <s v="W-AND-11N"/>
    <s v="Andrie Single Door With One Drawer Wardrobe"/>
    <s v="Wenge &amp; White"/>
    <s v="Andrie Single Door With One Drawer Wardrobe Wenge &amp; White"/>
    <s v="Andrie Single Door With One Drawer Wardrobe"/>
    <m/>
    <s v="X001YSHDUZ"/>
    <s v="B0BCZ5QMBC"/>
    <s v="WCLGG2YXGC6QUGJZ"/>
    <s v="LSTWCLGG2YXGC6QUGJZDZIDCB"/>
    <s v="FVSGSR33BR71083"/>
    <s v="FN2087154-S-PM39235"/>
    <s v="Not in WH"/>
    <e v="#N/A"/>
  </r>
  <r>
    <s v="W-AND-2MFL"/>
    <x v="9"/>
    <s v="AR"/>
    <s v="W-AND-2M"/>
    <s v="Andrie 2 Door with Mirror Wardrobe"/>
    <s v="Walnut &amp; White"/>
    <s v="Andrie 2 Door with Mirror Wardrobe Walnut &amp; White"/>
    <s v="Andrie 2 Door with Mirror Wardrobe"/>
    <m/>
    <e v="#N/A"/>
    <s v="B0B8J3J77N"/>
    <s v="WCLGHCBVPSH5QUG8"/>
    <s v="LSTWCLGHCBVPSH5QUG8VCQOCV"/>
    <s v="FVSGCB33WH25043"/>
    <s v="FN2027694-S-PM39235"/>
    <s v="Not in WH"/>
    <e v="#N/A"/>
  </r>
  <r>
    <s v="W-AND-2NFL"/>
    <x v="9"/>
    <s v="AR"/>
    <s v="W-AND-2N"/>
    <s v="Andrie 2 Door without Mirror Wardrobe"/>
    <s v="Walnut &amp; White"/>
    <s v="Andrie 2 Door without Mirror Wardrobe Walnut &amp; White"/>
    <s v="Andrie 2 Door without Mirror Wardrobe"/>
    <m/>
    <e v="#N/A"/>
    <s v="B0B8J7HST4"/>
    <s v="WCLGHCBZFKMAFZXP"/>
    <s v="LSTWCLGHCBZFKMAFZXPTPUNPT"/>
    <s v="FVSGCB33WH25044"/>
    <s v="FN2027695-S-PM39235"/>
    <s v="FN2027695-S-WH41218"/>
    <e v="#N/A"/>
  </r>
  <r>
    <s v="W-AND-3NMI"/>
    <x v="9"/>
    <s v="AR"/>
    <s v="W-AND-3N"/>
    <s v="Andrie 3 Door without Mirror Wardrobe"/>
    <s v="Brown Maple &amp; Beige"/>
    <s v="Andrie 3 Door without Mirror Wardrobe Brown Maple &amp; Beige"/>
    <s v="Andrie 3 Door without Mirror Wardrobe"/>
    <m/>
    <e v="#N/A"/>
    <s v="B0CR4BB847"/>
    <s v="WCLGWYHKVHCDHHGG"/>
    <s v="LSTWCLGWYHKVHCDHHGGAT2XUR"/>
    <s v="FVSGCB33BR32690"/>
    <s v="FN2166582-S-PM39235"/>
    <s v="Not in WH"/>
    <e v="#N/A"/>
  </r>
  <r>
    <s v="W-AND-4MFL"/>
    <x v="9"/>
    <s v="AR"/>
    <s v="W-AND-4M"/>
    <s v="Andrie 4 Door with Mirror Wardrobe"/>
    <s v="Walnut &amp; White"/>
    <s v="Andrie 4 Door with Mirror Wardrobe Walnut &amp; White"/>
    <s v="Andrie 4 Door with Mirror Wardrobe"/>
    <m/>
    <e v="#N/A"/>
    <s v="B0B8MX5GJQ"/>
    <s v="WCLGHCFZQGS3UUMH"/>
    <s v="LSTWCLGHCFZQGS3UUMHMUXKRC"/>
    <s v="FVSGSR33BR71090"/>
    <s v="FN2027702-S-PM39235"/>
    <s v="FN2027702-S-WH41218"/>
    <e v="#N/A"/>
  </r>
  <r>
    <s v="W-MLT-2NM"/>
    <x v="9"/>
    <s v="AR"/>
    <s v="W-MLT-2N"/>
    <s v="Maltein 2 Door Without Mirror Wardrobe"/>
    <s v="Brown Maple"/>
    <s v="Maltein 2 Door Without Mirror Wardrobe Brown Maple"/>
    <s v="Maltein 2 Door Without Mirror Wardrobe"/>
    <m/>
    <e v="#N/A"/>
    <m/>
    <m/>
    <m/>
    <m/>
    <e v="#N/A"/>
    <s v="Not in WH"/>
    <e v="#N/A"/>
  </r>
  <r>
    <s v="W-MLT-3NM"/>
    <x v="9"/>
    <s v="AR"/>
    <s v="W-MLT-3N"/>
    <s v="Maltein 3 Door Without Mirror Wardrobe"/>
    <s v="Brown Maple"/>
    <s v="Maltein 3 Door Without Mirror Wardrobe Brown Maple"/>
    <s v="Maltein 3 Door Without Mirror Wardrobe"/>
    <m/>
    <e v="#N/A"/>
    <s v="B092SCNKFB"/>
    <s v="WCLH2AQGRX8BMXVN"/>
    <s v="LSTWCLH2AQGRX8BMXVNS1MEGH"/>
    <s v="FVSGCB33BR50144"/>
    <s v="FN2194320-S-PM39235"/>
    <s v="Not in WH"/>
    <e v="#N/A"/>
  </r>
  <r>
    <s v="W-MLT-4NM"/>
    <x v="9"/>
    <s v="AR"/>
    <s v="W-MLT-4N"/>
    <s v="Maltein 4 Door Without Mirror Wardrobe"/>
    <s v="Brown Maple"/>
    <s v="Maltein 4 Door Without Mirror Wardrobe Brown Maple"/>
    <s v="Maltein 4 Door Without Mirror Wardrobe"/>
    <m/>
    <e v="#N/A"/>
    <m/>
    <m/>
    <m/>
    <m/>
    <e v="#N/A"/>
    <s v="Not in WH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34456-BFBA-42A1-8E2F-43A8E07D60CA}" name="PivotTable1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E7" firstHeaderRow="0" firstDataRow="1" firstDataCol="1"/>
  <pivotFields count="17">
    <pivotField compact="0" outline="0" showAll="0"/>
    <pivotField axis="axisRow" compact="0" outline="0" showAll="0">
      <items count="13">
        <item h="1" x="5"/>
        <item h="1" x="8"/>
        <item x="2"/>
        <item x="0"/>
        <item m="1" x="11"/>
        <item x="4"/>
        <item x="3"/>
        <item h="1" m="1" x="10"/>
        <item h="1" x="1"/>
        <item h="1" x="6"/>
        <item h="1" x="7"/>
        <item h="1"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5">
    <i>
      <x v="2"/>
    </i>
    <i>
      <x v="3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ASIN" fld="10" subtotal="count" baseField="0" baseItem="0"/>
    <dataField name="Count of FK FSN" fld="11" subtotal="count" baseField="0" baseItem="0"/>
    <dataField name="Count of UL" fld="13" subtotal="count" baseField="0" baseItem="0"/>
    <dataField name="Count of PF 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9046C5-CEB4-4A94-A9D4-401B00FCE881}" name="Table1" displayName="Table1" ref="A1:Q391" totalsRowShown="0" headerRowDxfId="283" dataDxfId="282" headerRowBorderDxfId="280" tableBorderDxfId="281" totalsRowBorderDxfId="279">
  <autoFilter ref="A1:Q391" xr:uid="{3C9046C5-CEB4-4A94-A9D4-401B00FCE881}"/>
  <tableColumns count="17">
    <tableColumn id="1" xr3:uid="{FA867217-B445-4E1E-89D0-8886E857633C}" name="Seller SKU" dataDxfId="278"/>
    <tableColumn id="9" xr3:uid="{660E5DDE-0648-46AF-B873-A2A61D4DDAF2}" name="Chck" dataDxfId="277">
      <calculatedColumnFormula>IFERROR(VLOOKUP(Table1[[#This Row],[Seller SKU]],'[1]FG Snapshot (V2)'!$A:$B,2,0),"AR")</calculatedColumnFormula>
    </tableColumn>
    <tableColumn id="10" xr3:uid="{AC44F843-E2BD-46CE-9910-ED1E5D01599A}" name="O.SR" dataDxfId="276">
      <calculatedColumnFormula>IFERROR(VLOOKUP(Table1[[#This Row],[Seller SKU]],'[1]FG Snapshot (V2)'!$A:$E,5,0),"AR")</calculatedColumnFormula>
    </tableColumn>
    <tableColumn id="2" xr3:uid="{7355F18C-4181-4AF0-AB62-142319125B0F}" name="MTP SKU" dataDxfId="275"/>
    <tableColumn id="16" xr3:uid="{6EDD2070-D21E-4CF5-A6EB-414F42E8A021}" name="MTP Name" dataDxfId="274">
      <calculatedColumnFormula>VLOOKUP(Table1[[#This Row],[MTP SKU]],'MTP SKUs - Master Data'!A:D,3,0)</calculatedColumnFormula>
    </tableColumn>
    <tableColumn id="11" xr3:uid="{D1F04178-4F95-4C56-8A64-6AA9B9D5B4DB}" name=" Child Color" dataDxfId="273"/>
    <tableColumn id="15" xr3:uid="{AD40ED03-995B-47F0-B44F-F4CC8722CA04}" name="SKU Product Name" dataDxfId="272">
      <calculatedColumnFormula>_xlfn.CONCAT(Table1[[#This Row],[MTP Name]]," ",Table1[[#This Row],[ Child Color]])</calculatedColumnFormula>
    </tableColumn>
    <tableColumn id="14" xr3:uid="{DF5E7417-9A3F-498E-8787-132431E98EB9}" name="MRP" dataDxfId="271">
      <calculatedColumnFormula>VLOOKUP(Table1[[#This Row],[MTP SKU]],'MTP SKUs - Master Data'!A:D,3,0)</calculatedColumnFormula>
    </tableColumn>
    <tableColumn id="13" xr3:uid="{547AF856-D270-4FDC-8365-5BDA82451C58}" name="Barcode" dataDxfId="270"/>
    <tableColumn id="3" xr3:uid="{D41F670B-098A-403A-9BB0-299A1AFFF3AA}" name="FNSKU" dataDxfId="269"/>
    <tableColumn id="4" xr3:uid="{107F6636-C0EF-411B-9528-4D3ECE38EFE1}" name="ASIN" dataDxfId="268"/>
    <tableColumn id="5" xr3:uid="{E28FA2E0-B98C-4430-8515-E96DEAC1FB22}" name="FK FSN" dataDxfId="267"/>
    <tableColumn id="6" xr3:uid="{65159741-F5D5-45E2-8343-7258BCEC3C05}" name="FK List.ID" dataDxfId="266"/>
    <tableColumn id="7" xr3:uid="{AAB2C564-6CE7-4979-96E6-829BCBC8CA49}" name="UL" dataDxfId="265"/>
    <tableColumn id="8" xr3:uid="{56533881-724A-480D-AC93-6950ED123815}" name="PF " dataDxfId="264"/>
    <tableColumn id="17" xr3:uid="{1B279977-1425-496E-9AAF-230EA620500E}" name="PF WH SKU" dataDxfId="263"/>
    <tableColumn id="12" xr3:uid="{9ED86AC3-5650-47C3-ABB4-7C9900E3CFE2}" name="Myntra" dataDxfId="2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9-10T07:41:01.92" personId="{F0E25D4A-C552-4D74-A483-8129906CBC61}" id="{C463AFD2-5801-45D6-B432-1DA3CCEE0A03}">
    <text>only for dealer-price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llercentral.amazon.in/skucentral?mSku=SB-JMY-M&amp;condition=New&amp;ref_=myp_skuc" TargetMode="External"/><Relationship Id="rId13" Type="http://schemas.openxmlformats.org/officeDocument/2006/relationships/hyperlink" Target="https://sellercentral.amazon.in/skucentral?mSku=SB-JMY-M&amp;condition=New&amp;ref_=myp_skuc" TargetMode="External"/><Relationship Id="rId3" Type="http://schemas.openxmlformats.org/officeDocument/2006/relationships/hyperlink" Target="https://sellercentral.amazon.in/skucentral?mSku=ST-CBN-LSMF&amp;condition=New&amp;ref_=myp_skuc" TargetMode="External"/><Relationship Id="rId7" Type="http://schemas.openxmlformats.org/officeDocument/2006/relationships/hyperlink" Target="https://sellercentral.amazon.in/skucentral?mSku=KH-EDL-M&amp;condition=New&amp;ref_=myp_skuc" TargetMode="External"/><Relationship Id="rId12" Type="http://schemas.openxmlformats.org/officeDocument/2006/relationships/hyperlink" Target="https://sellercentral.amazon.in/skucentral?mSku=KH-EDL-M&amp;condition=New&amp;ref_=myp_skuc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sellercentral.amazon.in/skucentral?mSku=SH-CHR-K&amp;condition=New&amp;ref_=myp_skuc" TargetMode="External"/><Relationship Id="rId16" Type="http://schemas.openxmlformats.org/officeDocument/2006/relationships/hyperlink" Target="https://sellercentral.amazon.in/skucentral?mSku=ST-CBN-LSMF&amp;condition=New&amp;ref_=myp_skuc" TargetMode="External"/><Relationship Id="rId1" Type="http://schemas.openxmlformats.org/officeDocument/2006/relationships/hyperlink" Target="https://sellercentral.amazon.in/skucentral?mSku=TU-AYL-M&amp;condition=New&amp;ref=myi_skuc" TargetMode="External"/><Relationship Id="rId6" Type="http://schemas.openxmlformats.org/officeDocument/2006/relationships/hyperlink" Target="https://sellercentral.amazon.in/skucentral?mSku=TU-DSK-M&amp;condition=New&amp;ref_=myp_skuc" TargetMode="External"/><Relationship Id="rId11" Type="http://schemas.openxmlformats.org/officeDocument/2006/relationships/hyperlink" Target="https://sellercentral.amazon.in/skucentral?mSku=TU-DSK-M&amp;condition=New&amp;ref_=myp_skuc" TargetMode="External"/><Relationship Id="rId5" Type="http://schemas.openxmlformats.org/officeDocument/2006/relationships/hyperlink" Target="https://sellercentral.amazon.in/skucentral?mSku=TU-BKY-M&amp;condition=New&amp;ref_=myp_skuc" TargetMode="External"/><Relationship Id="rId15" Type="http://schemas.openxmlformats.org/officeDocument/2006/relationships/hyperlink" Target="https://sellercentral.amazon.in/skucentral?mSku=SH-CHR-K&amp;condition=New&amp;ref_=myp_skuc" TargetMode="External"/><Relationship Id="rId10" Type="http://schemas.openxmlformats.org/officeDocument/2006/relationships/hyperlink" Target="https://sellercentral.amazon.in/skucentral?mSku=TP-MTA-M&amp;condition=New&amp;ref_=myp_skuc" TargetMode="External"/><Relationship Id="rId4" Type="http://schemas.openxmlformats.org/officeDocument/2006/relationships/hyperlink" Target="https://sellercentral.amazon.in/skucentral?mSku=TP-MTA-M&amp;condition=New&amp;ref_=myp_skuc" TargetMode="External"/><Relationship Id="rId9" Type="http://schemas.openxmlformats.org/officeDocument/2006/relationships/hyperlink" Target="https://sellercentral.amazon.in/skucentral?mSku=TU-SNQ-LAM&amp;condition=New&amp;ref_=myp_skuc" TargetMode="External"/><Relationship Id="rId14" Type="http://schemas.openxmlformats.org/officeDocument/2006/relationships/hyperlink" Target="https://sellercentral.amazon.in/skucentral?mSku=TU-SNQ-LAM&amp;condition=New&amp;ref_=myp_skuc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sellercentral.amazon.in/skucentral?mSku=KH-EDL-M&amp;condition=New&amp;ref_=myp_skuc" TargetMode="External"/><Relationship Id="rId7" Type="http://schemas.openxmlformats.org/officeDocument/2006/relationships/hyperlink" Target="https://sellercentral.amazon.in/skucentral?mSku=ST-CBN-LSMF&amp;condition=New&amp;ref_=myp_skuc" TargetMode="External"/><Relationship Id="rId2" Type="http://schemas.openxmlformats.org/officeDocument/2006/relationships/hyperlink" Target="https://sellercentral.amazon.in/skucentral?mSku=TU-DSK-M&amp;condition=New&amp;ref_=myp_skuc" TargetMode="External"/><Relationship Id="rId1" Type="http://schemas.openxmlformats.org/officeDocument/2006/relationships/hyperlink" Target="https://sellercentral.amazon.in/skucentral?mSku=TP-MTA-M&amp;condition=New&amp;ref_=myp_skuc" TargetMode="External"/><Relationship Id="rId6" Type="http://schemas.openxmlformats.org/officeDocument/2006/relationships/hyperlink" Target="https://sellercentral.amazon.in/skucentral?mSku=SH-CHR-K&amp;condition=New&amp;ref_=myp_skuc" TargetMode="External"/><Relationship Id="rId5" Type="http://schemas.openxmlformats.org/officeDocument/2006/relationships/hyperlink" Target="https://sellercentral.amazon.in/skucentral?mSku=TU-SNQ-LAM&amp;condition=New&amp;ref_=myp_skuc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sellercentral.amazon.in/skucentral?mSku=SB-JMY-M&amp;condition=New&amp;ref_=myp_skuc" TargetMode="External"/><Relationship Id="rId9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1"/>
  <sheetViews>
    <sheetView tabSelected="1" workbookViewId="0">
      <pane ySplit="1" topLeftCell="A2" activePane="bottomLeft" state="frozen"/>
      <selection pane="bottomLeft" activeCell="A52" sqref="A52"/>
    </sheetView>
  </sheetViews>
  <sheetFormatPr defaultColWidth="9.140625" defaultRowHeight="15" customHeight="1"/>
  <cols>
    <col min="1" max="1" width="13" style="1" customWidth="1"/>
    <col min="2" max="2" width="5.85546875" style="20" customWidth="1"/>
    <col min="3" max="3" width="5.28515625" style="20" customWidth="1"/>
    <col min="4" max="4" width="13.5703125" style="43" bestFit="1" customWidth="1"/>
    <col min="5" max="5" width="17" style="43" bestFit="1" customWidth="1"/>
    <col min="6" max="6" width="18.28515625" style="43" bestFit="1" customWidth="1"/>
    <col min="7" max="7" width="35.7109375" style="20" customWidth="1"/>
    <col min="8" max="8" width="10.42578125" style="102" customWidth="1"/>
    <col min="9" max="9" width="14.5703125" style="32" bestFit="1" customWidth="1"/>
    <col min="10" max="10" width="11.28515625" style="32" bestFit="1" customWidth="1"/>
    <col min="11" max="11" width="12.140625" style="32" bestFit="1" customWidth="1"/>
    <col min="12" max="12" width="19.42578125" style="32" bestFit="1" customWidth="1"/>
    <col min="13" max="13" width="22.140625" style="32" bestFit="1" customWidth="1"/>
    <col min="14" max="14" width="19.140625" style="1" customWidth="1"/>
    <col min="15" max="15" width="18" style="1" bestFit="1" customWidth="1"/>
    <col min="16" max="16" width="18.28515625" style="1" bestFit="1" customWidth="1"/>
    <col min="17" max="16384" width="9.140625" style="1"/>
  </cols>
  <sheetData>
    <row r="1" spans="1:17">
      <c r="A1" s="104" t="s">
        <v>0</v>
      </c>
      <c r="B1" s="105" t="s">
        <v>1</v>
      </c>
      <c r="C1" s="105" t="s">
        <v>2</v>
      </c>
      <c r="D1" s="87" t="s">
        <v>3</v>
      </c>
      <c r="E1" s="41" t="s">
        <v>4</v>
      </c>
      <c r="F1" s="42" t="s">
        <v>5</v>
      </c>
      <c r="G1" s="41" t="s">
        <v>6</v>
      </c>
      <c r="H1" s="101" t="s">
        <v>7</v>
      </c>
      <c r="I1" s="42" t="s">
        <v>8</v>
      </c>
      <c r="J1" s="42" t="s">
        <v>9</v>
      </c>
      <c r="K1" s="42" t="s">
        <v>10</v>
      </c>
      <c r="L1" s="34" t="s">
        <v>11</v>
      </c>
      <c r="M1" s="34" t="s">
        <v>12</v>
      </c>
      <c r="N1" s="34" t="s">
        <v>13</v>
      </c>
      <c r="O1" s="35" t="s">
        <v>14</v>
      </c>
      <c r="P1" s="35" t="s">
        <v>15</v>
      </c>
      <c r="Q1" s="34" t="s">
        <v>16</v>
      </c>
    </row>
    <row r="2" spans="1:17">
      <c r="A2" s="59" t="s">
        <v>17</v>
      </c>
      <c r="B2" s="45" t="str">
        <f>IFERROR(VLOOKUP(Table1[[#This Row],[Seller SKU]],'[1]FG Snapshot (V2)'!$A:$B,2,0),"AR")</f>
        <v>Y</v>
      </c>
      <c r="C2" s="45">
        <f>IFERROR(VLOOKUP(Table1[[#This Row],[Seller SKU]],'[1]FG Snapshot (V2)'!$A:$E,5,0),"AR")</f>
        <v>1</v>
      </c>
      <c r="D2" s="88" t="s">
        <v>18</v>
      </c>
      <c r="E2" s="64" t="str">
        <f>VLOOKUP(Table1[[#This Row],[MTP SKU]],'MTP SKUs - Master Data'!A:D,3,0)</f>
        <v>Carlem Tall Design Shoe Rack</v>
      </c>
      <c r="F2" s="64" t="s">
        <v>19</v>
      </c>
      <c r="G2" s="64" t="str">
        <f>_xlfn.CONCAT(Table1[[#This Row],[MTP Name]]," ",Table1[[#This Row],[ Child Color]])</f>
        <v>Carlem Tall Design Shoe Rack Brown Maple</v>
      </c>
      <c r="H2" s="33" t="str">
        <f>VLOOKUP(Table1[[#This Row],[MTP SKU]],'MTP SKUs - Master Data'!A:D,3,0)</f>
        <v>Carlem Tall Design Shoe Rack</v>
      </c>
      <c r="I2" s="40"/>
      <c r="J2" s="36" t="e">
        <v>#N/A</v>
      </c>
      <c r="K2" s="37" t="s">
        <v>20</v>
      </c>
      <c r="L2" s="38" t="s">
        <v>21</v>
      </c>
      <c r="M2" s="38" t="s">
        <v>22</v>
      </c>
      <c r="N2" s="38" t="s">
        <v>23</v>
      </c>
      <c r="O2" s="39" t="s">
        <v>24</v>
      </c>
      <c r="P2" s="39" t="s">
        <v>25</v>
      </c>
      <c r="Q2" s="39">
        <v>34399022</v>
      </c>
    </row>
    <row r="3" spans="1:17">
      <c r="A3" s="59" t="s">
        <v>26</v>
      </c>
      <c r="B3" s="45" t="str">
        <f>IFERROR(VLOOKUP(Table1[[#This Row],[Seller SKU]],'[1]FG Snapshot (V2)'!$A:$B,2,0),"AR")</f>
        <v>Y</v>
      </c>
      <c r="C3" s="45">
        <f>IFERROR(VLOOKUP(Table1[[#This Row],[Seller SKU]],'[1]FG Snapshot (V2)'!$A:$E,5,0),"AR")</f>
        <v>5</v>
      </c>
      <c r="D3" s="88" t="s">
        <v>27</v>
      </c>
      <c r="E3" s="64" t="str">
        <f>VLOOKUP(Table1[[#This Row],[MTP SKU]],'MTP SKUs - Master Data'!A:D,3,0)</f>
        <v>Wilbrome TV Unit</v>
      </c>
      <c r="F3" s="64" t="s">
        <v>28</v>
      </c>
      <c r="G3" s="64" t="str">
        <f>_xlfn.CONCAT(Table1[[#This Row],[MTP Name]]," ",Table1[[#This Row],[ Child Color]])</f>
        <v>Wilbrome TV Unit Brown Maple &amp; White</v>
      </c>
      <c r="H3" s="33" t="str">
        <f>VLOOKUP(Table1[[#This Row],[MTP SKU]],'MTP SKUs - Master Data'!A:D,3,0)</f>
        <v>Wilbrome TV Unit</v>
      </c>
      <c r="I3" s="40"/>
      <c r="J3" s="36" t="s">
        <v>29</v>
      </c>
      <c r="K3" s="37" t="s">
        <v>30</v>
      </c>
      <c r="L3" s="38" t="s">
        <v>31</v>
      </c>
      <c r="M3" s="38" t="s">
        <v>32</v>
      </c>
      <c r="N3" s="38" t="s">
        <v>33</v>
      </c>
      <c r="O3" s="39" t="s">
        <v>34</v>
      </c>
      <c r="P3" s="39" t="s">
        <v>35</v>
      </c>
      <c r="Q3" s="39">
        <v>34399074</v>
      </c>
    </row>
    <row r="4" spans="1:17">
      <c r="A4" s="59" t="s">
        <v>36</v>
      </c>
      <c r="B4" s="45" t="str">
        <f>IFERROR(VLOOKUP(Table1[[#This Row],[Seller SKU]],'[1]FG Snapshot (V2)'!$A:$B,2,0),"AR")</f>
        <v>Y</v>
      </c>
      <c r="C4" s="45">
        <f>IFERROR(VLOOKUP(Table1[[#This Row],[Seller SKU]],'[1]FG Snapshot (V2)'!$A:$E,5,0),"AR")</f>
        <v>2</v>
      </c>
      <c r="D4" s="88" t="s">
        <v>37</v>
      </c>
      <c r="E4" s="64" t="str">
        <f>VLOOKUP(Table1[[#This Row],[MTP SKU]],'MTP SKUs - Master Data'!A:D,3,0)</f>
        <v>Blesky TV Unit</v>
      </c>
      <c r="F4" s="64" t="s">
        <v>19</v>
      </c>
      <c r="G4" s="64" t="str">
        <f>_xlfn.CONCAT(Table1[[#This Row],[MTP Name]]," ",Table1[[#This Row],[ Child Color]])</f>
        <v>Blesky TV Unit Brown Maple</v>
      </c>
      <c r="H4" s="33" t="str">
        <f>VLOOKUP(Table1[[#This Row],[MTP SKU]],'MTP SKUs - Master Data'!A:D,3,0)</f>
        <v>Blesky TV Unit</v>
      </c>
      <c r="I4" s="40"/>
      <c r="J4" s="36" t="e">
        <v>#N/A</v>
      </c>
      <c r="K4" s="37" t="s">
        <v>38</v>
      </c>
      <c r="L4" s="38" t="s">
        <v>39</v>
      </c>
      <c r="M4" s="38" t="s">
        <v>40</v>
      </c>
      <c r="N4" s="38" t="s">
        <v>41</v>
      </c>
      <c r="O4" s="39" t="s">
        <v>42</v>
      </c>
      <c r="P4" s="39" t="s">
        <v>43</v>
      </c>
      <c r="Q4" s="39">
        <v>34399027</v>
      </c>
    </row>
    <row r="5" spans="1:17" ht="17.25" customHeight="1">
      <c r="A5" s="59" t="s">
        <v>44</v>
      </c>
      <c r="B5" s="45" t="str">
        <f>IFERROR(VLOOKUP(Table1[[#This Row],[Seller SKU]],'[1]FG Snapshot (V2)'!$A:$B,2,0),"AR")</f>
        <v>Y</v>
      </c>
      <c r="C5" s="45">
        <f>IFERROR(VLOOKUP(Table1[[#This Row],[Seller SKU]],'[1]FG Snapshot (V2)'!$A:$E,5,0),"AR")</f>
        <v>8</v>
      </c>
      <c r="D5" s="88" t="s">
        <v>45</v>
      </c>
      <c r="E5" s="64" t="str">
        <f>VLOOKUP(Table1[[#This Row],[MTP SKU]],'MTP SKUs - Master Data'!A:D,3,0)</f>
        <v>Skiddo TV Unit</v>
      </c>
      <c r="F5" s="64" t="s">
        <v>46</v>
      </c>
      <c r="G5" s="64" t="str">
        <f>_xlfn.CONCAT(Table1[[#This Row],[MTP Name]]," ",Table1[[#This Row],[ Child Color]])</f>
        <v>Skiddo TV Unit Wenge &amp; White</v>
      </c>
      <c r="H5" s="33" t="str">
        <f>VLOOKUP(Table1[[#This Row],[MTP SKU]],'MTP SKUs - Master Data'!A:D,3,0)</f>
        <v>Skiddo TV Unit</v>
      </c>
      <c r="I5" s="40"/>
      <c r="J5" s="36" t="s">
        <v>47</v>
      </c>
      <c r="K5" s="37" t="s">
        <v>48</v>
      </c>
      <c r="L5" s="38" t="s">
        <v>49</v>
      </c>
      <c r="M5" s="38" t="s">
        <v>50</v>
      </c>
      <c r="N5" s="38" t="s">
        <v>51</v>
      </c>
      <c r="O5" s="39" t="s">
        <v>52</v>
      </c>
      <c r="P5" s="39" t="s">
        <v>53</v>
      </c>
      <c r="Q5" s="39" t="e">
        <v>#N/A</v>
      </c>
    </row>
    <row r="6" spans="1:17">
      <c r="A6" s="60" t="s">
        <v>54</v>
      </c>
      <c r="B6" s="45" t="str">
        <f>IFERROR(VLOOKUP(Table1[[#This Row],[Seller SKU]],'[1]FG Snapshot (V2)'!$A:$B,2,0),"AR")</f>
        <v>NL</v>
      </c>
      <c r="C6" s="45">
        <f>IFERROR(VLOOKUP(Table1[[#This Row],[Seller SKU]],'[1]FG Snapshot (V2)'!$A:$E,5,0),"AR")</f>
        <v>4</v>
      </c>
      <c r="D6" s="89" t="s">
        <v>55</v>
      </c>
      <c r="E6" s="64" t="str">
        <f>VLOOKUP(Table1[[#This Row],[MTP SKU]],'MTP SKUs - Master Data'!A:D,3,0)</f>
        <v>Sharnam Pooja Unit</v>
      </c>
      <c r="F6" s="64" t="s">
        <v>56</v>
      </c>
      <c r="G6" s="67" t="str">
        <f>_xlfn.CONCAT(Table1[[#This Row],[MTP Name]]," ",Table1[[#This Row],[ Child Color]])</f>
        <v>Sharnam Pooja Unit White</v>
      </c>
      <c r="H6" s="33" t="str">
        <f>VLOOKUP(Table1[[#This Row],[MTP SKU]],'MTP SKUs - Master Data'!A:D,3,0)</f>
        <v>Sharnam Pooja Unit</v>
      </c>
      <c r="I6" s="40"/>
      <c r="J6" s="36"/>
      <c r="K6" s="37" t="s">
        <v>57</v>
      </c>
      <c r="L6" s="38" t="s">
        <v>58</v>
      </c>
      <c r="M6" s="38" t="s">
        <v>59</v>
      </c>
      <c r="N6" s="38" t="s">
        <v>60</v>
      </c>
      <c r="O6" s="39" t="s">
        <v>61</v>
      </c>
      <c r="P6" s="39" t="s">
        <v>62</v>
      </c>
      <c r="Q6" s="39" t="e">
        <v>#N/A</v>
      </c>
    </row>
    <row r="7" spans="1:17">
      <c r="A7" s="59" t="s">
        <v>63</v>
      </c>
      <c r="B7" s="45" t="str">
        <f>IFERROR(VLOOKUP(Table1[[#This Row],[Seller SKU]],'[1]FG Snapshot (V2)'!$A:$B,2,0),"AR")</f>
        <v>Y</v>
      </c>
      <c r="C7" s="45">
        <f>IFERROR(VLOOKUP(Table1[[#This Row],[Seller SKU]],'[1]FG Snapshot (V2)'!$A:$E,5,0),"AR")</f>
        <v>7</v>
      </c>
      <c r="D7" s="88" t="s">
        <v>45</v>
      </c>
      <c r="E7" s="64" t="str">
        <f>VLOOKUP(Table1[[#This Row],[MTP SKU]],'MTP SKUs - Master Data'!A:D,3,0)</f>
        <v>Skiddo TV Unit</v>
      </c>
      <c r="F7" s="64" t="s">
        <v>28</v>
      </c>
      <c r="G7" s="64" t="str">
        <f>_xlfn.CONCAT(Table1[[#This Row],[MTP Name]]," ",Table1[[#This Row],[ Child Color]])</f>
        <v>Skiddo TV Unit Brown Maple &amp; White</v>
      </c>
      <c r="H7" s="33" t="str">
        <f>VLOOKUP(Table1[[#This Row],[MTP SKU]],'MTP SKUs - Master Data'!A:D,3,0)</f>
        <v>Skiddo TV Unit</v>
      </c>
      <c r="I7" s="40"/>
      <c r="J7" s="36" t="s">
        <v>64</v>
      </c>
      <c r="K7" s="37" t="s">
        <v>65</v>
      </c>
      <c r="L7" s="38" t="s">
        <v>66</v>
      </c>
      <c r="M7" s="38" t="s">
        <v>67</v>
      </c>
      <c r="N7" s="38" t="s">
        <v>68</v>
      </c>
      <c r="O7" s="39" t="s">
        <v>69</v>
      </c>
      <c r="P7" s="39" t="s">
        <v>70</v>
      </c>
      <c r="Q7" s="39">
        <v>34398993</v>
      </c>
    </row>
    <row r="8" spans="1:17">
      <c r="A8" s="60" t="s">
        <v>71</v>
      </c>
      <c r="B8" s="45" t="str">
        <f>IFERROR(VLOOKUP(Table1[[#This Row],[Seller SKU]],'[1]FG Snapshot (V2)'!$A:$B,2,0),"AR")</f>
        <v>RL</v>
      </c>
      <c r="C8" s="45">
        <f>IFERROR(VLOOKUP(Table1[[#This Row],[Seller SKU]],'[1]FG Snapshot (V2)'!$A:$E,5,0),"AR")</f>
        <v>14</v>
      </c>
      <c r="D8" s="89" t="s">
        <v>72</v>
      </c>
      <c r="E8" s="64" t="str">
        <f>VLOOKUP(Table1[[#This Row],[MTP SKU]],'MTP SKUs - Master Data'!A:D,3,0)</f>
        <v>Maltein 4 Door Without Mirror Wardrobe</v>
      </c>
      <c r="F8" s="64" t="s">
        <v>28</v>
      </c>
      <c r="G8" s="67" t="str">
        <f>_xlfn.CONCAT(Table1[[#This Row],[MTP Name]]," ",Table1[[#This Row],[ Child Color]])</f>
        <v>Maltein 4 Door Without Mirror Wardrobe Brown Maple &amp; White</v>
      </c>
      <c r="H8" s="33" t="str">
        <f>VLOOKUP(Table1[[#This Row],[MTP SKU]],'MTP SKUs - Master Data'!A:D,3,0)</f>
        <v>Maltein 4 Door Without Mirror Wardrobe</v>
      </c>
      <c r="I8" s="40"/>
      <c r="J8" s="36"/>
      <c r="K8" s="37" t="s">
        <v>73</v>
      </c>
      <c r="L8" s="38" t="s">
        <v>74</v>
      </c>
      <c r="M8" s="38" t="s">
        <v>75</v>
      </c>
      <c r="N8" s="38" t="s">
        <v>76</v>
      </c>
      <c r="O8" s="39" t="s">
        <v>77</v>
      </c>
      <c r="P8" s="39" t="s">
        <v>78</v>
      </c>
      <c r="Q8" s="39" t="e">
        <v>#N/A</v>
      </c>
    </row>
    <row r="9" spans="1:17">
      <c r="A9" s="59" t="s">
        <v>79</v>
      </c>
      <c r="B9" s="45" t="str">
        <f>IFERROR(VLOOKUP(Table1[[#This Row],[Seller SKU]],'[1]FG Snapshot (V2)'!$A:$B,2,0),"AR")</f>
        <v>Y</v>
      </c>
      <c r="C9" s="45">
        <f>IFERROR(VLOOKUP(Table1[[#This Row],[Seller SKU]],'[1]FG Snapshot (V2)'!$A:$E,5,0),"AR")</f>
        <v>25</v>
      </c>
      <c r="D9" s="88" t="s">
        <v>80</v>
      </c>
      <c r="E9" s="64" t="str">
        <f>VLOOKUP(Table1[[#This Row],[MTP SKU]],'MTP SKUs - Master Data'!A:D,3,0)</f>
        <v>Corbyn L-Shape Study Table</v>
      </c>
      <c r="F9" s="64" t="s">
        <v>28</v>
      </c>
      <c r="G9" s="64" t="str">
        <f>_xlfn.CONCAT(Table1[[#This Row],[MTP Name]]," ",Table1[[#This Row],[ Child Color]])</f>
        <v>Corbyn L-Shape Study Table Brown Maple &amp; White</v>
      </c>
      <c r="H9" s="33" t="str">
        <f>VLOOKUP(Table1[[#This Row],[MTP SKU]],'MTP SKUs - Master Data'!A:D,3,0)</f>
        <v>Corbyn L-Shape Study Table</v>
      </c>
      <c r="I9" s="40"/>
      <c r="J9" s="36" t="e">
        <v>#N/A</v>
      </c>
      <c r="K9" s="37" t="s">
        <v>81</v>
      </c>
      <c r="L9" s="38" t="s">
        <v>82</v>
      </c>
      <c r="M9" s="38" t="s">
        <v>83</v>
      </c>
      <c r="N9" s="38" t="s">
        <v>84</v>
      </c>
      <c r="O9" s="39" t="s">
        <v>85</v>
      </c>
      <c r="P9" s="39" t="s">
        <v>86</v>
      </c>
      <c r="Q9" s="39">
        <v>34399075</v>
      </c>
    </row>
    <row r="10" spans="1:17">
      <c r="A10" s="60" t="s">
        <v>87</v>
      </c>
      <c r="B10" s="45" t="str">
        <f>IFERROR(VLOOKUP(Table1[[#This Row],[Seller SKU]],'[1]FG Snapshot (V2)'!$A:$B,2,0),"AR")</f>
        <v>Y</v>
      </c>
      <c r="C10" s="45">
        <f>IFERROR(VLOOKUP(Table1[[#This Row],[Seller SKU]],'[1]FG Snapshot (V2)'!$A:$E,5,0),"AR")</f>
        <v>21</v>
      </c>
      <c r="D10" s="89" t="s">
        <v>88</v>
      </c>
      <c r="E10" s="64" t="str">
        <f>VLOOKUP(Table1[[#This Row],[MTP SKU]],'MTP SKUs - Master Data'!A:D,3,0)</f>
        <v>Maltein 3 Door Without Mirror Wardrobe</v>
      </c>
      <c r="F10" s="64" t="s">
        <v>28</v>
      </c>
      <c r="G10" s="67" t="str">
        <f>_xlfn.CONCAT(Table1[[#This Row],[MTP Name]]," ",Table1[[#This Row],[ Child Color]])</f>
        <v>Maltein 3 Door Without Mirror Wardrobe Brown Maple &amp; White</v>
      </c>
      <c r="H10" s="33" t="str">
        <f>VLOOKUP(Table1[[#This Row],[MTP SKU]],'MTP SKUs - Master Data'!A:D,3,0)</f>
        <v>Maltein 3 Door Without Mirror Wardrobe</v>
      </c>
      <c r="I10" s="40"/>
      <c r="J10" s="36"/>
      <c r="K10" s="37" t="s">
        <v>89</v>
      </c>
      <c r="L10" s="38" t="s">
        <v>90</v>
      </c>
      <c r="M10" s="38" t="s">
        <v>91</v>
      </c>
      <c r="N10" s="38" t="s">
        <v>92</v>
      </c>
      <c r="O10" s="39" t="s">
        <v>93</v>
      </c>
      <c r="P10" s="39" t="s">
        <v>94</v>
      </c>
      <c r="Q10" s="39" t="e">
        <v>#N/A</v>
      </c>
    </row>
    <row r="11" spans="1:17">
      <c r="A11" s="59" t="s">
        <v>95</v>
      </c>
      <c r="B11" s="45" t="str">
        <f>IFERROR(VLOOKUP(Table1[[#This Row],[Seller SKU]],'[1]FG Snapshot (V2)'!$A:$B,2,0),"AR")</f>
        <v>Y</v>
      </c>
      <c r="C11" s="45">
        <f>IFERROR(VLOOKUP(Table1[[#This Row],[Seller SKU]],'[1]FG Snapshot (V2)'!$A:$E,5,0),"AR")</f>
        <v>13</v>
      </c>
      <c r="D11" s="88" t="s">
        <v>96</v>
      </c>
      <c r="E11" s="64" t="str">
        <f>VLOOKUP(Table1[[#This Row],[MTP SKU]],'MTP SKUs - Master Data'!A:D,3,0)</f>
        <v>Smohn Coffee Table</v>
      </c>
      <c r="F11" s="64" t="s">
        <v>97</v>
      </c>
      <c r="G11" s="64" t="str">
        <f>_xlfn.CONCAT(Table1[[#This Row],[MTP Name]]," ",Table1[[#This Row],[ Child Color]])</f>
        <v>Smohn Coffee Table Brown Maple &amp; Beige</v>
      </c>
      <c r="H11" s="33" t="str">
        <f>VLOOKUP(Table1[[#This Row],[MTP SKU]],'MTP SKUs - Master Data'!A:D,3,0)</f>
        <v>Smohn Coffee Table</v>
      </c>
      <c r="I11" s="40"/>
      <c r="J11" s="36" t="s">
        <v>98</v>
      </c>
      <c r="K11" s="37" t="s">
        <v>99</v>
      </c>
      <c r="L11" s="38" t="s">
        <v>100</v>
      </c>
      <c r="M11" s="38" t="s">
        <v>101</v>
      </c>
      <c r="N11" s="38" t="s">
        <v>102</v>
      </c>
      <c r="O11" s="39" t="s">
        <v>103</v>
      </c>
      <c r="P11" s="39" t="s">
        <v>62</v>
      </c>
      <c r="Q11" s="39">
        <v>34399060</v>
      </c>
    </row>
    <row r="12" spans="1:17">
      <c r="A12" s="59" t="s">
        <v>104</v>
      </c>
      <c r="B12" s="45" t="str">
        <f>IFERROR(VLOOKUP(Table1[[#This Row],[Seller SKU]],'[1]FG Snapshot (V2)'!$A:$B,2,0),"AR")</f>
        <v>Y</v>
      </c>
      <c r="C12" s="45">
        <f>IFERROR(VLOOKUP(Table1[[#This Row],[Seller SKU]],'[1]FG Snapshot (V2)'!$A:$E,5,0),"AR")</f>
        <v>19</v>
      </c>
      <c r="D12" s="88" t="s">
        <v>105</v>
      </c>
      <c r="E12" s="64" t="str">
        <f>VLOOKUP(Table1[[#This Row],[MTP SKU]],'MTP SKUs - Master Data'!A:D,3,0)</f>
        <v>Amalet Study Table</v>
      </c>
      <c r="F12" s="64" t="s">
        <v>97</v>
      </c>
      <c r="G12" s="64" t="str">
        <f>_xlfn.CONCAT(Table1[[#This Row],[MTP Name]]," ",Table1[[#This Row],[ Child Color]])</f>
        <v>Amalet Study Table Brown Maple &amp; Beige</v>
      </c>
      <c r="H12" s="33" t="str">
        <f>VLOOKUP(Table1[[#This Row],[MTP SKU]],'MTP SKUs - Master Data'!A:D,3,0)</f>
        <v>Amalet Study Table</v>
      </c>
      <c r="I12" s="40"/>
      <c r="J12" s="36" t="s">
        <v>106</v>
      </c>
      <c r="K12" s="37" t="s">
        <v>107</v>
      </c>
      <c r="L12" s="38" t="s">
        <v>108</v>
      </c>
      <c r="M12" s="38" t="s">
        <v>109</v>
      </c>
      <c r="N12" s="38" t="s">
        <v>110</v>
      </c>
      <c r="O12" s="39" t="s">
        <v>111</v>
      </c>
      <c r="P12" s="39" t="s">
        <v>112</v>
      </c>
      <c r="Q12" s="39">
        <v>34399107</v>
      </c>
    </row>
    <row r="13" spans="1:17">
      <c r="A13" s="60" t="s">
        <v>113</v>
      </c>
      <c r="B13" s="45" t="str">
        <f>IFERROR(VLOOKUP(Table1[[#This Row],[Seller SKU]],'[1]FG Snapshot (V2)'!$A:$B,2,0),"AR")</f>
        <v>Y</v>
      </c>
      <c r="C13" s="45">
        <f>IFERROR(VLOOKUP(Table1[[#This Row],[Seller SKU]],'[1]FG Snapshot (V2)'!$A:$E,5,0),"AR")</f>
        <v>16</v>
      </c>
      <c r="D13" s="40" t="s">
        <v>114</v>
      </c>
      <c r="E13" s="64" t="str">
        <f>VLOOKUP(Table1[[#This Row],[MTP SKU]],'MTP SKUs - Master Data'!A:D,3,0)</f>
        <v>Calcio 5-Tier Wardrobe</v>
      </c>
      <c r="F13" s="64" t="s">
        <v>19</v>
      </c>
      <c r="G13" s="64" t="str">
        <f>_xlfn.CONCAT(Table1[[#This Row],[MTP Name]]," ",Table1[[#This Row],[ Child Color]])</f>
        <v>Calcio 5-Tier Wardrobe Brown Maple</v>
      </c>
      <c r="H13" s="33" t="str">
        <f>VLOOKUP(Table1[[#This Row],[MTP SKU]],'MTP SKUs - Master Data'!A:D,3,0)</f>
        <v>Calcio 5-Tier Wardrobe</v>
      </c>
      <c r="I13" s="40"/>
      <c r="J13" s="36"/>
      <c r="K13" s="37" t="s">
        <v>115</v>
      </c>
      <c r="L13" s="38" t="s">
        <v>116</v>
      </c>
      <c r="M13" s="38" t="s">
        <v>117</v>
      </c>
      <c r="N13" s="38" t="s">
        <v>118</v>
      </c>
      <c r="O13" s="39" t="s">
        <v>119</v>
      </c>
      <c r="P13" s="39" t="s">
        <v>120</v>
      </c>
      <c r="Q13" s="39" t="e">
        <v>#N/A</v>
      </c>
    </row>
    <row r="14" spans="1:17">
      <c r="A14" s="59" t="s">
        <v>121</v>
      </c>
      <c r="B14" s="45" t="str">
        <f>IFERROR(VLOOKUP(Table1[[#This Row],[Seller SKU]],'[1]FG Snapshot (V2)'!$A:$B,2,0),"AR")</f>
        <v>Y</v>
      </c>
      <c r="C14" s="45">
        <f>IFERROR(VLOOKUP(Table1[[#This Row],[Seller SKU]],'[1]FG Snapshot (V2)'!$A:$E,5,0),"AR")</f>
        <v>15</v>
      </c>
      <c r="D14" s="40" t="s">
        <v>122</v>
      </c>
      <c r="E14" s="64" t="str">
        <f>VLOOKUP(Table1[[#This Row],[MTP SKU]],'MTP SKUs - Master Data'!A:D,3,0)</f>
        <v>Brooklyn Tall Shoe Rack</v>
      </c>
      <c r="F14" s="64" t="s">
        <v>19</v>
      </c>
      <c r="G14" s="64" t="str">
        <f>_xlfn.CONCAT(Table1[[#This Row],[MTP Name]]," ",Table1[[#This Row],[ Child Color]])</f>
        <v>Brooklyn Tall Shoe Rack Brown Maple</v>
      </c>
      <c r="H14" s="33" t="str">
        <f>VLOOKUP(Table1[[#This Row],[MTP SKU]],'MTP SKUs - Master Data'!A:D,3,0)</f>
        <v>Brooklyn Tall Shoe Rack</v>
      </c>
      <c r="I14" s="40"/>
      <c r="J14" s="36" t="e">
        <v>#N/A</v>
      </c>
      <c r="K14" s="37" t="s">
        <v>123</v>
      </c>
      <c r="L14" s="38" t="s">
        <v>124</v>
      </c>
      <c r="M14" s="38" t="s">
        <v>125</v>
      </c>
      <c r="N14" s="38" t="s">
        <v>126</v>
      </c>
      <c r="O14" s="39" t="s">
        <v>127</v>
      </c>
      <c r="P14" s="39" t="s">
        <v>128</v>
      </c>
      <c r="Q14" s="39">
        <v>34399229</v>
      </c>
    </row>
    <row r="15" spans="1:17">
      <c r="A15" s="59" t="s">
        <v>129</v>
      </c>
      <c r="B15" s="45" t="str">
        <f>IFERROR(VLOOKUP(Table1[[#This Row],[Seller SKU]],'[1]FG Snapshot (V2)'!$A:$B,2,0),"AR")</f>
        <v>YD</v>
      </c>
      <c r="C15" s="45">
        <f>IFERROR(VLOOKUP(Table1[[#This Row],[Seller SKU]],'[1]FG Snapshot (V2)'!$A:$E,5,0),"AR")</f>
        <v>27</v>
      </c>
      <c r="D15" s="88" t="s">
        <v>45</v>
      </c>
      <c r="E15" s="64" t="str">
        <f>VLOOKUP(Table1[[#This Row],[MTP SKU]],'MTP SKUs - Master Data'!A:D,3,0)</f>
        <v>Skiddo TV Unit</v>
      </c>
      <c r="F15" s="64" t="s">
        <v>130</v>
      </c>
      <c r="G15" s="64" t="str">
        <f>_xlfn.CONCAT(Table1[[#This Row],[MTP Name]]," ",Table1[[#This Row],[ Child Color]])</f>
        <v>Skiddo TV Unit Walnut &amp; White</v>
      </c>
      <c r="H15" s="33" t="str">
        <f>VLOOKUP(Table1[[#This Row],[MTP SKU]],'MTP SKUs - Master Data'!A:D,3,0)</f>
        <v>Skiddo TV Unit</v>
      </c>
      <c r="I15" s="40"/>
      <c r="J15" s="36" t="s">
        <v>131</v>
      </c>
      <c r="K15" s="37" t="s">
        <v>132</v>
      </c>
      <c r="L15" s="38" t="s">
        <v>133</v>
      </c>
      <c r="M15" s="38" t="s">
        <v>134</v>
      </c>
      <c r="N15" s="38" t="s">
        <v>135</v>
      </c>
      <c r="O15" s="39" t="s">
        <v>136</v>
      </c>
      <c r="P15" s="39" t="s">
        <v>137</v>
      </c>
      <c r="Q15" s="39">
        <v>34399021</v>
      </c>
    </row>
    <row r="16" spans="1:17">
      <c r="A16" s="59" t="s">
        <v>138</v>
      </c>
      <c r="B16" s="45" t="str">
        <f>IFERROR(VLOOKUP(Table1[[#This Row],[Seller SKU]],'[1]FG Snapshot (V2)'!$A:$B,2,0),"AR")</f>
        <v>y</v>
      </c>
      <c r="C16" s="45">
        <f>IFERROR(VLOOKUP(Table1[[#This Row],[Seller SKU]],'[1]FG Snapshot (V2)'!$A:$E,5,0),"AR")</f>
        <v>6</v>
      </c>
      <c r="D16" s="88" t="s">
        <v>139</v>
      </c>
      <c r="E16" s="64" t="str">
        <f>VLOOKUP(Table1[[#This Row],[MTP SKU]],'MTP SKUs - Master Data'!A:D,3,0)</f>
        <v>Carlem 3 Door Shoe Rack</v>
      </c>
      <c r="F16" s="64" t="s">
        <v>19</v>
      </c>
      <c r="G16" s="64" t="str">
        <f>_xlfn.CONCAT(Table1[[#This Row],[MTP Name]]," ",Table1[[#This Row],[ Child Color]])</f>
        <v>Carlem 3 Door Shoe Rack Brown Maple</v>
      </c>
      <c r="H16" s="33" t="str">
        <f>VLOOKUP(Table1[[#This Row],[MTP SKU]],'MTP SKUs - Master Data'!A:D,3,0)</f>
        <v>Carlem 3 Door Shoe Rack</v>
      </c>
      <c r="I16" s="40"/>
      <c r="J16" s="36" t="s">
        <v>140</v>
      </c>
      <c r="K16" s="37" t="s">
        <v>141</v>
      </c>
      <c r="L16" s="38" t="s">
        <v>142</v>
      </c>
      <c r="M16" s="38" t="s">
        <v>143</v>
      </c>
      <c r="N16" s="38" t="s">
        <v>144</v>
      </c>
      <c r="O16" s="39" t="s">
        <v>145</v>
      </c>
      <c r="P16" s="39" t="s">
        <v>146</v>
      </c>
      <c r="Q16" s="39">
        <v>34399038</v>
      </c>
    </row>
    <row r="17" spans="1:17">
      <c r="A17" s="60" t="s">
        <v>147</v>
      </c>
      <c r="B17" s="45" t="str">
        <f>IFERROR(VLOOKUP(Table1[[#This Row],[Seller SKU]],'[1]FG Snapshot (V2)'!$A:$B,2,0),"AR")</f>
        <v>Y</v>
      </c>
      <c r="C17" s="45">
        <f>IFERROR(VLOOKUP(Table1[[#This Row],[Seller SKU]],'[1]FG Snapshot (V2)'!$A:$E,5,0),"AR")</f>
        <v>24</v>
      </c>
      <c r="D17" s="40" t="s">
        <v>148</v>
      </c>
      <c r="E17" s="64" t="str">
        <f>VLOOKUP(Table1[[#This Row],[MTP SKU]],'MTP SKUs - Master Data'!A:D,3,0)</f>
        <v>Maltein Mini Wardrobe</v>
      </c>
      <c r="F17" s="64" t="s">
        <v>28</v>
      </c>
      <c r="G17" s="64" t="str">
        <f>_xlfn.CONCAT(Table1[[#This Row],[MTP Name]]," ",Table1[[#This Row],[ Child Color]])</f>
        <v>Maltein Mini Wardrobe Brown Maple &amp; White</v>
      </c>
      <c r="H17" s="33" t="str">
        <f>VLOOKUP(Table1[[#This Row],[MTP SKU]],'MTP SKUs - Master Data'!A:D,3,0)</f>
        <v>Maltein Mini Wardrobe</v>
      </c>
      <c r="I17" s="40"/>
      <c r="J17" s="36"/>
      <c r="K17" s="37" t="s">
        <v>149</v>
      </c>
      <c r="L17" s="38" t="s">
        <v>150</v>
      </c>
      <c r="M17" s="38" t="s">
        <v>151</v>
      </c>
      <c r="N17" s="38" t="s">
        <v>152</v>
      </c>
      <c r="O17" s="39" t="s">
        <v>153</v>
      </c>
      <c r="P17" s="39" t="s">
        <v>154</v>
      </c>
      <c r="Q17" s="39" t="e">
        <v>#N/A</v>
      </c>
    </row>
    <row r="18" spans="1:17">
      <c r="A18" s="59" t="s">
        <v>155</v>
      </c>
      <c r="B18" s="45" t="str">
        <f>IFERROR(VLOOKUP(Table1[[#This Row],[Seller SKU]],'[1]FG Snapshot (V2)'!$A:$B,2,0),"AR")</f>
        <v>Y</v>
      </c>
      <c r="C18" s="45">
        <f>IFERROR(VLOOKUP(Table1[[#This Row],[Seller SKU]],'[1]FG Snapshot (V2)'!$A:$E,5,0),"AR")</f>
        <v>10</v>
      </c>
      <c r="D18" s="88" t="s">
        <v>156</v>
      </c>
      <c r="E18" s="64" t="str">
        <f>VLOOKUP(Table1[[#This Row],[MTP SKU]],'MTP SKUs - Master Data'!A:D,3,0)</f>
        <v>Wilbrome Mini TV Unit</v>
      </c>
      <c r="F18" s="64" t="s">
        <v>28</v>
      </c>
      <c r="G18" s="64" t="str">
        <f>_xlfn.CONCAT(Table1[[#This Row],[MTP Name]]," ",Table1[[#This Row],[ Child Color]])</f>
        <v>Wilbrome Mini TV Unit Brown Maple &amp; White</v>
      </c>
      <c r="H18" s="33" t="str">
        <f>VLOOKUP(Table1[[#This Row],[MTP SKU]],'MTP SKUs - Master Data'!A:D,3,0)</f>
        <v>Wilbrome Mini TV Unit</v>
      </c>
      <c r="I18" s="40"/>
      <c r="J18" s="36" t="e">
        <v>#N/A</v>
      </c>
      <c r="K18" s="37" t="s">
        <v>157</v>
      </c>
      <c r="L18" s="38" t="s">
        <v>158</v>
      </c>
      <c r="M18" s="38" t="s">
        <v>159</v>
      </c>
      <c r="N18" s="38" t="s">
        <v>160</v>
      </c>
      <c r="O18" s="39" t="s">
        <v>161</v>
      </c>
      <c r="P18" s="39" t="s">
        <v>162</v>
      </c>
      <c r="Q18" s="39" t="e">
        <v>#N/A</v>
      </c>
    </row>
    <row r="19" spans="1:17">
      <c r="A19" s="60" t="s">
        <v>163</v>
      </c>
      <c r="B19" s="45" t="str">
        <f>IFERROR(VLOOKUP(Table1[[#This Row],[Seller SKU]],'[1]FG Snapshot (V2)'!$A:$B,2,0),"AR")</f>
        <v>Y</v>
      </c>
      <c r="C19" s="45">
        <f>IFERROR(VLOOKUP(Table1[[#This Row],[Seller SKU]],'[1]FG Snapshot (V2)'!$A:$E,5,0),"AR")</f>
        <v>20</v>
      </c>
      <c r="D19" s="40" t="s">
        <v>164</v>
      </c>
      <c r="E19" s="64" t="str">
        <f>VLOOKUP(Table1[[#This Row],[MTP SKU]],'MTP SKUs - Master Data'!A:D,3,0)</f>
        <v>Mavis Seating Shoe Rack</v>
      </c>
      <c r="F19" s="64" t="s">
        <v>19</v>
      </c>
      <c r="G19" s="64" t="str">
        <f>_xlfn.CONCAT(Table1[[#This Row],[MTP Name]]," ",Table1[[#This Row],[ Child Color]])</f>
        <v>Mavis Seating Shoe Rack Brown Maple</v>
      </c>
      <c r="H19" s="33" t="str">
        <f>VLOOKUP(Table1[[#This Row],[MTP SKU]],'MTP SKUs - Master Data'!A:D,3,0)</f>
        <v>Mavis Seating Shoe Rack</v>
      </c>
      <c r="I19" s="40"/>
      <c r="J19" s="36"/>
      <c r="K19" s="37" t="s">
        <v>165</v>
      </c>
      <c r="L19" s="38" t="s">
        <v>166</v>
      </c>
      <c r="M19" s="38" t="s">
        <v>167</v>
      </c>
      <c r="N19" s="38" t="s">
        <v>168</v>
      </c>
      <c r="O19" s="39" t="s">
        <v>169</v>
      </c>
      <c r="P19" s="39" t="s">
        <v>170</v>
      </c>
      <c r="Q19" s="39">
        <v>35524081</v>
      </c>
    </row>
    <row r="20" spans="1:17">
      <c r="A20" s="59" t="s">
        <v>171</v>
      </c>
      <c r="B20" s="45" t="str">
        <f>IFERROR(VLOOKUP(Table1[[#This Row],[Seller SKU]],'[1]FG Snapshot (V2)'!$A:$B,2,0),"AR")</f>
        <v>Y</v>
      </c>
      <c r="C20" s="45">
        <f>IFERROR(VLOOKUP(Table1[[#This Row],[Seller SKU]],'[1]FG Snapshot (V2)'!$A:$E,5,0),"AR")</f>
        <v>22</v>
      </c>
      <c r="D20" s="88" t="s">
        <v>172</v>
      </c>
      <c r="E20" s="64" t="str">
        <f>VLOOKUP(Table1[[#This Row],[MTP SKU]],'MTP SKUs - Master Data'!A:D,3,0)</f>
        <v>Kaspen Shoe Rack</v>
      </c>
      <c r="F20" s="64" t="s">
        <v>28</v>
      </c>
      <c r="G20" s="64" t="str">
        <f>_xlfn.CONCAT(Table1[[#This Row],[MTP Name]]," ",Table1[[#This Row],[ Child Color]])</f>
        <v>Kaspen Shoe Rack Brown Maple &amp; White</v>
      </c>
      <c r="H20" s="33" t="str">
        <f>VLOOKUP(Table1[[#This Row],[MTP SKU]],'MTP SKUs - Master Data'!A:D,3,0)</f>
        <v>Kaspen Shoe Rack</v>
      </c>
      <c r="I20" s="40"/>
      <c r="J20" s="36" t="s">
        <v>173</v>
      </c>
      <c r="K20" s="37" t="s">
        <v>174</v>
      </c>
      <c r="L20" s="38" t="s">
        <v>175</v>
      </c>
      <c r="M20" s="38" t="s">
        <v>176</v>
      </c>
      <c r="N20" s="38" t="s">
        <v>177</v>
      </c>
      <c r="O20" s="39" t="s">
        <v>178</v>
      </c>
      <c r="P20" s="39" t="s">
        <v>179</v>
      </c>
      <c r="Q20" s="39">
        <v>34399166</v>
      </c>
    </row>
    <row r="21" spans="1:17">
      <c r="A21" s="59" t="s">
        <v>180</v>
      </c>
      <c r="B21" s="45" t="str">
        <f>IFERROR(VLOOKUP(Table1[[#This Row],[Seller SKU]],'[1]FG Snapshot (V2)'!$A:$B,2,0),"AR")</f>
        <v>Y</v>
      </c>
      <c r="C21" s="45">
        <f>IFERROR(VLOOKUP(Table1[[#This Row],[Seller SKU]],'[1]FG Snapshot (V2)'!$A:$E,5,0),"AR")</f>
        <v>11</v>
      </c>
      <c r="D21" s="88" t="s">
        <v>181</v>
      </c>
      <c r="E21" s="64" t="str">
        <f>VLOOKUP(Table1[[#This Row],[MTP SKU]],'MTP SKUs - Master Data'!A:D,3,0)</f>
        <v>Fenily TV Unit</v>
      </c>
      <c r="F21" s="64" t="s">
        <v>182</v>
      </c>
      <c r="G21" s="64" t="str">
        <f>_xlfn.CONCAT(Table1[[#This Row],[MTP Name]]," ",Table1[[#This Row],[ Child Color]])</f>
        <v>Fenily TV Unit Wenge</v>
      </c>
      <c r="H21" s="33" t="str">
        <f>VLOOKUP(Table1[[#This Row],[MTP SKU]],'MTP SKUs - Master Data'!A:D,3,0)</f>
        <v>Fenily TV Unit</v>
      </c>
      <c r="I21" s="40"/>
      <c r="J21" s="36" t="e">
        <v>#N/A</v>
      </c>
      <c r="K21" s="37" t="s">
        <v>183</v>
      </c>
      <c r="L21" s="38" t="s">
        <v>184</v>
      </c>
      <c r="M21" s="38" t="s">
        <v>185</v>
      </c>
      <c r="N21" s="38" t="s">
        <v>186</v>
      </c>
      <c r="O21" s="39" t="s">
        <v>187</v>
      </c>
      <c r="P21" s="39" t="s">
        <v>188</v>
      </c>
      <c r="Q21" s="39">
        <v>34399237</v>
      </c>
    </row>
    <row r="22" spans="1:17">
      <c r="A22" s="60" t="s">
        <v>189</v>
      </c>
      <c r="B22" s="45" t="str">
        <f>IFERROR(VLOOKUP(Table1[[#This Row],[Seller SKU]],'[1]FG Snapshot (V2)'!$A:$B,2,0),"AR")</f>
        <v>Y</v>
      </c>
      <c r="C22" s="45">
        <f>IFERROR(VLOOKUP(Table1[[#This Row],[Seller SKU]],'[1]FG Snapshot (V2)'!$A:$E,5,0),"AR")</f>
        <v>3</v>
      </c>
      <c r="D22" s="40" t="s">
        <v>190</v>
      </c>
      <c r="E22" s="64" t="str">
        <f>VLOOKUP(Table1[[#This Row],[MTP SKU]],'MTP SKUs - Master Data'!A:D,3,0)</f>
        <v>Mavis Combo Shoe Rack</v>
      </c>
      <c r="F22" s="64" t="s">
        <v>19</v>
      </c>
      <c r="G22" s="64" t="str">
        <f>_xlfn.CONCAT(Table1[[#This Row],[MTP Name]]," ",Table1[[#This Row],[ Child Color]])</f>
        <v>Mavis Combo Shoe Rack Brown Maple</v>
      </c>
      <c r="H22" s="33" t="str">
        <f>VLOOKUP(Table1[[#This Row],[MTP SKU]],'MTP SKUs - Master Data'!A:D,3,0)</f>
        <v>Mavis Combo Shoe Rack</v>
      </c>
      <c r="I22" s="40"/>
      <c r="J22" s="36"/>
      <c r="K22" s="37" t="s">
        <v>191</v>
      </c>
      <c r="L22" s="38" t="s">
        <v>192</v>
      </c>
      <c r="M22" s="38" t="s">
        <v>193</v>
      </c>
      <c r="N22" s="38" t="s">
        <v>194</v>
      </c>
      <c r="O22" s="39" t="s">
        <v>195</v>
      </c>
      <c r="P22" s="39" t="s">
        <v>196</v>
      </c>
      <c r="Q22" s="39">
        <v>35524079</v>
      </c>
    </row>
    <row r="23" spans="1:17">
      <c r="A23" s="59" t="s">
        <v>197</v>
      </c>
      <c r="B23" s="45" t="str">
        <f>IFERROR(VLOOKUP(Table1[[#This Row],[Seller SKU]],'[1]FG Snapshot (V2)'!$A:$B,2,0),"AR")</f>
        <v>Y</v>
      </c>
      <c r="C23" s="45">
        <f>IFERROR(VLOOKUP(Table1[[#This Row],[Seller SKU]],'[1]FG Snapshot (V2)'!$A:$E,5,0),"AR")</f>
        <v>23</v>
      </c>
      <c r="D23" s="40" t="s">
        <v>198</v>
      </c>
      <c r="E23" s="64" t="str">
        <f>VLOOKUP(Table1[[#This Row],[MTP SKU]],'MTP SKUs - Master Data'!A:D,3,0)</f>
        <v>Blesky Mini TV Unit</v>
      </c>
      <c r="F23" s="64" t="s">
        <v>19</v>
      </c>
      <c r="G23" s="64" t="str">
        <f>_xlfn.CONCAT(Table1[[#This Row],[MTP Name]]," ",Table1[[#This Row],[ Child Color]])</f>
        <v>Blesky Mini TV Unit Brown Maple</v>
      </c>
      <c r="H23" s="33" t="str">
        <f>VLOOKUP(Table1[[#This Row],[MTP SKU]],'MTP SKUs - Master Data'!A:D,3,0)</f>
        <v>Blesky Mini TV Unit</v>
      </c>
      <c r="I23" s="40"/>
      <c r="J23" s="36" t="e">
        <v>#N/A</v>
      </c>
      <c r="K23" s="37" t="s">
        <v>199</v>
      </c>
      <c r="L23" s="38" t="s">
        <v>200</v>
      </c>
      <c r="M23" s="38" t="s">
        <v>201</v>
      </c>
      <c r="N23" s="38" t="s">
        <v>202</v>
      </c>
      <c r="O23" s="39" t="s">
        <v>203</v>
      </c>
      <c r="P23" s="39" t="s">
        <v>204</v>
      </c>
      <c r="Q23" s="39">
        <v>34399093</v>
      </c>
    </row>
    <row r="24" spans="1:17">
      <c r="A24" s="59" t="s">
        <v>205</v>
      </c>
      <c r="B24" s="45" t="str">
        <f>IFERROR(VLOOKUP(Table1[[#This Row],[Seller SKU]],'[1]FG Snapshot (V2)'!$A:$B,2,0),"AR")</f>
        <v>Y</v>
      </c>
      <c r="C24" s="45">
        <f>IFERROR(VLOOKUP(Table1[[#This Row],[Seller SKU]],'[1]FG Snapshot (V2)'!$A:$E,5,0),"AR")</f>
        <v>50</v>
      </c>
      <c r="D24" s="88" t="s">
        <v>206</v>
      </c>
      <c r="E24" s="64" t="str">
        <f>VLOOKUP(Table1[[#This Row],[MTP SKU]],'MTP SKUs - Master Data'!A:D,3,0)</f>
        <v>Brooklyn Shoe Rack</v>
      </c>
      <c r="F24" s="64" t="s">
        <v>19</v>
      </c>
      <c r="G24" s="64" t="str">
        <f>_xlfn.CONCAT(Table1[[#This Row],[MTP Name]]," ",Table1[[#This Row],[ Child Color]])</f>
        <v>Brooklyn Shoe Rack Brown Maple</v>
      </c>
      <c r="H24" s="33" t="str">
        <f>VLOOKUP(Table1[[#This Row],[MTP SKU]],'MTP SKUs - Master Data'!A:D,3,0)</f>
        <v>Brooklyn Shoe Rack</v>
      </c>
      <c r="I24" s="40"/>
      <c r="J24" s="36" t="s">
        <v>207</v>
      </c>
      <c r="K24" s="37" t="s">
        <v>208</v>
      </c>
      <c r="L24" s="38" t="s">
        <v>209</v>
      </c>
      <c r="M24" s="38" t="s">
        <v>210</v>
      </c>
      <c r="N24" s="38" t="s">
        <v>211</v>
      </c>
      <c r="O24" s="39" t="s">
        <v>212</v>
      </c>
      <c r="P24" s="39" t="s">
        <v>213</v>
      </c>
      <c r="Q24" s="39">
        <v>34399032</v>
      </c>
    </row>
    <row r="25" spans="1:17">
      <c r="A25" s="59" t="s">
        <v>214</v>
      </c>
      <c r="B25" s="45" t="str">
        <f>IFERROR(VLOOKUP(Table1[[#This Row],[Seller SKU]],'[1]FG Snapshot (V2)'!$A:$B,2,0),"AR")</f>
        <v>y</v>
      </c>
      <c r="C25" s="45">
        <f>IFERROR(VLOOKUP(Table1[[#This Row],[Seller SKU]],'[1]FG Snapshot (V2)'!$A:$E,5,0),"AR")</f>
        <v>17</v>
      </c>
      <c r="D25" s="88" t="s">
        <v>215</v>
      </c>
      <c r="E25" s="64" t="str">
        <f>VLOOKUP(Table1[[#This Row],[MTP SKU]],'MTP SKUs - Master Data'!A:D,3,0)</f>
        <v>Petree Wall Shelve</v>
      </c>
      <c r="F25" s="64" t="s">
        <v>19</v>
      </c>
      <c r="G25" s="64" t="str">
        <f>_xlfn.CONCAT(Table1[[#This Row],[MTP Name]]," ",Table1[[#This Row],[ Child Color]])</f>
        <v>Petree Wall Shelve Brown Maple</v>
      </c>
      <c r="H25" s="33" t="str">
        <f>VLOOKUP(Table1[[#This Row],[MTP SKU]],'MTP SKUs - Master Data'!A:D,3,0)</f>
        <v>Petree Wall Shelve</v>
      </c>
      <c r="I25" s="40"/>
      <c r="J25" s="36" t="s">
        <v>216</v>
      </c>
      <c r="K25" s="37" t="s">
        <v>217</v>
      </c>
      <c r="L25" s="38" t="s">
        <v>218</v>
      </c>
      <c r="M25" s="38" t="s">
        <v>219</v>
      </c>
      <c r="N25" s="38" t="s">
        <v>220</v>
      </c>
      <c r="O25" s="39" t="s">
        <v>221</v>
      </c>
      <c r="P25" s="39" t="s">
        <v>62</v>
      </c>
      <c r="Q25" s="39">
        <v>29525078</v>
      </c>
    </row>
    <row r="26" spans="1:17">
      <c r="A26" s="59" t="s">
        <v>222</v>
      </c>
      <c r="B26" s="45" t="str">
        <f>IFERROR(VLOOKUP(Table1[[#This Row],[Seller SKU]],'[1]FG Snapshot (V2)'!$A:$B,2,0),"AR")</f>
        <v>Y</v>
      </c>
      <c r="C26" s="45">
        <f>IFERROR(VLOOKUP(Table1[[#This Row],[Seller SKU]],'[1]FG Snapshot (V2)'!$A:$E,5,0),"AR")</f>
        <v>36</v>
      </c>
      <c r="D26" s="88" t="s">
        <v>223</v>
      </c>
      <c r="E26" s="64" t="str">
        <f>VLOOKUP(Table1[[#This Row],[MTP SKU]],'MTP SKUs - Master Data'!A:D,3,0)</f>
        <v>Cylvie  Shoe Rack</v>
      </c>
      <c r="F26" s="64" t="s">
        <v>28</v>
      </c>
      <c r="G26" s="64" t="str">
        <f>_xlfn.CONCAT(Table1[[#This Row],[MTP Name]]," ",Table1[[#This Row],[ Child Color]])</f>
        <v>Cylvie  Shoe Rack Brown Maple &amp; White</v>
      </c>
      <c r="H26" s="33" t="str">
        <f>VLOOKUP(Table1[[#This Row],[MTP SKU]],'MTP SKUs - Master Data'!A:D,3,0)</f>
        <v>Cylvie  Shoe Rack</v>
      </c>
      <c r="I26" s="40"/>
      <c r="J26" s="36" t="s">
        <v>224</v>
      </c>
      <c r="K26" s="37" t="s">
        <v>225</v>
      </c>
      <c r="L26" s="38" t="s">
        <v>226</v>
      </c>
      <c r="M26" s="38" t="s">
        <v>227</v>
      </c>
      <c r="N26" s="38" t="s">
        <v>228</v>
      </c>
      <c r="O26" s="39" t="s">
        <v>229</v>
      </c>
      <c r="P26" s="39" t="s">
        <v>230</v>
      </c>
      <c r="Q26" s="39">
        <v>34399203</v>
      </c>
    </row>
    <row r="27" spans="1:17">
      <c r="A27" s="59" t="s">
        <v>231</v>
      </c>
      <c r="B27" s="45" t="str">
        <f>IFERROR(VLOOKUP(Table1[[#This Row],[Seller SKU]],'[1]FG Snapshot (V2)'!$A:$B,2,0),"AR")</f>
        <v>Y</v>
      </c>
      <c r="C27" s="45">
        <f>IFERROR(VLOOKUP(Table1[[#This Row],[Seller SKU]],'[1]FG Snapshot (V2)'!$A:$E,5,0),"AR")</f>
        <v>37</v>
      </c>
      <c r="D27" s="88" t="s">
        <v>232</v>
      </c>
      <c r="E27" s="64" t="str">
        <f>VLOOKUP(Table1[[#This Row],[MTP SKU]],'MTP SKUs - Master Data'!A:D,3,0)</f>
        <v>Averyl TV Unit</v>
      </c>
      <c r="F27" s="64" t="s">
        <v>19</v>
      </c>
      <c r="G27" s="64" t="str">
        <f>_xlfn.CONCAT(Table1[[#This Row],[MTP Name]]," ",Table1[[#This Row],[ Child Color]])</f>
        <v>Averyl TV Unit Brown Maple</v>
      </c>
      <c r="H27" s="33" t="str">
        <f>VLOOKUP(Table1[[#This Row],[MTP SKU]],'MTP SKUs - Master Data'!A:D,3,0)</f>
        <v>Averyl TV Unit</v>
      </c>
      <c r="I27" s="40"/>
      <c r="J27" s="36" t="s">
        <v>233</v>
      </c>
      <c r="K27" s="37" t="s">
        <v>234</v>
      </c>
      <c r="L27" s="38" t="s">
        <v>235</v>
      </c>
      <c r="M27" s="38" t="s">
        <v>236</v>
      </c>
      <c r="N27" s="38" t="s">
        <v>237</v>
      </c>
      <c r="O27" s="39" t="s">
        <v>238</v>
      </c>
      <c r="P27" s="39" t="s">
        <v>239</v>
      </c>
      <c r="Q27" s="39">
        <v>34398996</v>
      </c>
    </row>
    <row r="28" spans="1:17">
      <c r="A28" s="59" t="s">
        <v>240</v>
      </c>
      <c r="B28" s="45" t="str">
        <f>IFERROR(VLOOKUP(Table1[[#This Row],[Seller SKU]],'[1]FG Snapshot (V2)'!$A:$B,2,0),"AR")</f>
        <v>YD</v>
      </c>
      <c r="C28" s="45">
        <f>IFERROR(VLOOKUP(Table1[[#This Row],[Seller SKU]],'[1]FG Snapshot (V2)'!$A:$E,5,0),"AR")</f>
        <v>49</v>
      </c>
      <c r="D28" s="88" t="s">
        <v>172</v>
      </c>
      <c r="E28" s="64" t="str">
        <f>VLOOKUP(Table1[[#This Row],[MTP SKU]],'MTP SKUs - Master Data'!A:D,3,0)</f>
        <v>Kaspen Shoe Rack</v>
      </c>
      <c r="F28" s="64" t="s">
        <v>130</v>
      </c>
      <c r="G28" s="64" t="str">
        <f>_xlfn.CONCAT(Table1[[#This Row],[MTP Name]]," ",Table1[[#This Row],[ Child Color]])</f>
        <v>Kaspen Shoe Rack Walnut &amp; White</v>
      </c>
      <c r="H28" s="33" t="str">
        <f>VLOOKUP(Table1[[#This Row],[MTP SKU]],'MTP SKUs - Master Data'!A:D,3,0)</f>
        <v>Kaspen Shoe Rack</v>
      </c>
      <c r="I28" s="40"/>
      <c r="J28" s="36" t="s">
        <v>241</v>
      </c>
      <c r="K28" s="37" t="s">
        <v>242</v>
      </c>
      <c r="L28" s="38" t="s">
        <v>243</v>
      </c>
      <c r="M28" s="38" t="s">
        <v>244</v>
      </c>
      <c r="N28" s="38" t="s">
        <v>245</v>
      </c>
      <c r="O28" s="39" t="s">
        <v>246</v>
      </c>
      <c r="P28" s="39" t="s">
        <v>247</v>
      </c>
      <c r="Q28" s="39">
        <v>34399025</v>
      </c>
    </row>
    <row r="29" spans="1:17">
      <c r="A29" s="60" t="s">
        <v>248</v>
      </c>
      <c r="B29" s="45" t="str">
        <f>IFERROR(VLOOKUP(Table1[[#This Row],[Seller SKU]],'[1]FG Snapshot (V2)'!$A:$B,2,0),"AR")</f>
        <v>Y</v>
      </c>
      <c r="C29" s="45">
        <f>IFERROR(VLOOKUP(Table1[[#This Row],[Seller SKU]],'[1]FG Snapshot (V2)'!$A:$E,5,0),"AR")</f>
        <v>9</v>
      </c>
      <c r="D29" s="40" t="s">
        <v>249</v>
      </c>
      <c r="E29" s="64" t="str">
        <f>VLOOKUP(Table1[[#This Row],[MTP SKU]],'MTP SKUs - Master Data'!A:D,3,0)</f>
        <v>Brooklyn Highline Shoe Rack</v>
      </c>
      <c r="F29" s="64" t="s">
        <v>19</v>
      </c>
      <c r="G29" s="64" t="str">
        <f>_xlfn.CONCAT(Table1[[#This Row],[MTP Name]]," ",Table1[[#This Row],[ Child Color]])</f>
        <v>Brooklyn Highline Shoe Rack Brown Maple</v>
      </c>
      <c r="H29" s="33" t="str">
        <f>VLOOKUP(Table1[[#This Row],[MTP SKU]],'MTP SKUs - Master Data'!A:D,3,0)</f>
        <v>Brooklyn Highline Shoe Rack</v>
      </c>
      <c r="I29" s="40"/>
      <c r="J29" s="36"/>
      <c r="K29" s="37" t="s">
        <v>250</v>
      </c>
      <c r="L29" s="38" t="s">
        <v>251</v>
      </c>
      <c r="M29" s="38" t="s">
        <v>252</v>
      </c>
      <c r="N29" s="38" t="s">
        <v>253</v>
      </c>
      <c r="O29" s="39" t="s">
        <v>254</v>
      </c>
      <c r="P29" s="39" t="s">
        <v>255</v>
      </c>
      <c r="Q29" s="39">
        <v>35524073</v>
      </c>
    </row>
    <row r="30" spans="1:17">
      <c r="A30" s="60" t="s">
        <v>256</v>
      </c>
      <c r="B30" s="45" t="str">
        <f>IFERROR(VLOOKUP(Table1[[#This Row],[Seller SKU]],'[1]FG Snapshot (V2)'!$A:$B,2,0),"AR")</f>
        <v>NL</v>
      </c>
      <c r="C30" s="45">
        <f>IFERROR(VLOOKUP(Table1[[#This Row],[Seller SKU]],'[1]FG Snapshot (V2)'!$A:$E,5,0),"AR")</f>
        <v>73</v>
      </c>
      <c r="D30" s="40" t="s">
        <v>45</v>
      </c>
      <c r="E30" s="64" t="str">
        <f>VLOOKUP(Table1[[#This Row],[MTP SKU]],'MTP SKUs - Master Data'!A:D,3,0)</f>
        <v>Skiddo TV Unit</v>
      </c>
      <c r="F30" s="64" t="s">
        <v>257</v>
      </c>
      <c r="G30" s="67" t="str">
        <f>_xlfn.CONCAT(Table1[[#This Row],[MTP Name]]," ",Table1[[#This Row],[ Child Color]])</f>
        <v>Skiddo TV Unit European Oak &amp; White</v>
      </c>
      <c r="H30" s="40" t="str">
        <f>VLOOKUP(Table1[[#This Row],[MTP SKU]],'MTP SKUs - Master Data'!A:D,3,0)</f>
        <v>Skiddo TV Unit</v>
      </c>
      <c r="I30" s="40"/>
      <c r="J30" s="36"/>
      <c r="K30" s="37" t="s">
        <v>258</v>
      </c>
      <c r="L30" s="38" t="s">
        <v>259</v>
      </c>
      <c r="M30" s="38"/>
      <c r="N30" s="38" t="e">
        <v>#N/A</v>
      </c>
      <c r="O30" s="39"/>
      <c r="P30" s="39" t="s">
        <v>62</v>
      </c>
      <c r="Q30" s="39"/>
    </row>
    <row r="31" spans="1:17">
      <c r="A31" s="59" t="s">
        <v>260</v>
      </c>
      <c r="B31" s="45" t="str">
        <f>IFERROR(VLOOKUP(Table1[[#This Row],[Seller SKU]],'[1]FG Snapshot (V2)'!$A:$B,2,0),"AR")</f>
        <v>YD</v>
      </c>
      <c r="C31" s="45">
        <f>IFERROR(VLOOKUP(Table1[[#This Row],[Seller SKU]],'[1]FG Snapshot (V2)'!$A:$E,5,0),"AR")</f>
        <v>29</v>
      </c>
      <c r="D31" s="88" t="s">
        <v>181</v>
      </c>
      <c r="E31" s="64" t="str">
        <f>VLOOKUP(Table1[[#This Row],[MTP SKU]],'MTP SKUs - Master Data'!A:D,3,0)</f>
        <v>Fenily TV Unit</v>
      </c>
      <c r="F31" s="64" t="s">
        <v>130</v>
      </c>
      <c r="G31" s="64" t="str">
        <f>_xlfn.CONCAT(Table1[[#This Row],[MTP Name]]," ",Table1[[#This Row],[ Child Color]])</f>
        <v>Fenily TV Unit Walnut &amp; White</v>
      </c>
      <c r="H31" s="33" t="str">
        <f>VLOOKUP(Table1[[#This Row],[MTP SKU]],'MTP SKUs - Master Data'!A:D,3,0)</f>
        <v>Fenily TV Unit</v>
      </c>
      <c r="I31" s="40"/>
      <c r="J31" s="36" t="e">
        <v>#N/A</v>
      </c>
      <c r="K31" s="37" t="s">
        <v>261</v>
      </c>
      <c r="L31" s="38" t="s">
        <v>262</v>
      </c>
      <c r="M31" s="38" t="s">
        <v>263</v>
      </c>
      <c r="N31" s="38" t="s">
        <v>264</v>
      </c>
      <c r="O31" s="39" t="s">
        <v>265</v>
      </c>
      <c r="P31" s="39" t="s">
        <v>266</v>
      </c>
      <c r="Q31" s="39">
        <v>34398994</v>
      </c>
    </row>
    <row r="32" spans="1:17">
      <c r="A32" s="60" t="s">
        <v>267</v>
      </c>
      <c r="B32" s="45" t="str">
        <f>IFERROR(VLOOKUP(Table1[[#This Row],[Seller SKU]],'[1]FG Snapshot (V2)'!$A:$B,2,0),"AR")</f>
        <v>Y</v>
      </c>
      <c r="C32" s="45">
        <f>IFERROR(VLOOKUP(Table1[[#This Row],[Seller SKU]],'[1]FG Snapshot (V2)'!$A:$E,5,0),"AR")</f>
        <v>45</v>
      </c>
      <c r="D32" s="89" t="s">
        <v>268</v>
      </c>
      <c r="E32" s="64" t="str">
        <f>VLOOKUP(Table1[[#This Row],[MTP SKU]],'MTP SKUs - Master Data'!A:D,3,0)</f>
        <v>Skiddo Lite TV Unit</v>
      </c>
      <c r="F32" s="64" t="s">
        <v>28</v>
      </c>
      <c r="G32" s="67" t="str">
        <f>_xlfn.CONCAT(Table1[[#This Row],[MTP Name]]," ",Table1[[#This Row],[ Child Color]])</f>
        <v>Skiddo Lite TV Unit Brown Maple &amp; White</v>
      </c>
      <c r="H32" s="33" t="str">
        <f>VLOOKUP(Table1[[#This Row],[MTP SKU]],'MTP SKUs - Master Data'!A:D,3,0)</f>
        <v>Skiddo Lite TV Unit</v>
      </c>
      <c r="I32" s="40"/>
      <c r="J32" s="36"/>
      <c r="K32" s="37" t="s">
        <v>269</v>
      </c>
      <c r="L32" s="38" t="s">
        <v>270</v>
      </c>
      <c r="M32" s="38" t="s">
        <v>271</v>
      </c>
      <c r="N32" s="38" t="s">
        <v>272</v>
      </c>
      <c r="O32" s="39" t="s">
        <v>273</v>
      </c>
      <c r="P32" s="39" t="s">
        <v>274</v>
      </c>
      <c r="Q32" s="39">
        <v>35524076</v>
      </c>
    </row>
    <row r="33" spans="1:17">
      <c r="A33" s="59" t="s">
        <v>275</v>
      </c>
      <c r="B33" s="45" t="str">
        <f>IFERROR(VLOOKUP(Table1[[#This Row],[Seller SKU]],'[1]FG Snapshot (V2)'!$A:$B,2,0),"AR")</f>
        <v>y</v>
      </c>
      <c r="C33" s="45">
        <f>IFERROR(VLOOKUP(Table1[[#This Row],[Seller SKU]],'[1]FG Snapshot (V2)'!$A:$E,5,0),"AR")</f>
        <v>30</v>
      </c>
      <c r="D33" s="88" t="s">
        <v>276</v>
      </c>
      <c r="E33" s="64" t="str">
        <f>VLOOKUP(Table1[[#This Row],[MTP SKU]],'MTP SKUs - Master Data'!A:D,3,0)</f>
        <v>Harmond TV Unit</v>
      </c>
      <c r="F33" s="64" t="s">
        <v>28</v>
      </c>
      <c r="G33" s="64" t="str">
        <f>_xlfn.CONCAT(Table1[[#This Row],[MTP Name]]," ",Table1[[#This Row],[ Child Color]])</f>
        <v>Harmond TV Unit Brown Maple &amp; White</v>
      </c>
      <c r="H33" s="33" t="str">
        <f>VLOOKUP(Table1[[#This Row],[MTP SKU]],'MTP SKUs - Master Data'!A:D,3,0)</f>
        <v>Harmond TV Unit</v>
      </c>
      <c r="I33" s="40"/>
      <c r="J33" s="36" t="s">
        <v>277</v>
      </c>
      <c r="K33" s="37" t="s">
        <v>278</v>
      </c>
      <c r="L33" s="38" t="s">
        <v>279</v>
      </c>
      <c r="M33" s="38" t="s">
        <v>280</v>
      </c>
      <c r="N33" s="38" t="s">
        <v>281</v>
      </c>
      <c r="O33" s="39" t="s">
        <v>282</v>
      </c>
      <c r="P33" s="39" t="s">
        <v>283</v>
      </c>
      <c r="Q33" s="39">
        <v>34399103</v>
      </c>
    </row>
    <row r="34" spans="1:17">
      <c r="A34" s="59" t="s">
        <v>284</v>
      </c>
      <c r="B34" s="45" t="str">
        <f>IFERROR(VLOOKUP(Table1[[#This Row],[Seller SKU]],'[1]FG Snapshot (V2)'!$A:$B,2,0),"AR")</f>
        <v>y</v>
      </c>
      <c r="C34" s="45">
        <f>IFERROR(VLOOKUP(Table1[[#This Row],[Seller SKU]],'[1]FG Snapshot (V2)'!$A:$E,5,0),"AR")</f>
        <v>48</v>
      </c>
      <c r="D34" s="88" t="s">
        <v>285</v>
      </c>
      <c r="E34" s="64" t="str">
        <f>VLOOKUP(Table1[[#This Row],[MTP SKU]],'MTP SKUs - Master Data'!A:D,3,0)</f>
        <v>Mayrone Standard Chest of Drawer</v>
      </c>
      <c r="F34" s="64" t="s">
        <v>28</v>
      </c>
      <c r="G34" s="64" t="str">
        <f>_xlfn.CONCAT(Table1[[#This Row],[MTP Name]]," ",Table1[[#This Row],[ Child Color]])</f>
        <v>Mayrone Standard Chest of Drawer Brown Maple &amp; White</v>
      </c>
      <c r="H34" s="33" t="str">
        <f>VLOOKUP(Table1[[#This Row],[MTP SKU]],'MTP SKUs - Master Data'!A:D,3,0)</f>
        <v>Mayrone Standard Chest of Drawer</v>
      </c>
      <c r="I34" s="40"/>
      <c r="J34" s="36" t="e">
        <v>#N/A</v>
      </c>
      <c r="K34" s="37" t="s">
        <v>286</v>
      </c>
      <c r="L34" s="38" t="s">
        <v>287</v>
      </c>
      <c r="M34" s="38" t="s">
        <v>288</v>
      </c>
      <c r="N34" s="38" t="s">
        <v>289</v>
      </c>
      <c r="O34" s="39" t="s">
        <v>290</v>
      </c>
      <c r="P34" s="39" t="s">
        <v>291</v>
      </c>
      <c r="Q34" s="39">
        <v>35522194</v>
      </c>
    </row>
    <row r="35" spans="1:17">
      <c r="A35" s="60" t="s">
        <v>292</v>
      </c>
      <c r="B35" s="45" t="str">
        <f>IFERROR(VLOOKUP(Table1[[#This Row],[Seller SKU]],'[1]FG Snapshot (V2)'!$A:$B,2,0),"AR")</f>
        <v>Y</v>
      </c>
      <c r="C35" s="45">
        <f>IFERROR(VLOOKUP(Table1[[#This Row],[Seller SKU]],'[1]FG Snapshot (V2)'!$A:$E,5,0),"AR")</f>
        <v>18</v>
      </c>
      <c r="D35" s="89" t="s">
        <v>293</v>
      </c>
      <c r="E35" s="64" t="str">
        <f>VLOOKUP(Table1[[#This Row],[MTP SKU]],'MTP SKUs - Master Data'!A:D,3,0)</f>
        <v xml:space="preserve">Maltein Diwan 30" with Storage Bed </v>
      </c>
      <c r="F35" s="64" t="s">
        <v>19</v>
      </c>
      <c r="G35" s="67" t="str">
        <f>_xlfn.CONCAT(Table1[[#This Row],[MTP Name]]," ",Table1[[#This Row],[ Child Color]])</f>
        <v>Maltein Diwan 30" with Storage Bed  Brown Maple</v>
      </c>
      <c r="H35" s="40" t="str">
        <f>VLOOKUP(Table1[[#This Row],[MTP SKU]],'MTP SKUs - Master Data'!A:D,3,0)</f>
        <v xml:space="preserve">Maltein Diwan 30" with Storage Bed </v>
      </c>
      <c r="I35" s="40"/>
      <c r="J35" s="36"/>
      <c r="K35" s="37" t="s">
        <v>294</v>
      </c>
      <c r="L35" s="38" t="s">
        <v>295</v>
      </c>
      <c r="M35" s="38" t="s">
        <v>296</v>
      </c>
      <c r="N35" s="38" t="s">
        <v>297</v>
      </c>
      <c r="O35" s="39" t="s">
        <v>298</v>
      </c>
      <c r="P35" s="39" t="s">
        <v>299</v>
      </c>
      <c r="Q35" s="39" t="e">
        <v>#N/A</v>
      </c>
    </row>
    <row r="36" spans="1:17">
      <c r="A36" s="60" t="s">
        <v>300</v>
      </c>
      <c r="B36" s="45" t="str">
        <f>IFERROR(VLOOKUP(Table1[[#This Row],[Seller SKU]],'[1]FG Snapshot (V2)'!$A:$B,2,0),"AR")</f>
        <v>Y</v>
      </c>
      <c r="C36" s="45">
        <f>IFERROR(VLOOKUP(Table1[[#This Row],[Seller SKU]],'[1]FG Snapshot (V2)'!$A:$E,5,0),"AR")</f>
        <v>60</v>
      </c>
      <c r="D36" s="40" t="s">
        <v>301</v>
      </c>
      <c r="E36" s="64" t="str">
        <f>VLOOKUP(Table1[[#This Row],[MTP SKU]],'MTP SKUs - Master Data'!A:D,3,0)</f>
        <v>Mavis Tall Shoe Rack</v>
      </c>
      <c r="F36" s="64" t="s">
        <v>19</v>
      </c>
      <c r="G36" s="64" t="str">
        <f>_xlfn.CONCAT(Table1[[#This Row],[MTP Name]]," ",Table1[[#This Row],[ Child Color]])</f>
        <v>Mavis Tall Shoe Rack Brown Maple</v>
      </c>
      <c r="H36" s="33" t="str">
        <f>VLOOKUP(Table1[[#This Row],[MTP SKU]],'MTP SKUs - Master Data'!A:D,3,0)</f>
        <v>Mavis Tall Shoe Rack</v>
      </c>
      <c r="I36" s="40"/>
      <c r="J36" s="36"/>
      <c r="K36" s="37" t="s">
        <v>302</v>
      </c>
      <c r="L36" s="38" t="s">
        <v>303</v>
      </c>
      <c r="M36" s="38" t="s">
        <v>304</v>
      </c>
      <c r="N36" s="38" t="s">
        <v>305</v>
      </c>
      <c r="O36" s="39" t="s">
        <v>306</v>
      </c>
      <c r="P36" s="39" t="s">
        <v>307</v>
      </c>
      <c r="Q36" s="39">
        <v>35524078</v>
      </c>
    </row>
    <row r="37" spans="1:17">
      <c r="A37" s="59" t="s">
        <v>308</v>
      </c>
      <c r="B37" s="45" t="str">
        <f>IFERROR(VLOOKUP(Table1[[#This Row],[Seller SKU]],'[1]FG Snapshot (V2)'!$A:$B,2,0),"AR")</f>
        <v>y</v>
      </c>
      <c r="C37" s="45">
        <f>IFERROR(VLOOKUP(Table1[[#This Row],[Seller SKU]],'[1]FG Snapshot (V2)'!$A:$E,5,0),"AR")</f>
        <v>28</v>
      </c>
      <c r="D37" s="88" t="s">
        <v>309</v>
      </c>
      <c r="E37" s="64" t="str">
        <f>VLOOKUP(Table1[[#This Row],[MTP SKU]],'MTP SKUs - Master Data'!A:D,3,0)</f>
        <v>Carlem 2 Door Shoe Rack</v>
      </c>
      <c r="F37" s="64" t="s">
        <v>19</v>
      </c>
      <c r="G37" s="64" t="str">
        <f>_xlfn.CONCAT(Table1[[#This Row],[MTP Name]]," ",Table1[[#This Row],[ Child Color]])</f>
        <v>Carlem 2 Door Shoe Rack Brown Maple</v>
      </c>
      <c r="H37" s="33" t="str">
        <f>VLOOKUP(Table1[[#This Row],[MTP SKU]],'MTP SKUs - Master Data'!A:D,3,0)</f>
        <v>Carlem 2 Door Shoe Rack</v>
      </c>
      <c r="I37" s="40"/>
      <c r="J37" s="36" t="s">
        <v>310</v>
      </c>
      <c r="K37" s="37" t="s">
        <v>311</v>
      </c>
      <c r="L37" s="38" t="s">
        <v>312</v>
      </c>
      <c r="M37" s="38" t="s">
        <v>313</v>
      </c>
      <c r="N37" s="38" t="s">
        <v>314</v>
      </c>
      <c r="O37" s="39" t="s">
        <v>315</v>
      </c>
      <c r="P37" s="39" t="s">
        <v>316</v>
      </c>
      <c r="Q37" s="39">
        <v>34399190</v>
      </c>
    </row>
    <row r="38" spans="1:17">
      <c r="A38" s="60" t="s">
        <v>317</v>
      </c>
      <c r="B38" s="45" t="str">
        <f>IFERROR(VLOOKUP(Table1[[#This Row],[Seller SKU]],'[1]FG Snapshot (V2)'!$A:$B,2,0),"AR")</f>
        <v>NL</v>
      </c>
      <c r="C38" s="45">
        <f>IFERROR(VLOOKUP(Table1[[#This Row],[Seller SKU]],'[1]FG Snapshot (V2)'!$A:$E,5,0),"AR")</f>
        <v>26</v>
      </c>
      <c r="D38" s="40" t="s">
        <v>318</v>
      </c>
      <c r="E38" s="64" t="str">
        <f>VLOOKUP(Table1[[#This Row],[MTP SKU]],'MTP SKUs - Master Data'!A:D,3,0)</f>
        <v>Shubh Pooja Unit Temple</v>
      </c>
      <c r="F38" s="64" t="s">
        <v>319</v>
      </c>
      <c r="G38" s="67" t="str">
        <f>_xlfn.CONCAT(Table1[[#This Row],[MTP Name]]," ",Table1[[#This Row],[ Child Color]])</f>
        <v>Shubh Pooja Unit Temple European Oak</v>
      </c>
      <c r="H38" s="40" t="str">
        <f>VLOOKUP(Table1[[#This Row],[MTP SKU]],'MTP SKUs - Master Data'!A:D,3,0)</f>
        <v>Shubh Pooja Unit Temple</v>
      </c>
      <c r="I38" s="40"/>
      <c r="J38" s="36"/>
      <c r="K38" s="37" t="s">
        <v>320</v>
      </c>
      <c r="L38" s="38" t="s">
        <v>321</v>
      </c>
      <c r="M38" s="38"/>
      <c r="N38" s="38" t="e">
        <v>#N/A</v>
      </c>
      <c r="O38" s="39" t="s">
        <v>322</v>
      </c>
      <c r="P38" s="39" t="s">
        <v>62</v>
      </c>
      <c r="Q38" s="39"/>
    </row>
    <row r="39" spans="1:17">
      <c r="A39" s="59" t="s">
        <v>323</v>
      </c>
      <c r="B39" s="45" t="str">
        <f>IFERROR(VLOOKUP(Table1[[#This Row],[Seller SKU]],'[1]FG Snapshot (V2)'!$A:$B,2,0),"AR")</f>
        <v>Y</v>
      </c>
      <c r="C39" s="45">
        <f>IFERROR(VLOOKUP(Table1[[#This Row],[Seller SKU]],'[1]FG Snapshot (V2)'!$A:$E,5,0),"AR")</f>
        <v>31</v>
      </c>
      <c r="D39" s="88" t="s">
        <v>324</v>
      </c>
      <c r="E39" s="64" t="str">
        <f>VLOOKUP(Table1[[#This Row],[MTP SKU]],'MTP SKUs - Master Data'!A:D,3,0)</f>
        <v>Blesky Miltra Combo TV Unit</v>
      </c>
      <c r="F39" s="64" t="s">
        <v>19</v>
      </c>
      <c r="G39" s="64" t="str">
        <f>_xlfn.CONCAT(Table1[[#This Row],[MTP Name]]," ",Table1[[#This Row],[ Child Color]])</f>
        <v>Blesky Miltra Combo TV Unit Brown Maple</v>
      </c>
      <c r="H39" s="33" t="str">
        <f>VLOOKUP(Table1[[#This Row],[MTP SKU]],'MTP SKUs - Master Data'!A:D,3,0)</f>
        <v>Blesky Miltra Combo TV Unit</v>
      </c>
      <c r="I39" s="40"/>
      <c r="J39" s="36" t="e">
        <v>#N/A</v>
      </c>
      <c r="K39" s="37" t="s">
        <v>325</v>
      </c>
      <c r="L39" s="38" t="s">
        <v>326</v>
      </c>
      <c r="M39" s="38" t="s">
        <v>327</v>
      </c>
      <c r="N39" s="38" t="s">
        <v>328</v>
      </c>
      <c r="O39" s="39" t="s">
        <v>329</v>
      </c>
      <c r="P39" s="39" t="s">
        <v>62</v>
      </c>
      <c r="Q39" s="39">
        <v>34399085</v>
      </c>
    </row>
    <row r="40" spans="1:17">
      <c r="A40" s="59" t="s">
        <v>330</v>
      </c>
      <c r="B40" s="45" t="str">
        <f>IFERROR(VLOOKUP(Table1[[#This Row],[Seller SKU]],'[1]FG Snapshot (V2)'!$A:$B,2,0),"AR")</f>
        <v>Y</v>
      </c>
      <c r="C40" s="45">
        <f>IFERROR(VLOOKUP(Table1[[#This Row],[Seller SKU]],'[1]FG Snapshot (V2)'!$A:$E,5,0),"AR")</f>
        <v>62</v>
      </c>
      <c r="D40" s="40" t="s">
        <v>331</v>
      </c>
      <c r="E40" s="64" t="str">
        <f>VLOOKUP(Table1[[#This Row],[MTP SKU]],'MTP SKUs - Master Data'!A:D,3,0)</f>
        <v>Leo Coffee Table</v>
      </c>
      <c r="F40" s="64" t="s">
        <v>19</v>
      </c>
      <c r="G40" s="64" t="str">
        <f>_xlfn.CONCAT(Table1[[#This Row],[MTP Name]]," ",Table1[[#This Row],[ Child Color]])</f>
        <v>Leo Coffee Table Brown Maple</v>
      </c>
      <c r="H40" s="33" t="str">
        <f>VLOOKUP(Table1[[#This Row],[MTP SKU]],'MTP SKUs - Master Data'!A:D,3,0)</f>
        <v>Leo Coffee Table</v>
      </c>
      <c r="I40" s="40"/>
      <c r="J40" s="36" t="e">
        <v>#N/A</v>
      </c>
      <c r="K40" s="37" t="s">
        <v>332</v>
      </c>
      <c r="L40" s="38" t="s">
        <v>333</v>
      </c>
      <c r="M40" s="38" t="s">
        <v>334</v>
      </c>
      <c r="N40" s="38" t="s">
        <v>335</v>
      </c>
      <c r="O40" s="39" t="s">
        <v>336</v>
      </c>
      <c r="P40" s="39" t="s">
        <v>337</v>
      </c>
      <c r="Q40" s="39">
        <v>34399215</v>
      </c>
    </row>
    <row r="41" spans="1:17">
      <c r="A41" s="59" t="s">
        <v>338</v>
      </c>
      <c r="B41" s="45" t="str">
        <f>IFERROR(VLOOKUP(Table1[[#This Row],[Seller SKU]],'[1]FG Snapshot (V2)'!$A:$B,2,0),"AR")</f>
        <v>Y</v>
      </c>
      <c r="C41" s="45">
        <f>IFERROR(VLOOKUP(Table1[[#This Row],[Seller SKU]],'[1]FG Snapshot (V2)'!$A:$E,5,0),"AR")</f>
        <v>39</v>
      </c>
      <c r="D41" s="88" t="s">
        <v>339</v>
      </c>
      <c r="E41" s="64" t="str">
        <f>VLOOKUP(Table1[[#This Row],[MTP SKU]],'MTP SKUs - Master Data'!A:D,3,0)</f>
        <v>Rowlet Large TV Unit</v>
      </c>
      <c r="F41" s="64" t="s">
        <v>97</v>
      </c>
      <c r="G41" s="64" t="str">
        <f>_xlfn.CONCAT(Table1[[#This Row],[MTP Name]]," ",Table1[[#This Row],[ Child Color]])</f>
        <v>Rowlet Large TV Unit Brown Maple &amp; Beige</v>
      </c>
      <c r="H41" s="33" t="str">
        <f>VLOOKUP(Table1[[#This Row],[MTP SKU]],'MTP SKUs - Master Data'!A:D,3,0)</f>
        <v>Rowlet Large TV Unit</v>
      </c>
      <c r="I41" s="40"/>
      <c r="J41" s="36" t="e">
        <v>#N/A</v>
      </c>
      <c r="K41" s="37" t="s">
        <v>340</v>
      </c>
      <c r="L41" s="38" t="s">
        <v>341</v>
      </c>
      <c r="M41" s="38" t="s">
        <v>342</v>
      </c>
      <c r="N41" s="38" t="s">
        <v>343</v>
      </c>
      <c r="O41" s="39" t="s">
        <v>344</v>
      </c>
      <c r="P41" s="39" t="s">
        <v>345</v>
      </c>
      <c r="Q41" s="39">
        <v>34399018</v>
      </c>
    </row>
    <row r="42" spans="1:17">
      <c r="A42" s="59" t="s">
        <v>346</v>
      </c>
      <c r="B42" s="45" t="str">
        <f>IFERROR(VLOOKUP(Table1[[#This Row],[Seller SKU]],'[1]FG Snapshot (V2)'!$A:$B,2,0),"AR")</f>
        <v>Y</v>
      </c>
      <c r="C42" s="45">
        <f>IFERROR(VLOOKUP(Table1[[#This Row],[Seller SKU]],'[1]FG Snapshot (V2)'!$A:$E,5,0),"AR")</f>
        <v>46</v>
      </c>
      <c r="D42" s="88" t="s">
        <v>347</v>
      </c>
      <c r="E42" s="64" t="str">
        <f>VLOOKUP(Table1[[#This Row],[MTP SKU]],'MTP SKUs - Master Data'!A:D,3,0)</f>
        <v>Whartin Shoe Rack</v>
      </c>
      <c r="F42" s="64" t="s">
        <v>19</v>
      </c>
      <c r="G42" s="64" t="str">
        <f>_xlfn.CONCAT(Table1[[#This Row],[MTP Name]]," ",Table1[[#This Row],[ Child Color]])</f>
        <v>Whartin Shoe Rack Brown Maple</v>
      </c>
      <c r="H42" s="33" t="str">
        <f>VLOOKUP(Table1[[#This Row],[MTP SKU]],'MTP SKUs - Master Data'!A:D,3,0)</f>
        <v>Whartin Shoe Rack</v>
      </c>
      <c r="I42" s="40"/>
      <c r="J42" s="36" t="s">
        <v>348</v>
      </c>
      <c r="K42" s="37" t="s">
        <v>349</v>
      </c>
      <c r="L42" s="38" t="s">
        <v>350</v>
      </c>
      <c r="M42" s="38" t="s">
        <v>351</v>
      </c>
      <c r="N42" s="38" t="s">
        <v>352</v>
      </c>
      <c r="O42" s="39" t="s">
        <v>353</v>
      </c>
      <c r="P42" s="39" t="s">
        <v>354</v>
      </c>
      <c r="Q42" s="39">
        <v>34398990</v>
      </c>
    </row>
    <row r="43" spans="1:17">
      <c r="A43" s="59" t="s">
        <v>355</v>
      </c>
      <c r="B43" s="45" t="str">
        <f>IFERROR(VLOOKUP(Table1[[#This Row],[Seller SKU]],'[1]FG Snapshot (V2)'!$A:$B,2,0),"AR")</f>
        <v>Y</v>
      </c>
      <c r="C43" s="45">
        <f>IFERROR(VLOOKUP(Table1[[#This Row],[Seller SKU]],'[1]FG Snapshot (V2)'!$A:$E,5,0),"AR")</f>
        <v>43</v>
      </c>
      <c r="D43" s="88" t="s">
        <v>356</v>
      </c>
      <c r="E43" s="64" t="str">
        <f>VLOOKUP(Table1[[#This Row],[MTP SKU]],'MTP SKUs - Master Data'!A:D,3,0)</f>
        <v>Lagoon Bookshelf</v>
      </c>
      <c r="F43" s="64" t="s">
        <v>97</v>
      </c>
      <c r="G43" s="64" t="str">
        <f>_xlfn.CONCAT(Table1[[#This Row],[MTP Name]]," ",Table1[[#This Row],[ Child Color]])</f>
        <v>Lagoon Bookshelf Brown Maple &amp; Beige</v>
      </c>
      <c r="H43" s="33" t="str">
        <f>VLOOKUP(Table1[[#This Row],[MTP SKU]],'MTP SKUs - Master Data'!A:D,3,0)</f>
        <v>Lagoon Bookshelf</v>
      </c>
      <c r="I43" s="40"/>
      <c r="J43" s="36" t="s">
        <v>357</v>
      </c>
      <c r="K43" s="37" t="s">
        <v>358</v>
      </c>
      <c r="L43" s="38" t="s">
        <v>359</v>
      </c>
      <c r="M43" s="38" t="s">
        <v>360</v>
      </c>
      <c r="N43" s="38" t="s">
        <v>361</v>
      </c>
      <c r="O43" s="39" t="s">
        <v>362</v>
      </c>
      <c r="P43" s="39" t="s">
        <v>363</v>
      </c>
      <c r="Q43" s="39">
        <v>34380984</v>
      </c>
    </row>
    <row r="44" spans="1:17">
      <c r="A44" s="59" t="s">
        <v>364</v>
      </c>
      <c r="B44" s="45" t="str">
        <f>IFERROR(VLOOKUP(Table1[[#This Row],[Seller SKU]],'[1]FG Snapshot (V2)'!$A:$B,2,0),"AR")</f>
        <v>Y</v>
      </c>
      <c r="C44" s="45">
        <f>IFERROR(VLOOKUP(Table1[[#This Row],[Seller SKU]],'[1]FG Snapshot (V2)'!$A:$E,5,0),"AR")</f>
        <v>40</v>
      </c>
      <c r="D44" s="88" t="s">
        <v>365</v>
      </c>
      <c r="E44" s="64" t="str">
        <f>VLOOKUP(Table1[[#This Row],[MTP SKU]],'MTP SKUs - Master Data'!A:D,3,0)</f>
        <v xml:space="preserve">Roverb SIngle Bed </v>
      </c>
      <c r="F44" s="64" t="s">
        <v>19</v>
      </c>
      <c r="G44" s="64" t="str">
        <f>_xlfn.CONCAT(Table1[[#This Row],[MTP Name]]," ",Table1[[#This Row],[ Child Color]])</f>
        <v>Roverb SIngle Bed  Brown Maple</v>
      </c>
      <c r="H44" s="33" t="str">
        <f>VLOOKUP(Table1[[#This Row],[MTP SKU]],'MTP SKUs - Master Data'!A:D,3,0)</f>
        <v xml:space="preserve">Roverb SIngle Bed </v>
      </c>
      <c r="I44" s="40"/>
      <c r="J44" s="36" t="e">
        <v>#N/A</v>
      </c>
      <c r="K44" s="37" t="s">
        <v>366</v>
      </c>
      <c r="L44" s="38" t="s">
        <v>367</v>
      </c>
      <c r="M44" s="38" t="s">
        <v>368</v>
      </c>
      <c r="N44" s="38" t="s">
        <v>369</v>
      </c>
      <c r="O44" s="39" t="s">
        <v>370</v>
      </c>
      <c r="P44" s="39" t="s">
        <v>371</v>
      </c>
      <c r="Q44" s="39" t="e">
        <v>#N/A</v>
      </c>
    </row>
    <row r="45" spans="1:17">
      <c r="A45" s="60" t="s">
        <v>372</v>
      </c>
      <c r="B45" s="45" t="str">
        <f>IFERROR(VLOOKUP(Table1[[#This Row],[Seller SKU]],'[1]FG Snapshot (V2)'!$A:$B,2,0),"AR")</f>
        <v>Y</v>
      </c>
      <c r="C45" s="45">
        <f>IFERROR(VLOOKUP(Table1[[#This Row],[Seller SKU]],'[1]FG Snapshot (V2)'!$A:$E,5,0),"AR")</f>
        <v>32</v>
      </c>
      <c r="D45" s="40" t="s">
        <v>373</v>
      </c>
      <c r="E45" s="64" t="str">
        <f>VLOOKUP(Table1[[#This Row],[MTP SKU]],'MTP SKUs - Master Data'!A:D,3,0)</f>
        <v>Calcio 3-Tier Wardrobe</v>
      </c>
      <c r="F45" s="64" t="s">
        <v>19</v>
      </c>
      <c r="G45" s="64" t="str">
        <f>_xlfn.CONCAT(Table1[[#This Row],[MTP Name]]," ",Table1[[#This Row],[ Child Color]])</f>
        <v>Calcio 3-Tier Wardrobe Brown Maple</v>
      </c>
      <c r="H45" s="33" t="str">
        <f>VLOOKUP(Table1[[#This Row],[MTP SKU]],'MTP SKUs - Master Data'!A:D,3,0)</f>
        <v>Calcio 3-Tier Wardrobe</v>
      </c>
      <c r="I45" s="40"/>
      <c r="J45" s="36"/>
      <c r="K45" s="37" t="s">
        <v>374</v>
      </c>
      <c r="L45" s="38" t="s">
        <v>375</v>
      </c>
      <c r="M45" s="38" t="s">
        <v>376</v>
      </c>
      <c r="N45" s="38" t="s">
        <v>377</v>
      </c>
      <c r="O45" s="39" t="s">
        <v>378</v>
      </c>
      <c r="P45" s="39" t="s">
        <v>379</v>
      </c>
      <c r="Q45" s="39" t="e">
        <v>#N/A</v>
      </c>
    </row>
    <row r="46" spans="1:17">
      <c r="A46" s="59" t="s">
        <v>380</v>
      </c>
      <c r="B46" s="45" t="str">
        <f>IFERROR(VLOOKUP(Table1[[#This Row],[Seller SKU]],'[1]FG Snapshot (V2)'!$A:$B,2,0),"AR")</f>
        <v>y</v>
      </c>
      <c r="C46" s="45">
        <f>IFERROR(VLOOKUP(Table1[[#This Row],[Seller SKU]],'[1]FG Snapshot (V2)'!$A:$E,5,0),"AR")</f>
        <v>51</v>
      </c>
      <c r="D46" s="40" t="s">
        <v>381</v>
      </c>
      <c r="E46" s="64" t="str">
        <f>VLOOKUP(Table1[[#This Row],[MTP SKU]],'MTP SKUs - Master Data'!A:D,3,0)</f>
        <v>Mayrone Large Chest of Drawer</v>
      </c>
      <c r="F46" s="64" t="s">
        <v>28</v>
      </c>
      <c r="G46" s="64" t="str">
        <f>_xlfn.CONCAT(Table1[[#This Row],[MTP Name]]," ",Table1[[#This Row],[ Child Color]])</f>
        <v>Mayrone Large Chest of Drawer Brown Maple &amp; White</v>
      </c>
      <c r="H46" s="33" t="str">
        <f>VLOOKUP(Table1[[#This Row],[MTP SKU]],'MTP SKUs - Master Data'!A:D,3,0)</f>
        <v>Mayrone Large Chest of Drawer</v>
      </c>
      <c r="I46" s="40"/>
      <c r="J46" s="36" t="e">
        <v>#N/A</v>
      </c>
      <c r="K46" s="37" t="s">
        <v>382</v>
      </c>
      <c r="L46" s="38" t="s">
        <v>383</v>
      </c>
      <c r="M46" s="38" t="s">
        <v>384</v>
      </c>
      <c r="N46" s="38" t="s">
        <v>385</v>
      </c>
      <c r="O46" s="39" t="s">
        <v>386</v>
      </c>
      <c r="P46" s="39" t="s">
        <v>387</v>
      </c>
      <c r="Q46" s="39" t="e">
        <v>#N/A</v>
      </c>
    </row>
    <row r="47" spans="1:17">
      <c r="A47" s="59" t="s">
        <v>388</v>
      </c>
      <c r="B47" s="45" t="str">
        <f>IFERROR(VLOOKUP(Table1[[#This Row],[Seller SKU]],'[1]FG Snapshot (V2)'!$A:$B,2,0),"AR")</f>
        <v>y</v>
      </c>
      <c r="C47" s="45">
        <f>IFERROR(VLOOKUP(Table1[[#This Row],[Seller SKU]],'[1]FG Snapshot (V2)'!$A:$E,5,0),"AR")</f>
        <v>12</v>
      </c>
      <c r="D47" s="88" t="s">
        <v>389</v>
      </c>
      <c r="E47" s="64" t="str">
        <f>VLOOKUP(Table1[[#This Row],[MTP SKU]],'MTP SKUs - Master Data'!A:D,3,0)</f>
        <v>Darien TV Unit</v>
      </c>
      <c r="F47" s="64" t="s">
        <v>28</v>
      </c>
      <c r="G47" s="64" t="str">
        <f>_xlfn.CONCAT(Table1[[#This Row],[MTP Name]]," ",Table1[[#This Row],[ Child Color]])</f>
        <v>Darien TV Unit Brown Maple &amp; White</v>
      </c>
      <c r="H47" s="33" t="str">
        <f>VLOOKUP(Table1[[#This Row],[MTP SKU]],'MTP SKUs - Master Data'!A:D,3,0)</f>
        <v>Darien TV Unit</v>
      </c>
      <c r="I47" s="40"/>
      <c r="J47" s="36" t="s">
        <v>390</v>
      </c>
      <c r="K47" s="37" t="s">
        <v>391</v>
      </c>
      <c r="L47" s="38" t="s">
        <v>392</v>
      </c>
      <c r="M47" s="38" t="s">
        <v>393</v>
      </c>
      <c r="N47" s="38" t="s">
        <v>394</v>
      </c>
      <c r="O47" s="39" t="s">
        <v>395</v>
      </c>
      <c r="P47" s="39" t="s">
        <v>396</v>
      </c>
      <c r="Q47" s="39" t="e">
        <v>#N/A</v>
      </c>
    </row>
    <row r="48" spans="1:17">
      <c r="A48" s="59" t="s">
        <v>397</v>
      </c>
      <c r="B48" s="45" t="str">
        <f>IFERROR(VLOOKUP(Table1[[#This Row],[Seller SKU]],'[1]FG Snapshot (V2)'!$A:$B,2,0),"AR")</f>
        <v>y</v>
      </c>
      <c r="C48" s="45">
        <f>IFERROR(VLOOKUP(Table1[[#This Row],[Seller SKU]],'[1]FG Snapshot (V2)'!$A:$E,5,0),"AR")</f>
        <v>42</v>
      </c>
      <c r="D48" s="88" t="s">
        <v>181</v>
      </c>
      <c r="E48" s="64" t="str">
        <f>VLOOKUP(Table1[[#This Row],[MTP SKU]],'MTP SKUs - Master Data'!A:D,3,0)</f>
        <v>Fenily TV Unit</v>
      </c>
      <c r="F48" s="64" t="s">
        <v>97</v>
      </c>
      <c r="G48" s="64" t="str">
        <f>_xlfn.CONCAT(Table1[[#This Row],[MTP Name]]," ",Table1[[#This Row],[ Child Color]])</f>
        <v>Fenily TV Unit Brown Maple &amp; Beige</v>
      </c>
      <c r="H48" s="33" t="str">
        <f>VLOOKUP(Table1[[#This Row],[MTP SKU]],'MTP SKUs - Master Data'!A:D,3,0)</f>
        <v>Fenily TV Unit</v>
      </c>
      <c r="I48" s="40"/>
      <c r="J48" s="36" t="e">
        <v>#N/A</v>
      </c>
      <c r="K48" s="37" t="s">
        <v>398</v>
      </c>
      <c r="L48" s="38" t="s">
        <v>399</v>
      </c>
      <c r="M48" s="38" t="s">
        <v>400</v>
      </c>
      <c r="N48" s="38" t="s">
        <v>401</v>
      </c>
      <c r="O48" s="39" t="s">
        <v>402</v>
      </c>
      <c r="P48" s="39" t="s">
        <v>403</v>
      </c>
      <c r="Q48" s="39">
        <v>34399002</v>
      </c>
    </row>
    <row r="49" spans="1:17">
      <c r="A49" s="60" t="s">
        <v>404</v>
      </c>
      <c r="B49" s="45" t="str">
        <f>IFERROR(VLOOKUP(Table1[[#This Row],[Seller SKU]],'[1]FG Snapshot (V2)'!$A:$B,2,0),"AR")</f>
        <v>Y</v>
      </c>
      <c r="C49" s="45">
        <f>IFERROR(VLOOKUP(Table1[[#This Row],[Seller SKU]],'[1]FG Snapshot (V2)'!$A:$E,5,0),"AR")</f>
        <v>55</v>
      </c>
      <c r="D49" s="40" t="s">
        <v>405</v>
      </c>
      <c r="E49" s="64" t="str">
        <f>VLOOKUP(Table1[[#This Row],[MTP SKU]],'MTP SKUs - Master Data'!A:D,3,0)</f>
        <v>Serrenh  Kichen Cabinet</v>
      </c>
      <c r="F49" s="64" t="s">
        <v>19</v>
      </c>
      <c r="G49" s="64" t="str">
        <f>_xlfn.CONCAT(Table1[[#This Row],[MTP Name]]," ",Table1[[#This Row],[ Child Color]])</f>
        <v>Serrenh  Kichen Cabinet Brown Maple</v>
      </c>
      <c r="H49" s="33" t="str">
        <f>VLOOKUP(Table1[[#This Row],[MTP SKU]],'MTP SKUs - Master Data'!A:D,3,0)</f>
        <v>Serrenh  Kichen Cabinet</v>
      </c>
      <c r="I49" s="40"/>
      <c r="J49" s="36"/>
      <c r="K49" s="37" t="s">
        <v>406</v>
      </c>
      <c r="L49" s="38" t="s">
        <v>407</v>
      </c>
      <c r="M49" s="38" t="s">
        <v>408</v>
      </c>
      <c r="N49" s="38" t="s">
        <v>409</v>
      </c>
      <c r="O49" s="39" t="s">
        <v>410</v>
      </c>
      <c r="P49" s="39" t="s">
        <v>62</v>
      </c>
      <c r="Q49" s="39">
        <v>35522196</v>
      </c>
    </row>
    <row r="50" spans="1:17">
      <c r="A50" s="59" t="s">
        <v>411</v>
      </c>
      <c r="B50" s="45" t="str">
        <f>IFERROR(VLOOKUP(Table1[[#This Row],[Seller SKU]],'[1]FG Snapshot (V2)'!$A:$B,2,0),"AR")</f>
        <v>y</v>
      </c>
      <c r="C50" s="45">
        <f>IFERROR(VLOOKUP(Table1[[#This Row],[Seller SKU]],'[1]FG Snapshot (V2)'!$A:$E,5,0),"AR")</f>
        <v>58</v>
      </c>
      <c r="D50" s="88" t="s">
        <v>412</v>
      </c>
      <c r="E50" s="64" t="str">
        <f>VLOOKUP(Table1[[#This Row],[MTP SKU]],'MTP SKUs - Master Data'!A:D,3,0)</f>
        <v>Corbyn Study Table</v>
      </c>
      <c r="F50" s="64" t="s">
        <v>28</v>
      </c>
      <c r="G50" s="64" t="str">
        <f>_xlfn.CONCAT(Table1[[#This Row],[MTP Name]]," ",Table1[[#This Row],[ Child Color]])</f>
        <v>Corbyn Study Table Brown Maple &amp; White</v>
      </c>
      <c r="H50" s="33" t="str">
        <f>VLOOKUP(Table1[[#This Row],[MTP SKU]],'MTP SKUs - Master Data'!A:D,3,0)</f>
        <v>Corbyn Study Table</v>
      </c>
      <c r="I50" s="40"/>
      <c r="J50" s="36" t="s">
        <v>413</v>
      </c>
      <c r="K50" s="37" t="s">
        <v>414</v>
      </c>
      <c r="L50" s="38" t="s">
        <v>415</v>
      </c>
      <c r="M50" s="38" t="s">
        <v>416</v>
      </c>
      <c r="N50" s="38" t="s">
        <v>417</v>
      </c>
      <c r="O50" s="39" t="s">
        <v>418</v>
      </c>
      <c r="P50" s="39" t="s">
        <v>419</v>
      </c>
      <c r="Q50" s="39">
        <v>34399080</v>
      </c>
    </row>
    <row r="51" spans="1:17">
      <c r="A51" s="60" t="s">
        <v>420</v>
      </c>
      <c r="B51" s="45" t="str">
        <f>IFERROR(VLOOKUP(Table1[[#This Row],[Seller SKU]],'[1]FG Snapshot (V2)'!$A:$B,2,0),"AR")</f>
        <v>Y</v>
      </c>
      <c r="C51" s="45">
        <f>IFERROR(VLOOKUP(Table1[[#This Row],[Seller SKU]],'[1]FG Snapshot (V2)'!$A:$E,5,0),"AR")</f>
        <v>59</v>
      </c>
      <c r="D51" s="89" t="s">
        <v>421</v>
      </c>
      <c r="E51" s="64" t="str">
        <f>VLOOKUP(Table1[[#This Row],[MTP SKU]],'MTP SKUs - Master Data'!A:D,3,0)</f>
        <v>Furlyn Shoe Rack</v>
      </c>
      <c r="F51" s="64" t="s">
        <v>28</v>
      </c>
      <c r="G51" s="67" t="str">
        <f>_xlfn.CONCAT(Table1[[#This Row],[MTP Name]]," ",Table1[[#This Row],[ Child Color]])</f>
        <v>Furlyn Shoe Rack Brown Maple &amp; White</v>
      </c>
      <c r="H51" s="33" t="str">
        <f>VLOOKUP(Table1[[#This Row],[MTP SKU]],'MTP SKUs - Master Data'!A:D,3,0)</f>
        <v>Furlyn Shoe Rack</v>
      </c>
      <c r="I51" s="40"/>
      <c r="J51" s="36"/>
      <c r="K51" s="37" t="s">
        <v>422</v>
      </c>
      <c r="L51" s="38" t="s">
        <v>423</v>
      </c>
      <c r="M51" s="38" t="s">
        <v>424</v>
      </c>
      <c r="N51" s="38" t="s">
        <v>425</v>
      </c>
      <c r="O51" s="39" t="s">
        <v>426</v>
      </c>
      <c r="P51" s="39" t="s">
        <v>427</v>
      </c>
      <c r="Q51" s="39">
        <v>35524072</v>
      </c>
    </row>
    <row r="52" spans="1:17">
      <c r="A52" s="60" t="s">
        <v>428</v>
      </c>
      <c r="B52" s="45" t="str">
        <f>IFERROR(VLOOKUP(Table1[[#This Row],[Seller SKU]],'[1]FG Snapshot (V2)'!$A:$B,2,0),"AR")</f>
        <v>NL</v>
      </c>
      <c r="C52" s="45">
        <f>IFERROR(VLOOKUP(Table1[[#This Row],[Seller SKU]],'[1]FG Snapshot (V2)'!$A:$E,5,0),"AR")</f>
        <v>108</v>
      </c>
      <c r="D52" s="40" t="s">
        <v>429</v>
      </c>
      <c r="E52" s="64" t="str">
        <f>VLOOKUP(Table1[[#This Row],[MTP SKU]],'MTP SKUs - Master Data'!A:D,3,0)</f>
        <v>Wimzoe Shoe Rack</v>
      </c>
      <c r="F52" s="64" t="s">
        <v>19</v>
      </c>
      <c r="G52" s="67" t="str">
        <f>_xlfn.CONCAT(Table1[[#This Row],[MTP Name]]," ",Table1[[#This Row],[ Child Color]])</f>
        <v>Wimzoe Shoe Rack Brown Maple</v>
      </c>
      <c r="H52" s="40" t="str">
        <f>VLOOKUP(Table1[[#This Row],[MTP SKU]],'MTP SKUs - Master Data'!A:D,3,0)</f>
        <v>Wimzoe Shoe Rack</v>
      </c>
      <c r="I52" s="40"/>
      <c r="J52" s="36"/>
      <c r="K52" s="37" t="s">
        <v>430</v>
      </c>
      <c r="L52" s="38" t="s">
        <v>431</v>
      </c>
      <c r="M52" s="38"/>
      <c r="N52" s="38" t="e">
        <v>#N/A</v>
      </c>
      <c r="O52" s="39"/>
      <c r="P52" s="39" t="s">
        <v>62</v>
      </c>
      <c r="Q52" s="39"/>
    </row>
    <row r="53" spans="1:17">
      <c r="A53" s="60" t="s">
        <v>432</v>
      </c>
      <c r="B53" s="45" t="str">
        <f>IFERROR(VLOOKUP(Table1[[#This Row],[Seller SKU]],'[1]FG Snapshot (V2)'!$A:$B,2,0),"AR")</f>
        <v>Y</v>
      </c>
      <c r="C53" s="45">
        <f>IFERROR(VLOOKUP(Table1[[#This Row],[Seller SKU]],'[1]FG Snapshot (V2)'!$A:$E,5,0),"AR")</f>
        <v>35</v>
      </c>
      <c r="D53" s="89" t="s">
        <v>433</v>
      </c>
      <c r="E53" s="64" t="str">
        <f>VLOOKUP(Table1[[#This Row],[MTP SKU]],'MTP SKUs - Master Data'!A:D,3,0)</f>
        <v>Veluno Bookshelf</v>
      </c>
      <c r="F53" s="64" t="s">
        <v>19</v>
      </c>
      <c r="G53" s="67" t="str">
        <f>_xlfn.CONCAT(Table1[[#This Row],[MTP Name]]," ",Table1[[#This Row],[ Child Color]])</f>
        <v>Veluno Bookshelf Brown Maple</v>
      </c>
      <c r="H53" s="33" t="str">
        <f>VLOOKUP(Table1[[#This Row],[MTP SKU]],'MTP SKUs - Master Data'!A:D,3,0)</f>
        <v>Veluno Bookshelf</v>
      </c>
      <c r="I53" s="40"/>
      <c r="J53" s="36"/>
      <c r="K53" s="37" t="s">
        <v>434</v>
      </c>
      <c r="L53" s="38" t="s">
        <v>435</v>
      </c>
      <c r="M53" s="38" t="s">
        <v>436</v>
      </c>
      <c r="N53" s="38" t="s">
        <v>437</v>
      </c>
      <c r="O53" s="39" t="s">
        <v>438</v>
      </c>
      <c r="P53" s="39" t="s">
        <v>439</v>
      </c>
      <c r="Q53" s="39" t="e">
        <v>#N/A</v>
      </c>
    </row>
    <row r="54" spans="1:17">
      <c r="A54" s="59" t="s">
        <v>440</v>
      </c>
      <c r="B54" s="45" t="str">
        <f>IFERROR(VLOOKUP(Table1[[#This Row],[Seller SKU]],'[1]FG Snapshot (V2)'!$A:$B,2,0),"AR")</f>
        <v>Y</v>
      </c>
      <c r="C54" s="45">
        <f>IFERROR(VLOOKUP(Table1[[#This Row],[Seller SKU]],'[1]FG Snapshot (V2)'!$A:$E,5,0),"AR")</f>
        <v>67</v>
      </c>
      <c r="D54" s="88" t="s">
        <v>441</v>
      </c>
      <c r="E54" s="64" t="str">
        <f>VLOOKUP(Table1[[#This Row],[MTP SKU]],'MTP SKUs - Master Data'!A:D,3,0)</f>
        <v>Andrie 2 Door with Mirror Wardrobe</v>
      </c>
      <c r="F54" s="64" t="s">
        <v>46</v>
      </c>
      <c r="G54" s="64" t="str">
        <f>_xlfn.CONCAT(Table1[[#This Row],[MTP Name]]," ",Table1[[#This Row],[ Child Color]])</f>
        <v>Andrie 2 Door with Mirror Wardrobe Wenge &amp; White</v>
      </c>
      <c r="H54" s="33" t="str">
        <f>VLOOKUP(Table1[[#This Row],[MTP SKU]],'MTP SKUs - Master Data'!A:D,3,0)</f>
        <v>Andrie 2 Door with Mirror Wardrobe</v>
      </c>
      <c r="I54" s="40"/>
      <c r="J54" s="36" t="e">
        <v>#N/A</v>
      </c>
      <c r="K54" s="37" t="s">
        <v>442</v>
      </c>
      <c r="L54" s="38" t="s">
        <v>443</v>
      </c>
      <c r="M54" s="38" t="s">
        <v>444</v>
      </c>
      <c r="N54" s="38" t="s">
        <v>445</v>
      </c>
      <c r="O54" s="39" t="s">
        <v>446</v>
      </c>
      <c r="P54" s="39" t="s">
        <v>447</v>
      </c>
      <c r="Q54" s="39" t="e">
        <v>#N/A</v>
      </c>
    </row>
    <row r="55" spans="1:17">
      <c r="A55" s="60" t="s">
        <v>448</v>
      </c>
      <c r="B55" s="45" t="str">
        <f>IFERROR(VLOOKUP(Table1[[#This Row],[Seller SKU]],'[1]FG Snapshot (V2)'!$A:$B,2,0),"AR")</f>
        <v>Y</v>
      </c>
      <c r="C55" s="45">
        <f>IFERROR(VLOOKUP(Table1[[#This Row],[Seller SKU]],'[1]FG Snapshot (V2)'!$A:$E,5,0),"AR")</f>
        <v>33</v>
      </c>
      <c r="D55" s="40" t="s">
        <v>318</v>
      </c>
      <c r="E55" s="64" t="str">
        <f>VLOOKUP(Table1[[#This Row],[MTP SKU]],'MTP SKUs - Master Data'!A:D,3,0)</f>
        <v>Shubh Pooja Unit Temple</v>
      </c>
      <c r="F55" s="64" t="s">
        <v>56</v>
      </c>
      <c r="G55" s="67" t="str">
        <f>_xlfn.CONCAT(Table1[[#This Row],[MTP Name]]," ",Table1[[#This Row],[ Child Color]])</f>
        <v>Shubh Pooja Unit Temple White</v>
      </c>
      <c r="H55" s="40" t="str">
        <f>VLOOKUP(Table1[[#This Row],[MTP SKU]],'MTP SKUs - Master Data'!A:D,3,0)</f>
        <v>Shubh Pooja Unit Temple</v>
      </c>
      <c r="I55" s="40"/>
      <c r="J55" s="36"/>
      <c r="K55" s="37" t="s">
        <v>449</v>
      </c>
      <c r="L55" s="38" t="s">
        <v>450</v>
      </c>
      <c r="M55" s="38"/>
      <c r="N55" s="38" t="e">
        <v>#N/A</v>
      </c>
      <c r="O55" s="39" t="s">
        <v>451</v>
      </c>
      <c r="P55" s="39" t="s">
        <v>62</v>
      </c>
      <c r="Q55" s="39"/>
    </row>
    <row r="56" spans="1:17">
      <c r="A56" s="59" t="s">
        <v>452</v>
      </c>
      <c r="B56" s="45" t="str">
        <f>IFERROR(VLOOKUP(Table1[[#This Row],[Seller SKU]],'[1]FG Snapshot (V2)'!$A:$B,2,0),"AR")</f>
        <v>y</v>
      </c>
      <c r="C56" s="45">
        <f>IFERROR(VLOOKUP(Table1[[#This Row],[Seller SKU]],'[1]FG Snapshot (V2)'!$A:$E,5,0),"AR")</f>
        <v>54</v>
      </c>
      <c r="D56" s="88" t="s">
        <v>453</v>
      </c>
      <c r="E56" s="64" t="str">
        <f>VLOOKUP(Table1[[#This Row],[MTP SKU]],'MTP SKUs - Master Data'!A:D,3,0)</f>
        <v>Anatdol TV Unit</v>
      </c>
      <c r="F56" s="64" t="s">
        <v>19</v>
      </c>
      <c r="G56" s="64" t="str">
        <f>_xlfn.CONCAT(Table1[[#This Row],[MTP Name]]," ",Table1[[#This Row],[ Child Color]])</f>
        <v>Anatdol TV Unit Brown Maple</v>
      </c>
      <c r="H56" s="33" t="str">
        <f>VLOOKUP(Table1[[#This Row],[MTP SKU]],'MTP SKUs - Master Data'!A:D,3,0)</f>
        <v>Anatdol TV Unit</v>
      </c>
      <c r="I56" s="40"/>
      <c r="J56" s="36" t="s">
        <v>454</v>
      </c>
      <c r="K56" s="37" t="s">
        <v>455</v>
      </c>
      <c r="L56" s="38" t="s">
        <v>456</v>
      </c>
      <c r="M56" s="38" t="s">
        <v>457</v>
      </c>
      <c r="N56" s="38" t="s">
        <v>458</v>
      </c>
      <c r="O56" s="39" t="s">
        <v>459</v>
      </c>
      <c r="P56" s="39" t="s">
        <v>460</v>
      </c>
      <c r="Q56" s="39">
        <v>34398987</v>
      </c>
    </row>
    <row r="57" spans="1:17">
      <c r="A57" s="60" t="s">
        <v>461</v>
      </c>
      <c r="B57" s="45" t="str">
        <f>IFERROR(VLOOKUP(Table1[[#This Row],[Seller SKU]],'[1]FG Snapshot (V2)'!$A:$B,2,0),"AR")</f>
        <v>Y</v>
      </c>
      <c r="C57" s="45">
        <f>IFERROR(VLOOKUP(Table1[[#This Row],[Seller SKU]],'[1]FG Snapshot (V2)'!$A:$E,5,0),"AR")</f>
        <v>76</v>
      </c>
      <c r="D57" s="40" t="s">
        <v>462</v>
      </c>
      <c r="E57" s="64" t="str">
        <f>VLOOKUP(Table1[[#This Row],[MTP SKU]],'MTP SKUs - Master Data'!A:D,3,0)</f>
        <v>Calcio Combo Wardrobe</v>
      </c>
      <c r="F57" s="64" t="s">
        <v>19</v>
      </c>
      <c r="G57" s="64" t="str">
        <f>_xlfn.CONCAT(Table1[[#This Row],[MTP Name]]," ",Table1[[#This Row],[ Child Color]])</f>
        <v>Calcio Combo Wardrobe Brown Maple</v>
      </c>
      <c r="H57" s="33" t="str">
        <f>VLOOKUP(Table1[[#This Row],[MTP SKU]],'MTP SKUs - Master Data'!A:D,3,0)</f>
        <v>Calcio Combo Wardrobe</v>
      </c>
      <c r="I57" s="40"/>
      <c r="J57" s="36"/>
      <c r="K57" s="37" t="s">
        <v>463</v>
      </c>
      <c r="L57" s="38" t="s">
        <v>464</v>
      </c>
      <c r="M57" s="38" t="s">
        <v>465</v>
      </c>
      <c r="N57" s="38" t="s">
        <v>466</v>
      </c>
      <c r="O57" s="39" t="s">
        <v>467</v>
      </c>
      <c r="P57" s="39" t="s">
        <v>468</v>
      </c>
      <c r="Q57" s="39" t="e">
        <v>#N/A</v>
      </c>
    </row>
    <row r="58" spans="1:17">
      <c r="A58" s="59" t="s">
        <v>469</v>
      </c>
      <c r="B58" s="45" t="str">
        <f>IFERROR(VLOOKUP(Table1[[#This Row],[Seller SKU]],'[1]FG Snapshot (V2)'!$A:$B,2,0),"AR")</f>
        <v>Y</v>
      </c>
      <c r="C58" s="45">
        <f>IFERROR(VLOOKUP(Table1[[#This Row],[Seller SKU]],'[1]FG Snapshot (V2)'!$A:$E,5,0),"AR")</f>
        <v>69</v>
      </c>
      <c r="D58" s="88" t="s">
        <v>470</v>
      </c>
      <c r="E58" s="64" t="str">
        <f>VLOOKUP(Table1[[#This Row],[MTP SKU]],'MTP SKUs - Master Data'!A:D,3,0)</f>
        <v>Bevlyn TV Unit</v>
      </c>
      <c r="F58" s="64" t="s">
        <v>19</v>
      </c>
      <c r="G58" s="64" t="str">
        <f>_xlfn.CONCAT(Table1[[#This Row],[MTP Name]]," ",Table1[[#This Row],[ Child Color]])</f>
        <v>Bevlyn TV Unit Brown Maple</v>
      </c>
      <c r="H58" s="33" t="str">
        <f>VLOOKUP(Table1[[#This Row],[MTP SKU]],'MTP SKUs - Master Data'!A:D,3,0)</f>
        <v>Bevlyn TV Unit</v>
      </c>
      <c r="I58" s="40"/>
      <c r="J58" s="36" t="s">
        <v>471</v>
      </c>
      <c r="K58" s="37" t="s">
        <v>472</v>
      </c>
      <c r="L58" s="38" t="s">
        <v>473</v>
      </c>
      <c r="M58" s="38" t="s">
        <v>474</v>
      </c>
      <c r="N58" s="38" t="s">
        <v>475</v>
      </c>
      <c r="O58" s="39" t="s">
        <v>476</v>
      </c>
      <c r="P58" s="39" t="s">
        <v>477</v>
      </c>
      <c r="Q58" s="39">
        <v>34399063</v>
      </c>
    </row>
    <row r="59" spans="1:17">
      <c r="A59" s="60" t="s">
        <v>478</v>
      </c>
      <c r="B59" s="45" t="str">
        <f>IFERROR(VLOOKUP(Table1[[#This Row],[Seller SKU]],'[1]FG Snapshot (V2)'!$A:$B,2,0),"AR")</f>
        <v>Y</v>
      </c>
      <c r="C59" s="45">
        <f>IFERROR(VLOOKUP(Table1[[#This Row],[Seller SKU]],'[1]FG Snapshot (V2)'!$A:$E,5,0),"AR")</f>
        <v>130</v>
      </c>
      <c r="D59" s="89" t="s">
        <v>479</v>
      </c>
      <c r="E59" s="64" t="str">
        <f>VLOOKUP(Table1[[#This Row],[MTP SKU]],'MTP SKUs - Master Data'!A:D,3,0)</f>
        <v>Maltein 2 Door Without Mirror Wardrobe</v>
      </c>
      <c r="F59" s="64" t="s">
        <v>28</v>
      </c>
      <c r="G59" s="67" t="str">
        <f>_xlfn.CONCAT(Table1[[#This Row],[MTP Name]]," ",Table1[[#This Row],[ Child Color]])</f>
        <v>Maltein 2 Door Without Mirror Wardrobe Brown Maple &amp; White</v>
      </c>
      <c r="H59" s="33" t="str">
        <f>VLOOKUP(Table1[[#This Row],[MTP SKU]],'MTP SKUs - Master Data'!A:D,3,0)</f>
        <v>Maltein 2 Door Without Mirror Wardrobe</v>
      </c>
      <c r="I59" s="40"/>
      <c r="J59" s="36"/>
      <c r="K59" s="37" t="s">
        <v>480</v>
      </c>
      <c r="L59" s="38" t="s">
        <v>481</v>
      </c>
      <c r="M59" s="38" t="s">
        <v>482</v>
      </c>
      <c r="N59" s="38" t="s">
        <v>483</v>
      </c>
      <c r="O59" s="39" t="s">
        <v>484</v>
      </c>
      <c r="P59" s="39" t="s">
        <v>485</v>
      </c>
      <c r="Q59" s="39" t="e">
        <v>#N/A</v>
      </c>
    </row>
    <row r="60" spans="1:17">
      <c r="A60" s="59" t="s">
        <v>486</v>
      </c>
      <c r="B60" s="45" t="str">
        <f>IFERROR(VLOOKUP(Table1[[#This Row],[Seller SKU]],'[1]FG Snapshot (V2)'!$A:$B,2,0),"AR")</f>
        <v>y</v>
      </c>
      <c r="C60" s="45">
        <f>IFERROR(VLOOKUP(Table1[[#This Row],[Seller SKU]],'[1]FG Snapshot (V2)'!$A:$E,5,0),"AR")</f>
        <v>38</v>
      </c>
      <c r="D60" s="88" t="s">
        <v>487</v>
      </c>
      <c r="E60" s="64" t="str">
        <f>VLOOKUP(Table1[[#This Row],[MTP SKU]],'MTP SKUs - Master Data'!A:D,3,0)</f>
        <v>Colove Chest of Drawer</v>
      </c>
      <c r="F60" s="64" t="s">
        <v>28</v>
      </c>
      <c r="G60" s="64" t="str">
        <f>_xlfn.CONCAT(Table1[[#This Row],[MTP Name]]," ",Table1[[#This Row],[ Child Color]])</f>
        <v>Colove Chest of Drawer Brown Maple &amp; White</v>
      </c>
      <c r="H60" s="33" t="str">
        <f>VLOOKUP(Table1[[#This Row],[MTP SKU]],'MTP SKUs - Master Data'!A:D,3,0)</f>
        <v>Colove Chest of Drawer</v>
      </c>
      <c r="I60" s="40"/>
      <c r="J60" s="36" t="s">
        <v>488</v>
      </c>
      <c r="K60" s="37" t="s">
        <v>489</v>
      </c>
      <c r="L60" s="38" t="s">
        <v>490</v>
      </c>
      <c r="M60" s="38" t="s">
        <v>491</v>
      </c>
      <c r="N60" s="38" t="s">
        <v>492</v>
      </c>
      <c r="O60" s="39" t="s">
        <v>493</v>
      </c>
      <c r="P60" s="39" t="s">
        <v>494</v>
      </c>
      <c r="Q60" s="39">
        <v>35522198</v>
      </c>
    </row>
    <row r="61" spans="1:17">
      <c r="A61" s="59" t="s">
        <v>495</v>
      </c>
      <c r="B61" s="45" t="str">
        <f>IFERROR(VLOOKUP(Table1[[#This Row],[Seller SKU]],'[1]FG Snapshot (V2)'!$A:$B,2,0),"AR")</f>
        <v>y</v>
      </c>
      <c r="C61" s="45">
        <f>IFERROR(VLOOKUP(Table1[[#This Row],[Seller SKU]],'[1]FG Snapshot (V2)'!$A:$E,5,0),"AR")</f>
        <v>56</v>
      </c>
      <c r="D61" s="88" t="s">
        <v>496</v>
      </c>
      <c r="E61" s="64" t="str">
        <f>VLOOKUP(Table1[[#This Row],[MTP SKU]],'MTP SKUs - Master Data'!A:D,3,0)</f>
        <v>Darci Dressing Table</v>
      </c>
      <c r="F61" s="64" t="s">
        <v>28</v>
      </c>
      <c r="G61" s="64" t="str">
        <f>_xlfn.CONCAT(Table1[[#This Row],[MTP Name]]," ",Table1[[#This Row],[ Child Color]])</f>
        <v>Darci Dressing Table Brown Maple &amp; White</v>
      </c>
      <c r="H61" s="33" t="str">
        <f>VLOOKUP(Table1[[#This Row],[MTP SKU]],'MTP SKUs - Master Data'!A:D,3,0)</f>
        <v>Darci Dressing Table</v>
      </c>
      <c r="I61" s="40"/>
      <c r="J61" s="36" t="s">
        <v>497</v>
      </c>
      <c r="K61" s="37" t="s">
        <v>498</v>
      </c>
      <c r="L61" s="38" t="s">
        <v>499</v>
      </c>
      <c r="M61" s="38" t="s">
        <v>500</v>
      </c>
      <c r="N61" s="38" t="s">
        <v>501</v>
      </c>
      <c r="O61" s="39" t="s">
        <v>502</v>
      </c>
      <c r="P61" s="39" t="s">
        <v>503</v>
      </c>
      <c r="Q61" s="39" t="e">
        <v>#N/A</v>
      </c>
    </row>
    <row r="62" spans="1:17">
      <c r="A62" s="59" t="s">
        <v>504</v>
      </c>
      <c r="B62" s="45" t="str">
        <f>IFERROR(VLOOKUP(Table1[[#This Row],[Seller SKU]],'[1]FG Snapshot (V2)'!$A:$B,2,0),"AR")</f>
        <v>Y</v>
      </c>
      <c r="C62" s="45">
        <f>IFERROR(VLOOKUP(Table1[[#This Row],[Seller SKU]],'[1]FG Snapshot (V2)'!$A:$E,5,0),"AR")</f>
        <v>71</v>
      </c>
      <c r="D62" s="88" t="s">
        <v>505</v>
      </c>
      <c r="E62" s="64" t="str">
        <f>VLOOKUP(Table1[[#This Row],[MTP SKU]],'MTP SKUs - Master Data'!A:D,3,0)</f>
        <v>Efflino Large Study Table</v>
      </c>
      <c r="F62" s="64" t="s">
        <v>19</v>
      </c>
      <c r="G62" s="64" t="str">
        <f>_xlfn.CONCAT(Table1[[#This Row],[MTP Name]]," ",Table1[[#This Row],[ Child Color]])</f>
        <v>Efflino Large Study Table Brown Maple</v>
      </c>
      <c r="H62" s="33" t="str">
        <f>VLOOKUP(Table1[[#This Row],[MTP SKU]],'MTP SKUs - Master Data'!A:D,3,0)</f>
        <v>Efflino Large Study Table</v>
      </c>
      <c r="I62" s="40"/>
      <c r="J62" s="36" t="s">
        <v>506</v>
      </c>
      <c r="K62" s="37" t="s">
        <v>507</v>
      </c>
      <c r="L62" s="38" t="s">
        <v>508</v>
      </c>
      <c r="M62" s="38" t="s">
        <v>509</v>
      </c>
      <c r="N62" s="38" t="s">
        <v>510</v>
      </c>
      <c r="O62" s="39" t="s">
        <v>511</v>
      </c>
      <c r="P62" s="39" t="s">
        <v>512</v>
      </c>
      <c r="Q62" s="39">
        <v>34399098</v>
      </c>
    </row>
    <row r="63" spans="1:17">
      <c r="A63" s="59" t="s">
        <v>513</v>
      </c>
      <c r="B63" s="45" t="str">
        <f>IFERROR(VLOOKUP(Table1[[#This Row],[Seller SKU]],'[1]FG Snapshot (V2)'!$A:$B,2,0),"AR")</f>
        <v>Y</v>
      </c>
      <c r="C63" s="45">
        <f>IFERROR(VLOOKUP(Table1[[#This Row],[Seller SKU]],'[1]FG Snapshot (V2)'!$A:$E,5,0),"AR")</f>
        <v>68</v>
      </c>
      <c r="D63" s="88" t="s">
        <v>514</v>
      </c>
      <c r="E63" s="64" t="str">
        <f>VLOOKUP(Table1[[#This Row],[MTP SKU]],'MTP SKUs - Master Data'!A:D,3,0)</f>
        <v>Coober Large TV Unit</v>
      </c>
      <c r="F63" s="64" t="s">
        <v>19</v>
      </c>
      <c r="G63" s="64" t="str">
        <f>_xlfn.CONCAT(Table1[[#This Row],[MTP Name]]," ",Table1[[#This Row],[ Child Color]])</f>
        <v>Coober Large TV Unit Brown Maple</v>
      </c>
      <c r="H63" s="33" t="str">
        <f>VLOOKUP(Table1[[#This Row],[MTP SKU]],'MTP SKUs - Master Data'!A:D,3,0)</f>
        <v>Coober Large TV Unit</v>
      </c>
      <c r="I63" s="40"/>
      <c r="J63" s="36" t="s">
        <v>515</v>
      </c>
      <c r="K63" s="37" t="s">
        <v>516</v>
      </c>
      <c r="L63" s="38" t="s">
        <v>517</v>
      </c>
      <c r="M63" s="38" t="s">
        <v>518</v>
      </c>
      <c r="N63" s="38" t="s">
        <v>519</v>
      </c>
      <c r="O63" s="39" t="s">
        <v>520</v>
      </c>
      <c r="P63" s="39" t="s">
        <v>521</v>
      </c>
      <c r="Q63" s="39" t="e">
        <v>#N/A</v>
      </c>
    </row>
    <row r="64" spans="1:17">
      <c r="A64" s="59" t="s">
        <v>522</v>
      </c>
      <c r="B64" s="45" t="str">
        <f>IFERROR(VLOOKUP(Table1[[#This Row],[Seller SKU]],'[1]FG Snapshot (V2)'!$A:$B,2,0),"AR")</f>
        <v>Y</v>
      </c>
      <c r="C64" s="45">
        <f>IFERROR(VLOOKUP(Table1[[#This Row],[Seller SKU]],'[1]FG Snapshot (V2)'!$A:$E,5,0),"AR")</f>
        <v>34</v>
      </c>
      <c r="D64" s="88" t="s">
        <v>347</v>
      </c>
      <c r="E64" s="64" t="str">
        <f>VLOOKUP(Table1[[#This Row],[MTP SKU]],'MTP SKUs - Master Data'!A:D,3,0)</f>
        <v>Whartin Shoe Rack</v>
      </c>
      <c r="F64" s="64" t="s">
        <v>97</v>
      </c>
      <c r="G64" s="64" t="str">
        <f>_xlfn.CONCAT(Table1[[#This Row],[MTP Name]]," ",Table1[[#This Row],[ Child Color]])</f>
        <v>Whartin Shoe Rack Brown Maple &amp; Beige</v>
      </c>
      <c r="H64" s="33" t="str">
        <f>VLOOKUP(Table1[[#This Row],[MTP SKU]],'MTP SKUs - Master Data'!A:D,3,0)</f>
        <v>Whartin Shoe Rack</v>
      </c>
      <c r="I64" s="40"/>
      <c r="J64" s="36" t="s">
        <v>523</v>
      </c>
      <c r="K64" s="37" t="s">
        <v>524</v>
      </c>
      <c r="L64" s="38" t="s">
        <v>525</v>
      </c>
      <c r="M64" s="38" t="s">
        <v>526</v>
      </c>
      <c r="N64" s="38" t="s">
        <v>527</v>
      </c>
      <c r="O64" s="39" t="s">
        <v>528</v>
      </c>
      <c r="P64" s="39" t="s">
        <v>529</v>
      </c>
      <c r="Q64" s="39">
        <v>34399114</v>
      </c>
    </row>
    <row r="65" spans="1:17">
      <c r="A65" s="59" t="s">
        <v>530</v>
      </c>
      <c r="B65" s="45" t="str">
        <f>IFERROR(VLOOKUP(Table1[[#This Row],[Seller SKU]],'[1]FG Snapshot (V2)'!$A:$B,2,0),"AR")</f>
        <v>Y</v>
      </c>
      <c r="C65" s="45">
        <f>IFERROR(VLOOKUP(Table1[[#This Row],[Seller SKU]],'[1]FG Snapshot (V2)'!$A:$E,5,0),"AR")</f>
        <v>79</v>
      </c>
      <c r="D65" s="88" t="s">
        <v>139</v>
      </c>
      <c r="E65" s="64" t="str">
        <f>VLOOKUP(Table1[[#This Row],[MTP SKU]],'MTP SKUs - Master Data'!A:D,3,0)</f>
        <v>Carlem 3 Door Shoe Rack</v>
      </c>
      <c r="F65" s="64" t="s">
        <v>182</v>
      </c>
      <c r="G65" s="64" t="str">
        <f>_xlfn.CONCAT(Table1[[#This Row],[MTP Name]]," ",Table1[[#This Row],[ Child Color]])</f>
        <v>Carlem 3 Door Shoe Rack Wenge</v>
      </c>
      <c r="H65" s="33" t="str">
        <f>VLOOKUP(Table1[[#This Row],[MTP SKU]],'MTP SKUs - Master Data'!A:D,3,0)</f>
        <v>Carlem 3 Door Shoe Rack</v>
      </c>
      <c r="I65" s="40"/>
      <c r="J65" s="36" t="s">
        <v>531</v>
      </c>
      <c r="K65" s="37" t="s">
        <v>532</v>
      </c>
      <c r="L65" s="38" t="s">
        <v>533</v>
      </c>
      <c r="M65" s="38" t="s">
        <v>534</v>
      </c>
      <c r="N65" s="38" t="s">
        <v>535</v>
      </c>
      <c r="O65" s="39" t="s">
        <v>536</v>
      </c>
      <c r="P65" s="39" t="s">
        <v>537</v>
      </c>
      <c r="Q65" s="39">
        <v>34399082</v>
      </c>
    </row>
    <row r="66" spans="1:17">
      <c r="A66" s="59" t="s">
        <v>538</v>
      </c>
      <c r="B66" s="45" t="str">
        <f>IFERROR(VLOOKUP(Table1[[#This Row],[Seller SKU]],'[1]FG Snapshot (V2)'!$A:$B,2,0),"AR")</f>
        <v>Y</v>
      </c>
      <c r="C66" s="45">
        <f>IFERROR(VLOOKUP(Table1[[#This Row],[Seller SKU]],'[1]FG Snapshot (V2)'!$A:$E,5,0),"AR")</f>
        <v>87</v>
      </c>
      <c r="D66" s="88" t="s">
        <v>539</v>
      </c>
      <c r="E66" s="64" t="str">
        <f>VLOOKUP(Table1[[#This Row],[MTP SKU]],'MTP SKUs - Master Data'!A:D,3,0)</f>
        <v>Mallium without Slider Study Table</v>
      </c>
      <c r="F66" s="64" t="s">
        <v>182</v>
      </c>
      <c r="G66" s="64" t="str">
        <f>_xlfn.CONCAT(Table1[[#This Row],[MTP Name]]," ",Table1[[#This Row],[ Child Color]])</f>
        <v>Mallium without Slider Study Table Wenge</v>
      </c>
      <c r="H66" s="33" t="str">
        <f>VLOOKUP(Table1[[#This Row],[MTP SKU]],'MTP SKUs - Master Data'!A:D,3,0)</f>
        <v>Mallium without Slider Study Table</v>
      </c>
      <c r="I66" s="40"/>
      <c r="J66" s="36" t="s">
        <v>540</v>
      </c>
      <c r="K66" s="37" t="s">
        <v>541</v>
      </c>
      <c r="L66" s="38" t="s">
        <v>542</v>
      </c>
      <c r="M66" s="38" t="s">
        <v>543</v>
      </c>
      <c r="N66" s="38" t="s">
        <v>544</v>
      </c>
      <c r="O66" s="39" t="s">
        <v>545</v>
      </c>
      <c r="P66" s="39" t="s">
        <v>546</v>
      </c>
      <c r="Q66" s="39">
        <v>34399017</v>
      </c>
    </row>
    <row r="67" spans="1:17">
      <c r="A67" s="59" t="s">
        <v>547</v>
      </c>
      <c r="B67" s="45" t="str">
        <f>IFERROR(VLOOKUP(Table1[[#This Row],[Seller SKU]],'[1]FG Snapshot (V2)'!$A:$B,2,0),"AR")</f>
        <v>Y</v>
      </c>
      <c r="C67" s="45">
        <f>IFERROR(VLOOKUP(Table1[[#This Row],[Seller SKU]],'[1]FG Snapshot (V2)'!$A:$E,5,0),"AR")</f>
        <v>63</v>
      </c>
      <c r="D67" s="88" t="s">
        <v>548</v>
      </c>
      <c r="E67" s="64" t="str">
        <f>VLOOKUP(Table1[[#This Row],[MTP SKU]],'MTP SKUs - Master Data'!A:D,3,0)</f>
        <v>Crosbon Bookshelf</v>
      </c>
      <c r="F67" s="64" t="s">
        <v>19</v>
      </c>
      <c r="G67" s="64" t="str">
        <f>_xlfn.CONCAT(Table1[[#This Row],[MTP Name]]," ",Table1[[#This Row],[ Child Color]])</f>
        <v>Crosbon Bookshelf Brown Maple</v>
      </c>
      <c r="H67" s="33" t="str">
        <f>VLOOKUP(Table1[[#This Row],[MTP SKU]],'MTP SKUs - Master Data'!A:D,3,0)</f>
        <v>Crosbon Bookshelf</v>
      </c>
      <c r="I67" s="40"/>
      <c r="J67" s="36" t="s">
        <v>549</v>
      </c>
      <c r="K67" s="37" t="s">
        <v>550</v>
      </c>
      <c r="L67" s="38" t="s">
        <v>551</v>
      </c>
      <c r="M67" s="38" t="s">
        <v>552</v>
      </c>
      <c r="N67" s="38" t="s">
        <v>553</v>
      </c>
      <c r="O67" s="39" t="s">
        <v>554</v>
      </c>
      <c r="P67" s="39" t="s">
        <v>555</v>
      </c>
      <c r="Q67" s="39">
        <v>34380504</v>
      </c>
    </row>
    <row r="68" spans="1:17">
      <c r="A68" s="59" t="s">
        <v>556</v>
      </c>
      <c r="B68" s="45" t="str">
        <f>IFERROR(VLOOKUP(Table1[[#This Row],[Seller SKU]],'[1]FG Snapshot (V2)'!$A:$B,2,0),"AR")</f>
        <v>Y</v>
      </c>
      <c r="C68" s="45">
        <f>IFERROR(VLOOKUP(Table1[[#This Row],[Seller SKU]],'[1]FG Snapshot (V2)'!$A:$E,5,0),"AR")</f>
        <v>99</v>
      </c>
      <c r="D68" s="88" t="s">
        <v>356</v>
      </c>
      <c r="E68" s="64" t="str">
        <f>VLOOKUP(Table1[[#This Row],[MTP SKU]],'MTP SKUs - Master Data'!A:D,3,0)</f>
        <v>Lagoon Bookshelf</v>
      </c>
      <c r="F68" s="64" t="s">
        <v>46</v>
      </c>
      <c r="G68" s="64" t="str">
        <f>_xlfn.CONCAT(Table1[[#This Row],[MTP Name]]," ",Table1[[#This Row],[ Child Color]])</f>
        <v>Lagoon Bookshelf Wenge &amp; White</v>
      </c>
      <c r="H68" s="33" t="str">
        <f>VLOOKUP(Table1[[#This Row],[MTP SKU]],'MTP SKUs - Master Data'!A:D,3,0)</f>
        <v>Lagoon Bookshelf</v>
      </c>
      <c r="I68" s="40"/>
      <c r="J68" s="36" t="s">
        <v>557</v>
      </c>
      <c r="K68" s="37" t="s">
        <v>558</v>
      </c>
      <c r="L68" s="38" t="s">
        <v>559</v>
      </c>
      <c r="M68" s="38" t="s">
        <v>560</v>
      </c>
      <c r="N68" s="38" t="s">
        <v>561</v>
      </c>
      <c r="O68" s="39" t="s">
        <v>562</v>
      </c>
      <c r="P68" s="39" t="s">
        <v>563</v>
      </c>
      <c r="Q68" s="39">
        <v>34380953</v>
      </c>
    </row>
    <row r="69" spans="1:17">
      <c r="A69" s="60" t="s">
        <v>564</v>
      </c>
      <c r="B69" s="45" t="str">
        <f>IFERROR(VLOOKUP(Table1[[#This Row],[Seller SKU]],'[1]FG Snapshot (V2)'!$A:$B,2,0),"AR")</f>
        <v>Y</v>
      </c>
      <c r="C69" s="45">
        <f>IFERROR(VLOOKUP(Table1[[#This Row],[Seller SKU]],'[1]FG Snapshot (V2)'!$A:$E,5,0),"AR")</f>
        <v>78</v>
      </c>
      <c r="D69" s="89" t="s">
        <v>565</v>
      </c>
      <c r="E69" s="64" t="str">
        <f>VLOOKUP(Table1[[#This Row],[MTP SKU]],'MTP SKUs - Master Data'!A:D,3,0)</f>
        <v>Barnia Bookshelf</v>
      </c>
      <c r="F69" s="64" t="s">
        <v>19</v>
      </c>
      <c r="G69" s="67" t="str">
        <f>_xlfn.CONCAT(Table1[[#This Row],[MTP Name]]," ",Table1[[#This Row],[ Child Color]])</f>
        <v>Barnia Bookshelf Brown Maple</v>
      </c>
      <c r="H69" s="33" t="str">
        <f>VLOOKUP(Table1[[#This Row],[MTP SKU]],'MTP SKUs - Master Data'!A:D,3,0)</f>
        <v>Barnia Bookshelf</v>
      </c>
      <c r="I69" s="40"/>
      <c r="J69" s="36"/>
      <c r="K69" s="37" t="s">
        <v>566</v>
      </c>
      <c r="L69" s="38" t="s">
        <v>567</v>
      </c>
      <c r="M69" s="38" t="s">
        <v>568</v>
      </c>
      <c r="N69" s="38" t="s">
        <v>569</v>
      </c>
      <c r="O69" s="39" t="s">
        <v>570</v>
      </c>
      <c r="P69" s="39" t="s">
        <v>571</v>
      </c>
      <c r="Q69" s="39" t="e">
        <v>#N/A</v>
      </c>
    </row>
    <row r="70" spans="1:17">
      <c r="A70" s="59" t="s">
        <v>572</v>
      </c>
      <c r="B70" s="45" t="str">
        <f>IFERROR(VLOOKUP(Table1[[#This Row],[Seller SKU]],'[1]FG Snapshot (V2)'!$A:$B,2,0),"AR")</f>
        <v>Y</v>
      </c>
      <c r="C70" s="45">
        <f>IFERROR(VLOOKUP(Table1[[#This Row],[Seller SKU]],'[1]FG Snapshot (V2)'!$A:$E,5,0),"AR")</f>
        <v>80</v>
      </c>
      <c r="D70" s="88" t="s">
        <v>339</v>
      </c>
      <c r="E70" s="64" t="str">
        <f>VLOOKUP(Table1[[#This Row],[MTP SKU]],'MTP SKUs - Master Data'!A:D,3,0)</f>
        <v>Rowlet Large TV Unit</v>
      </c>
      <c r="F70" s="64" t="s">
        <v>46</v>
      </c>
      <c r="G70" s="64" t="str">
        <f>_xlfn.CONCAT(Table1[[#This Row],[MTP Name]]," ",Table1[[#This Row],[ Child Color]])</f>
        <v>Rowlet Large TV Unit Wenge &amp; White</v>
      </c>
      <c r="H70" s="33" t="str">
        <f>VLOOKUP(Table1[[#This Row],[MTP SKU]],'MTP SKUs - Master Data'!A:D,3,0)</f>
        <v>Rowlet Large TV Unit</v>
      </c>
      <c r="I70" s="40"/>
      <c r="J70" s="36" t="e">
        <v>#N/A</v>
      </c>
      <c r="K70" s="37" t="s">
        <v>573</v>
      </c>
      <c r="L70" s="38" t="s">
        <v>574</v>
      </c>
      <c r="M70" s="38" t="s">
        <v>575</v>
      </c>
      <c r="N70" s="38" t="s">
        <v>576</v>
      </c>
      <c r="O70" s="39" t="s">
        <v>577</v>
      </c>
      <c r="P70" s="39" t="s">
        <v>578</v>
      </c>
      <c r="Q70" s="39" t="e">
        <v>#N/A</v>
      </c>
    </row>
    <row r="71" spans="1:17">
      <c r="A71" s="59" t="s">
        <v>579</v>
      </c>
      <c r="B71" s="45" t="str">
        <f>IFERROR(VLOOKUP(Table1[[#This Row],[Seller SKU]],'[1]FG Snapshot (V2)'!$A:$B,2,0),"AR")</f>
        <v>Y</v>
      </c>
      <c r="C71" s="45">
        <f>IFERROR(VLOOKUP(Table1[[#This Row],[Seller SKU]],'[1]FG Snapshot (V2)'!$A:$E,5,0),"AR")</f>
        <v>44</v>
      </c>
      <c r="D71" s="88" t="s">
        <v>580</v>
      </c>
      <c r="E71" s="64" t="str">
        <f>VLOOKUP(Table1[[#This Row],[MTP SKU]],'MTP SKUs - Master Data'!A:D,3,0)</f>
        <v>Andrie 3 Door with Mirror Wardrobe</v>
      </c>
      <c r="F71" s="64" t="s">
        <v>46</v>
      </c>
      <c r="G71" s="64" t="str">
        <f>_xlfn.CONCAT(Table1[[#This Row],[MTP Name]]," ",Table1[[#This Row],[ Child Color]])</f>
        <v>Andrie 3 Door with Mirror Wardrobe Wenge &amp; White</v>
      </c>
      <c r="H71" s="33" t="str">
        <f>VLOOKUP(Table1[[#This Row],[MTP SKU]],'MTP SKUs - Master Data'!A:D,3,0)</f>
        <v>Andrie 3 Door with Mirror Wardrobe</v>
      </c>
      <c r="I71" s="40"/>
      <c r="J71" s="36" t="e">
        <v>#N/A</v>
      </c>
      <c r="K71" s="37" t="s">
        <v>581</v>
      </c>
      <c r="L71" s="38" t="s">
        <v>582</v>
      </c>
      <c r="M71" s="38" t="s">
        <v>583</v>
      </c>
      <c r="N71" s="38" t="s">
        <v>584</v>
      </c>
      <c r="O71" s="39" t="s">
        <v>585</v>
      </c>
      <c r="P71" s="39" t="s">
        <v>586</v>
      </c>
      <c r="Q71" s="39" t="e">
        <v>#N/A</v>
      </c>
    </row>
    <row r="72" spans="1:17">
      <c r="A72" s="59" t="s">
        <v>587</v>
      </c>
      <c r="B72" s="45" t="str">
        <f>IFERROR(VLOOKUP(Table1[[#This Row],[Seller SKU]],'[1]FG Snapshot (V2)'!$A:$B,2,0),"AR")</f>
        <v>Y</v>
      </c>
      <c r="C72" s="45">
        <f>IFERROR(VLOOKUP(Table1[[#This Row],[Seller SKU]],'[1]FG Snapshot (V2)'!$A:$E,5,0),"AR")</f>
        <v>189</v>
      </c>
      <c r="D72" s="88" t="s">
        <v>588</v>
      </c>
      <c r="E72" s="64" t="str">
        <f>VLOOKUP(Table1[[#This Row],[MTP SKU]],'MTP SKUs - Master Data'!A:D,3,0)</f>
        <v>Andrie 3 Door without Mirror Wardrobe</v>
      </c>
      <c r="F72" s="64" t="s">
        <v>46</v>
      </c>
      <c r="G72" s="64" t="str">
        <f>_xlfn.CONCAT(Table1[[#This Row],[MTP Name]]," ",Table1[[#This Row],[ Child Color]])</f>
        <v>Andrie 3 Door without Mirror Wardrobe Wenge &amp; White</v>
      </c>
      <c r="H72" s="33" t="str">
        <f>VLOOKUP(Table1[[#This Row],[MTP SKU]],'MTP SKUs - Master Data'!A:D,3,0)</f>
        <v>Andrie 3 Door without Mirror Wardrobe</v>
      </c>
      <c r="I72" s="40"/>
      <c r="J72" s="36" t="e">
        <v>#N/A</v>
      </c>
      <c r="K72" s="37" t="s">
        <v>589</v>
      </c>
      <c r="L72" s="38" t="s">
        <v>590</v>
      </c>
      <c r="M72" s="38" t="s">
        <v>591</v>
      </c>
      <c r="N72" s="38" t="s">
        <v>592</v>
      </c>
      <c r="O72" s="39" t="s">
        <v>593</v>
      </c>
      <c r="P72" s="39" t="s">
        <v>594</v>
      </c>
      <c r="Q72" s="39" t="e">
        <v>#N/A</v>
      </c>
    </row>
    <row r="73" spans="1:17">
      <c r="A73" s="59" t="s">
        <v>595</v>
      </c>
      <c r="B73" s="45" t="str">
        <f>IFERROR(VLOOKUP(Table1[[#This Row],[Seller SKU]],'[1]FG Snapshot (V2)'!$A:$B,2,0),"AR")</f>
        <v>Y</v>
      </c>
      <c r="C73" s="45">
        <f>IFERROR(VLOOKUP(Table1[[#This Row],[Seller SKU]],'[1]FG Snapshot (V2)'!$A:$E,5,0),"AR")</f>
        <v>176</v>
      </c>
      <c r="D73" s="88" t="s">
        <v>596</v>
      </c>
      <c r="E73" s="64" t="str">
        <f>VLOOKUP(Table1[[#This Row],[MTP SKU]],'MTP SKUs - Master Data'!A:D,3,0)</f>
        <v>Efflino Standard Study Table</v>
      </c>
      <c r="F73" s="64" t="s">
        <v>19</v>
      </c>
      <c r="G73" s="64" t="str">
        <f>_xlfn.CONCAT(Table1[[#This Row],[MTP Name]]," ",Table1[[#This Row],[ Child Color]])</f>
        <v>Efflino Standard Study Table Brown Maple</v>
      </c>
      <c r="H73" s="33" t="str">
        <f>VLOOKUP(Table1[[#This Row],[MTP SKU]],'MTP SKUs - Master Data'!A:D,3,0)</f>
        <v>Efflino Standard Study Table</v>
      </c>
      <c r="I73" s="40"/>
      <c r="J73" s="36" t="e">
        <v>#N/A</v>
      </c>
      <c r="K73" s="37" t="s">
        <v>597</v>
      </c>
      <c r="L73" s="38" t="s">
        <v>598</v>
      </c>
      <c r="M73" s="38" t="s">
        <v>599</v>
      </c>
      <c r="N73" s="38" t="s">
        <v>600</v>
      </c>
      <c r="O73" s="39" t="s">
        <v>601</v>
      </c>
      <c r="P73" s="39" t="s">
        <v>62</v>
      </c>
      <c r="Q73" s="39">
        <v>34399110</v>
      </c>
    </row>
    <row r="74" spans="1:17">
      <c r="A74" s="59" t="s">
        <v>595</v>
      </c>
      <c r="B74" s="45" t="str">
        <f>IFERROR(VLOOKUP(Table1[[#This Row],[Seller SKU]],'[1]FG Snapshot (V2)'!$A:$B,2,0),"AR")</f>
        <v>Y</v>
      </c>
      <c r="C74" s="45">
        <f>IFERROR(VLOOKUP(Table1[[#This Row],[Seller SKU]],'[1]FG Snapshot (V2)'!$A:$E,5,0),"AR")</f>
        <v>176</v>
      </c>
      <c r="D74" s="88" t="s">
        <v>596</v>
      </c>
      <c r="E74" s="64" t="str">
        <f>VLOOKUP(Table1[[#This Row],[MTP SKU]],'MTP SKUs - Master Data'!A:D,3,0)</f>
        <v>Efflino Standard Study Table</v>
      </c>
      <c r="F74" s="64" t="s">
        <v>19</v>
      </c>
      <c r="G74" s="64" t="str">
        <f>_xlfn.CONCAT(Table1[[#This Row],[MTP Name]]," ",Table1[[#This Row],[ Child Color]])</f>
        <v>Efflino Standard Study Table Brown Maple</v>
      </c>
      <c r="H74" s="33" t="str">
        <f>VLOOKUP(Table1[[#This Row],[MTP SKU]],'MTP SKUs - Master Data'!A:D,3,0)</f>
        <v>Efflino Standard Study Table</v>
      </c>
      <c r="I74" s="40"/>
      <c r="J74" s="36" t="e">
        <v>#N/A</v>
      </c>
      <c r="K74" s="37" t="s">
        <v>597</v>
      </c>
      <c r="L74" s="38" t="s">
        <v>598</v>
      </c>
      <c r="M74" s="38" t="s">
        <v>599</v>
      </c>
      <c r="N74" s="38" t="s">
        <v>600</v>
      </c>
      <c r="O74" s="39" t="s">
        <v>601</v>
      </c>
      <c r="P74" s="39" t="s">
        <v>62</v>
      </c>
      <c r="Q74" s="39">
        <v>34399110</v>
      </c>
    </row>
    <row r="75" spans="1:17">
      <c r="A75" s="59" t="s">
        <v>602</v>
      </c>
      <c r="B75" s="45" t="str">
        <f>IFERROR(VLOOKUP(Table1[[#This Row],[Seller SKU]],'[1]FG Snapshot (V2)'!$A:$B,2,0),"AR")</f>
        <v>Y</v>
      </c>
      <c r="C75" s="45">
        <f>IFERROR(VLOOKUP(Table1[[#This Row],[Seller SKU]],'[1]FG Snapshot (V2)'!$A:$E,5,0),"AR")</f>
        <v>66</v>
      </c>
      <c r="D75" s="88" t="s">
        <v>603</v>
      </c>
      <c r="E75" s="64" t="str">
        <f>VLOOKUP(Table1[[#This Row],[MTP SKU]],'MTP SKUs - Master Data'!A:D,3,0)</f>
        <v>Mavis Shoe Rack</v>
      </c>
      <c r="F75" s="64" t="s">
        <v>19</v>
      </c>
      <c r="G75" s="64" t="str">
        <f>_xlfn.CONCAT(Table1[[#This Row],[MTP Name]]," ",Table1[[#This Row],[ Child Color]])</f>
        <v>Mavis Shoe Rack Brown Maple</v>
      </c>
      <c r="H75" s="33" t="str">
        <f>VLOOKUP(Table1[[#This Row],[MTP SKU]],'MTP SKUs - Master Data'!A:D,3,0)</f>
        <v>Mavis Shoe Rack</v>
      </c>
      <c r="I75" s="40"/>
      <c r="J75" s="36" t="s">
        <v>604</v>
      </c>
      <c r="K75" s="37" t="s">
        <v>605</v>
      </c>
      <c r="L75" s="38" t="s">
        <v>606</v>
      </c>
      <c r="M75" s="38" t="s">
        <v>607</v>
      </c>
      <c r="N75" s="38" t="s">
        <v>608</v>
      </c>
      <c r="O75" s="39" t="s">
        <v>609</v>
      </c>
      <c r="P75" s="39" t="s">
        <v>610</v>
      </c>
      <c r="Q75" s="39">
        <v>34398999</v>
      </c>
    </row>
    <row r="76" spans="1:17">
      <c r="A76" s="60" t="s">
        <v>611</v>
      </c>
      <c r="B76" s="45" t="str">
        <f>IFERROR(VLOOKUP(Table1[[#This Row],[Seller SKU]],'[1]FG Snapshot (V2)'!$A:$B,2,0),"AR")</f>
        <v>Y</v>
      </c>
      <c r="C76" s="45">
        <f>IFERROR(VLOOKUP(Table1[[#This Row],[Seller SKU]],'[1]FG Snapshot (V2)'!$A:$E,5,0),"AR")</f>
        <v>106</v>
      </c>
      <c r="D76" s="40" t="s">
        <v>612</v>
      </c>
      <c r="E76" s="64" t="str">
        <f>VLOOKUP(Table1[[#This Row],[MTP SKU]],'MTP SKUs - Master Data'!A:D,3,0)</f>
        <v>Nohee Bed Side Table</v>
      </c>
      <c r="F76" s="64" t="s">
        <v>19</v>
      </c>
      <c r="G76" s="64" t="str">
        <f>_xlfn.CONCAT(Table1[[#This Row],[MTP Name]]," ",Table1[[#This Row],[ Child Color]])</f>
        <v>Nohee Bed Side Table Brown Maple</v>
      </c>
      <c r="H76" s="33" t="str">
        <f>VLOOKUP(Table1[[#This Row],[MTP SKU]],'MTP SKUs - Master Data'!A:D,3,0)</f>
        <v>Nohee Bed Side Table</v>
      </c>
      <c r="I76" s="40"/>
      <c r="J76" s="36"/>
      <c r="K76" s="37" t="s">
        <v>613</v>
      </c>
      <c r="L76" s="38" t="s">
        <v>614</v>
      </c>
      <c r="M76" s="38" t="s">
        <v>615</v>
      </c>
      <c r="N76" s="38" t="s">
        <v>616</v>
      </c>
      <c r="O76" s="39" t="s">
        <v>617</v>
      </c>
      <c r="P76" s="39" t="s">
        <v>618</v>
      </c>
      <c r="Q76" s="39">
        <v>35520708</v>
      </c>
    </row>
    <row r="77" spans="1:17">
      <c r="A77" s="60" t="s">
        <v>619</v>
      </c>
      <c r="B77" s="45" t="str">
        <f>IFERROR(VLOOKUP(Table1[[#This Row],[Seller SKU]],'[1]FG Snapshot (V2)'!$A:$B,2,0),"AR")</f>
        <v>Y</v>
      </c>
      <c r="C77" s="45">
        <f>IFERROR(VLOOKUP(Table1[[#This Row],[Seller SKU]],'[1]FG Snapshot (V2)'!$A:$E,5,0),"AR")</f>
        <v>89</v>
      </c>
      <c r="D77" s="40" t="s">
        <v>620</v>
      </c>
      <c r="E77" s="64" t="str">
        <f>VLOOKUP(Table1[[#This Row],[MTP SKU]],'MTP SKUs - Master Data'!A:D,3,0)</f>
        <v>Freddie Dressing Table</v>
      </c>
      <c r="F77" s="64" t="s">
        <v>19</v>
      </c>
      <c r="G77" s="64" t="str">
        <f>_xlfn.CONCAT(Table1[[#This Row],[MTP Name]]," ",Table1[[#This Row],[ Child Color]])</f>
        <v>Freddie Dressing Table Brown Maple</v>
      </c>
      <c r="H77" s="33" t="str">
        <f>VLOOKUP(Table1[[#This Row],[MTP SKU]],'MTP SKUs - Master Data'!A:D,3,0)</f>
        <v>Freddie Dressing Table</v>
      </c>
      <c r="I77" s="40"/>
      <c r="J77" s="36"/>
      <c r="K77" s="37" t="s">
        <v>621</v>
      </c>
      <c r="L77" s="38" t="s">
        <v>622</v>
      </c>
      <c r="M77" s="38"/>
      <c r="N77" s="38" t="s">
        <v>623</v>
      </c>
      <c r="O77" s="39" t="s">
        <v>624</v>
      </c>
      <c r="P77" s="39" t="s">
        <v>62</v>
      </c>
      <c r="Q77" s="39" t="e">
        <v>#N/A</v>
      </c>
    </row>
    <row r="78" spans="1:17">
      <c r="A78" s="59" t="s">
        <v>625</v>
      </c>
      <c r="B78" s="45" t="str">
        <f>IFERROR(VLOOKUP(Table1[[#This Row],[Seller SKU]],'[1]FG Snapshot (V2)'!$A:$B,2,0),"AR")</f>
        <v>Y</v>
      </c>
      <c r="C78" s="45">
        <f>IFERROR(VLOOKUP(Table1[[#This Row],[Seller SKU]],'[1]FG Snapshot (V2)'!$A:$E,5,0),"AR")</f>
        <v>160</v>
      </c>
      <c r="D78" s="88" t="s">
        <v>626</v>
      </c>
      <c r="E78" s="64" t="str">
        <f>VLOOKUP(Table1[[#This Row],[MTP SKU]],'MTP SKUs - Master Data'!A:D,3,0)</f>
        <v>Taury Rectangle Coffee Table</v>
      </c>
      <c r="F78" s="64" t="s">
        <v>19</v>
      </c>
      <c r="G78" s="64" t="str">
        <f>_xlfn.CONCAT(Table1[[#This Row],[MTP Name]]," ",Table1[[#This Row],[ Child Color]])</f>
        <v>Taury Rectangle Coffee Table Brown Maple</v>
      </c>
      <c r="H78" s="33" t="str">
        <f>VLOOKUP(Table1[[#This Row],[MTP SKU]],'MTP SKUs - Master Data'!A:D,3,0)</f>
        <v>Taury Rectangle Coffee Table</v>
      </c>
      <c r="I78" s="40"/>
      <c r="J78" s="36" t="s">
        <v>627</v>
      </c>
      <c r="K78" s="37" t="s">
        <v>628</v>
      </c>
      <c r="L78" s="38" t="s">
        <v>629</v>
      </c>
      <c r="M78" s="38" t="s">
        <v>630</v>
      </c>
      <c r="N78" s="38" t="s">
        <v>631</v>
      </c>
      <c r="O78" s="39" t="s">
        <v>632</v>
      </c>
      <c r="P78" s="39" t="s">
        <v>62</v>
      </c>
      <c r="Q78" s="39">
        <v>34399035</v>
      </c>
    </row>
    <row r="79" spans="1:17">
      <c r="A79" s="59" t="s">
        <v>633</v>
      </c>
      <c r="B79" s="45" t="str">
        <f>IFERROR(VLOOKUP(Table1[[#This Row],[Seller SKU]],'[1]FG Snapshot (V2)'!$A:$B,2,0),"AR")</f>
        <v>Y</v>
      </c>
      <c r="C79" s="45">
        <f>IFERROR(VLOOKUP(Table1[[#This Row],[Seller SKU]],'[1]FG Snapshot (V2)'!$A:$E,5,0),"AR")</f>
        <v>65</v>
      </c>
      <c r="D79" s="88" t="s">
        <v>634</v>
      </c>
      <c r="E79" s="64" t="str">
        <f>VLOOKUP(Table1[[#This Row],[MTP SKU]],'MTP SKUs - Master Data'!A:D,3,0)</f>
        <v>Prorage Shoe Rack</v>
      </c>
      <c r="F79" s="64" t="s">
        <v>28</v>
      </c>
      <c r="G79" s="64" t="str">
        <f>_xlfn.CONCAT(Table1[[#This Row],[MTP Name]]," ",Table1[[#This Row],[ Child Color]])</f>
        <v>Prorage Shoe Rack Brown Maple &amp; White</v>
      </c>
      <c r="H79" s="33" t="str">
        <f>VLOOKUP(Table1[[#This Row],[MTP SKU]],'MTP SKUs - Master Data'!A:D,3,0)</f>
        <v>Prorage Shoe Rack</v>
      </c>
      <c r="I79" s="40"/>
      <c r="J79" s="36" t="s">
        <v>635</v>
      </c>
      <c r="K79" s="37" t="s">
        <v>636</v>
      </c>
      <c r="L79" s="38" t="s">
        <v>637</v>
      </c>
      <c r="M79" s="38" t="s">
        <v>638</v>
      </c>
      <c r="N79" s="38" t="s">
        <v>639</v>
      </c>
      <c r="O79" s="39" t="s">
        <v>640</v>
      </c>
      <c r="P79" s="39" t="s">
        <v>641</v>
      </c>
      <c r="Q79" s="39">
        <v>34399015</v>
      </c>
    </row>
    <row r="80" spans="1:17">
      <c r="A80" s="59" t="s">
        <v>642</v>
      </c>
      <c r="B80" s="45" t="str">
        <f>IFERROR(VLOOKUP(Table1[[#This Row],[Seller SKU]],'[1]FG Snapshot (V2)'!$A:$B,2,0),"AR")</f>
        <v>Y</v>
      </c>
      <c r="C80" s="45">
        <f>IFERROR(VLOOKUP(Table1[[#This Row],[Seller SKU]],'[1]FG Snapshot (V2)'!$A:$E,5,0),"AR")</f>
        <v>52</v>
      </c>
      <c r="D80" s="88" t="s">
        <v>643</v>
      </c>
      <c r="E80" s="64" t="str">
        <f>VLOOKUP(Table1[[#This Row],[MTP SKU]],'MTP SKUs - Master Data'!A:D,3,0)</f>
        <v>Maisy Large TV Unit</v>
      </c>
      <c r="F80" s="64" t="s">
        <v>28</v>
      </c>
      <c r="G80" s="64" t="str">
        <f>_xlfn.CONCAT(Table1[[#This Row],[MTP Name]]," ",Table1[[#This Row],[ Child Color]])</f>
        <v>Maisy Large TV Unit Brown Maple &amp; White</v>
      </c>
      <c r="H80" s="33" t="str">
        <f>VLOOKUP(Table1[[#This Row],[MTP SKU]],'MTP SKUs - Master Data'!A:D,3,0)</f>
        <v>Maisy Large TV Unit</v>
      </c>
      <c r="I80" s="40"/>
      <c r="J80" s="36" t="s">
        <v>644</v>
      </c>
      <c r="K80" s="37" t="s">
        <v>645</v>
      </c>
      <c r="L80" s="38" t="s">
        <v>646</v>
      </c>
      <c r="M80" s="38" t="s">
        <v>647</v>
      </c>
      <c r="N80" s="38" t="s">
        <v>648</v>
      </c>
      <c r="O80" s="39" t="s">
        <v>649</v>
      </c>
      <c r="P80" s="39" t="s">
        <v>650</v>
      </c>
      <c r="Q80" s="39">
        <v>34398998</v>
      </c>
    </row>
    <row r="81" spans="1:17">
      <c r="A81" s="59" t="s">
        <v>651</v>
      </c>
      <c r="B81" s="45" t="str">
        <f>IFERROR(VLOOKUP(Table1[[#This Row],[Seller SKU]],'[1]FG Snapshot (V2)'!$A:$B,2,0),"AR")</f>
        <v>Y</v>
      </c>
      <c r="C81" s="45">
        <f>IFERROR(VLOOKUP(Table1[[#This Row],[Seller SKU]],'[1]FG Snapshot (V2)'!$A:$E,5,0),"AR")</f>
        <v>109</v>
      </c>
      <c r="D81" s="88" t="s">
        <v>652</v>
      </c>
      <c r="E81" s="64" t="str">
        <f>VLOOKUP(Table1[[#This Row],[MTP SKU]],'MTP SKUs - Master Data'!A:D,3,0)</f>
        <v>Oleye Shoe Rack</v>
      </c>
      <c r="F81" s="64" t="s">
        <v>97</v>
      </c>
      <c r="G81" s="64" t="str">
        <f>_xlfn.CONCAT(Table1[[#This Row],[MTP Name]]," ",Table1[[#This Row],[ Child Color]])</f>
        <v>Oleye Shoe Rack Brown Maple &amp; Beige</v>
      </c>
      <c r="H81" s="33" t="str">
        <f>VLOOKUP(Table1[[#This Row],[MTP SKU]],'MTP SKUs - Master Data'!A:D,3,0)</f>
        <v>Oleye Shoe Rack</v>
      </c>
      <c r="I81" s="40"/>
      <c r="J81" s="36" t="s">
        <v>653</v>
      </c>
      <c r="K81" s="37" t="s">
        <v>654</v>
      </c>
      <c r="L81" s="38" t="s">
        <v>655</v>
      </c>
      <c r="M81" s="38" t="s">
        <v>656</v>
      </c>
      <c r="N81" s="38" t="s">
        <v>657</v>
      </c>
      <c r="O81" s="39" t="s">
        <v>658</v>
      </c>
      <c r="P81" s="39" t="s">
        <v>659</v>
      </c>
      <c r="Q81" s="39">
        <v>34399084</v>
      </c>
    </row>
    <row r="82" spans="1:17">
      <c r="A82" s="59" t="s">
        <v>660</v>
      </c>
      <c r="B82" s="45" t="str">
        <f>IFERROR(VLOOKUP(Table1[[#This Row],[Seller SKU]],'[1]FG Snapshot (V2)'!$A:$B,2,0),"AR")</f>
        <v>Y</v>
      </c>
      <c r="C82" s="45">
        <f>IFERROR(VLOOKUP(Table1[[#This Row],[Seller SKU]],'[1]FG Snapshot (V2)'!$A:$E,5,0),"AR")</f>
        <v>111</v>
      </c>
      <c r="D82" s="88" t="s">
        <v>661</v>
      </c>
      <c r="E82" s="64" t="str">
        <f>VLOOKUP(Table1[[#This Row],[MTP SKU]],'MTP SKUs - Master Data'!A:D,3,0)</f>
        <v>Albert Wall Shelve</v>
      </c>
      <c r="F82" s="64" t="s">
        <v>182</v>
      </c>
      <c r="G82" s="64" t="str">
        <f>_xlfn.CONCAT(Table1[[#This Row],[MTP Name]]," ",Table1[[#This Row],[ Child Color]])</f>
        <v>Albert Wall Shelve Wenge</v>
      </c>
      <c r="H82" s="33" t="str">
        <f>VLOOKUP(Table1[[#This Row],[MTP SKU]],'MTP SKUs - Master Data'!A:D,3,0)</f>
        <v>Albert Wall Shelve</v>
      </c>
      <c r="I82" s="40"/>
      <c r="J82" s="36" t="s">
        <v>662</v>
      </c>
      <c r="K82" s="37" t="s">
        <v>663</v>
      </c>
      <c r="L82" s="38" t="s">
        <v>664</v>
      </c>
      <c r="M82" s="38" t="s">
        <v>665</v>
      </c>
      <c r="N82" s="38" t="s">
        <v>666</v>
      </c>
      <c r="O82" s="39" t="s">
        <v>667</v>
      </c>
      <c r="P82" s="39" t="s">
        <v>62</v>
      </c>
      <c r="Q82" s="39">
        <v>34163061</v>
      </c>
    </row>
    <row r="83" spans="1:17">
      <c r="A83" s="60" t="s">
        <v>668</v>
      </c>
      <c r="B83" s="45" t="str">
        <f>IFERROR(VLOOKUP(Table1[[#This Row],[Seller SKU]],'[1]FG Snapshot (V2)'!$A:$B,2,0),"AR")</f>
        <v>Y</v>
      </c>
      <c r="C83" s="45">
        <f>IFERROR(VLOOKUP(Table1[[#This Row],[Seller SKU]],'[1]FG Snapshot (V2)'!$A:$E,5,0),"AR")</f>
        <v>47</v>
      </c>
      <c r="D83" s="40" t="s">
        <v>669</v>
      </c>
      <c r="E83" s="64" t="str">
        <f>VLOOKUP(Table1[[#This Row],[MTP SKU]],'MTP SKUs - Master Data'!A:D,3,0)</f>
        <v>Calcio 4-Tier Wardrobe</v>
      </c>
      <c r="F83" s="64" t="s">
        <v>19</v>
      </c>
      <c r="G83" s="64" t="str">
        <f>_xlfn.CONCAT(Table1[[#This Row],[MTP Name]]," ",Table1[[#This Row],[ Child Color]])</f>
        <v>Calcio 4-Tier Wardrobe Brown Maple</v>
      </c>
      <c r="H83" s="33" t="str">
        <f>VLOOKUP(Table1[[#This Row],[MTP SKU]],'MTP SKUs - Master Data'!A:D,3,0)</f>
        <v>Calcio 4-Tier Wardrobe</v>
      </c>
      <c r="I83" s="40"/>
      <c r="J83" s="36"/>
      <c r="K83" s="37" t="s">
        <v>670</v>
      </c>
      <c r="L83" s="38" t="s">
        <v>671</v>
      </c>
      <c r="M83" s="38" t="s">
        <v>672</v>
      </c>
      <c r="N83" s="38" t="s">
        <v>673</v>
      </c>
      <c r="O83" s="39" t="s">
        <v>674</v>
      </c>
      <c r="P83" s="39" t="s">
        <v>675</v>
      </c>
      <c r="Q83" s="39" t="e">
        <v>#N/A</v>
      </c>
    </row>
    <row r="84" spans="1:17">
      <c r="A84" s="59" t="s">
        <v>676</v>
      </c>
      <c r="B84" s="45" t="str">
        <f>IFERROR(VLOOKUP(Table1[[#This Row],[Seller SKU]],'[1]FG Snapshot (V2)'!$A:$B,2,0),"AR")</f>
        <v>RL</v>
      </c>
      <c r="C84" s="45">
        <f>IFERROR(VLOOKUP(Table1[[#This Row],[Seller SKU]],'[1]FG Snapshot (V2)'!$A:$E,5,0),"AR")</f>
        <v>138</v>
      </c>
      <c r="D84" s="88" t="s">
        <v>677</v>
      </c>
      <c r="E84" s="64" t="str">
        <f>VLOOKUP(Table1[[#This Row],[MTP SKU]],'MTP SKUs - Master Data'!A:D,3,0)</f>
        <v>Corbyn Solo Study Table</v>
      </c>
      <c r="F84" s="64" t="s">
        <v>28</v>
      </c>
      <c r="G84" s="64" t="str">
        <f>_xlfn.CONCAT(Table1[[#This Row],[MTP Name]]," ",Table1[[#This Row],[ Child Color]])</f>
        <v>Corbyn Solo Study Table Brown Maple &amp; White</v>
      </c>
      <c r="H84" s="33" t="str">
        <f>VLOOKUP(Table1[[#This Row],[MTP SKU]],'MTP SKUs - Master Data'!A:D,3,0)</f>
        <v>Corbyn Solo Study Table</v>
      </c>
      <c r="I84" s="40"/>
      <c r="J84" s="36" t="s">
        <v>678</v>
      </c>
      <c r="K84" s="37" t="s">
        <v>679</v>
      </c>
      <c r="L84" s="38" t="s">
        <v>680</v>
      </c>
      <c r="M84" s="38" t="s">
        <v>681</v>
      </c>
      <c r="N84" s="38" t="s">
        <v>682</v>
      </c>
      <c r="O84" s="39" t="s">
        <v>683</v>
      </c>
      <c r="P84" s="39" t="s">
        <v>684</v>
      </c>
      <c r="Q84" s="39">
        <v>34399005</v>
      </c>
    </row>
    <row r="85" spans="1:17">
      <c r="A85" s="59" t="s">
        <v>685</v>
      </c>
      <c r="B85" s="45" t="str">
        <f>IFERROR(VLOOKUP(Table1[[#This Row],[Seller SKU]],'[1]FG Snapshot (V2)'!$A:$B,2,0),"AR")</f>
        <v>Y</v>
      </c>
      <c r="C85" s="45">
        <f>IFERROR(VLOOKUP(Table1[[#This Row],[Seller SKU]],'[1]FG Snapshot (V2)'!$A:$E,5,0),"AR")</f>
        <v>103</v>
      </c>
      <c r="D85" s="88" t="s">
        <v>206</v>
      </c>
      <c r="E85" s="64" t="str">
        <f>VLOOKUP(Table1[[#This Row],[MTP SKU]],'MTP SKUs - Master Data'!A:D,3,0)</f>
        <v>Brooklyn Shoe Rack</v>
      </c>
      <c r="F85" s="64" t="s">
        <v>28</v>
      </c>
      <c r="G85" s="64" t="str">
        <f>_xlfn.CONCAT(Table1[[#This Row],[MTP Name]]," ",Table1[[#This Row],[ Child Color]])</f>
        <v>Brooklyn Shoe Rack Brown Maple &amp; White</v>
      </c>
      <c r="H85" s="33" t="str">
        <f>VLOOKUP(Table1[[#This Row],[MTP SKU]],'MTP SKUs - Master Data'!A:D,3,0)</f>
        <v>Brooklyn Shoe Rack</v>
      </c>
      <c r="I85" s="40"/>
      <c r="J85" s="36" t="s">
        <v>686</v>
      </c>
      <c r="K85" s="37" t="s">
        <v>687</v>
      </c>
      <c r="L85" s="38" t="s">
        <v>688</v>
      </c>
      <c r="M85" s="38" t="s">
        <v>689</v>
      </c>
      <c r="N85" s="38" t="s">
        <v>690</v>
      </c>
      <c r="O85" s="39" t="s">
        <v>691</v>
      </c>
      <c r="P85" s="39" t="s">
        <v>692</v>
      </c>
      <c r="Q85" s="39">
        <v>34399130</v>
      </c>
    </row>
    <row r="86" spans="1:17">
      <c r="A86" s="59" t="s">
        <v>693</v>
      </c>
      <c r="B86" s="45" t="str">
        <f>IFERROR(VLOOKUP(Table1[[#This Row],[Seller SKU]],'[1]FG Snapshot (V2)'!$A:$B,2,0),"AR")</f>
        <v>Y</v>
      </c>
      <c r="C86" s="45">
        <f>IFERROR(VLOOKUP(Table1[[#This Row],[Seller SKU]],'[1]FG Snapshot (V2)'!$A:$E,5,0),"AR")</f>
        <v>153</v>
      </c>
      <c r="D86" s="88" t="s">
        <v>694</v>
      </c>
      <c r="E86" s="64" t="str">
        <f>VLOOKUP(Table1[[#This Row],[MTP SKU]],'MTP SKUs - Master Data'!A:D,3,0)</f>
        <v>Seonn Bookshelf</v>
      </c>
      <c r="F86" s="64" t="s">
        <v>182</v>
      </c>
      <c r="G86" s="64" t="str">
        <f>_xlfn.CONCAT(Table1[[#This Row],[MTP Name]]," ",Table1[[#This Row],[ Child Color]])</f>
        <v>Seonn Bookshelf Wenge</v>
      </c>
      <c r="H86" s="33" t="str">
        <f>VLOOKUP(Table1[[#This Row],[MTP SKU]],'MTP SKUs - Master Data'!A:D,3,0)</f>
        <v>Seonn Bookshelf</v>
      </c>
      <c r="I86" s="40"/>
      <c r="J86" s="36" t="s">
        <v>695</v>
      </c>
      <c r="K86" s="37" t="s">
        <v>696</v>
      </c>
      <c r="L86" s="38" t="s">
        <v>697</v>
      </c>
      <c r="M86" s="38" t="s">
        <v>698</v>
      </c>
      <c r="N86" s="38" t="s">
        <v>699</v>
      </c>
      <c r="O86" s="39" t="s">
        <v>700</v>
      </c>
      <c r="P86" s="39" t="s">
        <v>701</v>
      </c>
      <c r="Q86" s="39">
        <v>34380988</v>
      </c>
    </row>
    <row r="87" spans="1:17">
      <c r="A87" s="59" t="s">
        <v>702</v>
      </c>
      <c r="B87" s="45" t="str">
        <f>IFERROR(VLOOKUP(Table1[[#This Row],[Seller SKU]],'[1]FG Snapshot (V2)'!$A:$B,2,0),"AR")</f>
        <v>Y</v>
      </c>
      <c r="C87" s="45">
        <f>IFERROR(VLOOKUP(Table1[[#This Row],[Seller SKU]],'[1]FG Snapshot (V2)'!$A:$E,5,0),"AR")</f>
        <v>64</v>
      </c>
      <c r="D87" s="88" t="s">
        <v>703</v>
      </c>
      <c r="E87" s="64" t="str">
        <f>VLOOKUP(Table1[[#This Row],[MTP SKU]],'MTP SKUs - Master Data'!A:D,3,0)</f>
        <v>Primax Grande Standard TV Unit</v>
      </c>
      <c r="F87" s="64" t="s">
        <v>28</v>
      </c>
      <c r="G87" s="64" t="str">
        <f>_xlfn.CONCAT(Table1[[#This Row],[MTP Name]]," ",Table1[[#This Row],[ Child Color]])</f>
        <v>Primax Grande Standard TV Unit Brown Maple &amp; White</v>
      </c>
      <c r="H87" s="33" t="str">
        <f>VLOOKUP(Table1[[#This Row],[MTP SKU]],'MTP SKUs - Master Data'!A:D,3,0)</f>
        <v>Primax Grande Standard TV Unit</v>
      </c>
      <c r="I87" s="40"/>
      <c r="J87" s="36" t="s">
        <v>704</v>
      </c>
      <c r="K87" s="37" t="s">
        <v>705</v>
      </c>
      <c r="L87" s="38" t="s">
        <v>706</v>
      </c>
      <c r="M87" s="38" t="s">
        <v>707</v>
      </c>
      <c r="N87" s="38" t="s">
        <v>708</v>
      </c>
      <c r="O87" s="39" t="s">
        <v>709</v>
      </c>
      <c r="P87" s="39" t="s">
        <v>62</v>
      </c>
      <c r="Q87" s="39">
        <v>34399040</v>
      </c>
    </row>
    <row r="88" spans="1:17">
      <c r="A88" s="59" t="s">
        <v>710</v>
      </c>
      <c r="B88" s="45" t="str">
        <f>IFERROR(VLOOKUP(Table1[[#This Row],[Seller SKU]],'[1]FG Snapshot (V2)'!$A:$B,2,0),"AR")</f>
        <v>Y</v>
      </c>
      <c r="C88" s="45">
        <f>IFERROR(VLOOKUP(Table1[[#This Row],[Seller SKU]],'[1]FG Snapshot (V2)'!$A:$E,5,0),"AR")</f>
        <v>94</v>
      </c>
      <c r="D88" s="88" t="s">
        <v>711</v>
      </c>
      <c r="E88" s="64" t="str">
        <f>VLOOKUP(Table1[[#This Row],[MTP SKU]],'MTP SKUs - Master Data'!A:D,3,0)</f>
        <v>Noel Rectangle Coffee Table</v>
      </c>
      <c r="F88" s="64" t="s">
        <v>19</v>
      </c>
      <c r="G88" s="64" t="str">
        <f>_xlfn.CONCAT(Table1[[#This Row],[MTP Name]]," ",Table1[[#This Row],[ Child Color]])</f>
        <v>Noel Rectangle Coffee Table Brown Maple</v>
      </c>
      <c r="H88" s="33" t="str">
        <f>VLOOKUP(Table1[[#This Row],[MTP SKU]],'MTP SKUs - Master Data'!A:D,3,0)</f>
        <v>Noel Rectangle Coffee Table</v>
      </c>
      <c r="I88" s="40"/>
      <c r="J88" s="36" t="s">
        <v>712</v>
      </c>
      <c r="K88" s="37" t="s">
        <v>713</v>
      </c>
      <c r="L88" s="38" t="s">
        <v>714</v>
      </c>
      <c r="M88" s="38" t="s">
        <v>715</v>
      </c>
      <c r="N88" s="38" t="s">
        <v>716</v>
      </c>
      <c r="O88" s="39" t="s">
        <v>717</v>
      </c>
      <c r="P88" s="39" t="s">
        <v>718</v>
      </c>
      <c r="Q88" s="39">
        <v>34399095</v>
      </c>
    </row>
    <row r="89" spans="1:17">
      <c r="A89" s="60" t="s">
        <v>719</v>
      </c>
      <c r="B89" s="45" t="str">
        <f>IFERROR(VLOOKUP(Table1[[#This Row],[Seller SKU]],'[1]FG Snapshot (V2)'!$A:$B,2,0),"AR")</f>
        <v>Y</v>
      </c>
      <c r="C89" s="45">
        <f>IFERROR(VLOOKUP(Table1[[#This Row],[Seller SKU]],'[1]FG Snapshot (V2)'!$A:$E,5,0),"AR")</f>
        <v>91</v>
      </c>
      <c r="D89" s="40" t="s">
        <v>720</v>
      </c>
      <c r="E89" s="64" t="str">
        <f>VLOOKUP(Table1[[#This Row],[MTP SKU]],'MTP SKUs - Master Data'!A:D,3,0)</f>
        <v>Bonco Wardrobe</v>
      </c>
      <c r="F89" s="64" t="s">
        <v>28</v>
      </c>
      <c r="G89" s="64" t="str">
        <f>_xlfn.CONCAT(Table1[[#This Row],[MTP Name]]," ",Table1[[#This Row],[ Child Color]])</f>
        <v>Bonco Wardrobe Brown Maple &amp; White</v>
      </c>
      <c r="H89" s="33" t="str">
        <f>VLOOKUP(Table1[[#This Row],[MTP SKU]],'MTP SKUs - Master Data'!A:D,3,0)</f>
        <v>Bonco Wardrobe</v>
      </c>
      <c r="I89" s="40"/>
      <c r="J89" s="36"/>
      <c r="K89" s="37" t="s">
        <v>721</v>
      </c>
      <c r="L89" s="38" t="s">
        <v>722</v>
      </c>
      <c r="M89" s="38" t="s">
        <v>723</v>
      </c>
      <c r="N89" s="38" t="s">
        <v>724</v>
      </c>
      <c r="O89" s="39" t="s">
        <v>725</v>
      </c>
      <c r="P89" s="39" t="s">
        <v>726</v>
      </c>
      <c r="Q89" s="39" t="e">
        <v>#N/A</v>
      </c>
    </row>
    <row r="90" spans="1:17">
      <c r="A90" s="59" t="s">
        <v>727</v>
      </c>
      <c r="B90" s="45" t="str">
        <f>IFERROR(VLOOKUP(Table1[[#This Row],[Seller SKU]],'[1]FG Snapshot (V2)'!$A:$B,2,0),"AR")</f>
        <v>RL</v>
      </c>
      <c r="C90" s="45">
        <f>IFERROR(VLOOKUP(Table1[[#This Row],[Seller SKU]],'[1]FG Snapshot (V2)'!$A:$E,5,0),"AR")</f>
        <v>96</v>
      </c>
      <c r="D90" s="88" t="s">
        <v>728</v>
      </c>
      <c r="E90" s="64" t="str">
        <f>VLOOKUP(Table1[[#This Row],[MTP SKU]],'MTP SKUs - Master Data'!A:D,3,0)</f>
        <v>Declove Coffee Table</v>
      </c>
      <c r="F90" s="64" t="s">
        <v>46</v>
      </c>
      <c r="G90" s="64" t="str">
        <f>_xlfn.CONCAT(Table1[[#This Row],[MTP Name]]," ",Table1[[#This Row],[ Child Color]])</f>
        <v>Declove Coffee Table Wenge &amp; White</v>
      </c>
      <c r="H90" s="33" t="str">
        <f>VLOOKUP(Table1[[#This Row],[MTP SKU]],'MTP SKUs - Master Data'!A:D,3,0)</f>
        <v>Declove Coffee Table</v>
      </c>
      <c r="I90" s="40"/>
      <c r="J90" s="36" t="s">
        <v>729</v>
      </c>
      <c r="K90" s="37" t="s">
        <v>730</v>
      </c>
      <c r="L90" s="38" t="s">
        <v>731</v>
      </c>
      <c r="M90" s="38" t="s">
        <v>732</v>
      </c>
      <c r="N90" s="38" t="s">
        <v>733</v>
      </c>
      <c r="O90" s="39" t="s">
        <v>734</v>
      </c>
      <c r="P90" s="39" t="s">
        <v>735</v>
      </c>
      <c r="Q90" s="39">
        <v>34399102</v>
      </c>
    </row>
    <row r="91" spans="1:17">
      <c r="A91" s="59" t="s">
        <v>736</v>
      </c>
      <c r="B91" s="45" t="str">
        <f>IFERROR(VLOOKUP(Table1[[#This Row],[Seller SKU]],'[1]FG Snapshot (V2)'!$A:$B,2,0),"AR")</f>
        <v>Y</v>
      </c>
      <c r="C91" s="45">
        <f>IFERROR(VLOOKUP(Table1[[#This Row],[Seller SKU]],'[1]FG Snapshot (V2)'!$A:$E,5,0),"AR")</f>
        <v>70</v>
      </c>
      <c r="D91" s="88" t="s">
        <v>737</v>
      </c>
      <c r="E91" s="64" t="str">
        <f>VLOOKUP(Table1[[#This Row],[MTP SKU]],'MTP SKUs - Master Data'!A:D,3,0)</f>
        <v>Primax Grande Large TV Unit</v>
      </c>
      <c r="F91" s="64" t="s">
        <v>182</v>
      </c>
      <c r="G91" s="64" t="str">
        <f>_xlfn.CONCAT(Table1[[#This Row],[MTP Name]]," ",Table1[[#This Row],[ Child Color]])</f>
        <v>Primax Grande Large TV Unit Wenge</v>
      </c>
      <c r="H91" s="33" t="str">
        <f>VLOOKUP(Table1[[#This Row],[MTP SKU]],'MTP SKUs - Master Data'!A:D,3,0)</f>
        <v>Primax Grande Large TV Unit</v>
      </c>
      <c r="I91" s="40"/>
      <c r="J91" s="36" t="s">
        <v>738</v>
      </c>
      <c r="K91" s="37" t="s">
        <v>739</v>
      </c>
      <c r="L91" s="38" t="s">
        <v>740</v>
      </c>
      <c r="M91" s="38" t="s">
        <v>741</v>
      </c>
      <c r="N91" s="38" t="s">
        <v>742</v>
      </c>
      <c r="O91" s="39" t="s">
        <v>743</v>
      </c>
      <c r="P91" s="39" t="s">
        <v>62</v>
      </c>
      <c r="Q91" s="39">
        <v>34399150</v>
      </c>
    </row>
    <row r="92" spans="1:17">
      <c r="A92" s="59" t="s">
        <v>744</v>
      </c>
      <c r="B92" s="45" t="str">
        <f>IFERROR(VLOOKUP(Table1[[#This Row],[Seller SKU]],'[1]FG Snapshot (V2)'!$A:$B,2,0),"AR")</f>
        <v>Y</v>
      </c>
      <c r="C92" s="45">
        <f>IFERROR(VLOOKUP(Table1[[#This Row],[Seller SKU]],'[1]FG Snapshot (V2)'!$A:$E,5,0),"AR")</f>
        <v>72</v>
      </c>
      <c r="D92" s="88" t="s">
        <v>745</v>
      </c>
      <c r="E92" s="64" t="str">
        <f>VLOOKUP(Table1[[#This Row],[MTP SKU]],'MTP SKUs - Master Data'!A:D,3,0)</f>
        <v>Mallium With Slider Study Table</v>
      </c>
      <c r="F92" s="64" t="s">
        <v>28</v>
      </c>
      <c r="G92" s="64" t="str">
        <f>_xlfn.CONCAT(Table1[[#This Row],[MTP Name]]," ",Table1[[#This Row],[ Child Color]])</f>
        <v>Mallium With Slider Study Table Brown Maple &amp; White</v>
      </c>
      <c r="H92" s="33" t="str">
        <f>VLOOKUP(Table1[[#This Row],[MTP SKU]],'MTP SKUs - Master Data'!A:D,3,0)</f>
        <v>Mallium With Slider Study Table</v>
      </c>
      <c r="I92" s="40"/>
      <c r="J92" s="36" t="s">
        <v>746</v>
      </c>
      <c r="K92" s="37" t="s">
        <v>747</v>
      </c>
      <c r="L92" s="38" t="s">
        <v>748</v>
      </c>
      <c r="M92" s="38" t="s">
        <v>749</v>
      </c>
      <c r="N92" s="38" t="s">
        <v>750</v>
      </c>
      <c r="O92" s="39" t="s">
        <v>751</v>
      </c>
      <c r="P92" s="39" t="s">
        <v>752</v>
      </c>
      <c r="Q92" s="39">
        <v>34399066</v>
      </c>
    </row>
    <row r="93" spans="1:17">
      <c r="A93" s="59" t="s">
        <v>753</v>
      </c>
      <c r="B93" s="45" t="str">
        <f>IFERROR(VLOOKUP(Table1[[#This Row],[Seller SKU]],'[1]FG Snapshot (V2)'!$A:$B,2,0),"AR")</f>
        <v>Y</v>
      </c>
      <c r="C93" s="45">
        <f>IFERROR(VLOOKUP(Table1[[#This Row],[Seller SKU]],'[1]FG Snapshot (V2)'!$A:$E,5,0),"AR")</f>
        <v>77</v>
      </c>
      <c r="D93" s="88" t="s">
        <v>754</v>
      </c>
      <c r="E93" s="64" t="str">
        <f>VLOOKUP(Table1[[#This Row],[MTP SKU]],'MTP SKUs - Master Data'!A:D,3,0)</f>
        <v>Anatdol Standard Coffee Table</v>
      </c>
      <c r="F93" s="64" t="s">
        <v>19</v>
      </c>
      <c r="G93" s="64" t="str">
        <f>_xlfn.CONCAT(Table1[[#This Row],[MTP Name]]," ",Table1[[#This Row],[ Child Color]])</f>
        <v>Anatdol Standard Coffee Table Brown Maple</v>
      </c>
      <c r="H93" s="33" t="str">
        <f>VLOOKUP(Table1[[#This Row],[MTP SKU]],'MTP SKUs - Master Data'!A:D,3,0)</f>
        <v>Anatdol Standard Coffee Table</v>
      </c>
      <c r="I93" s="40"/>
      <c r="J93" s="36" t="s">
        <v>755</v>
      </c>
      <c r="K93" s="37" t="s">
        <v>756</v>
      </c>
      <c r="L93" s="38" t="s">
        <v>757</v>
      </c>
      <c r="M93" s="38" t="s">
        <v>758</v>
      </c>
      <c r="N93" s="38" t="s">
        <v>759</v>
      </c>
      <c r="O93" s="39" t="s">
        <v>760</v>
      </c>
      <c r="P93" s="39" t="s">
        <v>62</v>
      </c>
      <c r="Q93" s="39">
        <v>34399031</v>
      </c>
    </row>
    <row r="94" spans="1:17">
      <c r="A94" s="59" t="s">
        <v>761</v>
      </c>
      <c r="B94" s="45" t="str">
        <f>IFERROR(VLOOKUP(Table1[[#This Row],[Seller SKU]],'[1]FG Snapshot (V2)'!$A:$B,2,0),"AR")</f>
        <v>Y</v>
      </c>
      <c r="C94" s="45">
        <f>IFERROR(VLOOKUP(Table1[[#This Row],[Seller SKU]],'[1]FG Snapshot (V2)'!$A:$E,5,0),"AR")</f>
        <v>82</v>
      </c>
      <c r="D94" s="88" t="s">
        <v>762</v>
      </c>
      <c r="E94" s="64" t="str">
        <f>VLOOKUP(Table1[[#This Row],[MTP SKU]],'MTP SKUs - Master Data'!A:D,3,0)</f>
        <v>Radisso Study Table</v>
      </c>
      <c r="F94" s="64" t="s">
        <v>19</v>
      </c>
      <c r="G94" s="64" t="str">
        <f>_xlfn.CONCAT(Table1[[#This Row],[MTP Name]]," ",Table1[[#This Row],[ Child Color]])</f>
        <v>Radisso Study Table Brown Maple</v>
      </c>
      <c r="H94" s="33" t="str">
        <f>VLOOKUP(Table1[[#This Row],[MTP SKU]],'MTP SKUs - Master Data'!A:D,3,0)</f>
        <v>Radisso Study Table</v>
      </c>
      <c r="I94" s="40"/>
      <c r="J94" s="36" t="e">
        <v>#N/A</v>
      </c>
      <c r="K94" s="37" t="s">
        <v>763</v>
      </c>
      <c r="L94" s="38" t="s">
        <v>764</v>
      </c>
      <c r="M94" s="38" t="s">
        <v>765</v>
      </c>
      <c r="N94" s="38" t="s">
        <v>766</v>
      </c>
      <c r="O94" s="39" t="s">
        <v>767</v>
      </c>
      <c r="P94" s="39" t="s">
        <v>768</v>
      </c>
      <c r="Q94" s="39">
        <v>34399125</v>
      </c>
    </row>
    <row r="95" spans="1:17">
      <c r="A95" s="59" t="s">
        <v>769</v>
      </c>
      <c r="B95" s="45" t="str">
        <f>IFERROR(VLOOKUP(Table1[[#This Row],[Seller SKU]],'[1]FG Snapshot (V2)'!$A:$B,2,0),"AR")</f>
        <v>Y</v>
      </c>
      <c r="C95" s="45">
        <f>IFERROR(VLOOKUP(Table1[[#This Row],[Seller SKU]],'[1]FG Snapshot (V2)'!$A:$E,5,0),"AR")</f>
        <v>97</v>
      </c>
      <c r="D95" s="88" t="s">
        <v>770</v>
      </c>
      <c r="E95" s="64" t="str">
        <f>VLOOKUP(Table1[[#This Row],[MTP SKU]],'MTP SKUs - Master Data'!A:D,3,0)</f>
        <v>Victor Coffee Table</v>
      </c>
      <c r="F95" s="64" t="s">
        <v>182</v>
      </c>
      <c r="G95" s="64" t="str">
        <f>_xlfn.CONCAT(Table1[[#This Row],[MTP Name]]," ",Table1[[#This Row],[ Child Color]])</f>
        <v>Victor Coffee Table Wenge</v>
      </c>
      <c r="H95" s="33" t="str">
        <f>VLOOKUP(Table1[[#This Row],[MTP SKU]],'MTP SKUs - Master Data'!A:D,3,0)</f>
        <v>Victor Coffee Table</v>
      </c>
      <c r="I95" s="40"/>
      <c r="J95" s="36" t="s">
        <v>771</v>
      </c>
      <c r="K95" s="37" t="s">
        <v>772</v>
      </c>
      <c r="L95" s="38" t="s">
        <v>773</v>
      </c>
      <c r="M95" s="38" t="s">
        <v>774</v>
      </c>
      <c r="N95" s="38" t="s">
        <v>775</v>
      </c>
      <c r="O95" s="39" t="s">
        <v>776</v>
      </c>
      <c r="P95" s="39" t="s">
        <v>777</v>
      </c>
      <c r="Q95" s="39">
        <v>34399172</v>
      </c>
    </row>
    <row r="96" spans="1:17">
      <c r="A96" s="59" t="s">
        <v>778</v>
      </c>
      <c r="B96" s="45" t="str">
        <f>IFERROR(VLOOKUP(Table1[[#This Row],[Seller SKU]],'[1]FG Snapshot (V2)'!$A:$B,2,0),"AR")</f>
        <v>YB</v>
      </c>
      <c r="C96" s="45">
        <f>IFERROR(VLOOKUP(Table1[[#This Row],[Seller SKU]],'[1]FG Snapshot (V2)'!$A:$E,5,0),"AR")</f>
        <v>127</v>
      </c>
      <c r="D96" s="88" t="s">
        <v>779</v>
      </c>
      <c r="E96" s="64" t="str">
        <f>VLOOKUP(Table1[[#This Row],[MTP SKU]],'MTP SKUs - Master Data'!A:D,3,0)</f>
        <v>Braine F6 Shelves Wall Shelve</v>
      </c>
      <c r="F96" s="64" t="s">
        <v>780</v>
      </c>
      <c r="G96" s="64" t="str">
        <f>_xlfn.CONCAT(Table1[[#This Row],[MTP Name]]," ",Table1[[#This Row],[ Child Color]])</f>
        <v>Braine F6 Shelves Wall Shelve Walnut</v>
      </c>
      <c r="H96" s="33" t="str">
        <f>VLOOKUP(Table1[[#This Row],[MTP SKU]],'MTP SKUs - Master Data'!A:D,3,0)</f>
        <v>Braine F6 Shelves Wall Shelve</v>
      </c>
      <c r="I96" s="40"/>
      <c r="J96" s="36" t="s">
        <v>781</v>
      </c>
      <c r="K96" s="37" t="s">
        <v>782</v>
      </c>
      <c r="L96" s="38" t="s">
        <v>783</v>
      </c>
      <c r="M96" s="38" t="s">
        <v>784</v>
      </c>
      <c r="N96" s="38" t="s">
        <v>785</v>
      </c>
      <c r="O96" s="39" t="s">
        <v>786</v>
      </c>
      <c r="P96" s="39" t="s">
        <v>62</v>
      </c>
      <c r="Q96" s="39">
        <v>29525066</v>
      </c>
    </row>
    <row r="97" spans="1:17">
      <c r="A97" s="59" t="s">
        <v>787</v>
      </c>
      <c r="B97" s="45" t="str">
        <f>IFERROR(VLOOKUP(Table1[[#This Row],[Seller SKU]],'[1]FG Snapshot (V2)'!$A:$B,2,0),"AR")</f>
        <v>Y</v>
      </c>
      <c r="C97" s="45">
        <f>IFERROR(VLOOKUP(Table1[[#This Row],[Seller SKU]],'[1]FG Snapshot (V2)'!$A:$E,5,0),"AR")</f>
        <v>41</v>
      </c>
      <c r="D97" s="88" t="s">
        <v>788</v>
      </c>
      <c r="E97" s="64" t="str">
        <f>VLOOKUP(Table1[[#This Row],[MTP SKU]],'MTP SKUs - Master Data'!A:D,3,0)</f>
        <v xml:space="preserve">Roverb Queen Bed </v>
      </c>
      <c r="F97" s="64" t="s">
        <v>19</v>
      </c>
      <c r="G97" s="64" t="str">
        <f>_xlfn.CONCAT(Table1[[#This Row],[MTP Name]]," ",Table1[[#This Row],[ Child Color]])</f>
        <v>Roverb Queen Bed  Brown Maple</v>
      </c>
      <c r="H97" s="33" t="str">
        <f>VLOOKUP(Table1[[#This Row],[MTP SKU]],'MTP SKUs - Master Data'!A:D,3,0)</f>
        <v xml:space="preserve">Roverb Queen Bed </v>
      </c>
      <c r="I97" s="40"/>
      <c r="J97" s="36" t="e">
        <v>#N/A</v>
      </c>
      <c r="K97" s="37" t="s">
        <v>789</v>
      </c>
      <c r="L97" s="38" t="s">
        <v>790</v>
      </c>
      <c r="M97" s="38" t="s">
        <v>791</v>
      </c>
      <c r="N97" s="38" t="s">
        <v>792</v>
      </c>
      <c r="O97" s="39" t="s">
        <v>793</v>
      </c>
      <c r="P97" s="39" t="s">
        <v>794</v>
      </c>
      <c r="Q97" s="39" t="e">
        <v>#N/A</v>
      </c>
    </row>
    <row r="98" spans="1:17">
      <c r="A98" s="59" t="s">
        <v>795</v>
      </c>
      <c r="B98" s="45" t="str">
        <f>IFERROR(VLOOKUP(Table1[[#This Row],[Seller SKU]],'[1]FG Snapshot (V2)'!$A:$B,2,0),"AR")</f>
        <v>Y</v>
      </c>
      <c r="C98" s="45">
        <f>IFERROR(VLOOKUP(Table1[[#This Row],[Seller SKU]],'[1]FG Snapshot (V2)'!$A:$E,5,0),"AR")</f>
        <v>90</v>
      </c>
      <c r="D98" s="88" t="s">
        <v>796</v>
      </c>
      <c r="E98" s="64" t="str">
        <f>VLOOKUP(Table1[[#This Row],[MTP SKU]],'MTP SKUs - Master Data'!A:D,3,0)</f>
        <v>Andrie 4 Door without Mirror Wardrobe</v>
      </c>
      <c r="F98" s="64" t="s">
        <v>97</v>
      </c>
      <c r="G98" s="64" t="str">
        <f>_xlfn.CONCAT(Table1[[#This Row],[MTP Name]]," ",Table1[[#This Row],[ Child Color]])</f>
        <v>Andrie 4 Door without Mirror Wardrobe Brown Maple &amp; Beige</v>
      </c>
      <c r="H98" s="33" t="str">
        <f>VLOOKUP(Table1[[#This Row],[MTP SKU]],'MTP SKUs - Master Data'!A:D,3,0)</f>
        <v>Andrie 4 Door without Mirror Wardrobe</v>
      </c>
      <c r="I98" s="40"/>
      <c r="J98" s="36" t="e">
        <v>#N/A</v>
      </c>
      <c r="K98" s="37" t="s">
        <v>797</v>
      </c>
      <c r="L98" s="38" t="s">
        <v>798</v>
      </c>
      <c r="M98" s="38" t="s">
        <v>799</v>
      </c>
      <c r="N98" s="38" t="s">
        <v>800</v>
      </c>
      <c r="O98" s="39" t="s">
        <v>801</v>
      </c>
      <c r="P98" s="39" t="s">
        <v>62</v>
      </c>
      <c r="Q98" s="39" t="e">
        <v>#N/A</v>
      </c>
    </row>
    <row r="99" spans="1:17">
      <c r="A99" s="59" t="s">
        <v>802</v>
      </c>
      <c r="B99" s="45" t="str">
        <f>IFERROR(VLOOKUP(Table1[[#This Row],[Seller SKU]],'[1]FG Snapshot (V2)'!$A:$B,2,0),"AR")</f>
        <v>Y</v>
      </c>
      <c r="C99" s="45">
        <f>IFERROR(VLOOKUP(Table1[[#This Row],[Seller SKU]],'[1]FG Snapshot (V2)'!$A:$E,5,0),"AR")</f>
        <v>135</v>
      </c>
      <c r="D99" s="88" t="s">
        <v>803</v>
      </c>
      <c r="E99" s="64" t="str">
        <f>VLOOKUP(Table1[[#This Row],[MTP SKU]],'MTP SKUs - Master Data'!A:D,3,0)</f>
        <v>Petel TV Unit</v>
      </c>
      <c r="F99" s="64" t="s">
        <v>19</v>
      </c>
      <c r="G99" s="64" t="str">
        <f>_xlfn.CONCAT(Table1[[#This Row],[MTP Name]]," ",Table1[[#This Row],[ Child Color]])</f>
        <v>Petel TV Unit Brown Maple</v>
      </c>
      <c r="H99" s="33" t="str">
        <f>VLOOKUP(Table1[[#This Row],[MTP SKU]],'MTP SKUs - Master Data'!A:D,3,0)</f>
        <v>Petel TV Unit</v>
      </c>
      <c r="I99" s="40"/>
      <c r="J99" s="36" t="s">
        <v>804</v>
      </c>
      <c r="K99" s="37" t="s">
        <v>805</v>
      </c>
      <c r="L99" s="38" t="s">
        <v>806</v>
      </c>
      <c r="M99" s="38" t="s">
        <v>807</v>
      </c>
      <c r="N99" s="38" t="s">
        <v>808</v>
      </c>
      <c r="O99" s="39" t="s">
        <v>809</v>
      </c>
      <c r="P99" s="39" t="s">
        <v>62</v>
      </c>
      <c r="Q99" s="39">
        <v>34399099</v>
      </c>
    </row>
    <row r="100" spans="1:17">
      <c r="A100" s="59" t="s">
        <v>810</v>
      </c>
      <c r="B100" s="45" t="str">
        <f>IFERROR(VLOOKUP(Table1[[#This Row],[Seller SKU]],'[1]FG Snapshot (V2)'!$A:$B,2,0),"AR")</f>
        <v>Y</v>
      </c>
      <c r="C100" s="45">
        <f>IFERROR(VLOOKUP(Table1[[#This Row],[Seller SKU]],'[1]FG Snapshot (V2)'!$A:$E,5,0),"AR")</f>
        <v>53</v>
      </c>
      <c r="D100" s="88" t="s">
        <v>172</v>
      </c>
      <c r="E100" s="64" t="str">
        <f>VLOOKUP(Table1[[#This Row],[MTP SKU]],'MTP SKUs - Master Data'!A:D,3,0)</f>
        <v>Kaspen Shoe Rack</v>
      </c>
      <c r="F100" s="64" t="s">
        <v>182</v>
      </c>
      <c r="G100" s="64" t="str">
        <f>_xlfn.CONCAT(Table1[[#This Row],[MTP Name]]," ",Table1[[#This Row],[ Child Color]])</f>
        <v>Kaspen Shoe Rack Wenge</v>
      </c>
      <c r="H100" s="33" t="str">
        <f>VLOOKUP(Table1[[#This Row],[MTP SKU]],'MTP SKUs - Master Data'!A:D,3,0)</f>
        <v>Kaspen Shoe Rack</v>
      </c>
      <c r="I100" s="40"/>
      <c r="J100" s="36" t="s">
        <v>811</v>
      </c>
      <c r="K100" s="37" t="s">
        <v>812</v>
      </c>
      <c r="L100" s="38" t="s">
        <v>813</v>
      </c>
      <c r="M100" s="38" t="s">
        <v>814</v>
      </c>
      <c r="N100" s="38" t="s">
        <v>815</v>
      </c>
      <c r="O100" s="39" t="s">
        <v>816</v>
      </c>
      <c r="P100" s="39" t="s">
        <v>817</v>
      </c>
      <c r="Q100" s="39">
        <v>34399041</v>
      </c>
    </row>
    <row r="101" spans="1:17">
      <c r="A101" s="59" t="s">
        <v>818</v>
      </c>
      <c r="B101" s="45" t="str">
        <f>IFERROR(VLOOKUP(Table1[[#This Row],[Seller SKU]],'[1]FG Snapshot (V2)'!$A:$B,2,0),"AR")</f>
        <v>Y</v>
      </c>
      <c r="C101" s="45">
        <f>IFERROR(VLOOKUP(Table1[[#This Row],[Seller SKU]],'[1]FG Snapshot (V2)'!$A:$E,5,0),"AR")</f>
        <v>154</v>
      </c>
      <c r="D101" s="88" t="s">
        <v>819</v>
      </c>
      <c r="E101" s="64" t="str">
        <f>VLOOKUP(Table1[[#This Row],[MTP SKU]],'MTP SKUs - Master Data'!A:D,3,0)</f>
        <v>Andrie Single Door with Two Drawer Wardrobe</v>
      </c>
      <c r="F101" s="64" t="s">
        <v>46</v>
      </c>
      <c r="G101" s="64" t="str">
        <f>_xlfn.CONCAT(Table1[[#This Row],[MTP Name]]," ",Table1[[#This Row],[ Child Color]])</f>
        <v>Andrie Single Door with Two Drawer Wardrobe Wenge &amp; White</v>
      </c>
      <c r="H101" s="33" t="str">
        <f>VLOOKUP(Table1[[#This Row],[MTP SKU]],'MTP SKUs - Master Data'!A:D,3,0)</f>
        <v>Andrie Single Door with Two Drawer Wardrobe</v>
      </c>
      <c r="I101" s="40"/>
      <c r="J101" s="36" t="s">
        <v>820</v>
      </c>
      <c r="K101" s="37" t="s">
        <v>821</v>
      </c>
      <c r="L101" s="38" t="s">
        <v>822</v>
      </c>
      <c r="M101" s="38" t="s">
        <v>823</v>
      </c>
      <c r="N101" s="38" t="s">
        <v>824</v>
      </c>
      <c r="O101" s="39" t="s">
        <v>825</v>
      </c>
      <c r="P101" s="39" t="s">
        <v>826</v>
      </c>
      <c r="Q101" s="39" t="e">
        <v>#N/A</v>
      </c>
    </row>
    <row r="102" spans="1:17">
      <c r="A102" s="59" t="s">
        <v>827</v>
      </c>
      <c r="B102" s="45" t="str">
        <f>IFERROR(VLOOKUP(Table1[[#This Row],[Seller SKU]],'[1]FG Snapshot (V2)'!$A:$B,2,0),"AR")</f>
        <v>Y</v>
      </c>
      <c r="C102" s="45">
        <f>IFERROR(VLOOKUP(Table1[[#This Row],[Seller SKU]],'[1]FG Snapshot (V2)'!$A:$E,5,0),"AR")</f>
        <v>107</v>
      </c>
      <c r="D102" s="88" t="s">
        <v>796</v>
      </c>
      <c r="E102" s="64" t="str">
        <f>VLOOKUP(Table1[[#This Row],[MTP SKU]],'MTP SKUs - Master Data'!A:D,3,0)</f>
        <v>Andrie 4 Door without Mirror Wardrobe</v>
      </c>
      <c r="F102" s="64" t="s">
        <v>46</v>
      </c>
      <c r="G102" s="64" t="str">
        <f>_xlfn.CONCAT(Table1[[#This Row],[MTP Name]]," ",Table1[[#This Row],[ Child Color]])</f>
        <v>Andrie 4 Door without Mirror Wardrobe Wenge &amp; White</v>
      </c>
      <c r="H102" s="33" t="str">
        <f>VLOOKUP(Table1[[#This Row],[MTP SKU]],'MTP SKUs - Master Data'!A:D,3,0)</f>
        <v>Andrie 4 Door without Mirror Wardrobe</v>
      </c>
      <c r="I102" s="40"/>
      <c r="J102" s="36" t="e">
        <v>#N/A</v>
      </c>
      <c r="K102" s="37" t="s">
        <v>828</v>
      </c>
      <c r="L102" s="38" t="s">
        <v>829</v>
      </c>
      <c r="M102" s="38" t="s">
        <v>830</v>
      </c>
      <c r="N102" s="38" t="s">
        <v>831</v>
      </c>
      <c r="O102" s="39" t="s">
        <v>832</v>
      </c>
      <c r="P102" s="39" t="s">
        <v>833</v>
      </c>
      <c r="Q102" s="39" t="e">
        <v>#N/A</v>
      </c>
    </row>
    <row r="103" spans="1:17">
      <c r="A103" s="59" t="s">
        <v>834</v>
      </c>
      <c r="B103" s="45" t="str">
        <f>IFERROR(VLOOKUP(Table1[[#This Row],[Seller SKU]],'[1]FG Snapshot (V2)'!$A:$B,2,0),"AR")</f>
        <v>Y</v>
      </c>
      <c r="C103" s="45">
        <f>IFERROR(VLOOKUP(Table1[[#This Row],[Seller SKU]],'[1]FG Snapshot (V2)'!$A:$E,5,0),"AR")</f>
        <v>101</v>
      </c>
      <c r="D103" s="88" t="s">
        <v>835</v>
      </c>
      <c r="E103" s="64" t="str">
        <f>VLOOKUP(Table1[[#This Row],[MTP SKU]],'MTP SKUs - Master Data'!A:D,3,0)</f>
        <v>Andrie Single Door Wardrobe</v>
      </c>
      <c r="F103" s="64" t="s">
        <v>46</v>
      </c>
      <c r="G103" s="64" t="str">
        <f>_xlfn.CONCAT(Table1[[#This Row],[MTP Name]]," ",Table1[[#This Row],[ Child Color]])</f>
        <v>Andrie Single Door Wardrobe Wenge &amp; White</v>
      </c>
      <c r="H103" s="33" t="str">
        <f>VLOOKUP(Table1[[#This Row],[MTP SKU]],'MTP SKUs - Master Data'!A:D,3,0)</f>
        <v>Andrie Single Door Wardrobe</v>
      </c>
      <c r="I103" s="40"/>
      <c r="J103" s="36" t="s">
        <v>836</v>
      </c>
      <c r="K103" s="37" t="s">
        <v>837</v>
      </c>
      <c r="L103" s="38" t="s">
        <v>838</v>
      </c>
      <c r="M103" s="38" t="s">
        <v>839</v>
      </c>
      <c r="N103" s="38" t="s">
        <v>840</v>
      </c>
      <c r="O103" s="39" t="s">
        <v>841</v>
      </c>
      <c r="P103" s="39" t="s">
        <v>62</v>
      </c>
      <c r="Q103" s="39" t="e">
        <v>#N/A</v>
      </c>
    </row>
    <row r="104" spans="1:17">
      <c r="A104" s="59" t="s">
        <v>842</v>
      </c>
      <c r="B104" s="45" t="str">
        <f>IFERROR(VLOOKUP(Table1[[#This Row],[Seller SKU]],'[1]FG Snapshot (V2)'!$A:$B,2,0),"AR")</f>
        <v>Y</v>
      </c>
      <c r="C104" s="45">
        <f>IFERROR(VLOOKUP(Table1[[#This Row],[Seller SKU]],'[1]FG Snapshot (V2)'!$A:$E,5,0),"AR")</f>
        <v>93</v>
      </c>
      <c r="D104" s="88" t="s">
        <v>843</v>
      </c>
      <c r="E104" s="64" t="str">
        <f>VLOOKUP(Table1[[#This Row],[MTP SKU]],'MTP SKUs - Master Data'!A:D,3,0)</f>
        <v>Leo TV Unit</v>
      </c>
      <c r="F104" s="64" t="s">
        <v>19</v>
      </c>
      <c r="G104" s="64" t="str">
        <f>_xlfn.CONCAT(Table1[[#This Row],[MTP Name]]," ",Table1[[#This Row],[ Child Color]])</f>
        <v>Leo TV Unit Brown Maple</v>
      </c>
      <c r="H104" s="33" t="str">
        <f>VLOOKUP(Table1[[#This Row],[MTP SKU]],'MTP SKUs - Master Data'!A:D,3,0)</f>
        <v>Leo TV Unit</v>
      </c>
      <c r="I104" s="40"/>
      <c r="J104" s="36" t="e">
        <v>#N/A</v>
      </c>
      <c r="K104" s="37" t="s">
        <v>844</v>
      </c>
      <c r="L104" s="38" t="s">
        <v>845</v>
      </c>
      <c r="M104" s="38" t="s">
        <v>846</v>
      </c>
      <c r="N104" s="38" t="s">
        <v>847</v>
      </c>
      <c r="O104" s="39" t="s">
        <v>848</v>
      </c>
      <c r="P104" s="39" t="s">
        <v>849</v>
      </c>
      <c r="Q104" s="39">
        <v>34399008</v>
      </c>
    </row>
    <row r="105" spans="1:17">
      <c r="A105" s="60" t="s">
        <v>850</v>
      </c>
      <c r="B105" s="45" t="str">
        <f>IFERROR(VLOOKUP(Table1[[#This Row],[Seller SKU]],'[1]FG Snapshot (V2)'!$A:$B,2,0),"AR")</f>
        <v>NL</v>
      </c>
      <c r="C105" s="45">
        <f>IFERROR(VLOOKUP(Table1[[#This Row],[Seller SKU]],'[1]FG Snapshot (V2)'!$A:$E,5,0),"AR")</f>
        <v>225</v>
      </c>
      <c r="D105" s="40" t="s">
        <v>851</v>
      </c>
      <c r="E105" s="67" t="str">
        <f>VLOOKUP(Table1[[#This Row],[MTP SKU]],'MTP SKUs - Master Data'!A:D,3,0)</f>
        <v>Victor TV Unit</v>
      </c>
      <c r="F105" s="64" t="s">
        <v>28</v>
      </c>
      <c r="G105" s="67" t="str">
        <f>_xlfn.CONCAT(Table1[[#This Row],[MTP Name]]," ",Table1[[#This Row],[ Child Color]])</f>
        <v>Victor TV Unit Brown Maple &amp; White</v>
      </c>
      <c r="H105" s="40" t="str">
        <f>VLOOKUP(Table1[[#This Row],[MTP SKU]],'MTP SKUs - Master Data'!A:D,3,0)</f>
        <v>Victor TV Unit</v>
      </c>
      <c r="I105" s="40"/>
      <c r="J105" s="36"/>
      <c r="K105" s="37" t="s">
        <v>852</v>
      </c>
      <c r="L105" s="38" t="s">
        <v>853</v>
      </c>
      <c r="M105" s="38"/>
      <c r="N105" s="38" t="e">
        <v>#N/A</v>
      </c>
      <c r="O105" s="39"/>
      <c r="P105" s="39" t="s">
        <v>62</v>
      </c>
      <c r="Q105" s="39" t="e">
        <v>#N/A</v>
      </c>
    </row>
    <row r="106" spans="1:17">
      <c r="A106" s="59" t="s">
        <v>854</v>
      </c>
      <c r="B106" s="45" t="str">
        <f>IFERROR(VLOOKUP(Table1[[#This Row],[Seller SKU]],'[1]FG Snapshot (V2)'!$A:$B,2,0),"AR")</f>
        <v>Y</v>
      </c>
      <c r="C106" s="45">
        <f>IFERROR(VLOOKUP(Table1[[#This Row],[Seller SKU]],'[1]FG Snapshot (V2)'!$A:$E,5,0),"AR")</f>
        <v>84</v>
      </c>
      <c r="D106" s="88" t="s">
        <v>855</v>
      </c>
      <c r="E106" s="64" t="str">
        <f>VLOOKUP(Table1[[#This Row],[MTP SKU]],'MTP SKUs - Master Data'!A:D,3,0)</f>
        <v>Karmiya Study Table</v>
      </c>
      <c r="F106" s="64" t="s">
        <v>19</v>
      </c>
      <c r="G106" s="64" t="str">
        <f>_xlfn.CONCAT(Table1[[#This Row],[MTP Name]]," ",Table1[[#This Row],[ Child Color]])</f>
        <v>Karmiya Study Table Brown Maple</v>
      </c>
      <c r="H106" s="33" t="str">
        <f>VLOOKUP(Table1[[#This Row],[MTP SKU]],'MTP SKUs - Master Data'!A:D,3,0)</f>
        <v>Karmiya Study Table</v>
      </c>
      <c r="I106" s="40"/>
      <c r="J106" s="36" t="e">
        <v>#N/A</v>
      </c>
      <c r="K106" s="37" t="s">
        <v>856</v>
      </c>
      <c r="L106" s="38" t="s">
        <v>857</v>
      </c>
      <c r="M106" s="38" t="s">
        <v>858</v>
      </c>
      <c r="N106" s="38" t="s">
        <v>859</v>
      </c>
      <c r="O106" s="39" t="s">
        <v>860</v>
      </c>
      <c r="P106" s="39" t="s">
        <v>861</v>
      </c>
      <c r="Q106" s="39">
        <v>34399037</v>
      </c>
    </row>
    <row r="107" spans="1:17">
      <c r="A107" s="59" t="s">
        <v>862</v>
      </c>
      <c r="B107" s="45" t="str">
        <f>IFERROR(VLOOKUP(Table1[[#This Row],[Seller SKU]],'[1]FG Snapshot (V2)'!$A:$B,2,0),"AR")</f>
        <v>Y</v>
      </c>
      <c r="C107" s="45">
        <f>IFERROR(VLOOKUP(Table1[[#This Row],[Seller SKU]],'[1]FG Snapshot (V2)'!$A:$E,5,0),"AR")</f>
        <v>95</v>
      </c>
      <c r="D107" s="88" t="s">
        <v>215</v>
      </c>
      <c r="E107" s="64" t="str">
        <f>VLOOKUP(Table1[[#This Row],[MTP SKU]],'MTP SKUs - Master Data'!A:D,3,0)</f>
        <v>Petree Wall Shelve</v>
      </c>
      <c r="F107" s="64" t="s">
        <v>182</v>
      </c>
      <c r="G107" s="64" t="str">
        <f>_xlfn.CONCAT(Table1[[#This Row],[MTP Name]]," ",Table1[[#This Row],[ Child Color]])</f>
        <v>Petree Wall Shelve Wenge</v>
      </c>
      <c r="H107" s="33" t="str">
        <f>VLOOKUP(Table1[[#This Row],[MTP SKU]],'MTP SKUs - Master Data'!A:D,3,0)</f>
        <v>Petree Wall Shelve</v>
      </c>
      <c r="I107" s="40"/>
      <c r="J107" s="36" t="s">
        <v>863</v>
      </c>
      <c r="K107" s="37" t="s">
        <v>864</v>
      </c>
      <c r="L107" s="38" t="s">
        <v>865</v>
      </c>
      <c r="M107" s="38" t="s">
        <v>866</v>
      </c>
      <c r="N107" s="38" t="s">
        <v>867</v>
      </c>
      <c r="O107" s="39" t="s">
        <v>868</v>
      </c>
      <c r="P107" s="39" t="s">
        <v>62</v>
      </c>
      <c r="Q107" s="39">
        <v>29525094</v>
      </c>
    </row>
    <row r="108" spans="1:17">
      <c r="A108" s="60" t="s">
        <v>869</v>
      </c>
      <c r="B108" s="45" t="str">
        <f>IFERROR(VLOOKUP(Table1[[#This Row],[Seller SKU]],'[1]FG Snapshot (V2)'!$A:$B,2,0),"AR")</f>
        <v>Y</v>
      </c>
      <c r="C108" s="45">
        <f>IFERROR(VLOOKUP(Table1[[#This Row],[Seller SKU]],'[1]FG Snapshot (V2)'!$A:$E,5,0),"AR")</f>
        <v>140</v>
      </c>
      <c r="D108" s="40" t="s">
        <v>870</v>
      </c>
      <c r="E108" s="64" t="str">
        <f>VLOOKUP(Table1[[#This Row],[MTP SKU]],'MTP SKUs - Master Data'!A:D,3,0)</f>
        <v>Opryt with Shelf  Kichen Cabinet</v>
      </c>
      <c r="F108" s="64" t="s">
        <v>56</v>
      </c>
      <c r="G108" s="64" t="str">
        <f>_xlfn.CONCAT(Table1[[#This Row],[MTP Name]]," ",Table1[[#This Row],[ Child Color]])</f>
        <v>Opryt with Shelf  Kichen Cabinet White</v>
      </c>
      <c r="H108" s="33" t="str">
        <f>VLOOKUP(Table1[[#This Row],[MTP SKU]],'MTP SKUs - Master Data'!A:D,3,0)</f>
        <v>Opryt with Shelf  Kichen Cabinet</v>
      </c>
      <c r="I108" s="40"/>
      <c r="J108" s="36"/>
      <c r="K108" s="37" t="s">
        <v>871</v>
      </c>
      <c r="L108" s="38" t="s">
        <v>872</v>
      </c>
      <c r="M108" s="38" t="s">
        <v>873</v>
      </c>
      <c r="N108" s="38" t="s">
        <v>874</v>
      </c>
      <c r="O108" s="39" t="s">
        <v>875</v>
      </c>
      <c r="P108" s="39" t="s">
        <v>62</v>
      </c>
      <c r="Q108" s="39">
        <v>35522197</v>
      </c>
    </row>
    <row r="109" spans="1:17">
      <c r="A109" s="59" t="s">
        <v>876</v>
      </c>
      <c r="B109" s="45" t="str">
        <f>IFERROR(VLOOKUP(Table1[[#This Row],[Seller SKU]],'[1]FG Snapshot (V2)'!$A:$B,2,0),"AR")</f>
        <v>y</v>
      </c>
      <c r="C109" s="45">
        <f>IFERROR(VLOOKUP(Table1[[#This Row],[Seller SKU]],'[1]FG Snapshot (V2)'!$A:$E,5,0),"AR")</f>
        <v>214</v>
      </c>
      <c r="D109" s="88" t="s">
        <v>877</v>
      </c>
      <c r="E109" s="64" t="str">
        <f>VLOOKUP(Table1[[#This Row],[MTP SKU]],'MTP SKUs - Master Data'!A:D,3,0)</f>
        <v>Andrie 4 Door with Mirror Wardrobe</v>
      </c>
      <c r="F109" s="64" t="s">
        <v>97</v>
      </c>
      <c r="G109" s="64" t="str">
        <f>_xlfn.CONCAT(Table1[[#This Row],[MTP Name]]," ",Table1[[#This Row],[ Child Color]])</f>
        <v>Andrie 4 Door with Mirror Wardrobe Brown Maple &amp; Beige</v>
      </c>
      <c r="H109" s="33" t="str">
        <f>VLOOKUP(Table1[[#This Row],[MTP SKU]],'MTP SKUs - Master Data'!A:D,3,0)</f>
        <v>Andrie 4 Door with Mirror Wardrobe</v>
      </c>
      <c r="I109" s="40"/>
      <c r="J109" s="36" t="e">
        <v>#N/A</v>
      </c>
      <c r="K109" s="37" t="s">
        <v>878</v>
      </c>
      <c r="L109" s="38" t="s">
        <v>879</v>
      </c>
      <c r="M109" s="38" t="s">
        <v>880</v>
      </c>
      <c r="N109" s="38" t="s">
        <v>881</v>
      </c>
      <c r="O109" s="39" t="s">
        <v>882</v>
      </c>
      <c r="P109" s="39" t="s">
        <v>62</v>
      </c>
      <c r="Q109" s="39" t="e">
        <v>#N/A</v>
      </c>
    </row>
    <row r="110" spans="1:17">
      <c r="A110" s="59" t="s">
        <v>883</v>
      </c>
      <c r="B110" s="45" t="str">
        <f>IFERROR(VLOOKUP(Table1[[#This Row],[Seller SKU]],'[1]FG Snapshot (V2)'!$A:$B,2,0),"AR")</f>
        <v>Y</v>
      </c>
      <c r="C110" s="45">
        <f>IFERROR(VLOOKUP(Table1[[#This Row],[Seller SKU]],'[1]FG Snapshot (V2)'!$A:$E,5,0),"AR")</f>
        <v>164</v>
      </c>
      <c r="D110" s="88" t="s">
        <v>539</v>
      </c>
      <c r="E110" s="64" t="str">
        <f>VLOOKUP(Table1[[#This Row],[MTP SKU]],'MTP SKUs - Master Data'!A:D,3,0)</f>
        <v>Mallium without Slider Study Table</v>
      </c>
      <c r="F110" s="64" t="s">
        <v>28</v>
      </c>
      <c r="G110" s="64" t="str">
        <f>_xlfn.CONCAT(Table1[[#This Row],[MTP Name]]," ",Table1[[#This Row],[ Child Color]])</f>
        <v>Mallium without Slider Study Table Brown Maple &amp; White</v>
      </c>
      <c r="H110" s="33" t="str">
        <f>VLOOKUP(Table1[[#This Row],[MTP SKU]],'MTP SKUs - Master Data'!A:D,3,0)</f>
        <v>Mallium without Slider Study Table</v>
      </c>
      <c r="I110" s="40"/>
      <c r="J110" s="36" t="s">
        <v>884</v>
      </c>
      <c r="K110" s="37" t="s">
        <v>885</v>
      </c>
      <c r="L110" s="38" t="s">
        <v>886</v>
      </c>
      <c r="M110" s="38" t="s">
        <v>887</v>
      </c>
      <c r="N110" s="38" t="s">
        <v>888</v>
      </c>
      <c r="O110" s="39" t="s">
        <v>889</v>
      </c>
      <c r="P110" s="39" t="s">
        <v>890</v>
      </c>
      <c r="Q110" s="39">
        <v>34399028</v>
      </c>
    </row>
    <row r="111" spans="1:17">
      <c r="A111" s="60" t="s">
        <v>891</v>
      </c>
      <c r="B111" s="45" t="str">
        <f>IFERROR(VLOOKUP(Table1[[#This Row],[Seller SKU]],'[1]FG Snapshot (V2)'!$A:$B,2,0),"AR")</f>
        <v>NL</v>
      </c>
      <c r="C111" s="45">
        <f>IFERROR(VLOOKUP(Table1[[#This Row],[Seller SKU]],'[1]FG Snapshot (V2)'!$A:$E,5,0),"AR")</f>
        <v>156</v>
      </c>
      <c r="D111" s="40" t="s">
        <v>181</v>
      </c>
      <c r="E111" s="64" t="str">
        <f>VLOOKUP(Table1[[#This Row],[MTP SKU]],'MTP SKUs - Master Data'!A:D,3,0)</f>
        <v>Fenily TV Unit</v>
      </c>
      <c r="F111" s="64" t="s">
        <v>257</v>
      </c>
      <c r="G111" s="67" t="str">
        <f>_xlfn.CONCAT(Table1[[#This Row],[MTP Name]]," ",Table1[[#This Row],[ Child Color]])</f>
        <v>Fenily TV Unit European Oak &amp; White</v>
      </c>
      <c r="H111" s="40" t="str">
        <f>VLOOKUP(Table1[[#This Row],[MTP SKU]],'MTP SKUs - Master Data'!A:D,3,0)</f>
        <v>Fenily TV Unit</v>
      </c>
      <c r="I111" s="40"/>
      <c r="J111" s="36"/>
      <c r="K111" s="37" t="s">
        <v>892</v>
      </c>
      <c r="L111" s="38" t="s">
        <v>893</v>
      </c>
      <c r="M111" s="38"/>
      <c r="N111" s="38" t="e">
        <v>#N/A</v>
      </c>
      <c r="O111" s="39"/>
      <c r="P111" s="39" t="s">
        <v>62</v>
      </c>
      <c r="Q111" s="39"/>
    </row>
    <row r="112" spans="1:17">
      <c r="A112" s="59" t="s">
        <v>894</v>
      </c>
      <c r="B112" s="45" t="str">
        <f>IFERROR(VLOOKUP(Table1[[#This Row],[Seller SKU]],'[1]FG Snapshot (V2)'!$A:$B,2,0),"AR")</f>
        <v>Y</v>
      </c>
      <c r="C112" s="45">
        <f>IFERROR(VLOOKUP(Table1[[#This Row],[Seller SKU]],'[1]FG Snapshot (V2)'!$A:$E,5,0),"AR")</f>
        <v>165</v>
      </c>
      <c r="D112" s="88" t="s">
        <v>895</v>
      </c>
      <c r="E112" s="64" t="str">
        <f>VLOOKUP(Table1[[#This Row],[MTP SKU]],'MTP SKUs - Master Data'!A:D,3,0)</f>
        <v>Oliver Bed Side Table</v>
      </c>
      <c r="F112" s="64" t="s">
        <v>46</v>
      </c>
      <c r="G112" s="64" t="str">
        <f>_xlfn.CONCAT(Table1[[#This Row],[MTP Name]]," ",Table1[[#This Row],[ Child Color]])</f>
        <v>Oliver Bed Side Table Wenge &amp; White</v>
      </c>
      <c r="H112" s="33" t="str">
        <f>VLOOKUP(Table1[[#This Row],[MTP SKU]],'MTP SKUs - Master Data'!A:D,3,0)</f>
        <v>Oliver Bed Side Table</v>
      </c>
      <c r="I112" s="40"/>
      <c r="J112" s="36" t="s">
        <v>896</v>
      </c>
      <c r="K112" s="37" t="s">
        <v>897</v>
      </c>
      <c r="L112" s="38" t="s">
        <v>898</v>
      </c>
      <c r="M112" s="38" t="s">
        <v>899</v>
      </c>
      <c r="N112" s="38" t="s">
        <v>900</v>
      </c>
      <c r="O112" s="39" t="s">
        <v>901</v>
      </c>
      <c r="P112" s="39" t="s">
        <v>902</v>
      </c>
      <c r="Q112" s="39">
        <v>34399079</v>
      </c>
    </row>
    <row r="113" spans="1:17">
      <c r="A113" s="59" t="s">
        <v>903</v>
      </c>
      <c r="B113" s="45" t="str">
        <f>IFERROR(VLOOKUP(Table1[[#This Row],[Seller SKU]],'[1]FG Snapshot (V2)'!$A:$B,2,0),"AR")</f>
        <v>Y</v>
      </c>
      <c r="C113" s="45">
        <f>IFERROR(VLOOKUP(Table1[[#This Row],[Seller SKU]],'[1]FG Snapshot (V2)'!$A:$E,5,0),"AR")</f>
        <v>57</v>
      </c>
      <c r="D113" s="88" t="s">
        <v>904</v>
      </c>
      <c r="E113" s="64" t="str">
        <f>VLOOKUP(Table1[[#This Row],[MTP SKU]],'MTP SKUs - Master Data'!A:D,3,0)</f>
        <v>Rowlet Mini TV Unit</v>
      </c>
      <c r="F113" s="64" t="s">
        <v>46</v>
      </c>
      <c r="G113" s="64" t="str">
        <f>_xlfn.CONCAT(Table1[[#This Row],[MTP Name]]," ",Table1[[#This Row],[ Child Color]])</f>
        <v>Rowlet Mini TV Unit Wenge &amp; White</v>
      </c>
      <c r="H113" s="33" t="str">
        <f>VLOOKUP(Table1[[#This Row],[MTP SKU]],'MTP SKUs - Master Data'!A:D,3,0)</f>
        <v>Rowlet Mini TV Unit</v>
      </c>
      <c r="I113" s="40"/>
      <c r="J113" s="36" t="s">
        <v>905</v>
      </c>
      <c r="K113" s="37" t="s">
        <v>906</v>
      </c>
      <c r="L113" s="38" t="s">
        <v>907</v>
      </c>
      <c r="M113" s="38" t="s">
        <v>908</v>
      </c>
      <c r="N113" s="38" t="s">
        <v>909</v>
      </c>
      <c r="O113" s="39" t="s">
        <v>910</v>
      </c>
      <c r="P113" s="39" t="s">
        <v>911</v>
      </c>
      <c r="Q113" s="39" t="e">
        <v>#N/A</v>
      </c>
    </row>
    <row r="114" spans="1:17">
      <c r="A114" s="59" t="s">
        <v>912</v>
      </c>
      <c r="B114" s="45" t="str">
        <f>IFERROR(VLOOKUP(Table1[[#This Row],[Seller SKU]],'[1]FG Snapshot (V2)'!$A:$B,2,0),"AR")</f>
        <v>y</v>
      </c>
      <c r="C114" s="45">
        <f>IFERROR(VLOOKUP(Table1[[#This Row],[Seller SKU]],'[1]FG Snapshot (V2)'!$A:$E,5,0),"AR")</f>
        <v>98</v>
      </c>
      <c r="D114" s="40" t="s">
        <v>913</v>
      </c>
      <c r="E114" s="64" t="str">
        <f>VLOOKUP(Table1[[#This Row],[MTP SKU]],'MTP SKUs - Master Data'!A:D,3,0)</f>
        <v xml:space="preserve">Maltein Queen With storage Bed </v>
      </c>
      <c r="F114" s="64" t="s">
        <v>97</v>
      </c>
      <c r="G114" s="64" t="str">
        <f>_xlfn.CONCAT(Table1[[#This Row],[MTP Name]]," ",Table1[[#This Row],[ Child Color]])</f>
        <v>Maltein Queen With storage Bed  Brown Maple &amp; Beige</v>
      </c>
      <c r="H114" s="33" t="str">
        <f>VLOOKUP(Table1[[#This Row],[MTP SKU]],'MTP SKUs - Master Data'!A:D,3,0)</f>
        <v xml:space="preserve">Maltein Queen With storage Bed </v>
      </c>
      <c r="I114" s="40"/>
      <c r="J114" s="36" t="e">
        <v>#N/A</v>
      </c>
      <c r="K114" s="37" t="s">
        <v>914</v>
      </c>
      <c r="L114" s="38" t="s">
        <v>915</v>
      </c>
      <c r="M114" s="38" t="s">
        <v>916</v>
      </c>
      <c r="N114" s="38" t="s">
        <v>917</v>
      </c>
      <c r="O114" s="39" t="s">
        <v>918</v>
      </c>
      <c r="P114" s="39" t="s">
        <v>919</v>
      </c>
      <c r="Q114" s="39" t="e">
        <v>#N/A</v>
      </c>
    </row>
    <row r="115" spans="1:17">
      <c r="A115" s="59" t="s">
        <v>920</v>
      </c>
      <c r="B115" s="45" t="str">
        <f>IFERROR(VLOOKUP(Table1[[#This Row],[Seller SKU]],'[1]FG Snapshot (V2)'!$A:$B,2,0),"AR")</f>
        <v>Y</v>
      </c>
      <c r="C115" s="45">
        <f>IFERROR(VLOOKUP(Table1[[#This Row],[Seller SKU]],'[1]FG Snapshot (V2)'!$A:$E,5,0),"AR")</f>
        <v>88</v>
      </c>
      <c r="D115" s="88" t="s">
        <v>921</v>
      </c>
      <c r="E115" s="64" t="str">
        <f>VLOOKUP(Table1[[#This Row],[MTP SKU]],'MTP SKUs - Master Data'!A:D,3,0)</f>
        <v>Andrie 2 Door without Mirror Wardrobe</v>
      </c>
      <c r="F115" s="64" t="s">
        <v>46</v>
      </c>
      <c r="G115" s="64" t="str">
        <f>_xlfn.CONCAT(Table1[[#This Row],[MTP Name]]," ",Table1[[#This Row],[ Child Color]])</f>
        <v>Andrie 2 Door without Mirror Wardrobe Wenge &amp; White</v>
      </c>
      <c r="H115" s="33" t="str">
        <f>VLOOKUP(Table1[[#This Row],[MTP SKU]],'MTP SKUs - Master Data'!A:D,3,0)</f>
        <v>Andrie 2 Door without Mirror Wardrobe</v>
      </c>
      <c r="I115" s="40"/>
      <c r="J115" s="36" t="e">
        <v>#N/A</v>
      </c>
      <c r="K115" s="37" t="s">
        <v>922</v>
      </c>
      <c r="L115" s="38" t="s">
        <v>923</v>
      </c>
      <c r="M115" s="38" t="s">
        <v>924</v>
      </c>
      <c r="N115" s="38" t="s">
        <v>925</v>
      </c>
      <c r="O115" s="39" t="s">
        <v>926</v>
      </c>
      <c r="P115" s="39" t="s">
        <v>927</v>
      </c>
      <c r="Q115" s="39" t="e">
        <v>#N/A</v>
      </c>
    </row>
    <row r="116" spans="1:17">
      <c r="A116" s="60" t="s">
        <v>928</v>
      </c>
      <c r="B116" s="45" t="str">
        <f>IFERROR(VLOOKUP(Table1[[#This Row],[Seller SKU]],'[1]FG Snapshot (V2)'!$A:$B,2,0),"AR")</f>
        <v>NL</v>
      </c>
      <c r="C116" s="45">
        <f>IFERROR(VLOOKUP(Table1[[#This Row],[Seller SKU]],'[1]FG Snapshot (V2)'!$A:$E,5,0),"AR")</f>
        <v>155</v>
      </c>
      <c r="D116" s="40" t="s">
        <v>172</v>
      </c>
      <c r="E116" s="64" t="str">
        <f>VLOOKUP(Table1[[#This Row],[MTP SKU]],'MTP SKUs - Master Data'!A:D,3,0)</f>
        <v>Kaspen Shoe Rack</v>
      </c>
      <c r="F116" s="64" t="s">
        <v>257</v>
      </c>
      <c r="G116" s="67" t="str">
        <f>_xlfn.CONCAT(Table1[[#This Row],[MTP Name]]," ",Table1[[#This Row],[ Child Color]])</f>
        <v>Kaspen Shoe Rack European Oak &amp; White</v>
      </c>
      <c r="H116" s="40" t="str">
        <f>VLOOKUP(Table1[[#This Row],[MTP SKU]],'MTP SKUs - Master Data'!A:D,3,0)</f>
        <v>Kaspen Shoe Rack</v>
      </c>
      <c r="I116" s="40"/>
      <c r="J116" s="36"/>
      <c r="K116" s="37" t="s">
        <v>929</v>
      </c>
      <c r="L116" s="38" t="s">
        <v>930</v>
      </c>
      <c r="M116" s="38"/>
      <c r="N116" s="38" t="e">
        <v>#N/A</v>
      </c>
      <c r="O116" s="39"/>
      <c r="P116" s="39" t="s">
        <v>62</v>
      </c>
      <c r="Q116" s="39" t="e">
        <v>#N/A</v>
      </c>
    </row>
    <row r="117" spans="1:17">
      <c r="A117" s="59" t="s">
        <v>931</v>
      </c>
      <c r="B117" s="45" t="str">
        <f>IFERROR(VLOOKUP(Table1[[#This Row],[Seller SKU]],'[1]FG Snapshot (V2)'!$A:$B,2,0),"AR")</f>
        <v>Y</v>
      </c>
      <c r="C117" s="45">
        <f>IFERROR(VLOOKUP(Table1[[#This Row],[Seller SKU]],'[1]FG Snapshot (V2)'!$A:$E,5,0),"AR")</f>
        <v>217</v>
      </c>
      <c r="D117" s="88" t="s">
        <v>932</v>
      </c>
      <c r="E117" s="64" t="str">
        <f>VLOOKUP(Table1[[#This Row],[MTP SKU]],'MTP SKUs - Master Data'!A:D,3,0)</f>
        <v>Taurley Coffee Table</v>
      </c>
      <c r="F117" s="64" t="s">
        <v>97</v>
      </c>
      <c r="G117" s="64" t="str">
        <f>_xlfn.CONCAT(Table1[[#This Row],[MTP Name]]," ",Table1[[#This Row],[ Child Color]])</f>
        <v>Taurley Coffee Table Brown Maple &amp; Beige</v>
      </c>
      <c r="H117" s="33" t="str">
        <f>VLOOKUP(Table1[[#This Row],[MTP SKU]],'MTP SKUs - Master Data'!A:D,3,0)</f>
        <v>Taurley Coffee Table</v>
      </c>
      <c r="I117" s="40"/>
      <c r="J117" s="36" t="s">
        <v>933</v>
      </c>
      <c r="K117" s="37" t="s">
        <v>934</v>
      </c>
      <c r="L117" s="38" t="s">
        <v>935</v>
      </c>
      <c r="M117" s="38" t="s">
        <v>936</v>
      </c>
      <c r="N117" s="38" t="s">
        <v>937</v>
      </c>
      <c r="O117" s="39" t="s">
        <v>938</v>
      </c>
      <c r="P117" s="39" t="s">
        <v>62</v>
      </c>
      <c r="Q117" s="39">
        <v>34399209</v>
      </c>
    </row>
    <row r="118" spans="1:17">
      <c r="A118" s="59" t="s">
        <v>939</v>
      </c>
      <c r="B118" s="45" t="str">
        <f>IFERROR(VLOOKUP(Table1[[#This Row],[Seller SKU]],'[1]FG Snapshot (V2)'!$A:$B,2,0),"AR")</f>
        <v>Y</v>
      </c>
      <c r="C118" s="45">
        <f>IFERROR(VLOOKUP(Table1[[#This Row],[Seller SKU]],'[1]FG Snapshot (V2)'!$A:$E,5,0),"AR")</f>
        <v>195</v>
      </c>
      <c r="D118" s="88" t="s">
        <v>940</v>
      </c>
      <c r="E118" s="64" t="str">
        <f>VLOOKUP(Table1[[#This Row],[MTP SKU]],'MTP SKUs - Master Data'!A:D,3,0)</f>
        <v>Mayrite Round Coffee Table</v>
      </c>
      <c r="F118" s="64" t="s">
        <v>56</v>
      </c>
      <c r="G118" s="64" t="str">
        <f>_xlfn.CONCAT(Table1[[#This Row],[MTP Name]]," ",Table1[[#This Row],[ Child Color]])</f>
        <v>Mayrite Round Coffee Table White</v>
      </c>
      <c r="H118" s="33" t="str">
        <f>VLOOKUP(Table1[[#This Row],[MTP SKU]],'MTP SKUs - Master Data'!A:D,3,0)</f>
        <v>Mayrite Round Coffee Table</v>
      </c>
      <c r="I118" s="40"/>
      <c r="J118" s="36" t="s">
        <v>941</v>
      </c>
      <c r="K118" s="37" t="s">
        <v>942</v>
      </c>
      <c r="L118" s="38" t="s">
        <v>943</v>
      </c>
      <c r="M118" s="38" t="s">
        <v>944</v>
      </c>
      <c r="N118" s="38" t="s">
        <v>945</v>
      </c>
      <c r="O118" s="39" t="s">
        <v>946</v>
      </c>
      <c r="P118" s="39" t="s">
        <v>947</v>
      </c>
      <c r="Q118" s="39">
        <v>34399048</v>
      </c>
    </row>
    <row r="119" spans="1:17">
      <c r="A119" s="59" t="s">
        <v>948</v>
      </c>
      <c r="B119" s="45" t="str">
        <f>IFERROR(VLOOKUP(Table1[[#This Row],[Seller SKU]],'[1]FG Snapshot (V2)'!$A:$B,2,0),"AR")</f>
        <v>Y</v>
      </c>
      <c r="C119" s="45">
        <f>IFERROR(VLOOKUP(Table1[[#This Row],[Seller SKU]],'[1]FG Snapshot (V2)'!$A:$E,5,0),"AR")</f>
        <v>145</v>
      </c>
      <c r="D119" s="88" t="s">
        <v>949</v>
      </c>
      <c r="E119" s="64" t="str">
        <f>VLOOKUP(Table1[[#This Row],[MTP SKU]],'MTP SKUs - Master Data'!A:D,3,0)</f>
        <v>Maxelle Large Bookshelf</v>
      </c>
      <c r="F119" s="64" t="s">
        <v>46</v>
      </c>
      <c r="G119" s="64" t="str">
        <f>_xlfn.CONCAT(Table1[[#This Row],[MTP Name]]," ",Table1[[#This Row],[ Child Color]])</f>
        <v>Maxelle Large Bookshelf Wenge &amp; White</v>
      </c>
      <c r="H119" s="33" t="str">
        <f>VLOOKUP(Table1[[#This Row],[MTP SKU]],'MTP SKUs - Master Data'!A:D,3,0)</f>
        <v>Maxelle Large Bookshelf</v>
      </c>
      <c r="I119" s="40"/>
      <c r="J119" s="36" t="s">
        <v>950</v>
      </c>
      <c r="K119" s="37" t="s">
        <v>951</v>
      </c>
      <c r="L119" s="38" t="s">
        <v>952</v>
      </c>
      <c r="M119" s="38" t="s">
        <v>953</v>
      </c>
      <c r="N119" s="38" t="s">
        <v>954</v>
      </c>
      <c r="O119" s="39" t="s">
        <v>955</v>
      </c>
      <c r="P119" s="39" t="s">
        <v>62</v>
      </c>
      <c r="Q119" s="39">
        <v>34380943</v>
      </c>
    </row>
    <row r="120" spans="1:17">
      <c r="A120" s="59" t="s">
        <v>956</v>
      </c>
      <c r="B120" s="45" t="str">
        <f>IFERROR(VLOOKUP(Table1[[#This Row],[Seller SKU]],'[1]FG Snapshot (V2)'!$A:$B,2,0),"AR")</f>
        <v>Y</v>
      </c>
      <c r="C120" s="45">
        <f>IFERROR(VLOOKUP(Table1[[#This Row],[Seller SKU]],'[1]FG Snapshot (V2)'!$A:$E,5,0),"AR")</f>
        <v>137</v>
      </c>
      <c r="D120" s="88" t="s">
        <v>957</v>
      </c>
      <c r="E120" s="64" t="str">
        <f>VLOOKUP(Table1[[#This Row],[MTP SKU]],'MTP SKUs - Master Data'!A:D,3,0)</f>
        <v>Skywood Key Holder</v>
      </c>
      <c r="F120" s="64" t="s">
        <v>182</v>
      </c>
      <c r="G120" s="64" t="str">
        <f>_xlfn.CONCAT(Table1[[#This Row],[MTP Name]]," ",Table1[[#This Row],[ Child Color]])</f>
        <v>Skywood Key Holder Wenge</v>
      </c>
      <c r="H120" s="40" t="str">
        <f>VLOOKUP(Table1[[#This Row],[MTP SKU]],'MTP SKUs - Master Data'!A:D,3,0)</f>
        <v>Skywood Key Holder</v>
      </c>
      <c r="I120" s="40"/>
      <c r="J120" s="36" t="s">
        <v>958</v>
      </c>
      <c r="K120" s="37" t="s">
        <v>959</v>
      </c>
      <c r="L120" s="38" t="s">
        <v>960</v>
      </c>
      <c r="M120" s="38" t="s">
        <v>961</v>
      </c>
      <c r="N120" s="38" t="e">
        <v>#N/A</v>
      </c>
      <c r="O120" s="39" t="s">
        <v>962</v>
      </c>
      <c r="P120" s="39" t="s">
        <v>62</v>
      </c>
      <c r="Q120" s="39" t="e">
        <v>#N/A</v>
      </c>
    </row>
    <row r="121" spans="1:17">
      <c r="A121" s="59" t="s">
        <v>963</v>
      </c>
      <c r="B121" s="45" t="str">
        <f>IFERROR(VLOOKUP(Table1[[#This Row],[Seller SKU]],'[1]FG Snapshot (V2)'!$A:$B,2,0),"AR")</f>
        <v>y</v>
      </c>
      <c r="C121" s="45">
        <f>IFERROR(VLOOKUP(Table1[[#This Row],[Seller SKU]],'[1]FG Snapshot (V2)'!$A:$E,5,0),"AR")</f>
        <v>92</v>
      </c>
      <c r="D121" s="88" t="s">
        <v>964</v>
      </c>
      <c r="E121" s="64" t="str">
        <f>VLOOKUP(Table1[[#This Row],[MTP SKU]],'MTP SKUs - Master Data'!A:D,3,0)</f>
        <v>Charley TV Unit</v>
      </c>
      <c r="F121" s="64" t="s">
        <v>28</v>
      </c>
      <c r="G121" s="64" t="str">
        <f>_xlfn.CONCAT(Table1[[#This Row],[MTP Name]]," ",Table1[[#This Row],[ Child Color]])</f>
        <v>Charley TV Unit Brown Maple &amp; White</v>
      </c>
      <c r="H121" s="33" t="str">
        <f>VLOOKUP(Table1[[#This Row],[MTP SKU]],'MTP SKUs - Master Data'!A:D,3,0)</f>
        <v>Charley TV Unit</v>
      </c>
      <c r="I121" s="40"/>
      <c r="J121" s="36" t="s">
        <v>965</v>
      </c>
      <c r="K121" s="37" t="s">
        <v>966</v>
      </c>
      <c r="L121" s="38" t="s">
        <v>967</v>
      </c>
      <c r="M121" s="38" t="s">
        <v>968</v>
      </c>
      <c r="N121" s="38" t="s">
        <v>969</v>
      </c>
      <c r="O121" s="39" t="s">
        <v>970</v>
      </c>
      <c r="P121" s="39" t="s">
        <v>971</v>
      </c>
      <c r="Q121" s="39">
        <v>34399012</v>
      </c>
    </row>
    <row r="122" spans="1:17">
      <c r="A122" s="59" t="s">
        <v>972</v>
      </c>
      <c r="B122" s="45" t="str">
        <f>IFERROR(VLOOKUP(Table1[[#This Row],[Seller SKU]],'[1]FG Snapshot (V2)'!$A:$B,2,0),"AR")</f>
        <v>RL</v>
      </c>
      <c r="C122" s="45">
        <f>IFERROR(VLOOKUP(Table1[[#This Row],[Seller SKU]],'[1]FG Snapshot (V2)'!$A:$E,5,0),"AR")</f>
        <v>309</v>
      </c>
      <c r="D122" s="88" t="s">
        <v>973</v>
      </c>
      <c r="E122" s="64" t="str">
        <f>VLOOKUP(Table1[[#This Row],[MTP SKU]],'MTP SKUs - Master Data'!A:D,3,0)</f>
        <v>Walden Study Table</v>
      </c>
      <c r="F122" s="64" t="s">
        <v>28</v>
      </c>
      <c r="G122" s="64" t="str">
        <f>_xlfn.CONCAT(Table1[[#This Row],[MTP Name]]," ",Table1[[#This Row],[ Child Color]])</f>
        <v>Walden Study Table Brown Maple &amp; White</v>
      </c>
      <c r="H122" s="33" t="str">
        <f>VLOOKUP(Table1[[#This Row],[MTP SKU]],'MTP SKUs - Master Data'!A:D,3,0)</f>
        <v>Walden Study Table</v>
      </c>
      <c r="I122" s="40"/>
      <c r="J122" s="36" t="s">
        <v>974</v>
      </c>
      <c r="K122" s="37" t="s">
        <v>975</v>
      </c>
      <c r="L122" s="38" t="s">
        <v>976</v>
      </c>
      <c r="M122" s="38" t="s">
        <v>977</v>
      </c>
      <c r="N122" s="38" t="s">
        <v>978</v>
      </c>
      <c r="O122" s="39" t="s">
        <v>979</v>
      </c>
      <c r="P122" s="39" t="s">
        <v>62</v>
      </c>
      <c r="Q122" s="39">
        <v>34399135</v>
      </c>
    </row>
    <row r="123" spans="1:17">
      <c r="A123" s="59" t="s">
        <v>980</v>
      </c>
      <c r="B123" s="45" t="str">
        <f>IFERROR(VLOOKUP(Table1[[#This Row],[Seller SKU]],'[1]FG Snapshot (V2)'!$A:$B,2,0),"AR")</f>
        <v>Y</v>
      </c>
      <c r="C123" s="45">
        <f>IFERROR(VLOOKUP(Table1[[#This Row],[Seller SKU]],'[1]FG Snapshot (V2)'!$A:$E,5,0),"AR")</f>
        <v>86</v>
      </c>
      <c r="D123" s="88" t="s">
        <v>737</v>
      </c>
      <c r="E123" s="64" t="str">
        <f>VLOOKUP(Table1[[#This Row],[MTP SKU]],'MTP SKUs - Master Data'!A:D,3,0)</f>
        <v>Primax Grande Large TV Unit</v>
      </c>
      <c r="F123" s="64" t="s">
        <v>28</v>
      </c>
      <c r="G123" s="64" t="str">
        <f>_xlfn.CONCAT(Table1[[#This Row],[MTP Name]]," ",Table1[[#This Row],[ Child Color]])</f>
        <v>Primax Grande Large TV Unit Brown Maple &amp; White</v>
      </c>
      <c r="H123" s="33" t="str">
        <f>VLOOKUP(Table1[[#This Row],[MTP SKU]],'MTP SKUs - Master Data'!A:D,3,0)</f>
        <v>Primax Grande Large TV Unit</v>
      </c>
      <c r="I123" s="40"/>
      <c r="J123" s="36" t="s">
        <v>981</v>
      </c>
      <c r="K123" s="37" t="s">
        <v>982</v>
      </c>
      <c r="L123" s="38" t="s">
        <v>983</v>
      </c>
      <c r="M123" s="38" t="s">
        <v>984</v>
      </c>
      <c r="N123" s="38" t="s">
        <v>985</v>
      </c>
      <c r="O123" s="39" t="s">
        <v>986</v>
      </c>
      <c r="P123" s="39" t="s">
        <v>62</v>
      </c>
      <c r="Q123" s="39">
        <v>34399198</v>
      </c>
    </row>
    <row r="124" spans="1:17">
      <c r="A124" s="59" t="s">
        <v>987</v>
      </c>
      <c r="B124" s="45" t="str">
        <f>IFERROR(VLOOKUP(Table1[[#This Row],[Seller SKU]],'[1]FG Snapshot (V2)'!$A:$B,2,0),"AR")</f>
        <v>y</v>
      </c>
      <c r="C124" s="45">
        <f>IFERROR(VLOOKUP(Table1[[#This Row],[Seller SKU]],'[1]FG Snapshot (V2)'!$A:$E,5,0),"AR")</f>
        <v>102</v>
      </c>
      <c r="D124" s="88" t="s">
        <v>309</v>
      </c>
      <c r="E124" s="64" t="str">
        <f>VLOOKUP(Table1[[#This Row],[MTP SKU]],'MTP SKUs - Master Data'!A:D,3,0)</f>
        <v>Carlem 2 Door Shoe Rack</v>
      </c>
      <c r="F124" s="64" t="s">
        <v>182</v>
      </c>
      <c r="G124" s="64" t="str">
        <f>_xlfn.CONCAT(Table1[[#This Row],[MTP Name]]," ",Table1[[#This Row],[ Child Color]])</f>
        <v>Carlem 2 Door Shoe Rack Wenge</v>
      </c>
      <c r="H124" s="33" t="str">
        <f>VLOOKUP(Table1[[#This Row],[MTP SKU]],'MTP SKUs - Master Data'!A:D,3,0)</f>
        <v>Carlem 2 Door Shoe Rack</v>
      </c>
      <c r="I124" s="40"/>
      <c r="J124" s="36" t="s">
        <v>988</v>
      </c>
      <c r="K124" s="37" t="s">
        <v>989</v>
      </c>
      <c r="L124" s="38" t="s">
        <v>990</v>
      </c>
      <c r="M124" s="38" t="s">
        <v>991</v>
      </c>
      <c r="N124" s="38" t="s">
        <v>992</v>
      </c>
      <c r="O124" s="39" t="s">
        <v>993</v>
      </c>
      <c r="P124" s="39" t="s">
        <v>994</v>
      </c>
      <c r="Q124" s="39">
        <v>34398988</v>
      </c>
    </row>
    <row r="125" spans="1:17">
      <c r="A125" s="59" t="s">
        <v>995</v>
      </c>
      <c r="B125" s="45" t="str">
        <f>IFERROR(VLOOKUP(Table1[[#This Row],[Seller SKU]],'[1]FG Snapshot (V2)'!$A:$B,2,0),"AR")</f>
        <v>Y</v>
      </c>
      <c r="C125" s="45">
        <f>IFERROR(VLOOKUP(Table1[[#This Row],[Seller SKU]],'[1]FG Snapshot (V2)'!$A:$E,5,0),"AR")</f>
        <v>157</v>
      </c>
      <c r="D125" s="88" t="s">
        <v>496</v>
      </c>
      <c r="E125" s="64" t="str">
        <f>VLOOKUP(Table1[[#This Row],[MTP SKU]],'MTP SKUs - Master Data'!A:D,3,0)</f>
        <v>Darci Dressing Table</v>
      </c>
      <c r="F125" s="64" t="s">
        <v>182</v>
      </c>
      <c r="G125" s="64" t="str">
        <f>_xlfn.CONCAT(Table1[[#This Row],[MTP Name]]," ",Table1[[#This Row],[ Child Color]])</f>
        <v>Darci Dressing Table Wenge</v>
      </c>
      <c r="H125" s="33" t="str">
        <f>VLOOKUP(Table1[[#This Row],[MTP SKU]],'MTP SKUs - Master Data'!A:D,3,0)</f>
        <v>Darci Dressing Table</v>
      </c>
      <c r="I125" s="40"/>
      <c r="J125" s="36" t="s">
        <v>996</v>
      </c>
      <c r="K125" s="37" t="s">
        <v>997</v>
      </c>
      <c r="L125" s="38" t="s">
        <v>998</v>
      </c>
      <c r="M125" s="38" t="s">
        <v>999</v>
      </c>
      <c r="N125" s="38" t="s">
        <v>1000</v>
      </c>
      <c r="O125" s="39" t="s">
        <v>1001</v>
      </c>
      <c r="P125" s="39" t="s">
        <v>62</v>
      </c>
      <c r="Q125" s="39" t="e">
        <v>#N/A</v>
      </c>
    </row>
    <row r="126" spans="1:17">
      <c r="A126" s="59" t="s">
        <v>1002</v>
      </c>
      <c r="B126" s="45" t="str">
        <f>IFERROR(VLOOKUP(Table1[[#This Row],[Seller SKU]],'[1]FG Snapshot (V2)'!$A:$B,2,0),"AR")</f>
        <v>Y</v>
      </c>
      <c r="C126" s="45">
        <f>IFERROR(VLOOKUP(Table1[[#This Row],[Seller SKU]],'[1]FG Snapshot (V2)'!$A:$E,5,0),"AR")</f>
        <v>116</v>
      </c>
      <c r="D126" s="88" t="s">
        <v>1003</v>
      </c>
      <c r="E126" s="64" t="str">
        <f>VLOOKUP(Table1[[#This Row],[MTP SKU]],'MTP SKUs - Master Data'!A:D,3,0)</f>
        <v>Wolabey Bookshelf</v>
      </c>
      <c r="F126" s="64" t="s">
        <v>28</v>
      </c>
      <c r="G126" s="64" t="str">
        <f>_xlfn.CONCAT(Table1[[#This Row],[MTP Name]]," ",Table1[[#This Row],[ Child Color]])</f>
        <v>Wolabey Bookshelf Brown Maple &amp; White</v>
      </c>
      <c r="H126" s="33" t="str">
        <f>VLOOKUP(Table1[[#This Row],[MTP SKU]],'MTP SKUs - Master Data'!A:D,3,0)</f>
        <v>Wolabey Bookshelf</v>
      </c>
      <c r="I126" s="40"/>
      <c r="J126" s="36" t="s">
        <v>1004</v>
      </c>
      <c r="K126" s="37" t="s">
        <v>1005</v>
      </c>
      <c r="L126" s="38" t="s">
        <v>1006</v>
      </c>
      <c r="M126" s="38" t="s">
        <v>1007</v>
      </c>
      <c r="N126" s="38" t="s">
        <v>1008</v>
      </c>
      <c r="O126" s="39" t="s">
        <v>1009</v>
      </c>
      <c r="P126" s="39" t="s">
        <v>62</v>
      </c>
      <c r="Q126" s="39">
        <v>34380510</v>
      </c>
    </row>
    <row r="127" spans="1:17">
      <c r="A127" s="59" t="s">
        <v>1010</v>
      </c>
      <c r="B127" s="45" t="str">
        <f>IFERROR(VLOOKUP(Table1[[#This Row],[Seller SKU]],'[1]FG Snapshot (V2)'!$A:$B,2,0),"AR")</f>
        <v>YB</v>
      </c>
      <c r="C127" s="45">
        <f>IFERROR(VLOOKUP(Table1[[#This Row],[Seller SKU]],'[1]FG Snapshot (V2)'!$A:$E,5,0),"AR")</f>
        <v>132</v>
      </c>
      <c r="D127" s="88" t="s">
        <v>1011</v>
      </c>
      <c r="E127" s="64" t="str">
        <f>VLOOKUP(Table1[[#This Row],[MTP SKU]],'MTP SKUs - Master Data'!A:D,3,0)</f>
        <v>Louis Wall Shelve</v>
      </c>
      <c r="F127" s="64" t="s">
        <v>780</v>
      </c>
      <c r="G127" s="64" t="str">
        <f>_xlfn.CONCAT(Table1[[#This Row],[MTP Name]]," ",Table1[[#This Row],[ Child Color]])</f>
        <v>Louis Wall Shelve Walnut</v>
      </c>
      <c r="H127" s="33" t="str">
        <f>VLOOKUP(Table1[[#This Row],[MTP SKU]],'MTP SKUs - Master Data'!A:D,3,0)</f>
        <v>Louis Wall Shelve</v>
      </c>
      <c r="I127" s="40"/>
      <c r="J127" s="36" t="s">
        <v>1012</v>
      </c>
      <c r="K127" s="37" t="s">
        <v>1013</v>
      </c>
      <c r="L127" s="38" t="s">
        <v>1014</v>
      </c>
      <c r="M127" s="38" t="s">
        <v>1015</v>
      </c>
      <c r="N127" s="38" t="s">
        <v>1016</v>
      </c>
      <c r="O127" s="39" t="s">
        <v>1017</v>
      </c>
      <c r="P127" s="39" t="s">
        <v>62</v>
      </c>
      <c r="Q127" s="39">
        <v>29525068</v>
      </c>
    </row>
    <row r="128" spans="1:17">
      <c r="A128" s="59" t="s">
        <v>1018</v>
      </c>
      <c r="B128" s="45" t="str">
        <f>IFERROR(VLOOKUP(Table1[[#This Row],[Seller SKU]],'[1]FG Snapshot (V2)'!$A:$B,2,0),"AR")</f>
        <v>Y</v>
      </c>
      <c r="C128" s="45">
        <f>IFERROR(VLOOKUP(Table1[[#This Row],[Seller SKU]],'[1]FG Snapshot (V2)'!$A:$E,5,0),"AR")</f>
        <v>150</v>
      </c>
      <c r="D128" s="88" t="s">
        <v>1019</v>
      </c>
      <c r="E128" s="64" t="str">
        <f>VLOOKUP(Table1[[#This Row],[MTP SKU]],'MTP SKUs - Master Data'!A:D,3,0)</f>
        <v>Stuart 5 Key Holder</v>
      </c>
      <c r="F128" s="64" t="s">
        <v>19</v>
      </c>
      <c r="G128" s="64" t="str">
        <f>_xlfn.CONCAT(Table1[[#This Row],[MTP Name]]," ",Table1[[#This Row],[ Child Color]])</f>
        <v>Stuart 5 Key Holder Brown Maple</v>
      </c>
      <c r="H128" s="40" t="str">
        <f>VLOOKUP(Table1[[#This Row],[MTP SKU]],'MTP SKUs - Master Data'!A:D,3,0)</f>
        <v>Stuart 5 Key Holder</v>
      </c>
      <c r="I128" s="40"/>
      <c r="J128" s="36" t="e">
        <v>#N/A</v>
      </c>
      <c r="K128" s="37" t="s">
        <v>1020</v>
      </c>
      <c r="L128" s="38" t="s">
        <v>1021</v>
      </c>
      <c r="M128" s="38" t="s">
        <v>1022</v>
      </c>
      <c r="N128" s="38" t="e">
        <v>#N/A</v>
      </c>
      <c r="O128" s="39" t="s">
        <v>1023</v>
      </c>
      <c r="P128" s="39" t="s">
        <v>62</v>
      </c>
      <c r="Q128" s="39">
        <v>34165355</v>
      </c>
    </row>
    <row r="129" spans="1:17">
      <c r="A129" s="59" t="s">
        <v>1024</v>
      </c>
      <c r="B129" s="45" t="str">
        <f>IFERROR(VLOOKUP(Table1[[#This Row],[Seller SKU]],'[1]FG Snapshot (V2)'!$A:$B,2,0),"AR")</f>
        <v>Y</v>
      </c>
      <c r="C129" s="45">
        <f>IFERROR(VLOOKUP(Table1[[#This Row],[Seller SKU]],'[1]FG Snapshot (V2)'!$A:$E,5,0),"AR")</f>
        <v>134</v>
      </c>
      <c r="D129" s="88" t="s">
        <v>1025</v>
      </c>
      <c r="E129" s="64" t="str">
        <f>VLOOKUP(Table1[[#This Row],[MTP SKU]],'MTP SKUs - Master Data'!A:D,3,0)</f>
        <v>Oliver TV Unit</v>
      </c>
      <c r="F129" s="64" t="s">
        <v>19</v>
      </c>
      <c r="G129" s="64" t="str">
        <f>_xlfn.CONCAT(Table1[[#This Row],[MTP Name]]," ",Table1[[#This Row],[ Child Color]])</f>
        <v>Oliver TV Unit Brown Maple</v>
      </c>
      <c r="H129" s="33" t="str">
        <f>VLOOKUP(Table1[[#This Row],[MTP SKU]],'MTP SKUs - Master Data'!A:D,3,0)</f>
        <v>Oliver TV Unit</v>
      </c>
      <c r="I129" s="40"/>
      <c r="J129" s="36" t="s">
        <v>1026</v>
      </c>
      <c r="K129" s="37" t="s">
        <v>1027</v>
      </c>
      <c r="L129" s="38" t="s">
        <v>1028</v>
      </c>
      <c r="M129" s="38" t="s">
        <v>1029</v>
      </c>
      <c r="N129" s="38" t="s">
        <v>1030</v>
      </c>
      <c r="O129" s="39" t="s">
        <v>1031</v>
      </c>
      <c r="P129" s="39" t="s">
        <v>1032</v>
      </c>
      <c r="Q129" s="39">
        <v>34399240</v>
      </c>
    </row>
    <row r="130" spans="1:17">
      <c r="A130" s="59" t="s">
        <v>1033</v>
      </c>
      <c r="B130" s="45" t="str">
        <f>IFERROR(VLOOKUP(Table1[[#This Row],[Seller SKU]],'[1]FG Snapshot (V2)'!$A:$B,2,0),"AR")</f>
        <v>Y</v>
      </c>
      <c r="C130" s="45">
        <f>IFERROR(VLOOKUP(Table1[[#This Row],[Seller SKU]],'[1]FG Snapshot (V2)'!$A:$E,5,0),"AR")</f>
        <v>128</v>
      </c>
      <c r="D130" s="88" t="s">
        <v>1034</v>
      </c>
      <c r="E130" s="64" t="str">
        <f>VLOOKUP(Table1[[#This Row],[MTP SKU]],'MTP SKUs - Master Data'!A:D,3,0)</f>
        <v>Reyloye Standard TV Unit</v>
      </c>
      <c r="F130" s="64" t="s">
        <v>97</v>
      </c>
      <c r="G130" s="64" t="str">
        <f>_xlfn.CONCAT(Table1[[#This Row],[MTP Name]]," ",Table1[[#This Row],[ Child Color]])</f>
        <v>Reyloye Standard TV Unit Brown Maple &amp; Beige</v>
      </c>
      <c r="H130" s="33" t="str">
        <f>VLOOKUP(Table1[[#This Row],[MTP SKU]],'MTP SKUs - Master Data'!A:D,3,0)</f>
        <v>Reyloye Standard TV Unit</v>
      </c>
      <c r="I130" s="40"/>
      <c r="J130" s="36" t="s">
        <v>1035</v>
      </c>
      <c r="K130" s="37" t="s">
        <v>1036</v>
      </c>
      <c r="L130" s="38" t="s">
        <v>1037</v>
      </c>
      <c r="M130" s="38" t="s">
        <v>1038</v>
      </c>
      <c r="N130" s="38" t="s">
        <v>1039</v>
      </c>
      <c r="O130" s="39" t="s">
        <v>1040</v>
      </c>
      <c r="P130" s="39" t="s">
        <v>1041</v>
      </c>
      <c r="Q130" s="39" t="e">
        <v>#N/A</v>
      </c>
    </row>
    <row r="131" spans="1:17">
      <c r="A131" s="59" t="s">
        <v>1042</v>
      </c>
      <c r="B131" s="45" t="str">
        <f>IFERROR(VLOOKUP(Table1[[#This Row],[Seller SKU]],'[1]FG Snapshot (V2)'!$A:$B,2,0),"AR")</f>
        <v>y</v>
      </c>
      <c r="C131" s="45">
        <f>IFERROR(VLOOKUP(Table1[[#This Row],[Seller SKU]],'[1]FG Snapshot (V2)'!$A:$E,5,0),"AR")</f>
        <v>118</v>
      </c>
      <c r="D131" s="88" t="s">
        <v>1043</v>
      </c>
      <c r="E131" s="64" t="str">
        <f>VLOOKUP(Table1[[#This Row],[MTP SKU]],'MTP SKUs - Master Data'!A:D,3,0)</f>
        <v>Crafte Wall Shelve</v>
      </c>
      <c r="F131" s="64" t="s">
        <v>19</v>
      </c>
      <c r="G131" s="64" t="str">
        <f>_xlfn.CONCAT(Table1[[#This Row],[MTP Name]]," ",Table1[[#This Row],[ Child Color]])</f>
        <v>Crafte Wall Shelve Brown Maple</v>
      </c>
      <c r="H131" s="33" t="str">
        <f>VLOOKUP(Table1[[#This Row],[MTP SKU]],'MTP SKUs - Master Data'!A:D,3,0)</f>
        <v>Crafte Wall Shelve</v>
      </c>
      <c r="I131" s="40"/>
      <c r="J131" s="36" t="s">
        <v>1044</v>
      </c>
      <c r="K131" s="37" t="s">
        <v>1045</v>
      </c>
      <c r="L131" s="38" t="s">
        <v>1046</v>
      </c>
      <c r="M131" s="38" t="s">
        <v>1047</v>
      </c>
      <c r="N131" s="38" t="s">
        <v>1048</v>
      </c>
      <c r="O131" s="39" t="s">
        <v>1049</v>
      </c>
      <c r="P131" s="39" t="s">
        <v>62</v>
      </c>
      <c r="Q131" s="39">
        <v>34163068</v>
      </c>
    </row>
    <row r="132" spans="1:17">
      <c r="A132" s="59" t="s">
        <v>1050</v>
      </c>
      <c r="B132" s="45" t="str">
        <f>IFERROR(VLOOKUP(Table1[[#This Row],[Seller SKU]],'[1]FG Snapshot (V2)'!$A:$B,2,0),"AR")</f>
        <v>y</v>
      </c>
      <c r="C132" s="45">
        <f>IFERROR(VLOOKUP(Table1[[#This Row],[Seller SKU]],'[1]FG Snapshot (V2)'!$A:$E,5,0),"AR")</f>
        <v>126</v>
      </c>
      <c r="D132" s="88" t="s">
        <v>1051</v>
      </c>
      <c r="E132" s="64" t="str">
        <f>VLOOKUP(Table1[[#This Row],[MTP SKU]],'MTP SKUs - Master Data'!A:D,3,0)</f>
        <v>Reynold Large TV Unit</v>
      </c>
      <c r="F132" s="64" t="s">
        <v>97</v>
      </c>
      <c r="G132" s="64" t="str">
        <f>_xlfn.CONCAT(Table1[[#This Row],[MTP Name]]," ",Table1[[#This Row],[ Child Color]])</f>
        <v>Reynold Large TV Unit Brown Maple &amp; Beige</v>
      </c>
      <c r="H132" s="33" t="str">
        <f>VLOOKUP(Table1[[#This Row],[MTP SKU]],'MTP SKUs - Master Data'!A:D,3,0)</f>
        <v>Reynold Large TV Unit</v>
      </c>
      <c r="I132" s="40"/>
      <c r="J132" s="36" t="s">
        <v>1052</v>
      </c>
      <c r="K132" s="37" t="s">
        <v>1053</v>
      </c>
      <c r="L132" s="38" t="s">
        <v>1054</v>
      </c>
      <c r="M132" s="38" t="s">
        <v>1055</v>
      </c>
      <c r="N132" s="38" t="s">
        <v>1056</v>
      </c>
      <c r="O132" s="39" t="s">
        <v>1057</v>
      </c>
      <c r="P132" s="39" t="s">
        <v>1058</v>
      </c>
      <c r="Q132" s="39">
        <v>34399009</v>
      </c>
    </row>
    <row r="133" spans="1:17">
      <c r="A133" s="60" t="s">
        <v>1059</v>
      </c>
      <c r="B133" s="45" t="str">
        <f>IFERROR(VLOOKUP(Table1[[#This Row],[Seller SKU]],'[1]FG Snapshot (V2)'!$A:$B,2,0),"AR")</f>
        <v>Y</v>
      </c>
      <c r="C133" s="45">
        <f>IFERROR(VLOOKUP(Table1[[#This Row],[Seller SKU]],'[1]FG Snapshot (V2)'!$A:$E,5,0),"AR")</f>
        <v>85</v>
      </c>
      <c r="D133" s="40" t="s">
        <v>1060</v>
      </c>
      <c r="E133" s="64" t="str">
        <f>VLOOKUP(Table1[[#This Row],[MTP SKU]],'MTP SKUs - Master Data'!A:D,3,0)</f>
        <v>Corbyn Plus Study Table</v>
      </c>
      <c r="F133" s="64" t="s">
        <v>28</v>
      </c>
      <c r="G133" s="64" t="str">
        <f>_xlfn.CONCAT(Table1[[#This Row],[MTP Name]]," ",Table1[[#This Row],[ Child Color]])</f>
        <v>Corbyn Plus Study Table Brown Maple &amp; White</v>
      </c>
      <c r="H133" s="33" t="str">
        <f>VLOOKUP(Table1[[#This Row],[MTP SKU]],'MTP SKUs - Master Data'!A:D,3,0)</f>
        <v>Corbyn Plus Study Table</v>
      </c>
      <c r="I133" s="40"/>
      <c r="J133" s="36"/>
      <c r="K133" s="37" t="s">
        <v>1061</v>
      </c>
      <c r="L133" s="38" t="s">
        <v>1062</v>
      </c>
      <c r="M133" s="38"/>
      <c r="N133" s="38" t="s">
        <v>1063</v>
      </c>
      <c r="O133" s="39" t="s">
        <v>1064</v>
      </c>
      <c r="P133" s="39" t="s">
        <v>1065</v>
      </c>
      <c r="Q133" s="39" t="e">
        <v>#N/A</v>
      </c>
    </row>
    <row r="134" spans="1:17">
      <c r="A134" s="59" t="s">
        <v>1066</v>
      </c>
      <c r="B134" s="45" t="str">
        <f>IFERROR(VLOOKUP(Table1[[#This Row],[Seller SKU]],'[1]FG Snapshot (V2)'!$A:$B,2,0),"AR")</f>
        <v>Y</v>
      </c>
      <c r="C134" s="45">
        <f>IFERROR(VLOOKUP(Table1[[#This Row],[Seller SKU]],'[1]FG Snapshot (V2)'!$A:$E,5,0),"AR")</f>
        <v>136</v>
      </c>
      <c r="D134" s="88" t="s">
        <v>1067</v>
      </c>
      <c r="E134" s="64" t="str">
        <f>VLOOKUP(Table1[[#This Row],[MTP SKU]],'MTP SKUs - Master Data'!A:D,3,0)</f>
        <v>Hemming Dressing Table</v>
      </c>
      <c r="F134" s="64" t="s">
        <v>182</v>
      </c>
      <c r="G134" s="64" t="str">
        <f>_xlfn.CONCAT(Table1[[#This Row],[MTP Name]]," ",Table1[[#This Row],[ Child Color]])</f>
        <v>Hemming Dressing Table Wenge</v>
      </c>
      <c r="H134" s="33" t="str">
        <f>VLOOKUP(Table1[[#This Row],[MTP SKU]],'MTP SKUs - Master Data'!A:D,3,0)</f>
        <v>Hemming Dressing Table</v>
      </c>
      <c r="I134" s="40"/>
      <c r="J134" s="36" t="s">
        <v>1068</v>
      </c>
      <c r="K134" s="37" t="s">
        <v>1069</v>
      </c>
      <c r="L134" s="38" t="s">
        <v>1070</v>
      </c>
      <c r="M134" s="38" t="s">
        <v>1071</v>
      </c>
      <c r="N134" s="38" t="s">
        <v>1072</v>
      </c>
      <c r="O134" s="39" t="s">
        <v>1073</v>
      </c>
      <c r="P134" s="39" t="s">
        <v>62</v>
      </c>
      <c r="Q134" s="39" t="e">
        <v>#N/A</v>
      </c>
    </row>
    <row r="135" spans="1:17">
      <c r="A135" s="59" t="s">
        <v>1074</v>
      </c>
      <c r="B135" s="45" t="str">
        <f>IFERROR(VLOOKUP(Table1[[#This Row],[Seller SKU]],'[1]FG Snapshot (V2)'!$A:$B,2,0),"AR")</f>
        <v>Y</v>
      </c>
      <c r="C135" s="45">
        <f>IFERROR(VLOOKUP(Table1[[#This Row],[Seller SKU]],'[1]FG Snapshot (V2)'!$A:$E,5,0),"AR")</f>
        <v>147</v>
      </c>
      <c r="D135" s="88" t="s">
        <v>1011</v>
      </c>
      <c r="E135" s="64" t="str">
        <f>VLOOKUP(Table1[[#This Row],[MTP SKU]],'MTP SKUs - Master Data'!A:D,3,0)</f>
        <v>Louis Wall Shelve</v>
      </c>
      <c r="F135" s="64" t="s">
        <v>182</v>
      </c>
      <c r="G135" s="64" t="str">
        <f>_xlfn.CONCAT(Table1[[#This Row],[MTP Name]]," ",Table1[[#This Row],[ Child Color]])</f>
        <v>Louis Wall Shelve Wenge</v>
      </c>
      <c r="H135" s="33" t="str">
        <f>VLOOKUP(Table1[[#This Row],[MTP SKU]],'MTP SKUs - Master Data'!A:D,3,0)</f>
        <v>Louis Wall Shelve</v>
      </c>
      <c r="I135" s="40"/>
      <c r="J135" s="36" t="s">
        <v>1075</v>
      </c>
      <c r="K135" s="37" t="s">
        <v>1076</v>
      </c>
      <c r="L135" s="38" t="s">
        <v>1077</v>
      </c>
      <c r="M135" s="38" t="s">
        <v>1078</v>
      </c>
      <c r="N135" s="38" t="s">
        <v>1079</v>
      </c>
      <c r="O135" s="39" t="s">
        <v>1080</v>
      </c>
      <c r="P135" s="39" t="s">
        <v>62</v>
      </c>
      <c r="Q135" s="39">
        <v>34163069</v>
      </c>
    </row>
    <row r="136" spans="1:17">
      <c r="A136" s="59" t="s">
        <v>1081</v>
      </c>
      <c r="B136" s="45" t="str">
        <f>IFERROR(VLOOKUP(Table1[[#This Row],[Seller SKU]],'[1]FG Snapshot (V2)'!$A:$B,2,0),"AR")</f>
        <v>Y</v>
      </c>
      <c r="C136" s="45">
        <f>IFERROR(VLOOKUP(Table1[[#This Row],[Seller SKU]],'[1]FG Snapshot (V2)'!$A:$E,5,0),"AR")</f>
        <v>105</v>
      </c>
      <c r="D136" s="88" t="s">
        <v>1043</v>
      </c>
      <c r="E136" s="64" t="str">
        <f>VLOOKUP(Table1[[#This Row],[MTP SKU]],'MTP SKUs - Master Data'!A:D,3,0)</f>
        <v>Crafte Wall Shelve</v>
      </c>
      <c r="F136" s="64" t="s">
        <v>182</v>
      </c>
      <c r="G136" s="64" t="str">
        <f>_xlfn.CONCAT(Table1[[#This Row],[MTP Name]]," ",Table1[[#This Row],[ Child Color]])</f>
        <v>Crafte Wall Shelve Wenge</v>
      </c>
      <c r="H136" s="33" t="str">
        <f>VLOOKUP(Table1[[#This Row],[MTP SKU]],'MTP SKUs - Master Data'!A:D,3,0)</f>
        <v>Crafte Wall Shelve</v>
      </c>
      <c r="I136" s="40"/>
      <c r="J136" s="36" t="s">
        <v>1082</v>
      </c>
      <c r="K136" s="37" t="s">
        <v>1083</v>
      </c>
      <c r="L136" s="38" t="s">
        <v>1084</v>
      </c>
      <c r="M136" s="38" t="s">
        <v>1085</v>
      </c>
      <c r="N136" s="38" t="s">
        <v>1086</v>
      </c>
      <c r="O136" s="39" t="s">
        <v>1087</v>
      </c>
      <c r="P136" s="39" t="s">
        <v>62</v>
      </c>
      <c r="Q136" s="39">
        <v>29525096</v>
      </c>
    </row>
    <row r="137" spans="1:17">
      <c r="A137" s="59" t="s">
        <v>1088</v>
      </c>
      <c r="B137" s="45" t="str">
        <f>IFERROR(VLOOKUP(Table1[[#This Row],[Seller SKU]],'[1]FG Snapshot (V2)'!$A:$B,2,0),"AR")</f>
        <v>Y</v>
      </c>
      <c r="C137" s="45">
        <f>IFERROR(VLOOKUP(Table1[[#This Row],[Seller SKU]],'[1]FG Snapshot (V2)'!$A:$E,5,0),"AR")</f>
        <v>123</v>
      </c>
      <c r="D137" s="88" t="s">
        <v>694</v>
      </c>
      <c r="E137" s="64" t="str">
        <f>VLOOKUP(Table1[[#This Row],[MTP SKU]],'MTP SKUs - Master Data'!A:D,3,0)</f>
        <v>Seonn Bookshelf</v>
      </c>
      <c r="F137" s="64" t="s">
        <v>97</v>
      </c>
      <c r="G137" s="64" t="str">
        <f>_xlfn.CONCAT(Table1[[#This Row],[MTP Name]]," ",Table1[[#This Row],[ Child Color]])</f>
        <v>Seonn Bookshelf Brown Maple &amp; Beige</v>
      </c>
      <c r="H137" s="33" t="str">
        <f>VLOOKUP(Table1[[#This Row],[MTP SKU]],'MTP SKUs - Master Data'!A:D,3,0)</f>
        <v>Seonn Bookshelf</v>
      </c>
      <c r="I137" s="40"/>
      <c r="J137" s="36" t="s">
        <v>1089</v>
      </c>
      <c r="K137" s="37" t="s">
        <v>1090</v>
      </c>
      <c r="L137" s="38" t="s">
        <v>1091</v>
      </c>
      <c r="M137" s="38" t="s">
        <v>1092</v>
      </c>
      <c r="N137" s="38" t="s">
        <v>1093</v>
      </c>
      <c r="O137" s="39" t="s">
        <v>1094</v>
      </c>
      <c r="P137" s="39" t="s">
        <v>1095</v>
      </c>
      <c r="Q137" s="39">
        <v>34380500</v>
      </c>
    </row>
    <row r="138" spans="1:17">
      <c r="A138" s="59" t="s">
        <v>1096</v>
      </c>
      <c r="B138" s="45" t="str">
        <f>IFERROR(VLOOKUP(Table1[[#This Row],[Seller SKU]],'[1]FG Snapshot (V2)'!$A:$B,2,0),"AR")</f>
        <v>Y</v>
      </c>
      <c r="C138" s="45">
        <f>IFERROR(VLOOKUP(Table1[[#This Row],[Seller SKU]],'[1]FG Snapshot (V2)'!$A:$E,5,0),"AR")</f>
        <v>242</v>
      </c>
      <c r="D138" s="40" t="s">
        <v>1097</v>
      </c>
      <c r="E138" s="64" t="str">
        <f>VLOOKUP(Table1[[#This Row],[MTP SKU]],'MTP SKUs - Master Data'!A:D,3,0)</f>
        <v>Mayrite Rectangle Coffee Table</v>
      </c>
      <c r="F138" s="64" t="s">
        <v>182</v>
      </c>
      <c r="G138" s="64" t="str">
        <f>_xlfn.CONCAT(Table1[[#This Row],[MTP Name]]," ",Table1[[#This Row],[ Child Color]])</f>
        <v>Mayrite Rectangle Coffee Table Wenge</v>
      </c>
      <c r="H138" s="33" t="str">
        <f>VLOOKUP(Table1[[#This Row],[MTP SKU]],'MTP SKUs - Master Data'!A:D,3,0)</f>
        <v>Mayrite Rectangle Coffee Table</v>
      </c>
      <c r="I138" s="40"/>
      <c r="J138" s="36" t="e">
        <v>#N/A</v>
      </c>
      <c r="K138" s="37" t="s">
        <v>1098</v>
      </c>
      <c r="L138" s="38" t="s">
        <v>1099</v>
      </c>
      <c r="M138" s="38" t="s">
        <v>1100</v>
      </c>
      <c r="N138" s="38" t="s">
        <v>1101</v>
      </c>
      <c r="O138" s="39" t="s">
        <v>1102</v>
      </c>
      <c r="P138" s="39" t="s">
        <v>1103</v>
      </c>
      <c r="Q138" s="39">
        <v>34398986</v>
      </c>
    </row>
    <row r="139" spans="1:17">
      <c r="A139" s="66" t="s">
        <v>1104</v>
      </c>
      <c r="B139" s="45" t="str">
        <f>IFERROR(VLOOKUP(Table1[[#This Row],[Seller SKU]],'[1]FG Snapshot (V2)'!$A:$B,2,0),"AR")</f>
        <v>Y</v>
      </c>
      <c r="C139" s="45">
        <f>IFERROR(VLOOKUP(Table1[[#This Row],[Seller SKU]],'[1]FG Snapshot (V2)'!$A:$E,5,0),"AR")</f>
        <v>200</v>
      </c>
      <c r="D139" s="40" t="s">
        <v>1105</v>
      </c>
      <c r="E139" s="64" t="str">
        <f>VLOOKUP(Table1[[#This Row],[MTP SKU]],'MTP SKUs - Master Data'!A:D,3,0)</f>
        <v>Dolvin Ladder Style  Spice Rack</v>
      </c>
      <c r="F139" s="64" t="s">
        <v>19</v>
      </c>
      <c r="G139" s="64" t="str">
        <f>_xlfn.CONCAT(Table1[[#This Row],[MTP Name]]," ",Table1[[#This Row],[ Child Color]])</f>
        <v>Dolvin Ladder Style  Spice Rack Brown Maple</v>
      </c>
      <c r="H139" s="40" t="str">
        <f>VLOOKUP(Table1[[#This Row],[MTP SKU]],'MTP SKUs - Master Data'!A:D,3,0)</f>
        <v>Dolvin Ladder Style  Spice Rack</v>
      </c>
      <c r="I139" s="40"/>
      <c r="J139" s="36"/>
      <c r="K139" s="37" t="s">
        <v>1106</v>
      </c>
      <c r="L139" s="38" t="s">
        <v>1107</v>
      </c>
      <c r="M139" s="38"/>
      <c r="N139" s="38" t="e">
        <v>#N/A</v>
      </c>
      <c r="O139" s="39" t="e">
        <v>#N/A</v>
      </c>
      <c r="P139" s="39" t="s">
        <v>62</v>
      </c>
      <c r="Q139" s="39" t="e">
        <v>#N/A</v>
      </c>
    </row>
    <row r="140" spans="1:17">
      <c r="A140" s="59" t="s">
        <v>1108</v>
      </c>
      <c r="B140" s="45" t="str">
        <f>IFERROR(VLOOKUP(Table1[[#This Row],[Seller SKU]],'[1]FG Snapshot (V2)'!$A:$B,2,0),"AR")</f>
        <v>Y</v>
      </c>
      <c r="C140" s="45">
        <f>IFERROR(VLOOKUP(Table1[[#This Row],[Seller SKU]],'[1]FG Snapshot (V2)'!$A:$E,5,0),"AR")</f>
        <v>163</v>
      </c>
      <c r="D140" s="88" t="s">
        <v>1011</v>
      </c>
      <c r="E140" s="64" t="str">
        <f>VLOOKUP(Table1[[#This Row],[MTP SKU]],'MTP SKUs - Master Data'!A:D,3,0)</f>
        <v>Louis Wall Shelve</v>
      </c>
      <c r="F140" s="64" t="s">
        <v>19</v>
      </c>
      <c r="G140" s="64" t="str">
        <f>_xlfn.CONCAT(Table1[[#This Row],[MTP Name]]," ",Table1[[#This Row],[ Child Color]])</f>
        <v>Louis Wall Shelve Brown Maple</v>
      </c>
      <c r="H140" s="33" t="str">
        <f>VLOOKUP(Table1[[#This Row],[MTP SKU]],'MTP SKUs - Master Data'!A:D,3,0)</f>
        <v>Louis Wall Shelve</v>
      </c>
      <c r="I140" s="40"/>
      <c r="J140" s="36" t="e">
        <v>#N/A</v>
      </c>
      <c r="K140" s="37" t="s">
        <v>1109</v>
      </c>
      <c r="L140" s="38" t="s">
        <v>1110</v>
      </c>
      <c r="M140" s="38" t="s">
        <v>1111</v>
      </c>
      <c r="N140" s="38" t="s">
        <v>1112</v>
      </c>
      <c r="O140" s="39" t="s">
        <v>1113</v>
      </c>
      <c r="P140" s="39" t="s">
        <v>62</v>
      </c>
      <c r="Q140" s="39">
        <v>34163075</v>
      </c>
    </row>
    <row r="141" spans="1:17">
      <c r="A141" s="59" t="s">
        <v>1114</v>
      </c>
      <c r="B141" s="45" t="str">
        <f>IFERROR(VLOOKUP(Table1[[#This Row],[Seller SKU]],'[1]FG Snapshot (V2)'!$A:$B,2,0),"AR")</f>
        <v>Y</v>
      </c>
      <c r="C141" s="45">
        <f>IFERROR(VLOOKUP(Table1[[#This Row],[Seller SKU]],'[1]FG Snapshot (V2)'!$A:$E,5,0),"AR")</f>
        <v>194</v>
      </c>
      <c r="D141" s="88" t="s">
        <v>779</v>
      </c>
      <c r="E141" s="64" t="str">
        <f>VLOOKUP(Table1[[#This Row],[MTP SKU]],'MTP SKUs - Master Data'!A:D,3,0)</f>
        <v>Braine F6 Shelves Wall Shelve</v>
      </c>
      <c r="F141" s="64" t="s">
        <v>182</v>
      </c>
      <c r="G141" s="64" t="str">
        <f>_xlfn.CONCAT(Table1[[#This Row],[MTP Name]]," ",Table1[[#This Row],[ Child Color]])</f>
        <v>Braine F6 Shelves Wall Shelve Wenge</v>
      </c>
      <c r="H141" s="33" t="str">
        <f>VLOOKUP(Table1[[#This Row],[MTP SKU]],'MTP SKUs - Master Data'!A:D,3,0)</f>
        <v>Braine F6 Shelves Wall Shelve</v>
      </c>
      <c r="I141" s="40"/>
      <c r="J141" s="36" t="s">
        <v>1115</v>
      </c>
      <c r="K141" s="37" t="s">
        <v>1116</v>
      </c>
      <c r="L141" s="38" t="s">
        <v>1117</v>
      </c>
      <c r="M141" s="38" t="s">
        <v>1118</v>
      </c>
      <c r="N141" s="38" t="s">
        <v>1119</v>
      </c>
      <c r="O141" s="39" t="s">
        <v>1120</v>
      </c>
      <c r="P141" s="39" t="s">
        <v>62</v>
      </c>
      <c r="Q141" s="39">
        <v>29525080</v>
      </c>
    </row>
    <row r="142" spans="1:17">
      <c r="A142" s="59" t="s">
        <v>1121</v>
      </c>
      <c r="B142" s="45" t="str">
        <f>IFERROR(VLOOKUP(Table1[[#This Row],[Seller SKU]],'[1]FG Snapshot (V2)'!$A:$B,2,0),"AR")</f>
        <v>y</v>
      </c>
      <c r="C142" s="45">
        <f>IFERROR(VLOOKUP(Table1[[#This Row],[Seller SKU]],'[1]FG Snapshot (V2)'!$A:$E,5,0),"AR")</f>
        <v>133</v>
      </c>
      <c r="D142" s="88" t="s">
        <v>1122</v>
      </c>
      <c r="E142" s="64" t="str">
        <f>VLOOKUP(Table1[[#This Row],[MTP SKU]],'MTP SKUs - Master Data'!A:D,3,0)</f>
        <v>Siddhi  Standard Pooja Unit</v>
      </c>
      <c r="F142" s="64" t="s">
        <v>28</v>
      </c>
      <c r="G142" s="64" t="str">
        <f>_xlfn.CONCAT(Table1[[#This Row],[MTP Name]]," ",Table1[[#This Row],[ Child Color]])</f>
        <v>Siddhi  Standard Pooja Unit Brown Maple &amp; White</v>
      </c>
      <c r="H142" s="33" t="str">
        <f>VLOOKUP(Table1[[#This Row],[MTP SKU]],'MTP SKUs - Master Data'!A:D,3,0)</f>
        <v>Siddhi  Standard Pooja Unit</v>
      </c>
      <c r="I142" s="40"/>
      <c r="J142" s="36" t="s">
        <v>1123</v>
      </c>
      <c r="K142" s="37" t="s">
        <v>1124</v>
      </c>
      <c r="L142" s="38" t="s">
        <v>1125</v>
      </c>
      <c r="M142" s="38" t="s">
        <v>1126</v>
      </c>
      <c r="N142" s="38" t="s">
        <v>1127</v>
      </c>
      <c r="O142" s="39" t="s">
        <v>1128</v>
      </c>
      <c r="P142" s="39" t="s">
        <v>62</v>
      </c>
      <c r="Q142" s="39" t="e">
        <v>#N/A</v>
      </c>
    </row>
    <row r="143" spans="1:17">
      <c r="A143" s="59" t="s">
        <v>1129</v>
      </c>
      <c r="B143" s="45" t="str">
        <f>IFERROR(VLOOKUP(Table1[[#This Row],[Seller SKU]],'[1]FG Snapshot (V2)'!$A:$B,2,0),"AR")</f>
        <v>Y</v>
      </c>
      <c r="C143" s="45">
        <f>IFERROR(VLOOKUP(Table1[[#This Row],[Seller SKU]],'[1]FG Snapshot (V2)'!$A:$E,5,0),"AR")</f>
        <v>121</v>
      </c>
      <c r="D143" s="88" t="s">
        <v>949</v>
      </c>
      <c r="E143" s="64" t="str">
        <f>VLOOKUP(Table1[[#This Row],[MTP SKU]],'MTP SKUs - Master Data'!A:D,3,0)</f>
        <v>Maxelle Large Bookshelf</v>
      </c>
      <c r="F143" s="64" t="s">
        <v>28</v>
      </c>
      <c r="G143" s="64" t="str">
        <f>_xlfn.CONCAT(Table1[[#This Row],[MTP Name]]," ",Table1[[#This Row],[ Child Color]])</f>
        <v>Maxelle Large Bookshelf Brown Maple &amp; White</v>
      </c>
      <c r="H143" s="33" t="str">
        <f>VLOOKUP(Table1[[#This Row],[MTP SKU]],'MTP SKUs - Master Data'!A:D,3,0)</f>
        <v>Maxelle Large Bookshelf</v>
      </c>
      <c r="I143" s="40"/>
      <c r="J143" s="36" t="s">
        <v>1130</v>
      </c>
      <c r="K143" s="37" t="s">
        <v>1131</v>
      </c>
      <c r="L143" s="38" t="s">
        <v>1132</v>
      </c>
      <c r="M143" s="38" t="s">
        <v>1133</v>
      </c>
      <c r="N143" s="38" t="s">
        <v>1134</v>
      </c>
      <c r="O143" s="39" t="s">
        <v>1135</v>
      </c>
      <c r="P143" s="39" t="s">
        <v>1136</v>
      </c>
      <c r="Q143" s="39">
        <v>34380508</v>
      </c>
    </row>
    <row r="144" spans="1:17">
      <c r="A144" s="59" t="s">
        <v>1137</v>
      </c>
      <c r="B144" s="45" t="str">
        <f>IFERROR(VLOOKUP(Table1[[#This Row],[Seller SKU]],'[1]FG Snapshot (V2)'!$A:$B,2,0),"AR")</f>
        <v>Y</v>
      </c>
      <c r="C144" s="45">
        <f>IFERROR(VLOOKUP(Table1[[#This Row],[Seller SKU]],'[1]FG Snapshot (V2)'!$A:$E,5,0),"AR")</f>
        <v>83</v>
      </c>
      <c r="D144" s="88" t="s">
        <v>1138</v>
      </c>
      <c r="E144" s="64" t="str">
        <f>VLOOKUP(Table1[[#This Row],[MTP SKU]],'MTP SKUs - Master Data'!A:D,3,0)</f>
        <v>Alex-5 Layer Wide Bookshelf</v>
      </c>
      <c r="F144" s="64" t="s">
        <v>182</v>
      </c>
      <c r="G144" s="64" t="str">
        <f>_xlfn.CONCAT(Table1[[#This Row],[MTP Name]]," ",Table1[[#This Row],[ Child Color]])</f>
        <v>Alex-5 Layer Wide Bookshelf Wenge</v>
      </c>
      <c r="H144" s="33" t="str">
        <f>VLOOKUP(Table1[[#This Row],[MTP SKU]],'MTP SKUs - Master Data'!A:D,3,0)</f>
        <v>Alex-5 Layer Wide Bookshelf</v>
      </c>
      <c r="I144" s="40"/>
      <c r="J144" s="36" t="s">
        <v>1139</v>
      </c>
      <c r="K144" s="37" t="s">
        <v>1140</v>
      </c>
      <c r="L144" s="38" t="s">
        <v>1141</v>
      </c>
      <c r="M144" s="38" t="s">
        <v>1142</v>
      </c>
      <c r="N144" s="38" t="s">
        <v>1143</v>
      </c>
      <c r="O144" s="39" t="s">
        <v>1144</v>
      </c>
      <c r="P144" s="39" t="s">
        <v>1145</v>
      </c>
      <c r="Q144" s="39">
        <v>34380948</v>
      </c>
    </row>
    <row r="145" spans="1:17">
      <c r="A145" s="59" t="s">
        <v>1146</v>
      </c>
      <c r="B145" s="45" t="str">
        <f>IFERROR(VLOOKUP(Table1[[#This Row],[Seller SKU]],'[1]FG Snapshot (V2)'!$A:$B,2,0),"AR")</f>
        <v>Y</v>
      </c>
      <c r="C145" s="45">
        <f>IFERROR(VLOOKUP(Table1[[#This Row],[Seller SKU]],'[1]FG Snapshot (V2)'!$A:$E,5,0),"AR")</f>
        <v>249</v>
      </c>
      <c r="D145" s="88" t="s">
        <v>1147</v>
      </c>
      <c r="E145" s="64" t="str">
        <f>VLOOKUP(Table1[[#This Row],[MTP SKU]],'MTP SKUs - Master Data'!A:D,3,0)</f>
        <v>Cadlic Wall Shelve</v>
      </c>
      <c r="F145" s="64" t="s">
        <v>182</v>
      </c>
      <c r="G145" s="64" t="str">
        <f>_xlfn.CONCAT(Table1[[#This Row],[MTP Name]]," ",Table1[[#This Row],[ Child Color]])</f>
        <v>Cadlic Wall Shelve Wenge</v>
      </c>
      <c r="H145" s="33" t="str">
        <f>VLOOKUP(Table1[[#This Row],[MTP SKU]],'MTP SKUs - Master Data'!A:D,3,0)</f>
        <v>Cadlic Wall Shelve</v>
      </c>
      <c r="I145" s="40"/>
      <c r="J145" s="36" t="s">
        <v>1148</v>
      </c>
      <c r="K145" s="37" t="s">
        <v>1149</v>
      </c>
      <c r="L145" s="38" t="s">
        <v>1150</v>
      </c>
      <c r="M145" s="38" t="s">
        <v>1151</v>
      </c>
      <c r="N145" s="38" t="s">
        <v>1152</v>
      </c>
      <c r="O145" s="39" t="s">
        <v>1153</v>
      </c>
      <c r="P145" s="39" t="s">
        <v>62</v>
      </c>
      <c r="Q145" s="39">
        <v>29525074</v>
      </c>
    </row>
    <row r="146" spans="1:17">
      <c r="A146" s="59" t="s">
        <v>1154</v>
      </c>
      <c r="B146" s="45" t="str">
        <f>IFERROR(VLOOKUP(Table1[[#This Row],[Seller SKU]],'[1]FG Snapshot (V2)'!$A:$B,2,0),"AR")</f>
        <v>Y</v>
      </c>
      <c r="C146" s="45">
        <f>IFERROR(VLOOKUP(Table1[[#This Row],[Seller SKU]],'[1]FG Snapshot (V2)'!$A:$E,5,0),"AR")</f>
        <v>100</v>
      </c>
      <c r="D146" s="88" t="s">
        <v>1155</v>
      </c>
      <c r="E146" s="64" t="str">
        <f>VLOOKUP(Table1[[#This Row],[MTP SKU]],'MTP SKUs - Master Data'!A:D,3,0)</f>
        <v>Gautier TV Unit</v>
      </c>
      <c r="F146" s="64" t="s">
        <v>19</v>
      </c>
      <c r="G146" s="64" t="str">
        <f>_xlfn.CONCAT(Table1[[#This Row],[MTP Name]]," ",Table1[[#This Row],[ Child Color]])</f>
        <v>Gautier TV Unit Brown Maple</v>
      </c>
      <c r="H146" s="33" t="str">
        <f>VLOOKUP(Table1[[#This Row],[MTP SKU]],'MTP SKUs - Master Data'!A:D,3,0)</f>
        <v>Gautier TV Unit</v>
      </c>
      <c r="I146" s="40"/>
      <c r="J146" s="36" t="s">
        <v>1156</v>
      </c>
      <c r="K146" s="37" t="s">
        <v>1157</v>
      </c>
      <c r="L146" s="38" t="s">
        <v>1158</v>
      </c>
      <c r="M146" s="38" t="s">
        <v>1159</v>
      </c>
      <c r="N146" s="38" t="s">
        <v>1160</v>
      </c>
      <c r="O146" s="39" t="s">
        <v>1161</v>
      </c>
      <c r="P146" s="39" t="s">
        <v>1162</v>
      </c>
      <c r="Q146" s="39">
        <v>34399088</v>
      </c>
    </row>
    <row r="147" spans="1:17">
      <c r="A147" s="59" t="s">
        <v>1163</v>
      </c>
      <c r="B147" s="45" t="str">
        <f>IFERROR(VLOOKUP(Table1[[#This Row],[Seller SKU]],'[1]FG Snapshot (V2)'!$A:$B,2,0),"AR")</f>
        <v>Y</v>
      </c>
      <c r="C147" s="45">
        <f>IFERROR(VLOOKUP(Table1[[#This Row],[Seller SKU]],'[1]FG Snapshot (V2)'!$A:$E,5,0),"AR")</f>
        <v>124</v>
      </c>
      <c r="D147" s="88" t="s">
        <v>1164</v>
      </c>
      <c r="E147" s="64" t="str">
        <f>VLOOKUP(Table1[[#This Row],[MTP SKU]],'MTP SKUs - Master Data'!A:D,3,0)</f>
        <v>Seonn Bookshelf</v>
      </c>
      <c r="F147" s="64" t="s">
        <v>182</v>
      </c>
      <c r="G147" s="64" t="str">
        <f>_xlfn.CONCAT(Table1[[#This Row],[MTP Name]]," ",Table1[[#This Row],[ Child Color]])</f>
        <v>Seonn Bookshelf Wenge</v>
      </c>
      <c r="H147" s="33" t="str">
        <f>VLOOKUP(Table1[[#This Row],[MTP SKU]],'MTP SKUs - Master Data'!A:D,3,0)</f>
        <v>Seonn Bookshelf</v>
      </c>
      <c r="I147" s="40"/>
      <c r="J147" s="36" t="s">
        <v>1165</v>
      </c>
      <c r="K147" s="37" t="s">
        <v>1166</v>
      </c>
      <c r="L147" s="38" t="s">
        <v>1167</v>
      </c>
      <c r="M147" s="38" t="s">
        <v>1168</v>
      </c>
      <c r="N147" s="38" t="s">
        <v>1169</v>
      </c>
      <c r="O147" s="39" t="s">
        <v>1170</v>
      </c>
      <c r="P147" s="39" t="s">
        <v>1171</v>
      </c>
      <c r="Q147" s="39">
        <v>34380962</v>
      </c>
    </row>
    <row r="148" spans="1:17">
      <c r="A148" s="59" t="s">
        <v>1172</v>
      </c>
      <c r="B148" s="45" t="str">
        <f>IFERROR(VLOOKUP(Table1[[#This Row],[Seller SKU]],'[1]FG Snapshot (V2)'!$A:$B,2,0),"AR")</f>
        <v>Y</v>
      </c>
      <c r="C148" s="45">
        <f>IFERROR(VLOOKUP(Table1[[#This Row],[Seller SKU]],'[1]FG Snapshot (V2)'!$A:$E,5,0),"AR")</f>
        <v>131</v>
      </c>
      <c r="D148" s="88" t="s">
        <v>1173</v>
      </c>
      <c r="E148" s="64" t="str">
        <f>VLOOKUP(Table1[[#This Row],[MTP SKU]],'MTP SKUs - Master Data'!A:D,3,0)</f>
        <v>Walten Bookshelf</v>
      </c>
      <c r="F148" s="64" t="s">
        <v>182</v>
      </c>
      <c r="G148" s="64" t="str">
        <f>_xlfn.CONCAT(Table1[[#This Row],[MTP Name]]," ",Table1[[#This Row],[ Child Color]])</f>
        <v>Walten Bookshelf Wenge</v>
      </c>
      <c r="H148" s="33" t="str">
        <f>VLOOKUP(Table1[[#This Row],[MTP SKU]],'MTP SKUs - Master Data'!A:D,3,0)</f>
        <v>Walten Bookshelf</v>
      </c>
      <c r="I148" s="40"/>
      <c r="J148" s="36" t="s">
        <v>1174</v>
      </c>
      <c r="K148" s="37" t="s">
        <v>1175</v>
      </c>
      <c r="L148" s="38" t="s">
        <v>1176</v>
      </c>
      <c r="M148" s="38" t="s">
        <v>1177</v>
      </c>
      <c r="N148" s="38" t="s">
        <v>1178</v>
      </c>
      <c r="O148" s="39" t="s">
        <v>1179</v>
      </c>
      <c r="P148" s="39" t="s">
        <v>1180</v>
      </c>
      <c r="Q148" s="39">
        <v>34380506</v>
      </c>
    </row>
    <row r="149" spans="1:17">
      <c r="A149" s="60" t="s">
        <v>1181</v>
      </c>
      <c r="B149" s="45" t="str">
        <f>IFERROR(VLOOKUP(Table1[[#This Row],[Seller SKU]],'[1]FG Snapshot (V2)'!$A:$B,2,0),"AR")</f>
        <v>NL</v>
      </c>
      <c r="C149" s="45">
        <f>IFERROR(VLOOKUP(Table1[[#This Row],[Seller SKU]],'[1]FG Snapshot (V2)'!$A:$E,5,0),"AR")</f>
        <v>250</v>
      </c>
      <c r="D149" s="40" t="s">
        <v>1182</v>
      </c>
      <c r="E149" s="64" t="str">
        <f>VLOOKUP(Table1[[#This Row],[MTP SKU]],'MTP SKUs - Master Data'!A:D,3,0)</f>
        <v>Radisso Mini Study Table</v>
      </c>
      <c r="F149" s="64" t="s">
        <v>1183</v>
      </c>
      <c r="G149" s="67" t="str">
        <f>_xlfn.CONCAT(Table1[[#This Row],[MTP Name]]," ",Table1[[#This Row],[ Child Color]])</f>
        <v xml:space="preserve">Radisso Mini Study Table Brown Maple </v>
      </c>
      <c r="H149" s="40" t="str">
        <f>VLOOKUP(Table1[[#This Row],[MTP SKU]],'MTP SKUs - Master Data'!A:D,3,0)</f>
        <v>Radisso Mini Study Table</v>
      </c>
      <c r="I149" s="40"/>
      <c r="J149" s="36"/>
      <c r="K149" s="37" t="s">
        <v>1184</v>
      </c>
      <c r="L149" s="38" t="s">
        <v>1185</v>
      </c>
      <c r="M149" s="38"/>
      <c r="N149" s="38" t="e">
        <v>#N/A</v>
      </c>
      <c r="O149" s="39"/>
      <c r="P149" s="39" t="s">
        <v>62</v>
      </c>
      <c r="Q149" s="39"/>
    </row>
    <row r="150" spans="1:17">
      <c r="A150" s="59" t="s">
        <v>1186</v>
      </c>
      <c r="B150" s="45" t="str">
        <f>IFERROR(VLOOKUP(Table1[[#This Row],[Seller SKU]],'[1]FG Snapshot (V2)'!$A:$B,2,0),"AR")</f>
        <v>Y</v>
      </c>
      <c r="C150" s="45">
        <f>IFERROR(VLOOKUP(Table1[[#This Row],[Seller SKU]],'[1]FG Snapshot (V2)'!$A:$E,5,0),"AR")</f>
        <v>201</v>
      </c>
      <c r="D150" s="88" t="s">
        <v>1187</v>
      </c>
      <c r="E150" s="64" t="str">
        <f>VLOOKUP(Table1[[#This Row],[MTP SKU]],'MTP SKUs - Master Data'!A:D,3,0)</f>
        <v>Primax Plus Large TV Unit</v>
      </c>
      <c r="F150" s="64" t="s">
        <v>46</v>
      </c>
      <c r="G150" s="64" t="str">
        <f>_xlfn.CONCAT(Table1[[#This Row],[MTP Name]]," ",Table1[[#This Row],[ Child Color]])</f>
        <v>Primax Plus Large TV Unit Wenge &amp; White</v>
      </c>
      <c r="H150" s="33" t="str">
        <f>VLOOKUP(Table1[[#This Row],[MTP SKU]],'MTP SKUs - Master Data'!A:D,3,0)</f>
        <v>Primax Plus Large TV Unit</v>
      </c>
      <c r="I150" s="40"/>
      <c r="J150" s="36" t="e">
        <v>#N/A</v>
      </c>
      <c r="K150" s="37" t="s">
        <v>1188</v>
      </c>
      <c r="L150" s="38" t="s">
        <v>1189</v>
      </c>
      <c r="M150" s="38" t="s">
        <v>1190</v>
      </c>
      <c r="N150" s="38" t="s">
        <v>1191</v>
      </c>
      <c r="O150" s="39" t="s">
        <v>1192</v>
      </c>
      <c r="P150" s="39" t="s">
        <v>62</v>
      </c>
      <c r="Q150" s="39">
        <v>34398989</v>
      </c>
    </row>
    <row r="151" spans="1:17">
      <c r="A151" s="59" t="s">
        <v>1193</v>
      </c>
      <c r="B151" s="45" t="str">
        <f>IFERROR(VLOOKUP(Table1[[#This Row],[Seller SKU]],'[1]FG Snapshot (V2)'!$A:$B,2,0),"AR")</f>
        <v>Y</v>
      </c>
      <c r="C151" s="45">
        <f>IFERROR(VLOOKUP(Table1[[#This Row],[Seller SKU]],'[1]FG Snapshot (V2)'!$A:$E,5,0),"AR")</f>
        <v>218</v>
      </c>
      <c r="D151" s="88" t="s">
        <v>1194</v>
      </c>
      <c r="E151" s="64" t="str">
        <f>VLOOKUP(Table1[[#This Row],[MTP SKU]],'MTP SKUs - Master Data'!A:D,3,0)</f>
        <v>Alba Wall Shelve</v>
      </c>
      <c r="F151" s="64" t="s">
        <v>182</v>
      </c>
      <c r="G151" s="64" t="str">
        <f>_xlfn.CONCAT(Table1[[#This Row],[MTP Name]]," ",Table1[[#This Row],[ Child Color]])</f>
        <v>Alba Wall Shelve Wenge</v>
      </c>
      <c r="H151" s="33" t="str">
        <f>VLOOKUP(Table1[[#This Row],[MTP SKU]],'MTP SKUs - Master Data'!A:D,3,0)</f>
        <v>Alba Wall Shelve</v>
      </c>
      <c r="I151" s="40"/>
      <c r="J151" s="36" t="s">
        <v>1195</v>
      </c>
      <c r="K151" s="37" t="s">
        <v>1196</v>
      </c>
      <c r="L151" s="38" t="s">
        <v>1197</v>
      </c>
      <c r="M151" s="38" t="s">
        <v>1198</v>
      </c>
      <c r="N151" s="38" t="s">
        <v>1199</v>
      </c>
      <c r="O151" s="39" t="s">
        <v>1200</v>
      </c>
      <c r="P151" s="39" t="s">
        <v>62</v>
      </c>
      <c r="Q151" s="39" t="e">
        <v>#N/A</v>
      </c>
    </row>
    <row r="152" spans="1:17">
      <c r="A152" s="59" t="s">
        <v>1201</v>
      </c>
      <c r="B152" s="45" t="str">
        <f>IFERROR(VLOOKUP(Table1[[#This Row],[Seller SKU]],'[1]FG Snapshot (V2)'!$A:$B,2,0),"AR")</f>
        <v>Y</v>
      </c>
      <c r="C152" s="45">
        <f>IFERROR(VLOOKUP(Table1[[#This Row],[Seller SKU]],'[1]FG Snapshot (V2)'!$A:$E,5,0),"AR")</f>
        <v>207</v>
      </c>
      <c r="D152" s="88" t="s">
        <v>1202</v>
      </c>
      <c r="E152" s="64" t="str">
        <f>VLOOKUP(Table1[[#This Row],[MTP SKU]],'MTP SKUs - Master Data'!A:D,3,0)</f>
        <v>Skywood 5 Key Holder</v>
      </c>
      <c r="F152" s="64" t="s">
        <v>182</v>
      </c>
      <c r="G152" s="64" t="str">
        <f>_xlfn.CONCAT(Table1[[#This Row],[MTP Name]]," ",Table1[[#This Row],[ Child Color]])</f>
        <v>Skywood 5 Key Holder Wenge</v>
      </c>
      <c r="H152" s="40" t="str">
        <f>VLOOKUP(Table1[[#This Row],[MTP SKU]],'MTP SKUs - Master Data'!A:D,3,0)</f>
        <v>Skywood 5 Key Holder</v>
      </c>
      <c r="I152" s="40"/>
      <c r="J152" s="36" t="s">
        <v>1203</v>
      </c>
      <c r="K152" s="37" t="s">
        <v>1204</v>
      </c>
      <c r="L152" s="38" t="s">
        <v>1205</v>
      </c>
      <c r="M152" s="38" t="s">
        <v>1206</v>
      </c>
      <c r="N152" s="38" t="e">
        <v>#N/A</v>
      </c>
      <c r="O152" s="39" t="s">
        <v>1207</v>
      </c>
      <c r="P152" s="39" t="s">
        <v>62</v>
      </c>
      <c r="Q152" s="39">
        <v>34165366</v>
      </c>
    </row>
    <row r="153" spans="1:17">
      <c r="A153" s="59" t="s">
        <v>1208</v>
      </c>
      <c r="B153" s="45" t="str">
        <f>IFERROR(VLOOKUP(Table1[[#This Row],[Seller SKU]],'[1]FG Snapshot (V2)'!$A:$B,2,0),"AR")</f>
        <v>Y</v>
      </c>
      <c r="C153" s="45">
        <f>IFERROR(VLOOKUP(Table1[[#This Row],[Seller SKU]],'[1]FG Snapshot (V2)'!$A:$E,5,0),"AR")</f>
        <v>161</v>
      </c>
      <c r="D153" s="88" t="s">
        <v>1164</v>
      </c>
      <c r="E153" s="64" t="str">
        <f>VLOOKUP(Table1[[#This Row],[MTP SKU]],'MTP SKUs - Master Data'!A:D,3,0)</f>
        <v>Seonn Bookshelf</v>
      </c>
      <c r="F153" s="64" t="s">
        <v>97</v>
      </c>
      <c r="G153" s="64" t="str">
        <f>_xlfn.CONCAT(Table1[[#This Row],[MTP Name]]," ",Table1[[#This Row],[ Child Color]])</f>
        <v>Seonn Bookshelf Brown Maple &amp; Beige</v>
      </c>
      <c r="H153" s="33" t="str">
        <f>VLOOKUP(Table1[[#This Row],[MTP SKU]],'MTP SKUs - Master Data'!A:D,3,0)</f>
        <v>Seonn Bookshelf</v>
      </c>
      <c r="I153" s="40"/>
      <c r="J153" s="36" t="s">
        <v>1209</v>
      </c>
      <c r="K153" s="37" t="s">
        <v>1210</v>
      </c>
      <c r="L153" s="38" t="s">
        <v>1211</v>
      </c>
      <c r="M153" s="38" t="s">
        <v>1212</v>
      </c>
      <c r="N153" s="38" t="s">
        <v>1213</v>
      </c>
      <c r="O153" s="39" t="s">
        <v>1214</v>
      </c>
      <c r="P153" s="39" t="s">
        <v>1215</v>
      </c>
      <c r="Q153" s="39">
        <v>34380977</v>
      </c>
    </row>
    <row r="154" spans="1:17">
      <c r="A154" s="59" t="s">
        <v>1216</v>
      </c>
      <c r="B154" s="45" t="str">
        <f>IFERROR(VLOOKUP(Table1[[#This Row],[Seller SKU]],'[1]FG Snapshot (V2)'!$A:$B,2,0),"AR")</f>
        <v>Y</v>
      </c>
      <c r="C154" s="45">
        <f>IFERROR(VLOOKUP(Table1[[#This Row],[Seller SKU]],'[1]FG Snapshot (V2)'!$A:$E,5,0),"AR")</f>
        <v>211</v>
      </c>
      <c r="D154" s="88" t="s">
        <v>1217</v>
      </c>
      <c r="E154" s="64" t="str">
        <f>VLOOKUP(Table1[[#This Row],[MTP SKU]],'MTP SKUs - Master Data'!A:D,3,0)</f>
        <v>Primax Large TV Unit</v>
      </c>
      <c r="F154" s="64" t="s">
        <v>182</v>
      </c>
      <c r="G154" s="64" t="str">
        <f>_xlfn.CONCAT(Table1[[#This Row],[MTP Name]]," ",Table1[[#This Row],[ Child Color]])</f>
        <v>Primax Large TV Unit Wenge</v>
      </c>
      <c r="H154" s="33" t="str">
        <f>VLOOKUP(Table1[[#This Row],[MTP SKU]],'MTP SKUs - Master Data'!A:D,3,0)</f>
        <v>Primax Large TV Unit</v>
      </c>
      <c r="I154" s="40"/>
      <c r="J154" s="36" t="s">
        <v>1218</v>
      </c>
      <c r="K154" s="37" t="s">
        <v>1219</v>
      </c>
      <c r="L154" s="38" t="s">
        <v>1220</v>
      </c>
      <c r="M154" s="38" t="s">
        <v>1221</v>
      </c>
      <c r="N154" s="38" t="s">
        <v>1222</v>
      </c>
      <c r="O154" s="39" t="s">
        <v>1223</v>
      </c>
      <c r="P154" s="39" t="s">
        <v>62</v>
      </c>
      <c r="Q154" s="39">
        <v>34399076</v>
      </c>
    </row>
    <row r="155" spans="1:17">
      <c r="A155" s="59" t="s">
        <v>1224</v>
      </c>
      <c r="B155" s="45" t="str">
        <f>IFERROR(VLOOKUP(Table1[[#This Row],[Seller SKU]],'[1]FG Snapshot (V2)'!$A:$B,2,0),"AR")</f>
        <v>Y</v>
      </c>
      <c r="C155" s="45">
        <f>IFERROR(VLOOKUP(Table1[[#This Row],[Seller SKU]],'[1]FG Snapshot (V2)'!$A:$E,5,0),"AR")</f>
        <v>104</v>
      </c>
      <c r="D155" s="88" t="s">
        <v>1225</v>
      </c>
      <c r="E155" s="64" t="str">
        <f>VLOOKUP(Table1[[#This Row],[MTP SKU]],'MTP SKUs - Master Data'!A:D,3,0)</f>
        <v>Duskin TV Unit</v>
      </c>
      <c r="F155" s="64" t="s">
        <v>19</v>
      </c>
      <c r="G155" s="64" t="str">
        <f>_xlfn.CONCAT(Table1[[#This Row],[MTP Name]]," ",Table1[[#This Row],[ Child Color]])</f>
        <v>Duskin TV Unit Brown Maple</v>
      </c>
      <c r="H155" s="33" t="str">
        <f>VLOOKUP(Table1[[#This Row],[MTP SKU]],'MTP SKUs - Master Data'!A:D,3,0)</f>
        <v>Duskin TV Unit</v>
      </c>
      <c r="I155" s="40"/>
      <c r="J155" s="36" t="e">
        <v>#N/A</v>
      </c>
      <c r="K155" s="37" t="s">
        <v>1226</v>
      </c>
      <c r="L155" s="38" t="s">
        <v>1227</v>
      </c>
      <c r="M155" s="38" t="s">
        <v>1228</v>
      </c>
      <c r="N155" s="38" t="s">
        <v>1229</v>
      </c>
      <c r="O155" s="39" t="s">
        <v>1230</v>
      </c>
      <c r="P155" s="39" t="s">
        <v>1231</v>
      </c>
      <c r="Q155" s="39">
        <v>34399155</v>
      </c>
    </row>
    <row r="156" spans="1:17">
      <c r="A156" s="59" t="s">
        <v>1232</v>
      </c>
      <c r="B156" s="45" t="str">
        <f>IFERROR(VLOOKUP(Table1[[#This Row],[Seller SKU]],'[1]FG Snapshot (V2)'!$A:$B,2,0),"AR")</f>
        <v>Y</v>
      </c>
      <c r="C156" s="45">
        <f>IFERROR(VLOOKUP(Table1[[#This Row],[Seller SKU]],'[1]FG Snapshot (V2)'!$A:$E,5,0),"AR")</f>
        <v>117</v>
      </c>
      <c r="D156" s="88" t="s">
        <v>1233</v>
      </c>
      <c r="E156" s="64" t="str">
        <f>VLOOKUP(Table1[[#This Row],[MTP SKU]],'MTP SKUs - Master Data'!A:D,3,0)</f>
        <v>Javis Wall Shelve</v>
      </c>
      <c r="F156" s="64" t="s">
        <v>19</v>
      </c>
      <c r="G156" s="64" t="str">
        <f>_xlfn.CONCAT(Table1[[#This Row],[MTP Name]]," ",Table1[[#This Row],[ Child Color]])</f>
        <v>Javis Wall Shelve Brown Maple</v>
      </c>
      <c r="H156" s="33" t="str">
        <f>VLOOKUP(Table1[[#This Row],[MTP SKU]],'MTP SKUs - Master Data'!A:D,3,0)</f>
        <v>Javis Wall Shelve</v>
      </c>
      <c r="I156" s="40"/>
      <c r="J156" s="36" t="s">
        <v>1234</v>
      </c>
      <c r="K156" s="37" t="s">
        <v>1235</v>
      </c>
      <c r="L156" s="38" t="s">
        <v>1236</v>
      </c>
      <c r="M156" s="38" t="s">
        <v>1237</v>
      </c>
      <c r="N156" s="38" t="s">
        <v>1238</v>
      </c>
      <c r="O156" s="39" t="s">
        <v>1239</v>
      </c>
      <c r="P156" s="39" t="s">
        <v>62</v>
      </c>
      <c r="Q156" s="39">
        <v>29525084</v>
      </c>
    </row>
    <row r="157" spans="1:17">
      <c r="A157" s="59" t="s">
        <v>1240</v>
      </c>
      <c r="B157" s="45" t="str">
        <f>IFERROR(VLOOKUP(Table1[[#This Row],[Seller SKU]],'[1]FG Snapshot (V2)'!$A:$B,2,0),"AR")</f>
        <v>Y</v>
      </c>
      <c r="C157" s="45">
        <f>IFERROR(VLOOKUP(Table1[[#This Row],[Seller SKU]],'[1]FG Snapshot (V2)'!$A:$E,5,0),"AR")</f>
        <v>241</v>
      </c>
      <c r="D157" s="88" t="s">
        <v>1241</v>
      </c>
      <c r="E157" s="64" t="str">
        <f>VLOOKUP(Table1[[#This Row],[MTP SKU]],'MTP SKUs - Master Data'!A:D,3,0)</f>
        <v>Sanque Large TV Unit</v>
      </c>
      <c r="F157" s="64" t="s">
        <v>19</v>
      </c>
      <c r="G157" s="64" t="str">
        <f>_xlfn.CONCAT(Table1[[#This Row],[MTP Name]]," ",Table1[[#This Row],[ Child Color]])</f>
        <v>Sanque Large TV Unit Brown Maple</v>
      </c>
      <c r="H157" s="33" t="str">
        <f>VLOOKUP(Table1[[#This Row],[MTP SKU]],'MTP SKUs - Master Data'!A:D,3,0)</f>
        <v>Sanque Large TV Unit</v>
      </c>
      <c r="I157" s="40"/>
      <c r="J157" s="36" t="e">
        <v>#N/A</v>
      </c>
      <c r="K157" s="37" t="s">
        <v>1242</v>
      </c>
      <c r="L157" s="38" t="s">
        <v>1243</v>
      </c>
      <c r="M157" s="38" t="s">
        <v>1244</v>
      </c>
      <c r="N157" s="38" t="s">
        <v>1245</v>
      </c>
      <c r="O157" s="39" t="s">
        <v>1246</v>
      </c>
      <c r="P157" s="39" t="s">
        <v>62</v>
      </c>
      <c r="Q157" s="39" t="e">
        <v>#N/A</v>
      </c>
    </row>
    <row r="158" spans="1:17">
      <c r="A158" s="59" t="s">
        <v>1247</v>
      </c>
      <c r="B158" s="45" t="str">
        <f>IFERROR(VLOOKUP(Table1[[#This Row],[Seller SKU]],'[1]FG Snapshot (V2)'!$A:$B,2,0),"AR")</f>
        <v>y</v>
      </c>
      <c r="C158" s="45">
        <f>IFERROR(VLOOKUP(Table1[[#This Row],[Seller SKU]],'[1]FG Snapshot (V2)'!$A:$E,5,0),"AR")</f>
        <v>162</v>
      </c>
      <c r="D158" s="88" t="s">
        <v>1138</v>
      </c>
      <c r="E158" s="64" t="str">
        <f>VLOOKUP(Table1[[#This Row],[MTP SKU]],'MTP SKUs - Master Data'!A:D,3,0)</f>
        <v>Alex-5 Layer Wide Bookshelf</v>
      </c>
      <c r="F158" s="64" t="s">
        <v>19</v>
      </c>
      <c r="G158" s="64" t="str">
        <f>_xlfn.CONCAT(Table1[[#This Row],[MTP Name]]," ",Table1[[#This Row],[ Child Color]])</f>
        <v>Alex-5 Layer Wide Bookshelf Brown Maple</v>
      </c>
      <c r="H158" s="33" t="str">
        <f>VLOOKUP(Table1[[#This Row],[MTP SKU]],'MTP SKUs - Master Data'!A:D,3,0)</f>
        <v>Alex-5 Layer Wide Bookshelf</v>
      </c>
      <c r="I158" s="40"/>
      <c r="J158" s="36" t="s">
        <v>1248</v>
      </c>
      <c r="K158" s="37" t="s">
        <v>1249</v>
      </c>
      <c r="L158" s="38" t="s">
        <v>1250</v>
      </c>
      <c r="M158" s="38" t="s">
        <v>1251</v>
      </c>
      <c r="N158" s="38" t="s">
        <v>1252</v>
      </c>
      <c r="O158" s="39" t="s">
        <v>1253</v>
      </c>
      <c r="P158" s="39" t="s">
        <v>62</v>
      </c>
      <c r="Q158" s="39">
        <v>34380970</v>
      </c>
    </row>
    <row r="159" spans="1:17">
      <c r="A159" s="60" t="s">
        <v>1254</v>
      </c>
      <c r="B159" s="45" t="str">
        <f>IFERROR(VLOOKUP(Table1[[#This Row],[Seller SKU]],'[1]FG Snapshot (V2)'!$A:$B,2,0),"AR")</f>
        <v>Y</v>
      </c>
      <c r="C159" s="45">
        <f>IFERROR(VLOOKUP(Table1[[#This Row],[Seller SKU]],'[1]FG Snapshot (V2)'!$A:$E,5,0),"AR")</f>
        <v>113</v>
      </c>
      <c r="D159" s="40" t="s">
        <v>1255</v>
      </c>
      <c r="E159" s="64" t="str">
        <f>VLOOKUP(Table1[[#This Row],[MTP SKU]],'MTP SKUs - Master Data'!A:D,3,0)</f>
        <v>Opryt Kichen Cabinet</v>
      </c>
      <c r="F159" s="64" t="s">
        <v>56</v>
      </c>
      <c r="G159" s="64" t="str">
        <f>_xlfn.CONCAT(Table1[[#This Row],[MTP Name]]," ",Table1[[#This Row],[ Child Color]])</f>
        <v>Opryt Kichen Cabinet White</v>
      </c>
      <c r="H159" s="33" t="str">
        <f>VLOOKUP(Table1[[#This Row],[MTP SKU]],'MTP SKUs - Master Data'!A:D,3,0)</f>
        <v>Opryt Kichen Cabinet</v>
      </c>
      <c r="I159" s="40"/>
      <c r="J159" s="36"/>
      <c r="K159" s="37" t="s">
        <v>1256</v>
      </c>
      <c r="L159" s="38" t="s">
        <v>1257</v>
      </c>
      <c r="M159" s="38" t="s">
        <v>1258</v>
      </c>
      <c r="N159" s="38" t="s">
        <v>1259</v>
      </c>
      <c r="O159" s="39" t="s">
        <v>1260</v>
      </c>
      <c r="P159" s="39" t="s">
        <v>62</v>
      </c>
      <c r="Q159" s="39">
        <v>35522195</v>
      </c>
    </row>
    <row r="160" spans="1:17">
      <c r="A160" s="59" t="s">
        <v>1261</v>
      </c>
      <c r="B160" s="45" t="str">
        <f>IFERROR(VLOOKUP(Table1[[#This Row],[Seller SKU]],'[1]FG Snapshot (V2)'!$A:$B,2,0),"AR")</f>
        <v>Y</v>
      </c>
      <c r="C160" s="45">
        <f>IFERROR(VLOOKUP(Table1[[#This Row],[Seller SKU]],'[1]FG Snapshot (V2)'!$A:$E,5,0),"AR")</f>
        <v>198</v>
      </c>
      <c r="D160" s="88" t="s">
        <v>1262</v>
      </c>
      <c r="E160" s="64" t="str">
        <f>VLOOKUP(Table1[[#This Row],[MTP SKU]],'MTP SKUs - Master Data'!A:D,3,0)</f>
        <v>Primax Solo Large TV Unit</v>
      </c>
      <c r="F160" s="64" t="s">
        <v>182</v>
      </c>
      <c r="G160" s="64" t="str">
        <f>_xlfn.CONCAT(Table1[[#This Row],[MTP Name]]," ",Table1[[#This Row],[ Child Color]])</f>
        <v>Primax Solo Large TV Unit Wenge</v>
      </c>
      <c r="H160" s="33" t="str">
        <f>VLOOKUP(Table1[[#This Row],[MTP SKU]],'MTP SKUs - Master Data'!A:D,3,0)</f>
        <v>Primax Solo Large TV Unit</v>
      </c>
      <c r="I160" s="40"/>
      <c r="J160" s="36" t="s">
        <v>1263</v>
      </c>
      <c r="K160" s="37" t="s">
        <v>1264</v>
      </c>
      <c r="L160" s="38" t="s">
        <v>1265</v>
      </c>
      <c r="M160" s="38" t="s">
        <v>1266</v>
      </c>
      <c r="N160" s="38" t="s">
        <v>1267</v>
      </c>
      <c r="O160" s="39" t="s">
        <v>1268</v>
      </c>
      <c r="P160" s="39" t="s">
        <v>62</v>
      </c>
      <c r="Q160" s="39">
        <v>34399233</v>
      </c>
    </row>
    <row r="161" spans="1:17">
      <c r="A161" s="59" t="s">
        <v>1269</v>
      </c>
      <c r="B161" s="45" t="str">
        <f>IFERROR(VLOOKUP(Table1[[#This Row],[Seller SKU]],'[1]FG Snapshot (V2)'!$A:$B,2,0),"AR")</f>
        <v>Y</v>
      </c>
      <c r="C161" s="45">
        <f>IFERROR(VLOOKUP(Table1[[#This Row],[Seller SKU]],'[1]FG Snapshot (V2)'!$A:$E,5,0),"AR")</f>
        <v>151</v>
      </c>
      <c r="D161" s="88" t="s">
        <v>1270</v>
      </c>
      <c r="E161" s="64" t="str">
        <f>VLOOKUP(Table1[[#This Row],[MTP SKU]],'MTP SKUs - Master Data'!A:D,3,0)</f>
        <v>Kunsua Large TV Unit</v>
      </c>
      <c r="F161" s="64" t="s">
        <v>19</v>
      </c>
      <c r="G161" s="64" t="str">
        <f>_xlfn.CONCAT(Table1[[#This Row],[MTP Name]]," ",Table1[[#This Row],[ Child Color]])</f>
        <v>Kunsua Large TV Unit Brown Maple</v>
      </c>
      <c r="H161" s="33" t="str">
        <f>VLOOKUP(Table1[[#This Row],[MTP SKU]],'MTP SKUs - Master Data'!A:D,3,0)</f>
        <v>Kunsua Large TV Unit</v>
      </c>
      <c r="I161" s="40"/>
      <c r="J161" s="36" t="s">
        <v>1271</v>
      </c>
      <c r="K161" s="37" t="s">
        <v>1272</v>
      </c>
      <c r="L161" s="38" t="s">
        <v>1273</v>
      </c>
      <c r="M161" s="38" t="s">
        <v>1274</v>
      </c>
      <c r="N161" s="38" t="s">
        <v>1275</v>
      </c>
      <c r="O161" s="39" t="s">
        <v>1276</v>
      </c>
      <c r="P161" s="39" t="s">
        <v>1277</v>
      </c>
      <c r="Q161" s="39">
        <v>34399226</v>
      </c>
    </row>
    <row r="162" spans="1:17">
      <c r="A162" s="59" t="s">
        <v>1278</v>
      </c>
      <c r="B162" s="45" t="str">
        <f>IFERROR(VLOOKUP(Table1[[#This Row],[Seller SKU]],'[1]FG Snapshot (V2)'!$A:$B,2,0),"AR")</f>
        <v>Y</v>
      </c>
      <c r="C162" s="45">
        <f>IFERROR(VLOOKUP(Table1[[#This Row],[Seller SKU]],'[1]FG Snapshot (V2)'!$A:$E,5,0),"AR")</f>
        <v>204</v>
      </c>
      <c r="D162" s="88" t="s">
        <v>1279</v>
      </c>
      <c r="E162" s="64" t="str">
        <f>VLOOKUP(Table1[[#This Row],[MTP SKU]],'MTP SKUs - Master Data'!A:D,3,0)</f>
        <v>Jasden Kitchen Rack</v>
      </c>
      <c r="F162" s="64" t="s">
        <v>182</v>
      </c>
      <c r="G162" s="64" t="str">
        <f>_xlfn.CONCAT(Table1[[#This Row],[MTP Name]]," ",Table1[[#This Row],[ Child Color]])</f>
        <v>Jasden Kitchen Rack Wenge</v>
      </c>
      <c r="H162" s="33" t="str">
        <f>VLOOKUP(Table1[[#This Row],[MTP SKU]],'MTP SKUs - Master Data'!A:D,3,0)</f>
        <v>Jasden Kitchen Rack</v>
      </c>
      <c r="I162" s="40"/>
      <c r="J162" s="36" t="s">
        <v>1280</v>
      </c>
      <c r="K162" s="37" t="s">
        <v>1281</v>
      </c>
      <c r="L162" s="38" t="s">
        <v>1282</v>
      </c>
      <c r="M162" s="38" t="s">
        <v>1283</v>
      </c>
      <c r="N162" s="38" t="s">
        <v>1284</v>
      </c>
      <c r="O162" s="39" t="s">
        <v>1285</v>
      </c>
      <c r="P162" s="39" t="s">
        <v>62</v>
      </c>
      <c r="Q162" s="39" t="e">
        <v>#N/A</v>
      </c>
    </row>
    <row r="163" spans="1:17">
      <c r="A163" s="59" t="s">
        <v>1286</v>
      </c>
      <c r="B163" s="45" t="str">
        <f>IFERROR(VLOOKUP(Table1[[#This Row],[Seller SKU]],'[1]FG Snapshot (V2)'!$A:$B,2,0),"AR")</f>
        <v>Y</v>
      </c>
      <c r="C163" s="45">
        <f>IFERROR(VLOOKUP(Table1[[#This Row],[Seller SKU]],'[1]FG Snapshot (V2)'!$A:$E,5,0),"AR")</f>
        <v>203</v>
      </c>
      <c r="D163" s="88" t="s">
        <v>1287</v>
      </c>
      <c r="E163" s="64" t="str">
        <f>VLOOKUP(Table1[[#This Row],[MTP SKU]],'MTP SKUs - Master Data'!A:D,3,0)</f>
        <v>Oliver  Coffee Table</v>
      </c>
      <c r="F163" s="64" t="s">
        <v>19</v>
      </c>
      <c r="G163" s="64" t="str">
        <f>_xlfn.CONCAT(Table1[[#This Row],[MTP Name]]," ",Table1[[#This Row],[ Child Color]])</f>
        <v>Oliver  Coffee Table Brown Maple</v>
      </c>
      <c r="H163" s="33" t="str">
        <f>VLOOKUP(Table1[[#This Row],[MTP SKU]],'MTP SKUs - Master Data'!A:D,3,0)</f>
        <v>Oliver  Coffee Table</v>
      </c>
      <c r="I163" s="40"/>
      <c r="J163" s="36" t="e">
        <v>#N/A</v>
      </c>
      <c r="K163" s="37" t="s">
        <v>1288</v>
      </c>
      <c r="L163" s="38" t="s">
        <v>1289</v>
      </c>
      <c r="M163" s="38" t="s">
        <v>1290</v>
      </c>
      <c r="N163" s="38" t="s">
        <v>1291</v>
      </c>
      <c r="O163" s="39" t="s">
        <v>1292</v>
      </c>
      <c r="P163" s="39" t="s">
        <v>62</v>
      </c>
      <c r="Q163" s="39">
        <v>34399034</v>
      </c>
    </row>
    <row r="164" spans="1:17">
      <c r="A164" s="59" t="s">
        <v>1293</v>
      </c>
      <c r="B164" s="45" t="str">
        <f>IFERROR(VLOOKUP(Table1[[#This Row],[Seller SKU]],'[1]FG Snapshot (V2)'!$A:$B,2,0),"AR")</f>
        <v>Y</v>
      </c>
      <c r="C164" s="45">
        <f>IFERROR(VLOOKUP(Table1[[#This Row],[Seller SKU]],'[1]FG Snapshot (V2)'!$A:$E,5,0),"AR")</f>
        <v>129</v>
      </c>
      <c r="D164" s="88" t="s">
        <v>1294</v>
      </c>
      <c r="E164" s="64" t="str">
        <f>VLOOKUP(Table1[[#This Row],[MTP SKU]],'MTP SKUs - Master Data'!A:D,3,0)</f>
        <v>Toska Large TV Unit</v>
      </c>
      <c r="F164" s="64" t="s">
        <v>97</v>
      </c>
      <c r="G164" s="64" t="str">
        <f>_xlfn.CONCAT(Table1[[#This Row],[MTP Name]]," ",Table1[[#This Row],[ Child Color]])</f>
        <v>Toska Large TV Unit Brown Maple &amp; Beige</v>
      </c>
      <c r="H164" s="33" t="str">
        <f>VLOOKUP(Table1[[#This Row],[MTP SKU]],'MTP SKUs - Master Data'!A:D,3,0)</f>
        <v>Toska Large TV Unit</v>
      </c>
      <c r="I164" s="40"/>
      <c r="J164" s="36" t="s">
        <v>1295</v>
      </c>
      <c r="K164" s="37" t="s">
        <v>1296</v>
      </c>
      <c r="L164" s="38" t="s">
        <v>1297</v>
      </c>
      <c r="M164" s="38" t="s">
        <v>1298</v>
      </c>
      <c r="N164" s="38" t="s">
        <v>1299</v>
      </c>
      <c r="O164" s="39" t="s">
        <v>1300</v>
      </c>
      <c r="P164" s="39" t="s">
        <v>1301</v>
      </c>
      <c r="Q164" s="39">
        <v>34399056</v>
      </c>
    </row>
    <row r="165" spans="1:17">
      <c r="A165" s="59" t="s">
        <v>1302</v>
      </c>
      <c r="B165" s="45" t="str">
        <f>IFERROR(VLOOKUP(Table1[[#This Row],[Seller SKU]],'[1]FG Snapshot (V2)'!$A:$B,2,0),"AR")</f>
        <v>Y</v>
      </c>
      <c r="C165" s="45">
        <f>IFERROR(VLOOKUP(Table1[[#This Row],[Seller SKU]],'[1]FG Snapshot (V2)'!$A:$E,5,0),"AR")</f>
        <v>75</v>
      </c>
      <c r="D165" s="88" t="s">
        <v>548</v>
      </c>
      <c r="E165" s="64" t="str">
        <f>VLOOKUP(Table1[[#This Row],[MTP SKU]],'MTP SKUs - Master Data'!A:D,3,0)</f>
        <v>Crosbon Bookshelf</v>
      </c>
      <c r="F165" s="64" t="s">
        <v>182</v>
      </c>
      <c r="G165" s="64" t="str">
        <f>_xlfn.CONCAT(Table1[[#This Row],[MTP Name]]," ",Table1[[#This Row],[ Child Color]])</f>
        <v>Crosbon Bookshelf Wenge</v>
      </c>
      <c r="H165" s="33" t="str">
        <f>VLOOKUP(Table1[[#This Row],[MTP SKU]],'MTP SKUs - Master Data'!A:D,3,0)</f>
        <v>Crosbon Bookshelf</v>
      </c>
      <c r="I165" s="40"/>
      <c r="J165" s="36" t="s">
        <v>1303</v>
      </c>
      <c r="K165" s="37" t="s">
        <v>1304</v>
      </c>
      <c r="L165" s="38" t="s">
        <v>1305</v>
      </c>
      <c r="M165" s="38" t="s">
        <v>1306</v>
      </c>
      <c r="N165" s="38" t="s">
        <v>1307</v>
      </c>
      <c r="O165" s="39" t="s">
        <v>1308</v>
      </c>
      <c r="P165" s="39" t="s">
        <v>1309</v>
      </c>
      <c r="Q165" s="39">
        <v>34380994</v>
      </c>
    </row>
    <row r="166" spans="1:17">
      <c r="A166" s="59" t="s">
        <v>1310</v>
      </c>
      <c r="B166" s="45" t="str">
        <f>IFERROR(VLOOKUP(Table1[[#This Row],[Seller SKU]],'[1]FG Snapshot (V2)'!$A:$B,2,0),"AR")</f>
        <v>Y</v>
      </c>
      <c r="C166" s="45">
        <f>IFERROR(VLOOKUP(Table1[[#This Row],[Seller SKU]],'[1]FG Snapshot (V2)'!$A:$E,5,0),"AR")</f>
        <v>166</v>
      </c>
      <c r="D166" s="88" t="s">
        <v>1311</v>
      </c>
      <c r="E166" s="64" t="str">
        <f>VLOOKUP(Table1[[#This Row],[MTP SKU]],'MTP SKUs - Master Data'!A:D,3,0)</f>
        <v>Braine 6 Shelves Wall Shelve</v>
      </c>
      <c r="F166" s="64" t="s">
        <v>182</v>
      </c>
      <c r="G166" s="64" t="str">
        <f>_xlfn.CONCAT(Table1[[#This Row],[MTP Name]]," ",Table1[[#This Row],[ Child Color]])</f>
        <v>Braine 6 Shelves Wall Shelve Wenge</v>
      </c>
      <c r="H166" s="33" t="str">
        <f>VLOOKUP(Table1[[#This Row],[MTP SKU]],'MTP SKUs - Master Data'!A:D,3,0)</f>
        <v>Braine 6 Shelves Wall Shelve</v>
      </c>
      <c r="I166" s="40"/>
      <c r="J166" s="36" t="s">
        <v>1312</v>
      </c>
      <c r="K166" s="37" t="s">
        <v>1313</v>
      </c>
      <c r="L166" s="38" t="s">
        <v>1314</v>
      </c>
      <c r="M166" s="38" t="s">
        <v>1315</v>
      </c>
      <c r="N166" s="38" t="s">
        <v>1316</v>
      </c>
      <c r="O166" s="39" t="s">
        <v>1317</v>
      </c>
      <c r="P166" s="39" t="s">
        <v>62</v>
      </c>
      <c r="Q166" s="39">
        <v>29525086</v>
      </c>
    </row>
    <row r="167" spans="1:17">
      <c r="A167" s="59" t="s">
        <v>1318</v>
      </c>
      <c r="B167" s="45" t="str">
        <f>IFERROR(VLOOKUP(Table1[[#This Row],[Seller SKU]],'[1]FG Snapshot (V2)'!$A:$B,2,0),"AR")</f>
        <v>Y</v>
      </c>
      <c r="C167" s="45">
        <f>IFERROR(VLOOKUP(Table1[[#This Row],[Seller SKU]],'[1]FG Snapshot (V2)'!$A:$E,5,0),"AR")</f>
        <v>169</v>
      </c>
      <c r="D167" s="88" t="s">
        <v>1319</v>
      </c>
      <c r="E167" s="64" t="str">
        <f>VLOOKUP(Table1[[#This Row],[MTP SKU]],'MTP SKUs - Master Data'!A:D,3,0)</f>
        <v>Reynold Study Table</v>
      </c>
      <c r="F167" s="64" t="s">
        <v>182</v>
      </c>
      <c r="G167" s="64" t="str">
        <f>_xlfn.CONCAT(Table1[[#This Row],[MTP Name]]," ",Table1[[#This Row],[ Child Color]])</f>
        <v>Reynold Study Table Wenge</v>
      </c>
      <c r="H167" s="33" t="str">
        <f>VLOOKUP(Table1[[#This Row],[MTP SKU]],'MTP SKUs - Master Data'!A:D,3,0)</f>
        <v>Reynold Study Table</v>
      </c>
      <c r="I167" s="40"/>
      <c r="J167" s="36" t="s">
        <v>1320</v>
      </c>
      <c r="K167" s="37" t="s">
        <v>1321</v>
      </c>
      <c r="L167" s="38" t="s">
        <v>1322</v>
      </c>
      <c r="M167" s="38" t="s">
        <v>1323</v>
      </c>
      <c r="N167" s="38" t="s">
        <v>1324</v>
      </c>
      <c r="O167" s="39" t="s">
        <v>1325</v>
      </c>
      <c r="P167" s="39" t="s">
        <v>1326</v>
      </c>
      <c r="Q167" s="39">
        <v>34399141</v>
      </c>
    </row>
    <row r="168" spans="1:17">
      <c r="A168" s="59" t="s">
        <v>1327</v>
      </c>
      <c r="B168" s="45" t="str">
        <f>IFERROR(VLOOKUP(Table1[[#This Row],[Seller SKU]],'[1]FG Snapshot (V2)'!$A:$B,2,0),"AR")</f>
        <v>Y</v>
      </c>
      <c r="C168" s="45">
        <f>IFERROR(VLOOKUP(Table1[[#This Row],[Seller SKU]],'[1]FG Snapshot (V2)'!$A:$E,5,0),"AR")</f>
        <v>184</v>
      </c>
      <c r="D168" s="88" t="s">
        <v>1328</v>
      </c>
      <c r="E168" s="64" t="str">
        <f>VLOOKUP(Table1[[#This Row],[MTP SKU]],'MTP SKUs - Master Data'!A:D,3,0)</f>
        <v>Sydney Coffee Table</v>
      </c>
      <c r="F168" s="64" t="s">
        <v>19</v>
      </c>
      <c r="G168" s="64" t="str">
        <f>_xlfn.CONCAT(Table1[[#This Row],[MTP Name]]," ",Table1[[#This Row],[ Child Color]])</f>
        <v>Sydney Coffee Table Brown Maple</v>
      </c>
      <c r="H168" s="33" t="str">
        <f>VLOOKUP(Table1[[#This Row],[MTP SKU]],'MTP SKUs - Master Data'!A:D,3,0)</f>
        <v>Sydney Coffee Table</v>
      </c>
      <c r="I168" s="40"/>
      <c r="J168" s="36" t="e">
        <v>#N/A</v>
      </c>
      <c r="K168" s="37" t="s">
        <v>1329</v>
      </c>
      <c r="L168" s="38" t="s">
        <v>1330</v>
      </c>
      <c r="M168" s="38" t="s">
        <v>1331</v>
      </c>
      <c r="N168" s="38" t="s">
        <v>1332</v>
      </c>
      <c r="O168" s="39" t="s">
        <v>1333</v>
      </c>
      <c r="P168" s="39" t="s">
        <v>62</v>
      </c>
      <c r="Q168" s="39">
        <v>34399014</v>
      </c>
    </row>
    <row r="169" spans="1:17">
      <c r="A169" s="59" t="s">
        <v>1334</v>
      </c>
      <c r="B169" s="45" t="str">
        <f>IFERROR(VLOOKUP(Table1[[#This Row],[Seller SKU]],'[1]FG Snapshot (V2)'!$A:$B,2,0),"AR")</f>
        <v>Y</v>
      </c>
      <c r="C169" s="45">
        <f>IFERROR(VLOOKUP(Table1[[#This Row],[Seller SKU]],'[1]FG Snapshot (V2)'!$A:$E,5,0),"AR")</f>
        <v>167</v>
      </c>
      <c r="D169" s="88" t="s">
        <v>1335</v>
      </c>
      <c r="E169" s="64" t="str">
        <f>VLOOKUP(Table1[[#This Row],[MTP SKU]],'MTP SKUs - Master Data'!A:D,3,0)</f>
        <v>Primax Solo Standard TV Unit</v>
      </c>
      <c r="F169" s="64" t="s">
        <v>19</v>
      </c>
      <c r="G169" s="64" t="str">
        <f>_xlfn.CONCAT(Table1[[#This Row],[MTP Name]]," ",Table1[[#This Row],[ Child Color]])</f>
        <v>Primax Solo Standard TV Unit Brown Maple</v>
      </c>
      <c r="H169" s="33" t="str">
        <f>VLOOKUP(Table1[[#This Row],[MTP SKU]],'MTP SKUs - Master Data'!A:D,3,0)</f>
        <v>Primax Solo Standard TV Unit</v>
      </c>
      <c r="I169" s="40"/>
      <c r="J169" s="36" t="s">
        <v>1336</v>
      </c>
      <c r="K169" s="37" t="s">
        <v>1337</v>
      </c>
      <c r="L169" s="38" t="s">
        <v>1338</v>
      </c>
      <c r="M169" s="38" t="s">
        <v>1339</v>
      </c>
      <c r="N169" s="38" t="s">
        <v>1340</v>
      </c>
      <c r="O169" s="39" t="s">
        <v>1341</v>
      </c>
      <c r="P169" s="39" t="s">
        <v>62</v>
      </c>
      <c r="Q169" s="39">
        <v>34399178</v>
      </c>
    </row>
    <row r="170" spans="1:17">
      <c r="A170" s="59" t="s">
        <v>1342</v>
      </c>
      <c r="B170" s="45" t="str">
        <f>IFERROR(VLOOKUP(Table1[[#This Row],[Seller SKU]],'[1]FG Snapshot (V2)'!$A:$B,2,0),"AR")</f>
        <v>Y</v>
      </c>
      <c r="C170" s="45">
        <f>IFERROR(VLOOKUP(Table1[[#This Row],[Seller SKU]],'[1]FG Snapshot (V2)'!$A:$E,5,0),"AR")</f>
        <v>240</v>
      </c>
      <c r="D170" s="88" t="s">
        <v>1343</v>
      </c>
      <c r="E170" s="64" t="str">
        <f>VLOOKUP(Table1[[#This Row],[MTP SKU]],'MTP SKUs - Master Data'!A:D,3,0)</f>
        <v>Otto Remote Holder</v>
      </c>
      <c r="F170" s="64" t="s">
        <v>1344</v>
      </c>
      <c r="G170" s="64" t="str">
        <f>_xlfn.CONCAT(Table1[[#This Row],[MTP Name]]," ",Table1[[#This Row],[ Child Color]])</f>
        <v>Otto Remote Holder Wenge Tree</v>
      </c>
      <c r="H170" s="40" t="str">
        <f>VLOOKUP(Table1[[#This Row],[MTP SKU]],'MTP SKUs - Master Data'!A:D,3,0)</f>
        <v>Otto Remote Holder</v>
      </c>
      <c r="I170" s="40"/>
      <c r="J170" s="36" t="s">
        <v>1345</v>
      </c>
      <c r="K170" s="37" t="s">
        <v>1346</v>
      </c>
      <c r="L170" s="38" t="s">
        <v>1347</v>
      </c>
      <c r="M170" s="38" t="s">
        <v>1348</v>
      </c>
      <c r="N170" s="38" t="e">
        <v>#N/A</v>
      </c>
      <c r="O170" s="39" t="s">
        <v>1349</v>
      </c>
      <c r="P170" s="39" t="s">
        <v>62</v>
      </c>
      <c r="Q170" s="39" t="e">
        <v>#N/A</v>
      </c>
    </row>
    <row r="171" spans="1:17">
      <c r="A171" s="59" t="s">
        <v>1350</v>
      </c>
      <c r="B171" s="45" t="str">
        <f>IFERROR(VLOOKUP(Table1[[#This Row],[Seller SKU]],'[1]FG Snapshot (V2)'!$A:$B,2,0),"AR")</f>
        <v>YB</v>
      </c>
      <c r="C171" s="45">
        <f>IFERROR(VLOOKUP(Table1[[#This Row],[Seller SKU]],'[1]FG Snapshot (V2)'!$A:$E,5,0),"AR")</f>
        <v>230</v>
      </c>
      <c r="D171" s="88" t="s">
        <v>1011</v>
      </c>
      <c r="E171" s="64" t="str">
        <f>VLOOKUP(Table1[[#This Row],[MTP SKU]],'MTP SKUs - Master Data'!A:D,3,0)</f>
        <v>Louis Wall Shelve</v>
      </c>
      <c r="F171" s="64" t="s">
        <v>182</v>
      </c>
      <c r="G171" s="64" t="str">
        <f>_xlfn.CONCAT(Table1[[#This Row],[MTP Name]]," ",Table1[[#This Row],[ Child Color]])</f>
        <v>Louis Wall Shelve Wenge</v>
      </c>
      <c r="H171" s="33" t="str">
        <f>VLOOKUP(Table1[[#This Row],[MTP SKU]],'MTP SKUs - Master Data'!A:D,3,0)</f>
        <v>Louis Wall Shelve</v>
      </c>
      <c r="I171" s="40"/>
      <c r="J171" s="36" t="s">
        <v>1351</v>
      </c>
      <c r="K171" s="37" t="s">
        <v>1352</v>
      </c>
      <c r="L171" s="38" t="s">
        <v>1353</v>
      </c>
      <c r="M171" s="38" t="s">
        <v>1354</v>
      </c>
      <c r="N171" s="38" t="s">
        <v>1355</v>
      </c>
      <c r="O171" s="39" t="s">
        <v>1356</v>
      </c>
      <c r="P171" s="39" t="s">
        <v>62</v>
      </c>
      <c r="Q171" s="39">
        <v>34163063</v>
      </c>
    </row>
    <row r="172" spans="1:17">
      <c r="A172" s="60" t="s">
        <v>1357</v>
      </c>
      <c r="B172" s="45" t="str">
        <f>IFERROR(VLOOKUP(Table1[[#This Row],[Seller SKU]],'[1]FG Snapshot (V2)'!$A:$B,2,0),"AR")</f>
        <v>NL</v>
      </c>
      <c r="C172" s="45">
        <f>IFERROR(VLOOKUP(Table1[[#This Row],[Seller SKU]],'[1]FG Snapshot (V2)'!$A:$E,5,0),"AR")</f>
        <v>81</v>
      </c>
      <c r="D172" s="40" t="s">
        <v>1358</v>
      </c>
      <c r="E172" s="64" t="str">
        <f>VLOOKUP(Table1[[#This Row],[MTP SKU]],'MTP SKUs - Master Data'!A:D,3,0)</f>
        <v>Shubh Mini Pooja Temple</v>
      </c>
      <c r="F172" s="64" t="s">
        <v>319</v>
      </c>
      <c r="G172" s="67" t="str">
        <f>_xlfn.CONCAT(Table1[[#This Row],[MTP Name]]," ",Table1[[#This Row],[ Child Color]])</f>
        <v>Shubh Mini Pooja Temple European Oak</v>
      </c>
      <c r="H172" s="40" t="str">
        <f>VLOOKUP(Table1[[#This Row],[MTP SKU]],'MTP SKUs - Master Data'!A:D,3,0)</f>
        <v>Shubh Mini Pooja Temple</v>
      </c>
      <c r="I172" s="40"/>
      <c r="J172" s="36"/>
      <c r="K172" s="37" t="s">
        <v>1359</v>
      </c>
      <c r="L172" s="38" t="s">
        <v>1360</v>
      </c>
      <c r="M172" s="38"/>
      <c r="N172" s="38" t="e">
        <v>#N/A</v>
      </c>
      <c r="O172" s="39" t="s">
        <v>1361</v>
      </c>
      <c r="P172" s="39" t="s">
        <v>62</v>
      </c>
      <c r="Q172" s="39"/>
    </row>
    <row r="173" spans="1:17">
      <c r="A173" s="59" t="s">
        <v>1362</v>
      </c>
      <c r="B173" s="45" t="str">
        <f>IFERROR(VLOOKUP(Table1[[#This Row],[Seller SKU]],'[1]FG Snapshot (V2)'!$A:$B,2,0),"AR")</f>
        <v>Y</v>
      </c>
      <c r="C173" s="45">
        <f>IFERROR(VLOOKUP(Table1[[#This Row],[Seller SKU]],'[1]FG Snapshot (V2)'!$A:$E,5,0),"AR")</f>
        <v>146</v>
      </c>
      <c r="D173" s="88" t="s">
        <v>1147</v>
      </c>
      <c r="E173" s="64" t="str">
        <f>VLOOKUP(Table1[[#This Row],[MTP SKU]],'MTP SKUs - Master Data'!A:D,3,0)</f>
        <v>Cadlic Wall Shelve</v>
      </c>
      <c r="F173" s="64" t="s">
        <v>19</v>
      </c>
      <c r="G173" s="64" t="str">
        <f>_xlfn.CONCAT(Table1[[#This Row],[MTP Name]]," ",Table1[[#This Row],[ Child Color]])</f>
        <v>Cadlic Wall Shelve Brown Maple</v>
      </c>
      <c r="H173" s="33" t="str">
        <f>VLOOKUP(Table1[[#This Row],[MTP SKU]],'MTP SKUs - Master Data'!A:D,3,0)</f>
        <v>Cadlic Wall Shelve</v>
      </c>
      <c r="I173" s="40"/>
      <c r="J173" s="36" t="e">
        <v>#N/A</v>
      </c>
      <c r="K173" s="37" t="s">
        <v>1363</v>
      </c>
      <c r="L173" s="38" t="s">
        <v>1364</v>
      </c>
      <c r="M173" s="38" t="s">
        <v>1365</v>
      </c>
      <c r="N173" s="38" t="s">
        <v>1366</v>
      </c>
      <c r="O173" s="39" t="s">
        <v>1367</v>
      </c>
      <c r="P173" s="39" t="s">
        <v>62</v>
      </c>
      <c r="Q173" s="39" t="e">
        <v>#N/A</v>
      </c>
    </row>
    <row r="174" spans="1:17">
      <c r="A174" s="59" t="s">
        <v>1368</v>
      </c>
      <c r="B174" s="45" t="str">
        <f>IFERROR(VLOOKUP(Table1[[#This Row],[Seller SKU]],'[1]FG Snapshot (V2)'!$A:$B,2,0),"AR")</f>
        <v>Y</v>
      </c>
      <c r="C174" s="45">
        <f>IFERROR(VLOOKUP(Table1[[#This Row],[Seller SKU]],'[1]FG Snapshot (V2)'!$A:$E,5,0),"AR")</f>
        <v>159</v>
      </c>
      <c r="D174" s="88" t="s">
        <v>1369</v>
      </c>
      <c r="E174" s="64" t="str">
        <f>VLOOKUP(Table1[[#This Row],[MTP SKU]],'MTP SKUs - Master Data'!A:D,3,0)</f>
        <v>Alex-5 Layer Narrow Design  Bookshelf</v>
      </c>
      <c r="F174" s="64" t="s">
        <v>19</v>
      </c>
      <c r="G174" s="64" t="str">
        <f>_xlfn.CONCAT(Table1[[#This Row],[MTP Name]]," ",Table1[[#This Row],[ Child Color]])</f>
        <v>Alex-5 Layer Narrow Design  Bookshelf Brown Maple</v>
      </c>
      <c r="H174" s="33" t="str">
        <f>VLOOKUP(Table1[[#This Row],[MTP SKU]],'MTP SKUs - Master Data'!A:D,3,0)</f>
        <v>Alex-5 Layer Narrow Design  Bookshelf</v>
      </c>
      <c r="I174" s="40"/>
      <c r="J174" s="36" t="s">
        <v>1370</v>
      </c>
      <c r="K174" s="37" t="s">
        <v>1371</v>
      </c>
      <c r="L174" s="38" t="s">
        <v>1372</v>
      </c>
      <c r="M174" s="38" t="s">
        <v>1373</v>
      </c>
      <c r="N174" s="38" t="s">
        <v>1374</v>
      </c>
      <c r="O174" s="39" t="s">
        <v>1375</v>
      </c>
      <c r="P174" s="39" t="s">
        <v>1376</v>
      </c>
      <c r="Q174" s="39">
        <v>34380990</v>
      </c>
    </row>
    <row r="175" spans="1:17">
      <c r="A175" s="59" t="s">
        <v>1377</v>
      </c>
      <c r="B175" s="45" t="str">
        <f>IFERROR(VLOOKUP(Table1[[#This Row],[Seller SKU]],'[1]FG Snapshot (V2)'!$A:$B,2,0),"AR")</f>
        <v>Y</v>
      </c>
      <c r="C175" s="45">
        <f>IFERROR(VLOOKUP(Table1[[#This Row],[Seller SKU]],'[1]FG Snapshot (V2)'!$A:$E,5,0),"AR")</f>
        <v>149</v>
      </c>
      <c r="D175" s="88" t="s">
        <v>1378</v>
      </c>
      <c r="E175" s="64" t="str">
        <f>VLOOKUP(Table1[[#This Row],[MTP SKU]],'MTP SKUs - Master Data'!A:D,3,0)</f>
        <v>Molse Bookshelf</v>
      </c>
      <c r="F175" s="64" t="s">
        <v>19</v>
      </c>
      <c r="G175" s="64" t="str">
        <f>_xlfn.CONCAT(Table1[[#This Row],[MTP Name]]," ",Table1[[#This Row],[ Child Color]])</f>
        <v>Molse Bookshelf Brown Maple</v>
      </c>
      <c r="H175" s="33" t="str">
        <f>VLOOKUP(Table1[[#This Row],[MTP SKU]],'MTP SKUs - Master Data'!A:D,3,0)</f>
        <v>Molse Bookshelf</v>
      </c>
      <c r="I175" s="40"/>
      <c r="J175" s="36" t="e">
        <v>#N/A</v>
      </c>
      <c r="K175" s="37" t="s">
        <v>1379</v>
      </c>
      <c r="L175" s="38" t="s">
        <v>1380</v>
      </c>
      <c r="M175" s="38" t="s">
        <v>1381</v>
      </c>
      <c r="N175" s="38" t="s">
        <v>1382</v>
      </c>
      <c r="O175" s="39" t="s">
        <v>1383</v>
      </c>
      <c r="P175" s="39" t="s">
        <v>62</v>
      </c>
      <c r="Q175" s="39">
        <v>34380967</v>
      </c>
    </row>
    <row r="176" spans="1:17">
      <c r="A176" s="59" t="s">
        <v>1384</v>
      </c>
      <c r="B176" s="45" t="str">
        <f>IFERROR(VLOOKUP(Table1[[#This Row],[Seller SKU]],'[1]FG Snapshot (V2)'!$A:$B,2,0),"AR")</f>
        <v>Y</v>
      </c>
      <c r="C176" s="45">
        <f>IFERROR(VLOOKUP(Table1[[#This Row],[Seller SKU]],'[1]FG Snapshot (V2)'!$A:$E,5,0),"AR")</f>
        <v>185</v>
      </c>
      <c r="D176" s="88" t="s">
        <v>745</v>
      </c>
      <c r="E176" s="64" t="str">
        <f>VLOOKUP(Table1[[#This Row],[MTP SKU]],'MTP SKUs - Master Data'!A:D,3,0)</f>
        <v>Mallium With Slider Study Table</v>
      </c>
      <c r="F176" s="64" t="s">
        <v>182</v>
      </c>
      <c r="G176" s="64" t="str">
        <f>_xlfn.CONCAT(Table1[[#This Row],[MTP Name]]," ",Table1[[#This Row],[ Child Color]])</f>
        <v>Mallium With Slider Study Table Wenge</v>
      </c>
      <c r="H176" s="33" t="str">
        <f>VLOOKUP(Table1[[#This Row],[MTP SKU]],'MTP SKUs - Master Data'!A:D,3,0)</f>
        <v>Mallium With Slider Study Table</v>
      </c>
      <c r="I176" s="40"/>
      <c r="J176" s="36" t="s">
        <v>1385</v>
      </c>
      <c r="K176" s="37" t="s">
        <v>1386</v>
      </c>
      <c r="L176" s="38" t="s">
        <v>1387</v>
      </c>
      <c r="M176" s="38" t="s">
        <v>1388</v>
      </c>
      <c r="N176" s="38" t="s">
        <v>1389</v>
      </c>
      <c r="O176" s="39" t="s">
        <v>1390</v>
      </c>
      <c r="P176" s="39" t="s">
        <v>1391</v>
      </c>
      <c r="Q176" s="39">
        <v>34399029</v>
      </c>
    </row>
    <row r="177" spans="1:17">
      <c r="A177" s="59" t="s">
        <v>1392</v>
      </c>
      <c r="B177" s="45" t="str">
        <f>IFERROR(VLOOKUP(Table1[[#This Row],[Seller SKU]],'[1]FG Snapshot (V2)'!$A:$B,2,0),"AR")</f>
        <v>YB</v>
      </c>
      <c r="C177" s="45">
        <f>IFERROR(VLOOKUP(Table1[[#This Row],[Seller SKU]],'[1]FG Snapshot (V2)'!$A:$E,5,0),"AR")</f>
        <v>187</v>
      </c>
      <c r="D177" s="88" t="s">
        <v>1311</v>
      </c>
      <c r="E177" s="64" t="str">
        <f>VLOOKUP(Table1[[#This Row],[MTP SKU]],'MTP SKUs - Master Data'!A:D,3,0)</f>
        <v>Braine 6 Shelves Wall Shelve</v>
      </c>
      <c r="F177" s="64" t="s">
        <v>780</v>
      </c>
      <c r="G177" s="64" t="str">
        <f>_xlfn.CONCAT(Table1[[#This Row],[MTP Name]]," ",Table1[[#This Row],[ Child Color]])</f>
        <v>Braine 6 Shelves Wall Shelve Walnut</v>
      </c>
      <c r="H177" s="33" t="str">
        <f>VLOOKUP(Table1[[#This Row],[MTP SKU]],'MTP SKUs - Master Data'!A:D,3,0)</f>
        <v>Braine 6 Shelves Wall Shelve</v>
      </c>
      <c r="I177" s="40"/>
      <c r="J177" s="36" t="s">
        <v>1393</v>
      </c>
      <c r="K177" s="37" t="s">
        <v>1394</v>
      </c>
      <c r="L177" s="38" t="s">
        <v>1395</v>
      </c>
      <c r="M177" s="38" t="s">
        <v>1396</v>
      </c>
      <c r="N177" s="38" t="s">
        <v>1397</v>
      </c>
      <c r="O177" s="39" t="s">
        <v>1398</v>
      </c>
      <c r="P177" s="39" t="s">
        <v>62</v>
      </c>
      <c r="Q177" s="39">
        <v>29525092</v>
      </c>
    </row>
    <row r="178" spans="1:17">
      <c r="A178" s="59" t="s">
        <v>1399</v>
      </c>
      <c r="B178" s="45" t="str">
        <f>IFERROR(VLOOKUP(Table1[[#This Row],[Seller SKU]],'[1]FG Snapshot (V2)'!$A:$B,2,0),"AR")</f>
        <v>Y</v>
      </c>
      <c r="C178" s="45">
        <f>IFERROR(VLOOKUP(Table1[[#This Row],[Seller SKU]],'[1]FG Snapshot (V2)'!$A:$E,5,0),"AR")</f>
        <v>178</v>
      </c>
      <c r="D178" s="88" t="s">
        <v>1400</v>
      </c>
      <c r="E178" s="64" t="str">
        <f>VLOOKUP(Table1[[#This Row],[MTP SKU]],'MTP SKUs - Master Data'!A:D,3,0)</f>
        <v>Estoye Mini TV Unit</v>
      </c>
      <c r="F178" s="64" t="s">
        <v>19</v>
      </c>
      <c r="G178" s="64" t="str">
        <f>_xlfn.CONCAT(Table1[[#This Row],[MTP Name]]," ",Table1[[#This Row],[ Child Color]])</f>
        <v>Estoye Mini TV Unit Brown Maple</v>
      </c>
      <c r="H178" s="33" t="str">
        <f>VLOOKUP(Table1[[#This Row],[MTP SKU]],'MTP SKUs - Master Data'!A:D,3,0)</f>
        <v>Estoye Mini TV Unit</v>
      </c>
      <c r="I178" s="40"/>
      <c r="J178" s="36" t="s">
        <v>1401</v>
      </c>
      <c r="K178" s="37" t="s">
        <v>1402</v>
      </c>
      <c r="L178" s="38" t="s">
        <v>1403</v>
      </c>
      <c r="M178" s="38" t="s">
        <v>1404</v>
      </c>
      <c r="N178" s="38" t="s">
        <v>1405</v>
      </c>
      <c r="O178" s="39" t="s">
        <v>1406</v>
      </c>
      <c r="P178" s="39" t="s">
        <v>1407</v>
      </c>
      <c r="Q178" s="39">
        <v>34399051</v>
      </c>
    </row>
    <row r="179" spans="1:17">
      <c r="A179" s="59" t="s">
        <v>1408</v>
      </c>
      <c r="B179" s="45" t="str">
        <f>IFERROR(VLOOKUP(Table1[[#This Row],[Seller SKU]],'[1]FG Snapshot (V2)'!$A:$B,2,0),"AR")</f>
        <v>Y</v>
      </c>
      <c r="C179" s="45">
        <f>IFERROR(VLOOKUP(Table1[[#This Row],[Seller SKU]],'[1]FG Snapshot (V2)'!$A:$E,5,0),"AR")</f>
        <v>245</v>
      </c>
      <c r="D179" s="88" t="s">
        <v>940</v>
      </c>
      <c r="E179" s="64" t="str">
        <f>VLOOKUP(Table1[[#This Row],[MTP SKU]],'MTP SKUs - Master Data'!A:D,3,0)</f>
        <v>Mayrite Round Coffee Table</v>
      </c>
      <c r="F179" s="64" t="s">
        <v>182</v>
      </c>
      <c r="G179" s="64" t="str">
        <f>_xlfn.CONCAT(Table1[[#This Row],[MTP Name]]," ",Table1[[#This Row],[ Child Color]])</f>
        <v>Mayrite Round Coffee Table Wenge</v>
      </c>
      <c r="H179" s="33" t="str">
        <f>VLOOKUP(Table1[[#This Row],[MTP SKU]],'MTP SKUs - Master Data'!A:D,3,0)</f>
        <v>Mayrite Round Coffee Table</v>
      </c>
      <c r="I179" s="40"/>
      <c r="J179" s="36" t="e">
        <v>#N/A</v>
      </c>
      <c r="K179" s="37" t="s">
        <v>1409</v>
      </c>
      <c r="L179" s="38" t="s">
        <v>1410</v>
      </c>
      <c r="M179" s="38" t="s">
        <v>1411</v>
      </c>
      <c r="N179" s="38" t="s">
        <v>1412</v>
      </c>
      <c r="O179" s="39" t="s">
        <v>1413</v>
      </c>
      <c r="P179" s="39" t="s">
        <v>62</v>
      </c>
      <c r="Q179" s="39">
        <v>34399003</v>
      </c>
    </row>
    <row r="180" spans="1:17">
      <c r="A180" s="59" t="s">
        <v>1414</v>
      </c>
      <c r="B180" s="45" t="str">
        <f>IFERROR(VLOOKUP(Table1[[#This Row],[Seller SKU]],'[1]FG Snapshot (V2)'!$A:$B,2,0),"AR")</f>
        <v>y</v>
      </c>
      <c r="C180" s="45">
        <f>IFERROR(VLOOKUP(Table1[[#This Row],[Seller SKU]],'[1]FG Snapshot (V2)'!$A:$E,5,0),"AR")</f>
        <v>141</v>
      </c>
      <c r="D180" s="88" t="s">
        <v>1415</v>
      </c>
      <c r="E180" s="64" t="str">
        <f>VLOOKUP(Table1[[#This Row],[MTP SKU]],'MTP SKUs - Master Data'!A:D,3,0)</f>
        <v>Mayrone TV Unit</v>
      </c>
      <c r="F180" s="64" t="s">
        <v>28</v>
      </c>
      <c r="G180" s="64" t="str">
        <f>_xlfn.CONCAT(Table1[[#This Row],[MTP Name]]," ",Table1[[#This Row],[ Child Color]])</f>
        <v>Mayrone TV Unit Brown Maple &amp; White</v>
      </c>
      <c r="H180" s="33" t="str">
        <f>VLOOKUP(Table1[[#This Row],[MTP SKU]],'MTP SKUs - Master Data'!A:D,3,0)</f>
        <v>Mayrone TV Unit</v>
      </c>
      <c r="I180" s="40"/>
      <c r="J180" s="36" t="s">
        <v>1416</v>
      </c>
      <c r="K180" s="37" t="s">
        <v>1417</v>
      </c>
      <c r="L180" s="38" t="s">
        <v>1418</v>
      </c>
      <c r="M180" s="38" t="s">
        <v>1419</v>
      </c>
      <c r="N180" s="38" t="s">
        <v>1420</v>
      </c>
      <c r="O180" s="39" t="s">
        <v>1421</v>
      </c>
      <c r="P180" s="39" t="s">
        <v>1422</v>
      </c>
      <c r="Q180" s="39" t="e">
        <v>#N/A</v>
      </c>
    </row>
    <row r="181" spans="1:17">
      <c r="A181" s="59" t="s">
        <v>1423</v>
      </c>
      <c r="B181" s="45" t="str">
        <f>IFERROR(VLOOKUP(Table1[[#This Row],[Seller SKU]],'[1]FG Snapshot (V2)'!$A:$B,2,0),"AR")</f>
        <v>Y</v>
      </c>
      <c r="C181" s="45">
        <f>IFERROR(VLOOKUP(Table1[[#This Row],[Seller SKU]],'[1]FG Snapshot (V2)'!$A:$E,5,0),"AR")</f>
        <v>239</v>
      </c>
      <c r="D181" s="88" t="s">
        <v>1424</v>
      </c>
      <c r="E181" s="64" t="str">
        <f>VLOOKUP(Table1[[#This Row],[MTP SKU]],'MTP SKUs - Master Data'!A:D,3,0)</f>
        <v>Roland Remote Holder</v>
      </c>
      <c r="F181" s="64" t="s">
        <v>182</v>
      </c>
      <c r="G181" s="64" t="str">
        <f>_xlfn.CONCAT(Table1[[#This Row],[MTP Name]]," ",Table1[[#This Row],[ Child Color]])</f>
        <v>Roland Remote Holder Wenge</v>
      </c>
      <c r="H181" s="40" t="str">
        <f>VLOOKUP(Table1[[#This Row],[MTP SKU]],'MTP SKUs - Master Data'!A:D,3,0)</f>
        <v>Roland Remote Holder</v>
      </c>
      <c r="I181" s="40"/>
      <c r="J181" s="36" t="s">
        <v>1425</v>
      </c>
      <c r="K181" s="37" t="s">
        <v>1426</v>
      </c>
      <c r="L181" s="38" t="s">
        <v>1427</v>
      </c>
      <c r="M181" s="38" t="s">
        <v>1428</v>
      </c>
      <c r="N181" s="38" t="e">
        <v>#N/A</v>
      </c>
      <c r="O181" s="39" t="s">
        <v>1429</v>
      </c>
      <c r="P181" s="39" t="s">
        <v>62</v>
      </c>
      <c r="Q181" s="39" t="e">
        <v>#N/A</v>
      </c>
    </row>
    <row r="182" spans="1:17">
      <c r="A182" s="59" t="s">
        <v>1430</v>
      </c>
      <c r="B182" s="45" t="str">
        <f>IFERROR(VLOOKUP(Table1[[#This Row],[Seller SKU]],'[1]FG Snapshot (V2)'!$A:$B,2,0),"AR")</f>
        <v>Y</v>
      </c>
      <c r="C182" s="45">
        <f>IFERROR(VLOOKUP(Table1[[#This Row],[Seller SKU]],'[1]FG Snapshot (V2)'!$A:$E,5,0),"AR")</f>
        <v>181</v>
      </c>
      <c r="D182" s="88" t="s">
        <v>1431</v>
      </c>
      <c r="E182" s="64" t="str">
        <f>VLOOKUP(Table1[[#This Row],[MTP SKU]],'MTP SKUs - Master Data'!A:D,3,0)</f>
        <v>Caselle Large Bookshelf</v>
      </c>
      <c r="F182" s="64" t="s">
        <v>19</v>
      </c>
      <c r="G182" s="64" t="str">
        <f>_xlfn.CONCAT(Table1[[#This Row],[MTP Name]]," ",Table1[[#This Row],[ Child Color]])</f>
        <v>Caselle Large Bookshelf Brown Maple</v>
      </c>
      <c r="H182" s="33" t="str">
        <f>VLOOKUP(Table1[[#This Row],[MTP SKU]],'MTP SKUs - Master Data'!A:D,3,0)</f>
        <v>Caselle Large Bookshelf</v>
      </c>
      <c r="I182" s="40"/>
      <c r="J182" s="36" t="s">
        <v>1432</v>
      </c>
      <c r="K182" s="37" t="s">
        <v>1433</v>
      </c>
      <c r="L182" s="38" t="s">
        <v>1434</v>
      </c>
      <c r="M182" s="38" t="s">
        <v>1435</v>
      </c>
      <c r="N182" s="38" t="s">
        <v>1436</v>
      </c>
      <c r="O182" s="39" t="s">
        <v>1437</v>
      </c>
      <c r="P182" s="39" t="s">
        <v>62</v>
      </c>
      <c r="Q182" s="39">
        <v>34380938</v>
      </c>
    </row>
    <row r="183" spans="1:17">
      <c r="A183" s="59" t="s">
        <v>1438</v>
      </c>
      <c r="B183" s="45" t="str">
        <f>IFERROR(VLOOKUP(Table1[[#This Row],[Seller SKU]],'[1]FG Snapshot (V2)'!$A:$B,2,0),"AR")</f>
        <v>Y</v>
      </c>
      <c r="C183" s="45">
        <f>IFERROR(VLOOKUP(Table1[[#This Row],[Seller SKU]],'[1]FG Snapshot (V2)'!$A:$E,5,0),"AR")</f>
        <v>168</v>
      </c>
      <c r="D183" s="88" t="s">
        <v>1439</v>
      </c>
      <c r="E183" s="64" t="str">
        <f>VLOOKUP(Table1[[#This Row],[MTP SKU]],'MTP SKUs - Master Data'!A:D,3,0)</f>
        <v>Torene 18 Key Holder</v>
      </c>
      <c r="F183" s="64" t="s">
        <v>182</v>
      </c>
      <c r="G183" s="64" t="str">
        <f>_xlfn.CONCAT(Table1[[#This Row],[MTP Name]]," ",Table1[[#This Row],[ Child Color]])</f>
        <v>Torene 18 Key Holder Wenge</v>
      </c>
      <c r="H183" s="40" t="str">
        <f>VLOOKUP(Table1[[#This Row],[MTP SKU]],'MTP SKUs - Master Data'!A:D,3,0)</f>
        <v>Torene 18 Key Holder</v>
      </c>
      <c r="I183" s="40"/>
      <c r="J183" s="36" t="s">
        <v>1440</v>
      </c>
      <c r="K183" s="37" t="s">
        <v>1441</v>
      </c>
      <c r="L183" s="38" t="s">
        <v>1442</v>
      </c>
      <c r="M183" s="38" t="s">
        <v>1443</v>
      </c>
      <c r="N183" s="38" t="e">
        <v>#N/A</v>
      </c>
      <c r="O183" s="39" t="s">
        <v>1444</v>
      </c>
      <c r="P183" s="39" t="s">
        <v>62</v>
      </c>
      <c r="Q183" s="39">
        <v>27465480</v>
      </c>
    </row>
    <row r="184" spans="1:17">
      <c r="A184" s="59" t="s">
        <v>1445</v>
      </c>
      <c r="B184" s="45" t="str">
        <f>IFERROR(VLOOKUP(Table1[[#This Row],[Seller SKU]],'[1]FG Snapshot (V2)'!$A:$B,2,0),"AR")</f>
        <v>YB</v>
      </c>
      <c r="C184" s="45">
        <f>IFERROR(VLOOKUP(Table1[[#This Row],[Seller SKU]],'[1]FG Snapshot (V2)'!$A:$E,5,0),"AR")</f>
        <v>152</v>
      </c>
      <c r="D184" s="88" t="s">
        <v>1173</v>
      </c>
      <c r="E184" s="64" t="str">
        <f>VLOOKUP(Table1[[#This Row],[MTP SKU]],'MTP SKUs - Master Data'!A:D,3,0)</f>
        <v>Walten Bookshelf</v>
      </c>
      <c r="F184" s="64" t="s">
        <v>780</v>
      </c>
      <c r="G184" s="64" t="str">
        <f>_xlfn.CONCAT(Table1[[#This Row],[MTP Name]]," ",Table1[[#This Row],[ Child Color]])</f>
        <v>Walten Bookshelf Walnut</v>
      </c>
      <c r="H184" s="33" t="str">
        <f>VLOOKUP(Table1[[#This Row],[MTP SKU]],'MTP SKUs - Master Data'!A:D,3,0)</f>
        <v>Walten Bookshelf</v>
      </c>
      <c r="I184" s="40"/>
      <c r="J184" s="36" t="s">
        <v>1446</v>
      </c>
      <c r="K184" s="37" t="s">
        <v>1447</v>
      </c>
      <c r="L184" s="38" t="s">
        <v>1448</v>
      </c>
      <c r="M184" s="38" t="s">
        <v>1449</v>
      </c>
      <c r="N184" s="38" t="s">
        <v>1450</v>
      </c>
      <c r="O184" s="39" t="s">
        <v>1451</v>
      </c>
      <c r="P184" s="39" t="s">
        <v>1452</v>
      </c>
      <c r="Q184" s="39">
        <v>34380981</v>
      </c>
    </row>
    <row r="185" spans="1:17">
      <c r="A185" s="59" t="s">
        <v>1453</v>
      </c>
      <c r="B185" s="45" t="str">
        <f>IFERROR(VLOOKUP(Table1[[#This Row],[Seller SKU]],'[1]FG Snapshot (V2)'!$A:$B,2,0),"AR")</f>
        <v>Y</v>
      </c>
      <c r="C185" s="45">
        <f>IFERROR(VLOOKUP(Table1[[#This Row],[Seller SKU]],'[1]FG Snapshot (V2)'!$A:$E,5,0),"AR")</f>
        <v>210</v>
      </c>
      <c r="D185" s="88" t="s">
        <v>1454</v>
      </c>
      <c r="E185" s="64" t="str">
        <f>VLOOKUP(Table1[[#This Row],[MTP SKU]],'MTP SKUs - Master Data'!A:D,3,0)</f>
        <v>Skywood 10 Key Holder</v>
      </c>
      <c r="F185" s="64" t="s">
        <v>182</v>
      </c>
      <c r="G185" s="64" t="str">
        <f>_xlfn.CONCAT(Table1[[#This Row],[MTP Name]]," ",Table1[[#This Row],[ Child Color]])</f>
        <v>Skywood 10 Key Holder Wenge</v>
      </c>
      <c r="H185" s="40" t="str">
        <f>VLOOKUP(Table1[[#This Row],[MTP SKU]],'MTP SKUs - Master Data'!A:D,3,0)</f>
        <v>Skywood 10 Key Holder</v>
      </c>
      <c r="I185" s="40"/>
      <c r="J185" s="36" t="s">
        <v>1455</v>
      </c>
      <c r="K185" s="37" t="s">
        <v>1456</v>
      </c>
      <c r="L185" s="38" t="s">
        <v>1457</v>
      </c>
      <c r="M185" s="38" t="s">
        <v>1458</v>
      </c>
      <c r="N185" s="38" t="e">
        <v>#N/A</v>
      </c>
      <c r="O185" s="39" t="s">
        <v>1459</v>
      </c>
      <c r="P185" s="39" t="s">
        <v>62</v>
      </c>
      <c r="Q185" s="39">
        <v>34165360</v>
      </c>
    </row>
    <row r="186" spans="1:17">
      <c r="A186" s="59" t="s">
        <v>1460</v>
      </c>
      <c r="B186" s="45" t="str">
        <f>IFERROR(VLOOKUP(Table1[[#This Row],[Seller SKU]],'[1]FG Snapshot (V2)'!$A:$B,2,0),"AR")</f>
        <v>Y</v>
      </c>
      <c r="C186" s="45">
        <f>IFERROR(VLOOKUP(Table1[[#This Row],[Seller SKU]],'[1]FG Snapshot (V2)'!$A:$E,5,0),"AR")</f>
        <v>227</v>
      </c>
      <c r="D186" s="88" t="s">
        <v>1461</v>
      </c>
      <c r="E186" s="64" t="str">
        <f>VLOOKUP(Table1[[#This Row],[MTP SKU]],'MTP SKUs - Master Data'!A:D,3,0)</f>
        <v>Kyvid Large TV Unit</v>
      </c>
      <c r="F186" s="64" t="s">
        <v>182</v>
      </c>
      <c r="G186" s="64" t="str">
        <f>_xlfn.CONCAT(Table1[[#This Row],[MTP Name]]," ",Table1[[#This Row],[ Child Color]])</f>
        <v>Kyvid Large TV Unit Wenge</v>
      </c>
      <c r="H186" s="33" t="str">
        <f>VLOOKUP(Table1[[#This Row],[MTP SKU]],'MTP SKUs - Master Data'!A:D,3,0)</f>
        <v>Kyvid Large TV Unit</v>
      </c>
      <c r="I186" s="40"/>
      <c r="J186" s="36" t="s">
        <v>1462</v>
      </c>
      <c r="K186" s="37" t="s">
        <v>1463</v>
      </c>
      <c r="L186" s="38" t="s">
        <v>1464</v>
      </c>
      <c r="M186" s="38" t="s">
        <v>1465</v>
      </c>
      <c r="N186" s="38" t="s">
        <v>1466</v>
      </c>
      <c r="O186" s="39" t="s">
        <v>1467</v>
      </c>
      <c r="P186" s="39" t="s">
        <v>62</v>
      </c>
      <c r="Q186" s="39" t="e">
        <v>#N/A</v>
      </c>
    </row>
    <row r="187" spans="1:17">
      <c r="A187" s="60" t="s">
        <v>1468</v>
      </c>
      <c r="B187" s="45" t="str">
        <f>IFERROR(VLOOKUP(Table1[[#This Row],[Seller SKU]],'[1]FG Snapshot (V2)'!$A:$B,2,0),"AR")</f>
        <v>NL</v>
      </c>
      <c r="C187" s="45">
        <f>IFERROR(VLOOKUP(Table1[[#This Row],[Seller SKU]],'[1]FG Snapshot (V2)'!$A:$E,5,0),"AR")</f>
        <v>144</v>
      </c>
      <c r="D187" s="40" t="s">
        <v>1358</v>
      </c>
      <c r="E187" s="64" t="str">
        <f>VLOOKUP(Table1[[#This Row],[MTP SKU]],'MTP SKUs - Master Data'!A:D,3,0)</f>
        <v>Shubh Mini Pooja Temple</v>
      </c>
      <c r="F187" s="64" t="s">
        <v>56</v>
      </c>
      <c r="G187" s="67" t="str">
        <f>_xlfn.CONCAT(Table1[[#This Row],[MTP Name]]," ",Table1[[#This Row],[ Child Color]])</f>
        <v>Shubh Mini Pooja Temple White</v>
      </c>
      <c r="H187" s="40" t="str">
        <f>VLOOKUP(Table1[[#This Row],[MTP SKU]],'MTP SKUs - Master Data'!A:D,3,0)</f>
        <v>Shubh Mini Pooja Temple</v>
      </c>
      <c r="I187" s="40"/>
      <c r="J187" s="36"/>
      <c r="K187" s="37" t="s">
        <v>1469</v>
      </c>
      <c r="L187" s="38" t="s">
        <v>1470</v>
      </c>
      <c r="M187" s="38"/>
      <c r="N187" s="38" t="e">
        <v>#N/A</v>
      </c>
      <c r="O187" s="39" t="s">
        <v>1471</v>
      </c>
      <c r="P187" s="39" t="s">
        <v>62</v>
      </c>
      <c r="Q187" s="39"/>
    </row>
    <row r="188" spans="1:17">
      <c r="A188" s="59" t="s">
        <v>1472</v>
      </c>
      <c r="B188" s="45" t="str">
        <f>IFERROR(VLOOKUP(Table1[[#This Row],[Seller SKU]],'[1]FG Snapshot (V2)'!$A:$B,2,0),"AR")</f>
        <v>y</v>
      </c>
      <c r="C188" s="45">
        <f>IFERROR(VLOOKUP(Table1[[#This Row],[Seller SKU]],'[1]FG Snapshot (V2)'!$A:$E,5,0),"AR")</f>
        <v>115</v>
      </c>
      <c r="D188" s="88" t="s">
        <v>779</v>
      </c>
      <c r="E188" s="64" t="str">
        <f>VLOOKUP(Table1[[#This Row],[MTP SKU]],'MTP SKUs - Master Data'!A:D,3,0)</f>
        <v>Braine F6 Shelves Wall Shelve</v>
      </c>
      <c r="F188" s="64" t="s">
        <v>19</v>
      </c>
      <c r="G188" s="64" t="str">
        <f>_xlfn.CONCAT(Table1[[#This Row],[MTP Name]]," ",Table1[[#This Row],[ Child Color]])</f>
        <v>Braine F6 Shelves Wall Shelve Brown Maple</v>
      </c>
      <c r="H188" s="33" t="str">
        <f>VLOOKUP(Table1[[#This Row],[MTP SKU]],'MTP SKUs - Master Data'!A:D,3,0)</f>
        <v>Braine F6 Shelves Wall Shelve</v>
      </c>
      <c r="I188" s="40"/>
      <c r="J188" s="36" t="s">
        <v>1473</v>
      </c>
      <c r="K188" s="37" t="s">
        <v>1474</v>
      </c>
      <c r="L188" s="38" t="s">
        <v>1475</v>
      </c>
      <c r="M188" s="38" t="s">
        <v>1476</v>
      </c>
      <c r="N188" s="38" t="s">
        <v>1477</v>
      </c>
      <c r="O188" s="39" t="s">
        <v>1478</v>
      </c>
      <c r="P188" s="39" t="s">
        <v>62</v>
      </c>
      <c r="Q188" s="39">
        <v>29525072</v>
      </c>
    </row>
    <row r="189" spans="1:17">
      <c r="A189" s="59" t="s">
        <v>1479</v>
      </c>
      <c r="B189" s="45" t="str">
        <f>IFERROR(VLOOKUP(Table1[[#This Row],[Seller SKU]],'[1]FG Snapshot (V2)'!$A:$B,2,0),"AR")</f>
        <v>Y</v>
      </c>
      <c r="C189" s="45">
        <f>IFERROR(VLOOKUP(Table1[[#This Row],[Seller SKU]],'[1]FG Snapshot (V2)'!$A:$E,5,0),"AR")</f>
        <v>186</v>
      </c>
      <c r="D189" s="88" t="s">
        <v>1097</v>
      </c>
      <c r="E189" s="64" t="str">
        <f>VLOOKUP(Table1[[#This Row],[MTP SKU]],'MTP SKUs - Master Data'!A:D,3,0)</f>
        <v>Mayrite Rectangle Coffee Table</v>
      </c>
      <c r="F189" s="64" t="s">
        <v>46</v>
      </c>
      <c r="G189" s="64" t="str">
        <f>_xlfn.CONCAT(Table1[[#This Row],[MTP Name]]," ",Table1[[#This Row],[ Child Color]])</f>
        <v>Mayrite Rectangle Coffee Table Wenge &amp; White</v>
      </c>
      <c r="H189" s="33" t="str">
        <f>VLOOKUP(Table1[[#This Row],[MTP SKU]],'MTP SKUs - Master Data'!A:D,3,0)</f>
        <v>Mayrite Rectangle Coffee Table</v>
      </c>
      <c r="I189" s="40"/>
      <c r="J189" s="36" t="s">
        <v>1480</v>
      </c>
      <c r="K189" s="37" t="s">
        <v>1481</v>
      </c>
      <c r="L189" s="38" t="s">
        <v>1482</v>
      </c>
      <c r="M189" s="38" t="s">
        <v>1483</v>
      </c>
      <c r="N189" s="38" t="s">
        <v>1484</v>
      </c>
      <c r="O189" s="39" t="s">
        <v>1485</v>
      </c>
      <c r="P189" s="39" t="s">
        <v>1486</v>
      </c>
      <c r="Q189" s="39">
        <v>34399052</v>
      </c>
    </row>
    <row r="190" spans="1:17">
      <c r="A190" s="59" t="s">
        <v>1487</v>
      </c>
      <c r="B190" s="45" t="str">
        <f>IFERROR(VLOOKUP(Table1[[#This Row],[Seller SKU]],'[1]FG Snapshot (V2)'!$A:$B,2,0),"AR")</f>
        <v>Y</v>
      </c>
      <c r="C190" s="45">
        <f>IFERROR(VLOOKUP(Table1[[#This Row],[Seller SKU]],'[1]FG Snapshot (V2)'!$A:$E,5,0),"AR")</f>
        <v>179</v>
      </c>
      <c r="D190" s="88" t="s">
        <v>1488</v>
      </c>
      <c r="E190" s="64" t="str">
        <f>VLOOKUP(Table1[[#This Row],[MTP SKU]],'MTP SKUs - Master Data'!A:D,3,0)</f>
        <v>Xude Wall Shelve</v>
      </c>
      <c r="F190" s="64" t="s">
        <v>182</v>
      </c>
      <c r="G190" s="64" t="str">
        <f>_xlfn.CONCAT(Table1[[#This Row],[MTP Name]]," ",Table1[[#This Row],[ Child Color]])</f>
        <v>Xude Wall Shelve Wenge</v>
      </c>
      <c r="H190" s="33" t="str">
        <f>VLOOKUP(Table1[[#This Row],[MTP SKU]],'MTP SKUs - Master Data'!A:D,3,0)</f>
        <v>Xude Wall Shelve</v>
      </c>
      <c r="I190" s="40"/>
      <c r="J190" s="36" t="s">
        <v>1489</v>
      </c>
      <c r="K190" s="37" t="s">
        <v>1490</v>
      </c>
      <c r="L190" s="38" t="s">
        <v>1491</v>
      </c>
      <c r="M190" s="38" t="s">
        <v>1492</v>
      </c>
      <c r="N190" s="38" t="s">
        <v>1493</v>
      </c>
      <c r="O190" s="39" t="s">
        <v>1494</v>
      </c>
      <c r="P190" s="39" t="s">
        <v>62</v>
      </c>
      <c r="Q190" s="39">
        <v>34163066</v>
      </c>
    </row>
    <row r="191" spans="1:17">
      <c r="A191" s="59" t="s">
        <v>1495</v>
      </c>
      <c r="B191" s="45" t="str">
        <f>IFERROR(VLOOKUP(Table1[[#This Row],[Seller SKU]],'[1]FG Snapshot (V2)'!$A:$B,2,0),"AR")</f>
        <v>Y</v>
      </c>
      <c r="C191" s="45">
        <f>IFERROR(VLOOKUP(Table1[[#This Row],[Seller SKU]],'[1]FG Snapshot (V2)'!$A:$E,5,0),"AR")</f>
        <v>158</v>
      </c>
      <c r="D191" s="88" t="s">
        <v>1173</v>
      </c>
      <c r="E191" s="64" t="str">
        <f>VLOOKUP(Table1[[#This Row],[MTP SKU]],'MTP SKUs - Master Data'!A:D,3,0)</f>
        <v>Walten Bookshelf</v>
      </c>
      <c r="F191" s="64" t="s">
        <v>19</v>
      </c>
      <c r="G191" s="64" t="str">
        <f>_xlfn.CONCAT(Table1[[#This Row],[MTP Name]]," ",Table1[[#This Row],[ Child Color]])</f>
        <v>Walten Bookshelf Brown Maple</v>
      </c>
      <c r="H191" s="33" t="str">
        <f>VLOOKUP(Table1[[#This Row],[MTP SKU]],'MTP SKUs - Master Data'!A:D,3,0)</f>
        <v>Walten Bookshelf</v>
      </c>
      <c r="I191" s="40"/>
      <c r="J191" s="36" t="s">
        <v>1496</v>
      </c>
      <c r="K191" s="37" t="s">
        <v>1497</v>
      </c>
      <c r="L191" s="38" t="s">
        <v>1498</v>
      </c>
      <c r="M191" s="38" t="s">
        <v>1499</v>
      </c>
      <c r="N191" s="38" t="s">
        <v>1500</v>
      </c>
      <c r="O191" s="39" t="s">
        <v>1501</v>
      </c>
      <c r="P191" s="39" t="s">
        <v>1502</v>
      </c>
      <c r="Q191" s="39">
        <v>34380965</v>
      </c>
    </row>
    <row r="192" spans="1:17">
      <c r="A192" s="59" t="s">
        <v>1503</v>
      </c>
      <c r="B192" s="45" t="str">
        <f>IFERROR(VLOOKUP(Table1[[#This Row],[Seller SKU]],'[1]FG Snapshot (V2)'!$A:$B,2,0),"AR")</f>
        <v>Y</v>
      </c>
      <c r="C192" s="45">
        <f>IFERROR(VLOOKUP(Table1[[#This Row],[Seller SKU]],'[1]FG Snapshot (V2)'!$A:$E,5,0),"AR")</f>
        <v>202</v>
      </c>
      <c r="D192" s="88" t="s">
        <v>1504</v>
      </c>
      <c r="E192" s="64" t="str">
        <f>VLOOKUP(Table1[[#This Row],[MTP SKU]],'MTP SKUs - Master Data'!A:D,3,0)</f>
        <v>Jameye Bookshelf</v>
      </c>
      <c r="F192" s="64" t="s">
        <v>19</v>
      </c>
      <c r="G192" s="64" t="str">
        <f>_xlfn.CONCAT(Table1[[#This Row],[MTP Name]]," ",Table1[[#This Row],[ Child Color]])</f>
        <v>Jameye Bookshelf Brown Maple</v>
      </c>
      <c r="H192" s="33" t="str">
        <f>VLOOKUP(Table1[[#This Row],[MTP SKU]],'MTP SKUs - Master Data'!A:D,3,0)</f>
        <v>Jameye Bookshelf</v>
      </c>
      <c r="I192" s="40"/>
      <c r="J192" s="36" t="e">
        <v>#N/A</v>
      </c>
      <c r="K192" s="37" t="s">
        <v>1505</v>
      </c>
      <c r="L192" s="38" t="s">
        <v>1506</v>
      </c>
      <c r="M192" s="38" t="s">
        <v>1507</v>
      </c>
      <c r="N192" s="38" t="s">
        <v>1508</v>
      </c>
      <c r="O192" s="39" t="s">
        <v>1509</v>
      </c>
      <c r="P192" s="39" t="s">
        <v>1510</v>
      </c>
      <c r="Q192" s="39">
        <v>34380502</v>
      </c>
    </row>
    <row r="193" spans="1:17">
      <c r="A193" s="59" t="s">
        <v>1511</v>
      </c>
      <c r="B193" s="45" t="str">
        <f>IFERROR(VLOOKUP(Table1[[#This Row],[Seller SKU]],'[1]FG Snapshot (V2)'!$A:$B,2,0),"AR")</f>
        <v>Y</v>
      </c>
      <c r="C193" s="45">
        <f>IFERROR(VLOOKUP(Table1[[#This Row],[Seller SKU]],'[1]FG Snapshot (V2)'!$A:$E,5,0),"AR")</f>
        <v>125</v>
      </c>
      <c r="D193" s="88" t="s">
        <v>1233</v>
      </c>
      <c r="E193" s="64" t="str">
        <f>VLOOKUP(Table1[[#This Row],[MTP SKU]],'MTP SKUs - Master Data'!A:D,3,0)</f>
        <v>Javis Wall Shelve</v>
      </c>
      <c r="F193" s="64" t="s">
        <v>182</v>
      </c>
      <c r="G193" s="64" t="str">
        <f>_xlfn.CONCAT(Table1[[#This Row],[MTP Name]]," ",Table1[[#This Row],[ Child Color]])</f>
        <v>Javis Wall Shelve Wenge</v>
      </c>
      <c r="H193" s="33" t="str">
        <f>VLOOKUP(Table1[[#This Row],[MTP SKU]],'MTP SKUs - Master Data'!A:D,3,0)</f>
        <v>Javis Wall Shelve</v>
      </c>
      <c r="I193" s="40"/>
      <c r="J193" s="36" t="s">
        <v>1512</v>
      </c>
      <c r="K193" s="37" t="s">
        <v>1513</v>
      </c>
      <c r="L193" s="38" t="s">
        <v>1514</v>
      </c>
      <c r="M193" s="38" t="s">
        <v>1515</v>
      </c>
      <c r="N193" s="38" t="s">
        <v>1516</v>
      </c>
      <c r="O193" s="39" t="s">
        <v>1517</v>
      </c>
      <c r="P193" s="39" t="s">
        <v>62</v>
      </c>
      <c r="Q193" s="39">
        <v>29525076</v>
      </c>
    </row>
    <row r="194" spans="1:17">
      <c r="A194" s="59" t="s">
        <v>1518</v>
      </c>
      <c r="B194" s="45" t="str">
        <f>IFERROR(VLOOKUP(Table1[[#This Row],[Seller SKU]],'[1]FG Snapshot (V2)'!$A:$B,2,0),"AR")</f>
        <v>YB</v>
      </c>
      <c r="C194" s="45">
        <f>IFERROR(VLOOKUP(Table1[[#This Row],[Seller SKU]],'[1]FG Snapshot (V2)'!$A:$E,5,0),"AR")</f>
        <v>231</v>
      </c>
      <c r="D194" s="88" t="s">
        <v>1051</v>
      </c>
      <c r="E194" s="64" t="str">
        <f>VLOOKUP(Table1[[#This Row],[MTP SKU]],'MTP SKUs - Master Data'!A:D,3,0)</f>
        <v>Reynold Large TV Unit</v>
      </c>
      <c r="F194" s="64" t="s">
        <v>780</v>
      </c>
      <c r="G194" s="64" t="str">
        <f>_xlfn.CONCAT(Table1[[#This Row],[MTP Name]]," ",Table1[[#This Row],[ Child Color]])</f>
        <v>Reynold Large TV Unit Walnut</v>
      </c>
      <c r="H194" s="33" t="str">
        <f>VLOOKUP(Table1[[#This Row],[MTP SKU]],'MTP SKUs - Master Data'!A:D,3,0)</f>
        <v>Reynold Large TV Unit</v>
      </c>
      <c r="I194" s="40"/>
      <c r="J194" s="36" t="s">
        <v>1519</v>
      </c>
      <c r="K194" s="37" t="s">
        <v>1520</v>
      </c>
      <c r="L194" s="38" t="s">
        <v>1521</v>
      </c>
      <c r="M194" s="38" t="s">
        <v>1522</v>
      </c>
      <c r="N194" s="38" t="s">
        <v>1523</v>
      </c>
      <c r="O194" s="39" t="s">
        <v>1524</v>
      </c>
      <c r="P194" s="39" t="s">
        <v>62</v>
      </c>
      <c r="Q194" s="39">
        <v>34399089</v>
      </c>
    </row>
    <row r="195" spans="1:17">
      <c r="A195" s="59" t="s">
        <v>1525</v>
      </c>
      <c r="B195" s="45" t="str">
        <f>IFERROR(VLOOKUP(Table1[[#This Row],[Seller SKU]],'[1]FG Snapshot (V2)'!$A:$B,2,0),"AR")</f>
        <v>RL</v>
      </c>
      <c r="C195" s="45">
        <f>IFERROR(VLOOKUP(Table1[[#This Row],[Seller SKU]],'[1]FG Snapshot (V2)'!$A:$E,5,0),"AR")</f>
        <v>219</v>
      </c>
      <c r="D195" s="88" t="s">
        <v>1526</v>
      </c>
      <c r="E195" s="64" t="str">
        <f>VLOOKUP(Table1[[#This Row],[MTP SKU]],'MTP SKUs - Master Data'!A:D,3,0)</f>
        <v>Norel Large Monitor Stand</v>
      </c>
      <c r="F195" s="64" t="s">
        <v>19</v>
      </c>
      <c r="G195" s="64" t="str">
        <f>_xlfn.CONCAT(Table1[[#This Row],[MTP Name]]," ",Table1[[#This Row],[ Child Color]])</f>
        <v>Norel Large Monitor Stand Brown Maple</v>
      </c>
      <c r="H195" s="40" t="str">
        <f>VLOOKUP(Table1[[#This Row],[MTP SKU]],'MTP SKUs - Master Data'!A:D,3,0)</f>
        <v>Norel Large Monitor Stand</v>
      </c>
      <c r="I195" s="40"/>
      <c r="J195" s="36" t="s">
        <v>1527</v>
      </c>
      <c r="K195" s="37" t="s">
        <v>1528</v>
      </c>
      <c r="L195" s="38" t="s">
        <v>1529</v>
      </c>
      <c r="M195" s="38" t="s">
        <v>1530</v>
      </c>
      <c r="N195" s="38" t="e">
        <v>#N/A</v>
      </c>
      <c r="O195" s="39" t="s">
        <v>1531</v>
      </c>
      <c r="P195" s="39" t="s">
        <v>62</v>
      </c>
      <c r="Q195" s="39" t="e">
        <v>#N/A</v>
      </c>
    </row>
    <row r="196" spans="1:17">
      <c r="A196" s="59" t="s">
        <v>1532</v>
      </c>
      <c r="B196" s="45" t="str">
        <f>IFERROR(VLOOKUP(Table1[[#This Row],[Seller SKU]],'[1]FG Snapshot (V2)'!$A:$B,2,0),"AR")</f>
        <v>Y</v>
      </c>
      <c r="C196" s="45">
        <f>IFERROR(VLOOKUP(Table1[[#This Row],[Seller SKU]],'[1]FG Snapshot (V2)'!$A:$E,5,0),"AR")</f>
        <v>142</v>
      </c>
      <c r="D196" s="88" t="s">
        <v>1533</v>
      </c>
      <c r="E196" s="64" t="str">
        <f>VLOOKUP(Table1[[#This Row],[MTP SKU]],'MTP SKUs - Master Data'!A:D,3,0)</f>
        <v>Toska Standard TV Unit</v>
      </c>
      <c r="F196" s="64" t="s">
        <v>97</v>
      </c>
      <c r="G196" s="64" t="str">
        <f>_xlfn.CONCAT(Table1[[#This Row],[MTP Name]]," ",Table1[[#This Row],[ Child Color]])</f>
        <v>Toska Standard TV Unit Brown Maple &amp; Beige</v>
      </c>
      <c r="H196" s="33" t="str">
        <f>VLOOKUP(Table1[[#This Row],[MTP SKU]],'MTP SKUs - Master Data'!A:D,3,0)</f>
        <v>Toska Standard TV Unit</v>
      </c>
      <c r="I196" s="40"/>
      <c r="J196" s="36" t="s">
        <v>1534</v>
      </c>
      <c r="K196" s="37" t="s">
        <v>1535</v>
      </c>
      <c r="L196" s="38" t="s">
        <v>1536</v>
      </c>
      <c r="M196" s="38" t="s">
        <v>1537</v>
      </c>
      <c r="N196" s="38" t="s">
        <v>1538</v>
      </c>
      <c r="O196" s="39" t="s">
        <v>1539</v>
      </c>
      <c r="P196" s="39" t="s">
        <v>62</v>
      </c>
      <c r="Q196" s="39" t="e">
        <v>#N/A</v>
      </c>
    </row>
    <row r="197" spans="1:17">
      <c r="A197" s="59" t="s">
        <v>1540</v>
      </c>
      <c r="B197" s="45" t="str">
        <f>IFERROR(VLOOKUP(Table1[[#This Row],[Seller SKU]],'[1]FG Snapshot (V2)'!$A:$B,2,0),"AR")</f>
        <v>Y</v>
      </c>
      <c r="C197" s="45">
        <f>IFERROR(VLOOKUP(Table1[[#This Row],[Seller SKU]],'[1]FG Snapshot (V2)'!$A:$E,5,0),"AR")</f>
        <v>233</v>
      </c>
      <c r="D197" s="88" t="s">
        <v>1541</v>
      </c>
      <c r="E197" s="64" t="str">
        <f>VLOOKUP(Table1[[#This Row],[MTP SKU]],'MTP SKUs - Master Data'!A:D,3,0)</f>
        <v>Noah Round Pouff Ottoman</v>
      </c>
      <c r="F197" s="64" t="s">
        <v>56</v>
      </c>
      <c r="G197" s="64" t="str">
        <f>_xlfn.CONCAT(Table1[[#This Row],[MTP Name]]," ",Table1[[#This Row],[ Child Color]])</f>
        <v>Noah Round Pouff Ottoman White</v>
      </c>
      <c r="H197" s="33" t="str">
        <f>VLOOKUP(Table1[[#This Row],[MTP SKU]],'MTP SKUs - Master Data'!A:D,3,0)</f>
        <v>Noah Round Pouff Ottoman</v>
      </c>
      <c r="I197" s="40"/>
      <c r="J197" s="36" t="e">
        <v>#N/A</v>
      </c>
      <c r="K197" s="37" t="s">
        <v>1542</v>
      </c>
      <c r="L197" s="38" t="s">
        <v>1543</v>
      </c>
      <c r="M197" s="38" t="s">
        <v>1544</v>
      </c>
      <c r="N197" s="38" t="s">
        <v>1545</v>
      </c>
      <c r="O197" s="39" t="s">
        <v>1546</v>
      </c>
      <c r="P197" s="39" t="s">
        <v>1547</v>
      </c>
      <c r="Q197" s="39" t="e">
        <v>#N/A</v>
      </c>
    </row>
    <row r="198" spans="1:17">
      <c r="A198" s="59" t="s">
        <v>1548</v>
      </c>
      <c r="B198" s="45" t="str">
        <f>IFERROR(VLOOKUP(Table1[[#This Row],[Seller SKU]],'[1]FG Snapshot (V2)'!$A:$B,2,0),"AR")</f>
        <v>Y</v>
      </c>
      <c r="C198" s="45">
        <f>IFERROR(VLOOKUP(Table1[[#This Row],[Seller SKU]],'[1]FG Snapshot (V2)'!$A:$E,5,0),"AR")</f>
        <v>197</v>
      </c>
      <c r="D198" s="88" t="s">
        <v>1549</v>
      </c>
      <c r="E198" s="64" t="str">
        <f>VLOOKUP(Table1[[#This Row],[MTP SKU]],'MTP SKUs - Master Data'!A:D,3,0)</f>
        <v>Adora Wall Shelve</v>
      </c>
      <c r="F198" s="64" t="s">
        <v>182</v>
      </c>
      <c r="G198" s="64" t="str">
        <f>_xlfn.CONCAT(Table1[[#This Row],[MTP Name]]," ",Table1[[#This Row],[ Child Color]])</f>
        <v>Adora Wall Shelve Wenge</v>
      </c>
      <c r="H198" s="33" t="str">
        <f>VLOOKUP(Table1[[#This Row],[MTP SKU]],'MTP SKUs - Master Data'!A:D,3,0)</f>
        <v>Adora Wall Shelve</v>
      </c>
      <c r="I198" s="40"/>
      <c r="J198" s="36" t="s">
        <v>1550</v>
      </c>
      <c r="K198" s="37" t="s">
        <v>1551</v>
      </c>
      <c r="L198" s="38" t="s">
        <v>1552</v>
      </c>
      <c r="M198" s="38" t="s">
        <v>1553</v>
      </c>
      <c r="N198" s="38" t="s">
        <v>1554</v>
      </c>
      <c r="O198" s="39" t="s">
        <v>1555</v>
      </c>
      <c r="P198" s="39" t="s">
        <v>62</v>
      </c>
      <c r="Q198" s="39" t="e">
        <v>#N/A</v>
      </c>
    </row>
    <row r="199" spans="1:17">
      <c r="A199" s="59" t="s">
        <v>1556</v>
      </c>
      <c r="B199" s="45" t="str">
        <f>IFERROR(VLOOKUP(Table1[[#This Row],[Seller SKU]],'[1]FG Snapshot (V2)'!$A:$B,2,0),"AR")</f>
        <v>Y</v>
      </c>
      <c r="C199" s="45">
        <f>IFERROR(VLOOKUP(Table1[[#This Row],[Seller SKU]],'[1]FG Snapshot (V2)'!$A:$E,5,0),"AR")</f>
        <v>209</v>
      </c>
      <c r="D199" s="88" t="s">
        <v>1557</v>
      </c>
      <c r="E199" s="64" t="str">
        <f>VLOOKUP(Table1[[#This Row],[MTP SKU]],'MTP SKUs - Master Data'!A:D,3,0)</f>
        <v>Maisy Standard TV Unit</v>
      </c>
      <c r="F199" s="64" t="s">
        <v>28</v>
      </c>
      <c r="G199" s="64" t="str">
        <f>_xlfn.CONCAT(Table1[[#This Row],[MTP Name]]," ",Table1[[#This Row],[ Child Color]])</f>
        <v>Maisy Standard TV Unit Brown Maple &amp; White</v>
      </c>
      <c r="H199" s="33" t="str">
        <f>VLOOKUP(Table1[[#This Row],[MTP SKU]],'MTP SKUs - Master Data'!A:D,3,0)</f>
        <v>Maisy Standard TV Unit</v>
      </c>
      <c r="I199" s="40"/>
      <c r="J199" s="36" t="s">
        <v>1558</v>
      </c>
      <c r="K199" s="37" t="s">
        <v>1559</v>
      </c>
      <c r="L199" s="38" t="s">
        <v>1560</v>
      </c>
      <c r="M199" s="38" t="s">
        <v>1561</v>
      </c>
      <c r="N199" s="38" t="s">
        <v>1562</v>
      </c>
      <c r="O199" s="39" t="s">
        <v>1563</v>
      </c>
      <c r="P199" s="39" t="s">
        <v>62</v>
      </c>
      <c r="Q199" s="39">
        <v>34399024</v>
      </c>
    </row>
    <row r="200" spans="1:17">
      <c r="A200" s="59" t="s">
        <v>1564</v>
      </c>
      <c r="B200" s="45" t="str">
        <f>IFERROR(VLOOKUP(Table1[[#This Row],[Seller SKU]],'[1]FG Snapshot (V2)'!$A:$B,2,0),"AR")</f>
        <v>Y</v>
      </c>
      <c r="C200" s="45">
        <f>IFERROR(VLOOKUP(Table1[[#This Row],[Seller SKU]],'[1]FG Snapshot (V2)'!$A:$E,5,0),"AR")</f>
        <v>110</v>
      </c>
      <c r="D200" s="88" t="s">
        <v>1565</v>
      </c>
      <c r="E200" s="64" t="str">
        <f>VLOOKUP(Table1[[#This Row],[MTP SKU]],'MTP SKUs - Master Data'!A:D,3,0)</f>
        <v>Tirano Standard Microwave Stand</v>
      </c>
      <c r="F200" s="64" t="s">
        <v>19</v>
      </c>
      <c r="G200" s="64" t="str">
        <f>_xlfn.CONCAT(Table1[[#This Row],[MTP Name]]," ",Table1[[#This Row],[ Child Color]])</f>
        <v>Tirano Standard Microwave Stand Brown Maple</v>
      </c>
      <c r="H200" s="40" t="str">
        <f>VLOOKUP(Table1[[#This Row],[MTP SKU]],'MTP SKUs - Master Data'!A:D,3,0)</f>
        <v>Tirano Standard Microwave Stand</v>
      </c>
      <c r="I200" s="40"/>
      <c r="J200" s="36" t="s">
        <v>1566</v>
      </c>
      <c r="K200" s="37" t="s">
        <v>1567</v>
      </c>
      <c r="L200" s="38" t="s">
        <v>1568</v>
      </c>
      <c r="M200" s="38" t="s">
        <v>1569</v>
      </c>
      <c r="N200" s="38" t="e">
        <v>#N/A</v>
      </c>
      <c r="O200" s="39" t="s">
        <v>1570</v>
      </c>
      <c r="P200" s="39" t="s">
        <v>62</v>
      </c>
      <c r="Q200" s="39" t="e">
        <v>#N/A</v>
      </c>
    </row>
    <row r="201" spans="1:17">
      <c r="A201" s="59" t="s">
        <v>1571</v>
      </c>
      <c r="B201" s="45" t="str">
        <f>IFERROR(VLOOKUP(Table1[[#This Row],[Seller SKU]],'[1]FG Snapshot (V2)'!$A:$B,2,0),"AR")</f>
        <v>DI</v>
      </c>
      <c r="C201" s="45">
        <f>IFERROR(VLOOKUP(Table1[[#This Row],[Seller SKU]],'[1]FG Snapshot (V2)'!$A:$E,5,0),"AR")</f>
        <v>148</v>
      </c>
      <c r="D201" s="88" t="s">
        <v>949</v>
      </c>
      <c r="E201" s="64" t="str">
        <f>VLOOKUP(Table1[[#This Row],[MTP SKU]],'MTP SKUs - Master Data'!A:D,3,0)</f>
        <v>Maxelle Large Bookshelf</v>
      </c>
      <c r="F201" s="64" t="s">
        <v>97</v>
      </c>
      <c r="G201" s="64" t="str">
        <f>_xlfn.CONCAT(Table1[[#This Row],[MTP Name]]," ",Table1[[#This Row],[ Child Color]])</f>
        <v>Maxelle Large Bookshelf Brown Maple &amp; Beige</v>
      </c>
      <c r="H201" s="33" t="str">
        <f>VLOOKUP(Table1[[#This Row],[MTP SKU]],'MTP SKUs - Master Data'!A:D,3,0)</f>
        <v>Maxelle Large Bookshelf</v>
      </c>
      <c r="I201" s="40"/>
      <c r="J201" s="36" t="e">
        <v>#N/A</v>
      </c>
      <c r="K201" s="37" t="s">
        <v>1572</v>
      </c>
      <c r="L201" s="38" t="s">
        <v>1573</v>
      </c>
      <c r="M201" s="38" t="s">
        <v>1574</v>
      </c>
      <c r="N201" s="38" t="s">
        <v>1575</v>
      </c>
      <c r="O201" s="39" t="s">
        <v>1576</v>
      </c>
      <c r="P201" s="39" t="s">
        <v>62</v>
      </c>
      <c r="Q201" s="39">
        <v>34381000</v>
      </c>
    </row>
    <row r="202" spans="1:17">
      <c r="A202" s="59" t="s">
        <v>1577</v>
      </c>
      <c r="B202" s="45" t="str">
        <f>IFERROR(VLOOKUP(Table1[[#This Row],[Seller SKU]],'[1]FG Snapshot (V2)'!$A:$B,2,0),"AR")</f>
        <v>Y</v>
      </c>
      <c r="C202" s="45">
        <f>IFERROR(VLOOKUP(Table1[[#This Row],[Seller SKU]],'[1]FG Snapshot (V2)'!$A:$E,5,0),"AR")</f>
        <v>262</v>
      </c>
      <c r="D202" s="88" t="s">
        <v>1541</v>
      </c>
      <c r="E202" s="64" t="str">
        <f>VLOOKUP(Table1[[#This Row],[MTP SKU]],'MTP SKUs - Master Data'!A:D,3,0)</f>
        <v>Noah Round Pouff Ottoman</v>
      </c>
      <c r="F202" s="64" t="s">
        <v>1578</v>
      </c>
      <c r="G202" s="64" t="str">
        <f>_xlfn.CONCAT(Table1[[#This Row],[MTP Name]]," ",Table1[[#This Row],[ Child Color]])</f>
        <v>Noah Round Pouff Ottoman Brown</v>
      </c>
      <c r="H202" s="33" t="str">
        <f>VLOOKUP(Table1[[#This Row],[MTP SKU]],'MTP SKUs - Master Data'!A:D,3,0)</f>
        <v>Noah Round Pouff Ottoman</v>
      </c>
      <c r="I202" s="40"/>
      <c r="J202" s="36" t="e">
        <v>#N/A</v>
      </c>
      <c r="K202" s="37" t="s">
        <v>1579</v>
      </c>
      <c r="L202" s="38" t="s">
        <v>1580</v>
      </c>
      <c r="M202" s="38" t="s">
        <v>1581</v>
      </c>
      <c r="N202" s="38" t="s">
        <v>1582</v>
      </c>
      <c r="O202" s="39" t="s">
        <v>1583</v>
      </c>
      <c r="P202" s="39" t="s">
        <v>1584</v>
      </c>
      <c r="Q202" s="39" t="e">
        <v>#N/A</v>
      </c>
    </row>
    <row r="203" spans="1:17">
      <c r="A203" s="59" t="s">
        <v>1585</v>
      </c>
      <c r="B203" s="45" t="str">
        <f>IFERROR(VLOOKUP(Table1[[#This Row],[Seller SKU]],'[1]FG Snapshot (V2)'!$A:$B,2,0),"AR")</f>
        <v>Y</v>
      </c>
      <c r="C203" s="45">
        <f>IFERROR(VLOOKUP(Table1[[#This Row],[Seller SKU]],'[1]FG Snapshot (V2)'!$A:$E,5,0),"AR")</f>
        <v>216</v>
      </c>
      <c r="D203" s="88" t="s">
        <v>1586</v>
      </c>
      <c r="E203" s="64" t="str">
        <f>VLOOKUP(Table1[[#This Row],[MTP SKU]],'MTP SKUs - Master Data'!A:D,3,0)</f>
        <v>Millie TV Unit</v>
      </c>
      <c r="F203" s="64" t="s">
        <v>19</v>
      </c>
      <c r="G203" s="64" t="str">
        <f>_xlfn.CONCAT(Table1[[#This Row],[MTP Name]]," ",Table1[[#This Row],[ Child Color]])</f>
        <v>Millie TV Unit Brown Maple</v>
      </c>
      <c r="H203" s="33" t="str">
        <f>VLOOKUP(Table1[[#This Row],[MTP SKU]],'MTP SKUs - Master Data'!A:D,3,0)</f>
        <v>Millie TV Unit</v>
      </c>
      <c r="I203" s="40"/>
      <c r="J203" s="36" t="e">
        <v>#N/A</v>
      </c>
      <c r="K203" s="37" t="s">
        <v>1587</v>
      </c>
      <c r="L203" s="38" t="s">
        <v>1588</v>
      </c>
      <c r="M203" s="38" t="s">
        <v>1589</v>
      </c>
      <c r="N203" s="38" t="s">
        <v>1590</v>
      </c>
      <c r="O203" s="39" t="s">
        <v>1591</v>
      </c>
      <c r="P203" s="39" t="s">
        <v>62</v>
      </c>
      <c r="Q203" s="39" t="e">
        <v>#N/A</v>
      </c>
    </row>
    <row r="204" spans="1:17">
      <c r="A204" s="59" t="s">
        <v>1592</v>
      </c>
      <c r="B204" s="45" t="str">
        <f>IFERROR(VLOOKUP(Table1[[#This Row],[Seller SKU]],'[1]FG Snapshot (V2)'!$A:$B,2,0),"AR")</f>
        <v>Y</v>
      </c>
      <c r="C204" s="45">
        <f>IFERROR(VLOOKUP(Table1[[#This Row],[Seller SKU]],'[1]FG Snapshot (V2)'!$A:$E,5,0),"AR")</f>
        <v>190</v>
      </c>
      <c r="D204" s="88" t="s">
        <v>1593</v>
      </c>
      <c r="E204" s="64" t="str">
        <f>VLOOKUP(Table1[[#This Row],[MTP SKU]],'MTP SKUs - Master Data'!A:D,3,0)</f>
        <v xml:space="preserve">Pollo Queen with Storage Bed </v>
      </c>
      <c r="F204" s="64" t="s">
        <v>182</v>
      </c>
      <c r="G204" s="64" t="str">
        <f>_xlfn.CONCAT(Table1[[#This Row],[MTP Name]]," ",Table1[[#This Row],[ Child Color]])</f>
        <v>Pollo Queen with Storage Bed  Wenge</v>
      </c>
      <c r="H204" s="33" t="str">
        <f>VLOOKUP(Table1[[#This Row],[MTP SKU]],'MTP SKUs - Master Data'!A:D,3,0)</f>
        <v xml:space="preserve">Pollo Queen with Storage Bed </v>
      </c>
      <c r="I204" s="40"/>
      <c r="J204" s="36" t="e">
        <v>#N/A</v>
      </c>
      <c r="K204" s="37" t="s">
        <v>1594</v>
      </c>
      <c r="L204" s="38" t="s">
        <v>1595</v>
      </c>
      <c r="M204" s="38" t="s">
        <v>1596</v>
      </c>
      <c r="N204" s="38" t="s">
        <v>1597</v>
      </c>
      <c r="O204" s="39" t="s">
        <v>1598</v>
      </c>
      <c r="P204" s="39" t="s">
        <v>62</v>
      </c>
      <c r="Q204" s="39" t="e">
        <v>#N/A</v>
      </c>
    </row>
    <row r="205" spans="1:17">
      <c r="A205" s="59" t="s">
        <v>1599</v>
      </c>
      <c r="B205" s="45" t="str">
        <f>IFERROR(VLOOKUP(Table1[[#This Row],[Seller SKU]],'[1]FG Snapshot (V2)'!$A:$B,2,0),"AR")</f>
        <v>Y</v>
      </c>
      <c r="C205" s="45">
        <f>IFERROR(VLOOKUP(Table1[[#This Row],[Seller SKU]],'[1]FG Snapshot (V2)'!$A:$E,5,0),"AR")</f>
        <v>221</v>
      </c>
      <c r="D205" s="88" t="s">
        <v>1600</v>
      </c>
      <c r="E205" s="64" t="str">
        <f>VLOOKUP(Table1[[#This Row],[MTP SKU]],'MTP SKUs - Master Data'!A:D,3,0)</f>
        <v>Novebuk Bookshelf</v>
      </c>
      <c r="F205" s="64" t="s">
        <v>28</v>
      </c>
      <c r="G205" s="64" t="str">
        <f>_xlfn.CONCAT(Table1[[#This Row],[MTP Name]]," ",Table1[[#This Row],[ Child Color]])</f>
        <v>Novebuk Bookshelf Brown Maple &amp; White</v>
      </c>
      <c r="H205" s="33" t="str">
        <f>VLOOKUP(Table1[[#This Row],[MTP SKU]],'MTP SKUs - Master Data'!A:D,3,0)</f>
        <v>Novebuk Bookshelf</v>
      </c>
      <c r="I205" s="40"/>
      <c r="J205" s="36" t="e">
        <v>#N/A</v>
      </c>
      <c r="K205" s="37" t="s">
        <v>1601</v>
      </c>
      <c r="L205" s="38" t="s">
        <v>1602</v>
      </c>
      <c r="M205" s="38" t="s">
        <v>1603</v>
      </c>
      <c r="N205" s="38" t="s">
        <v>1604</v>
      </c>
      <c r="O205" s="39" t="s">
        <v>1605</v>
      </c>
      <c r="P205" s="39" t="s">
        <v>1606</v>
      </c>
      <c r="Q205" s="39">
        <v>34380997</v>
      </c>
    </row>
    <row r="206" spans="1:17">
      <c r="A206" s="59" t="s">
        <v>1607</v>
      </c>
      <c r="B206" s="45" t="str">
        <f>IFERROR(VLOOKUP(Table1[[#This Row],[Seller SKU]],'[1]FG Snapshot (V2)'!$A:$B,2,0),"AR")</f>
        <v>Y</v>
      </c>
      <c r="C206" s="45">
        <f>IFERROR(VLOOKUP(Table1[[#This Row],[Seller SKU]],'[1]FG Snapshot (V2)'!$A:$E,5,0),"AR")</f>
        <v>112</v>
      </c>
      <c r="D206" s="88" t="s">
        <v>1608</v>
      </c>
      <c r="E206" s="64" t="str">
        <f>VLOOKUP(Table1[[#This Row],[MTP SKU]],'MTP SKUs - Master Data'!A:D,3,0)</f>
        <v>Osnale Rectangle Coffee Table</v>
      </c>
      <c r="F206" s="64" t="s">
        <v>19</v>
      </c>
      <c r="G206" s="64" t="str">
        <f>_xlfn.CONCAT(Table1[[#This Row],[MTP Name]]," ",Table1[[#This Row],[ Child Color]])</f>
        <v>Osnale Rectangle Coffee Table Brown Maple</v>
      </c>
      <c r="H206" s="33" t="str">
        <f>VLOOKUP(Table1[[#This Row],[MTP SKU]],'MTP SKUs - Master Data'!A:D,3,0)</f>
        <v>Osnale Rectangle Coffee Table</v>
      </c>
      <c r="I206" s="40"/>
      <c r="J206" s="36" t="s">
        <v>1609</v>
      </c>
      <c r="K206" s="37" t="s">
        <v>1610</v>
      </c>
      <c r="L206" s="38" t="s">
        <v>1611</v>
      </c>
      <c r="M206" s="38" t="s">
        <v>1612</v>
      </c>
      <c r="N206" s="38" t="s">
        <v>1613</v>
      </c>
      <c r="O206" s="39" t="s">
        <v>1614</v>
      </c>
      <c r="P206" s="39" t="s">
        <v>62</v>
      </c>
      <c r="Q206" s="39">
        <v>34399184</v>
      </c>
    </row>
    <row r="207" spans="1:17">
      <c r="A207" s="59" t="s">
        <v>1615</v>
      </c>
      <c r="B207" s="45" t="str">
        <f>IFERROR(VLOOKUP(Table1[[#This Row],[Seller SKU]],'[1]FG Snapshot (V2)'!$A:$B,2,0),"AR")</f>
        <v>Y</v>
      </c>
      <c r="C207" s="45">
        <f>IFERROR(VLOOKUP(Table1[[#This Row],[Seller SKU]],'[1]FG Snapshot (V2)'!$A:$E,5,0),"AR")</f>
        <v>229</v>
      </c>
      <c r="D207" s="88" t="s">
        <v>1616</v>
      </c>
      <c r="E207" s="64" t="str">
        <f>VLOOKUP(Table1[[#This Row],[MTP SKU]],'MTP SKUs - Master Data'!A:D,3,0)</f>
        <v>Estoye Large TV Unit</v>
      </c>
      <c r="F207" s="64" t="s">
        <v>19</v>
      </c>
      <c r="G207" s="64" t="str">
        <f>_xlfn.CONCAT(Table1[[#This Row],[MTP Name]]," ",Table1[[#This Row],[ Child Color]])</f>
        <v>Estoye Large TV Unit Brown Maple</v>
      </c>
      <c r="H207" s="33" t="str">
        <f>VLOOKUP(Table1[[#This Row],[MTP SKU]],'MTP SKUs - Master Data'!A:D,3,0)</f>
        <v>Estoye Large TV Unit</v>
      </c>
      <c r="I207" s="40"/>
      <c r="J207" s="36" t="s">
        <v>1617</v>
      </c>
      <c r="K207" s="37" t="s">
        <v>1618</v>
      </c>
      <c r="L207" s="38" t="s">
        <v>1619</v>
      </c>
      <c r="M207" s="38" t="s">
        <v>1620</v>
      </c>
      <c r="N207" s="38" t="s">
        <v>1621</v>
      </c>
      <c r="O207" s="39" t="s">
        <v>1622</v>
      </c>
      <c r="P207" s="39" t="s">
        <v>62</v>
      </c>
      <c r="Q207" s="39">
        <v>34399161</v>
      </c>
    </row>
    <row r="208" spans="1:17">
      <c r="A208" s="59" t="s">
        <v>1623</v>
      </c>
      <c r="B208" s="45" t="str">
        <f>IFERROR(VLOOKUP(Table1[[#This Row],[Seller SKU]],'[1]FG Snapshot (V2)'!$A:$B,2,0),"AR")</f>
        <v>Y</v>
      </c>
      <c r="C208" s="45">
        <f>IFERROR(VLOOKUP(Table1[[#This Row],[Seller SKU]],'[1]FG Snapshot (V2)'!$A:$E,5,0),"AR")</f>
        <v>220</v>
      </c>
      <c r="D208" s="88" t="s">
        <v>1624</v>
      </c>
      <c r="E208" s="64" t="str">
        <f>VLOOKUP(Table1[[#This Row],[MTP SKU]],'MTP SKUs - Master Data'!A:D,3,0)</f>
        <v>Easton Wall Shelve</v>
      </c>
      <c r="F208" s="64" t="s">
        <v>46</v>
      </c>
      <c r="G208" s="64" t="str">
        <f>_xlfn.CONCAT(Table1[[#This Row],[MTP Name]]," ",Table1[[#This Row],[ Child Color]])</f>
        <v>Easton Wall Shelve Wenge &amp; White</v>
      </c>
      <c r="H208" s="33" t="str">
        <f>VLOOKUP(Table1[[#This Row],[MTP SKU]],'MTP SKUs - Master Data'!A:D,3,0)</f>
        <v>Easton Wall Shelve</v>
      </c>
      <c r="I208" s="40"/>
      <c r="J208" s="36" t="s">
        <v>1625</v>
      </c>
      <c r="K208" s="37" t="s">
        <v>1626</v>
      </c>
      <c r="L208" s="38" t="s">
        <v>1627</v>
      </c>
      <c r="M208" s="38" t="s">
        <v>1628</v>
      </c>
      <c r="N208" s="38" t="s">
        <v>1629</v>
      </c>
      <c r="O208" s="39" t="s">
        <v>1630</v>
      </c>
      <c r="P208" s="39" t="s">
        <v>62</v>
      </c>
      <c r="Q208" s="39">
        <v>34163056</v>
      </c>
    </row>
    <row r="209" spans="1:17">
      <c r="A209" s="59" t="s">
        <v>1631</v>
      </c>
      <c r="B209" s="45" t="str">
        <f>IFERROR(VLOOKUP(Table1[[#This Row],[Seller SKU]],'[1]FG Snapshot (V2)'!$A:$B,2,0),"AR")</f>
        <v>YHRL</v>
      </c>
      <c r="C209" s="45">
        <f>IFERROR(VLOOKUP(Table1[[#This Row],[Seller SKU]],'[1]FG Snapshot (V2)'!$A:$E,5,0),"AR")</f>
        <v>247</v>
      </c>
      <c r="D209" s="88" t="s">
        <v>1632</v>
      </c>
      <c r="E209" s="64" t="str">
        <f>VLOOKUP(Table1[[#This Row],[MTP SKU]],'MTP SKUs - Master Data'!A:D,3,0)</f>
        <v>Coras Bed Side Table</v>
      </c>
      <c r="F209" s="64" t="s">
        <v>46</v>
      </c>
      <c r="G209" s="64" t="str">
        <f>_xlfn.CONCAT(Table1[[#This Row],[MTP Name]]," ",Table1[[#This Row],[ Child Color]])</f>
        <v>Coras Bed Side Table Wenge &amp; White</v>
      </c>
      <c r="H209" s="33" t="str">
        <f>VLOOKUP(Table1[[#This Row],[MTP SKU]],'MTP SKUs - Master Data'!A:D,3,0)</f>
        <v>Coras Bed Side Table</v>
      </c>
      <c r="I209" s="40"/>
      <c r="J209" s="36" t="s">
        <v>1633</v>
      </c>
      <c r="K209" s="37" t="s">
        <v>1634</v>
      </c>
      <c r="L209" s="38" t="s">
        <v>1635</v>
      </c>
      <c r="M209" s="38" t="s">
        <v>1636</v>
      </c>
      <c r="N209" s="38" t="s">
        <v>1637</v>
      </c>
      <c r="O209" s="39" t="s">
        <v>1638</v>
      </c>
      <c r="P209" s="39" t="s">
        <v>1639</v>
      </c>
      <c r="Q209" s="39">
        <v>34399019</v>
      </c>
    </row>
    <row r="210" spans="1:17">
      <c r="A210" s="59" t="s">
        <v>1640</v>
      </c>
      <c r="B210" s="45" t="str">
        <f>IFERROR(VLOOKUP(Table1[[#This Row],[Seller SKU]],'[1]FG Snapshot (V2)'!$A:$B,2,0),"AR")</f>
        <v>Y</v>
      </c>
      <c r="C210" s="45">
        <f>IFERROR(VLOOKUP(Table1[[#This Row],[Seller SKU]],'[1]FG Snapshot (V2)'!$A:$E,5,0),"AR")</f>
        <v>188</v>
      </c>
      <c r="D210" s="88" t="s">
        <v>1641</v>
      </c>
      <c r="E210" s="64" t="str">
        <f>VLOOKUP(Table1[[#This Row],[MTP SKU]],'MTP SKUs - Master Data'!A:D,3,0)</f>
        <v>Miltra TV Top Shelf</v>
      </c>
      <c r="F210" s="64" t="s">
        <v>19</v>
      </c>
      <c r="G210" s="64" t="str">
        <f>_xlfn.CONCAT(Table1[[#This Row],[MTP Name]]," ",Table1[[#This Row],[ Child Color]])</f>
        <v>Miltra TV Top Shelf Brown Maple</v>
      </c>
      <c r="H210" s="40" t="str">
        <f>VLOOKUP(Table1[[#This Row],[MTP SKU]],'MTP SKUs - Master Data'!A:D,3,0)</f>
        <v>Miltra TV Top Shelf</v>
      </c>
      <c r="I210" s="40"/>
      <c r="J210" s="36" t="e">
        <v>#N/A</v>
      </c>
      <c r="K210" s="37" t="s">
        <v>1642</v>
      </c>
      <c r="L210" s="38" t="s">
        <v>1643</v>
      </c>
      <c r="M210" s="38" t="s">
        <v>1644</v>
      </c>
      <c r="N210" s="38" t="e">
        <v>#N/A</v>
      </c>
      <c r="O210" s="39" t="s">
        <v>1645</v>
      </c>
      <c r="P210" s="39" t="s">
        <v>62</v>
      </c>
      <c r="Q210" s="39" t="e">
        <v>#N/A</v>
      </c>
    </row>
    <row r="211" spans="1:17">
      <c r="A211" s="59" t="s">
        <v>1646</v>
      </c>
      <c r="B211" s="45" t="str">
        <f>IFERROR(VLOOKUP(Table1[[#This Row],[Seller SKU]],'[1]FG Snapshot (V2)'!$A:$B,2,0),"AR")</f>
        <v>Y</v>
      </c>
      <c r="C211" s="45">
        <f>IFERROR(VLOOKUP(Table1[[#This Row],[Seller SKU]],'[1]FG Snapshot (V2)'!$A:$E,5,0),"AR")</f>
        <v>237</v>
      </c>
      <c r="D211" s="88" t="s">
        <v>1311</v>
      </c>
      <c r="E211" s="64" t="str">
        <f>VLOOKUP(Table1[[#This Row],[MTP SKU]],'MTP SKUs - Master Data'!A:D,3,0)</f>
        <v>Braine 6 Shelves Wall Shelve</v>
      </c>
      <c r="F211" s="64" t="s">
        <v>19</v>
      </c>
      <c r="G211" s="64" t="str">
        <f>_xlfn.CONCAT(Table1[[#This Row],[MTP Name]]," ",Table1[[#This Row],[ Child Color]])</f>
        <v>Braine 6 Shelves Wall Shelve Brown Maple</v>
      </c>
      <c r="H211" s="33" t="str">
        <f>VLOOKUP(Table1[[#This Row],[MTP SKU]],'MTP SKUs - Master Data'!A:D,3,0)</f>
        <v>Braine 6 Shelves Wall Shelve</v>
      </c>
      <c r="I211" s="40"/>
      <c r="J211" s="36" t="e">
        <v>#N/A</v>
      </c>
      <c r="K211" s="37" t="s">
        <v>1647</v>
      </c>
      <c r="L211" s="38" t="s">
        <v>1648</v>
      </c>
      <c r="M211" s="38" t="s">
        <v>1649</v>
      </c>
      <c r="N211" s="38" t="s">
        <v>1650</v>
      </c>
      <c r="O211" s="39" t="s">
        <v>1651</v>
      </c>
      <c r="P211" s="39" t="s">
        <v>62</v>
      </c>
      <c r="Q211" s="39">
        <v>34163077</v>
      </c>
    </row>
    <row r="212" spans="1:17">
      <c r="A212" s="59" t="s">
        <v>1652</v>
      </c>
      <c r="B212" s="45" t="str">
        <f>IFERROR(VLOOKUP(Table1[[#This Row],[Seller SKU]],'[1]FG Snapshot (V2)'!$A:$B,2,0),"AR")</f>
        <v>RL</v>
      </c>
      <c r="C212" s="45">
        <f>IFERROR(VLOOKUP(Table1[[#This Row],[Seller SKU]],'[1]FG Snapshot (V2)'!$A:$E,5,0),"AR")</f>
        <v>175</v>
      </c>
      <c r="D212" s="88" t="s">
        <v>1653</v>
      </c>
      <c r="E212" s="64" t="str">
        <f>VLOOKUP(Table1[[#This Row],[MTP SKU]],'MTP SKUs - Master Data'!A:D,3,0)</f>
        <v>Kasvon Rectangle Coffee Table</v>
      </c>
      <c r="F212" s="64" t="s">
        <v>19</v>
      </c>
      <c r="G212" s="64" t="str">
        <f>_xlfn.CONCAT(Table1[[#This Row],[MTP Name]]," ",Table1[[#This Row],[ Child Color]])</f>
        <v>Kasvon Rectangle Coffee Table Brown Maple</v>
      </c>
      <c r="H212" s="33" t="str">
        <f>VLOOKUP(Table1[[#This Row],[MTP SKU]],'MTP SKUs - Master Data'!A:D,3,0)</f>
        <v>Kasvon Rectangle Coffee Table</v>
      </c>
      <c r="I212" s="40"/>
      <c r="J212" s="36" t="e">
        <v>#N/A</v>
      </c>
      <c r="K212" s="37" t="s">
        <v>1654</v>
      </c>
      <c r="L212" s="38" t="s">
        <v>1655</v>
      </c>
      <c r="M212" s="38" t="s">
        <v>1656</v>
      </c>
      <c r="N212" s="38" t="s">
        <v>1657</v>
      </c>
      <c r="O212" s="39" t="s">
        <v>1658</v>
      </c>
      <c r="P212" s="39" t="s">
        <v>1659</v>
      </c>
      <c r="Q212" s="39">
        <v>34399011</v>
      </c>
    </row>
    <row r="213" spans="1:17">
      <c r="A213" s="59" t="s">
        <v>1660</v>
      </c>
      <c r="B213" s="45" t="str">
        <f>IFERROR(VLOOKUP(Table1[[#This Row],[Seller SKU]],'[1]FG Snapshot (V2)'!$A:$B,2,0),"AR")</f>
        <v>Y</v>
      </c>
      <c r="C213" s="45">
        <f>IFERROR(VLOOKUP(Table1[[#This Row],[Seller SKU]],'[1]FG Snapshot (V2)'!$A:$E,5,0),"AR")</f>
        <v>173</v>
      </c>
      <c r="D213" s="88" t="s">
        <v>1661</v>
      </c>
      <c r="E213" s="64" t="str">
        <f>VLOOKUP(Table1[[#This Row],[MTP SKU]],'MTP SKUs - Master Data'!A:D,3,0)</f>
        <v xml:space="preserve">  Coffee Table</v>
      </c>
      <c r="F213" s="64" t="s">
        <v>19</v>
      </c>
      <c r="G213" s="64" t="str">
        <f>_xlfn.CONCAT(Table1[[#This Row],[MTP Name]]," ",Table1[[#This Row],[ Child Color]])</f>
        <v xml:space="preserve">  Coffee Table Brown Maple</v>
      </c>
      <c r="H213" s="33" t="str">
        <f>VLOOKUP(Table1[[#This Row],[MTP SKU]],'MTP SKUs - Master Data'!A:D,3,0)</f>
        <v xml:space="preserve">  Coffee Table</v>
      </c>
      <c r="I213" s="40"/>
      <c r="J213" s="36" t="s">
        <v>1662</v>
      </c>
      <c r="K213" s="37" t="s">
        <v>1663</v>
      </c>
      <c r="L213" s="38" t="s">
        <v>1664</v>
      </c>
      <c r="M213" s="38" t="s">
        <v>1665</v>
      </c>
      <c r="N213" s="38" t="s">
        <v>1666</v>
      </c>
      <c r="O213" s="39" t="s">
        <v>1667</v>
      </c>
      <c r="P213" s="39" t="s">
        <v>1668</v>
      </c>
      <c r="Q213" s="39">
        <v>34399094</v>
      </c>
    </row>
    <row r="214" spans="1:17">
      <c r="A214" s="59" t="s">
        <v>1669</v>
      </c>
      <c r="B214" s="45" t="str">
        <f>IFERROR(VLOOKUP(Table1[[#This Row],[Seller SKU]],'[1]FG Snapshot (V2)'!$A:$B,2,0),"AR")</f>
        <v>Y</v>
      </c>
      <c r="C214" s="45">
        <f>IFERROR(VLOOKUP(Table1[[#This Row],[Seller SKU]],'[1]FG Snapshot (V2)'!$A:$E,5,0),"AR")</f>
        <v>246</v>
      </c>
      <c r="D214" s="88" t="s">
        <v>1670</v>
      </c>
      <c r="E214" s="64" t="str">
        <f>VLOOKUP(Table1[[#This Row],[MTP SKU]],'MTP SKUs - Master Data'!A:D,3,0)</f>
        <v>Skywood 21 Key Holder</v>
      </c>
      <c r="F214" s="64" t="s">
        <v>182</v>
      </c>
      <c r="G214" s="64" t="str">
        <f>_xlfn.CONCAT(Table1[[#This Row],[MTP Name]]," ",Table1[[#This Row],[ Child Color]])</f>
        <v>Skywood 21 Key Holder Wenge</v>
      </c>
      <c r="H214" s="40" t="str">
        <f>VLOOKUP(Table1[[#This Row],[MTP SKU]],'MTP SKUs - Master Data'!A:D,3,0)</f>
        <v>Skywood 21 Key Holder</v>
      </c>
      <c r="I214" s="40"/>
      <c r="J214" s="36" t="s">
        <v>1671</v>
      </c>
      <c r="K214" s="37" t="s">
        <v>1672</v>
      </c>
      <c r="L214" s="38" t="s">
        <v>1673</v>
      </c>
      <c r="M214" s="38" t="s">
        <v>1674</v>
      </c>
      <c r="N214" s="38" t="e">
        <v>#N/A</v>
      </c>
      <c r="O214" s="39" t="s">
        <v>1675</v>
      </c>
      <c r="P214" s="39" t="s">
        <v>62</v>
      </c>
      <c r="Q214" s="39">
        <v>34165357</v>
      </c>
    </row>
    <row r="215" spans="1:17">
      <c r="A215" s="59" t="s">
        <v>1676</v>
      </c>
      <c r="B215" s="45" t="str">
        <f>IFERROR(VLOOKUP(Table1[[#This Row],[Seller SKU]],'[1]FG Snapshot (V2)'!$A:$B,2,0),"AR")</f>
        <v>YB</v>
      </c>
      <c r="C215" s="45">
        <f>IFERROR(VLOOKUP(Table1[[#This Row],[Seller SKU]],'[1]FG Snapshot (V2)'!$A:$E,5,0),"AR")</f>
        <v>275</v>
      </c>
      <c r="D215" s="88" t="s">
        <v>788</v>
      </c>
      <c r="E215" s="64" t="str">
        <f>VLOOKUP(Table1[[#This Row],[MTP SKU]],'MTP SKUs - Master Data'!A:D,3,0)</f>
        <v xml:space="preserve">Roverb Queen Bed </v>
      </c>
      <c r="F215" s="64" t="s">
        <v>130</v>
      </c>
      <c r="G215" s="64" t="str">
        <f>_xlfn.CONCAT(Table1[[#This Row],[MTP Name]]," ",Table1[[#This Row],[ Child Color]])</f>
        <v>Roverb Queen Bed  Walnut &amp; White</v>
      </c>
      <c r="H215" s="33" t="str">
        <f>VLOOKUP(Table1[[#This Row],[MTP SKU]],'MTP SKUs - Master Data'!A:D,3,0)</f>
        <v xml:space="preserve">Roverb Queen Bed </v>
      </c>
      <c r="I215" s="40"/>
      <c r="J215" s="36" t="e">
        <v>#N/A</v>
      </c>
      <c r="K215" s="37" t="s">
        <v>1677</v>
      </c>
      <c r="L215" s="38" t="s">
        <v>1678</v>
      </c>
      <c r="M215" s="38" t="s">
        <v>1679</v>
      </c>
      <c r="N215" s="38" t="s">
        <v>1680</v>
      </c>
      <c r="O215" s="39" t="s">
        <v>1681</v>
      </c>
      <c r="P215" s="39" t="s">
        <v>1682</v>
      </c>
      <c r="Q215" s="39" t="e">
        <v>#N/A</v>
      </c>
    </row>
    <row r="216" spans="1:17">
      <c r="A216" s="59" t="s">
        <v>1683</v>
      </c>
      <c r="B216" s="45" t="str">
        <f>IFERROR(VLOOKUP(Table1[[#This Row],[Seller SKU]],'[1]FG Snapshot (V2)'!$A:$B,2,0),"AR")</f>
        <v>Y</v>
      </c>
      <c r="C216" s="45">
        <f>IFERROR(VLOOKUP(Table1[[#This Row],[Seller SKU]],'[1]FG Snapshot (V2)'!$A:$E,5,0),"AR")</f>
        <v>170</v>
      </c>
      <c r="D216" s="88" t="s">
        <v>1684</v>
      </c>
      <c r="E216" s="64" t="str">
        <f>VLOOKUP(Table1[[#This Row],[MTP SKU]],'MTP SKUs - Master Data'!A:D,3,0)</f>
        <v>Stuart 10 Key Holder</v>
      </c>
      <c r="F216" s="64" t="s">
        <v>19</v>
      </c>
      <c r="G216" s="64" t="str">
        <f>_xlfn.CONCAT(Table1[[#This Row],[MTP Name]]," ",Table1[[#This Row],[ Child Color]])</f>
        <v>Stuart 10 Key Holder Brown Maple</v>
      </c>
      <c r="H216" s="40" t="str">
        <f>VLOOKUP(Table1[[#This Row],[MTP SKU]],'MTP SKUs - Master Data'!A:D,3,0)</f>
        <v>Stuart 10 Key Holder</v>
      </c>
      <c r="I216" s="40"/>
      <c r="J216" s="36" t="e">
        <v>#N/A</v>
      </c>
      <c r="K216" s="37" t="s">
        <v>1685</v>
      </c>
      <c r="L216" s="38" t="s">
        <v>1686</v>
      </c>
      <c r="M216" s="38" t="s">
        <v>1687</v>
      </c>
      <c r="N216" s="38" t="e">
        <v>#N/A</v>
      </c>
      <c r="O216" s="39" t="s">
        <v>1688</v>
      </c>
      <c r="P216" s="39" t="s">
        <v>62</v>
      </c>
      <c r="Q216" s="39">
        <v>34165358</v>
      </c>
    </row>
    <row r="217" spans="1:17">
      <c r="A217" s="59" t="s">
        <v>1689</v>
      </c>
      <c r="B217" s="45" t="str">
        <f>IFERROR(VLOOKUP(Table1[[#This Row],[Seller SKU]],'[1]FG Snapshot (V2)'!$A:$B,2,0),"AR")</f>
        <v>Y</v>
      </c>
      <c r="C217" s="45">
        <f>IFERROR(VLOOKUP(Table1[[#This Row],[Seller SKU]],'[1]FG Snapshot (V2)'!$A:$E,5,0),"AR")</f>
        <v>119</v>
      </c>
      <c r="D217" s="88" t="s">
        <v>1690</v>
      </c>
      <c r="E217" s="64" t="str">
        <f>VLOOKUP(Table1[[#This Row],[MTP SKU]],'MTP SKUs - Master Data'!A:D,3,0)</f>
        <v>Walten Bookshelf</v>
      </c>
      <c r="F217" s="64" t="s">
        <v>182</v>
      </c>
      <c r="G217" s="64" t="str">
        <f>_xlfn.CONCAT(Table1[[#This Row],[MTP Name]]," ",Table1[[#This Row],[ Child Color]])</f>
        <v>Walten Bookshelf Wenge</v>
      </c>
      <c r="H217" s="33" t="str">
        <f>VLOOKUP(Table1[[#This Row],[MTP SKU]],'MTP SKUs - Master Data'!A:D,3,0)</f>
        <v>Walten Bookshelf</v>
      </c>
      <c r="I217" s="40"/>
      <c r="J217" s="36" t="s">
        <v>1691</v>
      </c>
      <c r="K217" s="37" t="s">
        <v>1692</v>
      </c>
      <c r="L217" s="38" t="s">
        <v>1693</v>
      </c>
      <c r="M217" s="38" t="s">
        <v>1694</v>
      </c>
      <c r="N217" s="38" t="s">
        <v>1695</v>
      </c>
      <c r="O217" s="39" t="s">
        <v>1696</v>
      </c>
      <c r="P217" s="39" t="s">
        <v>1697</v>
      </c>
      <c r="Q217" s="39">
        <v>34381003</v>
      </c>
    </row>
    <row r="218" spans="1:17">
      <c r="A218" s="59" t="s">
        <v>1698</v>
      </c>
      <c r="B218" s="45" t="str">
        <f>IFERROR(VLOOKUP(Table1[[#This Row],[Seller SKU]],'[1]FG Snapshot (V2)'!$A:$B,2,0),"AR")</f>
        <v>Y</v>
      </c>
      <c r="C218" s="45">
        <f>IFERROR(VLOOKUP(Table1[[#This Row],[Seller SKU]],'[1]FG Snapshot (V2)'!$A:$E,5,0),"AR")</f>
        <v>244</v>
      </c>
      <c r="D218" s="88" t="s">
        <v>1699</v>
      </c>
      <c r="E218" s="64" t="str">
        <f>VLOOKUP(Table1[[#This Row],[MTP SKU]],'MTP SKUs - Master Data'!A:D,3,0)</f>
        <v>Astrella Wall Shelve</v>
      </c>
      <c r="F218" s="64" t="s">
        <v>182</v>
      </c>
      <c r="G218" s="64" t="str">
        <f>_xlfn.CONCAT(Table1[[#This Row],[MTP Name]]," ",Table1[[#This Row],[ Child Color]])</f>
        <v>Astrella Wall Shelve Wenge</v>
      </c>
      <c r="H218" s="33" t="str">
        <f>VLOOKUP(Table1[[#This Row],[MTP SKU]],'MTP SKUs - Master Data'!A:D,3,0)</f>
        <v>Astrella Wall Shelve</v>
      </c>
      <c r="I218" s="40"/>
      <c r="J218" s="36" t="s">
        <v>1700</v>
      </c>
      <c r="K218" s="37" t="s">
        <v>1701</v>
      </c>
      <c r="L218" s="38" t="s">
        <v>1702</v>
      </c>
      <c r="M218" s="38" t="s">
        <v>1703</v>
      </c>
      <c r="N218" s="38" t="s">
        <v>1704</v>
      </c>
      <c r="O218" s="39" t="s">
        <v>1705</v>
      </c>
      <c r="P218" s="39" t="s">
        <v>62</v>
      </c>
      <c r="Q218" s="39">
        <v>34163064</v>
      </c>
    </row>
    <row r="219" spans="1:17">
      <c r="A219" s="59" t="s">
        <v>1706</v>
      </c>
      <c r="B219" s="45" t="str">
        <f>IFERROR(VLOOKUP(Table1[[#This Row],[Seller SKU]],'[1]FG Snapshot (V2)'!$A:$B,2,0),"AR")</f>
        <v>Y</v>
      </c>
      <c r="C219" s="45">
        <f>IFERROR(VLOOKUP(Table1[[#This Row],[Seller SKU]],'[1]FG Snapshot (V2)'!$A:$E,5,0),"AR")</f>
        <v>196</v>
      </c>
      <c r="D219" s="40" t="s">
        <v>1707</v>
      </c>
      <c r="E219" s="64" t="str">
        <f>VLOOKUP(Table1[[#This Row],[MTP SKU]],'MTP SKUs - Master Data'!A:D,3,0)</f>
        <v>Aero Large TV Unit</v>
      </c>
      <c r="F219" s="64" t="s">
        <v>19</v>
      </c>
      <c r="G219" s="64" t="str">
        <f>_xlfn.CONCAT(Table1[[#This Row],[MTP Name]]," ",Table1[[#This Row],[ Child Color]])</f>
        <v>Aero Large TV Unit Brown Maple</v>
      </c>
      <c r="H219" s="33" t="str">
        <f>VLOOKUP(Table1[[#This Row],[MTP SKU]],'MTP SKUs - Master Data'!A:D,3,0)</f>
        <v>Aero Large TV Unit</v>
      </c>
      <c r="I219" s="40"/>
      <c r="J219" s="36"/>
      <c r="K219" s="37" t="s">
        <v>1708</v>
      </c>
      <c r="L219" s="38" t="s">
        <v>1709</v>
      </c>
      <c r="M219" s="38"/>
      <c r="N219" s="38" t="s">
        <v>1710</v>
      </c>
      <c r="O219" s="39" t="s">
        <v>1711</v>
      </c>
      <c r="P219" s="39" t="s">
        <v>62</v>
      </c>
      <c r="Q219" s="39">
        <v>35524075</v>
      </c>
    </row>
    <row r="220" spans="1:17">
      <c r="A220" s="59" t="s">
        <v>1712</v>
      </c>
      <c r="B220" s="45" t="str">
        <f>IFERROR(VLOOKUP(Table1[[#This Row],[Seller SKU]],'[1]FG Snapshot (V2)'!$A:$B,2,0),"AR")</f>
        <v>Y</v>
      </c>
      <c r="C220" s="45">
        <f>IFERROR(VLOOKUP(Table1[[#This Row],[Seller SKU]],'[1]FG Snapshot (V2)'!$A:$E,5,0),"AR")</f>
        <v>139</v>
      </c>
      <c r="D220" s="88" t="s">
        <v>1713</v>
      </c>
      <c r="E220" s="64" t="str">
        <f>VLOOKUP(Table1[[#This Row],[MTP SKU]],'MTP SKUs - Master Data'!A:D,3,0)</f>
        <v>Primax Standard TV Unit</v>
      </c>
      <c r="F220" s="64" t="s">
        <v>182</v>
      </c>
      <c r="G220" s="64" t="str">
        <f>_xlfn.CONCAT(Table1[[#This Row],[MTP Name]]," ",Table1[[#This Row],[ Child Color]])</f>
        <v>Primax Standard TV Unit Wenge</v>
      </c>
      <c r="H220" s="33" t="str">
        <f>VLOOKUP(Table1[[#This Row],[MTP SKU]],'MTP SKUs - Master Data'!A:D,3,0)</f>
        <v>Primax Standard TV Unit</v>
      </c>
      <c r="I220" s="40"/>
      <c r="J220" s="36" t="s">
        <v>1714</v>
      </c>
      <c r="K220" s="37" t="s">
        <v>1715</v>
      </c>
      <c r="L220" s="38" t="s">
        <v>1716</v>
      </c>
      <c r="M220" s="38" t="s">
        <v>1717</v>
      </c>
      <c r="N220" s="38" t="s">
        <v>1718</v>
      </c>
      <c r="O220" s="39" t="s">
        <v>1719</v>
      </c>
      <c r="P220" s="39" t="s">
        <v>62</v>
      </c>
      <c r="Q220" s="39">
        <v>34399068</v>
      </c>
    </row>
    <row r="221" spans="1:17">
      <c r="A221" s="59" t="s">
        <v>1720</v>
      </c>
      <c r="B221" s="45" t="str">
        <f>IFERROR(VLOOKUP(Table1[[#This Row],[Seller SKU]],'[1]FG Snapshot (V2)'!$A:$B,2,0),"AR")</f>
        <v>Y</v>
      </c>
      <c r="C221" s="45">
        <f>IFERROR(VLOOKUP(Table1[[#This Row],[Seller SKU]],'[1]FG Snapshot (V2)'!$A:$E,5,0),"AR")</f>
        <v>193</v>
      </c>
      <c r="D221" s="88" t="s">
        <v>1721</v>
      </c>
      <c r="E221" s="64" t="str">
        <f>VLOOKUP(Table1[[#This Row],[MTP SKU]],'MTP SKUs - Master Data'!A:D,3,0)</f>
        <v>Rico Mini Dressing Table</v>
      </c>
      <c r="F221" s="64" t="s">
        <v>182</v>
      </c>
      <c r="G221" s="64" t="str">
        <f>_xlfn.CONCAT(Table1[[#This Row],[MTP Name]]," ",Table1[[#This Row],[ Child Color]])</f>
        <v>Rico Mini Dressing Table Wenge</v>
      </c>
      <c r="H221" s="33" t="str">
        <f>VLOOKUP(Table1[[#This Row],[MTP SKU]],'MTP SKUs - Master Data'!A:D,3,0)</f>
        <v>Rico Mini Dressing Table</v>
      </c>
      <c r="I221" s="40"/>
      <c r="J221" s="36" t="s">
        <v>1722</v>
      </c>
      <c r="K221" s="37" t="s">
        <v>1723</v>
      </c>
      <c r="L221" s="38" t="s">
        <v>1724</v>
      </c>
      <c r="M221" s="38" t="s">
        <v>1725</v>
      </c>
      <c r="N221" s="38" t="s">
        <v>1726</v>
      </c>
      <c r="O221" s="39" t="s">
        <v>1727</v>
      </c>
      <c r="P221" s="39" t="s">
        <v>62</v>
      </c>
      <c r="Q221" s="39" t="e">
        <v>#N/A</v>
      </c>
    </row>
    <row r="222" spans="1:17">
      <c r="A222" s="59" t="s">
        <v>1728</v>
      </c>
      <c r="B222" s="45" t="str">
        <f>IFERROR(VLOOKUP(Table1[[#This Row],[Seller SKU]],'[1]FG Snapshot (V2)'!$A:$B,2,0),"AR")</f>
        <v>Y</v>
      </c>
      <c r="C222" s="45">
        <f>IFERROR(VLOOKUP(Table1[[#This Row],[Seller SKU]],'[1]FG Snapshot (V2)'!$A:$E,5,0),"AR")</f>
        <v>238</v>
      </c>
      <c r="D222" s="88" t="s">
        <v>1729</v>
      </c>
      <c r="E222" s="64" t="str">
        <f>VLOOKUP(Table1[[#This Row],[MTP SKU]],'MTP SKUs - Master Data'!A:D,3,0)</f>
        <v>Festvi Triple Monitor Stand</v>
      </c>
      <c r="F222" s="64" t="s">
        <v>182</v>
      </c>
      <c r="G222" s="64" t="str">
        <f>_xlfn.CONCAT(Table1[[#This Row],[MTP Name]]," ",Table1[[#This Row],[ Child Color]])</f>
        <v>Festvi Triple Monitor Stand Wenge</v>
      </c>
      <c r="H222" s="33" t="str">
        <f>VLOOKUP(Table1[[#This Row],[MTP SKU]],'MTP SKUs - Master Data'!A:D,3,0)</f>
        <v>Festvi Triple Monitor Stand</v>
      </c>
      <c r="I222" s="40"/>
      <c r="J222" s="36" t="s">
        <v>1730</v>
      </c>
      <c r="K222" s="37" t="s">
        <v>1731</v>
      </c>
      <c r="L222" s="38" t="s">
        <v>1732</v>
      </c>
      <c r="M222" s="38" t="s">
        <v>1733</v>
      </c>
      <c r="N222" s="38" t="s">
        <v>1734</v>
      </c>
      <c r="O222" s="39" t="e">
        <v>#N/A</v>
      </c>
      <c r="P222" s="39" t="s">
        <v>62</v>
      </c>
      <c r="Q222" s="39" t="e">
        <v>#N/A</v>
      </c>
    </row>
    <row r="223" spans="1:17">
      <c r="A223" s="60" t="s">
        <v>1735</v>
      </c>
      <c r="B223" s="45" t="str">
        <f>IFERROR(VLOOKUP(Table1[[#This Row],[Seller SKU]],'[1]FG Snapshot (V2)'!$A:$B,2,0),"AR")</f>
        <v>Y</v>
      </c>
      <c r="C223" s="45">
        <f>IFERROR(VLOOKUP(Table1[[#This Row],[Seller SKU]],'[1]FG Snapshot (V2)'!$A:$E,5,0),"AR")</f>
        <v>74</v>
      </c>
      <c r="D223" s="40" t="s">
        <v>1736</v>
      </c>
      <c r="E223" s="64" t="str">
        <f>VLOOKUP(Table1[[#This Row],[MTP SKU]],'MTP SKUs - Master Data'!A:D,3,0)</f>
        <v>Opryt with Shelf Set of 2 Kichen Cabinet</v>
      </c>
      <c r="F223" s="64" t="s">
        <v>56</v>
      </c>
      <c r="G223" s="64" t="str">
        <f>_xlfn.CONCAT(Table1[[#This Row],[MTP Name]]," ",Table1[[#This Row],[ Child Color]])</f>
        <v>Opryt with Shelf Set of 2 Kichen Cabinet White</v>
      </c>
      <c r="H223" s="33" t="str">
        <f>VLOOKUP(Table1[[#This Row],[MTP SKU]],'MTP SKUs - Master Data'!A:D,3,0)</f>
        <v>Opryt with Shelf Set of 2 Kichen Cabinet</v>
      </c>
      <c r="I223" s="40"/>
      <c r="J223" s="36"/>
      <c r="K223" s="37" t="s">
        <v>1737</v>
      </c>
      <c r="L223" s="38" t="s">
        <v>1738</v>
      </c>
      <c r="M223" s="38" t="s">
        <v>1739</v>
      </c>
      <c r="N223" s="38" t="s">
        <v>1740</v>
      </c>
      <c r="O223" s="39" t="s">
        <v>1741</v>
      </c>
      <c r="P223" s="39" t="s">
        <v>62</v>
      </c>
      <c r="Q223" s="39" t="e">
        <v>#N/A</v>
      </c>
    </row>
    <row r="224" spans="1:17">
      <c r="A224" s="59" t="s">
        <v>1742</v>
      </c>
      <c r="B224" s="45" t="str">
        <f>IFERROR(VLOOKUP(Table1[[#This Row],[Seller SKU]],'[1]FG Snapshot (V2)'!$A:$B,2,0),"AR")</f>
        <v>y</v>
      </c>
      <c r="C224" s="45">
        <f>IFERROR(VLOOKUP(Table1[[#This Row],[Seller SKU]],'[1]FG Snapshot (V2)'!$A:$E,5,0),"AR")</f>
        <v>172</v>
      </c>
      <c r="D224" s="88" t="s">
        <v>1743</v>
      </c>
      <c r="E224" s="64" t="str">
        <f>VLOOKUP(Table1[[#This Row],[MTP SKU]],'MTP SKUs - Master Data'!A:D,3,0)</f>
        <v>Asburg 6 Layer Bookshelf</v>
      </c>
      <c r="F224" s="64" t="s">
        <v>19</v>
      </c>
      <c r="G224" s="64" t="str">
        <f>_xlfn.CONCAT(Table1[[#This Row],[MTP Name]]," ",Table1[[#This Row],[ Child Color]])</f>
        <v>Asburg 6 Layer Bookshelf Brown Maple</v>
      </c>
      <c r="H224" s="33" t="str">
        <f>VLOOKUP(Table1[[#This Row],[MTP SKU]],'MTP SKUs - Master Data'!A:D,3,0)</f>
        <v>Asburg 6 Layer Bookshelf</v>
      </c>
      <c r="I224" s="40"/>
      <c r="J224" s="36" t="s">
        <v>1744</v>
      </c>
      <c r="K224" s="37" t="s">
        <v>1745</v>
      </c>
      <c r="L224" s="38" t="s">
        <v>1746</v>
      </c>
      <c r="M224" s="38" t="s">
        <v>1747</v>
      </c>
      <c r="N224" s="38" t="s">
        <v>1748</v>
      </c>
      <c r="O224" s="39" t="s">
        <v>1749</v>
      </c>
      <c r="P224" s="39" t="s">
        <v>1750</v>
      </c>
      <c r="Q224" s="39">
        <v>34380974</v>
      </c>
    </row>
    <row r="225" spans="1:17">
      <c r="A225" s="59" t="s">
        <v>1751</v>
      </c>
      <c r="B225" s="45" t="str">
        <f>IFERROR(VLOOKUP(Table1[[#This Row],[Seller SKU]],'[1]FG Snapshot (V2)'!$A:$B,2,0),"AR")</f>
        <v>Y</v>
      </c>
      <c r="C225" s="45">
        <f>IFERROR(VLOOKUP(Table1[[#This Row],[Seller SKU]],'[1]FG Snapshot (V2)'!$A:$E,5,0),"AR")</f>
        <v>251</v>
      </c>
      <c r="D225" s="88" t="s">
        <v>1752</v>
      </c>
      <c r="E225" s="64" t="str">
        <f>VLOOKUP(Table1[[#This Row],[MTP SKU]],'MTP SKUs - Master Data'!A:D,3,0)</f>
        <v>Phelix Bookshelf</v>
      </c>
      <c r="F225" s="64" t="s">
        <v>182</v>
      </c>
      <c r="G225" s="64" t="str">
        <f>_xlfn.CONCAT(Table1[[#This Row],[MTP Name]]," ",Table1[[#This Row],[ Child Color]])</f>
        <v>Phelix Bookshelf Wenge</v>
      </c>
      <c r="H225" s="33" t="str">
        <f>VLOOKUP(Table1[[#This Row],[MTP SKU]],'MTP SKUs - Master Data'!A:D,3,0)</f>
        <v>Phelix Bookshelf</v>
      </c>
      <c r="I225" s="40"/>
      <c r="J225" s="36" t="s">
        <v>1753</v>
      </c>
      <c r="K225" s="37" t="s">
        <v>1754</v>
      </c>
      <c r="L225" s="38" t="s">
        <v>1755</v>
      </c>
      <c r="M225" s="38" t="s">
        <v>1756</v>
      </c>
      <c r="N225" s="38" t="s">
        <v>1757</v>
      </c>
      <c r="O225" s="39" t="s">
        <v>1758</v>
      </c>
      <c r="P225" s="39" t="s">
        <v>62</v>
      </c>
      <c r="Q225" s="39" t="e">
        <v>#N/A</v>
      </c>
    </row>
    <row r="226" spans="1:17">
      <c r="A226" s="59" t="s">
        <v>1759</v>
      </c>
      <c r="B226" s="45" t="str">
        <f>IFERROR(VLOOKUP(Table1[[#This Row],[Seller SKU]],'[1]FG Snapshot (V2)'!$A:$B,2,0),"AR")</f>
        <v>Y</v>
      </c>
      <c r="C226" s="45">
        <f>IFERROR(VLOOKUP(Table1[[#This Row],[Seller SKU]],'[1]FG Snapshot (V2)'!$A:$E,5,0),"AR")</f>
        <v>235</v>
      </c>
      <c r="D226" s="88" t="s">
        <v>1760</v>
      </c>
      <c r="E226" s="64" t="str">
        <f>VLOOKUP(Table1[[#This Row],[MTP SKU]],'MTP SKUs - Master Data'!A:D,3,0)</f>
        <v>Stuart 21 Key Holder</v>
      </c>
      <c r="F226" s="64" t="s">
        <v>19</v>
      </c>
      <c r="G226" s="64" t="str">
        <f>_xlfn.CONCAT(Table1[[#This Row],[MTP Name]]," ",Table1[[#This Row],[ Child Color]])</f>
        <v>Stuart 21 Key Holder Brown Maple</v>
      </c>
      <c r="H226" s="40" t="str">
        <f>VLOOKUP(Table1[[#This Row],[MTP SKU]],'MTP SKUs - Master Data'!A:D,3,0)</f>
        <v>Stuart 21 Key Holder</v>
      </c>
      <c r="I226" s="40"/>
      <c r="J226" s="36" t="e">
        <v>#N/A</v>
      </c>
      <c r="K226" s="37" t="s">
        <v>1761</v>
      </c>
      <c r="L226" s="38" t="s">
        <v>1762</v>
      </c>
      <c r="M226" s="38" t="s">
        <v>1763</v>
      </c>
      <c r="N226" s="38" t="e">
        <v>#N/A</v>
      </c>
      <c r="O226" s="39" t="s">
        <v>1764</v>
      </c>
      <c r="P226" s="39" t="s">
        <v>62</v>
      </c>
      <c r="Q226" s="39">
        <v>34165363</v>
      </c>
    </row>
    <row r="227" spans="1:17">
      <c r="A227" s="59" t="s">
        <v>1765</v>
      </c>
      <c r="B227" s="45" t="str">
        <f>IFERROR(VLOOKUP(Table1[[#This Row],[Seller SKU]],'[1]FG Snapshot (V2)'!$A:$B,2,0),"AR")</f>
        <v>Y</v>
      </c>
      <c r="C227" s="45">
        <f>IFERROR(VLOOKUP(Table1[[#This Row],[Seller SKU]],'[1]FG Snapshot (V2)'!$A:$E,5,0),"AR")</f>
        <v>213</v>
      </c>
      <c r="D227" s="88" t="s">
        <v>1766</v>
      </c>
      <c r="E227" s="64" t="str">
        <f>VLOOKUP(Table1[[#This Row],[MTP SKU]],'MTP SKUs - Master Data'!A:D,3,0)</f>
        <v>Tirano Large Microwave Stand</v>
      </c>
      <c r="F227" s="64" t="s">
        <v>19</v>
      </c>
      <c r="G227" s="64" t="str">
        <f>_xlfn.CONCAT(Table1[[#This Row],[MTP Name]]," ",Table1[[#This Row],[ Child Color]])</f>
        <v>Tirano Large Microwave Stand Brown Maple</v>
      </c>
      <c r="H227" s="40" t="str">
        <f>VLOOKUP(Table1[[#This Row],[MTP SKU]],'MTP SKUs - Master Data'!A:D,3,0)</f>
        <v>Tirano Large Microwave Stand</v>
      </c>
      <c r="I227" s="40"/>
      <c r="J227" s="36" t="s">
        <v>1767</v>
      </c>
      <c r="K227" s="37" t="s">
        <v>1768</v>
      </c>
      <c r="L227" s="38" t="s">
        <v>1769</v>
      </c>
      <c r="M227" s="38" t="s">
        <v>1770</v>
      </c>
      <c r="N227" s="38" t="e">
        <v>#N/A</v>
      </c>
      <c r="O227" s="39"/>
      <c r="P227" s="39" t="s">
        <v>62</v>
      </c>
      <c r="Q227" s="39" t="e">
        <v>#N/A</v>
      </c>
    </row>
    <row r="228" spans="1:17">
      <c r="A228" s="59" t="s">
        <v>1771</v>
      </c>
      <c r="B228" s="45" t="str">
        <f>IFERROR(VLOOKUP(Table1[[#This Row],[Seller SKU]],'[1]FG Snapshot (V2)'!$A:$B,2,0),"AR")</f>
        <v>RL</v>
      </c>
      <c r="C228" s="45">
        <f>IFERROR(VLOOKUP(Table1[[#This Row],[Seller SKU]],'[1]FG Snapshot (V2)'!$A:$E,5,0),"AR")</f>
        <v>256</v>
      </c>
      <c r="D228" s="88" t="s">
        <v>1772</v>
      </c>
      <c r="E228" s="64" t="str">
        <f>VLOOKUP(Table1[[#This Row],[MTP SKU]],'MTP SKUs - Master Data'!A:D,3,0)</f>
        <v>Norel Standard Monitor Stand</v>
      </c>
      <c r="F228" s="64" t="s">
        <v>19</v>
      </c>
      <c r="G228" s="64" t="str">
        <f>_xlfn.CONCAT(Table1[[#This Row],[MTP Name]]," ",Table1[[#This Row],[ Child Color]])</f>
        <v>Norel Standard Monitor Stand Brown Maple</v>
      </c>
      <c r="H228" s="40" t="str">
        <f>VLOOKUP(Table1[[#This Row],[MTP SKU]],'MTP SKUs - Master Data'!A:D,3,0)</f>
        <v>Norel Standard Monitor Stand</v>
      </c>
      <c r="I228" s="40"/>
      <c r="J228" s="36" t="s">
        <v>1773</v>
      </c>
      <c r="K228" s="37" t="s">
        <v>1774</v>
      </c>
      <c r="L228" s="38" t="s">
        <v>1775</v>
      </c>
      <c r="M228" s="38" t="s">
        <v>1776</v>
      </c>
      <c r="N228" s="38" t="e">
        <v>#N/A</v>
      </c>
      <c r="O228" s="39" t="s">
        <v>1777</v>
      </c>
      <c r="P228" s="39" t="s">
        <v>62</v>
      </c>
      <c r="Q228" s="39" t="e">
        <v>#N/A</v>
      </c>
    </row>
    <row r="229" spans="1:17">
      <c r="A229" s="59" t="s">
        <v>1778</v>
      </c>
      <c r="B229" s="45" t="str">
        <f>IFERROR(VLOOKUP(Table1[[#This Row],[Seller SKU]],'[1]FG Snapshot (V2)'!$A:$B,2,0),"AR")</f>
        <v>Y</v>
      </c>
      <c r="C229" s="45">
        <f>IFERROR(VLOOKUP(Table1[[#This Row],[Seller SKU]],'[1]FG Snapshot (V2)'!$A:$E,5,0),"AR")</f>
        <v>258</v>
      </c>
      <c r="D229" s="88" t="s">
        <v>1779</v>
      </c>
      <c r="E229" s="64" t="str">
        <f>VLOOKUP(Table1[[#This Row],[MTP SKU]],'MTP SKUs - Master Data'!A:D,3,0)</f>
        <v>Reyloye Large TV Unit</v>
      </c>
      <c r="F229" s="64" t="s">
        <v>46</v>
      </c>
      <c r="G229" s="64" t="str">
        <f>_xlfn.CONCAT(Table1[[#This Row],[MTP Name]]," ",Table1[[#This Row],[ Child Color]])</f>
        <v>Reyloye Large TV Unit Wenge &amp; White</v>
      </c>
      <c r="H229" s="33" t="str">
        <f>VLOOKUP(Table1[[#This Row],[MTP SKU]],'MTP SKUs - Master Data'!A:D,3,0)</f>
        <v>Reyloye Large TV Unit</v>
      </c>
      <c r="I229" s="40"/>
      <c r="J229" s="36" t="s">
        <v>1780</v>
      </c>
      <c r="K229" s="37" t="s">
        <v>1781</v>
      </c>
      <c r="L229" s="38" t="s">
        <v>1782</v>
      </c>
      <c r="M229" s="38" t="s">
        <v>1783</v>
      </c>
      <c r="N229" s="38" t="s">
        <v>1784</v>
      </c>
      <c r="O229" s="39" t="s">
        <v>1785</v>
      </c>
      <c r="P229" s="39" t="s">
        <v>1786</v>
      </c>
      <c r="Q229" s="39">
        <v>34399146</v>
      </c>
    </row>
    <row r="230" spans="1:17">
      <c r="A230" s="59" t="s">
        <v>1787</v>
      </c>
      <c r="B230" s="45" t="str">
        <f>IFERROR(VLOOKUP(Table1[[#This Row],[Seller SKU]],'[1]FG Snapshot (V2)'!$A:$B,2,0),"AR")</f>
        <v>Y</v>
      </c>
      <c r="C230" s="45">
        <f>IFERROR(VLOOKUP(Table1[[#This Row],[Seller SKU]],'[1]FG Snapshot (V2)'!$A:$E,5,0),"AR")</f>
        <v>171</v>
      </c>
      <c r="D230" s="88" t="s">
        <v>1788</v>
      </c>
      <c r="E230" s="64" t="str">
        <f>VLOOKUP(Table1[[#This Row],[MTP SKU]],'MTP SKUs - Master Data'!A:D,3,0)</f>
        <v>Estoye Standard TV Unit</v>
      </c>
      <c r="F230" s="64" t="s">
        <v>19</v>
      </c>
      <c r="G230" s="64" t="str">
        <f>_xlfn.CONCAT(Table1[[#This Row],[MTP Name]]," ",Table1[[#This Row],[ Child Color]])</f>
        <v>Estoye Standard TV Unit Brown Maple</v>
      </c>
      <c r="H230" s="33" t="str">
        <f>VLOOKUP(Table1[[#This Row],[MTP SKU]],'MTP SKUs - Master Data'!A:D,3,0)</f>
        <v>Estoye Standard TV Unit</v>
      </c>
      <c r="I230" s="40"/>
      <c r="J230" s="36" t="s">
        <v>1789</v>
      </c>
      <c r="K230" s="37" t="s">
        <v>1790</v>
      </c>
      <c r="L230" s="38" t="s">
        <v>1791</v>
      </c>
      <c r="M230" s="38" t="s">
        <v>1792</v>
      </c>
      <c r="N230" s="38" t="s">
        <v>1793</v>
      </c>
      <c r="O230" s="39" t="s">
        <v>1794</v>
      </c>
      <c r="P230" s="39" t="s">
        <v>62</v>
      </c>
      <c r="Q230" s="39">
        <v>34398992</v>
      </c>
    </row>
    <row r="231" spans="1:17">
      <c r="A231" s="59" t="s">
        <v>1795</v>
      </c>
      <c r="B231" s="45" t="str">
        <f>IFERROR(VLOOKUP(Table1[[#This Row],[Seller SKU]],'[1]FG Snapshot (V2)'!$A:$B,2,0),"AR")</f>
        <v>Y</v>
      </c>
      <c r="C231" s="45">
        <f>IFERROR(VLOOKUP(Table1[[#This Row],[Seller SKU]],'[1]FG Snapshot (V2)'!$A:$E,5,0),"AR")</f>
        <v>226</v>
      </c>
      <c r="D231" s="88" t="s">
        <v>1796</v>
      </c>
      <c r="E231" s="64" t="str">
        <f>VLOOKUP(Table1[[#This Row],[MTP SKU]],'MTP SKUs - Master Data'!A:D,3,0)</f>
        <v>Maple Bookshelf</v>
      </c>
      <c r="F231" s="64" t="s">
        <v>182</v>
      </c>
      <c r="G231" s="64" t="str">
        <f>_xlfn.CONCAT(Table1[[#This Row],[MTP Name]]," ",Table1[[#This Row],[ Child Color]])</f>
        <v>Maple Bookshelf Wenge</v>
      </c>
      <c r="H231" s="33" t="str">
        <f>VLOOKUP(Table1[[#This Row],[MTP SKU]],'MTP SKUs - Master Data'!A:D,3,0)</f>
        <v>Maple Bookshelf</v>
      </c>
      <c r="I231" s="40"/>
      <c r="J231" s="36" t="s">
        <v>1797</v>
      </c>
      <c r="K231" s="37" t="s">
        <v>1798</v>
      </c>
      <c r="L231" s="38" t="s">
        <v>1799</v>
      </c>
      <c r="M231" s="38" t="s">
        <v>1800</v>
      </c>
      <c r="N231" s="38" t="s">
        <v>1801</v>
      </c>
      <c r="O231" s="39" t="s">
        <v>1802</v>
      </c>
      <c r="P231" s="39" t="s">
        <v>62</v>
      </c>
      <c r="Q231" s="39">
        <v>34380940</v>
      </c>
    </row>
    <row r="232" spans="1:17">
      <c r="A232" s="59" t="s">
        <v>1803</v>
      </c>
      <c r="B232" s="45" t="str">
        <f>IFERROR(VLOOKUP(Table1[[#This Row],[Seller SKU]],'[1]FG Snapshot (V2)'!$A:$B,2,0),"AR")</f>
        <v>Y</v>
      </c>
      <c r="C232" s="45">
        <f>IFERROR(VLOOKUP(Table1[[#This Row],[Seller SKU]],'[1]FG Snapshot (V2)'!$A:$E,5,0),"AR")</f>
        <v>253</v>
      </c>
      <c r="D232" s="88" t="s">
        <v>1804</v>
      </c>
      <c r="E232" s="64" t="str">
        <f>VLOOKUP(Table1[[#This Row],[MTP SKU]],'MTP SKUs - Master Data'!A:D,3,0)</f>
        <v>Torene 40Key Holder</v>
      </c>
      <c r="F232" s="64" t="s">
        <v>182</v>
      </c>
      <c r="G232" s="64" t="str">
        <f>_xlfn.CONCAT(Table1[[#This Row],[MTP Name]]," ",Table1[[#This Row],[ Child Color]])</f>
        <v>Torene 40Key Holder Wenge</v>
      </c>
      <c r="H232" s="40" t="str">
        <f>VLOOKUP(Table1[[#This Row],[MTP SKU]],'MTP SKUs - Master Data'!A:D,3,0)</f>
        <v>Torene 40Key Holder</v>
      </c>
      <c r="I232" s="40"/>
      <c r="J232" s="36" t="s">
        <v>1805</v>
      </c>
      <c r="K232" s="37" t="s">
        <v>1806</v>
      </c>
      <c r="L232" s="38" t="s">
        <v>1807</v>
      </c>
      <c r="M232" s="38" t="s">
        <v>1808</v>
      </c>
      <c r="N232" s="38" t="e">
        <v>#N/A</v>
      </c>
      <c r="O232" s="39" t="s">
        <v>1809</v>
      </c>
      <c r="P232" s="39" t="s">
        <v>62</v>
      </c>
      <c r="Q232" s="39">
        <v>27465476</v>
      </c>
    </row>
    <row r="233" spans="1:17">
      <c r="A233" s="59" t="s">
        <v>1810</v>
      </c>
      <c r="B233" s="45" t="str">
        <f>IFERROR(VLOOKUP(Table1[[#This Row],[Seller SKU]],'[1]FG Snapshot (V2)'!$A:$B,2,0),"AR")</f>
        <v>Y</v>
      </c>
      <c r="C233" s="45">
        <f>IFERROR(VLOOKUP(Table1[[#This Row],[Seller SKU]],'[1]FG Snapshot (V2)'!$A:$E,5,0),"AR")</f>
        <v>215</v>
      </c>
      <c r="D233" s="88" t="s">
        <v>1811</v>
      </c>
      <c r="E233" s="64" t="str">
        <f>VLOOKUP(Table1[[#This Row],[MTP SKU]],'MTP SKUs - Master Data'!A:D,3,0)</f>
        <v>Alesti Dressing Table</v>
      </c>
      <c r="F233" s="64" t="s">
        <v>182</v>
      </c>
      <c r="G233" s="64" t="str">
        <f>_xlfn.CONCAT(Table1[[#This Row],[MTP Name]]," ",Table1[[#This Row],[ Child Color]])</f>
        <v>Alesti Dressing Table Wenge</v>
      </c>
      <c r="H233" s="33" t="str">
        <f>VLOOKUP(Table1[[#This Row],[MTP SKU]],'MTP SKUs - Master Data'!A:D,3,0)</f>
        <v>Alesti Dressing Table</v>
      </c>
      <c r="I233" s="40"/>
      <c r="J233" s="36" t="s">
        <v>1812</v>
      </c>
      <c r="K233" s="37" t="s">
        <v>1813</v>
      </c>
      <c r="L233" s="38" t="s">
        <v>1814</v>
      </c>
      <c r="M233" s="38" t="s">
        <v>1815</v>
      </c>
      <c r="N233" s="38" t="s">
        <v>1816</v>
      </c>
      <c r="O233" s="39" t="s">
        <v>1817</v>
      </c>
      <c r="P233" s="39" t="s">
        <v>62</v>
      </c>
      <c r="Q233" s="39" t="e">
        <v>#N/A</v>
      </c>
    </row>
    <row r="234" spans="1:17">
      <c r="A234" s="59" t="s">
        <v>1818</v>
      </c>
      <c r="B234" s="45" t="str">
        <f>IFERROR(VLOOKUP(Table1[[#This Row],[Seller SKU]],'[1]FG Snapshot (V2)'!$A:$B,2,0),"AR")</f>
        <v>Y</v>
      </c>
      <c r="C234" s="45">
        <f>IFERROR(VLOOKUP(Table1[[#This Row],[Seller SKU]],'[1]FG Snapshot (V2)'!$A:$E,5,0),"AR")</f>
        <v>255</v>
      </c>
      <c r="D234" s="88" t="s">
        <v>1819</v>
      </c>
      <c r="E234" s="64" t="str">
        <f>VLOOKUP(Table1[[#This Row],[MTP SKU]],'MTP SKUs - Master Data'!A:D,3,0)</f>
        <v>Hemming Study Table</v>
      </c>
      <c r="F234" s="64" t="s">
        <v>182</v>
      </c>
      <c r="G234" s="64" t="str">
        <f>_xlfn.CONCAT(Table1[[#This Row],[MTP Name]]," ",Table1[[#This Row],[ Child Color]])</f>
        <v>Hemming Study Table Wenge</v>
      </c>
      <c r="H234" s="33" t="str">
        <f>VLOOKUP(Table1[[#This Row],[MTP SKU]],'MTP SKUs - Master Data'!A:D,3,0)</f>
        <v>Hemming Study Table</v>
      </c>
      <c r="I234" s="40"/>
      <c r="J234" s="36" t="s">
        <v>1820</v>
      </c>
      <c r="K234" s="37" t="s">
        <v>1821</v>
      </c>
      <c r="L234" s="38" t="s">
        <v>1822</v>
      </c>
      <c r="M234" s="38" t="s">
        <v>1823</v>
      </c>
      <c r="N234" s="38" t="s">
        <v>1824</v>
      </c>
      <c r="O234" s="39" t="s">
        <v>1825</v>
      </c>
      <c r="P234" s="39" t="s">
        <v>62</v>
      </c>
      <c r="Q234" s="39">
        <v>34399121</v>
      </c>
    </row>
    <row r="235" spans="1:17">
      <c r="A235" s="59" t="s">
        <v>1826</v>
      </c>
      <c r="B235" s="45" t="str">
        <f>IFERROR(VLOOKUP(Table1[[#This Row],[Seller SKU]],'[1]FG Snapshot (V2)'!$A:$B,2,0),"AR")</f>
        <v>Y</v>
      </c>
      <c r="C235" s="45">
        <f>IFERROR(VLOOKUP(Table1[[#This Row],[Seller SKU]],'[1]FG Snapshot (V2)'!$A:$E,5,0),"AR")</f>
        <v>192</v>
      </c>
      <c r="D235" s="88" t="s">
        <v>703</v>
      </c>
      <c r="E235" s="64" t="str">
        <f>VLOOKUP(Table1[[#This Row],[MTP SKU]],'MTP SKUs - Master Data'!A:D,3,0)</f>
        <v>Primax Grande Standard TV Unit</v>
      </c>
      <c r="F235" s="64" t="s">
        <v>182</v>
      </c>
      <c r="G235" s="64" t="str">
        <f>_xlfn.CONCAT(Table1[[#This Row],[MTP Name]]," ",Table1[[#This Row],[ Child Color]])</f>
        <v>Primax Grande Standard TV Unit Wenge</v>
      </c>
      <c r="H235" s="33" t="str">
        <f>VLOOKUP(Table1[[#This Row],[MTP SKU]],'MTP SKUs - Master Data'!A:D,3,0)</f>
        <v>Primax Grande Standard TV Unit</v>
      </c>
      <c r="I235" s="40"/>
      <c r="J235" s="36" t="s">
        <v>1827</v>
      </c>
      <c r="K235" s="37" t="s">
        <v>1828</v>
      </c>
      <c r="L235" s="38" t="s">
        <v>1829</v>
      </c>
      <c r="M235" s="38" t="s">
        <v>1830</v>
      </c>
      <c r="N235" s="38" t="s">
        <v>1831</v>
      </c>
      <c r="O235" s="39" t="s">
        <v>1832</v>
      </c>
      <c r="P235" s="39" t="s">
        <v>62</v>
      </c>
      <c r="Q235" s="39">
        <v>34399220</v>
      </c>
    </row>
    <row r="236" spans="1:17">
      <c r="A236" s="60" t="s">
        <v>1833</v>
      </c>
      <c r="B236" s="45" t="str">
        <f>IFERROR(VLOOKUP(Table1[[#This Row],[Seller SKU]],'[1]FG Snapshot (V2)'!$A:$B,2,0),"AR")</f>
        <v>Y</v>
      </c>
      <c r="C236" s="45">
        <f>IFERROR(VLOOKUP(Table1[[#This Row],[Seller SKU]],'[1]FG Snapshot (V2)'!$A:$E,5,0),"AR")</f>
        <v>190</v>
      </c>
      <c r="D236" s="89" t="s">
        <v>1834</v>
      </c>
      <c r="E236" s="64" t="str">
        <f>VLOOKUP(Table1[[#This Row],[MTP SKU]],'MTP SKUs - Master Data'!A:D,3,0)</f>
        <v>Riley Wall Shelve</v>
      </c>
      <c r="F236" s="64" t="s">
        <v>19</v>
      </c>
      <c r="G236" s="67" t="str">
        <f>_xlfn.CONCAT(Table1[[#This Row],[MTP Name]]," ",Table1[[#This Row],[ Child Color]])</f>
        <v>Riley Wall Shelve Brown Maple</v>
      </c>
      <c r="H236" s="33" t="str">
        <f>VLOOKUP(Table1[[#This Row],[MTP SKU]],'MTP SKUs - Master Data'!A:D,3,0)</f>
        <v>Riley Wall Shelve</v>
      </c>
      <c r="I236" s="40"/>
      <c r="J236" s="36"/>
      <c r="K236" s="37" t="s">
        <v>1835</v>
      </c>
      <c r="L236" s="38" t="s">
        <v>1836</v>
      </c>
      <c r="M236" s="38" t="s">
        <v>1837</v>
      </c>
      <c r="N236" s="38" t="s">
        <v>1838</v>
      </c>
      <c r="O236" s="39" t="s">
        <v>1839</v>
      </c>
      <c r="P236" s="39" t="s">
        <v>62</v>
      </c>
      <c r="Q236" s="39" t="e">
        <v>#N/A</v>
      </c>
    </row>
    <row r="237" spans="1:17">
      <c r="A237" s="60" t="s">
        <v>1840</v>
      </c>
      <c r="B237" s="45" t="str">
        <f>IFERROR(VLOOKUP(Table1[[#This Row],[Seller SKU]],'[1]FG Snapshot (V2)'!$A:$B,2,0),"AR")</f>
        <v>NL</v>
      </c>
      <c r="C237" s="45">
        <f>IFERROR(VLOOKUP(Table1[[#This Row],[Seller SKU]],'[1]FG Snapshot (V2)'!$A:$E,5,0),"AR")</f>
        <v>257</v>
      </c>
      <c r="D237" s="40" t="s">
        <v>1182</v>
      </c>
      <c r="E237" s="64" t="str">
        <f>VLOOKUP(Table1[[#This Row],[MTP SKU]],'MTP SKUs - Master Data'!A:D,3,0)</f>
        <v>Radisso Mini Study Table</v>
      </c>
      <c r="F237" s="64" t="s">
        <v>319</v>
      </c>
      <c r="G237" s="67" t="str">
        <f>_xlfn.CONCAT(Table1[[#This Row],[MTP Name]]," ",Table1[[#This Row],[ Child Color]])</f>
        <v>Radisso Mini Study Table European Oak</v>
      </c>
      <c r="H237" s="40" t="str">
        <f>VLOOKUP(Table1[[#This Row],[MTP SKU]],'MTP SKUs - Master Data'!A:D,3,0)</f>
        <v>Radisso Mini Study Table</v>
      </c>
      <c r="I237" s="40"/>
      <c r="J237" s="36"/>
      <c r="K237" s="37" t="s">
        <v>1841</v>
      </c>
      <c r="L237" s="38" t="s">
        <v>1842</v>
      </c>
      <c r="M237" s="38"/>
      <c r="N237" s="38" t="e">
        <v>#N/A</v>
      </c>
      <c r="O237" s="39"/>
      <c r="P237" s="39" t="s">
        <v>62</v>
      </c>
      <c r="Q237" s="39"/>
    </row>
    <row r="238" spans="1:17">
      <c r="A238" s="59" t="s">
        <v>1843</v>
      </c>
      <c r="B238" s="45" t="str">
        <f>IFERROR(VLOOKUP(Table1[[#This Row],[Seller SKU]],'[1]FG Snapshot (V2)'!$A:$B,2,0),"AR")</f>
        <v>Y</v>
      </c>
      <c r="C238" s="45">
        <f>IFERROR(VLOOKUP(Table1[[#This Row],[Seller SKU]],'[1]FG Snapshot (V2)'!$A:$E,5,0),"AR")</f>
        <v>232</v>
      </c>
      <c r="D238" s="88" t="s">
        <v>1844</v>
      </c>
      <c r="E238" s="64" t="str">
        <f>VLOOKUP(Table1[[#This Row],[MTP SKU]],'MTP SKUs - Master Data'!A:D,3,0)</f>
        <v>Alaire Wall Shelve</v>
      </c>
      <c r="F238" s="64" t="s">
        <v>182</v>
      </c>
      <c r="G238" s="64" t="str">
        <f>_xlfn.CONCAT(Table1[[#This Row],[MTP Name]]," ",Table1[[#This Row],[ Child Color]])</f>
        <v>Alaire Wall Shelve Wenge</v>
      </c>
      <c r="H238" s="33" t="str">
        <f>VLOOKUP(Table1[[#This Row],[MTP SKU]],'MTP SKUs - Master Data'!A:D,3,0)</f>
        <v>Alaire Wall Shelve</v>
      </c>
      <c r="I238" s="40"/>
      <c r="J238" s="36" t="s">
        <v>1845</v>
      </c>
      <c r="K238" s="37" t="s">
        <v>1846</v>
      </c>
      <c r="L238" s="38" t="s">
        <v>1847</v>
      </c>
      <c r="M238" s="38" t="s">
        <v>1848</v>
      </c>
      <c r="N238" s="38" t="s">
        <v>1849</v>
      </c>
      <c r="O238" s="39" t="s">
        <v>1850</v>
      </c>
      <c r="P238" s="39" t="s">
        <v>62</v>
      </c>
      <c r="Q238" s="39">
        <v>34163059</v>
      </c>
    </row>
    <row r="239" spans="1:17">
      <c r="A239" s="59" t="s">
        <v>1851</v>
      </c>
      <c r="B239" s="45" t="str">
        <f>IFERROR(VLOOKUP(Table1[[#This Row],[Seller SKU]],'[1]FG Snapshot (V2)'!$A:$B,2,0),"AR")</f>
        <v>Y</v>
      </c>
      <c r="C239" s="45">
        <f>IFERROR(VLOOKUP(Table1[[#This Row],[Seller SKU]],'[1]FG Snapshot (V2)'!$A:$E,5,0),"AR")</f>
        <v>228</v>
      </c>
      <c r="D239" s="88" t="s">
        <v>1852</v>
      </c>
      <c r="E239" s="64" t="str">
        <f>VLOOKUP(Table1[[#This Row],[MTP SKU]],'MTP SKUs - Master Data'!A:D,3,0)</f>
        <v>Tayvue Coffee Table</v>
      </c>
      <c r="F239" s="64" t="s">
        <v>19</v>
      </c>
      <c r="G239" s="64" t="str">
        <f>_xlfn.CONCAT(Table1[[#This Row],[MTP Name]]," ",Table1[[#This Row],[ Child Color]])</f>
        <v>Tayvue Coffee Table Brown Maple</v>
      </c>
      <c r="H239" s="33" t="str">
        <f>VLOOKUP(Table1[[#This Row],[MTP SKU]],'MTP SKUs - Master Data'!A:D,3,0)</f>
        <v>Tayvue Coffee Table</v>
      </c>
      <c r="I239" s="40"/>
      <c r="J239" s="36" t="e">
        <v>#N/A</v>
      </c>
      <c r="K239" s="37" t="s">
        <v>1853</v>
      </c>
      <c r="L239" s="38" t="s">
        <v>1854</v>
      </c>
      <c r="M239" s="38" t="s">
        <v>1855</v>
      </c>
      <c r="N239" s="38" t="s">
        <v>1856</v>
      </c>
      <c r="O239" s="39" t="s">
        <v>1857</v>
      </c>
      <c r="P239" s="39" t="s">
        <v>62</v>
      </c>
      <c r="Q239" s="39">
        <v>35520704</v>
      </c>
    </row>
    <row r="240" spans="1:17">
      <c r="A240" s="59" t="s">
        <v>1858</v>
      </c>
      <c r="B240" s="45" t="str">
        <f>IFERROR(VLOOKUP(Table1[[#This Row],[Seller SKU]],'[1]FG Snapshot (V2)'!$A:$B,2,0),"AR")</f>
        <v>Y</v>
      </c>
      <c r="C240" s="45">
        <f>IFERROR(VLOOKUP(Table1[[#This Row],[Seller SKU]],'[1]FG Snapshot (V2)'!$A:$E,5,0),"AR")</f>
        <v>266</v>
      </c>
      <c r="D240" s="88" t="s">
        <v>1859</v>
      </c>
      <c r="E240" s="64" t="str">
        <f>VLOOKUP(Table1[[#This Row],[MTP SKU]],'MTP SKUs - Master Data'!A:D,3,0)</f>
        <v>Midase Rectangular Pouff Ottoman</v>
      </c>
      <c r="F240" s="64" t="s">
        <v>1860</v>
      </c>
      <c r="G240" s="64" t="str">
        <f>_xlfn.CONCAT(Table1[[#This Row],[MTP Name]]," ",Table1[[#This Row],[ Child Color]])</f>
        <v>Midase Rectangular Pouff Ottoman Grey</v>
      </c>
      <c r="H240" s="33" t="str">
        <f>VLOOKUP(Table1[[#This Row],[MTP SKU]],'MTP SKUs - Master Data'!A:D,3,0)</f>
        <v>Midase Rectangular Pouff Ottoman</v>
      </c>
      <c r="I240" s="40"/>
      <c r="J240" s="36" t="e">
        <v>#N/A</v>
      </c>
      <c r="K240" s="37" t="s">
        <v>1861</v>
      </c>
      <c r="L240" s="38" t="s">
        <v>1862</v>
      </c>
      <c r="M240" s="38" t="s">
        <v>1863</v>
      </c>
      <c r="N240" s="38" t="s">
        <v>1864</v>
      </c>
      <c r="O240" s="39" t="s">
        <v>1865</v>
      </c>
      <c r="P240" s="39" t="s">
        <v>62</v>
      </c>
      <c r="Q240" s="39" t="e">
        <v>#N/A</v>
      </c>
    </row>
    <row r="241" spans="1:17">
      <c r="A241" s="59" t="s">
        <v>1866</v>
      </c>
      <c r="B241" s="45" t="str">
        <f>IFERROR(VLOOKUP(Table1[[#This Row],[Seller SKU]],'[1]FG Snapshot (V2)'!$A:$B,2,0),"AR")</f>
        <v>Y</v>
      </c>
      <c r="C241" s="45">
        <f>IFERROR(VLOOKUP(Table1[[#This Row],[Seller SKU]],'[1]FG Snapshot (V2)'!$A:$E,5,0),"AR")</f>
        <v>252</v>
      </c>
      <c r="D241" s="88" t="s">
        <v>1867</v>
      </c>
      <c r="E241" s="64" t="str">
        <f>VLOOKUP(Table1[[#This Row],[MTP SKU]],'MTP SKUs - Master Data'!A:D,3,0)</f>
        <v>Norel  Monitor Stand Mini</v>
      </c>
      <c r="F241" s="64" t="s">
        <v>182</v>
      </c>
      <c r="G241" s="64" t="str">
        <f>_xlfn.CONCAT(Table1[[#This Row],[MTP Name]]," ",Table1[[#This Row],[ Child Color]])</f>
        <v>Norel  Monitor Stand Mini Wenge</v>
      </c>
      <c r="H241" s="33" t="str">
        <f>VLOOKUP(Table1[[#This Row],[MTP SKU]],'MTP SKUs - Master Data'!A:D,3,0)</f>
        <v>Norel  Monitor Stand Mini</v>
      </c>
      <c r="I241" s="40"/>
      <c r="J241" s="36" t="s">
        <v>1868</v>
      </c>
      <c r="K241" s="37" t="s">
        <v>1869</v>
      </c>
      <c r="L241" s="38" t="s">
        <v>1870</v>
      </c>
      <c r="M241" s="38" t="s">
        <v>1871</v>
      </c>
      <c r="N241" s="38" t="s">
        <v>1872</v>
      </c>
      <c r="O241" s="39" t="s">
        <v>1873</v>
      </c>
      <c r="P241" s="39" t="s">
        <v>62</v>
      </c>
      <c r="Q241" s="39" t="e">
        <v>#N/A</v>
      </c>
    </row>
    <row r="242" spans="1:17">
      <c r="A242" s="59" t="s">
        <v>1874</v>
      </c>
      <c r="B242" s="45" t="str">
        <f>IFERROR(VLOOKUP(Table1[[#This Row],[Seller SKU]],'[1]FG Snapshot (V2)'!$A:$B,2,0),"AR")</f>
        <v>Y</v>
      </c>
      <c r="C242" s="45">
        <f>IFERROR(VLOOKUP(Table1[[#This Row],[Seller SKU]],'[1]FG Snapshot (V2)'!$A:$E,5,0),"AR")</f>
        <v>267</v>
      </c>
      <c r="D242" s="88" t="s">
        <v>1875</v>
      </c>
      <c r="E242" s="64" t="str">
        <f>VLOOKUP(Table1[[#This Row],[MTP SKU]],'MTP SKUs - Master Data'!A:D,3,0)</f>
        <v>Ramnet Key Holder</v>
      </c>
      <c r="F242" s="64" t="s">
        <v>19</v>
      </c>
      <c r="G242" s="64" t="str">
        <f>_xlfn.CONCAT(Table1[[#This Row],[MTP Name]]," ",Table1[[#This Row],[ Child Color]])</f>
        <v>Ramnet Key Holder Brown Maple</v>
      </c>
      <c r="H242" s="40" t="str">
        <f>VLOOKUP(Table1[[#This Row],[MTP SKU]],'MTP SKUs - Master Data'!A:D,3,0)</f>
        <v>Ramnet Key Holder</v>
      </c>
      <c r="I242" s="40"/>
      <c r="J242" s="36" t="e">
        <v>#N/A</v>
      </c>
      <c r="K242" s="37" t="s">
        <v>1876</v>
      </c>
      <c r="L242" s="38" t="s">
        <v>1877</v>
      </c>
      <c r="M242" s="38" t="s">
        <v>1878</v>
      </c>
      <c r="N242" s="38" t="e">
        <v>#N/A</v>
      </c>
      <c r="O242" s="39" t="s">
        <v>1879</v>
      </c>
      <c r="P242" s="39" t="s">
        <v>62</v>
      </c>
      <c r="Q242" s="39">
        <v>34165359</v>
      </c>
    </row>
    <row r="243" spans="1:17">
      <c r="A243" s="59" t="s">
        <v>1880</v>
      </c>
      <c r="B243" s="45" t="str">
        <f>IFERROR(VLOOKUP(Table1[[#This Row],[Seller SKU]],'[1]FG Snapshot (V2)'!$A:$B,2,0),"AR")</f>
        <v>YH</v>
      </c>
      <c r="C243" s="45">
        <f>IFERROR(VLOOKUP(Table1[[#This Row],[Seller SKU]],'[1]FG Snapshot (V2)'!$A:$E,5,0),"AR")</f>
        <v>269</v>
      </c>
      <c r="D243" s="40" t="s">
        <v>1881</v>
      </c>
      <c r="E243" s="64" t="str">
        <f>VLOOKUP(Table1[[#This Row],[MTP SKU]],'MTP SKUs - Master Data'!A:D,3,0)</f>
        <v>Torene 18 Glass Key Holder</v>
      </c>
      <c r="F243" s="64" t="s">
        <v>56</v>
      </c>
      <c r="G243" s="64" t="str">
        <f>_xlfn.CONCAT(Table1[[#This Row],[MTP Name]]," ",Table1[[#This Row],[ Child Color]])</f>
        <v>Torene 18 Glass Key Holder White</v>
      </c>
      <c r="H243" s="40" t="str">
        <f>VLOOKUP(Table1[[#This Row],[MTP SKU]],'MTP SKUs - Master Data'!A:D,3,0)</f>
        <v>Torene 18 Glass Key Holder</v>
      </c>
      <c r="I243" s="40"/>
      <c r="J243" s="36" t="e">
        <v>#N/A</v>
      </c>
      <c r="K243" s="37" t="s">
        <v>1882</v>
      </c>
      <c r="L243" s="38" t="s">
        <v>1883</v>
      </c>
      <c r="M243" s="38" t="s">
        <v>1884</v>
      </c>
      <c r="N243" s="38" t="e">
        <v>#N/A</v>
      </c>
      <c r="O243" s="39" t="s">
        <v>1885</v>
      </c>
      <c r="P243" s="39" t="s">
        <v>62</v>
      </c>
      <c r="Q243" s="39">
        <v>34165361</v>
      </c>
    </row>
    <row r="244" spans="1:17">
      <c r="A244" s="59" t="s">
        <v>1886</v>
      </c>
      <c r="B244" s="45" t="str">
        <f>IFERROR(VLOOKUP(Table1[[#This Row],[Seller SKU]],'[1]FG Snapshot (V2)'!$A:$B,2,0),"AR")</f>
        <v>Y</v>
      </c>
      <c r="C244" s="45">
        <f>IFERROR(VLOOKUP(Table1[[#This Row],[Seller SKU]],'[1]FG Snapshot (V2)'!$A:$E,5,0),"AR")</f>
        <v>222</v>
      </c>
      <c r="D244" s="88" t="s">
        <v>1887</v>
      </c>
      <c r="E244" s="64" t="str">
        <f>VLOOKUP(Table1[[#This Row],[MTP SKU]],'MTP SKUs - Master Data'!A:D,3,0)</f>
        <v>Oliver Bed Side Table</v>
      </c>
      <c r="F244" s="64" t="s">
        <v>19</v>
      </c>
      <c r="G244" s="64" t="str">
        <f>_xlfn.CONCAT(Table1[[#This Row],[MTP Name]]," ",Table1[[#This Row],[ Child Color]])</f>
        <v>Oliver Bed Side Table Brown Maple</v>
      </c>
      <c r="H244" s="33" t="str">
        <f>VLOOKUP(Table1[[#This Row],[MTP SKU]],'MTP SKUs - Master Data'!A:D,3,0)</f>
        <v>Oliver Bed Side Table</v>
      </c>
      <c r="I244" s="40"/>
      <c r="J244" s="36" t="s">
        <v>1888</v>
      </c>
      <c r="K244" s="37" t="s">
        <v>1889</v>
      </c>
      <c r="L244" s="38" t="s">
        <v>1890</v>
      </c>
      <c r="M244" s="38" t="s">
        <v>1891</v>
      </c>
      <c r="N244" s="38" t="s">
        <v>1892</v>
      </c>
      <c r="O244" s="39" t="s">
        <v>1893</v>
      </c>
      <c r="P244" s="39" t="s">
        <v>62</v>
      </c>
      <c r="Q244" s="39">
        <v>34399070</v>
      </c>
    </row>
    <row r="245" spans="1:17">
      <c r="A245" s="59" t="s">
        <v>1894</v>
      </c>
      <c r="B245" s="45" t="str">
        <f>IFERROR(VLOOKUP(Table1[[#This Row],[Seller SKU]],'[1]FG Snapshot (V2)'!$A:$B,2,0),"AR")</f>
        <v>Y</v>
      </c>
      <c r="C245" s="45">
        <f>IFERROR(VLOOKUP(Table1[[#This Row],[Seller SKU]],'[1]FG Snapshot (V2)'!$A:$E,5,0),"AR")</f>
        <v>243</v>
      </c>
      <c r="D245" s="88" t="s">
        <v>1895</v>
      </c>
      <c r="E245" s="64" t="str">
        <f>VLOOKUP(Table1[[#This Row],[MTP SKU]],'MTP SKUs - Master Data'!A:D,3,0)</f>
        <v>Adaly Dressing Table</v>
      </c>
      <c r="F245" s="64" t="s">
        <v>182</v>
      </c>
      <c r="G245" s="64" t="str">
        <f>_xlfn.CONCAT(Table1[[#This Row],[MTP Name]]," ",Table1[[#This Row],[ Child Color]])</f>
        <v>Adaly Dressing Table Wenge</v>
      </c>
      <c r="H245" s="33" t="str">
        <f>VLOOKUP(Table1[[#This Row],[MTP SKU]],'MTP SKUs - Master Data'!A:D,3,0)</f>
        <v>Adaly Dressing Table</v>
      </c>
      <c r="I245" s="40"/>
      <c r="J245" s="36" t="s">
        <v>1896</v>
      </c>
      <c r="K245" s="37" t="s">
        <v>1897</v>
      </c>
      <c r="L245" s="38" t="s">
        <v>1898</v>
      </c>
      <c r="M245" s="38" t="s">
        <v>1899</v>
      </c>
      <c r="N245" s="38" t="s">
        <v>1900</v>
      </c>
      <c r="O245" s="39" t="s">
        <v>1901</v>
      </c>
      <c r="P245" s="39" t="s">
        <v>62</v>
      </c>
      <c r="Q245" s="39" t="e">
        <v>#N/A</v>
      </c>
    </row>
    <row r="246" spans="1:17">
      <c r="A246" s="59" t="s">
        <v>1902</v>
      </c>
      <c r="B246" s="45" t="str">
        <f>IFERROR(VLOOKUP(Table1[[#This Row],[Seller SKU]],'[1]FG Snapshot (V2)'!$A:$B,2,0),"AR")</f>
        <v>RL</v>
      </c>
      <c r="C246" s="45">
        <f>IFERROR(VLOOKUP(Table1[[#This Row],[Seller SKU]],'[1]FG Snapshot (V2)'!$A:$E,5,0),"AR")</f>
        <v>270</v>
      </c>
      <c r="D246" s="88" t="s">
        <v>1903</v>
      </c>
      <c r="E246" s="64" t="str">
        <f>VLOOKUP(Table1[[#This Row],[MTP SKU]],'MTP SKUs - Master Data'!A:D,3,0)</f>
        <v>Edell Key Holder</v>
      </c>
      <c r="F246" s="64" t="s">
        <v>19</v>
      </c>
      <c r="G246" s="64" t="str">
        <f>_xlfn.CONCAT(Table1[[#This Row],[MTP Name]]," ",Table1[[#This Row],[ Child Color]])</f>
        <v>Edell Key Holder Brown Maple</v>
      </c>
      <c r="H246" s="40" t="str">
        <f>VLOOKUP(Table1[[#This Row],[MTP SKU]],'MTP SKUs - Master Data'!A:D,3,0)</f>
        <v>Edell Key Holder</v>
      </c>
      <c r="I246" s="40"/>
      <c r="J246" s="36" t="e">
        <v>#N/A</v>
      </c>
      <c r="K246" s="37" t="s">
        <v>1904</v>
      </c>
      <c r="L246" s="38" t="s">
        <v>1905</v>
      </c>
      <c r="M246" s="38" t="s">
        <v>1906</v>
      </c>
      <c r="N246" s="38" t="e">
        <v>#N/A</v>
      </c>
      <c r="O246" s="39" t="s">
        <v>1907</v>
      </c>
      <c r="P246" s="39" t="s">
        <v>62</v>
      </c>
      <c r="Q246" s="39">
        <v>34165365</v>
      </c>
    </row>
    <row r="247" spans="1:17">
      <c r="A247" s="60" t="s">
        <v>1908</v>
      </c>
      <c r="B247" s="45" t="str">
        <f>IFERROR(VLOOKUP(Table1[[#This Row],[Seller SKU]],'[1]FG Snapshot (V2)'!$A:$B,2,0),"AR")</f>
        <v>NL</v>
      </c>
      <c r="C247" s="45">
        <f>IFERROR(VLOOKUP(Table1[[#This Row],[Seller SKU]],'[1]FG Snapshot (V2)'!$A:$E,5,0),"AR")</f>
        <v>254</v>
      </c>
      <c r="D247" s="40" t="s">
        <v>1909</v>
      </c>
      <c r="E247" s="64" t="str">
        <f>VLOOKUP(Table1[[#This Row],[MTP SKU]],'MTP SKUs - Master Data'!A:D,3,0)</f>
        <v>Dolvin Mini Spice Rack</v>
      </c>
      <c r="F247" s="64" t="s">
        <v>19</v>
      </c>
      <c r="G247" s="67" t="str">
        <f>_xlfn.CONCAT(Table1[[#This Row],[MTP Name]]," ",Table1[[#This Row],[ Child Color]])</f>
        <v>Dolvin Mini Spice Rack Brown Maple</v>
      </c>
      <c r="H247" s="40" t="str">
        <f>VLOOKUP(Table1[[#This Row],[MTP SKU]],'MTP SKUs - Master Data'!A:D,3,0)</f>
        <v>Dolvin Mini Spice Rack</v>
      </c>
      <c r="I247" s="40"/>
      <c r="J247" s="36"/>
      <c r="K247" s="37" t="s">
        <v>1910</v>
      </c>
      <c r="L247" s="38" t="s">
        <v>1911</v>
      </c>
      <c r="M247" s="38"/>
      <c r="N247" s="38" t="e">
        <v>#N/A</v>
      </c>
      <c r="O247" s="39" t="e">
        <v>#N/A</v>
      </c>
      <c r="P247" s="39" t="s">
        <v>62</v>
      </c>
      <c r="Q247" s="39" t="e">
        <v>#N/A</v>
      </c>
    </row>
    <row r="248" spans="1:17">
      <c r="A248" s="59" t="s">
        <v>1912</v>
      </c>
      <c r="B248" s="45" t="str">
        <f>IFERROR(VLOOKUP(Table1[[#This Row],[Seller SKU]],'[1]FG Snapshot (V2)'!$A:$B,2,0),"AR")</f>
        <v>Y</v>
      </c>
      <c r="C248" s="45">
        <f>IFERROR(VLOOKUP(Table1[[#This Row],[Seller SKU]],'[1]FG Snapshot (V2)'!$A:$E,5,0),"AR")</f>
        <v>236</v>
      </c>
      <c r="D248" s="88" t="s">
        <v>1913</v>
      </c>
      <c r="E248" s="64" t="str">
        <f>VLOOKUP(Table1[[#This Row],[MTP SKU]],'MTP SKUs - Master Data'!A:D,3,0)</f>
        <v>Ender End Table</v>
      </c>
      <c r="F248" s="64" t="s">
        <v>46</v>
      </c>
      <c r="G248" s="64" t="str">
        <f>_xlfn.CONCAT(Table1[[#This Row],[MTP Name]]," ",Table1[[#This Row],[ Child Color]])</f>
        <v>Ender End Table Wenge &amp; White</v>
      </c>
      <c r="H248" s="33" t="str">
        <f>VLOOKUP(Table1[[#This Row],[MTP SKU]],'MTP SKUs - Master Data'!A:D,3,0)</f>
        <v>Ender End Table</v>
      </c>
      <c r="I248" s="40"/>
      <c r="J248" s="36" t="s">
        <v>1914</v>
      </c>
      <c r="K248" s="37" t="s">
        <v>1915</v>
      </c>
      <c r="L248" s="38" t="s">
        <v>1916</v>
      </c>
      <c r="M248" s="38" t="s">
        <v>1917</v>
      </c>
      <c r="N248" s="38" t="s">
        <v>1918</v>
      </c>
      <c r="O248" s="39" t="s">
        <v>1919</v>
      </c>
      <c r="P248" s="39" t="s">
        <v>1920</v>
      </c>
      <c r="Q248" s="39">
        <v>35520706</v>
      </c>
    </row>
    <row r="249" spans="1:17">
      <c r="A249" s="59" t="s">
        <v>1921</v>
      </c>
      <c r="B249" s="45" t="str">
        <f>IFERROR(VLOOKUP(Table1[[#This Row],[Seller SKU]],'[1]FG Snapshot (V2)'!$A:$B,2,0),"AR")</f>
        <v>Y</v>
      </c>
      <c r="C249" s="45">
        <f>IFERROR(VLOOKUP(Table1[[#This Row],[Seller SKU]],'[1]FG Snapshot (V2)'!$A:$E,5,0),"AR")</f>
        <v>263</v>
      </c>
      <c r="D249" s="88" t="s">
        <v>1922</v>
      </c>
      <c r="E249" s="64" t="str">
        <f>VLOOKUP(Table1[[#This Row],[MTP SKU]],'MTP SKUs - Master Data'!A:D,3,0)</f>
        <v>Grubbin  Wall Shelve</v>
      </c>
      <c r="F249" s="64" t="s">
        <v>182</v>
      </c>
      <c r="G249" s="64" t="str">
        <f>_xlfn.CONCAT(Table1[[#This Row],[MTP Name]]," ",Table1[[#This Row],[ Child Color]])</f>
        <v>Grubbin  Wall Shelve Wenge</v>
      </c>
      <c r="H249" s="33" t="str">
        <f>VLOOKUP(Table1[[#This Row],[MTP SKU]],'MTP SKUs - Master Data'!A:D,3,0)</f>
        <v>Grubbin  Wall Shelve</v>
      </c>
      <c r="I249" s="40"/>
      <c r="J249" s="36" t="s">
        <v>1923</v>
      </c>
      <c r="K249" s="37" t="s">
        <v>1924</v>
      </c>
      <c r="L249" s="38" t="s">
        <v>1925</v>
      </c>
      <c r="M249" s="38" t="s">
        <v>1926</v>
      </c>
      <c r="N249" s="38" t="s">
        <v>1927</v>
      </c>
      <c r="O249" s="39" t="s">
        <v>1928</v>
      </c>
      <c r="P249" s="39" t="s">
        <v>62</v>
      </c>
      <c r="Q249" s="39">
        <v>29525082</v>
      </c>
    </row>
    <row r="250" spans="1:17">
      <c r="A250" s="59" t="s">
        <v>1929</v>
      </c>
      <c r="B250" s="45" t="str">
        <f>IFERROR(VLOOKUP(Table1[[#This Row],[Seller SKU]],'[1]FG Snapshot (V2)'!$A:$B,2,0),"AR")</f>
        <v>RL</v>
      </c>
      <c r="C250" s="45">
        <f>IFERROR(VLOOKUP(Table1[[#This Row],[Seller SKU]],'[1]FG Snapshot (V2)'!$A:$E,5,0),"AR")</f>
        <v>273</v>
      </c>
      <c r="D250" s="88" t="s">
        <v>1930</v>
      </c>
      <c r="E250" s="64" t="str">
        <f>VLOOKUP(Table1[[#This Row],[MTP SKU]],'MTP SKUs - Master Data'!A:D,3,0)</f>
        <v>Walore Key Holder</v>
      </c>
      <c r="F250" s="64" t="s">
        <v>19</v>
      </c>
      <c r="G250" s="64" t="str">
        <f>_xlfn.CONCAT(Table1[[#This Row],[MTP Name]]," ",Table1[[#This Row],[ Child Color]])</f>
        <v>Walore Key Holder Brown Maple</v>
      </c>
      <c r="H250" s="40" t="str">
        <f>VLOOKUP(Table1[[#This Row],[MTP SKU]],'MTP SKUs - Master Data'!A:D,3,0)</f>
        <v>Walore Key Holder</v>
      </c>
      <c r="I250" s="40"/>
      <c r="J250" s="36" t="s">
        <v>1931</v>
      </c>
      <c r="K250" s="37" t="s">
        <v>1932</v>
      </c>
      <c r="L250" s="38" t="s">
        <v>1933</v>
      </c>
      <c r="M250" s="38" t="s">
        <v>1934</v>
      </c>
      <c r="N250" s="38" t="e">
        <v>#N/A</v>
      </c>
      <c r="O250" s="39" t="s">
        <v>1935</v>
      </c>
      <c r="P250" s="39" t="s">
        <v>62</v>
      </c>
      <c r="Q250" s="39">
        <v>34165364</v>
      </c>
    </row>
    <row r="251" spans="1:17">
      <c r="A251" s="60" t="s">
        <v>1936</v>
      </c>
      <c r="B251" s="45" t="str">
        <f>IFERROR(VLOOKUP(Table1[[#This Row],[Seller SKU]],'[1]FG Snapshot (V2)'!$A:$B,2,0),"AR")</f>
        <v>NL</v>
      </c>
      <c r="C251" s="45">
        <f>IFERROR(VLOOKUP(Table1[[#This Row],[Seller SKU]],'[1]FG Snapshot (V2)'!$A:$E,5,0),"AR")</f>
        <v>271</v>
      </c>
      <c r="D251" s="89" t="s">
        <v>1937</v>
      </c>
      <c r="E251" s="64" t="str">
        <f>VLOOKUP(Table1[[#This Row],[MTP SKU]],'MTP SKUs - Master Data'!A:D,3,0)</f>
        <v>Greta Metal Spice Rack</v>
      </c>
      <c r="F251" s="64" t="s">
        <v>1938</v>
      </c>
      <c r="G251" s="67" t="str">
        <f>_xlfn.CONCAT(Table1[[#This Row],[MTP Name]]," ",Table1[[#This Row],[ Child Color]])</f>
        <v>Greta Metal Spice Rack Black</v>
      </c>
      <c r="H251" s="40" t="str">
        <f>VLOOKUP(Table1[[#This Row],[MTP SKU]],'MTP SKUs - Master Data'!A:D,3,0)</f>
        <v>Greta Metal Spice Rack</v>
      </c>
      <c r="I251" s="40"/>
      <c r="J251" s="36"/>
      <c r="K251" s="37" t="s">
        <v>1939</v>
      </c>
      <c r="L251" s="38" t="s">
        <v>1940</v>
      </c>
      <c r="M251" s="38" t="s">
        <v>1941</v>
      </c>
      <c r="N251" s="38" t="e">
        <v>#N/A</v>
      </c>
      <c r="O251" s="39" t="e">
        <v>#N/A</v>
      </c>
      <c r="P251" s="39" t="s">
        <v>62</v>
      </c>
      <c r="Q251" s="39" t="e">
        <v>#N/A</v>
      </c>
    </row>
    <row r="252" spans="1:17">
      <c r="A252" s="59" t="s">
        <v>1942</v>
      </c>
      <c r="B252" s="45" t="str">
        <f>IFERROR(VLOOKUP(Table1[[#This Row],[Seller SKU]],'[1]FG Snapshot (V2)'!$A:$B,2,0),"AR")</f>
        <v>y</v>
      </c>
      <c r="C252" s="45">
        <f>IFERROR(VLOOKUP(Table1[[#This Row],[Seller SKU]],'[1]FG Snapshot (V2)'!$A:$E,5,0),"AR")</f>
        <v>275</v>
      </c>
      <c r="D252" s="88" t="s">
        <v>1943</v>
      </c>
      <c r="E252" s="64" t="str">
        <f>VLOOKUP(Table1[[#This Row],[MTP SKU]],'MTP SKUs - Master Data'!A:D,3,0)</f>
        <v xml:space="preserve">Maltein King With storage Bed </v>
      </c>
      <c r="F252" s="64" t="s">
        <v>97</v>
      </c>
      <c r="G252" s="64" t="str">
        <f>_xlfn.CONCAT(Table1[[#This Row],[MTP Name]]," ",Table1[[#This Row],[ Child Color]])</f>
        <v>Maltein King With storage Bed  Brown Maple &amp; Beige</v>
      </c>
      <c r="H252" s="33" t="str">
        <f>VLOOKUP(Table1[[#This Row],[MTP SKU]],'MTP SKUs - Master Data'!A:D,3,0)</f>
        <v xml:space="preserve">Maltein King With storage Bed </v>
      </c>
      <c r="I252" s="40"/>
      <c r="J252" s="36" t="e">
        <v>#N/A</v>
      </c>
      <c r="K252" s="37" t="s">
        <v>1944</v>
      </c>
      <c r="L252" s="38" t="s">
        <v>1945</v>
      </c>
      <c r="M252" s="38" t="s">
        <v>1946</v>
      </c>
      <c r="N252" s="38" t="s">
        <v>1947</v>
      </c>
      <c r="O252" s="39" t="s">
        <v>1948</v>
      </c>
      <c r="P252" s="39" t="s">
        <v>62</v>
      </c>
      <c r="Q252" s="39" t="e">
        <v>#N/A</v>
      </c>
    </row>
    <row r="253" spans="1:17">
      <c r="A253" s="59" t="s">
        <v>1949</v>
      </c>
      <c r="B253" s="45" t="str">
        <f>IFERROR(VLOOKUP(Table1[[#This Row],[Seller SKU]],'[1]FG Snapshot (V2)'!$A:$B,2,0),"AR")</f>
        <v>Y</v>
      </c>
      <c r="C253" s="45">
        <f>IFERROR(VLOOKUP(Table1[[#This Row],[Seller SKU]],'[1]FG Snapshot (V2)'!$A:$E,5,0),"AR")</f>
        <v>183</v>
      </c>
      <c r="D253" s="88" t="s">
        <v>1950</v>
      </c>
      <c r="E253" s="64" t="str">
        <f>VLOOKUP(Table1[[#This Row],[MTP SKU]],'MTP SKUs - Master Data'!A:D,3,0)</f>
        <v xml:space="preserve">Pollo King with Storage Bed </v>
      </c>
      <c r="F253" s="64" t="s">
        <v>182</v>
      </c>
      <c r="G253" s="64" t="str">
        <f>_xlfn.CONCAT(Table1[[#This Row],[MTP Name]]," ",Table1[[#This Row],[ Child Color]])</f>
        <v>Pollo King with Storage Bed  Wenge</v>
      </c>
      <c r="H253" s="33" t="str">
        <f>VLOOKUP(Table1[[#This Row],[MTP SKU]],'MTP SKUs - Master Data'!A:D,3,0)</f>
        <v xml:space="preserve">Pollo King with Storage Bed </v>
      </c>
      <c r="I253" s="40"/>
      <c r="J253" s="36" t="e">
        <v>#N/A</v>
      </c>
      <c r="K253" s="37" t="s">
        <v>1951</v>
      </c>
      <c r="L253" s="38" t="s">
        <v>1952</v>
      </c>
      <c r="M253" s="38" t="s">
        <v>1953</v>
      </c>
      <c r="N253" s="38" t="s">
        <v>1954</v>
      </c>
      <c r="O253" s="39" t="s">
        <v>1955</v>
      </c>
      <c r="P253" s="39" t="s">
        <v>1956</v>
      </c>
      <c r="Q253" s="39" t="e">
        <v>#N/A</v>
      </c>
    </row>
    <row r="254" spans="1:17">
      <c r="A254" s="59" t="s">
        <v>1957</v>
      </c>
      <c r="B254" s="45" t="str">
        <f>IFERROR(VLOOKUP(Table1[[#This Row],[Seller SKU]],'[1]FG Snapshot (V2)'!$A:$B,2,0),"AR")</f>
        <v>DI</v>
      </c>
      <c r="C254" s="45">
        <f>IFERROR(VLOOKUP(Table1[[#This Row],[Seller SKU]],'[1]FG Snapshot (V2)'!$A:$E,5,0),"AR")</f>
        <v>275</v>
      </c>
      <c r="D254" s="88" t="s">
        <v>1950</v>
      </c>
      <c r="E254" s="64" t="str">
        <f>VLOOKUP(Table1[[#This Row],[MTP SKU]],'MTP SKUs - Master Data'!A:D,3,0)</f>
        <v xml:space="preserve">Pollo King with Storage Bed </v>
      </c>
      <c r="F254" s="64" t="s">
        <v>97</v>
      </c>
      <c r="G254" s="64" t="str">
        <f>_xlfn.CONCAT(Table1[[#This Row],[MTP Name]]," ",Table1[[#This Row],[ Child Color]])</f>
        <v>Pollo King with Storage Bed  Brown Maple &amp; Beige</v>
      </c>
      <c r="H254" s="33" t="str">
        <f>VLOOKUP(Table1[[#This Row],[MTP SKU]],'MTP SKUs - Master Data'!A:D,3,0)</f>
        <v xml:space="preserve">Pollo King with Storage Bed </v>
      </c>
      <c r="I254" s="40"/>
      <c r="J254" s="36" t="e">
        <v>#N/A</v>
      </c>
      <c r="K254" s="37" t="s">
        <v>1958</v>
      </c>
      <c r="L254" s="38" t="s">
        <v>1959</v>
      </c>
      <c r="M254" s="38" t="s">
        <v>1960</v>
      </c>
      <c r="N254" s="38" t="s">
        <v>1961</v>
      </c>
      <c r="O254" s="39" t="e">
        <v>#N/A</v>
      </c>
      <c r="P254" s="39" t="s">
        <v>62</v>
      </c>
      <c r="Q254" s="39" t="e">
        <v>#N/A</v>
      </c>
    </row>
    <row r="255" spans="1:17">
      <c r="A255" s="59" t="s">
        <v>1962</v>
      </c>
      <c r="B255" s="45" t="str">
        <f>IFERROR(VLOOKUP(Table1[[#This Row],[Seller SKU]],'[1]FG Snapshot (V2)'!$A:$B,2,0),"AR")</f>
        <v>Y</v>
      </c>
      <c r="C255" s="45">
        <f>IFERROR(VLOOKUP(Table1[[#This Row],[Seller SKU]],'[1]FG Snapshot (V2)'!$A:$E,5,0),"AR")</f>
        <v>234</v>
      </c>
      <c r="D255" s="88" t="s">
        <v>1963</v>
      </c>
      <c r="E255" s="64" t="str">
        <f>VLOOKUP(Table1[[#This Row],[MTP SKU]],'MTP SKUs - Master Data'!A:D,3,0)</f>
        <v xml:space="preserve">Pollo Single Bed </v>
      </c>
      <c r="F255" s="64" t="s">
        <v>46</v>
      </c>
      <c r="G255" s="64" t="str">
        <f>_xlfn.CONCAT(Table1[[#This Row],[MTP Name]]," ",Table1[[#This Row],[ Child Color]])</f>
        <v>Pollo Single Bed  Wenge &amp; White</v>
      </c>
      <c r="H255" s="33" t="str">
        <f>VLOOKUP(Table1[[#This Row],[MTP SKU]],'MTP SKUs - Master Data'!A:D,3,0)</f>
        <v xml:space="preserve">Pollo Single Bed </v>
      </c>
      <c r="I255" s="40"/>
      <c r="J255" s="36" t="e">
        <v>#N/A</v>
      </c>
      <c r="K255" s="37" t="s">
        <v>1964</v>
      </c>
      <c r="L255" s="38" t="s">
        <v>1965</v>
      </c>
      <c r="M255" s="38" t="s">
        <v>1966</v>
      </c>
      <c r="N255" s="38" t="s">
        <v>1967</v>
      </c>
      <c r="O255" s="39" t="s">
        <v>1968</v>
      </c>
      <c r="P255" s="39" t="s">
        <v>62</v>
      </c>
      <c r="Q255" s="39" t="e">
        <v>#N/A</v>
      </c>
    </row>
    <row r="256" spans="1:17">
      <c r="A256" s="59" t="s">
        <v>1969</v>
      </c>
      <c r="B256" s="45" t="str">
        <f>IFERROR(VLOOKUP(Table1[[#This Row],[Seller SKU]],'[1]FG Snapshot (V2)'!$A:$B,2,0),"AR")</f>
        <v>Y</v>
      </c>
      <c r="C256" s="45">
        <f>IFERROR(VLOOKUP(Table1[[#This Row],[Seller SKU]],'[1]FG Snapshot (V2)'!$A:$E,5,0),"AR")</f>
        <v>143</v>
      </c>
      <c r="D256" s="88" t="s">
        <v>1970</v>
      </c>
      <c r="E256" s="64" t="str">
        <f>VLOOKUP(Table1[[#This Row],[MTP SKU]],'MTP SKUs - Master Data'!A:D,3,0)</f>
        <v xml:space="preserve">Roverb Diwan 36" Bed </v>
      </c>
      <c r="F256" s="64" t="s">
        <v>19</v>
      </c>
      <c r="G256" s="64" t="str">
        <f>_xlfn.CONCAT(Table1[[#This Row],[MTP Name]]," ",Table1[[#This Row],[ Child Color]])</f>
        <v>Roverb Diwan 36" Bed  Brown Maple</v>
      </c>
      <c r="H256" s="33" t="str">
        <f>VLOOKUP(Table1[[#This Row],[MTP SKU]],'MTP SKUs - Master Data'!A:D,3,0)</f>
        <v xml:space="preserve">Roverb Diwan 36" Bed </v>
      </c>
      <c r="I256" s="40"/>
      <c r="J256" s="36" t="e">
        <v>#N/A</v>
      </c>
      <c r="K256" s="37" t="s">
        <v>1971</v>
      </c>
      <c r="L256" s="38" t="s">
        <v>1972</v>
      </c>
      <c r="M256" s="38" t="s">
        <v>1973</v>
      </c>
      <c r="N256" s="38" t="s">
        <v>1974</v>
      </c>
      <c r="O256" s="39" t="s">
        <v>1975</v>
      </c>
      <c r="P256" s="39" t="s">
        <v>1976</v>
      </c>
      <c r="Q256" s="39" t="e">
        <v>#N/A</v>
      </c>
    </row>
    <row r="257" spans="1:17">
      <c r="A257" s="59" t="s">
        <v>1977</v>
      </c>
      <c r="B257" s="45" t="str">
        <f>IFERROR(VLOOKUP(Table1[[#This Row],[Seller SKU]],'[1]FG Snapshot (V2)'!$A:$B,2,0),"AR")</f>
        <v>Y</v>
      </c>
      <c r="C257" s="45">
        <f>IFERROR(VLOOKUP(Table1[[#This Row],[Seller SKU]],'[1]FG Snapshot (V2)'!$A:$E,5,0),"AR")</f>
        <v>180</v>
      </c>
      <c r="D257" s="88" t="s">
        <v>1978</v>
      </c>
      <c r="E257" s="64" t="str">
        <f>VLOOKUP(Table1[[#This Row],[MTP SKU]],'MTP SKUs - Master Data'!A:D,3,0)</f>
        <v xml:space="preserve">Roverb King Bed </v>
      </c>
      <c r="F257" s="64" t="s">
        <v>19</v>
      </c>
      <c r="G257" s="64" t="str">
        <f>_xlfn.CONCAT(Table1[[#This Row],[MTP Name]]," ",Table1[[#This Row],[ Child Color]])</f>
        <v>Roverb King Bed  Brown Maple</v>
      </c>
      <c r="H257" s="33" t="str">
        <f>VLOOKUP(Table1[[#This Row],[MTP SKU]],'MTP SKUs - Master Data'!A:D,3,0)</f>
        <v xml:space="preserve">Roverb King Bed </v>
      </c>
      <c r="I257" s="40"/>
      <c r="J257" s="36" t="e">
        <v>#N/A</v>
      </c>
      <c r="K257" s="37" t="s">
        <v>1979</v>
      </c>
      <c r="L257" s="38" t="s">
        <v>1980</v>
      </c>
      <c r="M257" s="38" t="s">
        <v>1981</v>
      </c>
      <c r="N257" s="38" t="s">
        <v>1982</v>
      </c>
      <c r="O257" s="39" t="s">
        <v>1983</v>
      </c>
      <c r="P257" s="39" t="s">
        <v>1984</v>
      </c>
      <c r="Q257" s="39" t="e">
        <v>#N/A</v>
      </c>
    </row>
    <row r="258" spans="1:17">
      <c r="A258" s="59" t="s">
        <v>1985</v>
      </c>
      <c r="B258" s="45" t="str">
        <f>IFERROR(VLOOKUP(Table1[[#This Row],[Seller SKU]],'[1]FG Snapshot (V2)'!$A:$B,2,0),"AR")</f>
        <v>DI</v>
      </c>
      <c r="C258" s="45">
        <f>IFERROR(VLOOKUP(Table1[[#This Row],[Seller SKU]],'[1]FG Snapshot (V2)'!$A:$E,5,0),"AR")</f>
        <v>308</v>
      </c>
      <c r="D258" s="88" t="s">
        <v>1978</v>
      </c>
      <c r="E258" s="64" t="str">
        <f>VLOOKUP(Table1[[#This Row],[MTP SKU]],'MTP SKUs - Master Data'!A:D,3,0)</f>
        <v xml:space="preserve">Roverb King Bed </v>
      </c>
      <c r="F258" s="64" t="s">
        <v>182</v>
      </c>
      <c r="G258" s="64" t="str">
        <f>_xlfn.CONCAT(Table1[[#This Row],[MTP Name]]," ",Table1[[#This Row],[ Child Color]])</f>
        <v>Roverb King Bed  Wenge</v>
      </c>
      <c r="H258" s="33" t="str">
        <f>VLOOKUP(Table1[[#This Row],[MTP SKU]],'MTP SKUs - Master Data'!A:D,3,0)</f>
        <v xml:space="preserve">Roverb King Bed </v>
      </c>
      <c r="I258" s="40"/>
      <c r="J258" s="36" t="e">
        <v>#N/A</v>
      </c>
      <c r="K258" s="37" t="s">
        <v>1986</v>
      </c>
      <c r="L258" s="38" t="s">
        <v>1987</v>
      </c>
      <c r="M258" s="38" t="s">
        <v>1988</v>
      </c>
      <c r="N258" s="38" t="s">
        <v>1989</v>
      </c>
      <c r="O258" s="39" t="s">
        <v>1990</v>
      </c>
      <c r="P258" s="39" t="s">
        <v>62</v>
      </c>
      <c r="Q258" s="39" t="e">
        <v>#N/A</v>
      </c>
    </row>
    <row r="259" spans="1:17">
      <c r="A259" s="60" t="s">
        <v>1991</v>
      </c>
      <c r="B259" s="45" t="str">
        <f>IFERROR(VLOOKUP(Table1[[#This Row],[Seller SKU]],'[1]FG Snapshot (V2)'!$A:$B,2,0),"AR")</f>
        <v>NL</v>
      </c>
      <c r="C259" s="45">
        <f>IFERROR(VLOOKUP(Table1[[#This Row],[Seller SKU]],'[1]FG Snapshot (V2)'!$A:$E,5,0),"AR")</f>
        <v>275</v>
      </c>
      <c r="D259" s="40" t="s">
        <v>1992</v>
      </c>
      <c r="E259" s="64" t="str">
        <f>VLOOKUP(Table1[[#This Row],[MTP SKU]],'MTP SKUs - Master Data'!A:D,3,0)</f>
        <v>Polli Medium Back Chair</v>
      </c>
      <c r="F259" s="64" t="s">
        <v>1938</v>
      </c>
      <c r="G259" s="67" t="str">
        <f>_xlfn.CONCAT(Table1[[#This Row],[MTP Name]]," ",Table1[[#This Row],[ Child Color]])</f>
        <v>Polli Medium Back Chair Black</v>
      </c>
      <c r="H259" s="40" t="str">
        <f>VLOOKUP(Table1[[#This Row],[MTP SKU]],'MTP SKUs - Master Data'!A:D,3,0)</f>
        <v>Polli Medium Back Chair</v>
      </c>
      <c r="I259" s="40"/>
      <c r="J259" s="36"/>
      <c r="K259" s="37" t="s">
        <v>1993</v>
      </c>
      <c r="L259" s="38"/>
      <c r="M259" s="38"/>
      <c r="N259" s="38" t="e">
        <v>#N/A</v>
      </c>
      <c r="O259" s="39"/>
      <c r="P259" s="39" t="s">
        <v>62</v>
      </c>
      <c r="Q259" s="39"/>
    </row>
    <row r="260" spans="1:17">
      <c r="A260" s="60" t="s">
        <v>1994</v>
      </c>
      <c r="B260" s="45" t="str">
        <f>IFERROR(VLOOKUP(Table1[[#This Row],[Seller SKU]],'[1]FG Snapshot (V2)'!$A:$B,2,0),"AR")</f>
        <v>NL</v>
      </c>
      <c r="C260" s="45">
        <f>IFERROR(VLOOKUP(Table1[[#This Row],[Seller SKU]],'[1]FG Snapshot (V2)'!$A:$E,5,0),"AR")</f>
        <v>275</v>
      </c>
      <c r="D260" s="40" t="s">
        <v>1995</v>
      </c>
      <c r="E260" s="64" t="str">
        <f>VLOOKUP(Table1[[#This Row],[MTP SKU]],'MTP SKUs - Master Data'!A:D,3,0)</f>
        <v>Zylo Medium Back Chair</v>
      </c>
      <c r="F260" s="64" t="s">
        <v>1938</v>
      </c>
      <c r="G260" s="67" t="str">
        <f>_xlfn.CONCAT(Table1[[#This Row],[MTP Name]]," ",Table1[[#This Row],[ Child Color]])</f>
        <v>Zylo Medium Back Chair Black</v>
      </c>
      <c r="H260" s="40" t="str">
        <f>VLOOKUP(Table1[[#This Row],[MTP SKU]],'MTP SKUs - Master Data'!A:D,3,0)</f>
        <v>Zylo Medium Back Chair</v>
      </c>
      <c r="I260" s="40"/>
      <c r="J260" s="36"/>
      <c r="K260" s="37" t="s">
        <v>1996</v>
      </c>
      <c r="L260" s="38"/>
      <c r="M260" s="38"/>
      <c r="N260" s="38" t="e">
        <v>#N/A</v>
      </c>
      <c r="O260" s="39"/>
      <c r="P260" s="39" t="s">
        <v>62</v>
      </c>
      <c r="Q260" s="39"/>
    </row>
    <row r="261" spans="1:17">
      <c r="A261" s="59" t="s">
        <v>1997</v>
      </c>
      <c r="B261" s="45" t="str">
        <f>IFERROR(VLOOKUP(Table1[[#This Row],[Seller SKU]],'[1]FG Snapshot (V2)'!$A:$B,2,0),"AR")</f>
        <v>DI</v>
      </c>
      <c r="C261" s="45">
        <f>IFERROR(VLOOKUP(Table1[[#This Row],[Seller SKU]],'[1]FG Snapshot (V2)'!$A:$E,5,0),"AR")</f>
        <v>275</v>
      </c>
      <c r="D261" s="88" t="s">
        <v>1998</v>
      </c>
      <c r="E261" s="64" t="str">
        <f>VLOOKUP(Table1[[#This Row],[MTP SKU]],'MTP SKUs - Master Data'!A:D,3,0)</f>
        <v>Gustowe Rectangle Set of Two Coffee Table</v>
      </c>
      <c r="F261" s="64" t="s">
        <v>182</v>
      </c>
      <c r="G261" s="64" t="str">
        <f>_xlfn.CONCAT(Table1[[#This Row],[MTP Name]]," ",Table1[[#This Row],[ Child Color]])</f>
        <v>Gustowe Rectangle Set of Two Coffee Table Wenge</v>
      </c>
      <c r="H261" s="33" t="str">
        <f>VLOOKUP(Table1[[#This Row],[MTP SKU]],'MTP SKUs - Master Data'!A:D,3,0)</f>
        <v>Gustowe Rectangle Set of Two Coffee Table</v>
      </c>
      <c r="I261" s="40"/>
      <c r="J261" s="36" t="s">
        <v>1999</v>
      </c>
      <c r="K261" s="37" t="s">
        <v>2000</v>
      </c>
      <c r="L261" s="38" t="s">
        <v>2001</v>
      </c>
      <c r="M261" s="38" t="s">
        <v>2002</v>
      </c>
      <c r="N261" s="38" t="s">
        <v>2003</v>
      </c>
      <c r="O261" s="39" t="s">
        <v>2004</v>
      </c>
      <c r="P261" s="39" t="s">
        <v>62</v>
      </c>
      <c r="Q261" s="39" t="e">
        <v>#N/A</v>
      </c>
    </row>
    <row r="262" spans="1:17">
      <c r="A262" s="59" t="s">
        <v>2005</v>
      </c>
      <c r="B262" s="45" t="str">
        <f>IFERROR(VLOOKUP(Table1[[#This Row],[Seller SKU]],'[1]FG Snapshot (V2)'!$A:$B,2,0),"AR")</f>
        <v>DI</v>
      </c>
      <c r="C262" s="45">
        <f>IFERROR(VLOOKUP(Table1[[#This Row],[Seller SKU]],'[1]FG Snapshot (V2)'!$A:$E,5,0),"AR")</f>
        <v>275</v>
      </c>
      <c r="D262" s="88" t="s">
        <v>2006</v>
      </c>
      <c r="E262" s="64" t="str">
        <f>VLOOKUP(Table1[[#This Row],[MTP SKU]],'MTP SKUs - Master Data'!A:D,3,0)</f>
        <v>Gustowe Square Coffee Table</v>
      </c>
      <c r="F262" s="64" t="s">
        <v>56</v>
      </c>
      <c r="G262" s="64" t="str">
        <f>_xlfn.CONCAT(Table1[[#This Row],[MTP Name]]," ",Table1[[#This Row],[ Child Color]])</f>
        <v>Gustowe Square Coffee Table White</v>
      </c>
      <c r="H262" s="33" t="str">
        <f>VLOOKUP(Table1[[#This Row],[MTP SKU]],'MTP SKUs - Master Data'!A:D,3,0)</f>
        <v>Gustowe Square Coffee Table</v>
      </c>
      <c r="I262" s="40"/>
      <c r="J262" s="36" t="s">
        <v>2007</v>
      </c>
      <c r="K262" s="37" t="s">
        <v>2008</v>
      </c>
      <c r="L262" s="38" t="s">
        <v>2009</v>
      </c>
      <c r="M262" s="38" t="s">
        <v>2010</v>
      </c>
      <c r="N262" s="38" t="s">
        <v>2011</v>
      </c>
      <c r="O262" s="39" t="s">
        <v>2012</v>
      </c>
      <c r="P262" s="39" t="s">
        <v>62</v>
      </c>
      <c r="Q262" s="39" t="e">
        <v>#N/A</v>
      </c>
    </row>
    <row r="263" spans="1:17">
      <c r="A263" s="59" t="s">
        <v>2013</v>
      </c>
      <c r="B263" s="45" t="str">
        <f>IFERROR(VLOOKUP(Table1[[#This Row],[Seller SKU]],'[1]FG Snapshot (V2)'!$A:$B,2,0),"AR")</f>
        <v>DI</v>
      </c>
      <c r="C263" s="45">
        <f>IFERROR(VLOOKUP(Table1[[#This Row],[Seller SKU]],'[1]FG Snapshot (V2)'!$A:$E,5,0),"AR")</f>
        <v>275</v>
      </c>
      <c r="D263" s="88" t="s">
        <v>2014</v>
      </c>
      <c r="E263" s="64" t="str">
        <f>VLOOKUP(Table1[[#This Row],[MTP SKU]],'MTP SKUs - Master Data'!A:D,3,0)</f>
        <v>Gustowe Square Set of Two Coffee Table</v>
      </c>
      <c r="F263" s="64" t="s">
        <v>56</v>
      </c>
      <c r="G263" s="64" t="str">
        <f>_xlfn.CONCAT(Table1[[#This Row],[MTP Name]]," ",Table1[[#This Row],[ Child Color]])</f>
        <v>Gustowe Square Set of Two Coffee Table White</v>
      </c>
      <c r="H263" s="33" t="str">
        <f>VLOOKUP(Table1[[#This Row],[MTP SKU]],'MTP SKUs - Master Data'!A:D,3,0)</f>
        <v>Gustowe Square Set of Two Coffee Table</v>
      </c>
      <c r="I263" s="40"/>
      <c r="J263" s="36" t="s">
        <v>2015</v>
      </c>
      <c r="K263" s="37" t="s">
        <v>2016</v>
      </c>
      <c r="L263" s="38" t="s">
        <v>2017</v>
      </c>
      <c r="M263" s="38" t="s">
        <v>2018</v>
      </c>
      <c r="N263" s="38" t="s">
        <v>2019</v>
      </c>
      <c r="O263" s="39" t="s">
        <v>2020</v>
      </c>
      <c r="P263" s="39" t="s">
        <v>62</v>
      </c>
      <c r="Q263" s="39" t="e">
        <v>#N/A</v>
      </c>
    </row>
    <row r="264" spans="1:17">
      <c r="A264" s="59" t="s">
        <v>2021</v>
      </c>
      <c r="B264" s="45" t="str">
        <f>IFERROR(VLOOKUP(Table1[[#This Row],[Seller SKU]],'[1]FG Snapshot (V2)'!$A:$B,2,0),"AR")</f>
        <v>DI</v>
      </c>
      <c r="C264" s="45">
        <f>IFERROR(VLOOKUP(Table1[[#This Row],[Seller SKU]],'[1]FG Snapshot (V2)'!$A:$E,5,0),"AR")</f>
        <v>307</v>
      </c>
      <c r="D264" s="88" t="s">
        <v>2006</v>
      </c>
      <c r="E264" s="64" t="str">
        <f>VLOOKUP(Table1[[#This Row],[MTP SKU]],'MTP SKUs - Master Data'!A:D,3,0)</f>
        <v>Gustowe Square Coffee Table</v>
      </c>
      <c r="F264" s="64" t="s">
        <v>182</v>
      </c>
      <c r="G264" s="64" t="str">
        <f>_xlfn.CONCAT(Table1[[#This Row],[MTP Name]]," ",Table1[[#This Row],[ Child Color]])</f>
        <v>Gustowe Square Coffee Table Wenge</v>
      </c>
      <c r="H264" s="33" t="str">
        <f>VLOOKUP(Table1[[#This Row],[MTP SKU]],'MTP SKUs - Master Data'!A:D,3,0)</f>
        <v>Gustowe Square Coffee Table</v>
      </c>
      <c r="I264" s="40"/>
      <c r="J264" s="36" t="s">
        <v>2022</v>
      </c>
      <c r="K264" s="37" t="s">
        <v>2023</v>
      </c>
      <c r="L264" s="38" t="s">
        <v>2024</v>
      </c>
      <c r="M264" s="38" t="s">
        <v>2025</v>
      </c>
      <c r="N264" s="38" t="s">
        <v>2026</v>
      </c>
      <c r="O264" s="39" t="s">
        <v>2027</v>
      </c>
      <c r="P264" s="39" t="s">
        <v>62</v>
      </c>
      <c r="Q264" s="39" t="e">
        <v>#N/A</v>
      </c>
    </row>
    <row r="265" spans="1:17">
      <c r="A265" s="59" t="s">
        <v>2028</v>
      </c>
      <c r="B265" s="45" t="str">
        <f>IFERROR(VLOOKUP(Table1[[#This Row],[Seller SKU]],'[1]FG Snapshot (V2)'!$A:$B,2,0),"AR")</f>
        <v>DI</v>
      </c>
      <c r="C265" s="45">
        <f>IFERROR(VLOOKUP(Table1[[#This Row],[Seller SKU]],'[1]FG Snapshot (V2)'!$A:$E,5,0),"AR")</f>
        <v>275</v>
      </c>
      <c r="D265" s="88" t="s">
        <v>2014</v>
      </c>
      <c r="E265" s="64" t="str">
        <f>VLOOKUP(Table1[[#This Row],[MTP SKU]],'MTP SKUs - Master Data'!A:D,3,0)</f>
        <v>Gustowe Square Set of Two Coffee Table</v>
      </c>
      <c r="F265" s="64" t="s">
        <v>182</v>
      </c>
      <c r="G265" s="64" t="str">
        <f>_xlfn.CONCAT(Table1[[#This Row],[MTP Name]]," ",Table1[[#This Row],[ Child Color]])</f>
        <v>Gustowe Square Set of Two Coffee Table Wenge</v>
      </c>
      <c r="H265" s="33" t="str">
        <f>VLOOKUP(Table1[[#This Row],[MTP SKU]],'MTP SKUs - Master Data'!A:D,3,0)</f>
        <v>Gustowe Square Set of Two Coffee Table</v>
      </c>
      <c r="I265" s="40"/>
      <c r="J265" s="36" t="s">
        <v>2029</v>
      </c>
      <c r="K265" s="37" t="s">
        <v>2030</v>
      </c>
      <c r="L265" s="38" t="s">
        <v>2031</v>
      </c>
      <c r="M265" s="38" t="s">
        <v>2032</v>
      </c>
      <c r="N265" s="38" t="s">
        <v>2033</v>
      </c>
      <c r="O265" s="39" t="s">
        <v>2034</v>
      </c>
      <c r="P265" s="39" t="s">
        <v>62</v>
      </c>
      <c r="Q265" s="39" t="e">
        <v>#N/A</v>
      </c>
    </row>
    <row r="266" spans="1:17">
      <c r="A266" s="59" t="s">
        <v>2035</v>
      </c>
      <c r="B266" s="45" t="str">
        <f>IFERROR(VLOOKUP(Table1[[#This Row],[Seller SKU]],'[1]FG Snapshot (V2)'!$A:$B,2,0),"AR")</f>
        <v>DI</v>
      </c>
      <c r="C266" s="45">
        <f>IFERROR(VLOOKUP(Table1[[#This Row],[Seller SKU]],'[1]FG Snapshot (V2)'!$A:$E,5,0),"AR")</f>
        <v>275</v>
      </c>
      <c r="D266" s="88" t="s">
        <v>1653</v>
      </c>
      <c r="E266" s="64" t="str">
        <f>VLOOKUP(Table1[[#This Row],[MTP SKU]],'MTP SKUs - Master Data'!A:D,3,0)</f>
        <v>Kasvon Rectangle Coffee Table</v>
      </c>
      <c r="F266" s="64" t="s">
        <v>182</v>
      </c>
      <c r="G266" s="64" t="str">
        <f>_xlfn.CONCAT(Table1[[#This Row],[MTP Name]]," ",Table1[[#This Row],[ Child Color]])</f>
        <v>Kasvon Rectangle Coffee Table Wenge</v>
      </c>
      <c r="H266" s="33" t="str">
        <f>VLOOKUP(Table1[[#This Row],[MTP SKU]],'MTP SKUs - Master Data'!A:D,3,0)</f>
        <v>Kasvon Rectangle Coffee Table</v>
      </c>
      <c r="I266" s="40"/>
      <c r="J266" s="36" t="s">
        <v>2036</v>
      </c>
      <c r="K266" s="37" t="s">
        <v>2037</v>
      </c>
      <c r="L266" s="38" t="s">
        <v>2038</v>
      </c>
      <c r="M266" s="38" t="s">
        <v>2039</v>
      </c>
      <c r="N266" s="38" t="s">
        <v>2040</v>
      </c>
      <c r="O266" s="39" t="s">
        <v>2041</v>
      </c>
      <c r="P266" s="39" t="s">
        <v>62</v>
      </c>
      <c r="Q266" s="39">
        <v>34399058</v>
      </c>
    </row>
    <row r="267" spans="1:17">
      <c r="A267" s="60" t="s">
        <v>2042</v>
      </c>
      <c r="B267" s="45" t="str">
        <f>IFERROR(VLOOKUP(Table1[[#This Row],[Seller SKU]],'[1]FG Snapshot (V2)'!$A:$B,2,0),"AR")</f>
        <v>Y</v>
      </c>
      <c r="C267" s="45">
        <f>IFERROR(VLOOKUP(Table1[[#This Row],[Seller SKU]],'[1]FG Snapshot (V2)'!$A:$E,5,0),"AR")</f>
        <v>223</v>
      </c>
      <c r="D267" s="40" t="s">
        <v>2043</v>
      </c>
      <c r="E267" s="64" t="str">
        <f>VLOOKUP(Table1[[#This Row],[MTP SKU]],'MTP SKUs - Master Data'!A:D,3,0)</f>
        <v>Opryt Set of 2 Kichen Cabinet</v>
      </c>
      <c r="F267" s="64" t="s">
        <v>56</v>
      </c>
      <c r="G267" s="64" t="str">
        <f>_xlfn.CONCAT(Table1[[#This Row],[MTP Name]]," ",Table1[[#This Row],[ Child Color]])</f>
        <v>Opryt Set of 2 Kichen Cabinet White</v>
      </c>
      <c r="H267" s="33" t="str">
        <f>VLOOKUP(Table1[[#This Row],[MTP SKU]],'MTP SKUs - Master Data'!A:D,3,0)</f>
        <v>Opryt Set of 2 Kichen Cabinet</v>
      </c>
      <c r="I267" s="40"/>
      <c r="J267" s="36"/>
      <c r="K267" s="37" t="s">
        <v>2044</v>
      </c>
      <c r="L267" s="38" t="s">
        <v>2045</v>
      </c>
      <c r="M267" s="38" t="s">
        <v>2046</v>
      </c>
      <c r="N267" s="38" t="s">
        <v>2047</v>
      </c>
      <c r="O267" s="39"/>
      <c r="P267" s="39" t="s">
        <v>62</v>
      </c>
      <c r="Q267" s="39" t="e">
        <v>#N/A</v>
      </c>
    </row>
    <row r="268" spans="1:17">
      <c r="A268" s="59" t="s">
        <v>2048</v>
      </c>
      <c r="B268" s="45" t="str">
        <f>IFERROR(VLOOKUP(Table1[[#This Row],[Seller SKU]],'[1]FG Snapshot (V2)'!$A:$B,2,0),"AR")</f>
        <v>DI</v>
      </c>
      <c r="C268" s="45">
        <f>IFERROR(VLOOKUP(Table1[[#This Row],[Seller SKU]],'[1]FG Snapshot (V2)'!$A:$E,5,0),"AR")</f>
        <v>275</v>
      </c>
      <c r="D268" s="88" t="s">
        <v>2049</v>
      </c>
      <c r="E268" s="64" t="str">
        <f>VLOOKUP(Table1[[#This Row],[MTP SKU]],'MTP SKUs - Master Data'!A:D,3,0)</f>
        <v>Larkyn Key Holder</v>
      </c>
      <c r="F268" s="64" t="s">
        <v>28</v>
      </c>
      <c r="G268" s="64" t="str">
        <f>_xlfn.CONCAT(Table1[[#This Row],[MTP Name]]," ",Table1[[#This Row],[ Child Color]])</f>
        <v>Larkyn Key Holder Brown Maple &amp; White</v>
      </c>
      <c r="H268" s="33" t="str">
        <f>VLOOKUP(Table1[[#This Row],[MTP SKU]],'MTP SKUs - Master Data'!A:D,3,0)</f>
        <v>Larkyn Key Holder</v>
      </c>
      <c r="I268" s="40"/>
      <c r="J268" s="36" t="s">
        <v>2050</v>
      </c>
      <c r="K268" s="37" t="s">
        <v>2051</v>
      </c>
      <c r="L268" s="38" t="s">
        <v>2052</v>
      </c>
      <c r="M268" s="38" t="s">
        <v>2053</v>
      </c>
      <c r="N268" s="38" t="e">
        <v>#N/A</v>
      </c>
      <c r="O268" s="39" t="s">
        <v>2054</v>
      </c>
      <c r="P268" s="39" t="s">
        <v>62</v>
      </c>
      <c r="Q268" s="39">
        <v>27465478</v>
      </c>
    </row>
    <row r="269" spans="1:17">
      <c r="A269" s="59" t="s">
        <v>2055</v>
      </c>
      <c r="B269" s="45" t="str">
        <f>IFERROR(VLOOKUP(Table1[[#This Row],[Seller SKU]],'[1]FG Snapshot (V2)'!$A:$B,2,0),"AR")</f>
        <v>YH</v>
      </c>
      <c r="C269" s="45">
        <f>IFERROR(VLOOKUP(Table1[[#This Row],[Seller SKU]],'[1]FG Snapshot (V2)'!$A:$E,5,0),"AR")</f>
        <v>275</v>
      </c>
      <c r="D269" s="40" t="s">
        <v>2056</v>
      </c>
      <c r="E269" s="64" t="str">
        <f>VLOOKUP(Table1[[#This Row],[MTP SKU]],'MTP SKUs - Master Data'!A:D,3,0)</f>
        <v>Torene 40 Glass Key Holder</v>
      </c>
      <c r="F269" s="64" t="s">
        <v>56</v>
      </c>
      <c r="G269" s="64" t="str">
        <f>_xlfn.CONCAT(Table1[[#This Row],[MTP Name]]," ",Table1[[#This Row],[ Child Color]])</f>
        <v>Torene 40 Glass Key Holder White</v>
      </c>
      <c r="H269" s="40" t="str">
        <f>VLOOKUP(Table1[[#This Row],[MTP SKU]],'MTP SKUs - Master Data'!A:D,3,0)</f>
        <v>Torene 40 Glass Key Holder</v>
      </c>
      <c r="I269" s="40"/>
      <c r="J269" s="36" t="e">
        <v>#N/A</v>
      </c>
      <c r="K269" s="37" t="s">
        <v>2057</v>
      </c>
      <c r="L269" s="38" t="s">
        <v>2058</v>
      </c>
      <c r="M269" s="38" t="s">
        <v>2059</v>
      </c>
      <c r="N269" s="38" t="e">
        <v>#N/A</v>
      </c>
      <c r="O269" s="39" t="s">
        <v>2060</v>
      </c>
      <c r="P269" s="39" t="s">
        <v>62</v>
      </c>
      <c r="Q269" s="39">
        <v>34165356</v>
      </c>
    </row>
    <row r="270" spans="1:17">
      <c r="A270" s="59" t="s">
        <v>2061</v>
      </c>
      <c r="B270" s="45" t="str">
        <f>IFERROR(VLOOKUP(Table1[[#This Row],[Seller SKU]],'[1]FG Snapshot (V2)'!$A:$B,2,0),"AR")</f>
        <v>Y</v>
      </c>
      <c r="C270" s="45">
        <f>IFERROR(VLOOKUP(Table1[[#This Row],[Seller SKU]],'[1]FG Snapshot (V2)'!$A:$E,5,0),"AR")</f>
        <v>268</v>
      </c>
      <c r="D270" s="88" t="s">
        <v>1859</v>
      </c>
      <c r="E270" s="64" t="str">
        <f>VLOOKUP(Table1[[#This Row],[MTP SKU]],'MTP SKUs - Master Data'!A:D,3,0)</f>
        <v>Midase Rectangular Pouff Ottoman</v>
      </c>
      <c r="F270" s="64" t="s">
        <v>2062</v>
      </c>
      <c r="G270" s="64" t="str">
        <f>_xlfn.CONCAT(Table1[[#This Row],[MTP Name]]," ",Table1[[#This Row],[ Child Color]])</f>
        <v>Midase Rectangular Pouff Ottoman Blue</v>
      </c>
      <c r="H270" s="33" t="str">
        <f>VLOOKUP(Table1[[#This Row],[MTP SKU]],'MTP SKUs - Master Data'!A:D,3,0)</f>
        <v>Midase Rectangular Pouff Ottoman</v>
      </c>
      <c r="I270" s="40"/>
      <c r="J270" s="36" t="e">
        <v>#N/A</v>
      </c>
      <c r="K270" s="37" t="s">
        <v>2063</v>
      </c>
      <c r="L270" s="38" t="s">
        <v>2064</v>
      </c>
      <c r="M270" s="38" t="s">
        <v>2065</v>
      </c>
      <c r="N270" s="38" t="s">
        <v>2066</v>
      </c>
      <c r="O270" s="39" t="s">
        <v>2067</v>
      </c>
      <c r="P270" s="39" t="s">
        <v>62</v>
      </c>
      <c r="Q270" s="39" t="e">
        <v>#N/A</v>
      </c>
    </row>
    <row r="271" spans="1:17">
      <c r="A271" s="60" t="s">
        <v>2068</v>
      </c>
      <c r="B271" s="45" t="str">
        <f>IFERROR(VLOOKUP(Table1[[#This Row],[Seller SKU]],'[1]FG Snapshot (V2)'!$A:$B,2,0),"AR")</f>
        <v>NL</v>
      </c>
      <c r="C271" s="45">
        <f>IFERROR(VLOOKUP(Table1[[#This Row],[Seller SKU]],'[1]FG Snapshot (V2)'!$A:$E,5,0),"AR")</f>
        <v>205</v>
      </c>
      <c r="D271" s="40" t="s">
        <v>2069</v>
      </c>
      <c r="E271" s="64" t="str">
        <f>VLOOKUP(Table1[[#This Row],[MTP SKU]],'MTP SKUs - Master Data'!A:D,3,0)</f>
        <v>Dhruv Wall Mount Pooja Unit</v>
      </c>
      <c r="F271" s="64" t="s">
        <v>56</v>
      </c>
      <c r="G271" s="67" t="str">
        <f>_xlfn.CONCAT(Table1[[#This Row],[MTP Name]]," ",Table1[[#This Row],[ Child Color]])</f>
        <v>Dhruv Wall Mount Pooja Unit White</v>
      </c>
      <c r="H271" s="40" t="str">
        <f>VLOOKUP(Table1[[#This Row],[MTP SKU]],'MTP SKUs - Master Data'!A:D,3,0)</f>
        <v>Dhruv Wall Mount Pooja Unit</v>
      </c>
      <c r="I271" s="40"/>
      <c r="J271" s="36"/>
      <c r="K271" s="37" t="s">
        <v>2070</v>
      </c>
      <c r="L271" s="38" t="s">
        <v>2071</v>
      </c>
      <c r="M271" s="38"/>
      <c r="N271" s="38" t="e">
        <v>#N/A</v>
      </c>
      <c r="O271" s="39" t="s">
        <v>2072</v>
      </c>
      <c r="P271" s="39" t="s">
        <v>62</v>
      </c>
      <c r="Q271" s="39"/>
    </row>
    <row r="272" spans="1:17">
      <c r="A272" s="59" t="s">
        <v>2073</v>
      </c>
      <c r="B272" s="45" t="str">
        <f>IFERROR(VLOOKUP(Table1[[#This Row],[Seller SKU]],'[1]FG Snapshot (V2)'!$A:$B,2,0),"AR")</f>
        <v>YH</v>
      </c>
      <c r="C272" s="45">
        <f>IFERROR(VLOOKUP(Table1[[#This Row],[Seller SKU]],'[1]FG Snapshot (V2)'!$A:$E,5,0),"AR")</f>
        <v>275</v>
      </c>
      <c r="D272" s="88" t="s">
        <v>2074</v>
      </c>
      <c r="E272" s="64" t="str">
        <f>VLOOKUP(Table1[[#This Row],[MTP SKU]],'MTP SKUs - Master Data'!A:D,3,0)</f>
        <v>Rico Dressing Table</v>
      </c>
      <c r="F272" s="64" t="s">
        <v>182</v>
      </c>
      <c r="G272" s="64" t="str">
        <f>_xlfn.CONCAT(Table1[[#This Row],[MTP Name]]," ",Table1[[#This Row],[ Child Color]])</f>
        <v>Rico Dressing Table Wenge</v>
      </c>
      <c r="H272" s="33" t="str">
        <f>VLOOKUP(Table1[[#This Row],[MTP SKU]],'MTP SKUs - Master Data'!A:D,3,0)</f>
        <v>Rico Dressing Table</v>
      </c>
      <c r="I272" s="40"/>
      <c r="J272" s="36" t="s">
        <v>2075</v>
      </c>
      <c r="K272" s="37" t="s">
        <v>2076</v>
      </c>
      <c r="L272" s="38" t="s">
        <v>2077</v>
      </c>
      <c r="M272" s="38" t="s">
        <v>2078</v>
      </c>
      <c r="N272" s="38" t="s">
        <v>2079</v>
      </c>
      <c r="O272" s="39" t="s">
        <v>2080</v>
      </c>
      <c r="P272" s="39" t="s">
        <v>62</v>
      </c>
      <c r="Q272" s="39" t="e">
        <v>#N/A</v>
      </c>
    </row>
    <row r="273" spans="1:17">
      <c r="A273" s="59" t="s">
        <v>2081</v>
      </c>
      <c r="B273" s="45" t="str">
        <f>IFERROR(VLOOKUP(Table1[[#This Row],[Seller SKU]],'[1]FG Snapshot (V2)'!$A:$B,2,0),"AR")</f>
        <v>Y</v>
      </c>
      <c r="C273" s="45">
        <f>IFERROR(VLOOKUP(Table1[[#This Row],[Seller SKU]],'[1]FG Snapshot (V2)'!$A:$E,5,0),"AR")</f>
        <v>264</v>
      </c>
      <c r="D273" s="88" t="s">
        <v>2082</v>
      </c>
      <c r="E273" s="64" t="str">
        <f>VLOOKUP(Table1[[#This Row],[MTP SKU]],'MTP SKUs - Master Data'!A:D,3,0)</f>
        <v>Aaron Bookshelf</v>
      </c>
      <c r="F273" s="64" t="s">
        <v>182</v>
      </c>
      <c r="G273" s="64" t="str">
        <f>_xlfn.CONCAT(Table1[[#This Row],[MTP Name]]," ",Table1[[#This Row],[ Child Color]])</f>
        <v>Aaron Bookshelf Wenge</v>
      </c>
      <c r="H273" s="33" t="str">
        <f>VLOOKUP(Table1[[#This Row],[MTP SKU]],'MTP SKUs - Master Data'!A:D,3,0)</f>
        <v>Aaron Bookshelf</v>
      </c>
      <c r="I273" s="40"/>
      <c r="J273" s="36" t="s">
        <v>2083</v>
      </c>
      <c r="K273" s="37" t="s">
        <v>2084</v>
      </c>
      <c r="L273" s="38" t="s">
        <v>2085</v>
      </c>
      <c r="M273" s="38" t="s">
        <v>2086</v>
      </c>
      <c r="N273" s="38" t="s">
        <v>2087</v>
      </c>
      <c r="O273" s="39" t="s">
        <v>2088</v>
      </c>
      <c r="P273" s="39" t="s">
        <v>62</v>
      </c>
      <c r="Q273" s="39" t="e">
        <v>#N/A</v>
      </c>
    </row>
    <row r="274" spans="1:17">
      <c r="A274" s="59" t="s">
        <v>2089</v>
      </c>
      <c r="B274" s="45" t="str">
        <f>IFERROR(VLOOKUP(Table1[[#This Row],[Seller SKU]],'[1]FG Snapshot (V2)'!$A:$B,2,0),"AR")</f>
        <v>Y</v>
      </c>
      <c r="C274" s="45">
        <f>IFERROR(VLOOKUP(Table1[[#This Row],[Seller SKU]],'[1]FG Snapshot (V2)'!$A:$E,5,0),"AR")</f>
        <v>259</v>
      </c>
      <c r="D274" s="88" t="s">
        <v>2090</v>
      </c>
      <c r="E274" s="64" t="str">
        <f>VLOOKUP(Table1[[#This Row],[MTP SKU]],'MTP SKUs - Master Data'!A:D,3,0)</f>
        <v>Alex 4-Layer Bookshelf</v>
      </c>
      <c r="F274" s="64" t="s">
        <v>19</v>
      </c>
      <c r="G274" s="64" t="str">
        <f>_xlfn.CONCAT(Table1[[#This Row],[MTP Name]]," ",Table1[[#This Row],[ Child Color]])</f>
        <v>Alex 4-Layer Bookshelf Brown Maple</v>
      </c>
      <c r="H274" s="33" t="str">
        <f>VLOOKUP(Table1[[#This Row],[MTP SKU]],'MTP SKUs - Master Data'!A:D,3,0)</f>
        <v>Alex 4-Layer Bookshelf</v>
      </c>
      <c r="I274" s="40"/>
      <c r="J274" s="36" t="s">
        <v>2091</v>
      </c>
      <c r="K274" s="37" t="s">
        <v>2092</v>
      </c>
      <c r="L274" s="38" t="s">
        <v>2093</v>
      </c>
      <c r="M274" s="38" t="s">
        <v>2094</v>
      </c>
      <c r="N274" s="38" t="s">
        <v>2095</v>
      </c>
      <c r="O274" s="39" t="s">
        <v>2096</v>
      </c>
      <c r="P274" s="39" t="s">
        <v>62</v>
      </c>
      <c r="Q274" s="39">
        <v>34380957</v>
      </c>
    </row>
    <row r="275" spans="1:17">
      <c r="A275" s="60" t="s">
        <v>2097</v>
      </c>
      <c r="B275" s="45" t="str">
        <f>IFERROR(VLOOKUP(Table1[[#This Row],[Seller SKU]],'[1]FG Snapshot (V2)'!$A:$B,2,0),"AR")</f>
        <v>NL</v>
      </c>
      <c r="C275" s="45">
        <f>IFERROR(VLOOKUP(Table1[[#This Row],[Seller SKU]],'[1]FG Snapshot (V2)'!$A:$E,5,0),"AR")</f>
        <v>275</v>
      </c>
      <c r="D275" s="40" t="s">
        <v>2098</v>
      </c>
      <c r="E275" s="67" t="str">
        <f>VLOOKUP(Table1[[#This Row],[MTP SKU]],'MTP SKUs - Master Data'!A:D,3,0)</f>
        <v>Orivo Bookshelf</v>
      </c>
      <c r="F275" s="64" t="s">
        <v>28</v>
      </c>
      <c r="G275" s="67" t="str">
        <f>_xlfn.CONCAT(Table1[[#This Row],[MTP Name]]," ",Table1[[#This Row],[ Child Color]])</f>
        <v>Orivo Bookshelf Brown Maple &amp; White</v>
      </c>
      <c r="H275" s="40" t="str">
        <f>VLOOKUP(Table1[[#This Row],[MTP SKU]],'MTP SKUs - Master Data'!A:D,3,0)</f>
        <v>Orivo Bookshelf</v>
      </c>
      <c r="I275" s="40"/>
      <c r="J275" s="36"/>
      <c r="K275" s="37" t="s">
        <v>2099</v>
      </c>
      <c r="L275" s="38" t="s">
        <v>2100</v>
      </c>
      <c r="M275" s="38"/>
      <c r="N275" s="38" t="e">
        <v>#N/A</v>
      </c>
      <c r="O275" s="39"/>
      <c r="P275" s="39" t="s">
        <v>62</v>
      </c>
      <c r="Q275" s="39"/>
    </row>
    <row r="276" spans="1:17">
      <c r="A276" s="60" t="s">
        <v>2101</v>
      </c>
      <c r="B276" s="45" t="str">
        <f>IFERROR(VLOOKUP(Table1[[#This Row],[Seller SKU]],'[1]FG Snapshot (V2)'!$A:$B,2,0),"AR")</f>
        <v>NL</v>
      </c>
      <c r="C276" s="45">
        <f>IFERROR(VLOOKUP(Table1[[#This Row],[Seller SKU]],'[1]FG Snapshot (V2)'!$A:$E,5,0),"AR")</f>
        <v>275</v>
      </c>
      <c r="D276" s="40" t="s">
        <v>2102</v>
      </c>
      <c r="E276" s="67" t="str">
        <f>VLOOKUP(Table1[[#This Row],[MTP SKU]],'MTP SKUs - Master Data'!A:D,3,0)</f>
        <v>Steda Bookshelf</v>
      </c>
      <c r="F276" s="64" t="s">
        <v>19</v>
      </c>
      <c r="G276" s="67" t="str">
        <f>_xlfn.CONCAT(Table1[[#This Row],[MTP Name]]," ",Table1[[#This Row],[ Child Color]])</f>
        <v>Steda Bookshelf Brown Maple</v>
      </c>
      <c r="H276" s="40" t="str">
        <f>VLOOKUP(Table1[[#This Row],[MTP SKU]],'MTP SKUs - Master Data'!A:D,3,0)</f>
        <v>Steda Bookshelf</v>
      </c>
      <c r="I276" s="40"/>
      <c r="J276" s="36"/>
      <c r="K276" s="37" t="s">
        <v>2103</v>
      </c>
      <c r="L276" s="38" t="s">
        <v>2104</v>
      </c>
      <c r="M276" s="38"/>
      <c r="N276" s="38" t="e">
        <v>#N/A</v>
      </c>
      <c r="O276" s="39"/>
      <c r="P276" s="39" t="s">
        <v>62</v>
      </c>
      <c r="Q276" s="39"/>
    </row>
    <row r="277" spans="1:17">
      <c r="A277" s="60" t="s">
        <v>2105</v>
      </c>
      <c r="B277" s="45" t="str">
        <f>IFERROR(VLOOKUP(Table1[[#This Row],[Seller SKU]],'[1]FG Snapshot (V2)'!$A:$B,2,0),"AR")</f>
        <v>NL</v>
      </c>
      <c r="C277" s="45">
        <f>IFERROR(VLOOKUP(Table1[[#This Row],[Seller SKU]],'[1]FG Snapshot (V2)'!$A:$E,5,0),"AR")</f>
        <v>275</v>
      </c>
      <c r="D277" s="40" t="s">
        <v>2106</v>
      </c>
      <c r="E277" s="67" t="str">
        <f>VLOOKUP(Table1[[#This Row],[MTP SKU]],'MTP SKUs - Master Data'!A:D,3,0)</f>
        <v>Senara Bookshelf</v>
      </c>
      <c r="F277" s="64" t="s">
        <v>19</v>
      </c>
      <c r="G277" s="67" t="str">
        <f>_xlfn.CONCAT(Table1[[#This Row],[MTP Name]]," ",Table1[[#This Row],[ Child Color]])</f>
        <v>Senara Bookshelf Brown Maple</v>
      </c>
      <c r="H277" s="40" t="str">
        <f>VLOOKUP(Table1[[#This Row],[MTP SKU]],'MTP SKUs - Master Data'!A:D,3,0)</f>
        <v>Senara Bookshelf</v>
      </c>
      <c r="I277" s="40"/>
      <c r="J277" s="36"/>
      <c r="K277" s="37" t="s">
        <v>2107</v>
      </c>
      <c r="L277" s="38" t="s">
        <v>2108</v>
      </c>
      <c r="M277" s="38"/>
      <c r="N277" s="38" t="e">
        <v>#N/A</v>
      </c>
      <c r="O277" s="39"/>
      <c r="P277" s="39" t="s">
        <v>62</v>
      </c>
      <c r="Q277" s="39"/>
    </row>
    <row r="278" spans="1:17">
      <c r="A278" s="60" t="s">
        <v>2109</v>
      </c>
      <c r="B278" s="45" t="str">
        <f>IFERROR(VLOOKUP(Table1[[#This Row],[Seller SKU]],'[1]FG Snapshot (V2)'!$A:$B,2,0),"AR")</f>
        <v>NL</v>
      </c>
      <c r="C278" s="45">
        <f>IFERROR(VLOOKUP(Table1[[#This Row],[Seller SKU]],'[1]FG Snapshot (V2)'!$A:$E,5,0),"AR")</f>
        <v>275</v>
      </c>
      <c r="D278" s="89" t="s">
        <v>2110</v>
      </c>
      <c r="E278" s="64" t="str">
        <f>VLOOKUP(Table1[[#This Row],[MTP SKU]],'MTP SKUs - Master Data'!A:D,3,0)</f>
        <v>Wilber 3+1, 4 Seater Interchangeable L Shape Sofa</v>
      </c>
      <c r="F278" s="64" t="s">
        <v>1860</v>
      </c>
      <c r="G278" s="67" t="str">
        <f>_xlfn.CONCAT(Table1[[#This Row],[MTP Name]]," ",Table1[[#This Row],[ Child Color]])</f>
        <v>Wilber 3+1, 4 Seater Interchangeable L Shape Sofa Grey</v>
      </c>
      <c r="H278" s="40" t="str">
        <f>VLOOKUP(Table1[[#This Row],[MTP SKU]],'MTP SKUs - Master Data'!A:D,3,0)</f>
        <v>Wilber 3+1, 4 Seater Interchangeable L Shape Sofa</v>
      </c>
      <c r="I278" s="40"/>
      <c r="J278" s="36"/>
      <c r="K278" s="37" t="s">
        <v>2111</v>
      </c>
      <c r="L278" s="38"/>
      <c r="M278" s="38"/>
      <c r="N278" s="38" t="e">
        <v>#N/A</v>
      </c>
      <c r="O278" s="39"/>
      <c r="P278" s="39" t="s">
        <v>62</v>
      </c>
      <c r="Q278" s="39" t="e">
        <v>#N/A</v>
      </c>
    </row>
    <row r="279" spans="1:17">
      <c r="A279" s="60" t="s">
        <v>2112</v>
      </c>
      <c r="B279" s="45" t="str">
        <f>IFERROR(VLOOKUP(Table1[[#This Row],[Seller SKU]],'[1]FG Snapshot (V2)'!$A:$B,2,0),"AR")</f>
        <v>NL</v>
      </c>
      <c r="C279" s="45">
        <f>IFERROR(VLOOKUP(Table1[[#This Row],[Seller SKU]],'[1]FG Snapshot (V2)'!$A:$E,5,0),"AR")</f>
        <v>275</v>
      </c>
      <c r="D279" s="89" t="s">
        <v>2110</v>
      </c>
      <c r="E279" s="64" t="str">
        <f>VLOOKUP(Table1[[#This Row],[MTP SKU]],'MTP SKUs - Master Data'!A:D,3,0)</f>
        <v>Wilber 3+1, 4 Seater Interchangeable L Shape Sofa</v>
      </c>
      <c r="F279" s="64" t="s">
        <v>56</v>
      </c>
      <c r="G279" s="67" t="str">
        <f>_xlfn.CONCAT(Table1[[#This Row],[MTP Name]]," ",Table1[[#This Row],[ Child Color]])</f>
        <v>Wilber 3+1, 4 Seater Interchangeable L Shape Sofa White</v>
      </c>
      <c r="H279" s="40" t="str">
        <f>VLOOKUP(Table1[[#This Row],[MTP SKU]],'MTP SKUs - Master Data'!A:D,3,0)</f>
        <v>Wilber 3+1, 4 Seater Interchangeable L Shape Sofa</v>
      </c>
      <c r="I279" s="40"/>
      <c r="J279" s="36"/>
      <c r="K279" s="37" t="s">
        <v>2113</v>
      </c>
      <c r="L279" s="38"/>
      <c r="M279" s="38"/>
      <c r="N279" s="38" t="e">
        <v>#N/A</v>
      </c>
      <c r="O279" s="39"/>
      <c r="P279" s="39" t="s">
        <v>62</v>
      </c>
      <c r="Q279" s="39" t="e">
        <v>#N/A</v>
      </c>
    </row>
    <row r="280" spans="1:17">
      <c r="A280" s="60" t="s">
        <v>2114</v>
      </c>
      <c r="B280" s="45" t="str">
        <f>IFERROR(VLOOKUP(Table1[[#This Row],[Seller SKU]],'[1]FG Snapshot (V2)'!$A:$B,2,0),"AR")</f>
        <v>NL</v>
      </c>
      <c r="C280" s="45">
        <f>IFERROR(VLOOKUP(Table1[[#This Row],[Seller SKU]],'[1]FG Snapshot (V2)'!$A:$E,5,0),"AR")</f>
        <v>275</v>
      </c>
      <c r="D280" s="89" t="s">
        <v>2110</v>
      </c>
      <c r="E280" s="64" t="str">
        <f>VLOOKUP(Table1[[#This Row],[MTP SKU]],'MTP SKUs - Master Data'!A:D,3,0)</f>
        <v>Wilber 3+1, 4 Seater Interchangeable L Shape Sofa</v>
      </c>
      <c r="F280" s="64" t="s">
        <v>2062</v>
      </c>
      <c r="G280" s="67" t="str">
        <f>_xlfn.CONCAT(Table1[[#This Row],[MTP Name]]," ",Table1[[#This Row],[ Child Color]])</f>
        <v>Wilber 3+1, 4 Seater Interchangeable L Shape Sofa Blue</v>
      </c>
      <c r="H280" s="40" t="str">
        <f>VLOOKUP(Table1[[#This Row],[MTP SKU]],'MTP SKUs - Master Data'!A:D,3,0)</f>
        <v>Wilber 3+1, 4 Seater Interchangeable L Shape Sofa</v>
      </c>
      <c r="I280" s="40"/>
      <c r="J280" s="36"/>
      <c r="K280" s="37" t="s">
        <v>2115</v>
      </c>
      <c r="L280" s="38"/>
      <c r="M280" s="38"/>
      <c r="N280" s="38" t="e">
        <v>#N/A</v>
      </c>
      <c r="O280" s="39"/>
      <c r="P280" s="39" t="s">
        <v>62</v>
      </c>
      <c r="Q280" s="39" t="e">
        <v>#N/A</v>
      </c>
    </row>
    <row r="281" spans="1:17">
      <c r="A281" s="59" t="s">
        <v>2116</v>
      </c>
      <c r="B281" s="45" t="str">
        <f>IFERROR(VLOOKUP(Table1[[#This Row],[Seller SKU]],'[1]FG Snapshot (V2)'!$A:$B,2,0),"AR")</f>
        <v>DI</v>
      </c>
      <c r="C281" s="45">
        <f>IFERROR(VLOOKUP(Table1[[#This Row],[Seller SKU]],'[1]FG Snapshot (V2)'!$A:$E,5,0),"AR")</f>
        <v>275</v>
      </c>
      <c r="D281" s="88" t="s">
        <v>2117</v>
      </c>
      <c r="E281" s="64" t="str">
        <f>VLOOKUP(Table1[[#This Row],[MTP SKU]],'MTP SKUs - Master Data'!A:D,3,0)</f>
        <v>Chanorr Set of 2 Spice Rack</v>
      </c>
      <c r="F281" s="64" t="s">
        <v>1938</v>
      </c>
      <c r="G281" s="64" t="str">
        <f>_xlfn.CONCAT(Table1[[#This Row],[MTP Name]]," ",Table1[[#This Row],[ Child Color]])</f>
        <v>Chanorr Set of 2 Spice Rack Black</v>
      </c>
      <c r="H281" s="33" t="str">
        <f>VLOOKUP(Table1[[#This Row],[MTP SKU]],'MTP SKUs - Master Data'!A:D,3,0)</f>
        <v>Chanorr Set of 2 Spice Rack</v>
      </c>
      <c r="I281" s="40"/>
      <c r="J281" s="36" t="e">
        <v>#N/A</v>
      </c>
      <c r="K281" s="37" t="s">
        <v>2118</v>
      </c>
      <c r="L281" s="38" t="s">
        <v>2119</v>
      </c>
      <c r="M281" s="38" t="s">
        <v>2120</v>
      </c>
      <c r="N281" s="38" t="e">
        <v>#N/A</v>
      </c>
      <c r="O281" s="39" t="s">
        <v>2121</v>
      </c>
      <c r="P281" s="39" t="s">
        <v>62</v>
      </c>
      <c r="Q281" s="39" t="e">
        <v>#N/A</v>
      </c>
    </row>
    <row r="282" spans="1:17">
      <c r="A282" s="66" t="s">
        <v>2122</v>
      </c>
      <c r="B282" s="45" t="str">
        <f>IFERROR(VLOOKUP(Table1[[#This Row],[Seller SKU]],'[1]FG Snapshot (V2)'!$A:$B,2,0),"AR")</f>
        <v>Y</v>
      </c>
      <c r="C282" s="45">
        <f>IFERROR(VLOOKUP(Table1[[#This Row],[Seller SKU]],'[1]FG Snapshot (V2)'!$A:$E,5,0),"AR")</f>
        <v>208</v>
      </c>
      <c r="D282" s="40" t="s">
        <v>2123</v>
      </c>
      <c r="E282" s="64" t="str">
        <f>VLOOKUP(Table1[[#This Row],[MTP SKU]],'MTP SKUs - Master Data'!A:D,3,0)</f>
        <v>Yobeo 4 Tier  Spice Rack</v>
      </c>
      <c r="F282" s="64" t="s">
        <v>19</v>
      </c>
      <c r="G282" s="64" t="str">
        <f>_xlfn.CONCAT(Table1[[#This Row],[MTP Name]]," ",Table1[[#This Row],[ Child Color]])</f>
        <v>Yobeo 4 Tier  Spice Rack Brown Maple</v>
      </c>
      <c r="H282" s="40" t="str">
        <f>VLOOKUP(Table1[[#This Row],[MTP SKU]],'MTP SKUs - Master Data'!A:D,3,0)</f>
        <v>Yobeo 4 Tier  Spice Rack</v>
      </c>
      <c r="I282" s="40"/>
      <c r="J282" s="36"/>
      <c r="K282" s="37" t="s">
        <v>2124</v>
      </c>
      <c r="L282" s="38" t="s">
        <v>2125</v>
      </c>
      <c r="M282" s="38"/>
      <c r="N282" s="38" t="e">
        <v>#N/A</v>
      </c>
      <c r="O282" s="39" t="e">
        <v>#N/A</v>
      </c>
      <c r="P282" s="39" t="s">
        <v>62</v>
      </c>
      <c r="Q282" s="39" t="e">
        <v>#N/A</v>
      </c>
    </row>
    <row r="283" spans="1:17">
      <c r="A283" s="59" t="s">
        <v>2126</v>
      </c>
      <c r="B283" s="45" t="str">
        <f>IFERROR(VLOOKUP(Table1[[#This Row],[Seller SKU]],'[1]FG Snapshot (V2)'!$A:$B,2,0),"AR")</f>
        <v>DI</v>
      </c>
      <c r="C283" s="45">
        <f>IFERROR(VLOOKUP(Table1[[#This Row],[Seller SKU]],'[1]FG Snapshot (V2)'!$A:$E,5,0),"AR")</f>
        <v>275</v>
      </c>
      <c r="D283" s="88" t="s">
        <v>2127</v>
      </c>
      <c r="E283" s="64" t="str">
        <f>VLOOKUP(Table1[[#This Row],[MTP SKU]],'MTP SKUs - Master Data'!A:D,3,0)</f>
        <v>Ved Pooja Stool</v>
      </c>
      <c r="F283" s="64" t="s">
        <v>182</v>
      </c>
      <c r="G283" s="64" t="str">
        <f>_xlfn.CONCAT(Table1[[#This Row],[MTP Name]]," ",Table1[[#This Row],[ Child Color]])</f>
        <v>Ved Pooja Stool Wenge</v>
      </c>
      <c r="H283" s="33" t="str">
        <f>VLOOKUP(Table1[[#This Row],[MTP SKU]],'MTP SKUs - Master Data'!A:D,3,0)</f>
        <v>Ved Pooja Stool</v>
      </c>
      <c r="I283" s="40"/>
      <c r="J283" s="36" t="s">
        <v>2128</v>
      </c>
      <c r="K283" s="37" t="s">
        <v>2129</v>
      </c>
      <c r="L283" s="38" t="s">
        <v>2130</v>
      </c>
      <c r="M283" s="38" t="s">
        <v>2131</v>
      </c>
      <c r="N283" s="38" t="s">
        <v>2132</v>
      </c>
      <c r="O283" s="39" t="s">
        <v>2133</v>
      </c>
      <c r="P283" s="39" t="s">
        <v>62</v>
      </c>
      <c r="Q283" s="39" t="e">
        <v>#N/A</v>
      </c>
    </row>
    <row r="284" spans="1:17">
      <c r="A284" s="59" t="s">
        <v>2134</v>
      </c>
      <c r="B284" s="45" t="str">
        <f>IFERROR(VLOOKUP(Table1[[#This Row],[Seller SKU]],'[1]FG Snapshot (V2)'!$A:$B,2,0),"AR")</f>
        <v>MW</v>
      </c>
      <c r="C284" s="45">
        <f>IFERROR(VLOOKUP(Table1[[#This Row],[Seller SKU]],'[1]FG Snapshot (V2)'!$A:$E,5,0),"AR")</f>
        <v>275</v>
      </c>
      <c r="D284" s="40" t="s">
        <v>2135</v>
      </c>
      <c r="E284" s="64" t="str">
        <f>VLOOKUP(Table1[[#This Row],[MTP SKU]],'MTP SKUs - Master Data'!A:D,3,0)</f>
        <v>Adonis 2 Door Shoe Rack</v>
      </c>
      <c r="F284" s="64" t="s">
        <v>182</v>
      </c>
      <c r="G284" s="64" t="str">
        <f>_xlfn.CONCAT(Table1[[#This Row],[MTP Name]]," ",Table1[[#This Row],[ Child Color]])</f>
        <v>Adonis 2 Door Shoe Rack Wenge</v>
      </c>
      <c r="H284" s="33" t="str">
        <f>VLOOKUP(Table1[[#This Row],[MTP SKU]],'MTP SKUs - Master Data'!A:D,3,0)</f>
        <v>Adonis 2 Door Shoe Rack</v>
      </c>
      <c r="I284" s="40"/>
      <c r="J284" s="36" t="e">
        <v>#N/A</v>
      </c>
      <c r="K284" s="37"/>
      <c r="L284" s="38"/>
      <c r="M284" s="38"/>
      <c r="N284" s="38" t="e">
        <v>#N/A</v>
      </c>
      <c r="O284" s="39" t="s">
        <v>2136</v>
      </c>
      <c r="P284" s="39" t="s">
        <v>62</v>
      </c>
      <c r="Q284" s="39" t="e">
        <v>#N/A</v>
      </c>
    </row>
    <row r="285" spans="1:17">
      <c r="A285" s="59" t="s">
        <v>2137</v>
      </c>
      <c r="B285" s="45" t="str">
        <f>IFERROR(VLOOKUP(Table1[[#This Row],[Seller SKU]],'[1]FG Snapshot (V2)'!$A:$B,2,0),"AR")</f>
        <v>MW</v>
      </c>
      <c r="C285" s="45">
        <f>IFERROR(VLOOKUP(Table1[[#This Row],[Seller SKU]],'[1]FG Snapshot (V2)'!$A:$E,5,0),"AR")</f>
        <v>174</v>
      </c>
      <c r="D285" s="40" t="s">
        <v>2138</v>
      </c>
      <c r="E285" s="64" t="str">
        <f>VLOOKUP(Table1[[#This Row],[MTP SKU]],'MTP SKUs - Master Data'!A:D,3,0)</f>
        <v>Flovo Shoe Rack</v>
      </c>
      <c r="F285" s="64" t="s">
        <v>182</v>
      </c>
      <c r="G285" s="64" t="str">
        <f>_xlfn.CONCAT(Table1[[#This Row],[MTP Name]]," ",Table1[[#This Row],[ Child Color]])</f>
        <v>Flovo Shoe Rack Wenge</v>
      </c>
      <c r="H285" s="33" t="str">
        <f>VLOOKUP(Table1[[#This Row],[MTP SKU]],'MTP SKUs - Master Data'!A:D,3,0)</f>
        <v>Flovo Shoe Rack</v>
      </c>
      <c r="I285" s="40"/>
      <c r="J285" s="36" t="e">
        <v>#N/A</v>
      </c>
      <c r="K285" s="37"/>
      <c r="L285" s="38"/>
      <c r="M285" s="38"/>
      <c r="N285" s="38" t="e">
        <v>#N/A</v>
      </c>
      <c r="O285" s="39" t="s">
        <v>2139</v>
      </c>
      <c r="P285" s="39" t="s">
        <v>62</v>
      </c>
      <c r="Q285" s="39" t="e">
        <v>#N/A</v>
      </c>
    </row>
    <row r="286" spans="1:17">
      <c r="A286" s="59" t="s">
        <v>2140</v>
      </c>
      <c r="B286" s="45" t="str">
        <f>IFERROR(VLOOKUP(Table1[[#This Row],[Seller SKU]],'[1]FG Snapshot (V2)'!$A:$B,2,0),"AR")</f>
        <v>DI</v>
      </c>
      <c r="C286" s="45">
        <f>IFERROR(VLOOKUP(Table1[[#This Row],[Seller SKU]],'[1]FG Snapshot (V2)'!$A:$E,5,0),"AR")</f>
        <v>275</v>
      </c>
      <c r="D286" s="40" t="s">
        <v>2140</v>
      </c>
      <c r="E286" s="64" t="str">
        <f>VLOOKUP(Table1[[#This Row],[MTP SKU]],'MTP SKUs - Master Data'!A:D,3,0)</f>
        <v>Stellar Plus  Wall Shelve</v>
      </c>
      <c r="F286" s="64" t="s">
        <v>182</v>
      </c>
      <c r="G286" s="64" t="str">
        <f>_xlfn.CONCAT(Table1[[#This Row],[MTP Name]]," ",Table1[[#This Row],[ Child Color]])</f>
        <v>Stellar Plus  Wall Shelve Wenge</v>
      </c>
      <c r="H286" s="33" t="str">
        <f>VLOOKUP(Table1[[#This Row],[MTP SKU]],'MTP SKUs - Master Data'!A:D,3,0)</f>
        <v>Stellar Plus  Wall Shelve</v>
      </c>
      <c r="I286" s="40"/>
      <c r="J286" s="36" t="s">
        <v>2141</v>
      </c>
      <c r="K286" s="37"/>
      <c r="L286" s="38" t="s">
        <v>2142</v>
      </c>
      <c r="M286" s="38" t="s">
        <v>2143</v>
      </c>
      <c r="N286" s="38" t="s">
        <v>2144</v>
      </c>
      <c r="O286" s="39" t="s">
        <v>2145</v>
      </c>
      <c r="P286" s="39" t="s">
        <v>62</v>
      </c>
      <c r="Q286" s="39" t="e">
        <v>#N/A</v>
      </c>
    </row>
    <row r="287" spans="1:17">
      <c r="A287" s="59" t="s">
        <v>2146</v>
      </c>
      <c r="B287" s="45" t="str">
        <f>IFERROR(VLOOKUP(Table1[[#This Row],[Seller SKU]],'[1]FG Snapshot (V2)'!$A:$B,2,0),"AR")</f>
        <v>DI</v>
      </c>
      <c r="C287" s="45">
        <f>IFERROR(VLOOKUP(Table1[[#This Row],[Seller SKU]],'[1]FG Snapshot (V2)'!$A:$E,5,0),"AR")</f>
        <v>275</v>
      </c>
      <c r="D287" s="88" t="s">
        <v>2147</v>
      </c>
      <c r="E287" s="64" t="str">
        <f>VLOOKUP(Table1[[#This Row],[MTP SKU]],'MTP SKUs - Master Data'!A:D,3,0)</f>
        <v>Hemming Study Table</v>
      </c>
      <c r="F287" s="64" t="s">
        <v>780</v>
      </c>
      <c r="G287" s="64" t="str">
        <f>_xlfn.CONCAT(Table1[[#This Row],[MTP Name]]," ",Table1[[#This Row],[ Child Color]])</f>
        <v>Hemming Study Table Walnut</v>
      </c>
      <c r="H287" s="33" t="str">
        <f>VLOOKUP(Table1[[#This Row],[MTP SKU]],'MTP SKUs - Master Data'!A:D,3,0)</f>
        <v>Hemming Study Table</v>
      </c>
      <c r="I287" s="40"/>
      <c r="J287" s="36" t="s">
        <v>2148</v>
      </c>
      <c r="K287" s="37" t="s">
        <v>2149</v>
      </c>
      <c r="L287" s="38" t="s">
        <v>2150</v>
      </c>
      <c r="M287" s="38" t="s">
        <v>2151</v>
      </c>
      <c r="N287" s="38" t="s">
        <v>2152</v>
      </c>
      <c r="O287" s="39" t="e">
        <v>#N/A</v>
      </c>
      <c r="P287" s="39" t="s">
        <v>62</v>
      </c>
      <c r="Q287" s="39">
        <v>34399128</v>
      </c>
    </row>
    <row r="288" spans="1:17">
      <c r="A288" s="59" t="s">
        <v>2153</v>
      </c>
      <c r="B288" s="45" t="str">
        <f>IFERROR(VLOOKUP(Table1[[#This Row],[Seller SKU]],'[1]FG Snapshot (V2)'!$A:$B,2,0),"AR")</f>
        <v>MW</v>
      </c>
      <c r="C288" s="45">
        <f>IFERROR(VLOOKUP(Table1[[#This Row],[Seller SKU]],'[1]FG Snapshot (V2)'!$A:$E,5,0),"AR")</f>
        <v>248</v>
      </c>
      <c r="D288" s="40" t="s">
        <v>2154</v>
      </c>
      <c r="E288" s="64" t="str">
        <f>VLOOKUP(Table1[[#This Row],[MTP SKU]],'MTP SKUs - Master Data'!A:D,3,0)</f>
        <v>Nuffon Study Table</v>
      </c>
      <c r="F288" s="64" t="s">
        <v>46</v>
      </c>
      <c r="G288" s="64" t="str">
        <f>_xlfn.CONCAT(Table1[[#This Row],[MTP Name]]," ",Table1[[#This Row],[ Child Color]])</f>
        <v>Nuffon Study Table Wenge &amp; White</v>
      </c>
      <c r="H288" s="33" t="str">
        <f>VLOOKUP(Table1[[#This Row],[MTP SKU]],'MTP SKUs - Master Data'!A:D,3,0)</f>
        <v>Nuffon Study Table</v>
      </c>
      <c r="I288" s="40"/>
      <c r="J288" s="36" t="e">
        <v>#N/A</v>
      </c>
      <c r="K288" s="37"/>
      <c r="L288" s="38"/>
      <c r="M288" s="38"/>
      <c r="N288" s="38" t="e">
        <v>#N/A</v>
      </c>
      <c r="O288" s="39" t="s">
        <v>2155</v>
      </c>
      <c r="P288" s="39" t="s">
        <v>62</v>
      </c>
      <c r="Q288" s="39" t="e">
        <v>#N/A</v>
      </c>
    </row>
    <row r="289" spans="1:17">
      <c r="A289" s="59" t="s">
        <v>2156</v>
      </c>
      <c r="B289" s="45" t="str">
        <f>IFERROR(VLOOKUP(Table1[[#This Row],[Seller SKU]],'[1]FG Snapshot (V2)'!$A:$B,2,0),"AR")</f>
        <v>DI</v>
      </c>
      <c r="C289" s="45">
        <f>IFERROR(VLOOKUP(Table1[[#This Row],[Seller SKU]],'[1]FG Snapshot (V2)'!$A:$E,5,0),"AR")</f>
        <v>272</v>
      </c>
      <c r="D289" s="88" t="s">
        <v>2157</v>
      </c>
      <c r="E289" s="64" t="str">
        <f>VLOOKUP(Table1[[#This Row],[MTP SKU]],'MTP SKUs - Master Data'!A:D,3,0)</f>
        <v>Norel Adjustable Monitor Stand</v>
      </c>
      <c r="F289" s="64" t="s">
        <v>780</v>
      </c>
      <c r="G289" s="64" t="str">
        <f>_xlfn.CONCAT(Table1[[#This Row],[MTP Name]]," ",Table1[[#This Row],[ Child Color]])</f>
        <v>Norel Adjustable Monitor Stand Walnut</v>
      </c>
      <c r="H289" s="33" t="str">
        <f>VLOOKUP(Table1[[#This Row],[MTP SKU]],'MTP SKUs - Master Data'!A:D,3,0)</f>
        <v>Norel Adjustable Monitor Stand</v>
      </c>
      <c r="I289" s="40"/>
      <c r="J289" s="36" t="s">
        <v>2158</v>
      </c>
      <c r="K289" s="37" t="s">
        <v>2159</v>
      </c>
      <c r="L289" s="38" t="s">
        <v>2160</v>
      </c>
      <c r="M289" s="38" t="s">
        <v>2161</v>
      </c>
      <c r="N289" s="38" t="s">
        <v>2162</v>
      </c>
      <c r="O289" s="39" t="s">
        <v>2163</v>
      </c>
      <c r="P289" s="39" t="s">
        <v>62</v>
      </c>
      <c r="Q289" s="39" t="e">
        <v>#N/A</v>
      </c>
    </row>
    <row r="290" spans="1:17">
      <c r="A290" s="60" t="s">
        <v>2164</v>
      </c>
      <c r="B290" s="45" t="str">
        <f>IFERROR(VLOOKUP(Table1[[#This Row],[Seller SKU]],'[1]FG Snapshot (V2)'!$A:$B,2,0),"AR")</f>
        <v>NL</v>
      </c>
      <c r="C290" s="45">
        <f>IFERROR(VLOOKUP(Table1[[#This Row],[Seller SKU]],'[1]FG Snapshot (V2)'!$A:$E,5,0),"AR")</f>
        <v>114</v>
      </c>
      <c r="D290" s="40" t="s">
        <v>2165</v>
      </c>
      <c r="E290" s="67" t="str">
        <f>VLOOKUP(Table1[[#This Row],[MTP SKU]],'MTP SKUs - Master Data'!A:D,3,0)</f>
        <v>Amy TV Unit</v>
      </c>
      <c r="F290" s="64" t="s">
        <v>28</v>
      </c>
      <c r="G290" s="67" t="str">
        <f>_xlfn.CONCAT(Table1[[#This Row],[MTP Name]]," ",Table1[[#This Row],[ Child Color]])</f>
        <v>Amy TV Unit Brown Maple &amp; White</v>
      </c>
      <c r="H290" s="40" t="str">
        <f>VLOOKUP(Table1[[#This Row],[MTP SKU]],'MTP SKUs - Master Data'!A:D,3,0)</f>
        <v>Amy TV Unit</v>
      </c>
      <c r="I290" s="40"/>
      <c r="J290" s="36"/>
      <c r="K290" s="37" t="s">
        <v>2166</v>
      </c>
      <c r="L290" s="38" t="s">
        <v>2167</v>
      </c>
      <c r="M290" s="38" t="s">
        <v>2168</v>
      </c>
      <c r="N290" s="38" t="e">
        <v>#N/A</v>
      </c>
      <c r="O290" s="39"/>
      <c r="P290" s="39" t="s">
        <v>62</v>
      </c>
      <c r="Q290" s="39"/>
    </row>
    <row r="291" spans="1:17">
      <c r="A291" s="60" t="s">
        <v>2169</v>
      </c>
      <c r="B291" s="45" t="str">
        <f>IFERROR(VLOOKUP(Table1[[#This Row],[Seller SKU]],'[1]FG Snapshot (V2)'!$A:$B,2,0),"AR")</f>
        <v>NL</v>
      </c>
      <c r="C291" s="45">
        <f>IFERROR(VLOOKUP(Table1[[#This Row],[Seller SKU]],'[1]FG Snapshot (V2)'!$A:$E,5,0),"AR")</f>
        <v>260</v>
      </c>
      <c r="D291" s="40" t="s">
        <v>2170</v>
      </c>
      <c r="E291" s="67" t="str">
        <f>VLOOKUP(Table1[[#This Row],[MTP SKU]],'MTP SKUs - Master Data'!A:D,3,0)</f>
        <v>Harri TV Unit</v>
      </c>
      <c r="F291" s="64" t="s">
        <v>28</v>
      </c>
      <c r="G291" s="67" t="str">
        <f>_xlfn.CONCAT(Table1[[#This Row],[MTP Name]]," ",Table1[[#This Row],[ Child Color]])</f>
        <v>Harri TV Unit Brown Maple &amp; White</v>
      </c>
      <c r="H291" s="40" t="str">
        <f>VLOOKUP(Table1[[#This Row],[MTP SKU]],'MTP SKUs - Master Data'!A:D,3,0)</f>
        <v>Harri TV Unit</v>
      </c>
      <c r="I291" s="40"/>
      <c r="J291" s="36"/>
      <c r="K291" s="37" t="s">
        <v>2171</v>
      </c>
      <c r="L291" s="38" t="s">
        <v>2172</v>
      </c>
      <c r="M291" s="38" t="s">
        <v>2173</v>
      </c>
      <c r="N291" s="38" t="e">
        <v>#N/A</v>
      </c>
      <c r="O291" s="39"/>
      <c r="P291" s="39" t="s">
        <v>62</v>
      </c>
      <c r="Q291" s="39"/>
    </row>
    <row r="292" spans="1:17">
      <c r="A292" s="59" t="s">
        <v>2174</v>
      </c>
      <c r="B292" s="45" t="str">
        <f>IFERROR(VLOOKUP(Table1[[#This Row],[Seller SKU]],'[1]FG Snapshot (V2)'!$A:$B,2,0),"AR")</f>
        <v>DI</v>
      </c>
      <c r="C292" s="45">
        <f>IFERROR(VLOOKUP(Table1[[#This Row],[Seller SKU]],'[1]FG Snapshot (V2)'!$A:$E,5,0),"AR")</f>
        <v>275</v>
      </c>
      <c r="D292" s="88" t="s">
        <v>2175</v>
      </c>
      <c r="E292" s="64" t="str">
        <f>VLOOKUP(Table1[[#This Row],[MTP SKU]],'MTP SKUs - Master Data'!A:D,3,0)</f>
        <v>Kyvid Standard TV Unit</v>
      </c>
      <c r="F292" s="64" t="s">
        <v>182</v>
      </c>
      <c r="G292" s="64" t="str">
        <f>_xlfn.CONCAT(Table1[[#This Row],[MTP Name]]," ",Table1[[#This Row],[ Child Color]])</f>
        <v>Kyvid Standard TV Unit Wenge</v>
      </c>
      <c r="H292" s="33" t="str">
        <f>VLOOKUP(Table1[[#This Row],[MTP SKU]],'MTP SKUs - Master Data'!A:D,3,0)</f>
        <v>Kyvid Standard TV Unit</v>
      </c>
      <c r="I292" s="40"/>
      <c r="J292" s="36" t="s">
        <v>2176</v>
      </c>
      <c r="K292" s="37" t="s">
        <v>2177</v>
      </c>
      <c r="L292" s="38" t="s">
        <v>2178</v>
      </c>
      <c r="M292" s="38" t="s">
        <v>2179</v>
      </c>
      <c r="N292" s="38" t="s">
        <v>2180</v>
      </c>
      <c r="O292" s="39" t="s">
        <v>2181</v>
      </c>
      <c r="P292" s="39" t="s">
        <v>62</v>
      </c>
      <c r="Q292" s="39" t="e">
        <v>#N/A</v>
      </c>
    </row>
    <row r="293" spans="1:17">
      <c r="A293" s="60" t="s">
        <v>2182</v>
      </c>
      <c r="B293" s="45" t="str">
        <f>IFERROR(VLOOKUP(Table1[[#This Row],[Seller SKU]],'[1]FG Snapshot (V2)'!$A:$B,2,0),"AR")</f>
        <v>NL</v>
      </c>
      <c r="C293" s="45">
        <f>IFERROR(VLOOKUP(Table1[[#This Row],[Seller SKU]],'[1]FG Snapshot (V2)'!$A:$E,5,0),"AR")</f>
        <v>224</v>
      </c>
      <c r="D293" s="40" t="s">
        <v>2183</v>
      </c>
      <c r="E293" s="67" t="str">
        <f>VLOOKUP(Table1[[#This Row],[MTP SKU]],'MTP SKUs - Master Data'!A:D,3,0)</f>
        <v>Lami TV Unit</v>
      </c>
      <c r="F293" s="64" t="s">
        <v>28</v>
      </c>
      <c r="G293" s="67" t="str">
        <f>_xlfn.CONCAT(Table1[[#This Row],[MTP Name]]," ",Table1[[#This Row],[ Child Color]])</f>
        <v>Lami TV Unit Brown Maple &amp; White</v>
      </c>
      <c r="H293" s="40" t="str">
        <f>VLOOKUP(Table1[[#This Row],[MTP SKU]],'MTP SKUs - Master Data'!A:D,3,0)</f>
        <v>Lami TV Unit</v>
      </c>
      <c r="I293" s="40"/>
      <c r="J293" s="36"/>
      <c r="K293" s="37" t="s">
        <v>2184</v>
      </c>
      <c r="L293" s="38" t="s">
        <v>2185</v>
      </c>
      <c r="M293" s="38" t="s">
        <v>2186</v>
      </c>
      <c r="N293" s="38" t="e">
        <v>#N/A</v>
      </c>
      <c r="O293" s="39"/>
      <c r="P293" s="39" t="s">
        <v>62</v>
      </c>
      <c r="Q293" s="39"/>
    </row>
    <row r="294" spans="1:17">
      <c r="A294" s="60" t="s">
        <v>2187</v>
      </c>
      <c r="B294" s="45" t="str">
        <f>IFERROR(VLOOKUP(Table1[[#This Row],[Seller SKU]],'[1]FG Snapshot (V2)'!$A:$B,2,0),"AR")</f>
        <v>NL</v>
      </c>
      <c r="C294" s="45">
        <f>IFERROR(VLOOKUP(Table1[[#This Row],[Seller SKU]],'[1]FG Snapshot (V2)'!$A:$E,5,0),"AR")</f>
        <v>182</v>
      </c>
      <c r="D294" s="40" t="s">
        <v>2188</v>
      </c>
      <c r="E294" s="67" t="str">
        <f>VLOOKUP(Table1[[#This Row],[MTP SKU]],'MTP SKUs - Master Data'!A:D,3,0)</f>
        <v>Mannsae TV Unit</v>
      </c>
      <c r="F294" s="64" t="s">
        <v>28</v>
      </c>
      <c r="G294" s="67" t="str">
        <f>_xlfn.CONCAT(Table1[[#This Row],[MTP Name]]," ",Table1[[#This Row],[ Child Color]])</f>
        <v>Mannsae TV Unit Brown Maple &amp; White</v>
      </c>
      <c r="H294" s="40" t="str">
        <f>VLOOKUP(Table1[[#This Row],[MTP SKU]],'MTP SKUs - Master Data'!A:D,3,0)</f>
        <v>Mannsae TV Unit</v>
      </c>
      <c r="I294" s="40"/>
      <c r="J294" s="36"/>
      <c r="K294" s="37" t="s">
        <v>2189</v>
      </c>
      <c r="L294" s="38" t="s">
        <v>2190</v>
      </c>
      <c r="M294" s="38" t="s">
        <v>2191</v>
      </c>
      <c r="N294" s="38" t="e">
        <v>#N/A</v>
      </c>
      <c r="O294" s="39"/>
      <c r="P294" s="39" t="s">
        <v>62</v>
      </c>
      <c r="Q294" s="39"/>
    </row>
    <row r="295" spans="1:17">
      <c r="A295" s="60" t="s">
        <v>2192</v>
      </c>
      <c r="B295" s="45" t="str">
        <f>IFERROR(VLOOKUP(Table1[[#This Row],[Seller SKU]],'[1]FG Snapshot (V2)'!$A:$B,2,0),"AR")</f>
        <v>NL</v>
      </c>
      <c r="C295" s="45">
        <f>IFERROR(VLOOKUP(Table1[[#This Row],[Seller SKU]],'[1]FG Snapshot (V2)'!$A:$E,5,0),"AR")</f>
        <v>120</v>
      </c>
      <c r="D295" s="40" t="s">
        <v>2193</v>
      </c>
      <c r="E295" s="67" t="str">
        <f>VLOOKUP(Table1[[#This Row],[MTP SKU]],'MTP SKUs - Master Data'!A:D,3,0)</f>
        <v>Mannsae Plus TV Unit  </v>
      </c>
      <c r="F295" s="64" t="s">
        <v>28</v>
      </c>
      <c r="G295" s="67" t="str">
        <f>_xlfn.CONCAT(Table1[[#This Row],[MTP Name]]," ",Table1[[#This Row],[ Child Color]])</f>
        <v>Mannsae Plus TV Unit   Brown Maple &amp; White</v>
      </c>
      <c r="H295" s="40" t="str">
        <f>VLOOKUP(Table1[[#This Row],[MTP SKU]],'MTP SKUs - Master Data'!A:D,3,0)</f>
        <v>Mannsae Plus TV Unit  </v>
      </c>
      <c r="I295" s="40"/>
      <c r="J295" s="36"/>
      <c r="K295" s="37" t="s">
        <v>2194</v>
      </c>
      <c r="L295" s="38" t="s">
        <v>2195</v>
      </c>
      <c r="M295" s="38" t="s">
        <v>2196</v>
      </c>
      <c r="N295" s="38" t="e">
        <v>#N/A</v>
      </c>
      <c r="O295" s="39"/>
      <c r="P295" s="39" t="s">
        <v>62</v>
      </c>
      <c r="Q295" s="39"/>
    </row>
    <row r="296" spans="1:17">
      <c r="A296" s="60" t="s">
        <v>2197</v>
      </c>
      <c r="B296" s="45" t="str">
        <f>IFERROR(VLOOKUP(Table1[[#This Row],[Seller SKU]],'[1]FG Snapshot (V2)'!$A:$B,2,0),"AR")</f>
        <v>NL</v>
      </c>
      <c r="C296" s="45">
        <f>IFERROR(VLOOKUP(Table1[[#This Row],[Seller SKU]],'[1]FG Snapshot (V2)'!$A:$E,5,0),"AR")</f>
        <v>177</v>
      </c>
      <c r="D296" s="40" t="s">
        <v>2198</v>
      </c>
      <c r="E296" s="67" t="str">
        <f>VLOOKUP(Table1[[#This Row],[MTP SKU]],'MTP SKUs - Master Data'!A:D,3,0)</f>
        <v>Orelia TV Unit</v>
      </c>
      <c r="F296" s="64" t="s">
        <v>28</v>
      </c>
      <c r="G296" s="67" t="str">
        <f>_xlfn.CONCAT(Table1[[#This Row],[MTP Name]]," ",Table1[[#This Row],[ Child Color]])</f>
        <v>Orelia TV Unit Brown Maple &amp; White</v>
      </c>
      <c r="H296" s="40" t="str">
        <f>VLOOKUP(Table1[[#This Row],[MTP SKU]],'MTP SKUs - Master Data'!A:D,3,0)</f>
        <v>Orelia TV Unit</v>
      </c>
      <c r="I296" s="40"/>
      <c r="J296" s="36"/>
      <c r="K296" s="37" t="s">
        <v>2199</v>
      </c>
      <c r="L296" s="38" t="s">
        <v>2200</v>
      </c>
      <c r="M296" s="38" t="s">
        <v>2201</v>
      </c>
      <c r="N296" s="38" t="e">
        <v>#N/A</v>
      </c>
      <c r="O296" s="39"/>
      <c r="P296" s="39" t="s">
        <v>62</v>
      </c>
      <c r="Q296" s="39"/>
    </row>
    <row r="297" spans="1:17">
      <c r="A297" s="60" t="s">
        <v>2202</v>
      </c>
      <c r="B297" s="45" t="str">
        <f>IFERROR(VLOOKUP(Table1[[#This Row],[Seller SKU]],'[1]FG Snapshot (V2)'!$A:$B,2,0),"AR")</f>
        <v>NL</v>
      </c>
      <c r="C297" s="45">
        <f>IFERROR(VLOOKUP(Table1[[#This Row],[Seller SKU]],'[1]FG Snapshot (V2)'!$A:$E,5,0),"AR")</f>
        <v>122</v>
      </c>
      <c r="D297" s="40" t="s">
        <v>2203</v>
      </c>
      <c r="E297" s="67" t="str">
        <f>VLOOKUP(Table1[[#This Row],[MTP SKU]],'MTP SKUs - Master Data'!A:D,3,0)</f>
        <v>Optimal TV Unit</v>
      </c>
      <c r="F297" s="64" t="s">
        <v>28</v>
      </c>
      <c r="G297" s="67" t="str">
        <f>_xlfn.CONCAT(Table1[[#This Row],[MTP Name]]," ",Table1[[#This Row],[ Child Color]])</f>
        <v>Optimal TV Unit Brown Maple &amp; White</v>
      </c>
      <c r="H297" s="40" t="str">
        <f>VLOOKUP(Table1[[#This Row],[MTP SKU]],'MTP SKUs - Master Data'!A:D,3,0)</f>
        <v>Optimal TV Unit</v>
      </c>
      <c r="I297" s="40"/>
      <c r="J297" s="36"/>
      <c r="K297" s="37" t="s">
        <v>2204</v>
      </c>
      <c r="L297" s="38" t="s">
        <v>2205</v>
      </c>
      <c r="M297" s="38" t="s">
        <v>2206</v>
      </c>
      <c r="N297" s="38" t="e">
        <v>#N/A</v>
      </c>
      <c r="O297" s="39"/>
      <c r="P297" s="39" t="s">
        <v>62</v>
      </c>
      <c r="Q297" s="39"/>
    </row>
    <row r="298" spans="1:17">
      <c r="A298" s="60" t="s">
        <v>2207</v>
      </c>
      <c r="B298" s="45" t="str">
        <f>IFERROR(VLOOKUP(Table1[[#This Row],[Seller SKU]],'[1]FG Snapshot (V2)'!$A:$B,2,0),"AR")</f>
        <v>NL</v>
      </c>
      <c r="C298" s="45">
        <f>IFERROR(VLOOKUP(Table1[[#This Row],[Seller SKU]],'[1]FG Snapshot (V2)'!$A:$E,5,0),"AR")</f>
        <v>61</v>
      </c>
      <c r="D298" s="40" t="s">
        <v>2208</v>
      </c>
      <c r="E298" s="67" t="str">
        <f>VLOOKUP(Table1[[#This Row],[MTP SKU]],'MTP SKUs - Master Data'!A:D,3,0)</f>
        <v>Pinn TV Unit</v>
      </c>
      <c r="F298" s="64" t="s">
        <v>28</v>
      </c>
      <c r="G298" s="67" t="str">
        <f>_xlfn.CONCAT(Table1[[#This Row],[MTP Name]]," ",Table1[[#This Row],[ Child Color]])</f>
        <v>Pinn TV Unit Brown Maple &amp; White</v>
      </c>
      <c r="H298" s="40" t="str">
        <f>VLOOKUP(Table1[[#This Row],[MTP SKU]],'MTP SKUs - Master Data'!A:D,3,0)</f>
        <v>Pinn TV Unit</v>
      </c>
      <c r="I298" s="40"/>
      <c r="J298" s="36"/>
      <c r="K298" s="37" t="s">
        <v>2209</v>
      </c>
      <c r="L298" s="38" t="s">
        <v>2210</v>
      </c>
      <c r="M298" s="38" t="s">
        <v>2211</v>
      </c>
      <c r="N298" s="38" t="e">
        <v>#N/A</v>
      </c>
      <c r="O298" s="39"/>
      <c r="P298" s="39" t="s">
        <v>62</v>
      </c>
      <c r="Q298" s="39"/>
    </row>
    <row r="299" spans="1:17">
      <c r="A299" s="59" t="s">
        <v>2212</v>
      </c>
      <c r="B299" s="45" t="str">
        <f>IFERROR(VLOOKUP(Table1[[#This Row],[Seller SKU]],'[1]FG Snapshot (V2)'!$A:$B,2,0),"AR")</f>
        <v>Y</v>
      </c>
      <c r="C299" s="45">
        <f>IFERROR(VLOOKUP(Table1[[#This Row],[Seller SKU]],'[1]FG Snapshot (V2)'!$A:$E,5,0),"AR")</f>
        <v>199</v>
      </c>
      <c r="D299" s="88" t="s">
        <v>1779</v>
      </c>
      <c r="E299" s="64" t="str">
        <f>VLOOKUP(Table1[[#This Row],[MTP SKU]],'MTP SKUs - Master Data'!A:D,3,0)</f>
        <v>Reyloye Large TV Unit</v>
      </c>
      <c r="F299" s="64" t="s">
        <v>97</v>
      </c>
      <c r="G299" s="64" t="str">
        <f>_xlfn.CONCAT(Table1[[#This Row],[MTP Name]]," ",Table1[[#This Row],[ Child Color]])</f>
        <v>Reyloye Large TV Unit Brown Maple &amp; Beige</v>
      </c>
      <c r="H299" s="33" t="str">
        <f>VLOOKUP(Table1[[#This Row],[MTP SKU]],'MTP SKUs - Master Data'!A:D,3,0)</f>
        <v>Reyloye Large TV Unit</v>
      </c>
      <c r="I299" s="40"/>
      <c r="J299" s="36" t="s">
        <v>2213</v>
      </c>
      <c r="K299" s="37" t="s">
        <v>2214</v>
      </c>
      <c r="L299" s="38" t="s">
        <v>2215</v>
      </c>
      <c r="M299" s="38" t="s">
        <v>2216</v>
      </c>
      <c r="N299" s="38" t="s">
        <v>2217</v>
      </c>
      <c r="O299" s="39" t="s">
        <v>2218</v>
      </c>
      <c r="P299" s="39" t="s">
        <v>2219</v>
      </c>
      <c r="Q299" s="39">
        <v>34399044</v>
      </c>
    </row>
    <row r="300" spans="1:17">
      <c r="A300" s="59" t="s">
        <v>2220</v>
      </c>
      <c r="B300" s="45" t="str">
        <f>IFERROR(VLOOKUP(Table1[[#This Row],[Seller SKU]],'[1]FG Snapshot (V2)'!$A:$B,2,0),"AR")</f>
        <v>YH</v>
      </c>
      <c r="C300" s="45">
        <f>IFERROR(VLOOKUP(Table1[[#This Row],[Seller SKU]],'[1]FG Snapshot (V2)'!$A:$E,5,0),"AR")</f>
        <v>212</v>
      </c>
      <c r="D300" s="88" t="s">
        <v>1034</v>
      </c>
      <c r="E300" s="64" t="str">
        <f>VLOOKUP(Table1[[#This Row],[MTP SKU]],'MTP SKUs - Master Data'!A:D,3,0)</f>
        <v>Reyloye Standard TV Unit</v>
      </c>
      <c r="F300" s="64" t="s">
        <v>46</v>
      </c>
      <c r="G300" s="64" t="str">
        <f>_xlfn.CONCAT(Table1[[#This Row],[MTP Name]]," ",Table1[[#This Row],[ Child Color]])</f>
        <v>Reyloye Standard TV Unit Wenge &amp; White</v>
      </c>
      <c r="H300" s="33" t="str">
        <f>VLOOKUP(Table1[[#This Row],[MTP SKU]],'MTP SKUs - Master Data'!A:D,3,0)</f>
        <v>Reyloye Standard TV Unit</v>
      </c>
      <c r="I300" s="40"/>
      <c r="J300" s="36" t="s">
        <v>2221</v>
      </c>
      <c r="K300" s="37" t="s">
        <v>2222</v>
      </c>
      <c r="L300" s="38" t="s">
        <v>2223</v>
      </c>
      <c r="M300" s="38" t="s">
        <v>2224</v>
      </c>
      <c r="N300" s="38" t="s">
        <v>2225</v>
      </c>
      <c r="O300" s="39" t="s">
        <v>2226</v>
      </c>
      <c r="P300" s="39" t="s">
        <v>62</v>
      </c>
      <c r="Q300" s="39">
        <v>34399047</v>
      </c>
    </row>
    <row r="301" spans="1:17">
      <c r="A301" s="59" t="s">
        <v>2227</v>
      </c>
      <c r="B301" s="45" t="str">
        <f>IFERROR(VLOOKUP(Table1[[#This Row],[Seller SKU]],'[1]FG Snapshot (V2)'!$A:$B,2,0),"AR")</f>
        <v>DI</v>
      </c>
      <c r="C301" s="45">
        <f>IFERROR(VLOOKUP(Table1[[#This Row],[Seller SKU]],'[1]FG Snapshot (V2)'!$A:$E,5,0),"AR")</f>
        <v>275</v>
      </c>
      <c r="D301" s="88" t="s">
        <v>441</v>
      </c>
      <c r="E301" s="64" t="str">
        <f>VLOOKUP(Table1[[#This Row],[MTP SKU]],'MTP SKUs - Master Data'!A:D,3,0)</f>
        <v>Andrie 2 Door with Mirror Wardrobe</v>
      </c>
      <c r="F301" s="64" t="s">
        <v>97</v>
      </c>
      <c r="G301" s="64" t="str">
        <f>_xlfn.CONCAT(Table1[[#This Row],[MTP Name]]," ",Table1[[#This Row],[ Child Color]])</f>
        <v>Andrie 2 Door with Mirror Wardrobe Brown Maple &amp; Beige</v>
      </c>
      <c r="H301" s="33" t="str">
        <f>VLOOKUP(Table1[[#This Row],[MTP SKU]],'MTP SKUs - Master Data'!A:D,3,0)</f>
        <v>Andrie 2 Door with Mirror Wardrobe</v>
      </c>
      <c r="I301" s="40"/>
      <c r="J301" s="36" t="e">
        <v>#N/A</v>
      </c>
      <c r="K301" s="37" t="s">
        <v>2228</v>
      </c>
      <c r="L301" s="38" t="s">
        <v>2229</v>
      </c>
      <c r="M301" s="38" t="s">
        <v>2230</v>
      </c>
      <c r="N301" s="38" t="s">
        <v>2231</v>
      </c>
      <c r="O301" s="39" t="s">
        <v>2232</v>
      </c>
      <c r="P301" s="39" t="s">
        <v>62</v>
      </c>
      <c r="Q301" s="39" t="e">
        <v>#N/A</v>
      </c>
    </row>
    <row r="302" spans="1:17">
      <c r="A302" s="59" t="s">
        <v>2233</v>
      </c>
      <c r="B302" s="45" t="str">
        <f>IFERROR(VLOOKUP(Table1[[#This Row],[Seller SKU]],'[1]FG Snapshot (V2)'!$A:$B,2,0),"AR")</f>
        <v>DI</v>
      </c>
      <c r="C302" s="45">
        <f>IFERROR(VLOOKUP(Table1[[#This Row],[Seller SKU]],'[1]FG Snapshot (V2)'!$A:$E,5,0),"AR")</f>
        <v>275</v>
      </c>
      <c r="D302" s="88" t="s">
        <v>921</v>
      </c>
      <c r="E302" s="64" t="str">
        <f>VLOOKUP(Table1[[#This Row],[MTP SKU]],'MTP SKUs - Master Data'!A:D,3,0)</f>
        <v>Andrie 2 Door without Mirror Wardrobe</v>
      </c>
      <c r="F302" s="64" t="s">
        <v>97</v>
      </c>
      <c r="G302" s="64" t="str">
        <f>_xlfn.CONCAT(Table1[[#This Row],[MTP Name]]," ",Table1[[#This Row],[ Child Color]])</f>
        <v>Andrie 2 Door without Mirror Wardrobe Brown Maple &amp; Beige</v>
      </c>
      <c r="H302" s="33" t="str">
        <f>VLOOKUP(Table1[[#This Row],[MTP SKU]],'MTP SKUs - Master Data'!A:D,3,0)</f>
        <v>Andrie 2 Door without Mirror Wardrobe</v>
      </c>
      <c r="I302" s="40"/>
      <c r="J302" s="36" t="e">
        <v>#N/A</v>
      </c>
      <c r="K302" s="37" t="s">
        <v>2234</v>
      </c>
      <c r="L302" s="38" t="s">
        <v>2235</v>
      </c>
      <c r="M302" s="38" t="s">
        <v>2236</v>
      </c>
      <c r="N302" s="38" t="s">
        <v>2237</v>
      </c>
      <c r="O302" s="39" t="s">
        <v>2238</v>
      </c>
      <c r="P302" s="39" t="s">
        <v>62</v>
      </c>
      <c r="Q302" s="39" t="e">
        <v>#N/A</v>
      </c>
    </row>
    <row r="303" spans="1:17">
      <c r="A303" s="59" t="s">
        <v>2239</v>
      </c>
      <c r="B303" s="45" t="str">
        <f>IFERROR(VLOOKUP(Table1[[#This Row],[Seller SKU]],'[1]FG Snapshot (V2)'!$A:$B,2,0),"AR")</f>
        <v>DI</v>
      </c>
      <c r="C303" s="45">
        <f>IFERROR(VLOOKUP(Table1[[#This Row],[Seller SKU]],'[1]FG Snapshot (V2)'!$A:$E,5,0),"AR")</f>
        <v>275</v>
      </c>
      <c r="D303" s="88" t="s">
        <v>580</v>
      </c>
      <c r="E303" s="64" t="str">
        <f>VLOOKUP(Table1[[#This Row],[MTP SKU]],'MTP SKUs - Master Data'!A:D,3,0)</f>
        <v>Andrie 3 Door with Mirror Wardrobe</v>
      </c>
      <c r="F303" s="64" t="s">
        <v>97</v>
      </c>
      <c r="G303" s="64" t="str">
        <f>_xlfn.CONCAT(Table1[[#This Row],[MTP Name]]," ",Table1[[#This Row],[ Child Color]])</f>
        <v>Andrie 3 Door with Mirror Wardrobe Brown Maple &amp; Beige</v>
      </c>
      <c r="H303" s="33" t="str">
        <f>VLOOKUP(Table1[[#This Row],[MTP SKU]],'MTP SKUs - Master Data'!A:D,3,0)</f>
        <v>Andrie 3 Door with Mirror Wardrobe</v>
      </c>
      <c r="I303" s="40"/>
      <c r="J303" s="36" t="e">
        <v>#N/A</v>
      </c>
      <c r="K303" s="37" t="s">
        <v>2240</v>
      </c>
      <c r="L303" s="38" t="s">
        <v>2241</v>
      </c>
      <c r="M303" s="38" t="s">
        <v>2242</v>
      </c>
      <c r="N303" s="38" t="s">
        <v>2243</v>
      </c>
      <c r="O303" s="39" t="s">
        <v>2244</v>
      </c>
      <c r="P303" s="39" t="s">
        <v>62</v>
      </c>
      <c r="Q303" s="39" t="e">
        <v>#N/A</v>
      </c>
    </row>
    <row r="304" spans="1:17">
      <c r="A304" s="59" t="s">
        <v>2245</v>
      </c>
      <c r="B304" s="45" t="str">
        <f>IFERROR(VLOOKUP(Table1[[#This Row],[Seller SKU]],'[1]FG Snapshot (V2)'!$A:$B,2,0),"AR")</f>
        <v>Y</v>
      </c>
      <c r="C304" s="45">
        <f>IFERROR(VLOOKUP(Table1[[#This Row],[Seller SKU]],'[1]FG Snapshot (V2)'!$A:$E,5,0),"AR")</f>
        <v>206</v>
      </c>
      <c r="D304" s="88" t="s">
        <v>877</v>
      </c>
      <c r="E304" s="64" t="str">
        <f>VLOOKUP(Table1[[#This Row],[MTP SKU]],'MTP SKUs - Master Data'!A:D,3,0)</f>
        <v>Andrie 4 Door with Mirror Wardrobe</v>
      </c>
      <c r="F304" s="64" t="s">
        <v>46</v>
      </c>
      <c r="G304" s="64" t="str">
        <f>_xlfn.CONCAT(Table1[[#This Row],[MTP Name]]," ",Table1[[#This Row],[ Child Color]])</f>
        <v>Andrie 4 Door with Mirror Wardrobe Wenge &amp; White</v>
      </c>
      <c r="H304" s="33" t="str">
        <f>VLOOKUP(Table1[[#This Row],[MTP SKU]],'MTP SKUs - Master Data'!A:D,3,0)</f>
        <v>Andrie 4 Door with Mirror Wardrobe</v>
      </c>
      <c r="I304" s="40"/>
      <c r="J304" s="36" t="e">
        <v>#N/A</v>
      </c>
      <c r="K304" s="37" t="s">
        <v>2246</v>
      </c>
      <c r="L304" s="38" t="s">
        <v>2247</v>
      </c>
      <c r="M304" s="38" t="s">
        <v>2248</v>
      </c>
      <c r="N304" s="38" t="s">
        <v>2249</v>
      </c>
      <c r="O304" s="39" t="s">
        <v>2250</v>
      </c>
      <c r="P304" s="39" t="s">
        <v>2251</v>
      </c>
      <c r="Q304" s="39" t="e">
        <v>#N/A</v>
      </c>
    </row>
    <row r="305" spans="1:17">
      <c r="A305" s="60" t="s">
        <v>2252</v>
      </c>
      <c r="B305" s="45" t="str">
        <f>IFERROR(VLOOKUP(Table1[[#This Row],[Seller SKU]],'[1]FG Snapshot (V2)'!$A:$B,2,0),"AR")</f>
        <v>NL</v>
      </c>
      <c r="C305" s="45">
        <f>IFERROR(VLOOKUP(Table1[[#This Row],[Seller SKU]],'[1]FG Snapshot (V2)'!$A:$E,5,0),"AR")</f>
        <v>265</v>
      </c>
      <c r="D305" s="40" t="s">
        <v>2253</v>
      </c>
      <c r="E305" s="64" t="str">
        <f>VLOOKUP(Table1[[#This Row],[MTP SKU]],'MTP SKUs - Master Data'!A:D,3,0)</f>
        <v>Promys Set of Two Wall Art</v>
      </c>
      <c r="F305" s="64" t="s">
        <v>19</v>
      </c>
      <c r="G305" s="64" t="str">
        <f>_xlfn.CONCAT(Table1[[#This Row],[MTP Name]]," ",Table1[[#This Row],[ Child Color]])</f>
        <v>Promys Set of Two Wall Art Brown Maple</v>
      </c>
      <c r="H305" s="40" t="str">
        <f>VLOOKUP(Table1[[#This Row],[MTP SKU]],'MTP SKUs - Master Data'!A:D,3,0)</f>
        <v>Promys Set of Two Wall Art</v>
      </c>
      <c r="I305" s="40"/>
      <c r="J305" s="36"/>
      <c r="K305" s="37" t="s">
        <v>2254</v>
      </c>
      <c r="L305" s="38" t="s">
        <v>2255</v>
      </c>
      <c r="M305" s="38"/>
      <c r="N305" s="38" t="e">
        <v>#N/A</v>
      </c>
      <c r="O305" s="39" t="s">
        <v>2256</v>
      </c>
      <c r="P305" s="39" t="s">
        <v>62</v>
      </c>
      <c r="Q305" s="39" t="e">
        <v>#N/A</v>
      </c>
    </row>
    <row r="306" spans="1:17">
      <c r="A306" s="60" t="s">
        <v>2257</v>
      </c>
      <c r="B306" s="45" t="str">
        <f>IFERROR(VLOOKUP(Table1[[#This Row],[Seller SKU]],'[1]FG Snapshot (V2)'!$A:$B,2,0),"AR")</f>
        <v>YH</v>
      </c>
      <c r="C306" s="45">
        <f>IFERROR(VLOOKUP(Table1[[#This Row],[Seller SKU]],'[1]FG Snapshot (V2)'!$A:$E,5,0),"AR")</f>
        <v>274</v>
      </c>
      <c r="D306" s="40" t="s">
        <v>2258</v>
      </c>
      <c r="E306" s="64" t="str">
        <f>VLOOKUP(Table1[[#This Row],[MTP SKU]],'MTP SKUs - Master Data'!A:D,3,0)</f>
        <v>Promys with Shelf Set of Two Wall Art</v>
      </c>
      <c r="F306" s="64" t="s">
        <v>19</v>
      </c>
      <c r="G306" s="64" t="str">
        <f>_xlfn.CONCAT(Table1[[#This Row],[MTP Name]]," ",Table1[[#This Row],[ Child Color]])</f>
        <v>Promys with Shelf Set of Two Wall Art Brown Maple</v>
      </c>
      <c r="H306" s="40" t="str">
        <f>VLOOKUP(Table1[[#This Row],[MTP SKU]],'MTP SKUs - Master Data'!A:D,3,0)</f>
        <v>Promys with Shelf Set of Two Wall Art</v>
      </c>
      <c r="I306" s="40"/>
      <c r="J306" s="36"/>
      <c r="K306" s="37" t="s">
        <v>2259</v>
      </c>
      <c r="L306" s="38" t="s">
        <v>2260</v>
      </c>
      <c r="M306" s="38"/>
      <c r="N306" s="38" t="e">
        <v>#N/A</v>
      </c>
      <c r="O306" s="39" t="s">
        <v>2261</v>
      </c>
      <c r="P306" s="39" t="s">
        <v>62</v>
      </c>
      <c r="Q306" s="39" t="e">
        <v>#N/A</v>
      </c>
    </row>
    <row r="307" spans="1:17">
      <c r="A307" s="59" t="s">
        <v>2262</v>
      </c>
      <c r="B307" s="45" t="str">
        <f>IFERROR(VLOOKUP(Table1[[#This Row],[Seller SKU]],'[1]FG Snapshot (V2)'!$A:$B,2,0),"AR")</f>
        <v>AR</v>
      </c>
      <c r="C307" s="45" t="str">
        <f>IFERROR(VLOOKUP(Table1[[#This Row],[Seller SKU]],'[1]FG Snapshot (V2)'!$A:$E,5,0),"AR")</f>
        <v>AR</v>
      </c>
      <c r="D307" s="40" t="s">
        <v>1943</v>
      </c>
      <c r="E307" s="64" t="str">
        <f>VLOOKUP(Table1[[#This Row],[MTP SKU]],'MTP SKUs - Master Data'!A:D,3,0)</f>
        <v xml:space="preserve">Maltein King With storage Bed </v>
      </c>
      <c r="F307" s="64" t="s">
        <v>182</v>
      </c>
      <c r="G307" s="64" t="str">
        <f>_xlfn.CONCAT(Table1[[#This Row],[MTP Name]]," ",Table1[[#This Row],[ Child Color]])</f>
        <v>Maltein King With storage Bed  Wenge</v>
      </c>
      <c r="H307" s="33" t="str">
        <f>VLOOKUP(Table1[[#This Row],[MTP SKU]],'MTP SKUs - Master Data'!A:D,3,0)</f>
        <v xml:space="preserve">Maltein King With storage Bed </v>
      </c>
      <c r="I307" s="40"/>
      <c r="J307" s="36" t="e">
        <v>#N/A</v>
      </c>
      <c r="K307" s="37" t="s">
        <v>2263</v>
      </c>
      <c r="L307" s="38" t="s">
        <v>2264</v>
      </c>
      <c r="M307" s="38" t="s">
        <v>2265</v>
      </c>
      <c r="N307" s="38" t="s">
        <v>2266</v>
      </c>
      <c r="O307" s="39" t="s">
        <v>2267</v>
      </c>
      <c r="P307" s="39" t="s">
        <v>2268</v>
      </c>
      <c r="Q307" s="39" t="e">
        <v>#N/A</v>
      </c>
    </row>
    <row r="308" spans="1:17">
      <c r="A308" s="59" t="s">
        <v>2269</v>
      </c>
      <c r="B308" s="45" t="str">
        <f>IFERROR(VLOOKUP(Table1[[#This Row],[Seller SKU]],'[1]FG Snapshot (V2)'!$A:$B,2,0),"AR")</f>
        <v>AR</v>
      </c>
      <c r="C308" s="45" t="str">
        <f>IFERROR(VLOOKUP(Table1[[#This Row],[Seller SKU]],'[1]FG Snapshot (V2)'!$A:$E,5,0),"AR")</f>
        <v>AR</v>
      </c>
      <c r="D308" s="40" t="s">
        <v>913</v>
      </c>
      <c r="E308" s="64" t="str">
        <f>VLOOKUP(Table1[[#This Row],[MTP SKU]],'MTP SKUs - Master Data'!A:D,3,0)</f>
        <v xml:space="preserve">Maltein Queen With storage Bed </v>
      </c>
      <c r="F308" s="64" t="s">
        <v>182</v>
      </c>
      <c r="G308" s="64" t="str">
        <f>_xlfn.CONCAT(Table1[[#This Row],[MTP Name]]," ",Table1[[#This Row],[ Child Color]])</f>
        <v>Maltein Queen With storage Bed  Wenge</v>
      </c>
      <c r="H308" s="33" t="str">
        <f>VLOOKUP(Table1[[#This Row],[MTP SKU]],'MTP SKUs - Master Data'!A:D,3,0)</f>
        <v xml:space="preserve">Maltein Queen With storage Bed </v>
      </c>
      <c r="I308" s="40"/>
      <c r="J308" s="36" t="e">
        <v>#N/A</v>
      </c>
      <c r="K308" s="37" t="s">
        <v>2270</v>
      </c>
      <c r="L308" s="38" t="s">
        <v>2271</v>
      </c>
      <c r="M308" s="38" t="s">
        <v>2272</v>
      </c>
      <c r="N308" s="38" t="s">
        <v>2273</v>
      </c>
      <c r="O308" s="39" t="s">
        <v>2274</v>
      </c>
      <c r="P308" s="39" t="s">
        <v>2275</v>
      </c>
      <c r="Q308" s="39" t="e">
        <v>#N/A</v>
      </c>
    </row>
    <row r="309" spans="1:17">
      <c r="A309" s="59" t="s">
        <v>2276</v>
      </c>
      <c r="B309" s="45" t="str">
        <f>IFERROR(VLOOKUP(Table1[[#This Row],[Seller SKU]],'[1]FG Snapshot (V2)'!$A:$B,2,0),"AR")</f>
        <v>AR</v>
      </c>
      <c r="C309" s="45" t="str">
        <f>IFERROR(VLOOKUP(Table1[[#This Row],[Seller SKU]],'[1]FG Snapshot (V2)'!$A:$E,5,0),"AR")</f>
        <v>AR</v>
      </c>
      <c r="D309" s="40" t="s">
        <v>2277</v>
      </c>
      <c r="E309" s="64" t="str">
        <f>VLOOKUP(Table1[[#This Row],[MTP SKU]],'MTP SKUs - Master Data'!A:D,3,0)</f>
        <v xml:space="preserve">Pollo King Bed </v>
      </c>
      <c r="F309" s="64" t="s">
        <v>182</v>
      </c>
      <c r="G309" s="64" t="str">
        <f>_xlfn.CONCAT(Table1[[#This Row],[MTP Name]]," ",Table1[[#This Row],[ Child Color]])</f>
        <v>Pollo King Bed  Wenge</v>
      </c>
      <c r="H309" s="33" t="str">
        <f>VLOOKUP(Table1[[#This Row],[MTP SKU]],'MTP SKUs - Master Data'!A:D,3,0)</f>
        <v xml:space="preserve">Pollo King Bed </v>
      </c>
      <c r="I309" s="40"/>
      <c r="J309" s="36" t="e">
        <v>#N/A</v>
      </c>
      <c r="K309" s="37" t="s">
        <v>2278</v>
      </c>
      <c r="L309" s="38" t="s">
        <v>2279</v>
      </c>
      <c r="M309" s="38" t="s">
        <v>2280</v>
      </c>
      <c r="N309" s="38" t="s">
        <v>2281</v>
      </c>
      <c r="O309" s="39" t="s">
        <v>2282</v>
      </c>
      <c r="P309" s="39" t="s">
        <v>62</v>
      </c>
      <c r="Q309" s="39" t="e">
        <v>#N/A</v>
      </c>
    </row>
    <row r="310" spans="1:17">
      <c r="A310" s="59" t="s">
        <v>2283</v>
      </c>
      <c r="B310" s="45" t="str">
        <f>IFERROR(VLOOKUP(Table1[[#This Row],[Seller SKU]],'[1]FG Snapshot (V2)'!$A:$B,2,0),"AR")</f>
        <v>AR</v>
      </c>
      <c r="C310" s="45" t="str">
        <f>IFERROR(VLOOKUP(Table1[[#This Row],[Seller SKU]],'[1]FG Snapshot (V2)'!$A:$E,5,0),"AR")</f>
        <v>AR</v>
      </c>
      <c r="D310" s="88" t="s">
        <v>1593</v>
      </c>
      <c r="E310" s="64" t="str">
        <f>VLOOKUP(Table1[[#This Row],[MTP SKU]],'MTP SKUs - Master Data'!A:D,3,0)</f>
        <v xml:space="preserve">Pollo Queen with Storage Bed </v>
      </c>
      <c r="F310" s="64" t="s">
        <v>97</v>
      </c>
      <c r="G310" s="64" t="str">
        <f>_xlfn.CONCAT(Table1[[#This Row],[MTP Name]]," ",Table1[[#This Row],[ Child Color]])</f>
        <v>Pollo Queen with Storage Bed  Brown Maple &amp; Beige</v>
      </c>
      <c r="H310" s="33" t="str">
        <f>VLOOKUP(Table1[[#This Row],[MTP SKU]],'MTP SKUs - Master Data'!A:D,3,0)</f>
        <v xml:space="preserve">Pollo Queen with Storage Bed </v>
      </c>
      <c r="I310" s="40"/>
      <c r="J310" s="36" t="e">
        <v>#N/A</v>
      </c>
      <c r="K310" s="37" t="s">
        <v>2284</v>
      </c>
      <c r="L310" s="38" t="s">
        <v>2285</v>
      </c>
      <c r="M310" s="38" t="s">
        <v>2286</v>
      </c>
      <c r="N310" s="38" t="s">
        <v>2287</v>
      </c>
      <c r="O310" s="39" t="s">
        <v>2288</v>
      </c>
      <c r="P310" s="39" t="s">
        <v>62</v>
      </c>
      <c r="Q310" s="39" t="e">
        <v>#N/A</v>
      </c>
    </row>
    <row r="311" spans="1:17">
      <c r="A311" s="59" t="s">
        <v>2289</v>
      </c>
      <c r="B311" s="45" t="str">
        <f>IFERROR(VLOOKUP(Table1[[#This Row],[Seller SKU]],'[1]FG Snapshot (V2)'!$A:$B,2,0),"AR")</f>
        <v>AR</v>
      </c>
      <c r="C311" s="45" t="str">
        <f>IFERROR(VLOOKUP(Table1[[#This Row],[Seller SKU]],'[1]FG Snapshot (V2)'!$A:$E,5,0),"AR")</f>
        <v>AR</v>
      </c>
      <c r="D311" s="88" t="s">
        <v>1963</v>
      </c>
      <c r="E311" s="64" t="str">
        <f>VLOOKUP(Table1[[#This Row],[MTP SKU]],'MTP SKUs - Master Data'!A:D,3,0)</f>
        <v xml:space="preserve">Pollo Single Bed </v>
      </c>
      <c r="F311" s="64" t="s">
        <v>130</v>
      </c>
      <c r="G311" s="64" t="str">
        <f>_xlfn.CONCAT(Table1[[#This Row],[MTP Name]]," ",Table1[[#This Row],[ Child Color]])</f>
        <v>Pollo Single Bed  Walnut &amp; White</v>
      </c>
      <c r="H311" s="33" t="str">
        <f>VLOOKUP(Table1[[#This Row],[MTP SKU]],'MTP SKUs - Master Data'!A:D,3,0)</f>
        <v xml:space="preserve">Pollo Single Bed </v>
      </c>
      <c r="I311" s="40"/>
      <c r="J311" s="36" t="e">
        <v>#N/A</v>
      </c>
      <c r="K311" s="37" t="s">
        <v>2290</v>
      </c>
      <c r="L311" s="38" t="s">
        <v>2291</v>
      </c>
      <c r="M311" s="38" t="s">
        <v>2292</v>
      </c>
      <c r="N311" s="38" t="s">
        <v>2293</v>
      </c>
      <c r="O311" s="39" t="s">
        <v>2294</v>
      </c>
      <c r="P311" s="39" t="s">
        <v>2295</v>
      </c>
      <c r="Q311" s="39" t="e">
        <v>#N/A</v>
      </c>
    </row>
    <row r="312" spans="1:17">
      <c r="A312" s="59" t="s">
        <v>2296</v>
      </c>
      <c r="B312" s="45" t="str">
        <f>IFERROR(VLOOKUP(Table1[[#This Row],[Seller SKU]],'[1]FG Snapshot (V2)'!$A:$B,2,0),"AR")</f>
        <v>AR</v>
      </c>
      <c r="C312" s="45" t="str">
        <f>IFERROR(VLOOKUP(Table1[[#This Row],[Seller SKU]],'[1]FG Snapshot (V2)'!$A:$E,5,0),"AR")</f>
        <v>AR</v>
      </c>
      <c r="D312" s="40" t="s">
        <v>1963</v>
      </c>
      <c r="E312" s="64" t="str">
        <f>VLOOKUP(Table1[[#This Row],[MTP SKU]],'MTP SKUs - Master Data'!A:D,3,0)</f>
        <v xml:space="preserve">Pollo Single Bed </v>
      </c>
      <c r="F312" s="64" t="s">
        <v>97</v>
      </c>
      <c r="G312" s="64" t="str">
        <f>_xlfn.CONCAT(Table1[[#This Row],[MTP Name]]," ",Table1[[#This Row],[ Child Color]])</f>
        <v>Pollo Single Bed  Brown Maple &amp; Beige</v>
      </c>
      <c r="H312" s="33" t="str">
        <f>VLOOKUP(Table1[[#This Row],[MTP SKU]],'MTP SKUs - Master Data'!A:D,3,0)</f>
        <v xml:space="preserve">Pollo Single Bed </v>
      </c>
      <c r="I312" s="40"/>
      <c r="J312" s="36" t="e">
        <v>#N/A</v>
      </c>
      <c r="K312" s="37" t="s">
        <v>2297</v>
      </c>
      <c r="L312" s="38" t="s">
        <v>2298</v>
      </c>
      <c r="M312" s="38" t="s">
        <v>2299</v>
      </c>
      <c r="N312" s="38" t="s">
        <v>2300</v>
      </c>
      <c r="O312" s="39" t="s">
        <v>2301</v>
      </c>
      <c r="P312" s="39" t="s">
        <v>62</v>
      </c>
      <c r="Q312" s="39" t="e">
        <v>#N/A</v>
      </c>
    </row>
    <row r="313" spans="1:17">
      <c r="A313" s="59" t="s">
        <v>2302</v>
      </c>
      <c r="B313" s="45" t="str">
        <f>IFERROR(VLOOKUP(Table1[[#This Row],[Seller SKU]],'[1]FG Snapshot (V2)'!$A:$B,2,0),"AR")</f>
        <v>AR</v>
      </c>
      <c r="C313" s="45" t="str">
        <f>IFERROR(VLOOKUP(Table1[[#This Row],[Seller SKU]],'[1]FG Snapshot (V2)'!$A:$E,5,0),"AR")</f>
        <v>AR</v>
      </c>
      <c r="D313" s="40" t="s">
        <v>2303</v>
      </c>
      <c r="E313" s="64" t="str">
        <f>VLOOKUP(Table1[[#This Row],[MTP SKU]],'MTP SKUs - Master Data'!A:D,3,0)</f>
        <v>Roverb Diwan 30 Inch Non Storage</v>
      </c>
      <c r="F313" s="64" t="s">
        <v>19</v>
      </c>
      <c r="G313" s="64" t="str">
        <f>_xlfn.CONCAT(Table1[[#This Row],[MTP Name]]," ",Table1[[#This Row],[ Child Color]])</f>
        <v>Roverb Diwan 30 Inch Non Storage Brown Maple</v>
      </c>
      <c r="H313" s="33" t="str">
        <f>VLOOKUP(Table1[[#This Row],[MTP SKU]],'MTP SKUs - Master Data'!A:D,3,0)</f>
        <v>Roverb Diwan 30 Inch Non Storage</v>
      </c>
      <c r="I313" s="40"/>
      <c r="J313" s="36" t="e">
        <v>#N/A</v>
      </c>
      <c r="K313" s="37"/>
      <c r="L313" s="38"/>
      <c r="M313" s="38"/>
      <c r="N313" s="38" t="e">
        <v>#N/A</v>
      </c>
      <c r="O313" s="39" t="e">
        <v>#N/A</v>
      </c>
      <c r="P313" s="39" t="s">
        <v>62</v>
      </c>
      <c r="Q313" s="39" t="e">
        <v>#N/A</v>
      </c>
    </row>
    <row r="314" spans="1:17">
      <c r="A314" s="59" t="s">
        <v>2304</v>
      </c>
      <c r="B314" s="45" t="str">
        <f>IFERROR(VLOOKUP(Table1[[#This Row],[Seller SKU]],'[1]FG Snapshot (V2)'!$A:$B,2,0),"AR")</f>
        <v>AR</v>
      </c>
      <c r="C314" s="45" t="str">
        <f>IFERROR(VLOOKUP(Table1[[#This Row],[Seller SKU]],'[1]FG Snapshot (V2)'!$A:$E,5,0),"AR")</f>
        <v>AR</v>
      </c>
      <c r="D314" s="88" t="s">
        <v>788</v>
      </c>
      <c r="E314" s="64" t="str">
        <f>VLOOKUP(Table1[[#This Row],[MTP SKU]],'MTP SKUs - Master Data'!A:D,3,0)</f>
        <v xml:space="preserve">Roverb Queen Bed </v>
      </c>
      <c r="F314" s="64" t="s">
        <v>182</v>
      </c>
      <c r="G314" s="64" t="str">
        <f>_xlfn.CONCAT(Table1[[#This Row],[MTP Name]]," ",Table1[[#This Row],[ Child Color]])</f>
        <v>Roverb Queen Bed  Wenge</v>
      </c>
      <c r="H314" s="33" t="str">
        <f>VLOOKUP(Table1[[#This Row],[MTP SKU]],'MTP SKUs - Master Data'!A:D,3,0)</f>
        <v xml:space="preserve">Roverb Queen Bed </v>
      </c>
      <c r="I314" s="40"/>
      <c r="J314" s="36" t="e">
        <v>#N/A</v>
      </c>
      <c r="K314" s="37" t="s">
        <v>2305</v>
      </c>
      <c r="L314" s="38" t="s">
        <v>2306</v>
      </c>
      <c r="M314" s="38" t="s">
        <v>2307</v>
      </c>
      <c r="N314" s="38" t="s">
        <v>2308</v>
      </c>
      <c r="O314" s="39" t="s">
        <v>2309</v>
      </c>
      <c r="P314" s="39" t="s">
        <v>2310</v>
      </c>
      <c r="Q314" s="39" t="e">
        <v>#N/A</v>
      </c>
    </row>
    <row r="315" spans="1:17">
      <c r="A315" s="59" t="s">
        <v>2311</v>
      </c>
      <c r="B315" s="45" t="str">
        <f>IFERROR(VLOOKUP(Table1[[#This Row],[Seller SKU]],'[1]FG Snapshot (V2)'!$A:$B,2,0),"AR")</f>
        <v>AR</v>
      </c>
      <c r="C315" s="45" t="str">
        <f>IFERROR(VLOOKUP(Table1[[#This Row],[Seller SKU]],'[1]FG Snapshot (V2)'!$A:$E,5,0),"AR")</f>
        <v>AR</v>
      </c>
      <c r="D315" s="40" t="s">
        <v>788</v>
      </c>
      <c r="E315" s="64" t="str">
        <f>VLOOKUP(Table1[[#This Row],[MTP SKU]],'MTP SKUs - Master Data'!A:D,3,0)</f>
        <v xml:space="preserve">Roverb Queen Bed </v>
      </c>
      <c r="F315" s="64" t="s">
        <v>46</v>
      </c>
      <c r="G315" s="64" t="str">
        <f>_xlfn.CONCAT(Table1[[#This Row],[MTP Name]]," ",Table1[[#This Row],[ Child Color]])</f>
        <v>Roverb Queen Bed  Wenge &amp; White</v>
      </c>
      <c r="H315" s="33" t="str">
        <f>VLOOKUP(Table1[[#This Row],[MTP SKU]],'MTP SKUs - Master Data'!A:D,3,0)</f>
        <v xml:space="preserve">Roverb Queen Bed </v>
      </c>
      <c r="I315" s="40"/>
      <c r="J315" s="36" t="e">
        <v>#N/A</v>
      </c>
      <c r="K315" s="37" t="s">
        <v>2312</v>
      </c>
      <c r="L315" s="38" t="s">
        <v>2313</v>
      </c>
      <c r="M315" s="38" t="s">
        <v>2314</v>
      </c>
      <c r="N315" s="38" t="s">
        <v>2315</v>
      </c>
      <c r="O315" s="39" t="s">
        <v>2316</v>
      </c>
      <c r="P315" s="39" t="s">
        <v>62</v>
      </c>
      <c r="Q315" s="39" t="e">
        <v>#N/A</v>
      </c>
    </row>
    <row r="316" spans="1:17">
      <c r="A316" s="59" t="s">
        <v>2317</v>
      </c>
      <c r="B316" s="45" t="str">
        <f>IFERROR(VLOOKUP(Table1[[#This Row],[Seller SKU]],'[1]FG Snapshot (V2)'!$A:$B,2,0),"AR")</f>
        <v>AR</v>
      </c>
      <c r="C316" s="45" t="str">
        <f>IFERROR(VLOOKUP(Table1[[#This Row],[Seller SKU]],'[1]FG Snapshot (V2)'!$A:$E,5,0),"AR")</f>
        <v>AR</v>
      </c>
      <c r="D316" s="40" t="s">
        <v>2318</v>
      </c>
      <c r="E316" s="64" t="str">
        <f>VLOOKUP(Table1[[#This Row],[MTP SKU]],'MTP SKUs - Master Data'!A:D,3,0)</f>
        <v>Anatdol Standard Coffee Table</v>
      </c>
      <c r="F316" s="64" t="s">
        <v>46</v>
      </c>
      <c r="G316" s="64" t="str">
        <f>_xlfn.CONCAT(Table1[[#This Row],[MTP Name]]," ",Table1[[#This Row],[ Child Color]])</f>
        <v>Anatdol Standard Coffee Table Wenge &amp; White</v>
      </c>
      <c r="H316" s="33" t="str">
        <f>VLOOKUP(Table1[[#This Row],[MTP SKU]],'MTP SKUs - Master Data'!A:D,3,0)</f>
        <v>Anatdol Standard Coffee Table</v>
      </c>
      <c r="I316" s="40"/>
      <c r="J316" s="36" t="s">
        <v>2319</v>
      </c>
      <c r="K316" s="37" t="s">
        <v>2320</v>
      </c>
      <c r="L316" s="38" t="s">
        <v>2321</v>
      </c>
      <c r="M316" s="38" t="s">
        <v>2322</v>
      </c>
      <c r="N316" s="38" t="s">
        <v>2323</v>
      </c>
      <c r="O316" s="39" t="s">
        <v>2324</v>
      </c>
      <c r="P316" s="39" t="s">
        <v>62</v>
      </c>
      <c r="Q316" s="39" t="e">
        <v>#N/A</v>
      </c>
    </row>
    <row r="317" spans="1:17">
      <c r="A317" s="59" t="s">
        <v>2325</v>
      </c>
      <c r="B317" s="45" t="str">
        <f>IFERROR(VLOOKUP(Table1[[#This Row],[Seller SKU]],'[1]FG Snapshot (V2)'!$A:$B,2,0),"AR")</f>
        <v>AR</v>
      </c>
      <c r="C317" s="45" t="str">
        <f>IFERROR(VLOOKUP(Table1[[#This Row],[Seller SKU]],'[1]FG Snapshot (V2)'!$A:$E,5,0),"AR")</f>
        <v>AR</v>
      </c>
      <c r="D317" s="40" t="s">
        <v>728</v>
      </c>
      <c r="E317" s="64" t="str">
        <f>VLOOKUP(Table1[[#This Row],[MTP SKU]],'MTP SKUs - Master Data'!A:D,3,0)</f>
        <v>Declove Coffee Table</v>
      </c>
      <c r="F317" s="64" t="s">
        <v>2326</v>
      </c>
      <c r="G317" s="64" t="str">
        <f>_xlfn.CONCAT(Table1[[#This Row],[MTP Name]]," ",Table1[[#This Row],[ Child Color]])</f>
        <v>Declove Coffee Table Wildwood &amp; Beige</v>
      </c>
      <c r="H317" s="33" t="str">
        <f>VLOOKUP(Table1[[#This Row],[MTP SKU]],'MTP SKUs - Master Data'!A:D,3,0)</f>
        <v>Declove Coffee Table</v>
      </c>
      <c r="I317" s="40"/>
      <c r="J317" s="36" t="s">
        <v>2327</v>
      </c>
      <c r="K317" s="37" t="s">
        <v>2328</v>
      </c>
      <c r="L317" s="38" t="e">
        <v>#N/A</v>
      </c>
      <c r="M317" s="38"/>
      <c r="N317" s="38" t="s">
        <v>2329</v>
      </c>
      <c r="O317" s="39" t="s">
        <v>2330</v>
      </c>
      <c r="P317" s="39" t="s">
        <v>62</v>
      </c>
      <c r="Q317" s="39" t="e">
        <v>#N/A</v>
      </c>
    </row>
    <row r="318" spans="1:17">
      <c r="A318" s="59" t="s">
        <v>2331</v>
      </c>
      <c r="B318" s="45" t="str">
        <f>IFERROR(VLOOKUP(Table1[[#This Row],[Seller SKU]],'[1]FG Snapshot (V2)'!$A:$B,2,0),"AR")</f>
        <v>AR</v>
      </c>
      <c r="C318" s="45" t="str">
        <f>IFERROR(VLOOKUP(Table1[[#This Row],[Seller SKU]],'[1]FG Snapshot (V2)'!$A:$E,5,0),"AR")</f>
        <v>AR</v>
      </c>
      <c r="D318" s="40" t="s">
        <v>728</v>
      </c>
      <c r="E318" s="64" t="str">
        <f>VLOOKUP(Table1[[#This Row],[MTP SKU]],'MTP SKUs - Master Data'!A:D,3,0)</f>
        <v>Declove Coffee Table</v>
      </c>
      <c r="F318" s="64" t="s">
        <v>97</v>
      </c>
      <c r="G318" s="64" t="str">
        <f>_xlfn.CONCAT(Table1[[#This Row],[MTP Name]]," ",Table1[[#This Row],[ Child Color]])</f>
        <v>Declove Coffee Table Brown Maple &amp; Beige</v>
      </c>
      <c r="H318" s="33" t="str">
        <f>VLOOKUP(Table1[[#This Row],[MTP SKU]],'MTP SKUs - Master Data'!A:D,3,0)</f>
        <v>Declove Coffee Table</v>
      </c>
      <c r="I318" s="40"/>
      <c r="J318" s="36" t="s">
        <v>2332</v>
      </c>
      <c r="K318" s="37" t="s">
        <v>2333</v>
      </c>
      <c r="L318" s="38" t="s">
        <v>2334</v>
      </c>
      <c r="M318" s="38" t="s">
        <v>2335</v>
      </c>
      <c r="N318" s="38" t="s">
        <v>2336</v>
      </c>
      <c r="O318" s="39" t="s">
        <v>2337</v>
      </c>
      <c r="P318" s="39" t="s">
        <v>62</v>
      </c>
      <c r="Q318" s="39" t="e">
        <v>#N/A</v>
      </c>
    </row>
    <row r="319" spans="1:17">
      <c r="A319" s="59" t="s">
        <v>2338</v>
      </c>
      <c r="B319" s="45" t="str">
        <f>IFERROR(VLOOKUP(Table1[[#This Row],[Seller SKU]],'[1]FG Snapshot (V2)'!$A:$B,2,0),"AR")</f>
        <v>AR</v>
      </c>
      <c r="C319" s="45" t="str">
        <f>IFERROR(VLOOKUP(Table1[[#This Row],[Seller SKU]],'[1]FG Snapshot (V2)'!$A:$E,5,0),"AR")</f>
        <v>AR</v>
      </c>
      <c r="D319" s="88" t="s">
        <v>2339</v>
      </c>
      <c r="E319" s="64" t="str">
        <f>VLOOKUP(Table1[[#This Row],[MTP SKU]],'MTP SKUs - Master Data'!A:D,3,0)</f>
        <v>Gustowe Rectangle Coffee Table</v>
      </c>
      <c r="F319" s="64" t="s">
        <v>56</v>
      </c>
      <c r="G319" s="64" t="str">
        <f>_xlfn.CONCAT(Table1[[#This Row],[MTP Name]]," ",Table1[[#This Row],[ Child Color]])</f>
        <v>Gustowe Rectangle Coffee Table White</v>
      </c>
      <c r="H319" s="33" t="str">
        <f>VLOOKUP(Table1[[#This Row],[MTP SKU]],'MTP SKUs - Master Data'!A:D,3,0)</f>
        <v>Gustowe Rectangle Coffee Table</v>
      </c>
      <c r="I319" s="40"/>
      <c r="J319" s="36" t="s">
        <v>2340</v>
      </c>
      <c r="K319" s="37" t="s">
        <v>2341</v>
      </c>
      <c r="L319" s="38" t="s">
        <v>2342</v>
      </c>
      <c r="M319" s="38" t="s">
        <v>2343</v>
      </c>
      <c r="N319" s="38" t="s">
        <v>2344</v>
      </c>
      <c r="O319" s="39" t="s">
        <v>2345</v>
      </c>
      <c r="P319" s="39" t="s">
        <v>62</v>
      </c>
      <c r="Q319" s="39" t="e">
        <v>#N/A</v>
      </c>
    </row>
    <row r="320" spans="1:17">
      <c r="A320" s="59" t="s">
        <v>2346</v>
      </c>
      <c r="B320" s="45" t="str">
        <f>IFERROR(VLOOKUP(Table1[[#This Row],[Seller SKU]],'[1]FG Snapshot (V2)'!$A:$B,2,0),"AR")</f>
        <v>AR</v>
      </c>
      <c r="C320" s="45" t="str">
        <f>IFERROR(VLOOKUP(Table1[[#This Row],[Seller SKU]],'[1]FG Snapshot (V2)'!$A:$E,5,0),"AR")</f>
        <v>AR</v>
      </c>
      <c r="D320" s="88" t="s">
        <v>1998</v>
      </c>
      <c r="E320" s="64" t="str">
        <f>VLOOKUP(Table1[[#This Row],[MTP SKU]],'MTP SKUs - Master Data'!A:D,3,0)</f>
        <v>Gustowe Rectangle Set of Two Coffee Table</v>
      </c>
      <c r="F320" s="64" t="s">
        <v>56</v>
      </c>
      <c r="G320" s="64" t="str">
        <f>_xlfn.CONCAT(Table1[[#This Row],[MTP Name]]," ",Table1[[#This Row],[ Child Color]])</f>
        <v>Gustowe Rectangle Set of Two Coffee Table White</v>
      </c>
      <c r="H320" s="33" t="str">
        <f>VLOOKUP(Table1[[#This Row],[MTP SKU]],'MTP SKUs - Master Data'!A:D,3,0)</f>
        <v>Gustowe Rectangle Set of Two Coffee Table</v>
      </c>
      <c r="I320" s="40"/>
      <c r="J320" s="36" t="s">
        <v>2347</v>
      </c>
      <c r="K320" s="37" t="s">
        <v>2348</v>
      </c>
      <c r="L320" s="38" t="s">
        <v>2349</v>
      </c>
      <c r="M320" s="38" t="s">
        <v>2350</v>
      </c>
      <c r="N320" s="38" t="s">
        <v>2351</v>
      </c>
      <c r="O320" s="39" t="s">
        <v>2352</v>
      </c>
      <c r="P320" s="39" t="s">
        <v>62</v>
      </c>
      <c r="Q320" s="39" t="e">
        <v>#N/A</v>
      </c>
    </row>
    <row r="321" spans="1:17">
      <c r="A321" s="59" t="s">
        <v>2353</v>
      </c>
      <c r="B321" s="45" t="str">
        <f>IFERROR(VLOOKUP(Table1[[#This Row],[Seller SKU]],'[1]FG Snapshot (V2)'!$A:$B,2,0),"AR")</f>
        <v>AR</v>
      </c>
      <c r="C321" s="45" t="str">
        <f>IFERROR(VLOOKUP(Table1[[#This Row],[Seller SKU]],'[1]FG Snapshot (V2)'!$A:$E,5,0),"AR")</f>
        <v>AR</v>
      </c>
      <c r="D321" s="40" t="s">
        <v>2339</v>
      </c>
      <c r="E321" s="64" t="str">
        <f>VLOOKUP(Table1[[#This Row],[MTP SKU]],'MTP SKUs - Master Data'!A:D,3,0)</f>
        <v>Gustowe Rectangle Coffee Table</v>
      </c>
      <c r="F321" s="64" t="s">
        <v>182</v>
      </c>
      <c r="G321" s="64" t="str">
        <f>_xlfn.CONCAT(Table1[[#This Row],[MTP Name]]," ",Table1[[#This Row],[ Child Color]])</f>
        <v>Gustowe Rectangle Coffee Table Wenge</v>
      </c>
      <c r="H321" s="33" t="str">
        <f>VLOOKUP(Table1[[#This Row],[MTP SKU]],'MTP SKUs - Master Data'!A:D,3,0)</f>
        <v>Gustowe Rectangle Coffee Table</v>
      </c>
      <c r="I321" s="40"/>
      <c r="J321" s="36" t="s">
        <v>2354</v>
      </c>
      <c r="K321" s="37" t="s">
        <v>2355</v>
      </c>
      <c r="L321" s="38" t="s">
        <v>2356</v>
      </c>
      <c r="M321" s="38" t="s">
        <v>2357</v>
      </c>
      <c r="N321" s="38" t="s">
        <v>2358</v>
      </c>
      <c r="O321" s="39" t="s">
        <v>2359</v>
      </c>
      <c r="P321" s="39" t="s">
        <v>62</v>
      </c>
      <c r="Q321" s="39" t="e">
        <v>#N/A</v>
      </c>
    </row>
    <row r="322" spans="1:17">
      <c r="A322" s="59" t="s">
        <v>2360</v>
      </c>
      <c r="B322" s="45" t="str">
        <f>IFERROR(VLOOKUP(Table1[[#This Row],[Seller SKU]],'[1]FG Snapshot (V2)'!$A:$B,2,0),"AR")</f>
        <v>AR</v>
      </c>
      <c r="C322" s="45" t="str">
        <f>IFERROR(VLOOKUP(Table1[[#This Row],[Seller SKU]],'[1]FG Snapshot (V2)'!$A:$E,5,0),"AR")</f>
        <v>AR</v>
      </c>
      <c r="D322" s="40" t="s">
        <v>2361</v>
      </c>
      <c r="E322" s="64" t="str">
        <f>VLOOKUP(Table1[[#This Row],[MTP SKU]],'MTP SKUs - Master Data'!A:D,3,0)</f>
        <v>Kasvon Square Coffee Table</v>
      </c>
      <c r="F322" s="64" t="s">
        <v>182</v>
      </c>
      <c r="G322" s="64" t="str">
        <f>_xlfn.CONCAT(Table1[[#This Row],[MTP Name]]," ",Table1[[#This Row],[ Child Color]])</f>
        <v>Kasvon Square Coffee Table Wenge</v>
      </c>
      <c r="H322" s="33" t="str">
        <f>VLOOKUP(Table1[[#This Row],[MTP SKU]],'MTP SKUs - Master Data'!A:D,3,0)</f>
        <v>Kasvon Square Coffee Table</v>
      </c>
      <c r="I322" s="40"/>
      <c r="J322" s="36" t="s">
        <v>2362</v>
      </c>
      <c r="K322" s="37" t="s">
        <v>2363</v>
      </c>
      <c r="L322" s="38" t="s">
        <v>2364</v>
      </c>
      <c r="M322" s="38" t="s">
        <v>2365</v>
      </c>
      <c r="N322" s="38" t="s">
        <v>2366</v>
      </c>
      <c r="O322" s="39" t="s">
        <v>2367</v>
      </c>
      <c r="P322" s="39" t="s">
        <v>62</v>
      </c>
      <c r="Q322" s="39" t="e">
        <v>#N/A</v>
      </c>
    </row>
    <row r="323" spans="1:17">
      <c r="A323" s="59" t="s">
        <v>2368</v>
      </c>
      <c r="B323" s="45" t="str">
        <f>IFERROR(VLOOKUP(Table1[[#This Row],[Seller SKU]],'[1]FG Snapshot (V2)'!$A:$B,2,0),"AR")</f>
        <v>AR</v>
      </c>
      <c r="C323" s="45" t="str">
        <f>IFERROR(VLOOKUP(Table1[[#This Row],[Seller SKU]],'[1]FG Snapshot (V2)'!$A:$E,5,0),"AR")</f>
        <v>AR</v>
      </c>
      <c r="D323" s="88" t="s">
        <v>331</v>
      </c>
      <c r="E323" s="64" t="str">
        <f>VLOOKUP(Table1[[#This Row],[MTP SKU]],'MTP SKUs - Master Data'!A:D,3,0)</f>
        <v>Leo Coffee Table</v>
      </c>
      <c r="F323" s="64" t="s">
        <v>182</v>
      </c>
      <c r="G323" s="64" t="str">
        <f>_xlfn.CONCAT(Table1[[#This Row],[MTP Name]]," ",Table1[[#This Row],[ Child Color]])</f>
        <v>Leo Coffee Table Wenge</v>
      </c>
      <c r="H323" s="33" t="str">
        <f>VLOOKUP(Table1[[#This Row],[MTP SKU]],'MTP SKUs - Master Data'!A:D,3,0)</f>
        <v>Leo Coffee Table</v>
      </c>
      <c r="I323" s="40"/>
      <c r="J323" s="36" t="s">
        <v>2369</v>
      </c>
      <c r="K323" s="37" t="s">
        <v>2370</v>
      </c>
      <c r="L323" s="38" t="s">
        <v>2371</v>
      </c>
      <c r="M323" s="38" t="s">
        <v>2372</v>
      </c>
      <c r="N323" s="38" t="s">
        <v>2373</v>
      </c>
      <c r="O323" s="39" t="s">
        <v>2374</v>
      </c>
      <c r="P323" s="39" t="s">
        <v>2375</v>
      </c>
      <c r="Q323" s="39" t="e">
        <v>#N/A</v>
      </c>
    </row>
    <row r="324" spans="1:17">
      <c r="A324" s="59" t="s">
        <v>2376</v>
      </c>
      <c r="B324" s="45" t="str">
        <f>IFERROR(VLOOKUP(Table1[[#This Row],[Seller SKU]],'[1]FG Snapshot (V2)'!$A:$B,2,0),"AR")</f>
        <v>AR</v>
      </c>
      <c r="C324" s="45" t="str">
        <f>IFERROR(VLOOKUP(Table1[[#This Row],[Seller SKU]],'[1]FG Snapshot (V2)'!$A:$E,5,0),"AR")</f>
        <v>AR</v>
      </c>
      <c r="D324" s="88" t="s">
        <v>2377</v>
      </c>
      <c r="E324" s="64" t="str">
        <f>VLOOKUP(Table1[[#This Row],[MTP SKU]],'MTP SKUs - Master Data'!A:D,3,0)</f>
        <v>Mayrite Square Coffee Table</v>
      </c>
      <c r="F324" s="64" t="s">
        <v>182</v>
      </c>
      <c r="G324" s="64" t="str">
        <f>_xlfn.CONCAT(Table1[[#This Row],[MTP Name]]," ",Table1[[#This Row],[ Child Color]])</f>
        <v>Mayrite Square Coffee Table Wenge</v>
      </c>
      <c r="H324" s="33" t="str">
        <f>VLOOKUP(Table1[[#This Row],[MTP SKU]],'MTP SKUs - Master Data'!A:D,3,0)</f>
        <v>Mayrite Square Coffee Table</v>
      </c>
      <c r="I324" s="40"/>
      <c r="J324" s="36" t="e">
        <v>#N/A</v>
      </c>
      <c r="K324" s="37" t="s">
        <v>2378</v>
      </c>
      <c r="L324" s="38" t="s">
        <v>2379</v>
      </c>
      <c r="M324" s="38" t="s">
        <v>2380</v>
      </c>
      <c r="N324" s="38" t="s">
        <v>2381</v>
      </c>
      <c r="O324" s="39" t="s">
        <v>2382</v>
      </c>
      <c r="P324" s="39" t="s">
        <v>62</v>
      </c>
      <c r="Q324" s="39" t="e">
        <v>#N/A</v>
      </c>
    </row>
    <row r="325" spans="1:17">
      <c r="A325" s="59" t="s">
        <v>2383</v>
      </c>
      <c r="B325" s="45" t="str">
        <f>IFERROR(VLOOKUP(Table1[[#This Row],[Seller SKU]],'[1]FG Snapshot (V2)'!$A:$B,2,0),"AR")</f>
        <v>AR</v>
      </c>
      <c r="C325" s="45" t="str">
        <f>IFERROR(VLOOKUP(Table1[[#This Row],[Seller SKU]],'[1]FG Snapshot (V2)'!$A:$E,5,0),"AR")</f>
        <v>AR</v>
      </c>
      <c r="D325" s="40" t="s">
        <v>2384</v>
      </c>
      <c r="E325" s="64" t="str">
        <f>VLOOKUP(Table1[[#This Row],[MTP SKU]],'MTP SKUs - Master Data'!A:D,3,0)</f>
        <v>Noel Square Coffee Table</v>
      </c>
      <c r="F325" s="64" t="s">
        <v>780</v>
      </c>
      <c r="G325" s="64" t="str">
        <f>_xlfn.CONCAT(Table1[[#This Row],[MTP Name]]," ",Table1[[#This Row],[ Child Color]])</f>
        <v>Noel Square Coffee Table Walnut</v>
      </c>
      <c r="H325" s="33" t="str">
        <f>VLOOKUP(Table1[[#This Row],[MTP SKU]],'MTP SKUs - Master Data'!A:D,3,0)</f>
        <v>Noel Square Coffee Table</v>
      </c>
      <c r="I325" s="40"/>
      <c r="J325" s="36" t="s">
        <v>2385</v>
      </c>
      <c r="K325" s="37" t="s">
        <v>2386</v>
      </c>
      <c r="L325" s="38" t="s">
        <v>2387</v>
      </c>
      <c r="M325" s="38" t="s">
        <v>2388</v>
      </c>
      <c r="N325" s="38" t="s">
        <v>2389</v>
      </c>
      <c r="O325" s="39" t="s">
        <v>2390</v>
      </c>
      <c r="P325" s="39" t="s">
        <v>62</v>
      </c>
      <c r="Q325" s="39" t="e">
        <v>#N/A</v>
      </c>
    </row>
    <row r="326" spans="1:17">
      <c r="A326" s="59" t="s">
        <v>2391</v>
      </c>
      <c r="B326" s="45" t="str">
        <f>IFERROR(VLOOKUP(Table1[[#This Row],[Seller SKU]],'[1]FG Snapshot (V2)'!$A:$B,2,0),"AR")</f>
        <v>AR</v>
      </c>
      <c r="C326" s="45" t="str">
        <f>IFERROR(VLOOKUP(Table1[[#This Row],[Seller SKU]],'[1]FG Snapshot (V2)'!$A:$E,5,0),"AR")</f>
        <v>AR</v>
      </c>
      <c r="D326" s="40" t="s">
        <v>1328</v>
      </c>
      <c r="E326" s="64" t="str">
        <f>VLOOKUP(Table1[[#This Row],[MTP SKU]],'MTP SKUs - Master Data'!A:D,3,0)</f>
        <v>Sydney Coffee Table</v>
      </c>
      <c r="F326" s="64" t="s">
        <v>780</v>
      </c>
      <c r="G326" s="64" t="str">
        <f>_xlfn.CONCAT(Table1[[#This Row],[MTP Name]]," ",Table1[[#This Row],[ Child Color]])</f>
        <v>Sydney Coffee Table Walnut</v>
      </c>
      <c r="H326" s="33" t="str">
        <f>VLOOKUP(Table1[[#This Row],[MTP SKU]],'MTP SKUs - Master Data'!A:D,3,0)</f>
        <v>Sydney Coffee Table</v>
      </c>
      <c r="I326" s="40"/>
      <c r="J326" s="36" t="s">
        <v>2392</v>
      </c>
      <c r="K326" s="37" t="s">
        <v>2393</v>
      </c>
      <c r="L326" s="38" t="s">
        <v>2394</v>
      </c>
      <c r="M326" s="38" t="s">
        <v>2395</v>
      </c>
      <c r="N326" s="38" t="s">
        <v>2396</v>
      </c>
      <c r="O326" s="39" t="s">
        <v>2397</v>
      </c>
      <c r="P326" s="39" t="s">
        <v>62</v>
      </c>
      <c r="Q326" s="39" t="e">
        <v>#N/A</v>
      </c>
    </row>
    <row r="327" spans="1:17">
      <c r="A327" s="59" t="s">
        <v>2398</v>
      </c>
      <c r="B327" s="45" t="str">
        <f>IFERROR(VLOOKUP(Table1[[#This Row],[Seller SKU]],'[1]FG Snapshot (V2)'!$A:$B,2,0),"AR")</f>
        <v>AR</v>
      </c>
      <c r="C327" s="45" t="str">
        <f>IFERROR(VLOOKUP(Table1[[#This Row],[Seller SKU]],'[1]FG Snapshot (V2)'!$A:$E,5,0),"AR")</f>
        <v>AR</v>
      </c>
      <c r="D327" s="40" t="s">
        <v>1328</v>
      </c>
      <c r="E327" s="64" t="str">
        <f>VLOOKUP(Table1[[#This Row],[MTP SKU]],'MTP SKUs - Master Data'!A:D,3,0)</f>
        <v>Sydney Coffee Table</v>
      </c>
      <c r="F327" s="64" t="s">
        <v>182</v>
      </c>
      <c r="G327" s="64" t="str">
        <f>_xlfn.CONCAT(Table1[[#This Row],[MTP Name]]," ",Table1[[#This Row],[ Child Color]])</f>
        <v>Sydney Coffee Table Wenge</v>
      </c>
      <c r="H327" s="33" t="str">
        <f>VLOOKUP(Table1[[#This Row],[MTP SKU]],'MTP SKUs - Master Data'!A:D,3,0)</f>
        <v>Sydney Coffee Table</v>
      </c>
      <c r="I327" s="40"/>
      <c r="J327" s="36" t="s">
        <v>2399</v>
      </c>
      <c r="K327" s="37" t="s">
        <v>2400</v>
      </c>
      <c r="L327" s="38" t="s">
        <v>2401</v>
      </c>
      <c r="M327" s="38" t="s">
        <v>2402</v>
      </c>
      <c r="N327" s="38" t="s">
        <v>2403</v>
      </c>
      <c r="O327" s="39" t="s">
        <v>2404</v>
      </c>
      <c r="P327" s="39" t="s">
        <v>62</v>
      </c>
      <c r="Q327" s="39" t="e">
        <v>#N/A</v>
      </c>
    </row>
    <row r="328" spans="1:17">
      <c r="A328" s="59" t="s">
        <v>2405</v>
      </c>
      <c r="B328" s="45" t="str">
        <f>IFERROR(VLOOKUP(Table1[[#This Row],[Seller SKU]],'[1]FG Snapshot (V2)'!$A:$B,2,0),"AR")</f>
        <v>AR</v>
      </c>
      <c r="C328" s="45" t="str">
        <f>IFERROR(VLOOKUP(Table1[[#This Row],[Seller SKU]],'[1]FG Snapshot (V2)'!$A:$E,5,0),"AR")</f>
        <v>AR</v>
      </c>
      <c r="D328" s="40" t="s">
        <v>2406</v>
      </c>
      <c r="E328" s="64" t="str">
        <f>VLOOKUP(Table1[[#This Row],[MTP SKU]],'MTP SKUs - Master Data'!A:D,3,0)</f>
        <v>Taury Rectangle Small Coffee Table</v>
      </c>
      <c r="F328" s="64" t="s">
        <v>182</v>
      </c>
      <c r="G328" s="64" t="str">
        <f>_xlfn.CONCAT(Table1[[#This Row],[MTP Name]]," ",Table1[[#This Row],[ Child Color]])</f>
        <v>Taury Rectangle Small Coffee Table Wenge</v>
      </c>
      <c r="H328" s="33" t="str">
        <f>VLOOKUP(Table1[[#This Row],[MTP SKU]],'MTP SKUs - Master Data'!A:D,3,0)</f>
        <v>Taury Rectangle Small Coffee Table</v>
      </c>
      <c r="I328" s="40"/>
      <c r="J328" s="36" t="s">
        <v>2407</v>
      </c>
      <c r="K328" s="37" t="s">
        <v>2408</v>
      </c>
      <c r="L328" s="38" t="s">
        <v>2409</v>
      </c>
      <c r="M328" s="38" t="s">
        <v>2410</v>
      </c>
      <c r="N328" s="38" t="s">
        <v>2411</v>
      </c>
      <c r="O328" s="39" t="s">
        <v>2412</v>
      </c>
      <c r="P328" s="39" t="s">
        <v>62</v>
      </c>
      <c r="Q328" s="39" t="e">
        <v>#N/A</v>
      </c>
    </row>
    <row r="329" spans="1:17">
      <c r="A329" s="61" t="s">
        <v>2413</v>
      </c>
      <c r="B329" s="45" t="str">
        <f>IFERROR(VLOOKUP(Table1[[#This Row],[Seller SKU]],'[1]FG Snapshot (V2)'!$A:$B,2,0),"AR")</f>
        <v>AR</v>
      </c>
      <c r="C329" s="45" t="str">
        <f>IFERROR(VLOOKUP(Table1[[#This Row],[Seller SKU]],'[1]FG Snapshot (V2)'!$A:$E,5,0),"AR")</f>
        <v>AR</v>
      </c>
      <c r="D329" s="88" t="s">
        <v>1913</v>
      </c>
      <c r="E329" s="64" t="str">
        <f>VLOOKUP(Table1[[#This Row],[MTP SKU]],'MTP SKUs - Master Data'!A:D,3,0)</f>
        <v>Ender End Table</v>
      </c>
      <c r="F329" s="64" t="s">
        <v>130</v>
      </c>
      <c r="G329" s="64" t="str">
        <f>_xlfn.CONCAT(Table1[[#This Row],[MTP Name]]," ",Table1[[#This Row],[ Child Color]])</f>
        <v>Ender End Table Walnut &amp; White</v>
      </c>
      <c r="H329" s="33" t="str">
        <f>VLOOKUP(Table1[[#This Row],[MTP SKU]],'MTP SKUs - Master Data'!A:D,3,0)</f>
        <v>Ender End Table</v>
      </c>
      <c r="I329" s="40"/>
      <c r="J329" s="36" t="s">
        <v>2414</v>
      </c>
      <c r="K329" s="37" t="s">
        <v>2415</v>
      </c>
      <c r="L329" s="38" t="s">
        <v>2416</v>
      </c>
      <c r="M329" s="38" t="s">
        <v>2417</v>
      </c>
      <c r="N329" s="38" t="s">
        <v>2418</v>
      </c>
      <c r="O329" s="39" t="s">
        <v>2419</v>
      </c>
      <c r="P329" s="39" t="s">
        <v>2420</v>
      </c>
      <c r="Q329" s="39" t="e">
        <v>#N/A</v>
      </c>
    </row>
    <row r="330" spans="1:17">
      <c r="A330" s="61" t="s">
        <v>2421</v>
      </c>
      <c r="B330" s="45" t="str">
        <f>IFERROR(VLOOKUP(Table1[[#This Row],[Seller SKU]],'[1]FG Snapshot (V2)'!$A:$B,2,0),"AR")</f>
        <v>AR</v>
      </c>
      <c r="C330" s="49" t="str">
        <f>IFERROR(VLOOKUP(Table1[[#This Row],[Seller SKU]],'[1]FG Snapshot (V2)'!$A:$E,5,0),"AR")</f>
        <v>AR</v>
      </c>
      <c r="D330" s="90" t="s">
        <v>2422</v>
      </c>
      <c r="E330" s="64" t="str">
        <f>VLOOKUP(Table1[[#This Row],[MTP SKU]],'MTP SKUs - Master Data'!A:D,3,0)</f>
        <v>Isvia Magzine Holder</v>
      </c>
      <c r="F330" s="64" t="s">
        <v>182</v>
      </c>
      <c r="G330" s="65" t="str">
        <f>_xlfn.CONCAT(Table1[[#This Row],[MTP Name]]," ",Table1[[#This Row],[ Child Color]])</f>
        <v>Isvia Magzine Holder Wenge</v>
      </c>
      <c r="H330" s="50" t="str">
        <f>VLOOKUP(Table1[[#This Row],[MTP SKU]],'MTP SKUs - Master Data'!A:D,3,0)</f>
        <v>Isvia Magzine Holder</v>
      </c>
      <c r="I330" s="51"/>
      <c r="J330" s="52" t="s">
        <v>2423</v>
      </c>
      <c r="K330" s="53" t="s">
        <v>2424</v>
      </c>
      <c r="L330" s="54" t="s">
        <v>2425</v>
      </c>
      <c r="M330" s="54" t="s">
        <v>2426</v>
      </c>
      <c r="N330" s="38" t="e">
        <v>#N/A</v>
      </c>
      <c r="O330" s="55" t="s">
        <v>2427</v>
      </c>
      <c r="P330" s="55" t="s">
        <v>62</v>
      </c>
      <c r="Q330" s="39" t="e">
        <v>#N/A</v>
      </c>
    </row>
    <row r="331" spans="1:17">
      <c r="A331" s="61" t="s">
        <v>2428</v>
      </c>
      <c r="B331" s="45" t="str">
        <f>IFERROR(VLOOKUP(Table1[[#This Row],[Seller SKU]],'[1]FG Snapshot (V2)'!$A:$B,2,0),"AR")</f>
        <v>AR</v>
      </c>
      <c r="C331" s="49" t="str">
        <f>IFERROR(VLOOKUP(Table1[[#This Row],[Seller SKU]],'[1]FG Snapshot (V2)'!$A:$E,5,0),"AR")</f>
        <v>AR</v>
      </c>
      <c r="D331" s="51" t="s">
        <v>2429</v>
      </c>
      <c r="E331" s="64" t="str">
        <f>VLOOKUP(Table1[[#This Row],[MTP SKU]],'MTP SKUs - Master Data'!A:D,3,0)</f>
        <v>Amadour Key Holder</v>
      </c>
      <c r="F331" s="64" t="s">
        <v>1938</v>
      </c>
      <c r="G331" s="65" t="str">
        <f>_xlfn.CONCAT(Table1[[#This Row],[MTP Name]]," ",Table1[[#This Row],[ Child Color]])</f>
        <v>Amadour Key Holder Black</v>
      </c>
      <c r="H331" s="50" t="str">
        <f>VLOOKUP(Table1[[#This Row],[MTP SKU]],'MTP SKUs - Master Data'!A:D,3,0)</f>
        <v>Amadour Key Holder</v>
      </c>
      <c r="I331" s="51"/>
      <c r="J331" s="52" t="s">
        <v>2430</v>
      </c>
      <c r="K331" s="53" t="s">
        <v>2431</v>
      </c>
      <c r="L331" s="54" t="s">
        <v>2432</v>
      </c>
      <c r="M331" s="54" t="s">
        <v>2433</v>
      </c>
      <c r="N331" s="54" t="e">
        <v>#N/A</v>
      </c>
      <c r="O331" s="55" t="s">
        <v>2434</v>
      </c>
      <c r="P331" s="55" t="s">
        <v>62</v>
      </c>
      <c r="Q331" s="39" t="e">
        <v>#N/A</v>
      </c>
    </row>
    <row r="332" spans="1:17">
      <c r="A332" s="61" t="s">
        <v>2435</v>
      </c>
      <c r="B332" s="45" t="str">
        <f>IFERROR(VLOOKUP(Table1[[#This Row],[Seller SKU]],'[1]FG Snapshot (V2)'!$A:$B,2,0),"AR")</f>
        <v>AR</v>
      </c>
      <c r="C332" s="49" t="str">
        <f>IFERROR(VLOOKUP(Table1[[#This Row],[Seller SKU]],'[1]FG Snapshot (V2)'!$A:$E,5,0),"AR")</f>
        <v>AR</v>
      </c>
      <c r="D332" s="51" t="s">
        <v>2436</v>
      </c>
      <c r="E332" s="64" t="str">
        <f>VLOOKUP(Table1[[#This Row],[MTP SKU]],'MTP SKUs - Master Data'!A:D,3,0)</f>
        <v>Vivid Key Holder</v>
      </c>
      <c r="F332" s="64">
        <v>0</v>
      </c>
      <c r="G332" s="65" t="str">
        <f>_xlfn.CONCAT(Table1[[#This Row],[MTP Name]]," ",Table1[[#This Row],[ Child Color]])</f>
        <v>Vivid Key Holder 0</v>
      </c>
      <c r="H332" s="50" t="str">
        <f>VLOOKUP(Table1[[#This Row],[MTP SKU]],'MTP SKUs - Master Data'!A:D,3,0)</f>
        <v>Vivid Key Holder</v>
      </c>
      <c r="I332" s="51"/>
      <c r="J332" s="52" t="s">
        <v>2437</v>
      </c>
      <c r="K332" s="53" t="s">
        <v>2438</v>
      </c>
      <c r="L332" s="54" t="s">
        <v>2439</v>
      </c>
      <c r="M332" s="54" t="s">
        <v>2440</v>
      </c>
      <c r="N332" s="54" t="e">
        <v>#N/A</v>
      </c>
      <c r="O332" s="55" t="s">
        <v>2441</v>
      </c>
      <c r="P332" s="55" t="s">
        <v>62</v>
      </c>
      <c r="Q332" s="39" t="e">
        <v>#N/A</v>
      </c>
    </row>
    <row r="333" spans="1:17">
      <c r="A333" s="59" t="s">
        <v>2442</v>
      </c>
      <c r="B333" s="45" t="str">
        <f>IFERROR(VLOOKUP(Table1[[#This Row],[Seller SKU]],'[1]FG Snapshot (V2)'!$A:$B,2,0),"AR")</f>
        <v>AR</v>
      </c>
      <c r="C333" s="45" t="str">
        <f>IFERROR(VLOOKUP(Table1[[#This Row],[Seller SKU]],'[1]FG Snapshot (V2)'!$A:$E,5,0),"AR")</f>
        <v>AR</v>
      </c>
      <c r="D333" s="51" t="s">
        <v>2436</v>
      </c>
      <c r="E333" s="64" t="str">
        <f>VLOOKUP(Table1[[#This Row],[MTP SKU]],'MTP SKUs - Master Data'!A:D,3,0)</f>
        <v>Vivid Key Holder</v>
      </c>
      <c r="F333" s="64">
        <v>0</v>
      </c>
      <c r="G333" s="65" t="str">
        <f>_xlfn.CONCAT(Table1[[#This Row],[MTP Name]]," ",Table1[[#This Row],[ Child Color]])</f>
        <v>Vivid Key Holder 0</v>
      </c>
      <c r="H333" s="33" t="str">
        <f>VLOOKUP(Table1[[#This Row],[MTP SKU]],'MTP SKUs - Master Data'!A:D,3,0)</f>
        <v>Vivid Key Holder</v>
      </c>
      <c r="I333" s="40"/>
      <c r="J333" s="36" t="s">
        <v>2443</v>
      </c>
      <c r="K333" s="37"/>
      <c r="L333" s="38" t="s">
        <v>2444</v>
      </c>
      <c r="M333" s="38" t="s">
        <v>2445</v>
      </c>
      <c r="N333" s="38" t="e">
        <v>#N/A</v>
      </c>
      <c r="O333" s="39" t="e">
        <v>#N/A</v>
      </c>
      <c r="P333" s="39" t="s">
        <v>62</v>
      </c>
      <c r="Q333" s="39" t="e">
        <v>#N/A</v>
      </c>
    </row>
    <row r="334" spans="1:17">
      <c r="A334" s="61" t="s">
        <v>2446</v>
      </c>
      <c r="B334" s="45" t="str">
        <f>IFERROR(VLOOKUP(Table1[[#This Row],[Seller SKU]],'[1]FG Snapshot (V2)'!$A:$B,2,0),"AR")</f>
        <v>AR</v>
      </c>
      <c r="C334" s="49" t="str">
        <f>IFERROR(VLOOKUP(Table1[[#This Row],[Seller SKU]],'[1]FG Snapshot (V2)'!$A:$E,5,0),"AR")</f>
        <v>AR</v>
      </c>
      <c r="D334" s="51" t="s">
        <v>2447</v>
      </c>
      <c r="E334" s="64" t="str">
        <f>VLOOKUP(Table1[[#This Row],[MTP SKU]],'MTP SKUs - Master Data'!A:D,3,0)</f>
        <v>Noah Rectangular Pouff Ottoman</v>
      </c>
      <c r="F334" s="64" t="s">
        <v>56</v>
      </c>
      <c r="G334" s="65" t="str">
        <f>_xlfn.CONCAT(Table1[[#This Row],[MTP Name]]," ",Table1[[#This Row],[ Child Color]])</f>
        <v>Noah Rectangular Pouff Ottoman White</v>
      </c>
      <c r="H334" s="50" t="str">
        <f>VLOOKUP(Table1[[#This Row],[MTP SKU]],'MTP SKUs - Master Data'!A:D,3,0)</f>
        <v>Noah Rectangular Pouff Ottoman</v>
      </c>
      <c r="I334" s="51"/>
      <c r="J334" s="52" t="e">
        <v>#N/A</v>
      </c>
      <c r="K334" s="53" t="s">
        <v>2448</v>
      </c>
      <c r="L334" s="38" t="e">
        <v>#N/A</v>
      </c>
      <c r="M334" s="54"/>
      <c r="N334" s="54" t="e">
        <v>#N/A</v>
      </c>
      <c r="O334" s="55" t="e">
        <v>#N/A</v>
      </c>
      <c r="P334" s="55" t="s">
        <v>62</v>
      </c>
      <c r="Q334" s="39" t="e">
        <v>#N/A</v>
      </c>
    </row>
    <row r="335" spans="1:17">
      <c r="A335" s="61" t="s">
        <v>2449</v>
      </c>
      <c r="B335" s="45" t="str">
        <f>IFERROR(VLOOKUP(Table1[[#This Row],[Seller SKU]],'[1]FG Snapshot (V2)'!$A:$B,2,0),"AR")</f>
        <v>AR</v>
      </c>
      <c r="C335" s="49" t="str">
        <f>IFERROR(VLOOKUP(Table1[[#This Row],[Seller SKU]],'[1]FG Snapshot (V2)'!$A:$E,5,0),"AR")</f>
        <v>AR</v>
      </c>
      <c r="D335" s="51" t="s">
        <v>2447</v>
      </c>
      <c r="E335" s="64" t="str">
        <f>VLOOKUP(Table1[[#This Row],[MTP SKU]],'MTP SKUs - Master Data'!A:D,3,0)</f>
        <v>Noah Rectangular Pouff Ottoman</v>
      </c>
      <c r="F335" s="64" t="s">
        <v>1578</v>
      </c>
      <c r="G335" s="65" t="str">
        <f>_xlfn.CONCAT(Table1[[#This Row],[MTP Name]]," ",Table1[[#This Row],[ Child Color]])</f>
        <v>Noah Rectangular Pouff Ottoman Brown</v>
      </c>
      <c r="H335" s="50" t="str">
        <f>VLOOKUP(Table1[[#This Row],[MTP SKU]],'MTP SKUs - Master Data'!A:D,3,0)</f>
        <v>Noah Rectangular Pouff Ottoman</v>
      </c>
      <c r="I335" s="51"/>
      <c r="J335" s="52" t="e">
        <v>#N/A</v>
      </c>
      <c r="K335" s="53" t="s">
        <v>2450</v>
      </c>
      <c r="L335" s="38" t="e">
        <v>#N/A</v>
      </c>
      <c r="M335" s="54"/>
      <c r="N335" s="54" t="e">
        <v>#N/A</v>
      </c>
      <c r="O335" s="55" t="e">
        <v>#N/A</v>
      </c>
      <c r="P335" s="55" t="s">
        <v>62</v>
      </c>
      <c r="Q335" s="39" t="e">
        <v>#N/A</v>
      </c>
    </row>
    <row r="336" spans="1:17">
      <c r="A336" s="61" t="s">
        <v>2451</v>
      </c>
      <c r="B336" s="45" t="str">
        <f>IFERROR(VLOOKUP(Table1[[#This Row],[Seller SKU]],'[1]FG Snapshot (V2)'!$A:$B,2,0),"AR")</f>
        <v>AR</v>
      </c>
      <c r="C336" s="49" t="str">
        <f>IFERROR(VLOOKUP(Table1[[#This Row],[Seller SKU]],'[1]FG Snapshot (V2)'!$A:$E,5,0),"AR")</f>
        <v>AR</v>
      </c>
      <c r="D336" s="51" t="s">
        <v>2452</v>
      </c>
      <c r="E336" s="64" t="str">
        <f>VLOOKUP(Table1[[#This Row],[MTP SKU]],'MTP SKUs - Master Data'!A:D,3,0)</f>
        <v>Riodesk Ace Laptop Table</v>
      </c>
      <c r="F336" s="64" t="s">
        <v>1344</v>
      </c>
      <c r="G336" s="65" t="str">
        <f>_xlfn.CONCAT(Table1[[#This Row],[MTP Name]]," ",Table1[[#This Row],[ Child Color]])</f>
        <v>Riodesk Ace Laptop Table Wenge Tree</v>
      </c>
      <c r="H336" s="50" t="str">
        <f>VLOOKUP(Table1[[#This Row],[MTP SKU]],'MTP SKUs - Master Data'!A:D,3,0)</f>
        <v>Riodesk Ace Laptop Table</v>
      </c>
      <c r="I336" s="51"/>
      <c r="J336" s="52" t="s">
        <v>2453</v>
      </c>
      <c r="K336" s="53"/>
      <c r="L336" s="54" t="s">
        <v>2454</v>
      </c>
      <c r="M336" s="54" t="s">
        <v>2455</v>
      </c>
      <c r="N336" s="38" t="e">
        <v>#N/A</v>
      </c>
      <c r="O336" s="55" t="e">
        <v>#N/A</v>
      </c>
      <c r="P336" s="55" t="s">
        <v>62</v>
      </c>
      <c r="Q336" s="39" t="e">
        <v>#N/A</v>
      </c>
    </row>
    <row r="337" spans="1:17">
      <c r="A337" s="61" t="s">
        <v>2456</v>
      </c>
      <c r="B337" s="45" t="str">
        <f>IFERROR(VLOOKUP(Table1[[#This Row],[Seller SKU]],'[1]FG Snapshot (V2)'!$A:$B,2,0),"AR")</f>
        <v>AR</v>
      </c>
      <c r="C337" s="49" t="str">
        <f>IFERROR(VLOOKUP(Table1[[#This Row],[Seller SKU]],'[1]FG Snapshot (V2)'!$A:$E,5,0),"AR")</f>
        <v>AR</v>
      </c>
      <c r="D337" s="90" t="s">
        <v>1343</v>
      </c>
      <c r="E337" s="64" t="str">
        <f>VLOOKUP(Table1[[#This Row],[MTP SKU]],'MTP SKUs - Master Data'!A:D,3,0)</f>
        <v>Otto Remote Holder</v>
      </c>
      <c r="F337" s="64" t="s">
        <v>2457</v>
      </c>
      <c r="G337" s="65" t="str">
        <f>_xlfn.CONCAT(Table1[[#This Row],[MTP Name]]," ",Table1[[#This Row],[ Child Color]])</f>
        <v>Otto Remote Holder Wenge Wave</v>
      </c>
      <c r="H337" s="50" t="str">
        <f>VLOOKUP(Table1[[#This Row],[MTP SKU]],'MTP SKUs - Master Data'!A:D,3,0)</f>
        <v>Otto Remote Holder</v>
      </c>
      <c r="I337" s="51"/>
      <c r="J337" s="52" t="s">
        <v>2458</v>
      </c>
      <c r="K337" s="53" t="s">
        <v>2459</v>
      </c>
      <c r="L337" s="54" t="s">
        <v>2460</v>
      </c>
      <c r="M337" s="54" t="s">
        <v>2461</v>
      </c>
      <c r="N337" s="54" t="e">
        <v>#N/A</v>
      </c>
      <c r="O337" s="55" t="s">
        <v>2462</v>
      </c>
      <c r="P337" s="55" t="s">
        <v>62</v>
      </c>
      <c r="Q337" s="39" t="e">
        <v>#N/A</v>
      </c>
    </row>
    <row r="338" spans="1:17">
      <c r="A338" s="61" t="s">
        <v>2463</v>
      </c>
      <c r="B338" s="45" t="str">
        <f>IFERROR(VLOOKUP(Table1[[#This Row],[Seller SKU]],'[1]FG Snapshot (V2)'!$A:$B,2,0),"AR")</f>
        <v>AR</v>
      </c>
      <c r="C338" s="49" t="str">
        <f>IFERROR(VLOOKUP(Table1[[#This Row],[Seller SKU]],'[1]FG Snapshot (V2)'!$A:$E,5,0),"AR")</f>
        <v>AR</v>
      </c>
      <c r="D338" s="51" t="s">
        <v>1895</v>
      </c>
      <c r="E338" s="64" t="str">
        <f>VLOOKUP(Table1[[#This Row],[MTP SKU]],'MTP SKUs - Master Data'!A:D,3,0)</f>
        <v>Adaly Dressing Table</v>
      </c>
      <c r="F338" s="64" t="s">
        <v>130</v>
      </c>
      <c r="G338" s="65" t="str">
        <f>_xlfn.CONCAT(Table1[[#This Row],[MTP Name]]," ",Table1[[#This Row],[ Child Color]])</f>
        <v>Adaly Dressing Table Walnut &amp; White</v>
      </c>
      <c r="H338" s="50" t="str">
        <f>VLOOKUP(Table1[[#This Row],[MTP SKU]],'MTP SKUs - Master Data'!A:D,3,0)</f>
        <v>Adaly Dressing Table</v>
      </c>
      <c r="I338" s="51"/>
      <c r="J338" s="52" t="s">
        <v>2464</v>
      </c>
      <c r="K338" s="53" t="s">
        <v>2465</v>
      </c>
      <c r="L338" s="54" t="s">
        <v>2466</v>
      </c>
      <c r="M338" s="54" t="s">
        <v>2467</v>
      </c>
      <c r="N338" s="38" t="s">
        <v>2468</v>
      </c>
      <c r="O338" s="39" t="s">
        <v>2469</v>
      </c>
      <c r="P338" s="39" t="s">
        <v>62</v>
      </c>
      <c r="Q338" s="39" t="e">
        <v>#N/A</v>
      </c>
    </row>
    <row r="339" spans="1:17">
      <c r="A339" s="61" t="s">
        <v>2470</v>
      </c>
      <c r="B339" s="45" t="str">
        <f>IFERROR(VLOOKUP(Table1[[#This Row],[Seller SKU]],'[1]FG Snapshot (V2)'!$A:$B,2,0),"AR")</f>
        <v>AR</v>
      </c>
      <c r="C339" s="49" t="str">
        <f>IFERROR(VLOOKUP(Table1[[#This Row],[Seller SKU]],'[1]FG Snapshot (V2)'!$A:$E,5,0),"AR")</f>
        <v>AR</v>
      </c>
      <c r="D339" s="90" t="s">
        <v>620</v>
      </c>
      <c r="E339" s="64" t="str">
        <f>VLOOKUP(Table1[[#This Row],[MTP SKU]],'MTP SKUs - Master Data'!A:D,3,0)</f>
        <v>Freddie Dressing Table</v>
      </c>
      <c r="F339" s="64" t="s">
        <v>182</v>
      </c>
      <c r="G339" s="65" t="str">
        <f>_xlfn.CONCAT(Table1[[#This Row],[MTP Name]]," ",Table1[[#This Row],[ Child Color]])</f>
        <v>Freddie Dressing Table Wenge</v>
      </c>
      <c r="H339" s="50" t="str">
        <f>VLOOKUP(Table1[[#This Row],[MTP SKU]],'MTP SKUs - Master Data'!A:D,3,0)</f>
        <v>Freddie Dressing Table</v>
      </c>
      <c r="I339" s="51"/>
      <c r="J339" s="52" t="s">
        <v>2471</v>
      </c>
      <c r="K339" s="53" t="s">
        <v>621</v>
      </c>
      <c r="L339" s="54" t="s">
        <v>2472</v>
      </c>
      <c r="M339" s="54" t="s">
        <v>2473</v>
      </c>
      <c r="N339" s="54" t="s">
        <v>2474</v>
      </c>
      <c r="O339" s="55" t="s">
        <v>2475</v>
      </c>
      <c r="P339" s="55" t="s">
        <v>62</v>
      </c>
      <c r="Q339" s="39" t="e">
        <v>#N/A</v>
      </c>
    </row>
    <row r="340" spans="1:17">
      <c r="A340" s="61" t="s">
        <v>2476</v>
      </c>
      <c r="B340" s="45" t="str">
        <f>IFERROR(VLOOKUP(Table1[[#This Row],[Seller SKU]],'[1]FG Snapshot (V2)'!$A:$B,2,0),"AR")</f>
        <v>AR</v>
      </c>
      <c r="C340" s="49" t="str">
        <f>IFERROR(VLOOKUP(Table1[[#This Row],[Seller SKU]],'[1]FG Snapshot (V2)'!$A:$E,5,0),"AR")</f>
        <v>AR</v>
      </c>
      <c r="D340" s="51" t="s">
        <v>2477</v>
      </c>
      <c r="E340" s="64" t="str">
        <f>VLOOKUP(Table1[[#This Row],[MTP SKU]],'MTP SKUs - Master Data'!A:D,3,0)</f>
        <v>Stellar Dressing Shelves</v>
      </c>
      <c r="F340" s="64" t="s">
        <v>780</v>
      </c>
      <c r="G340" s="65" t="str">
        <f>_xlfn.CONCAT(Table1[[#This Row],[MTP Name]]," ",Table1[[#This Row],[ Child Color]])</f>
        <v>Stellar Dressing Shelves Walnut</v>
      </c>
      <c r="H340" s="50" t="str">
        <f>VLOOKUP(Table1[[#This Row],[MTP SKU]],'MTP SKUs - Master Data'!A:D,3,0)</f>
        <v>Stellar Dressing Shelves</v>
      </c>
      <c r="I340" s="51"/>
      <c r="J340" s="52" t="s">
        <v>2478</v>
      </c>
      <c r="K340" s="53"/>
      <c r="L340" s="54" t="s">
        <v>2479</v>
      </c>
      <c r="M340" s="54" t="s">
        <v>2480</v>
      </c>
      <c r="N340" s="38" t="s">
        <v>2481</v>
      </c>
      <c r="O340" s="55" t="e">
        <v>#N/A</v>
      </c>
      <c r="P340" s="55" t="s">
        <v>62</v>
      </c>
      <c r="Q340" s="39" t="e">
        <v>#N/A</v>
      </c>
    </row>
    <row r="341" spans="1:17">
      <c r="A341" s="61" t="s">
        <v>2482</v>
      </c>
      <c r="B341" s="45" t="str">
        <f>IFERROR(VLOOKUP(Table1[[#This Row],[Seller SKU]],'[1]FG Snapshot (V2)'!$A:$B,2,0),"AR")</f>
        <v>AR</v>
      </c>
      <c r="C341" s="49" t="str">
        <f>IFERROR(VLOOKUP(Table1[[#This Row],[Seller SKU]],'[1]FG Snapshot (V2)'!$A:$E,5,0),"AR")</f>
        <v>AR</v>
      </c>
      <c r="D341" s="51" t="s">
        <v>2477</v>
      </c>
      <c r="E341" s="64" t="str">
        <f>VLOOKUP(Table1[[#This Row],[MTP SKU]],'MTP SKUs - Master Data'!A:D,3,0)</f>
        <v>Stellar Dressing Shelves</v>
      </c>
      <c r="F341" s="64" t="s">
        <v>182</v>
      </c>
      <c r="G341" s="65" t="str">
        <f>_xlfn.CONCAT(Table1[[#This Row],[MTP Name]]," ",Table1[[#This Row],[ Child Color]])</f>
        <v>Stellar Dressing Shelves Wenge</v>
      </c>
      <c r="H341" s="50" t="str">
        <f>VLOOKUP(Table1[[#This Row],[MTP SKU]],'MTP SKUs - Master Data'!A:D,3,0)</f>
        <v>Stellar Dressing Shelves</v>
      </c>
      <c r="I341" s="51"/>
      <c r="J341" s="52" t="s">
        <v>2483</v>
      </c>
      <c r="K341" s="53" t="s">
        <v>2484</v>
      </c>
      <c r="L341" s="54" t="s">
        <v>2485</v>
      </c>
      <c r="M341" s="54" t="s">
        <v>2486</v>
      </c>
      <c r="N341" s="54" t="s">
        <v>2487</v>
      </c>
      <c r="O341" s="55" t="e">
        <v>#N/A</v>
      </c>
      <c r="P341" s="55" t="s">
        <v>62</v>
      </c>
      <c r="Q341" s="39" t="e">
        <v>#N/A</v>
      </c>
    </row>
    <row r="342" spans="1:17">
      <c r="A342" s="61" t="s">
        <v>2488</v>
      </c>
      <c r="B342" s="45" t="str">
        <f>IFERROR(VLOOKUP(Table1[[#This Row],[Seller SKU]],'[1]FG Snapshot (V2)'!$A:$B,2,0),"AR")</f>
        <v>AR</v>
      </c>
      <c r="C342" s="49" t="str">
        <f>IFERROR(VLOOKUP(Table1[[#This Row],[Seller SKU]],'[1]FG Snapshot (V2)'!$A:$E,5,0),"AR")</f>
        <v>AR</v>
      </c>
      <c r="D342" s="51" t="s">
        <v>1699</v>
      </c>
      <c r="E342" s="64" t="str">
        <f>VLOOKUP(Table1[[#This Row],[MTP SKU]],'MTP SKUs - Master Data'!A:D,3,0)</f>
        <v>Astrella Wall Shelve</v>
      </c>
      <c r="F342" s="64" t="s">
        <v>46</v>
      </c>
      <c r="G342" s="65" t="str">
        <f>_xlfn.CONCAT(Table1[[#This Row],[MTP Name]]," ",Table1[[#This Row],[ Child Color]])</f>
        <v>Astrella Wall Shelve Wenge &amp; White</v>
      </c>
      <c r="H342" s="50" t="str">
        <f>VLOOKUP(Table1[[#This Row],[MTP SKU]],'MTP SKUs - Master Data'!A:D,3,0)</f>
        <v>Astrella Wall Shelve</v>
      </c>
      <c r="I342" s="51"/>
      <c r="J342" s="52" t="s">
        <v>2489</v>
      </c>
      <c r="K342" s="53" t="s">
        <v>2490</v>
      </c>
      <c r="L342" s="54" t="s">
        <v>2491</v>
      </c>
      <c r="M342" s="54" t="s">
        <v>2492</v>
      </c>
      <c r="N342" s="54" t="s">
        <v>2493</v>
      </c>
      <c r="O342" s="39" t="s">
        <v>2494</v>
      </c>
      <c r="P342" s="39" t="s">
        <v>62</v>
      </c>
      <c r="Q342" s="39" t="e">
        <v>#N/A</v>
      </c>
    </row>
    <row r="343" spans="1:17">
      <c r="A343" s="61" t="s">
        <v>2495</v>
      </c>
      <c r="B343" s="45" t="str">
        <f>IFERROR(VLOOKUP(Table1[[#This Row],[Seller SKU]],'[1]FG Snapshot (V2)'!$A:$B,2,0),"AR")</f>
        <v>AR</v>
      </c>
      <c r="C343" s="49" t="str">
        <f>IFERROR(VLOOKUP(Table1[[#This Row],[Seller SKU]],'[1]FG Snapshot (V2)'!$A:$E,5,0),"AR")</f>
        <v>AR</v>
      </c>
      <c r="D343" s="51" t="s">
        <v>2090</v>
      </c>
      <c r="E343" s="64" t="str">
        <f>VLOOKUP(Table1[[#This Row],[MTP SKU]],'MTP SKUs - Master Data'!A:D,3,0)</f>
        <v>Alex 4-Layer Bookshelf</v>
      </c>
      <c r="F343" s="64" t="s">
        <v>780</v>
      </c>
      <c r="G343" s="65" t="str">
        <f>_xlfn.CONCAT(Table1[[#This Row],[MTP Name]]," ",Table1[[#This Row],[ Child Color]])</f>
        <v>Alex 4-Layer Bookshelf Walnut</v>
      </c>
      <c r="H343" s="50" t="str">
        <f>VLOOKUP(Table1[[#This Row],[MTP SKU]],'MTP SKUs - Master Data'!A:D,3,0)</f>
        <v>Alex 4-Layer Bookshelf</v>
      </c>
      <c r="I343" s="51"/>
      <c r="J343" s="52" t="s">
        <v>2496</v>
      </c>
      <c r="K343" s="53" t="s">
        <v>2497</v>
      </c>
      <c r="L343" s="54" t="s">
        <v>2498</v>
      </c>
      <c r="M343" s="54" t="s">
        <v>2499</v>
      </c>
      <c r="N343" s="38" t="s">
        <v>2500</v>
      </c>
      <c r="O343" s="55" t="s">
        <v>2501</v>
      </c>
      <c r="P343" s="55" t="s">
        <v>62</v>
      </c>
      <c r="Q343" s="39" t="e">
        <v>#N/A</v>
      </c>
    </row>
    <row r="344" spans="1:17">
      <c r="A344" s="61" t="s">
        <v>2502</v>
      </c>
      <c r="B344" s="45" t="str">
        <f>IFERROR(VLOOKUP(Table1[[#This Row],[Seller SKU]],'[1]FG Snapshot (V2)'!$A:$B,2,0),"AR")</f>
        <v>AR</v>
      </c>
      <c r="C344" s="49" t="str">
        <f>IFERROR(VLOOKUP(Table1[[#This Row],[Seller SKU]],'[1]FG Snapshot (V2)'!$A:$E,5,0),"AR")</f>
        <v>AR</v>
      </c>
      <c r="D344" s="51" t="s">
        <v>2090</v>
      </c>
      <c r="E344" s="64" t="str">
        <f>VLOOKUP(Table1[[#This Row],[MTP SKU]],'MTP SKUs - Master Data'!A:D,3,0)</f>
        <v>Alex 4-Layer Bookshelf</v>
      </c>
      <c r="F344" s="64" t="s">
        <v>182</v>
      </c>
      <c r="G344" s="65" t="str">
        <f>_xlfn.CONCAT(Table1[[#This Row],[MTP Name]]," ",Table1[[#This Row],[ Child Color]])</f>
        <v>Alex 4-Layer Bookshelf Wenge</v>
      </c>
      <c r="H344" s="50" t="str">
        <f>VLOOKUP(Table1[[#This Row],[MTP SKU]],'MTP SKUs - Master Data'!A:D,3,0)</f>
        <v>Alex 4-Layer Bookshelf</v>
      </c>
      <c r="I344" s="51"/>
      <c r="J344" s="52" t="s">
        <v>2503</v>
      </c>
      <c r="K344" s="53" t="s">
        <v>2504</v>
      </c>
      <c r="L344" s="54" t="s">
        <v>2505</v>
      </c>
      <c r="M344" s="54" t="s">
        <v>2506</v>
      </c>
      <c r="N344" s="54" t="s">
        <v>2507</v>
      </c>
      <c r="O344" s="55" t="s">
        <v>2508</v>
      </c>
      <c r="P344" s="55" t="s">
        <v>62</v>
      </c>
      <c r="Q344" s="39" t="e">
        <v>#N/A</v>
      </c>
    </row>
    <row r="345" spans="1:17">
      <c r="A345" s="61" t="s">
        <v>2509</v>
      </c>
      <c r="B345" s="45" t="str">
        <f>IFERROR(VLOOKUP(Table1[[#This Row],[Seller SKU]],'[1]FG Snapshot (V2)'!$A:$B,2,0),"AR")</f>
        <v>AR</v>
      </c>
      <c r="C345" s="49" t="str">
        <f>IFERROR(VLOOKUP(Table1[[#This Row],[Seller SKU]],'[1]FG Snapshot (V2)'!$A:$E,5,0),"AR")</f>
        <v>AR</v>
      </c>
      <c r="D345" s="51" t="s">
        <v>1369</v>
      </c>
      <c r="E345" s="64" t="str">
        <f>VLOOKUP(Table1[[#This Row],[MTP SKU]],'MTP SKUs - Master Data'!A:D,3,0)</f>
        <v>Alex-5 Layer Narrow Design  Bookshelf</v>
      </c>
      <c r="F345" s="64" t="s">
        <v>182</v>
      </c>
      <c r="G345" s="65" t="str">
        <f>_xlfn.CONCAT(Table1[[#This Row],[MTP Name]]," ",Table1[[#This Row],[ Child Color]])</f>
        <v>Alex-5 Layer Narrow Design  Bookshelf Wenge</v>
      </c>
      <c r="H345" s="50" t="str">
        <f>VLOOKUP(Table1[[#This Row],[MTP SKU]],'MTP SKUs - Master Data'!A:D,3,0)</f>
        <v>Alex-5 Layer Narrow Design  Bookshelf</v>
      </c>
      <c r="I345" s="51"/>
      <c r="J345" s="52" t="s">
        <v>2510</v>
      </c>
      <c r="K345" s="53" t="s">
        <v>2511</v>
      </c>
      <c r="L345" s="54" t="s">
        <v>2512</v>
      </c>
      <c r="M345" s="54" t="s">
        <v>2513</v>
      </c>
      <c r="N345" s="38" t="s">
        <v>2514</v>
      </c>
      <c r="O345" s="55" t="s">
        <v>2515</v>
      </c>
      <c r="P345" s="55" t="s">
        <v>62</v>
      </c>
      <c r="Q345" s="39" t="e">
        <v>#N/A</v>
      </c>
    </row>
    <row r="346" spans="1:17">
      <c r="A346" s="61" t="s">
        <v>2516</v>
      </c>
      <c r="B346" s="45" t="str">
        <f>IFERROR(VLOOKUP(Table1[[#This Row],[Seller SKU]],'[1]FG Snapshot (V2)'!$A:$B,2,0),"AR")</f>
        <v>AR</v>
      </c>
      <c r="C346" s="49" t="str">
        <f>IFERROR(VLOOKUP(Table1[[#This Row],[Seller SKU]],'[1]FG Snapshot (V2)'!$A:$E,5,0),"AR")</f>
        <v>AR</v>
      </c>
      <c r="D346" s="51" t="s">
        <v>1431</v>
      </c>
      <c r="E346" s="64" t="str">
        <f>VLOOKUP(Table1[[#This Row],[MTP SKU]],'MTP SKUs - Master Data'!A:D,3,0)</f>
        <v>Caselle Large Bookshelf</v>
      </c>
      <c r="F346" s="64" t="s">
        <v>182</v>
      </c>
      <c r="G346" s="65" t="str">
        <f>_xlfn.CONCAT(Table1[[#This Row],[MTP Name]]," ",Table1[[#This Row],[ Child Color]])</f>
        <v>Caselle Large Bookshelf Wenge</v>
      </c>
      <c r="H346" s="50" t="str">
        <f>VLOOKUP(Table1[[#This Row],[MTP SKU]],'MTP SKUs - Master Data'!A:D,3,0)</f>
        <v>Caselle Large Bookshelf</v>
      </c>
      <c r="I346" s="51"/>
      <c r="J346" s="52" t="s">
        <v>2517</v>
      </c>
      <c r="K346" s="53" t="s">
        <v>2518</v>
      </c>
      <c r="L346" s="54" t="s">
        <v>2519</v>
      </c>
      <c r="M346" s="54" t="s">
        <v>2520</v>
      </c>
      <c r="N346" s="38" t="s">
        <v>2521</v>
      </c>
      <c r="O346" s="39" t="s">
        <v>2522</v>
      </c>
      <c r="P346" s="39" t="s">
        <v>62</v>
      </c>
      <c r="Q346" s="39" t="e">
        <v>#N/A</v>
      </c>
    </row>
    <row r="347" spans="1:17">
      <c r="A347" s="61" t="s">
        <v>2523</v>
      </c>
      <c r="B347" s="45" t="str">
        <f>IFERROR(VLOOKUP(Table1[[#This Row],[Seller SKU]],'[1]FG Snapshot (V2)'!$A:$B,2,0),"AR")</f>
        <v>AR</v>
      </c>
      <c r="C347" s="49" t="str">
        <f>IFERROR(VLOOKUP(Table1[[#This Row],[Seller SKU]],'[1]FG Snapshot (V2)'!$A:$E,5,0),"AR")</f>
        <v>AR</v>
      </c>
      <c r="D347" s="51" t="s">
        <v>1378</v>
      </c>
      <c r="E347" s="64" t="str">
        <f>VLOOKUP(Table1[[#This Row],[MTP SKU]],'MTP SKUs - Master Data'!A:D,3,0)</f>
        <v>Molse Bookshelf</v>
      </c>
      <c r="F347" s="64" t="s">
        <v>182</v>
      </c>
      <c r="G347" s="65" t="str">
        <f>_xlfn.CONCAT(Table1[[#This Row],[MTP Name]]," ",Table1[[#This Row],[ Child Color]])</f>
        <v>Molse Bookshelf Wenge</v>
      </c>
      <c r="H347" s="50" t="str">
        <f>VLOOKUP(Table1[[#This Row],[MTP SKU]],'MTP SKUs - Master Data'!A:D,3,0)</f>
        <v>Molse Bookshelf</v>
      </c>
      <c r="I347" s="51"/>
      <c r="J347" s="52" t="s">
        <v>2524</v>
      </c>
      <c r="K347" s="53" t="s">
        <v>2525</v>
      </c>
      <c r="L347" s="54" t="s">
        <v>2526</v>
      </c>
      <c r="M347" s="54" t="s">
        <v>2527</v>
      </c>
      <c r="N347" s="54" t="s">
        <v>2528</v>
      </c>
      <c r="O347" s="55" t="s">
        <v>2529</v>
      </c>
      <c r="P347" s="55" t="s">
        <v>62</v>
      </c>
      <c r="Q347" s="39" t="e">
        <v>#N/A</v>
      </c>
    </row>
    <row r="348" spans="1:17">
      <c r="A348" s="59" t="s">
        <v>2530</v>
      </c>
      <c r="B348" s="45" t="str">
        <f>IFERROR(VLOOKUP(Table1[[#This Row],[Seller SKU]],'[1]FG Snapshot (V2)'!$A:$B,2,0),"AR")</f>
        <v>AR</v>
      </c>
      <c r="C348" s="49" t="str">
        <f>IFERROR(VLOOKUP(Table1[[#This Row],[Seller SKU]],'[1]FG Snapshot (V2)'!$A:$E,5,0),"AR")</f>
        <v>AR</v>
      </c>
      <c r="D348" s="40" t="s">
        <v>2531</v>
      </c>
      <c r="E348" s="64" t="str">
        <f>VLOOKUP(Table1[[#This Row],[MTP SKU]],'MTP SKUs - Master Data'!A:D,3,0)</f>
        <v>Molse Standard Bookshelf</v>
      </c>
      <c r="F348" s="64" t="s">
        <v>97</v>
      </c>
      <c r="G348" s="64" t="str">
        <f>_xlfn.CONCAT(Table1[[#This Row],[MTP Name]]," ",Table1[[#This Row],[ Child Color]])</f>
        <v>Molse Standard Bookshelf Brown Maple &amp; Beige</v>
      </c>
      <c r="H348" s="33" t="str">
        <f>VLOOKUP(Table1[[#This Row],[MTP SKU]],'MTP SKUs - Master Data'!A:D,3,0)</f>
        <v>Molse Standard Bookshelf</v>
      </c>
      <c r="I348" s="40"/>
      <c r="J348" s="36" t="s">
        <v>2532</v>
      </c>
      <c r="K348" s="37" t="s">
        <v>2533</v>
      </c>
      <c r="L348" s="38" t="s">
        <v>2534</v>
      </c>
      <c r="M348" s="38" t="s">
        <v>2535</v>
      </c>
      <c r="N348" s="38" t="s">
        <v>2536</v>
      </c>
      <c r="O348" s="39" t="s">
        <v>2537</v>
      </c>
      <c r="P348" s="39" t="s">
        <v>62</v>
      </c>
      <c r="Q348" s="39" t="e">
        <v>#N/A</v>
      </c>
    </row>
    <row r="349" spans="1:17">
      <c r="A349" s="59" t="s">
        <v>2538</v>
      </c>
      <c r="B349" s="45" t="str">
        <f>IFERROR(VLOOKUP(Table1[[#This Row],[Seller SKU]],'[1]FG Snapshot (V2)'!$A:$B,2,0),"AR")</f>
        <v>AR</v>
      </c>
      <c r="C349" s="49" t="str">
        <f>IFERROR(VLOOKUP(Table1[[#This Row],[Seller SKU]],'[1]FG Snapshot (V2)'!$A:$E,5,0),"AR")</f>
        <v>AR</v>
      </c>
      <c r="D349" s="40" t="s">
        <v>1600</v>
      </c>
      <c r="E349" s="64" t="str">
        <f>VLOOKUP(Table1[[#This Row],[MTP SKU]],'MTP SKUs - Master Data'!A:D,3,0)</f>
        <v>Novebuk Bookshelf</v>
      </c>
      <c r="F349" s="64" t="s">
        <v>130</v>
      </c>
      <c r="G349" s="64" t="str">
        <f>_xlfn.CONCAT(Table1[[#This Row],[MTP Name]]," ",Table1[[#This Row],[ Child Color]])</f>
        <v>Novebuk Bookshelf Walnut &amp; White</v>
      </c>
      <c r="H349" s="33" t="str">
        <f>VLOOKUP(Table1[[#This Row],[MTP SKU]],'MTP SKUs - Master Data'!A:D,3,0)</f>
        <v>Novebuk Bookshelf</v>
      </c>
      <c r="I349" s="40"/>
      <c r="J349" s="36" t="s">
        <v>2539</v>
      </c>
      <c r="K349" s="37" t="s">
        <v>2540</v>
      </c>
      <c r="L349" s="38" t="s">
        <v>2541</v>
      </c>
      <c r="M349" s="38" t="s">
        <v>2542</v>
      </c>
      <c r="N349" s="38" t="s">
        <v>2543</v>
      </c>
      <c r="O349" s="39" t="s">
        <v>2544</v>
      </c>
      <c r="P349" s="39" t="s">
        <v>2545</v>
      </c>
      <c r="Q349" s="39" t="e">
        <v>#N/A</v>
      </c>
    </row>
    <row r="350" spans="1:17">
      <c r="A350" s="59" t="s">
        <v>2546</v>
      </c>
      <c r="B350" s="45" t="str">
        <f>IFERROR(VLOOKUP(Table1[[#This Row],[Seller SKU]],'[1]FG Snapshot (V2)'!$A:$B,2,0),"AR")</f>
        <v>AR</v>
      </c>
      <c r="C350" s="49" t="str">
        <f>IFERROR(VLOOKUP(Table1[[#This Row],[Seller SKU]],'[1]FG Snapshot (V2)'!$A:$E,5,0),"AR")</f>
        <v>AR</v>
      </c>
      <c r="D350" s="40" t="s">
        <v>1600</v>
      </c>
      <c r="E350" s="64" t="str">
        <f>VLOOKUP(Table1[[#This Row],[MTP SKU]],'MTP SKUs - Master Data'!A:D,3,0)</f>
        <v>Novebuk Bookshelf</v>
      </c>
      <c r="F350" s="64" t="s">
        <v>97</v>
      </c>
      <c r="G350" s="64" t="str">
        <f>_xlfn.CONCAT(Table1[[#This Row],[MTP Name]]," ",Table1[[#This Row],[ Child Color]])</f>
        <v>Novebuk Bookshelf Brown Maple &amp; Beige</v>
      </c>
      <c r="H350" s="33" t="str">
        <f>VLOOKUP(Table1[[#This Row],[MTP SKU]],'MTP SKUs - Master Data'!A:D,3,0)</f>
        <v>Novebuk Bookshelf</v>
      </c>
      <c r="I350" s="40"/>
      <c r="J350" s="36" t="s">
        <v>2547</v>
      </c>
      <c r="K350" s="53" t="s">
        <v>2548</v>
      </c>
      <c r="L350" s="38" t="s">
        <v>2549</v>
      </c>
      <c r="M350" s="38" t="s">
        <v>2550</v>
      </c>
      <c r="N350" s="38" t="s">
        <v>2551</v>
      </c>
      <c r="O350" s="39" t="s">
        <v>2552</v>
      </c>
      <c r="P350" s="39" t="s">
        <v>62</v>
      </c>
      <c r="Q350" s="39" t="e">
        <v>#N/A</v>
      </c>
    </row>
    <row r="351" spans="1:17">
      <c r="A351" s="61" t="s">
        <v>2553</v>
      </c>
      <c r="B351" s="45" t="str">
        <f>IFERROR(VLOOKUP(Table1[[#This Row],[Seller SKU]],'[1]FG Snapshot (V2)'!$A:$B,2,0),"AR")</f>
        <v>AR</v>
      </c>
      <c r="C351" s="49" t="str">
        <f>IFERROR(VLOOKUP(Table1[[#This Row],[Seller SKU]],'[1]FG Snapshot (V2)'!$A:$E,5,0),"AR")</f>
        <v>AR</v>
      </c>
      <c r="D351" s="51" t="s">
        <v>1752</v>
      </c>
      <c r="E351" s="64" t="str">
        <f>VLOOKUP(Table1[[#This Row],[MTP SKU]],'MTP SKUs - Master Data'!A:D,3,0)</f>
        <v>Phelix Bookshelf</v>
      </c>
      <c r="F351" s="64" t="s">
        <v>780</v>
      </c>
      <c r="G351" s="65" t="str">
        <f>_xlfn.CONCAT(Table1[[#This Row],[MTP Name]]," ",Table1[[#This Row],[ Child Color]])</f>
        <v>Phelix Bookshelf Walnut</v>
      </c>
      <c r="H351" s="50" t="str">
        <f>VLOOKUP(Table1[[#This Row],[MTP SKU]],'MTP SKUs - Master Data'!A:D,3,0)</f>
        <v>Phelix Bookshelf</v>
      </c>
      <c r="I351" s="51"/>
      <c r="J351" s="52" t="s">
        <v>2554</v>
      </c>
      <c r="K351" s="37" t="s">
        <v>2555</v>
      </c>
      <c r="L351" s="38" t="e">
        <v>#N/A</v>
      </c>
      <c r="M351" s="54"/>
      <c r="N351" s="54" t="s">
        <v>2556</v>
      </c>
      <c r="O351" s="55" t="s">
        <v>2557</v>
      </c>
      <c r="P351" s="55" t="s">
        <v>62</v>
      </c>
      <c r="Q351" s="39" t="e">
        <v>#N/A</v>
      </c>
    </row>
    <row r="352" spans="1:17">
      <c r="A352" s="61" t="s">
        <v>2558</v>
      </c>
      <c r="B352" s="45" t="str">
        <f>IFERROR(VLOOKUP(Table1[[#This Row],[Seller SKU]],'[1]FG Snapshot (V2)'!$A:$B,2,0),"AR")</f>
        <v>AR</v>
      </c>
      <c r="C352" s="49" t="str">
        <f>IFERROR(VLOOKUP(Table1[[#This Row],[Seller SKU]],'[1]FG Snapshot (V2)'!$A:$E,5,0),"AR")</f>
        <v>AR</v>
      </c>
      <c r="D352" s="91" t="s">
        <v>1003</v>
      </c>
      <c r="E352" s="64" t="str">
        <f>VLOOKUP(Table1[[#This Row],[MTP SKU]],'MTP SKUs - Master Data'!A:D,3,0)</f>
        <v>Wolabey Bookshelf</v>
      </c>
      <c r="F352" s="64" t="s">
        <v>46</v>
      </c>
      <c r="G352" s="69" t="str">
        <f>_xlfn.CONCAT(Table1[[#This Row],[MTP Name]]," ",Table1[[#This Row],[ Child Color]])</f>
        <v>Wolabey Bookshelf Wenge &amp; White</v>
      </c>
      <c r="H352" s="50" t="str">
        <f>VLOOKUP(Table1[[#This Row],[MTP SKU]],'MTP SKUs - Master Data'!A:D,3,0)</f>
        <v>Wolabey Bookshelf</v>
      </c>
      <c r="I352" s="51"/>
      <c r="J352" s="52" t="s">
        <v>2559</v>
      </c>
      <c r="K352" s="53" t="s">
        <v>2560</v>
      </c>
      <c r="L352" s="54" t="s">
        <v>2561</v>
      </c>
      <c r="M352" s="54" t="s">
        <v>2562</v>
      </c>
      <c r="N352" s="54" t="s">
        <v>2563</v>
      </c>
      <c r="O352" s="55" t="s">
        <v>2564</v>
      </c>
      <c r="P352" s="70" t="s">
        <v>62</v>
      </c>
      <c r="Q352" s="70" t="e">
        <v>#N/A</v>
      </c>
    </row>
    <row r="353" spans="1:17">
      <c r="A353" s="59" t="s">
        <v>2565</v>
      </c>
      <c r="B353" s="45" t="str">
        <f>IFERROR(VLOOKUP(Table1[[#This Row],[Seller SKU]],'[1]FG Snapshot (V2)'!$A:$B,2,0),"AR")</f>
        <v>AR</v>
      </c>
      <c r="C353" s="45" t="str">
        <f>IFERROR(VLOOKUP(Table1[[#This Row],[Seller SKU]],'[1]FG Snapshot (V2)'!$A:$E,5,0),"AR")</f>
        <v>AR</v>
      </c>
      <c r="D353" s="92" t="s">
        <v>1147</v>
      </c>
      <c r="E353" s="64" t="str">
        <f>VLOOKUP(Table1[[#This Row],[MTP SKU]],'MTP SKUs - Master Data'!A:D,3,0)</f>
        <v>Cadlic Wall Shelve</v>
      </c>
      <c r="F353" s="64" t="s">
        <v>56</v>
      </c>
      <c r="G353" s="68" t="str">
        <f>_xlfn.CONCAT(Table1[[#This Row],[MTP Name]]," ",Table1[[#This Row],[ Child Color]])</f>
        <v>Cadlic Wall Shelve White</v>
      </c>
      <c r="H353" s="33" t="str">
        <f>VLOOKUP(Table1[[#This Row],[MTP SKU]],'MTP SKUs - Master Data'!A:D,3,0)</f>
        <v>Cadlic Wall Shelve</v>
      </c>
      <c r="I353" s="40"/>
      <c r="J353" s="36" t="s">
        <v>2566</v>
      </c>
      <c r="K353" s="37" t="s">
        <v>2567</v>
      </c>
      <c r="L353" s="38" t="s">
        <v>2568</v>
      </c>
      <c r="M353" s="38" t="s">
        <v>2569</v>
      </c>
      <c r="N353" s="38" t="s">
        <v>2570</v>
      </c>
      <c r="O353" s="39" t="s">
        <v>2571</v>
      </c>
      <c r="P353" s="70" t="s">
        <v>62</v>
      </c>
      <c r="Q353" s="70">
        <v>29525070</v>
      </c>
    </row>
    <row r="354" spans="1:17">
      <c r="A354" s="59" t="s">
        <v>2572</v>
      </c>
      <c r="B354" s="45" t="str">
        <f>IFERROR(VLOOKUP(Table1[[#This Row],[Seller SKU]],'[1]FG Snapshot (V2)'!$A:$B,2,0),"AR")</f>
        <v>AR</v>
      </c>
      <c r="C354" s="45" t="str">
        <f>IFERROR(VLOOKUP(Table1[[#This Row],[Seller SKU]],'[1]FG Snapshot (V2)'!$A:$E,5,0),"AR")</f>
        <v>AR</v>
      </c>
      <c r="D354" s="92" t="s">
        <v>1147</v>
      </c>
      <c r="E354" s="64" t="str">
        <f>VLOOKUP(Table1[[#This Row],[MTP SKU]],'MTP SKUs - Master Data'!A:D,3,0)</f>
        <v>Cadlic Wall Shelve</v>
      </c>
      <c r="F354" s="64" t="s">
        <v>46</v>
      </c>
      <c r="G354" s="68" t="str">
        <f>_xlfn.CONCAT(Table1[[#This Row],[MTP Name]]," ",Table1[[#This Row],[ Child Color]])</f>
        <v>Cadlic Wall Shelve Wenge &amp; White</v>
      </c>
      <c r="H354" s="33" t="str">
        <f>VLOOKUP(Table1[[#This Row],[MTP SKU]],'MTP SKUs - Master Data'!A:D,3,0)</f>
        <v>Cadlic Wall Shelve</v>
      </c>
      <c r="I354" s="40"/>
      <c r="J354" s="36" t="s">
        <v>2573</v>
      </c>
      <c r="K354" s="37" t="s">
        <v>2574</v>
      </c>
      <c r="L354" s="38" t="s">
        <v>2575</v>
      </c>
      <c r="M354" s="38" t="s">
        <v>2576</v>
      </c>
      <c r="N354" s="38" t="s">
        <v>2577</v>
      </c>
      <c r="O354" s="39" t="s">
        <v>2578</v>
      </c>
      <c r="P354" s="70" t="s">
        <v>62</v>
      </c>
      <c r="Q354" s="70" t="e">
        <v>#N/A</v>
      </c>
    </row>
    <row r="355" spans="1:17">
      <c r="A355" s="59" t="s">
        <v>2579</v>
      </c>
      <c r="B355" s="45" t="str">
        <f>IFERROR(VLOOKUP(Table1[[#This Row],[Seller SKU]],'[1]FG Snapshot (V2)'!$A:$B,2,0),"AR")</f>
        <v>AR</v>
      </c>
      <c r="C355" s="45" t="str">
        <f>IFERROR(VLOOKUP(Table1[[#This Row],[Seller SKU]],'[1]FG Snapshot (V2)'!$A:$E,5,0),"AR")</f>
        <v>AR</v>
      </c>
      <c r="D355" s="92" t="s">
        <v>2580</v>
      </c>
      <c r="E355" s="64" t="str">
        <f>VLOOKUP(Table1[[#This Row],[MTP SKU]],'MTP SKUs - Master Data'!A:D,3,0)</f>
        <v>Ellera Wall Shelve</v>
      </c>
      <c r="F355" s="64" t="s">
        <v>130</v>
      </c>
      <c r="G355" s="68" t="str">
        <f>_xlfn.CONCAT(Table1[[#This Row],[MTP Name]]," ",Table1[[#This Row],[ Child Color]])</f>
        <v>Ellera Wall Shelve Walnut &amp; White</v>
      </c>
      <c r="H355" s="33" t="str">
        <f>VLOOKUP(Table1[[#This Row],[MTP SKU]],'MTP SKUs - Master Data'!A:D,3,0)</f>
        <v>Ellera Wall Shelve</v>
      </c>
      <c r="I355" s="40"/>
      <c r="J355" s="36" t="s">
        <v>2581</v>
      </c>
      <c r="K355" s="37" t="s">
        <v>2582</v>
      </c>
      <c r="L355" s="38" t="s">
        <v>2583</v>
      </c>
      <c r="M355" s="38" t="s">
        <v>2584</v>
      </c>
      <c r="N355" s="38" t="e">
        <v>#N/A</v>
      </c>
      <c r="O355" s="39" t="s">
        <v>2585</v>
      </c>
      <c r="P355" s="70" t="s">
        <v>2586</v>
      </c>
      <c r="Q355" s="70" t="e">
        <v>#N/A</v>
      </c>
    </row>
    <row r="356" spans="1:17">
      <c r="A356" s="59" t="s">
        <v>2587</v>
      </c>
      <c r="B356" s="45" t="str">
        <f>IFERROR(VLOOKUP(Table1[[#This Row],[Seller SKU]],'[1]FG Snapshot (V2)'!$A:$B,2,0),"AR")</f>
        <v>AR</v>
      </c>
      <c r="C356" s="45" t="str">
        <f>IFERROR(VLOOKUP(Table1[[#This Row],[Seller SKU]],'[1]FG Snapshot (V2)'!$A:$E,5,0),"AR")</f>
        <v>AR</v>
      </c>
      <c r="D356" s="92" t="s">
        <v>2588</v>
      </c>
      <c r="E356" s="64" t="str">
        <f>VLOOKUP(Table1[[#This Row],[MTP SKU]],'MTP SKUs - Master Data'!A:D,3,0)</f>
        <v>Morpheus Wall Shelve</v>
      </c>
      <c r="F356" s="64" t="s">
        <v>182</v>
      </c>
      <c r="G356" s="68" t="str">
        <f>_xlfn.CONCAT(Table1[[#This Row],[MTP Name]]," ",Table1[[#This Row],[ Child Color]])</f>
        <v>Morpheus Wall Shelve Wenge</v>
      </c>
      <c r="H356" s="33" t="str">
        <f>VLOOKUP(Table1[[#This Row],[MTP SKU]],'MTP SKUs - Master Data'!A:D,3,0)</f>
        <v>Morpheus Wall Shelve</v>
      </c>
      <c r="I356" s="40"/>
      <c r="J356" s="36" t="s">
        <v>2589</v>
      </c>
      <c r="K356" s="37" t="s">
        <v>2590</v>
      </c>
      <c r="L356" s="38" t="s">
        <v>2591</v>
      </c>
      <c r="M356" s="38" t="s">
        <v>2592</v>
      </c>
      <c r="N356" s="38" t="s">
        <v>2593</v>
      </c>
      <c r="O356" s="39" t="s">
        <v>2594</v>
      </c>
      <c r="P356" s="70" t="s">
        <v>62</v>
      </c>
      <c r="Q356" s="70" t="e">
        <v>#N/A</v>
      </c>
    </row>
    <row r="357" spans="1:17">
      <c r="A357" s="59" t="s">
        <v>2595</v>
      </c>
      <c r="B357" s="45" t="str">
        <f>IFERROR(VLOOKUP(Table1[[#This Row],[Seller SKU]],'[1]FG Snapshot (V2)'!$A:$B,2,0),"AR")</f>
        <v>AR</v>
      </c>
      <c r="C357" s="45" t="str">
        <f>IFERROR(VLOOKUP(Table1[[#This Row],[Seller SKU]],'[1]FG Snapshot (V2)'!$A:$E,5,0),"AR")</f>
        <v>AR</v>
      </c>
      <c r="D357" s="92" t="s">
        <v>2595</v>
      </c>
      <c r="E357" s="64" t="str">
        <f>VLOOKUP(Table1[[#This Row],[MTP SKU]],'MTP SKUs - Master Data'!A:D,3,0)</f>
        <v>Flovo Shoe Rack</v>
      </c>
      <c r="F357" s="64" t="s">
        <v>2596</v>
      </c>
      <c r="G357" s="68" t="str">
        <f>_xlfn.CONCAT(Table1[[#This Row],[MTP Name]]," ",Table1[[#This Row],[ Child Color]])</f>
        <v>Flovo Shoe Rack Highland Teak</v>
      </c>
      <c r="H357" s="33" t="str">
        <f>VLOOKUP(Table1[[#This Row],[MTP SKU]],'MTP SKUs - Master Data'!A:D,3,0)</f>
        <v>Flovo Shoe Rack</v>
      </c>
      <c r="I357" s="40"/>
      <c r="J357" s="36" t="e">
        <v>#N/A</v>
      </c>
      <c r="K357" s="37"/>
      <c r="L357" s="38"/>
      <c r="M357" s="38"/>
      <c r="N357" s="38" t="e">
        <v>#N/A</v>
      </c>
      <c r="O357" s="39" t="s">
        <v>2597</v>
      </c>
      <c r="P357" s="70" t="s">
        <v>62</v>
      </c>
      <c r="Q357" s="70" t="e">
        <v>#N/A</v>
      </c>
    </row>
    <row r="358" spans="1:17">
      <c r="A358" s="59" t="s">
        <v>2598</v>
      </c>
      <c r="B358" s="45" t="str">
        <f>IFERROR(VLOOKUP(Table1[[#This Row],[Seller SKU]],'[1]FG Snapshot (V2)'!$A:$B,2,0),"AR")</f>
        <v>AR</v>
      </c>
      <c r="C358" s="45" t="str">
        <f>IFERROR(VLOOKUP(Table1[[#This Row],[Seller SKU]],'[1]FG Snapshot (V2)'!$A:$E,5,0),"AR")</f>
        <v>AR</v>
      </c>
      <c r="D358" s="92" t="s">
        <v>347</v>
      </c>
      <c r="E358" s="64" t="str">
        <f>VLOOKUP(Table1[[#This Row],[MTP SKU]],'MTP SKUs - Master Data'!A:D,3,0)</f>
        <v>Whartin Shoe Rack</v>
      </c>
      <c r="F358" s="64" t="s">
        <v>182</v>
      </c>
      <c r="G358" s="68" t="str">
        <f>_xlfn.CONCAT(Table1[[#This Row],[MTP Name]]," ",Table1[[#This Row],[ Child Color]])</f>
        <v>Whartin Shoe Rack Wenge</v>
      </c>
      <c r="H358" s="33" t="str">
        <f>VLOOKUP(Table1[[#This Row],[MTP SKU]],'MTP SKUs - Master Data'!A:D,3,0)</f>
        <v>Whartin Shoe Rack</v>
      </c>
      <c r="I358" s="40"/>
      <c r="J358" s="36" t="s">
        <v>2599</v>
      </c>
      <c r="K358" s="37" t="s">
        <v>2600</v>
      </c>
      <c r="L358" s="38" t="s">
        <v>2601</v>
      </c>
      <c r="M358" s="38" t="s">
        <v>2602</v>
      </c>
      <c r="N358" s="38" t="s">
        <v>2603</v>
      </c>
      <c r="O358" s="39" t="s">
        <v>2604</v>
      </c>
      <c r="P358" s="70" t="s">
        <v>2605</v>
      </c>
      <c r="Q358" s="70" t="e">
        <v>#N/A</v>
      </c>
    </row>
    <row r="359" spans="1:17">
      <c r="A359" s="59" t="s">
        <v>2606</v>
      </c>
      <c r="B359" s="45" t="str">
        <f>IFERROR(VLOOKUP(Table1[[#This Row],[Seller SKU]],'[1]FG Snapshot (V2)'!$A:$B,2,0),"AR")</f>
        <v>AR</v>
      </c>
      <c r="C359" s="45" t="str">
        <f>IFERROR(VLOOKUP(Table1[[#This Row],[Seller SKU]],'[1]FG Snapshot (V2)'!$A:$E,5,0),"AR")</f>
        <v>AR</v>
      </c>
      <c r="D359" s="92" t="s">
        <v>1834</v>
      </c>
      <c r="E359" s="64" t="str">
        <f>VLOOKUP(Table1[[#This Row],[MTP SKU]],'MTP SKUs - Master Data'!A:D,3,0)</f>
        <v>Riley Wall Shelve</v>
      </c>
      <c r="F359" s="64" t="s">
        <v>182</v>
      </c>
      <c r="G359" s="68" t="str">
        <f>_xlfn.CONCAT(Table1[[#This Row],[MTP Name]]," ",Table1[[#This Row],[ Child Color]])</f>
        <v>Riley Wall Shelve Wenge</v>
      </c>
      <c r="H359" s="33" t="str">
        <f>VLOOKUP(Table1[[#This Row],[MTP SKU]],'MTP SKUs - Master Data'!A:D,3,0)</f>
        <v>Riley Wall Shelve</v>
      </c>
      <c r="I359" s="40"/>
      <c r="J359" s="36" t="s">
        <v>2607</v>
      </c>
      <c r="K359" s="37" t="s">
        <v>2608</v>
      </c>
      <c r="L359" s="38" t="s">
        <v>2609</v>
      </c>
      <c r="M359" s="38" t="s">
        <v>2610</v>
      </c>
      <c r="N359" s="38" t="s">
        <v>2611</v>
      </c>
      <c r="O359" s="39" t="s">
        <v>2612</v>
      </c>
      <c r="P359" s="70" t="s">
        <v>62</v>
      </c>
      <c r="Q359" s="70">
        <v>29525090</v>
      </c>
    </row>
    <row r="360" spans="1:17">
      <c r="A360" s="59" t="s">
        <v>2613</v>
      </c>
      <c r="B360" s="45" t="str">
        <f>IFERROR(VLOOKUP(Table1[[#This Row],[Seller SKU]],'[1]FG Snapshot (V2)'!$A:$B,2,0),"AR")</f>
        <v>AR</v>
      </c>
      <c r="C360" s="45" t="str">
        <f>IFERROR(VLOOKUP(Table1[[#This Row],[Seller SKU]],'[1]FG Snapshot (V2)'!$A:$E,5,0),"AR")</f>
        <v>AR</v>
      </c>
      <c r="D360" s="92" t="s">
        <v>2614</v>
      </c>
      <c r="E360" s="64" t="str">
        <f>VLOOKUP(Table1[[#This Row],[MTP SKU]],'MTP SKUs - Master Data'!A:D,3,0)</f>
        <v>Skybox Wall Shelve</v>
      </c>
      <c r="F360" s="64" t="s">
        <v>780</v>
      </c>
      <c r="G360" s="68" t="str">
        <f>_xlfn.CONCAT(Table1[[#This Row],[MTP Name]]," ",Table1[[#This Row],[ Child Color]])</f>
        <v>Skybox Wall Shelve Walnut</v>
      </c>
      <c r="H360" s="33" t="str">
        <f>VLOOKUP(Table1[[#This Row],[MTP SKU]],'MTP SKUs - Master Data'!A:D,3,0)</f>
        <v>Skybox Wall Shelve</v>
      </c>
      <c r="I360" s="40"/>
      <c r="J360" s="36" t="s">
        <v>2615</v>
      </c>
      <c r="K360" s="37" t="s">
        <v>2616</v>
      </c>
      <c r="L360" s="38" t="s">
        <v>2617</v>
      </c>
      <c r="M360" s="38" t="s">
        <v>2618</v>
      </c>
      <c r="N360" s="38" t="s">
        <v>2619</v>
      </c>
      <c r="O360" s="39" t="s">
        <v>2620</v>
      </c>
      <c r="P360" s="70" t="s">
        <v>62</v>
      </c>
      <c r="Q360" s="70">
        <v>29525088</v>
      </c>
    </row>
    <row r="361" spans="1:17">
      <c r="A361" s="59" t="s">
        <v>2621</v>
      </c>
      <c r="B361" s="45" t="str">
        <f>IFERROR(VLOOKUP(Table1[[#This Row],[Seller SKU]],'[1]FG Snapshot (V2)'!$A:$B,2,0),"AR")</f>
        <v>AR</v>
      </c>
      <c r="C361" s="45" t="str">
        <f>IFERROR(VLOOKUP(Table1[[#This Row],[Seller SKU]],'[1]FG Snapshot (V2)'!$A:$E,5,0),"AR")</f>
        <v>AR</v>
      </c>
      <c r="D361" s="92" t="s">
        <v>505</v>
      </c>
      <c r="E361" s="64" t="str">
        <f>VLOOKUP(Table1[[#This Row],[MTP SKU]],'MTP SKUs - Master Data'!A:D,3,0)</f>
        <v>Efflino Large Study Table</v>
      </c>
      <c r="F361" s="64" t="s">
        <v>46</v>
      </c>
      <c r="G361" s="68" t="str">
        <f>_xlfn.CONCAT(Table1[[#This Row],[MTP Name]]," ",Table1[[#This Row],[ Child Color]])</f>
        <v>Efflino Large Study Table Wenge &amp; White</v>
      </c>
      <c r="H361" s="33" t="str">
        <f>VLOOKUP(Table1[[#This Row],[MTP SKU]],'MTP SKUs - Master Data'!A:D,3,0)</f>
        <v>Efflino Large Study Table</v>
      </c>
      <c r="I361" s="40"/>
      <c r="J361" s="36" t="s">
        <v>2622</v>
      </c>
      <c r="K361" s="37" t="s">
        <v>2623</v>
      </c>
      <c r="L361" s="38" t="s">
        <v>2624</v>
      </c>
      <c r="M361" s="38" t="s">
        <v>2625</v>
      </c>
      <c r="N361" s="38" t="s">
        <v>2626</v>
      </c>
      <c r="O361" s="39" t="s">
        <v>2627</v>
      </c>
      <c r="P361" s="70" t="s">
        <v>2628</v>
      </c>
      <c r="Q361" s="70" t="e">
        <v>#N/A</v>
      </c>
    </row>
    <row r="362" spans="1:17">
      <c r="A362" s="59" t="s">
        <v>2629</v>
      </c>
      <c r="B362" s="45" t="str">
        <f>IFERROR(VLOOKUP(Table1[[#This Row],[Seller SKU]],'[1]FG Snapshot (V2)'!$A:$B,2,0),"AR")</f>
        <v>AR</v>
      </c>
      <c r="C362" s="45" t="str">
        <f>IFERROR(VLOOKUP(Table1[[#This Row],[Seller SKU]],'[1]FG Snapshot (V2)'!$A:$E,5,0),"AR")</f>
        <v>AR</v>
      </c>
      <c r="D362" s="92" t="s">
        <v>596</v>
      </c>
      <c r="E362" s="64" t="str">
        <f>VLOOKUP(Table1[[#This Row],[MTP SKU]],'MTP SKUs - Master Data'!A:D,3,0)</f>
        <v>Efflino Standard Study Table</v>
      </c>
      <c r="F362" s="64" t="s">
        <v>46</v>
      </c>
      <c r="G362" s="68" t="str">
        <f>_xlfn.CONCAT(Table1[[#This Row],[MTP Name]]," ",Table1[[#This Row],[ Child Color]])</f>
        <v>Efflino Standard Study Table Wenge &amp; White</v>
      </c>
      <c r="H362" s="33" t="str">
        <f>VLOOKUP(Table1[[#This Row],[MTP SKU]],'MTP SKUs - Master Data'!A:D,3,0)</f>
        <v>Efflino Standard Study Table</v>
      </c>
      <c r="I362" s="40"/>
      <c r="J362" s="36" t="s">
        <v>2630</v>
      </c>
      <c r="K362" s="37" t="s">
        <v>2631</v>
      </c>
      <c r="L362" s="38" t="s">
        <v>2632</v>
      </c>
      <c r="M362" s="38" t="s">
        <v>2633</v>
      </c>
      <c r="N362" s="38" t="s">
        <v>2634</v>
      </c>
      <c r="O362" s="39" t="s">
        <v>2635</v>
      </c>
      <c r="P362" s="70" t="s">
        <v>2636</v>
      </c>
      <c r="Q362" s="70" t="e">
        <v>#N/A</v>
      </c>
    </row>
    <row r="363" spans="1:17">
      <c r="A363" s="59" t="s">
        <v>2637</v>
      </c>
      <c r="B363" s="45" t="str">
        <f>IFERROR(VLOOKUP(Table1[[#This Row],[Seller SKU]],'[1]FG Snapshot (V2)'!$A:$B,2,0),"AR")</f>
        <v>AR</v>
      </c>
      <c r="C363" s="45" t="str">
        <f>IFERROR(VLOOKUP(Table1[[#This Row],[Seller SKU]],'[1]FG Snapshot (V2)'!$A:$E,5,0),"AR")</f>
        <v>AR</v>
      </c>
      <c r="D363" s="92" t="s">
        <v>2638</v>
      </c>
      <c r="E363" s="64" t="str">
        <f>VLOOKUP(Table1[[#This Row],[MTP SKU]],'MTP SKUs - Master Data'!A:D,3,0)</f>
        <v>Gustowe Large Study Table</v>
      </c>
      <c r="F363" s="64" t="s">
        <v>130</v>
      </c>
      <c r="G363" s="68" t="str">
        <f>_xlfn.CONCAT(Table1[[#This Row],[MTP Name]]," ",Table1[[#This Row],[ Child Color]])</f>
        <v>Gustowe Large Study Table Walnut &amp; White</v>
      </c>
      <c r="H363" s="33" t="str">
        <f>VLOOKUP(Table1[[#This Row],[MTP SKU]],'MTP SKUs - Master Data'!A:D,3,0)</f>
        <v>Gustowe Large Study Table</v>
      </c>
      <c r="I363" s="40"/>
      <c r="J363" s="36" t="s">
        <v>2639</v>
      </c>
      <c r="K363" s="37" t="s">
        <v>2640</v>
      </c>
      <c r="L363" s="38" t="s">
        <v>2641</v>
      </c>
      <c r="M363" s="38" t="s">
        <v>2642</v>
      </c>
      <c r="N363" s="38" t="s">
        <v>2643</v>
      </c>
      <c r="O363" s="39" t="s">
        <v>2644</v>
      </c>
      <c r="P363" s="70" t="s">
        <v>2645</v>
      </c>
      <c r="Q363" s="70" t="e">
        <v>#N/A</v>
      </c>
    </row>
    <row r="364" spans="1:17">
      <c r="A364" s="61" t="s">
        <v>2646</v>
      </c>
      <c r="B364" s="45" t="str">
        <f>IFERROR(VLOOKUP(Table1[[#This Row],[Seller SKU]],'[1]FG Snapshot (V2)'!$A:$B,2,0),"AR")</f>
        <v>AR</v>
      </c>
      <c r="C364" s="49" t="str">
        <f>IFERROR(VLOOKUP(Table1[[#This Row],[Seller SKU]],'[1]FG Snapshot (V2)'!$A:$E,5,0),"AR")</f>
        <v>AR</v>
      </c>
      <c r="D364" s="93" t="s">
        <v>2638</v>
      </c>
      <c r="E364" s="64" t="str">
        <f>VLOOKUP(Table1[[#This Row],[MTP SKU]],'MTP SKUs - Master Data'!A:D,3,0)</f>
        <v>Gustowe Large Study Table</v>
      </c>
      <c r="F364" s="64" t="s">
        <v>182</v>
      </c>
      <c r="G364" s="68" t="str">
        <f>_xlfn.CONCAT(Table1[[#This Row],[MTP Name]]," ",Table1[[#This Row],[ Child Color]])</f>
        <v>Gustowe Large Study Table Wenge</v>
      </c>
      <c r="H364" s="50" t="str">
        <f>VLOOKUP(Table1[[#This Row],[MTP SKU]],'MTP SKUs - Master Data'!A:D,3,0)</f>
        <v>Gustowe Large Study Table</v>
      </c>
      <c r="I364" s="51"/>
      <c r="J364" s="52" t="s">
        <v>2647</v>
      </c>
      <c r="K364" s="53" t="s">
        <v>2648</v>
      </c>
      <c r="L364" s="54" t="s">
        <v>2649</v>
      </c>
      <c r="M364" s="54" t="s">
        <v>2650</v>
      </c>
      <c r="N364" s="54" t="s">
        <v>2651</v>
      </c>
      <c r="O364" s="55" t="s">
        <v>2652</v>
      </c>
      <c r="P364" s="70" t="s">
        <v>2653</v>
      </c>
      <c r="Q364" s="70">
        <v>34399116</v>
      </c>
    </row>
    <row r="365" spans="1:17">
      <c r="A365" s="61" t="s">
        <v>2654</v>
      </c>
      <c r="B365" s="45" t="str">
        <f>IFERROR(VLOOKUP(Table1[[#This Row],[Seller SKU]],'[1]FG Snapshot (V2)'!$A:$B,2,0),"AR")</f>
        <v>AR</v>
      </c>
      <c r="C365" s="49" t="str">
        <f>IFERROR(VLOOKUP(Table1[[#This Row],[Seller SKU]],'[1]FG Snapshot (V2)'!$A:$E,5,0),"AR")</f>
        <v>AR</v>
      </c>
      <c r="D365" s="92" t="s">
        <v>2655</v>
      </c>
      <c r="E365" s="64" t="str">
        <f>VLOOKUP(Table1[[#This Row],[MTP SKU]],'MTP SKUs - Master Data'!A:D,3,0)</f>
        <v>Gustowe Standard Study Table</v>
      </c>
      <c r="F365" s="64" t="s">
        <v>56</v>
      </c>
      <c r="G365" s="68" t="str">
        <f>_xlfn.CONCAT(Table1[[#This Row],[MTP Name]]," ",Table1[[#This Row],[ Child Color]])</f>
        <v>Gustowe Standard Study Table White</v>
      </c>
      <c r="H365" s="50" t="str">
        <f>VLOOKUP(Table1[[#This Row],[MTP SKU]],'MTP SKUs - Master Data'!A:D,3,0)</f>
        <v>Gustowe Standard Study Table</v>
      </c>
      <c r="I365" s="51"/>
      <c r="J365" s="52" t="s">
        <v>2656</v>
      </c>
      <c r="K365" s="53" t="s">
        <v>2657</v>
      </c>
      <c r="L365" s="54" t="s">
        <v>2658</v>
      </c>
      <c r="M365" s="54" t="s">
        <v>2659</v>
      </c>
      <c r="N365" s="54" t="s">
        <v>2660</v>
      </c>
      <c r="O365" s="39" t="s">
        <v>2661</v>
      </c>
      <c r="P365" s="70" t="s">
        <v>2662</v>
      </c>
      <c r="Q365" s="70">
        <v>34399133</v>
      </c>
    </row>
    <row r="366" spans="1:17" ht="15" customHeight="1">
      <c r="A366" s="59" t="s">
        <v>2663</v>
      </c>
      <c r="B366" s="45" t="str">
        <f>IFERROR(VLOOKUP(Table1[[#This Row],[Seller SKU]],'[1]FG Snapshot (V2)'!$A:$B,2,0),"AR")</f>
        <v>AR</v>
      </c>
      <c r="C366" s="45" t="str">
        <f>IFERROR(VLOOKUP(Table1[[#This Row],[Seller SKU]],'[1]FG Snapshot (V2)'!$A:$E,5,0),"AR")</f>
        <v>AR</v>
      </c>
      <c r="D366" s="40" t="s">
        <v>2655</v>
      </c>
      <c r="E366" s="64" t="str">
        <f>VLOOKUP(Table1[[#This Row],[MTP SKU]],'MTP SKUs - Master Data'!A:D,3,0)</f>
        <v>Gustowe Standard Study Table</v>
      </c>
      <c r="F366" s="64" t="s">
        <v>182</v>
      </c>
      <c r="G366" s="68" t="str">
        <f>_xlfn.CONCAT(Table1[[#This Row],[MTP Name]]," ",Table1[[#This Row],[ Child Color]])</f>
        <v>Gustowe Standard Study Table Wenge</v>
      </c>
      <c r="H366" s="50" t="str">
        <f>VLOOKUP(Table1[[#This Row],[MTP SKU]],'MTP SKUs - Master Data'!A:D,3,0)</f>
        <v>Gustowe Standard Study Table</v>
      </c>
      <c r="I366" s="51"/>
      <c r="J366" s="36" t="s">
        <v>2664</v>
      </c>
      <c r="K366" s="37" t="s">
        <v>2665</v>
      </c>
      <c r="L366" s="38" t="s">
        <v>2666</v>
      </c>
      <c r="M366" s="38" t="s">
        <v>2667</v>
      </c>
      <c r="N366" s="38" t="s">
        <v>2668</v>
      </c>
      <c r="O366" s="39" t="s">
        <v>2669</v>
      </c>
      <c r="P366" s="70" t="s">
        <v>2670</v>
      </c>
      <c r="Q366" s="70" t="e">
        <v>#N/A</v>
      </c>
    </row>
    <row r="367" spans="1:17" ht="15" customHeight="1">
      <c r="A367" s="59" t="s">
        <v>2671</v>
      </c>
      <c r="B367" s="45" t="str">
        <f>IFERROR(VLOOKUP(Table1[[#This Row],[Seller SKU]],'[1]FG Snapshot (V2)'!$A:$B,2,0),"AR")</f>
        <v>AR</v>
      </c>
      <c r="C367" s="45" t="str">
        <f>IFERROR(VLOOKUP(Table1[[#This Row],[Seller SKU]],'[1]FG Snapshot (V2)'!$A:$E,5,0),"AR")</f>
        <v>AR</v>
      </c>
      <c r="D367" s="40" t="s">
        <v>2672</v>
      </c>
      <c r="E367" s="64" t="str">
        <f>VLOOKUP(Table1[[#This Row],[MTP SKU]],'MTP SKUs - Master Data'!A:D,3,0)</f>
        <v>Gustowe Wall Mount  Study Table</v>
      </c>
      <c r="F367" s="64" t="s">
        <v>182</v>
      </c>
      <c r="G367" s="68" t="str">
        <f>_xlfn.CONCAT(Table1[[#This Row],[MTP Name]]," ",Table1[[#This Row],[ Child Color]])</f>
        <v>Gustowe Wall Mount  Study Table Wenge</v>
      </c>
      <c r="H367" s="50" t="str">
        <f>VLOOKUP(Table1[[#This Row],[MTP SKU]],'MTP SKUs - Master Data'!A:D,3,0)</f>
        <v>Gustowe Wall Mount  Study Table</v>
      </c>
      <c r="I367" s="51"/>
      <c r="J367" s="36" t="s">
        <v>2673</v>
      </c>
      <c r="K367" s="37" t="s">
        <v>2674</v>
      </c>
      <c r="L367" s="38" t="s">
        <v>2675</v>
      </c>
      <c r="M367" s="38" t="s">
        <v>2676</v>
      </c>
      <c r="N367" s="38" t="s">
        <v>2677</v>
      </c>
      <c r="O367" s="39" t="s">
        <v>2678</v>
      </c>
      <c r="P367" s="70" t="s">
        <v>62</v>
      </c>
      <c r="Q367" s="70" t="e">
        <v>#N/A</v>
      </c>
    </row>
    <row r="368" spans="1:17" ht="15" customHeight="1">
      <c r="A368" s="61" t="s">
        <v>2679</v>
      </c>
      <c r="B368" s="45" t="str">
        <f>IFERROR(VLOOKUP(Table1[[#This Row],[Seller SKU]],'[1]FG Snapshot (V2)'!$A:$B,2,0),"AR")</f>
        <v>AR</v>
      </c>
      <c r="C368" s="49" t="str">
        <f>IFERROR(VLOOKUP(Table1[[#This Row],[Seller SKU]],'[1]FG Snapshot (V2)'!$A:$E,5,0),"AR")</f>
        <v>AR</v>
      </c>
      <c r="D368" s="51" t="s">
        <v>1819</v>
      </c>
      <c r="E368" s="64" t="str">
        <f>VLOOKUP(Table1[[#This Row],[MTP SKU]],'MTP SKUs - Master Data'!A:D,3,0)</f>
        <v>Hemming Study Table</v>
      </c>
      <c r="F368" s="64" t="s">
        <v>780</v>
      </c>
      <c r="G368" s="69" t="str">
        <f>_xlfn.CONCAT(Table1[[#This Row],[MTP Name]]," ",Table1[[#This Row],[ Child Color]])</f>
        <v>Hemming Study Table Walnut</v>
      </c>
      <c r="H368" s="50" t="str">
        <f>VLOOKUP(Table1[[#This Row],[MTP SKU]],'MTP SKUs - Master Data'!A:D,3,0)</f>
        <v>Hemming Study Table</v>
      </c>
      <c r="I368" s="51"/>
      <c r="J368" s="52" t="s">
        <v>2680</v>
      </c>
      <c r="K368" s="53" t="s">
        <v>2681</v>
      </c>
      <c r="L368" s="54" t="s">
        <v>2682</v>
      </c>
      <c r="M368" s="54" t="s">
        <v>2683</v>
      </c>
      <c r="N368" s="38" t="s">
        <v>2684</v>
      </c>
      <c r="O368" s="39" t="s">
        <v>2685</v>
      </c>
      <c r="P368" s="70" t="s">
        <v>62</v>
      </c>
      <c r="Q368" s="70" t="e">
        <v>#N/A</v>
      </c>
    </row>
    <row r="369" spans="1:17" ht="15" customHeight="1">
      <c r="A369" s="61" t="s">
        <v>2686</v>
      </c>
      <c r="B369" s="45" t="str">
        <f>IFERROR(VLOOKUP(Table1[[#This Row],[Seller SKU]],'[1]FG Snapshot (V2)'!$A:$B,2,0),"AR")</f>
        <v>AR</v>
      </c>
      <c r="C369" s="49" t="str">
        <f>IFERROR(VLOOKUP(Table1[[#This Row],[Seller SKU]],'[1]FG Snapshot (V2)'!$A:$E,5,0),"AR")</f>
        <v>AR</v>
      </c>
      <c r="D369" s="51" t="s">
        <v>2147</v>
      </c>
      <c r="E369" s="64" t="str">
        <f>VLOOKUP(Table1[[#This Row],[MTP SKU]],'MTP SKUs - Master Data'!A:D,3,0)</f>
        <v>Hemming Study Table</v>
      </c>
      <c r="F369" s="65" t="s">
        <v>182</v>
      </c>
      <c r="G369" s="69" t="str">
        <f>_xlfn.CONCAT(Table1[[#This Row],[MTP Name]]," ",Table1[[#This Row],[ Child Color]])</f>
        <v>Hemming Study Table Wenge</v>
      </c>
      <c r="H369" s="50" t="str">
        <f>VLOOKUP(Table1[[#This Row],[MTP SKU]],'MTP SKUs - Master Data'!A:D,3,0)</f>
        <v>Hemming Study Table</v>
      </c>
      <c r="I369" s="51"/>
      <c r="J369" s="52" t="s">
        <v>2687</v>
      </c>
      <c r="K369" s="53" t="s">
        <v>2688</v>
      </c>
      <c r="L369" s="54" t="s">
        <v>2689</v>
      </c>
      <c r="M369" s="54" t="s">
        <v>2690</v>
      </c>
      <c r="N369" s="38" t="s">
        <v>2691</v>
      </c>
      <c r="O369" s="55" t="s">
        <v>2692</v>
      </c>
      <c r="P369" s="70" t="s">
        <v>62</v>
      </c>
      <c r="Q369" s="70" t="e">
        <v>#N/A</v>
      </c>
    </row>
    <row r="370" spans="1:17" ht="15" customHeight="1">
      <c r="A370" s="61" t="s">
        <v>2693</v>
      </c>
      <c r="B370" s="45" t="str">
        <f>IFERROR(VLOOKUP(Table1[[#This Row],[Seller SKU]],'[1]FG Snapshot (V2)'!$A:$B,2,0),"AR")</f>
        <v>AR</v>
      </c>
      <c r="C370" s="49" t="str">
        <f>IFERROR(VLOOKUP(Table1[[#This Row],[Seller SKU]],'[1]FG Snapshot (V2)'!$A:$E,5,0),"AR")</f>
        <v>AR</v>
      </c>
      <c r="D370" s="51" t="s">
        <v>2694</v>
      </c>
      <c r="E370" s="64" t="str">
        <f>VLOOKUP(Table1[[#This Row],[MTP SKU]],'MTP SKUs - Master Data'!A:D,3,0)</f>
        <v>Stellar Plus  Wall Shelve</v>
      </c>
      <c r="F370" s="65" t="s">
        <v>182</v>
      </c>
      <c r="G370" s="69" t="str">
        <f>_xlfn.CONCAT(Table1[[#This Row],[MTP Name]]," ",Table1[[#This Row],[ Child Color]])</f>
        <v>Stellar Plus  Wall Shelve Wenge</v>
      </c>
      <c r="H370" s="50" t="str">
        <f>VLOOKUP(Table1[[#This Row],[MTP SKU]],'MTP SKUs - Master Data'!A:D,3,0)</f>
        <v>Stellar Plus  Wall Shelve</v>
      </c>
      <c r="I370" s="51"/>
      <c r="J370" s="52" t="s">
        <v>2695</v>
      </c>
      <c r="K370" s="53" t="s">
        <v>2696</v>
      </c>
      <c r="L370" s="54" t="s">
        <v>2697</v>
      </c>
      <c r="M370" s="54" t="s">
        <v>2698</v>
      </c>
      <c r="N370" s="38" t="s">
        <v>2699</v>
      </c>
      <c r="O370" s="55" t="s">
        <v>2700</v>
      </c>
      <c r="P370" s="70" t="s">
        <v>62</v>
      </c>
      <c r="Q370" s="70" t="e">
        <v>#N/A</v>
      </c>
    </row>
    <row r="371" spans="1:17" ht="15" customHeight="1">
      <c r="A371" s="61" t="s">
        <v>2701</v>
      </c>
      <c r="B371" s="45" t="str">
        <f>IFERROR(VLOOKUP(Table1[[#This Row],[Seller SKU]],'[1]FG Snapshot (V2)'!$A:$B,2,0),"AR")</f>
        <v>AR</v>
      </c>
      <c r="C371" s="49" t="str">
        <f>IFERROR(VLOOKUP(Table1[[#This Row],[Seller SKU]],'[1]FG Snapshot (V2)'!$A:$E,5,0),"AR")</f>
        <v>AR</v>
      </c>
      <c r="D371" s="90" t="s">
        <v>1707</v>
      </c>
      <c r="E371" s="64" t="str">
        <f>VLOOKUP(Table1[[#This Row],[MTP SKU]],'MTP SKUs - Master Data'!A:D,3,0)</f>
        <v>Aero Large TV Unit</v>
      </c>
      <c r="F371" s="64" t="s">
        <v>182</v>
      </c>
      <c r="G371" s="69" t="str">
        <f>_xlfn.CONCAT(Table1[[#This Row],[MTP Name]]," ",Table1[[#This Row],[ Child Color]])</f>
        <v>Aero Large TV Unit Wenge</v>
      </c>
      <c r="H371" s="50" t="str">
        <f>VLOOKUP(Table1[[#This Row],[MTP SKU]],'MTP SKUs - Master Data'!A:D,3,0)</f>
        <v>Aero Large TV Unit</v>
      </c>
      <c r="I371" s="51"/>
      <c r="J371" s="52" t="s">
        <v>2702</v>
      </c>
      <c r="K371" s="53" t="s">
        <v>1708</v>
      </c>
      <c r="L371" s="54" t="s">
        <v>2703</v>
      </c>
      <c r="M371" s="54" t="s">
        <v>2704</v>
      </c>
      <c r="N371" s="38" t="s">
        <v>2705</v>
      </c>
      <c r="O371" s="55" t="s">
        <v>2706</v>
      </c>
      <c r="P371" s="70" t="s">
        <v>62</v>
      </c>
      <c r="Q371" s="70" t="e">
        <v>#N/A</v>
      </c>
    </row>
    <row r="372" spans="1:17" ht="15" customHeight="1">
      <c r="A372" s="59" t="s">
        <v>2707</v>
      </c>
      <c r="B372" s="45" t="str">
        <f>IFERROR(VLOOKUP(Table1[[#This Row],[Seller SKU]],'[1]FG Snapshot (V2)'!$A:$B,2,0),"AR")</f>
        <v>AR</v>
      </c>
      <c r="C372" s="49" t="str">
        <f>IFERROR(VLOOKUP(Table1[[#This Row],[Seller SKU]],'[1]FG Snapshot (V2)'!$A:$E,5,0),"AR")</f>
        <v>AR</v>
      </c>
      <c r="D372" s="88" t="s">
        <v>1788</v>
      </c>
      <c r="E372" s="64" t="str">
        <f>VLOOKUP(Table1[[#This Row],[MTP SKU]],'MTP SKUs - Master Data'!A:D,3,0)</f>
        <v>Estoye Standard TV Unit</v>
      </c>
      <c r="F372" s="64" t="s">
        <v>28</v>
      </c>
      <c r="G372" s="68" t="str">
        <f>_xlfn.CONCAT(Table1[[#This Row],[MTP Name]]," ",Table1[[#This Row],[ Child Color]])</f>
        <v>Estoye Standard TV Unit Brown Maple &amp; White</v>
      </c>
      <c r="H372" s="74" t="str">
        <f>VLOOKUP(Table1[[#This Row],[MTP SKU]],'MTP SKUs - Master Data'!A:D,3,0)</f>
        <v>Estoye Standard TV Unit</v>
      </c>
      <c r="I372" s="75"/>
      <c r="J372" s="36" t="s">
        <v>2708</v>
      </c>
      <c r="K372" s="37" t="s">
        <v>2709</v>
      </c>
      <c r="L372" s="38" t="s">
        <v>2710</v>
      </c>
      <c r="M372" s="38" t="s">
        <v>2711</v>
      </c>
      <c r="N372" s="38" t="e">
        <v>#N/A</v>
      </c>
      <c r="O372" s="39" t="e">
        <v>#N/A</v>
      </c>
      <c r="P372" s="39" t="s">
        <v>62</v>
      </c>
      <c r="Q372" s="39" t="e">
        <v>#N/A</v>
      </c>
    </row>
    <row r="373" spans="1:17" ht="15" customHeight="1">
      <c r="A373" s="61" t="s">
        <v>2712</v>
      </c>
      <c r="B373" s="45" t="str">
        <f>IFERROR(VLOOKUP(Table1[[#This Row],[Seller SKU]],'[1]FG Snapshot (V2)'!$A:$B,2,0),"AR")</f>
        <v>AR</v>
      </c>
      <c r="C373" s="49" t="str">
        <f>IFERROR(VLOOKUP(Table1[[#This Row],[Seller SKU]],'[1]FG Snapshot (V2)'!$A:$E,5,0),"AR")</f>
        <v>AR</v>
      </c>
      <c r="D373" s="40" t="s">
        <v>1788</v>
      </c>
      <c r="E373" s="64" t="str">
        <f>VLOOKUP(Table1[[#This Row],[MTP SKU]],'MTP SKUs - Master Data'!A:D,3,0)</f>
        <v>Estoye Standard TV Unit</v>
      </c>
      <c r="F373" s="64" t="s">
        <v>182</v>
      </c>
      <c r="G373" s="69" t="str">
        <f>_xlfn.CONCAT(Table1[[#This Row],[MTP Name]]," ",Table1[[#This Row],[ Child Color]])</f>
        <v>Estoye Standard TV Unit Wenge</v>
      </c>
      <c r="H373" s="74" t="str">
        <f>VLOOKUP(Table1[[#This Row],[MTP SKU]],'MTP SKUs - Master Data'!A:D,3,0)</f>
        <v>Estoye Standard TV Unit</v>
      </c>
      <c r="I373" s="75"/>
      <c r="J373" s="52" t="s">
        <v>2713</v>
      </c>
      <c r="K373" s="53" t="s">
        <v>2714</v>
      </c>
      <c r="L373" s="54" t="s">
        <v>2715</v>
      </c>
      <c r="M373" s="54" t="s">
        <v>2716</v>
      </c>
      <c r="N373" s="38" t="s">
        <v>2717</v>
      </c>
      <c r="O373" s="55" t="s">
        <v>2718</v>
      </c>
      <c r="P373" s="70" t="s">
        <v>62</v>
      </c>
      <c r="Q373" s="70" t="e">
        <v>#N/A</v>
      </c>
    </row>
    <row r="374" spans="1:17" ht="15" customHeight="1">
      <c r="A374" s="61" t="s">
        <v>2719</v>
      </c>
      <c r="B374" s="45" t="str">
        <f>IFERROR(VLOOKUP(Table1[[#This Row],[Seller SKU]],'[1]FG Snapshot (V2)'!$A:$B,2,0),"AR")</f>
        <v>AR</v>
      </c>
      <c r="C374" s="45" t="str">
        <f>IFERROR(VLOOKUP(Table1[[#This Row],[Seller SKU]],'[1]FG Snapshot (V2)'!$A:$E,5,0),"AR")</f>
        <v>AR</v>
      </c>
      <c r="D374" s="51" t="s">
        <v>1788</v>
      </c>
      <c r="E374" s="64" t="str">
        <f>VLOOKUP(Table1[[#This Row],[MTP SKU]],'MTP SKUs - Master Data'!A:D,3,0)</f>
        <v>Estoye Standard TV Unit</v>
      </c>
      <c r="F374" s="64" t="s">
        <v>46</v>
      </c>
      <c r="G374" s="68" t="str">
        <f>_xlfn.CONCAT(Table1[[#This Row],[MTP Name]]," ",Table1[[#This Row],[ Child Color]])</f>
        <v>Estoye Standard TV Unit Wenge &amp; White</v>
      </c>
      <c r="H374" s="50" t="str">
        <f>VLOOKUP(Table1[[#This Row],[MTP SKU]],'MTP SKUs - Master Data'!A:D,3,0)</f>
        <v>Estoye Standard TV Unit</v>
      </c>
      <c r="I374" s="51"/>
      <c r="J374" s="36" t="s">
        <v>2720</v>
      </c>
      <c r="K374" s="37" t="s">
        <v>2721</v>
      </c>
      <c r="L374" s="38" t="s">
        <v>2722</v>
      </c>
      <c r="M374" s="38" t="s">
        <v>2723</v>
      </c>
      <c r="N374" s="38" t="s">
        <v>2724</v>
      </c>
      <c r="O374" s="39" t="s">
        <v>2725</v>
      </c>
      <c r="P374" s="70" t="s">
        <v>62</v>
      </c>
      <c r="Q374" s="70" t="e">
        <v>#N/A</v>
      </c>
    </row>
    <row r="375" spans="1:17" ht="15" customHeight="1">
      <c r="A375" s="61" t="s">
        <v>2726</v>
      </c>
      <c r="B375" s="45" t="str">
        <f>IFERROR(VLOOKUP(Table1[[#This Row],[Seller SKU]],'[1]FG Snapshot (V2)'!$A:$B,2,0),"AR")</f>
        <v>AR</v>
      </c>
      <c r="C375" s="49" t="str">
        <f>IFERROR(VLOOKUP(Table1[[#This Row],[Seller SKU]],'[1]FG Snapshot (V2)'!$A:$E,5,0),"AR")</f>
        <v>AR</v>
      </c>
      <c r="D375" s="51" t="s">
        <v>1155</v>
      </c>
      <c r="E375" s="64" t="str">
        <f>VLOOKUP(Table1[[#This Row],[MTP SKU]],'MTP SKUs - Master Data'!A:D,3,0)</f>
        <v>Gautier TV Unit</v>
      </c>
      <c r="F375" s="64" t="s">
        <v>182</v>
      </c>
      <c r="G375" s="69" t="str">
        <f>_xlfn.CONCAT(Table1[[#This Row],[MTP Name]]," ",Table1[[#This Row],[ Child Color]])</f>
        <v>Gautier TV Unit Wenge</v>
      </c>
      <c r="H375" s="74" t="str">
        <f>VLOOKUP(Table1[[#This Row],[MTP SKU]],'MTP SKUs - Master Data'!A:D,3,0)</f>
        <v>Gautier TV Unit</v>
      </c>
      <c r="I375" s="75"/>
      <c r="J375" s="52" t="s">
        <v>2727</v>
      </c>
      <c r="K375" s="53" t="s">
        <v>2728</v>
      </c>
      <c r="L375" s="54" t="s">
        <v>2729</v>
      </c>
      <c r="M375" s="54" t="s">
        <v>2730</v>
      </c>
      <c r="N375" s="38" t="s">
        <v>2731</v>
      </c>
      <c r="O375" s="55" t="s">
        <v>2732</v>
      </c>
      <c r="P375" s="70" t="s">
        <v>62</v>
      </c>
      <c r="Q375" s="70" t="e">
        <v>#N/A</v>
      </c>
    </row>
    <row r="376" spans="1:17" ht="15" customHeight="1">
      <c r="A376" s="61" t="s">
        <v>2733</v>
      </c>
      <c r="B376" s="45" t="str">
        <f>IFERROR(VLOOKUP(Table1[[#This Row],[Seller SKU]],'[1]FG Snapshot (V2)'!$A:$B,2,0),"AR")</f>
        <v>AR</v>
      </c>
      <c r="C376" s="49" t="str">
        <f>IFERROR(VLOOKUP(Table1[[#This Row],[Seller SKU]],'[1]FG Snapshot (V2)'!$A:$E,5,0),"AR")</f>
        <v>AR</v>
      </c>
      <c r="D376" s="51" t="s">
        <v>276</v>
      </c>
      <c r="E376" s="64" t="str">
        <f>VLOOKUP(Table1[[#This Row],[MTP SKU]],'MTP SKUs - Master Data'!A:D,3,0)</f>
        <v>Harmond TV Unit</v>
      </c>
      <c r="F376" s="64" t="s">
        <v>182</v>
      </c>
      <c r="G376" s="69" t="str">
        <f>_xlfn.CONCAT(Table1[[#This Row],[MTP Name]]," ",Table1[[#This Row],[ Child Color]])</f>
        <v>Harmond TV Unit Wenge</v>
      </c>
      <c r="H376" s="74" t="str">
        <f>VLOOKUP(Table1[[#This Row],[MTP SKU]],'MTP SKUs - Master Data'!A:D,3,0)</f>
        <v>Harmond TV Unit</v>
      </c>
      <c r="I376" s="75"/>
      <c r="J376" s="52" t="s">
        <v>2734</v>
      </c>
      <c r="K376" s="53" t="s">
        <v>2735</v>
      </c>
      <c r="L376" s="54" t="s">
        <v>2736</v>
      </c>
      <c r="M376" s="54" t="s">
        <v>2737</v>
      </c>
      <c r="N376" s="54" t="s">
        <v>2738</v>
      </c>
      <c r="O376" s="55" t="s">
        <v>2739</v>
      </c>
      <c r="P376" s="70" t="s">
        <v>62</v>
      </c>
      <c r="Q376" s="70" t="e">
        <v>#N/A</v>
      </c>
    </row>
    <row r="377" spans="1:17" ht="15" customHeight="1">
      <c r="A377" s="61" t="s">
        <v>2740</v>
      </c>
      <c r="B377" s="45" t="str">
        <f>IFERROR(VLOOKUP(Table1[[#This Row],[Seller SKU]],'[1]FG Snapshot (V2)'!$A:$B,2,0),"AR")</f>
        <v>AR</v>
      </c>
      <c r="C377" s="49" t="str">
        <f>IFERROR(VLOOKUP(Table1[[#This Row],[Seller SKU]],'[1]FG Snapshot (V2)'!$A:$E,5,0),"AR")</f>
        <v>AR</v>
      </c>
      <c r="D377" s="51" t="s">
        <v>1187</v>
      </c>
      <c r="E377" s="64" t="str">
        <f>VLOOKUP(Table1[[#This Row],[MTP SKU]],'MTP SKUs - Master Data'!A:D,3,0)</f>
        <v>Primax Plus Large TV Unit</v>
      </c>
      <c r="F377" s="64" t="s">
        <v>46</v>
      </c>
      <c r="G377" s="69" t="str">
        <f>_xlfn.CONCAT(Table1[[#This Row],[MTP Name]]," ",Table1[[#This Row],[ Child Color]])</f>
        <v>Primax Plus Large TV Unit Wenge &amp; White</v>
      </c>
      <c r="H377" s="74" t="str">
        <f>VLOOKUP(Table1[[#This Row],[MTP SKU]],'MTP SKUs - Master Data'!A:D,3,0)</f>
        <v>Primax Plus Large TV Unit</v>
      </c>
      <c r="I377" s="75"/>
      <c r="J377" s="52" t="s">
        <v>2741</v>
      </c>
      <c r="K377" s="53" t="s">
        <v>1188</v>
      </c>
      <c r="L377" s="54" t="s">
        <v>2742</v>
      </c>
      <c r="M377" s="54" t="s">
        <v>2743</v>
      </c>
      <c r="N377" s="38" t="s">
        <v>2744</v>
      </c>
      <c r="O377" s="55" t="s">
        <v>2745</v>
      </c>
      <c r="P377" s="70" t="s">
        <v>62</v>
      </c>
      <c r="Q377" s="70" t="e">
        <v>#N/A</v>
      </c>
    </row>
    <row r="378" spans="1:17" ht="15" customHeight="1">
      <c r="A378" s="61" t="s">
        <v>2746</v>
      </c>
      <c r="B378" s="45" t="str">
        <f>IFERROR(VLOOKUP(Table1[[#This Row],[Seller SKU]],'[1]FG Snapshot (V2)'!$A:$B,2,0),"AR")</f>
        <v>AR</v>
      </c>
      <c r="C378" s="49" t="str">
        <f>IFERROR(VLOOKUP(Table1[[#This Row],[Seller SKU]],'[1]FG Snapshot (V2)'!$A:$E,5,0),"AR")</f>
        <v>AR</v>
      </c>
      <c r="D378" s="90" t="s">
        <v>1713</v>
      </c>
      <c r="E378" s="64" t="str">
        <f>VLOOKUP(Table1[[#This Row],[MTP SKU]],'MTP SKUs - Master Data'!A:D,3,0)</f>
        <v>Primax Standard TV Unit</v>
      </c>
      <c r="F378" s="64" t="s">
        <v>28</v>
      </c>
      <c r="G378" s="69" t="str">
        <f>_xlfn.CONCAT(Table1[[#This Row],[MTP Name]]," ",Table1[[#This Row],[ Child Color]])</f>
        <v>Primax Standard TV Unit Brown Maple &amp; White</v>
      </c>
      <c r="H378" s="74" t="str">
        <f>VLOOKUP(Table1[[#This Row],[MTP SKU]],'MTP SKUs - Master Data'!A:D,3,0)</f>
        <v>Primax Standard TV Unit</v>
      </c>
      <c r="I378" s="75"/>
      <c r="J378" s="52" t="s">
        <v>2747</v>
      </c>
      <c r="K378" s="53" t="s">
        <v>2748</v>
      </c>
      <c r="L378" s="54" t="s">
        <v>2749</v>
      </c>
      <c r="M378" s="54" t="s">
        <v>2750</v>
      </c>
      <c r="N378" s="38" t="s">
        <v>2751</v>
      </c>
      <c r="O378" s="55" t="s">
        <v>2752</v>
      </c>
      <c r="P378" s="70" t="s">
        <v>62</v>
      </c>
      <c r="Q378" s="70" t="e">
        <v>#N/A</v>
      </c>
    </row>
    <row r="379" spans="1:17" ht="15" customHeight="1">
      <c r="A379" s="61" t="s">
        <v>2753</v>
      </c>
      <c r="B379" s="45" t="str">
        <f>IFERROR(VLOOKUP(Table1[[#This Row],[Seller SKU]],'[1]FG Snapshot (V2)'!$A:$B,2,0),"AR")</f>
        <v>AR</v>
      </c>
      <c r="C379" s="49" t="str">
        <f>IFERROR(VLOOKUP(Table1[[#This Row],[Seller SKU]],'[1]FG Snapshot (V2)'!$A:$E,5,0),"AR")</f>
        <v>AR</v>
      </c>
      <c r="D379" s="51" t="s">
        <v>2754</v>
      </c>
      <c r="E379" s="64" t="str">
        <f>VLOOKUP(Table1[[#This Row],[MTP SKU]],'MTP SKUs - Master Data'!A:D,3,0)</f>
        <v>Prico TV Unit</v>
      </c>
      <c r="F379" s="65" t="s">
        <v>182</v>
      </c>
      <c r="G379" s="69" t="str">
        <f>_xlfn.CONCAT(Table1[[#This Row],[MTP Name]]," ",Table1[[#This Row],[ Child Color]])</f>
        <v>Prico TV Unit Wenge</v>
      </c>
      <c r="H379" s="50" t="str">
        <f>VLOOKUP(Table1[[#This Row],[MTP SKU]],'MTP SKUs - Master Data'!A:D,3,0)</f>
        <v>Prico TV Unit</v>
      </c>
      <c r="I379" s="51"/>
      <c r="J379" s="52" t="s">
        <v>2755</v>
      </c>
      <c r="K379" s="53" t="s">
        <v>2756</v>
      </c>
      <c r="L379" s="54" t="s">
        <v>2757</v>
      </c>
      <c r="M379" s="54" t="s">
        <v>2758</v>
      </c>
      <c r="N379" s="38" t="s">
        <v>2759</v>
      </c>
      <c r="O379" s="55" t="s">
        <v>2760</v>
      </c>
      <c r="P379" s="70" t="s">
        <v>2761</v>
      </c>
      <c r="Q379" s="70" t="e">
        <v>#N/A</v>
      </c>
    </row>
    <row r="380" spans="1:17" ht="15" customHeight="1">
      <c r="A380" s="61" t="s">
        <v>2762</v>
      </c>
      <c r="B380" s="45" t="str">
        <f>IFERROR(VLOOKUP(Table1[[#This Row],[Seller SKU]],'[1]FG Snapshot (V2)'!$A:$B,2,0),"AR")</f>
        <v>AR</v>
      </c>
      <c r="C380" s="49" t="str">
        <f>IFERROR(VLOOKUP(Table1[[#This Row],[Seller SKU]],'[1]FG Snapshot (V2)'!$A:$E,5,0),"AR")</f>
        <v>AR</v>
      </c>
      <c r="D380" s="51" t="s">
        <v>904</v>
      </c>
      <c r="E380" s="69" t="str">
        <f>VLOOKUP(Table1[[#This Row],[MTP SKU]],'MTP SKUs - Master Data'!A:D,3,0)</f>
        <v>Rowlet Mini TV Unit</v>
      </c>
      <c r="F380" s="65" t="s">
        <v>130</v>
      </c>
      <c r="G380" s="69" t="str">
        <f>_xlfn.CONCAT(Table1[[#This Row],[MTP Name]]," ",Table1[[#This Row],[ Child Color]])</f>
        <v>Rowlet Mini TV Unit Walnut &amp; White</v>
      </c>
      <c r="H380" s="50" t="str">
        <f>VLOOKUP(Table1[[#This Row],[MTP SKU]],'MTP SKUs - Master Data'!A:D,3,0)</f>
        <v>Rowlet Mini TV Unit</v>
      </c>
      <c r="I380" s="51"/>
      <c r="J380" s="52" t="e">
        <v>#N/A</v>
      </c>
      <c r="K380" s="53" t="s">
        <v>2763</v>
      </c>
      <c r="L380" s="54" t="s">
        <v>2764</v>
      </c>
      <c r="M380" s="54" t="s">
        <v>2765</v>
      </c>
      <c r="N380" s="38" t="s">
        <v>2766</v>
      </c>
      <c r="O380" s="39" t="s">
        <v>2767</v>
      </c>
      <c r="P380" s="39" t="s">
        <v>2768</v>
      </c>
      <c r="Q380" s="39" t="e">
        <v>#N/A</v>
      </c>
    </row>
    <row r="381" spans="1:17" ht="15" customHeight="1">
      <c r="A381" s="59" t="s">
        <v>2769</v>
      </c>
      <c r="B381" s="45" t="str">
        <f>IFERROR(VLOOKUP(Table1[[#This Row],[Seller SKU]],'[1]FG Snapshot (V2)'!$A:$B,2,0),"AR")</f>
        <v>AR</v>
      </c>
      <c r="C381" s="49" t="str">
        <f>IFERROR(VLOOKUP(Table1[[#This Row],[Seller SKU]],'[1]FG Snapshot (V2)'!$A:$E,5,0),"AR")</f>
        <v>AR</v>
      </c>
      <c r="D381" s="40" t="s">
        <v>2770</v>
      </c>
      <c r="E381" s="68" t="str">
        <f>VLOOKUP(Table1[[#This Row],[MTP SKU]],'MTP SKUs - Master Data'!A:D,3,0)</f>
        <v>Febbora Wall art</v>
      </c>
      <c r="F381" s="64" t="s">
        <v>182</v>
      </c>
      <c r="G381" s="68" t="str">
        <f>_xlfn.CONCAT(Table1[[#This Row],[MTP Name]]," ",Table1[[#This Row],[ Child Color]])</f>
        <v>Febbora Wall art Wenge</v>
      </c>
      <c r="H381" s="50" t="str">
        <f>VLOOKUP(Table1[[#This Row],[MTP SKU]],'MTP SKUs - Master Data'!A:D,3,0)</f>
        <v>Febbora Wall art</v>
      </c>
      <c r="I381" s="51"/>
      <c r="J381" s="36" t="e">
        <v>#N/A</v>
      </c>
      <c r="K381" s="37" t="s">
        <v>2771</v>
      </c>
      <c r="L381" s="38" t="e">
        <v>#N/A</v>
      </c>
      <c r="M381" s="38"/>
      <c r="N381" s="38" t="e">
        <v>#N/A</v>
      </c>
      <c r="O381" s="39" t="e">
        <v>#N/A</v>
      </c>
      <c r="P381" s="70" t="s">
        <v>62</v>
      </c>
      <c r="Q381" s="70" t="e">
        <v>#N/A</v>
      </c>
    </row>
    <row r="382" spans="1:17" ht="15" customHeight="1">
      <c r="A382" s="59" t="s">
        <v>2772</v>
      </c>
      <c r="B382" s="45" t="str">
        <f>IFERROR(VLOOKUP(Table1[[#This Row],[Seller SKU]],'[1]FG Snapshot (V2)'!$A:$B,2,0),"AR")</f>
        <v>AR</v>
      </c>
      <c r="C382" s="49" t="str">
        <f>IFERROR(VLOOKUP(Table1[[#This Row],[Seller SKU]],'[1]FG Snapshot (V2)'!$A:$E,5,0),"AR")</f>
        <v>AR</v>
      </c>
      <c r="D382" s="88" t="s">
        <v>835</v>
      </c>
      <c r="E382" s="68" t="str">
        <f>VLOOKUP(Table1[[#This Row],[MTP SKU]],'MTP SKUs - Master Data'!A:D,3,0)</f>
        <v>Andrie Single Door Wardrobe</v>
      </c>
      <c r="F382" s="64" t="s">
        <v>97</v>
      </c>
      <c r="G382" s="68" t="str">
        <f>_xlfn.CONCAT(Table1[[#This Row],[MTP Name]]," ",Table1[[#This Row],[ Child Color]])</f>
        <v>Andrie Single Door Wardrobe Brown Maple &amp; Beige</v>
      </c>
      <c r="H382" s="74" t="str">
        <f>VLOOKUP(Table1[[#This Row],[MTP SKU]],'MTP SKUs - Master Data'!A:D,3,0)</f>
        <v>Andrie Single Door Wardrobe</v>
      </c>
      <c r="I382" s="75"/>
      <c r="J382" s="36" t="s">
        <v>2773</v>
      </c>
      <c r="K382" s="37" t="s">
        <v>2774</v>
      </c>
      <c r="L382" s="38" t="s">
        <v>2775</v>
      </c>
      <c r="M382" s="38" t="s">
        <v>2776</v>
      </c>
      <c r="N382" s="38" t="s">
        <v>2777</v>
      </c>
      <c r="O382" s="39" t="s">
        <v>2778</v>
      </c>
      <c r="P382" s="70" t="s">
        <v>62</v>
      </c>
      <c r="Q382" s="70" t="e">
        <v>#N/A</v>
      </c>
    </row>
    <row r="383" spans="1:17" ht="15" customHeight="1">
      <c r="A383" s="59" t="s">
        <v>2779</v>
      </c>
      <c r="B383" s="45" t="str">
        <f>IFERROR(VLOOKUP(Table1[[#This Row],[Seller SKU]],'[1]FG Snapshot (V2)'!$A:$B,2,0),"AR")</f>
        <v>AR</v>
      </c>
      <c r="C383" s="49" t="str">
        <f>IFERROR(VLOOKUP(Table1[[#This Row],[Seller SKU]],'[1]FG Snapshot (V2)'!$A:$E,5,0),"AR")</f>
        <v>AR</v>
      </c>
      <c r="D383" s="40" t="s">
        <v>2780</v>
      </c>
      <c r="E383" s="68" t="str">
        <f>VLOOKUP(Table1[[#This Row],[MTP SKU]],'MTP SKUs - Master Data'!A:D,3,0)</f>
        <v>Andrie Single Door With One Drawer Wardrobe</v>
      </c>
      <c r="F383" s="64" t="s">
        <v>130</v>
      </c>
      <c r="G383" s="68" t="str">
        <f>_xlfn.CONCAT(Table1[[#This Row],[MTP Name]]," ",Table1[[#This Row],[ Child Color]])</f>
        <v>Andrie Single Door With One Drawer Wardrobe Walnut &amp; White</v>
      </c>
      <c r="H383" s="74" t="str">
        <f>VLOOKUP(Table1[[#This Row],[MTP SKU]],'MTP SKUs - Master Data'!A:D,3,0)</f>
        <v>Andrie Single Door With One Drawer Wardrobe</v>
      </c>
      <c r="I383" s="75"/>
      <c r="J383" s="36" t="s">
        <v>2781</v>
      </c>
      <c r="K383" s="37" t="s">
        <v>2782</v>
      </c>
      <c r="L383" s="38" t="s">
        <v>2783</v>
      </c>
      <c r="M383" s="38" t="s">
        <v>2784</v>
      </c>
      <c r="N383" s="38" t="s">
        <v>2785</v>
      </c>
      <c r="O383" s="39" t="s">
        <v>2786</v>
      </c>
      <c r="P383" s="70" t="s">
        <v>62</v>
      </c>
      <c r="Q383" s="70" t="e">
        <v>#N/A</v>
      </c>
    </row>
    <row r="384" spans="1:17" ht="15" customHeight="1">
      <c r="A384" s="59" t="s">
        <v>2787</v>
      </c>
      <c r="B384" s="45" t="str">
        <f>IFERROR(VLOOKUP(Table1[[#This Row],[Seller SKU]],'[1]FG Snapshot (V2)'!$A:$B,2,0),"AR")</f>
        <v>AR</v>
      </c>
      <c r="C384" s="49" t="str">
        <f>IFERROR(VLOOKUP(Table1[[#This Row],[Seller SKU]],'[1]FG Snapshot (V2)'!$A:$E,5,0),"AR")</f>
        <v>AR</v>
      </c>
      <c r="D384" s="40" t="s">
        <v>2780</v>
      </c>
      <c r="E384" s="68" t="str">
        <f>VLOOKUP(Table1[[#This Row],[MTP SKU]],'MTP SKUs - Master Data'!A:D,3,0)</f>
        <v>Andrie Single Door With One Drawer Wardrobe</v>
      </c>
      <c r="F384" s="64" t="s">
        <v>46</v>
      </c>
      <c r="G384" s="68" t="str">
        <f>_xlfn.CONCAT(Table1[[#This Row],[MTP Name]]," ",Table1[[#This Row],[ Child Color]])</f>
        <v>Andrie Single Door With One Drawer Wardrobe Wenge &amp; White</v>
      </c>
      <c r="H384" s="74" t="str">
        <f>VLOOKUP(Table1[[#This Row],[MTP SKU]],'MTP SKUs - Master Data'!A:D,3,0)</f>
        <v>Andrie Single Door With One Drawer Wardrobe</v>
      </c>
      <c r="I384" s="75"/>
      <c r="J384" s="36" t="s">
        <v>2788</v>
      </c>
      <c r="K384" s="37" t="s">
        <v>2789</v>
      </c>
      <c r="L384" s="38" t="s">
        <v>2790</v>
      </c>
      <c r="M384" s="38" t="s">
        <v>2791</v>
      </c>
      <c r="N384" s="38" t="s">
        <v>2792</v>
      </c>
      <c r="O384" s="39" t="s">
        <v>2793</v>
      </c>
      <c r="P384" s="70" t="s">
        <v>62</v>
      </c>
      <c r="Q384" s="70" t="e">
        <v>#N/A</v>
      </c>
    </row>
    <row r="385" spans="1:17" ht="15" customHeight="1">
      <c r="A385" s="59" t="s">
        <v>2794</v>
      </c>
      <c r="B385" s="45" t="str">
        <f>IFERROR(VLOOKUP(Table1[[#This Row],[Seller SKU]],'[1]FG Snapshot (V2)'!$A:$B,2,0),"AR")</f>
        <v>AR</v>
      </c>
      <c r="C385" s="49" t="str">
        <f>IFERROR(VLOOKUP(Table1[[#This Row],[Seller SKU]],'[1]FG Snapshot (V2)'!$A:$E,5,0),"AR")</f>
        <v>AR</v>
      </c>
      <c r="D385" s="40" t="s">
        <v>441</v>
      </c>
      <c r="E385" s="68" t="str">
        <f>VLOOKUP(Table1[[#This Row],[MTP SKU]],'MTP SKUs - Master Data'!A:D,3,0)</f>
        <v>Andrie 2 Door with Mirror Wardrobe</v>
      </c>
      <c r="F385" s="64" t="s">
        <v>130</v>
      </c>
      <c r="G385" s="68" t="str">
        <f>_xlfn.CONCAT(Table1[[#This Row],[MTP Name]]," ",Table1[[#This Row],[ Child Color]])</f>
        <v>Andrie 2 Door with Mirror Wardrobe Walnut &amp; White</v>
      </c>
      <c r="H385" s="74" t="str">
        <f>VLOOKUP(Table1[[#This Row],[MTP SKU]],'MTP SKUs - Master Data'!A:D,3,0)</f>
        <v>Andrie 2 Door with Mirror Wardrobe</v>
      </c>
      <c r="I385" s="75"/>
      <c r="J385" s="36" t="e">
        <v>#N/A</v>
      </c>
      <c r="K385" s="37" t="s">
        <v>2795</v>
      </c>
      <c r="L385" s="38" t="s">
        <v>2796</v>
      </c>
      <c r="M385" s="38" t="s">
        <v>2797</v>
      </c>
      <c r="N385" s="38" t="s">
        <v>2798</v>
      </c>
      <c r="O385" s="39" t="s">
        <v>2799</v>
      </c>
      <c r="P385" s="70" t="s">
        <v>62</v>
      </c>
      <c r="Q385" s="70" t="e">
        <v>#N/A</v>
      </c>
    </row>
    <row r="386" spans="1:17" ht="15" customHeight="1">
      <c r="A386" s="59" t="s">
        <v>2800</v>
      </c>
      <c r="B386" s="45" t="str">
        <f>IFERROR(VLOOKUP(Table1[[#This Row],[Seller SKU]],'[1]FG Snapshot (V2)'!$A:$B,2,0),"AR")</f>
        <v>AR</v>
      </c>
      <c r="C386" s="49" t="str">
        <f>IFERROR(VLOOKUP(Table1[[#This Row],[Seller SKU]],'[1]FG Snapshot (V2)'!$A:$E,5,0),"AR")</f>
        <v>AR</v>
      </c>
      <c r="D386" s="40" t="s">
        <v>921</v>
      </c>
      <c r="E386" s="68" t="str">
        <f>VLOOKUP(Table1[[#This Row],[MTP SKU]],'MTP SKUs - Master Data'!A:D,3,0)</f>
        <v>Andrie 2 Door without Mirror Wardrobe</v>
      </c>
      <c r="F386" s="64" t="s">
        <v>130</v>
      </c>
      <c r="G386" s="68" t="str">
        <f>_xlfn.CONCAT(Table1[[#This Row],[MTP Name]]," ",Table1[[#This Row],[ Child Color]])</f>
        <v>Andrie 2 Door without Mirror Wardrobe Walnut &amp; White</v>
      </c>
      <c r="H386" s="74" t="str">
        <f>VLOOKUP(Table1[[#This Row],[MTP SKU]],'MTP SKUs - Master Data'!A:D,3,0)</f>
        <v>Andrie 2 Door without Mirror Wardrobe</v>
      </c>
      <c r="I386" s="75"/>
      <c r="J386" s="36" t="e">
        <v>#N/A</v>
      </c>
      <c r="K386" s="37" t="s">
        <v>2801</v>
      </c>
      <c r="L386" s="38" t="s">
        <v>2802</v>
      </c>
      <c r="M386" s="38" t="s">
        <v>2803</v>
      </c>
      <c r="N386" s="38" t="s">
        <v>2804</v>
      </c>
      <c r="O386" s="39" t="s">
        <v>2805</v>
      </c>
      <c r="P386" s="70" t="s">
        <v>2806</v>
      </c>
      <c r="Q386" s="70" t="e">
        <v>#N/A</v>
      </c>
    </row>
    <row r="387" spans="1:17" ht="15" customHeight="1">
      <c r="A387" s="59" t="s">
        <v>2807</v>
      </c>
      <c r="B387" s="45" t="str">
        <f>IFERROR(VLOOKUP(Table1[[#This Row],[Seller SKU]],'[1]FG Snapshot (V2)'!$A:$B,2,0),"AR")</f>
        <v>AR</v>
      </c>
      <c r="C387" s="49" t="str">
        <f>IFERROR(VLOOKUP(Table1[[#This Row],[Seller SKU]],'[1]FG Snapshot (V2)'!$A:$E,5,0),"AR")</f>
        <v>AR</v>
      </c>
      <c r="D387" s="88" t="s">
        <v>588</v>
      </c>
      <c r="E387" s="68" t="str">
        <f>VLOOKUP(Table1[[#This Row],[MTP SKU]],'MTP SKUs - Master Data'!A:D,3,0)</f>
        <v>Andrie 3 Door without Mirror Wardrobe</v>
      </c>
      <c r="F387" s="64" t="s">
        <v>97</v>
      </c>
      <c r="G387" s="68" t="str">
        <f>_xlfn.CONCAT(Table1[[#This Row],[MTP Name]]," ",Table1[[#This Row],[ Child Color]])</f>
        <v>Andrie 3 Door without Mirror Wardrobe Brown Maple &amp; Beige</v>
      </c>
      <c r="H387" s="74" t="str">
        <f>VLOOKUP(Table1[[#This Row],[MTP SKU]],'MTP SKUs - Master Data'!A:D,3,0)</f>
        <v>Andrie 3 Door without Mirror Wardrobe</v>
      </c>
      <c r="I387" s="75"/>
      <c r="J387" s="36" t="e">
        <v>#N/A</v>
      </c>
      <c r="K387" s="37" t="s">
        <v>2808</v>
      </c>
      <c r="L387" s="38" t="s">
        <v>2809</v>
      </c>
      <c r="M387" s="38" t="s">
        <v>2810</v>
      </c>
      <c r="N387" s="38" t="s">
        <v>2811</v>
      </c>
      <c r="O387" s="39" t="s">
        <v>2812</v>
      </c>
      <c r="P387" s="70" t="s">
        <v>62</v>
      </c>
      <c r="Q387" s="70" t="e">
        <v>#N/A</v>
      </c>
    </row>
    <row r="388" spans="1:17" ht="15" customHeight="1">
      <c r="A388" s="61" t="s">
        <v>2813</v>
      </c>
      <c r="B388" s="45" t="str">
        <f>IFERROR(VLOOKUP(Table1[[#This Row],[Seller SKU]],'[1]FG Snapshot (V2)'!$A:$B,2,0),"AR")</f>
        <v>AR</v>
      </c>
      <c r="C388" s="49" t="str">
        <f>IFERROR(VLOOKUP(Table1[[#This Row],[Seller SKU]],'[1]FG Snapshot (V2)'!$A:$E,5,0),"AR")</f>
        <v>AR</v>
      </c>
      <c r="D388" s="51" t="s">
        <v>877</v>
      </c>
      <c r="E388" s="69" t="str">
        <f>VLOOKUP(Table1[[#This Row],[MTP SKU]],'MTP SKUs - Master Data'!A:D,3,0)</f>
        <v>Andrie 4 Door with Mirror Wardrobe</v>
      </c>
      <c r="F388" s="65" t="s">
        <v>130</v>
      </c>
      <c r="G388" s="69" t="str">
        <f>_xlfn.CONCAT(Table1[[#This Row],[MTP Name]]," ",Table1[[#This Row],[ Child Color]])</f>
        <v>Andrie 4 Door with Mirror Wardrobe Walnut &amp; White</v>
      </c>
      <c r="H388" s="74" t="str">
        <f>VLOOKUP(Table1[[#This Row],[MTP SKU]],'MTP SKUs - Master Data'!A:D,3,0)</f>
        <v>Andrie 4 Door with Mirror Wardrobe</v>
      </c>
      <c r="I388" s="75"/>
      <c r="J388" s="52" t="e">
        <v>#N/A</v>
      </c>
      <c r="K388" s="53" t="s">
        <v>2814</v>
      </c>
      <c r="L388" s="54" t="s">
        <v>2815</v>
      </c>
      <c r="M388" s="54" t="s">
        <v>2816</v>
      </c>
      <c r="N388" s="54" t="s">
        <v>2817</v>
      </c>
      <c r="O388" s="55" t="s">
        <v>2818</v>
      </c>
      <c r="P388" s="70" t="s">
        <v>2819</v>
      </c>
      <c r="Q388" s="70" t="e">
        <v>#N/A</v>
      </c>
    </row>
    <row r="389" spans="1:17" ht="15" customHeight="1">
      <c r="A389" s="61" t="s">
        <v>2820</v>
      </c>
      <c r="B389" s="49" t="str">
        <f>IFERROR(VLOOKUP(Table1[[#This Row],[Seller SKU]],'[1]FG Snapshot (V2)'!$A:$B,2,0),"AR")</f>
        <v>AR</v>
      </c>
      <c r="C389" s="49" t="str">
        <f>IFERROR(VLOOKUP(Table1[[#This Row],[Seller SKU]],'[1]FG Snapshot (V2)'!$A:$E,5,0),"AR")</f>
        <v>AR</v>
      </c>
      <c r="D389" s="90" t="s">
        <v>479</v>
      </c>
      <c r="E389" s="69" t="str">
        <f>VLOOKUP(Table1[[#This Row],[MTP SKU]],'MTP SKUs - Master Data'!A:D,3,0)</f>
        <v>Maltein 2 Door Without Mirror Wardrobe</v>
      </c>
      <c r="F389" s="65" t="s">
        <v>19</v>
      </c>
      <c r="G389" s="69" t="str">
        <f>_xlfn.CONCAT(Table1[[#This Row],[MTP Name]]," ",Table1[[#This Row],[ Child Color]])</f>
        <v>Maltein 2 Door Without Mirror Wardrobe Brown Maple</v>
      </c>
      <c r="H389" s="74" t="str">
        <f>VLOOKUP(Table1[[#This Row],[MTP SKU]],'MTP SKUs - Master Data'!A:D,3,0)</f>
        <v>Maltein 2 Door Without Mirror Wardrobe</v>
      </c>
      <c r="I389" s="51"/>
      <c r="J389" s="52" t="e">
        <v>#N/A</v>
      </c>
      <c r="K389" s="53"/>
      <c r="L389" s="54"/>
      <c r="M389" s="54"/>
      <c r="N389" s="54" t="e">
        <v>#N/A</v>
      </c>
      <c r="O389" s="55" t="e">
        <v>#N/A</v>
      </c>
      <c r="P389" s="70" t="s">
        <v>62</v>
      </c>
      <c r="Q389" s="70" t="e">
        <v>#N/A</v>
      </c>
    </row>
    <row r="390" spans="1:17" ht="15" customHeight="1">
      <c r="A390" s="61" t="s">
        <v>2821</v>
      </c>
      <c r="B390" s="49" t="str">
        <f>IFERROR(VLOOKUP(Table1[[#This Row],[Seller SKU]],'[1]FG Snapshot (V2)'!$A:$B,2,0),"AR")</f>
        <v>AR</v>
      </c>
      <c r="C390" s="49" t="str">
        <f>IFERROR(VLOOKUP(Table1[[#This Row],[Seller SKU]],'[1]FG Snapshot (V2)'!$A:$E,5,0),"AR")</f>
        <v>AR</v>
      </c>
      <c r="D390" s="90" t="s">
        <v>88</v>
      </c>
      <c r="E390" s="69" t="str">
        <f>VLOOKUP(Table1[[#This Row],[MTP SKU]],'MTP SKUs - Master Data'!A:D,3,0)</f>
        <v>Maltein 3 Door Without Mirror Wardrobe</v>
      </c>
      <c r="F390" s="65" t="s">
        <v>19</v>
      </c>
      <c r="G390" s="69" t="str">
        <f>_xlfn.CONCAT(Table1[[#This Row],[MTP Name]]," ",Table1[[#This Row],[ Child Color]])</f>
        <v>Maltein 3 Door Without Mirror Wardrobe Brown Maple</v>
      </c>
      <c r="H390" s="74" t="str">
        <f>VLOOKUP(Table1[[#This Row],[MTP SKU]],'MTP SKUs - Master Data'!A:D,3,0)</f>
        <v>Maltein 3 Door Without Mirror Wardrobe</v>
      </c>
      <c r="I390" s="51"/>
      <c r="J390" s="52" t="e">
        <v>#N/A</v>
      </c>
      <c r="K390" s="53" t="s">
        <v>2822</v>
      </c>
      <c r="L390" s="54" t="s">
        <v>2823</v>
      </c>
      <c r="M390" s="54" t="s">
        <v>2824</v>
      </c>
      <c r="N390" s="54" t="s">
        <v>2825</v>
      </c>
      <c r="O390" s="55" t="s">
        <v>2826</v>
      </c>
      <c r="P390" s="70" t="s">
        <v>62</v>
      </c>
      <c r="Q390" s="70" t="e">
        <v>#N/A</v>
      </c>
    </row>
    <row r="391" spans="1:17" ht="15" customHeight="1">
      <c r="A391" s="61" t="s">
        <v>2827</v>
      </c>
      <c r="B391" s="49" t="str">
        <f>IFERROR(VLOOKUP(Table1[[#This Row],[Seller SKU]],'[1]FG Snapshot (V2)'!$A:$B,2,0),"AR")</f>
        <v>AR</v>
      </c>
      <c r="C391" s="49" t="str">
        <f>IFERROR(VLOOKUP(Table1[[#This Row],[Seller SKU]],'[1]FG Snapshot (V2)'!$A:$E,5,0),"AR")</f>
        <v>AR</v>
      </c>
      <c r="D391" s="90" t="s">
        <v>72</v>
      </c>
      <c r="E391" s="69" t="str">
        <f>VLOOKUP(Table1[[#This Row],[MTP SKU]],'MTP SKUs - Master Data'!A:D,3,0)</f>
        <v>Maltein 4 Door Without Mirror Wardrobe</v>
      </c>
      <c r="F391" s="65" t="s">
        <v>19</v>
      </c>
      <c r="G391" s="69" t="str">
        <f>_xlfn.CONCAT(Table1[[#This Row],[MTP Name]]," ",Table1[[#This Row],[ Child Color]])</f>
        <v>Maltein 4 Door Without Mirror Wardrobe Brown Maple</v>
      </c>
      <c r="H391" s="74" t="str">
        <f>VLOOKUP(Table1[[#This Row],[MTP SKU]],'MTP SKUs - Master Data'!A:D,3,0)</f>
        <v>Maltein 4 Door Without Mirror Wardrobe</v>
      </c>
      <c r="I391" s="51"/>
      <c r="J391" s="52" t="e">
        <v>#N/A</v>
      </c>
      <c r="K391" s="53"/>
      <c r="L391" s="54"/>
      <c r="M391" s="54"/>
      <c r="N391" s="54" t="e">
        <v>#N/A</v>
      </c>
      <c r="O391" s="55" t="e">
        <v>#N/A</v>
      </c>
      <c r="P391" s="70" t="s">
        <v>62</v>
      </c>
      <c r="Q391" s="70" t="e">
        <v>#N/A</v>
      </c>
    </row>
  </sheetData>
  <conditionalFormatting sqref="A331:A333 A335:A364 A369:A1048576 A2:A329">
    <cfRule type="duplicateValues" dxfId="293" priority="302"/>
    <cfRule type="duplicateValues" dxfId="292" priority="305"/>
  </conditionalFormatting>
  <conditionalFormatting sqref="A365">
    <cfRule type="duplicateValues" dxfId="291" priority="308"/>
    <cfRule type="duplicateValues" dxfId="290" priority="309"/>
    <cfRule type="duplicateValues" dxfId="289" priority="310"/>
    <cfRule type="duplicateValues" dxfId="288" priority="311"/>
  </conditionalFormatting>
  <conditionalFormatting sqref="D352:D365 G352:G365">
    <cfRule type="duplicateValues" dxfId="287" priority="318"/>
    <cfRule type="duplicateValues" dxfId="286" priority="319"/>
  </conditionalFormatting>
  <conditionalFormatting sqref="J366:J1048576 L1:L316 L318:L333 L336:L350 L352:L380 L382:L391">
    <cfRule type="duplicateValues" dxfId="285" priority="371"/>
  </conditionalFormatting>
  <conditionalFormatting sqref="K366:K1048576 M1:M391">
    <cfRule type="duplicateValues" dxfId="284" priority="376"/>
  </conditionalFormatting>
  <hyperlinks>
    <hyperlink ref="A27" r:id="rId1" xr:uid="{B01B8D4D-D6EA-4B70-9E6F-94A9C27AFAC0}"/>
    <hyperlink ref="A281" r:id="rId2" display="https://sellercentral.amazon.in/skucentral?mSku=SH-CHR-K&amp;condition=New&amp;ref_=myp_skuc" xr:uid="{9B07C89D-33B5-49E8-9EE9-5C8B431ED498}"/>
    <hyperlink ref="A9" r:id="rId3" display="https://sellercentral.amazon.in/skucentral?mSku=ST-CBN-LSMF&amp;condition=New&amp;ref_=myp_skuc" xr:uid="{702D6D99-F34C-41D7-8BEE-4B1844109EB2}"/>
    <hyperlink ref="A210" r:id="rId4" display="https://sellercentral.amazon.in/skucentral?mSku=TP-MTA-M&amp;condition=New&amp;ref_=myp_skuc" xr:uid="{6E9A13F9-EA30-4909-A5E6-92F34DE198A6}"/>
    <hyperlink ref="A4" r:id="rId5" display="https://sellercentral.amazon.in/skucentral?mSku=TU-BKY-M&amp;condition=New&amp;ref_=myp_skuc" xr:uid="{6717AC64-97B4-48AF-8966-589C90D8E6AC}"/>
    <hyperlink ref="A155" r:id="rId6" display="https://sellercentral.amazon.in/skucentral?mSku=TU-DSK-M&amp;condition=New&amp;ref_=myp_skuc" xr:uid="{3F31B896-3217-41D9-90E8-128FEEACDBA0}"/>
    <hyperlink ref="A246" r:id="rId7" display="https://sellercentral.amazon.in/skucentral?mSku=KH-EDL-M&amp;condition=New&amp;ref_=myp_skuc" xr:uid="{B4C34619-B30B-4F8C-8ACA-987D8B76D533}"/>
    <hyperlink ref="A192" r:id="rId8" display="https://sellercentral.amazon.in/skucentral?mSku=SB-JMY-M&amp;condition=New&amp;ref_=myp_skuc" xr:uid="{2C2C83E1-4EBB-4B84-B44F-6EF8E67E7858}"/>
    <hyperlink ref="A157" r:id="rId9" xr:uid="{CD96AC8E-99BF-4AF3-8DF4-2757CA071E63}"/>
    <hyperlink ref="D210" r:id="rId10" display="https://sellercentral.amazon.in/skucentral?mSku=TP-MTA-M&amp;condition=New&amp;ref_=myp_skuc" xr:uid="{C48247B6-CE94-43C1-9524-5353B42396C3}"/>
    <hyperlink ref="D155" r:id="rId11" display="https://sellercentral.amazon.in/skucentral?mSku=TU-DSK-M&amp;condition=New&amp;ref_=myp_skuc" xr:uid="{BC97EA88-E0BF-417C-9940-8B5CF2FB185D}"/>
    <hyperlink ref="D246" r:id="rId12" display="https://sellercentral.amazon.in/skucentral?mSku=KH-EDL-M&amp;condition=New&amp;ref_=myp_skuc" xr:uid="{767EE9F5-926D-4FAA-866C-4D04241B61CE}"/>
    <hyperlink ref="D192" r:id="rId13" display="https://sellercentral.amazon.in/skucentral?mSku=SB-JMY-M&amp;condition=New&amp;ref_=myp_skuc" xr:uid="{6930EC49-A5D5-4E96-9EFA-4154ECCFFF21}"/>
    <hyperlink ref="D157" r:id="rId14" display="TU-SNQ-LAM" xr:uid="{40818F1D-F66C-4B3E-A77F-89FBECF2D0EA}"/>
    <hyperlink ref="D281" r:id="rId15" display="https://sellercentral.amazon.in/skucentral?mSku=SH-CHR-K&amp;condition=New&amp;ref_=myp_skuc" xr:uid="{26D51520-CF02-4863-9B4D-41E127A329E6}"/>
    <hyperlink ref="D9" r:id="rId16" display="https://sellercentral.amazon.in/skucentral?mSku=ST-CBN-LSMF&amp;condition=New&amp;ref_=myp_skuc" xr:uid="{7D679C24-FF71-4401-80D9-6D91F8120F0F}"/>
  </hyperlinks>
  <pageMargins left="0.7" right="0.7" top="0.75" bottom="0.75" header="0.3" footer="0.3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3689-105E-4806-A6CB-DAD8939971F9}">
  <dimension ref="A1:H15"/>
  <sheetViews>
    <sheetView workbookViewId="0">
      <selection activeCell="H6" sqref="H6"/>
    </sheetView>
  </sheetViews>
  <sheetFormatPr defaultRowHeight="15"/>
  <cols>
    <col min="5" max="5" width="9.140625" bestFit="1" customWidth="1"/>
  </cols>
  <sheetData>
    <row r="1" spans="1:8">
      <c r="A1" s="76" t="s">
        <v>10</v>
      </c>
      <c r="B1" s="76" t="s">
        <v>2828</v>
      </c>
      <c r="C1" s="76" t="s">
        <v>2829</v>
      </c>
      <c r="D1" s="76" t="s">
        <v>13</v>
      </c>
      <c r="E1" s="76" t="s">
        <v>2830</v>
      </c>
      <c r="F1" s="76" t="s">
        <v>2831</v>
      </c>
      <c r="G1" s="76" t="s">
        <v>2832</v>
      </c>
      <c r="H1" s="77" t="s">
        <v>2833</v>
      </c>
    </row>
    <row r="2" spans="1:8">
      <c r="A2" s="82" t="s">
        <v>1036</v>
      </c>
      <c r="B2" s="79" t="str">
        <f>_xlfn.XLOOKUP(A2,'Child SKUs - Alias Master'!K:K,'Child SKUs - Alias Master'!A:A)</f>
        <v>TU-RYE-STMI</v>
      </c>
      <c r="C2" s="80" t="str">
        <f>_xlfn.XLOOKUP(B2,'Child SKUs - Alias Master'!A:A,'Child SKUs - Alias Master'!O:O)</f>
        <v>FN2194318-S-PM39235</v>
      </c>
      <c r="D2" s="80" t="str">
        <f>_xlfn.XLOOKUP(B2,'Child SKUs - Alias Master'!A:A,'Child SKUs - Alias Master'!N:N)</f>
        <v>FVSGAV33BR50157</v>
      </c>
      <c r="E2" s="83" t="s">
        <v>2834</v>
      </c>
      <c r="F2" s="83">
        <v>3689</v>
      </c>
      <c r="G2" s="83">
        <v>3468</v>
      </c>
      <c r="H2" s="81">
        <v>3799</v>
      </c>
    </row>
    <row r="3" spans="1:8">
      <c r="A3" s="82" t="s">
        <v>1692</v>
      </c>
      <c r="B3" s="79" t="str">
        <f>_xlfn.XLOOKUP(A3,'Child SKUs - Alias Master'!K:K,'Child SKUs - Alias Master'!A:A)</f>
        <v>SB-WA-WMW</v>
      </c>
      <c r="C3" s="80" t="str">
        <f>_xlfn.XLOOKUP(B3,'Child SKUs - Alias Master'!A:A,'Child SKUs - Alias Master'!O:O)</f>
        <v>FN1991894-S-PM39235</v>
      </c>
      <c r="D3" s="80" t="str">
        <f>_xlfn.XLOOKUP(B3,'Child SKUs - Alias Master'!A:A,'Child SKUs - Alias Master'!N:N)</f>
        <v>FVSGBR33WN20587</v>
      </c>
      <c r="E3" s="83" t="s">
        <v>2835</v>
      </c>
      <c r="F3" s="83">
        <v>1939</v>
      </c>
      <c r="G3" s="83">
        <v>1878</v>
      </c>
      <c r="H3" s="81">
        <v>1999</v>
      </c>
    </row>
    <row r="4" spans="1:8">
      <c r="A4" s="82" t="s">
        <v>286</v>
      </c>
      <c r="B4" s="79" t="str">
        <f>_xlfn.XLOOKUP(A4,'Child SKUs - Alias Master'!K:K,'Child SKUs - Alias Master'!A:A)</f>
        <v>DC-MYN-STMF</v>
      </c>
      <c r="C4" s="80" t="str">
        <f>_xlfn.XLOOKUP(B4,'Child SKUs - Alias Master'!A:A,'Child SKUs - Alias Master'!O:O)</f>
        <v>FN2135042-S-PM39235</v>
      </c>
      <c r="D4" s="80" t="str">
        <f>_xlfn.XLOOKUP(B4,'Child SKUs - Alias Master'!A:A,'Child SKUs - Alias Master'!N:N)</f>
        <v>FVSGDR33BR32696</v>
      </c>
      <c r="E4" s="83" t="s">
        <v>2836</v>
      </c>
      <c r="F4" s="83">
        <v>8829</v>
      </c>
      <c r="G4" s="83">
        <v>7799</v>
      </c>
      <c r="H4" s="81">
        <v>11599</v>
      </c>
    </row>
    <row r="5" spans="1:8">
      <c r="A5" s="78" t="s">
        <v>828</v>
      </c>
      <c r="B5" s="79" t="str">
        <f>_xlfn.XLOOKUP(A5,'Child SKUs - Alias Master'!K:K,'Child SKUs - Alias Master'!A:A)</f>
        <v>W-AND-4NFW</v>
      </c>
      <c r="C5" s="80" t="str">
        <f>_xlfn.XLOOKUP(B5,'Child SKUs - Alias Master'!A:A,'Child SKUs - Alias Master'!O:O)</f>
        <v>FN2027701-S-PM39235</v>
      </c>
      <c r="D5" s="80" t="str">
        <f>_xlfn.XLOOKUP(B5,'Child SKUs - Alias Master'!A:A,'Child SKUs - Alias Master'!N:N)</f>
        <v>FVSGSR33BR71093</v>
      </c>
      <c r="E5" s="80" t="s">
        <v>2837</v>
      </c>
      <c r="F5" s="80">
        <v>25219</v>
      </c>
      <c r="G5" s="80">
        <v>24988</v>
      </c>
      <c r="H5" s="81">
        <v>25999</v>
      </c>
    </row>
    <row r="6" spans="1:8">
      <c r="A6" s="82" t="s">
        <v>1409</v>
      </c>
      <c r="B6" s="79" t="str">
        <f>_xlfn.XLOOKUP(A6,'Child SKUs - Alias Master'!K:K,'Child SKUs - Alias Master'!A:A)</f>
        <v>CT-MT-ROW</v>
      </c>
      <c r="C6" s="80" t="str">
        <f>_xlfn.XLOOKUP(B6,'Child SKUs - Alias Master'!A:A,'Child SKUs - Alias Master'!O:O)</f>
        <v>FN1991992-S-PM39235</v>
      </c>
      <c r="D6" s="80" t="str">
        <f>_xlfn.XLOOKUP(B6,'Child SKUs - Alias Master'!A:A,'Child SKUs - Alias Master'!N:N)</f>
        <v>FVTBCF33WN20642</v>
      </c>
      <c r="E6" s="83" t="s">
        <v>2838</v>
      </c>
      <c r="F6" s="83">
        <v>2139</v>
      </c>
      <c r="G6" s="83">
        <v>1829</v>
      </c>
      <c r="H6" s="81" t="s">
        <v>2839</v>
      </c>
    </row>
    <row r="7" spans="1:8">
      <c r="A7" s="82" t="s">
        <v>1204</v>
      </c>
      <c r="B7" s="79" t="str">
        <f>_xlfn.XLOOKUP(A7,'Child SKUs - Alias Master'!K:K,'Child SKUs - Alias Master'!A:A)</f>
        <v>RG-KH-SW-WB</v>
      </c>
      <c r="C7" s="80" t="str">
        <f>_xlfn.XLOOKUP(B7,'Child SKUs - Alias Master'!A:A,'Child SKUs - Alias Master'!O:O)</f>
        <v>DE1994926-S-PM39397</v>
      </c>
      <c r="D7" s="80" t="e">
        <f>_xlfn.XLOOKUP(B7,'Child SKUs - Alias Master'!A:A,'Child SKUs - Alias Master'!N:N)</f>
        <v>#N/A</v>
      </c>
      <c r="E7" s="83" t="s">
        <v>2840</v>
      </c>
      <c r="F7" s="83">
        <v>299</v>
      </c>
      <c r="G7" s="83">
        <v>284</v>
      </c>
      <c r="H7" s="81" t="s">
        <v>2841</v>
      </c>
    </row>
    <row r="8" spans="1:8">
      <c r="A8" s="78" t="s">
        <v>1226</v>
      </c>
      <c r="B8" s="79" t="str">
        <f>_xlfn.XLOOKUP(A8,'Child SKUs - Alias Master'!K:K,'Child SKUs - Alias Master'!A:A)</f>
        <v>TU-DSK-M</v>
      </c>
      <c r="C8" s="80" t="str">
        <f>_xlfn.XLOOKUP(B8,'Child SKUs - Alias Master'!A:A,'Child SKUs - Alias Master'!O:O)</f>
        <v>FN2200969-S-PM39235</v>
      </c>
      <c r="D8" s="80" t="str">
        <f>_xlfn.XLOOKUP(B8,'Child SKUs - Alias Master'!A:A,'Child SKUs - Alias Master'!N:N)</f>
        <v>FVSGAV11BM51541</v>
      </c>
      <c r="E8" s="80" t="s">
        <v>2842</v>
      </c>
      <c r="F8" s="80">
        <v>6399</v>
      </c>
      <c r="G8" s="80">
        <v>5618</v>
      </c>
      <c r="H8" s="81">
        <v>6599</v>
      </c>
    </row>
    <row r="9" spans="1:8">
      <c r="A9" s="82" t="s">
        <v>1175</v>
      </c>
      <c r="B9" s="79" t="str">
        <f>_xlfn.XLOOKUP(A9,'Child SKUs - Alias Master'!K:K,'Child SKUs - Alias Master'!A:A)</f>
        <v>SB-WA-W</v>
      </c>
      <c r="C9" s="80" t="str">
        <f>_xlfn.XLOOKUP(B9,'Child SKUs - Alias Master'!A:A,'Child SKUs - Alias Master'!O:O)</f>
        <v>FN1988001-S-PM39235</v>
      </c>
      <c r="D9" s="80" t="str">
        <f>_xlfn.XLOOKUP(B9,'Child SKUs - Alias Master'!A:A,'Child SKUs - Alias Master'!N:N)</f>
        <v>FVSGBR33WN20586</v>
      </c>
      <c r="E9" s="83" t="s">
        <v>2843</v>
      </c>
      <c r="F9" s="83">
        <v>1939</v>
      </c>
      <c r="G9" s="83">
        <v>1918</v>
      </c>
      <c r="H9" s="81">
        <v>1999</v>
      </c>
    </row>
    <row r="10" spans="1:8">
      <c r="A10" s="78" t="s">
        <v>382</v>
      </c>
      <c r="B10" s="79" t="str">
        <f>_xlfn.XLOOKUP(A10,'Child SKUs - Alias Master'!K:K,'Child SKUs - Alias Master'!A:A)</f>
        <v>DC-MYN-LAMF</v>
      </c>
      <c r="C10" s="80" t="str">
        <f>_xlfn.XLOOKUP(B10,'Child SKUs - Alias Master'!A:A,'Child SKUs - Alias Master'!O:O)</f>
        <v>FN2135040-S-PM39235</v>
      </c>
      <c r="D10" s="80" t="str">
        <f>_xlfn.XLOOKUP(B10,'Child SKUs - Alias Master'!A:A,'Child SKUs - Alias Master'!N:N)</f>
        <v>FVSGDR33BR32697</v>
      </c>
      <c r="E10" s="80" t="s">
        <v>2844</v>
      </c>
      <c r="F10" s="80">
        <v>12909</v>
      </c>
      <c r="G10" s="80">
        <v>11738</v>
      </c>
      <c r="H10" s="81">
        <v>13299</v>
      </c>
    </row>
    <row r="11" spans="1:8">
      <c r="A11" s="78" t="s">
        <v>1098</v>
      </c>
      <c r="B11" s="79" t="str">
        <f>_xlfn.XLOOKUP(A11,'Child SKUs - Alias Master'!K:K,'Child SKUs - Alias Master'!A:A)</f>
        <v>CT-MT-RTW</v>
      </c>
      <c r="C11" s="80" t="str">
        <f>_xlfn.XLOOKUP(B11,'Child SKUs - Alias Master'!A:A,'Child SKUs - Alias Master'!O:O)</f>
        <v>FN1991993-S-PM39235</v>
      </c>
      <c r="D11" s="80" t="str">
        <f>_xlfn.XLOOKUP(B11,'Child SKUs - Alias Master'!A:A,'Child SKUs - Alias Master'!N:N)</f>
        <v>FVTBCF33WN20643</v>
      </c>
      <c r="E11" s="80" t="s">
        <v>2845</v>
      </c>
      <c r="F11" s="80">
        <v>1899</v>
      </c>
      <c r="G11" s="80">
        <v>1659</v>
      </c>
      <c r="H11" s="81" t="s">
        <v>2841</v>
      </c>
    </row>
    <row r="12" spans="1:8">
      <c r="A12" s="78" t="s">
        <v>2084</v>
      </c>
      <c r="B12" s="79" t="str">
        <f>_xlfn.XLOOKUP(A12,'Child SKUs - Alias Master'!K:K,'Child SKUs - Alias Master'!A:A)</f>
        <v>SB-AA-WD</v>
      </c>
      <c r="C12" s="80" t="str">
        <f>_xlfn.XLOOKUP(B12,'Child SKUs - Alias Master'!A:A,'Child SKUs - Alias Master'!O:O)</f>
        <v>DE2231304-S-PM39397</v>
      </c>
      <c r="D12" s="80" t="str">
        <f>_xlfn.XLOOKUP(B12,'Child SKUs - Alias Master'!A:A,'Child SKUs - Alias Master'!N:N)</f>
        <v>FVSGCB33WG25113</v>
      </c>
      <c r="E12" s="80" t="s">
        <v>2846</v>
      </c>
      <c r="F12" s="80">
        <v>609</v>
      </c>
      <c r="G12" s="80">
        <v>549</v>
      </c>
      <c r="H12" s="81">
        <v>609</v>
      </c>
    </row>
    <row r="13" spans="1:8">
      <c r="A13" s="78" t="s">
        <v>1505</v>
      </c>
      <c r="B13" s="79" t="str">
        <f>_xlfn.XLOOKUP(A13,'Child SKUs - Alias Master'!K:K,'Child SKUs - Alias Master'!A:A)</f>
        <v>SB-JMY-M</v>
      </c>
      <c r="C13" s="80" t="str">
        <f>_xlfn.XLOOKUP(B13,'Child SKUs - Alias Master'!A:A,'Child SKUs - Alias Master'!O:O)</f>
        <v>FN2200963-S-PM39235</v>
      </c>
      <c r="D13" s="80" t="str">
        <f>_xlfn.XLOOKUP(B13,'Child SKUs - Alias Master'!A:A,'Child SKUs - Alias Master'!N:N)</f>
        <v>FVSGBR11BM51550</v>
      </c>
      <c r="E13" s="80" t="s">
        <v>2847</v>
      </c>
      <c r="F13" s="80">
        <v>4469</v>
      </c>
      <c r="G13" s="80">
        <v>3948</v>
      </c>
      <c r="H13" s="81">
        <v>4599</v>
      </c>
    </row>
    <row r="14" spans="1:8">
      <c r="A14" s="82" t="s">
        <v>1924</v>
      </c>
      <c r="B14" s="79" t="str">
        <f>_xlfn.XLOOKUP(A14,'Child SKUs - Alias Master'!K:K,'Child SKUs - Alias Master'!A:A)</f>
        <v>S-GRB-W</v>
      </c>
      <c r="C14" s="80" t="str">
        <f>_xlfn.XLOOKUP(B14,'Child SKUs - Alias Master'!A:A,'Child SKUs - Alias Master'!O:O)</f>
        <v>DE1994921-S-PM39397</v>
      </c>
      <c r="D14" s="80" t="str">
        <f>_xlfn.XLOOKUP(B14,'Child SKUs - Alias Master'!A:A,'Child SKUs - Alias Master'!N:N)</f>
        <v>FVSGCB33WG25088</v>
      </c>
      <c r="E14" s="83" t="s">
        <v>2848</v>
      </c>
      <c r="F14" s="83">
        <v>1269</v>
      </c>
      <c r="G14" s="83">
        <v>1129</v>
      </c>
      <c r="H14" s="81" t="s">
        <v>2841</v>
      </c>
    </row>
    <row r="15" spans="1:8">
      <c r="A15" s="82" t="s">
        <v>1672</v>
      </c>
      <c r="B15" s="79" t="str">
        <f>_xlfn.XLOOKUP(A15,'Child SKUs - Alias Master'!K:K,'Child SKUs - Alias Master'!A:A)</f>
        <v>RG-KH-SW-W21</v>
      </c>
      <c r="C15" s="80" t="str">
        <f>_xlfn.XLOOKUP(B15,'Child SKUs - Alias Master'!A:A,'Child SKUs - Alias Master'!O:O)</f>
        <v>DE1994923-S-PM39397</v>
      </c>
      <c r="D15" s="80" t="e">
        <f>_xlfn.XLOOKUP(B15,'Child SKUs - Alias Master'!A:A,'Child SKUs - Alias Master'!N:N)</f>
        <v>#N/A</v>
      </c>
      <c r="E15" s="83" t="s">
        <v>2849</v>
      </c>
      <c r="F15" s="83">
        <v>1169</v>
      </c>
      <c r="G15" s="83">
        <v>947</v>
      </c>
      <c r="H15" s="81" t="s">
        <v>2841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4161-FEA4-403C-9D47-94654EDB51CC}">
  <dimension ref="A1:G332"/>
  <sheetViews>
    <sheetView workbookViewId="0">
      <selection activeCell="E23" sqref="E23"/>
    </sheetView>
  </sheetViews>
  <sheetFormatPr defaultRowHeight="15"/>
  <cols>
    <col min="1" max="1" width="13.85546875" style="56" customWidth="1"/>
    <col min="2" max="2" width="7.7109375" style="56" bestFit="1" customWidth="1"/>
    <col min="3" max="3" width="24.85546875" bestFit="1" customWidth="1"/>
    <col min="5" max="5" width="13.140625" customWidth="1"/>
  </cols>
  <sheetData>
    <row r="1" spans="1:7">
      <c r="A1" s="94" t="s">
        <v>3</v>
      </c>
      <c r="B1" s="85" t="s">
        <v>2850</v>
      </c>
      <c r="C1" s="62" t="s">
        <v>2851</v>
      </c>
      <c r="D1" s="62" t="s">
        <v>7</v>
      </c>
      <c r="E1" s="63" t="s">
        <v>2852</v>
      </c>
      <c r="F1" s="71" t="s">
        <v>2853</v>
      </c>
      <c r="G1" s="72" t="s">
        <v>2854</v>
      </c>
    </row>
    <row r="2" spans="1:7">
      <c r="A2" s="95" t="s">
        <v>18</v>
      </c>
      <c r="B2" s="86" t="s">
        <v>2855</v>
      </c>
      <c r="C2" s="84" t="s">
        <v>2856</v>
      </c>
      <c r="D2" s="57">
        <f>VLOOKUP(A2,[2]MTP!$A:$B,2,0)</f>
        <v>10199</v>
      </c>
      <c r="E2" s="58">
        <f>VLOOKUP(A2,[2]MTP!$A:$AM,39,0)</f>
        <v>7688.3675964523391</v>
      </c>
      <c r="F2" s="73">
        <f>VLOOKUP(A2,[2]MTP!$A:$E,5,0)</f>
        <v>7599</v>
      </c>
      <c r="G2" s="73">
        <f>VLOOKUP(A2,[2]MTP!$A:$AO,41,0)</f>
        <v>1</v>
      </c>
    </row>
    <row r="3" spans="1:7">
      <c r="A3" s="95" t="s">
        <v>27</v>
      </c>
      <c r="B3" s="86" t="s">
        <v>2855</v>
      </c>
      <c r="C3" s="84" t="s">
        <v>2857</v>
      </c>
      <c r="D3" s="57">
        <f>VLOOKUP(A3,[2]MTP!$A:$B,2,0)</f>
        <v>10799</v>
      </c>
      <c r="E3" s="58">
        <f>VLOOKUP(A3,[2]MTP!$A:$AM,39,0)</f>
        <v>6526.5730031800731</v>
      </c>
      <c r="F3" s="73">
        <f>VLOOKUP(A3,[2]MTP!$A:$E,5,0)</f>
        <v>6299</v>
      </c>
      <c r="G3" s="73">
        <f>VLOOKUP(A3,[2]MTP!$A:$AO,41,0)</f>
        <v>1</v>
      </c>
    </row>
    <row r="4" spans="1:7">
      <c r="A4" s="95" t="s">
        <v>45</v>
      </c>
      <c r="B4" s="86" t="s">
        <v>2855</v>
      </c>
      <c r="C4" s="84" t="s">
        <v>2858</v>
      </c>
      <c r="D4" s="57">
        <f>VLOOKUP(A4,[2]MTP!$A:$B,2,0)</f>
        <v>9599</v>
      </c>
      <c r="E4" s="58">
        <f>VLOOKUP(A4,[2]MTP!$A:$AM,39,0)</f>
        <v>5437.9902438727158</v>
      </c>
      <c r="F4" s="73">
        <f>VLOOKUP(A4,[2]MTP!$A:$E,5,0)</f>
        <v>4999</v>
      </c>
      <c r="G4" s="73">
        <f>VLOOKUP(A4,[2]MTP!$A:$AO,41,0)</f>
        <v>1</v>
      </c>
    </row>
    <row r="5" spans="1:7">
      <c r="A5" s="95" t="s">
        <v>37</v>
      </c>
      <c r="B5" s="86" t="s">
        <v>2855</v>
      </c>
      <c r="C5" s="84" t="s">
        <v>2859</v>
      </c>
      <c r="D5" s="57">
        <f>VLOOKUP(A5,[2]MTP!$A:$B,2,0)</f>
        <v>8999</v>
      </c>
      <c r="E5" s="58">
        <f>VLOOKUP(A5,[2]MTP!$A:$AM,39,0)</f>
        <v>6379.0189514391977</v>
      </c>
      <c r="F5" s="73">
        <f>VLOOKUP(A5,[2]MTP!$A:$E,5,0)</f>
        <v>6599</v>
      </c>
      <c r="G5" s="73">
        <f>VLOOKUP(A5,[2]MTP!$A:$AO,41,0)</f>
        <v>1</v>
      </c>
    </row>
    <row r="6" spans="1:7">
      <c r="A6" s="95" t="s">
        <v>80</v>
      </c>
      <c r="B6" s="86" t="s">
        <v>2855</v>
      </c>
      <c r="C6" s="84" t="s">
        <v>2860</v>
      </c>
      <c r="D6" s="57">
        <f>VLOOKUP(A6,[2]MTP!$A:$B,2,0)</f>
        <v>6599</v>
      </c>
      <c r="E6" s="58">
        <f>VLOOKUP(A6,[2]MTP!$A:$AM,39,0)</f>
        <v>4940.5037825933696</v>
      </c>
      <c r="F6" s="73">
        <f>VLOOKUP(A6,[2]MTP!$A:$E,5,0)</f>
        <v>5099</v>
      </c>
      <c r="G6" s="73">
        <f>VLOOKUP(A6,[2]MTP!$A:$AO,41,0)</f>
        <v>1</v>
      </c>
    </row>
    <row r="7" spans="1:7">
      <c r="A7" s="95" t="s">
        <v>324</v>
      </c>
      <c r="B7" s="86" t="s">
        <v>2855</v>
      </c>
      <c r="C7" s="84" t="s">
        <v>2861</v>
      </c>
      <c r="D7" s="57">
        <f>VLOOKUP(A7,[2]MTP!$A:$B,2,0)</f>
        <v>15799</v>
      </c>
      <c r="E7" s="58">
        <f>VLOOKUP(A7,[2]MTP!$A:$AM,39,0)</f>
        <v>9664.8641431893575</v>
      </c>
      <c r="F7" s="73">
        <f>VLOOKUP(A7,[2]MTP!$A:$E,5,0)</f>
        <v>9499</v>
      </c>
      <c r="G7" s="73">
        <f>VLOOKUP(A7,[2]MTP!$A:$AO,41,0)</f>
        <v>1</v>
      </c>
    </row>
    <row r="8" spans="1:7">
      <c r="A8" s="95" t="s">
        <v>389</v>
      </c>
      <c r="B8" s="86" t="s">
        <v>2855</v>
      </c>
      <c r="C8" s="84" t="s">
        <v>2862</v>
      </c>
      <c r="D8" s="57">
        <f>VLOOKUP(A8,[2]MTP!$A:$B,2,0)</f>
        <v>6199</v>
      </c>
      <c r="E8" s="58">
        <f>VLOOKUP(A8,[2]MTP!$A:$AM,39,0)</f>
        <v>3605.7093995903465</v>
      </c>
      <c r="F8" s="73">
        <f>VLOOKUP(A8,[2]MTP!$A:$E,5,0)</f>
        <v>3899</v>
      </c>
      <c r="G8" s="73">
        <f>VLOOKUP(A8,[2]MTP!$A:$AO,41,0)</f>
        <v>1</v>
      </c>
    </row>
    <row r="9" spans="1:7">
      <c r="A9" s="95" t="s">
        <v>181</v>
      </c>
      <c r="B9" s="86" t="s">
        <v>2855</v>
      </c>
      <c r="C9" s="84" t="s">
        <v>2863</v>
      </c>
      <c r="D9" s="57">
        <f>VLOOKUP(A9,[2]MTP!$A:$B,2,0)</f>
        <v>25799</v>
      </c>
      <c r="E9" s="58">
        <f>VLOOKUP(A9,[2]MTP!$A:$AM,39,0)</f>
        <v>17403.341933026131</v>
      </c>
      <c r="F9" s="73">
        <f>VLOOKUP(A9,[2]MTP!$A:$E,5,0)</f>
        <v>16299</v>
      </c>
      <c r="G9" s="73">
        <f>VLOOKUP(A9,[2]MTP!$A:$AO,41,0)</f>
        <v>1</v>
      </c>
    </row>
    <row r="10" spans="1:7">
      <c r="A10" s="95" t="s">
        <v>223</v>
      </c>
      <c r="B10" s="86" t="s">
        <v>2855</v>
      </c>
      <c r="C10" s="84" t="s">
        <v>2864</v>
      </c>
      <c r="D10" s="57">
        <f>VLOOKUP(A10,[2]MTP!$A:$B,2,0)</f>
        <v>8599</v>
      </c>
      <c r="E10" s="58">
        <f>VLOOKUP(A10,[2]MTP!$A:$AM,39,0)</f>
        <v>4207.8825911346084</v>
      </c>
      <c r="F10" s="73">
        <f>VLOOKUP(A10,[2]MTP!$A:$E,5,0)</f>
        <v>4599</v>
      </c>
      <c r="G10" s="73">
        <f>VLOOKUP(A10,[2]MTP!$A:$AO,41,0)</f>
        <v>1</v>
      </c>
    </row>
    <row r="11" spans="1:7">
      <c r="A11" s="95" t="s">
        <v>206</v>
      </c>
      <c r="B11" s="86" t="s">
        <v>2855</v>
      </c>
      <c r="C11" s="84" t="s">
        <v>2865</v>
      </c>
      <c r="D11" s="57">
        <f>VLOOKUP(A11,[2]MTP!$A:$B,2,0)</f>
        <v>7999</v>
      </c>
      <c r="E11" s="58">
        <f>VLOOKUP(A11,[2]MTP!$A:$AM,39,0)</f>
        <v>4560.5488097681364</v>
      </c>
      <c r="F11" s="73">
        <f>VLOOKUP(A11,[2]MTP!$A:$E,5,0)</f>
        <v>4999</v>
      </c>
      <c r="G11" s="73">
        <f>VLOOKUP(A11,[2]MTP!$A:$AO,41,0)</f>
        <v>1</v>
      </c>
    </row>
    <row r="12" spans="1:7">
      <c r="A12" s="95" t="s">
        <v>172</v>
      </c>
      <c r="B12" s="86" t="s">
        <v>2855</v>
      </c>
      <c r="C12" s="84" t="s">
        <v>2866</v>
      </c>
      <c r="D12" s="57">
        <f>VLOOKUP(A12,[2]MTP!$A:$B,2,0)</f>
        <v>12399</v>
      </c>
      <c r="E12" s="58">
        <f>VLOOKUP(A12,[2]MTP!$A:$AM,39,0)</f>
        <v>7314.0545564176318</v>
      </c>
      <c r="F12" s="73">
        <f>VLOOKUP(A12,[2]MTP!$A:$E,5,0)</f>
        <v>7499</v>
      </c>
      <c r="G12" s="73">
        <f>VLOOKUP(A12,[2]MTP!$A:$AO,41,0)</f>
        <v>1</v>
      </c>
    </row>
    <row r="13" spans="1:7">
      <c r="A13" s="95" t="s">
        <v>215</v>
      </c>
      <c r="B13" s="86" t="s">
        <v>2855</v>
      </c>
      <c r="C13" s="84" t="s">
        <v>2867</v>
      </c>
      <c r="D13" s="57">
        <f>VLOOKUP(A13,[2]MTP!$A:$B,2,0)</f>
        <v>4499</v>
      </c>
      <c r="E13" s="58">
        <f>VLOOKUP(A13,[2]MTP!$A:$AM,39,0)</f>
        <v>2293.6646446800833</v>
      </c>
      <c r="F13" s="73">
        <f>VLOOKUP(A13,[2]MTP!$A:$E,5,0)</f>
        <v>2799</v>
      </c>
      <c r="G13" s="73">
        <f>VLOOKUP(A13,[2]MTP!$A:$AO,41,0)</f>
        <v>1</v>
      </c>
    </row>
    <row r="14" spans="1:7">
      <c r="A14" s="95" t="s">
        <v>156</v>
      </c>
      <c r="B14" s="86" t="s">
        <v>2855</v>
      </c>
      <c r="C14" s="84" t="s">
        <v>2868</v>
      </c>
      <c r="D14" s="57">
        <f>VLOOKUP(A14,[2]MTP!$A:$B,2,0)</f>
        <v>8999</v>
      </c>
      <c r="E14" s="58">
        <f>VLOOKUP(A14,[2]MTP!$A:$AM,39,0)</f>
        <v>5033.1682250723579</v>
      </c>
      <c r="F14" s="73">
        <f>VLOOKUP(A14,[2]MTP!$A:$E,5,0)</f>
        <v>5399</v>
      </c>
      <c r="G14" s="73">
        <f>VLOOKUP(A14,[2]MTP!$A:$AO,41,0)</f>
        <v>1</v>
      </c>
    </row>
    <row r="15" spans="1:7">
      <c r="A15" s="95" t="s">
        <v>105</v>
      </c>
      <c r="B15" s="86" t="s">
        <v>2855</v>
      </c>
      <c r="C15" s="84" t="s">
        <v>2869</v>
      </c>
      <c r="D15" s="57">
        <f>VLOOKUP(A15,[2]MTP!$A:$B,2,0)</f>
        <v>7299</v>
      </c>
      <c r="E15" s="58">
        <f>VLOOKUP(A15,[2]MTP!$A:$AM,39,0)</f>
        <v>4441.1589174176916</v>
      </c>
      <c r="F15" s="73">
        <f>VLOOKUP(A15,[2]MTP!$A:$E,5,0)</f>
        <v>4599</v>
      </c>
      <c r="G15" s="73">
        <f>VLOOKUP(A15,[2]MTP!$A:$AO,41,0)</f>
        <v>1</v>
      </c>
    </row>
    <row r="16" spans="1:7">
      <c r="A16" s="95" t="s">
        <v>232</v>
      </c>
      <c r="B16" s="86" t="s">
        <v>2855</v>
      </c>
      <c r="C16" s="84" t="s">
        <v>2870</v>
      </c>
      <c r="D16" s="57">
        <f>VLOOKUP(A16,[2]MTP!$A:$B,2,0)</f>
        <v>6199</v>
      </c>
      <c r="E16" s="58">
        <f>VLOOKUP(A16,[2]MTP!$A:$AM,39,0)</f>
        <v>3191.4923553746153</v>
      </c>
      <c r="F16" s="73">
        <f>VLOOKUP(A16,[2]MTP!$A:$E,5,0)</f>
        <v>3499</v>
      </c>
      <c r="G16" s="73">
        <f>VLOOKUP(A16,[2]MTP!$A:$AO,41,0)</f>
        <v>1</v>
      </c>
    </row>
    <row r="17" spans="1:7">
      <c r="A17" s="95" t="s">
        <v>762</v>
      </c>
      <c r="B17" s="86" t="s">
        <v>2855</v>
      </c>
      <c r="C17" s="84" t="s">
        <v>2871</v>
      </c>
      <c r="D17" s="57">
        <f>VLOOKUP(A17,[2]MTP!$A:$B,2,0)</f>
        <v>8149</v>
      </c>
      <c r="E17" s="58">
        <f>VLOOKUP(A17,[2]MTP!$A:$AM,39,0)</f>
        <v>5490.6191215294293</v>
      </c>
      <c r="F17" s="73">
        <f>VLOOKUP(A17,[2]MTP!$A:$E,5,0)</f>
        <v>5399</v>
      </c>
      <c r="G17" s="73">
        <f>VLOOKUP(A17,[2]MTP!$A:$AO,41,0)</f>
        <v>1</v>
      </c>
    </row>
    <row r="18" spans="1:7">
      <c r="A18" s="95" t="s">
        <v>139</v>
      </c>
      <c r="B18" s="86" t="s">
        <v>2855</v>
      </c>
      <c r="C18" s="84" t="s">
        <v>2872</v>
      </c>
      <c r="D18" s="57">
        <f>VLOOKUP(A18,[2]MTP!$A:$B,2,0)</f>
        <v>10599</v>
      </c>
      <c r="E18" s="58">
        <f>VLOOKUP(A18,[2]MTP!$A:$AM,39,0)</f>
        <v>6390.9365784658285</v>
      </c>
      <c r="F18" s="73">
        <f>VLOOKUP(A18,[2]MTP!$A:$E,5,0)</f>
        <v>6499</v>
      </c>
      <c r="G18" s="73">
        <f>VLOOKUP(A18,[2]MTP!$A:$AO,41,0)</f>
        <v>1</v>
      </c>
    </row>
    <row r="19" spans="1:7">
      <c r="A19" s="95" t="s">
        <v>309</v>
      </c>
      <c r="B19" s="86" t="s">
        <v>2855</v>
      </c>
      <c r="C19" s="84" t="s">
        <v>2873</v>
      </c>
      <c r="D19" s="57">
        <f>VLOOKUP(A19,[2]MTP!$A:$B,2,0)</f>
        <v>7799</v>
      </c>
      <c r="E19" s="58">
        <f>VLOOKUP(A19,[2]MTP!$A:$AM,39,0)</f>
        <v>4128.6990696802259</v>
      </c>
      <c r="F19" s="73">
        <f>VLOOKUP(A19,[2]MTP!$A:$E,5,0)</f>
        <v>4449</v>
      </c>
      <c r="G19" s="73">
        <f>VLOOKUP(A19,[2]MTP!$A:$AO,41,0)</f>
        <v>1</v>
      </c>
    </row>
    <row r="20" spans="1:7">
      <c r="A20" s="95" t="s">
        <v>339</v>
      </c>
      <c r="B20" s="86" t="s">
        <v>2855</v>
      </c>
      <c r="C20" s="84" t="s">
        <v>2874</v>
      </c>
      <c r="D20" s="57">
        <f>VLOOKUP(A20,[2]MTP!$A:$B,2,0)</f>
        <v>21599</v>
      </c>
      <c r="E20" s="58">
        <f>VLOOKUP(A20,[2]MTP!$A:$AM,39,0)</f>
        <v>13512.894541034588</v>
      </c>
      <c r="F20" s="73">
        <f>VLOOKUP(A20,[2]MTP!$A:$E,5,0)</f>
        <v>13599</v>
      </c>
      <c r="G20" s="73">
        <f>VLOOKUP(A20,[2]MTP!$A:$AO,41,0)</f>
        <v>1</v>
      </c>
    </row>
    <row r="21" spans="1:7">
      <c r="A21" s="96" t="s">
        <v>198</v>
      </c>
      <c r="B21" s="86" t="s">
        <v>2855</v>
      </c>
      <c r="C21" s="84" t="s">
        <v>2875</v>
      </c>
      <c r="D21" s="57">
        <f>VLOOKUP(A21,[2]MTP!$A:$B,2,0)</f>
        <v>9299</v>
      </c>
      <c r="E21" s="58">
        <f>VLOOKUP(A21,[2]MTP!$A:$AM,39,0)</f>
        <v>5341.016770248898</v>
      </c>
      <c r="F21" s="73">
        <f>VLOOKUP(A21,[2]MTP!$A:$E,5,0)</f>
        <v>5599</v>
      </c>
      <c r="G21" s="73">
        <f>VLOOKUP(A21,[2]MTP!$A:$AO,41,0)</f>
        <v>1</v>
      </c>
    </row>
    <row r="22" spans="1:7">
      <c r="A22" s="95" t="s">
        <v>347</v>
      </c>
      <c r="B22" s="86" t="s">
        <v>2855</v>
      </c>
      <c r="C22" s="84" t="s">
        <v>2876</v>
      </c>
      <c r="D22" s="57">
        <f>VLOOKUP(A22,[2]MTP!$A:$B,2,0)</f>
        <v>9299</v>
      </c>
      <c r="E22" s="58">
        <f>VLOOKUP(A22,[2]MTP!$A:$AM,39,0)</f>
        <v>6204.9381085231798</v>
      </c>
      <c r="F22" s="73">
        <f>VLOOKUP(A22,[2]MTP!$A:$E,5,0)</f>
        <v>5999</v>
      </c>
      <c r="G22" s="73">
        <f>VLOOKUP(A22,[2]MTP!$A:$AO,41,0)</f>
        <v>1</v>
      </c>
    </row>
    <row r="23" spans="1:7">
      <c r="A23" s="95" t="s">
        <v>276</v>
      </c>
      <c r="B23" s="86" t="s">
        <v>2855</v>
      </c>
      <c r="C23" s="84" t="s">
        <v>2877</v>
      </c>
      <c r="D23" s="57">
        <f>VLOOKUP(A23,[2]MTP!$A:$B,2,0)</f>
        <v>9999</v>
      </c>
      <c r="E23" s="58">
        <f>VLOOKUP(A23,[2]MTP!$A:$AM,39,0)</f>
        <v>5801.1979090618916</v>
      </c>
      <c r="F23" s="73">
        <f>VLOOKUP(A23,[2]MTP!$A:$E,5,0)</f>
        <v>5999</v>
      </c>
      <c r="G23" s="73">
        <f>VLOOKUP(A23,[2]MTP!$A:$AO,41,0)</f>
        <v>1</v>
      </c>
    </row>
    <row r="24" spans="1:7">
      <c r="A24" s="95" t="s">
        <v>703</v>
      </c>
      <c r="B24" s="86" t="s">
        <v>2855</v>
      </c>
      <c r="C24" s="84" t="s">
        <v>2878</v>
      </c>
      <c r="D24" s="57">
        <f>VLOOKUP(A24,[2]MTP!$A:$B,2,0)</f>
        <v>6899</v>
      </c>
      <c r="E24" s="58">
        <f>VLOOKUP(A24,[2]MTP!$A:$AM,39,0)</f>
        <v>3142.2095308273092</v>
      </c>
      <c r="F24" s="73">
        <f>VLOOKUP(A24,[2]MTP!$A:$E,5,0)</f>
        <v>3299</v>
      </c>
      <c r="G24" s="73">
        <f>VLOOKUP(A24,[2]MTP!$A:$AO,41,0)</f>
        <v>1</v>
      </c>
    </row>
    <row r="25" spans="1:7">
      <c r="A25" s="95" t="s">
        <v>514</v>
      </c>
      <c r="B25" s="86" t="s">
        <v>2855</v>
      </c>
      <c r="C25" s="84" t="s">
        <v>2879</v>
      </c>
      <c r="D25" s="57">
        <f>VLOOKUP(A25,[2]MTP!$A:$B,2,0)</f>
        <v>3799</v>
      </c>
      <c r="E25" s="58">
        <f>VLOOKUP(A25,[2]MTP!$A:$AM,39,0)</f>
        <v>1691.5578729398005</v>
      </c>
      <c r="F25" s="73">
        <f>VLOOKUP(A25,[2]MTP!$A:$E,5,0)</f>
        <v>2099</v>
      </c>
      <c r="G25" s="73">
        <f>VLOOKUP(A25,[2]MTP!$A:$AO,41,0)</f>
        <v>1</v>
      </c>
    </row>
    <row r="26" spans="1:7">
      <c r="A26" s="95" t="s">
        <v>487</v>
      </c>
      <c r="B26" s="86" t="s">
        <v>2855</v>
      </c>
      <c r="C26" s="84" t="s">
        <v>2880</v>
      </c>
      <c r="D26" s="57">
        <f>VLOOKUP(A26,[2]MTP!$A:$B,2,0)</f>
        <v>14299</v>
      </c>
      <c r="E26" s="58">
        <f>VLOOKUP(A26,[2]MTP!$A:$AM,39,0)</f>
        <v>9085.0305180127361</v>
      </c>
      <c r="F26" s="73">
        <f>VLOOKUP(A26,[2]MTP!$A:$E,5,0)</f>
        <v>8799</v>
      </c>
      <c r="G26" s="73">
        <f>VLOOKUP(A26,[2]MTP!$A:$AO,41,0)</f>
        <v>1</v>
      </c>
    </row>
    <row r="27" spans="1:7">
      <c r="A27" s="95" t="s">
        <v>904</v>
      </c>
      <c r="B27" s="86" t="s">
        <v>2855</v>
      </c>
      <c r="C27" s="84" t="s">
        <v>2881</v>
      </c>
      <c r="D27" s="57">
        <f>VLOOKUP(A27,[2]MTP!$A:$B,2,0)</f>
        <v>13599</v>
      </c>
      <c r="E27" s="58">
        <f>VLOOKUP(A27,[2]MTP!$A:$AM,39,0)</f>
        <v>8087.0661711792445</v>
      </c>
      <c r="F27" s="73">
        <f>VLOOKUP(A27,[2]MTP!$A:$E,5,0)</f>
        <v>7799</v>
      </c>
      <c r="G27" s="73">
        <f>VLOOKUP(A27,[2]MTP!$A:$AO,41,0)</f>
        <v>1</v>
      </c>
    </row>
    <row r="28" spans="1:7">
      <c r="A28" s="95" t="s">
        <v>412</v>
      </c>
      <c r="B28" s="86" t="s">
        <v>2855</v>
      </c>
      <c r="C28" s="84" t="s">
        <v>2882</v>
      </c>
      <c r="D28" s="57">
        <f>VLOOKUP(A28,[2]MTP!$A:$B,2,0)</f>
        <v>8899</v>
      </c>
      <c r="E28" s="58">
        <f>VLOOKUP(A28,[2]MTP!$A:$AM,39,0)</f>
        <v>7336.1616572645471</v>
      </c>
      <c r="F28" s="73">
        <f>VLOOKUP(A28,[2]MTP!$A:$E,5,0)</f>
        <v>7299</v>
      </c>
      <c r="G28" s="73">
        <f>VLOOKUP(A28,[2]MTP!$A:$AO,41,0)</f>
        <v>1</v>
      </c>
    </row>
    <row r="29" spans="1:7">
      <c r="A29" s="95" t="s">
        <v>620</v>
      </c>
      <c r="B29" s="86" t="s">
        <v>2855</v>
      </c>
      <c r="C29" s="84" t="s">
        <v>2883</v>
      </c>
      <c r="D29" s="57">
        <f>VLOOKUP(A29,[2]MTP!$A:$B,2,0)</f>
        <v>10999</v>
      </c>
      <c r="E29" s="58">
        <f>VLOOKUP(A29,[2]MTP!$A:$AM,39,0)</f>
        <v>4897.1069481438244</v>
      </c>
      <c r="F29" s="73">
        <f>VLOOKUP(A29,[2]MTP!$A:$E,5,0)</f>
        <v>4999</v>
      </c>
      <c r="G29" s="73">
        <f>VLOOKUP(A29,[2]MTP!$A:$AO,41,0)</f>
        <v>1</v>
      </c>
    </row>
    <row r="30" spans="1:7">
      <c r="A30" s="95" t="s">
        <v>694</v>
      </c>
      <c r="B30" s="86" t="s">
        <v>2855</v>
      </c>
      <c r="C30" s="84" t="s">
        <v>2884</v>
      </c>
      <c r="D30" s="57">
        <f>VLOOKUP(A30,[2]MTP!$A:$B,2,0)</f>
        <v>8499</v>
      </c>
      <c r="E30" s="58">
        <f>VLOOKUP(A30,[2]MTP!$A:$AM,39,0)</f>
        <v>4828.9262983447297</v>
      </c>
      <c r="F30" s="73">
        <f>VLOOKUP(A30,[2]MTP!$A:$E,5,0)</f>
        <v>5199</v>
      </c>
      <c r="G30" s="73">
        <f>VLOOKUP(A30,[2]MTP!$A:$AO,41,0)</f>
        <v>1</v>
      </c>
    </row>
    <row r="31" spans="1:7">
      <c r="A31" s="95" t="s">
        <v>453</v>
      </c>
      <c r="B31" s="86" t="s">
        <v>2855</v>
      </c>
      <c r="C31" s="84" t="s">
        <v>2885</v>
      </c>
      <c r="D31" s="57">
        <f>VLOOKUP(A31,[2]MTP!$A:$B,2,0)</f>
        <v>6899</v>
      </c>
      <c r="E31" s="58">
        <f>VLOOKUP(A31,[2]MTP!$A:$AM,39,0)</f>
        <v>4176.9128414786455</v>
      </c>
      <c r="F31" s="73">
        <f>VLOOKUP(A31,[2]MTP!$A:$E,5,0)</f>
        <v>4399</v>
      </c>
      <c r="G31" s="73">
        <f>VLOOKUP(A31,[2]MTP!$A:$AO,41,0)</f>
        <v>1</v>
      </c>
    </row>
    <row r="32" spans="1:7">
      <c r="A32" s="95" t="s">
        <v>496</v>
      </c>
      <c r="B32" s="86" t="s">
        <v>2855</v>
      </c>
      <c r="C32" s="84" t="s">
        <v>2886</v>
      </c>
      <c r="D32" s="57">
        <f>VLOOKUP(A32,[2]MTP!$A:$B,2,0)</f>
        <v>17199</v>
      </c>
      <c r="E32" s="58">
        <f>VLOOKUP(A32,[2]MTP!$A:$AM,39,0)</f>
        <v>9818.9515226312596</v>
      </c>
      <c r="F32" s="73">
        <f>VLOOKUP(A32,[2]MTP!$A:$E,5,0)</f>
        <v>8699</v>
      </c>
      <c r="G32" s="73">
        <f>VLOOKUP(A32,[2]MTP!$A:$AO,41,0)</f>
        <v>1</v>
      </c>
    </row>
    <row r="33" spans="1:7">
      <c r="A33" s="95" t="s">
        <v>634</v>
      </c>
      <c r="B33" s="86" t="s">
        <v>2855</v>
      </c>
      <c r="C33" s="84" t="s">
        <v>2887</v>
      </c>
      <c r="D33" s="57">
        <f>VLOOKUP(A33,[2]MTP!$A:$B,2,0)</f>
        <v>9299</v>
      </c>
      <c r="E33" s="58">
        <f>VLOOKUP(A33,[2]MTP!$A:$AM,39,0)</f>
        <v>6792.1704589475285</v>
      </c>
      <c r="F33" s="73">
        <f>VLOOKUP(A33,[2]MTP!$A:$E,5,0)</f>
        <v>6299</v>
      </c>
      <c r="G33" s="73">
        <f>VLOOKUP(A33,[2]MTP!$A:$AO,41,0)</f>
        <v>1</v>
      </c>
    </row>
    <row r="34" spans="1:7">
      <c r="A34" s="95" t="s">
        <v>796</v>
      </c>
      <c r="B34" s="86" t="s">
        <v>2855</v>
      </c>
      <c r="C34" s="84" t="s">
        <v>2888</v>
      </c>
      <c r="D34" s="57">
        <f>VLOOKUP(A34,[2]MTP!$A:$B,2,0)</f>
        <v>39999</v>
      </c>
      <c r="E34" s="58">
        <f>VLOOKUP(A34,[2]MTP!$A:$AM,39,0)</f>
        <v>28883.389701671262</v>
      </c>
      <c r="F34" s="73">
        <f>VLOOKUP(A34,[2]MTP!$A:$E,5,0)</f>
        <v>26999</v>
      </c>
      <c r="G34" s="73">
        <f>VLOOKUP(A34,[2]MTP!$A:$AO,41,0)</f>
        <v>1</v>
      </c>
    </row>
    <row r="35" spans="1:7">
      <c r="A35" s="95" t="s">
        <v>964</v>
      </c>
      <c r="B35" s="86" t="s">
        <v>2855</v>
      </c>
      <c r="C35" s="84" t="s">
        <v>2889</v>
      </c>
      <c r="D35" s="57">
        <f>VLOOKUP(A35,[2]MTP!$A:$B,2,0)</f>
        <v>8599</v>
      </c>
      <c r="E35" s="58">
        <f>VLOOKUP(A35,[2]MTP!$A:$AM,39,0)</f>
        <v>5653.8122065882262</v>
      </c>
      <c r="F35" s="73">
        <f>VLOOKUP(A35,[2]MTP!$A:$E,5,0)</f>
        <v>5599</v>
      </c>
      <c r="G35" s="73">
        <f>VLOOKUP(A35,[2]MTP!$A:$AO,41,0)</f>
        <v>1</v>
      </c>
    </row>
    <row r="36" spans="1:7">
      <c r="A36" s="95" t="s">
        <v>580</v>
      </c>
      <c r="B36" s="86" t="s">
        <v>2855</v>
      </c>
      <c r="C36" s="84" t="s">
        <v>2890</v>
      </c>
      <c r="D36" s="57">
        <f>VLOOKUP(A36,[2]MTP!$A:$B,2,0)</f>
        <v>31599</v>
      </c>
      <c r="E36" s="58">
        <f>VLOOKUP(A36,[2]MTP!$A:$AM,39,0)</f>
        <v>22910.763330261605</v>
      </c>
      <c r="F36" s="73">
        <f>VLOOKUP(A36,[2]MTP!$A:$E,5,0)</f>
        <v>20999</v>
      </c>
      <c r="G36" s="73">
        <f>VLOOKUP(A36,[2]MTP!$A:$AO,41,0)</f>
        <v>1</v>
      </c>
    </row>
    <row r="37" spans="1:7">
      <c r="A37" s="96" t="s">
        <v>381</v>
      </c>
      <c r="B37" s="86" t="s">
        <v>2855</v>
      </c>
      <c r="C37" s="84" t="s">
        <v>2891</v>
      </c>
      <c r="D37" s="57">
        <f>VLOOKUP(A37,[2]MTP!$A:$B,2,0)</f>
        <v>22899</v>
      </c>
      <c r="E37" s="58">
        <f>VLOOKUP(A37,[2]MTP!$A:$AM,39,0)</f>
        <v>16115.835905343472</v>
      </c>
      <c r="F37" s="73">
        <f>VLOOKUP(A37,[2]MTP!$A:$E,5,0)</f>
        <v>15009</v>
      </c>
      <c r="G37" s="73">
        <f>VLOOKUP(A37,[2]MTP!$A:$AO,41,0)</f>
        <v>1</v>
      </c>
    </row>
    <row r="38" spans="1:7">
      <c r="A38" s="95" t="s">
        <v>1225</v>
      </c>
      <c r="B38" s="86" t="s">
        <v>2855</v>
      </c>
      <c r="C38" s="84" t="s">
        <v>2892</v>
      </c>
      <c r="D38" s="57">
        <f>VLOOKUP(A38,[2]MTP!$A:$B,2,0)</f>
        <v>9299</v>
      </c>
      <c r="E38" s="58">
        <f>VLOOKUP(A38,[2]MTP!$A:$AM,39,0)</f>
        <v>5986.5830874243384</v>
      </c>
      <c r="F38" s="73">
        <f>VLOOKUP(A38,[2]MTP!$A:$E,5,0)</f>
        <v>6299</v>
      </c>
      <c r="G38" s="73">
        <f>VLOOKUP(A38,[2]MTP!$A:$AO,41,0)</f>
        <v>1</v>
      </c>
    </row>
    <row r="39" spans="1:7">
      <c r="A39" s="95" t="s">
        <v>588</v>
      </c>
      <c r="B39" s="86" t="s">
        <v>2855</v>
      </c>
      <c r="C39" s="84" t="s">
        <v>2893</v>
      </c>
      <c r="D39" s="57">
        <f>VLOOKUP(A39,[2]MTP!$A:$B,2,0)</f>
        <v>28699</v>
      </c>
      <c r="E39" s="58">
        <f>VLOOKUP(A39,[2]MTP!$A:$AM,39,0)</f>
        <v>21683.233151075354</v>
      </c>
      <c r="F39" s="73">
        <f>VLOOKUP(A39,[2]MTP!$A:$E,5,0)</f>
        <v>19999</v>
      </c>
      <c r="G39" s="73">
        <f>VLOOKUP(A39,[2]MTP!$A:$AO,41,0)</f>
        <v>1</v>
      </c>
    </row>
    <row r="40" spans="1:7">
      <c r="A40" s="95" t="s">
        <v>441</v>
      </c>
      <c r="B40" s="86" t="s">
        <v>2855</v>
      </c>
      <c r="C40" s="84" t="s">
        <v>2894</v>
      </c>
      <c r="D40" s="57">
        <f>VLOOKUP(A40,[2]MTP!$A:$B,2,0)</f>
        <v>25799</v>
      </c>
      <c r="E40" s="58">
        <f>VLOOKUP(A40,[2]MTP!$A:$AM,39,0)</f>
        <v>17833.887209575551</v>
      </c>
      <c r="F40" s="73">
        <f>VLOOKUP(A40,[2]MTP!$A:$E,5,0)</f>
        <v>16299</v>
      </c>
      <c r="G40" s="73">
        <f>VLOOKUP(A40,[2]MTP!$A:$AO,41,0)</f>
        <v>1</v>
      </c>
    </row>
    <row r="41" spans="1:7">
      <c r="A41" s="95" t="s">
        <v>285</v>
      </c>
      <c r="B41" s="86" t="s">
        <v>2855</v>
      </c>
      <c r="C41" s="84" t="s">
        <v>2895</v>
      </c>
      <c r="D41" s="57">
        <f>VLOOKUP(A41,[2]MTP!$A:$B,2,0)</f>
        <v>16599</v>
      </c>
      <c r="E41" s="58">
        <f>VLOOKUP(A41,[2]MTP!$A:$AM,39,0)</f>
        <v>9405.866903303533</v>
      </c>
      <c r="F41" s="73">
        <f>VLOOKUP(A41,[2]MTP!$A:$E,5,0)</f>
        <v>9599</v>
      </c>
      <c r="G41" s="73">
        <f>VLOOKUP(A41,[2]MTP!$A:$AO,41,0)</f>
        <v>1</v>
      </c>
    </row>
    <row r="42" spans="1:7">
      <c r="A42" s="95" t="s">
        <v>470</v>
      </c>
      <c r="B42" s="86" t="s">
        <v>2855</v>
      </c>
      <c r="C42" s="84" t="s">
        <v>2896</v>
      </c>
      <c r="D42" s="57">
        <f>VLOOKUP(A42,[2]MTP!$A:$B,2,0)</f>
        <v>8999</v>
      </c>
      <c r="E42" s="58">
        <f>VLOOKUP(A42,[2]MTP!$A:$AM,39,0)</f>
        <v>5505.5877896053416</v>
      </c>
      <c r="F42" s="73">
        <f>VLOOKUP(A42,[2]MTP!$A:$E,5,0)</f>
        <v>5299</v>
      </c>
      <c r="G42" s="73">
        <f>VLOOKUP(A42,[2]MTP!$A:$AO,41,0)</f>
        <v>1</v>
      </c>
    </row>
    <row r="43" spans="1:7">
      <c r="A43" s="95" t="s">
        <v>855</v>
      </c>
      <c r="B43" s="86" t="s">
        <v>2855</v>
      </c>
      <c r="C43" s="84" t="s">
        <v>2897</v>
      </c>
      <c r="D43" s="57">
        <f>VLOOKUP(A43,[2]MTP!$A:$B,2,0)</f>
        <v>8299</v>
      </c>
      <c r="E43" s="58">
        <f>VLOOKUP(A43,[2]MTP!$A:$AM,39,0)</f>
        <v>5075.6454621703806</v>
      </c>
      <c r="F43" s="73">
        <f>VLOOKUP(A43,[2]MTP!$A:$E,5,0)</f>
        <v>4999</v>
      </c>
      <c r="G43" s="73">
        <f>VLOOKUP(A43,[2]MTP!$A:$AO,41,0)</f>
        <v>1</v>
      </c>
    </row>
    <row r="44" spans="1:7">
      <c r="A44" s="95" t="s">
        <v>737</v>
      </c>
      <c r="B44" s="86" t="s">
        <v>2855</v>
      </c>
      <c r="C44" s="84" t="s">
        <v>2898</v>
      </c>
      <c r="D44" s="57">
        <f>VLOOKUP(A44,[2]MTP!$A:$B,2,0)</f>
        <v>8149</v>
      </c>
      <c r="E44" s="58">
        <f>VLOOKUP(A44,[2]MTP!$A:$AM,39,0)</f>
        <v>3834.1877308572321</v>
      </c>
      <c r="F44" s="73">
        <f>VLOOKUP(A44,[2]MTP!$A:$E,5,0)</f>
        <v>3899</v>
      </c>
      <c r="G44" s="73">
        <f>VLOOKUP(A44,[2]MTP!$A:$AO,41,0)</f>
        <v>1</v>
      </c>
    </row>
    <row r="45" spans="1:7">
      <c r="A45" s="95" t="s">
        <v>745</v>
      </c>
      <c r="B45" s="86" t="s">
        <v>2855</v>
      </c>
      <c r="C45" s="84" t="s">
        <v>2899</v>
      </c>
      <c r="D45" s="57">
        <f>VLOOKUP(A45,[2]MTP!$A:$B,2,0)</f>
        <v>7499</v>
      </c>
      <c r="E45" s="58">
        <f>VLOOKUP(A45,[2]MTP!$A:$AM,39,0)</f>
        <v>4131.262232411611</v>
      </c>
      <c r="F45" s="73">
        <f>VLOOKUP(A45,[2]MTP!$A:$E,5,0)</f>
        <v>4199</v>
      </c>
      <c r="G45" s="73">
        <f>VLOOKUP(A45,[2]MTP!$A:$AO,41,0)</f>
        <v>1</v>
      </c>
    </row>
    <row r="46" spans="1:7">
      <c r="A46" s="95" t="s">
        <v>1003</v>
      </c>
      <c r="B46" s="86" t="s">
        <v>2855</v>
      </c>
      <c r="C46" s="84" t="s">
        <v>2900</v>
      </c>
      <c r="D46" s="57">
        <f>VLOOKUP(A46,[2]MTP!$A:$B,2,0)</f>
        <v>6449</v>
      </c>
      <c r="E46" s="58">
        <f>VLOOKUP(A46,[2]MTP!$A:$AM,39,0)</f>
        <v>3368.9534711704396</v>
      </c>
      <c r="F46" s="73">
        <f>VLOOKUP(A46,[2]MTP!$A:$E,5,0)</f>
        <v>3599</v>
      </c>
      <c r="G46" s="73">
        <f>VLOOKUP(A46,[2]MTP!$A:$AO,41,0)</f>
        <v>1</v>
      </c>
    </row>
    <row r="47" spans="1:7">
      <c r="A47" s="95" t="s">
        <v>1155</v>
      </c>
      <c r="B47" s="86" t="s">
        <v>2855</v>
      </c>
      <c r="C47" s="84" t="s">
        <v>2901</v>
      </c>
      <c r="D47" s="57">
        <f>VLOOKUP(A47,[2]MTP!$A:$B,2,0)</f>
        <v>7499</v>
      </c>
      <c r="E47" s="58">
        <f>VLOOKUP(A47,[2]MTP!$A:$AM,39,0)</f>
        <v>3891.4800146458633</v>
      </c>
      <c r="F47" s="73">
        <f>VLOOKUP(A47,[2]MTP!$A:$E,5,0)</f>
        <v>3999</v>
      </c>
      <c r="G47" s="73">
        <f>VLOOKUP(A47,[2]MTP!$A:$AO,41,0)</f>
        <v>1</v>
      </c>
    </row>
    <row r="48" spans="1:7">
      <c r="A48" s="95" t="s">
        <v>548</v>
      </c>
      <c r="B48" s="86" t="s">
        <v>2855</v>
      </c>
      <c r="C48" s="84" t="s">
        <v>2902</v>
      </c>
      <c r="D48" s="57">
        <f>VLOOKUP(A48,[2]MTP!$A:$B,2,0)</f>
        <v>7799</v>
      </c>
      <c r="E48" s="58">
        <f>VLOOKUP(A48,[2]MTP!$A:$AM,39,0)</f>
        <v>4038.5311036945091</v>
      </c>
      <c r="F48" s="73">
        <f>VLOOKUP(A48,[2]MTP!$A:$E,5,0)</f>
        <v>4399</v>
      </c>
      <c r="G48" s="73">
        <f>VLOOKUP(A48,[2]MTP!$A:$AO,41,0)</f>
        <v>1</v>
      </c>
    </row>
    <row r="49" spans="1:7">
      <c r="A49" s="95" t="s">
        <v>921</v>
      </c>
      <c r="B49" s="86" t="s">
        <v>2855</v>
      </c>
      <c r="C49" s="84" t="s">
        <v>2903</v>
      </c>
      <c r="D49" s="57">
        <f>VLOOKUP(A49,[2]MTP!$A:$B,2,0)</f>
        <v>24299</v>
      </c>
      <c r="E49" s="58">
        <f>VLOOKUP(A49,[2]MTP!$A:$AM,39,0)</f>
        <v>16290.934516916261</v>
      </c>
      <c r="F49" s="73">
        <f>VLOOKUP(A49,[2]MTP!$A:$E,5,0)</f>
        <v>15999</v>
      </c>
      <c r="G49" s="73">
        <f>VLOOKUP(A49,[2]MTP!$A:$AO,41,0)</f>
        <v>1</v>
      </c>
    </row>
    <row r="50" spans="1:7">
      <c r="A50" s="95" t="s">
        <v>652</v>
      </c>
      <c r="B50" s="86" t="s">
        <v>2855</v>
      </c>
      <c r="C50" s="84" t="s">
        <v>2904</v>
      </c>
      <c r="D50" s="57">
        <f>VLOOKUP(A50,[2]MTP!$A:$B,2,0)</f>
        <v>10499</v>
      </c>
      <c r="E50" s="58">
        <f>VLOOKUP(A50,[2]MTP!$A:$AM,39,0)</f>
        <v>6325.9887467784101</v>
      </c>
      <c r="F50" s="73">
        <f>VLOOKUP(A50,[2]MTP!$A:$E,5,0)</f>
        <v>5999</v>
      </c>
      <c r="G50" s="73">
        <f>VLOOKUP(A50,[2]MTP!$A:$AO,41,0)</f>
        <v>1</v>
      </c>
    </row>
    <row r="51" spans="1:7">
      <c r="A51" s="95" t="s">
        <v>957</v>
      </c>
      <c r="B51" s="86" t="s">
        <v>2855</v>
      </c>
      <c r="C51" s="84" t="s">
        <v>2905</v>
      </c>
      <c r="D51" s="57">
        <f>VLOOKUP(A51,[2]MTP!$A:$B,2,0)</f>
        <v>999</v>
      </c>
      <c r="E51" s="58">
        <f>VLOOKUP(A51,[2]MTP!$A:$AM,39,0)</f>
        <v>448.46579268036936</v>
      </c>
      <c r="F51" s="73">
        <f>VLOOKUP(A51,[2]MTP!$A:$E,5,0)</f>
        <v>499</v>
      </c>
      <c r="G51" s="73">
        <f>VLOOKUP(A51,[2]MTP!$A:$AO,41,0)</f>
        <v>10</v>
      </c>
    </row>
    <row r="52" spans="1:7">
      <c r="A52" s="95" t="s">
        <v>877</v>
      </c>
      <c r="B52" s="86" t="s">
        <v>2855</v>
      </c>
      <c r="C52" s="84" t="s">
        <v>2906</v>
      </c>
      <c r="D52" s="57">
        <f>VLOOKUP(A52,[2]MTP!$A:$B,2,0)</f>
        <v>41599</v>
      </c>
      <c r="E52" s="58">
        <f>VLOOKUP(A52,[2]MTP!$A:$AM,39,0)</f>
        <v>30240.049399367028</v>
      </c>
      <c r="F52" s="73">
        <f>VLOOKUP(A52,[2]MTP!$A:$E,5,0)</f>
        <v>27599</v>
      </c>
      <c r="G52" s="73">
        <f>VLOOKUP(A52,[2]MTP!$A:$AO,41,0)</f>
        <v>1</v>
      </c>
    </row>
    <row r="53" spans="1:7">
      <c r="A53" s="95" t="s">
        <v>788</v>
      </c>
      <c r="B53" s="86" t="s">
        <v>2855</v>
      </c>
      <c r="C53" s="84" t="s">
        <v>2907</v>
      </c>
      <c r="D53" s="57">
        <f>VLOOKUP(A53,[2]MTP!$A:$B,2,0)</f>
        <v>18599</v>
      </c>
      <c r="E53" s="58">
        <f>VLOOKUP(A53,[2]MTP!$A:$AM,39,0)</f>
        <v>11432.275028978745</v>
      </c>
      <c r="F53" s="73">
        <f>VLOOKUP(A53,[2]MTP!$A:$E,5,0)</f>
        <v>10499</v>
      </c>
      <c r="G53" s="73">
        <f>VLOOKUP(A53,[2]MTP!$A:$AO,41,0)</f>
        <v>1</v>
      </c>
    </row>
    <row r="54" spans="1:7">
      <c r="A54" s="95" t="s">
        <v>356</v>
      </c>
      <c r="B54" s="86" t="s">
        <v>2855</v>
      </c>
      <c r="C54" s="84" t="s">
        <v>2908</v>
      </c>
      <c r="D54" s="57">
        <f>VLOOKUP(A54,[2]MTP!$A:$B,2,0)</f>
        <v>4299</v>
      </c>
      <c r="E54" s="58">
        <f>VLOOKUP(A54,[2]MTP!$A:$AM,39,0)</f>
        <v>2341.2984592347689</v>
      </c>
      <c r="F54" s="73">
        <f>VLOOKUP(A54,[2]MTP!$A:$E,5,0)</f>
        <v>2649</v>
      </c>
      <c r="G54" s="73">
        <f>VLOOKUP(A54,[2]MTP!$A:$AO,41,0)</f>
        <v>1</v>
      </c>
    </row>
    <row r="55" spans="1:7">
      <c r="A55" s="96" t="s">
        <v>913</v>
      </c>
      <c r="B55" s="86" t="s">
        <v>2855</v>
      </c>
      <c r="C55" s="84" t="s">
        <v>2909</v>
      </c>
      <c r="D55" s="57">
        <f>VLOOKUP(A55,[2]MTP!$A:$B,2,0)</f>
        <v>23599</v>
      </c>
      <c r="E55" s="58">
        <f>VLOOKUP(A55,[2]MTP!$A:$AM,39,0)</f>
        <v>16360.627277059431</v>
      </c>
      <c r="F55" s="73">
        <f>VLOOKUP(A55,[2]MTP!$A:$E,5,0)</f>
        <v>15999</v>
      </c>
      <c r="G55" s="73">
        <f>VLOOKUP(A55,[2]MTP!$A:$AO,41,0)</f>
        <v>1</v>
      </c>
    </row>
    <row r="56" spans="1:7">
      <c r="A56" s="95" t="s">
        <v>505</v>
      </c>
      <c r="B56" s="86" t="s">
        <v>2855</v>
      </c>
      <c r="C56" s="84" t="s">
        <v>2910</v>
      </c>
      <c r="D56" s="57">
        <f>VLOOKUP(A56,[2]MTP!$A:$B,2,0)</f>
        <v>5999</v>
      </c>
      <c r="E56" s="58">
        <f>VLOOKUP(A56,[2]MTP!$A:$AM,39,0)</f>
        <v>2868.9826485716167</v>
      </c>
      <c r="F56" s="73">
        <f>VLOOKUP(A56,[2]MTP!$A:$E,5,0)</f>
        <v>2999</v>
      </c>
      <c r="G56" s="73">
        <f>VLOOKUP(A56,[2]MTP!$A:$AO,41,0)</f>
        <v>1</v>
      </c>
    </row>
    <row r="57" spans="1:7">
      <c r="A57" s="95" t="s">
        <v>1138</v>
      </c>
      <c r="B57" s="86" t="s">
        <v>2855</v>
      </c>
      <c r="C57" s="84" t="s">
        <v>2911</v>
      </c>
      <c r="D57" s="57">
        <f>VLOOKUP(A57,[2]MTP!$A:$B,2,0)</f>
        <v>10499</v>
      </c>
      <c r="E57" s="58">
        <f>VLOOKUP(A57,[2]MTP!$A:$AM,39,0)</f>
        <v>5691.8623626883145</v>
      </c>
      <c r="F57" s="73">
        <f>VLOOKUP(A57,[2]MTP!$A:$E,5,0)</f>
        <v>5649</v>
      </c>
      <c r="G57" s="73">
        <f>VLOOKUP(A57,[2]MTP!$A:$AO,41,0)</f>
        <v>1</v>
      </c>
    </row>
    <row r="58" spans="1:7">
      <c r="A58" s="95" t="s">
        <v>603</v>
      </c>
      <c r="B58" s="86" t="s">
        <v>2855</v>
      </c>
      <c r="C58" s="84" t="s">
        <v>2912</v>
      </c>
      <c r="D58" s="57">
        <f>VLOOKUP(A58,[2]MTP!$A:$B,2,0)</f>
        <v>10999</v>
      </c>
      <c r="E58" s="58">
        <f>VLOOKUP(A58,[2]MTP!$A:$AM,39,0)</f>
        <v>6513.4244728011545</v>
      </c>
      <c r="F58" s="73">
        <f>VLOOKUP(A58,[2]MTP!$A:$E,5,0)</f>
        <v>6299</v>
      </c>
      <c r="G58" s="73">
        <f>VLOOKUP(A58,[2]MTP!$A:$AO,41,0)</f>
        <v>1</v>
      </c>
    </row>
    <row r="59" spans="1:7">
      <c r="A59" s="95" t="s">
        <v>835</v>
      </c>
      <c r="B59" s="86" t="s">
        <v>2855</v>
      </c>
      <c r="C59" s="84" t="s">
        <v>2913</v>
      </c>
      <c r="D59" s="57">
        <f>VLOOKUP(A59,[2]MTP!$A:$B,2,0)</f>
        <v>15799</v>
      </c>
      <c r="E59" s="58">
        <f>VLOOKUP(A59,[2]MTP!$A:$AM,39,0)</f>
        <v>9332.0385762055321</v>
      </c>
      <c r="F59" s="73">
        <f>VLOOKUP(A59,[2]MTP!$A:$E,5,0)</f>
        <v>9099</v>
      </c>
      <c r="G59" s="73">
        <f>VLOOKUP(A59,[2]MTP!$A:$AO,41,0)</f>
        <v>1</v>
      </c>
    </row>
    <row r="60" spans="1:7">
      <c r="A60" s="95" t="s">
        <v>711</v>
      </c>
      <c r="B60" s="86" t="s">
        <v>2855</v>
      </c>
      <c r="C60" s="84" t="s">
        <v>2914</v>
      </c>
      <c r="D60" s="57">
        <f>VLOOKUP(A60,[2]MTP!$A:$B,2,0)</f>
        <v>5199</v>
      </c>
      <c r="E60" s="58">
        <f>VLOOKUP(A60,[2]MTP!$A:$AM,39,0)</f>
        <v>2046.4154498564399</v>
      </c>
      <c r="F60" s="73">
        <f>VLOOKUP(A60,[2]MTP!$A:$E,5,0)</f>
        <v>2349</v>
      </c>
      <c r="G60" s="73">
        <f>VLOOKUP(A60,[2]MTP!$A:$AO,41,0)</f>
        <v>1</v>
      </c>
    </row>
    <row r="61" spans="1:7">
      <c r="A61" s="95" t="s">
        <v>754</v>
      </c>
      <c r="B61" s="86" t="s">
        <v>2855</v>
      </c>
      <c r="C61" s="84" t="s">
        <v>2915</v>
      </c>
      <c r="D61" s="57">
        <f>VLOOKUP(A61,[2]MTP!$A:$B,2,0)</f>
        <v>6599</v>
      </c>
      <c r="E61" s="58">
        <f>VLOOKUP(A61,[2]MTP!$A:$AM,39,0)</f>
        <v>2219.2077224309437</v>
      </c>
      <c r="F61" s="73">
        <f>VLOOKUP(A61,[2]MTP!$A:$E,5,0)</f>
        <v>2699</v>
      </c>
      <c r="G61" s="73">
        <f>VLOOKUP(A61,[2]MTP!$A:$AO,41,0)</f>
        <v>1</v>
      </c>
    </row>
    <row r="62" spans="1:7">
      <c r="A62" s="95" t="s">
        <v>661</v>
      </c>
      <c r="B62" s="86" t="s">
        <v>2855</v>
      </c>
      <c r="C62" s="84" t="s">
        <v>2916</v>
      </c>
      <c r="D62" s="57">
        <f>VLOOKUP(A62,[2]MTP!$A:$B,2,0)</f>
        <v>7999</v>
      </c>
      <c r="E62" s="58">
        <f>VLOOKUP(A62,[2]MTP!$A:$AM,39,0)</f>
        <v>3099.5128874003526</v>
      </c>
      <c r="F62" s="73">
        <f>VLOOKUP(A62,[2]MTP!$A:$E,5,0)</f>
        <v>3299</v>
      </c>
      <c r="G62" s="73">
        <f>VLOOKUP(A62,[2]MTP!$A:$AO,41,0)</f>
        <v>1</v>
      </c>
    </row>
    <row r="63" spans="1:7">
      <c r="A63" s="95" t="s">
        <v>1034</v>
      </c>
      <c r="B63" s="86" t="s">
        <v>2855</v>
      </c>
      <c r="C63" s="84" t="s">
        <v>2917</v>
      </c>
      <c r="D63" s="57">
        <f>VLOOKUP(A63,[2]MTP!$A:$B,2,0)</f>
        <v>7199</v>
      </c>
      <c r="E63" s="58">
        <f>VLOOKUP(A63,[2]MTP!$A:$AM,39,0)</f>
        <v>3572.8771671394111</v>
      </c>
      <c r="F63" s="73">
        <f>VLOOKUP(A63,[2]MTP!$A:$E,5,0)</f>
        <v>3799</v>
      </c>
      <c r="G63" s="73">
        <f>VLOOKUP(A63,[2]MTP!$A:$AO,41,0)</f>
        <v>1</v>
      </c>
    </row>
    <row r="64" spans="1:7">
      <c r="A64" s="95" t="s">
        <v>949</v>
      </c>
      <c r="B64" s="86" t="s">
        <v>2918</v>
      </c>
      <c r="C64" s="84" t="s">
        <v>2919</v>
      </c>
      <c r="D64" s="57">
        <f>VLOOKUP(A64,[2]MTP!$A:$B,2,0)</f>
        <v>7599</v>
      </c>
      <c r="E64" s="58">
        <f>VLOOKUP(A64,[2]MTP!$A:$AM,39,0)</f>
        <v>4336.52244389727</v>
      </c>
      <c r="F64" s="73">
        <f>VLOOKUP(A64,[2]MTP!$A:$E,5,0)</f>
        <v>4299</v>
      </c>
      <c r="G64" s="73">
        <f>VLOOKUP(A64,[2]MTP!$A:$AO,41,0)</f>
        <v>1</v>
      </c>
    </row>
    <row r="65" spans="1:7">
      <c r="A65" s="95" t="s">
        <v>96</v>
      </c>
      <c r="B65" s="86" t="s">
        <v>2855</v>
      </c>
      <c r="C65" s="84" t="s">
        <v>2920</v>
      </c>
      <c r="D65" s="57">
        <f>VLOOKUP(A65,[2]MTP!$A:$B,2,0)</f>
        <v>5749</v>
      </c>
      <c r="E65" s="58">
        <f>VLOOKUP(A65,[2]MTP!$A:$AM,39,0)</f>
        <v>2449.7634416061856</v>
      </c>
      <c r="F65" s="73">
        <f>VLOOKUP(A65,[2]MTP!$A:$E,5,0)</f>
        <v>2749</v>
      </c>
      <c r="G65" s="73">
        <f>VLOOKUP(A65,[2]MTP!$A:$AO,41,0)</f>
        <v>1</v>
      </c>
    </row>
    <row r="66" spans="1:7">
      <c r="A66" s="95" t="s">
        <v>1262</v>
      </c>
      <c r="B66" s="86" t="s">
        <v>2855</v>
      </c>
      <c r="C66" s="84" t="s">
        <v>2921</v>
      </c>
      <c r="D66" s="57">
        <f>VLOOKUP(A66,[2]MTP!$A:$B,2,0)</f>
        <v>5199</v>
      </c>
      <c r="E66" s="58">
        <f>VLOOKUP(A66,[2]MTP!$A:$AM,39,0)</f>
        <v>2288.0393870640696</v>
      </c>
      <c r="F66" s="73">
        <f>VLOOKUP(A66,[2]MTP!$A:$E,5,0)</f>
        <v>2499</v>
      </c>
      <c r="G66" s="73">
        <f>VLOOKUP(A66,[2]MTP!$A:$AO,41,0)</f>
        <v>1</v>
      </c>
    </row>
    <row r="67" spans="1:7">
      <c r="A67" s="95" t="s">
        <v>539</v>
      </c>
      <c r="B67" s="86" t="s">
        <v>2855</v>
      </c>
      <c r="C67" s="84" t="s">
        <v>2922</v>
      </c>
      <c r="D67" s="57">
        <f>VLOOKUP(A67,[2]MTP!$A:$B,2,0)</f>
        <v>5299</v>
      </c>
      <c r="E67" s="58">
        <f>VLOOKUP(A67,[2]MTP!$A:$AM,39,0)</f>
        <v>3315.5435640293817</v>
      </c>
      <c r="F67" s="73">
        <f>VLOOKUP(A67,[2]MTP!$A:$E,5,0)</f>
        <v>3599</v>
      </c>
      <c r="G67" s="73">
        <f>VLOOKUP(A67,[2]MTP!$A:$AO,41,0)</f>
        <v>1</v>
      </c>
    </row>
    <row r="68" spans="1:7">
      <c r="A68" s="95" t="s">
        <v>596</v>
      </c>
      <c r="B68" s="86" t="s">
        <v>2855</v>
      </c>
      <c r="C68" s="84" t="s">
        <v>2923</v>
      </c>
      <c r="D68" s="57">
        <f>VLOOKUP(A68,[2]MTP!$A:$B,2,0)</f>
        <v>4399</v>
      </c>
      <c r="E68" s="58">
        <f>VLOOKUP(A68,[2]MTP!$A:$AM,39,0)</f>
        <v>2090.3344999577998</v>
      </c>
      <c r="F68" s="73">
        <f>VLOOKUP(A68,[2]MTP!$A:$E,5,0)</f>
        <v>2299</v>
      </c>
      <c r="G68" s="73">
        <f>VLOOKUP(A68,[2]MTP!$A:$AO,41,0)</f>
        <v>1</v>
      </c>
    </row>
    <row r="69" spans="1:7">
      <c r="A69" s="95" t="s">
        <v>1641</v>
      </c>
      <c r="B69" s="86" t="s">
        <v>2855</v>
      </c>
      <c r="C69" s="84" t="s">
        <v>2924</v>
      </c>
      <c r="D69" s="57">
        <f>VLOOKUP(A69,[2]MTP!$A:$B,2,0)</f>
        <v>5449</v>
      </c>
      <c r="E69" s="58">
        <f>VLOOKUP(A69,[2]MTP!$A:$AM,39,0)</f>
        <v>3130.8074271670271</v>
      </c>
      <c r="F69" s="73">
        <f>VLOOKUP(A69,[2]MTP!$A:$E,5,0)</f>
        <v>3599</v>
      </c>
      <c r="G69" s="73">
        <f>VLOOKUP(A69,[2]MTP!$A:$AO,41,0)</f>
        <v>1</v>
      </c>
    </row>
    <row r="70" spans="1:7">
      <c r="A70" s="95" t="s">
        <v>1526</v>
      </c>
      <c r="B70" s="86" t="s">
        <v>2855</v>
      </c>
      <c r="C70" s="84" t="s">
        <v>2925</v>
      </c>
      <c r="D70" s="57">
        <f>VLOOKUP(A70,[2]MTP!$A:$B,2,0)</f>
        <v>1999</v>
      </c>
      <c r="E70" s="58">
        <f>VLOOKUP(A70,[2]MTP!$A:$AM,39,0)</f>
        <v>821.73054118281561</v>
      </c>
      <c r="F70" s="73">
        <f>VLOOKUP(A70,[2]MTP!$A:$E,5,0)</f>
        <v>949</v>
      </c>
      <c r="G70" s="73">
        <f>VLOOKUP(A70,[2]MTP!$A:$AO,41,0)</f>
        <v>1</v>
      </c>
    </row>
    <row r="71" spans="1:7">
      <c r="A71" s="95" t="s">
        <v>1011</v>
      </c>
      <c r="B71" s="86" t="s">
        <v>2855</v>
      </c>
      <c r="C71" s="84" t="s">
        <v>2926</v>
      </c>
      <c r="D71" s="57">
        <f>VLOOKUP(A71,[2]MTP!$A:$B,2,0)</f>
        <v>1999</v>
      </c>
      <c r="E71" s="58">
        <f>VLOOKUP(A71,[2]MTP!$A:$AM,39,0)</f>
        <v>714.15784480634659</v>
      </c>
      <c r="F71" s="73">
        <f>VLOOKUP(A71,[2]MTP!$A:$E,5,0)</f>
        <v>839</v>
      </c>
      <c r="G71" s="73">
        <f>VLOOKUP(A71,[2]MTP!$A:$AO,41,0)</f>
        <v>2</v>
      </c>
    </row>
    <row r="72" spans="1:7">
      <c r="A72" s="95" t="s">
        <v>1164</v>
      </c>
      <c r="B72" s="86" t="s">
        <v>2855</v>
      </c>
      <c r="C72" s="84" t="s">
        <v>2884</v>
      </c>
      <c r="D72" s="57">
        <f>VLOOKUP(A72,[2]MTP!$A:$B,2,0)</f>
        <v>10999</v>
      </c>
      <c r="E72" s="58">
        <f>VLOOKUP(A72,[2]MTP!$A:$AM,39,0)</f>
        <v>6494.4924344665678</v>
      </c>
      <c r="F72" s="73">
        <f>VLOOKUP(A72,[2]MTP!$A:$E,5,0)</f>
        <v>6789</v>
      </c>
      <c r="G72" s="73">
        <f>VLOOKUP(A72,[2]MTP!$A:$AO,41,0)</f>
        <v>1</v>
      </c>
    </row>
    <row r="73" spans="1:7">
      <c r="A73" s="95" t="s">
        <v>1779</v>
      </c>
      <c r="B73" s="86" t="s">
        <v>2855</v>
      </c>
      <c r="C73" s="84" t="s">
        <v>2927</v>
      </c>
      <c r="D73" s="57">
        <f>VLOOKUP(A73,[2]MTP!$A:$B,2,0)</f>
        <v>8999</v>
      </c>
      <c r="E73" s="58">
        <f>VLOOKUP(A73,[2]MTP!$A:$AM,39,0)</f>
        <v>4875.1674258400481</v>
      </c>
      <c r="F73" s="73">
        <f>VLOOKUP(A73,[2]MTP!$A:$E,5,0)</f>
        <v>5099</v>
      </c>
      <c r="G73" s="73">
        <f>VLOOKUP(A73,[2]MTP!$A:$AO,41,0)</f>
        <v>1</v>
      </c>
    </row>
    <row r="74" spans="1:7">
      <c r="A74" s="95" t="s">
        <v>1233</v>
      </c>
      <c r="B74" s="86" t="s">
        <v>2855</v>
      </c>
      <c r="C74" s="84" t="s">
        <v>2928</v>
      </c>
      <c r="D74" s="57">
        <f>VLOOKUP(A74,[2]MTP!$A:$B,2,0)</f>
        <v>3099</v>
      </c>
      <c r="E74" s="58">
        <f>VLOOKUP(A74,[2]MTP!$A:$AM,39,0)</f>
        <v>1457.7780279695835</v>
      </c>
      <c r="F74" s="73">
        <f>VLOOKUP(A74,[2]MTP!$A:$E,5,0)</f>
        <v>1799</v>
      </c>
      <c r="G74" s="73">
        <f>VLOOKUP(A74,[2]MTP!$A:$AO,41,0)</f>
        <v>1</v>
      </c>
    </row>
    <row r="75" spans="1:7">
      <c r="A75" s="95" t="s">
        <v>1713</v>
      </c>
      <c r="B75" s="86" t="s">
        <v>2855</v>
      </c>
      <c r="C75" s="84" t="s">
        <v>2929</v>
      </c>
      <c r="D75" s="57">
        <f>VLOOKUP(A75,[2]MTP!$A:$B,2,0)</f>
        <v>5299</v>
      </c>
      <c r="E75" s="58">
        <f>VLOOKUP(A75,[2]MTP!$A:$AM,39,0)</f>
        <v>2417.9212636152311</v>
      </c>
      <c r="F75" s="73">
        <f>VLOOKUP(A75,[2]MTP!$A:$E,5,0)</f>
        <v>2499</v>
      </c>
      <c r="G75" s="73">
        <f>VLOOKUP(A75,[2]MTP!$A:$AO,41,0)</f>
        <v>1</v>
      </c>
    </row>
    <row r="76" spans="1:7">
      <c r="A76" s="95" t="s">
        <v>1593</v>
      </c>
      <c r="B76" s="86" t="s">
        <v>2855</v>
      </c>
      <c r="C76" s="84" t="s">
        <v>2930</v>
      </c>
      <c r="D76" s="57">
        <f>VLOOKUP(A76,[2]MTP!$A:$B,2,0)</f>
        <v>24999</v>
      </c>
      <c r="E76" s="58">
        <f>VLOOKUP(A76,[2]MTP!$A:$AM,39,0)</f>
        <v>16866.617946007249</v>
      </c>
      <c r="F76" s="73">
        <f>VLOOKUP(A76,[2]MTP!$A:$E,5,0)</f>
        <v>15099</v>
      </c>
      <c r="G76" s="73">
        <f>VLOOKUP(A76,[2]MTP!$A:$AO,41,0)</f>
        <v>1</v>
      </c>
    </row>
    <row r="77" spans="1:7">
      <c r="A77" s="95" t="s">
        <v>643</v>
      </c>
      <c r="B77" s="86" t="s">
        <v>2855</v>
      </c>
      <c r="C77" s="84" t="s">
        <v>2931</v>
      </c>
      <c r="D77" s="57">
        <f>VLOOKUP(A77,[2]MTP!$A:$B,2,0)</f>
        <v>2399</v>
      </c>
      <c r="E77" s="58">
        <f>VLOOKUP(A77,[2]MTP!$A:$AM,39,0)</f>
        <v>981.58620703944018</v>
      </c>
      <c r="F77" s="73">
        <f>VLOOKUP(A77,[2]MTP!$A:$E,5,0)</f>
        <v>999</v>
      </c>
      <c r="G77" s="73">
        <f>VLOOKUP(A77,[2]MTP!$A:$AO,41,0)</f>
        <v>1</v>
      </c>
    </row>
    <row r="78" spans="1:7">
      <c r="A78" s="95" t="s">
        <v>1270</v>
      </c>
      <c r="B78" s="86" t="s">
        <v>2855</v>
      </c>
      <c r="C78" s="84" t="s">
        <v>2932</v>
      </c>
      <c r="D78" s="57">
        <f>VLOOKUP(A78,[2]MTP!$A:$B,2,0)</f>
        <v>4899</v>
      </c>
      <c r="E78" s="58">
        <f>VLOOKUP(A78,[2]MTP!$A:$AM,39,0)</f>
        <v>2671.4392378350863</v>
      </c>
      <c r="F78" s="73">
        <f>VLOOKUP(A78,[2]MTP!$A:$E,5,0)</f>
        <v>2999</v>
      </c>
      <c r="G78" s="73">
        <f>VLOOKUP(A78,[2]MTP!$A:$AO,41,0)</f>
        <v>1</v>
      </c>
    </row>
    <row r="79" spans="1:7">
      <c r="A79" s="95" t="s">
        <v>895</v>
      </c>
      <c r="B79" s="86" t="s">
        <v>2855</v>
      </c>
      <c r="C79" s="84" t="s">
        <v>2933</v>
      </c>
      <c r="D79" s="57">
        <f>VLOOKUP(A79,[2]MTP!$A:$B,2,0)</f>
        <v>4149</v>
      </c>
      <c r="E79" s="58">
        <f>VLOOKUP(A79,[2]MTP!$A:$AM,39,0)</f>
        <v>2232.7485812381005</v>
      </c>
      <c r="F79" s="73">
        <f>VLOOKUP(A79,[2]MTP!$A:$E,5,0)</f>
        <v>2449</v>
      </c>
      <c r="G79" s="73">
        <f>VLOOKUP(A79,[2]MTP!$A:$AO,41,0)</f>
        <v>1</v>
      </c>
    </row>
    <row r="80" spans="1:7">
      <c r="A80" s="95" t="s">
        <v>1051</v>
      </c>
      <c r="B80" s="86" t="s">
        <v>2855</v>
      </c>
      <c r="C80" s="84" t="s">
        <v>2934</v>
      </c>
      <c r="D80" s="57">
        <f>VLOOKUP(A80,[2]MTP!$A:$B,2,0)</f>
        <v>4099</v>
      </c>
      <c r="E80" s="58">
        <f>VLOOKUP(A80,[2]MTP!$A:$AM,39,0)</f>
        <v>2697.755106034715</v>
      </c>
      <c r="F80" s="73">
        <f>VLOOKUP(A80,[2]MTP!$A:$E,5,0)</f>
        <v>2899</v>
      </c>
      <c r="G80" s="73">
        <f>VLOOKUP(A80,[2]MTP!$A:$AO,41,0)</f>
        <v>1</v>
      </c>
    </row>
    <row r="81" spans="1:7">
      <c r="A81" s="95" t="s">
        <v>1043</v>
      </c>
      <c r="B81" s="86" t="s">
        <v>2855</v>
      </c>
      <c r="C81" s="84" t="s">
        <v>2935</v>
      </c>
      <c r="D81" s="57">
        <f>VLOOKUP(A81,[2]MTP!$A:$B,2,0)</f>
        <v>3599</v>
      </c>
      <c r="E81" s="58">
        <f>VLOOKUP(A81,[2]MTP!$A:$AM,39,0)</f>
        <v>1729.0009085673455</v>
      </c>
      <c r="F81" s="73">
        <f>VLOOKUP(A81,[2]MTP!$A:$E,5,0)</f>
        <v>2079</v>
      </c>
      <c r="G81" s="73">
        <f>VLOOKUP(A81,[2]MTP!$A:$AO,41,0)</f>
        <v>1</v>
      </c>
    </row>
    <row r="82" spans="1:7">
      <c r="A82" s="95" t="s">
        <v>819</v>
      </c>
      <c r="B82" s="86" t="s">
        <v>2855</v>
      </c>
      <c r="C82" s="84" t="s">
        <v>2936</v>
      </c>
      <c r="D82" s="57">
        <f>VLOOKUP(A82,[2]MTP!$A:$B,2,0)</f>
        <v>18899</v>
      </c>
      <c r="E82" s="58">
        <f>VLOOKUP(A82,[2]MTP!$A:$AM,39,0)</f>
        <v>11106.786471490377</v>
      </c>
      <c r="F82" s="73">
        <f>VLOOKUP(A82,[2]MTP!$A:$E,5,0)</f>
        <v>10899</v>
      </c>
      <c r="G82" s="73">
        <f>VLOOKUP(A82,[2]MTP!$A:$AO,41,0)</f>
        <v>1</v>
      </c>
    </row>
    <row r="83" spans="1:7">
      <c r="A83" s="95" t="s">
        <v>1173</v>
      </c>
      <c r="B83" s="86" t="s">
        <v>2855</v>
      </c>
      <c r="C83" s="84" t="s">
        <v>2937</v>
      </c>
      <c r="D83" s="57">
        <f>VLOOKUP(A83,[2]MTP!$A:$B,2,0)</f>
        <v>3499</v>
      </c>
      <c r="E83" s="58">
        <f>VLOOKUP(A83,[2]MTP!$A:$AM,39,0)</f>
        <v>1615.9629378101308</v>
      </c>
      <c r="F83" s="73">
        <f>VLOOKUP(A83,[2]MTP!$A:$E,5,0)</f>
        <v>1999</v>
      </c>
      <c r="G83" s="73">
        <f>VLOOKUP(A83,[2]MTP!$A:$AO,41,0)</f>
        <v>1</v>
      </c>
    </row>
    <row r="84" spans="1:7">
      <c r="A84" s="95" t="s">
        <v>728</v>
      </c>
      <c r="B84" s="86" t="s">
        <v>2938</v>
      </c>
      <c r="C84" s="84" t="s">
        <v>2939</v>
      </c>
      <c r="D84" s="57">
        <f>VLOOKUP(A84,[2]MTP!$A:$B,2,0)</f>
        <v>7599</v>
      </c>
      <c r="E84" s="58">
        <f>VLOOKUP(A84,[2]MTP!$A:$AM,39,0)</f>
        <v>4555.8482876339731</v>
      </c>
      <c r="F84" s="73">
        <f>VLOOKUP(A84,[2]MTP!$A:$E,5,0)</f>
        <v>4749</v>
      </c>
      <c r="G84" s="73">
        <f>VLOOKUP(A84,[2]MTP!$A:$AO,41,0)</f>
        <v>1</v>
      </c>
    </row>
    <row r="85" spans="1:7">
      <c r="A85" s="95" t="s">
        <v>1147</v>
      </c>
      <c r="B85" s="86" t="s">
        <v>2855</v>
      </c>
      <c r="C85" s="84" t="s">
        <v>2940</v>
      </c>
      <c r="D85" s="57">
        <f>VLOOKUP(A85,[2]MTP!$A:$B,2,0)</f>
        <v>5749</v>
      </c>
      <c r="E85" s="58">
        <f>VLOOKUP(A85,[2]MTP!$A:$AM,39,0)</f>
        <v>2893.2735172797497</v>
      </c>
      <c r="F85" s="73">
        <f>VLOOKUP(A85,[2]MTP!$A:$E,5,0)</f>
        <v>3199</v>
      </c>
      <c r="G85" s="73">
        <f>VLOOKUP(A85,[2]MTP!$A:$AO,41,0)</f>
        <v>1</v>
      </c>
    </row>
    <row r="86" spans="1:7">
      <c r="A86" s="95" t="s">
        <v>1025</v>
      </c>
      <c r="B86" s="86" t="s">
        <v>2855</v>
      </c>
      <c r="C86" s="84" t="s">
        <v>2941</v>
      </c>
      <c r="D86" s="57">
        <f>VLOOKUP(A86,[2]MTP!$A:$B,2,0)</f>
        <v>4599</v>
      </c>
      <c r="E86" s="58">
        <f>VLOOKUP(A86,[2]MTP!$A:$AM,39,0)</f>
        <v>2302.261140369927</v>
      </c>
      <c r="F86" s="73">
        <f>VLOOKUP(A86,[2]MTP!$A:$E,5,0)</f>
        <v>2499</v>
      </c>
      <c r="G86" s="73">
        <f>VLOOKUP(A86,[2]MTP!$A:$AO,41,0)</f>
        <v>1</v>
      </c>
    </row>
    <row r="87" spans="1:7">
      <c r="A87" s="95" t="s">
        <v>365</v>
      </c>
      <c r="B87" s="86" t="s">
        <v>2855</v>
      </c>
      <c r="C87" s="84" t="s">
        <v>2942</v>
      </c>
      <c r="D87" s="57">
        <f>VLOOKUP(A87,[2]MTP!$A:$B,2,0)</f>
        <v>13599</v>
      </c>
      <c r="E87" s="58">
        <f>VLOOKUP(A87,[2]MTP!$A:$AM,39,0)</f>
        <v>8616.8839724207483</v>
      </c>
      <c r="F87" s="73">
        <f>VLOOKUP(A87,[2]MTP!$A:$E,5,0)</f>
        <v>8199</v>
      </c>
      <c r="G87" s="73">
        <f>VLOOKUP(A87,[2]MTP!$A:$AO,41,0)</f>
        <v>1</v>
      </c>
    </row>
    <row r="88" spans="1:7">
      <c r="A88" s="95" t="s">
        <v>1067</v>
      </c>
      <c r="B88" s="86" t="s">
        <v>2855</v>
      </c>
      <c r="C88" s="84" t="s">
        <v>2943</v>
      </c>
      <c r="D88" s="57">
        <f>VLOOKUP(A88,[2]MTP!$A:$B,2,0)</f>
        <v>9299</v>
      </c>
      <c r="E88" s="58">
        <f>VLOOKUP(A88,[2]MTP!$A:$AM,39,0)</f>
        <v>5877.5219542512605</v>
      </c>
      <c r="F88" s="73">
        <f>VLOOKUP(A88,[2]MTP!$A:$E,5,0)</f>
        <v>5499</v>
      </c>
      <c r="G88" s="73">
        <f>VLOOKUP(A88,[2]MTP!$A:$AO,41,0)</f>
        <v>1</v>
      </c>
    </row>
    <row r="89" spans="1:7">
      <c r="A89" s="95" t="s">
        <v>1217</v>
      </c>
      <c r="B89" s="86" t="s">
        <v>2855</v>
      </c>
      <c r="C89" s="84" t="s">
        <v>2944</v>
      </c>
      <c r="D89" s="57">
        <f>VLOOKUP(A89,[2]MTP!$A:$B,2,0)</f>
        <v>6449</v>
      </c>
      <c r="E89" s="58">
        <f>VLOOKUP(A89,[2]MTP!$A:$AM,39,0)</f>
        <v>2970.3891042893288</v>
      </c>
      <c r="F89" s="73">
        <f>VLOOKUP(A89,[2]MTP!$A:$E,5,0)</f>
        <v>2999</v>
      </c>
      <c r="G89" s="73">
        <f>VLOOKUP(A89,[2]MTP!$A:$AO,41,0)</f>
        <v>1</v>
      </c>
    </row>
    <row r="90" spans="1:7">
      <c r="A90" s="95" t="s">
        <v>1311</v>
      </c>
      <c r="B90" s="86" t="s">
        <v>2855</v>
      </c>
      <c r="C90" s="84" t="s">
        <v>2945</v>
      </c>
      <c r="D90" s="57">
        <f>VLOOKUP(A90,[2]MTP!$A:$B,2,0)</f>
        <v>2699</v>
      </c>
      <c r="E90" s="58">
        <f>VLOOKUP(A90,[2]MTP!$A:$AM,39,0)</f>
        <v>1125.7722079250852</v>
      </c>
      <c r="F90" s="73">
        <f>VLOOKUP(A90,[2]MTP!$A:$E,5,0)</f>
        <v>1499</v>
      </c>
      <c r="G90" s="73">
        <f>VLOOKUP(A90,[2]MTP!$A:$AO,41,0)</f>
        <v>1</v>
      </c>
    </row>
    <row r="91" spans="1:7">
      <c r="A91" s="95" t="s">
        <v>677</v>
      </c>
      <c r="B91" s="86" t="s">
        <v>2938</v>
      </c>
      <c r="C91" s="84" t="s">
        <v>2946</v>
      </c>
      <c r="D91" s="57">
        <f>VLOOKUP(A91,[2]MTP!$A:$B,2,0)</f>
        <v>5199</v>
      </c>
      <c r="E91" s="58">
        <f>VLOOKUP(A91,[2]MTP!$A:$AM,39,0)</f>
        <v>2802.8107001728395</v>
      </c>
      <c r="F91" s="73">
        <f>VLOOKUP(A91,[2]MTP!$A:$E,5,0)</f>
        <v>2999</v>
      </c>
      <c r="G91" s="73">
        <f>VLOOKUP(A91,[2]MTP!$A:$AO,41,0)</f>
        <v>1</v>
      </c>
    </row>
    <row r="92" spans="1:7">
      <c r="A92" s="95" t="s">
        <v>1950</v>
      </c>
      <c r="B92" s="86" t="s">
        <v>2855</v>
      </c>
      <c r="C92" s="84" t="s">
        <v>2947</v>
      </c>
      <c r="D92" s="57">
        <f>VLOOKUP(A92,[2]MTP!$A:$B,2,0)</f>
        <v>28599</v>
      </c>
      <c r="E92" s="58">
        <f>VLOOKUP(A92,[2]MTP!$A:$AM,39,0)</f>
        <v>18971.196758218346</v>
      </c>
      <c r="F92" s="73">
        <f>VLOOKUP(A92,[2]MTP!$A:$E,5,0)</f>
        <v>17999</v>
      </c>
      <c r="G92" s="73">
        <f>VLOOKUP(A92,[2]MTP!$A:$AO,41,0)</f>
        <v>1</v>
      </c>
    </row>
    <row r="93" spans="1:7">
      <c r="A93" s="95" t="s">
        <v>1788</v>
      </c>
      <c r="B93" s="86" t="s">
        <v>2855</v>
      </c>
      <c r="C93" s="84" t="s">
        <v>2948</v>
      </c>
      <c r="D93" s="57">
        <f>VLOOKUP(A93,[2]MTP!$A:$B,2,0)</f>
        <v>4799</v>
      </c>
      <c r="E93" s="58">
        <f>VLOOKUP(A93,[2]MTP!$A:$AM,39,0)</f>
        <v>2214.2183954937223</v>
      </c>
      <c r="F93" s="73">
        <f>VLOOKUP(A93,[2]MTP!$A:$E,5,0)</f>
        <v>2499</v>
      </c>
      <c r="G93" s="73">
        <f>VLOOKUP(A93,[2]MTP!$A:$AO,41,0)</f>
        <v>1</v>
      </c>
    </row>
    <row r="94" spans="1:7">
      <c r="A94" s="95" t="s">
        <v>1488</v>
      </c>
      <c r="B94" s="86" t="s">
        <v>2855</v>
      </c>
      <c r="C94" s="84" t="s">
        <v>2949</v>
      </c>
      <c r="D94" s="57">
        <f>VLOOKUP(A94,[2]MTP!$A:$B,2,0)</f>
        <v>3899</v>
      </c>
      <c r="E94" s="58">
        <f>VLOOKUP(A94,[2]MTP!$A:$AM,39,0)</f>
        <v>1860.5257085673436</v>
      </c>
      <c r="F94" s="73">
        <f>VLOOKUP(A94,[2]MTP!$A:$E,5,0)</f>
        <v>2199</v>
      </c>
      <c r="G94" s="73">
        <f>VLOOKUP(A94,[2]MTP!$A:$AO,41,0)</f>
        <v>1</v>
      </c>
    </row>
    <row r="95" spans="1:7">
      <c r="A95" s="95" t="s">
        <v>1400</v>
      </c>
      <c r="B95" s="86" t="s">
        <v>2855</v>
      </c>
      <c r="C95" s="84" t="s">
        <v>2950</v>
      </c>
      <c r="D95" s="57">
        <f>VLOOKUP(A95,[2]MTP!$A:$B,2,0)</f>
        <v>3299</v>
      </c>
      <c r="E95" s="58">
        <f>VLOOKUP(A95,[2]MTP!$A:$AM,39,0)</f>
        <v>1342.010202566634</v>
      </c>
      <c r="F95" s="73">
        <f>VLOOKUP(A95,[2]MTP!$A:$E,5,0)</f>
        <v>1699</v>
      </c>
      <c r="G95" s="73">
        <f>VLOOKUP(A95,[2]MTP!$A:$AO,41,0)</f>
        <v>1</v>
      </c>
    </row>
    <row r="96" spans="1:7">
      <c r="A96" s="95" t="s">
        <v>1187</v>
      </c>
      <c r="B96" s="86" t="s">
        <v>2855</v>
      </c>
      <c r="C96" s="84" t="s">
        <v>2951</v>
      </c>
      <c r="D96" s="57">
        <f>VLOOKUP(A96,[2]MTP!$A:$B,2,0)</f>
        <v>7299</v>
      </c>
      <c r="E96" s="58">
        <f>VLOOKUP(A96,[2]MTP!$A:$AM,39,0)</f>
        <v>3571.3206700390888</v>
      </c>
      <c r="F96" s="73">
        <f>VLOOKUP(A96,[2]MTP!$A:$E,5,0)</f>
        <v>3499</v>
      </c>
      <c r="G96" s="73">
        <f>VLOOKUP(A96,[2]MTP!$A:$AO,41,0)</f>
        <v>1</v>
      </c>
    </row>
    <row r="97" spans="1:7">
      <c r="A97" s="95" t="s">
        <v>1895</v>
      </c>
      <c r="B97" s="86" t="s">
        <v>2855</v>
      </c>
      <c r="C97" s="84" t="s">
        <v>2952</v>
      </c>
      <c r="D97" s="57">
        <f>VLOOKUP(A97,[2]MTP!$A:$B,2,0)</f>
        <v>9999</v>
      </c>
      <c r="E97" s="58">
        <f>VLOOKUP(A97,[2]MTP!$A:$AM,39,0)</f>
        <v>6246.7178280960843</v>
      </c>
      <c r="F97" s="73">
        <f>VLOOKUP(A97,[2]MTP!$A:$E,5,0)</f>
        <v>6199</v>
      </c>
      <c r="G97" s="73">
        <f>VLOOKUP(A97,[2]MTP!$A:$AO,41,0)</f>
        <v>1</v>
      </c>
    </row>
    <row r="98" spans="1:7">
      <c r="A98" s="95" t="s">
        <v>1439</v>
      </c>
      <c r="B98" s="86" t="s">
        <v>2855</v>
      </c>
      <c r="C98" s="84" t="s">
        <v>2953</v>
      </c>
      <c r="D98" s="57">
        <f>VLOOKUP(A98,[2]MTP!$A:$B,2,0)</f>
        <v>1999</v>
      </c>
      <c r="E98" s="58">
        <f>VLOOKUP(A98,[2]MTP!$A:$AM,39,0)</f>
        <v>1110.4852394552195</v>
      </c>
      <c r="F98" s="73">
        <f>VLOOKUP(A98,[2]MTP!$A:$E,5,0)</f>
        <v>999</v>
      </c>
      <c r="G98" s="73">
        <f>VLOOKUP(A98,[2]MTP!$A:$AO,41,0)</f>
        <v>1</v>
      </c>
    </row>
    <row r="99" spans="1:7">
      <c r="A99" s="95" t="s">
        <v>940</v>
      </c>
      <c r="B99" s="86" t="s">
        <v>2855</v>
      </c>
      <c r="C99" s="84" t="s">
        <v>2954</v>
      </c>
      <c r="D99" s="57">
        <f>VLOOKUP(A99,[2]MTP!$A:$B,2,0)</f>
        <v>4299</v>
      </c>
      <c r="E99" s="58">
        <f>VLOOKUP(A99,[2]MTP!$A:$AM,39,0)</f>
        <v>1768.9974131521581</v>
      </c>
      <c r="F99" s="73">
        <f>VLOOKUP(A99,[2]MTP!$A:$E,5,0)</f>
        <v>1999</v>
      </c>
      <c r="G99" s="73">
        <f>VLOOKUP(A99,[2]MTP!$A:$AO,41,0)</f>
        <v>1</v>
      </c>
    </row>
    <row r="100" spans="1:7">
      <c r="A100" s="95" t="s">
        <v>779</v>
      </c>
      <c r="B100" s="86" t="s">
        <v>2855</v>
      </c>
      <c r="C100" s="84" t="s">
        <v>2955</v>
      </c>
      <c r="D100" s="57">
        <f>VLOOKUP(A100,[2]MTP!$A:$B,2,0)</f>
        <v>3199</v>
      </c>
      <c r="E100" s="58">
        <f>VLOOKUP(A100,[2]MTP!$A:$AM,39,0)</f>
        <v>1388.8629033464172</v>
      </c>
      <c r="F100" s="73">
        <f>VLOOKUP(A100,[2]MTP!$A:$E,5,0)</f>
        <v>1749</v>
      </c>
      <c r="G100" s="73">
        <f>VLOOKUP(A100,[2]MTP!$A:$AO,41,0)</f>
        <v>1</v>
      </c>
    </row>
    <row r="101" spans="1:7">
      <c r="A101" s="95" t="s">
        <v>1461</v>
      </c>
      <c r="B101" s="86" t="s">
        <v>2855</v>
      </c>
      <c r="C101" s="84" t="s">
        <v>2956</v>
      </c>
      <c r="D101" s="57">
        <f>VLOOKUP(A101,[2]MTP!$A:$B,2,0)</f>
        <v>2599</v>
      </c>
      <c r="E101" s="58">
        <f>VLOOKUP(A101,[2]MTP!$A:$AM,39,0)</f>
        <v>1048.9543861584059</v>
      </c>
      <c r="F101" s="73">
        <f>VLOOKUP(A101,[2]MTP!$A:$E,5,0)</f>
        <v>1449</v>
      </c>
      <c r="G101" s="73">
        <f>VLOOKUP(A101,[2]MTP!$A:$AO,41,0)</f>
        <v>1</v>
      </c>
    </row>
    <row r="102" spans="1:7">
      <c r="A102" s="95" t="s">
        <v>1319</v>
      </c>
      <c r="B102" s="86" t="s">
        <v>2855</v>
      </c>
      <c r="C102" s="84" t="s">
        <v>2957</v>
      </c>
      <c r="D102" s="57">
        <f>VLOOKUP(A102,[2]MTP!$A:$B,2,0)</f>
        <v>5899</v>
      </c>
      <c r="E102" s="58">
        <f>VLOOKUP(A102,[2]MTP!$A:$AM,39,0)</f>
        <v>3624.137761882253</v>
      </c>
      <c r="F102" s="73">
        <f>VLOOKUP(A102,[2]MTP!$A:$E,5,0)</f>
        <v>3699</v>
      </c>
      <c r="G102" s="73">
        <f>VLOOKUP(A102,[2]MTP!$A:$AO,41,0)</f>
        <v>1</v>
      </c>
    </row>
    <row r="103" spans="1:7">
      <c r="A103" s="95" t="s">
        <v>1632</v>
      </c>
      <c r="B103" s="86" t="s">
        <v>2855</v>
      </c>
      <c r="C103" s="84" t="s">
        <v>2958</v>
      </c>
      <c r="D103" s="57">
        <f>VLOOKUP(A103,[2]MTP!$A:$B,2,0)</f>
        <v>3099</v>
      </c>
      <c r="E103" s="58">
        <f>VLOOKUP(A103,[2]MTP!$A:$AM,39,0)</f>
        <v>1433.7686794921519</v>
      </c>
      <c r="F103" s="73">
        <f>VLOOKUP(A103,[2]MTP!$A:$E,5,0)</f>
        <v>1749</v>
      </c>
      <c r="G103" s="73">
        <f>VLOOKUP(A103,[2]MTP!$A:$AO,41,0)</f>
        <v>1</v>
      </c>
    </row>
    <row r="104" spans="1:7">
      <c r="A104" s="95" t="s">
        <v>1431</v>
      </c>
      <c r="B104" s="86" t="s">
        <v>2855</v>
      </c>
      <c r="C104" s="84" t="s">
        <v>2959</v>
      </c>
      <c r="D104" s="57">
        <f>VLOOKUP(A104,[2]MTP!$A:$B,2,0)</f>
        <v>3399</v>
      </c>
      <c r="E104" s="58">
        <f>VLOOKUP(A104,[2]MTP!$A:$AM,39,0)</f>
        <v>1578.628336321274</v>
      </c>
      <c r="F104" s="73">
        <f>VLOOKUP(A104,[2]MTP!$A:$E,5,0)</f>
        <v>1949</v>
      </c>
      <c r="G104" s="73">
        <f>VLOOKUP(A104,[2]MTP!$A:$AO,41,0)</f>
        <v>1</v>
      </c>
    </row>
    <row r="105" spans="1:7">
      <c r="A105" s="95" t="s">
        <v>1279</v>
      </c>
      <c r="B105" s="86" t="s">
        <v>2855</v>
      </c>
      <c r="C105" s="84" t="s">
        <v>2960</v>
      </c>
      <c r="D105" s="57">
        <f>VLOOKUP(A105,[2]MTP!$A:$B,2,0)</f>
        <v>3299</v>
      </c>
      <c r="E105" s="58">
        <f>VLOOKUP(A105,[2]MTP!$A:$AM,39,0)</f>
        <v>1449.734081603139</v>
      </c>
      <c r="F105" s="73">
        <f>VLOOKUP(A105,[2]MTP!$A:$E,5,0)</f>
        <v>1849</v>
      </c>
      <c r="G105" s="73">
        <f>VLOOKUP(A105,[2]MTP!$A:$AO,41,0)</f>
        <v>1</v>
      </c>
    </row>
    <row r="106" spans="1:7">
      <c r="A106" s="95" t="s">
        <v>1653</v>
      </c>
      <c r="B106" s="86" t="s">
        <v>2938</v>
      </c>
      <c r="C106" s="84" t="s">
        <v>2961</v>
      </c>
      <c r="D106" s="57">
        <f>VLOOKUP(A106,[2]MTP!$A:$B,2,0)</f>
        <v>6199</v>
      </c>
      <c r="E106" s="58">
        <f>VLOOKUP(A106,[2]MTP!$A:$AM,39,0)</f>
        <v>2857.4719592856932</v>
      </c>
      <c r="F106" s="73">
        <f>VLOOKUP(A106,[2]MTP!$A:$E,5,0)</f>
        <v>3099</v>
      </c>
      <c r="G106" s="73">
        <f>VLOOKUP(A106,[2]MTP!$A:$AO,41,0)</f>
        <v>1</v>
      </c>
    </row>
    <row r="107" spans="1:7">
      <c r="A107" s="95" t="s">
        <v>1690</v>
      </c>
      <c r="B107" s="86" t="s">
        <v>2855</v>
      </c>
      <c r="C107" s="84" t="s">
        <v>2937</v>
      </c>
      <c r="D107" s="57">
        <f>VLOOKUP(A107,[2]MTP!$A:$B,2,0)</f>
        <v>3499</v>
      </c>
      <c r="E107" s="58">
        <f>VLOOKUP(A107,[2]MTP!$A:$AM,39,0)</f>
        <v>1713.3822990354843</v>
      </c>
      <c r="F107" s="73">
        <f>VLOOKUP(A107,[2]MTP!$A:$E,5,0)</f>
        <v>1999</v>
      </c>
      <c r="G107" s="73">
        <f>VLOOKUP(A107,[2]MTP!$A:$AO,41,0)</f>
        <v>1</v>
      </c>
    </row>
    <row r="108" spans="1:7">
      <c r="A108" s="95" t="s">
        <v>1369</v>
      </c>
      <c r="B108" s="86" t="s">
        <v>2855</v>
      </c>
      <c r="C108" s="84" t="s">
        <v>2962</v>
      </c>
      <c r="D108" s="57">
        <f>VLOOKUP(A108,[2]MTP!$A:$B,2,0)</f>
        <v>7299</v>
      </c>
      <c r="E108" s="58">
        <f>VLOOKUP(A108,[2]MTP!$A:$AM,39,0)</f>
        <v>3911.2350686046589</v>
      </c>
      <c r="F108" s="73">
        <f>VLOOKUP(A108,[2]MTP!$A:$E,5,0)</f>
        <v>4199</v>
      </c>
      <c r="G108" s="73">
        <f>VLOOKUP(A108,[2]MTP!$A:$AO,41,0)</f>
        <v>1</v>
      </c>
    </row>
    <row r="109" spans="1:7">
      <c r="A109" s="95" t="s">
        <v>1294</v>
      </c>
      <c r="B109" s="86" t="s">
        <v>2855</v>
      </c>
      <c r="C109" s="84" t="s">
        <v>2963</v>
      </c>
      <c r="D109" s="57">
        <f>VLOOKUP(A109,[2]MTP!$A:$B,2,0)</f>
        <v>3499</v>
      </c>
      <c r="E109" s="58">
        <f>VLOOKUP(A109,[2]MTP!$A:$AM,39,0)</f>
        <v>1576.0162861718509</v>
      </c>
      <c r="F109" s="73">
        <f>VLOOKUP(A109,[2]MTP!$A:$E,5,0)</f>
        <v>1849</v>
      </c>
      <c r="G109" s="73">
        <f>VLOOKUP(A109,[2]MTP!$A:$AO,41,0)</f>
        <v>1</v>
      </c>
    </row>
    <row r="110" spans="1:7">
      <c r="A110" s="95" t="s">
        <v>1616</v>
      </c>
      <c r="B110" s="86" t="s">
        <v>2855</v>
      </c>
      <c r="C110" s="84" t="s">
        <v>2964</v>
      </c>
      <c r="D110" s="57">
        <f>VLOOKUP(A110,[2]MTP!$A:$B,2,0)</f>
        <v>5299</v>
      </c>
      <c r="E110" s="58">
        <f>VLOOKUP(A110,[2]MTP!$A:$AM,39,0)</f>
        <v>2761.1449354117631</v>
      </c>
      <c r="F110" s="73">
        <f>VLOOKUP(A110,[2]MTP!$A:$E,5,0)</f>
        <v>2999</v>
      </c>
      <c r="G110" s="73">
        <f>VLOOKUP(A110,[2]MTP!$A:$AO,41,0)</f>
        <v>1</v>
      </c>
    </row>
    <row r="111" spans="1:7">
      <c r="A111" s="95" t="s">
        <v>331</v>
      </c>
      <c r="B111" s="86" t="s">
        <v>2855</v>
      </c>
      <c r="C111" s="84" t="s">
        <v>2965</v>
      </c>
      <c r="D111" s="57">
        <f>VLOOKUP(A111,[2]MTP!$A:$B,2,0)</f>
        <v>6449</v>
      </c>
      <c r="E111" s="58">
        <f>VLOOKUP(A111,[2]MTP!$A:$AM,39,0)</f>
        <v>2295.8420424661658</v>
      </c>
      <c r="F111" s="73">
        <f>VLOOKUP(A111,[2]MTP!$A:$E,5,0)</f>
        <v>2599</v>
      </c>
      <c r="G111" s="73">
        <f>VLOOKUP(A111,[2]MTP!$A:$AO,41,0)</f>
        <v>1</v>
      </c>
    </row>
    <row r="112" spans="1:7">
      <c r="A112" s="95" t="s">
        <v>2175</v>
      </c>
      <c r="B112" s="86" t="s">
        <v>2918</v>
      </c>
      <c r="C112" s="84" t="s">
        <v>2966</v>
      </c>
      <c r="D112" s="57">
        <f>VLOOKUP(A112,[2]MTP!$A:$B,2,0)</f>
        <v>1999</v>
      </c>
      <c r="E112" s="58">
        <f>VLOOKUP(A112,[2]MTP!$A:$AM,39,0)</f>
        <v>719.38586934166574</v>
      </c>
      <c r="F112" s="73">
        <f>VLOOKUP(A112,[2]MTP!$A:$E,5,0)</f>
        <v>849</v>
      </c>
      <c r="G112" s="73">
        <f>VLOOKUP(A112,[2]MTP!$A:$AO,41,0)</f>
        <v>1</v>
      </c>
    </row>
    <row r="113" spans="1:7">
      <c r="A113" s="95" t="s">
        <v>1122</v>
      </c>
      <c r="B113" s="86" t="s">
        <v>2855</v>
      </c>
      <c r="C113" s="84" t="s">
        <v>2967</v>
      </c>
      <c r="D113" s="57">
        <f>VLOOKUP(A113,[2]MTP!$A:$B,2,0)</f>
        <v>4099</v>
      </c>
      <c r="E113" s="58">
        <f>VLOOKUP(A113,[2]MTP!$A:$AM,39,0)</f>
        <v>2172.6987022569574</v>
      </c>
      <c r="F113" s="73">
        <f>VLOOKUP(A113,[2]MTP!$A:$E,5,0)</f>
        <v>2999</v>
      </c>
      <c r="G113" s="73">
        <f>VLOOKUP(A113,[2]MTP!$A:$AO,41,0)</f>
        <v>1</v>
      </c>
    </row>
    <row r="114" spans="1:7">
      <c r="A114" s="95" t="s">
        <v>1743</v>
      </c>
      <c r="B114" s="86" t="s">
        <v>2855</v>
      </c>
      <c r="C114" s="84" t="s">
        <v>2968</v>
      </c>
      <c r="D114" s="57">
        <f>VLOOKUP(A114,[2]MTP!$A:$B,2,0)</f>
        <v>4799</v>
      </c>
      <c r="E114" s="58">
        <f>VLOOKUP(A114,[2]MTP!$A:$AM,39,0)</f>
        <v>3065.9223992787101</v>
      </c>
      <c r="F114" s="73">
        <f>VLOOKUP(A114,[2]MTP!$A:$E,5,0)</f>
        <v>2999</v>
      </c>
      <c r="G114" s="73">
        <f>VLOOKUP(A114,[2]MTP!$A:$AO,41,0)</f>
        <v>1</v>
      </c>
    </row>
    <row r="115" spans="1:7">
      <c r="A115" s="95" t="s">
        <v>1454</v>
      </c>
      <c r="B115" s="86" t="s">
        <v>2855</v>
      </c>
      <c r="C115" s="84" t="s">
        <v>2969</v>
      </c>
      <c r="D115" s="57">
        <f>VLOOKUP(A115,[2]MTP!$A:$B,2,0)</f>
        <v>999</v>
      </c>
      <c r="E115" s="58">
        <f>VLOOKUP(A115,[2]MTP!$A:$AM,39,0)</f>
        <v>634.1613258207351</v>
      </c>
      <c r="F115" s="73">
        <f>VLOOKUP(A115,[2]MTP!$A:$E,5,0)</f>
        <v>499</v>
      </c>
      <c r="G115" s="73">
        <f>VLOOKUP(A115,[2]MTP!$A:$AO,41,0)</f>
        <v>3</v>
      </c>
    </row>
    <row r="116" spans="1:7">
      <c r="A116" s="95" t="s">
        <v>1202</v>
      </c>
      <c r="B116" s="86" t="s">
        <v>2855</v>
      </c>
      <c r="C116" s="84" t="s">
        <v>2970</v>
      </c>
      <c r="D116" s="57">
        <f>VLOOKUP(A116,[2]MTP!$A:$B,2,0)</f>
        <v>649</v>
      </c>
      <c r="E116" s="58">
        <f>VLOOKUP(A116,[2]MTP!$A:$AM,39,0)</f>
        <v>340.6241290215026</v>
      </c>
      <c r="F116" s="73">
        <f>VLOOKUP(A116,[2]MTP!$A:$E,5,0)</f>
        <v>319</v>
      </c>
      <c r="G116" s="73">
        <f>VLOOKUP(A116,[2]MTP!$A:$AO,41,0)</f>
        <v>5</v>
      </c>
    </row>
    <row r="117" spans="1:7">
      <c r="A117" s="95" t="s">
        <v>1335</v>
      </c>
      <c r="B117" s="86" t="s">
        <v>2855</v>
      </c>
      <c r="C117" s="84" t="s">
        <v>2971</v>
      </c>
      <c r="D117" s="57">
        <f>VLOOKUP(A117,[2]MTP!$A:$B,2,0)</f>
        <v>4299</v>
      </c>
      <c r="E117" s="58">
        <f>VLOOKUP(A117,[2]MTP!$A:$AM,39,0)</f>
        <v>1797.5050101897693</v>
      </c>
      <c r="F117" s="73">
        <f>VLOOKUP(A117,[2]MTP!$A:$E,5,0)</f>
        <v>1999</v>
      </c>
      <c r="G117" s="73">
        <f>VLOOKUP(A117,[2]MTP!$A:$AO,41,0)</f>
        <v>1</v>
      </c>
    </row>
    <row r="118" spans="1:7">
      <c r="A118" s="95" t="s">
        <v>1533</v>
      </c>
      <c r="B118" s="86" t="s">
        <v>2855</v>
      </c>
      <c r="C118" s="84" t="s">
        <v>2972</v>
      </c>
      <c r="D118" s="57">
        <f>VLOOKUP(A118,[2]MTP!$A:$B,2,0)</f>
        <v>2949</v>
      </c>
      <c r="E118" s="58">
        <f>VLOOKUP(A118,[2]MTP!$A:$AM,39,0)</f>
        <v>1306.8529616940627</v>
      </c>
      <c r="F118" s="73">
        <f>VLOOKUP(A118,[2]MTP!$A:$E,5,0)</f>
        <v>1649</v>
      </c>
      <c r="G118" s="73">
        <f>VLOOKUP(A118,[2]MTP!$A:$AO,41,0)</f>
        <v>1</v>
      </c>
    </row>
    <row r="119" spans="1:7">
      <c r="A119" s="95" t="s">
        <v>843</v>
      </c>
      <c r="B119" s="86" t="s">
        <v>2855</v>
      </c>
      <c r="C119" s="84" t="s">
        <v>2973</v>
      </c>
      <c r="D119" s="57">
        <f>VLOOKUP(A119,[2]MTP!$A:$B,2,0)</f>
        <v>7999</v>
      </c>
      <c r="E119" s="58">
        <f>VLOOKUP(A119,[2]MTP!$A:$AM,39,0)</f>
        <v>3341.0662743358653</v>
      </c>
      <c r="F119" s="73">
        <f>VLOOKUP(A119,[2]MTP!$A:$E,5,0)</f>
        <v>3499</v>
      </c>
      <c r="G119" s="73">
        <f>VLOOKUP(A119,[2]MTP!$A:$AO,41,0)</f>
        <v>1</v>
      </c>
    </row>
    <row r="120" spans="1:7">
      <c r="A120" s="95" t="s">
        <v>1415</v>
      </c>
      <c r="B120" s="86" t="s">
        <v>2855</v>
      </c>
      <c r="C120" s="84" t="s">
        <v>2974</v>
      </c>
      <c r="D120" s="57">
        <f>VLOOKUP(A120,[2]MTP!$A:$B,2,0)</f>
        <v>15799</v>
      </c>
      <c r="E120" s="58">
        <f>VLOOKUP(A120,[2]MTP!$A:$AM,39,0)</f>
        <v>10594.078231380592</v>
      </c>
      <c r="F120" s="73">
        <f>VLOOKUP(A120,[2]MTP!$A:$E,5,0)</f>
        <v>9599</v>
      </c>
      <c r="G120" s="73">
        <f>VLOOKUP(A120,[2]MTP!$A:$AO,41,0)</f>
        <v>1</v>
      </c>
    </row>
    <row r="121" spans="1:7">
      <c r="A121" s="95" t="s">
        <v>1913</v>
      </c>
      <c r="B121" s="86" t="s">
        <v>2855</v>
      </c>
      <c r="C121" s="84" t="s">
        <v>2975</v>
      </c>
      <c r="D121" s="57">
        <f>VLOOKUP(A121,[2]MTP!$A:$B,2,0)</f>
        <v>3599</v>
      </c>
      <c r="E121" s="58">
        <f>VLOOKUP(A121,[2]MTP!$A:$AM,39,0)</f>
        <v>1875.6977495120359</v>
      </c>
      <c r="F121" s="73">
        <f>VLOOKUP(A121,[2]MTP!$A:$E,5,0)</f>
        <v>2199</v>
      </c>
      <c r="G121" s="73">
        <f>VLOOKUP(A121,[2]MTP!$A:$AO,41,0)</f>
        <v>1</v>
      </c>
    </row>
    <row r="122" spans="1:7">
      <c r="A122" s="95" t="s">
        <v>1804</v>
      </c>
      <c r="B122" s="86" t="s">
        <v>2855</v>
      </c>
      <c r="C122" s="84" t="s">
        <v>2976</v>
      </c>
      <c r="D122" s="57">
        <f>VLOOKUP(A122,[2]MTP!$A:$B,2,0)</f>
        <v>2999</v>
      </c>
      <c r="E122" s="58">
        <f>VLOOKUP(A122,[2]MTP!$A:$AM,39,0)</f>
        <v>1586.4891869262958</v>
      </c>
      <c r="F122" s="73">
        <f>VLOOKUP(A122,[2]MTP!$A:$E,5,0)</f>
        <v>1999</v>
      </c>
      <c r="G122" s="73">
        <f>VLOOKUP(A122,[2]MTP!$A:$AO,41,0)</f>
        <v>1</v>
      </c>
    </row>
    <row r="123" spans="1:7">
      <c r="A123" s="95" t="s">
        <v>1707</v>
      </c>
      <c r="B123" s="86" t="s">
        <v>2855</v>
      </c>
      <c r="C123" s="84" t="s">
        <v>2977</v>
      </c>
      <c r="D123" s="57">
        <f>VLOOKUP(A123,[2]MTP!$A:$B,2,0)</f>
        <v>2199</v>
      </c>
      <c r="E123" s="58">
        <f>VLOOKUP(A123,[2]MTP!$A:$AM,39,0)</f>
        <v>1404.2422933907694</v>
      </c>
      <c r="F123" s="73">
        <f>VLOOKUP(A123,[2]MTP!$A:$E,5,0)</f>
        <v>1799</v>
      </c>
      <c r="G123" s="73">
        <f>VLOOKUP(A123,[2]MTP!$A:$AO,41,0)</f>
        <v>1</v>
      </c>
    </row>
    <row r="124" spans="1:7">
      <c r="A124" s="95" t="s">
        <v>1241</v>
      </c>
      <c r="B124" s="86" t="s">
        <v>2855</v>
      </c>
      <c r="C124" s="84" t="s">
        <v>2978</v>
      </c>
      <c r="D124" s="57">
        <f>VLOOKUP(A124,[2]MTP!$A:$B,2,0)</f>
        <v>5499</v>
      </c>
      <c r="E124" s="58">
        <f>VLOOKUP(A124,[2]MTP!$A:$AM,39,0)</f>
        <v>2670.2489472405359</v>
      </c>
      <c r="F124" s="73">
        <f>VLOOKUP(A124,[2]MTP!$A:$E,5,0)</f>
        <v>2999</v>
      </c>
      <c r="G124" s="73">
        <f>VLOOKUP(A124,[2]MTP!$A:$AO,41,0)</f>
        <v>1</v>
      </c>
    </row>
    <row r="125" spans="1:7">
      <c r="A125" s="95" t="s">
        <v>1378</v>
      </c>
      <c r="B125" s="86" t="s">
        <v>2855</v>
      </c>
      <c r="C125" s="84" t="s">
        <v>2979</v>
      </c>
      <c r="D125" s="57">
        <f>VLOOKUP(A125,[2]MTP!$A:$B,2,0)</f>
        <v>7599</v>
      </c>
      <c r="E125" s="58">
        <f>VLOOKUP(A125,[2]MTP!$A:$AM,39,0)</f>
        <v>4081.1232867817403</v>
      </c>
      <c r="F125" s="73">
        <f>VLOOKUP(A125,[2]MTP!$A:$E,5,0)</f>
        <v>4499</v>
      </c>
      <c r="G125" s="73">
        <f>VLOOKUP(A125,[2]MTP!$A:$AO,41,0)</f>
        <v>1</v>
      </c>
    </row>
    <row r="126" spans="1:7">
      <c r="A126" s="95" t="s">
        <v>1424</v>
      </c>
      <c r="B126" s="86" t="s">
        <v>2855</v>
      </c>
      <c r="C126" s="84" t="s">
        <v>2980</v>
      </c>
      <c r="D126" s="57">
        <f>VLOOKUP(A126,[2]MTP!$A:$B,2,0)</f>
        <v>1199</v>
      </c>
      <c r="E126" s="58">
        <f>VLOOKUP(A126,[2]MTP!$A:$AM,39,0)</f>
        <v>366.81750532125676</v>
      </c>
      <c r="F126" s="73">
        <f>VLOOKUP(A126,[2]MTP!$A:$E,5,0)</f>
        <v>509</v>
      </c>
      <c r="G126" s="73">
        <f>VLOOKUP(A126,[2]MTP!$A:$AO,41,0)</f>
        <v>5</v>
      </c>
    </row>
    <row r="127" spans="1:7">
      <c r="A127" s="95" t="s">
        <v>1943</v>
      </c>
      <c r="B127" s="86" t="s">
        <v>2855</v>
      </c>
      <c r="C127" s="84" t="s">
        <v>2981</v>
      </c>
      <c r="D127" s="57">
        <f>VLOOKUP(A127,[2]MTP!$A:$B,2,0)</f>
        <v>25799</v>
      </c>
      <c r="E127" s="58">
        <f>VLOOKUP(A127,[2]MTP!$A:$AM,39,0)</f>
        <v>18279.851906732558</v>
      </c>
      <c r="F127" s="73">
        <f>VLOOKUP(A127,[2]MTP!$A:$E,5,0)</f>
        <v>17599</v>
      </c>
      <c r="G127" s="73">
        <f>VLOOKUP(A127,[2]MTP!$A:$AO,41,0)</f>
        <v>1</v>
      </c>
    </row>
    <row r="128" spans="1:7">
      <c r="A128" s="95" t="s">
        <v>1624</v>
      </c>
      <c r="B128" s="86" t="s">
        <v>2855</v>
      </c>
      <c r="C128" s="84" t="s">
        <v>2982</v>
      </c>
      <c r="D128" s="57">
        <f>VLOOKUP(A128,[2]MTP!$A:$B,2,0)</f>
        <v>2499</v>
      </c>
      <c r="E128" s="58">
        <f>VLOOKUP(A128,[2]MTP!$A:$AM,39,0)</f>
        <v>937.62405276393622</v>
      </c>
      <c r="F128" s="73">
        <f>VLOOKUP(A128,[2]MTP!$A:$E,5,0)</f>
        <v>1349</v>
      </c>
      <c r="G128" s="73">
        <f>VLOOKUP(A128,[2]MTP!$A:$AO,41,0)</f>
        <v>1</v>
      </c>
    </row>
    <row r="129" spans="1:7">
      <c r="A129" s="95" t="s">
        <v>626</v>
      </c>
      <c r="B129" s="86" t="s">
        <v>2855</v>
      </c>
      <c r="C129" s="84" t="s">
        <v>2983</v>
      </c>
      <c r="D129" s="57">
        <f>VLOOKUP(A129,[2]MTP!$A:$B,2,0)</f>
        <v>6449</v>
      </c>
      <c r="E129" s="58">
        <f>VLOOKUP(A129,[2]MTP!$A:$AM,39,0)</f>
        <v>2476.1520474337217</v>
      </c>
      <c r="F129" s="73">
        <f>VLOOKUP(A129,[2]MTP!$A:$E,5,0)</f>
        <v>2699</v>
      </c>
      <c r="G129" s="73">
        <f>VLOOKUP(A129,[2]MTP!$A:$AO,41,0)</f>
        <v>1</v>
      </c>
    </row>
    <row r="130" spans="1:7">
      <c r="A130" s="95" t="s">
        <v>1541</v>
      </c>
      <c r="B130" s="86" t="s">
        <v>2855</v>
      </c>
      <c r="C130" s="84" t="s">
        <v>2984</v>
      </c>
      <c r="D130" s="57">
        <f>VLOOKUP(A130,[2]MTP!$A:$B,2,0)</f>
        <v>1999</v>
      </c>
      <c r="E130" s="58">
        <f>VLOOKUP(A130,[2]MTP!$A:$AM,39,0)</f>
        <v>1618.59926047915</v>
      </c>
      <c r="F130" s="73">
        <f>VLOOKUP(A130,[2]MTP!$A:$E,5,0)</f>
        <v>1849</v>
      </c>
      <c r="G130" s="73">
        <f>VLOOKUP(A130,[2]MTP!$A:$AO,41,0)</f>
        <v>1</v>
      </c>
    </row>
    <row r="131" spans="1:7">
      <c r="A131" s="95" t="s">
        <v>1978</v>
      </c>
      <c r="B131" s="86" t="s">
        <v>2855</v>
      </c>
      <c r="C131" s="84" t="s">
        <v>2985</v>
      </c>
      <c r="D131" s="57">
        <f>VLOOKUP(A131,[2]MTP!$A:$B,2,0)</f>
        <v>20799</v>
      </c>
      <c r="E131" s="58">
        <f>VLOOKUP(A131,[2]MTP!$A:$AM,39,0)</f>
        <v>12840.428211632947</v>
      </c>
      <c r="F131" s="73">
        <f>VLOOKUP(A131,[2]MTP!$A:$E,5,0)</f>
        <v>11999</v>
      </c>
      <c r="G131" s="73">
        <f>VLOOKUP(A131,[2]MTP!$A:$AO,41,0)</f>
        <v>1</v>
      </c>
    </row>
    <row r="132" spans="1:7">
      <c r="A132" s="95" t="s">
        <v>1557</v>
      </c>
      <c r="B132" s="86" t="s">
        <v>2855</v>
      </c>
      <c r="C132" s="84" t="s">
        <v>2986</v>
      </c>
      <c r="D132" s="57">
        <f>VLOOKUP(A132,[2]MTP!$A:$B,2,0)</f>
        <v>1999</v>
      </c>
      <c r="E132" s="58">
        <f>VLOOKUP(A132,[2]MTP!$A:$AM,39,0)</f>
        <v>746.45753660213268</v>
      </c>
      <c r="F132" s="73">
        <f>VLOOKUP(A132,[2]MTP!$A:$E,5,0)</f>
        <v>899</v>
      </c>
      <c r="G132" s="73">
        <f>VLOOKUP(A132,[2]MTP!$A:$AO,41,0)</f>
        <v>1</v>
      </c>
    </row>
    <row r="133" spans="1:7">
      <c r="A133" s="95" t="s">
        <v>1504</v>
      </c>
      <c r="B133" s="86" t="s">
        <v>2855</v>
      </c>
      <c r="C133" s="84" t="s">
        <v>2987</v>
      </c>
      <c r="D133" s="57">
        <f>VLOOKUP(A133,[2]MTP!$A:$B,2,0)</f>
        <v>6449</v>
      </c>
      <c r="E133" s="58">
        <f>VLOOKUP(A133,[2]MTP!$A:$AM,39,0)</f>
        <v>4177.6525011806871</v>
      </c>
      <c r="F133" s="73">
        <f>VLOOKUP(A133,[2]MTP!$A:$E,5,0)</f>
        <v>4499</v>
      </c>
      <c r="G133" s="73">
        <f>VLOOKUP(A133,[2]MTP!$A:$AO,41,0)</f>
        <v>1</v>
      </c>
    </row>
    <row r="134" spans="1:7">
      <c r="A134" s="95" t="s">
        <v>1699</v>
      </c>
      <c r="B134" s="86" t="s">
        <v>2855</v>
      </c>
      <c r="C134" s="84" t="s">
        <v>2988</v>
      </c>
      <c r="D134" s="57">
        <f>VLOOKUP(A134,[2]MTP!$A:$B,2,0)</f>
        <v>2299</v>
      </c>
      <c r="E134" s="58">
        <f>VLOOKUP(A134,[2]MTP!$A:$AM,39,0)</f>
        <v>964.12986645402646</v>
      </c>
      <c r="F134" s="73">
        <f>VLOOKUP(A134,[2]MTP!$A:$E,5,0)</f>
        <v>999</v>
      </c>
      <c r="G134" s="73">
        <f>VLOOKUP(A134,[2]MTP!$A:$AO,41,0)</f>
        <v>2</v>
      </c>
    </row>
    <row r="135" spans="1:7">
      <c r="A135" s="95" t="s">
        <v>803</v>
      </c>
      <c r="B135" s="86" t="s">
        <v>2855</v>
      </c>
      <c r="C135" s="84" t="s">
        <v>2989</v>
      </c>
      <c r="D135" s="57">
        <f>VLOOKUP(A135,[2]MTP!$A:$B,2,0)</f>
        <v>6449</v>
      </c>
      <c r="E135" s="58">
        <f>VLOOKUP(A135,[2]MTP!$A:$AM,39,0)</f>
        <v>4133.2356699325956</v>
      </c>
      <c r="F135" s="73">
        <f>VLOOKUP(A135,[2]MTP!$A:$E,5,0)</f>
        <v>4099</v>
      </c>
      <c r="G135" s="73">
        <f>VLOOKUP(A135,[2]MTP!$A:$AO,41,0)</f>
        <v>1</v>
      </c>
    </row>
    <row r="136" spans="1:7">
      <c r="A136" s="95" t="s">
        <v>1661</v>
      </c>
      <c r="B136" s="86" t="s">
        <v>2855</v>
      </c>
      <c r="C136" s="84" t="s">
        <v>2990</v>
      </c>
      <c r="D136" s="57">
        <f>VLOOKUP(A136,[2]MTP!$A:$B,2,0)</f>
        <v>5099</v>
      </c>
      <c r="E136" s="58">
        <f>VLOOKUP(A136,[2]MTP!$A:$AM,39,0)</f>
        <v>2446.7796312913224</v>
      </c>
      <c r="F136" s="73">
        <f>VLOOKUP(A136,[2]MTP!$A:$E,5,0)</f>
        <v>2749</v>
      </c>
      <c r="G136" s="73">
        <f>VLOOKUP(A136,[2]MTP!$A:$AO,41,0)</f>
        <v>1</v>
      </c>
    </row>
    <row r="137" spans="1:7">
      <c r="A137" s="95" t="s">
        <v>1019</v>
      </c>
      <c r="B137" s="86" t="s">
        <v>2855</v>
      </c>
      <c r="C137" s="84" t="s">
        <v>2991</v>
      </c>
      <c r="D137" s="57">
        <f>VLOOKUP(A137,[2]MTP!$A:$B,2,0)</f>
        <v>649</v>
      </c>
      <c r="E137" s="58">
        <f>VLOOKUP(A137,[2]MTP!$A:$AM,39,0)</f>
        <v>119.61892179898109</v>
      </c>
      <c r="F137" s="73">
        <f>VLOOKUP(A137,[2]MTP!$A:$E,5,0)</f>
        <v>209</v>
      </c>
      <c r="G137" s="73">
        <f>VLOOKUP(A137,[2]MTP!$A:$AO,41,0)</f>
        <v>10</v>
      </c>
    </row>
    <row r="138" spans="1:7">
      <c r="A138" s="95" t="s">
        <v>1328</v>
      </c>
      <c r="B138" s="86" t="s">
        <v>2855</v>
      </c>
      <c r="C138" s="84" t="s">
        <v>2992</v>
      </c>
      <c r="D138" s="57">
        <f>VLOOKUP(A138,[2]MTP!$A:$B,2,0)</f>
        <v>6999</v>
      </c>
      <c r="E138" s="58">
        <f>VLOOKUP(A138,[2]MTP!$A:$AM,39,0)</f>
        <v>2341.63583628579</v>
      </c>
      <c r="F138" s="73">
        <f>VLOOKUP(A138,[2]MTP!$A:$E,5,0)</f>
        <v>2649</v>
      </c>
      <c r="G138" s="73">
        <f>VLOOKUP(A138,[2]MTP!$A:$AO,41,0)</f>
        <v>1</v>
      </c>
    </row>
    <row r="139" spans="1:7">
      <c r="A139" s="95" t="s">
        <v>770</v>
      </c>
      <c r="B139" s="86" t="s">
        <v>2855</v>
      </c>
      <c r="C139" s="84" t="s">
        <v>2993</v>
      </c>
      <c r="D139" s="57">
        <f>VLOOKUP(A139,[2]MTP!$A:$B,2,0)</f>
        <v>6999</v>
      </c>
      <c r="E139" s="58">
        <f>VLOOKUP(A139,[2]MTP!$A:$AM,39,0)</f>
        <v>2858.5124769735589</v>
      </c>
      <c r="F139" s="73">
        <f>VLOOKUP(A139,[2]MTP!$A:$E,5,0)</f>
        <v>3199</v>
      </c>
      <c r="G139" s="73">
        <f>VLOOKUP(A139,[2]MTP!$A:$AO,41,0)</f>
        <v>1</v>
      </c>
    </row>
    <row r="140" spans="1:7">
      <c r="A140" s="95" t="s">
        <v>973</v>
      </c>
      <c r="B140" s="86" t="s">
        <v>2938</v>
      </c>
      <c r="C140" s="84" t="s">
        <v>2994</v>
      </c>
      <c r="D140" s="57">
        <f>VLOOKUP(A140,[2]MTP!$A:$B,2,0)</f>
        <v>16599</v>
      </c>
      <c r="E140" s="58">
        <f>VLOOKUP(A140,[2]MTP!$A:$AM,39,0)</f>
        <v>10196.74798366024</v>
      </c>
      <c r="F140" s="73">
        <f>VLOOKUP(A140,[2]MTP!$A:$E,5,0)</f>
        <v>9799</v>
      </c>
      <c r="G140" s="73">
        <f>VLOOKUP(A140,[2]MTP!$A:$AO,41,0)</f>
        <v>1</v>
      </c>
    </row>
    <row r="141" spans="1:7">
      <c r="A141" s="95" t="s">
        <v>1772</v>
      </c>
      <c r="B141" s="86" t="s">
        <v>2855</v>
      </c>
      <c r="C141" s="84" t="s">
        <v>2995</v>
      </c>
      <c r="D141" s="57">
        <f>VLOOKUP(A141,[2]MTP!$A:$B,2,0)</f>
        <v>899</v>
      </c>
      <c r="E141" s="58">
        <f>VLOOKUP(A141,[2]MTP!$A:$AM,39,0)</f>
        <v>493.61275144999996</v>
      </c>
      <c r="F141" s="73">
        <f>VLOOKUP(A141,[2]MTP!$A:$E,5,0)</f>
        <v>599</v>
      </c>
      <c r="G141" s="73">
        <f>VLOOKUP(A141,[2]MTP!$A:$AO,41,0)</f>
        <v>5</v>
      </c>
    </row>
    <row r="142" spans="1:7">
      <c r="A142" s="95" t="s">
        <v>1766</v>
      </c>
      <c r="B142" s="86" t="s">
        <v>2855</v>
      </c>
      <c r="C142" s="84" t="s">
        <v>2996</v>
      </c>
      <c r="D142" s="57">
        <f>VLOOKUP(A142,[2]MTP!$A:$B,2,0)</f>
        <v>4899</v>
      </c>
      <c r="E142" s="58">
        <f>VLOOKUP(A142,[2]MTP!$A:$AM,39,0)</f>
        <v>2915.5292888610802</v>
      </c>
      <c r="F142" s="73">
        <f>VLOOKUP(A142,[2]MTP!$A:$E,5,0)</f>
        <v>3099</v>
      </c>
      <c r="G142" s="73">
        <f>VLOOKUP(A142,[2]MTP!$A:$AO,41,0)</f>
        <v>1</v>
      </c>
    </row>
    <row r="143" spans="1:7">
      <c r="A143" s="95" t="s">
        <v>1343</v>
      </c>
      <c r="B143" s="86" t="s">
        <v>2855</v>
      </c>
      <c r="C143" s="84" t="s">
        <v>2997</v>
      </c>
      <c r="D143" s="57">
        <f>VLOOKUP(A143,[2]MTP!$A:$B,2,0)</f>
        <v>1199</v>
      </c>
      <c r="E143" s="58">
        <f>VLOOKUP(A143,[2]MTP!$A:$AM,39,0)</f>
        <v>451.89409602793961</v>
      </c>
      <c r="F143" s="73">
        <f>VLOOKUP(A143,[2]MTP!$A:$E,5,0)</f>
        <v>559</v>
      </c>
      <c r="G143" s="73">
        <f>VLOOKUP(A143,[2]MTP!$A:$AO,41,0)</f>
        <v>5</v>
      </c>
    </row>
    <row r="144" spans="1:7">
      <c r="A144" s="95" t="s">
        <v>2074</v>
      </c>
      <c r="B144" s="86" t="s">
        <v>2855</v>
      </c>
      <c r="C144" s="84" t="s">
        <v>2998</v>
      </c>
      <c r="D144" s="57">
        <f>VLOOKUP(A144,[2]MTP!$A:$B,2,0)</f>
        <v>5199</v>
      </c>
      <c r="E144" s="58">
        <f>VLOOKUP(A144,[2]MTP!$A:$AM,39,0)</f>
        <v>2754.9195924657201</v>
      </c>
      <c r="F144" s="73">
        <f>VLOOKUP(A144,[2]MTP!$A:$E,5,0)</f>
        <v>2899</v>
      </c>
      <c r="G144" s="73">
        <f>VLOOKUP(A144,[2]MTP!$A:$AO,41,0)</f>
        <v>1</v>
      </c>
    </row>
    <row r="145" spans="1:7">
      <c r="A145" s="95" t="s">
        <v>1549</v>
      </c>
      <c r="B145" s="86" t="s">
        <v>2855</v>
      </c>
      <c r="C145" s="84" t="s">
        <v>2999</v>
      </c>
      <c r="D145" s="57">
        <f>VLOOKUP(A145,[2]MTP!$A:$B,2,0)</f>
        <v>2799</v>
      </c>
      <c r="E145" s="58">
        <f>VLOOKUP(A145,[2]MTP!$A:$AM,39,0)</f>
        <v>1198.061415160277</v>
      </c>
      <c r="F145" s="73">
        <f>VLOOKUP(A145,[2]MTP!$A:$E,5,0)</f>
        <v>1599</v>
      </c>
      <c r="G145" s="73">
        <f>VLOOKUP(A145,[2]MTP!$A:$AO,41,0)</f>
        <v>1</v>
      </c>
    </row>
    <row r="146" spans="1:7">
      <c r="A146" s="95" t="s">
        <v>1752</v>
      </c>
      <c r="B146" s="86" t="s">
        <v>2855</v>
      </c>
      <c r="C146" s="84" t="s">
        <v>3000</v>
      </c>
      <c r="D146" s="57">
        <f>VLOOKUP(A146,[2]MTP!$A:$B,2,0)</f>
        <v>1749</v>
      </c>
      <c r="E146" s="58">
        <f>VLOOKUP(A146,[2]MTP!$A:$AM,39,0)</f>
        <v>483.3689991010246</v>
      </c>
      <c r="F146" s="73">
        <f>VLOOKUP(A146,[2]MTP!$A:$E,5,0)</f>
        <v>599</v>
      </c>
      <c r="G146" s="73">
        <f>VLOOKUP(A146,[2]MTP!$A:$AO,41,0)</f>
        <v>4</v>
      </c>
    </row>
    <row r="147" spans="1:7">
      <c r="A147" s="95" t="s">
        <v>1194</v>
      </c>
      <c r="B147" s="86" t="s">
        <v>2855</v>
      </c>
      <c r="C147" s="84" t="s">
        <v>3001</v>
      </c>
      <c r="D147" s="57">
        <f>VLOOKUP(A147,[2]MTP!$A:$B,2,0)</f>
        <v>3299</v>
      </c>
      <c r="E147" s="58">
        <f>VLOOKUP(A147,[2]MTP!$A:$AM,39,0)</f>
        <v>1485.1676920947498</v>
      </c>
      <c r="F147" s="73">
        <f>VLOOKUP(A147,[2]MTP!$A:$E,5,0)</f>
        <v>1799</v>
      </c>
      <c r="G147" s="73">
        <f>VLOOKUP(A147,[2]MTP!$A:$AO,41,0)</f>
        <v>1</v>
      </c>
    </row>
    <row r="148" spans="1:7">
      <c r="A148" s="95" t="s">
        <v>1670</v>
      </c>
      <c r="B148" s="86" t="s">
        <v>2855</v>
      </c>
      <c r="C148" s="84" t="s">
        <v>3002</v>
      </c>
      <c r="D148" s="57">
        <f>VLOOKUP(A148,[2]MTP!$A:$B,2,0)</f>
        <v>1999</v>
      </c>
      <c r="E148" s="58">
        <f>VLOOKUP(A148,[2]MTP!$A:$AM,39,0)</f>
        <v>1283.592612361829</v>
      </c>
      <c r="F148" s="73">
        <f>VLOOKUP(A148,[2]MTP!$A:$E,5,0)</f>
        <v>999</v>
      </c>
      <c r="G148" s="73">
        <f>VLOOKUP(A148,[2]MTP!$A:$AO,41,0)</f>
        <v>1</v>
      </c>
    </row>
    <row r="149" spans="1:7">
      <c r="A149" s="95" t="s">
        <v>1097</v>
      </c>
      <c r="B149" s="86" t="s">
        <v>2855</v>
      </c>
      <c r="C149" s="84" t="s">
        <v>3003</v>
      </c>
      <c r="D149" s="57">
        <f>VLOOKUP(A149,[2]MTP!$A:$B,2,0)</f>
        <v>3899</v>
      </c>
      <c r="E149" s="58">
        <f>VLOOKUP(A149,[2]MTP!$A:$AM,39,0)</f>
        <v>1674.4438846601622</v>
      </c>
      <c r="F149" s="73">
        <f>VLOOKUP(A149,[2]MTP!$A:$E,5,0)</f>
        <v>1899</v>
      </c>
      <c r="G149" s="73">
        <f>VLOOKUP(A149,[2]MTP!$A:$AO,41,0)</f>
        <v>1</v>
      </c>
    </row>
    <row r="150" spans="1:7">
      <c r="A150" s="95" t="s">
        <v>1819</v>
      </c>
      <c r="B150" s="86" t="s">
        <v>2855</v>
      </c>
      <c r="C150" s="84" t="s">
        <v>3004</v>
      </c>
      <c r="D150" s="57">
        <f>VLOOKUP(A150,[2]MTP!$A:$B,2,0)</f>
        <v>5199</v>
      </c>
      <c r="E150" s="58">
        <f>VLOOKUP(A150,[2]MTP!$A:$AM,39,0)</f>
        <v>3026.171438551065</v>
      </c>
      <c r="F150" s="73">
        <f>VLOOKUP(A150,[2]MTP!$A:$E,5,0)</f>
        <v>2699</v>
      </c>
      <c r="G150" s="73">
        <f>VLOOKUP(A150,[2]MTP!$A:$AO,41,0)</f>
        <v>1</v>
      </c>
    </row>
    <row r="151" spans="1:7">
      <c r="A151" s="95" t="s">
        <v>1844</v>
      </c>
      <c r="B151" s="86" t="s">
        <v>2855</v>
      </c>
      <c r="C151" s="84" t="s">
        <v>3005</v>
      </c>
      <c r="D151" s="57">
        <f>VLOOKUP(A151,[2]MTP!$A:$B,2,0)</f>
        <v>2099</v>
      </c>
      <c r="E151" s="58">
        <f>VLOOKUP(A151,[2]MTP!$A:$AM,39,0)</f>
        <v>872.33663022720839</v>
      </c>
      <c r="F151" s="73">
        <f>VLOOKUP(A151,[2]MTP!$A:$E,5,0)</f>
        <v>949</v>
      </c>
      <c r="G151" s="73">
        <f>VLOOKUP(A151,[2]MTP!$A:$AO,41,0)</f>
        <v>2</v>
      </c>
    </row>
    <row r="152" spans="1:7">
      <c r="A152" s="95" t="s">
        <v>932</v>
      </c>
      <c r="B152" s="86" t="s">
        <v>2855</v>
      </c>
      <c r="C152" s="84" t="s">
        <v>3006</v>
      </c>
      <c r="D152" s="57">
        <f>VLOOKUP(A152,[2]MTP!$A:$B,2,0)</f>
        <v>5299</v>
      </c>
      <c r="E152" s="58">
        <f>VLOOKUP(A152,[2]MTP!$A:$AM,39,0)</f>
        <v>2171.8626676547497</v>
      </c>
      <c r="F152" s="73">
        <f>VLOOKUP(A152,[2]MTP!$A:$E,5,0)</f>
        <v>2399</v>
      </c>
      <c r="G152" s="73">
        <f>VLOOKUP(A152,[2]MTP!$A:$AO,41,0)</f>
        <v>1</v>
      </c>
    </row>
    <row r="153" spans="1:7">
      <c r="A153" s="95" t="s">
        <v>1922</v>
      </c>
      <c r="B153" s="86" t="s">
        <v>2855</v>
      </c>
      <c r="C153" s="84" t="s">
        <v>3007</v>
      </c>
      <c r="D153" s="57">
        <f>VLOOKUP(A153,[2]MTP!$A:$B,2,0)</f>
        <v>2499</v>
      </c>
      <c r="E153" s="58">
        <f>VLOOKUP(A153,[2]MTP!$A:$AM,39,0)</f>
        <v>1001.3628889242789</v>
      </c>
      <c r="F153" s="73">
        <f>VLOOKUP(A153,[2]MTP!$A:$E,5,0)</f>
        <v>999</v>
      </c>
      <c r="G153" s="73">
        <f>VLOOKUP(A153,[2]MTP!$A:$AO,41,0)</f>
        <v>1</v>
      </c>
    </row>
    <row r="154" spans="1:7">
      <c r="A154" s="96" t="s">
        <v>2135</v>
      </c>
      <c r="B154" s="86" t="s">
        <v>2918</v>
      </c>
      <c r="C154" s="84" t="s">
        <v>3008</v>
      </c>
      <c r="D154" s="57" t="e">
        <f>VLOOKUP(A154,[2]MTP!$A:$B,2,0)</f>
        <v>#N/A</v>
      </c>
      <c r="E154" s="58" t="e">
        <f>VLOOKUP(A154,[2]MTP!$A:$AM,39,0)</f>
        <v>#N/A</v>
      </c>
      <c r="F154" s="73" t="e">
        <f>VLOOKUP(A154,[2]MTP!$A:$E,5,0)</f>
        <v>#N/A</v>
      </c>
      <c r="G154" s="73" t="e">
        <f>VLOOKUP(A154,[2]MTP!$A:$AO,41,0)</f>
        <v>#N/A</v>
      </c>
    </row>
    <row r="155" spans="1:7">
      <c r="A155" s="95" t="s">
        <v>1998</v>
      </c>
      <c r="B155" s="86" t="s">
        <v>2918</v>
      </c>
      <c r="C155" s="84" t="s">
        <v>3009</v>
      </c>
      <c r="D155" s="57">
        <f>VLOOKUP(A155,[2]MTP!$A:$B,2,0)</f>
        <v>4999</v>
      </c>
      <c r="E155" s="58">
        <f>VLOOKUP(A155,[2]MTP!$A:$AM,39,0)</f>
        <v>2516.8036716477136</v>
      </c>
      <c r="F155" s="73">
        <f>VLOOKUP(A155,[2]MTP!$A:$E,5,0)</f>
        <v>2549</v>
      </c>
      <c r="G155" s="73">
        <f>VLOOKUP(A155,[2]MTP!$A:$AO,41,0)</f>
        <v>1</v>
      </c>
    </row>
    <row r="156" spans="1:7">
      <c r="A156" s="95" t="s">
        <v>1867</v>
      </c>
      <c r="B156" s="86" t="s">
        <v>2855</v>
      </c>
      <c r="C156" s="84" t="s">
        <v>3010</v>
      </c>
      <c r="D156" s="57">
        <f>VLOOKUP(A156,[2]MTP!$A:$B,2,0)</f>
        <v>899</v>
      </c>
      <c r="E156" s="58">
        <f>VLOOKUP(A156,[2]MTP!$A:$AM,39,0)</f>
        <v>273.33373311778848</v>
      </c>
      <c r="F156" s="73">
        <f>VLOOKUP(A156,[2]MTP!$A:$E,5,0)</f>
        <v>399</v>
      </c>
      <c r="G156" s="73">
        <f>VLOOKUP(A156,[2]MTP!$A:$AO,41,0)</f>
        <v>5</v>
      </c>
    </row>
    <row r="157" spans="1:7">
      <c r="A157" s="95" t="s">
        <v>1811</v>
      </c>
      <c r="B157" s="86" t="s">
        <v>2855</v>
      </c>
      <c r="C157" s="84" t="s">
        <v>3011</v>
      </c>
      <c r="D157" s="57">
        <f>VLOOKUP(A157,[2]MTP!$A:$B,2,0)</f>
        <v>7299</v>
      </c>
      <c r="E157" s="58">
        <f>VLOOKUP(A157,[2]MTP!$A:$AM,39,0)</f>
        <v>4016.2057758544197</v>
      </c>
      <c r="F157" s="73">
        <f>VLOOKUP(A157,[2]MTP!$A:$E,5,0)</f>
        <v>4299</v>
      </c>
      <c r="G157" s="73">
        <f>VLOOKUP(A157,[2]MTP!$A:$AO,41,0)</f>
        <v>1</v>
      </c>
    </row>
    <row r="158" spans="1:7">
      <c r="A158" s="95" t="s">
        <v>1684</v>
      </c>
      <c r="B158" s="86" t="s">
        <v>2855</v>
      </c>
      <c r="C158" s="84" t="s">
        <v>3012</v>
      </c>
      <c r="D158" s="57">
        <f>VLOOKUP(A158,[2]MTP!$A:$B,2,0)</f>
        <v>999</v>
      </c>
      <c r="E158" s="58">
        <f>VLOOKUP(A158,[2]MTP!$A:$AM,39,0)</f>
        <v>247.2180035380853</v>
      </c>
      <c r="F158" s="73">
        <f>VLOOKUP(A158,[2]MTP!$A:$E,5,0)</f>
        <v>339</v>
      </c>
      <c r="G158" s="73">
        <f>VLOOKUP(A158,[2]MTP!$A:$AO,41,0)</f>
        <v>10</v>
      </c>
    </row>
    <row r="159" spans="1:7">
      <c r="A159" s="95" t="s">
        <v>1600</v>
      </c>
      <c r="B159" s="86" t="s">
        <v>2855</v>
      </c>
      <c r="C159" s="84" t="s">
        <v>3013</v>
      </c>
      <c r="D159" s="57">
        <f>VLOOKUP(A159,[2]MTP!$A:$B,2,0)</f>
        <v>7799</v>
      </c>
      <c r="E159" s="58">
        <f>VLOOKUP(A159,[2]MTP!$A:$AM,39,0)</f>
        <v>3489.2773690935041</v>
      </c>
      <c r="F159" s="73">
        <f>VLOOKUP(A159,[2]MTP!$A:$E,5,0)</f>
        <v>3799</v>
      </c>
      <c r="G159" s="73">
        <f>VLOOKUP(A159,[2]MTP!$A:$AO,41,0)</f>
        <v>1</v>
      </c>
    </row>
    <row r="160" spans="1:7">
      <c r="A160" s="95" t="s">
        <v>2090</v>
      </c>
      <c r="B160" s="86" t="s">
        <v>2855</v>
      </c>
      <c r="C160" s="84" t="s">
        <v>3014</v>
      </c>
      <c r="D160" s="57">
        <f>VLOOKUP(A160,[2]MTP!$A:$B,2,0)</f>
        <v>9299</v>
      </c>
      <c r="E160" s="58">
        <f>VLOOKUP(A160,[2]MTP!$A:$AM,39,0)</f>
        <v>4736.8754127541715</v>
      </c>
      <c r="F160" s="73">
        <f>VLOOKUP(A160,[2]MTP!$A:$E,5,0)</f>
        <v>5199</v>
      </c>
      <c r="G160" s="73">
        <f>VLOOKUP(A160,[2]MTP!$A:$AO,41,0)</f>
        <v>1</v>
      </c>
    </row>
    <row r="161" spans="1:7">
      <c r="A161" s="95" t="s">
        <v>1608</v>
      </c>
      <c r="B161" s="86" t="s">
        <v>2855</v>
      </c>
      <c r="C161" s="84" t="s">
        <v>3015</v>
      </c>
      <c r="D161" s="57">
        <f>VLOOKUP(A161,[2]MTP!$A:$B,2,0)</f>
        <v>4149</v>
      </c>
      <c r="E161" s="58">
        <f>VLOOKUP(A161,[2]MTP!$A:$AM,39,0)</f>
        <v>1787.1735914625754</v>
      </c>
      <c r="F161" s="73">
        <f>VLOOKUP(A161,[2]MTP!$A:$E,5,0)</f>
        <v>2099</v>
      </c>
      <c r="G161" s="73">
        <f>VLOOKUP(A161,[2]MTP!$A:$AO,41,0)</f>
        <v>1</v>
      </c>
    </row>
    <row r="162" spans="1:7">
      <c r="A162" s="95" t="s">
        <v>1859</v>
      </c>
      <c r="B162" s="86" t="s">
        <v>2855</v>
      </c>
      <c r="C162" s="84" t="s">
        <v>3016</v>
      </c>
      <c r="D162" s="57">
        <f>VLOOKUP(A162,[2]MTP!$A:$B,2,0)</f>
        <v>1749</v>
      </c>
      <c r="E162" s="58">
        <f>VLOOKUP(A162,[2]MTP!$A:$AM,39,0)</f>
        <v>1494.1787691914515</v>
      </c>
      <c r="F162" s="73">
        <f>VLOOKUP(A162,[2]MTP!$A:$E,5,0)</f>
        <v>1649</v>
      </c>
      <c r="G162" s="73">
        <f>VLOOKUP(A162,[2]MTP!$A:$AO,41,0)</f>
        <v>2</v>
      </c>
    </row>
    <row r="163" spans="1:7">
      <c r="A163" s="95" t="s">
        <v>1586</v>
      </c>
      <c r="B163" s="86" t="s">
        <v>2855</v>
      </c>
      <c r="C163" s="84" t="s">
        <v>3017</v>
      </c>
      <c r="D163" s="57">
        <f>VLOOKUP(A163,[2]MTP!$A:$B,2,0)</f>
        <v>1649</v>
      </c>
      <c r="E163" s="58">
        <f>VLOOKUP(A163,[2]MTP!$A:$AM,39,0)</f>
        <v>1417.0206702672888</v>
      </c>
      <c r="F163" s="73">
        <f>VLOOKUP(A163,[2]MTP!$A:$E,5,0)</f>
        <v>1999</v>
      </c>
      <c r="G163" s="73">
        <f>VLOOKUP(A163,[2]MTP!$A:$AO,41,0)</f>
        <v>1</v>
      </c>
    </row>
    <row r="164" spans="1:7">
      <c r="A164" s="95" t="s">
        <v>1796</v>
      </c>
      <c r="B164" s="86" t="s">
        <v>2855</v>
      </c>
      <c r="C164" s="84" t="s">
        <v>3018</v>
      </c>
      <c r="D164" s="57">
        <f>VLOOKUP(A164,[2]MTP!$A:$B,2,0)</f>
        <v>3099</v>
      </c>
      <c r="E164" s="58">
        <f>VLOOKUP(A164,[2]MTP!$A:$AM,39,0)</f>
        <v>1269.8892491834256</v>
      </c>
      <c r="F164" s="73">
        <f>VLOOKUP(A164,[2]MTP!$A:$E,5,0)</f>
        <v>1649</v>
      </c>
      <c r="G164" s="73">
        <f>VLOOKUP(A164,[2]MTP!$A:$AO,41,0)</f>
        <v>1</v>
      </c>
    </row>
    <row r="165" spans="1:7">
      <c r="A165" s="95" t="s">
        <v>1729</v>
      </c>
      <c r="B165" s="86" t="s">
        <v>2855</v>
      </c>
      <c r="C165" s="84" t="s">
        <v>3019</v>
      </c>
      <c r="D165" s="57">
        <f>VLOOKUP(A165,[2]MTP!$A:$B,2,0)</f>
        <v>2299</v>
      </c>
      <c r="E165" s="58">
        <f>VLOOKUP(A165,[2]MTP!$A:$AM,39,0)</f>
        <v>1209.7057469514725</v>
      </c>
      <c r="F165" s="73">
        <f>VLOOKUP(A165,[2]MTP!$A:$E,5,0)</f>
        <v>1599</v>
      </c>
      <c r="G165" s="73">
        <f>VLOOKUP(A165,[2]MTP!$A:$AO,41,0)</f>
        <v>1</v>
      </c>
    </row>
    <row r="166" spans="1:7">
      <c r="A166" s="95" t="s">
        <v>1287</v>
      </c>
      <c r="B166" s="86" t="s">
        <v>2855</v>
      </c>
      <c r="C166" s="84" t="s">
        <v>3020</v>
      </c>
      <c r="D166" s="57">
        <f>VLOOKUP(A166,[2]MTP!$A:$B,2,0)</f>
        <v>4899</v>
      </c>
      <c r="E166" s="58">
        <f>VLOOKUP(A166,[2]MTP!$A:$AM,39,0)</f>
        <v>2157.8663333025506</v>
      </c>
      <c r="F166" s="73">
        <f>VLOOKUP(A166,[2]MTP!$A:$E,5,0)</f>
        <v>2399</v>
      </c>
      <c r="G166" s="73">
        <f>VLOOKUP(A166,[2]MTP!$A:$AO,41,0)</f>
        <v>1</v>
      </c>
    </row>
    <row r="167" spans="1:7">
      <c r="A167" s="95" t="s">
        <v>1565</v>
      </c>
      <c r="B167" s="86" t="s">
        <v>2855</v>
      </c>
      <c r="C167" s="84" t="s">
        <v>3021</v>
      </c>
      <c r="D167" s="57">
        <f>VLOOKUP(A167,[2]MTP!$A:$B,2,0)</f>
        <v>3649</v>
      </c>
      <c r="E167" s="58">
        <f>VLOOKUP(A167,[2]MTP!$A:$AM,39,0)</f>
        <v>1891.5933973917781</v>
      </c>
      <c r="F167" s="73">
        <f>VLOOKUP(A167,[2]MTP!$A:$E,5,0)</f>
        <v>2199</v>
      </c>
      <c r="G167" s="73">
        <f>VLOOKUP(A167,[2]MTP!$A:$AO,41,0)</f>
        <v>1</v>
      </c>
    </row>
    <row r="168" spans="1:7">
      <c r="A168" s="95" t="s">
        <v>1887</v>
      </c>
      <c r="B168" s="86" t="s">
        <v>2855</v>
      </c>
      <c r="C168" s="84" t="s">
        <v>2933</v>
      </c>
      <c r="D168" s="57">
        <f>VLOOKUP(A168,[2]MTP!$A:$B,2,0)</f>
        <v>3599</v>
      </c>
      <c r="E168" s="58">
        <f>VLOOKUP(A168,[2]MTP!$A:$AM,39,0)</f>
        <v>1439.4974612627454</v>
      </c>
      <c r="F168" s="73">
        <f>VLOOKUP(A168,[2]MTP!$A:$E,5,0)</f>
        <v>1799</v>
      </c>
      <c r="G168" s="73">
        <f>VLOOKUP(A168,[2]MTP!$A:$AO,41,0)</f>
        <v>1</v>
      </c>
    </row>
    <row r="169" spans="1:7">
      <c r="A169" s="95" t="s">
        <v>1721</v>
      </c>
      <c r="B169" s="86" t="s">
        <v>2855</v>
      </c>
      <c r="C169" s="84" t="s">
        <v>3022</v>
      </c>
      <c r="D169" s="57">
        <f>VLOOKUP(A169,[2]MTP!$A:$B,2,0)</f>
        <v>4299</v>
      </c>
      <c r="E169" s="58">
        <f>VLOOKUP(A169,[2]MTP!$A:$AM,39,0)</f>
        <v>2004.8644615204471</v>
      </c>
      <c r="F169" s="73">
        <f>VLOOKUP(A169,[2]MTP!$A:$E,5,0)</f>
        <v>2299</v>
      </c>
      <c r="G169" s="73">
        <f>VLOOKUP(A169,[2]MTP!$A:$AO,41,0)</f>
        <v>1</v>
      </c>
    </row>
    <row r="170" spans="1:7">
      <c r="A170" s="95" t="s">
        <v>1875</v>
      </c>
      <c r="B170" s="86" t="s">
        <v>2855</v>
      </c>
      <c r="C170" s="84" t="s">
        <v>3023</v>
      </c>
      <c r="D170" s="57">
        <f>VLOOKUP(A170,[2]MTP!$A:$B,2,0)</f>
        <v>499</v>
      </c>
      <c r="E170" s="58">
        <f>VLOOKUP(A170,[2]MTP!$A:$AM,39,0)</f>
        <v>182.51544270047114</v>
      </c>
      <c r="F170" s="73">
        <f>VLOOKUP(A170,[2]MTP!$A:$E,5,0)</f>
        <v>279</v>
      </c>
      <c r="G170" s="73">
        <f>VLOOKUP(A170,[2]MTP!$A:$AO,41,0)</f>
        <v>10</v>
      </c>
    </row>
    <row r="171" spans="1:7">
      <c r="A171" s="95" t="s">
        <v>2049</v>
      </c>
      <c r="B171" s="86" t="s">
        <v>2918</v>
      </c>
      <c r="C171" s="84" t="s">
        <v>3024</v>
      </c>
      <c r="D171" s="57">
        <f>VLOOKUP(A171,[2]MTP!$A:$B,2,0)</f>
        <v>1299</v>
      </c>
      <c r="E171" s="58">
        <f>VLOOKUP(A171,[2]MTP!$A:$AM,39,0)</f>
        <v>299.84394443796032</v>
      </c>
      <c r="F171" s="73">
        <f>VLOOKUP(A171,[2]MTP!$A:$E,5,0)</f>
        <v>399</v>
      </c>
      <c r="G171" s="73">
        <f>VLOOKUP(A171,[2]MTP!$A:$AO,41,0)</f>
        <v>10</v>
      </c>
    </row>
    <row r="172" spans="1:7">
      <c r="A172" s="95" t="s">
        <v>2377</v>
      </c>
      <c r="B172" s="86" t="s">
        <v>2918</v>
      </c>
      <c r="C172" s="84" t="s">
        <v>3025</v>
      </c>
      <c r="D172" s="57" t="e">
        <f>VLOOKUP(A172,[2]MTP!$A:$B,2,0)</f>
        <v>#N/A</v>
      </c>
      <c r="E172" s="58" t="e">
        <f>VLOOKUP(A172,[2]MTP!$A:$AM,39,0)</f>
        <v>#N/A</v>
      </c>
      <c r="F172" s="73" t="e">
        <f>VLOOKUP(A172,[2]MTP!$A:$E,5,0)</f>
        <v>#N/A</v>
      </c>
      <c r="G172" s="73" t="e">
        <f>VLOOKUP(A172,[2]MTP!$A:$AO,41,0)</f>
        <v>#N/A</v>
      </c>
    </row>
    <row r="173" spans="1:7">
      <c r="A173" s="95" t="s">
        <v>2082</v>
      </c>
      <c r="B173" s="86" t="s">
        <v>2855</v>
      </c>
      <c r="C173" s="84" t="s">
        <v>3026</v>
      </c>
      <c r="D173" s="57">
        <f>VLOOKUP(A173,[2]MTP!$A:$B,2,0)</f>
        <v>1199</v>
      </c>
      <c r="E173" s="58">
        <f>VLOOKUP(A173,[2]MTP!$A:$AM,39,0)</f>
        <v>379.78225083318659</v>
      </c>
      <c r="F173" s="73">
        <f>VLOOKUP(A173,[2]MTP!$A:$E,5,0)</f>
        <v>527</v>
      </c>
      <c r="G173" s="73">
        <f>VLOOKUP(A173,[2]MTP!$A:$AO,41,0)</f>
        <v>4</v>
      </c>
    </row>
    <row r="174" spans="1:7">
      <c r="A174" s="95" t="s">
        <v>1903</v>
      </c>
      <c r="B174" s="86" t="s">
        <v>2938</v>
      </c>
      <c r="C174" s="84" t="s">
        <v>3027</v>
      </c>
      <c r="D174" s="57">
        <f>VLOOKUP(A174,[2]MTP!$A:$B,2,0)</f>
        <v>499</v>
      </c>
      <c r="E174" s="58">
        <f>VLOOKUP(A174,[2]MTP!$A:$AM,39,0)</f>
        <v>210.38256078865379</v>
      </c>
      <c r="F174" s="73">
        <f>VLOOKUP(A174,[2]MTP!$A:$E,5,0)</f>
        <v>259</v>
      </c>
      <c r="G174" s="73">
        <f>VLOOKUP(A174,[2]MTP!$A:$AO,41,0)</f>
        <v>10</v>
      </c>
    </row>
    <row r="175" spans="1:7">
      <c r="A175" s="95" t="s">
        <v>2422</v>
      </c>
      <c r="B175" s="86" t="s">
        <v>2918</v>
      </c>
      <c r="C175" s="84" t="s">
        <v>3028</v>
      </c>
      <c r="D175" s="57">
        <f>VLOOKUP(A175,[2]MTP!$A:$B,2,0)</f>
        <v>999</v>
      </c>
      <c r="E175" s="58">
        <f>VLOOKUP(A175,[2]MTP!$A:$AM,39,0)</f>
        <v>325.09677187339082</v>
      </c>
      <c r="F175" s="73">
        <f>VLOOKUP(A175,[2]MTP!$A:$E,5,0)</f>
        <v>399</v>
      </c>
      <c r="G175" s="73">
        <f>VLOOKUP(A175,[2]MTP!$A:$AO,41,0)</f>
        <v>1</v>
      </c>
    </row>
    <row r="176" spans="1:7">
      <c r="A176" s="95" t="s">
        <v>1760</v>
      </c>
      <c r="B176" s="86" t="s">
        <v>2855</v>
      </c>
      <c r="C176" s="84" t="s">
        <v>3029</v>
      </c>
      <c r="D176" s="57">
        <f>VLOOKUP(A176,[2]MTP!$A:$B,2,0)</f>
        <v>1999</v>
      </c>
      <c r="E176" s="58">
        <f>VLOOKUP(A176,[2]MTP!$A:$AM,39,0)</f>
        <v>436.25756122576234</v>
      </c>
      <c r="F176" s="73">
        <f>VLOOKUP(A176,[2]MTP!$A:$E,5,0)</f>
        <v>429</v>
      </c>
      <c r="G176" s="73">
        <f>VLOOKUP(A176,[2]MTP!$A:$AO,41,0)</f>
        <v>10</v>
      </c>
    </row>
    <row r="177" spans="1:7">
      <c r="A177" s="95" t="s">
        <v>2157</v>
      </c>
      <c r="B177" s="86" t="s">
        <v>2918</v>
      </c>
      <c r="C177" s="84" t="s">
        <v>3030</v>
      </c>
      <c r="D177" s="57">
        <f>VLOOKUP(A177,[2]MTP!$A:$B,2,0)</f>
        <v>1199</v>
      </c>
      <c r="E177" s="58">
        <f>VLOOKUP(A177,[2]MTP!$A:$AM,39,0)</f>
        <v>495.6217451803318</v>
      </c>
      <c r="F177" s="73">
        <f>VLOOKUP(A177,[2]MTP!$A:$E,5,0)</f>
        <v>599</v>
      </c>
      <c r="G177" s="73">
        <f>VLOOKUP(A177,[2]MTP!$A:$AO,41,0)</f>
        <v>5</v>
      </c>
    </row>
    <row r="178" spans="1:7">
      <c r="A178" s="95" t="s">
        <v>1963</v>
      </c>
      <c r="B178" s="86" t="s">
        <v>2855</v>
      </c>
      <c r="C178" s="84" t="s">
        <v>3031</v>
      </c>
      <c r="D178" s="57">
        <f>VLOOKUP(A178,[2]MTP!$A:$B,2,0)</f>
        <v>15799</v>
      </c>
      <c r="E178" s="58">
        <f>VLOOKUP(A178,[2]MTP!$A:$AM,39,0)</f>
        <v>9900.858165931475</v>
      </c>
      <c r="F178" s="73">
        <f>VLOOKUP(A178,[2]MTP!$A:$E,5,0)</f>
        <v>9499</v>
      </c>
      <c r="G178" s="73">
        <f>VLOOKUP(A178,[2]MTP!$A:$AO,41,0)</f>
        <v>1</v>
      </c>
    </row>
    <row r="179" spans="1:7">
      <c r="A179" s="95" t="s">
        <v>2147</v>
      </c>
      <c r="B179" s="86" t="s">
        <v>2918</v>
      </c>
      <c r="C179" s="84" t="s">
        <v>3004</v>
      </c>
      <c r="D179" s="57">
        <f>VLOOKUP(A179,[2]MTP!$A:$B,2,0)</f>
        <v>4599</v>
      </c>
      <c r="E179" s="58" t="e">
        <f>VLOOKUP(A179,[2]MTP!$A:$AM,39,0)</f>
        <v>#N/A</v>
      </c>
      <c r="F179" s="73">
        <f>VLOOKUP(A179,[2]MTP!$A:$E,5,0)</f>
        <v>2999</v>
      </c>
      <c r="G179" s="73">
        <f>VLOOKUP(A179,[2]MTP!$A:$AO,41,0)</f>
        <v>1</v>
      </c>
    </row>
    <row r="180" spans="1:7">
      <c r="A180" s="95" t="s">
        <v>1930</v>
      </c>
      <c r="B180" s="86" t="s">
        <v>2938</v>
      </c>
      <c r="C180" s="84" t="s">
        <v>3032</v>
      </c>
      <c r="D180" s="57">
        <f>VLOOKUP(A180,[2]MTP!$A:$B,2,0)</f>
        <v>599</v>
      </c>
      <c r="E180" s="58">
        <f>VLOOKUP(A180,[2]MTP!$A:$AM,39,0)</f>
        <v>181.01036425701921</v>
      </c>
      <c r="F180" s="73">
        <f>VLOOKUP(A180,[2]MTP!$A:$E,5,0)</f>
        <v>229</v>
      </c>
      <c r="G180" s="73">
        <f>VLOOKUP(A180,[2]MTP!$A:$AO,41,0)</f>
        <v>10</v>
      </c>
    </row>
    <row r="181" spans="1:7">
      <c r="A181" s="95" t="s">
        <v>2117</v>
      </c>
      <c r="B181" s="86" t="s">
        <v>2918</v>
      </c>
      <c r="C181" s="84" t="s">
        <v>3033</v>
      </c>
      <c r="D181" s="57">
        <f>VLOOKUP(A181,[2]MTP!$A:$B,2,0)</f>
        <v>1449</v>
      </c>
      <c r="E181" s="58">
        <f>VLOOKUP(A181,[2]MTP!$A:$AM,39,0)</f>
        <v>564.67990384615382</v>
      </c>
      <c r="F181" s="73">
        <f>VLOOKUP(A181,[2]MTP!$A:$E,5,0)</f>
        <v>599</v>
      </c>
      <c r="G181" s="73">
        <f>VLOOKUP(A181,[2]MTP!$A:$AO,41,0)</f>
        <v>2</v>
      </c>
    </row>
    <row r="182" spans="1:7">
      <c r="A182" s="95" t="s">
        <v>1852</v>
      </c>
      <c r="B182" s="86" t="s">
        <v>2855</v>
      </c>
      <c r="C182" s="84" t="s">
        <v>3034</v>
      </c>
      <c r="D182" s="57">
        <f>VLOOKUP(A182,[2]MTP!$A:$B,2,0)</f>
        <v>4299</v>
      </c>
      <c r="E182" s="58">
        <f>VLOOKUP(A182,[2]MTP!$A:$AM,39,0)</f>
        <v>1686.8064328786534</v>
      </c>
      <c r="F182" s="73">
        <f>VLOOKUP(A182,[2]MTP!$A:$E,5,0)</f>
        <v>2099</v>
      </c>
      <c r="G182" s="73">
        <f>VLOOKUP(A182,[2]MTP!$A:$AO,41,0)</f>
        <v>1</v>
      </c>
    </row>
    <row r="183" spans="1:7">
      <c r="A183" s="95" t="s">
        <v>2638</v>
      </c>
      <c r="B183" s="86" t="s">
        <v>2918</v>
      </c>
      <c r="C183" s="84" t="s">
        <v>3035</v>
      </c>
      <c r="D183" s="57">
        <f>VLOOKUP(A183,[2]MTP!$A:$B,2,0)</f>
        <v>5899</v>
      </c>
      <c r="E183" s="58" t="e">
        <f>VLOOKUP(A183,[2]MTP!$A:$AM,39,0)</f>
        <v>#N/A</v>
      </c>
      <c r="F183" s="73">
        <f>VLOOKUP(A183,[2]MTP!$A:$E,5,0)</f>
        <v>2899</v>
      </c>
      <c r="G183" s="73">
        <f>VLOOKUP(A183,[2]MTP!$A:$AO,41,0)</f>
        <v>1</v>
      </c>
    </row>
    <row r="184" spans="1:7">
      <c r="A184" s="95" t="s">
        <v>2006</v>
      </c>
      <c r="B184" s="86" t="s">
        <v>2918</v>
      </c>
      <c r="C184" s="84" t="s">
        <v>3036</v>
      </c>
      <c r="D184" s="57">
        <f>VLOOKUP(A184,[2]MTP!$A:$B,2,0)</f>
        <v>3499</v>
      </c>
      <c r="E184" s="58">
        <f>VLOOKUP(A184,[2]MTP!$A:$AM,39,0)</f>
        <v>1849.8938922302523</v>
      </c>
      <c r="F184" s="73">
        <f>VLOOKUP(A184,[2]MTP!$A:$E,5,0)</f>
        <v>1979</v>
      </c>
      <c r="G184" s="73">
        <f>VLOOKUP(A184,[2]MTP!$A:$AO,41,0)</f>
        <v>1</v>
      </c>
    </row>
    <row r="185" spans="1:7">
      <c r="A185" s="95" t="s">
        <v>88</v>
      </c>
      <c r="B185" s="86" t="s">
        <v>2855</v>
      </c>
      <c r="C185" s="84" t="s">
        <v>3037</v>
      </c>
      <c r="D185" s="57">
        <f>VLOOKUP(A185,[2]MTP!$A:$B,2,0)</f>
        <v>21499</v>
      </c>
      <c r="E185" s="58">
        <f>VLOOKUP(A185,[2]MTP!$A:$AM,39,0)</f>
        <v>15815.755802699501</v>
      </c>
      <c r="F185" s="73">
        <f>VLOOKUP(A185,[2]MTP!$A:$E,5,0)</f>
        <v>14999</v>
      </c>
      <c r="G185" s="73">
        <f>VLOOKUP(A185,[2]MTP!$A:$AO,41,0)</f>
        <v>1</v>
      </c>
    </row>
    <row r="186" spans="1:7">
      <c r="A186" s="95" t="s">
        <v>2014</v>
      </c>
      <c r="B186" s="86" t="s">
        <v>2918</v>
      </c>
      <c r="C186" s="84" t="s">
        <v>3038</v>
      </c>
      <c r="D186" s="57">
        <f>VLOOKUP(A186,[2]MTP!$A:$B,2,0)</f>
        <v>4899</v>
      </c>
      <c r="E186" s="58">
        <f>VLOOKUP(A186,[2]MTP!$A:$AM,39,0)</f>
        <v>2639.3817396807926</v>
      </c>
      <c r="F186" s="73">
        <f>VLOOKUP(A186,[2]MTP!$A:$E,5,0)</f>
        <v>2699</v>
      </c>
      <c r="G186" s="73">
        <f>VLOOKUP(A186,[2]MTP!$A:$AO,41,0)</f>
        <v>1</v>
      </c>
    </row>
    <row r="187" spans="1:7">
      <c r="A187" s="95" t="s">
        <v>2127</v>
      </c>
      <c r="B187" s="86" t="s">
        <v>2918</v>
      </c>
      <c r="C187" s="84" t="s">
        <v>3039</v>
      </c>
      <c r="D187" s="57">
        <f>VLOOKUP(A187,[2]MTP!$A:$B,2,0)</f>
        <v>2199</v>
      </c>
      <c r="E187" s="58">
        <f>VLOOKUP(A187,[2]MTP!$A:$AM,39,0)</f>
        <v>400.45806392173068</v>
      </c>
      <c r="F187" s="73">
        <f>VLOOKUP(A187,[2]MTP!$A:$E,5,0)</f>
        <v>549</v>
      </c>
      <c r="G187" s="73">
        <f>VLOOKUP(A187,[2]MTP!$A:$AO,41,0)</f>
        <v>3</v>
      </c>
    </row>
    <row r="188" spans="1:7">
      <c r="A188" s="95" t="s">
        <v>2339</v>
      </c>
      <c r="B188" s="86" t="s">
        <v>2918</v>
      </c>
      <c r="C188" s="84" t="s">
        <v>3040</v>
      </c>
      <c r="D188" s="57">
        <f>VLOOKUP(A188,[2]MTP!$A:$B,2,0)</f>
        <v>3599</v>
      </c>
      <c r="E188" s="58">
        <f>VLOOKUP(A188,[2]MTP!$A:$AM,39,0)</f>
        <v>1687.8987112647499</v>
      </c>
      <c r="F188" s="73">
        <f>VLOOKUP(A188,[2]MTP!$A:$E,5,0)</f>
        <v>1799</v>
      </c>
      <c r="G188" s="73">
        <f>VLOOKUP(A188,[2]MTP!$A:$AO,41,0)</f>
        <v>1</v>
      </c>
    </row>
    <row r="189" spans="1:7">
      <c r="A189" s="95" t="s">
        <v>479</v>
      </c>
      <c r="B189" s="86" t="s">
        <v>2855</v>
      </c>
      <c r="C189" s="84" t="s">
        <v>3041</v>
      </c>
      <c r="D189" s="57">
        <f>VLOOKUP(A189,[2]MTP!$A:$B,2,0)</f>
        <v>15799</v>
      </c>
      <c r="E189" s="58">
        <f>VLOOKUP(A189,[2]MTP!$A:$AM,39,0)</f>
        <v>10907.772183449053</v>
      </c>
      <c r="F189" s="73">
        <f>VLOOKUP(A189,[2]MTP!$A:$E,5,0)</f>
        <v>10299</v>
      </c>
      <c r="G189" s="73">
        <f>VLOOKUP(A189,[2]MTP!$A:$AO,41,0)</f>
        <v>1</v>
      </c>
    </row>
    <row r="190" spans="1:7">
      <c r="A190" s="95" t="s">
        <v>72</v>
      </c>
      <c r="B190" s="86" t="s">
        <v>2938</v>
      </c>
      <c r="C190" s="84" t="s">
        <v>3042</v>
      </c>
      <c r="D190" s="57">
        <f>VLOOKUP(A190,[2]MTP!$A:$B,2,0)</f>
        <v>31999</v>
      </c>
      <c r="E190" s="58">
        <f>VLOOKUP(A190,[2]MTP!$A:$AM,39,0)</f>
        <v>21994.411179341503</v>
      </c>
      <c r="F190" s="73">
        <f>VLOOKUP(A190,[2]MTP!$A:$E,5,0)</f>
        <v>18999</v>
      </c>
      <c r="G190" s="73">
        <f>VLOOKUP(A190,[2]MTP!$A:$AO,41,0)</f>
        <v>1</v>
      </c>
    </row>
    <row r="191" spans="1:7">
      <c r="A191" s="95" t="s">
        <v>1970</v>
      </c>
      <c r="B191" s="86" t="s">
        <v>2855</v>
      </c>
      <c r="C191" s="84" t="s">
        <v>3043</v>
      </c>
      <c r="D191" s="57">
        <f>VLOOKUP(A191,[2]MTP!$A:$B,2,0)</f>
        <v>11599</v>
      </c>
      <c r="E191" s="58">
        <f>VLOOKUP(A191,[2]MTP!$A:$AM,39,0)</f>
        <v>6837.4836007151425</v>
      </c>
      <c r="F191" s="73">
        <f>VLOOKUP(A191,[2]MTP!$A:$E,5,0)</f>
        <v>6799</v>
      </c>
      <c r="G191" s="73">
        <f>VLOOKUP(A191,[2]MTP!$A:$AO,41,0)</f>
        <v>1</v>
      </c>
    </row>
    <row r="192" spans="1:7">
      <c r="A192" s="96" t="s">
        <v>2595</v>
      </c>
      <c r="B192" s="86" t="s">
        <v>2918</v>
      </c>
      <c r="C192" s="84" t="s">
        <v>3044</v>
      </c>
      <c r="D192" s="57" t="e">
        <f>VLOOKUP(A192,[2]MTP!$A:$B,2,0)</f>
        <v>#N/A</v>
      </c>
      <c r="E192" s="58" t="e">
        <f>VLOOKUP(A192,[2]MTP!$A:$AM,39,0)</f>
        <v>#N/A</v>
      </c>
      <c r="F192" s="73" t="e">
        <f>VLOOKUP(A192,[2]MTP!$A:$E,5,0)</f>
        <v>#N/A</v>
      </c>
      <c r="G192" s="73" t="e">
        <f>VLOOKUP(A192,[2]MTP!$A:$AO,41,0)</f>
        <v>#N/A</v>
      </c>
    </row>
    <row r="193" spans="1:7">
      <c r="A193" s="96" t="s">
        <v>2138</v>
      </c>
      <c r="B193" s="86" t="s">
        <v>2918</v>
      </c>
      <c r="C193" s="84" t="s">
        <v>3044</v>
      </c>
      <c r="D193" s="57" t="e">
        <f>VLOOKUP(A193,[2]MTP!$A:$B,2,0)</f>
        <v>#N/A</v>
      </c>
      <c r="E193" s="58" t="e">
        <f>VLOOKUP(A193,[2]MTP!$A:$AM,39,0)</f>
        <v>#N/A</v>
      </c>
      <c r="F193" s="73" t="e">
        <f>VLOOKUP(A193,[2]MTP!$A:$E,5,0)</f>
        <v>#N/A</v>
      </c>
      <c r="G193" s="73" t="e">
        <f>VLOOKUP(A193,[2]MTP!$A:$AO,41,0)</f>
        <v>#N/A</v>
      </c>
    </row>
    <row r="194" spans="1:7">
      <c r="A194" s="96" t="s">
        <v>122</v>
      </c>
      <c r="B194" s="86" t="s">
        <v>2855</v>
      </c>
      <c r="C194" s="84" t="s">
        <v>3045</v>
      </c>
      <c r="D194" s="57">
        <f>VLOOKUP(A194,[2]MTP!$A:$B,2,0)</f>
        <v>13499</v>
      </c>
      <c r="E194" s="58">
        <f>VLOOKUP(A194,[2]MTP!$A:$AM,39,0)</f>
        <v>7898.0564035257039</v>
      </c>
      <c r="F194" s="73">
        <f>VLOOKUP(A194,[2]MTP!$A:$E,5,0)</f>
        <v>7799</v>
      </c>
      <c r="G194" s="73">
        <f>VLOOKUP(A194,[2]MTP!$A:$AO,41,0)</f>
        <v>1</v>
      </c>
    </row>
    <row r="195" spans="1:7">
      <c r="A195" s="96" t="s">
        <v>1881</v>
      </c>
      <c r="B195" s="86" t="s">
        <v>2855</v>
      </c>
      <c r="C195" s="84" t="s">
        <v>3046</v>
      </c>
      <c r="D195" s="57">
        <f>VLOOKUP(A195,[2]MTP!$A:$B,2,0)</f>
        <v>2799</v>
      </c>
      <c r="E195" s="58">
        <f>VLOOKUP(A195,[2]MTP!$A:$AM,39,0)</f>
        <v>1226.9632939040819</v>
      </c>
      <c r="F195" s="73">
        <f>VLOOKUP(A195,[2]MTP!$A:$E,5,0)</f>
        <v>1499</v>
      </c>
      <c r="G195" s="73">
        <f>VLOOKUP(A195,[2]MTP!$A:$AO,41,0)</f>
        <v>10</v>
      </c>
    </row>
    <row r="196" spans="1:7">
      <c r="A196" s="96" t="s">
        <v>2056</v>
      </c>
      <c r="B196" s="86" t="s">
        <v>2855</v>
      </c>
      <c r="C196" s="84" t="s">
        <v>3047</v>
      </c>
      <c r="D196" s="57">
        <f>VLOOKUP(A196,[2]MTP!$A:$B,2,0)</f>
        <v>3499</v>
      </c>
      <c r="E196" s="58">
        <f>VLOOKUP(A196,[2]MTP!$A:$AM,39,0)</f>
        <v>1841.3834101193449</v>
      </c>
      <c r="F196" s="73">
        <f>VLOOKUP(A196,[2]MTP!$A:$E,5,0)</f>
        <v>1999</v>
      </c>
      <c r="G196" s="73">
        <f>VLOOKUP(A196,[2]MTP!$A:$AO,41,0)</f>
        <v>1</v>
      </c>
    </row>
    <row r="197" spans="1:7">
      <c r="A197" s="96" t="s">
        <v>2154</v>
      </c>
      <c r="B197" s="86" t="s">
        <v>2918</v>
      </c>
      <c r="C197" s="84" t="s">
        <v>3048</v>
      </c>
      <c r="D197" s="57" t="e">
        <f>VLOOKUP(A197,[2]MTP!$A:$B,2,0)</f>
        <v>#N/A</v>
      </c>
      <c r="E197" s="58" t="e">
        <f>VLOOKUP(A197,[2]MTP!$A:$AM,39,0)</f>
        <v>#N/A</v>
      </c>
      <c r="F197" s="73" t="e">
        <f>VLOOKUP(A197,[2]MTP!$A:$E,5,0)</f>
        <v>#N/A</v>
      </c>
      <c r="G197" s="73" t="e">
        <f>VLOOKUP(A197,[2]MTP!$A:$AO,41,0)</f>
        <v>#N/A</v>
      </c>
    </row>
    <row r="198" spans="1:7">
      <c r="A198" s="96" t="s">
        <v>2655</v>
      </c>
      <c r="B198" s="86" t="s">
        <v>2918</v>
      </c>
      <c r="C198" s="84" t="s">
        <v>3049</v>
      </c>
      <c r="D198" s="57">
        <f>VLOOKUP(A198,[2]MTP!$A:$B,2,0)</f>
        <v>4499</v>
      </c>
      <c r="E198" s="58" t="e">
        <f>VLOOKUP(A198,[2]MTP!$A:$AM,39,0)</f>
        <v>#N/A</v>
      </c>
      <c r="F198" s="73">
        <f>VLOOKUP(A198,[2]MTP!$A:$E,5,0)</f>
        <v>2349</v>
      </c>
      <c r="G198" s="73">
        <f>VLOOKUP(A198,[2]MTP!$A:$AO,41,0)</f>
        <v>1</v>
      </c>
    </row>
    <row r="199" spans="1:7">
      <c r="A199" s="96" t="s">
        <v>2406</v>
      </c>
      <c r="B199" s="86" t="s">
        <v>2918</v>
      </c>
      <c r="C199" s="84" t="s">
        <v>3050</v>
      </c>
      <c r="D199" s="57" t="e">
        <f>VLOOKUP(A199,[2]MTP!$A:$B,2,0)</f>
        <v>#N/A</v>
      </c>
      <c r="E199" s="58" t="e">
        <f>VLOOKUP(A199,[2]MTP!$A:$AM,39,0)</f>
        <v>#N/A</v>
      </c>
      <c r="F199" s="73" t="e">
        <f>VLOOKUP(A199,[2]MTP!$A:$E,5,0)</f>
        <v>#N/A</v>
      </c>
      <c r="G199" s="73" t="e">
        <f>VLOOKUP(A199,[2]MTP!$A:$AO,41,0)</f>
        <v>#N/A</v>
      </c>
    </row>
    <row r="200" spans="1:7">
      <c r="A200" s="96" t="s">
        <v>2780</v>
      </c>
      <c r="B200" s="86" t="s">
        <v>2918</v>
      </c>
      <c r="C200" s="84" t="s">
        <v>3051</v>
      </c>
      <c r="D200" s="57">
        <f>VLOOKUP(A200,[2]MTP!$A:$B,2,0)</f>
        <v>18899</v>
      </c>
      <c r="E200" s="58">
        <f>VLOOKUP(A200,[2]MTP!$A:$AM,39,0)</f>
        <v>10537.072858462732</v>
      </c>
      <c r="F200" s="73">
        <f>VLOOKUP(A200,[2]MTP!$A:$E,5,0)</f>
        <v>10599</v>
      </c>
      <c r="G200" s="73">
        <f>VLOOKUP(A200,[2]MTP!$A:$AO,41,0)</f>
        <v>1</v>
      </c>
    </row>
    <row r="201" spans="1:7">
      <c r="A201" s="96" t="s">
        <v>2531</v>
      </c>
      <c r="B201" s="86" t="s">
        <v>2918</v>
      </c>
      <c r="C201" s="84" t="s">
        <v>3052</v>
      </c>
      <c r="D201" s="57">
        <f>VLOOKUP(A201,[2]MTP!$A:$B,2,0)</f>
        <v>4599</v>
      </c>
      <c r="E201" s="58">
        <f>VLOOKUP(A201,[2]MTP!$A:$AM,39,0)</f>
        <v>2208.7360848837056</v>
      </c>
      <c r="F201" s="73">
        <f>VLOOKUP(A201,[2]MTP!$A:$E,5,0)</f>
        <v>2499</v>
      </c>
      <c r="G201" s="73">
        <f>VLOOKUP(A201,[2]MTP!$A:$AO,41,0)</f>
        <v>1</v>
      </c>
    </row>
    <row r="202" spans="1:7">
      <c r="A202" s="96" t="s">
        <v>2694</v>
      </c>
      <c r="B202" s="86" t="s">
        <v>2918</v>
      </c>
      <c r="C202" s="84" t="s">
        <v>3053</v>
      </c>
      <c r="D202" s="57">
        <f>VLOOKUP(A202,[2]MTP!$A:$B,2,0)</f>
        <v>1999</v>
      </c>
      <c r="E202" s="58" t="e">
        <f>VLOOKUP(A202,[2]MTP!$A:$AM,39,0)</f>
        <v>#N/A</v>
      </c>
      <c r="F202" s="73">
        <f>VLOOKUP(A202,[2]MTP!$A:$E,5,0)</f>
        <v>799</v>
      </c>
      <c r="G202" s="73">
        <f>VLOOKUP(A202,[2]MTP!$A:$AO,41,0)</f>
        <v>2</v>
      </c>
    </row>
    <row r="203" spans="1:7">
      <c r="A203" s="96" t="s">
        <v>1834</v>
      </c>
      <c r="B203" s="86" t="s">
        <v>2855</v>
      </c>
      <c r="C203" s="84" t="s">
        <v>3054</v>
      </c>
      <c r="D203" s="57">
        <f>VLOOKUP(A203,[2]MTP!$A:$B,2,0)</f>
        <v>2199</v>
      </c>
      <c r="E203" s="58">
        <f>VLOOKUP(A203,[2]MTP!$A:$AM,39,0)</f>
        <v>840.38089590105164</v>
      </c>
      <c r="F203" s="73">
        <f>VLOOKUP(A203,[2]MTP!$A:$E,5,0)</f>
        <v>899</v>
      </c>
      <c r="G203" s="73">
        <f>VLOOKUP(A203,[2]MTP!$A:$AO,41,0)</f>
        <v>2</v>
      </c>
    </row>
    <row r="204" spans="1:7">
      <c r="A204" s="96" t="s">
        <v>2754</v>
      </c>
      <c r="B204" s="86" t="s">
        <v>2918</v>
      </c>
      <c r="C204" s="84" t="s">
        <v>3055</v>
      </c>
      <c r="D204" s="57">
        <f>VLOOKUP(A204,[2]MTP!$A:$B,2,0)</f>
        <v>3899</v>
      </c>
      <c r="E204" s="58" t="e">
        <f>VLOOKUP(A204,[2]MTP!$A:$AM,39,0)</f>
        <v>#N/A</v>
      </c>
      <c r="F204" s="73">
        <f>VLOOKUP(A204,[2]MTP!$A:$E,5,0)</f>
        <v>1999</v>
      </c>
      <c r="G204" s="73">
        <f>VLOOKUP(A204,[2]MTP!$A:$AO,41,0)</f>
        <v>1</v>
      </c>
    </row>
    <row r="205" spans="1:7">
      <c r="A205" s="96" t="s">
        <v>2361</v>
      </c>
      <c r="B205" s="86" t="s">
        <v>2918</v>
      </c>
      <c r="C205" s="84" t="s">
        <v>3056</v>
      </c>
      <c r="D205" s="57" t="e">
        <f>VLOOKUP(A205,[2]MTP!$A:$B,2,0)</f>
        <v>#N/A</v>
      </c>
      <c r="E205" s="58" t="e">
        <f>VLOOKUP(A205,[2]MTP!$A:$AM,39,0)</f>
        <v>#N/A</v>
      </c>
      <c r="F205" s="73" t="e">
        <f>VLOOKUP(A205,[2]MTP!$A:$E,5,0)</f>
        <v>#N/A</v>
      </c>
      <c r="G205" s="73" t="e">
        <f>VLOOKUP(A205,[2]MTP!$A:$AO,41,0)</f>
        <v>#N/A</v>
      </c>
    </row>
    <row r="206" spans="1:7">
      <c r="A206" s="96" t="s">
        <v>2318</v>
      </c>
      <c r="B206" s="86" t="s">
        <v>2918</v>
      </c>
      <c r="C206" s="84" t="s">
        <v>2915</v>
      </c>
      <c r="D206" s="57" t="e">
        <f>VLOOKUP(A206,[2]MTP!$A:$B,2,0)</f>
        <v>#N/A</v>
      </c>
      <c r="E206" s="58" t="e">
        <f>VLOOKUP(A206,[2]MTP!$A:$AM,39,0)</f>
        <v>#N/A</v>
      </c>
      <c r="F206" s="73" t="e">
        <f>VLOOKUP(A206,[2]MTP!$A:$E,5,0)</f>
        <v>#N/A</v>
      </c>
      <c r="G206" s="73" t="e">
        <f>VLOOKUP(A206,[2]MTP!$A:$AO,41,0)</f>
        <v>#N/A</v>
      </c>
    </row>
    <row r="207" spans="1:7">
      <c r="A207" s="96" t="s">
        <v>2452</v>
      </c>
      <c r="B207" s="86" t="s">
        <v>2918</v>
      </c>
      <c r="C207" s="84" t="s">
        <v>3057</v>
      </c>
      <c r="D207" s="57" t="e">
        <f>VLOOKUP(A207,[2]MTP!$A:$B,2,0)</f>
        <v>#N/A</v>
      </c>
      <c r="E207" s="58" t="e">
        <f>VLOOKUP(A207,[2]MTP!$A:$AM,39,0)</f>
        <v>#N/A</v>
      </c>
      <c r="F207" s="73" t="e">
        <f>VLOOKUP(A207,[2]MTP!$A:$E,5,0)</f>
        <v>#N/A</v>
      </c>
      <c r="G207" s="73" t="e">
        <f>VLOOKUP(A207,[2]MTP!$A:$AO,41,0)</f>
        <v>#N/A</v>
      </c>
    </row>
    <row r="208" spans="1:7">
      <c r="A208" s="96" t="s">
        <v>2672</v>
      </c>
      <c r="B208" s="86" t="s">
        <v>2918</v>
      </c>
      <c r="C208" s="84" t="s">
        <v>3058</v>
      </c>
      <c r="D208" s="57">
        <f>VLOOKUP(A208,[2]MTP!$A:$B,2,0)</f>
        <v>2999</v>
      </c>
      <c r="E208" s="58" t="e">
        <f>VLOOKUP(A208,[2]MTP!$A:$AM,39,0)</f>
        <v>#N/A</v>
      </c>
      <c r="F208" s="73">
        <f>VLOOKUP(A208,[2]MTP!$A:$E,5,0)</f>
        <v>1849</v>
      </c>
      <c r="G208" s="73">
        <f>VLOOKUP(A208,[2]MTP!$A:$AO,41,0)</f>
        <v>1</v>
      </c>
    </row>
    <row r="209" spans="1:7">
      <c r="A209" s="96" t="s">
        <v>2429</v>
      </c>
      <c r="B209" s="86" t="s">
        <v>2918</v>
      </c>
      <c r="C209" s="84" t="s">
        <v>3059</v>
      </c>
      <c r="D209" s="57" t="e">
        <f>VLOOKUP(A209,[2]MTP!$A:$B,2,0)</f>
        <v>#N/A</v>
      </c>
      <c r="E209" s="58" t="e">
        <f>VLOOKUP(A209,[2]MTP!$A:$AM,39,0)</f>
        <v>#N/A</v>
      </c>
      <c r="F209" s="73" t="e">
        <f>VLOOKUP(A209,[2]MTP!$A:$E,5,0)</f>
        <v>#N/A</v>
      </c>
      <c r="G209" s="73" t="e">
        <f>VLOOKUP(A209,[2]MTP!$A:$AO,41,0)</f>
        <v>#N/A</v>
      </c>
    </row>
    <row r="210" spans="1:7">
      <c r="A210" s="96" t="s">
        <v>2277</v>
      </c>
      <c r="B210" s="86" t="s">
        <v>2918</v>
      </c>
      <c r="C210" s="84" t="s">
        <v>3060</v>
      </c>
      <c r="D210" s="57" t="e">
        <f>VLOOKUP(A210,[2]MTP!$A:$B,2,0)</f>
        <v>#N/A</v>
      </c>
      <c r="E210" s="58" t="e">
        <f>VLOOKUP(A210,[2]MTP!$A:$AM,39,0)</f>
        <v>#N/A</v>
      </c>
      <c r="F210" s="73" t="e">
        <f>VLOOKUP(A210,[2]MTP!$A:$E,5,0)</f>
        <v>#N/A</v>
      </c>
      <c r="G210" s="73" t="e">
        <f>VLOOKUP(A210,[2]MTP!$A:$AO,41,0)</f>
        <v>#N/A</v>
      </c>
    </row>
    <row r="211" spans="1:7">
      <c r="A211" s="96" t="s">
        <v>2588</v>
      </c>
      <c r="B211" s="86" t="s">
        <v>2918</v>
      </c>
      <c r="C211" s="84" t="s">
        <v>3061</v>
      </c>
      <c r="D211" s="57">
        <f>VLOOKUP(A211,[2]MTP!$A:$B,2,0)</f>
        <v>2399</v>
      </c>
      <c r="E211" s="58" t="e">
        <f>VLOOKUP(A211,[2]MTP!$A:$AM,39,0)</f>
        <v>#N/A</v>
      </c>
      <c r="F211" s="73">
        <f>VLOOKUP(A211,[2]MTP!$A:$E,5,0)</f>
        <v>999</v>
      </c>
      <c r="G211" s="73">
        <f>VLOOKUP(A211,[2]MTP!$A:$AO,41,0)</f>
        <v>1</v>
      </c>
    </row>
    <row r="212" spans="1:7">
      <c r="A212" s="96" t="s">
        <v>2436</v>
      </c>
      <c r="B212" s="86" t="s">
        <v>2918</v>
      </c>
      <c r="C212" s="84" t="s">
        <v>3062</v>
      </c>
      <c r="D212" s="57" t="e">
        <f>VLOOKUP(A212,[2]MTP!$A:$B,2,0)</f>
        <v>#N/A</v>
      </c>
      <c r="E212" s="58" t="e">
        <f>VLOOKUP(A212,[2]MTP!$A:$AM,39,0)</f>
        <v>#N/A</v>
      </c>
      <c r="F212" s="73" t="e">
        <f>VLOOKUP(A212,[2]MTP!$A:$E,5,0)</f>
        <v>#N/A</v>
      </c>
      <c r="G212" s="73" t="e">
        <f>VLOOKUP(A212,[2]MTP!$A:$AO,41,0)</f>
        <v>#N/A</v>
      </c>
    </row>
    <row r="213" spans="1:7">
      <c r="A213" s="96" t="s">
        <v>2614</v>
      </c>
      <c r="B213" s="86" t="s">
        <v>2918</v>
      </c>
      <c r="C213" s="84" t="s">
        <v>3063</v>
      </c>
      <c r="D213" s="57" t="e">
        <f>VLOOKUP(A213,[2]MTP!$A:$B,2,0)</f>
        <v>#N/A</v>
      </c>
      <c r="E213" s="58" t="e">
        <f>VLOOKUP(A213,[2]MTP!$A:$AM,39,0)</f>
        <v>#N/A</v>
      </c>
      <c r="F213" s="73" t="e">
        <f>VLOOKUP(A213,[2]MTP!$A:$E,5,0)</f>
        <v>#N/A</v>
      </c>
      <c r="G213" s="73" t="e">
        <f>VLOOKUP(A213,[2]MTP!$A:$AO,41,0)</f>
        <v>#N/A</v>
      </c>
    </row>
    <row r="214" spans="1:7">
      <c r="A214" s="96" t="s">
        <v>2580</v>
      </c>
      <c r="B214" s="86" t="s">
        <v>2918</v>
      </c>
      <c r="C214" s="84" t="s">
        <v>3064</v>
      </c>
      <c r="D214" s="57">
        <f>VLOOKUP(A214,[2]MTP!$A:$B,2,0)</f>
        <v>3899</v>
      </c>
      <c r="E214" s="58" t="e">
        <f>VLOOKUP(A214,[2]MTP!$A:$AM,39,0)</f>
        <v>#N/A</v>
      </c>
      <c r="F214" s="73">
        <f>VLOOKUP(A214,[2]MTP!$A:$E,5,0)</f>
        <v>2549</v>
      </c>
      <c r="G214" s="73">
        <f>VLOOKUP(A214,[2]MTP!$A:$AO,41,0)</f>
        <v>1</v>
      </c>
    </row>
    <row r="215" spans="1:7">
      <c r="A215" s="96" t="s">
        <v>2447</v>
      </c>
      <c r="B215" s="86" t="s">
        <v>2918</v>
      </c>
      <c r="C215" s="84" t="s">
        <v>3065</v>
      </c>
      <c r="D215" s="57" t="e">
        <f>VLOOKUP(A215,[2]MTP!$A:$B,2,0)</f>
        <v>#N/A</v>
      </c>
      <c r="E215" s="58" t="e">
        <f>VLOOKUP(A215,[2]MTP!$A:$AM,39,0)</f>
        <v>#N/A</v>
      </c>
      <c r="F215" s="73" t="e">
        <f>VLOOKUP(A215,[2]MTP!$A:$E,5,0)</f>
        <v>#N/A</v>
      </c>
      <c r="G215" s="73" t="e">
        <f>VLOOKUP(A215,[2]MTP!$A:$AO,41,0)</f>
        <v>#N/A</v>
      </c>
    </row>
    <row r="216" spans="1:7">
      <c r="A216" s="96" t="s">
        <v>2384</v>
      </c>
      <c r="B216" s="86" t="s">
        <v>2918</v>
      </c>
      <c r="C216" s="84" t="s">
        <v>3066</v>
      </c>
      <c r="D216" s="57" t="e">
        <f>VLOOKUP(A216,[2]MTP!$A:$B,2,0)</f>
        <v>#N/A</v>
      </c>
      <c r="E216" s="58" t="e">
        <f>VLOOKUP(A216,[2]MTP!$A:$AM,39,0)</f>
        <v>#N/A</v>
      </c>
      <c r="F216" s="73" t="e">
        <f>VLOOKUP(A216,[2]MTP!$A:$E,5,0)</f>
        <v>#N/A</v>
      </c>
      <c r="G216" s="73" t="e">
        <f>VLOOKUP(A216,[2]MTP!$A:$AO,41,0)</f>
        <v>#N/A</v>
      </c>
    </row>
    <row r="217" spans="1:7">
      <c r="A217" s="96" t="s">
        <v>1060</v>
      </c>
      <c r="B217" s="86" t="s">
        <v>2855</v>
      </c>
      <c r="C217" s="84" t="s">
        <v>3067</v>
      </c>
      <c r="D217" s="57">
        <f>VLOOKUP(A217,[2]MTP!$A:$B,2,0)</f>
        <v>6499</v>
      </c>
      <c r="E217" s="58">
        <f>VLOOKUP(A217,[2]MTP!$A:$AM,39,0)</f>
        <v>3755.0199722172238</v>
      </c>
      <c r="F217" s="73">
        <f>VLOOKUP(A217,[2]MTP!$A:$E,5,0)</f>
        <v>3799</v>
      </c>
      <c r="G217" s="73">
        <f>VLOOKUP(A217,[2]MTP!$A:$AO,41,0)</f>
        <v>1</v>
      </c>
    </row>
    <row r="218" spans="1:7">
      <c r="A218" s="96" t="s">
        <v>1105</v>
      </c>
      <c r="B218" s="86" t="s">
        <v>2855</v>
      </c>
      <c r="C218" s="84" t="s">
        <v>3068</v>
      </c>
      <c r="D218" s="57">
        <f>VLOOKUP(A218,[2]MTP!$A:$B,2,0)</f>
        <v>1349</v>
      </c>
      <c r="E218" s="58">
        <f>VLOOKUP(A218,[2]MTP!$A:$AM,39,0)</f>
        <v>342.9147894291562</v>
      </c>
      <c r="F218" s="73">
        <f>VLOOKUP(A218,[2]MTP!$A:$E,5,0)</f>
        <v>369</v>
      </c>
      <c r="G218" s="73">
        <f>VLOOKUP(A218,[2]MTP!$A:$AO,41,0)</f>
        <v>10</v>
      </c>
    </row>
    <row r="219" spans="1:7">
      <c r="A219" s="96" t="s">
        <v>2123</v>
      </c>
      <c r="B219" s="86" t="s">
        <v>2855</v>
      </c>
      <c r="C219" s="84" t="s">
        <v>3069</v>
      </c>
      <c r="D219" s="57">
        <f>VLOOKUP(A219,[2]MTP!$A:$B,2,0)</f>
        <v>1649</v>
      </c>
      <c r="E219" s="58">
        <f>VLOOKUP(A219,[2]MTP!$A:$AM,39,0)</f>
        <v>448.16710024371145</v>
      </c>
      <c r="F219" s="73">
        <f>VLOOKUP(A219,[2]MTP!$A:$E,5,0)</f>
        <v>499</v>
      </c>
      <c r="G219" s="73">
        <f>VLOOKUP(A219,[2]MTP!$A:$AO,41,0)</f>
        <v>5</v>
      </c>
    </row>
    <row r="220" spans="1:7">
      <c r="A220" s="96" t="s">
        <v>2258</v>
      </c>
      <c r="B220" s="86" t="s">
        <v>2855</v>
      </c>
      <c r="C220" s="84" t="s">
        <v>3070</v>
      </c>
      <c r="D220" s="57">
        <f>VLOOKUP(A220,[2]MTP!$A:$B,2,0)</f>
        <v>2099</v>
      </c>
      <c r="E220" s="58">
        <f>VLOOKUP(A220,[2]MTP!$A:$AM,39,0)</f>
        <v>818.78463612918949</v>
      </c>
      <c r="F220" s="73">
        <f>VLOOKUP(A220,[2]MTP!$A:$E,5,0)</f>
        <v>749</v>
      </c>
      <c r="G220" s="73">
        <f>VLOOKUP(A220,[2]MTP!$A:$AO,41,0)</f>
        <v>5</v>
      </c>
    </row>
    <row r="221" spans="1:7">
      <c r="A221" s="96" t="s">
        <v>2253</v>
      </c>
      <c r="B221" s="86" t="s">
        <v>2855</v>
      </c>
      <c r="C221" s="84" t="s">
        <v>3071</v>
      </c>
      <c r="D221" s="57">
        <f>VLOOKUP(A221,[2]MTP!$A:$B,2,0)</f>
        <v>2399</v>
      </c>
      <c r="E221" s="58">
        <f>VLOOKUP(A221,[2]MTP!$A:$AM,39,0)</f>
        <v>729.06559342494347</v>
      </c>
      <c r="F221" s="73">
        <f>VLOOKUP(A221,[2]MTP!$A:$E,5,0)</f>
        <v>679</v>
      </c>
      <c r="G221" s="73">
        <f>VLOOKUP(A221,[2]MTP!$A:$AO,41,0)</f>
        <v>5</v>
      </c>
    </row>
    <row r="222" spans="1:7">
      <c r="A222" s="96" t="s">
        <v>612</v>
      </c>
      <c r="B222" s="86" t="s">
        <v>2855</v>
      </c>
      <c r="C222" s="84" t="s">
        <v>3072</v>
      </c>
      <c r="D222" s="57">
        <f>VLOOKUP(A222,[2]MTP!$A:$B,2,0)</f>
        <v>2799</v>
      </c>
      <c r="E222" s="58">
        <f>VLOOKUP(A222,[2]MTP!$A:$AM,39,0)</f>
        <v>1046.4401807223112</v>
      </c>
      <c r="F222" s="73">
        <f>VLOOKUP(A222,[2]MTP!$A:$E,5,0)</f>
        <v>1399</v>
      </c>
      <c r="G222" s="73">
        <f>VLOOKUP(A222,[2]MTP!$A:$AO,41,0)</f>
        <v>1</v>
      </c>
    </row>
    <row r="223" spans="1:7">
      <c r="A223" s="96" t="s">
        <v>1255</v>
      </c>
      <c r="B223" s="86" t="s">
        <v>2855</v>
      </c>
      <c r="C223" s="84" t="s">
        <v>3073</v>
      </c>
      <c r="D223" s="57">
        <f>VLOOKUP(A223,[2]MTP!$A:$B,2,0)</f>
        <v>7299</v>
      </c>
      <c r="E223" s="58">
        <f>VLOOKUP(A223,[2]MTP!$A:$AM,39,0)</f>
        <v>3103.1180238241013</v>
      </c>
      <c r="F223" s="73">
        <f>VLOOKUP(A223,[2]MTP!$A:$E,5,0)</f>
        <v>3599</v>
      </c>
      <c r="G223" s="73">
        <f>VLOOKUP(A223,[2]MTP!$A:$AO,41,0)</f>
        <v>1</v>
      </c>
    </row>
    <row r="224" spans="1:7">
      <c r="A224" s="96" t="s">
        <v>870</v>
      </c>
      <c r="B224" s="86" t="s">
        <v>2855</v>
      </c>
      <c r="C224" s="84" t="s">
        <v>3074</v>
      </c>
      <c r="D224" s="57">
        <f>VLOOKUP(A224,[2]MTP!$A:$B,2,0)</f>
        <v>7299</v>
      </c>
      <c r="E224" s="58">
        <f>VLOOKUP(A224,[2]MTP!$A:$AM,39,0)</f>
        <v>3539.931380023766</v>
      </c>
      <c r="F224" s="73">
        <f>VLOOKUP(A224,[2]MTP!$A:$E,5,0)</f>
        <v>3999</v>
      </c>
      <c r="G224" s="73">
        <f>VLOOKUP(A224,[2]MTP!$A:$AO,41,0)</f>
        <v>1</v>
      </c>
    </row>
    <row r="225" spans="1:7">
      <c r="A225" s="96" t="s">
        <v>405</v>
      </c>
      <c r="B225" s="86" t="s">
        <v>2855</v>
      </c>
      <c r="C225" s="84" t="s">
        <v>3075</v>
      </c>
      <c r="D225" s="57">
        <f>VLOOKUP(A225,[2]MTP!$A:$B,2,0)</f>
        <v>12399</v>
      </c>
      <c r="E225" s="58">
        <f>VLOOKUP(A225,[2]MTP!$A:$AM,39,0)</f>
        <v>8135.6671515245735</v>
      </c>
      <c r="F225" s="73">
        <f>VLOOKUP(A225,[2]MTP!$A:$E,5,0)</f>
        <v>8199</v>
      </c>
      <c r="G225" s="73">
        <f>VLOOKUP(A225,[2]MTP!$A:$AO,41,0)</f>
        <v>1</v>
      </c>
    </row>
    <row r="226" spans="1:7">
      <c r="A226" s="96" t="s">
        <v>249</v>
      </c>
      <c r="B226" s="86" t="s">
        <v>2855</v>
      </c>
      <c r="C226" s="84" t="s">
        <v>3076</v>
      </c>
      <c r="D226" s="57">
        <f>VLOOKUP(A226,[2]MTP!$A:$B,2,0)</f>
        <v>18299</v>
      </c>
      <c r="E226" s="58">
        <f>VLOOKUP(A226,[2]MTP!$A:$AM,39,0)</f>
        <v>11053.881063017037</v>
      </c>
      <c r="F226" s="73">
        <f>VLOOKUP(A226,[2]MTP!$A:$E,5,0)</f>
        <v>10799</v>
      </c>
      <c r="G226" s="73">
        <f>VLOOKUP(A226,[2]MTP!$A:$AO,41,0)</f>
        <v>1</v>
      </c>
    </row>
    <row r="227" spans="1:7">
      <c r="A227" s="96" t="s">
        <v>190</v>
      </c>
      <c r="B227" s="86" t="s">
        <v>2855</v>
      </c>
      <c r="C227" s="84" t="s">
        <v>3077</v>
      </c>
      <c r="D227" s="57">
        <f>VLOOKUP(A227,[2]MTP!$A:$B,2,0)</f>
        <v>15999</v>
      </c>
      <c r="E227" s="58">
        <f>VLOOKUP(A227,[2]MTP!$A:$AM,39,0)</f>
        <v>10304.911864643249</v>
      </c>
      <c r="F227" s="73">
        <f>VLOOKUP(A227,[2]MTP!$A:$E,5,0)</f>
        <v>9999</v>
      </c>
      <c r="G227" s="73">
        <f>VLOOKUP(A227,[2]MTP!$A:$AO,41,0)</f>
        <v>1</v>
      </c>
    </row>
    <row r="228" spans="1:7">
      <c r="A228" s="96" t="s">
        <v>720</v>
      </c>
      <c r="B228" s="86" t="s">
        <v>2855</v>
      </c>
      <c r="C228" s="84" t="s">
        <v>3078</v>
      </c>
      <c r="D228" s="57">
        <f>VLOOKUP(A228,[2]MTP!$A:$B,2,0)</f>
        <v>12599</v>
      </c>
      <c r="E228" s="58">
        <f>VLOOKUP(A228,[2]MTP!$A:$AM,39,0)</f>
        <v>7578.8280661642984</v>
      </c>
      <c r="F228" s="73">
        <f>VLOOKUP(A228,[2]MTP!$A:$E,5,0)</f>
        <v>7499</v>
      </c>
      <c r="G228" s="73">
        <f>VLOOKUP(A228,[2]MTP!$A:$AO,41,0)</f>
        <v>1</v>
      </c>
    </row>
    <row r="229" spans="1:7">
      <c r="A229" s="96" t="s">
        <v>462</v>
      </c>
      <c r="B229" s="86" t="s">
        <v>2855</v>
      </c>
      <c r="C229" s="84" t="s">
        <v>3079</v>
      </c>
      <c r="D229" s="57">
        <f>VLOOKUP(A229,[2]MTP!$A:$B,2,0)</f>
        <v>23999</v>
      </c>
      <c r="E229" s="58">
        <f>VLOOKUP(A229,[2]MTP!$A:$AM,39,0)</f>
        <v>14550.451974725796</v>
      </c>
      <c r="F229" s="73">
        <f>VLOOKUP(A229,[2]MTP!$A:$E,5,0)</f>
        <v>13299</v>
      </c>
      <c r="G229" s="73">
        <f>VLOOKUP(A229,[2]MTP!$A:$AO,41,0)</f>
        <v>1</v>
      </c>
    </row>
    <row r="230" spans="1:7">
      <c r="A230" s="96" t="s">
        <v>373</v>
      </c>
      <c r="B230" s="86" t="s">
        <v>2855</v>
      </c>
      <c r="C230" s="84" t="s">
        <v>3080</v>
      </c>
      <c r="D230" s="57">
        <f>VLOOKUP(A230,[2]MTP!$A:$B,2,0)</f>
        <v>7299</v>
      </c>
      <c r="E230" s="58">
        <f>VLOOKUP(A230,[2]MTP!$A:$AM,39,0)</f>
        <v>3670.6445666090767</v>
      </c>
      <c r="F230" s="73">
        <f>VLOOKUP(A230,[2]MTP!$A:$E,5,0)</f>
        <v>3899</v>
      </c>
      <c r="G230" s="73">
        <f>VLOOKUP(A230,[2]MTP!$A:$AO,41,0)</f>
        <v>1</v>
      </c>
    </row>
    <row r="231" spans="1:7">
      <c r="A231" s="96" t="s">
        <v>669</v>
      </c>
      <c r="B231" s="86" t="s">
        <v>2855</v>
      </c>
      <c r="C231" s="84" t="s">
        <v>3081</v>
      </c>
      <c r="D231" s="57">
        <f>VLOOKUP(A231,[2]MTP!$A:$B,2,0)</f>
        <v>8899</v>
      </c>
      <c r="E231" s="58">
        <f>VLOOKUP(A231,[2]MTP!$A:$AM,39,0)</f>
        <v>4887.7448991091214</v>
      </c>
      <c r="F231" s="73">
        <f>VLOOKUP(A231,[2]MTP!$A:$E,5,0)</f>
        <v>4999</v>
      </c>
      <c r="G231" s="73">
        <f>VLOOKUP(A231,[2]MTP!$A:$AO,41,0)</f>
        <v>1</v>
      </c>
    </row>
    <row r="232" spans="1:7">
      <c r="A232" s="96" t="s">
        <v>114</v>
      </c>
      <c r="B232" s="86" t="s">
        <v>2855</v>
      </c>
      <c r="C232" s="84" t="s">
        <v>3082</v>
      </c>
      <c r="D232" s="57">
        <f>VLOOKUP(A232,[2]MTP!$A:$B,2,0)</f>
        <v>10499</v>
      </c>
      <c r="E232" s="58">
        <f>VLOOKUP(A232,[2]MTP!$A:$AM,39,0)</f>
        <v>5980.9278936229794</v>
      </c>
      <c r="F232" s="73">
        <f>VLOOKUP(A232,[2]MTP!$A:$E,5,0)</f>
        <v>5999</v>
      </c>
      <c r="G232" s="73">
        <f>VLOOKUP(A232,[2]MTP!$A:$AO,41,0)</f>
        <v>1</v>
      </c>
    </row>
    <row r="233" spans="1:7">
      <c r="A233" s="96" t="s">
        <v>148</v>
      </c>
      <c r="B233" s="86" t="s">
        <v>2855</v>
      </c>
      <c r="C233" s="84" t="s">
        <v>3083</v>
      </c>
      <c r="D233" s="57">
        <f>VLOOKUP(A233,[2]MTP!$A:$B,2,0)</f>
        <v>15999</v>
      </c>
      <c r="E233" s="58">
        <f>VLOOKUP(A233,[2]MTP!$A:$AM,39,0)</f>
        <v>9352.2016802625931</v>
      </c>
      <c r="F233" s="73">
        <f>VLOOKUP(A233,[2]MTP!$A:$E,5,0)</f>
        <v>8999</v>
      </c>
      <c r="G233" s="73">
        <f>VLOOKUP(A233,[2]MTP!$A:$AO,41,0)</f>
        <v>1</v>
      </c>
    </row>
    <row r="234" spans="1:7">
      <c r="A234" s="96" t="s">
        <v>2043</v>
      </c>
      <c r="B234" s="86" t="s">
        <v>2855</v>
      </c>
      <c r="C234" s="84" t="s">
        <v>3084</v>
      </c>
      <c r="D234" s="57">
        <f>VLOOKUP(A234,[2]MTP!$A:$B,2,0)</f>
        <v>13199</v>
      </c>
      <c r="E234" s="58">
        <f>VLOOKUP(A234,[2]MTP!$A:$AM,39,0)</f>
        <v>6206.8129707251255</v>
      </c>
      <c r="F234" s="73">
        <f>VLOOKUP(A234,[2]MTP!$A:$E,5,0)</f>
        <v>6399</v>
      </c>
      <c r="G234" s="73">
        <f>VLOOKUP(A234,[2]MTP!$A:$AO,41,0)</f>
        <v>1</v>
      </c>
    </row>
    <row r="235" spans="1:7">
      <c r="A235" s="96" t="s">
        <v>1736</v>
      </c>
      <c r="B235" s="86" t="s">
        <v>2855</v>
      </c>
      <c r="C235" s="84" t="s">
        <v>3085</v>
      </c>
      <c r="D235" s="57">
        <f>VLOOKUP(A235,[2]MTP!$A:$B,2,0)</f>
        <v>13599</v>
      </c>
      <c r="E235" s="58">
        <f>VLOOKUP(A235,[2]MTP!$A:$AM,39,0)</f>
        <v>7078.7089138936863</v>
      </c>
      <c r="F235" s="73">
        <f>VLOOKUP(A235,[2]MTP!$A:$E,5,0)</f>
        <v>7099</v>
      </c>
      <c r="G235" s="73">
        <f>VLOOKUP(A235,[2]MTP!$A:$AO,41,0)</f>
        <v>1</v>
      </c>
    </row>
    <row r="236" spans="1:7">
      <c r="A236" s="96" t="s">
        <v>164</v>
      </c>
      <c r="B236" s="86" t="s">
        <v>2855</v>
      </c>
      <c r="C236" s="84" t="s">
        <v>3086</v>
      </c>
      <c r="D236" s="57">
        <f>VLOOKUP(A236,[2]MTP!$A:$B,2,0)</f>
        <v>8599</v>
      </c>
      <c r="E236" s="58">
        <f>VLOOKUP(A236,[2]MTP!$A:$AM,39,0)</f>
        <v>4833.1567700565156</v>
      </c>
      <c r="F236" s="73">
        <f>VLOOKUP(A236,[2]MTP!$A:$E,5,0)</f>
        <v>4999</v>
      </c>
      <c r="G236" s="73">
        <f>VLOOKUP(A236,[2]MTP!$A:$AO,41,0)</f>
        <v>1</v>
      </c>
    </row>
    <row r="237" spans="1:7">
      <c r="A237" s="96" t="s">
        <v>301</v>
      </c>
      <c r="B237" s="86" t="s">
        <v>2855</v>
      </c>
      <c r="C237" s="84" t="s">
        <v>3087</v>
      </c>
      <c r="D237" s="57">
        <f>VLOOKUP(A237,[2]MTP!$A:$B,2,0)</f>
        <v>10499</v>
      </c>
      <c r="E237" s="58">
        <f>VLOOKUP(A237,[2]MTP!$A:$AM,39,0)</f>
        <v>5470.024325355962</v>
      </c>
      <c r="F237" s="73">
        <f>VLOOKUP(A237,[2]MTP!$A:$E,5,0)</f>
        <v>5499</v>
      </c>
      <c r="G237" s="73">
        <f>VLOOKUP(A237,[2]MTP!$A:$AO,41,0)</f>
        <v>1</v>
      </c>
    </row>
    <row r="238" spans="1:7">
      <c r="A238" s="97" t="s">
        <v>293</v>
      </c>
      <c r="B238" s="86" t="s">
        <v>2855</v>
      </c>
      <c r="C238" s="84" t="s">
        <v>3088</v>
      </c>
      <c r="D238" s="57">
        <f>VLOOKUP(A238,[2]MTP!$A:$B,2,0)</f>
        <v>15799</v>
      </c>
      <c r="E238" s="58">
        <f>VLOOKUP(A238,[2]MTP!$A:$AM,39,0)</f>
        <v>7712.4339876121812</v>
      </c>
      <c r="F238" s="73">
        <f>VLOOKUP(A238,[2]MTP!$A:$E,5,0)</f>
        <v>7799</v>
      </c>
      <c r="G238" s="73">
        <f>VLOOKUP(A238,[2]MTP!$A:$AO,41,0)</f>
        <v>1</v>
      </c>
    </row>
    <row r="239" spans="1:7">
      <c r="A239" s="97" t="s">
        <v>55</v>
      </c>
      <c r="B239" s="86" t="s">
        <v>2855</v>
      </c>
      <c r="C239" s="84" t="s">
        <v>3089</v>
      </c>
      <c r="D239" s="57">
        <f>VLOOKUP(A239,[2]MTP!$A:$B,2,0)</f>
        <v>13599</v>
      </c>
      <c r="E239" s="58">
        <f>VLOOKUP(A239,[2]MTP!$A:$AM,39,0)</f>
        <v>8860.4754349437899</v>
      </c>
      <c r="F239" s="73">
        <f>VLOOKUP(A239,[2]MTP!$A:$E,5,0)</f>
        <v>8999</v>
      </c>
      <c r="G239" s="73">
        <f>VLOOKUP(A239,[2]MTP!$A:$AO,41,0)</f>
        <v>1</v>
      </c>
    </row>
    <row r="240" spans="1:7">
      <c r="A240" s="97" t="s">
        <v>565</v>
      </c>
      <c r="B240" s="86" t="s">
        <v>2855</v>
      </c>
      <c r="C240" s="84" t="s">
        <v>3090</v>
      </c>
      <c r="D240" s="57">
        <f>VLOOKUP(A240,[2]MTP!$A:$B,2,0)</f>
        <v>6199</v>
      </c>
      <c r="E240" s="58">
        <f>VLOOKUP(A240,[2]MTP!$A:$AM,39,0)</f>
        <v>3544.5876972453257</v>
      </c>
      <c r="F240" s="73">
        <f>VLOOKUP(A240,[2]MTP!$A:$E,5,0)</f>
        <v>3899</v>
      </c>
      <c r="G240" s="73">
        <f>VLOOKUP(A240,[2]MTP!$A:$AO,41,0)</f>
        <v>1</v>
      </c>
    </row>
    <row r="241" spans="1:7">
      <c r="A241" s="97" t="s">
        <v>2110</v>
      </c>
      <c r="B241" s="86" t="s">
        <v>2855</v>
      </c>
      <c r="C241" s="84" t="s">
        <v>3091</v>
      </c>
      <c r="D241" s="57">
        <f>VLOOKUP(A241,[2]MTP!$A:$B,2,0)</f>
        <v>25799</v>
      </c>
      <c r="E241" s="58" t="e">
        <f>VLOOKUP(A241,[2]MTP!$A:$AM,39,0)</f>
        <v>#N/A</v>
      </c>
      <c r="F241" s="73">
        <f>VLOOKUP(A241,[2]MTP!$A:$E,5,0)</f>
        <v>17999</v>
      </c>
      <c r="G241" s="73">
        <f>VLOOKUP(A241,[2]MTP!$A:$AO,41,0)</f>
        <v>1</v>
      </c>
    </row>
    <row r="242" spans="1:7">
      <c r="A242" s="97" t="s">
        <v>421</v>
      </c>
      <c r="B242" s="86" t="s">
        <v>2855</v>
      </c>
      <c r="C242" s="84" t="s">
        <v>3092</v>
      </c>
      <c r="D242" s="57">
        <f>VLOOKUP(A242,[2]MTP!$A:$B,2,0)</f>
        <v>13599</v>
      </c>
      <c r="E242" s="58">
        <f>VLOOKUP(A242,[2]MTP!$A:$AM,39,0)</f>
        <v>8488.7557392289327</v>
      </c>
      <c r="F242" s="73">
        <f>VLOOKUP(A242,[2]MTP!$A:$E,5,0)</f>
        <v>7999</v>
      </c>
      <c r="G242" s="73">
        <f>VLOOKUP(A242,[2]MTP!$A:$AO,41,0)</f>
        <v>1</v>
      </c>
    </row>
    <row r="243" spans="1:7">
      <c r="A243" s="97" t="s">
        <v>268</v>
      </c>
      <c r="B243" s="86" t="s">
        <v>2855</v>
      </c>
      <c r="C243" s="84" t="s">
        <v>3093</v>
      </c>
      <c r="D243" s="57">
        <f>VLOOKUP(A243,[2]MTP!$A:$B,2,0)</f>
        <v>8599</v>
      </c>
      <c r="E243" s="58">
        <f>VLOOKUP(A243,[2]MTP!$A:$AM,39,0)</f>
        <v>4309.7467665934901</v>
      </c>
      <c r="F243" s="73">
        <f>VLOOKUP(A243,[2]MTP!$A:$E,5,0)</f>
        <v>4499</v>
      </c>
      <c r="G243" s="73">
        <f>VLOOKUP(A243,[2]MTP!$A:$AO,41,0)</f>
        <v>1</v>
      </c>
    </row>
    <row r="244" spans="1:7">
      <c r="A244" s="97" t="s">
        <v>433</v>
      </c>
      <c r="B244" s="86" t="s">
        <v>2855</v>
      </c>
      <c r="C244" s="84" t="s">
        <v>3094</v>
      </c>
      <c r="D244" s="57">
        <f>VLOOKUP(A244,[2]MTP!$A:$B,2,0)</f>
        <v>7299</v>
      </c>
      <c r="E244" s="58">
        <f>VLOOKUP(A244,[2]MTP!$A:$AM,39,0)</f>
        <v>3774.5186267563049</v>
      </c>
      <c r="F244" s="73">
        <f>VLOOKUP(A244,[2]MTP!$A:$E,5,0)</f>
        <v>4199</v>
      </c>
      <c r="G244" s="73">
        <f>VLOOKUP(A244,[2]MTP!$A:$AO,41,0)</f>
        <v>1</v>
      </c>
    </row>
    <row r="245" spans="1:7">
      <c r="A245" s="97" t="s">
        <v>1937</v>
      </c>
      <c r="B245" s="86" t="s">
        <v>2855</v>
      </c>
      <c r="C245" s="84" t="s">
        <v>3095</v>
      </c>
      <c r="D245" s="57">
        <f>VLOOKUP(A245,[2]MTP!$A:$B,2,0)</f>
        <v>2599</v>
      </c>
      <c r="E245" s="58">
        <f>VLOOKUP(A245,[2]MTP!$A:$AM,39,0)</f>
        <v>1300.7139043080267</v>
      </c>
      <c r="F245" s="73">
        <f>VLOOKUP(A245,[2]MTP!$A:$E,5,0)</f>
        <v>999</v>
      </c>
      <c r="G245" s="73">
        <f>VLOOKUP(A245,[2]MTP!$A:$AO,41,0)</f>
        <v>1</v>
      </c>
    </row>
    <row r="246" spans="1:7">
      <c r="A246" s="97" t="s">
        <v>2140</v>
      </c>
      <c r="B246" s="86" t="s">
        <v>2918</v>
      </c>
      <c r="C246" s="84" t="s">
        <v>3053</v>
      </c>
      <c r="D246" s="57" t="e">
        <f>VLOOKUP(A246,[2]MTP!$A:$B,2,0)</f>
        <v>#N/A</v>
      </c>
      <c r="E246" s="58"/>
      <c r="F246" s="73" t="e">
        <f>VLOOKUP(A246,[2]MTP!$A:$E,5,0)</f>
        <v>#N/A</v>
      </c>
      <c r="G246" s="73" t="e">
        <f>VLOOKUP(A246,[2]MTP!$A:$AO,41,0)</f>
        <v>#N/A</v>
      </c>
    </row>
    <row r="247" spans="1:7">
      <c r="A247" s="97" t="s">
        <v>2477</v>
      </c>
      <c r="B247" s="86" t="s">
        <v>2918</v>
      </c>
      <c r="C247" s="84" t="s">
        <v>3096</v>
      </c>
      <c r="D247" s="57" t="e">
        <f>VLOOKUP(A247,[2]MTP!$A:$B,2,0)</f>
        <v>#N/A</v>
      </c>
      <c r="E247" s="58"/>
      <c r="F247" s="73" t="e">
        <f>VLOOKUP(A247,[2]MTP!$A:$E,5,0)</f>
        <v>#N/A</v>
      </c>
      <c r="G247" s="73" t="e">
        <f>VLOOKUP(A247,[2]MTP!$A:$AO,41,0)</f>
        <v>#N/A</v>
      </c>
    </row>
    <row r="248" spans="1:7">
      <c r="A248" s="97" t="s">
        <v>2452</v>
      </c>
      <c r="B248" s="86" t="s">
        <v>2918</v>
      </c>
      <c r="C248" s="84" t="s">
        <v>3057</v>
      </c>
      <c r="D248" s="57" t="e">
        <f>VLOOKUP(A248,[2]MTP!$A:$B,2,0)</f>
        <v>#N/A</v>
      </c>
      <c r="E248" s="58"/>
      <c r="F248" s="73" t="e">
        <f>VLOOKUP(A248,[2]MTP!$A:$E,5,0)</f>
        <v>#N/A</v>
      </c>
      <c r="G248" s="73" t="e">
        <f>VLOOKUP(A248,[2]MTP!$A:$AO,41,0)</f>
        <v>#N/A</v>
      </c>
    </row>
    <row r="249" spans="1:7">
      <c r="A249" s="97" t="s">
        <v>2477</v>
      </c>
      <c r="B249" s="86" t="s">
        <v>2918</v>
      </c>
      <c r="C249" s="84" t="s">
        <v>3096</v>
      </c>
      <c r="D249" s="57" t="e">
        <f>VLOOKUP(A249,[2]MTP!$A:$B,2,0)</f>
        <v>#N/A</v>
      </c>
      <c r="E249" s="58"/>
      <c r="F249" s="73" t="e">
        <f>VLOOKUP(A249,[2]MTP!$A:$E,5,0)</f>
        <v>#N/A</v>
      </c>
      <c r="G249" s="73" t="e">
        <f>VLOOKUP(A249,[2]MTP!$A:$AO,41,0)</f>
        <v>#N/A</v>
      </c>
    </row>
    <row r="250" spans="1:7">
      <c r="A250" s="97" t="s">
        <v>2303</v>
      </c>
      <c r="B250" s="86" t="s">
        <v>2938</v>
      </c>
      <c r="C250" s="84" t="s">
        <v>3097</v>
      </c>
      <c r="D250" s="57" t="e">
        <f>VLOOKUP(A250,[2]MTP!$A:$B,2,0)</f>
        <v>#N/A</v>
      </c>
      <c r="E250" s="58"/>
      <c r="F250" s="73" t="e">
        <f>VLOOKUP(A250,[2]MTP!$A:$E,5,0)</f>
        <v>#N/A</v>
      </c>
      <c r="G250" s="73" t="e">
        <f>VLOOKUP(A250,[2]MTP!$A:$AO,41,0)</f>
        <v>#N/A</v>
      </c>
    </row>
    <row r="251" spans="1:7">
      <c r="A251" s="97" t="s">
        <v>2770</v>
      </c>
      <c r="B251" s="86" t="s">
        <v>2918</v>
      </c>
      <c r="C251" s="84" t="s">
        <v>3098</v>
      </c>
      <c r="D251" s="57" t="e">
        <f>VLOOKUP(A251,[2]MTP!$A:$B,2,0)</f>
        <v>#N/A</v>
      </c>
      <c r="E251" s="58"/>
      <c r="F251" s="73" t="e">
        <f>VLOOKUP(A251,[2]MTP!$A:$E,5,0)</f>
        <v>#N/A</v>
      </c>
      <c r="G251" s="73" t="e">
        <f>VLOOKUP(A251,[2]MTP!$A:$AO,41,0)</f>
        <v>#N/A</v>
      </c>
    </row>
    <row r="252" spans="1:7">
      <c r="A252" s="97" t="s">
        <v>429</v>
      </c>
      <c r="B252" s="86" t="s">
        <v>2855</v>
      </c>
      <c r="C252" s="84" t="s">
        <v>3099</v>
      </c>
      <c r="D252" s="57">
        <f>VLOOKUP(A252,[2]MTP!$A:$B,2,0)</f>
        <v>10999</v>
      </c>
      <c r="E252" s="58">
        <f>VLOOKUP(A252,[2]MTP!$A:$AM,39,0)</f>
        <v>7121.1870158532674</v>
      </c>
      <c r="F252" s="73">
        <f>VLOOKUP(A252,[2]MTP!$A:$E,5,0)</f>
        <v>7199</v>
      </c>
      <c r="G252" s="73">
        <f>VLOOKUP(A252,[2]MTP!$A:$AO,41,0)</f>
        <v>2</v>
      </c>
    </row>
    <row r="253" spans="1:7">
      <c r="A253" s="97" t="s">
        <v>318</v>
      </c>
      <c r="B253" s="86" t="s">
        <v>2855</v>
      </c>
      <c r="C253" s="84" t="s">
        <v>3100</v>
      </c>
      <c r="D253" s="57">
        <f>VLOOKUP(A253,[2]MTP!$A:$B,2,0)</f>
        <v>9499</v>
      </c>
      <c r="E253" s="58">
        <f>VLOOKUP(A253,[2]MTP!$A:$AM,39,0)</f>
        <v>5277.9783234018423</v>
      </c>
      <c r="F253" s="73">
        <f>VLOOKUP(A253,[2]MTP!$A:$E,5,0)</f>
        <v>5599</v>
      </c>
      <c r="G253" s="73">
        <f>VLOOKUP(A253,[2]MTP!$A:$AO,41,0)</f>
        <v>3</v>
      </c>
    </row>
    <row r="254" spans="1:7">
      <c r="A254" s="97" t="s">
        <v>1995</v>
      </c>
      <c r="B254" s="86" t="s">
        <v>2855</v>
      </c>
      <c r="C254" s="84" t="s">
        <v>3101</v>
      </c>
      <c r="D254" s="57">
        <f>VLOOKUP(A254,[2]MTP!$A:$B,2,0)</f>
        <v>0</v>
      </c>
      <c r="E254" s="58"/>
      <c r="F254" s="73">
        <f>VLOOKUP(A254,[2]MTP!$A:$E,5,0)</f>
        <v>4599</v>
      </c>
      <c r="G254" s="73">
        <f>VLOOKUP(A254,[2]MTP!$A:$AO,41,0)</f>
        <v>3</v>
      </c>
    </row>
    <row r="255" spans="1:7">
      <c r="A255" s="97" t="s">
        <v>1992</v>
      </c>
      <c r="B255" s="86" t="s">
        <v>2855</v>
      </c>
      <c r="C255" s="84" t="s">
        <v>3102</v>
      </c>
      <c r="D255" s="57">
        <f>VLOOKUP(A255,[2]MTP!$A:$B,2,0)</f>
        <v>0</v>
      </c>
      <c r="E255" s="58"/>
      <c r="F255" s="73">
        <f>VLOOKUP(A255,[2]MTP!$A:$E,5,0)</f>
        <v>4599</v>
      </c>
      <c r="G255" s="73">
        <f>VLOOKUP(A255,[2]MTP!$A:$AO,41,0)</f>
        <v>3</v>
      </c>
    </row>
    <row r="256" spans="1:7">
      <c r="A256" s="97" t="s">
        <v>1358</v>
      </c>
      <c r="B256" s="86" t="s">
        <v>2855</v>
      </c>
      <c r="C256" s="84" t="s">
        <v>3103</v>
      </c>
      <c r="D256" s="57">
        <f>VLOOKUP(A256,[2]MTP!$A:$B,2,0)</f>
        <v>4999</v>
      </c>
      <c r="E256" s="58"/>
      <c r="F256" s="73">
        <f>VLOOKUP(A256,[2]MTP!$A:$E,5,0)</f>
        <v>2999</v>
      </c>
      <c r="G256" s="73">
        <f>VLOOKUP(A256,[2]MTP!$A:$AO,41,0)</f>
        <v>1</v>
      </c>
    </row>
    <row r="257" spans="1:7">
      <c r="A257" s="97" t="s">
        <v>1182</v>
      </c>
      <c r="B257" s="86" t="s">
        <v>2855</v>
      </c>
      <c r="C257" s="84" t="s">
        <v>3104</v>
      </c>
      <c r="D257" s="57">
        <f>VLOOKUP(A257,[2]MTP!$A:$B,2,0)</f>
        <v>4999</v>
      </c>
      <c r="E257" s="58"/>
      <c r="F257" s="73">
        <f>VLOOKUP(A257,[2]MTP!$A:$E,5,0)</f>
        <v>2899</v>
      </c>
      <c r="G257" s="73">
        <f>VLOOKUP(A257,[2]MTP!$A:$AO,41,0)</f>
        <v>1</v>
      </c>
    </row>
    <row r="258" spans="1:7">
      <c r="A258" s="97" t="s">
        <v>2069</v>
      </c>
      <c r="B258" s="86" t="s">
        <v>2855</v>
      </c>
      <c r="C258" s="84" t="s">
        <v>3105</v>
      </c>
      <c r="D258" s="57">
        <f>VLOOKUP(A258,[2]MTP!$A:$B,2,0)</f>
        <v>4999</v>
      </c>
      <c r="E258" s="58"/>
      <c r="F258" s="73">
        <f>VLOOKUP(A258,[2]MTP!$A:$E,5,0)</f>
        <v>1299</v>
      </c>
      <c r="G258" s="73">
        <f>VLOOKUP(A258,[2]MTP!$A:$AO,41,0)</f>
        <v>2</v>
      </c>
    </row>
    <row r="259" spans="1:7">
      <c r="A259" s="97" t="s">
        <v>1909</v>
      </c>
      <c r="B259" s="86" t="s">
        <v>2855</v>
      </c>
      <c r="C259" s="84" t="s">
        <v>3106</v>
      </c>
      <c r="D259" s="57">
        <f>VLOOKUP(A259,[2]MTP!$A:$B,2,0)</f>
        <v>1299</v>
      </c>
      <c r="E259" s="58"/>
      <c r="F259" s="73">
        <f>VLOOKUP(A259,[2]MTP!$A:$E,5,0)</f>
        <v>299</v>
      </c>
      <c r="G259" s="73">
        <f>VLOOKUP(A259,[2]MTP!$A:$AO,41,0)</f>
        <v>3</v>
      </c>
    </row>
    <row r="260" spans="1:7">
      <c r="A260" s="97" t="s">
        <v>851</v>
      </c>
      <c r="B260" s="86" t="s">
        <v>2855</v>
      </c>
      <c r="C260" s="84" t="s">
        <v>3107</v>
      </c>
      <c r="D260" s="57">
        <f>VLOOKUP(A260,[2]MTP!$A:$B,2,0)</f>
        <v>5799</v>
      </c>
      <c r="E260" s="58"/>
      <c r="F260" s="73">
        <f>VLOOKUP(A260,[2]MTP!$A:$E,5,0)</f>
        <v>2799</v>
      </c>
      <c r="G260" s="73">
        <f>VLOOKUP(A260,[2]MTP!$A:$AO,41,0)</f>
        <v>1</v>
      </c>
    </row>
    <row r="261" spans="1:7">
      <c r="A261" s="97" t="s">
        <v>2208</v>
      </c>
      <c r="B261" s="86" t="s">
        <v>2855</v>
      </c>
      <c r="C261" s="84" t="s">
        <v>3108</v>
      </c>
      <c r="D261" s="57">
        <f>VLOOKUP(A261,[2]MTP!$A:$B,2,0)</f>
        <v>14999</v>
      </c>
      <c r="E261" s="58"/>
      <c r="F261" s="73">
        <f>VLOOKUP(A261,[2]MTP!$A:$E,5,0)</f>
        <v>8999</v>
      </c>
      <c r="G261" s="73">
        <f>VLOOKUP(A261,[2]MTP!$A:$AO,41,0)</f>
        <v>3</v>
      </c>
    </row>
    <row r="262" spans="1:7">
      <c r="A262" s="97" t="s">
        <v>2198</v>
      </c>
      <c r="B262" s="86" t="s">
        <v>2855</v>
      </c>
      <c r="C262" s="84" t="s">
        <v>3109</v>
      </c>
      <c r="D262" s="57">
        <f>VLOOKUP(A262,[2]MTP!$A:$B,2,0)</f>
        <v>9999</v>
      </c>
      <c r="E262" s="58"/>
      <c r="F262" s="73">
        <f>VLOOKUP(A262,[2]MTP!$A:$E,5,0)</f>
        <v>5399</v>
      </c>
      <c r="G262" s="73">
        <f>VLOOKUP(A262,[2]MTP!$A:$AO,41,0)</f>
        <v>3</v>
      </c>
    </row>
    <row r="263" spans="1:7">
      <c r="A263" s="97" t="s">
        <v>2165</v>
      </c>
      <c r="B263" s="86" t="s">
        <v>2855</v>
      </c>
      <c r="C263" s="84" t="s">
        <v>3110</v>
      </c>
      <c r="D263" s="57">
        <f>VLOOKUP(A263,[2]MTP!$A:$B,2,0)</f>
        <v>10799</v>
      </c>
      <c r="E263" s="58"/>
      <c r="F263" s="73">
        <f>VLOOKUP(A263,[2]MTP!$A:$E,5,0)</f>
        <v>6299</v>
      </c>
      <c r="G263" s="73">
        <f>VLOOKUP(A263,[2]MTP!$A:$AO,41,0)</f>
        <v>3</v>
      </c>
    </row>
    <row r="264" spans="1:7">
      <c r="A264" s="97" t="s">
        <v>2170</v>
      </c>
      <c r="B264" s="86" t="s">
        <v>2855</v>
      </c>
      <c r="C264" s="84" t="s">
        <v>3111</v>
      </c>
      <c r="D264" s="57">
        <f>VLOOKUP(A264,[2]MTP!$A:$B,2,0)</f>
        <v>8499</v>
      </c>
      <c r="E264" s="58"/>
      <c r="F264" s="73">
        <f>VLOOKUP(A264,[2]MTP!$A:$E,5,0)</f>
        <v>5199</v>
      </c>
      <c r="G264" s="73">
        <f>VLOOKUP(A264,[2]MTP!$A:$AO,41,0)</f>
        <v>3</v>
      </c>
    </row>
    <row r="265" spans="1:7">
      <c r="A265" s="97" t="s">
        <v>2183</v>
      </c>
      <c r="B265" s="86" t="s">
        <v>2855</v>
      </c>
      <c r="C265" s="84" t="s">
        <v>3112</v>
      </c>
      <c r="D265" s="57">
        <f>VLOOKUP(A265,[2]MTP!$A:$B,2,0)</f>
        <v>9299</v>
      </c>
      <c r="E265" s="58"/>
      <c r="F265" s="73">
        <f>VLOOKUP(A265,[2]MTP!$A:$E,5,0)</f>
        <v>5999</v>
      </c>
      <c r="G265" s="73">
        <f>VLOOKUP(A265,[2]MTP!$A:$AO,41,0)</f>
        <v>3</v>
      </c>
    </row>
    <row r="266" spans="1:7">
      <c r="A266" s="97" t="s">
        <v>2203</v>
      </c>
      <c r="B266" s="86" t="s">
        <v>2855</v>
      </c>
      <c r="C266" s="84" t="s">
        <v>3113</v>
      </c>
      <c r="D266" s="57">
        <f>VLOOKUP(A266,[2]MTP!$A:$B,2,0)</f>
        <v>8899</v>
      </c>
      <c r="E266" s="58"/>
      <c r="F266" s="73">
        <f>VLOOKUP(A266,[2]MTP!$A:$E,5,0)</f>
        <v>5299</v>
      </c>
      <c r="G266" s="73">
        <f>VLOOKUP(A266,[2]MTP!$A:$AO,41,0)</f>
        <v>3</v>
      </c>
    </row>
    <row r="267" spans="1:7">
      <c r="A267" s="97" t="s">
        <v>2188</v>
      </c>
      <c r="B267" s="86" t="s">
        <v>2855</v>
      </c>
      <c r="C267" s="84" t="s">
        <v>3114</v>
      </c>
      <c r="D267" s="57">
        <f>VLOOKUP(A267,[2]MTP!$A:$B,2,0)</f>
        <v>9299</v>
      </c>
      <c r="E267" s="58"/>
      <c r="F267" s="73">
        <f>VLOOKUP(A267,[2]MTP!$A:$E,5,0)</f>
        <v>5499</v>
      </c>
      <c r="G267" s="73">
        <f>VLOOKUP(A267,[2]MTP!$A:$AO,41,0)</f>
        <v>3</v>
      </c>
    </row>
    <row r="268" spans="1:7">
      <c r="A268" s="97" t="s">
        <v>2193</v>
      </c>
      <c r="B268" s="86" t="s">
        <v>2855</v>
      </c>
      <c r="C268" s="84" t="s">
        <v>3115</v>
      </c>
      <c r="D268" s="57">
        <f>VLOOKUP(A268,[2]MTP!$A:$B,2,0)</f>
        <v>11899</v>
      </c>
      <c r="E268" s="58"/>
      <c r="F268" s="73">
        <f>VLOOKUP(A268,[2]MTP!$A:$E,5,0)</f>
        <v>6799</v>
      </c>
      <c r="G268" s="73">
        <f>VLOOKUP(A268,[2]MTP!$A:$AO,41,0)</f>
        <v>3</v>
      </c>
    </row>
    <row r="269" spans="1:7">
      <c r="A269" s="97" t="s">
        <v>2098</v>
      </c>
      <c r="B269" s="86" t="s">
        <v>2855</v>
      </c>
      <c r="C269" s="84" t="s">
        <v>3116</v>
      </c>
      <c r="D269" s="57">
        <f>VLOOKUP(A269,[2]MTP!$A:$B,2,0)</f>
        <v>14599</v>
      </c>
      <c r="E269" s="58"/>
      <c r="F269" s="73">
        <f>VLOOKUP(A269,[2]MTP!$A:$E,5,0)</f>
        <v>6799</v>
      </c>
      <c r="G269" s="73">
        <f>VLOOKUP(A269,[2]MTP!$A:$AO,41,0)</f>
        <v>4</v>
      </c>
    </row>
    <row r="270" spans="1:7">
      <c r="A270" s="97" t="s">
        <v>2102</v>
      </c>
      <c r="B270" s="86" t="s">
        <v>2855</v>
      </c>
      <c r="C270" s="84" t="s">
        <v>3117</v>
      </c>
      <c r="D270" s="57">
        <f>VLOOKUP(A270,[2]MTP!$A:$B,2,0)</f>
        <v>4299</v>
      </c>
      <c r="E270" s="58"/>
      <c r="F270" s="73">
        <f>VLOOKUP(A270,[2]MTP!$A:$E,5,0)</f>
        <v>2599</v>
      </c>
      <c r="G270" s="73">
        <f>VLOOKUP(A270,[2]MTP!$A:$AO,41,0)</f>
        <v>5</v>
      </c>
    </row>
    <row r="271" spans="1:7">
      <c r="A271" s="97" t="s">
        <v>2106</v>
      </c>
      <c r="B271" s="86" t="s">
        <v>2855</v>
      </c>
      <c r="C271" s="84" t="s">
        <v>3118</v>
      </c>
      <c r="D271" s="57">
        <f>VLOOKUP(A271,[2]MTP!$A:$B,2,0)</f>
        <v>3999</v>
      </c>
      <c r="E271" s="58"/>
      <c r="F271" s="73">
        <f>VLOOKUP(A271,[2]MTP!$A:$E,5,0)</f>
        <v>1499</v>
      </c>
      <c r="G271" s="73">
        <f>VLOOKUP(A271,[2]MTP!$A:$AO,41,0)</f>
        <v>6</v>
      </c>
    </row>
    <row r="272" spans="1:7">
      <c r="A272" s="98" t="s">
        <v>3119</v>
      </c>
      <c r="B272" s="86" t="s">
        <v>2918</v>
      </c>
    </row>
    <row r="273" spans="1:2">
      <c r="A273" s="98" t="s">
        <v>3120</v>
      </c>
      <c r="B273" s="86" t="s">
        <v>2918</v>
      </c>
    </row>
    <row r="274" spans="1:2">
      <c r="A274" s="98" t="s">
        <v>3121</v>
      </c>
      <c r="B274" s="86" t="s">
        <v>2918</v>
      </c>
    </row>
    <row r="275" spans="1:2">
      <c r="A275" s="99" t="s">
        <v>2134</v>
      </c>
      <c r="B275" s="86" t="s">
        <v>2918</v>
      </c>
    </row>
    <row r="276" spans="1:2">
      <c r="A276" s="99" t="s">
        <v>205</v>
      </c>
      <c r="B276" s="86" t="s">
        <v>2918</v>
      </c>
    </row>
    <row r="277" spans="1:2">
      <c r="A277" s="100" t="s">
        <v>3122</v>
      </c>
      <c r="B277" s="86" t="s">
        <v>2918</v>
      </c>
    </row>
    <row r="278" spans="1:2">
      <c r="A278" s="99" t="s">
        <v>3123</v>
      </c>
      <c r="B278" s="86" t="s">
        <v>2918</v>
      </c>
    </row>
    <row r="279" spans="1:2">
      <c r="A279" s="100" t="s">
        <v>3124</v>
      </c>
      <c r="B279" s="86" t="s">
        <v>2918</v>
      </c>
    </row>
    <row r="280" spans="1:2">
      <c r="A280" s="100" t="s">
        <v>3125</v>
      </c>
      <c r="B280" s="86" t="s">
        <v>2918</v>
      </c>
    </row>
    <row r="281" spans="1:2">
      <c r="A281" s="100" t="s">
        <v>3126</v>
      </c>
      <c r="B281" s="86" t="s">
        <v>2918</v>
      </c>
    </row>
    <row r="282" spans="1:2">
      <c r="A282" s="100" t="s">
        <v>3127</v>
      </c>
      <c r="B282" s="86" t="s">
        <v>2918</v>
      </c>
    </row>
    <row r="283" spans="1:2">
      <c r="A283" s="99" t="s">
        <v>3128</v>
      </c>
      <c r="B283" s="86" t="s">
        <v>2918</v>
      </c>
    </row>
    <row r="284" spans="1:2">
      <c r="A284" s="99" t="s">
        <v>3129</v>
      </c>
      <c r="B284" s="86" t="s">
        <v>2918</v>
      </c>
    </row>
    <row r="285" spans="1:2">
      <c r="A285" s="100" t="s">
        <v>3130</v>
      </c>
      <c r="B285" s="86" t="s">
        <v>2918</v>
      </c>
    </row>
    <row r="286" spans="1:2">
      <c r="A286" s="103" t="s">
        <v>3131</v>
      </c>
      <c r="B286" s="56" t="s">
        <v>2918</v>
      </c>
    </row>
    <row r="287" spans="1:2">
      <c r="A287" s="103" t="s">
        <v>3132</v>
      </c>
      <c r="B287" s="56" t="s">
        <v>2918</v>
      </c>
    </row>
    <row r="288" spans="1:2">
      <c r="A288" s="103" t="s">
        <v>3133</v>
      </c>
      <c r="B288" s="56" t="s">
        <v>2918</v>
      </c>
    </row>
    <row r="289" spans="1:2">
      <c r="A289" s="103" t="s">
        <v>3134</v>
      </c>
      <c r="B289" s="56" t="s">
        <v>2918</v>
      </c>
    </row>
    <row r="290" spans="1:2">
      <c r="A290" s="103" t="s">
        <v>3135</v>
      </c>
      <c r="B290" s="56" t="s">
        <v>2918</v>
      </c>
    </row>
    <row r="291" spans="1:2">
      <c r="A291" s="103" t="s">
        <v>3136</v>
      </c>
      <c r="B291" s="56" t="s">
        <v>2918</v>
      </c>
    </row>
    <row r="292" spans="1:2">
      <c r="A292" s="103" t="s">
        <v>3137</v>
      </c>
      <c r="B292" s="56" t="s">
        <v>2918</v>
      </c>
    </row>
    <row r="293" spans="1:2">
      <c r="A293" s="103" t="s">
        <v>3138</v>
      </c>
      <c r="B293" s="56" t="s">
        <v>2918</v>
      </c>
    </row>
    <row r="294" spans="1:2">
      <c r="A294" s="103" t="s">
        <v>3139</v>
      </c>
      <c r="B294" s="56" t="s">
        <v>2918</v>
      </c>
    </row>
    <row r="295" spans="1:2">
      <c r="A295" s="103" t="s">
        <v>3140</v>
      </c>
      <c r="B295" s="56" t="s">
        <v>2918</v>
      </c>
    </row>
    <row r="296" spans="1:2">
      <c r="A296" s="103" t="s">
        <v>3141</v>
      </c>
      <c r="B296" s="56" t="s">
        <v>2918</v>
      </c>
    </row>
    <row r="297" spans="1:2">
      <c r="A297" s="103" t="s">
        <v>3142</v>
      </c>
      <c r="B297" s="56" t="s">
        <v>2918</v>
      </c>
    </row>
    <row r="298" spans="1:2">
      <c r="A298" s="103" t="s">
        <v>3143</v>
      </c>
      <c r="B298" s="56" t="s">
        <v>2918</v>
      </c>
    </row>
    <row r="299" spans="1:2">
      <c r="A299" s="103" t="s">
        <v>3144</v>
      </c>
      <c r="B299" s="56" t="s">
        <v>2918</v>
      </c>
    </row>
    <row r="300" spans="1:2">
      <c r="A300" s="103" t="s">
        <v>3145</v>
      </c>
      <c r="B300" s="56" t="s">
        <v>2918</v>
      </c>
    </row>
    <row r="301" spans="1:2">
      <c r="A301" s="103" t="s">
        <v>3146</v>
      </c>
      <c r="B301" s="56" t="s">
        <v>2918</v>
      </c>
    </row>
    <row r="302" spans="1:2">
      <c r="A302" s="103" t="s">
        <v>3147</v>
      </c>
      <c r="B302" s="56" t="s">
        <v>2918</v>
      </c>
    </row>
    <row r="303" spans="1:2">
      <c r="A303" s="103" t="s">
        <v>3148</v>
      </c>
      <c r="B303" s="56" t="s">
        <v>2918</v>
      </c>
    </row>
    <row r="304" spans="1:2">
      <c r="A304" s="103" t="s">
        <v>3149</v>
      </c>
      <c r="B304" s="56" t="s">
        <v>2918</v>
      </c>
    </row>
    <row r="305" spans="1:2">
      <c r="A305" s="103" t="s">
        <v>3150</v>
      </c>
      <c r="B305" s="56" t="s">
        <v>2918</v>
      </c>
    </row>
    <row r="306" spans="1:2">
      <c r="A306" s="103" t="s">
        <v>3151</v>
      </c>
      <c r="B306" s="56" t="s">
        <v>2918</v>
      </c>
    </row>
    <row r="307" spans="1:2">
      <c r="A307" s="103" t="s">
        <v>3152</v>
      </c>
      <c r="B307" s="56" t="s">
        <v>2918</v>
      </c>
    </row>
    <row r="308" spans="1:2">
      <c r="A308" s="103" t="s">
        <v>3153</v>
      </c>
      <c r="B308" s="56" t="s">
        <v>2918</v>
      </c>
    </row>
    <row r="309" spans="1:2">
      <c r="A309" s="103" t="s">
        <v>3154</v>
      </c>
      <c r="B309" s="56" t="s">
        <v>2918</v>
      </c>
    </row>
    <row r="310" spans="1:2">
      <c r="A310" s="103" t="s">
        <v>3155</v>
      </c>
      <c r="B310" s="56" t="s">
        <v>2918</v>
      </c>
    </row>
    <row r="311" spans="1:2">
      <c r="A311" s="103" t="s">
        <v>862</v>
      </c>
      <c r="B311" s="56" t="s">
        <v>2918</v>
      </c>
    </row>
    <row r="312" spans="1:2">
      <c r="A312" s="103" t="s">
        <v>3156</v>
      </c>
      <c r="B312" s="56" t="s">
        <v>2918</v>
      </c>
    </row>
    <row r="313" spans="1:2">
      <c r="A313" s="103" t="s">
        <v>3157</v>
      </c>
      <c r="B313" s="56" t="s">
        <v>2918</v>
      </c>
    </row>
    <row r="314" spans="1:2">
      <c r="A314" s="103" t="s">
        <v>3158</v>
      </c>
      <c r="B314" s="56" t="s">
        <v>2918</v>
      </c>
    </row>
    <row r="315" spans="1:2">
      <c r="A315" s="103" t="s">
        <v>3159</v>
      </c>
      <c r="B315" s="56" t="s">
        <v>2918</v>
      </c>
    </row>
    <row r="316" spans="1:2">
      <c r="A316" s="103" t="s">
        <v>3160</v>
      </c>
      <c r="B316" s="56" t="s">
        <v>2918</v>
      </c>
    </row>
    <row r="317" spans="1:2">
      <c r="A317" s="103" t="s">
        <v>3161</v>
      </c>
      <c r="B317" s="56" t="s">
        <v>2918</v>
      </c>
    </row>
    <row r="318" spans="1:2">
      <c r="A318" s="103" t="s">
        <v>3162</v>
      </c>
      <c r="B318" s="56" t="s">
        <v>2918</v>
      </c>
    </row>
    <row r="319" spans="1:2">
      <c r="A319" s="103" t="s">
        <v>3163</v>
      </c>
      <c r="B319" s="56" t="s">
        <v>2918</v>
      </c>
    </row>
    <row r="320" spans="1:2">
      <c r="A320" s="103" t="s">
        <v>3164</v>
      </c>
      <c r="B320" s="56" t="s">
        <v>2918</v>
      </c>
    </row>
    <row r="321" spans="1:2">
      <c r="A321" s="103" t="s">
        <v>3165</v>
      </c>
      <c r="B321" s="56" t="s">
        <v>2918</v>
      </c>
    </row>
    <row r="322" spans="1:2">
      <c r="A322" s="103" t="s">
        <v>3166</v>
      </c>
      <c r="B322" s="56" t="s">
        <v>2918</v>
      </c>
    </row>
    <row r="323" spans="1:2">
      <c r="A323" s="103" t="s">
        <v>3167</v>
      </c>
      <c r="B323" s="56" t="s">
        <v>2918</v>
      </c>
    </row>
    <row r="324" spans="1:2">
      <c r="A324" s="103" t="s">
        <v>3168</v>
      </c>
      <c r="B324" s="56" t="s">
        <v>2918</v>
      </c>
    </row>
    <row r="325" spans="1:2">
      <c r="A325" s="103" t="s">
        <v>3169</v>
      </c>
      <c r="B325" s="56" t="s">
        <v>2918</v>
      </c>
    </row>
    <row r="326" spans="1:2">
      <c r="A326" s="103" t="s">
        <v>3170</v>
      </c>
      <c r="B326" s="56" t="s">
        <v>2918</v>
      </c>
    </row>
    <row r="327" spans="1:2">
      <c r="A327" s="103" t="s">
        <v>3171</v>
      </c>
      <c r="B327" s="56" t="s">
        <v>2918</v>
      </c>
    </row>
    <row r="328" spans="1:2">
      <c r="A328" s="103" t="s">
        <v>3172</v>
      </c>
      <c r="B328" s="56" t="s">
        <v>2918</v>
      </c>
    </row>
    <row r="329" spans="1:2">
      <c r="A329" s="103" t="s">
        <v>3173</v>
      </c>
      <c r="B329" s="56" t="s">
        <v>2918</v>
      </c>
    </row>
    <row r="330" spans="1:2">
      <c r="A330" s="103" t="s">
        <v>3174</v>
      </c>
      <c r="B330" s="56" t="s">
        <v>2918</v>
      </c>
    </row>
    <row r="331" spans="1:2">
      <c r="A331" s="103" t="s">
        <v>2769</v>
      </c>
      <c r="B331" s="56" t="s">
        <v>2918</v>
      </c>
    </row>
    <row r="332" spans="1:2">
      <c r="A332" s="103" t="s">
        <v>3175</v>
      </c>
      <c r="B332" s="56" t="s">
        <v>2918</v>
      </c>
    </row>
  </sheetData>
  <autoFilter ref="A1:G332" xr:uid="{B4654161-FEA4-403C-9D47-94654EDB51CC}"/>
  <conditionalFormatting sqref="A297:A303">
    <cfRule type="duplicateValues" dxfId="261" priority="1"/>
    <cfRule type="duplicateValues" dxfId="260" priority="2"/>
  </conditionalFormatting>
  <conditionalFormatting sqref="A325:A331 A319:A320 A312:A313 A294:A295 A291 A286:A288">
    <cfRule type="duplicateValues" dxfId="259" priority="393"/>
  </conditionalFormatting>
  <conditionalFormatting sqref="A325:A331 A319:A320 A312:A313 A294:A295">
    <cfRule type="duplicateValues" dxfId="258" priority="399"/>
  </conditionalFormatting>
  <conditionalFormatting sqref="A333:A1048576 A1:A271">
    <cfRule type="duplicateValues" dxfId="257" priority="8"/>
  </conditionalFormatting>
  <conditionalFormatting sqref="A333:A1048576 A1:A285">
    <cfRule type="duplicateValues" dxfId="256" priority="7"/>
  </conditionalFormatting>
  <conditionalFormatting sqref="A252:B271 B2:B257">
    <cfRule type="duplicateValues" dxfId="255" priority="389"/>
    <cfRule type="duplicateValues" dxfId="254" priority="390"/>
  </conditionalFormatting>
  <conditionalFormatting sqref="B272:B285">
    <cfRule type="duplicateValues" dxfId="253" priority="5"/>
    <cfRule type="duplicateValues" dxfId="252" priority="6"/>
  </conditionalFormatting>
  <conditionalFormatting sqref="F1">
    <cfRule type="expression" priority="11">
      <formula>F206&lt;K207</formula>
    </cfRule>
  </conditionalFormatting>
  <hyperlinks>
    <hyperlink ref="A69" r:id="rId1" display="https://sellercentral.amazon.in/skucentral?mSku=TP-MTA-M&amp;condition=New&amp;ref_=myp_skuc" xr:uid="{4494AC05-9CFC-4B4A-86A4-17E636A3C258}"/>
    <hyperlink ref="A38" r:id="rId2" display="https://sellercentral.amazon.in/skucentral?mSku=TU-DSK-M&amp;condition=New&amp;ref_=myp_skuc" xr:uid="{DB597C6F-5C08-4A4E-A1FE-67FA1851C4DA}"/>
    <hyperlink ref="A174" r:id="rId3" display="https://sellercentral.amazon.in/skucentral?mSku=KH-EDL-M&amp;condition=New&amp;ref_=myp_skuc" xr:uid="{91DD81D3-B345-4B2D-AE7C-11F313983426}"/>
    <hyperlink ref="A133" r:id="rId4" display="https://sellercentral.amazon.in/skucentral?mSku=SB-JMY-M&amp;condition=New&amp;ref_=myp_skuc" xr:uid="{1352B5F8-2093-476C-A33C-34C6D3F06A44}"/>
    <hyperlink ref="A124" r:id="rId5" display="TU-SNQ-LAM" xr:uid="{8A73E3CA-E9C0-4063-9AE9-D447D77A5FAB}"/>
    <hyperlink ref="A181" r:id="rId6" display="https://sellercentral.amazon.in/skucentral?mSku=SH-CHR-K&amp;condition=New&amp;ref_=myp_skuc" xr:uid="{99535340-FBBF-4C34-8D7E-5E65C96916F8}"/>
    <hyperlink ref="A6" r:id="rId7" display="https://sellercentral.amazon.in/skucentral?mSku=ST-CBN-LSMF&amp;condition=New&amp;ref_=myp_skuc" xr:uid="{92EB725A-4574-487B-8AF6-F31F6CC046E4}"/>
  </hyperlinks>
  <pageMargins left="0.7" right="0.7" top="0.75" bottom="0.75" header="0.3" footer="0.3"/>
  <legacy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3B29-3148-40EB-835D-6AEBA48A3D18}">
  <dimension ref="A2:E7"/>
  <sheetViews>
    <sheetView workbookViewId="0">
      <selection activeCell="A3" sqref="A3"/>
    </sheetView>
  </sheetViews>
  <sheetFormatPr defaultRowHeight="15"/>
  <cols>
    <col min="1" max="1" width="11.28515625" bestFit="1" customWidth="1"/>
    <col min="2" max="2" width="13.7109375" bestFit="1" customWidth="1"/>
    <col min="3" max="3" width="15.5703125" bestFit="1" customWidth="1"/>
    <col min="4" max="4" width="11.5703125" bestFit="1" customWidth="1"/>
    <col min="5" max="5" width="11.85546875" bestFit="1" customWidth="1"/>
    <col min="6" max="6" width="12.7109375" bestFit="1" customWidth="1"/>
    <col min="7" max="7" width="13.5703125" bestFit="1" customWidth="1"/>
    <col min="8" max="8" width="12.42578125" bestFit="1" customWidth="1"/>
    <col min="9" max="9" width="13.42578125" bestFit="1" customWidth="1"/>
    <col min="10" max="10" width="12.42578125" bestFit="1" customWidth="1"/>
    <col min="11" max="12" width="13.28515625" bestFit="1" customWidth="1"/>
    <col min="13" max="14" width="12.5703125" bestFit="1" customWidth="1"/>
    <col min="15" max="15" width="12.7109375" bestFit="1" customWidth="1"/>
    <col min="16" max="16" width="13.28515625" bestFit="1" customWidth="1"/>
    <col min="17" max="17" width="13.5703125" bestFit="1" customWidth="1"/>
    <col min="18" max="18" width="12.28515625" bestFit="1" customWidth="1"/>
    <col min="19" max="20" width="13.28515625" bestFit="1" customWidth="1"/>
    <col min="21" max="21" width="12.7109375" bestFit="1" customWidth="1"/>
    <col min="22" max="22" width="12.140625" bestFit="1" customWidth="1"/>
    <col min="23" max="23" width="11.85546875" bestFit="1" customWidth="1"/>
    <col min="24" max="24" width="13.42578125" bestFit="1" customWidth="1"/>
    <col min="25" max="26" width="13.5703125" bestFit="1" customWidth="1"/>
    <col min="27" max="27" width="13.42578125" bestFit="1" customWidth="1"/>
    <col min="28" max="28" width="12.5703125" bestFit="1" customWidth="1"/>
    <col min="29" max="30" width="13" bestFit="1" customWidth="1"/>
    <col min="31" max="31" width="12.85546875" bestFit="1" customWidth="1"/>
    <col min="32" max="32" width="13.28515625" bestFit="1" customWidth="1"/>
    <col min="33" max="33" width="13.7109375" bestFit="1" customWidth="1"/>
    <col min="34" max="34" width="13.28515625" bestFit="1" customWidth="1"/>
    <col min="35" max="35" width="12.85546875" bestFit="1" customWidth="1"/>
    <col min="36" max="36" width="14.42578125" bestFit="1" customWidth="1"/>
    <col min="37" max="37" width="14" bestFit="1" customWidth="1"/>
    <col min="38" max="39" width="13.28515625" bestFit="1" customWidth="1"/>
    <col min="40" max="40" width="12.85546875" bestFit="1" customWidth="1"/>
    <col min="41" max="41" width="13.28515625" bestFit="1" customWidth="1"/>
    <col min="42" max="42" width="12.5703125" bestFit="1" customWidth="1"/>
    <col min="43" max="44" width="13" bestFit="1" customWidth="1"/>
    <col min="45" max="45" width="13.28515625" bestFit="1" customWidth="1"/>
    <col min="46" max="47" width="12.85546875" bestFit="1" customWidth="1"/>
    <col min="48" max="48" width="12.42578125" bestFit="1" customWidth="1"/>
    <col min="49" max="49" width="12.85546875" bestFit="1" customWidth="1"/>
    <col min="50" max="50" width="13.42578125" bestFit="1" customWidth="1"/>
    <col min="51" max="51" width="13.7109375" bestFit="1" customWidth="1"/>
    <col min="52" max="52" width="12.5703125" bestFit="1" customWidth="1"/>
    <col min="53" max="53" width="13.7109375" bestFit="1" customWidth="1"/>
    <col min="54" max="54" width="14.28515625" bestFit="1" customWidth="1"/>
    <col min="55" max="55" width="13.42578125" bestFit="1" customWidth="1"/>
    <col min="56" max="56" width="12.7109375" bestFit="1" customWidth="1"/>
    <col min="57" max="57" width="13.42578125" bestFit="1" customWidth="1"/>
    <col min="58" max="58" width="12.85546875" bestFit="1" customWidth="1"/>
    <col min="59" max="59" width="12.42578125" bestFit="1" customWidth="1"/>
    <col min="60" max="60" width="12.7109375" bestFit="1" customWidth="1"/>
    <col min="61" max="61" width="12.140625" bestFit="1" customWidth="1"/>
    <col min="62" max="62" width="12.85546875" bestFit="1" customWidth="1"/>
    <col min="63" max="63" width="13.28515625" bestFit="1" customWidth="1"/>
    <col min="64" max="64" width="13.42578125" bestFit="1" customWidth="1"/>
    <col min="65" max="65" width="12.7109375" bestFit="1" customWidth="1"/>
    <col min="66" max="66" width="12.140625" bestFit="1" customWidth="1"/>
    <col min="67" max="67" width="12.85546875" bestFit="1" customWidth="1"/>
    <col min="68" max="68" width="12.7109375" bestFit="1" customWidth="1"/>
    <col min="69" max="71" width="12.42578125" bestFit="1" customWidth="1"/>
    <col min="72" max="72" width="13.42578125" bestFit="1" customWidth="1"/>
    <col min="73" max="73" width="13.5703125" bestFit="1" customWidth="1"/>
    <col min="74" max="74" width="13.85546875" bestFit="1" customWidth="1"/>
    <col min="75" max="75" width="13" bestFit="1" customWidth="1"/>
    <col min="76" max="76" width="12.5703125" bestFit="1" customWidth="1"/>
    <col min="77" max="77" width="13.7109375" bestFit="1" customWidth="1"/>
    <col min="78" max="78" width="14" bestFit="1" customWidth="1"/>
    <col min="79" max="79" width="13.28515625" bestFit="1" customWidth="1"/>
    <col min="80" max="80" width="12.140625" bestFit="1" customWidth="1"/>
    <col min="81" max="82" width="12.5703125" bestFit="1" customWidth="1"/>
    <col min="83" max="83" width="12.85546875" bestFit="1" customWidth="1"/>
    <col min="84" max="84" width="12.28515625" bestFit="1" customWidth="1"/>
    <col min="85" max="85" width="13" bestFit="1" customWidth="1"/>
    <col min="86" max="86" width="12.85546875" bestFit="1" customWidth="1"/>
    <col min="87" max="88" width="13" bestFit="1" customWidth="1"/>
    <col min="89" max="89" width="14.42578125" bestFit="1" customWidth="1"/>
    <col min="90" max="90" width="12.140625" bestFit="1" customWidth="1"/>
    <col min="91" max="91" width="12.42578125" bestFit="1" customWidth="1"/>
    <col min="92" max="92" width="12.28515625" bestFit="1" customWidth="1"/>
    <col min="93" max="93" width="13.42578125" bestFit="1" customWidth="1"/>
    <col min="94" max="94" width="12.7109375" bestFit="1" customWidth="1"/>
    <col min="95" max="95" width="12.140625" bestFit="1" customWidth="1"/>
    <col min="96" max="97" width="13" bestFit="1" customWidth="1"/>
    <col min="98" max="98" width="12.5703125" bestFit="1" customWidth="1"/>
    <col min="99" max="99" width="12.7109375" bestFit="1" customWidth="1"/>
    <col min="100" max="100" width="12.5703125" bestFit="1" customWidth="1"/>
    <col min="101" max="101" width="13.7109375" bestFit="1" customWidth="1"/>
    <col min="102" max="102" width="13.28515625" bestFit="1" customWidth="1"/>
    <col min="103" max="103" width="12.5703125" bestFit="1" customWidth="1"/>
    <col min="104" max="104" width="12.140625" bestFit="1" customWidth="1"/>
    <col min="105" max="105" width="12.42578125" bestFit="1" customWidth="1"/>
    <col min="106" max="108" width="12.5703125" bestFit="1" customWidth="1"/>
    <col min="109" max="109" width="13.42578125" bestFit="1" customWidth="1"/>
    <col min="110" max="110" width="12.7109375" bestFit="1" customWidth="1"/>
    <col min="111" max="111" width="13.28515625" bestFit="1" customWidth="1"/>
    <col min="112" max="113" width="13" bestFit="1" customWidth="1"/>
    <col min="114" max="114" width="13.28515625" bestFit="1" customWidth="1"/>
    <col min="115" max="115" width="12.5703125" bestFit="1" customWidth="1"/>
    <col min="116" max="116" width="12.7109375" bestFit="1" customWidth="1"/>
    <col min="117" max="117" width="12.85546875" bestFit="1" customWidth="1"/>
    <col min="118" max="118" width="12.7109375" bestFit="1" customWidth="1"/>
    <col min="119" max="119" width="12.5703125" bestFit="1" customWidth="1"/>
    <col min="120" max="120" width="14.5703125" bestFit="1" customWidth="1"/>
    <col min="121" max="121" width="13" bestFit="1" customWidth="1"/>
    <col min="122" max="122" width="11.7109375" bestFit="1" customWidth="1"/>
    <col min="123" max="123" width="12.28515625" bestFit="1" customWidth="1"/>
    <col min="124" max="124" width="12.140625" bestFit="1" customWidth="1"/>
    <col min="125" max="125" width="12.28515625" bestFit="1" customWidth="1"/>
    <col min="126" max="126" width="12.7109375" bestFit="1" customWidth="1"/>
    <col min="127" max="127" width="12.28515625" bestFit="1" customWidth="1"/>
    <col min="128" max="128" width="13" bestFit="1" customWidth="1"/>
    <col min="129" max="129" width="12.7109375" bestFit="1" customWidth="1"/>
    <col min="130" max="130" width="12.42578125" bestFit="1" customWidth="1"/>
    <col min="131" max="131" width="12.85546875" bestFit="1" customWidth="1"/>
    <col min="132" max="132" width="13" bestFit="1" customWidth="1"/>
    <col min="133" max="133" width="12.85546875" bestFit="1" customWidth="1"/>
    <col min="134" max="134" width="13.28515625" bestFit="1" customWidth="1"/>
    <col min="135" max="135" width="12.5703125" bestFit="1" customWidth="1"/>
    <col min="136" max="137" width="12.42578125" bestFit="1" customWidth="1"/>
    <col min="138" max="138" width="14.140625" bestFit="1" customWidth="1"/>
    <col min="139" max="139" width="13" bestFit="1" customWidth="1"/>
    <col min="140" max="140" width="12.28515625" bestFit="1" customWidth="1"/>
    <col min="141" max="141" width="12.42578125" bestFit="1" customWidth="1"/>
    <col min="142" max="142" width="11.42578125" bestFit="1" customWidth="1"/>
    <col min="143" max="143" width="12.140625" bestFit="1" customWidth="1"/>
    <col min="144" max="145" width="12.5703125" bestFit="1" customWidth="1"/>
    <col min="146" max="146" width="12.7109375" bestFit="1" customWidth="1"/>
    <col min="147" max="147" width="13.7109375" bestFit="1" customWidth="1"/>
    <col min="148" max="148" width="12.5703125" bestFit="1" customWidth="1"/>
    <col min="149" max="149" width="13" bestFit="1" customWidth="1"/>
    <col min="150" max="150" width="12.85546875" bestFit="1" customWidth="1"/>
    <col min="151" max="151" width="14" bestFit="1" customWidth="1"/>
    <col min="152" max="152" width="13" bestFit="1" customWidth="1"/>
    <col min="153" max="153" width="11.7109375" bestFit="1" customWidth="1"/>
    <col min="154" max="155" width="12.140625" bestFit="1" customWidth="1"/>
    <col min="156" max="156" width="11.5703125" bestFit="1" customWidth="1"/>
    <col min="157" max="157" width="13.28515625" bestFit="1" customWidth="1"/>
    <col min="158" max="158" width="13" bestFit="1" customWidth="1"/>
    <col min="159" max="159" width="12.7109375" bestFit="1" customWidth="1"/>
    <col min="160" max="160" width="12.85546875" bestFit="1" customWidth="1"/>
    <col min="161" max="161" width="13.5703125" bestFit="1" customWidth="1"/>
    <col min="162" max="162" width="13.42578125" bestFit="1" customWidth="1"/>
    <col min="163" max="164" width="12.7109375" bestFit="1" customWidth="1"/>
    <col min="165" max="165" width="12.5703125" bestFit="1" customWidth="1"/>
    <col min="166" max="166" width="13.85546875" bestFit="1" customWidth="1"/>
    <col min="167" max="167" width="12.7109375" bestFit="1" customWidth="1"/>
    <col min="168" max="168" width="12.5703125" bestFit="1" customWidth="1"/>
    <col min="169" max="169" width="13.28515625" bestFit="1" customWidth="1"/>
    <col min="170" max="170" width="12.5703125" bestFit="1" customWidth="1"/>
    <col min="171" max="171" width="13.5703125" bestFit="1" customWidth="1"/>
    <col min="172" max="172" width="14" bestFit="1" customWidth="1"/>
    <col min="173" max="173" width="13.85546875" bestFit="1" customWidth="1"/>
    <col min="174" max="174" width="12.7109375" bestFit="1" customWidth="1"/>
    <col min="175" max="175" width="13.5703125" bestFit="1" customWidth="1"/>
    <col min="176" max="176" width="13.42578125" bestFit="1" customWidth="1"/>
    <col min="177" max="177" width="13" bestFit="1" customWidth="1"/>
    <col min="178" max="178" width="12.85546875" bestFit="1" customWidth="1"/>
    <col min="179" max="179" width="12.7109375" bestFit="1" customWidth="1"/>
    <col min="180" max="180" width="12.140625" bestFit="1" customWidth="1"/>
    <col min="181" max="181" width="12.5703125" bestFit="1" customWidth="1"/>
    <col min="182" max="182" width="13.42578125" bestFit="1" customWidth="1"/>
    <col min="183" max="183" width="13.85546875" bestFit="1" customWidth="1"/>
    <col min="184" max="184" width="12.7109375" bestFit="1" customWidth="1"/>
    <col min="185" max="185" width="13.42578125" bestFit="1" customWidth="1"/>
    <col min="186" max="186" width="12.7109375" bestFit="1" customWidth="1"/>
    <col min="187" max="187" width="13.42578125" bestFit="1" customWidth="1"/>
    <col min="188" max="188" width="12.42578125" bestFit="1" customWidth="1"/>
    <col min="189" max="189" width="12.5703125" bestFit="1" customWidth="1"/>
    <col min="190" max="190" width="11.140625" bestFit="1" customWidth="1"/>
    <col min="191" max="191" width="12.140625" bestFit="1" customWidth="1"/>
    <col min="192" max="192" width="12.5703125" bestFit="1" customWidth="1"/>
    <col min="193" max="193" width="12" bestFit="1" customWidth="1"/>
    <col min="194" max="194" width="13.28515625" bestFit="1" customWidth="1"/>
    <col min="195" max="196" width="12.5703125" bestFit="1" customWidth="1"/>
    <col min="197" max="197" width="12.28515625" bestFit="1" customWidth="1"/>
    <col min="198" max="198" width="12.7109375" bestFit="1" customWidth="1"/>
    <col min="199" max="199" width="13.5703125" bestFit="1" customWidth="1"/>
    <col min="200" max="200" width="12.42578125" bestFit="1" customWidth="1"/>
    <col min="201" max="201" width="13.7109375" bestFit="1" customWidth="1"/>
    <col min="202" max="202" width="13.85546875" bestFit="1" customWidth="1"/>
    <col min="203" max="203" width="12.85546875" bestFit="1" customWidth="1"/>
    <col min="204" max="204" width="14" bestFit="1" customWidth="1"/>
    <col min="205" max="205" width="12.42578125" bestFit="1" customWidth="1"/>
    <col min="206" max="206" width="13.85546875" bestFit="1" customWidth="1"/>
    <col min="207" max="207" width="13.5703125" bestFit="1" customWidth="1"/>
    <col min="208" max="208" width="13.7109375" bestFit="1" customWidth="1"/>
    <col min="209" max="209" width="14.140625" bestFit="1" customWidth="1"/>
    <col min="210" max="210" width="14.28515625" bestFit="1" customWidth="1"/>
    <col min="211" max="211" width="13.5703125" bestFit="1" customWidth="1"/>
    <col min="212" max="212" width="12.7109375" bestFit="1" customWidth="1"/>
    <col min="213" max="213" width="13.85546875" bestFit="1" customWidth="1"/>
    <col min="214" max="214" width="12.7109375" bestFit="1" customWidth="1"/>
    <col min="215" max="215" width="12.85546875" bestFit="1" customWidth="1"/>
    <col min="216" max="216" width="12.140625" bestFit="1" customWidth="1"/>
    <col min="217" max="217" width="13.28515625" bestFit="1" customWidth="1"/>
    <col min="218" max="218" width="12.7109375" bestFit="1" customWidth="1"/>
    <col min="219" max="219" width="13.42578125" bestFit="1" customWidth="1"/>
    <col min="220" max="220" width="12.140625" bestFit="1" customWidth="1"/>
    <col min="221" max="221" width="13.5703125" bestFit="1" customWidth="1"/>
    <col min="222" max="222" width="12.85546875" bestFit="1" customWidth="1"/>
    <col min="223" max="223" width="12.5703125" bestFit="1" customWidth="1"/>
    <col min="224" max="224" width="13.7109375" bestFit="1" customWidth="1"/>
    <col min="225" max="225" width="13" bestFit="1" customWidth="1"/>
    <col min="226" max="226" width="13.28515625" bestFit="1" customWidth="1"/>
    <col min="227" max="227" width="12.85546875" bestFit="1" customWidth="1"/>
    <col min="228" max="228" width="13.42578125" bestFit="1" customWidth="1"/>
    <col min="229" max="229" width="13.5703125" bestFit="1" customWidth="1"/>
    <col min="230" max="230" width="14.140625" bestFit="1" customWidth="1"/>
    <col min="231" max="231" width="13.42578125" bestFit="1" customWidth="1"/>
    <col min="232" max="232" width="14.7109375" bestFit="1" customWidth="1"/>
    <col min="233" max="233" width="13.28515625" bestFit="1" customWidth="1"/>
    <col min="234" max="234" width="12.140625" bestFit="1" customWidth="1"/>
    <col min="235" max="235" width="12.85546875" bestFit="1" customWidth="1"/>
    <col min="236" max="236" width="12.42578125" bestFit="1" customWidth="1"/>
    <col min="237" max="238" width="13" bestFit="1" customWidth="1"/>
    <col min="239" max="240" width="13.28515625" bestFit="1" customWidth="1"/>
    <col min="241" max="241" width="12.7109375" bestFit="1" customWidth="1"/>
    <col min="242" max="242" width="13.42578125" bestFit="1" customWidth="1"/>
    <col min="243" max="243" width="14.28515625" bestFit="1" customWidth="1"/>
    <col min="244" max="244" width="12.85546875" bestFit="1" customWidth="1"/>
    <col min="245" max="245" width="12.42578125" bestFit="1" customWidth="1"/>
    <col min="246" max="246" width="12.85546875" bestFit="1" customWidth="1"/>
    <col min="247" max="248" width="12.5703125" bestFit="1" customWidth="1"/>
    <col min="249" max="249" width="12.140625" bestFit="1" customWidth="1"/>
    <col min="250" max="250" width="13.7109375" bestFit="1" customWidth="1"/>
    <col min="251" max="251" width="13" bestFit="1" customWidth="1"/>
    <col min="252" max="252" width="12.7109375" bestFit="1" customWidth="1"/>
    <col min="253" max="253" width="12.85546875" bestFit="1" customWidth="1"/>
    <col min="254" max="254" width="12.42578125" bestFit="1" customWidth="1"/>
    <col min="255" max="255" width="12.7109375" bestFit="1" customWidth="1"/>
    <col min="256" max="256" width="13.7109375" bestFit="1" customWidth="1"/>
    <col min="257" max="257" width="13.28515625" bestFit="1" customWidth="1"/>
    <col min="258" max="258" width="13.42578125" bestFit="1" customWidth="1"/>
    <col min="259" max="259" width="12.85546875" bestFit="1" customWidth="1"/>
    <col min="260" max="261" width="13" bestFit="1" customWidth="1"/>
    <col min="262" max="262" width="12.7109375" bestFit="1" customWidth="1"/>
    <col min="263" max="263" width="13.28515625" bestFit="1" customWidth="1"/>
    <col min="264" max="264" width="14.7109375" bestFit="1" customWidth="1"/>
    <col min="265" max="265" width="12.85546875" bestFit="1" customWidth="1"/>
    <col min="266" max="267" width="13.5703125" bestFit="1" customWidth="1"/>
    <col min="268" max="268" width="13.7109375" bestFit="1" customWidth="1"/>
    <col min="269" max="269" width="14.5703125" bestFit="1" customWidth="1"/>
    <col min="270" max="270" width="12.42578125" bestFit="1" customWidth="1"/>
    <col min="271" max="271" width="12.7109375" bestFit="1" customWidth="1"/>
    <col min="272" max="272" width="12.42578125" bestFit="1" customWidth="1"/>
    <col min="273" max="273" width="13.42578125" bestFit="1" customWidth="1"/>
    <col min="274" max="274" width="13.5703125" bestFit="1" customWidth="1"/>
    <col min="275" max="275" width="12.7109375" bestFit="1" customWidth="1"/>
    <col min="276" max="276" width="12.140625" bestFit="1" customWidth="1"/>
    <col min="277" max="277" width="12.42578125" bestFit="1" customWidth="1"/>
    <col min="278" max="278" width="13.42578125" bestFit="1" customWidth="1"/>
    <col min="279" max="279" width="11.7109375" bestFit="1" customWidth="1"/>
    <col min="280" max="281" width="12.5703125" bestFit="1" customWidth="1"/>
    <col min="282" max="282" width="13.28515625" bestFit="1" customWidth="1"/>
    <col min="283" max="283" width="13" bestFit="1" customWidth="1"/>
    <col min="284" max="284" width="12.7109375" bestFit="1" customWidth="1"/>
    <col min="285" max="285" width="12.140625" bestFit="1" customWidth="1"/>
    <col min="286" max="287" width="13.28515625" bestFit="1" customWidth="1"/>
    <col min="288" max="288" width="12.5703125" bestFit="1" customWidth="1"/>
    <col min="289" max="289" width="13.28515625" bestFit="1" customWidth="1"/>
    <col min="290" max="290" width="13.85546875" bestFit="1" customWidth="1"/>
    <col min="291" max="291" width="14.28515625" bestFit="1" customWidth="1"/>
    <col min="292" max="292" width="13" bestFit="1" customWidth="1"/>
    <col min="293" max="293" width="13.42578125" bestFit="1" customWidth="1"/>
    <col min="294" max="294" width="13" bestFit="1" customWidth="1"/>
    <col min="295" max="295" width="13.42578125" bestFit="1" customWidth="1"/>
    <col min="296" max="296" width="14.140625" bestFit="1" customWidth="1"/>
    <col min="297" max="297" width="14.28515625" bestFit="1" customWidth="1"/>
    <col min="298" max="298" width="14.140625" bestFit="1" customWidth="1"/>
    <col min="299" max="299" width="14.85546875" bestFit="1" customWidth="1"/>
    <col min="300" max="300" width="12.85546875" bestFit="1" customWidth="1"/>
    <col min="301" max="301" width="13.28515625" bestFit="1" customWidth="1"/>
    <col min="302" max="302" width="13.7109375" bestFit="1" customWidth="1"/>
    <col min="303" max="303" width="13.28515625" bestFit="1" customWidth="1"/>
    <col min="304" max="304" width="12.140625" bestFit="1" customWidth="1"/>
    <col min="305" max="305" width="12.85546875" bestFit="1" customWidth="1"/>
    <col min="306" max="306" width="12.42578125" bestFit="1" customWidth="1"/>
    <col min="307" max="307" width="13.28515625" bestFit="1" customWidth="1"/>
    <col min="308" max="308" width="12.7109375" bestFit="1" customWidth="1"/>
    <col min="309" max="309" width="13.42578125" bestFit="1" customWidth="1"/>
    <col min="310" max="310" width="12.7109375" bestFit="1" customWidth="1"/>
    <col min="311" max="311" width="12.85546875" bestFit="1" customWidth="1"/>
    <col min="312" max="312" width="13.5703125" bestFit="1" customWidth="1"/>
    <col min="313" max="313" width="13.42578125" bestFit="1" customWidth="1"/>
    <col min="314" max="314" width="13.28515625" bestFit="1" customWidth="1"/>
    <col min="315" max="315" width="5.5703125" bestFit="1" customWidth="1"/>
    <col min="316" max="316" width="7.42578125" bestFit="1" customWidth="1"/>
    <col min="317" max="317" width="11.42578125" bestFit="1" customWidth="1"/>
  </cols>
  <sheetData>
    <row r="2" spans="1:5">
      <c r="A2" s="44" t="s">
        <v>3176</v>
      </c>
      <c r="B2" t="s">
        <v>3177</v>
      </c>
      <c r="C2" t="s">
        <v>3178</v>
      </c>
      <c r="D2" t="s">
        <v>3179</v>
      </c>
      <c r="E2" t="s">
        <v>3180</v>
      </c>
    </row>
    <row r="3" spans="1:5">
      <c r="A3" t="s">
        <v>2938</v>
      </c>
      <c r="B3">
        <v>9</v>
      </c>
      <c r="C3">
        <v>9</v>
      </c>
      <c r="D3">
        <v>5</v>
      </c>
      <c r="E3">
        <v>9</v>
      </c>
    </row>
    <row r="4" spans="1:5">
      <c r="A4" t="s">
        <v>2855</v>
      </c>
      <c r="B4">
        <v>227</v>
      </c>
      <c r="C4">
        <v>227</v>
      </c>
      <c r="D4">
        <v>208</v>
      </c>
      <c r="E4">
        <v>225</v>
      </c>
    </row>
    <row r="5" spans="1:5">
      <c r="A5" t="s">
        <v>3181</v>
      </c>
      <c r="B5">
        <v>7</v>
      </c>
      <c r="C5">
        <v>7</v>
      </c>
      <c r="D5">
        <v>7</v>
      </c>
      <c r="E5">
        <v>7</v>
      </c>
    </row>
    <row r="6" spans="1:5">
      <c r="A6" t="s">
        <v>3182</v>
      </c>
      <c r="B6">
        <v>3</v>
      </c>
      <c r="C6">
        <v>3</v>
      </c>
      <c r="D6">
        <v>3</v>
      </c>
      <c r="E6">
        <v>3</v>
      </c>
    </row>
    <row r="7" spans="1:5">
      <c r="A7" t="s">
        <v>3183</v>
      </c>
      <c r="B7">
        <v>246</v>
      </c>
      <c r="C7">
        <v>246</v>
      </c>
      <c r="D7">
        <v>223</v>
      </c>
      <c r="E7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53A3-4FCA-4644-A23D-E7755E3B7951}">
  <dimension ref="A1:L628"/>
  <sheetViews>
    <sheetView workbookViewId="0">
      <selection activeCell="I21" sqref="I21"/>
    </sheetView>
  </sheetViews>
  <sheetFormatPr defaultRowHeight="15"/>
  <cols>
    <col min="1" max="1" width="18.42578125" bestFit="1" customWidth="1"/>
    <col min="2" max="2" width="7.85546875" bestFit="1" customWidth="1"/>
    <col min="3" max="3" width="7.7109375" bestFit="1" customWidth="1"/>
    <col min="4" max="4" width="11.42578125" bestFit="1" customWidth="1"/>
    <col min="5" max="5" width="11.28515625" bestFit="1" customWidth="1"/>
    <col min="6" max="6" width="12.28515625" bestFit="1" customWidth="1"/>
    <col min="7" max="7" width="12.7109375" bestFit="1" customWidth="1"/>
    <col min="8" max="8" width="18.5703125" bestFit="1" customWidth="1"/>
    <col min="9" max="9" width="28" bestFit="1" customWidth="1"/>
    <col min="10" max="10" width="29.140625" bestFit="1" customWidth="1"/>
    <col min="11" max="11" width="18.7109375" bestFit="1" customWidth="1"/>
    <col min="12" max="12" width="19.28515625" bestFit="1" customWidth="1"/>
  </cols>
  <sheetData>
    <row r="1" spans="1:11">
      <c r="A1" s="46" t="s">
        <v>3184</v>
      </c>
      <c r="B1" s="46" t="s">
        <v>3176</v>
      </c>
      <c r="C1" s="46" t="s">
        <v>3185</v>
      </c>
      <c r="D1" s="46" t="s">
        <v>3</v>
      </c>
      <c r="E1" s="47" t="s">
        <v>3186</v>
      </c>
      <c r="F1" s="47" t="s">
        <v>9</v>
      </c>
      <c r="G1" s="47" t="s">
        <v>10</v>
      </c>
      <c r="H1" s="48" t="s">
        <v>11</v>
      </c>
      <c r="I1" s="48" t="s">
        <v>12</v>
      </c>
      <c r="J1" s="48" t="s">
        <v>13</v>
      </c>
      <c r="K1" s="48" t="s">
        <v>14</v>
      </c>
    </row>
    <row r="2" spans="1:11" s="1" customFormat="1">
      <c r="A2" s="4" t="s">
        <v>3187</v>
      </c>
      <c r="B2" s="3" t="s">
        <v>2855</v>
      </c>
      <c r="C2" s="3">
        <v>1</v>
      </c>
      <c r="D2" s="4" t="e">
        <v>#N/A</v>
      </c>
      <c r="E2" s="4"/>
      <c r="F2" s="5" t="s">
        <v>3188</v>
      </c>
      <c r="G2" s="6" t="e">
        <v>#N/A</v>
      </c>
      <c r="H2" s="21" t="e">
        <v>#N/A</v>
      </c>
      <c r="I2" s="21" t="e">
        <v>#N/A</v>
      </c>
      <c r="J2" s="21" t="e">
        <v>#N/A</v>
      </c>
      <c r="K2" s="22" t="e">
        <v>#N/A</v>
      </c>
    </row>
    <row r="3" spans="1:11" s="1" customFormat="1">
      <c r="A3" s="4" t="s">
        <v>3189</v>
      </c>
      <c r="B3" s="3" t="s">
        <v>2855</v>
      </c>
      <c r="C3" s="3">
        <v>3</v>
      </c>
      <c r="D3" s="4" t="e">
        <v>#N/A</v>
      </c>
      <c r="E3" s="4"/>
      <c r="F3" s="5" t="s">
        <v>3190</v>
      </c>
      <c r="G3" s="6" t="e">
        <v>#N/A</v>
      </c>
      <c r="H3" s="21" t="e">
        <v>#N/A</v>
      </c>
      <c r="I3" s="21" t="e">
        <v>#N/A</v>
      </c>
      <c r="J3" s="21" t="e">
        <v>#N/A</v>
      </c>
      <c r="K3" s="22" t="e">
        <v>#N/A</v>
      </c>
    </row>
    <row r="4" spans="1:11" s="1" customFormat="1">
      <c r="A4" s="4" t="s">
        <v>3191</v>
      </c>
      <c r="B4" s="3" t="s">
        <v>2855</v>
      </c>
      <c r="C4" s="3">
        <v>2</v>
      </c>
      <c r="D4" s="4" t="e">
        <v>#N/A</v>
      </c>
      <c r="E4" s="4"/>
      <c r="F4" s="5" t="s">
        <v>3192</v>
      </c>
      <c r="G4" s="6" t="e">
        <v>#N/A</v>
      </c>
      <c r="H4" s="21" t="e">
        <v>#N/A</v>
      </c>
      <c r="I4" s="21" t="e">
        <v>#N/A</v>
      </c>
      <c r="J4" s="21" t="s">
        <v>3193</v>
      </c>
      <c r="K4" s="22" t="s">
        <v>3194</v>
      </c>
    </row>
    <row r="5" spans="1:11" s="1" customFormat="1">
      <c r="A5" s="4" t="s">
        <v>3195</v>
      </c>
      <c r="B5" s="3" t="s">
        <v>2855</v>
      </c>
      <c r="C5" s="3">
        <v>11</v>
      </c>
      <c r="D5" s="4" t="e">
        <v>#N/A</v>
      </c>
      <c r="E5" s="4"/>
      <c r="F5" s="5" t="s">
        <v>3196</v>
      </c>
      <c r="G5" s="6" t="e">
        <v>#N/A</v>
      </c>
      <c r="H5" s="21" t="e">
        <v>#N/A</v>
      </c>
      <c r="I5" s="21" t="e">
        <v>#N/A</v>
      </c>
      <c r="J5" s="21" t="e">
        <v>#N/A</v>
      </c>
      <c r="K5" s="22" t="e">
        <v>#N/A</v>
      </c>
    </row>
    <row r="6" spans="1:11" s="1" customFormat="1">
      <c r="A6" s="4" t="s">
        <v>3197</v>
      </c>
      <c r="B6" s="3" t="s">
        <v>2855</v>
      </c>
      <c r="C6" s="3">
        <v>6</v>
      </c>
      <c r="D6" s="4" t="e">
        <v>#N/A</v>
      </c>
      <c r="E6" s="4"/>
      <c r="F6" s="5" t="s">
        <v>3198</v>
      </c>
      <c r="G6" s="6" t="e">
        <v>#N/A</v>
      </c>
      <c r="H6" s="21" t="e">
        <v>#N/A</v>
      </c>
      <c r="I6" s="21" t="e">
        <v>#N/A</v>
      </c>
      <c r="J6" s="21" t="e">
        <v>#N/A</v>
      </c>
      <c r="K6" s="22" t="e">
        <v>#N/A</v>
      </c>
    </row>
    <row r="7" spans="1:11" s="1" customFormat="1">
      <c r="A7" s="4" t="s">
        <v>3199</v>
      </c>
      <c r="B7" s="3" t="s">
        <v>2855</v>
      </c>
      <c r="C7" s="3">
        <v>4</v>
      </c>
      <c r="D7" s="4" t="e">
        <v>#N/A</v>
      </c>
      <c r="E7" s="4"/>
      <c r="F7" s="5" t="s">
        <v>3200</v>
      </c>
      <c r="G7" s="6" t="e">
        <v>#N/A</v>
      </c>
      <c r="H7" s="21" t="e">
        <v>#N/A</v>
      </c>
      <c r="I7" s="21" t="e">
        <v>#N/A</v>
      </c>
      <c r="J7" s="21" t="e">
        <v>#N/A</v>
      </c>
      <c r="K7" s="22" t="e">
        <v>#N/A</v>
      </c>
    </row>
    <row r="8" spans="1:11" s="1" customFormat="1">
      <c r="A8" s="4" t="s">
        <v>3201</v>
      </c>
      <c r="B8" s="3" t="s">
        <v>2855</v>
      </c>
      <c r="C8" s="3">
        <v>9</v>
      </c>
      <c r="D8" s="4" t="e">
        <v>#N/A</v>
      </c>
      <c r="E8" s="4"/>
      <c r="F8" s="5" t="s">
        <v>3202</v>
      </c>
      <c r="G8" s="6" t="e">
        <v>#N/A</v>
      </c>
      <c r="H8" s="21" t="e">
        <v>#N/A</v>
      </c>
      <c r="I8" s="21" t="e">
        <v>#N/A</v>
      </c>
      <c r="J8" s="21" t="e">
        <v>#N/A</v>
      </c>
      <c r="K8" s="22" t="e">
        <v>#N/A</v>
      </c>
    </row>
    <row r="9" spans="1:11" s="1" customFormat="1">
      <c r="A9" s="4" t="s">
        <v>3203</v>
      </c>
      <c r="B9" s="3" t="s">
        <v>3182</v>
      </c>
      <c r="C9" s="3">
        <v>19</v>
      </c>
      <c r="D9" s="4" t="e">
        <v>#N/A</v>
      </c>
      <c r="E9" s="4"/>
      <c r="F9" s="5" t="s">
        <v>3204</v>
      </c>
      <c r="G9" s="6" t="e">
        <v>#N/A</v>
      </c>
      <c r="H9" s="21" t="e">
        <v>#N/A</v>
      </c>
      <c r="I9" s="21" t="e">
        <v>#N/A</v>
      </c>
      <c r="J9" s="21" t="e">
        <v>#N/A</v>
      </c>
      <c r="K9" s="22" t="e">
        <v>#N/A</v>
      </c>
    </row>
    <row r="10" spans="1:11" s="1" customFormat="1">
      <c r="A10" s="4" t="s">
        <v>3205</v>
      </c>
      <c r="B10" s="3" t="s">
        <v>2855</v>
      </c>
      <c r="C10" s="3">
        <v>7</v>
      </c>
      <c r="D10" s="4" t="e">
        <v>#N/A</v>
      </c>
      <c r="E10" s="4"/>
      <c r="F10" s="5" t="s">
        <v>3206</v>
      </c>
      <c r="G10" s="6" t="e">
        <v>#N/A</v>
      </c>
      <c r="H10" s="21" t="e">
        <v>#N/A</v>
      </c>
      <c r="I10" s="21" t="e">
        <v>#N/A</v>
      </c>
      <c r="J10" s="21" t="e">
        <v>#N/A</v>
      </c>
      <c r="K10" s="22" t="e">
        <v>#N/A</v>
      </c>
    </row>
    <row r="11" spans="1:11" s="1" customFormat="1">
      <c r="A11" s="4" t="s">
        <v>3207</v>
      </c>
      <c r="B11" s="3" t="s">
        <v>3208</v>
      </c>
      <c r="C11" s="3">
        <v>41</v>
      </c>
      <c r="D11" s="4" t="e">
        <v>#N/A</v>
      </c>
      <c r="E11" s="4"/>
      <c r="F11" s="5" t="s">
        <v>3209</v>
      </c>
      <c r="G11" s="6" t="e">
        <v>#N/A</v>
      </c>
      <c r="H11" s="21" t="e">
        <v>#N/A</v>
      </c>
      <c r="I11" s="21" t="e">
        <v>#N/A</v>
      </c>
      <c r="J11" s="21" t="e">
        <v>#N/A</v>
      </c>
      <c r="K11" s="22" t="e">
        <v>#N/A</v>
      </c>
    </row>
    <row r="12" spans="1:11" s="1" customFormat="1">
      <c r="A12" s="4" t="s">
        <v>3210</v>
      </c>
      <c r="B12" s="3" t="s">
        <v>2855</v>
      </c>
      <c r="C12" s="3">
        <v>17</v>
      </c>
      <c r="D12" s="4" t="e">
        <v>#N/A</v>
      </c>
      <c r="E12" s="4"/>
      <c r="F12" s="5" t="s">
        <v>3211</v>
      </c>
      <c r="G12" s="6" t="e">
        <v>#N/A</v>
      </c>
      <c r="H12" s="21" t="e">
        <v>#N/A</v>
      </c>
      <c r="I12" s="21" t="e">
        <v>#N/A</v>
      </c>
      <c r="J12" s="21" t="e">
        <v>#N/A</v>
      </c>
      <c r="K12" s="22" t="e">
        <v>#N/A</v>
      </c>
    </row>
    <row r="13" spans="1:11" s="1" customFormat="1">
      <c r="A13" s="4" t="s">
        <v>3212</v>
      </c>
      <c r="B13" s="3" t="s">
        <v>3213</v>
      </c>
      <c r="C13" s="3">
        <v>10</v>
      </c>
      <c r="D13" s="4" t="e">
        <v>#N/A</v>
      </c>
      <c r="E13" s="4"/>
      <c r="F13" s="5" t="s">
        <v>3214</v>
      </c>
      <c r="G13" s="6" t="e">
        <v>#N/A</v>
      </c>
      <c r="H13" s="21" t="e">
        <v>#N/A</v>
      </c>
      <c r="I13" s="21" t="e">
        <v>#N/A</v>
      </c>
      <c r="J13" s="21" t="e">
        <v>#N/A</v>
      </c>
      <c r="K13" s="22" t="e">
        <v>#N/A</v>
      </c>
    </row>
    <row r="14" spans="1:11" s="1" customFormat="1">
      <c r="A14" s="4" t="s">
        <v>3215</v>
      </c>
      <c r="B14" s="3" t="s">
        <v>3213</v>
      </c>
      <c r="C14" s="3">
        <v>12</v>
      </c>
      <c r="D14" s="4" t="e">
        <v>#N/A</v>
      </c>
      <c r="E14" s="4"/>
      <c r="F14" s="5" t="s">
        <v>3216</v>
      </c>
      <c r="G14" s="6" t="e">
        <v>#N/A</v>
      </c>
      <c r="H14" s="21" t="e">
        <v>#N/A</v>
      </c>
      <c r="I14" s="21" t="e">
        <v>#N/A</v>
      </c>
      <c r="J14" s="21" t="e">
        <v>#N/A</v>
      </c>
      <c r="K14" s="22" t="e">
        <v>#N/A</v>
      </c>
    </row>
    <row r="15" spans="1:11" s="1" customFormat="1">
      <c r="A15" s="4" t="s">
        <v>3217</v>
      </c>
      <c r="B15" s="3" t="s">
        <v>3208</v>
      </c>
      <c r="C15" s="3">
        <v>26</v>
      </c>
      <c r="D15" s="4" t="e">
        <v>#N/A</v>
      </c>
      <c r="E15" s="4"/>
      <c r="F15" s="5" t="s">
        <v>3218</v>
      </c>
      <c r="G15" s="6" t="e">
        <v>#N/A</v>
      </c>
      <c r="H15" s="21" t="e">
        <v>#N/A</v>
      </c>
      <c r="I15" s="21" t="e">
        <v>#N/A</v>
      </c>
      <c r="J15" s="21" t="e">
        <v>#N/A</v>
      </c>
      <c r="K15" s="22" t="e">
        <v>#N/A</v>
      </c>
    </row>
    <row r="16" spans="1:11" s="1" customFormat="1">
      <c r="A16" s="4" t="s">
        <v>3219</v>
      </c>
      <c r="B16" s="3" t="s">
        <v>2855</v>
      </c>
      <c r="C16" s="3">
        <v>5</v>
      </c>
      <c r="D16" s="4" t="e">
        <v>#N/A</v>
      </c>
      <c r="E16" s="4"/>
      <c r="F16" s="5" t="s">
        <v>3220</v>
      </c>
      <c r="G16" s="6" t="e">
        <v>#N/A</v>
      </c>
      <c r="H16" s="21" t="e">
        <v>#N/A</v>
      </c>
      <c r="I16" s="21" t="e">
        <v>#N/A</v>
      </c>
      <c r="J16" s="21" t="e">
        <v>#N/A</v>
      </c>
      <c r="K16" s="22" t="e">
        <v>#N/A</v>
      </c>
    </row>
    <row r="17" spans="1:11" s="1" customFormat="1">
      <c r="A17" s="4" t="s">
        <v>3221</v>
      </c>
      <c r="B17" s="3" t="s">
        <v>2855</v>
      </c>
      <c r="C17" s="3">
        <v>23</v>
      </c>
      <c r="D17" s="4" t="e">
        <v>#N/A</v>
      </c>
      <c r="E17" s="4"/>
      <c r="F17" s="5" t="s">
        <v>3222</v>
      </c>
      <c r="G17" s="6" t="e">
        <v>#N/A</v>
      </c>
      <c r="H17" s="21" t="e">
        <v>#N/A</v>
      </c>
      <c r="I17" s="21" t="e">
        <v>#N/A</v>
      </c>
      <c r="J17" s="21" t="e">
        <v>#N/A</v>
      </c>
      <c r="K17" s="22" t="e">
        <v>#N/A</v>
      </c>
    </row>
    <row r="18" spans="1:11" s="1" customFormat="1">
      <c r="A18" s="4" t="s">
        <v>3223</v>
      </c>
      <c r="B18" s="3" t="s">
        <v>2855</v>
      </c>
      <c r="C18" s="3">
        <v>8</v>
      </c>
      <c r="D18" s="4" t="e">
        <v>#N/A</v>
      </c>
      <c r="E18" s="4"/>
      <c r="F18" s="5" t="s">
        <v>3224</v>
      </c>
      <c r="G18" s="6" t="e">
        <v>#N/A</v>
      </c>
      <c r="H18" s="21" t="e">
        <v>#N/A</v>
      </c>
      <c r="I18" s="21" t="e">
        <v>#N/A</v>
      </c>
      <c r="J18" s="21" t="e">
        <v>#N/A</v>
      </c>
      <c r="K18" s="22" t="e">
        <v>#N/A</v>
      </c>
    </row>
    <row r="19" spans="1:11" s="1" customFormat="1">
      <c r="A19" s="4" t="s">
        <v>3225</v>
      </c>
      <c r="B19" s="3" t="s">
        <v>2855</v>
      </c>
      <c r="C19" s="3">
        <v>14</v>
      </c>
      <c r="D19" s="4" t="e">
        <v>#N/A</v>
      </c>
      <c r="E19" s="4"/>
      <c r="F19" s="5" t="s">
        <v>3226</v>
      </c>
      <c r="G19" s="6" t="e">
        <v>#N/A</v>
      </c>
      <c r="H19" s="21" t="e">
        <v>#N/A</v>
      </c>
      <c r="I19" s="21" t="e">
        <v>#N/A</v>
      </c>
      <c r="J19" s="21" t="e">
        <v>#N/A</v>
      </c>
      <c r="K19" s="22" t="e">
        <v>#N/A</v>
      </c>
    </row>
    <row r="20" spans="1:11" s="1" customFormat="1">
      <c r="A20" s="4" t="s">
        <v>3227</v>
      </c>
      <c r="B20" s="3" t="s">
        <v>2855</v>
      </c>
      <c r="C20" s="3">
        <v>15</v>
      </c>
      <c r="D20" s="4" t="e">
        <v>#N/A</v>
      </c>
      <c r="E20" s="4"/>
      <c r="F20" s="5" t="s">
        <v>3228</v>
      </c>
      <c r="G20" s="6" t="e">
        <v>#N/A</v>
      </c>
      <c r="H20" s="21" t="e">
        <v>#N/A</v>
      </c>
      <c r="I20" s="21" t="e">
        <v>#N/A</v>
      </c>
      <c r="J20" s="21" t="e">
        <v>#N/A</v>
      </c>
      <c r="K20" s="22" t="e">
        <v>#N/A</v>
      </c>
    </row>
    <row r="21" spans="1:11" s="1" customFormat="1">
      <c r="A21" s="4" t="s">
        <v>3229</v>
      </c>
      <c r="B21" s="3" t="s">
        <v>3213</v>
      </c>
      <c r="C21" s="3">
        <v>13</v>
      </c>
      <c r="D21" s="4" t="e">
        <v>#N/A</v>
      </c>
      <c r="E21" s="4"/>
      <c r="F21" s="5" t="s">
        <v>3230</v>
      </c>
      <c r="G21" s="6" t="e">
        <v>#N/A</v>
      </c>
      <c r="H21" s="21" t="e">
        <v>#N/A</v>
      </c>
      <c r="I21" s="21" t="e">
        <v>#N/A</v>
      </c>
      <c r="J21" s="21" t="e">
        <v>#N/A</v>
      </c>
      <c r="K21" s="22" t="e">
        <v>#N/A</v>
      </c>
    </row>
    <row r="22" spans="1:11" s="1" customFormat="1">
      <c r="A22" s="4" t="s">
        <v>3231</v>
      </c>
      <c r="B22" s="3" t="s">
        <v>2855</v>
      </c>
      <c r="C22" s="3">
        <v>27</v>
      </c>
      <c r="D22" s="4" t="e">
        <v>#N/A</v>
      </c>
      <c r="E22" s="4"/>
      <c r="F22" s="5" t="s">
        <v>3232</v>
      </c>
      <c r="G22" s="6" t="e">
        <v>#N/A</v>
      </c>
      <c r="H22" s="21" t="e">
        <v>#N/A</v>
      </c>
      <c r="I22" s="21" t="e">
        <v>#N/A</v>
      </c>
      <c r="J22" s="21" t="e">
        <v>#N/A</v>
      </c>
      <c r="K22" s="22" t="e">
        <v>#N/A</v>
      </c>
    </row>
    <row r="23" spans="1:11" s="1" customFormat="1">
      <c r="A23" s="4" t="s">
        <v>3233</v>
      </c>
      <c r="B23" s="3" t="s">
        <v>3182</v>
      </c>
      <c r="C23" s="3">
        <v>29</v>
      </c>
      <c r="D23" s="4" t="e">
        <v>#N/A</v>
      </c>
      <c r="E23" s="4"/>
      <c r="F23" s="5" t="s">
        <v>3234</v>
      </c>
      <c r="G23" s="6" t="e">
        <v>#N/A</v>
      </c>
      <c r="H23" s="21" t="e">
        <v>#N/A</v>
      </c>
      <c r="I23" s="21" t="e">
        <v>#N/A</v>
      </c>
      <c r="J23" s="21" t="e">
        <v>#N/A</v>
      </c>
      <c r="K23" s="22" t="e">
        <v>#N/A</v>
      </c>
    </row>
    <row r="24" spans="1:11" s="1" customFormat="1">
      <c r="A24" s="4" t="s">
        <v>3235</v>
      </c>
      <c r="B24" s="3" t="s">
        <v>3213</v>
      </c>
      <c r="C24" s="3">
        <v>25</v>
      </c>
      <c r="D24" s="4" t="e">
        <v>#N/A</v>
      </c>
      <c r="E24" s="4"/>
      <c r="F24" s="5" t="s">
        <v>3236</v>
      </c>
      <c r="G24" s="6" t="e">
        <v>#N/A</v>
      </c>
      <c r="H24" s="21" t="e">
        <v>#N/A</v>
      </c>
      <c r="I24" s="21" t="e">
        <v>#N/A</v>
      </c>
      <c r="J24" s="21" t="e">
        <v>#N/A</v>
      </c>
      <c r="K24" s="22" t="e">
        <v>#N/A</v>
      </c>
    </row>
    <row r="25" spans="1:11" s="1" customFormat="1">
      <c r="A25" s="4" t="s">
        <v>3237</v>
      </c>
      <c r="B25" s="3" t="s">
        <v>3213</v>
      </c>
      <c r="C25" s="3">
        <v>16</v>
      </c>
      <c r="D25" s="4" t="e">
        <v>#N/A</v>
      </c>
      <c r="E25" s="4"/>
      <c r="F25" s="5" t="s">
        <v>3238</v>
      </c>
      <c r="G25" s="6" t="e">
        <v>#N/A</v>
      </c>
      <c r="H25" s="21" t="e">
        <v>#N/A</v>
      </c>
      <c r="I25" s="21" t="e">
        <v>#N/A</v>
      </c>
      <c r="J25" s="21" t="e">
        <v>#N/A</v>
      </c>
      <c r="K25" s="22" t="e">
        <v>#N/A</v>
      </c>
    </row>
    <row r="26" spans="1:11" s="1" customFormat="1">
      <c r="A26" s="4" t="s">
        <v>3239</v>
      </c>
      <c r="B26" s="3" t="s">
        <v>3213</v>
      </c>
      <c r="C26" s="3">
        <v>20</v>
      </c>
      <c r="D26" s="4" t="e">
        <v>#N/A</v>
      </c>
      <c r="E26" s="4"/>
      <c r="F26" s="5" t="s">
        <v>3240</v>
      </c>
      <c r="G26" s="6" t="e">
        <v>#N/A</v>
      </c>
      <c r="H26" s="21" t="e">
        <v>#N/A</v>
      </c>
      <c r="I26" s="21" t="e">
        <v>#N/A</v>
      </c>
      <c r="J26" s="21" t="e">
        <v>#N/A</v>
      </c>
      <c r="K26" s="22" t="e">
        <v>#N/A</v>
      </c>
    </row>
    <row r="27" spans="1:11" s="1" customFormat="1">
      <c r="A27" s="4" t="s">
        <v>3241</v>
      </c>
      <c r="B27" s="3" t="s">
        <v>2855</v>
      </c>
      <c r="C27" s="3">
        <v>22</v>
      </c>
      <c r="D27" s="4" t="e">
        <v>#N/A</v>
      </c>
      <c r="E27" s="4"/>
      <c r="F27" s="5" t="s">
        <v>3242</v>
      </c>
      <c r="G27" s="6" t="e">
        <v>#N/A</v>
      </c>
      <c r="H27" s="21" t="e">
        <v>#N/A</v>
      </c>
      <c r="I27" s="21" t="e">
        <v>#N/A</v>
      </c>
      <c r="J27" s="21" t="e">
        <v>#N/A</v>
      </c>
      <c r="K27" s="22" t="e">
        <v>#N/A</v>
      </c>
    </row>
    <row r="28" spans="1:11" s="1" customFormat="1">
      <c r="A28" s="4" t="s">
        <v>3243</v>
      </c>
      <c r="B28" s="3" t="s">
        <v>2855</v>
      </c>
      <c r="C28" s="3">
        <v>24</v>
      </c>
      <c r="D28" s="4" t="e">
        <v>#N/A</v>
      </c>
      <c r="E28" s="4"/>
      <c r="F28" s="5" t="s">
        <v>3244</v>
      </c>
      <c r="G28" s="6" t="e">
        <v>#N/A</v>
      </c>
      <c r="H28" s="21" t="e">
        <v>#N/A</v>
      </c>
      <c r="I28" s="21" t="e">
        <v>#N/A</v>
      </c>
      <c r="J28" s="21" t="e">
        <v>#N/A</v>
      </c>
      <c r="K28" s="22" t="e">
        <v>#N/A</v>
      </c>
    </row>
    <row r="29" spans="1:11" s="1" customFormat="1">
      <c r="A29" s="4" t="s">
        <v>3245</v>
      </c>
      <c r="B29" s="3" t="s">
        <v>2855</v>
      </c>
      <c r="C29" s="3">
        <v>40</v>
      </c>
      <c r="D29" s="4" t="e">
        <v>#N/A</v>
      </c>
      <c r="E29" s="4"/>
      <c r="F29" s="5" t="s">
        <v>3246</v>
      </c>
      <c r="G29" s="6" t="e">
        <v>#N/A</v>
      </c>
      <c r="H29" s="21" t="e">
        <v>#N/A</v>
      </c>
      <c r="I29" s="21" t="e">
        <v>#N/A</v>
      </c>
      <c r="J29" s="21" t="e">
        <v>#N/A</v>
      </c>
      <c r="K29" s="22" t="e">
        <v>#N/A</v>
      </c>
    </row>
    <row r="30" spans="1:11" s="1" customFormat="1">
      <c r="A30" s="4" t="s">
        <v>3247</v>
      </c>
      <c r="B30" s="3" t="s">
        <v>2855</v>
      </c>
      <c r="C30" s="3">
        <v>37</v>
      </c>
      <c r="D30" s="4" t="e">
        <v>#N/A</v>
      </c>
      <c r="E30" s="4"/>
      <c r="F30" s="5" t="s">
        <v>3248</v>
      </c>
      <c r="G30" s="6" t="e">
        <v>#N/A</v>
      </c>
      <c r="H30" s="21" t="e">
        <v>#N/A</v>
      </c>
      <c r="I30" s="21" t="e">
        <v>#N/A</v>
      </c>
      <c r="J30" s="21" t="e">
        <v>#N/A</v>
      </c>
      <c r="K30" s="22" t="e">
        <v>#N/A</v>
      </c>
    </row>
    <row r="31" spans="1:11" s="1" customFormat="1">
      <c r="A31" s="4" t="s">
        <v>3249</v>
      </c>
      <c r="B31" s="3" t="s">
        <v>3208</v>
      </c>
      <c r="C31" s="3">
        <v>38</v>
      </c>
      <c r="D31" s="4" t="e">
        <v>#N/A</v>
      </c>
      <c r="E31" s="4"/>
      <c r="F31" s="5" t="s">
        <v>3250</v>
      </c>
      <c r="G31" s="6" t="e">
        <v>#N/A</v>
      </c>
      <c r="H31" s="21" t="e">
        <v>#N/A</v>
      </c>
      <c r="I31" s="21" t="e">
        <v>#N/A</v>
      </c>
      <c r="J31" s="21" t="e">
        <v>#N/A</v>
      </c>
      <c r="K31" s="22" t="e">
        <v>#N/A</v>
      </c>
    </row>
    <row r="32" spans="1:11" s="1" customFormat="1">
      <c r="A32" s="4" t="s">
        <v>3251</v>
      </c>
      <c r="B32" s="3" t="s">
        <v>2855</v>
      </c>
      <c r="C32" s="3">
        <v>33</v>
      </c>
      <c r="D32" s="4" t="e">
        <v>#N/A</v>
      </c>
      <c r="E32" s="4"/>
      <c r="F32" s="5" t="s">
        <v>3252</v>
      </c>
      <c r="G32" s="6" t="e">
        <v>#N/A</v>
      </c>
      <c r="H32" s="21" t="e">
        <v>#N/A</v>
      </c>
      <c r="I32" s="21" t="e">
        <v>#N/A</v>
      </c>
      <c r="J32" s="21" t="e">
        <v>#N/A</v>
      </c>
      <c r="K32" s="22" t="e">
        <v>#N/A</v>
      </c>
    </row>
    <row r="33" spans="1:11" s="1" customFormat="1">
      <c r="A33" s="4" t="s">
        <v>3253</v>
      </c>
      <c r="B33" s="3" t="s">
        <v>2855</v>
      </c>
      <c r="C33" s="3">
        <v>35</v>
      </c>
      <c r="D33" s="4" t="e">
        <v>#N/A</v>
      </c>
      <c r="E33" s="4"/>
      <c r="F33" s="5" t="s">
        <v>3254</v>
      </c>
      <c r="G33" s="6" t="e">
        <v>#N/A</v>
      </c>
      <c r="H33" s="21" t="e">
        <v>#N/A</v>
      </c>
      <c r="I33" s="21" t="e">
        <v>#N/A</v>
      </c>
      <c r="J33" s="21" t="e">
        <v>#N/A</v>
      </c>
      <c r="K33" s="22" t="e">
        <v>#N/A</v>
      </c>
    </row>
    <row r="34" spans="1:11" s="1" customFormat="1">
      <c r="A34" s="4" t="s">
        <v>3255</v>
      </c>
      <c r="B34" s="3" t="s">
        <v>2855</v>
      </c>
      <c r="C34" s="3">
        <v>30</v>
      </c>
      <c r="D34" s="4" t="e">
        <v>#N/A</v>
      </c>
      <c r="E34" s="4"/>
      <c r="F34" s="5" t="s">
        <v>3256</v>
      </c>
      <c r="G34" s="6" t="e">
        <v>#N/A</v>
      </c>
      <c r="H34" s="21" t="e">
        <v>#N/A</v>
      </c>
      <c r="I34" s="21" t="e">
        <v>#N/A</v>
      </c>
      <c r="J34" s="21" t="e">
        <v>#N/A</v>
      </c>
      <c r="K34" s="22" t="e">
        <v>#N/A</v>
      </c>
    </row>
    <row r="35" spans="1:11" s="1" customFormat="1">
      <c r="A35" s="4" t="s">
        <v>3257</v>
      </c>
      <c r="B35" s="3" t="s">
        <v>3208</v>
      </c>
      <c r="C35" s="3">
        <v>243</v>
      </c>
      <c r="D35" s="4" t="e">
        <v>#N/A</v>
      </c>
      <c r="E35" s="4"/>
      <c r="F35" s="5" t="s">
        <v>3258</v>
      </c>
      <c r="G35" s="6" t="e">
        <v>#N/A</v>
      </c>
      <c r="H35" s="21" t="e">
        <v>#N/A</v>
      </c>
      <c r="I35" s="21" t="e">
        <v>#N/A</v>
      </c>
      <c r="J35" s="21" t="e">
        <v>#N/A</v>
      </c>
      <c r="K35" s="22" t="e">
        <v>#N/A</v>
      </c>
    </row>
    <row r="36" spans="1:11" s="1" customFormat="1">
      <c r="A36" s="4" t="s">
        <v>3259</v>
      </c>
      <c r="B36" s="3" t="s">
        <v>2855</v>
      </c>
      <c r="C36" s="3">
        <v>39</v>
      </c>
      <c r="D36" s="4" t="e">
        <v>#N/A</v>
      </c>
      <c r="E36" s="4"/>
      <c r="F36" s="5" t="s">
        <v>3260</v>
      </c>
      <c r="G36" s="6" t="e">
        <v>#N/A</v>
      </c>
      <c r="H36" s="21" t="e">
        <v>#N/A</v>
      </c>
      <c r="I36" s="21" t="e">
        <v>#N/A</v>
      </c>
      <c r="J36" s="21" t="e">
        <v>#N/A</v>
      </c>
      <c r="K36" s="22" t="e">
        <v>#N/A</v>
      </c>
    </row>
    <row r="37" spans="1:11" s="1" customFormat="1">
      <c r="A37" s="4" t="s">
        <v>3261</v>
      </c>
      <c r="B37" s="3" t="s">
        <v>2855</v>
      </c>
      <c r="C37" s="3">
        <v>46</v>
      </c>
      <c r="D37" s="4" t="e">
        <v>#N/A</v>
      </c>
      <c r="E37" s="4"/>
      <c r="F37" s="5" t="s">
        <v>3262</v>
      </c>
      <c r="G37" s="6" t="e">
        <v>#N/A</v>
      </c>
      <c r="H37" s="21" t="e">
        <v>#N/A</v>
      </c>
      <c r="I37" s="21" t="e">
        <v>#N/A</v>
      </c>
      <c r="J37" s="21" t="e">
        <v>#N/A</v>
      </c>
      <c r="K37" s="22" t="e">
        <v>#N/A</v>
      </c>
    </row>
    <row r="38" spans="1:11" s="1" customFormat="1">
      <c r="A38" s="4" t="s">
        <v>3263</v>
      </c>
      <c r="B38" s="3" t="s">
        <v>3208</v>
      </c>
      <c r="C38" s="3">
        <v>83</v>
      </c>
      <c r="D38" s="4" t="e">
        <v>#N/A</v>
      </c>
      <c r="E38" s="4"/>
      <c r="F38" s="5" t="s">
        <v>3264</v>
      </c>
      <c r="G38" s="6" t="e">
        <v>#N/A</v>
      </c>
      <c r="H38" s="21" t="e">
        <v>#N/A</v>
      </c>
      <c r="I38" s="21" t="e">
        <v>#N/A</v>
      </c>
      <c r="J38" s="21" t="e">
        <v>#N/A</v>
      </c>
      <c r="K38" s="22" t="e">
        <v>#N/A</v>
      </c>
    </row>
    <row r="39" spans="1:11" s="1" customFormat="1">
      <c r="A39" s="4" t="s">
        <v>3265</v>
      </c>
      <c r="B39" s="3" t="s">
        <v>2855</v>
      </c>
      <c r="C39" s="3">
        <v>61</v>
      </c>
      <c r="D39" s="4" t="e">
        <v>#N/A</v>
      </c>
      <c r="E39" s="4"/>
      <c r="F39" s="5" t="s">
        <v>3266</v>
      </c>
      <c r="G39" s="6" t="e">
        <v>#N/A</v>
      </c>
      <c r="H39" s="21" t="e">
        <v>#N/A</v>
      </c>
      <c r="I39" s="21" t="e">
        <v>#N/A</v>
      </c>
      <c r="J39" s="21" t="e">
        <v>#N/A</v>
      </c>
      <c r="K39" s="22" t="e">
        <v>#N/A</v>
      </c>
    </row>
    <row r="40" spans="1:11" s="1" customFormat="1">
      <c r="A40" s="4" t="s">
        <v>3267</v>
      </c>
      <c r="B40" s="3" t="s">
        <v>3182</v>
      </c>
      <c r="C40" s="3">
        <v>34</v>
      </c>
      <c r="D40" s="4" t="e">
        <v>#N/A</v>
      </c>
      <c r="E40" s="4"/>
      <c r="F40" s="5" t="s">
        <v>3268</v>
      </c>
      <c r="G40" s="6" t="e">
        <v>#N/A</v>
      </c>
      <c r="H40" s="21" t="e">
        <v>#N/A</v>
      </c>
      <c r="I40" s="21" t="e">
        <v>#N/A</v>
      </c>
      <c r="J40" s="21" t="e">
        <v>#N/A</v>
      </c>
      <c r="K40" s="22" t="e">
        <v>#N/A</v>
      </c>
    </row>
    <row r="41" spans="1:11" s="1" customFormat="1">
      <c r="A41" s="4" t="s">
        <v>3269</v>
      </c>
      <c r="B41" s="3" t="s">
        <v>3213</v>
      </c>
      <c r="C41" s="3">
        <v>68</v>
      </c>
      <c r="D41" s="4" t="e">
        <v>#N/A</v>
      </c>
      <c r="E41" s="4"/>
      <c r="F41" s="5" t="s">
        <v>3270</v>
      </c>
      <c r="G41" s="6" t="e">
        <v>#N/A</v>
      </c>
      <c r="H41" s="21" t="e">
        <v>#N/A</v>
      </c>
      <c r="I41" s="21" t="e">
        <v>#N/A</v>
      </c>
      <c r="J41" s="21" t="e">
        <v>#N/A</v>
      </c>
      <c r="K41" s="22" t="e">
        <v>#N/A</v>
      </c>
    </row>
    <row r="42" spans="1:11" s="1" customFormat="1">
      <c r="A42" s="4" t="s">
        <v>3271</v>
      </c>
      <c r="B42" s="3" t="s">
        <v>2855</v>
      </c>
      <c r="C42" s="3">
        <v>82</v>
      </c>
      <c r="D42" s="4" t="e">
        <v>#N/A</v>
      </c>
      <c r="E42" s="4"/>
      <c r="F42" s="5" t="s">
        <v>3272</v>
      </c>
      <c r="G42" s="6" t="e">
        <v>#N/A</v>
      </c>
      <c r="H42" s="21" t="e">
        <v>#N/A</v>
      </c>
      <c r="I42" s="21" t="e">
        <v>#N/A</v>
      </c>
      <c r="J42" s="21" t="e">
        <v>#N/A</v>
      </c>
      <c r="K42" s="22" t="e">
        <v>#N/A</v>
      </c>
    </row>
    <row r="43" spans="1:11" s="1" customFormat="1">
      <c r="A43" s="4" t="s">
        <v>3273</v>
      </c>
      <c r="B43" s="3" t="s">
        <v>2855</v>
      </c>
      <c r="C43" s="3">
        <v>62</v>
      </c>
      <c r="D43" s="4" t="e">
        <v>#N/A</v>
      </c>
      <c r="E43" s="4"/>
      <c r="F43" s="5" t="s">
        <v>3274</v>
      </c>
      <c r="G43" s="6" t="e">
        <v>#N/A</v>
      </c>
      <c r="H43" s="21" t="e">
        <v>#N/A</v>
      </c>
      <c r="I43" s="21" t="e">
        <v>#N/A</v>
      </c>
      <c r="J43" s="21" t="e">
        <v>#N/A</v>
      </c>
      <c r="K43" s="22" t="e">
        <v>#N/A</v>
      </c>
    </row>
    <row r="44" spans="1:11" s="1" customFormat="1">
      <c r="A44" s="4" t="s">
        <v>3275</v>
      </c>
      <c r="B44" s="3" t="s">
        <v>2855</v>
      </c>
      <c r="C44" s="3">
        <v>47</v>
      </c>
      <c r="D44" s="4" t="e">
        <v>#N/A</v>
      </c>
      <c r="E44" s="4"/>
      <c r="F44" s="5" t="s">
        <v>3276</v>
      </c>
      <c r="G44" s="6" t="e">
        <v>#N/A</v>
      </c>
      <c r="H44" s="21" t="e">
        <v>#N/A</v>
      </c>
      <c r="I44" s="21" t="e">
        <v>#N/A</v>
      </c>
      <c r="J44" s="21" t="e">
        <v>#N/A</v>
      </c>
      <c r="K44" s="22" t="e">
        <v>#N/A</v>
      </c>
    </row>
    <row r="45" spans="1:11" s="1" customFormat="1">
      <c r="A45" s="4" t="s">
        <v>3277</v>
      </c>
      <c r="B45" s="3" t="s">
        <v>3213</v>
      </c>
      <c r="C45" s="3">
        <v>31</v>
      </c>
      <c r="D45" s="4" t="e">
        <v>#N/A</v>
      </c>
      <c r="E45" s="4"/>
      <c r="F45" s="5" t="s">
        <v>3278</v>
      </c>
      <c r="G45" s="6" t="e">
        <v>#N/A</v>
      </c>
      <c r="H45" s="21" t="e">
        <v>#N/A</v>
      </c>
      <c r="I45" s="21" t="e">
        <v>#N/A</v>
      </c>
      <c r="J45" s="21" t="e">
        <v>#N/A</v>
      </c>
      <c r="K45" s="22" t="e">
        <v>#N/A</v>
      </c>
    </row>
    <row r="46" spans="1:11" s="1" customFormat="1">
      <c r="A46" s="4" t="s">
        <v>3279</v>
      </c>
      <c r="B46" s="3" t="s">
        <v>3213</v>
      </c>
      <c r="C46" s="3">
        <v>21</v>
      </c>
      <c r="D46" s="4" t="e">
        <v>#N/A</v>
      </c>
      <c r="E46" s="4"/>
      <c r="F46" s="5" t="s">
        <v>3280</v>
      </c>
      <c r="G46" s="6" t="e">
        <v>#N/A</v>
      </c>
      <c r="H46" s="21" t="e">
        <v>#N/A</v>
      </c>
      <c r="I46" s="21" t="e">
        <v>#N/A</v>
      </c>
      <c r="J46" s="21" t="e">
        <v>#N/A</v>
      </c>
      <c r="K46" s="22" t="e">
        <v>#N/A</v>
      </c>
    </row>
    <row r="47" spans="1:11" s="1" customFormat="1">
      <c r="A47" s="4" t="s">
        <v>3281</v>
      </c>
      <c r="B47" s="3" t="s">
        <v>3208</v>
      </c>
      <c r="C47" s="3">
        <v>119</v>
      </c>
      <c r="D47" s="4" t="e">
        <v>#N/A</v>
      </c>
      <c r="E47" s="4"/>
      <c r="F47" s="5" t="s">
        <v>3282</v>
      </c>
      <c r="G47" s="6" t="e">
        <v>#N/A</v>
      </c>
      <c r="H47" s="21" t="e">
        <v>#N/A</v>
      </c>
      <c r="I47" s="21" t="e">
        <v>#N/A</v>
      </c>
      <c r="J47" s="21" t="e">
        <v>#N/A</v>
      </c>
      <c r="K47" s="22" t="e">
        <v>#N/A</v>
      </c>
    </row>
    <row r="48" spans="1:11" s="1" customFormat="1">
      <c r="A48" s="4" t="s">
        <v>3283</v>
      </c>
      <c r="B48" s="3" t="s">
        <v>2855</v>
      </c>
      <c r="C48" s="3">
        <v>54</v>
      </c>
      <c r="D48" s="4" t="e">
        <v>#N/A</v>
      </c>
      <c r="E48" s="4"/>
      <c r="F48" s="5" t="s">
        <v>3284</v>
      </c>
      <c r="G48" s="6" t="e">
        <v>#N/A</v>
      </c>
      <c r="H48" s="21" t="e">
        <v>#N/A</v>
      </c>
      <c r="I48" s="21" t="e">
        <v>#N/A</v>
      </c>
      <c r="J48" s="21" t="e">
        <v>#N/A</v>
      </c>
      <c r="K48" s="22" t="e">
        <v>#N/A</v>
      </c>
    </row>
    <row r="49" spans="1:11" s="1" customFormat="1">
      <c r="A49" s="4" t="s">
        <v>3285</v>
      </c>
      <c r="B49" s="3" t="s">
        <v>2855</v>
      </c>
      <c r="C49" s="3">
        <v>70</v>
      </c>
      <c r="D49" s="4" t="e">
        <v>#N/A</v>
      </c>
      <c r="E49" s="4"/>
      <c r="F49" s="5" t="s">
        <v>3286</v>
      </c>
      <c r="G49" s="6" t="e">
        <v>#N/A</v>
      </c>
      <c r="H49" s="21" t="e">
        <v>#N/A</v>
      </c>
      <c r="I49" s="21" t="e">
        <v>#N/A</v>
      </c>
      <c r="J49" s="21" t="e">
        <v>#N/A</v>
      </c>
      <c r="K49" s="22" t="e">
        <v>#N/A</v>
      </c>
    </row>
    <row r="50" spans="1:11" s="1" customFormat="1">
      <c r="A50" s="4" t="s">
        <v>3287</v>
      </c>
      <c r="B50" s="3" t="s">
        <v>2855</v>
      </c>
      <c r="C50" s="3">
        <v>57</v>
      </c>
      <c r="D50" s="4" t="e">
        <v>#N/A</v>
      </c>
      <c r="E50" s="4"/>
      <c r="F50" s="5" t="s">
        <v>3288</v>
      </c>
      <c r="G50" s="6" t="e">
        <v>#N/A</v>
      </c>
      <c r="H50" s="21" t="e">
        <v>#N/A</v>
      </c>
      <c r="I50" s="21" t="e">
        <v>#N/A</v>
      </c>
      <c r="J50" s="21" t="e">
        <v>#N/A</v>
      </c>
      <c r="K50" s="22" t="e">
        <v>#N/A</v>
      </c>
    </row>
    <row r="51" spans="1:11" s="1" customFormat="1">
      <c r="A51" s="4" t="s">
        <v>3289</v>
      </c>
      <c r="B51" s="3" t="s">
        <v>2855</v>
      </c>
      <c r="C51" s="3">
        <v>120</v>
      </c>
      <c r="D51" s="4" t="e">
        <v>#N/A</v>
      </c>
      <c r="E51" s="4"/>
      <c r="F51" s="5" t="s">
        <v>3290</v>
      </c>
      <c r="G51" s="6" t="e">
        <v>#N/A</v>
      </c>
      <c r="H51" s="21" t="e">
        <v>#N/A</v>
      </c>
      <c r="I51" s="21" t="e">
        <v>#N/A</v>
      </c>
      <c r="J51" s="21" t="e">
        <v>#N/A</v>
      </c>
      <c r="K51" s="22" t="e">
        <v>#N/A</v>
      </c>
    </row>
    <row r="52" spans="1:11" s="1" customFormat="1">
      <c r="A52" s="4" t="s">
        <v>3291</v>
      </c>
      <c r="B52" s="3" t="s">
        <v>2855</v>
      </c>
      <c r="C52" s="3">
        <v>86</v>
      </c>
      <c r="D52" s="4" t="e">
        <v>#N/A</v>
      </c>
      <c r="E52" s="4"/>
      <c r="F52" s="5" t="s">
        <v>3292</v>
      </c>
      <c r="G52" s="6" t="e">
        <v>#N/A</v>
      </c>
      <c r="H52" s="21" t="e">
        <v>#N/A</v>
      </c>
      <c r="I52" s="21" t="e">
        <v>#N/A</v>
      </c>
      <c r="J52" s="21" t="e">
        <v>#N/A</v>
      </c>
      <c r="K52" s="22" t="e">
        <v>#N/A</v>
      </c>
    </row>
    <row r="53" spans="1:11" s="1" customFormat="1">
      <c r="A53" s="4" t="s">
        <v>3293</v>
      </c>
      <c r="B53" s="3" t="s">
        <v>2855</v>
      </c>
      <c r="C53" s="3">
        <v>109</v>
      </c>
      <c r="D53" s="4" t="e">
        <v>#N/A</v>
      </c>
      <c r="E53" s="4"/>
      <c r="F53" s="5" t="s">
        <v>3294</v>
      </c>
      <c r="G53" s="6" t="e">
        <v>#N/A</v>
      </c>
      <c r="H53" s="21" t="e">
        <v>#N/A</v>
      </c>
      <c r="I53" s="21" t="e">
        <v>#N/A</v>
      </c>
      <c r="J53" s="21" t="e">
        <v>#N/A</v>
      </c>
      <c r="K53" s="22" t="e">
        <v>#N/A</v>
      </c>
    </row>
    <row r="54" spans="1:11" s="1" customFormat="1">
      <c r="A54" s="4" t="s">
        <v>3295</v>
      </c>
      <c r="B54" s="3" t="s">
        <v>2855</v>
      </c>
      <c r="C54" s="3">
        <v>36</v>
      </c>
      <c r="D54" s="4" t="e">
        <v>#N/A</v>
      </c>
      <c r="E54" s="4"/>
      <c r="F54" s="5" t="s">
        <v>3296</v>
      </c>
      <c r="G54" s="6" t="e">
        <v>#N/A</v>
      </c>
      <c r="H54" s="21" t="e">
        <v>#N/A</v>
      </c>
      <c r="I54" s="21" t="e">
        <v>#N/A</v>
      </c>
      <c r="J54" s="21" t="e">
        <v>#N/A</v>
      </c>
      <c r="K54" s="22" t="e">
        <v>#N/A</v>
      </c>
    </row>
    <row r="55" spans="1:11" s="1" customFormat="1">
      <c r="A55" s="4" t="s">
        <v>3297</v>
      </c>
      <c r="B55" s="3" t="s">
        <v>3213</v>
      </c>
      <c r="C55" s="3">
        <v>42</v>
      </c>
      <c r="D55" s="4" t="e">
        <v>#N/A</v>
      </c>
      <c r="E55" s="4"/>
      <c r="F55" s="5" t="s">
        <v>3298</v>
      </c>
      <c r="G55" s="6" t="e">
        <v>#N/A</v>
      </c>
      <c r="H55" s="21" t="e">
        <v>#N/A</v>
      </c>
      <c r="I55" s="21" t="e">
        <v>#N/A</v>
      </c>
      <c r="J55" s="21" t="e">
        <v>#N/A</v>
      </c>
      <c r="K55" s="22" t="e">
        <v>#N/A</v>
      </c>
    </row>
    <row r="56" spans="1:11" s="1" customFormat="1">
      <c r="A56" s="4" t="s">
        <v>3299</v>
      </c>
      <c r="B56" s="3" t="s">
        <v>2855</v>
      </c>
      <c r="C56" s="3">
        <v>65</v>
      </c>
      <c r="D56" s="4" t="e">
        <v>#N/A</v>
      </c>
      <c r="E56" s="4"/>
      <c r="F56" s="5" t="s">
        <v>3300</v>
      </c>
      <c r="G56" s="6" t="e">
        <v>#N/A</v>
      </c>
      <c r="H56" s="21" t="e">
        <v>#N/A</v>
      </c>
      <c r="I56" s="21" t="e">
        <v>#N/A</v>
      </c>
      <c r="J56" s="21" t="e">
        <v>#N/A</v>
      </c>
      <c r="K56" s="22" t="e">
        <v>#N/A</v>
      </c>
    </row>
    <row r="57" spans="1:11" s="1" customFormat="1">
      <c r="A57" s="4" t="s">
        <v>3301</v>
      </c>
      <c r="B57" s="3" t="s">
        <v>2855</v>
      </c>
      <c r="C57" s="3">
        <v>55</v>
      </c>
      <c r="D57" s="4" t="e">
        <v>#N/A</v>
      </c>
      <c r="E57" s="4"/>
      <c r="F57" s="5" t="s">
        <v>3302</v>
      </c>
      <c r="G57" s="6" t="e">
        <v>#N/A</v>
      </c>
      <c r="H57" s="21" t="e">
        <v>#N/A</v>
      </c>
      <c r="I57" s="21" t="e">
        <v>#N/A</v>
      </c>
      <c r="J57" s="21" t="e">
        <v>#N/A</v>
      </c>
      <c r="K57" s="22" t="e">
        <v>#N/A</v>
      </c>
    </row>
    <row r="58" spans="1:11" s="1" customFormat="1">
      <c r="A58" s="4" t="s">
        <v>3303</v>
      </c>
      <c r="B58" s="3" t="s">
        <v>3213</v>
      </c>
      <c r="C58" s="3">
        <v>92</v>
      </c>
      <c r="D58" s="4" t="e">
        <v>#N/A</v>
      </c>
      <c r="E58" s="4"/>
      <c r="F58" s="5" t="s">
        <v>3304</v>
      </c>
      <c r="G58" s="6" t="e">
        <v>#N/A</v>
      </c>
      <c r="H58" s="21" t="e">
        <v>#N/A</v>
      </c>
      <c r="I58" s="21" t="e">
        <v>#N/A</v>
      </c>
      <c r="J58" s="21" t="e">
        <v>#N/A</v>
      </c>
      <c r="K58" s="22" t="e">
        <v>#N/A</v>
      </c>
    </row>
    <row r="59" spans="1:11" s="1" customFormat="1">
      <c r="A59" s="4" t="s">
        <v>3305</v>
      </c>
      <c r="B59" s="3" t="s">
        <v>2855</v>
      </c>
      <c r="C59" s="3">
        <v>78</v>
      </c>
      <c r="D59" s="4" t="e">
        <v>#N/A</v>
      </c>
      <c r="E59" s="4"/>
      <c r="F59" s="5" t="s">
        <v>3306</v>
      </c>
      <c r="G59" s="6" t="e">
        <v>#N/A</v>
      </c>
      <c r="H59" s="21" t="e">
        <v>#N/A</v>
      </c>
      <c r="I59" s="21" t="e">
        <v>#N/A</v>
      </c>
      <c r="J59" s="21" t="e">
        <v>#N/A</v>
      </c>
      <c r="K59" s="22" t="e">
        <v>#N/A</v>
      </c>
    </row>
    <row r="60" spans="1:11" s="1" customFormat="1">
      <c r="A60" s="4" t="s">
        <v>3307</v>
      </c>
      <c r="B60" s="3" t="s">
        <v>2855</v>
      </c>
      <c r="C60" s="3">
        <v>77</v>
      </c>
      <c r="D60" s="4" t="e">
        <v>#N/A</v>
      </c>
      <c r="E60" s="4"/>
      <c r="F60" s="5" t="s">
        <v>3308</v>
      </c>
      <c r="G60" s="6" t="e">
        <v>#N/A</v>
      </c>
      <c r="H60" s="21" t="e">
        <v>#N/A</v>
      </c>
      <c r="I60" s="21" t="e">
        <v>#N/A</v>
      </c>
      <c r="J60" s="21" t="e">
        <v>#N/A</v>
      </c>
      <c r="K60" s="22" t="e">
        <v>#N/A</v>
      </c>
    </row>
    <row r="61" spans="1:11" s="1" customFormat="1">
      <c r="A61" s="4" t="s">
        <v>3309</v>
      </c>
      <c r="B61" s="3" t="s">
        <v>3213</v>
      </c>
      <c r="C61" s="3">
        <v>60</v>
      </c>
      <c r="D61" s="4" t="e">
        <v>#N/A</v>
      </c>
      <c r="E61" s="4"/>
      <c r="F61" s="5" t="s">
        <v>3310</v>
      </c>
      <c r="G61" s="6" t="e">
        <v>#N/A</v>
      </c>
      <c r="H61" s="21" t="e">
        <v>#N/A</v>
      </c>
      <c r="I61" s="21" t="e">
        <v>#N/A</v>
      </c>
      <c r="J61" s="21" t="e">
        <v>#N/A</v>
      </c>
      <c r="K61" s="22" t="e">
        <v>#N/A</v>
      </c>
    </row>
    <row r="62" spans="1:11" s="1" customFormat="1">
      <c r="A62" s="4" t="s">
        <v>3311</v>
      </c>
      <c r="B62" s="3" t="s">
        <v>2855</v>
      </c>
      <c r="C62" s="3">
        <v>50</v>
      </c>
      <c r="D62" s="4" t="e">
        <v>#N/A</v>
      </c>
      <c r="E62" s="4"/>
      <c r="F62" s="5" t="s">
        <v>3312</v>
      </c>
      <c r="G62" s="6" t="e">
        <v>#N/A</v>
      </c>
      <c r="H62" s="21" t="e">
        <v>#N/A</v>
      </c>
      <c r="I62" s="21" t="e">
        <v>#N/A</v>
      </c>
      <c r="J62" s="21" t="e">
        <v>#N/A</v>
      </c>
      <c r="K62" s="22" t="e">
        <v>#N/A</v>
      </c>
    </row>
    <row r="63" spans="1:11" s="1" customFormat="1">
      <c r="A63" s="4" t="s">
        <v>3313</v>
      </c>
      <c r="B63" s="3" t="s">
        <v>2855</v>
      </c>
      <c r="C63" s="3">
        <v>75</v>
      </c>
      <c r="D63" s="4" t="e">
        <v>#N/A</v>
      </c>
      <c r="E63" s="4"/>
      <c r="F63" s="5" t="s">
        <v>3314</v>
      </c>
      <c r="G63" s="6" t="e">
        <v>#N/A</v>
      </c>
      <c r="H63" s="21" t="e">
        <v>#N/A</v>
      </c>
      <c r="I63" s="21" t="e">
        <v>#N/A</v>
      </c>
      <c r="J63" s="21" t="e">
        <v>#N/A</v>
      </c>
      <c r="K63" s="22" t="e">
        <v>#N/A</v>
      </c>
    </row>
    <row r="64" spans="1:11" s="1" customFormat="1">
      <c r="A64" s="4" t="s">
        <v>3315</v>
      </c>
      <c r="B64" s="3" t="s">
        <v>2855</v>
      </c>
      <c r="C64" s="3">
        <v>52</v>
      </c>
      <c r="D64" s="4" t="e">
        <v>#N/A</v>
      </c>
      <c r="E64" s="4"/>
      <c r="F64" s="5" t="s">
        <v>3316</v>
      </c>
      <c r="G64" s="6" t="e">
        <v>#N/A</v>
      </c>
      <c r="H64" s="21" t="e">
        <v>#N/A</v>
      </c>
      <c r="I64" s="21" t="e">
        <v>#N/A</v>
      </c>
      <c r="J64" s="21" t="e">
        <v>#N/A</v>
      </c>
      <c r="K64" s="22" t="e">
        <v>#N/A</v>
      </c>
    </row>
    <row r="65" spans="1:11" s="1" customFormat="1">
      <c r="A65" s="4" t="s">
        <v>3317</v>
      </c>
      <c r="B65" s="3" t="s">
        <v>2855</v>
      </c>
      <c r="C65" s="3">
        <v>18</v>
      </c>
      <c r="D65" s="4" t="e">
        <v>#N/A</v>
      </c>
      <c r="E65" s="4"/>
      <c r="F65" s="5" t="s">
        <v>3318</v>
      </c>
      <c r="G65" s="6" t="e">
        <v>#N/A</v>
      </c>
      <c r="H65" s="21" t="e">
        <v>#N/A</v>
      </c>
      <c r="I65" s="21" t="e">
        <v>#N/A</v>
      </c>
      <c r="J65" s="21" t="e">
        <v>#N/A</v>
      </c>
      <c r="K65" s="22" t="e">
        <v>#N/A</v>
      </c>
    </row>
    <row r="66" spans="1:11" s="1" customFormat="1">
      <c r="A66" s="4" t="s">
        <v>3319</v>
      </c>
      <c r="B66" s="3" t="s">
        <v>2855</v>
      </c>
      <c r="C66" s="3">
        <v>51</v>
      </c>
      <c r="D66" s="4" t="e">
        <v>#N/A</v>
      </c>
      <c r="E66" s="4"/>
      <c r="F66" s="5" t="s">
        <v>3320</v>
      </c>
      <c r="G66" s="6" t="e">
        <v>#N/A</v>
      </c>
      <c r="H66" s="21" t="e">
        <v>#N/A</v>
      </c>
      <c r="I66" s="21" t="e">
        <v>#N/A</v>
      </c>
      <c r="J66" s="21" t="e">
        <v>#N/A</v>
      </c>
      <c r="K66" s="22" t="e">
        <v>#N/A</v>
      </c>
    </row>
    <row r="67" spans="1:11" s="1" customFormat="1">
      <c r="A67" s="4" t="s">
        <v>3321</v>
      </c>
      <c r="B67" s="3" t="s">
        <v>3213</v>
      </c>
      <c r="C67" s="3">
        <v>28</v>
      </c>
      <c r="D67" s="4" t="e">
        <v>#N/A</v>
      </c>
      <c r="E67" s="4"/>
      <c r="F67" s="5" t="s">
        <v>3322</v>
      </c>
      <c r="G67" s="6" t="e">
        <v>#N/A</v>
      </c>
      <c r="H67" s="21" t="e">
        <v>#N/A</v>
      </c>
      <c r="I67" s="21" t="e">
        <v>#N/A</v>
      </c>
      <c r="J67" s="21" t="e">
        <v>#N/A</v>
      </c>
      <c r="K67" s="22" t="e">
        <v>#N/A</v>
      </c>
    </row>
    <row r="68" spans="1:11" s="1" customFormat="1">
      <c r="A68" s="4" t="s">
        <v>3323</v>
      </c>
      <c r="B68" s="3" t="s">
        <v>2855</v>
      </c>
      <c r="C68" s="3">
        <v>56</v>
      </c>
      <c r="D68" s="4" t="e">
        <v>#N/A</v>
      </c>
      <c r="E68" s="4"/>
      <c r="F68" s="5" t="s">
        <v>3324</v>
      </c>
      <c r="G68" s="6" t="e">
        <v>#N/A</v>
      </c>
      <c r="H68" s="21" t="e">
        <v>#N/A</v>
      </c>
      <c r="I68" s="21" t="e">
        <v>#N/A</v>
      </c>
      <c r="J68" s="21" t="e">
        <v>#N/A</v>
      </c>
      <c r="K68" s="22" t="e">
        <v>#N/A</v>
      </c>
    </row>
    <row r="69" spans="1:11" s="1" customFormat="1">
      <c r="A69" s="4" t="s">
        <v>3325</v>
      </c>
      <c r="B69" s="3" t="s">
        <v>2855</v>
      </c>
      <c r="C69" s="3">
        <v>43</v>
      </c>
      <c r="D69" s="4" t="e">
        <v>#N/A</v>
      </c>
      <c r="E69" s="4"/>
      <c r="F69" s="5" t="s">
        <v>3326</v>
      </c>
      <c r="G69" s="6" t="e">
        <v>#N/A</v>
      </c>
      <c r="H69" s="21" t="e">
        <v>#N/A</v>
      </c>
      <c r="I69" s="21" t="e">
        <v>#N/A</v>
      </c>
      <c r="J69" s="21" t="e">
        <v>#N/A</v>
      </c>
      <c r="K69" s="22" t="e">
        <v>#N/A</v>
      </c>
    </row>
    <row r="70" spans="1:11" s="1" customFormat="1">
      <c r="A70" s="4" t="s">
        <v>3327</v>
      </c>
      <c r="B70" s="3" t="s">
        <v>3213</v>
      </c>
      <c r="C70" s="3">
        <v>59</v>
      </c>
      <c r="D70" s="4" t="e">
        <v>#N/A</v>
      </c>
      <c r="E70" s="4"/>
      <c r="F70" s="5" t="s">
        <v>3328</v>
      </c>
      <c r="G70" s="6" t="e">
        <v>#N/A</v>
      </c>
      <c r="H70" s="21" t="e">
        <v>#N/A</v>
      </c>
      <c r="I70" s="21" t="e">
        <v>#N/A</v>
      </c>
      <c r="J70" s="21" t="e">
        <v>#N/A</v>
      </c>
      <c r="K70" s="22" t="e">
        <v>#N/A</v>
      </c>
    </row>
    <row r="71" spans="1:11" s="1" customFormat="1">
      <c r="A71" s="4" t="s">
        <v>3329</v>
      </c>
      <c r="B71" s="3" t="s">
        <v>3213</v>
      </c>
      <c r="C71" s="3">
        <v>108</v>
      </c>
      <c r="D71" s="4" t="e">
        <v>#N/A</v>
      </c>
      <c r="E71" s="4"/>
      <c r="F71" s="5" t="s">
        <v>3330</v>
      </c>
      <c r="G71" s="6" t="e">
        <v>#N/A</v>
      </c>
      <c r="H71" s="21" t="e">
        <v>#N/A</v>
      </c>
      <c r="I71" s="21" t="e">
        <v>#N/A</v>
      </c>
      <c r="J71" s="21" t="e">
        <v>#N/A</v>
      </c>
      <c r="K71" s="22" t="e">
        <v>#N/A</v>
      </c>
    </row>
    <row r="72" spans="1:11" s="1" customFormat="1">
      <c r="A72" s="4" t="s">
        <v>3331</v>
      </c>
      <c r="B72" s="3" t="s">
        <v>2855</v>
      </c>
      <c r="C72" s="3">
        <v>79</v>
      </c>
      <c r="D72" s="4" t="e">
        <v>#N/A</v>
      </c>
      <c r="E72" s="4"/>
      <c r="F72" s="5" t="s">
        <v>3332</v>
      </c>
      <c r="G72" s="6" t="e">
        <v>#N/A</v>
      </c>
      <c r="H72" s="21" t="e">
        <v>#N/A</v>
      </c>
      <c r="I72" s="21" t="e">
        <v>#N/A</v>
      </c>
      <c r="J72" s="21" t="e">
        <v>#N/A</v>
      </c>
      <c r="K72" s="22" t="e">
        <v>#N/A</v>
      </c>
    </row>
    <row r="73" spans="1:11" s="1" customFormat="1">
      <c r="A73" s="4" t="s">
        <v>3333</v>
      </c>
      <c r="B73" s="3" t="s">
        <v>2855</v>
      </c>
      <c r="C73" s="3">
        <v>32</v>
      </c>
      <c r="D73" s="4" t="e">
        <v>#N/A</v>
      </c>
      <c r="E73" s="4"/>
      <c r="F73" s="5" t="s">
        <v>3334</v>
      </c>
      <c r="G73" s="6" t="e">
        <v>#N/A</v>
      </c>
      <c r="H73" s="21" t="e">
        <v>#N/A</v>
      </c>
      <c r="I73" s="21" t="e">
        <v>#N/A</v>
      </c>
      <c r="J73" s="21" t="e">
        <v>#N/A</v>
      </c>
      <c r="K73" s="22" t="e">
        <v>#N/A</v>
      </c>
    </row>
    <row r="74" spans="1:11" s="1" customFormat="1">
      <c r="A74" s="4" t="s">
        <v>3335</v>
      </c>
      <c r="B74" s="3" t="s">
        <v>2855</v>
      </c>
      <c r="C74" s="3">
        <v>48</v>
      </c>
      <c r="D74" s="4" t="e">
        <v>#N/A</v>
      </c>
      <c r="E74" s="4"/>
      <c r="F74" s="5" t="s">
        <v>3336</v>
      </c>
      <c r="G74" s="6" t="e">
        <v>#N/A</v>
      </c>
      <c r="H74" s="21" t="e">
        <v>#N/A</v>
      </c>
      <c r="I74" s="21" t="e">
        <v>#N/A</v>
      </c>
      <c r="J74" s="21" t="e">
        <v>#N/A</v>
      </c>
      <c r="K74" s="22" t="e">
        <v>#N/A</v>
      </c>
    </row>
    <row r="75" spans="1:11" s="1" customFormat="1">
      <c r="A75" s="4" t="s">
        <v>3337</v>
      </c>
      <c r="B75" s="3" t="s">
        <v>3208</v>
      </c>
      <c r="C75" s="3">
        <v>125</v>
      </c>
      <c r="D75" s="4" t="e">
        <v>#N/A</v>
      </c>
      <c r="E75" s="4"/>
      <c r="F75" s="5" t="s">
        <v>3338</v>
      </c>
      <c r="G75" s="6" t="e">
        <v>#N/A</v>
      </c>
      <c r="H75" s="21" t="e">
        <v>#N/A</v>
      </c>
      <c r="I75" s="21" t="e">
        <v>#N/A</v>
      </c>
      <c r="J75" s="21" t="e">
        <v>#N/A</v>
      </c>
      <c r="K75" s="22" t="e">
        <v>#N/A</v>
      </c>
    </row>
    <row r="76" spans="1:11" s="1" customFormat="1">
      <c r="A76" s="9" t="s">
        <v>2476</v>
      </c>
      <c r="B76" s="3" t="s">
        <v>2855</v>
      </c>
      <c r="C76" s="3">
        <v>67</v>
      </c>
      <c r="D76" s="4">
        <v>0</v>
      </c>
      <c r="E76" s="4"/>
      <c r="F76" s="6" t="s">
        <v>2478</v>
      </c>
      <c r="G76" s="6" t="s">
        <v>3339</v>
      </c>
      <c r="H76" s="21" t="s">
        <v>2479</v>
      </c>
      <c r="I76" s="21" t="s">
        <v>2480</v>
      </c>
      <c r="J76" s="21" t="s">
        <v>2481</v>
      </c>
      <c r="K76" s="22" t="e">
        <v>#N/A</v>
      </c>
    </row>
    <row r="77" spans="1:11" s="1" customFormat="1">
      <c r="A77" s="8" t="s">
        <v>3340</v>
      </c>
      <c r="B77" s="3" t="s">
        <v>3213</v>
      </c>
      <c r="C77" s="3">
        <v>53</v>
      </c>
      <c r="D77" s="4">
        <v>0</v>
      </c>
      <c r="E77" s="4"/>
      <c r="F77" s="5" t="s">
        <v>3341</v>
      </c>
      <c r="G77" s="6" t="e">
        <v>#N/A</v>
      </c>
      <c r="H77" s="21" t="s">
        <v>3342</v>
      </c>
      <c r="I77" s="21" t="s">
        <v>3343</v>
      </c>
      <c r="J77" s="21" t="e">
        <v>#N/A</v>
      </c>
      <c r="K77" s="22" t="e">
        <v>#N/A</v>
      </c>
    </row>
    <row r="78" spans="1:11" s="1" customFormat="1">
      <c r="A78" s="4" t="s">
        <v>3344</v>
      </c>
      <c r="B78" s="3" t="s">
        <v>2855</v>
      </c>
      <c r="C78" s="3">
        <v>93</v>
      </c>
      <c r="D78" s="4" t="e">
        <v>#N/A</v>
      </c>
      <c r="E78" s="4"/>
      <c r="F78" s="5" t="s">
        <v>3345</v>
      </c>
      <c r="G78" s="6" t="e">
        <v>#N/A</v>
      </c>
      <c r="H78" s="21" t="e">
        <v>#N/A</v>
      </c>
      <c r="I78" s="21" t="e">
        <v>#N/A</v>
      </c>
      <c r="J78" s="21" t="e">
        <v>#N/A</v>
      </c>
      <c r="K78" s="22" t="e">
        <v>#N/A</v>
      </c>
    </row>
    <row r="79" spans="1:11" s="1" customFormat="1">
      <c r="A79" s="4" t="s">
        <v>3346</v>
      </c>
      <c r="B79" s="3" t="s">
        <v>2855</v>
      </c>
      <c r="C79" s="3">
        <v>95</v>
      </c>
      <c r="D79" s="4" t="e">
        <v>#N/A</v>
      </c>
      <c r="E79" s="4"/>
      <c r="F79" s="5" t="s">
        <v>3347</v>
      </c>
      <c r="G79" s="6" t="e">
        <v>#N/A</v>
      </c>
      <c r="H79" s="21" t="e">
        <v>#N/A</v>
      </c>
      <c r="I79" s="21" t="e">
        <v>#N/A</v>
      </c>
      <c r="J79" s="21" t="e">
        <v>#N/A</v>
      </c>
      <c r="K79" s="22" t="e">
        <v>#N/A</v>
      </c>
    </row>
    <row r="80" spans="1:11" s="1" customFormat="1">
      <c r="A80" s="4" t="s">
        <v>3348</v>
      </c>
      <c r="B80" s="3" t="s">
        <v>2855</v>
      </c>
      <c r="C80" s="3">
        <v>87</v>
      </c>
      <c r="D80" s="4" t="e">
        <v>#N/A</v>
      </c>
      <c r="E80" s="4"/>
      <c r="F80" s="5" t="s">
        <v>3349</v>
      </c>
      <c r="G80" s="6" t="e">
        <v>#N/A</v>
      </c>
      <c r="H80" s="21" t="e">
        <v>#N/A</v>
      </c>
      <c r="I80" s="21" t="e">
        <v>#N/A</v>
      </c>
      <c r="J80" s="21" t="e">
        <v>#N/A</v>
      </c>
      <c r="K80" s="22" t="e">
        <v>#N/A</v>
      </c>
    </row>
    <row r="81" spans="1:11" s="1" customFormat="1">
      <c r="A81" s="4" t="s">
        <v>3350</v>
      </c>
      <c r="B81" s="3" t="s">
        <v>3208</v>
      </c>
      <c r="C81" s="3">
        <v>243</v>
      </c>
      <c r="D81" s="4" t="e">
        <v>#N/A</v>
      </c>
      <c r="E81" s="4"/>
      <c r="F81" s="5" t="s">
        <v>3351</v>
      </c>
      <c r="G81" s="6" t="e">
        <v>#N/A</v>
      </c>
      <c r="H81" s="21" t="e">
        <v>#N/A</v>
      </c>
      <c r="I81" s="21" t="e">
        <v>#N/A</v>
      </c>
      <c r="J81" s="21" t="e">
        <v>#N/A</v>
      </c>
      <c r="K81" s="22" t="e">
        <v>#N/A</v>
      </c>
    </row>
    <row r="82" spans="1:11" s="1" customFormat="1">
      <c r="A82" s="4" t="s">
        <v>3352</v>
      </c>
      <c r="B82" s="3" t="s">
        <v>3213</v>
      </c>
      <c r="C82" s="3">
        <v>130</v>
      </c>
      <c r="D82" s="4" t="e">
        <v>#N/A</v>
      </c>
      <c r="E82" s="4"/>
      <c r="F82" s="5" t="s">
        <v>3353</v>
      </c>
      <c r="G82" s="6" t="e">
        <v>#N/A</v>
      </c>
      <c r="H82" s="21" t="e">
        <v>#N/A</v>
      </c>
      <c r="I82" s="21" t="e">
        <v>#N/A</v>
      </c>
      <c r="J82" s="21" t="e">
        <v>#N/A</v>
      </c>
      <c r="K82" s="22" t="e">
        <v>#N/A</v>
      </c>
    </row>
    <row r="83" spans="1:11" s="1" customFormat="1">
      <c r="A83" s="4" t="s">
        <v>3354</v>
      </c>
      <c r="B83" s="3" t="s">
        <v>2855</v>
      </c>
      <c r="C83" s="3">
        <v>63</v>
      </c>
      <c r="D83" s="4" t="e">
        <v>#N/A</v>
      </c>
      <c r="E83" s="4"/>
      <c r="F83" s="5" t="s">
        <v>3355</v>
      </c>
      <c r="G83" s="6" t="e">
        <v>#N/A</v>
      </c>
      <c r="H83" s="21" t="e">
        <v>#N/A</v>
      </c>
      <c r="I83" s="21" t="e">
        <v>#N/A</v>
      </c>
      <c r="J83" s="21" t="e">
        <v>#N/A</v>
      </c>
      <c r="K83" s="22" t="e">
        <v>#N/A</v>
      </c>
    </row>
    <row r="84" spans="1:11" s="1" customFormat="1">
      <c r="A84" s="4" t="s">
        <v>3356</v>
      </c>
      <c r="B84" s="3" t="s">
        <v>2855</v>
      </c>
      <c r="C84" s="3">
        <v>44</v>
      </c>
      <c r="D84" s="4" t="e">
        <v>#N/A</v>
      </c>
      <c r="E84" s="4"/>
      <c r="F84" s="5" t="s">
        <v>3357</v>
      </c>
      <c r="G84" s="6" t="e">
        <v>#N/A</v>
      </c>
      <c r="H84" s="21" t="e">
        <v>#N/A</v>
      </c>
      <c r="I84" s="21" t="e">
        <v>#N/A</v>
      </c>
      <c r="J84" s="21" t="e">
        <v>#N/A</v>
      </c>
      <c r="K84" s="22" t="e">
        <v>#N/A</v>
      </c>
    </row>
    <row r="85" spans="1:11" s="1" customFormat="1">
      <c r="A85" s="4" t="s">
        <v>3358</v>
      </c>
      <c r="B85" s="3" t="s">
        <v>3208</v>
      </c>
      <c r="C85" s="3">
        <v>128</v>
      </c>
      <c r="D85" s="4" t="e">
        <v>#N/A</v>
      </c>
      <c r="E85" s="4"/>
      <c r="F85" s="5" t="s">
        <v>3359</v>
      </c>
      <c r="G85" s="6" t="e">
        <v>#N/A</v>
      </c>
      <c r="H85" s="21" t="e">
        <v>#N/A</v>
      </c>
      <c r="I85" s="21" t="e">
        <v>#N/A</v>
      </c>
      <c r="J85" s="21" t="e">
        <v>#N/A</v>
      </c>
      <c r="K85" s="22" t="e">
        <v>#N/A</v>
      </c>
    </row>
    <row r="86" spans="1:11" s="1" customFormat="1">
      <c r="A86" s="4" t="s">
        <v>3360</v>
      </c>
      <c r="B86" s="3" t="s">
        <v>2855</v>
      </c>
      <c r="C86" s="3">
        <v>71</v>
      </c>
      <c r="D86" s="4" t="e">
        <v>#N/A</v>
      </c>
      <c r="E86" s="4"/>
      <c r="F86" s="5" t="s">
        <v>3361</v>
      </c>
      <c r="G86" s="6" t="e">
        <v>#N/A</v>
      </c>
      <c r="H86" s="21" t="e">
        <v>#N/A</v>
      </c>
      <c r="I86" s="21" t="e">
        <v>#N/A</v>
      </c>
      <c r="J86" s="21" t="e">
        <v>#N/A</v>
      </c>
      <c r="K86" s="22" t="e">
        <v>#N/A</v>
      </c>
    </row>
    <row r="87" spans="1:11" s="1" customFormat="1">
      <c r="A87" s="4" t="s">
        <v>3362</v>
      </c>
      <c r="B87" s="3" t="s">
        <v>2855</v>
      </c>
      <c r="C87" s="3">
        <v>137</v>
      </c>
      <c r="D87" s="4" t="e">
        <v>#N/A</v>
      </c>
      <c r="E87" s="4"/>
      <c r="F87" s="5" t="s">
        <v>3363</v>
      </c>
      <c r="G87" s="6" t="e">
        <v>#N/A</v>
      </c>
      <c r="H87" s="21" t="e">
        <v>#N/A</v>
      </c>
      <c r="I87" s="21" t="e">
        <v>#N/A</v>
      </c>
      <c r="J87" s="21" t="e">
        <v>#N/A</v>
      </c>
      <c r="K87" s="22" t="e">
        <v>#N/A</v>
      </c>
    </row>
    <row r="88" spans="1:11" s="1" customFormat="1">
      <c r="A88" s="4" t="s">
        <v>3364</v>
      </c>
      <c r="B88" s="3" t="s">
        <v>3208</v>
      </c>
      <c r="C88" s="3">
        <v>243</v>
      </c>
      <c r="D88" s="4" t="e">
        <v>#N/A</v>
      </c>
      <c r="E88" s="4"/>
      <c r="F88" s="5" t="s">
        <v>3365</v>
      </c>
      <c r="G88" s="6" t="e">
        <v>#N/A</v>
      </c>
      <c r="H88" s="21" t="e">
        <v>#N/A</v>
      </c>
      <c r="I88" s="21" t="e">
        <v>#N/A</v>
      </c>
      <c r="J88" s="21" t="e">
        <v>#N/A</v>
      </c>
      <c r="K88" s="22" t="e">
        <v>#N/A</v>
      </c>
    </row>
    <row r="89" spans="1:11" s="1" customFormat="1">
      <c r="A89" s="4" t="s">
        <v>3366</v>
      </c>
      <c r="B89" s="3" t="s">
        <v>2855</v>
      </c>
      <c r="C89" s="3">
        <v>167</v>
      </c>
      <c r="D89" s="4" t="e">
        <v>#N/A</v>
      </c>
      <c r="E89" s="4"/>
      <c r="F89" s="5" t="s">
        <v>3367</v>
      </c>
      <c r="G89" s="6" t="e">
        <v>#N/A</v>
      </c>
      <c r="H89" s="21" t="e">
        <v>#N/A</v>
      </c>
      <c r="I89" s="21" t="e">
        <v>#N/A</v>
      </c>
      <c r="J89" s="21" t="e">
        <v>#N/A</v>
      </c>
      <c r="K89" s="22" t="e">
        <v>#N/A</v>
      </c>
    </row>
    <row r="90" spans="1:11" s="1" customFormat="1">
      <c r="A90" s="4" t="s">
        <v>3368</v>
      </c>
      <c r="B90" s="3" t="s">
        <v>2855</v>
      </c>
      <c r="C90" s="3">
        <v>85</v>
      </c>
      <c r="D90" s="4" t="e">
        <v>#N/A</v>
      </c>
      <c r="E90" s="4"/>
      <c r="F90" s="5" t="s">
        <v>3369</v>
      </c>
      <c r="G90" s="6" t="e">
        <v>#N/A</v>
      </c>
      <c r="H90" s="21" t="e">
        <v>#N/A</v>
      </c>
      <c r="I90" s="21" t="e">
        <v>#N/A</v>
      </c>
      <c r="J90" s="21" t="e">
        <v>#N/A</v>
      </c>
      <c r="K90" s="22" t="e">
        <v>#N/A</v>
      </c>
    </row>
    <row r="91" spans="1:11" s="1" customFormat="1">
      <c r="A91" s="4" t="s">
        <v>3370</v>
      </c>
      <c r="B91" s="3" t="s">
        <v>2855</v>
      </c>
      <c r="C91" s="3">
        <v>150</v>
      </c>
      <c r="D91" s="4" t="e">
        <v>#N/A</v>
      </c>
      <c r="E91" s="4"/>
      <c r="F91" s="5" t="s">
        <v>3371</v>
      </c>
      <c r="G91" s="6" t="e">
        <v>#N/A</v>
      </c>
      <c r="H91" s="21" t="e">
        <v>#N/A</v>
      </c>
      <c r="I91" s="21" t="e">
        <v>#N/A</v>
      </c>
      <c r="J91" s="21" t="e">
        <v>#N/A</v>
      </c>
      <c r="K91" s="22" t="e">
        <v>#N/A</v>
      </c>
    </row>
    <row r="92" spans="1:11" s="1" customFormat="1">
      <c r="A92" s="4" t="s">
        <v>3372</v>
      </c>
      <c r="B92" s="3" t="s">
        <v>2855</v>
      </c>
      <c r="C92" s="3">
        <v>66</v>
      </c>
      <c r="D92" s="4" t="e">
        <v>#N/A</v>
      </c>
      <c r="E92" s="4"/>
      <c r="F92" s="5" t="s">
        <v>3373</v>
      </c>
      <c r="G92" s="6" t="e">
        <v>#N/A</v>
      </c>
      <c r="H92" s="21" t="e">
        <v>#N/A</v>
      </c>
      <c r="I92" s="21" t="e">
        <v>#N/A</v>
      </c>
      <c r="J92" s="21" t="e">
        <v>#N/A</v>
      </c>
      <c r="K92" s="22" t="e">
        <v>#N/A</v>
      </c>
    </row>
    <row r="93" spans="1:11" s="1" customFormat="1">
      <c r="A93" s="4" t="s">
        <v>3374</v>
      </c>
      <c r="B93" s="3" t="s">
        <v>3208</v>
      </c>
      <c r="C93" s="3">
        <v>243</v>
      </c>
      <c r="D93" s="4" t="e">
        <v>#N/A</v>
      </c>
      <c r="E93" s="4"/>
      <c r="F93" s="5" t="s">
        <v>3375</v>
      </c>
      <c r="G93" s="6" t="e">
        <v>#N/A</v>
      </c>
      <c r="H93" s="21" t="e">
        <v>#N/A</v>
      </c>
      <c r="I93" s="21" t="e">
        <v>#N/A</v>
      </c>
      <c r="J93" s="21" t="e">
        <v>#N/A</v>
      </c>
      <c r="K93" s="22" t="e">
        <v>#N/A</v>
      </c>
    </row>
    <row r="94" spans="1:11" s="1" customFormat="1">
      <c r="A94" s="4" t="s">
        <v>3376</v>
      </c>
      <c r="B94" s="3" t="s">
        <v>2938</v>
      </c>
      <c r="C94" s="3">
        <v>90</v>
      </c>
      <c r="D94" s="4" t="e">
        <v>#N/A</v>
      </c>
      <c r="E94" s="4"/>
      <c r="F94" s="5" t="s">
        <v>3377</v>
      </c>
      <c r="G94" s="6" t="e">
        <v>#N/A</v>
      </c>
      <c r="H94" s="21" t="e">
        <v>#N/A</v>
      </c>
      <c r="I94" s="21" t="e">
        <v>#N/A</v>
      </c>
      <c r="J94" s="21" t="e">
        <v>#N/A</v>
      </c>
      <c r="K94" s="22" t="e">
        <v>#N/A</v>
      </c>
    </row>
    <row r="95" spans="1:11" s="1" customFormat="1">
      <c r="A95" s="4" t="s">
        <v>3378</v>
      </c>
      <c r="B95" s="3" t="s">
        <v>3181</v>
      </c>
      <c r="C95" s="3">
        <v>98</v>
      </c>
      <c r="D95" s="4" t="e">
        <v>#N/A</v>
      </c>
      <c r="E95" s="4"/>
      <c r="F95" s="5" t="s">
        <v>3379</v>
      </c>
      <c r="G95" s="6" t="e">
        <v>#N/A</v>
      </c>
      <c r="H95" s="21" t="e">
        <v>#N/A</v>
      </c>
      <c r="I95" s="21" t="e">
        <v>#N/A</v>
      </c>
      <c r="J95" s="21" t="e">
        <v>#N/A</v>
      </c>
      <c r="K95" s="22" t="e">
        <v>#N/A</v>
      </c>
    </row>
    <row r="96" spans="1:11" s="1" customFormat="1">
      <c r="A96" s="4" t="s">
        <v>3380</v>
      </c>
      <c r="B96" s="3" t="s">
        <v>2855</v>
      </c>
      <c r="C96" s="3">
        <v>74</v>
      </c>
      <c r="D96" s="4" t="e">
        <v>#N/A</v>
      </c>
      <c r="E96" s="4"/>
      <c r="F96" s="5" t="s">
        <v>3381</v>
      </c>
      <c r="G96" s="6" t="e">
        <v>#N/A</v>
      </c>
      <c r="H96" s="21" t="e">
        <v>#N/A</v>
      </c>
      <c r="I96" s="21" t="e">
        <v>#N/A</v>
      </c>
      <c r="J96" s="21" t="e">
        <v>#N/A</v>
      </c>
      <c r="K96" s="22" t="e">
        <v>#N/A</v>
      </c>
    </row>
    <row r="97" spans="1:11" s="1" customFormat="1">
      <c r="A97" s="4" t="s">
        <v>3382</v>
      </c>
      <c r="B97" s="3" t="s">
        <v>3208</v>
      </c>
      <c r="C97" s="3">
        <v>243</v>
      </c>
      <c r="D97" s="4" t="e">
        <v>#N/A</v>
      </c>
      <c r="E97" s="4"/>
      <c r="F97" s="5" t="s">
        <v>3383</v>
      </c>
      <c r="G97" s="6" t="e">
        <v>#N/A</v>
      </c>
      <c r="H97" s="21" t="e">
        <v>#N/A</v>
      </c>
      <c r="I97" s="21" t="e">
        <v>#N/A</v>
      </c>
      <c r="J97" s="21" t="e">
        <v>#N/A</v>
      </c>
      <c r="K97" s="22" t="e">
        <v>#N/A</v>
      </c>
    </row>
    <row r="98" spans="1:11" s="1" customFormat="1">
      <c r="A98" s="4" t="s">
        <v>3384</v>
      </c>
      <c r="B98" s="3" t="s">
        <v>2855</v>
      </c>
      <c r="C98" s="3">
        <v>136</v>
      </c>
      <c r="D98" s="4" t="e">
        <v>#N/A</v>
      </c>
      <c r="E98" s="4"/>
      <c r="F98" s="5" t="s">
        <v>3385</v>
      </c>
      <c r="G98" s="6" t="e">
        <v>#N/A</v>
      </c>
      <c r="H98" s="21" t="e">
        <v>#N/A</v>
      </c>
      <c r="I98" s="21" t="e">
        <v>#N/A</v>
      </c>
      <c r="J98" s="21" t="e">
        <v>#N/A</v>
      </c>
      <c r="K98" s="22" t="e">
        <v>#N/A</v>
      </c>
    </row>
    <row r="99" spans="1:11" s="1" customFormat="1">
      <c r="A99" s="4" t="s">
        <v>3386</v>
      </c>
      <c r="B99" s="3" t="s">
        <v>2855</v>
      </c>
      <c r="C99" s="3">
        <v>122</v>
      </c>
      <c r="D99" s="4" t="e">
        <v>#N/A</v>
      </c>
      <c r="E99" s="4"/>
      <c r="F99" s="5" t="s">
        <v>3387</v>
      </c>
      <c r="G99" s="6" t="e">
        <v>#N/A</v>
      </c>
      <c r="H99" s="21" t="e">
        <v>#N/A</v>
      </c>
      <c r="I99" s="21" t="e">
        <v>#N/A</v>
      </c>
      <c r="J99" s="21" t="e">
        <v>#N/A</v>
      </c>
      <c r="K99" s="22" t="e">
        <v>#N/A</v>
      </c>
    </row>
    <row r="100" spans="1:11" s="1" customFormat="1">
      <c r="A100" s="4" t="s">
        <v>3388</v>
      </c>
      <c r="B100" s="3" t="s">
        <v>2855</v>
      </c>
      <c r="C100" s="3">
        <v>113</v>
      </c>
      <c r="D100" s="4" t="e">
        <v>#N/A</v>
      </c>
      <c r="E100" s="4"/>
      <c r="F100" s="5" t="s">
        <v>3389</v>
      </c>
      <c r="G100" s="6" t="e">
        <v>#N/A</v>
      </c>
      <c r="H100" s="21" t="e">
        <v>#N/A</v>
      </c>
      <c r="I100" s="21" t="e">
        <v>#N/A</v>
      </c>
      <c r="J100" s="21" t="e">
        <v>#N/A</v>
      </c>
      <c r="K100" s="22" t="e">
        <v>#N/A</v>
      </c>
    </row>
    <row r="101" spans="1:11" s="1" customFormat="1">
      <c r="A101" s="4" t="s">
        <v>3390</v>
      </c>
      <c r="B101" s="3" t="s">
        <v>2855</v>
      </c>
      <c r="C101" s="3">
        <v>103</v>
      </c>
      <c r="D101" s="4" t="e">
        <v>#N/A</v>
      </c>
      <c r="E101" s="4"/>
      <c r="F101" s="5" t="s">
        <v>3391</v>
      </c>
      <c r="G101" s="6" t="e">
        <v>#N/A</v>
      </c>
      <c r="H101" s="21" t="e">
        <v>#N/A</v>
      </c>
      <c r="I101" s="21" t="e">
        <v>#N/A</v>
      </c>
      <c r="J101" s="21" t="e">
        <v>#N/A</v>
      </c>
      <c r="K101" s="22" t="e">
        <v>#N/A</v>
      </c>
    </row>
    <row r="102" spans="1:11" s="1" customFormat="1">
      <c r="A102" s="4" t="s">
        <v>3392</v>
      </c>
      <c r="B102" s="3" t="s">
        <v>2855</v>
      </c>
      <c r="C102" s="3">
        <v>121</v>
      </c>
      <c r="D102" s="4" t="e">
        <v>#N/A</v>
      </c>
      <c r="E102" s="4"/>
      <c r="F102" s="5" t="s">
        <v>3393</v>
      </c>
      <c r="G102" s="6" t="e">
        <v>#N/A</v>
      </c>
      <c r="H102" s="21" t="e">
        <v>#N/A</v>
      </c>
      <c r="I102" s="21" t="e">
        <v>#N/A</v>
      </c>
      <c r="J102" s="21" t="e">
        <v>#N/A</v>
      </c>
      <c r="K102" s="22" t="e">
        <v>#N/A</v>
      </c>
    </row>
    <row r="103" spans="1:11" s="1" customFormat="1">
      <c r="A103" s="4" t="s">
        <v>3394</v>
      </c>
      <c r="B103" s="3" t="s">
        <v>3213</v>
      </c>
      <c r="C103" s="3">
        <v>97</v>
      </c>
      <c r="D103" s="4" t="e">
        <v>#N/A</v>
      </c>
      <c r="E103" s="4"/>
      <c r="F103" s="5" t="s">
        <v>3395</v>
      </c>
      <c r="G103" s="6" t="e">
        <v>#N/A</v>
      </c>
      <c r="H103" s="21" t="e">
        <v>#N/A</v>
      </c>
      <c r="I103" s="21" t="e">
        <v>#N/A</v>
      </c>
      <c r="J103" s="21" t="e">
        <v>#N/A</v>
      </c>
      <c r="K103" s="22" t="e">
        <v>#N/A</v>
      </c>
    </row>
    <row r="104" spans="1:11" s="1" customFormat="1">
      <c r="A104" s="4" t="s">
        <v>3396</v>
      </c>
      <c r="B104" s="3" t="s">
        <v>2855</v>
      </c>
      <c r="C104" s="3">
        <v>143</v>
      </c>
      <c r="D104" s="4" t="e">
        <v>#N/A</v>
      </c>
      <c r="E104" s="4"/>
      <c r="F104" s="5" t="s">
        <v>3397</v>
      </c>
      <c r="G104" s="6" t="e">
        <v>#N/A</v>
      </c>
      <c r="H104" s="21" t="e">
        <v>#N/A</v>
      </c>
      <c r="I104" s="21" t="e">
        <v>#N/A</v>
      </c>
      <c r="J104" s="21" t="e">
        <v>#N/A</v>
      </c>
      <c r="K104" s="22" t="e">
        <v>#N/A</v>
      </c>
    </row>
    <row r="105" spans="1:11" s="1" customFormat="1">
      <c r="A105" s="4" t="s">
        <v>3398</v>
      </c>
      <c r="B105" s="3" t="s">
        <v>2855</v>
      </c>
      <c r="C105" s="3">
        <v>101</v>
      </c>
      <c r="D105" s="4" t="e">
        <v>#N/A</v>
      </c>
      <c r="E105" s="4"/>
      <c r="F105" s="5" t="s">
        <v>3399</v>
      </c>
      <c r="G105" s="6" t="e">
        <v>#N/A</v>
      </c>
      <c r="H105" s="21" t="e">
        <v>#N/A</v>
      </c>
      <c r="I105" s="21" t="e">
        <v>#N/A</v>
      </c>
      <c r="J105" s="21" t="e">
        <v>#N/A</v>
      </c>
      <c r="K105" s="22" t="e">
        <v>#N/A</v>
      </c>
    </row>
    <row r="106" spans="1:11" s="1" customFormat="1">
      <c r="A106" s="4" t="s">
        <v>3400</v>
      </c>
      <c r="B106" s="3" t="s">
        <v>2855</v>
      </c>
      <c r="C106" s="3">
        <v>140</v>
      </c>
      <c r="D106" s="4" t="e">
        <v>#N/A</v>
      </c>
      <c r="E106" s="4"/>
      <c r="F106" s="5" t="s">
        <v>3401</v>
      </c>
      <c r="G106" s="6" t="e">
        <v>#N/A</v>
      </c>
      <c r="H106" s="21" t="e">
        <v>#N/A</v>
      </c>
      <c r="I106" s="21" t="e">
        <v>#N/A</v>
      </c>
      <c r="J106" s="21" t="e">
        <v>#N/A</v>
      </c>
      <c r="K106" s="22" t="e">
        <v>#N/A</v>
      </c>
    </row>
    <row r="107" spans="1:11" s="1" customFormat="1">
      <c r="A107" s="4" t="s">
        <v>3402</v>
      </c>
      <c r="B107" s="3" t="s">
        <v>2855</v>
      </c>
      <c r="C107" s="3">
        <v>45</v>
      </c>
      <c r="D107" s="4" t="e">
        <v>#N/A</v>
      </c>
      <c r="E107" s="4"/>
      <c r="F107" s="5" t="s">
        <v>3403</v>
      </c>
      <c r="G107" s="6" t="e">
        <v>#N/A</v>
      </c>
      <c r="H107" s="21" t="e">
        <v>#N/A</v>
      </c>
      <c r="I107" s="21" t="e">
        <v>#N/A</v>
      </c>
      <c r="J107" s="21" t="e">
        <v>#N/A</v>
      </c>
      <c r="K107" s="22" t="e">
        <v>#N/A</v>
      </c>
    </row>
    <row r="108" spans="1:11" s="1" customFormat="1">
      <c r="A108" s="4" t="s">
        <v>3404</v>
      </c>
      <c r="B108" s="3" t="s">
        <v>2855</v>
      </c>
      <c r="C108" s="3">
        <v>115</v>
      </c>
      <c r="D108" s="4" t="e">
        <v>#N/A</v>
      </c>
      <c r="E108" s="4"/>
      <c r="F108" s="5" t="s">
        <v>3405</v>
      </c>
      <c r="G108" s="6" t="e">
        <v>#N/A</v>
      </c>
      <c r="H108" s="21" t="e">
        <v>#N/A</v>
      </c>
      <c r="I108" s="21" t="e">
        <v>#N/A</v>
      </c>
      <c r="J108" s="21" t="e">
        <v>#N/A</v>
      </c>
      <c r="K108" s="22" t="e">
        <v>#N/A</v>
      </c>
    </row>
    <row r="109" spans="1:11" s="1" customFormat="1">
      <c r="A109" s="4" t="s">
        <v>3406</v>
      </c>
      <c r="B109" s="3" t="s">
        <v>2855</v>
      </c>
      <c r="C109" s="3">
        <v>84</v>
      </c>
      <c r="D109" s="4" t="e">
        <v>#N/A</v>
      </c>
      <c r="E109" s="4"/>
      <c r="F109" s="5" t="s">
        <v>3407</v>
      </c>
      <c r="G109" s="6" t="e">
        <v>#N/A</v>
      </c>
      <c r="H109" s="21" t="e">
        <v>#N/A</v>
      </c>
      <c r="I109" s="21" t="e">
        <v>#N/A</v>
      </c>
      <c r="J109" s="21" t="e">
        <v>#N/A</v>
      </c>
      <c r="K109" s="22" t="e">
        <v>#N/A</v>
      </c>
    </row>
    <row r="110" spans="1:11" s="1" customFormat="1">
      <c r="A110" s="4" t="s">
        <v>3408</v>
      </c>
      <c r="B110" s="3" t="s">
        <v>2855</v>
      </c>
      <c r="C110" s="3">
        <v>123</v>
      </c>
      <c r="D110" s="4" t="e">
        <v>#N/A</v>
      </c>
      <c r="E110" s="4"/>
      <c r="F110" s="5" t="s">
        <v>3409</v>
      </c>
      <c r="G110" s="6" t="e">
        <v>#N/A</v>
      </c>
      <c r="H110" s="21" t="e">
        <v>#N/A</v>
      </c>
      <c r="I110" s="21" t="e">
        <v>#N/A</v>
      </c>
      <c r="J110" s="21" t="e">
        <v>#N/A</v>
      </c>
      <c r="K110" s="22" t="e">
        <v>#N/A</v>
      </c>
    </row>
    <row r="111" spans="1:11" s="1" customFormat="1">
      <c r="A111" s="4" t="s">
        <v>3410</v>
      </c>
      <c r="B111" s="3" t="s">
        <v>2855</v>
      </c>
      <c r="C111" s="3">
        <v>106</v>
      </c>
      <c r="D111" s="4" t="e">
        <v>#N/A</v>
      </c>
      <c r="E111" s="4"/>
      <c r="F111" s="5" t="s">
        <v>3411</v>
      </c>
      <c r="G111" s="6" t="e">
        <v>#N/A</v>
      </c>
      <c r="H111" s="21" t="e">
        <v>#N/A</v>
      </c>
      <c r="I111" s="21" t="e">
        <v>#N/A</v>
      </c>
      <c r="J111" s="21" t="e">
        <v>#N/A</v>
      </c>
      <c r="K111" s="22" t="e">
        <v>#N/A</v>
      </c>
    </row>
    <row r="112" spans="1:11" s="1" customFormat="1">
      <c r="A112" s="4" t="s">
        <v>3412</v>
      </c>
      <c r="B112" s="3" t="s">
        <v>2855</v>
      </c>
      <c r="C112" s="3">
        <v>49</v>
      </c>
      <c r="D112" s="4" t="e">
        <v>#N/A</v>
      </c>
      <c r="E112" s="4"/>
      <c r="F112" s="5" t="s">
        <v>3413</v>
      </c>
      <c r="G112" s="6" t="e">
        <v>#N/A</v>
      </c>
      <c r="H112" s="21" t="e">
        <v>#N/A</v>
      </c>
      <c r="I112" s="21" t="e">
        <v>#N/A</v>
      </c>
      <c r="J112" s="21" t="e">
        <v>#N/A</v>
      </c>
      <c r="K112" s="22" t="e">
        <v>#N/A</v>
      </c>
    </row>
    <row r="113" spans="1:11" s="1" customFormat="1">
      <c r="A113" s="4" t="s">
        <v>3414</v>
      </c>
      <c r="B113" s="3" t="s">
        <v>3213</v>
      </c>
      <c r="C113" s="3">
        <v>96</v>
      </c>
      <c r="D113" s="4" t="e">
        <v>#N/A</v>
      </c>
      <c r="E113" s="4"/>
      <c r="F113" s="5" t="s">
        <v>3415</v>
      </c>
      <c r="G113" s="6" t="e">
        <v>#N/A</v>
      </c>
      <c r="H113" s="21" t="e">
        <v>#N/A</v>
      </c>
      <c r="I113" s="21" t="e">
        <v>#N/A</v>
      </c>
      <c r="J113" s="21" t="e">
        <v>#N/A</v>
      </c>
      <c r="K113" s="22" t="e">
        <v>#N/A</v>
      </c>
    </row>
    <row r="114" spans="1:11" s="1" customFormat="1">
      <c r="A114" s="4" t="s">
        <v>3416</v>
      </c>
      <c r="B114" s="3" t="s">
        <v>2855</v>
      </c>
      <c r="C114" s="3">
        <v>89</v>
      </c>
      <c r="D114" s="4" t="e">
        <v>#N/A</v>
      </c>
      <c r="E114" s="4"/>
      <c r="F114" s="5" t="s">
        <v>3417</v>
      </c>
      <c r="G114" s="6" t="e">
        <v>#N/A</v>
      </c>
      <c r="H114" s="21" t="e">
        <v>#N/A</v>
      </c>
      <c r="I114" s="21" t="e">
        <v>#N/A</v>
      </c>
      <c r="J114" s="21" t="e">
        <v>#N/A</v>
      </c>
      <c r="K114" s="22" t="e">
        <v>#N/A</v>
      </c>
    </row>
    <row r="115" spans="1:11" s="1" customFormat="1">
      <c r="A115" s="4" t="s">
        <v>3418</v>
      </c>
      <c r="B115" s="3" t="s">
        <v>3208</v>
      </c>
      <c r="C115" s="3">
        <v>102</v>
      </c>
      <c r="D115" s="4" t="e">
        <v>#N/A</v>
      </c>
      <c r="E115" s="4"/>
      <c r="F115" s="5" t="s">
        <v>3419</v>
      </c>
      <c r="G115" s="6" t="e">
        <v>#N/A</v>
      </c>
      <c r="H115" s="21" t="e">
        <v>#N/A</v>
      </c>
      <c r="I115" s="21" t="e">
        <v>#N/A</v>
      </c>
      <c r="J115" s="21" t="e">
        <v>#N/A</v>
      </c>
      <c r="K115" s="22" t="e">
        <v>#N/A</v>
      </c>
    </row>
    <row r="116" spans="1:11" s="1" customFormat="1">
      <c r="A116" s="4" t="s">
        <v>3420</v>
      </c>
      <c r="B116" s="3" t="s">
        <v>2855</v>
      </c>
      <c r="C116" s="3">
        <v>64</v>
      </c>
      <c r="D116" s="4" t="e">
        <v>#N/A</v>
      </c>
      <c r="E116" s="4"/>
      <c r="F116" s="5" t="s">
        <v>3421</v>
      </c>
      <c r="G116" s="6" t="e">
        <v>#N/A</v>
      </c>
      <c r="H116" s="21" t="e">
        <v>#N/A</v>
      </c>
      <c r="I116" s="21" t="e">
        <v>#N/A</v>
      </c>
      <c r="J116" s="21" t="e">
        <v>#N/A</v>
      </c>
      <c r="K116" s="22" t="e">
        <v>#N/A</v>
      </c>
    </row>
    <row r="117" spans="1:11" s="1" customFormat="1">
      <c r="A117" s="4" t="s">
        <v>3422</v>
      </c>
      <c r="B117" s="3" t="s">
        <v>2855</v>
      </c>
      <c r="C117" s="3">
        <v>105</v>
      </c>
      <c r="D117" s="4" t="e">
        <v>#N/A</v>
      </c>
      <c r="E117" s="4"/>
      <c r="F117" s="5" t="s">
        <v>3423</v>
      </c>
      <c r="G117" s="6" t="e">
        <v>#N/A</v>
      </c>
      <c r="H117" s="21" t="e">
        <v>#N/A</v>
      </c>
      <c r="I117" s="21" t="e">
        <v>#N/A</v>
      </c>
      <c r="J117" s="21" t="e">
        <v>#N/A</v>
      </c>
      <c r="K117" s="22" t="e">
        <v>#N/A</v>
      </c>
    </row>
    <row r="118" spans="1:11" s="1" customFormat="1">
      <c r="A118" s="4" t="s">
        <v>3424</v>
      </c>
      <c r="B118" s="3" t="s">
        <v>3208</v>
      </c>
      <c r="C118" s="3">
        <v>159</v>
      </c>
      <c r="D118" s="4" t="e">
        <v>#N/A</v>
      </c>
      <c r="E118" s="4"/>
      <c r="F118" s="5" t="s">
        <v>3425</v>
      </c>
      <c r="G118" s="6" t="e">
        <v>#N/A</v>
      </c>
      <c r="H118" s="21" t="e">
        <v>#N/A</v>
      </c>
      <c r="I118" s="21" t="e">
        <v>#N/A</v>
      </c>
      <c r="J118" s="21" t="e">
        <v>#N/A</v>
      </c>
      <c r="K118" s="22" t="e">
        <v>#N/A</v>
      </c>
    </row>
    <row r="119" spans="1:11" s="1" customFormat="1">
      <c r="A119" s="4" t="s">
        <v>3426</v>
      </c>
      <c r="B119" s="3" t="s">
        <v>2855</v>
      </c>
      <c r="C119" s="3">
        <v>58</v>
      </c>
      <c r="D119" s="4" t="e">
        <v>#N/A</v>
      </c>
      <c r="E119" s="4"/>
      <c r="F119" s="5" t="s">
        <v>3427</v>
      </c>
      <c r="G119" s="6" t="e">
        <v>#N/A</v>
      </c>
      <c r="H119" s="21" t="e">
        <v>#N/A</v>
      </c>
      <c r="I119" s="21" t="e">
        <v>#N/A</v>
      </c>
      <c r="J119" s="21" t="e">
        <v>#N/A</v>
      </c>
      <c r="K119" s="22" t="e">
        <v>#N/A</v>
      </c>
    </row>
    <row r="120" spans="1:11" s="1" customFormat="1">
      <c r="A120" s="4" t="s">
        <v>3428</v>
      </c>
      <c r="B120" s="3" t="s">
        <v>3213</v>
      </c>
      <c r="C120" s="3">
        <v>191</v>
      </c>
      <c r="D120" s="4" t="e">
        <v>#N/A</v>
      </c>
      <c r="E120" s="4"/>
      <c r="F120" s="5" t="s">
        <v>3429</v>
      </c>
      <c r="G120" s="6" t="e">
        <v>#N/A</v>
      </c>
      <c r="H120" s="21" t="e">
        <v>#N/A</v>
      </c>
      <c r="I120" s="21" t="e">
        <v>#N/A</v>
      </c>
      <c r="J120" s="21" t="e">
        <v>#N/A</v>
      </c>
      <c r="K120" s="22" t="e">
        <v>#N/A</v>
      </c>
    </row>
    <row r="121" spans="1:11" s="1" customFormat="1">
      <c r="A121" s="4" t="s">
        <v>3430</v>
      </c>
      <c r="B121" s="3" t="s">
        <v>2855</v>
      </c>
      <c r="C121" s="3">
        <v>73</v>
      </c>
      <c r="D121" s="4" t="e">
        <v>#N/A</v>
      </c>
      <c r="E121" s="4"/>
      <c r="F121" s="5" t="s">
        <v>3431</v>
      </c>
      <c r="G121" s="6" t="e">
        <v>#N/A</v>
      </c>
      <c r="H121" s="21" t="e">
        <v>#N/A</v>
      </c>
      <c r="I121" s="21" t="e">
        <v>#N/A</v>
      </c>
      <c r="J121" s="21" t="e">
        <v>#N/A</v>
      </c>
      <c r="K121" s="22" t="e">
        <v>#N/A</v>
      </c>
    </row>
    <row r="122" spans="1:11" s="1" customFormat="1">
      <c r="A122" s="4" t="s">
        <v>3432</v>
      </c>
      <c r="B122" s="3" t="s">
        <v>2855</v>
      </c>
      <c r="C122" s="3">
        <v>151</v>
      </c>
      <c r="D122" s="4" t="e">
        <v>#N/A</v>
      </c>
      <c r="E122" s="4"/>
      <c r="F122" s="5" t="s">
        <v>3433</v>
      </c>
      <c r="G122" s="6" t="e">
        <v>#N/A</v>
      </c>
      <c r="H122" s="21" t="e">
        <v>#N/A</v>
      </c>
      <c r="I122" s="21" t="e">
        <v>#N/A</v>
      </c>
      <c r="J122" s="21" t="e">
        <v>#N/A</v>
      </c>
      <c r="K122" s="22" t="e">
        <v>#N/A</v>
      </c>
    </row>
    <row r="123" spans="1:11" s="1" customFormat="1">
      <c r="A123" s="4" t="s">
        <v>3434</v>
      </c>
      <c r="B123" s="3" t="s">
        <v>2855</v>
      </c>
      <c r="C123" s="3">
        <v>81</v>
      </c>
      <c r="D123" s="4" t="e">
        <v>#N/A</v>
      </c>
      <c r="E123" s="4"/>
      <c r="F123" s="5" t="s">
        <v>3435</v>
      </c>
      <c r="G123" s="6" t="e">
        <v>#N/A</v>
      </c>
      <c r="H123" s="21" t="e">
        <v>#N/A</v>
      </c>
      <c r="I123" s="21" t="e">
        <v>#N/A</v>
      </c>
      <c r="J123" s="21" t="e">
        <v>#N/A</v>
      </c>
      <c r="K123" s="22" t="e">
        <v>#N/A</v>
      </c>
    </row>
    <row r="124" spans="1:11" s="1" customFormat="1">
      <c r="A124" s="4" t="s">
        <v>3436</v>
      </c>
      <c r="B124" s="3" t="s">
        <v>2855</v>
      </c>
      <c r="C124" s="3">
        <v>91</v>
      </c>
      <c r="D124" s="4" t="e">
        <v>#N/A</v>
      </c>
      <c r="E124" s="4"/>
      <c r="F124" s="5" t="s">
        <v>3437</v>
      </c>
      <c r="G124" s="6" t="e">
        <v>#N/A</v>
      </c>
      <c r="H124" s="21" t="e">
        <v>#N/A</v>
      </c>
      <c r="I124" s="21" t="e">
        <v>#N/A</v>
      </c>
      <c r="J124" s="21" t="e">
        <v>#N/A</v>
      </c>
      <c r="K124" s="22" t="e">
        <v>#N/A</v>
      </c>
    </row>
    <row r="125" spans="1:11" s="1" customFormat="1">
      <c r="A125" s="4" t="s">
        <v>3438</v>
      </c>
      <c r="B125" s="3" t="s">
        <v>2855</v>
      </c>
      <c r="C125" s="3">
        <v>118</v>
      </c>
      <c r="D125" s="4" t="e">
        <v>#N/A</v>
      </c>
      <c r="E125" s="4"/>
      <c r="F125" s="5" t="s">
        <v>3439</v>
      </c>
      <c r="G125" s="6" t="e">
        <v>#N/A</v>
      </c>
      <c r="H125" s="21" t="e">
        <v>#N/A</v>
      </c>
      <c r="I125" s="21" t="e">
        <v>#N/A</v>
      </c>
      <c r="J125" s="21" t="e">
        <v>#N/A</v>
      </c>
      <c r="K125" s="22" t="e">
        <v>#N/A</v>
      </c>
    </row>
    <row r="126" spans="1:11" s="1" customFormat="1">
      <c r="A126" s="4" t="s">
        <v>3440</v>
      </c>
      <c r="B126" s="3" t="s">
        <v>2855</v>
      </c>
      <c r="C126" s="3">
        <v>80</v>
      </c>
      <c r="D126" s="4" t="e">
        <v>#N/A</v>
      </c>
      <c r="E126" s="4"/>
      <c r="F126" s="5" t="s">
        <v>3441</v>
      </c>
      <c r="G126" s="6" t="e">
        <v>#N/A</v>
      </c>
      <c r="H126" s="21" t="e">
        <v>#N/A</v>
      </c>
      <c r="I126" s="21" t="e">
        <v>#N/A</v>
      </c>
      <c r="J126" s="21" t="e">
        <v>#N/A</v>
      </c>
      <c r="K126" s="22" t="e">
        <v>#N/A</v>
      </c>
    </row>
    <row r="127" spans="1:11" s="1" customFormat="1">
      <c r="A127" s="4" t="s">
        <v>3442</v>
      </c>
      <c r="B127" s="3" t="s">
        <v>2855</v>
      </c>
      <c r="C127" s="3">
        <v>111</v>
      </c>
      <c r="D127" s="4" t="e">
        <v>#N/A</v>
      </c>
      <c r="E127" s="4"/>
      <c r="F127" s="5" t="s">
        <v>3443</v>
      </c>
      <c r="G127" s="6" t="e">
        <v>#N/A</v>
      </c>
      <c r="H127" s="21" t="e">
        <v>#N/A</v>
      </c>
      <c r="I127" s="21" t="e">
        <v>#N/A</v>
      </c>
      <c r="J127" s="21" t="e">
        <v>#N/A</v>
      </c>
      <c r="K127" s="22" t="e">
        <v>#N/A</v>
      </c>
    </row>
    <row r="128" spans="1:11" s="1" customFormat="1">
      <c r="A128" s="4" t="s">
        <v>3444</v>
      </c>
      <c r="B128" s="3" t="s">
        <v>2855</v>
      </c>
      <c r="C128" s="3">
        <v>117</v>
      </c>
      <c r="D128" s="4" t="e">
        <v>#N/A</v>
      </c>
      <c r="E128" s="4"/>
      <c r="F128" s="5" t="s">
        <v>3445</v>
      </c>
      <c r="G128" s="6" t="e">
        <v>#N/A</v>
      </c>
      <c r="H128" s="21" t="e">
        <v>#N/A</v>
      </c>
      <c r="I128" s="21" t="e">
        <v>#N/A</v>
      </c>
      <c r="J128" s="21" t="e">
        <v>#N/A</v>
      </c>
      <c r="K128" s="22" t="e">
        <v>#N/A</v>
      </c>
    </row>
    <row r="129" spans="1:11" s="1" customFormat="1">
      <c r="A129" s="4" t="s">
        <v>3446</v>
      </c>
      <c r="B129" s="3" t="s">
        <v>2855</v>
      </c>
      <c r="C129" s="3">
        <v>107</v>
      </c>
      <c r="D129" s="4" t="e">
        <v>#N/A</v>
      </c>
      <c r="E129" s="4"/>
      <c r="F129" s="5" t="s">
        <v>3447</v>
      </c>
      <c r="G129" s="6" t="e">
        <v>#N/A</v>
      </c>
      <c r="H129" s="21" t="e">
        <v>#N/A</v>
      </c>
      <c r="I129" s="21" t="e">
        <v>#N/A</v>
      </c>
      <c r="J129" s="21" t="e">
        <v>#N/A</v>
      </c>
      <c r="K129" s="22" t="e">
        <v>#N/A</v>
      </c>
    </row>
    <row r="130" spans="1:11" s="1" customFormat="1">
      <c r="A130" s="4" t="s">
        <v>3448</v>
      </c>
      <c r="B130" s="3" t="s">
        <v>2855</v>
      </c>
      <c r="C130" s="3">
        <v>177</v>
      </c>
      <c r="D130" s="4" t="e">
        <v>#N/A</v>
      </c>
      <c r="E130" s="4"/>
      <c r="F130" s="5" t="s">
        <v>3449</v>
      </c>
      <c r="G130" s="6" t="e">
        <v>#N/A</v>
      </c>
      <c r="H130" s="21" t="e">
        <v>#N/A</v>
      </c>
      <c r="I130" s="21" t="e">
        <v>#N/A</v>
      </c>
      <c r="J130" s="21" t="e">
        <v>#N/A</v>
      </c>
      <c r="K130" s="22" t="e">
        <v>#N/A</v>
      </c>
    </row>
    <row r="131" spans="1:11" s="1" customFormat="1">
      <c r="A131" s="4" t="s">
        <v>3450</v>
      </c>
      <c r="B131" s="3" t="s">
        <v>2855</v>
      </c>
      <c r="C131" s="3">
        <v>139</v>
      </c>
      <c r="D131" s="4" t="e">
        <v>#N/A</v>
      </c>
      <c r="E131" s="4"/>
      <c r="F131" s="5" t="s">
        <v>3451</v>
      </c>
      <c r="G131" s="6" t="e">
        <v>#N/A</v>
      </c>
      <c r="H131" s="21" t="e">
        <v>#N/A</v>
      </c>
      <c r="I131" s="21" t="e">
        <v>#N/A</v>
      </c>
      <c r="J131" s="21" t="e">
        <v>#N/A</v>
      </c>
      <c r="K131" s="22" t="e">
        <v>#N/A</v>
      </c>
    </row>
    <row r="132" spans="1:11" s="1" customFormat="1">
      <c r="A132" s="4" t="s">
        <v>3452</v>
      </c>
      <c r="B132" s="3" t="s">
        <v>2855</v>
      </c>
      <c r="C132" s="3">
        <v>72</v>
      </c>
      <c r="D132" s="4" t="e">
        <v>#N/A</v>
      </c>
      <c r="E132" s="4"/>
      <c r="F132" s="5" t="s">
        <v>3453</v>
      </c>
      <c r="G132" s="6" t="e">
        <v>#N/A</v>
      </c>
      <c r="H132" s="21" t="e">
        <v>#N/A</v>
      </c>
      <c r="I132" s="21" t="e">
        <v>#N/A</v>
      </c>
      <c r="J132" s="21" t="e">
        <v>#N/A</v>
      </c>
      <c r="K132" s="22" t="e">
        <v>#N/A</v>
      </c>
    </row>
    <row r="133" spans="1:11" s="1" customFormat="1">
      <c r="A133" s="4" t="s">
        <v>3454</v>
      </c>
      <c r="B133" s="3" t="s">
        <v>3208</v>
      </c>
      <c r="C133" s="3">
        <v>243</v>
      </c>
      <c r="D133" s="4" t="e">
        <v>#N/A</v>
      </c>
      <c r="E133" s="4"/>
      <c r="F133" s="5" t="s">
        <v>3455</v>
      </c>
      <c r="G133" s="6" t="e">
        <v>#N/A</v>
      </c>
      <c r="H133" s="21" t="e">
        <v>#N/A</v>
      </c>
      <c r="I133" s="21" t="e">
        <v>#N/A</v>
      </c>
      <c r="J133" s="21" t="e">
        <v>#N/A</v>
      </c>
      <c r="K133" s="22" t="e">
        <v>#N/A</v>
      </c>
    </row>
    <row r="134" spans="1:11" s="1" customFormat="1">
      <c r="A134" s="4" t="s">
        <v>3456</v>
      </c>
      <c r="B134" s="3" t="s">
        <v>2855</v>
      </c>
      <c r="C134" s="3">
        <v>76</v>
      </c>
      <c r="D134" s="4" t="e">
        <v>#N/A</v>
      </c>
      <c r="E134" s="4"/>
      <c r="F134" s="5" t="s">
        <v>3457</v>
      </c>
      <c r="G134" s="6" t="e">
        <v>#N/A</v>
      </c>
      <c r="H134" s="21" t="e">
        <v>#N/A</v>
      </c>
      <c r="I134" s="21" t="e">
        <v>#N/A</v>
      </c>
      <c r="J134" s="21" t="e">
        <v>#N/A</v>
      </c>
      <c r="K134" s="22" t="e">
        <v>#N/A</v>
      </c>
    </row>
    <row r="135" spans="1:11" s="1" customFormat="1">
      <c r="A135" s="4" t="s">
        <v>3458</v>
      </c>
      <c r="B135" s="3" t="s">
        <v>2855</v>
      </c>
      <c r="C135" s="3">
        <v>154</v>
      </c>
      <c r="D135" s="4" t="e">
        <v>#N/A</v>
      </c>
      <c r="E135" s="4"/>
      <c r="F135" s="5" t="s">
        <v>3459</v>
      </c>
      <c r="G135" s="6" t="e">
        <v>#N/A</v>
      </c>
      <c r="H135" s="21" t="e">
        <v>#N/A</v>
      </c>
      <c r="I135" s="21" t="e">
        <v>#N/A</v>
      </c>
      <c r="J135" s="21" t="e">
        <v>#N/A</v>
      </c>
      <c r="K135" s="22" t="e">
        <v>#N/A</v>
      </c>
    </row>
    <row r="136" spans="1:11" s="1" customFormat="1">
      <c r="A136" s="4" t="s">
        <v>3460</v>
      </c>
      <c r="B136" s="3" t="s">
        <v>2855</v>
      </c>
      <c r="C136" s="3">
        <v>146</v>
      </c>
      <c r="D136" s="4" t="e">
        <v>#N/A</v>
      </c>
      <c r="E136" s="4"/>
      <c r="F136" s="5" t="s">
        <v>3461</v>
      </c>
      <c r="G136" s="6" t="e">
        <v>#N/A</v>
      </c>
      <c r="H136" s="21" t="e">
        <v>#N/A</v>
      </c>
      <c r="I136" s="21" t="e">
        <v>#N/A</v>
      </c>
      <c r="J136" s="21" t="e">
        <v>#N/A</v>
      </c>
      <c r="K136" s="22" t="e">
        <v>#N/A</v>
      </c>
    </row>
    <row r="137" spans="1:11" s="1" customFormat="1">
      <c r="A137" s="4" t="s">
        <v>3462</v>
      </c>
      <c r="B137" s="3" t="s">
        <v>2855</v>
      </c>
      <c r="C137" s="3">
        <v>138</v>
      </c>
      <c r="D137" s="4" t="e">
        <v>#N/A</v>
      </c>
      <c r="E137" s="4"/>
      <c r="F137" s="5" t="s">
        <v>3463</v>
      </c>
      <c r="G137" s="6" t="e">
        <v>#N/A</v>
      </c>
      <c r="H137" s="21" t="e">
        <v>#N/A</v>
      </c>
      <c r="I137" s="21" t="e">
        <v>#N/A</v>
      </c>
      <c r="J137" s="21" t="e">
        <v>#N/A</v>
      </c>
      <c r="K137" s="22" t="e">
        <v>#N/A</v>
      </c>
    </row>
    <row r="138" spans="1:11" s="1" customFormat="1">
      <c r="A138" s="4" t="s">
        <v>3464</v>
      </c>
      <c r="B138" s="3" t="s">
        <v>2855</v>
      </c>
      <c r="C138" s="3">
        <v>243</v>
      </c>
      <c r="D138" s="4" t="e">
        <v>#N/A</v>
      </c>
      <c r="E138" s="4"/>
      <c r="F138" s="5" t="s">
        <v>3465</v>
      </c>
      <c r="G138" s="6" t="e">
        <v>#N/A</v>
      </c>
      <c r="H138" s="21" t="e">
        <v>#N/A</v>
      </c>
      <c r="I138" s="21" t="e">
        <v>#N/A</v>
      </c>
      <c r="J138" s="21" t="e">
        <v>#N/A</v>
      </c>
      <c r="K138" s="22" t="e">
        <v>#N/A</v>
      </c>
    </row>
    <row r="139" spans="1:11" s="1" customFormat="1">
      <c r="A139" s="4" t="s">
        <v>3466</v>
      </c>
      <c r="B139" s="3" t="s">
        <v>2855</v>
      </c>
      <c r="C139" s="3">
        <v>94</v>
      </c>
      <c r="D139" s="4" t="e">
        <v>#N/A</v>
      </c>
      <c r="E139" s="4"/>
      <c r="F139" s="5" t="s">
        <v>3467</v>
      </c>
      <c r="G139" s="6" t="e">
        <v>#N/A</v>
      </c>
      <c r="H139" s="21" t="e">
        <v>#N/A</v>
      </c>
      <c r="I139" s="21" t="e">
        <v>#N/A</v>
      </c>
      <c r="J139" s="21" t="e">
        <v>#N/A</v>
      </c>
      <c r="K139" s="22" t="e">
        <v>#N/A</v>
      </c>
    </row>
    <row r="140" spans="1:11" s="1" customFormat="1">
      <c r="A140" s="4" t="s">
        <v>3468</v>
      </c>
      <c r="B140" s="3" t="s">
        <v>3181</v>
      </c>
      <c r="C140" s="3">
        <v>144</v>
      </c>
      <c r="D140" s="4" t="e">
        <v>#N/A</v>
      </c>
      <c r="E140" s="4"/>
      <c r="F140" s="5" t="s">
        <v>3469</v>
      </c>
      <c r="G140" s="6" t="e">
        <v>#N/A</v>
      </c>
      <c r="H140" s="21" t="e">
        <v>#N/A</v>
      </c>
      <c r="I140" s="21" t="e">
        <v>#N/A</v>
      </c>
      <c r="J140" s="21" t="e">
        <v>#N/A</v>
      </c>
      <c r="K140" s="22" t="e">
        <v>#N/A</v>
      </c>
    </row>
    <row r="141" spans="1:11" s="1" customFormat="1">
      <c r="A141" s="4" t="s">
        <v>3470</v>
      </c>
      <c r="B141" s="3" t="s">
        <v>2855</v>
      </c>
      <c r="C141" s="3">
        <v>134</v>
      </c>
      <c r="D141" s="4" t="e">
        <v>#N/A</v>
      </c>
      <c r="E141" s="4"/>
      <c r="F141" s="5" t="s">
        <v>3471</v>
      </c>
      <c r="G141" s="6" t="e">
        <v>#N/A</v>
      </c>
      <c r="H141" s="21" t="e">
        <v>#N/A</v>
      </c>
      <c r="I141" s="21" t="e">
        <v>#N/A</v>
      </c>
      <c r="J141" s="21" t="e">
        <v>#N/A</v>
      </c>
      <c r="K141" s="22" t="e">
        <v>#N/A</v>
      </c>
    </row>
    <row r="142" spans="1:11" s="1" customFormat="1">
      <c r="A142" s="4" t="s">
        <v>3472</v>
      </c>
      <c r="B142" s="3" t="s">
        <v>2855</v>
      </c>
      <c r="C142" s="3">
        <v>243</v>
      </c>
      <c r="D142" s="4" t="e">
        <v>#N/A</v>
      </c>
      <c r="E142" s="4"/>
      <c r="F142" s="5" t="s">
        <v>3473</v>
      </c>
      <c r="G142" s="6" t="e">
        <v>#N/A</v>
      </c>
      <c r="H142" s="21" t="e">
        <v>#N/A</v>
      </c>
      <c r="I142" s="21" t="e">
        <v>#N/A</v>
      </c>
      <c r="J142" s="21" t="e">
        <v>#N/A</v>
      </c>
      <c r="K142" s="22" t="e">
        <v>#N/A</v>
      </c>
    </row>
    <row r="143" spans="1:11" s="1" customFormat="1">
      <c r="A143" s="4" t="s">
        <v>3474</v>
      </c>
      <c r="B143" s="3" t="s">
        <v>3213</v>
      </c>
      <c r="C143" s="3">
        <v>100</v>
      </c>
      <c r="D143" s="4" t="e">
        <v>#N/A</v>
      </c>
      <c r="E143" s="4"/>
      <c r="F143" s="5" t="s">
        <v>3475</v>
      </c>
      <c r="G143" s="6" t="e">
        <v>#N/A</v>
      </c>
      <c r="H143" s="21" t="e">
        <v>#N/A</v>
      </c>
      <c r="I143" s="21" t="e">
        <v>#N/A</v>
      </c>
      <c r="J143" s="21" t="e">
        <v>#N/A</v>
      </c>
      <c r="K143" s="22" t="e">
        <v>#N/A</v>
      </c>
    </row>
    <row r="144" spans="1:11" s="1" customFormat="1">
      <c r="A144" s="4" t="s">
        <v>3476</v>
      </c>
      <c r="B144" s="3" t="s">
        <v>2855</v>
      </c>
      <c r="C144" s="3">
        <v>135</v>
      </c>
      <c r="D144" s="4" t="e">
        <v>#N/A</v>
      </c>
      <c r="E144" s="4"/>
      <c r="F144" s="5" t="s">
        <v>3477</v>
      </c>
      <c r="G144" s="6" t="e">
        <v>#N/A</v>
      </c>
      <c r="H144" s="21" t="e">
        <v>#N/A</v>
      </c>
      <c r="I144" s="21" t="e">
        <v>#N/A</v>
      </c>
      <c r="J144" s="21" t="e">
        <v>#N/A</v>
      </c>
      <c r="K144" s="22" t="e">
        <v>#N/A</v>
      </c>
    </row>
    <row r="145" spans="1:11" s="1" customFormat="1">
      <c r="A145" s="4" t="s">
        <v>3478</v>
      </c>
      <c r="B145" s="3" t="s">
        <v>2855</v>
      </c>
      <c r="C145" s="3">
        <v>135</v>
      </c>
      <c r="D145" s="4" t="e">
        <v>#N/A</v>
      </c>
      <c r="E145" s="4"/>
      <c r="F145" s="5" t="s">
        <v>3479</v>
      </c>
      <c r="G145" s="6" t="e">
        <v>#N/A</v>
      </c>
      <c r="H145" s="21" t="e">
        <v>#N/A</v>
      </c>
      <c r="I145" s="21" t="e">
        <v>#N/A</v>
      </c>
      <c r="J145" s="21" t="e">
        <v>#N/A</v>
      </c>
      <c r="K145" s="22" t="e">
        <v>#N/A</v>
      </c>
    </row>
    <row r="146" spans="1:11" s="1" customFormat="1">
      <c r="A146" s="4" t="s">
        <v>3480</v>
      </c>
      <c r="B146" s="3" t="s">
        <v>2855</v>
      </c>
      <c r="C146" s="3">
        <v>142</v>
      </c>
      <c r="D146" s="4" t="e">
        <v>#N/A</v>
      </c>
      <c r="E146" s="4"/>
      <c r="F146" s="5" t="s">
        <v>3481</v>
      </c>
      <c r="G146" s="6" t="e">
        <v>#N/A</v>
      </c>
      <c r="H146" s="21" t="e">
        <v>#N/A</v>
      </c>
      <c r="I146" s="21" t="e">
        <v>#N/A</v>
      </c>
      <c r="J146" s="21" t="e">
        <v>#N/A</v>
      </c>
      <c r="K146" s="22" t="e">
        <v>#N/A</v>
      </c>
    </row>
    <row r="147" spans="1:11" s="1" customFormat="1">
      <c r="A147" s="4" t="s">
        <v>3482</v>
      </c>
      <c r="B147" s="3" t="s">
        <v>2855</v>
      </c>
      <c r="C147" s="3">
        <v>132</v>
      </c>
      <c r="D147" s="4" t="e">
        <v>#N/A</v>
      </c>
      <c r="E147" s="4"/>
      <c r="F147" s="5" t="s">
        <v>3483</v>
      </c>
      <c r="G147" s="6" t="e">
        <v>#N/A</v>
      </c>
      <c r="H147" s="21" t="e">
        <v>#N/A</v>
      </c>
      <c r="I147" s="21" t="e">
        <v>#N/A</v>
      </c>
      <c r="J147" s="21" t="e">
        <v>#N/A</v>
      </c>
      <c r="K147" s="22" t="e">
        <v>#N/A</v>
      </c>
    </row>
    <row r="148" spans="1:11" s="1" customFormat="1">
      <c r="A148" s="4" t="s">
        <v>3484</v>
      </c>
      <c r="B148" s="3" t="s">
        <v>2855</v>
      </c>
      <c r="C148" s="3">
        <v>180</v>
      </c>
      <c r="D148" s="4" t="e">
        <v>#N/A</v>
      </c>
      <c r="E148" s="4"/>
      <c r="F148" s="5" t="s">
        <v>3485</v>
      </c>
      <c r="G148" s="6" t="e">
        <v>#N/A</v>
      </c>
      <c r="H148" s="21" t="e">
        <v>#N/A</v>
      </c>
      <c r="I148" s="21" t="e">
        <v>#N/A</v>
      </c>
      <c r="J148" s="21" t="e">
        <v>#N/A</v>
      </c>
      <c r="K148" s="22" t="e">
        <v>#N/A</v>
      </c>
    </row>
    <row r="149" spans="1:11" s="1" customFormat="1">
      <c r="A149" s="4" t="s">
        <v>3486</v>
      </c>
      <c r="B149" s="3" t="s">
        <v>2855</v>
      </c>
      <c r="C149" s="3">
        <v>173</v>
      </c>
      <c r="D149" s="4" t="e">
        <v>#N/A</v>
      </c>
      <c r="E149" s="4"/>
      <c r="F149" s="5" t="s">
        <v>3487</v>
      </c>
      <c r="G149" s="6" t="e">
        <v>#N/A</v>
      </c>
      <c r="H149" s="21" t="e">
        <v>#N/A</v>
      </c>
      <c r="I149" s="21" t="e">
        <v>#N/A</v>
      </c>
      <c r="J149" s="21" t="e">
        <v>#N/A</v>
      </c>
      <c r="K149" s="22" t="e">
        <v>#N/A</v>
      </c>
    </row>
    <row r="150" spans="1:11" s="1" customFormat="1">
      <c r="A150" s="4" t="s">
        <v>3488</v>
      </c>
      <c r="B150" s="3" t="s">
        <v>2855</v>
      </c>
      <c r="C150" s="3">
        <v>186</v>
      </c>
      <c r="D150" s="4" t="e">
        <v>#N/A</v>
      </c>
      <c r="E150" s="4"/>
      <c r="F150" s="5" t="s">
        <v>3489</v>
      </c>
      <c r="G150" s="6" t="e">
        <v>#N/A</v>
      </c>
      <c r="H150" s="21" t="e">
        <v>#N/A</v>
      </c>
      <c r="I150" s="21" t="e">
        <v>#N/A</v>
      </c>
      <c r="J150" s="21" t="e">
        <v>#N/A</v>
      </c>
      <c r="K150" s="22" t="e">
        <v>#N/A</v>
      </c>
    </row>
    <row r="151" spans="1:11" s="1" customFormat="1">
      <c r="A151" s="4" t="s">
        <v>3490</v>
      </c>
      <c r="B151" s="3" t="s">
        <v>2855</v>
      </c>
      <c r="C151" s="3">
        <v>207</v>
      </c>
      <c r="D151" s="4" t="e">
        <v>#N/A</v>
      </c>
      <c r="E151" s="4"/>
      <c r="F151" s="5" t="s">
        <v>3491</v>
      </c>
      <c r="G151" s="6" t="e">
        <v>#N/A</v>
      </c>
      <c r="H151" s="21" t="e">
        <v>#N/A</v>
      </c>
      <c r="I151" s="21" t="e">
        <v>#N/A</v>
      </c>
      <c r="J151" s="21" t="e">
        <v>#N/A</v>
      </c>
      <c r="K151" s="22" t="e">
        <v>#N/A</v>
      </c>
    </row>
    <row r="152" spans="1:11" s="1" customFormat="1">
      <c r="A152" s="4" t="s">
        <v>3492</v>
      </c>
      <c r="B152" s="3" t="s">
        <v>2855</v>
      </c>
      <c r="C152" s="3">
        <v>179</v>
      </c>
      <c r="D152" s="4" t="e">
        <v>#N/A</v>
      </c>
      <c r="E152" s="4"/>
      <c r="F152" s="5" t="s">
        <v>3493</v>
      </c>
      <c r="G152" s="6" t="e">
        <v>#N/A</v>
      </c>
      <c r="H152" s="21" t="e">
        <v>#N/A</v>
      </c>
      <c r="I152" s="21" t="e">
        <v>#N/A</v>
      </c>
      <c r="J152" s="21" t="e">
        <v>#N/A</v>
      </c>
      <c r="K152" s="22" t="e">
        <v>#N/A</v>
      </c>
    </row>
    <row r="153" spans="1:11" s="1" customFormat="1">
      <c r="A153" s="4" t="s">
        <v>3494</v>
      </c>
      <c r="B153" s="3" t="s">
        <v>3181</v>
      </c>
      <c r="C153" s="3">
        <v>153</v>
      </c>
      <c r="D153" s="4" t="e">
        <v>#N/A</v>
      </c>
      <c r="E153" s="4"/>
      <c r="F153" s="5" t="s">
        <v>3495</v>
      </c>
      <c r="G153" s="6" t="e">
        <v>#N/A</v>
      </c>
      <c r="H153" s="21" t="e">
        <v>#N/A</v>
      </c>
      <c r="I153" s="21" t="e">
        <v>#N/A</v>
      </c>
      <c r="J153" s="21" t="e">
        <v>#N/A</v>
      </c>
      <c r="K153" s="22" t="e">
        <v>#N/A</v>
      </c>
    </row>
    <row r="154" spans="1:11" s="1" customFormat="1">
      <c r="A154" s="4" t="s">
        <v>3496</v>
      </c>
      <c r="B154" s="3" t="s">
        <v>2855</v>
      </c>
      <c r="C154" s="3">
        <v>148</v>
      </c>
      <c r="D154" s="4" t="e">
        <v>#N/A</v>
      </c>
      <c r="E154" s="4"/>
      <c r="F154" s="5" t="s">
        <v>3497</v>
      </c>
      <c r="G154" s="6" t="e">
        <v>#N/A</v>
      </c>
      <c r="H154" s="21" t="e">
        <v>#N/A</v>
      </c>
      <c r="I154" s="21" t="e">
        <v>#N/A</v>
      </c>
      <c r="J154" s="21" t="e">
        <v>#N/A</v>
      </c>
      <c r="K154" s="22" t="e">
        <v>#N/A</v>
      </c>
    </row>
    <row r="155" spans="1:11" s="1" customFormat="1">
      <c r="A155" s="4" t="s">
        <v>3498</v>
      </c>
      <c r="B155" s="3" t="s">
        <v>2855</v>
      </c>
      <c r="C155" s="3">
        <v>116</v>
      </c>
      <c r="D155" s="4" t="e">
        <v>#N/A</v>
      </c>
      <c r="E155" s="4"/>
      <c r="F155" s="5" t="s">
        <v>3499</v>
      </c>
      <c r="G155" s="6" t="e">
        <v>#N/A</v>
      </c>
      <c r="H155" s="21" t="e">
        <v>#N/A</v>
      </c>
      <c r="I155" s="21" t="e">
        <v>#N/A</v>
      </c>
      <c r="J155" s="21" t="e">
        <v>#N/A</v>
      </c>
      <c r="K155" s="22" t="e">
        <v>#N/A</v>
      </c>
    </row>
    <row r="156" spans="1:11" s="1" customFormat="1">
      <c r="A156" s="4" t="s">
        <v>3500</v>
      </c>
      <c r="B156" s="3" t="s">
        <v>2855</v>
      </c>
      <c r="C156" s="3">
        <v>156</v>
      </c>
      <c r="D156" s="4" t="e">
        <v>#N/A</v>
      </c>
      <c r="E156" s="4"/>
      <c r="F156" s="5" t="s">
        <v>3501</v>
      </c>
      <c r="G156" s="6" t="e">
        <v>#N/A</v>
      </c>
      <c r="H156" s="21" t="e">
        <v>#N/A</v>
      </c>
      <c r="I156" s="21" t="e">
        <v>#N/A</v>
      </c>
      <c r="J156" s="21" t="e">
        <v>#N/A</v>
      </c>
      <c r="K156" s="22" t="e">
        <v>#N/A</v>
      </c>
    </row>
    <row r="157" spans="1:11" s="1" customFormat="1">
      <c r="A157" s="4" t="s">
        <v>3502</v>
      </c>
      <c r="B157" s="3" t="s">
        <v>2855</v>
      </c>
      <c r="C157" s="3">
        <v>131</v>
      </c>
      <c r="D157" s="4" t="e">
        <v>#N/A</v>
      </c>
      <c r="E157" s="4"/>
      <c r="F157" s="5" t="s">
        <v>3503</v>
      </c>
      <c r="G157" s="6" t="e">
        <v>#N/A</v>
      </c>
      <c r="H157" s="21" t="e">
        <v>#N/A</v>
      </c>
      <c r="I157" s="21" t="e">
        <v>#N/A</v>
      </c>
      <c r="J157" s="21" t="e">
        <v>#N/A</v>
      </c>
      <c r="K157" s="22" t="e">
        <v>#N/A</v>
      </c>
    </row>
    <row r="158" spans="1:11" s="1" customFormat="1">
      <c r="A158" s="4" t="s">
        <v>3504</v>
      </c>
      <c r="B158" s="3" t="s">
        <v>2855</v>
      </c>
      <c r="C158" s="3">
        <v>88</v>
      </c>
      <c r="D158" s="4" t="e">
        <v>#N/A</v>
      </c>
      <c r="E158" s="4"/>
      <c r="F158" s="5" t="s">
        <v>3505</v>
      </c>
      <c r="G158" s="6" t="e">
        <v>#N/A</v>
      </c>
      <c r="H158" s="21" t="e">
        <v>#N/A</v>
      </c>
      <c r="I158" s="21" t="e">
        <v>#N/A</v>
      </c>
      <c r="J158" s="21" t="e">
        <v>#N/A</v>
      </c>
      <c r="K158" s="22" t="e">
        <v>#N/A</v>
      </c>
    </row>
    <row r="159" spans="1:11" s="1" customFormat="1">
      <c r="A159" s="4" t="s">
        <v>3506</v>
      </c>
      <c r="B159" s="3" t="s">
        <v>2855</v>
      </c>
      <c r="C159" s="3">
        <v>163</v>
      </c>
      <c r="D159" s="4" t="e">
        <v>#N/A</v>
      </c>
      <c r="E159" s="4"/>
      <c r="F159" s="5" t="s">
        <v>3507</v>
      </c>
      <c r="G159" s="6" t="e">
        <v>#N/A</v>
      </c>
      <c r="H159" s="21" t="e">
        <v>#N/A</v>
      </c>
      <c r="I159" s="21" t="e">
        <v>#N/A</v>
      </c>
      <c r="J159" s="21" t="e">
        <v>#N/A</v>
      </c>
      <c r="K159" s="22" t="e">
        <v>#N/A</v>
      </c>
    </row>
    <row r="160" spans="1:11" s="1" customFormat="1">
      <c r="A160" s="4" t="s">
        <v>3508</v>
      </c>
      <c r="B160" s="3" t="s">
        <v>2938</v>
      </c>
      <c r="C160" s="3">
        <v>149</v>
      </c>
      <c r="D160" s="4" t="e">
        <v>#N/A</v>
      </c>
      <c r="E160" s="4"/>
      <c r="F160" s="5" t="s">
        <v>3509</v>
      </c>
      <c r="G160" s="6" t="e">
        <v>#N/A</v>
      </c>
      <c r="H160" s="21" t="e">
        <v>#N/A</v>
      </c>
      <c r="I160" s="21" t="e">
        <v>#N/A</v>
      </c>
      <c r="J160" s="21" t="e">
        <v>#N/A</v>
      </c>
      <c r="K160" s="22" t="e">
        <v>#N/A</v>
      </c>
    </row>
    <row r="161" spans="1:11" s="1" customFormat="1">
      <c r="A161" s="4" t="s">
        <v>3510</v>
      </c>
      <c r="B161" s="3" t="s">
        <v>3181</v>
      </c>
      <c r="C161" s="3">
        <v>220</v>
      </c>
      <c r="D161" s="4" t="e">
        <v>#N/A</v>
      </c>
      <c r="E161" s="4"/>
      <c r="F161" s="5" t="s">
        <v>3511</v>
      </c>
      <c r="G161" s="6" t="e">
        <v>#N/A</v>
      </c>
      <c r="H161" s="21" t="e">
        <v>#N/A</v>
      </c>
      <c r="I161" s="21" t="e">
        <v>#N/A</v>
      </c>
      <c r="J161" s="21" t="e">
        <v>#N/A</v>
      </c>
      <c r="K161" s="22" t="e">
        <v>#N/A</v>
      </c>
    </row>
    <row r="162" spans="1:11" s="1" customFormat="1">
      <c r="A162" s="4" t="s">
        <v>3512</v>
      </c>
      <c r="B162" s="3" t="s">
        <v>2855</v>
      </c>
      <c r="C162" s="3">
        <v>124</v>
      </c>
      <c r="D162" s="4" t="e">
        <v>#N/A</v>
      </c>
      <c r="E162" s="4"/>
      <c r="F162" s="5" t="s">
        <v>3513</v>
      </c>
      <c r="G162" s="6" t="e">
        <v>#N/A</v>
      </c>
      <c r="H162" s="21" t="e">
        <v>#N/A</v>
      </c>
      <c r="I162" s="21" t="e">
        <v>#N/A</v>
      </c>
      <c r="J162" s="21" t="e">
        <v>#N/A</v>
      </c>
      <c r="K162" s="22" t="e">
        <v>#N/A</v>
      </c>
    </row>
    <row r="163" spans="1:11" s="1" customFormat="1">
      <c r="A163" s="4" t="s">
        <v>3514</v>
      </c>
      <c r="B163" s="3" t="s">
        <v>2855</v>
      </c>
      <c r="C163" s="3">
        <v>69</v>
      </c>
      <c r="D163" s="4" t="e">
        <v>#N/A</v>
      </c>
      <c r="E163" s="4"/>
      <c r="F163" s="5" t="s">
        <v>3515</v>
      </c>
      <c r="G163" s="6" t="e">
        <v>#N/A</v>
      </c>
      <c r="H163" s="21" t="e">
        <v>#N/A</v>
      </c>
      <c r="I163" s="21" t="e">
        <v>#N/A</v>
      </c>
      <c r="J163" s="21" t="e">
        <v>#N/A</v>
      </c>
      <c r="K163" s="22" t="e">
        <v>#N/A</v>
      </c>
    </row>
    <row r="164" spans="1:11" s="1" customFormat="1">
      <c r="A164" s="4" t="s">
        <v>3516</v>
      </c>
      <c r="B164" s="3" t="s">
        <v>3213</v>
      </c>
      <c r="C164" s="3">
        <v>217</v>
      </c>
      <c r="D164" s="4" t="e">
        <v>#N/A</v>
      </c>
      <c r="E164" s="4"/>
      <c r="F164" s="5" t="s">
        <v>3517</v>
      </c>
      <c r="G164" s="6" t="e">
        <v>#N/A</v>
      </c>
      <c r="H164" s="21" t="e">
        <v>#N/A</v>
      </c>
      <c r="I164" s="21" t="e">
        <v>#N/A</v>
      </c>
      <c r="J164" s="21" t="e">
        <v>#N/A</v>
      </c>
      <c r="K164" s="22" t="e">
        <v>#N/A</v>
      </c>
    </row>
    <row r="165" spans="1:11" s="1" customFormat="1">
      <c r="A165" s="4" t="s">
        <v>3518</v>
      </c>
      <c r="B165" s="3" t="s">
        <v>3181</v>
      </c>
      <c r="C165" s="3">
        <v>114</v>
      </c>
      <c r="D165" s="4" t="e">
        <v>#N/A</v>
      </c>
      <c r="E165" s="4"/>
      <c r="F165" s="5" t="s">
        <v>3519</v>
      </c>
      <c r="G165" s="6" t="e">
        <v>#N/A</v>
      </c>
      <c r="H165" s="21" t="e">
        <v>#N/A</v>
      </c>
      <c r="I165" s="21" t="e">
        <v>#N/A</v>
      </c>
      <c r="J165" s="21" t="e">
        <v>#N/A</v>
      </c>
      <c r="K165" s="22" t="e">
        <v>#N/A</v>
      </c>
    </row>
    <row r="166" spans="1:11" s="1" customFormat="1">
      <c r="A166" s="4" t="s">
        <v>3520</v>
      </c>
      <c r="B166" s="3" t="s">
        <v>2855</v>
      </c>
      <c r="C166" s="3">
        <v>158</v>
      </c>
      <c r="D166" s="4" t="e">
        <v>#N/A</v>
      </c>
      <c r="E166" s="4"/>
      <c r="F166" s="5" t="s">
        <v>3521</v>
      </c>
      <c r="G166" s="6" t="e">
        <v>#N/A</v>
      </c>
      <c r="H166" s="21" t="e">
        <v>#N/A</v>
      </c>
      <c r="I166" s="21" t="e">
        <v>#N/A</v>
      </c>
      <c r="J166" s="21" t="e">
        <v>#N/A</v>
      </c>
      <c r="K166" s="22" t="e">
        <v>#N/A</v>
      </c>
    </row>
    <row r="167" spans="1:11" s="1" customFormat="1">
      <c r="A167" s="4" t="s">
        <v>3522</v>
      </c>
      <c r="B167" s="3" t="s">
        <v>2855</v>
      </c>
      <c r="C167" s="3">
        <v>187</v>
      </c>
      <c r="D167" s="4" t="e">
        <v>#N/A</v>
      </c>
      <c r="E167" s="4"/>
      <c r="F167" s="5" t="s">
        <v>3523</v>
      </c>
      <c r="G167" s="6" t="e">
        <v>#N/A</v>
      </c>
      <c r="H167" s="21" t="e">
        <v>#N/A</v>
      </c>
      <c r="I167" s="21" t="e">
        <v>#N/A</v>
      </c>
      <c r="J167" s="21" t="e">
        <v>#N/A</v>
      </c>
      <c r="K167" s="22" t="e">
        <v>#N/A</v>
      </c>
    </row>
    <row r="168" spans="1:11" s="1" customFormat="1">
      <c r="A168" s="4" t="s">
        <v>3524</v>
      </c>
      <c r="B168" s="3" t="s">
        <v>2855</v>
      </c>
      <c r="C168" s="3">
        <v>171</v>
      </c>
      <c r="D168" s="4" t="e">
        <v>#N/A</v>
      </c>
      <c r="E168" s="4"/>
      <c r="F168" s="5" t="s">
        <v>3525</v>
      </c>
      <c r="G168" s="6" t="e">
        <v>#N/A</v>
      </c>
      <c r="H168" s="21" t="e">
        <v>#N/A</v>
      </c>
      <c r="I168" s="21" t="e">
        <v>#N/A</v>
      </c>
      <c r="J168" s="21" t="e">
        <v>#N/A</v>
      </c>
      <c r="K168" s="22" t="e">
        <v>#N/A</v>
      </c>
    </row>
    <row r="169" spans="1:11" s="1" customFormat="1">
      <c r="A169" s="4" t="s">
        <v>3526</v>
      </c>
      <c r="B169" s="3" t="s">
        <v>3213</v>
      </c>
      <c r="C169" s="3">
        <v>178</v>
      </c>
      <c r="D169" s="4" t="e">
        <v>#N/A</v>
      </c>
      <c r="E169" s="4"/>
      <c r="F169" s="5" t="s">
        <v>3527</v>
      </c>
      <c r="G169" s="6" t="e">
        <v>#N/A</v>
      </c>
      <c r="H169" s="21" t="e">
        <v>#N/A</v>
      </c>
      <c r="I169" s="21" t="e">
        <v>#N/A</v>
      </c>
      <c r="J169" s="21" t="e">
        <v>#N/A</v>
      </c>
      <c r="K169" s="22" t="e">
        <v>#N/A</v>
      </c>
    </row>
    <row r="170" spans="1:11" s="1" customFormat="1">
      <c r="A170" s="4" t="s">
        <v>3528</v>
      </c>
      <c r="B170" s="3" t="s">
        <v>3208</v>
      </c>
      <c r="C170" s="3">
        <v>157</v>
      </c>
      <c r="D170" s="4" t="e">
        <v>#N/A</v>
      </c>
      <c r="E170" s="4"/>
      <c r="F170" s="5" t="s">
        <v>3529</v>
      </c>
      <c r="G170" s="6" t="e">
        <v>#N/A</v>
      </c>
      <c r="H170" s="21" t="e">
        <v>#N/A</v>
      </c>
      <c r="I170" s="21" t="e">
        <v>#N/A</v>
      </c>
      <c r="J170" s="21" t="e">
        <v>#N/A</v>
      </c>
      <c r="K170" s="22" t="e">
        <v>#N/A</v>
      </c>
    </row>
    <row r="171" spans="1:11" s="1" customFormat="1">
      <c r="A171" s="4" t="s">
        <v>3530</v>
      </c>
      <c r="B171" s="3" t="s">
        <v>2855</v>
      </c>
      <c r="C171" s="3">
        <v>174</v>
      </c>
      <c r="D171" s="4" t="e">
        <v>#N/A</v>
      </c>
      <c r="E171" s="4"/>
      <c r="F171" s="5" t="s">
        <v>3531</v>
      </c>
      <c r="G171" s="6" t="e">
        <v>#N/A</v>
      </c>
      <c r="H171" s="21" t="e">
        <v>#N/A</v>
      </c>
      <c r="I171" s="21" t="e">
        <v>#N/A</v>
      </c>
      <c r="J171" s="21" t="e">
        <v>#N/A</v>
      </c>
      <c r="K171" s="22" t="e">
        <v>#N/A</v>
      </c>
    </row>
    <row r="172" spans="1:11" s="1" customFormat="1">
      <c r="A172" s="4" t="s">
        <v>3532</v>
      </c>
      <c r="B172" s="3" t="s">
        <v>2855</v>
      </c>
      <c r="C172" s="3">
        <v>126</v>
      </c>
      <c r="D172" s="4" t="e">
        <v>#N/A</v>
      </c>
      <c r="E172" s="4"/>
      <c r="F172" s="5" t="s">
        <v>3533</v>
      </c>
      <c r="G172" s="6" t="e">
        <v>#N/A</v>
      </c>
      <c r="H172" s="21" t="e">
        <v>#N/A</v>
      </c>
      <c r="I172" s="21" t="e">
        <v>#N/A</v>
      </c>
      <c r="J172" s="21" t="e">
        <v>#N/A</v>
      </c>
      <c r="K172" s="22" t="e">
        <v>#N/A</v>
      </c>
    </row>
    <row r="173" spans="1:11" s="1" customFormat="1">
      <c r="A173" s="4" t="s">
        <v>3534</v>
      </c>
      <c r="B173" s="3" t="s">
        <v>2855</v>
      </c>
      <c r="C173" s="3">
        <v>145</v>
      </c>
      <c r="D173" s="4" t="e">
        <v>#N/A</v>
      </c>
      <c r="E173" s="4"/>
      <c r="F173" s="5" t="s">
        <v>3535</v>
      </c>
      <c r="G173" s="6" t="e">
        <v>#N/A</v>
      </c>
      <c r="H173" s="21" t="e">
        <v>#N/A</v>
      </c>
      <c r="I173" s="21" t="e">
        <v>#N/A</v>
      </c>
      <c r="J173" s="21" t="e">
        <v>#N/A</v>
      </c>
      <c r="K173" s="22" t="e">
        <v>#N/A</v>
      </c>
    </row>
    <row r="174" spans="1:11" s="1" customFormat="1">
      <c r="A174" s="4" t="s">
        <v>3536</v>
      </c>
      <c r="B174" s="3" t="s">
        <v>3208</v>
      </c>
      <c r="C174" s="3">
        <v>209</v>
      </c>
      <c r="D174" s="4" t="e">
        <v>#N/A</v>
      </c>
      <c r="E174" s="4"/>
      <c r="F174" s="5" t="s">
        <v>3537</v>
      </c>
      <c r="G174" s="6" t="e">
        <v>#N/A</v>
      </c>
      <c r="H174" s="21" t="e">
        <v>#N/A</v>
      </c>
      <c r="I174" s="21" t="e">
        <v>#N/A</v>
      </c>
      <c r="J174" s="21" t="e">
        <v>#N/A</v>
      </c>
      <c r="K174" s="22" t="e">
        <v>#N/A</v>
      </c>
    </row>
    <row r="175" spans="1:11" s="1" customFormat="1">
      <c r="A175" s="4" t="s">
        <v>3538</v>
      </c>
      <c r="B175" s="3" t="s">
        <v>2855</v>
      </c>
      <c r="C175" s="3">
        <v>141</v>
      </c>
      <c r="D175" s="4" t="e">
        <v>#N/A</v>
      </c>
      <c r="E175" s="4"/>
      <c r="F175" s="5" t="s">
        <v>3539</v>
      </c>
      <c r="G175" s="6" t="e">
        <v>#N/A</v>
      </c>
      <c r="H175" s="21" t="e">
        <v>#N/A</v>
      </c>
      <c r="I175" s="21" t="e">
        <v>#N/A</v>
      </c>
      <c r="J175" s="21" t="e">
        <v>#N/A</v>
      </c>
      <c r="K175" s="22" t="e">
        <v>#N/A</v>
      </c>
    </row>
    <row r="176" spans="1:11" s="1" customFormat="1">
      <c r="A176" s="4" t="s">
        <v>3540</v>
      </c>
      <c r="B176" s="3" t="s">
        <v>2855</v>
      </c>
      <c r="C176" s="3">
        <v>176</v>
      </c>
      <c r="D176" s="4" t="e">
        <v>#N/A</v>
      </c>
      <c r="E176" s="4"/>
      <c r="F176" s="5" t="s">
        <v>3541</v>
      </c>
      <c r="G176" s="6" t="e">
        <v>#N/A</v>
      </c>
      <c r="H176" s="21" t="e">
        <v>#N/A</v>
      </c>
      <c r="I176" s="21" t="e">
        <v>#N/A</v>
      </c>
      <c r="J176" s="21" t="e">
        <v>#N/A</v>
      </c>
      <c r="K176" s="22" t="e">
        <v>#N/A</v>
      </c>
    </row>
    <row r="177" spans="1:11" s="1" customFormat="1">
      <c r="A177" s="4" t="s">
        <v>3542</v>
      </c>
      <c r="B177" s="3" t="s">
        <v>2855</v>
      </c>
      <c r="C177" s="3">
        <v>104</v>
      </c>
      <c r="D177" s="4" t="e">
        <v>#N/A</v>
      </c>
      <c r="E177" s="4"/>
      <c r="F177" s="5" t="s">
        <v>3543</v>
      </c>
      <c r="G177" s="6" t="e">
        <v>#N/A</v>
      </c>
      <c r="H177" s="21" t="e">
        <v>#N/A</v>
      </c>
      <c r="I177" s="21" t="e">
        <v>#N/A</v>
      </c>
      <c r="J177" s="21" t="e">
        <v>#N/A</v>
      </c>
      <c r="K177" s="22" t="e">
        <v>#N/A</v>
      </c>
    </row>
    <row r="178" spans="1:11" s="1" customFormat="1">
      <c r="A178" s="4" t="s">
        <v>3544</v>
      </c>
      <c r="B178" s="3" t="s">
        <v>3181</v>
      </c>
      <c r="C178" s="3">
        <v>160</v>
      </c>
      <c r="D178" s="4" t="e">
        <v>#N/A</v>
      </c>
      <c r="E178" s="4"/>
      <c r="F178" s="5" t="s">
        <v>3545</v>
      </c>
      <c r="G178" s="6" t="e">
        <v>#N/A</v>
      </c>
      <c r="H178" s="21" t="e">
        <v>#N/A</v>
      </c>
      <c r="I178" s="21" t="e">
        <v>#N/A</v>
      </c>
      <c r="J178" s="21" t="e">
        <v>#N/A</v>
      </c>
      <c r="K178" s="22" t="e">
        <v>#N/A</v>
      </c>
    </row>
    <row r="179" spans="1:11" s="1" customFormat="1">
      <c r="A179" s="4" t="s">
        <v>3546</v>
      </c>
      <c r="B179" s="3" t="s">
        <v>2855</v>
      </c>
      <c r="C179" s="3">
        <v>175</v>
      </c>
      <c r="D179" s="4" t="e">
        <v>#N/A</v>
      </c>
      <c r="E179" s="4"/>
      <c r="F179" s="5" t="s">
        <v>3547</v>
      </c>
      <c r="G179" s="6" t="e">
        <v>#N/A</v>
      </c>
      <c r="H179" s="21" t="e">
        <v>#N/A</v>
      </c>
      <c r="I179" s="21" t="e">
        <v>#N/A</v>
      </c>
      <c r="J179" s="21" t="e">
        <v>#N/A</v>
      </c>
      <c r="K179" s="22" t="e">
        <v>#N/A</v>
      </c>
    </row>
    <row r="180" spans="1:11" s="1" customFormat="1">
      <c r="A180" s="4" t="s">
        <v>3548</v>
      </c>
      <c r="B180" s="3" t="s">
        <v>2855</v>
      </c>
      <c r="C180" s="3">
        <v>183</v>
      </c>
      <c r="D180" s="4" t="e">
        <v>#N/A</v>
      </c>
      <c r="E180" s="4"/>
      <c r="F180" s="5" t="s">
        <v>3549</v>
      </c>
      <c r="G180" s="6" t="e">
        <v>#N/A</v>
      </c>
      <c r="H180" s="21" t="e">
        <v>#N/A</v>
      </c>
      <c r="I180" s="21" t="e">
        <v>#N/A</v>
      </c>
      <c r="J180" s="21" t="e">
        <v>#N/A</v>
      </c>
      <c r="K180" s="22" t="e">
        <v>#N/A</v>
      </c>
    </row>
    <row r="181" spans="1:11" s="1" customFormat="1">
      <c r="A181" s="4" t="s">
        <v>3550</v>
      </c>
      <c r="B181" s="3" t="s">
        <v>3208</v>
      </c>
      <c r="C181" s="3">
        <v>147</v>
      </c>
      <c r="D181" s="4" t="e">
        <v>#N/A</v>
      </c>
      <c r="E181" s="4"/>
      <c r="F181" s="5" t="s">
        <v>3551</v>
      </c>
      <c r="G181" s="6" t="e">
        <v>#N/A</v>
      </c>
      <c r="H181" s="21" t="e">
        <v>#N/A</v>
      </c>
      <c r="I181" s="21" t="e">
        <v>#N/A</v>
      </c>
      <c r="J181" s="21" t="e">
        <v>#N/A</v>
      </c>
      <c r="K181" s="22" t="e">
        <v>#N/A</v>
      </c>
    </row>
    <row r="182" spans="1:11" s="1" customFormat="1">
      <c r="A182" s="4" t="s">
        <v>3552</v>
      </c>
      <c r="B182" s="3" t="s">
        <v>2855</v>
      </c>
      <c r="C182" s="3">
        <v>181</v>
      </c>
      <c r="D182" s="4" t="e">
        <v>#N/A</v>
      </c>
      <c r="E182" s="4"/>
      <c r="F182" s="5" t="s">
        <v>3553</v>
      </c>
      <c r="G182" s="6" t="e">
        <v>#N/A</v>
      </c>
      <c r="H182" s="21" t="e">
        <v>#N/A</v>
      </c>
      <c r="I182" s="21" t="e">
        <v>#N/A</v>
      </c>
      <c r="J182" s="21" t="e">
        <v>#N/A</v>
      </c>
      <c r="K182" s="22" t="e">
        <v>#N/A</v>
      </c>
    </row>
    <row r="183" spans="1:11" s="1" customFormat="1">
      <c r="A183" s="4" t="s">
        <v>3554</v>
      </c>
      <c r="B183" s="3" t="s">
        <v>2855</v>
      </c>
      <c r="C183" s="3">
        <v>182</v>
      </c>
      <c r="D183" s="4" t="e">
        <v>#N/A</v>
      </c>
      <c r="E183" s="4"/>
      <c r="F183" s="5" t="s">
        <v>3555</v>
      </c>
      <c r="G183" s="6" t="e">
        <v>#N/A</v>
      </c>
      <c r="H183" s="21" t="e">
        <v>#N/A</v>
      </c>
      <c r="I183" s="21" t="e">
        <v>#N/A</v>
      </c>
      <c r="J183" s="21" t="e">
        <v>#N/A</v>
      </c>
      <c r="K183" s="22" t="e">
        <v>#N/A</v>
      </c>
    </row>
    <row r="184" spans="1:11" s="1" customFormat="1">
      <c r="A184" s="4" t="s">
        <v>3556</v>
      </c>
      <c r="B184" s="3" t="s">
        <v>3208</v>
      </c>
      <c r="C184" s="3">
        <v>243</v>
      </c>
      <c r="D184" s="4" t="e">
        <v>#N/A</v>
      </c>
      <c r="E184" s="4"/>
      <c r="F184" s="5" t="s">
        <v>3557</v>
      </c>
      <c r="G184" s="6" t="e">
        <v>#N/A</v>
      </c>
      <c r="H184" s="21" t="e">
        <v>#N/A</v>
      </c>
      <c r="I184" s="21" t="e">
        <v>#N/A</v>
      </c>
      <c r="J184" s="21" t="e">
        <v>#N/A</v>
      </c>
      <c r="K184" s="22" t="e">
        <v>#N/A</v>
      </c>
    </row>
    <row r="185" spans="1:11" s="1" customFormat="1">
      <c r="A185" s="4" t="s">
        <v>3558</v>
      </c>
      <c r="B185" s="3" t="s">
        <v>2855</v>
      </c>
      <c r="C185" s="3">
        <v>155</v>
      </c>
      <c r="D185" s="4" t="e">
        <v>#N/A</v>
      </c>
      <c r="E185" s="4"/>
      <c r="F185" s="5" t="s">
        <v>3559</v>
      </c>
      <c r="G185" s="6" t="e">
        <v>#N/A</v>
      </c>
      <c r="H185" s="21" t="e">
        <v>#N/A</v>
      </c>
      <c r="I185" s="21" t="e">
        <v>#N/A</v>
      </c>
      <c r="J185" s="21" t="e">
        <v>#N/A</v>
      </c>
      <c r="K185" s="22" t="e">
        <v>#N/A</v>
      </c>
    </row>
    <row r="186" spans="1:11" s="1" customFormat="1">
      <c r="A186" s="4" t="s">
        <v>3560</v>
      </c>
      <c r="B186" s="3" t="s">
        <v>2855</v>
      </c>
      <c r="C186" s="3">
        <v>133</v>
      </c>
      <c r="D186" s="4" t="e">
        <v>#N/A</v>
      </c>
      <c r="E186" s="4"/>
      <c r="F186" s="5" t="s">
        <v>3561</v>
      </c>
      <c r="G186" s="6" t="e">
        <v>#N/A</v>
      </c>
      <c r="H186" s="21" t="e">
        <v>#N/A</v>
      </c>
      <c r="I186" s="21" t="e">
        <v>#N/A</v>
      </c>
      <c r="J186" s="21" t="e">
        <v>#N/A</v>
      </c>
      <c r="K186" s="22" t="e">
        <v>#N/A</v>
      </c>
    </row>
    <row r="187" spans="1:11" s="1" customFormat="1">
      <c r="A187" s="4" t="s">
        <v>3562</v>
      </c>
      <c r="B187" s="3" t="s">
        <v>2855</v>
      </c>
      <c r="C187" s="3">
        <v>127</v>
      </c>
      <c r="D187" s="4" t="e">
        <v>#N/A</v>
      </c>
      <c r="E187" s="4"/>
      <c r="F187" s="5" t="s">
        <v>3563</v>
      </c>
      <c r="G187" s="6" t="e">
        <v>#N/A</v>
      </c>
      <c r="H187" s="21" t="e">
        <v>#N/A</v>
      </c>
      <c r="I187" s="21" t="e">
        <v>#N/A</v>
      </c>
      <c r="J187" s="21" t="e">
        <v>#N/A</v>
      </c>
      <c r="K187" s="22" t="e">
        <v>#N/A</v>
      </c>
    </row>
    <row r="188" spans="1:11" s="1" customFormat="1">
      <c r="A188" s="4" t="s">
        <v>3564</v>
      </c>
      <c r="B188" s="3" t="s">
        <v>2855</v>
      </c>
      <c r="C188" s="3">
        <v>199</v>
      </c>
      <c r="D188" s="4" t="e">
        <v>#N/A</v>
      </c>
      <c r="E188" s="4"/>
      <c r="F188" s="5" t="s">
        <v>3565</v>
      </c>
      <c r="G188" s="6" t="e">
        <v>#N/A</v>
      </c>
      <c r="H188" s="21" t="e">
        <v>#N/A</v>
      </c>
      <c r="I188" s="21" t="e">
        <v>#N/A</v>
      </c>
      <c r="J188" s="21" t="e">
        <v>#N/A</v>
      </c>
      <c r="K188" s="22" t="e">
        <v>#N/A</v>
      </c>
    </row>
    <row r="189" spans="1:11" s="1" customFormat="1">
      <c r="A189" s="4" t="s">
        <v>3566</v>
      </c>
      <c r="B189" s="3" t="s">
        <v>2855</v>
      </c>
      <c r="C189" s="3">
        <v>165</v>
      </c>
      <c r="D189" s="4" t="e">
        <v>#N/A</v>
      </c>
      <c r="E189" s="4"/>
      <c r="F189" s="5" t="s">
        <v>3567</v>
      </c>
      <c r="G189" s="6" t="e">
        <v>#N/A</v>
      </c>
      <c r="H189" s="21" t="e">
        <v>#N/A</v>
      </c>
      <c r="I189" s="21" t="e">
        <v>#N/A</v>
      </c>
      <c r="J189" s="21" t="e">
        <v>#N/A</v>
      </c>
      <c r="K189" s="22" t="e">
        <v>#N/A</v>
      </c>
    </row>
    <row r="190" spans="1:11" s="1" customFormat="1">
      <c r="A190" s="4" t="s">
        <v>3568</v>
      </c>
      <c r="B190" s="3" t="s">
        <v>2855</v>
      </c>
      <c r="C190" s="3">
        <v>99</v>
      </c>
      <c r="D190" s="4" t="e">
        <v>#N/A</v>
      </c>
      <c r="E190" s="4"/>
      <c r="F190" s="5" t="s">
        <v>3569</v>
      </c>
      <c r="G190" s="6" t="e">
        <v>#N/A</v>
      </c>
      <c r="H190" s="21" t="e">
        <v>#N/A</v>
      </c>
      <c r="I190" s="21" t="e">
        <v>#N/A</v>
      </c>
      <c r="J190" s="21" t="e">
        <v>#N/A</v>
      </c>
      <c r="K190" s="22" t="e">
        <v>#N/A</v>
      </c>
    </row>
    <row r="191" spans="1:11" s="1" customFormat="1">
      <c r="A191" s="4" t="s">
        <v>3570</v>
      </c>
      <c r="B191" s="3" t="s">
        <v>2855</v>
      </c>
      <c r="C191" s="3">
        <v>216</v>
      </c>
      <c r="D191" s="4" t="e">
        <v>#N/A</v>
      </c>
      <c r="E191" s="4"/>
      <c r="F191" s="5" t="s">
        <v>3571</v>
      </c>
      <c r="G191" s="6" t="e">
        <v>#N/A</v>
      </c>
      <c r="H191" s="21" t="e">
        <v>#N/A</v>
      </c>
      <c r="I191" s="21" t="e">
        <v>#N/A</v>
      </c>
      <c r="J191" s="21" t="e">
        <v>#N/A</v>
      </c>
      <c r="K191" s="22" t="e">
        <v>#N/A</v>
      </c>
    </row>
    <row r="192" spans="1:11" s="1" customFormat="1">
      <c r="A192" s="4" t="s">
        <v>3572</v>
      </c>
      <c r="B192" s="3" t="s">
        <v>3208</v>
      </c>
      <c r="C192" s="3">
        <v>243</v>
      </c>
      <c r="D192" s="4" t="e">
        <v>#N/A</v>
      </c>
      <c r="E192" s="4"/>
      <c r="F192" s="5" t="s">
        <v>3573</v>
      </c>
      <c r="G192" s="6" t="e">
        <v>#N/A</v>
      </c>
      <c r="H192" s="21" t="e">
        <v>#N/A</v>
      </c>
      <c r="I192" s="21" t="e">
        <v>#N/A</v>
      </c>
      <c r="J192" s="21" t="e">
        <v>#N/A</v>
      </c>
      <c r="K192" s="22" t="e">
        <v>#N/A</v>
      </c>
    </row>
    <row r="193" spans="1:11" s="1" customFormat="1">
      <c r="A193" s="4" t="s">
        <v>3574</v>
      </c>
      <c r="B193" s="3" t="s">
        <v>3208</v>
      </c>
      <c r="C193" s="3">
        <v>205</v>
      </c>
      <c r="D193" s="4" t="e">
        <v>#N/A</v>
      </c>
      <c r="E193" s="4"/>
      <c r="F193" s="5" t="s">
        <v>3575</v>
      </c>
      <c r="G193" s="6" t="e">
        <v>#N/A</v>
      </c>
      <c r="H193" s="21" t="e">
        <v>#N/A</v>
      </c>
      <c r="I193" s="21" t="e">
        <v>#N/A</v>
      </c>
      <c r="J193" s="21" t="e">
        <v>#N/A</v>
      </c>
      <c r="K193" s="22" t="e">
        <v>#N/A</v>
      </c>
    </row>
    <row r="194" spans="1:11" s="1" customFormat="1">
      <c r="A194" s="4" t="s">
        <v>3576</v>
      </c>
      <c r="B194" s="3" t="s">
        <v>2855</v>
      </c>
      <c r="C194" s="3">
        <v>200</v>
      </c>
      <c r="D194" s="4" t="e">
        <v>#N/A</v>
      </c>
      <c r="E194" s="4"/>
      <c r="F194" s="5" t="s">
        <v>3577</v>
      </c>
      <c r="G194" s="6" t="e">
        <v>#N/A</v>
      </c>
      <c r="H194" s="21" t="e">
        <v>#N/A</v>
      </c>
      <c r="I194" s="21" t="e">
        <v>#N/A</v>
      </c>
      <c r="J194" s="21" t="e">
        <v>#N/A</v>
      </c>
      <c r="K194" s="22" t="e">
        <v>#N/A</v>
      </c>
    </row>
    <row r="195" spans="1:11" s="1" customFormat="1">
      <c r="A195" s="4" t="s">
        <v>3578</v>
      </c>
      <c r="B195" s="3" t="s">
        <v>2855</v>
      </c>
      <c r="C195" s="3">
        <v>185</v>
      </c>
      <c r="D195" s="4" t="e">
        <v>#N/A</v>
      </c>
      <c r="E195" s="4"/>
      <c r="F195" s="5" t="s">
        <v>3579</v>
      </c>
      <c r="G195" s="6" t="e">
        <v>#N/A</v>
      </c>
      <c r="H195" s="21" t="e">
        <v>#N/A</v>
      </c>
      <c r="I195" s="21" t="e">
        <v>#N/A</v>
      </c>
      <c r="J195" s="21" t="e">
        <v>#N/A</v>
      </c>
      <c r="K195" s="22" t="e">
        <v>#N/A</v>
      </c>
    </row>
    <row r="196" spans="1:11" s="1" customFormat="1">
      <c r="A196" s="4" t="s">
        <v>3580</v>
      </c>
      <c r="B196" s="3" t="s">
        <v>2855</v>
      </c>
      <c r="C196" s="3">
        <v>202</v>
      </c>
      <c r="D196" s="4" t="e">
        <v>#N/A</v>
      </c>
      <c r="E196" s="4"/>
      <c r="F196" s="5" t="s">
        <v>3581</v>
      </c>
      <c r="G196" s="6" t="e">
        <v>#N/A</v>
      </c>
      <c r="H196" s="21" t="e">
        <v>#N/A</v>
      </c>
      <c r="I196" s="21" t="e">
        <v>#N/A</v>
      </c>
      <c r="J196" s="21" t="e">
        <v>#N/A</v>
      </c>
      <c r="K196" s="22" t="e">
        <v>#N/A</v>
      </c>
    </row>
    <row r="197" spans="1:11" s="1" customFormat="1">
      <c r="A197" s="4" t="s">
        <v>3582</v>
      </c>
      <c r="B197" s="3" t="s">
        <v>2855</v>
      </c>
      <c r="C197" s="3">
        <v>243</v>
      </c>
      <c r="D197" s="4" t="e">
        <v>#N/A</v>
      </c>
      <c r="E197" s="4"/>
      <c r="F197" s="5" t="s">
        <v>3583</v>
      </c>
      <c r="G197" s="6" t="e">
        <v>#N/A</v>
      </c>
      <c r="H197" s="21" t="e">
        <v>#N/A</v>
      </c>
      <c r="I197" s="21" t="e">
        <v>#N/A</v>
      </c>
      <c r="J197" s="21" t="e">
        <v>#N/A</v>
      </c>
      <c r="K197" s="22" t="e">
        <v>#N/A</v>
      </c>
    </row>
    <row r="198" spans="1:11" s="1" customFormat="1">
      <c r="A198" s="4" t="s">
        <v>3584</v>
      </c>
      <c r="B198" s="3" t="s">
        <v>2855</v>
      </c>
      <c r="C198" s="3">
        <v>194</v>
      </c>
      <c r="D198" s="4" t="e">
        <v>#N/A</v>
      </c>
      <c r="E198" s="4"/>
      <c r="F198" s="5" t="s">
        <v>3585</v>
      </c>
      <c r="G198" s="6" t="e">
        <v>#N/A</v>
      </c>
      <c r="H198" s="21" t="e">
        <v>#N/A</v>
      </c>
      <c r="I198" s="21" t="e">
        <v>#N/A</v>
      </c>
      <c r="J198" s="21" t="e">
        <v>#N/A</v>
      </c>
      <c r="K198" s="22" t="e">
        <v>#N/A</v>
      </c>
    </row>
    <row r="199" spans="1:11" s="1" customFormat="1">
      <c r="A199" s="4" t="s">
        <v>3586</v>
      </c>
      <c r="B199" s="3" t="s">
        <v>2855</v>
      </c>
      <c r="C199" s="3">
        <v>203</v>
      </c>
      <c r="D199" s="4" t="e">
        <v>#N/A</v>
      </c>
      <c r="E199" s="4"/>
      <c r="F199" s="5" t="s">
        <v>3587</v>
      </c>
      <c r="G199" s="6" t="e">
        <v>#N/A</v>
      </c>
      <c r="H199" s="21" t="e">
        <v>#N/A</v>
      </c>
      <c r="I199" s="21" t="e">
        <v>#N/A</v>
      </c>
      <c r="J199" s="21" t="e">
        <v>#N/A</v>
      </c>
      <c r="K199" s="22" t="e">
        <v>#N/A</v>
      </c>
    </row>
    <row r="200" spans="1:11" s="1" customFormat="1">
      <c r="A200" s="4" t="s">
        <v>3588</v>
      </c>
      <c r="B200" s="3" t="s">
        <v>2855</v>
      </c>
      <c r="C200" s="3">
        <v>129</v>
      </c>
      <c r="D200" s="4" t="e">
        <v>#N/A</v>
      </c>
      <c r="E200" s="4"/>
      <c r="F200" s="5" t="s">
        <v>3589</v>
      </c>
      <c r="G200" s="6" t="e">
        <v>#N/A</v>
      </c>
      <c r="H200" s="21" t="e">
        <v>#N/A</v>
      </c>
      <c r="I200" s="21" t="e">
        <v>#N/A</v>
      </c>
      <c r="J200" s="21" t="e">
        <v>#N/A</v>
      </c>
      <c r="K200" s="22" t="e">
        <v>#N/A</v>
      </c>
    </row>
    <row r="201" spans="1:11" s="1" customFormat="1">
      <c r="A201" s="4" t="s">
        <v>3590</v>
      </c>
      <c r="B201" s="3" t="s">
        <v>3591</v>
      </c>
      <c r="C201" s="3">
        <v>224</v>
      </c>
      <c r="D201" s="4" t="e">
        <v>#N/A</v>
      </c>
      <c r="E201" s="4"/>
      <c r="F201" s="5" t="s">
        <v>3592</v>
      </c>
      <c r="G201" s="6" t="e">
        <v>#N/A</v>
      </c>
      <c r="H201" s="21" t="e">
        <v>#N/A</v>
      </c>
      <c r="I201" s="21" t="e">
        <v>#N/A</v>
      </c>
      <c r="J201" s="21" t="e">
        <v>#N/A</v>
      </c>
      <c r="K201" s="22" t="e">
        <v>#N/A</v>
      </c>
    </row>
    <row r="202" spans="1:11" s="1" customFormat="1">
      <c r="A202" s="4" t="s">
        <v>3593</v>
      </c>
      <c r="B202" s="3" t="s">
        <v>2855</v>
      </c>
      <c r="C202" s="3">
        <v>196</v>
      </c>
      <c r="D202" s="4" t="e">
        <v>#N/A</v>
      </c>
      <c r="E202" s="4"/>
      <c r="F202" s="5" t="s">
        <v>3594</v>
      </c>
      <c r="G202" s="6" t="e">
        <v>#N/A</v>
      </c>
      <c r="H202" s="21" t="e">
        <v>#N/A</v>
      </c>
      <c r="I202" s="21" t="e">
        <v>#N/A</v>
      </c>
      <c r="J202" s="21" t="e">
        <v>#N/A</v>
      </c>
      <c r="K202" s="22" t="e">
        <v>#N/A</v>
      </c>
    </row>
    <row r="203" spans="1:11" s="1" customFormat="1">
      <c r="A203" s="4" t="s">
        <v>3595</v>
      </c>
      <c r="B203" s="3" t="s">
        <v>3208</v>
      </c>
      <c r="C203" s="3">
        <v>243</v>
      </c>
      <c r="D203" s="4" t="e">
        <v>#N/A</v>
      </c>
      <c r="E203" s="4"/>
      <c r="F203" s="5" t="s">
        <v>3596</v>
      </c>
      <c r="G203" s="6" t="e">
        <v>#N/A</v>
      </c>
      <c r="H203" s="21" t="e">
        <v>#N/A</v>
      </c>
      <c r="I203" s="21" t="e">
        <v>#N/A</v>
      </c>
      <c r="J203" s="21" t="e">
        <v>#N/A</v>
      </c>
      <c r="K203" s="22" t="e">
        <v>#N/A</v>
      </c>
    </row>
    <row r="204" spans="1:11" s="1" customFormat="1">
      <c r="A204" s="4" t="s">
        <v>3597</v>
      </c>
      <c r="B204" s="3" t="s">
        <v>3208</v>
      </c>
      <c r="C204" s="3">
        <v>201</v>
      </c>
      <c r="D204" s="4" t="e">
        <v>#N/A</v>
      </c>
      <c r="E204" s="4"/>
      <c r="F204" s="5" t="s">
        <v>3598</v>
      </c>
      <c r="G204" s="6" t="e">
        <v>#N/A</v>
      </c>
      <c r="H204" s="21" t="e">
        <v>#N/A</v>
      </c>
      <c r="I204" s="21" t="e">
        <v>#N/A</v>
      </c>
      <c r="J204" s="21" t="e">
        <v>#N/A</v>
      </c>
      <c r="K204" s="22" t="e">
        <v>#N/A</v>
      </c>
    </row>
    <row r="205" spans="1:11" s="1" customFormat="1">
      <c r="A205" s="4" t="s">
        <v>3599</v>
      </c>
      <c r="B205" s="3" t="s">
        <v>2855</v>
      </c>
      <c r="C205" s="3">
        <v>211</v>
      </c>
      <c r="D205" s="4" t="e">
        <v>#N/A</v>
      </c>
      <c r="E205" s="4"/>
      <c r="F205" s="5" t="s">
        <v>3600</v>
      </c>
      <c r="G205" s="6" t="e">
        <v>#N/A</v>
      </c>
      <c r="H205" s="21" t="e">
        <v>#N/A</v>
      </c>
      <c r="I205" s="21" t="e">
        <v>#N/A</v>
      </c>
      <c r="J205" s="21" t="e">
        <v>#N/A</v>
      </c>
      <c r="K205" s="22" t="e">
        <v>#N/A</v>
      </c>
    </row>
    <row r="206" spans="1:11" s="1" customFormat="1">
      <c r="A206" s="4" t="s">
        <v>3601</v>
      </c>
      <c r="B206" s="3" t="s">
        <v>2855</v>
      </c>
      <c r="C206" s="3">
        <v>190</v>
      </c>
      <c r="D206" s="4" t="e">
        <v>#N/A</v>
      </c>
      <c r="E206" s="4"/>
      <c r="F206" s="5" t="s">
        <v>3602</v>
      </c>
      <c r="G206" s="6" t="e">
        <v>#N/A</v>
      </c>
      <c r="H206" s="21" t="e">
        <v>#N/A</v>
      </c>
      <c r="I206" s="21" t="e">
        <v>#N/A</v>
      </c>
      <c r="J206" s="21" t="e">
        <v>#N/A</v>
      </c>
      <c r="K206" s="22" t="e">
        <v>#N/A</v>
      </c>
    </row>
    <row r="207" spans="1:11" s="1" customFormat="1">
      <c r="A207" s="4" t="s">
        <v>3603</v>
      </c>
      <c r="B207" s="3" t="s">
        <v>2855</v>
      </c>
      <c r="C207" s="3">
        <v>184</v>
      </c>
      <c r="D207" s="4" t="e">
        <v>#N/A</v>
      </c>
      <c r="E207" s="4"/>
      <c r="F207" s="5" t="s">
        <v>3604</v>
      </c>
      <c r="G207" s="6" t="e">
        <v>#N/A</v>
      </c>
      <c r="H207" s="21" t="e">
        <v>#N/A</v>
      </c>
      <c r="I207" s="21" t="e">
        <v>#N/A</v>
      </c>
      <c r="J207" s="21" t="e">
        <v>#N/A</v>
      </c>
      <c r="K207" s="22" t="e">
        <v>#N/A</v>
      </c>
    </row>
    <row r="208" spans="1:11" s="1" customFormat="1">
      <c r="A208" s="4" t="s">
        <v>3605</v>
      </c>
      <c r="B208" s="3" t="s">
        <v>2855</v>
      </c>
      <c r="C208" s="3">
        <v>188</v>
      </c>
      <c r="D208" s="4" t="e">
        <v>#N/A</v>
      </c>
      <c r="E208" s="4"/>
      <c r="F208" s="5" t="s">
        <v>3606</v>
      </c>
      <c r="G208" s="6" t="e">
        <v>#N/A</v>
      </c>
      <c r="H208" s="21" t="e">
        <v>#N/A</v>
      </c>
      <c r="I208" s="21" t="e">
        <v>#N/A</v>
      </c>
      <c r="J208" s="21" t="e">
        <v>#N/A</v>
      </c>
      <c r="K208" s="22" t="e">
        <v>#N/A</v>
      </c>
    </row>
    <row r="209" spans="1:11" s="1" customFormat="1">
      <c r="A209" s="4" t="s">
        <v>3607</v>
      </c>
      <c r="B209" s="3" t="s">
        <v>2855</v>
      </c>
      <c r="C209" s="3">
        <v>219</v>
      </c>
      <c r="D209" s="4" t="e">
        <v>#N/A</v>
      </c>
      <c r="E209" s="4"/>
      <c r="F209" s="5" t="s">
        <v>3608</v>
      </c>
      <c r="G209" s="6" t="e">
        <v>#N/A</v>
      </c>
      <c r="H209" s="21" t="e">
        <v>#N/A</v>
      </c>
      <c r="I209" s="21" t="e">
        <v>#N/A</v>
      </c>
      <c r="J209" s="21" t="e">
        <v>#N/A</v>
      </c>
      <c r="K209" s="22" t="e">
        <v>#N/A</v>
      </c>
    </row>
    <row r="210" spans="1:11" s="1" customFormat="1">
      <c r="A210" s="4" t="s">
        <v>3609</v>
      </c>
      <c r="B210" s="3" t="s">
        <v>2855</v>
      </c>
      <c r="C210" s="3">
        <v>227</v>
      </c>
      <c r="D210" s="4" t="e">
        <v>#N/A</v>
      </c>
      <c r="E210" s="4"/>
      <c r="F210" s="5" t="s">
        <v>3610</v>
      </c>
      <c r="G210" s="6" t="e">
        <v>#N/A</v>
      </c>
      <c r="H210" s="21" t="e">
        <v>#N/A</v>
      </c>
      <c r="I210" s="21" t="e">
        <v>#N/A</v>
      </c>
      <c r="J210" s="21" t="e">
        <v>#N/A</v>
      </c>
      <c r="K210" s="22" t="e">
        <v>#N/A</v>
      </c>
    </row>
    <row r="211" spans="1:11" s="1" customFormat="1">
      <c r="A211" s="4" t="s">
        <v>3611</v>
      </c>
      <c r="B211" s="3" t="s">
        <v>2855</v>
      </c>
      <c r="C211" s="3">
        <v>243</v>
      </c>
      <c r="D211" s="4" t="e">
        <v>#N/A</v>
      </c>
      <c r="E211" s="4"/>
      <c r="F211" s="5" t="s">
        <v>3612</v>
      </c>
      <c r="G211" s="6" t="e">
        <v>#N/A</v>
      </c>
      <c r="H211" s="21" t="e">
        <v>#N/A</v>
      </c>
      <c r="I211" s="21" t="e">
        <v>#N/A</v>
      </c>
      <c r="J211" s="21" t="e">
        <v>#N/A</v>
      </c>
      <c r="K211" s="22" t="e">
        <v>#N/A</v>
      </c>
    </row>
    <row r="212" spans="1:11" s="1" customFormat="1">
      <c r="A212" s="4" t="s">
        <v>3613</v>
      </c>
      <c r="B212" s="3" t="s">
        <v>2855</v>
      </c>
      <c r="C212" s="3">
        <v>231</v>
      </c>
      <c r="D212" s="4" t="e">
        <v>#N/A</v>
      </c>
      <c r="E212" s="4"/>
      <c r="F212" s="5" t="s">
        <v>3614</v>
      </c>
      <c r="G212" s="6" t="e">
        <v>#N/A</v>
      </c>
      <c r="H212" s="21" t="e">
        <v>#N/A</v>
      </c>
      <c r="I212" s="21" t="e">
        <v>#N/A</v>
      </c>
      <c r="J212" s="21" t="e">
        <v>#N/A</v>
      </c>
      <c r="K212" s="22" t="e">
        <v>#N/A</v>
      </c>
    </row>
    <row r="213" spans="1:11" s="1" customFormat="1">
      <c r="A213" s="4" t="s">
        <v>3615</v>
      </c>
      <c r="B213" s="3" t="s">
        <v>2855</v>
      </c>
      <c r="C213" s="3">
        <v>195</v>
      </c>
      <c r="D213" s="4" t="e">
        <v>#N/A</v>
      </c>
      <c r="E213" s="4"/>
      <c r="F213" s="5" t="s">
        <v>3616</v>
      </c>
      <c r="G213" s="6" t="e">
        <v>#N/A</v>
      </c>
      <c r="H213" s="21" t="e">
        <v>#N/A</v>
      </c>
      <c r="I213" s="21" t="e">
        <v>#N/A</v>
      </c>
      <c r="J213" s="21" t="e">
        <v>#N/A</v>
      </c>
      <c r="K213" s="22" t="e">
        <v>#N/A</v>
      </c>
    </row>
    <row r="214" spans="1:11" s="1" customFormat="1">
      <c r="A214" s="4" t="s">
        <v>3617</v>
      </c>
      <c r="B214" s="3" t="s">
        <v>3591</v>
      </c>
      <c r="C214" s="3">
        <v>225</v>
      </c>
      <c r="D214" s="4" t="e">
        <v>#N/A</v>
      </c>
      <c r="E214" s="4"/>
      <c r="F214" s="5" t="s">
        <v>3618</v>
      </c>
      <c r="G214" s="6" t="e">
        <v>#N/A</v>
      </c>
      <c r="H214" s="21" t="e">
        <v>#N/A</v>
      </c>
      <c r="I214" s="21" t="e">
        <v>#N/A</v>
      </c>
      <c r="J214" s="21" t="e">
        <v>#N/A</v>
      </c>
      <c r="K214" s="22" t="e">
        <v>#N/A</v>
      </c>
    </row>
    <row r="215" spans="1:11" s="1" customFormat="1">
      <c r="A215" s="4" t="s">
        <v>3619</v>
      </c>
      <c r="B215" s="3" t="s">
        <v>2855</v>
      </c>
      <c r="C215" s="3">
        <v>164</v>
      </c>
      <c r="D215" s="4" t="e">
        <v>#N/A</v>
      </c>
      <c r="E215" s="4"/>
      <c r="F215" s="5" t="s">
        <v>3620</v>
      </c>
      <c r="G215" s="6" t="e">
        <v>#N/A</v>
      </c>
      <c r="H215" s="21" t="e">
        <v>#N/A</v>
      </c>
      <c r="I215" s="21" t="e">
        <v>#N/A</v>
      </c>
      <c r="J215" s="21" t="e">
        <v>#N/A</v>
      </c>
      <c r="K215" s="22" t="e">
        <v>#N/A</v>
      </c>
    </row>
    <row r="216" spans="1:11" s="1" customFormat="1">
      <c r="A216" s="4" t="s">
        <v>3621</v>
      </c>
      <c r="B216" s="3" t="s">
        <v>3208</v>
      </c>
      <c r="C216" s="3">
        <v>243</v>
      </c>
      <c r="D216" s="4" t="e">
        <v>#N/A</v>
      </c>
      <c r="E216" s="4"/>
      <c r="F216" s="5" t="s">
        <v>3622</v>
      </c>
      <c r="G216" s="6" t="e">
        <v>#N/A</v>
      </c>
      <c r="H216" s="21" t="e">
        <v>#N/A</v>
      </c>
      <c r="I216" s="21" t="e">
        <v>#N/A</v>
      </c>
      <c r="J216" s="21" t="e">
        <v>#N/A</v>
      </c>
      <c r="K216" s="22" t="e">
        <v>#N/A</v>
      </c>
    </row>
    <row r="217" spans="1:11" s="1" customFormat="1">
      <c r="A217" s="4" t="s">
        <v>3623</v>
      </c>
      <c r="B217" s="3" t="s">
        <v>2855</v>
      </c>
      <c r="C217" s="3">
        <v>212</v>
      </c>
      <c r="D217" s="4" t="e">
        <v>#N/A</v>
      </c>
      <c r="E217" s="4"/>
      <c r="F217" s="5" t="s">
        <v>3624</v>
      </c>
      <c r="G217" s="6" t="e">
        <v>#N/A</v>
      </c>
      <c r="H217" s="21" t="e">
        <v>#N/A</v>
      </c>
      <c r="I217" s="21" t="e">
        <v>#N/A</v>
      </c>
      <c r="J217" s="21" t="e">
        <v>#N/A</v>
      </c>
      <c r="K217" s="22" t="e">
        <v>#N/A</v>
      </c>
    </row>
    <row r="218" spans="1:11" s="1" customFormat="1">
      <c r="A218" s="4" t="s">
        <v>3625</v>
      </c>
      <c r="B218" s="3" t="s">
        <v>3591</v>
      </c>
      <c r="C218" s="3">
        <v>214</v>
      </c>
      <c r="D218" s="4" t="e">
        <v>#N/A</v>
      </c>
      <c r="E218" s="4"/>
      <c r="F218" s="5" t="s">
        <v>3626</v>
      </c>
      <c r="G218" s="6" t="e">
        <v>#N/A</v>
      </c>
      <c r="H218" s="21" t="e">
        <v>#N/A</v>
      </c>
      <c r="I218" s="21" t="e">
        <v>#N/A</v>
      </c>
      <c r="J218" s="21" t="e">
        <v>#N/A</v>
      </c>
      <c r="K218" s="22" t="e">
        <v>#N/A</v>
      </c>
    </row>
    <row r="219" spans="1:11" s="1" customFormat="1">
      <c r="A219" s="4" t="s">
        <v>3627</v>
      </c>
      <c r="B219" s="3" t="s">
        <v>2855</v>
      </c>
      <c r="C219" s="3">
        <v>170</v>
      </c>
      <c r="D219" s="4" t="e">
        <v>#N/A</v>
      </c>
      <c r="E219" s="4"/>
      <c r="F219" s="5" t="s">
        <v>3628</v>
      </c>
      <c r="G219" s="6" t="e">
        <v>#N/A</v>
      </c>
      <c r="H219" s="21" t="e">
        <v>#N/A</v>
      </c>
      <c r="I219" s="21" t="e">
        <v>#N/A</v>
      </c>
      <c r="J219" s="21" t="e">
        <v>#N/A</v>
      </c>
      <c r="K219" s="22" t="e">
        <v>#N/A</v>
      </c>
    </row>
    <row r="220" spans="1:11" s="1" customFormat="1">
      <c r="A220" s="4" t="s">
        <v>3629</v>
      </c>
      <c r="B220" s="3" t="s">
        <v>2855</v>
      </c>
      <c r="C220" s="3">
        <v>213</v>
      </c>
      <c r="D220" s="4" t="e">
        <v>#N/A</v>
      </c>
      <c r="E220" s="4"/>
      <c r="F220" s="5" t="s">
        <v>3630</v>
      </c>
      <c r="G220" s="6" t="e">
        <v>#N/A</v>
      </c>
      <c r="H220" s="21" t="e">
        <v>#N/A</v>
      </c>
      <c r="I220" s="21" t="e">
        <v>#N/A</v>
      </c>
      <c r="J220" s="21" t="e">
        <v>#N/A</v>
      </c>
      <c r="K220" s="22" t="e">
        <v>#N/A</v>
      </c>
    </row>
    <row r="221" spans="1:11" s="1" customFormat="1">
      <c r="A221" s="4" t="s">
        <v>3631</v>
      </c>
      <c r="B221" s="3" t="s">
        <v>2855</v>
      </c>
      <c r="C221" s="3">
        <v>228</v>
      </c>
      <c r="D221" s="4" t="e">
        <v>#N/A</v>
      </c>
      <c r="E221" s="4"/>
      <c r="F221" s="5" t="s">
        <v>3632</v>
      </c>
      <c r="G221" s="6" t="e">
        <v>#N/A</v>
      </c>
      <c r="H221" s="21" t="e">
        <v>#N/A</v>
      </c>
      <c r="I221" s="21" t="e">
        <v>#N/A</v>
      </c>
      <c r="J221" s="21" t="e">
        <v>#N/A</v>
      </c>
      <c r="K221" s="22" t="e">
        <v>#N/A</v>
      </c>
    </row>
    <row r="222" spans="1:11" s="1" customFormat="1">
      <c r="A222" s="4" t="s">
        <v>3633</v>
      </c>
      <c r="B222" s="3" t="s">
        <v>2855</v>
      </c>
      <c r="C222" s="3">
        <v>168</v>
      </c>
      <c r="D222" s="4" t="e">
        <v>#N/A</v>
      </c>
      <c r="E222" s="4"/>
      <c r="F222" s="5" t="s">
        <v>3634</v>
      </c>
      <c r="G222" s="6" t="e">
        <v>#N/A</v>
      </c>
      <c r="H222" s="21" t="e">
        <v>#N/A</v>
      </c>
      <c r="I222" s="21" t="e">
        <v>#N/A</v>
      </c>
      <c r="J222" s="21" t="e">
        <v>#N/A</v>
      </c>
      <c r="K222" s="22" t="e">
        <v>#N/A</v>
      </c>
    </row>
    <row r="223" spans="1:11" s="1" customFormat="1">
      <c r="A223" s="4" t="s">
        <v>3635</v>
      </c>
      <c r="B223" s="3" t="s">
        <v>2855</v>
      </c>
      <c r="C223" s="3">
        <v>206</v>
      </c>
      <c r="D223" s="4" t="e">
        <v>#N/A</v>
      </c>
      <c r="E223" s="4"/>
      <c r="F223" s="5" t="s">
        <v>3636</v>
      </c>
      <c r="G223" s="6" t="e">
        <v>#N/A</v>
      </c>
      <c r="H223" s="21" t="e">
        <v>#N/A</v>
      </c>
      <c r="I223" s="21" t="e">
        <v>#N/A</v>
      </c>
      <c r="J223" s="21" t="e">
        <v>#N/A</v>
      </c>
      <c r="K223" s="22" t="e">
        <v>#N/A</v>
      </c>
    </row>
    <row r="224" spans="1:11" s="1" customFormat="1">
      <c r="A224" s="4" t="s">
        <v>3637</v>
      </c>
      <c r="B224" s="3" t="s">
        <v>2855</v>
      </c>
      <c r="C224" s="3">
        <v>208</v>
      </c>
      <c r="D224" s="4" t="e">
        <v>#N/A</v>
      </c>
      <c r="E224" s="4"/>
      <c r="F224" s="5" t="s">
        <v>3638</v>
      </c>
      <c r="G224" s="6" t="e">
        <v>#N/A</v>
      </c>
      <c r="H224" s="21" t="e">
        <v>#N/A</v>
      </c>
      <c r="I224" s="21" t="e">
        <v>#N/A</v>
      </c>
      <c r="J224" s="21" t="e">
        <v>#N/A</v>
      </c>
      <c r="K224" s="22" t="e">
        <v>#N/A</v>
      </c>
    </row>
    <row r="225" spans="1:11" s="1" customFormat="1">
      <c r="A225" s="4" t="s">
        <v>3639</v>
      </c>
      <c r="B225" s="3" t="s">
        <v>2855</v>
      </c>
      <c r="C225" s="3">
        <v>172</v>
      </c>
      <c r="D225" s="4" t="e">
        <v>#N/A</v>
      </c>
      <c r="E225" s="4"/>
      <c r="F225" s="5" t="s">
        <v>3640</v>
      </c>
      <c r="G225" s="6" t="e">
        <v>#N/A</v>
      </c>
      <c r="H225" s="21" t="e">
        <v>#N/A</v>
      </c>
      <c r="I225" s="21" t="e">
        <v>#N/A</v>
      </c>
      <c r="J225" s="21" t="e">
        <v>#N/A</v>
      </c>
      <c r="K225" s="22" t="e">
        <v>#N/A</v>
      </c>
    </row>
    <row r="226" spans="1:11" s="1" customFormat="1">
      <c r="A226" s="4" t="s">
        <v>3641</v>
      </c>
      <c r="B226" s="3" t="s">
        <v>2855</v>
      </c>
      <c r="C226" s="3">
        <v>152</v>
      </c>
      <c r="D226" s="4" t="e">
        <v>#N/A</v>
      </c>
      <c r="E226" s="4"/>
      <c r="F226" s="5" t="s">
        <v>3642</v>
      </c>
      <c r="G226" s="6" t="e">
        <v>#N/A</v>
      </c>
      <c r="H226" s="21" t="e">
        <v>#N/A</v>
      </c>
      <c r="I226" s="21" t="e">
        <v>#N/A</v>
      </c>
      <c r="J226" s="21" t="e">
        <v>#N/A</v>
      </c>
      <c r="K226" s="22" t="e">
        <v>#N/A</v>
      </c>
    </row>
    <row r="227" spans="1:11" s="1" customFormat="1">
      <c r="A227" s="4" t="s">
        <v>3643</v>
      </c>
      <c r="B227" s="3" t="s">
        <v>2855</v>
      </c>
      <c r="C227" s="3">
        <v>240</v>
      </c>
      <c r="D227" s="4" t="e">
        <v>#N/A</v>
      </c>
      <c r="E227" s="4"/>
      <c r="F227" s="5" t="s">
        <v>3644</v>
      </c>
      <c r="G227" s="6" t="e">
        <v>#N/A</v>
      </c>
      <c r="H227" s="21" t="e">
        <v>#N/A</v>
      </c>
      <c r="I227" s="21" t="e">
        <v>#N/A</v>
      </c>
      <c r="J227" s="21" t="e">
        <v>#N/A</v>
      </c>
      <c r="K227" s="22" t="e">
        <v>#N/A</v>
      </c>
    </row>
    <row r="228" spans="1:11" s="1" customFormat="1">
      <c r="A228" s="4" t="s">
        <v>3645</v>
      </c>
      <c r="B228" s="3" t="s">
        <v>3181</v>
      </c>
      <c r="C228" s="3">
        <v>210</v>
      </c>
      <c r="D228" s="4" t="e">
        <v>#N/A</v>
      </c>
      <c r="E228" s="4"/>
      <c r="F228" s="5" t="s">
        <v>3646</v>
      </c>
      <c r="G228" s="6" t="e">
        <v>#N/A</v>
      </c>
      <c r="H228" s="21" t="e">
        <v>#N/A</v>
      </c>
      <c r="I228" s="21" t="e">
        <v>#N/A</v>
      </c>
      <c r="J228" s="21" t="e">
        <v>#N/A</v>
      </c>
      <c r="K228" s="22" t="e">
        <v>#N/A</v>
      </c>
    </row>
    <row r="229" spans="1:11" s="1" customFormat="1">
      <c r="A229" s="4" t="s">
        <v>3647</v>
      </c>
      <c r="B229" s="3" t="s">
        <v>3208</v>
      </c>
      <c r="C229" s="3">
        <v>243</v>
      </c>
      <c r="D229" s="4" t="e">
        <v>#N/A</v>
      </c>
      <c r="E229" s="4"/>
      <c r="F229" s="5" t="s">
        <v>3648</v>
      </c>
      <c r="G229" s="6" t="e">
        <v>#N/A</v>
      </c>
      <c r="H229" s="21" t="e">
        <v>#N/A</v>
      </c>
      <c r="I229" s="21" t="e">
        <v>#N/A</v>
      </c>
      <c r="J229" s="21" t="e">
        <v>#N/A</v>
      </c>
      <c r="K229" s="22" t="e">
        <v>#N/A</v>
      </c>
    </row>
    <row r="230" spans="1:11" s="1" customFormat="1">
      <c r="A230" s="4" t="s">
        <v>3649</v>
      </c>
      <c r="B230" s="3" t="s">
        <v>2855</v>
      </c>
      <c r="C230" s="3">
        <v>197</v>
      </c>
      <c r="D230" s="4" t="e">
        <v>#N/A</v>
      </c>
      <c r="E230" s="4"/>
      <c r="F230" s="5" t="s">
        <v>3650</v>
      </c>
      <c r="G230" s="6" t="e">
        <v>#N/A</v>
      </c>
      <c r="H230" s="21" t="e">
        <v>#N/A</v>
      </c>
      <c r="I230" s="21" t="e">
        <v>#N/A</v>
      </c>
      <c r="J230" s="21" t="e">
        <v>#N/A</v>
      </c>
      <c r="K230" s="22" t="e">
        <v>#N/A</v>
      </c>
    </row>
    <row r="231" spans="1:11" s="1" customFormat="1">
      <c r="A231" s="4" t="s">
        <v>3651</v>
      </c>
      <c r="B231" s="3" t="s">
        <v>2855</v>
      </c>
      <c r="C231" s="3">
        <v>193</v>
      </c>
      <c r="D231" s="4" t="e">
        <v>#N/A</v>
      </c>
      <c r="E231" s="4"/>
      <c r="F231" s="5" t="s">
        <v>3652</v>
      </c>
      <c r="G231" s="6" t="e">
        <v>#N/A</v>
      </c>
      <c r="H231" s="21" t="e">
        <v>#N/A</v>
      </c>
      <c r="I231" s="21" t="e">
        <v>#N/A</v>
      </c>
      <c r="J231" s="21" t="e">
        <v>#N/A</v>
      </c>
      <c r="K231" s="22" t="e">
        <v>#N/A</v>
      </c>
    </row>
    <row r="232" spans="1:11" s="1" customFormat="1">
      <c r="A232" s="4" t="s">
        <v>3653</v>
      </c>
      <c r="B232" s="3" t="s">
        <v>2938</v>
      </c>
      <c r="C232" s="3">
        <v>218</v>
      </c>
      <c r="D232" s="4" t="e">
        <v>#N/A</v>
      </c>
      <c r="E232" s="4"/>
      <c r="F232" s="5" t="s">
        <v>3654</v>
      </c>
      <c r="G232" s="6" t="e">
        <v>#N/A</v>
      </c>
      <c r="H232" s="21" t="e">
        <v>#N/A</v>
      </c>
      <c r="I232" s="21" t="e">
        <v>#N/A</v>
      </c>
      <c r="J232" s="21" t="e">
        <v>#N/A</v>
      </c>
      <c r="K232" s="22" t="e">
        <v>#N/A</v>
      </c>
    </row>
    <row r="233" spans="1:11" s="1" customFormat="1">
      <c r="A233" s="4" t="s">
        <v>3655</v>
      </c>
      <c r="B233" s="3" t="s">
        <v>2855</v>
      </c>
      <c r="C233" s="3">
        <v>237</v>
      </c>
      <c r="D233" s="4" t="e">
        <v>#N/A</v>
      </c>
      <c r="E233" s="4"/>
      <c r="F233" s="5" t="s">
        <v>3656</v>
      </c>
      <c r="G233" s="6" t="e">
        <v>#N/A</v>
      </c>
      <c r="H233" s="21" t="e">
        <v>#N/A</v>
      </c>
      <c r="I233" s="21" t="e">
        <v>#N/A</v>
      </c>
      <c r="J233" s="21" t="e">
        <v>#N/A</v>
      </c>
      <c r="K233" s="22" t="e">
        <v>#N/A</v>
      </c>
    </row>
    <row r="234" spans="1:11" s="1" customFormat="1">
      <c r="A234" s="4" t="s">
        <v>3657</v>
      </c>
      <c r="B234" s="3" t="s">
        <v>3208</v>
      </c>
      <c r="C234" s="3">
        <v>243</v>
      </c>
      <c r="D234" s="4" t="e">
        <v>#N/A</v>
      </c>
      <c r="E234" s="4"/>
      <c r="F234" s="5" t="s">
        <v>3658</v>
      </c>
      <c r="G234" s="6" t="e">
        <v>#N/A</v>
      </c>
      <c r="H234" s="21" t="e">
        <v>#N/A</v>
      </c>
      <c r="I234" s="21" t="e">
        <v>#N/A</v>
      </c>
      <c r="J234" s="21" t="e">
        <v>#N/A</v>
      </c>
      <c r="K234" s="22" t="e">
        <v>#N/A</v>
      </c>
    </row>
    <row r="235" spans="1:11" s="1" customFormat="1">
      <c r="A235" s="4" t="s">
        <v>3659</v>
      </c>
      <c r="B235" s="3" t="s">
        <v>2855</v>
      </c>
      <c r="C235" s="3">
        <v>243</v>
      </c>
      <c r="D235" s="4" t="e">
        <v>#N/A</v>
      </c>
      <c r="E235" s="4"/>
      <c r="F235" s="5" t="s">
        <v>3660</v>
      </c>
      <c r="G235" s="6" t="e">
        <v>#N/A</v>
      </c>
      <c r="H235" s="21" t="e">
        <v>#N/A</v>
      </c>
      <c r="I235" s="21" t="e">
        <v>#N/A</v>
      </c>
      <c r="J235" s="21" t="e">
        <v>#N/A</v>
      </c>
      <c r="K235" s="22" t="e">
        <v>#N/A</v>
      </c>
    </row>
    <row r="236" spans="1:11" s="1" customFormat="1">
      <c r="A236" s="4" t="s">
        <v>3661</v>
      </c>
      <c r="B236" s="3" t="s">
        <v>2855</v>
      </c>
      <c r="C236" s="3">
        <v>234</v>
      </c>
      <c r="D236" s="4" t="e">
        <v>#N/A</v>
      </c>
      <c r="E236" s="4"/>
      <c r="F236" s="5" t="s">
        <v>3662</v>
      </c>
      <c r="G236" s="6" t="s">
        <v>3663</v>
      </c>
      <c r="H236" s="21" t="e">
        <v>#N/A</v>
      </c>
      <c r="I236" s="21" t="e">
        <v>#N/A</v>
      </c>
      <c r="J236" s="21" t="e">
        <v>#N/A</v>
      </c>
      <c r="K236" s="22" t="e">
        <v>#N/A</v>
      </c>
    </row>
    <row r="237" spans="1:11" s="1" customFormat="1">
      <c r="A237" s="4" t="s">
        <v>3664</v>
      </c>
      <c r="B237" s="3" t="s">
        <v>3208</v>
      </c>
      <c r="C237" s="3">
        <v>239</v>
      </c>
      <c r="D237" s="4" t="e">
        <v>#N/A</v>
      </c>
      <c r="E237" s="4"/>
      <c r="F237" s="5" t="s">
        <v>3665</v>
      </c>
      <c r="G237" s="6" t="e">
        <v>#N/A</v>
      </c>
      <c r="H237" s="21" t="e">
        <v>#N/A</v>
      </c>
      <c r="I237" s="21" t="e">
        <v>#N/A</v>
      </c>
      <c r="J237" s="21" t="e">
        <v>#N/A</v>
      </c>
      <c r="K237" s="22" t="e">
        <v>#N/A</v>
      </c>
    </row>
    <row r="238" spans="1:11" s="1" customFormat="1">
      <c r="A238" s="4" t="s">
        <v>3666</v>
      </c>
      <c r="B238" s="3" t="s">
        <v>3213</v>
      </c>
      <c r="C238" s="3">
        <v>230</v>
      </c>
      <c r="D238" s="4" t="e">
        <v>#N/A</v>
      </c>
      <c r="E238" s="4"/>
      <c r="F238" s="5" t="s">
        <v>3667</v>
      </c>
      <c r="G238" s="6" t="e">
        <v>#N/A</v>
      </c>
      <c r="H238" s="21" t="e">
        <v>#N/A</v>
      </c>
      <c r="I238" s="21" t="e">
        <v>#N/A</v>
      </c>
      <c r="J238" s="21" t="e">
        <v>#N/A</v>
      </c>
      <c r="K238" s="22" t="e">
        <v>#N/A</v>
      </c>
    </row>
    <row r="239" spans="1:11" s="1" customFormat="1">
      <c r="A239" s="4" t="s">
        <v>3668</v>
      </c>
      <c r="B239" s="3" t="s">
        <v>2918</v>
      </c>
      <c r="C239" s="3">
        <v>233</v>
      </c>
      <c r="D239" s="4" t="e">
        <v>#N/A</v>
      </c>
      <c r="E239" s="4"/>
      <c r="F239" s="5" t="s">
        <v>3669</v>
      </c>
      <c r="G239" s="6" t="e">
        <v>#N/A</v>
      </c>
      <c r="H239" s="21" t="e">
        <v>#N/A</v>
      </c>
      <c r="I239" s="21" t="e">
        <v>#N/A</v>
      </c>
      <c r="J239" s="21" t="e">
        <v>#N/A</v>
      </c>
      <c r="K239" s="22" t="e">
        <v>#N/A</v>
      </c>
    </row>
    <row r="240" spans="1:11" s="1" customFormat="1">
      <c r="A240" s="4" t="s">
        <v>3670</v>
      </c>
      <c r="B240" s="3" t="s">
        <v>2855</v>
      </c>
      <c r="C240" s="3">
        <v>221</v>
      </c>
      <c r="D240" s="4" t="e">
        <v>#N/A</v>
      </c>
      <c r="E240" s="4"/>
      <c r="F240" s="5" t="s">
        <v>3671</v>
      </c>
      <c r="G240" s="6" t="e">
        <v>#N/A</v>
      </c>
      <c r="H240" s="21" t="e">
        <v>#N/A</v>
      </c>
      <c r="I240" s="21" t="e">
        <v>#N/A</v>
      </c>
      <c r="J240" s="21" t="e">
        <v>#N/A</v>
      </c>
      <c r="K240" s="22" t="e">
        <v>#N/A</v>
      </c>
    </row>
    <row r="241" spans="1:11" s="1" customFormat="1">
      <c r="A241" s="4" t="s">
        <v>3672</v>
      </c>
      <c r="B241" s="3" t="s">
        <v>2855</v>
      </c>
      <c r="C241" s="3">
        <v>204</v>
      </c>
      <c r="D241" s="4" t="e">
        <v>#N/A</v>
      </c>
      <c r="E241" s="4"/>
      <c r="F241" s="5" t="s">
        <v>3673</v>
      </c>
      <c r="G241" s="6" t="e">
        <v>#N/A</v>
      </c>
      <c r="H241" s="21" t="e">
        <v>#N/A</v>
      </c>
      <c r="I241" s="21" t="e">
        <v>#N/A</v>
      </c>
      <c r="J241" s="21" t="e">
        <v>#N/A</v>
      </c>
      <c r="K241" s="22" t="e">
        <v>#N/A</v>
      </c>
    </row>
    <row r="242" spans="1:11" s="1" customFormat="1">
      <c r="A242" s="4" t="s">
        <v>3674</v>
      </c>
      <c r="B242" s="3" t="s">
        <v>2855</v>
      </c>
      <c r="C242" s="3">
        <v>235</v>
      </c>
      <c r="D242" s="4" t="e">
        <v>#N/A</v>
      </c>
      <c r="E242" s="4"/>
      <c r="F242" s="5" t="s">
        <v>3675</v>
      </c>
      <c r="G242" s="6" t="s">
        <v>3676</v>
      </c>
      <c r="H242" s="21" t="e">
        <v>#N/A</v>
      </c>
      <c r="I242" s="21" t="e">
        <v>#N/A</v>
      </c>
      <c r="J242" s="21" t="e">
        <v>#N/A</v>
      </c>
      <c r="K242" s="22" t="e">
        <v>#N/A</v>
      </c>
    </row>
    <row r="243" spans="1:11" s="1" customFormat="1">
      <c r="A243" s="4" t="s">
        <v>3677</v>
      </c>
      <c r="B243" s="3" t="s">
        <v>3208</v>
      </c>
      <c r="C243" s="3">
        <v>223</v>
      </c>
      <c r="D243" s="4" t="e">
        <v>#N/A</v>
      </c>
      <c r="E243" s="4"/>
      <c r="F243" s="5" t="s">
        <v>3678</v>
      </c>
      <c r="G243" s="6" t="e">
        <v>#N/A</v>
      </c>
      <c r="H243" s="21" t="e">
        <v>#N/A</v>
      </c>
      <c r="I243" s="21" t="e">
        <v>#N/A</v>
      </c>
      <c r="J243" s="21" t="e">
        <v>#N/A</v>
      </c>
      <c r="K243" s="22" t="e">
        <v>#N/A</v>
      </c>
    </row>
    <row r="244" spans="1:11" s="1" customFormat="1">
      <c r="A244" s="4" t="s">
        <v>3679</v>
      </c>
      <c r="B244" s="3" t="s">
        <v>2855</v>
      </c>
      <c r="C244" s="3">
        <v>241</v>
      </c>
      <c r="D244" s="4" t="e">
        <v>#N/A</v>
      </c>
      <c r="E244" s="4"/>
      <c r="F244" s="5" t="s">
        <v>3680</v>
      </c>
      <c r="G244" s="6" t="e">
        <v>#N/A</v>
      </c>
      <c r="H244" s="21" t="e">
        <v>#N/A</v>
      </c>
      <c r="I244" s="21" t="e">
        <v>#N/A</v>
      </c>
      <c r="J244" s="21" t="e">
        <v>#N/A</v>
      </c>
      <c r="K244" s="22" t="e">
        <v>#N/A</v>
      </c>
    </row>
    <row r="245" spans="1:11" s="1" customFormat="1">
      <c r="A245" s="4" t="s">
        <v>3681</v>
      </c>
      <c r="B245" s="3" t="s">
        <v>2855</v>
      </c>
      <c r="C245" s="3">
        <v>242</v>
      </c>
      <c r="D245" s="4" t="e">
        <v>#N/A</v>
      </c>
      <c r="E245" s="4"/>
      <c r="F245" s="5" t="s">
        <v>3682</v>
      </c>
      <c r="G245" s="6" t="e">
        <v>#N/A</v>
      </c>
      <c r="H245" s="21" t="e">
        <v>#N/A</v>
      </c>
      <c r="I245" s="21" t="e">
        <v>#N/A</v>
      </c>
      <c r="J245" s="21" t="e">
        <v>#N/A</v>
      </c>
      <c r="K245" s="22" t="e">
        <v>#N/A</v>
      </c>
    </row>
    <row r="246" spans="1:11" s="1" customFormat="1">
      <c r="A246" s="4" t="s">
        <v>3683</v>
      </c>
      <c r="B246" s="3" t="s">
        <v>2855</v>
      </c>
      <c r="C246" s="3">
        <v>232</v>
      </c>
      <c r="D246" s="4" t="e">
        <v>#N/A</v>
      </c>
      <c r="E246" s="4"/>
      <c r="F246" s="5" t="s">
        <v>3684</v>
      </c>
      <c r="G246" s="6" t="e">
        <v>#N/A</v>
      </c>
      <c r="H246" s="21" t="e">
        <v>#N/A</v>
      </c>
      <c r="I246" s="21" t="e">
        <v>#N/A</v>
      </c>
      <c r="J246" s="21" t="e">
        <v>#N/A</v>
      </c>
      <c r="K246" s="22" t="e">
        <v>#N/A</v>
      </c>
    </row>
    <row r="247" spans="1:11" s="1" customFormat="1">
      <c r="A247" s="4" t="s">
        <v>3685</v>
      </c>
      <c r="B247" s="3" t="s">
        <v>2855</v>
      </c>
      <c r="C247" s="3">
        <v>226</v>
      </c>
      <c r="D247" s="4" t="e">
        <v>#N/A</v>
      </c>
      <c r="E247" s="4"/>
      <c r="F247" s="5" t="s">
        <v>3686</v>
      </c>
      <c r="G247" s="6" t="e">
        <v>#N/A</v>
      </c>
      <c r="H247" s="21" t="e">
        <v>#N/A</v>
      </c>
      <c r="I247" s="21" t="e">
        <v>#N/A</v>
      </c>
      <c r="J247" s="21" t="e">
        <v>#N/A</v>
      </c>
      <c r="K247" s="22" t="e">
        <v>#N/A</v>
      </c>
    </row>
    <row r="248" spans="1:11" s="1" customFormat="1">
      <c r="A248" s="4" t="s">
        <v>3687</v>
      </c>
      <c r="B248" s="3" t="s">
        <v>2918</v>
      </c>
      <c r="C248" s="3">
        <v>243</v>
      </c>
      <c r="D248" s="4" t="e">
        <v>#N/A</v>
      </c>
      <c r="E248" s="4"/>
      <c r="F248" s="5" t="s">
        <v>3688</v>
      </c>
      <c r="G248" s="6" t="e">
        <v>#N/A</v>
      </c>
      <c r="H248" s="21" t="e">
        <v>#N/A</v>
      </c>
      <c r="I248" s="21" t="e">
        <v>#N/A</v>
      </c>
      <c r="J248" s="21" t="e">
        <v>#N/A</v>
      </c>
      <c r="K248" s="22" t="e">
        <v>#N/A</v>
      </c>
    </row>
    <row r="249" spans="1:11" s="1" customFormat="1">
      <c r="A249" s="4" t="s">
        <v>3689</v>
      </c>
      <c r="B249" s="3" t="s">
        <v>2855</v>
      </c>
      <c r="C249" s="3">
        <v>236</v>
      </c>
      <c r="D249" s="4" t="e">
        <v>#N/A</v>
      </c>
      <c r="E249" s="4"/>
      <c r="F249" s="5" t="s">
        <v>3690</v>
      </c>
      <c r="G249" s="6" t="e">
        <v>#N/A</v>
      </c>
      <c r="H249" s="21" t="e">
        <v>#N/A</v>
      </c>
      <c r="I249" s="21" t="e">
        <v>#N/A</v>
      </c>
      <c r="J249" s="21" t="e">
        <v>#N/A</v>
      </c>
      <c r="K249" s="22" t="e">
        <v>#N/A</v>
      </c>
    </row>
    <row r="250" spans="1:11" s="1" customFormat="1">
      <c r="A250" s="4" t="s">
        <v>3691</v>
      </c>
      <c r="B250" s="3" t="s">
        <v>2918</v>
      </c>
      <c r="C250" s="3">
        <v>243</v>
      </c>
      <c r="D250" s="4" t="e">
        <v>#N/A</v>
      </c>
      <c r="E250" s="4"/>
      <c r="F250" s="5" t="s">
        <v>3692</v>
      </c>
      <c r="G250" s="6" t="e">
        <v>#N/A</v>
      </c>
      <c r="H250" s="21" t="e">
        <v>#N/A</v>
      </c>
      <c r="I250" s="21" t="e">
        <v>#N/A</v>
      </c>
      <c r="J250" s="21" t="e">
        <v>#N/A</v>
      </c>
      <c r="K250" s="22" t="e">
        <v>#N/A</v>
      </c>
    </row>
    <row r="251" spans="1:11" s="1" customFormat="1">
      <c r="A251" s="4" t="s">
        <v>3693</v>
      </c>
      <c r="B251" s="3" t="s">
        <v>2855</v>
      </c>
      <c r="C251" s="3">
        <v>110</v>
      </c>
      <c r="D251" s="4" t="e">
        <v>#N/A</v>
      </c>
      <c r="E251" s="4"/>
      <c r="F251" s="5" t="s">
        <v>3694</v>
      </c>
      <c r="G251" s="6" t="e">
        <v>#N/A</v>
      </c>
      <c r="H251" s="21" t="e">
        <v>#N/A</v>
      </c>
      <c r="I251" s="21" t="e">
        <v>#N/A</v>
      </c>
      <c r="J251" s="21" t="e">
        <v>#N/A</v>
      </c>
      <c r="K251" s="22" t="e">
        <v>#N/A</v>
      </c>
    </row>
    <row r="252" spans="1:11" s="1" customFormat="1">
      <c r="A252" s="4" t="s">
        <v>3695</v>
      </c>
      <c r="B252" s="3" t="s">
        <v>3213</v>
      </c>
      <c r="C252" s="3">
        <v>112</v>
      </c>
      <c r="D252" s="4" t="e">
        <v>#N/A</v>
      </c>
      <c r="E252" s="4"/>
      <c r="F252" s="5" t="s">
        <v>3696</v>
      </c>
      <c r="G252" s="6" t="e">
        <v>#N/A</v>
      </c>
      <c r="H252" s="21" t="e">
        <v>#N/A</v>
      </c>
      <c r="I252" s="21" t="e">
        <v>#N/A</v>
      </c>
      <c r="J252" s="21" t="e">
        <v>#N/A</v>
      </c>
      <c r="K252" s="22" t="e">
        <v>#N/A</v>
      </c>
    </row>
    <row r="253" spans="1:11" s="1" customFormat="1">
      <c r="A253" s="4" t="s">
        <v>3697</v>
      </c>
      <c r="B253" s="3" t="s">
        <v>2918</v>
      </c>
      <c r="C253" s="3">
        <v>161</v>
      </c>
      <c r="D253" s="4" t="e">
        <v>#N/A</v>
      </c>
      <c r="E253" s="4"/>
      <c r="F253" s="5" t="s">
        <v>3698</v>
      </c>
      <c r="G253" s="6" t="e">
        <v>#N/A</v>
      </c>
      <c r="H253" s="21" t="e">
        <v>#N/A</v>
      </c>
      <c r="I253" s="21" t="e">
        <v>#N/A</v>
      </c>
      <c r="J253" s="21" t="e">
        <v>#N/A</v>
      </c>
      <c r="K253" s="22" t="e">
        <v>#N/A</v>
      </c>
    </row>
    <row r="254" spans="1:11" s="1" customFormat="1">
      <c r="A254" s="4" t="s">
        <v>3699</v>
      </c>
      <c r="B254" s="3" t="s">
        <v>2855</v>
      </c>
      <c r="C254" s="3">
        <v>162</v>
      </c>
      <c r="D254" s="4" t="e">
        <v>#N/A</v>
      </c>
      <c r="E254" s="4"/>
      <c r="F254" s="5" t="s">
        <v>3700</v>
      </c>
      <c r="G254" s="6" t="e">
        <v>#N/A</v>
      </c>
      <c r="H254" s="21" t="e">
        <v>#N/A</v>
      </c>
      <c r="I254" s="21" t="e">
        <v>#N/A</v>
      </c>
      <c r="J254" s="21" t="e">
        <v>#N/A</v>
      </c>
      <c r="K254" s="22" t="e">
        <v>#N/A</v>
      </c>
    </row>
    <row r="255" spans="1:11" s="1" customFormat="1">
      <c r="A255" s="4" t="s">
        <v>3701</v>
      </c>
      <c r="B255" s="3" t="s">
        <v>2918</v>
      </c>
      <c r="C255" s="3">
        <v>166</v>
      </c>
      <c r="D255" s="4" t="e">
        <v>#N/A</v>
      </c>
      <c r="E255" s="4"/>
      <c r="F255" s="5" t="s">
        <v>3702</v>
      </c>
      <c r="G255" s="6" t="e">
        <v>#N/A</v>
      </c>
      <c r="H255" s="21" t="e">
        <v>#N/A</v>
      </c>
      <c r="I255" s="21" t="e">
        <v>#N/A</v>
      </c>
      <c r="J255" s="21" t="e">
        <v>#N/A</v>
      </c>
      <c r="K255" s="22" t="e">
        <v>#N/A</v>
      </c>
    </row>
    <row r="256" spans="1:11" s="1" customFormat="1">
      <c r="A256" s="4" t="s">
        <v>3703</v>
      </c>
      <c r="B256" s="3" t="s">
        <v>2855</v>
      </c>
      <c r="C256" s="3">
        <v>169</v>
      </c>
      <c r="D256" s="4" t="e">
        <v>#N/A</v>
      </c>
      <c r="E256" s="4"/>
      <c r="F256" s="5" t="s">
        <v>3704</v>
      </c>
      <c r="G256" s="6" t="e">
        <v>#N/A</v>
      </c>
      <c r="H256" s="21" t="e">
        <v>#N/A</v>
      </c>
      <c r="I256" s="21" t="e">
        <v>#N/A</v>
      </c>
      <c r="J256" s="21" t="e">
        <v>#N/A</v>
      </c>
      <c r="K256" s="22" t="e">
        <v>#N/A</v>
      </c>
    </row>
    <row r="257" spans="1:11" s="1" customFormat="1">
      <c r="A257" s="4" t="s">
        <v>3705</v>
      </c>
      <c r="B257" s="3" t="s">
        <v>2855</v>
      </c>
      <c r="C257" s="3">
        <v>189</v>
      </c>
      <c r="D257" s="4" t="e">
        <v>#N/A</v>
      </c>
      <c r="E257" s="4"/>
      <c r="F257" s="5" t="s">
        <v>3706</v>
      </c>
      <c r="G257" s="6" t="e">
        <v>#N/A</v>
      </c>
      <c r="H257" s="21" t="e">
        <v>#N/A</v>
      </c>
      <c r="I257" s="21" t="e">
        <v>#N/A</v>
      </c>
      <c r="J257" s="21" t="e">
        <v>#N/A</v>
      </c>
      <c r="K257" s="22" t="e">
        <v>#N/A</v>
      </c>
    </row>
    <row r="258" spans="1:11" s="1" customFormat="1">
      <c r="A258" s="4" t="s">
        <v>3707</v>
      </c>
      <c r="B258" s="3" t="s">
        <v>2855</v>
      </c>
      <c r="C258" s="3">
        <v>192</v>
      </c>
      <c r="D258" s="4" t="e">
        <v>#N/A</v>
      </c>
      <c r="E258" s="4"/>
      <c r="F258" s="5" t="s">
        <v>3708</v>
      </c>
      <c r="G258" s="6" t="e">
        <v>#N/A</v>
      </c>
      <c r="H258" s="21" t="e">
        <v>#N/A</v>
      </c>
      <c r="I258" s="21" t="e">
        <v>#N/A</v>
      </c>
      <c r="J258" s="21" t="e">
        <v>#N/A</v>
      </c>
      <c r="K258" s="22" t="e">
        <v>#N/A</v>
      </c>
    </row>
    <row r="259" spans="1:11" s="1" customFormat="1">
      <c r="A259" s="4" t="s">
        <v>3709</v>
      </c>
      <c r="B259" s="3" t="s">
        <v>2918</v>
      </c>
      <c r="C259" s="3">
        <v>198</v>
      </c>
      <c r="D259" s="4" t="e">
        <v>#N/A</v>
      </c>
      <c r="E259" s="4"/>
      <c r="F259" s="5" t="s">
        <v>3710</v>
      </c>
      <c r="G259" s="6" t="e">
        <v>#N/A</v>
      </c>
      <c r="H259" s="21" t="e">
        <v>#N/A</v>
      </c>
      <c r="I259" s="21" t="e">
        <v>#N/A</v>
      </c>
      <c r="J259" s="21" t="e">
        <v>#N/A</v>
      </c>
      <c r="K259" s="22" t="e">
        <v>#N/A</v>
      </c>
    </row>
    <row r="260" spans="1:11" s="1" customFormat="1">
      <c r="A260" s="4" t="s">
        <v>3711</v>
      </c>
      <c r="B260" s="3" t="s">
        <v>2855</v>
      </c>
      <c r="C260" s="3">
        <v>229</v>
      </c>
      <c r="D260" s="4" t="e">
        <v>#N/A</v>
      </c>
      <c r="E260" s="4"/>
      <c r="F260" s="5" t="s">
        <v>3712</v>
      </c>
      <c r="G260" s="6" t="e">
        <v>#N/A</v>
      </c>
      <c r="H260" s="21" t="e">
        <v>#N/A</v>
      </c>
      <c r="I260" s="21" t="e">
        <v>#N/A</v>
      </c>
      <c r="J260" s="21" t="e">
        <v>#N/A</v>
      </c>
      <c r="K260" s="22" t="e">
        <v>#N/A</v>
      </c>
    </row>
    <row r="261" spans="1:11" s="1" customFormat="1">
      <c r="A261" s="4" t="s">
        <v>3713</v>
      </c>
      <c r="B261" s="3" t="s">
        <v>2918</v>
      </c>
      <c r="C261" s="3">
        <v>238</v>
      </c>
      <c r="D261" s="4" t="e">
        <v>#N/A</v>
      </c>
      <c r="E261" s="4"/>
      <c r="F261" s="5" t="s">
        <v>3714</v>
      </c>
      <c r="G261" s="6" t="e">
        <v>#N/A</v>
      </c>
      <c r="H261" s="21" t="e">
        <v>#N/A</v>
      </c>
      <c r="I261" s="21" t="e">
        <v>#N/A</v>
      </c>
      <c r="J261" s="21" t="e">
        <v>#N/A</v>
      </c>
      <c r="K261" s="22" t="e">
        <v>#N/A</v>
      </c>
    </row>
    <row r="262" spans="1:11" s="1" customFormat="1">
      <c r="A262" s="4" t="s">
        <v>3715</v>
      </c>
      <c r="B262" s="3" t="s">
        <v>2855</v>
      </c>
      <c r="C262" s="3">
        <v>243</v>
      </c>
      <c r="D262" s="4" t="e">
        <v>#N/A</v>
      </c>
      <c r="E262" s="4"/>
      <c r="F262" s="5" t="s">
        <v>3716</v>
      </c>
      <c r="G262" s="6" t="e">
        <v>#N/A</v>
      </c>
      <c r="H262" s="21" t="e">
        <v>#N/A</v>
      </c>
      <c r="I262" s="21" t="e">
        <v>#N/A</v>
      </c>
      <c r="J262" s="21" t="e">
        <v>#N/A</v>
      </c>
      <c r="K262" s="22" t="e">
        <v>#N/A</v>
      </c>
    </row>
    <row r="263" spans="1:11" s="1" customFormat="1">
      <c r="A263" s="4" t="s">
        <v>3717</v>
      </c>
      <c r="B263" s="3" t="s">
        <v>2918</v>
      </c>
      <c r="C263" s="3">
        <v>243</v>
      </c>
      <c r="D263" s="4" t="e">
        <v>#N/A</v>
      </c>
      <c r="E263" s="4"/>
      <c r="F263" s="5" t="s">
        <v>3718</v>
      </c>
      <c r="G263" s="6" t="e">
        <v>#N/A</v>
      </c>
      <c r="H263" s="21" t="e">
        <v>#N/A</v>
      </c>
      <c r="I263" s="21" t="e">
        <v>#N/A</v>
      </c>
      <c r="J263" s="21" t="e">
        <v>#N/A</v>
      </c>
      <c r="K263" s="22" t="e">
        <v>#N/A</v>
      </c>
    </row>
    <row r="264" spans="1:11" s="1" customFormat="1">
      <c r="A264" s="4" t="s">
        <v>3719</v>
      </c>
      <c r="B264" s="3" t="s">
        <v>2918</v>
      </c>
      <c r="C264" s="3">
        <v>243</v>
      </c>
      <c r="D264" s="4" t="e">
        <v>#N/A</v>
      </c>
      <c r="E264" s="4"/>
      <c r="F264" s="5" t="s">
        <v>3720</v>
      </c>
      <c r="G264" s="6" t="e">
        <v>#N/A</v>
      </c>
      <c r="H264" s="21" t="e">
        <v>#N/A</v>
      </c>
      <c r="I264" s="21" t="e">
        <v>#N/A</v>
      </c>
      <c r="J264" s="21" t="e">
        <v>#N/A</v>
      </c>
      <c r="K264" s="22" t="e">
        <v>#N/A</v>
      </c>
    </row>
    <row r="265" spans="1:11" s="1" customFormat="1">
      <c r="A265" s="4" t="s">
        <v>3721</v>
      </c>
      <c r="B265" s="3" t="s">
        <v>2918</v>
      </c>
      <c r="C265" s="3">
        <v>243</v>
      </c>
      <c r="D265" s="4" t="e">
        <v>#N/A</v>
      </c>
      <c r="E265" s="4"/>
      <c r="F265" s="5" t="s">
        <v>3722</v>
      </c>
      <c r="G265" s="6" t="e">
        <v>#N/A</v>
      </c>
      <c r="H265" s="21" t="e">
        <v>#N/A</v>
      </c>
      <c r="I265" s="21" t="e">
        <v>#N/A</v>
      </c>
      <c r="J265" s="21" t="e">
        <v>#N/A</v>
      </c>
      <c r="K265" s="22" t="e">
        <v>#N/A</v>
      </c>
    </row>
    <row r="266" spans="1:11" s="1" customFormat="1">
      <c r="A266" s="4" t="s">
        <v>3723</v>
      </c>
      <c r="B266" s="3" t="s">
        <v>2918</v>
      </c>
      <c r="C266" s="3">
        <v>243</v>
      </c>
      <c r="D266" s="4" t="e">
        <v>#N/A</v>
      </c>
      <c r="E266" s="4"/>
      <c r="F266" s="5" t="s">
        <v>3724</v>
      </c>
      <c r="G266" s="6" t="e">
        <v>#N/A</v>
      </c>
      <c r="H266" s="21" t="e">
        <v>#N/A</v>
      </c>
      <c r="I266" s="21" t="e">
        <v>#N/A</v>
      </c>
      <c r="J266" s="21" t="e">
        <v>#N/A</v>
      </c>
      <c r="K266" s="22" t="e">
        <v>#N/A</v>
      </c>
    </row>
    <row r="267" spans="1:11" s="1" customFormat="1">
      <c r="A267" s="4" t="s">
        <v>3725</v>
      </c>
      <c r="B267" s="3" t="s">
        <v>2918</v>
      </c>
      <c r="C267" s="3">
        <v>243</v>
      </c>
      <c r="D267" s="4" t="e">
        <v>#N/A</v>
      </c>
      <c r="E267" s="4"/>
      <c r="F267" s="5" t="s">
        <v>3726</v>
      </c>
      <c r="G267" s="6" t="e">
        <v>#N/A</v>
      </c>
      <c r="H267" s="21" t="e">
        <v>#N/A</v>
      </c>
      <c r="I267" s="21" t="e">
        <v>#N/A</v>
      </c>
      <c r="J267" s="21" t="e">
        <v>#N/A</v>
      </c>
      <c r="K267" s="22" t="e">
        <v>#N/A</v>
      </c>
    </row>
    <row r="268" spans="1:11" s="1" customFormat="1">
      <c r="A268" s="4" t="s">
        <v>3727</v>
      </c>
      <c r="B268" s="3" t="s">
        <v>2918</v>
      </c>
      <c r="C268" s="3">
        <v>243</v>
      </c>
      <c r="D268" s="4" t="e">
        <v>#N/A</v>
      </c>
      <c r="E268" s="4"/>
      <c r="F268" s="5" t="s">
        <v>3728</v>
      </c>
      <c r="G268" s="6" t="e">
        <v>#N/A</v>
      </c>
      <c r="H268" s="21" t="e">
        <v>#N/A</v>
      </c>
      <c r="I268" s="21" t="e">
        <v>#N/A</v>
      </c>
      <c r="J268" s="21" t="e">
        <v>#N/A</v>
      </c>
      <c r="K268" s="22" t="e">
        <v>#N/A</v>
      </c>
    </row>
    <row r="269" spans="1:11" s="1" customFormat="1">
      <c r="A269" s="4" t="s">
        <v>3729</v>
      </c>
      <c r="B269" s="3" t="s">
        <v>2938</v>
      </c>
      <c r="C269" s="3">
        <v>243</v>
      </c>
      <c r="D269" s="4" t="e">
        <v>#N/A</v>
      </c>
      <c r="E269" s="4"/>
      <c r="F269" s="5" t="s">
        <v>3730</v>
      </c>
      <c r="G269" s="6" t="e">
        <v>#N/A</v>
      </c>
      <c r="H269" s="21" t="e">
        <v>#N/A</v>
      </c>
      <c r="I269" s="21" t="e">
        <v>#N/A</v>
      </c>
      <c r="J269" s="21" t="e">
        <v>#N/A</v>
      </c>
      <c r="K269" s="22" t="e">
        <v>#N/A</v>
      </c>
    </row>
    <row r="270" spans="1:11" s="1" customFormat="1">
      <c r="A270" s="4" t="s">
        <v>3731</v>
      </c>
      <c r="B270" s="3" t="s">
        <v>2918</v>
      </c>
      <c r="C270" s="3">
        <v>243</v>
      </c>
      <c r="D270" s="4" t="e">
        <v>#N/A</v>
      </c>
      <c r="E270" s="4"/>
      <c r="F270" s="5" t="s">
        <v>3732</v>
      </c>
      <c r="G270" s="6" t="e">
        <v>#N/A</v>
      </c>
      <c r="H270" s="21" t="e">
        <v>#N/A</v>
      </c>
      <c r="I270" s="21" t="e">
        <v>#N/A</v>
      </c>
      <c r="J270" s="21" t="e">
        <v>#N/A</v>
      </c>
      <c r="K270" s="22" t="e">
        <v>#N/A</v>
      </c>
    </row>
    <row r="271" spans="1:11" s="1" customFormat="1">
      <c r="A271" s="4" t="s">
        <v>3733</v>
      </c>
      <c r="B271" s="3" t="s">
        <v>2918</v>
      </c>
      <c r="C271" s="3">
        <v>243</v>
      </c>
      <c r="D271" s="4" t="e">
        <v>#N/A</v>
      </c>
      <c r="E271" s="4"/>
      <c r="F271" s="5" t="s">
        <v>3734</v>
      </c>
      <c r="G271" s="6" t="e">
        <v>#N/A</v>
      </c>
      <c r="H271" s="21" t="e">
        <v>#N/A</v>
      </c>
      <c r="I271" s="21" t="e">
        <v>#N/A</v>
      </c>
      <c r="J271" s="21" t="e">
        <v>#N/A</v>
      </c>
      <c r="K271" s="22" t="e">
        <v>#N/A</v>
      </c>
    </row>
    <row r="272" spans="1:11" s="1" customFormat="1">
      <c r="A272" s="4" t="s">
        <v>3735</v>
      </c>
      <c r="B272" s="3" t="s">
        <v>2938</v>
      </c>
      <c r="C272" s="3">
        <v>243</v>
      </c>
      <c r="D272" s="4" t="e">
        <v>#N/A</v>
      </c>
      <c r="E272" s="4"/>
      <c r="F272" s="5" t="s">
        <v>3736</v>
      </c>
      <c r="G272" s="6" t="e">
        <v>#N/A</v>
      </c>
      <c r="H272" s="21" t="e">
        <v>#N/A</v>
      </c>
      <c r="I272" s="21" t="e">
        <v>#N/A</v>
      </c>
      <c r="J272" s="21" t="e">
        <v>#N/A</v>
      </c>
      <c r="K272" s="22" t="e">
        <v>#N/A</v>
      </c>
    </row>
    <row r="273" spans="1:11" s="1" customFormat="1">
      <c r="A273" s="4" t="s">
        <v>3737</v>
      </c>
      <c r="B273" s="3" t="s">
        <v>2938</v>
      </c>
      <c r="C273" s="3">
        <v>243</v>
      </c>
      <c r="D273" s="4" t="e">
        <v>#N/A</v>
      </c>
      <c r="E273" s="4"/>
      <c r="F273" s="5" t="s">
        <v>3738</v>
      </c>
      <c r="G273" s="6" t="e">
        <v>#N/A</v>
      </c>
      <c r="H273" s="21" t="e">
        <v>#N/A</v>
      </c>
      <c r="I273" s="21" t="e">
        <v>#N/A</v>
      </c>
      <c r="J273" s="21" t="e">
        <v>#N/A</v>
      </c>
      <c r="K273" s="22" t="e">
        <v>#N/A</v>
      </c>
    </row>
    <row r="274" spans="1:11" s="1" customFormat="1">
      <c r="A274" s="4" t="s">
        <v>3739</v>
      </c>
      <c r="B274" s="3" t="s">
        <v>2938</v>
      </c>
      <c r="C274" s="3">
        <v>243</v>
      </c>
      <c r="D274" s="4" t="e">
        <v>#N/A</v>
      </c>
      <c r="E274" s="4"/>
      <c r="F274" s="5" t="s">
        <v>3740</v>
      </c>
      <c r="G274" s="6" t="e">
        <v>#N/A</v>
      </c>
      <c r="H274" s="21" t="e">
        <v>#N/A</v>
      </c>
      <c r="I274" s="21" t="e">
        <v>#N/A</v>
      </c>
      <c r="J274" s="21" t="e">
        <v>#N/A</v>
      </c>
      <c r="K274" s="22" t="e">
        <v>#N/A</v>
      </c>
    </row>
    <row r="275" spans="1:11" s="1" customFormat="1">
      <c r="A275" s="4" t="s">
        <v>3741</v>
      </c>
      <c r="B275" s="3" t="s">
        <v>2855</v>
      </c>
      <c r="C275" s="3">
        <v>243</v>
      </c>
      <c r="D275" s="4" t="e">
        <v>#N/A</v>
      </c>
      <c r="E275" s="4"/>
      <c r="F275" s="5" t="s">
        <v>3742</v>
      </c>
      <c r="G275" s="6" t="e">
        <v>#N/A</v>
      </c>
      <c r="H275" s="21" t="e">
        <v>#N/A</v>
      </c>
      <c r="I275" s="21" t="e">
        <v>#N/A</v>
      </c>
      <c r="J275" s="21" t="e">
        <v>#N/A</v>
      </c>
      <c r="K275" s="22" t="e">
        <v>#N/A</v>
      </c>
    </row>
    <row r="276" spans="1:11" s="1" customFormat="1">
      <c r="A276" s="4" t="s">
        <v>3743</v>
      </c>
      <c r="B276" s="3" t="s">
        <v>2938</v>
      </c>
      <c r="C276" s="3">
        <v>243</v>
      </c>
      <c r="D276" s="4" t="e">
        <v>#N/A</v>
      </c>
      <c r="E276" s="4"/>
      <c r="F276" s="5" t="s">
        <v>3744</v>
      </c>
      <c r="G276" s="6" t="e">
        <v>#N/A</v>
      </c>
      <c r="H276" s="21" t="e">
        <v>#N/A</v>
      </c>
      <c r="I276" s="21" t="e">
        <v>#N/A</v>
      </c>
      <c r="J276" s="21" t="e">
        <v>#N/A</v>
      </c>
      <c r="K276" s="22" t="e">
        <v>#N/A</v>
      </c>
    </row>
    <row r="277" spans="1:11" s="1" customFormat="1">
      <c r="A277" s="4" t="s">
        <v>3745</v>
      </c>
      <c r="B277" s="3" t="s">
        <v>3208</v>
      </c>
      <c r="C277" s="3">
        <v>243</v>
      </c>
      <c r="D277" s="4" t="e">
        <v>#N/A</v>
      </c>
      <c r="E277" s="4"/>
      <c r="F277" s="5" t="s">
        <v>3746</v>
      </c>
      <c r="G277" s="6" t="e">
        <v>#N/A</v>
      </c>
      <c r="H277" s="21" t="e">
        <v>#N/A</v>
      </c>
      <c r="I277" s="21" t="e">
        <v>#N/A</v>
      </c>
      <c r="J277" s="21" t="e">
        <v>#N/A</v>
      </c>
      <c r="K277" s="22" t="e">
        <v>#N/A</v>
      </c>
    </row>
    <row r="278" spans="1:11" s="1" customFormat="1">
      <c r="A278" s="4" t="s">
        <v>3747</v>
      </c>
      <c r="B278" s="3" t="s">
        <v>3208</v>
      </c>
      <c r="C278" s="3">
        <v>243</v>
      </c>
      <c r="D278" s="4" t="e">
        <v>#N/A</v>
      </c>
      <c r="E278" s="4"/>
      <c r="F278" s="5" t="s">
        <v>3748</v>
      </c>
      <c r="G278" s="6" t="e">
        <v>#N/A</v>
      </c>
      <c r="H278" s="21" t="e">
        <v>#N/A</v>
      </c>
      <c r="I278" s="21" t="e">
        <v>#N/A</v>
      </c>
      <c r="J278" s="21" t="e">
        <v>#N/A</v>
      </c>
      <c r="K278" s="22" t="e">
        <v>#N/A</v>
      </c>
    </row>
    <row r="279" spans="1:11" s="1" customFormat="1">
      <c r="A279" s="4" t="s">
        <v>3749</v>
      </c>
      <c r="B279" s="3" t="s">
        <v>3750</v>
      </c>
      <c r="C279" s="3" t="e">
        <v>#N/A</v>
      </c>
      <c r="D279" s="4" t="e">
        <v>#N/A</v>
      </c>
      <c r="E279" s="4"/>
      <c r="F279" s="5" t="s">
        <v>3751</v>
      </c>
      <c r="G279" s="6" t="s">
        <v>3752</v>
      </c>
      <c r="H279" s="21" t="s">
        <v>3753</v>
      </c>
      <c r="I279" s="21" t="s">
        <v>3754</v>
      </c>
      <c r="J279" s="21" t="s">
        <v>3755</v>
      </c>
      <c r="K279" s="22" t="s">
        <v>3756</v>
      </c>
    </row>
    <row r="280" spans="1:11" s="1" customFormat="1">
      <c r="A280" s="4" t="s">
        <v>3757</v>
      </c>
      <c r="B280" s="3" t="s">
        <v>3750</v>
      </c>
      <c r="C280" s="3" t="e">
        <v>#N/A</v>
      </c>
      <c r="D280" s="4" t="e">
        <v>#N/A</v>
      </c>
      <c r="E280" s="4"/>
      <c r="F280" s="5" t="s">
        <v>3758</v>
      </c>
      <c r="G280" s="6" t="s">
        <v>3759</v>
      </c>
      <c r="H280" s="21" t="e">
        <v>#N/A</v>
      </c>
      <c r="I280" s="21" t="e">
        <v>#N/A</v>
      </c>
      <c r="J280" s="21" t="s">
        <v>3760</v>
      </c>
      <c r="K280" s="22" t="s">
        <v>3761</v>
      </c>
    </row>
    <row r="281" spans="1:11" s="1" customFormat="1">
      <c r="A281" s="4" t="s">
        <v>3762</v>
      </c>
      <c r="B281" s="3" t="s">
        <v>3750</v>
      </c>
      <c r="C281" s="3" t="e">
        <v>#N/A</v>
      </c>
      <c r="D281" s="4" t="e">
        <v>#N/A</v>
      </c>
      <c r="E281" s="4"/>
      <c r="F281" s="5" t="s">
        <v>3763</v>
      </c>
      <c r="G281" s="6" t="e">
        <v>#N/A</v>
      </c>
      <c r="H281" s="21" t="e">
        <v>#N/A</v>
      </c>
      <c r="I281" s="21" t="e">
        <v>#N/A</v>
      </c>
      <c r="J281" s="21" t="e">
        <v>#N/A</v>
      </c>
      <c r="K281" s="22" t="e">
        <v>#N/A</v>
      </c>
    </row>
    <row r="282" spans="1:11" s="1" customFormat="1">
      <c r="A282" s="4" t="s">
        <v>3764</v>
      </c>
      <c r="B282" s="3" t="s">
        <v>3208</v>
      </c>
      <c r="C282" s="3">
        <v>243</v>
      </c>
      <c r="D282" s="4" t="e">
        <v>#N/A</v>
      </c>
      <c r="E282" s="4"/>
      <c r="F282" s="5" t="s">
        <v>3765</v>
      </c>
      <c r="G282" s="6" t="e">
        <v>#N/A</v>
      </c>
      <c r="H282" s="21" t="e">
        <v>#N/A</v>
      </c>
      <c r="I282" s="21" t="e">
        <v>#N/A</v>
      </c>
      <c r="J282" s="21" t="e">
        <v>#N/A</v>
      </c>
      <c r="K282" s="22" t="e">
        <v>#N/A</v>
      </c>
    </row>
    <row r="283" spans="1:11" s="1" customFormat="1">
      <c r="A283" s="4" t="s">
        <v>3766</v>
      </c>
      <c r="B283" s="3" t="s">
        <v>3208</v>
      </c>
      <c r="C283" s="3">
        <v>243</v>
      </c>
      <c r="D283" s="4" t="e">
        <v>#N/A</v>
      </c>
      <c r="E283" s="4"/>
      <c r="F283" s="5" t="s">
        <v>3767</v>
      </c>
      <c r="G283" s="6" t="e">
        <v>#N/A</v>
      </c>
      <c r="H283" s="21" t="e">
        <v>#N/A</v>
      </c>
      <c r="I283" s="21" t="e">
        <v>#N/A</v>
      </c>
      <c r="J283" s="21" t="e">
        <v>#N/A</v>
      </c>
      <c r="K283" s="22" t="e">
        <v>#N/A</v>
      </c>
    </row>
    <row r="284" spans="1:11" s="1" customFormat="1">
      <c r="A284" s="4" t="s">
        <v>3768</v>
      </c>
      <c r="B284" s="3" t="s">
        <v>3750</v>
      </c>
      <c r="C284" s="3" t="e">
        <v>#N/A</v>
      </c>
      <c r="D284" s="4" t="e">
        <v>#N/A</v>
      </c>
      <c r="E284" s="4"/>
      <c r="F284" s="5" t="s">
        <v>3769</v>
      </c>
      <c r="G284" s="6" t="e">
        <v>#N/A</v>
      </c>
      <c r="H284" s="21" t="e">
        <v>#N/A</v>
      </c>
      <c r="I284" s="21" t="e">
        <v>#N/A</v>
      </c>
      <c r="J284" s="21" t="e">
        <v>#N/A</v>
      </c>
      <c r="K284" s="22" t="e">
        <v>#N/A</v>
      </c>
    </row>
    <row r="285" spans="1:11" s="1" customFormat="1">
      <c r="A285" s="4" t="s">
        <v>3770</v>
      </c>
      <c r="B285" s="3" t="s">
        <v>3750</v>
      </c>
      <c r="C285" s="3" t="e">
        <v>#N/A</v>
      </c>
      <c r="D285" s="4" t="e">
        <v>#N/A</v>
      </c>
      <c r="E285" s="4"/>
      <c r="F285" s="5" t="s">
        <v>3771</v>
      </c>
      <c r="G285" s="6" t="e">
        <v>#N/A</v>
      </c>
      <c r="H285" s="21" t="e">
        <v>#N/A</v>
      </c>
      <c r="I285" s="21" t="e">
        <v>#N/A</v>
      </c>
      <c r="J285" s="21" t="e">
        <v>#N/A</v>
      </c>
      <c r="K285" s="22" t="e">
        <v>#N/A</v>
      </c>
    </row>
    <row r="286" spans="1:11" s="1" customFormat="1">
      <c r="A286" s="4" t="s">
        <v>3772</v>
      </c>
      <c r="B286" s="3" t="s">
        <v>3208</v>
      </c>
      <c r="C286" s="3">
        <v>243</v>
      </c>
      <c r="D286" s="4" t="e">
        <v>#N/A</v>
      </c>
      <c r="E286" s="4"/>
      <c r="F286" s="5" t="s">
        <v>3773</v>
      </c>
      <c r="G286" s="6" t="e">
        <v>#N/A</v>
      </c>
      <c r="H286" s="21" t="e">
        <v>#N/A</v>
      </c>
      <c r="I286" s="21" t="e">
        <v>#N/A</v>
      </c>
      <c r="J286" s="21" t="e">
        <v>#N/A</v>
      </c>
      <c r="K286" s="22" t="e">
        <v>#N/A</v>
      </c>
    </row>
    <row r="287" spans="1:11" s="1" customFormat="1">
      <c r="A287" s="4" t="s">
        <v>3774</v>
      </c>
      <c r="B287" s="3" t="s">
        <v>3208</v>
      </c>
      <c r="C287" s="3">
        <v>243</v>
      </c>
      <c r="D287" s="4" t="e">
        <v>#N/A</v>
      </c>
      <c r="E287" s="4"/>
      <c r="F287" s="5" t="s">
        <v>3775</v>
      </c>
      <c r="G287" s="6" t="e">
        <v>#N/A</v>
      </c>
      <c r="H287" s="21" t="e">
        <v>#N/A</v>
      </c>
      <c r="I287" s="21" t="e">
        <v>#N/A</v>
      </c>
      <c r="J287" s="21" t="e">
        <v>#N/A</v>
      </c>
      <c r="K287" s="22" t="e">
        <v>#N/A</v>
      </c>
    </row>
    <row r="288" spans="1:11" s="1" customFormat="1">
      <c r="A288" s="4" t="s">
        <v>3776</v>
      </c>
      <c r="B288" s="3" t="s">
        <v>3208</v>
      </c>
      <c r="C288" s="3">
        <v>243</v>
      </c>
      <c r="D288" s="4" t="e">
        <v>#N/A</v>
      </c>
      <c r="E288" s="4"/>
      <c r="F288" s="5" t="s">
        <v>3777</v>
      </c>
      <c r="G288" s="6" t="e">
        <v>#N/A</v>
      </c>
      <c r="H288" s="21" t="e">
        <v>#N/A</v>
      </c>
      <c r="I288" s="21" t="e">
        <v>#N/A</v>
      </c>
      <c r="J288" s="21" t="e">
        <v>#N/A</v>
      </c>
      <c r="K288" s="22" t="e">
        <v>#N/A</v>
      </c>
    </row>
    <row r="289" spans="1:11" s="1" customFormat="1">
      <c r="A289" s="4" t="s">
        <v>3778</v>
      </c>
      <c r="B289" s="3" t="s">
        <v>3750</v>
      </c>
      <c r="C289" s="3" t="e">
        <v>#N/A</v>
      </c>
      <c r="D289" s="4" t="e">
        <v>#N/A</v>
      </c>
      <c r="E289" s="4"/>
      <c r="F289" s="5" t="s">
        <v>3779</v>
      </c>
      <c r="G289" s="6" t="e">
        <v>#N/A</v>
      </c>
      <c r="H289" s="21" t="e">
        <v>#N/A</v>
      </c>
      <c r="I289" s="21" t="e">
        <v>#N/A</v>
      </c>
      <c r="J289" s="21" t="e">
        <v>#N/A</v>
      </c>
      <c r="K289" s="22" t="e">
        <v>#N/A</v>
      </c>
    </row>
    <row r="290" spans="1:11" s="1" customFormat="1">
      <c r="A290" s="4" t="s">
        <v>3780</v>
      </c>
      <c r="B290" s="3" t="s">
        <v>2918</v>
      </c>
      <c r="C290" s="3">
        <v>222</v>
      </c>
      <c r="D290" s="4" t="e">
        <v>#N/A</v>
      </c>
      <c r="E290" s="4"/>
      <c r="F290" s="5" t="s">
        <v>3781</v>
      </c>
      <c r="G290" s="6" t="e">
        <v>#N/A</v>
      </c>
      <c r="H290" s="21" t="e">
        <v>#N/A</v>
      </c>
      <c r="I290" s="21" t="e">
        <v>#N/A</v>
      </c>
      <c r="J290" s="21" t="e">
        <v>#N/A</v>
      </c>
      <c r="K290" s="22" t="e">
        <v>#N/A</v>
      </c>
    </row>
    <row r="291" spans="1:11" s="1" customFormat="1">
      <c r="A291" s="4" t="s">
        <v>3782</v>
      </c>
      <c r="B291" s="3" t="s">
        <v>2918</v>
      </c>
      <c r="C291" s="3">
        <v>243</v>
      </c>
      <c r="D291" s="4" t="e">
        <v>#N/A</v>
      </c>
      <c r="E291" s="4"/>
      <c r="F291" s="5" t="s">
        <v>3783</v>
      </c>
      <c r="G291" s="6" t="e">
        <v>#N/A</v>
      </c>
      <c r="H291" s="21" t="e">
        <v>#N/A</v>
      </c>
      <c r="I291" s="21" t="e">
        <v>#N/A</v>
      </c>
      <c r="J291" s="21" t="e">
        <v>#N/A</v>
      </c>
      <c r="K291" s="22" t="e">
        <v>#N/A</v>
      </c>
    </row>
    <row r="292" spans="1:11" s="1" customFormat="1">
      <c r="A292" s="4" t="s">
        <v>3784</v>
      </c>
      <c r="B292" s="3" t="s">
        <v>2918</v>
      </c>
      <c r="C292" s="3">
        <v>243</v>
      </c>
      <c r="D292" s="4" t="e">
        <v>#N/A</v>
      </c>
      <c r="E292" s="4"/>
      <c r="F292" s="5" t="s">
        <v>3785</v>
      </c>
      <c r="G292" s="6" t="e">
        <v>#N/A</v>
      </c>
      <c r="H292" s="21" t="e">
        <v>#N/A</v>
      </c>
      <c r="I292" s="21" t="e">
        <v>#N/A</v>
      </c>
      <c r="J292" s="21" t="e">
        <v>#N/A</v>
      </c>
      <c r="K292" s="22" t="e">
        <v>#N/A</v>
      </c>
    </row>
    <row r="293" spans="1:11" s="1" customFormat="1">
      <c r="A293" s="4" t="s">
        <v>3786</v>
      </c>
      <c r="B293" s="3" t="s">
        <v>3750</v>
      </c>
      <c r="C293" s="3" t="e">
        <v>#N/A</v>
      </c>
      <c r="D293" s="4" t="e">
        <v>#N/A</v>
      </c>
      <c r="E293" s="4"/>
      <c r="F293" s="5" t="s">
        <v>3787</v>
      </c>
      <c r="G293" s="6" t="e">
        <v>#N/A</v>
      </c>
      <c r="H293" s="21" t="e">
        <v>#N/A</v>
      </c>
      <c r="I293" s="21" t="e">
        <v>#N/A</v>
      </c>
      <c r="J293" s="21" t="e">
        <v>#N/A</v>
      </c>
      <c r="K293" s="22" t="e">
        <v>#N/A</v>
      </c>
    </row>
    <row r="294" spans="1:11" s="1" customFormat="1">
      <c r="A294" s="4" t="s">
        <v>3788</v>
      </c>
      <c r="B294" s="3" t="s">
        <v>3750</v>
      </c>
      <c r="C294" s="3" t="e">
        <v>#N/A</v>
      </c>
      <c r="D294" s="4" t="e">
        <v>#N/A</v>
      </c>
      <c r="E294" s="4"/>
      <c r="F294" s="5" t="s">
        <v>3789</v>
      </c>
      <c r="G294" s="6" t="e">
        <v>#N/A</v>
      </c>
      <c r="H294" s="21" t="e">
        <v>#N/A</v>
      </c>
      <c r="I294" s="21" t="e">
        <v>#N/A</v>
      </c>
      <c r="J294" s="21" t="e">
        <v>#N/A</v>
      </c>
      <c r="K294" s="22" t="e">
        <v>#N/A</v>
      </c>
    </row>
    <row r="295" spans="1:11" s="1" customFormat="1">
      <c r="A295" s="4" t="s">
        <v>3790</v>
      </c>
      <c r="B295" s="3" t="s">
        <v>3750</v>
      </c>
      <c r="C295" s="3" t="e">
        <v>#N/A</v>
      </c>
      <c r="D295" s="4" t="e">
        <v>#N/A</v>
      </c>
      <c r="E295" s="4"/>
      <c r="F295" s="5" t="s">
        <v>3791</v>
      </c>
      <c r="G295" s="6" t="e">
        <v>#N/A</v>
      </c>
      <c r="H295" s="21" t="e">
        <v>#N/A</v>
      </c>
      <c r="I295" s="21" t="e">
        <v>#N/A</v>
      </c>
      <c r="J295" s="21" t="e">
        <v>#N/A</v>
      </c>
      <c r="K295" s="22" t="e">
        <v>#N/A</v>
      </c>
    </row>
    <row r="296" spans="1:11" s="1" customFormat="1">
      <c r="A296" s="4" t="s">
        <v>3792</v>
      </c>
      <c r="B296" s="3" t="s">
        <v>3750</v>
      </c>
      <c r="C296" s="3" t="e">
        <v>#N/A</v>
      </c>
      <c r="D296" s="4" t="e">
        <v>#N/A</v>
      </c>
      <c r="E296" s="4"/>
      <c r="F296" s="5" t="s">
        <v>3793</v>
      </c>
      <c r="G296" s="6" t="e">
        <v>#N/A</v>
      </c>
      <c r="H296" s="21" t="e">
        <v>#N/A</v>
      </c>
      <c r="I296" s="21" t="e">
        <v>#N/A</v>
      </c>
      <c r="J296" s="21" t="e">
        <v>#N/A</v>
      </c>
      <c r="K296" s="22" t="e">
        <v>#N/A</v>
      </c>
    </row>
    <row r="297" spans="1:11" s="1" customFormat="1">
      <c r="A297" s="4" t="s">
        <v>3794</v>
      </c>
      <c r="B297" s="3" t="s">
        <v>3750</v>
      </c>
      <c r="C297" s="3" t="e">
        <v>#N/A</v>
      </c>
      <c r="D297" s="4" t="e">
        <v>#N/A</v>
      </c>
      <c r="E297" s="4"/>
      <c r="F297" s="5" t="s">
        <v>3795</v>
      </c>
      <c r="G297" s="6" t="e">
        <v>#N/A</v>
      </c>
      <c r="H297" s="21" t="e">
        <v>#N/A</v>
      </c>
      <c r="I297" s="21" t="e">
        <v>#N/A</v>
      </c>
      <c r="J297" s="21" t="e">
        <v>#N/A</v>
      </c>
      <c r="K297" s="22" t="e">
        <v>#N/A</v>
      </c>
    </row>
    <row r="298" spans="1:11" s="1" customFormat="1">
      <c r="A298" s="4" t="s">
        <v>3796</v>
      </c>
      <c r="B298" s="3" t="s">
        <v>3750</v>
      </c>
      <c r="C298" s="3" t="e">
        <v>#N/A</v>
      </c>
      <c r="D298" s="4" t="e">
        <v>#N/A</v>
      </c>
      <c r="E298" s="4"/>
      <c r="F298" s="5" t="s">
        <v>3797</v>
      </c>
      <c r="G298" s="6" t="e">
        <v>#N/A</v>
      </c>
      <c r="H298" s="21" t="e">
        <v>#N/A</v>
      </c>
      <c r="I298" s="21" t="e">
        <v>#N/A</v>
      </c>
      <c r="J298" s="21" t="e">
        <v>#N/A</v>
      </c>
      <c r="K298" s="22" t="e">
        <v>#N/A</v>
      </c>
    </row>
    <row r="299" spans="1:11" s="1" customFormat="1">
      <c r="A299" s="4" t="s">
        <v>3798</v>
      </c>
      <c r="B299" s="3" t="s">
        <v>3750</v>
      </c>
      <c r="C299" s="3" t="e">
        <v>#N/A</v>
      </c>
      <c r="D299" s="4" t="e">
        <v>#N/A</v>
      </c>
      <c r="E299" s="4"/>
      <c r="F299" s="5" t="s">
        <v>3799</v>
      </c>
      <c r="G299" s="6" t="e">
        <v>#N/A</v>
      </c>
      <c r="H299" s="21" t="e">
        <v>#N/A</v>
      </c>
      <c r="I299" s="21" t="e">
        <v>#N/A</v>
      </c>
      <c r="J299" s="21" t="e">
        <v>#N/A</v>
      </c>
      <c r="K299" s="22" t="e">
        <v>#N/A</v>
      </c>
    </row>
    <row r="300" spans="1:11" s="1" customFormat="1">
      <c r="A300" s="4" t="s">
        <v>3800</v>
      </c>
      <c r="B300" s="3" t="s">
        <v>3750</v>
      </c>
      <c r="C300" s="3" t="e">
        <v>#N/A</v>
      </c>
      <c r="D300" s="4" t="e">
        <v>#N/A</v>
      </c>
      <c r="E300" s="4"/>
      <c r="F300" s="5" t="s">
        <v>3801</v>
      </c>
      <c r="G300" s="6" t="e">
        <v>#N/A</v>
      </c>
      <c r="H300" s="21" t="e">
        <v>#N/A</v>
      </c>
      <c r="I300" s="21" t="e">
        <v>#N/A</v>
      </c>
      <c r="J300" s="21" t="e">
        <v>#N/A</v>
      </c>
      <c r="K300" s="22" t="e">
        <v>#N/A</v>
      </c>
    </row>
    <row r="301" spans="1:11" s="1" customFormat="1">
      <c r="A301" s="4" t="s">
        <v>3802</v>
      </c>
      <c r="B301" s="3" t="s">
        <v>3750</v>
      </c>
      <c r="C301" s="3" t="e">
        <v>#N/A</v>
      </c>
      <c r="D301" s="4" t="e">
        <v>#N/A</v>
      </c>
      <c r="E301" s="4"/>
      <c r="F301" s="5" t="s">
        <v>3803</v>
      </c>
      <c r="G301" s="6" t="e">
        <v>#N/A</v>
      </c>
      <c r="H301" s="21" t="e">
        <v>#N/A</v>
      </c>
      <c r="I301" s="21" t="e">
        <v>#N/A</v>
      </c>
      <c r="J301" s="21" t="e">
        <v>#N/A</v>
      </c>
      <c r="K301" s="22" t="e">
        <v>#N/A</v>
      </c>
    </row>
    <row r="302" spans="1:11" s="1" customFormat="1">
      <c r="A302" s="4" t="s">
        <v>3804</v>
      </c>
      <c r="B302" s="3" t="s">
        <v>3750</v>
      </c>
      <c r="C302" s="3" t="e">
        <v>#N/A</v>
      </c>
      <c r="D302" s="4" t="e">
        <v>#N/A</v>
      </c>
      <c r="E302" s="4"/>
      <c r="F302" s="5" t="s">
        <v>3805</v>
      </c>
      <c r="G302" s="6" t="e">
        <v>#N/A</v>
      </c>
      <c r="H302" s="21" t="e">
        <v>#N/A</v>
      </c>
      <c r="I302" s="21" t="e">
        <v>#N/A</v>
      </c>
      <c r="J302" s="21" t="e">
        <v>#N/A</v>
      </c>
      <c r="K302" s="22" t="e">
        <v>#N/A</v>
      </c>
    </row>
    <row r="303" spans="1:11" s="1" customFormat="1">
      <c r="A303" s="4" t="s">
        <v>3806</v>
      </c>
      <c r="B303" s="3" t="s">
        <v>3750</v>
      </c>
      <c r="C303" s="3" t="e">
        <v>#N/A</v>
      </c>
      <c r="D303" s="4" t="e">
        <v>#N/A</v>
      </c>
      <c r="E303" s="4"/>
      <c r="F303" s="5" t="s">
        <v>3807</v>
      </c>
      <c r="G303" s="6" t="e">
        <v>#N/A</v>
      </c>
      <c r="H303" s="21" t="e">
        <v>#N/A</v>
      </c>
      <c r="I303" s="21" t="e">
        <v>#N/A</v>
      </c>
      <c r="J303" s="21" t="e">
        <v>#N/A</v>
      </c>
      <c r="K303" s="22" t="e">
        <v>#N/A</v>
      </c>
    </row>
    <row r="304" spans="1:11" s="1" customFormat="1">
      <c r="A304" s="4" t="s">
        <v>3808</v>
      </c>
      <c r="B304" s="3" t="s">
        <v>3750</v>
      </c>
      <c r="C304" s="3" t="e">
        <v>#N/A</v>
      </c>
      <c r="D304" s="4" t="e">
        <v>#N/A</v>
      </c>
      <c r="E304" s="4"/>
      <c r="F304" s="5" t="s">
        <v>3809</v>
      </c>
      <c r="G304" s="6" t="e">
        <v>#N/A</v>
      </c>
      <c r="H304" s="21" t="e">
        <v>#N/A</v>
      </c>
      <c r="I304" s="21" t="e">
        <v>#N/A</v>
      </c>
      <c r="J304" s="21" t="e">
        <v>#N/A</v>
      </c>
      <c r="K304" s="22" t="e">
        <v>#N/A</v>
      </c>
    </row>
    <row r="305" spans="1:11" s="1" customFormat="1">
      <c r="A305" s="4" t="s">
        <v>3810</v>
      </c>
      <c r="B305" s="3" t="s">
        <v>3750</v>
      </c>
      <c r="C305" s="3" t="e">
        <v>#N/A</v>
      </c>
      <c r="D305" s="4" t="e">
        <v>#N/A</v>
      </c>
      <c r="E305" s="4"/>
      <c r="F305" s="5" t="s">
        <v>3811</v>
      </c>
      <c r="G305" s="6" t="e">
        <v>#N/A</v>
      </c>
      <c r="H305" s="21" t="e">
        <v>#N/A</v>
      </c>
      <c r="I305" s="21" t="e">
        <v>#N/A</v>
      </c>
      <c r="J305" s="21" t="e">
        <v>#N/A</v>
      </c>
      <c r="K305" s="22" t="e">
        <v>#N/A</v>
      </c>
    </row>
    <row r="306" spans="1:11" s="1" customFormat="1">
      <c r="A306" s="4" t="s">
        <v>3812</v>
      </c>
      <c r="B306" s="3" t="s">
        <v>3750</v>
      </c>
      <c r="C306" s="3" t="e">
        <v>#N/A</v>
      </c>
      <c r="D306" s="4" t="e">
        <v>#N/A</v>
      </c>
      <c r="E306" s="4"/>
      <c r="F306" s="5" t="s">
        <v>3813</v>
      </c>
      <c r="G306" s="6" t="e">
        <v>#N/A</v>
      </c>
      <c r="H306" s="21" t="e">
        <v>#N/A</v>
      </c>
      <c r="I306" s="21" t="e">
        <v>#N/A</v>
      </c>
      <c r="J306" s="21" t="e">
        <v>#N/A</v>
      </c>
      <c r="K306" s="22" t="e">
        <v>#N/A</v>
      </c>
    </row>
    <row r="307" spans="1:11" s="1" customFormat="1">
      <c r="A307" s="4" t="s">
        <v>3814</v>
      </c>
      <c r="B307" s="3" t="s">
        <v>3750</v>
      </c>
      <c r="C307" s="3" t="e">
        <v>#N/A</v>
      </c>
      <c r="D307" s="4" t="e">
        <v>#N/A</v>
      </c>
      <c r="E307" s="4"/>
      <c r="F307" s="5" t="s">
        <v>3815</v>
      </c>
      <c r="G307" s="6" t="e">
        <v>#N/A</v>
      </c>
      <c r="H307" s="21" t="e">
        <v>#N/A</v>
      </c>
      <c r="I307" s="21" t="e">
        <v>#N/A</v>
      </c>
      <c r="J307" s="21" t="e">
        <v>#N/A</v>
      </c>
      <c r="K307" s="22" t="e">
        <v>#N/A</v>
      </c>
    </row>
    <row r="308" spans="1:11" s="1" customFormat="1">
      <c r="A308" s="4" t="s">
        <v>3816</v>
      </c>
      <c r="B308" s="3" t="s">
        <v>3750</v>
      </c>
      <c r="C308" s="3" t="e">
        <v>#N/A</v>
      </c>
      <c r="D308" s="4" t="e">
        <v>#N/A</v>
      </c>
      <c r="E308" s="4"/>
      <c r="F308" s="5" t="s">
        <v>3817</v>
      </c>
      <c r="G308" s="6" t="e">
        <v>#N/A</v>
      </c>
      <c r="H308" s="21" t="e">
        <v>#N/A</v>
      </c>
      <c r="I308" s="21" t="e">
        <v>#N/A</v>
      </c>
      <c r="J308" s="21" t="e">
        <v>#N/A</v>
      </c>
      <c r="K308" s="22" t="e">
        <v>#N/A</v>
      </c>
    </row>
    <row r="309" spans="1:11" s="1" customFormat="1">
      <c r="A309" s="4" t="s">
        <v>3818</v>
      </c>
      <c r="B309" s="3" t="s">
        <v>3750</v>
      </c>
      <c r="C309" s="3" t="e">
        <v>#N/A</v>
      </c>
      <c r="D309" s="4" t="e">
        <v>#N/A</v>
      </c>
      <c r="E309" s="4"/>
      <c r="F309" s="5" t="s">
        <v>3819</v>
      </c>
      <c r="G309" s="6" t="e">
        <v>#N/A</v>
      </c>
      <c r="H309" s="21" t="e">
        <v>#N/A</v>
      </c>
      <c r="I309" s="21" t="e">
        <v>#N/A</v>
      </c>
      <c r="J309" s="21" t="e">
        <v>#N/A</v>
      </c>
      <c r="K309" s="22" t="e">
        <v>#N/A</v>
      </c>
    </row>
    <row r="310" spans="1:11" s="1" customFormat="1">
      <c r="A310" s="4" t="s">
        <v>3820</v>
      </c>
      <c r="B310" s="3" t="s">
        <v>3750</v>
      </c>
      <c r="C310" s="3" t="e">
        <v>#N/A</v>
      </c>
      <c r="D310" s="4" t="e">
        <v>#N/A</v>
      </c>
      <c r="E310" s="4"/>
      <c r="F310" s="5" t="s">
        <v>3821</v>
      </c>
      <c r="G310" s="6" t="e">
        <v>#N/A</v>
      </c>
      <c r="H310" s="21" t="e">
        <v>#N/A</v>
      </c>
      <c r="I310" s="21" t="e">
        <v>#N/A</v>
      </c>
      <c r="J310" s="21" t="e">
        <v>#N/A</v>
      </c>
      <c r="K310" s="22" t="e">
        <v>#N/A</v>
      </c>
    </row>
    <row r="311" spans="1:11" s="1" customFormat="1">
      <c r="A311" s="4" t="s">
        <v>3822</v>
      </c>
      <c r="B311" s="3" t="s">
        <v>3750</v>
      </c>
      <c r="C311" s="3" t="e">
        <v>#N/A</v>
      </c>
      <c r="D311" s="4" t="e">
        <v>#N/A</v>
      </c>
      <c r="E311" s="4"/>
      <c r="F311" s="5" t="s">
        <v>3823</v>
      </c>
      <c r="G311" s="6" t="e">
        <v>#N/A</v>
      </c>
      <c r="H311" s="21" t="e">
        <v>#N/A</v>
      </c>
      <c r="I311" s="21" t="e">
        <v>#N/A</v>
      </c>
      <c r="J311" s="21" t="e">
        <v>#N/A</v>
      </c>
      <c r="K311" s="22" t="e">
        <v>#N/A</v>
      </c>
    </row>
    <row r="312" spans="1:11" s="1" customFormat="1">
      <c r="A312" s="4" t="s">
        <v>3824</v>
      </c>
      <c r="B312" s="3" t="s">
        <v>3750</v>
      </c>
      <c r="C312" s="3" t="e">
        <v>#N/A</v>
      </c>
      <c r="D312" s="4" t="e">
        <v>#N/A</v>
      </c>
      <c r="E312" s="4"/>
      <c r="F312" s="5" t="s">
        <v>3825</v>
      </c>
      <c r="G312" s="6" t="e">
        <v>#N/A</v>
      </c>
      <c r="H312" s="21" t="e">
        <v>#N/A</v>
      </c>
      <c r="I312" s="21" t="e">
        <v>#N/A</v>
      </c>
      <c r="J312" s="21" t="e">
        <v>#N/A</v>
      </c>
      <c r="K312" s="22" t="e">
        <v>#N/A</v>
      </c>
    </row>
    <row r="313" spans="1:11" s="1" customFormat="1">
      <c r="A313" s="4" t="s">
        <v>3826</v>
      </c>
      <c r="B313" s="3" t="s">
        <v>3750</v>
      </c>
      <c r="C313" s="3" t="e">
        <v>#N/A</v>
      </c>
      <c r="D313" s="4" t="e">
        <v>#N/A</v>
      </c>
      <c r="E313" s="4"/>
      <c r="F313" s="5" t="s">
        <v>3827</v>
      </c>
      <c r="G313" s="6" t="e">
        <v>#N/A</v>
      </c>
      <c r="H313" s="21" t="e">
        <v>#N/A</v>
      </c>
      <c r="I313" s="21" t="e">
        <v>#N/A</v>
      </c>
      <c r="J313" s="21" t="e">
        <v>#N/A</v>
      </c>
      <c r="K313" s="22" t="e">
        <v>#N/A</v>
      </c>
    </row>
    <row r="314" spans="1:11" s="1" customFormat="1">
      <c r="A314" s="4" t="s">
        <v>3828</v>
      </c>
      <c r="B314" s="3" t="s">
        <v>3750</v>
      </c>
      <c r="C314" s="3" t="e">
        <v>#N/A</v>
      </c>
      <c r="D314" s="4" t="s">
        <v>3829</v>
      </c>
      <c r="E314" s="4"/>
      <c r="F314" s="5" t="s">
        <v>3830</v>
      </c>
      <c r="G314" s="6" t="e">
        <v>#N/A</v>
      </c>
      <c r="H314" s="21" t="e">
        <v>#N/A</v>
      </c>
      <c r="I314" s="21" t="e">
        <v>#N/A</v>
      </c>
      <c r="J314" s="21" t="e">
        <v>#N/A</v>
      </c>
      <c r="K314" s="22" t="e">
        <v>#N/A</v>
      </c>
    </row>
    <row r="315" spans="1:11" s="1" customFormat="1">
      <c r="A315" s="4" t="s">
        <v>3831</v>
      </c>
      <c r="B315" s="3" t="s">
        <v>3750</v>
      </c>
      <c r="C315" s="3" t="e">
        <v>#N/A</v>
      </c>
      <c r="D315" s="4" t="s">
        <v>3832</v>
      </c>
      <c r="E315" s="4"/>
      <c r="F315" s="5" t="s">
        <v>3833</v>
      </c>
      <c r="G315" s="6" t="e">
        <v>#N/A</v>
      </c>
      <c r="H315" s="21" t="e">
        <v>#N/A</v>
      </c>
      <c r="I315" s="21" t="e">
        <v>#N/A</v>
      </c>
      <c r="J315" s="21" t="e">
        <v>#N/A</v>
      </c>
      <c r="K315" s="22" t="e">
        <v>#N/A</v>
      </c>
    </row>
    <row r="316" spans="1:11" s="1" customFormat="1">
      <c r="A316" s="4" t="s">
        <v>3834</v>
      </c>
      <c r="B316" s="3" t="s">
        <v>3750</v>
      </c>
      <c r="C316" s="3" t="e">
        <v>#N/A</v>
      </c>
      <c r="D316" s="4" t="e">
        <v>#N/A</v>
      </c>
      <c r="E316" s="4"/>
      <c r="F316" s="5" t="s">
        <v>3835</v>
      </c>
      <c r="G316" s="6" t="e">
        <v>#N/A</v>
      </c>
      <c r="H316" s="21" t="e">
        <v>#N/A</v>
      </c>
      <c r="I316" s="21" t="e">
        <v>#N/A</v>
      </c>
      <c r="J316" s="21" t="e">
        <v>#N/A</v>
      </c>
      <c r="K316" s="22" t="e">
        <v>#N/A</v>
      </c>
    </row>
    <row r="317" spans="1:11" s="1" customFormat="1">
      <c r="A317" s="4" t="s">
        <v>3836</v>
      </c>
      <c r="B317" s="3" t="s">
        <v>3750</v>
      </c>
      <c r="C317" s="3" t="e">
        <v>#N/A</v>
      </c>
      <c r="D317" s="4" t="e">
        <v>#N/A</v>
      </c>
      <c r="E317" s="4"/>
      <c r="F317" s="5" t="s">
        <v>3837</v>
      </c>
      <c r="G317" s="6" t="e">
        <v>#N/A</v>
      </c>
      <c r="H317" s="21" t="e">
        <v>#N/A</v>
      </c>
      <c r="I317" s="21" t="e">
        <v>#N/A</v>
      </c>
      <c r="J317" s="21" t="e">
        <v>#N/A</v>
      </c>
      <c r="K317" s="22" t="e">
        <v>#N/A</v>
      </c>
    </row>
    <row r="318" spans="1:11" s="1" customFormat="1">
      <c r="A318" s="4" t="s">
        <v>3838</v>
      </c>
      <c r="B318" s="3" t="s">
        <v>3750</v>
      </c>
      <c r="C318" s="3" t="e">
        <v>#N/A</v>
      </c>
      <c r="D318" s="4" t="s">
        <v>3838</v>
      </c>
      <c r="E318" s="4"/>
      <c r="F318" s="5" t="s">
        <v>3839</v>
      </c>
      <c r="G318" s="6" t="e">
        <v>#N/A</v>
      </c>
      <c r="H318" s="21" t="s">
        <v>3840</v>
      </c>
      <c r="I318" s="21" t="s">
        <v>3841</v>
      </c>
      <c r="J318" s="21" t="e">
        <v>#N/A</v>
      </c>
      <c r="K318" s="22" t="e">
        <v>#N/A</v>
      </c>
    </row>
    <row r="319" spans="1:11" s="1" customFormat="1">
      <c r="A319" s="4" t="s">
        <v>3842</v>
      </c>
      <c r="B319" s="3" t="s">
        <v>3750</v>
      </c>
      <c r="C319" s="3" t="e">
        <v>#N/A</v>
      </c>
      <c r="D319" s="4" t="s">
        <v>3842</v>
      </c>
      <c r="E319" s="4"/>
      <c r="F319" s="5" t="s">
        <v>3843</v>
      </c>
      <c r="G319" s="6" t="e">
        <v>#N/A</v>
      </c>
      <c r="H319" s="21" t="e">
        <v>#N/A</v>
      </c>
      <c r="I319" s="21" t="e">
        <v>#N/A</v>
      </c>
      <c r="J319" s="21" t="e">
        <v>#N/A</v>
      </c>
      <c r="K319" s="22" t="e">
        <v>#N/A</v>
      </c>
    </row>
    <row r="320" spans="1:11" s="1" customFormat="1">
      <c r="A320" s="4" t="s">
        <v>3844</v>
      </c>
      <c r="B320" s="3" t="s">
        <v>3750</v>
      </c>
      <c r="C320" s="3" t="e">
        <v>#N/A</v>
      </c>
      <c r="D320" s="4" t="e">
        <v>#N/A</v>
      </c>
      <c r="E320" s="4"/>
      <c r="F320" s="5" t="s">
        <v>3845</v>
      </c>
      <c r="G320" s="6" t="e">
        <v>#N/A</v>
      </c>
      <c r="H320" s="21" t="e">
        <v>#N/A</v>
      </c>
      <c r="I320" s="21" t="e">
        <v>#N/A</v>
      </c>
      <c r="J320" s="21" t="e">
        <v>#N/A</v>
      </c>
      <c r="K320" s="22" t="e">
        <v>#N/A</v>
      </c>
    </row>
    <row r="321" spans="1:11" s="1" customFormat="1">
      <c r="A321" s="4" t="s">
        <v>3846</v>
      </c>
      <c r="B321" s="3" t="s">
        <v>3750</v>
      </c>
      <c r="C321" s="3" t="e">
        <v>#N/A</v>
      </c>
      <c r="D321" s="4" t="e">
        <v>#N/A</v>
      </c>
      <c r="E321" s="4"/>
      <c r="F321" s="5" t="s">
        <v>3847</v>
      </c>
      <c r="G321" s="6" t="e">
        <v>#N/A</v>
      </c>
      <c r="H321" s="21" t="e">
        <v>#N/A</v>
      </c>
      <c r="I321" s="21" t="e">
        <v>#N/A</v>
      </c>
      <c r="J321" s="21" t="e">
        <v>#N/A</v>
      </c>
      <c r="K321" s="22" t="e">
        <v>#N/A</v>
      </c>
    </row>
    <row r="322" spans="1:11" s="1" customFormat="1">
      <c r="A322" s="4" t="s">
        <v>3848</v>
      </c>
      <c r="B322" s="3" t="s">
        <v>3750</v>
      </c>
      <c r="C322" s="3" t="e">
        <v>#N/A</v>
      </c>
      <c r="D322" s="4" t="e">
        <v>#N/A</v>
      </c>
      <c r="E322" s="4"/>
      <c r="F322" s="5" t="s">
        <v>3849</v>
      </c>
      <c r="G322" s="6" t="e">
        <v>#N/A</v>
      </c>
      <c r="H322" s="21" t="e">
        <v>#N/A</v>
      </c>
      <c r="I322" s="21" t="e">
        <v>#N/A</v>
      </c>
      <c r="J322" s="21" t="e">
        <v>#N/A</v>
      </c>
      <c r="K322" s="22" t="e">
        <v>#N/A</v>
      </c>
    </row>
    <row r="323" spans="1:11" s="1" customFormat="1">
      <c r="A323" s="4" t="s">
        <v>3850</v>
      </c>
      <c r="B323" s="3" t="s">
        <v>3750</v>
      </c>
      <c r="C323" s="3" t="e">
        <v>#N/A</v>
      </c>
      <c r="D323" s="4" t="e">
        <v>#N/A</v>
      </c>
      <c r="E323" s="4"/>
      <c r="F323" s="5" t="s">
        <v>3851</v>
      </c>
      <c r="G323" s="6" t="e">
        <v>#N/A</v>
      </c>
      <c r="H323" s="21" t="e">
        <v>#N/A</v>
      </c>
      <c r="I323" s="21" t="e">
        <v>#N/A</v>
      </c>
      <c r="J323" s="21" t="e">
        <v>#N/A</v>
      </c>
      <c r="K323" s="22" t="e">
        <v>#N/A</v>
      </c>
    </row>
    <row r="324" spans="1:11" s="1" customFormat="1">
      <c r="A324" s="4" t="s">
        <v>3852</v>
      </c>
      <c r="B324" s="3" t="s">
        <v>3750</v>
      </c>
      <c r="C324" s="3" t="e">
        <v>#N/A</v>
      </c>
      <c r="D324" s="4" t="e">
        <v>#N/A</v>
      </c>
      <c r="E324" s="4"/>
      <c r="F324" s="5" t="s">
        <v>3853</v>
      </c>
      <c r="G324" s="6" t="e">
        <v>#N/A</v>
      </c>
      <c r="H324" s="21" t="e">
        <v>#N/A</v>
      </c>
      <c r="I324" s="21" t="e">
        <v>#N/A</v>
      </c>
      <c r="J324" s="21" t="e">
        <v>#N/A</v>
      </c>
      <c r="K324" s="22" t="e">
        <v>#N/A</v>
      </c>
    </row>
    <row r="325" spans="1:11" s="1" customFormat="1">
      <c r="A325" s="4" t="s">
        <v>3854</v>
      </c>
      <c r="B325" s="3" t="s">
        <v>3750</v>
      </c>
      <c r="C325" s="3" t="e">
        <v>#N/A</v>
      </c>
      <c r="D325" s="4" t="s">
        <v>3143</v>
      </c>
      <c r="E325" s="4"/>
      <c r="F325" s="5" t="s">
        <v>3855</v>
      </c>
      <c r="G325" s="6" t="s">
        <v>3856</v>
      </c>
      <c r="H325" s="21" t="e">
        <v>#N/A</v>
      </c>
      <c r="I325" s="21" t="e">
        <v>#N/A</v>
      </c>
      <c r="J325" s="21" t="e">
        <v>#N/A</v>
      </c>
      <c r="K325" s="22" t="e">
        <v>#N/A</v>
      </c>
    </row>
    <row r="326" spans="1:11" s="1" customFormat="1">
      <c r="A326" s="4" t="s">
        <v>3857</v>
      </c>
      <c r="B326" s="3" t="s">
        <v>3750</v>
      </c>
      <c r="C326" s="3" t="e">
        <v>#N/A</v>
      </c>
      <c r="D326" s="4" t="s">
        <v>3144</v>
      </c>
      <c r="E326" s="4"/>
      <c r="F326" s="5" t="s">
        <v>3858</v>
      </c>
      <c r="G326" s="6" t="e">
        <v>#N/A</v>
      </c>
      <c r="H326" s="21" t="e">
        <v>#N/A</v>
      </c>
      <c r="I326" s="21" t="e">
        <v>#N/A</v>
      </c>
      <c r="J326" s="21" t="e">
        <v>#N/A</v>
      </c>
      <c r="K326" s="22" t="e">
        <v>#N/A</v>
      </c>
    </row>
    <row r="327" spans="1:11" s="1" customFormat="1">
      <c r="A327" s="4" t="s">
        <v>3859</v>
      </c>
      <c r="B327" s="3" t="s">
        <v>3750</v>
      </c>
      <c r="C327" s="3" t="e">
        <v>#N/A</v>
      </c>
      <c r="D327" s="4" t="e">
        <v>#N/A</v>
      </c>
      <c r="E327" s="4"/>
      <c r="F327" s="5" t="s">
        <v>3860</v>
      </c>
      <c r="G327" s="6" t="e">
        <v>#N/A</v>
      </c>
      <c r="H327" s="21" t="e">
        <v>#N/A</v>
      </c>
      <c r="I327" s="21" t="e">
        <v>#N/A</v>
      </c>
      <c r="J327" s="21" t="e">
        <v>#N/A</v>
      </c>
      <c r="K327" s="22" t="e">
        <v>#N/A</v>
      </c>
    </row>
    <row r="328" spans="1:11" s="1" customFormat="1">
      <c r="A328" s="4" t="s">
        <v>3861</v>
      </c>
      <c r="B328" s="3" t="s">
        <v>3750</v>
      </c>
      <c r="C328" s="3" t="e">
        <v>#N/A</v>
      </c>
      <c r="D328" s="4" t="e">
        <v>#N/A</v>
      </c>
      <c r="E328" s="4"/>
      <c r="F328" s="5" t="s">
        <v>3862</v>
      </c>
      <c r="G328" s="6" t="e">
        <v>#N/A</v>
      </c>
      <c r="H328" s="21" t="e">
        <v>#N/A</v>
      </c>
      <c r="I328" s="21" t="e">
        <v>#N/A</v>
      </c>
      <c r="J328" s="21" t="e">
        <v>#N/A</v>
      </c>
      <c r="K328" s="22" t="e">
        <v>#N/A</v>
      </c>
    </row>
    <row r="329" spans="1:11" s="1" customFormat="1">
      <c r="A329" s="4" t="s">
        <v>3863</v>
      </c>
      <c r="B329" s="3" t="s">
        <v>3750</v>
      </c>
      <c r="C329" s="3" t="e">
        <v>#N/A</v>
      </c>
      <c r="D329" s="4" t="e">
        <v>#N/A</v>
      </c>
      <c r="E329" s="4"/>
      <c r="F329" s="5" t="s">
        <v>3864</v>
      </c>
      <c r="G329" s="6" t="e">
        <v>#N/A</v>
      </c>
      <c r="H329" s="21" t="e">
        <v>#N/A</v>
      </c>
      <c r="I329" s="21" t="e">
        <v>#N/A</v>
      </c>
      <c r="J329" s="21" t="e">
        <v>#N/A</v>
      </c>
      <c r="K329" s="22" t="e">
        <v>#N/A</v>
      </c>
    </row>
    <row r="330" spans="1:11" s="1" customFormat="1">
      <c r="A330" s="4" t="s">
        <v>3865</v>
      </c>
      <c r="B330" s="3" t="s">
        <v>3750</v>
      </c>
      <c r="C330" s="3" t="e">
        <v>#N/A</v>
      </c>
      <c r="D330" s="4" t="e">
        <v>#N/A</v>
      </c>
      <c r="E330" s="4"/>
      <c r="F330" s="5" t="s">
        <v>3866</v>
      </c>
      <c r="G330" s="6" t="e">
        <v>#N/A</v>
      </c>
      <c r="H330" s="21" t="e">
        <v>#N/A</v>
      </c>
      <c r="I330" s="21" t="e">
        <v>#N/A</v>
      </c>
      <c r="J330" s="21" t="e">
        <v>#N/A</v>
      </c>
      <c r="K330" s="22" t="e">
        <v>#N/A</v>
      </c>
    </row>
    <row r="331" spans="1:11" s="1" customFormat="1">
      <c r="A331" s="4" t="s">
        <v>3867</v>
      </c>
      <c r="B331" s="3" t="s">
        <v>3750</v>
      </c>
      <c r="C331" s="3" t="e">
        <v>#N/A</v>
      </c>
      <c r="D331" s="4" t="e">
        <v>#N/A</v>
      </c>
      <c r="E331" s="4"/>
      <c r="F331" s="5" t="s">
        <v>3868</v>
      </c>
      <c r="G331" s="6" t="e">
        <v>#N/A</v>
      </c>
      <c r="H331" s="21" t="e">
        <v>#N/A</v>
      </c>
      <c r="I331" s="21" t="e">
        <v>#N/A</v>
      </c>
      <c r="J331" s="21" t="e">
        <v>#N/A</v>
      </c>
      <c r="K331" s="22" t="e">
        <v>#N/A</v>
      </c>
    </row>
    <row r="332" spans="1:11" s="1" customFormat="1">
      <c r="A332" s="4" t="s">
        <v>3869</v>
      </c>
      <c r="B332" s="3" t="s">
        <v>3750</v>
      </c>
      <c r="C332" s="3" t="e">
        <v>#N/A</v>
      </c>
      <c r="D332" s="4" t="e">
        <v>#N/A</v>
      </c>
      <c r="E332" s="4"/>
      <c r="F332" s="5" t="s">
        <v>3870</v>
      </c>
      <c r="G332" s="6" t="e">
        <v>#N/A</v>
      </c>
      <c r="H332" s="21" t="e">
        <v>#N/A</v>
      </c>
      <c r="I332" s="21" t="e">
        <v>#N/A</v>
      </c>
      <c r="J332" s="21" t="e">
        <v>#N/A</v>
      </c>
      <c r="K332" s="22" t="e">
        <v>#N/A</v>
      </c>
    </row>
    <row r="333" spans="1:11" s="1" customFormat="1">
      <c r="A333" s="4" t="s">
        <v>3871</v>
      </c>
      <c r="B333" s="3" t="s">
        <v>3750</v>
      </c>
      <c r="C333" s="3" t="e">
        <v>#N/A</v>
      </c>
      <c r="D333" s="4" t="e">
        <v>#N/A</v>
      </c>
      <c r="E333" s="4"/>
      <c r="F333" s="5" t="s">
        <v>3872</v>
      </c>
      <c r="G333" s="6" t="e">
        <v>#N/A</v>
      </c>
      <c r="H333" s="21" t="e">
        <v>#N/A</v>
      </c>
      <c r="I333" s="21" t="e">
        <v>#N/A</v>
      </c>
      <c r="J333" s="21" t="e">
        <v>#N/A</v>
      </c>
      <c r="K333" s="22" t="e">
        <v>#N/A</v>
      </c>
    </row>
    <row r="334" spans="1:11" s="1" customFormat="1">
      <c r="A334" s="4" t="s">
        <v>3873</v>
      </c>
      <c r="B334" s="3" t="s">
        <v>3750</v>
      </c>
      <c r="C334" s="3" t="e">
        <v>#N/A</v>
      </c>
      <c r="D334" s="4" t="e">
        <v>#N/A</v>
      </c>
      <c r="E334" s="4"/>
      <c r="F334" s="5" t="s">
        <v>3874</v>
      </c>
      <c r="G334" s="6" t="e">
        <v>#N/A</v>
      </c>
      <c r="H334" s="21" t="e">
        <v>#N/A</v>
      </c>
      <c r="I334" s="21" t="e">
        <v>#N/A</v>
      </c>
      <c r="J334" s="21" t="e">
        <v>#N/A</v>
      </c>
      <c r="K334" s="22" t="e">
        <v>#N/A</v>
      </c>
    </row>
    <row r="335" spans="1:11" s="1" customFormat="1">
      <c r="A335" s="4" t="s">
        <v>3875</v>
      </c>
      <c r="B335" s="3" t="s">
        <v>3750</v>
      </c>
      <c r="C335" s="3" t="e">
        <v>#N/A</v>
      </c>
      <c r="D335" s="4" t="s">
        <v>728</v>
      </c>
      <c r="E335" s="4"/>
      <c r="F335" s="5" t="s">
        <v>3876</v>
      </c>
      <c r="G335" s="6" t="s">
        <v>3877</v>
      </c>
      <c r="H335" s="21" t="e">
        <v>#N/A</v>
      </c>
      <c r="I335" s="21" t="e">
        <v>#N/A</v>
      </c>
      <c r="J335" s="21" t="s">
        <v>3878</v>
      </c>
      <c r="K335" s="22" t="s">
        <v>3879</v>
      </c>
    </row>
    <row r="336" spans="1:11" s="1" customFormat="1">
      <c r="A336" s="4" t="s">
        <v>3880</v>
      </c>
      <c r="B336" s="3" t="s">
        <v>3750</v>
      </c>
      <c r="C336" s="3" t="e">
        <v>#N/A</v>
      </c>
      <c r="D336" s="4" t="e">
        <v>#N/A</v>
      </c>
      <c r="E336" s="4"/>
      <c r="F336" s="5" t="s">
        <v>3881</v>
      </c>
      <c r="G336" s="6" t="e">
        <v>#N/A</v>
      </c>
      <c r="H336" s="21" t="e">
        <v>#N/A</v>
      </c>
      <c r="I336" s="21" t="e">
        <v>#N/A</v>
      </c>
      <c r="J336" s="21" t="e">
        <v>#N/A</v>
      </c>
      <c r="K336" s="22" t="e">
        <v>#N/A</v>
      </c>
    </row>
    <row r="337" spans="1:11" s="1" customFormat="1">
      <c r="A337" s="4" t="s">
        <v>3882</v>
      </c>
      <c r="B337" s="3" t="s">
        <v>3750</v>
      </c>
      <c r="C337" s="3" t="e">
        <v>#N/A</v>
      </c>
      <c r="D337" s="4" t="e">
        <v>#N/A</v>
      </c>
      <c r="E337" s="4"/>
      <c r="F337" s="5" t="s">
        <v>3883</v>
      </c>
      <c r="G337" s="6" t="e">
        <v>#N/A</v>
      </c>
      <c r="H337" s="21" t="e">
        <v>#N/A</v>
      </c>
      <c r="I337" s="21" t="e">
        <v>#N/A</v>
      </c>
      <c r="J337" s="21" t="e">
        <v>#N/A</v>
      </c>
      <c r="K337" s="22" t="e">
        <v>#N/A</v>
      </c>
    </row>
    <row r="338" spans="1:11" s="1" customFormat="1">
      <c r="A338" s="4" t="s">
        <v>3884</v>
      </c>
      <c r="B338" s="3" t="s">
        <v>3750</v>
      </c>
      <c r="C338" s="3" t="e">
        <v>#N/A</v>
      </c>
      <c r="D338" s="4" t="e">
        <v>#N/A</v>
      </c>
      <c r="E338" s="4"/>
      <c r="F338" s="5" t="s">
        <v>3885</v>
      </c>
      <c r="G338" s="6" t="e">
        <v>#N/A</v>
      </c>
      <c r="H338" s="21" t="e">
        <v>#N/A</v>
      </c>
      <c r="I338" s="21" t="e">
        <v>#N/A</v>
      </c>
      <c r="J338" s="21" t="e">
        <v>#N/A</v>
      </c>
      <c r="K338" s="22" t="e">
        <v>#N/A</v>
      </c>
    </row>
    <row r="339" spans="1:11" s="1" customFormat="1">
      <c r="A339" s="4" t="s">
        <v>3886</v>
      </c>
      <c r="B339" s="3" t="s">
        <v>3750</v>
      </c>
      <c r="C339" s="3" t="e">
        <v>#N/A</v>
      </c>
      <c r="D339" s="4" t="e">
        <v>#N/A</v>
      </c>
      <c r="E339" s="4"/>
      <c r="F339" s="5" t="s">
        <v>3887</v>
      </c>
      <c r="G339" s="6" t="e">
        <v>#N/A</v>
      </c>
      <c r="H339" s="21" t="e">
        <v>#N/A</v>
      </c>
      <c r="I339" s="21" t="e">
        <v>#N/A</v>
      </c>
      <c r="J339" s="21" t="e">
        <v>#N/A</v>
      </c>
      <c r="K339" s="22" t="e">
        <v>#N/A</v>
      </c>
    </row>
    <row r="340" spans="1:11" s="1" customFormat="1">
      <c r="A340" s="7" t="s">
        <v>3888</v>
      </c>
      <c r="B340" s="3" t="s">
        <v>3750</v>
      </c>
      <c r="C340" s="3" t="e">
        <v>#N/A</v>
      </c>
      <c r="D340" s="4" t="s">
        <v>620</v>
      </c>
      <c r="E340" s="4"/>
      <c r="F340" s="5" t="s">
        <v>3889</v>
      </c>
      <c r="G340" s="6" t="s">
        <v>3890</v>
      </c>
      <c r="H340" s="21" t="e">
        <v>#N/A</v>
      </c>
      <c r="I340" s="21" t="e">
        <v>#N/A</v>
      </c>
      <c r="J340" s="21" t="e">
        <v>#N/A</v>
      </c>
      <c r="K340" s="22" t="s">
        <v>3891</v>
      </c>
    </row>
    <row r="341" spans="1:11" s="1" customFormat="1">
      <c r="A341" s="8" t="s">
        <v>3892</v>
      </c>
      <c r="B341" s="3" t="s">
        <v>3750</v>
      </c>
      <c r="C341" s="3" t="e">
        <v>#N/A</v>
      </c>
      <c r="D341" s="4" t="s">
        <v>2672</v>
      </c>
      <c r="E341" s="4"/>
      <c r="F341" s="6" t="s">
        <v>3893</v>
      </c>
      <c r="G341" s="6" t="s">
        <v>3894</v>
      </c>
      <c r="H341" s="21" t="s">
        <v>3895</v>
      </c>
      <c r="I341" s="21" t="s">
        <v>3896</v>
      </c>
      <c r="J341" s="21" t="s">
        <v>3897</v>
      </c>
      <c r="K341" s="22" t="s">
        <v>3898</v>
      </c>
    </row>
    <row r="342" spans="1:11" s="1" customFormat="1">
      <c r="A342" s="9" t="s">
        <v>3899</v>
      </c>
      <c r="B342" s="3" t="s">
        <v>3750</v>
      </c>
      <c r="C342" s="3" t="e">
        <v>#N/A</v>
      </c>
      <c r="D342" s="4" t="s">
        <v>3900</v>
      </c>
      <c r="E342" s="4"/>
      <c r="F342" s="6" t="s">
        <v>3901</v>
      </c>
      <c r="G342" s="6" t="s">
        <v>3902</v>
      </c>
      <c r="H342" s="21" t="e">
        <v>#N/A</v>
      </c>
      <c r="I342" s="21" t="e">
        <v>#N/A</v>
      </c>
      <c r="J342" s="21" t="s">
        <v>3903</v>
      </c>
      <c r="K342" s="22" t="s">
        <v>3904</v>
      </c>
    </row>
    <row r="343" spans="1:11" s="1" customFormat="1">
      <c r="A343" s="9" t="s">
        <v>2140</v>
      </c>
      <c r="B343" s="3" t="s">
        <v>3750</v>
      </c>
      <c r="C343" s="3" t="e">
        <v>#N/A</v>
      </c>
      <c r="D343" s="4" t="s">
        <v>2140</v>
      </c>
      <c r="E343" s="4"/>
      <c r="F343" s="5" t="s">
        <v>2141</v>
      </c>
      <c r="G343" s="6" t="e">
        <v>#N/A</v>
      </c>
      <c r="H343" s="21" t="s">
        <v>2142</v>
      </c>
      <c r="I343" s="21" t="s">
        <v>2143</v>
      </c>
      <c r="J343" s="21" t="s">
        <v>2144</v>
      </c>
      <c r="K343" s="22" t="e">
        <v>#N/A</v>
      </c>
    </row>
    <row r="344" spans="1:11" s="1" customFormat="1">
      <c r="A344" s="7" t="s">
        <v>2769</v>
      </c>
      <c r="B344" s="3" t="s">
        <v>3750</v>
      </c>
      <c r="C344" s="3" t="e">
        <v>#N/A</v>
      </c>
      <c r="D344" s="4">
        <v>0</v>
      </c>
      <c r="E344" s="4"/>
      <c r="F344" s="5" t="e">
        <v>#N/A</v>
      </c>
      <c r="G344" s="6" t="s">
        <v>2771</v>
      </c>
      <c r="H344" s="21" t="e">
        <v>#N/A</v>
      </c>
      <c r="I344" s="21" t="e">
        <v>#N/A</v>
      </c>
      <c r="J344" s="21" t="e">
        <v>#N/A</v>
      </c>
      <c r="K344" s="22" t="e">
        <v>#N/A</v>
      </c>
    </row>
    <row r="345" spans="1:11" s="1" customFormat="1">
      <c r="A345" s="9" t="s">
        <v>2383</v>
      </c>
      <c r="B345" s="3" t="s">
        <v>3750</v>
      </c>
      <c r="C345" s="3" t="e">
        <v>#N/A</v>
      </c>
      <c r="D345" s="4" t="s">
        <v>2384</v>
      </c>
      <c r="E345" s="4"/>
      <c r="F345" s="6" t="s">
        <v>3905</v>
      </c>
      <c r="G345" s="6" t="s">
        <v>2386</v>
      </c>
      <c r="H345" s="21" t="s">
        <v>2387</v>
      </c>
      <c r="I345" s="21" t="s">
        <v>2388</v>
      </c>
      <c r="J345" s="21" t="s">
        <v>2389</v>
      </c>
      <c r="K345" s="22" t="s">
        <v>2390</v>
      </c>
    </row>
    <row r="346" spans="1:11" s="1" customFormat="1">
      <c r="A346" s="4" t="s">
        <v>3906</v>
      </c>
      <c r="B346" s="3" t="s">
        <v>3750</v>
      </c>
      <c r="C346" s="3" t="e">
        <v>#N/A</v>
      </c>
      <c r="D346" s="4" t="e">
        <v>#N/A</v>
      </c>
      <c r="E346" s="4"/>
      <c r="F346" s="5" t="s">
        <v>3907</v>
      </c>
      <c r="G346" s="6" t="e">
        <v>#N/A</v>
      </c>
      <c r="H346" s="21" t="e">
        <v>#N/A</v>
      </c>
      <c r="I346" s="21" t="e">
        <v>#N/A</v>
      </c>
      <c r="J346" s="21" t="e">
        <v>#N/A</v>
      </c>
      <c r="K346" s="22" t="e">
        <v>#N/A</v>
      </c>
    </row>
    <row r="347" spans="1:11" s="1" customFormat="1">
      <c r="A347" s="4" t="s">
        <v>3908</v>
      </c>
      <c r="B347" s="3" t="s">
        <v>3750</v>
      </c>
      <c r="C347" s="3" t="e">
        <v>#N/A</v>
      </c>
      <c r="D347" s="4" t="e">
        <v>#N/A</v>
      </c>
      <c r="E347" s="4"/>
      <c r="F347" s="5" t="s">
        <v>3909</v>
      </c>
      <c r="G347" s="6" t="e">
        <v>#N/A</v>
      </c>
      <c r="H347" s="21" t="e">
        <v>#N/A</v>
      </c>
      <c r="I347" s="21" t="e">
        <v>#N/A</v>
      </c>
      <c r="J347" s="21" t="e">
        <v>#N/A</v>
      </c>
      <c r="K347" s="22" t="e">
        <v>#N/A</v>
      </c>
    </row>
    <row r="348" spans="1:11" s="1" customFormat="1">
      <c r="A348" s="4" t="s">
        <v>3910</v>
      </c>
      <c r="B348" s="3" t="s">
        <v>3750</v>
      </c>
      <c r="C348" s="3" t="e">
        <v>#N/A</v>
      </c>
      <c r="D348" s="4" t="e">
        <v>#N/A</v>
      </c>
      <c r="E348" s="4"/>
      <c r="F348" s="5" t="s">
        <v>3911</v>
      </c>
      <c r="G348" s="6" t="s">
        <v>3912</v>
      </c>
      <c r="H348" s="21" t="s">
        <v>3913</v>
      </c>
      <c r="I348" s="21" t="s">
        <v>3914</v>
      </c>
      <c r="J348" s="21" t="s">
        <v>3915</v>
      </c>
      <c r="K348" s="22" t="s">
        <v>3916</v>
      </c>
    </row>
    <row r="349" spans="1:11" s="1" customFormat="1">
      <c r="A349" s="4" t="s">
        <v>3917</v>
      </c>
      <c r="B349" s="3" t="s">
        <v>3750</v>
      </c>
      <c r="C349" s="3" t="e">
        <v>#N/A</v>
      </c>
      <c r="D349" s="4" t="e">
        <v>#N/A</v>
      </c>
      <c r="E349" s="4"/>
      <c r="F349" s="5" t="s">
        <v>3918</v>
      </c>
      <c r="G349" s="6" t="s">
        <v>3919</v>
      </c>
      <c r="H349" s="21" t="e">
        <v>#N/A</v>
      </c>
      <c r="I349" s="21" t="e">
        <v>#N/A</v>
      </c>
      <c r="J349" s="21" t="s">
        <v>3920</v>
      </c>
      <c r="K349" s="22" t="s">
        <v>3921</v>
      </c>
    </row>
    <row r="350" spans="1:11" s="1" customFormat="1">
      <c r="A350" s="4" t="s">
        <v>3922</v>
      </c>
      <c r="B350" s="3" t="s">
        <v>3750</v>
      </c>
      <c r="C350" s="3" t="e">
        <v>#N/A</v>
      </c>
      <c r="D350" s="4" t="e">
        <v>#N/A</v>
      </c>
      <c r="E350" s="4"/>
      <c r="F350" s="5" t="s">
        <v>1312</v>
      </c>
      <c r="G350" s="6" t="e">
        <v>#N/A</v>
      </c>
      <c r="H350" s="21" t="e">
        <v>#N/A</v>
      </c>
      <c r="I350" s="21" t="e">
        <v>#N/A</v>
      </c>
      <c r="J350" s="21" t="e">
        <v>#N/A</v>
      </c>
      <c r="K350" s="22" t="e">
        <v>#N/A</v>
      </c>
    </row>
    <row r="351" spans="1:11" s="1" customFormat="1">
      <c r="A351" s="4" t="s">
        <v>3923</v>
      </c>
      <c r="B351" s="3" t="s">
        <v>3750</v>
      </c>
      <c r="C351" s="3" t="e">
        <v>#N/A</v>
      </c>
      <c r="D351" s="4" t="e">
        <v>#N/A</v>
      </c>
      <c r="E351" s="4"/>
      <c r="F351" s="5" t="s">
        <v>781</v>
      </c>
      <c r="G351" s="6" t="e">
        <v>#N/A</v>
      </c>
      <c r="H351" s="21" t="e">
        <v>#N/A</v>
      </c>
      <c r="I351" s="21" t="e">
        <v>#N/A</v>
      </c>
      <c r="J351" s="21" t="e">
        <v>#N/A</v>
      </c>
      <c r="K351" s="22" t="e">
        <v>#N/A</v>
      </c>
    </row>
    <row r="352" spans="1:11" s="1" customFormat="1">
      <c r="A352" s="4" t="s">
        <v>3924</v>
      </c>
      <c r="B352" s="3" t="s">
        <v>3750</v>
      </c>
      <c r="C352" s="3" t="e">
        <v>#N/A</v>
      </c>
      <c r="D352" s="4" t="e">
        <v>#N/A</v>
      </c>
      <c r="E352" s="4"/>
      <c r="F352" s="5" t="s">
        <v>1393</v>
      </c>
      <c r="G352" s="6" t="e">
        <v>#N/A</v>
      </c>
      <c r="H352" s="21" t="e">
        <v>#N/A</v>
      </c>
      <c r="I352" s="21" t="e">
        <v>#N/A</v>
      </c>
      <c r="J352" s="21" t="e">
        <v>#N/A</v>
      </c>
      <c r="K352" s="22" t="e">
        <v>#N/A</v>
      </c>
    </row>
    <row r="353" spans="1:11" s="1" customFormat="1">
      <c r="A353" s="4" t="s">
        <v>3925</v>
      </c>
      <c r="B353" s="3" t="s">
        <v>3750</v>
      </c>
      <c r="C353" s="3" t="e">
        <v>#N/A</v>
      </c>
      <c r="D353" s="4" t="e">
        <v>#N/A</v>
      </c>
      <c r="E353" s="4"/>
      <c r="F353" s="5" t="s">
        <v>3926</v>
      </c>
      <c r="G353" s="6" t="e">
        <v>#N/A</v>
      </c>
      <c r="H353" s="21" t="e">
        <v>#N/A</v>
      </c>
      <c r="I353" s="21" t="e">
        <v>#N/A</v>
      </c>
      <c r="J353" s="21" t="e">
        <v>#N/A</v>
      </c>
      <c r="K353" s="22" t="e">
        <v>#N/A</v>
      </c>
    </row>
    <row r="354" spans="1:11" s="1" customFormat="1">
      <c r="A354" s="4" t="s">
        <v>3927</v>
      </c>
      <c r="B354" s="3" t="s">
        <v>3750</v>
      </c>
      <c r="C354" s="3" t="e">
        <v>#N/A</v>
      </c>
      <c r="D354" s="4" t="e">
        <v>#N/A</v>
      </c>
      <c r="E354" s="4"/>
      <c r="F354" s="5" t="s">
        <v>3928</v>
      </c>
      <c r="G354" s="6" t="e">
        <v>#N/A</v>
      </c>
      <c r="H354" s="21" t="e">
        <v>#N/A</v>
      </c>
      <c r="I354" s="21" t="e">
        <v>#N/A</v>
      </c>
      <c r="J354" s="21" t="e">
        <v>#N/A</v>
      </c>
      <c r="K354" s="22" t="e">
        <v>#N/A</v>
      </c>
    </row>
    <row r="355" spans="1:11" s="1" customFormat="1">
      <c r="A355" s="4" t="s">
        <v>3929</v>
      </c>
      <c r="B355" s="3" t="s">
        <v>3750</v>
      </c>
      <c r="C355" s="3" t="e">
        <v>#N/A</v>
      </c>
      <c r="D355" s="4" t="e">
        <v>#N/A</v>
      </c>
      <c r="E355" s="4"/>
      <c r="F355" s="5" t="s">
        <v>3930</v>
      </c>
      <c r="G355" s="6" t="e">
        <v>#N/A</v>
      </c>
      <c r="H355" s="21" t="s">
        <v>2519</v>
      </c>
      <c r="I355" s="21" t="e">
        <v>#N/A</v>
      </c>
      <c r="J355" s="21" t="e">
        <v>#N/A</v>
      </c>
      <c r="K355" s="22" t="e">
        <v>#N/A</v>
      </c>
    </row>
    <row r="356" spans="1:11" s="1" customFormat="1">
      <c r="A356" s="4" t="s">
        <v>3931</v>
      </c>
      <c r="B356" s="3" t="s">
        <v>3750</v>
      </c>
      <c r="C356" s="3" t="e">
        <v>#N/A</v>
      </c>
      <c r="D356" s="4" t="e">
        <v>#N/A</v>
      </c>
      <c r="E356" s="4"/>
      <c r="F356" s="5" t="s">
        <v>3932</v>
      </c>
      <c r="G356" s="6" t="e">
        <v>#N/A</v>
      </c>
      <c r="H356" s="21" t="e">
        <v>#N/A</v>
      </c>
      <c r="I356" s="21" t="e">
        <v>#N/A</v>
      </c>
      <c r="J356" s="21" t="e">
        <v>#N/A</v>
      </c>
      <c r="K356" s="22" t="e">
        <v>#N/A</v>
      </c>
    </row>
    <row r="357" spans="1:11" s="1" customFormat="1">
      <c r="A357" s="4" t="s">
        <v>3933</v>
      </c>
      <c r="B357" s="3" t="s">
        <v>3750</v>
      </c>
      <c r="C357" s="3" t="e">
        <v>#N/A</v>
      </c>
      <c r="D357" s="4" t="e">
        <v>#N/A</v>
      </c>
      <c r="E357" s="4"/>
      <c r="F357" s="5" t="s">
        <v>3934</v>
      </c>
      <c r="G357" s="6" t="e">
        <v>#N/A</v>
      </c>
      <c r="H357" s="21" t="e">
        <v>#N/A</v>
      </c>
      <c r="I357" s="21" t="e">
        <v>#N/A</v>
      </c>
      <c r="J357" s="21" t="e">
        <v>#N/A</v>
      </c>
      <c r="K357" s="22" t="e">
        <v>#N/A</v>
      </c>
    </row>
    <row r="358" spans="1:11" s="1" customFormat="1">
      <c r="A358" s="4" t="s">
        <v>3935</v>
      </c>
      <c r="B358" s="3" t="s">
        <v>3750</v>
      </c>
      <c r="C358" s="3" t="e">
        <v>#N/A</v>
      </c>
      <c r="D358" s="4" t="e">
        <v>#N/A</v>
      </c>
      <c r="E358" s="4"/>
      <c r="F358" s="5" t="s">
        <v>3936</v>
      </c>
      <c r="G358" s="6" t="e">
        <v>#N/A</v>
      </c>
      <c r="H358" s="21" t="e">
        <v>#N/A</v>
      </c>
      <c r="I358" s="21" t="e">
        <v>#N/A</v>
      </c>
      <c r="J358" s="21" t="e">
        <v>#N/A</v>
      </c>
      <c r="K358" s="22" t="e">
        <v>#N/A</v>
      </c>
    </row>
    <row r="359" spans="1:11" s="1" customFormat="1">
      <c r="A359" s="4" t="s">
        <v>3937</v>
      </c>
      <c r="B359" s="3" t="s">
        <v>3750</v>
      </c>
      <c r="C359" s="3" t="e">
        <v>#N/A</v>
      </c>
      <c r="D359" s="4" t="e">
        <v>#N/A</v>
      </c>
      <c r="E359" s="4"/>
      <c r="F359" s="5" t="s">
        <v>2414</v>
      </c>
      <c r="G359" s="6" t="e">
        <v>#N/A</v>
      </c>
      <c r="H359" s="21" t="e">
        <v>#N/A</v>
      </c>
      <c r="I359" s="21" t="e">
        <v>#N/A</v>
      </c>
      <c r="J359" s="21" t="e">
        <v>#N/A</v>
      </c>
      <c r="K359" s="22" t="e">
        <v>#N/A</v>
      </c>
    </row>
    <row r="360" spans="1:11" s="1" customFormat="1">
      <c r="A360" s="4" t="s">
        <v>3938</v>
      </c>
      <c r="B360" s="3" t="s">
        <v>3750</v>
      </c>
      <c r="C360" s="3" t="e">
        <v>#N/A</v>
      </c>
      <c r="D360" s="4" t="e">
        <v>#N/A</v>
      </c>
      <c r="E360" s="4"/>
      <c r="F360" s="5" t="s">
        <v>3939</v>
      </c>
      <c r="G360" s="6" t="e">
        <v>#N/A</v>
      </c>
      <c r="H360" s="21" t="e">
        <v>#N/A</v>
      </c>
      <c r="I360" s="21" t="e">
        <v>#N/A</v>
      </c>
      <c r="J360" s="21" t="e">
        <v>#N/A</v>
      </c>
      <c r="K360" s="22" t="e">
        <v>#N/A</v>
      </c>
    </row>
    <row r="361" spans="1:11" s="1" customFormat="1">
      <c r="A361" s="4" t="s">
        <v>3940</v>
      </c>
      <c r="B361" s="3" t="s">
        <v>3750</v>
      </c>
      <c r="C361" s="3" t="e">
        <v>#N/A</v>
      </c>
      <c r="D361" s="4" t="e">
        <v>#N/A</v>
      </c>
      <c r="E361" s="4"/>
      <c r="F361" s="5" t="s">
        <v>3941</v>
      </c>
      <c r="G361" s="6" t="e">
        <v>#N/A</v>
      </c>
      <c r="H361" s="21" t="e">
        <v>#N/A</v>
      </c>
      <c r="I361" s="21" t="e">
        <v>#N/A</v>
      </c>
      <c r="J361" s="21" t="e">
        <v>#N/A</v>
      </c>
      <c r="K361" s="22" t="e">
        <v>#N/A</v>
      </c>
    </row>
    <row r="362" spans="1:11" s="1" customFormat="1">
      <c r="A362" s="4" t="s">
        <v>3942</v>
      </c>
      <c r="B362" s="3" t="s">
        <v>3750</v>
      </c>
      <c r="C362" s="3" t="e">
        <v>#N/A</v>
      </c>
      <c r="D362" s="4" t="e">
        <v>#N/A</v>
      </c>
      <c r="E362" s="4"/>
      <c r="F362" s="5" t="s">
        <v>3943</v>
      </c>
      <c r="G362" s="6" t="e">
        <v>#N/A</v>
      </c>
      <c r="H362" s="21" t="e">
        <v>#N/A</v>
      </c>
      <c r="I362" s="21" t="e">
        <v>#N/A</v>
      </c>
      <c r="J362" s="21" t="e">
        <v>#N/A</v>
      </c>
      <c r="K362" s="22" t="e">
        <v>#N/A</v>
      </c>
    </row>
    <row r="363" spans="1:11" s="1" customFormat="1">
      <c r="A363" s="4" t="s">
        <v>3944</v>
      </c>
      <c r="B363" s="3" t="s">
        <v>3750</v>
      </c>
      <c r="C363" s="3" t="e">
        <v>#N/A</v>
      </c>
      <c r="D363" s="4" t="e">
        <v>#N/A</v>
      </c>
      <c r="E363" s="4"/>
      <c r="F363" s="5" t="s">
        <v>3945</v>
      </c>
      <c r="G363" s="6" t="e">
        <v>#N/A</v>
      </c>
      <c r="H363" s="21" t="e">
        <v>#N/A</v>
      </c>
      <c r="I363" s="21" t="e">
        <v>#N/A</v>
      </c>
      <c r="J363" s="21" t="e">
        <v>#N/A</v>
      </c>
      <c r="K363" s="22" t="e">
        <v>#N/A</v>
      </c>
    </row>
    <row r="364" spans="1:11" s="1" customFormat="1">
      <c r="A364" s="4" t="s">
        <v>3946</v>
      </c>
      <c r="B364" s="3" t="s">
        <v>3750</v>
      </c>
      <c r="C364" s="3" t="e">
        <v>#N/A</v>
      </c>
      <c r="D364" s="4" t="e">
        <v>#N/A</v>
      </c>
      <c r="E364" s="4"/>
      <c r="F364" s="5" t="s">
        <v>3947</v>
      </c>
      <c r="G364" s="6" t="e">
        <v>#N/A</v>
      </c>
      <c r="H364" s="21" t="e">
        <v>#N/A</v>
      </c>
      <c r="I364" s="21" t="e">
        <v>#N/A</v>
      </c>
      <c r="J364" s="21" t="e">
        <v>#N/A</v>
      </c>
      <c r="K364" s="22" t="e">
        <v>#N/A</v>
      </c>
    </row>
    <row r="365" spans="1:11" s="1" customFormat="1">
      <c r="A365" s="4" t="s">
        <v>3948</v>
      </c>
      <c r="B365" s="3" t="s">
        <v>3750</v>
      </c>
      <c r="C365" s="3" t="e">
        <v>#N/A</v>
      </c>
      <c r="D365" s="4">
        <v>0</v>
      </c>
      <c r="E365" s="4"/>
      <c r="F365" s="5" t="s">
        <v>3949</v>
      </c>
      <c r="G365" s="6" t="s">
        <v>3950</v>
      </c>
      <c r="H365" s="21" t="e">
        <v>#N/A</v>
      </c>
      <c r="I365" s="21" t="e">
        <v>#N/A</v>
      </c>
      <c r="J365" s="21" t="s">
        <v>3951</v>
      </c>
      <c r="K365" s="22" t="e">
        <v>#N/A</v>
      </c>
    </row>
    <row r="366" spans="1:11" s="1" customFormat="1">
      <c r="A366" s="4" t="s">
        <v>3952</v>
      </c>
      <c r="B366" s="3" t="s">
        <v>3750</v>
      </c>
      <c r="C366" s="3" t="e">
        <v>#N/A</v>
      </c>
      <c r="D366" s="4" t="e">
        <v>#N/A</v>
      </c>
      <c r="E366" s="4"/>
      <c r="F366" s="5" t="s">
        <v>3953</v>
      </c>
      <c r="G366" s="6" t="e">
        <v>#N/A</v>
      </c>
      <c r="H366" s="21" t="e">
        <v>#N/A</v>
      </c>
      <c r="I366" s="21" t="e">
        <v>#N/A</v>
      </c>
      <c r="J366" s="21" t="e">
        <v>#N/A</v>
      </c>
      <c r="K366" s="22" t="e">
        <v>#N/A</v>
      </c>
    </row>
    <row r="367" spans="1:11" s="1" customFormat="1">
      <c r="A367" s="4" t="s">
        <v>3954</v>
      </c>
      <c r="B367" s="3" t="s">
        <v>3750</v>
      </c>
      <c r="C367" s="3" t="e">
        <v>#N/A</v>
      </c>
      <c r="D367" s="4" t="e">
        <v>#N/A</v>
      </c>
      <c r="E367" s="4"/>
      <c r="F367" s="5" t="s">
        <v>3955</v>
      </c>
      <c r="G367" s="6" t="s">
        <v>3956</v>
      </c>
      <c r="H367" s="21" t="e">
        <v>#N/A</v>
      </c>
      <c r="I367" s="21" t="e">
        <v>#N/A</v>
      </c>
      <c r="J367" s="21" t="s">
        <v>3957</v>
      </c>
      <c r="K367" s="22" t="e">
        <v>#N/A</v>
      </c>
    </row>
    <row r="368" spans="1:11" s="1" customFormat="1">
      <c r="A368" s="4" t="s">
        <v>3958</v>
      </c>
      <c r="B368" s="3" t="s">
        <v>3750</v>
      </c>
      <c r="C368" s="3" t="e">
        <v>#N/A</v>
      </c>
      <c r="D368" s="4" t="e">
        <v>#N/A</v>
      </c>
      <c r="E368" s="4"/>
      <c r="F368" s="5" t="s">
        <v>3959</v>
      </c>
      <c r="G368" s="6" t="e">
        <v>#N/A</v>
      </c>
      <c r="H368" s="21" t="e">
        <v>#N/A</v>
      </c>
      <c r="I368" s="21" t="e">
        <v>#N/A</v>
      </c>
      <c r="J368" s="21" t="e">
        <v>#N/A</v>
      </c>
      <c r="K368" s="22" t="e">
        <v>#N/A</v>
      </c>
    </row>
    <row r="369" spans="1:11" s="1" customFormat="1">
      <c r="A369" s="4" t="s">
        <v>3960</v>
      </c>
      <c r="B369" s="3" t="s">
        <v>3750</v>
      </c>
      <c r="C369" s="3" t="e">
        <v>#N/A</v>
      </c>
      <c r="D369" s="4" t="e">
        <v>#N/A</v>
      </c>
      <c r="E369" s="4"/>
      <c r="F369" s="5" t="s">
        <v>3961</v>
      </c>
      <c r="G369" s="6" t="e">
        <v>#N/A</v>
      </c>
      <c r="H369" s="21" t="e">
        <v>#N/A</v>
      </c>
      <c r="I369" s="21" t="e">
        <v>#N/A</v>
      </c>
      <c r="J369" s="21" t="e">
        <v>#N/A</v>
      </c>
      <c r="K369" s="22" t="e">
        <v>#N/A</v>
      </c>
    </row>
    <row r="370" spans="1:11" s="1" customFormat="1">
      <c r="A370" s="4" t="s">
        <v>3962</v>
      </c>
      <c r="B370" s="3" t="s">
        <v>3750</v>
      </c>
      <c r="C370" s="3" t="e">
        <v>#N/A</v>
      </c>
      <c r="D370" s="4" t="e">
        <v>#N/A</v>
      </c>
      <c r="E370" s="4"/>
      <c r="F370" s="5" t="s">
        <v>3963</v>
      </c>
      <c r="G370" s="6" t="e">
        <v>#N/A</v>
      </c>
      <c r="H370" s="21" t="e">
        <v>#N/A</v>
      </c>
      <c r="I370" s="21" t="e">
        <v>#N/A</v>
      </c>
      <c r="J370" s="21" t="e">
        <v>#N/A</v>
      </c>
      <c r="K370" s="22" t="e">
        <v>#N/A</v>
      </c>
    </row>
    <row r="371" spans="1:11" s="1" customFormat="1">
      <c r="A371" s="4" t="s">
        <v>3964</v>
      </c>
      <c r="B371" s="3" t="s">
        <v>3750</v>
      </c>
      <c r="C371" s="3" t="e">
        <v>#N/A</v>
      </c>
      <c r="D371" s="4" t="e">
        <v>#N/A</v>
      </c>
      <c r="E371" s="4"/>
      <c r="F371" s="5" t="s">
        <v>3965</v>
      </c>
      <c r="G371" s="6" t="e">
        <v>#N/A</v>
      </c>
      <c r="H371" s="21" t="e">
        <v>#N/A</v>
      </c>
      <c r="I371" s="21" t="e">
        <v>#N/A</v>
      </c>
      <c r="J371" s="21" t="e">
        <v>#N/A</v>
      </c>
      <c r="K371" s="22" t="e">
        <v>#N/A</v>
      </c>
    </row>
    <row r="372" spans="1:11" s="1" customFormat="1">
      <c r="A372" s="4" t="s">
        <v>3966</v>
      </c>
      <c r="B372" s="3" t="s">
        <v>3750</v>
      </c>
      <c r="C372" s="3" t="e">
        <v>#N/A</v>
      </c>
      <c r="D372" s="4" t="e">
        <v>#N/A</v>
      </c>
      <c r="E372" s="4"/>
      <c r="F372" s="5" t="s">
        <v>3967</v>
      </c>
      <c r="G372" s="6" t="e">
        <v>#N/A</v>
      </c>
      <c r="H372" s="21" t="e">
        <v>#N/A</v>
      </c>
      <c r="I372" s="21" t="e">
        <v>#N/A</v>
      </c>
      <c r="J372" s="21" t="e">
        <v>#N/A</v>
      </c>
      <c r="K372" s="22" t="e">
        <v>#N/A</v>
      </c>
    </row>
    <row r="373" spans="1:11" s="1" customFormat="1">
      <c r="A373" s="4" t="s">
        <v>3968</v>
      </c>
      <c r="B373" s="3" t="s">
        <v>3750</v>
      </c>
      <c r="C373" s="3" t="e">
        <v>#N/A</v>
      </c>
      <c r="D373" s="4" t="e">
        <v>#N/A</v>
      </c>
      <c r="E373" s="4"/>
      <c r="F373" s="5" t="s">
        <v>2615</v>
      </c>
      <c r="G373" s="6" t="e">
        <v>#N/A</v>
      </c>
      <c r="H373" s="21" t="e">
        <v>#N/A</v>
      </c>
      <c r="I373" s="21" t="e">
        <v>#N/A</v>
      </c>
      <c r="J373" s="21" t="e">
        <v>#N/A</v>
      </c>
      <c r="K373" s="22" t="e">
        <v>#N/A</v>
      </c>
    </row>
    <row r="374" spans="1:11" s="1" customFormat="1">
      <c r="A374" s="4" t="s">
        <v>3969</v>
      </c>
      <c r="B374" s="3" t="s">
        <v>3750</v>
      </c>
      <c r="C374" s="3" t="e">
        <v>#N/A</v>
      </c>
      <c r="D374" s="4" t="e">
        <v>#N/A</v>
      </c>
      <c r="E374" s="4"/>
      <c r="F374" s="5" t="s">
        <v>3970</v>
      </c>
      <c r="G374" s="6" t="e">
        <v>#N/A</v>
      </c>
      <c r="H374" s="21" t="e">
        <v>#N/A</v>
      </c>
      <c r="I374" s="21" t="e">
        <v>#N/A</v>
      </c>
      <c r="J374" s="21" t="e">
        <v>#N/A</v>
      </c>
      <c r="K374" s="22" t="e">
        <v>#N/A</v>
      </c>
    </row>
    <row r="375" spans="1:11" s="1" customFormat="1">
      <c r="A375" s="4" t="s">
        <v>3971</v>
      </c>
      <c r="B375" s="3" t="s">
        <v>3750</v>
      </c>
      <c r="C375" s="3" t="e">
        <v>#N/A</v>
      </c>
      <c r="D375" s="4" t="e">
        <v>#N/A</v>
      </c>
      <c r="E375" s="4"/>
      <c r="F375" s="5" t="s">
        <v>3972</v>
      </c>
      <c r="G375" s="6" t="e">
        <v>#N/A</v>
      </c>
      <c r="H375" s="21" t="s">
        <v>3973</v>
      </c>
      <c r="I375" s="21" t="s">
        <v>3974</v>
      </c>
      <c r="J375" s="21" t="e">
        <v>#N/A</v>
      </c>
      <c r="K375" s="22" t="e">
        <v>#N/A</v>
      </c>
    </row>
    <row r="376" spans="1:11" s="1" customFormat="1">
      <c r="A376" s="4" t="s">
        <v>3975</v>
      </c>
      <c r="B376" s="3" t="s">
        <v>3750</v>
      </c>
      <c r="C376" s="3" t="e">
        <v>#N/A</v>
      </c>
      <c r="D376" s="4" t="e">
        <v>#N/A</v>
      </c>
      <c r="E376" s="4"/>
      <c r="F376" s="5" t="s">
        <v>3976</v>
      </c>
      <c r="G376" s="6" t="s">
        <v>3977</v>
      </c>
      <c r="H376" s="21" t="e">
        <v>#N/A</v>
      </c>
      <c r="I376" s="21" t="e">
        <v>#N/A</v>
      </c>
      <c r="J376" s="21" t="s">
        <v>3978</v>
      </c>
      <c r="K376" s="22" t="e">
        <v>#N/A</v>
      </c>
    </row>
    <row r="377" spans="1:11" s="1" customFormat="1">
      <c r="A377" s="4" t="s">
        <v>3979</v>
      </c>
      <c r="B377" s="3" t="s">
        <v>3750</v>
      </c>
      <c r="C377" s="3" t="e">
        <v>#N/A</v>
      </c>
      <c r="D377" s="4" t="e">
        <v>#N/A</v>
      </c>
      <c r="E377" s="4"/>
      <c r="F377" s="5" t="s">
        <v>3980</v>
      </c>
      <c r="G377" s="6" t="s">
        <v>3981</v>
      </c>
      <c r="H377" s="21" t="e">
        <v>#N/A</v>
      </c>
      <c r="I377" s="21" t="e">
        <v>#N/A</v>
      </c>
      <c r="J377" s="21" t="s">
        <v>3982</v>
      </c>
      <c r="K377" s="22" t="e">
        <v>#N/A</v>
      </c>
    </row>
    <row r="378" spans="1:11" s="1" customFormat="1">
      <c r="A378" s="4" t="s">
        <v>3983</v>
      </c>
      <c r="B378" s="3" t="s">
        <v>3750</v>
      </c>
      <c r="C378" s="3" t="e">
        <v>#N/A</v>
      </c>
      <c r="D378" s="4" t="s">
        <v>3984</v>
      </c>
      <c r="E378" s="4"/>
      <c r="F378" s="5" t="s">
        <v>3985</v>
      </c>
      <c r="G378" s="6" t="s">
        <v>3986</v>
      </c>
      <c r="H378" s="21" t="e">
        <v>#N/A</v>
      </c>
      <c r="I378" s="21" t="e">
        <v>#N/A</v>
      </c>
      <c r="J378" s="21" t="s">
        <v>3987</v>
      </c>
      <c r="K378" s="22" t="e">
        <v>#N/A</v>
      </c>
    </row>
    <row r="379" spans="1:11" s="1" customFormat="1">
      <c r="A379" s="4" t="s">
        <v>3988</v>
      </c>
      <c r="B379" s="3" t="s">
        <v>3750</v>
      </c>
      <c r="C379" s="3" t="e">
        <v>#N/A</v>
      </c>
      <c r="D379" s="4" t="s">
        <v>3984</v>
      </c>
      <c r="E379" s="4"/>
      <c r="F379" s="5" t="s">
        <v>3989</v>
      </c>
      <c r="G379" s="6" t="s">
        <v>3990</v>
      </c>
      <c r="H379" s="21" t="s">
        <v>3991</v>
      </c>
      <c r="I379" s="21" t="s">
        <v>3992</v>
      </c>
      <c r="J379" s="21" t="s">
        <v>3993</v>
      </c>
      <c r="K379" s="22" t="e">
        <v>#N/A</v>
      </c>
    </row>
    <row r="380" spans="1:11" s="1" customFormat="1">
      <c r="A380" s="4" t="s">
        <v>3994</v>
      </c>
      <c r="B380" s="3" t="s">
        <v>3750</v>
      </c>
      <c r="C380" s="3" t="e">
        <v>#N/A</v>
      </c>
      <c r="D380" s="4" t="s">
        <v>2694</v>
      </c>
      <c r="E380" s="4"/>
      <c r="F380" s="5" t="s">
        <v>3995</v>
      </c>
      <c r="G380" s="6" t="s">
        <v>3996</v>
      </c>
      <c r="H380" s="21" t="e">
        <v>#N/A</v>
      </c>
      <c r="I380" s="21" t="e">
        <v>#N/A</v>
      </c>
      <c r="J380" s="21" t="s">
        <v>3997</v>
      </c>
      <c r="K380" s="22" t="s">
        <v>3998</v>
      </c>
    </row>
    <row r="381" spans="1:11" s="1" customFormat="1">
      <c r="A381" s="4" t="s">
        <v>3999</v>
      </c>
      <c r="B381" s="3" t="s">
        <v>3750</v>
      </c>
      <c r="C381" s="3" t="e">
        <v>#N/A</v>
      </c>
      <c r="D381" s="4" t="s">
        <v>3143</v>
      </c>
      <c r="E381" s="4"/>
      <c r="F381" s="5" t="s">
        <v>4000</v>
      </c>
      <c r="G381" s="6" t="s">
        <v>4001</v>
      </c>
      <c r="H381" s="21" t="s">
        <v>4002</v>
      </c>
      <c r="I381" s="21" t="s">
        <v>4003</v>
      </c>
      <c r="J381" s="21" t="e">
        <v>#N/A</v>
      </c>
      <c r="K381" s="22" t="e">
        <v>#N/A</v>
      </c>
    </row>
    <row r="382" spans="1:11" s="1" customFormat="1">
      <c r="A382" s="4" t="s">
        <v>4004</v>
      </c>
      <c r="B382" s="3" t="s">
        <v>3750</v>
      </c>
      <c r="C382" s="3" t="e">
        <v>#N/A</v>
      </c>
      <c r="D382" s="4" t="s">
        <v>3144</v>
      </c>
      <c r="E382" s="4"/>
      <c r="F382" s="5" t="s">
        <v>4005</v>
      </c>
      <c r="G382" s="6" t="s">
        <v>4006</v>
      </c>
      <c r="H382" s="21" t="e">
        <v>#N/A</v>
      </c>
      <c r="I382" s="21" t="e">
        <v>#N/A</v>
      </c>
      <c r="J382" s="21" t="e">
        <v>#N/A</v>
      </c>
      <c r="K382" s="22" t="e">
        <v>#N/A</v>
      </c>
    </row>
    <row r="383" spans="1:11" s="1" customFormat="1">
      <c r="A383" s="4" t="s">
        <v>4007</v>
      </c>
      <c r="B383" s="3" t="s">
        <v>3750</v>
      </c>
      <c r="C383" s="3" t="e">
        <v>#N/A</v>
      </c>
      <c r="D383" s="4" t="e">
        <v>#N/A</v>
      </c>
      <c r="E383" s="4"/>
      <c r="F383" s="5" t="s">
        <v>2385</v>
      </c>
      <c r="G383" s="6" t="e">
        <v>#N/A</v>
      </c>
      <c r="H383" s="21" t="e">
        <v>#N/A</v>
      </c>
      <c r="I383" s="21" t="e">
        <v>#N/A</v>
      </c>
      <c r="J383" s="21" t="e">
        <v>#N/A</v>
      </c>
      <c r="K383" s="22" t="e">
        <v>#N/A</v>
      </c>
    </row>
    <row r="384" spans="1:11" s="1" customFormat="1">
      <c r="A384" s="4" t="s">
        <v>4008</v>
      </c>
      <c r="B384" s="3" t="s">
        <v>3750</v>
      </c>
      <c r="C384" s="3" t="e">
        <v>#N/A</v>
      </c>
      <c r="D384" s="4" t="e">
        <v>#N/A</v>
      </c>
      <c r="E384" s="4"/>
      <c r="F384" s="5" t="s">
        <v>4009</v>
      </c>
      <c r="G384" s="6" t="e">
        <v>#N/A</v>
      </c>
      <c r="H384" s="21" t="e">
        <v>#N/A</v>
      </c>
      <c r="I384" s="21" t="e">
        <v>#N/A</v>
      </c>
      <c r="J384" s="21" t="e">
        <v>#N/A</v>
      </c>
      <c r="K384" s="22" t="e">
        <v>#N/A</v>
      </c>
    </row>
    <row r="385" spans="1:12" s="1" customFormat="1">
      <c r="A385" s="4" t="s">
        <v>4010</v>
      </c>
      <c r="B385" s="4" t="e">
        <v>#N/A</v>
      </c>
      <c r="C385" s="3" t="s">
        <v>3750</v>
      </c>
      <c r="D385" s="3" t="e">
        <v>#N/A</v>
      </c>
      <c r="E385" s="4" t="s">
        <v>4010</v>
      </c>
      <c r="F385" s="4"/>
      <c r="G385" s="5" t="s">
        <v>4011</v>
      </c>
      <c r="H385" s="6" t="e">
        <v>#N/A</v>
      </c>
      <c r="I385" s="21" t="e">
        <v>#N/A</v>
      </c>
      <c r="J385" s="21" t="e">
        <v>#N/A</v>
      </c>
      <c r="K385" s="21" t="e">
        <v>#N/A</v>
      </c>
      <c r="L385" s="22" t="e">
        <v>#N/A</v>
      </c>
    </row>
    <row r="386" spans="1:12" s="1" customFormat="1">
      <c r="A386" s="4" t="s">
        <v>4012</v>
      </c>
      <c r="B386" s="4" t="e">
        <v>#N/A</v>
      </c>
      <c r="C386" s="3" t="s">
        <v>3750</v>
      </c>
      <c r="D386" s="3" t="e">
        <v>#N/A</v>
      </c>
      <c r="E386" s="4" t="e">
        <v>#N/A</v>
      </c>
      <c r="F386" s="4"/>
      <c r="G386" s="5" t="s">
        <v>4013</v>
      </c>
      <c r="H386" s="6" t="e">
        <v>#N/A</v>
      </c>
      <c r="I386" s="21" t="e">
        <v>#N/A</v>
      </c>
      <c r="J386" s="21" t="e">
        <v>#N/A</v>
      </c>
      <c r="K386" s="21" t="e">
        <v>#N/A</v>
      </c>
      <c r="L386" s="22" t="e">
        <v>#N/A</v>
      </c>
    </row>
    <row r="387" spans="1:12" s="1" customFormat="1">
      <c r="A387" s="4" t="s">
        <v>3174</v>
      </c>
      <c r="B387" s="4" t="e">
        <v>#N/A</v>
      </c>
      <c r="C387" s="3" t="s">
        <v>3750</v>
      </c>
      <c r="D387" s="3" t="e">
        <v>#N/A</v>
      </c>
      <c r="E387" s="4">
        <v>0</v>
      </c>
      <c r="F387" s="4"/>
      <c r="G387" s="5" t="s">
        <v>4014</v>
      </c>
      <c r="H387" s="6" t="s">
        <v>4015</v>
      </c>
      <c r="I387" s="21" t="e">
        <v>#N/A</v>
      </c>
      <c r="J387" s="21" t="e">
        <v>#N/A</v>
      </c>
      <c r="K387" s="21" t="e">
        <v>#N/A</v>
      </c>
      <c r="L387" s="22" t="e">
        <v>#N/A</v>
      </c>
    </row>
    <row r="388" spans="1:12" s="1" customFormat="1">
      <c r="A388" s="4" t="s">
        <v>4016</v>
      </c>
      <c r="B388" s="4" t="e">
        <v>#N/A</v>
      </c>
      <c r="C388" s="3" t="s">
        <v>3750</v>
      </c>
      <c r="D388" s="3" t="e">
        <v>#N/A</v>
      </c>
      <c r="E388" s="4" t="e">
        <v>#N/A</v>
      </c>
      <c r="F388" s="4"/>
      <c r="G388" s="5" t="s">
        <v>4017</v>
      </c>
      <c r="H388" s="6" t="e">
        <v>#N/A</v>
      </c>
      <c r="I388" s="21" t="e">
        <v>#N/A</v>
      </c>
      <c r="J388" s="21" t="e">
        <v>#N/A</v>
      </c>
      <c r="K388" s="21" t="e">
        <v>#N/A</v>
      </c>
      <c r="L388" s="22" t="e">
        <v>#N/A</v>
      </c>
    </row>
    <row r="389" spans="1:12" s="1" customFormat="1">
      <c r="A389" s="4" t="s">
        <v>4018</v>
      </c>
      <c r="B389" s="4" t="e">
        <v>#VALUE!</v>
      </c>
      <c r="C389" s="3" t="s">
        <v>3750</v>
      </c>
      <c r="D389" s="3" t="e">
        <v>#VALUE!</v>
      </c>
      <c r="E389" s="4" t="s">
        <v>1138</v>
      </c>
      <c r="F389" s="4"/>
      <c r="G389" s="5" t="s">
        <v>4019</v>
      </c>
      <c r="H389" s="6" t="s">
        <v>4020</v>
      </c>
      <c r="I389" s="21" t="s">
        <v>4021</v>
      </c>
      <c r="J389" s="21" t="s">
        <v>4022</v>
      </c>
      <c r="K389" s="21" t="s">
        <v>4023</v>
      </c>
      <c r="L389" s="22" t="s">
        <v>4024</v>
      </c>
    </row>
    <row r="390" spans="1:12" s="1" customFormat="1">
      <c r="A390" s="4" t="s">
        <v>4025</v>
      </c>
      <c r="B390" s="4" t="e">
        <v>#VALUE!</v>
      </c>
      <c r="C390" s="3" t="s">
        <v>3750</v>
      </c>
      <c r="D390" s="3" t="e">
        <v>#VALUE!</v>
      </c>
      <c r="E390" s="4" t="e">
        <v>#N/A</v>
      </c>
      <c r="F390" s="4"/>
      <c r="G390" s="5" t="s">
        <v>4026</v>
      </c>
      <c r="H390" s="6" t="e">
        <v>#N/A</v>
      </c>
      <c r="I390" s="21" t="e">
        <v>#N/A</v>
      </c>
      <c r="J390" s="21" t="e">
        <v>#N/A</v>
      </c>
      <c r="K390" s="21" t="e">
        <v>#N/A</v>
      </c>
      <c r="L390" s="22" t="e">
        <v>#N/A</v>
      </c>
    </row>
    <row r="391" spans="1:12" s="1" customFormat="1">
      <c r="A391" s="4" t="s">
        <v>4027</v>
      </c>
      <c r="B391" s="4" t="e">
        <v>#VALUE!</v>
      </c>
      <c r="C391" s="3" t="s">
        <v>3750</v>
      </c>
      <c r="D391" s="3" t="e">
        <v>#VALUE!</v>
      </c>
      <c r="E391" s="4" t="e">
        <v>#N/A</v>
      </c>
      <c r="F391" s="4"/>
      <c r="G391" s="5" t="s">
        <v>4028</v>
      </c>
      <c r="H391" s="6" t="e">
        <v>#N/A</v>
      </c>
      <c r="I391" s="21" t="e">
        <v>#N/A</v>
      </c>
      <c r="J391" s="21" t="e">
        <v>#N/A</v>
      </c>
      <c r="K391" s="21" t="e">
        <v>#N/A</v>
      </c>
      <c r="L391" s="22" t="e">
        <v>#N/A</v>
      </c>
    </row>
    <row r="392" spans="1:12" s="1" customFormat="1">
      <c r="A392" s="4" t="s">
        <v>4029</v>
      </c>
      <c r="B392" s="4" t="e">
        <v>#VALUE!</v>
      </c>
      <c r="C392" s="3" t="s">
        <v>3750</v>
      </c>
      <c r="D392" s="3" t="e">
        <v>#VALUE!</v>
      </c>
      <c r="E392" s="4" t="e">
        <v>#N/A</v>
      </c>
      <c r="F392" s="4"/>
      <c r="G392" s="5" t="s">
        <v>4030</v>
      </c>
      <c r="H392" s="6" t="e">
        <v>#N/A</v>
      </c>
      <c r="I392" s="21" t="e">
        <v>#N/A</v>
      </c>
      <c r="J392" s="21" t="e">
        <v>#N/A</v>
      </c>
      <c r="K392" s="21" t="e">
        <v>#N/A</v>
      </c>
      <c r="L392" s="22" t="e">
        <v>#N/A</v>
      </c>
    </row>
    <row r="393" spans="1:12" s="1" customFormat="1">
      <c r="A393" s="4" t="s">
        <v>4031</v>
      </c>
      <c r="B393" s="4" t="e">
        <v>#VALUE!</v>
      </c>
      <c r="C393" s="3" t="s">
        <v>3750</v>
      </c>
      <c r="D393" s="3" t="e">
        <v>#VALUE!</v>
      </c>
      <c r="E393" s="4" t="e">
        <v>#N/A</v>
      </c>
      <c r="F393" s="4"/>
      <c r="G393" s="5" t="s">
        <v>4032</v>
      </c>
      <c r="H393" s="6" t="e">
        <v>#N/A</v>
      </c>
      <c r="I393" s="21" t="e">
        <v>#N/A</v>
      </c>
      <c r="J393" s="21" t="e">
        <v>#N/A</v>
      </c>
      <c r="K393" s="21" t="e">
        <v>#N/A</v>
      </c>
      <c r="L393" s="22" t="e">
        <v>#N/A</v>
      </c>
    </row>
    <row r="394" spans="1:12" s="1" customFormat="1">
      <c r="A394" s="4" t="s">
        <v>4033</v>
      </c>
      <c r="B394" s="4" t="e">
        <v>#VALUE!</v>
      </c>
      <c r="C394" s="3" t="s">
        <v>3750</v>
      </c>
      <c r="D394" s="3" t="e">
        <v>#VALUE!</v>
      </c>
      <c r="E394" s="4" t="e">
        <v>#N/A</v>
      </c>
      <c r="F394" s="4"/>
      <c r="G394" s="5" t="s">
        <v>4034</v>
      </c>
      <c r="H394" s="6" t="e">
        <v>#N/A</v>
      </c>
      <c r="I394" s="21" t="e">
        <v>#N/A</v>
      </c>
      <c r="J394" s="21" t="e">
        <v>#N/A</v>
      </c>
      <c r="K394" s="21" t="e">
        <v>#N/A</v>
      </c>
      <c r="L394" s="22" t="e">
        <v>#N/A</v>
      </c>
    </row>
    <row r="395" spans="1:12" s="1" customFormat="1">
      <c r="A395" s="4" t="s">
        <v>4035</v>
      </c>
      <c r="B395" s="4" t="e">
        <v>#VALUE!</v>
      </c>
      <c r="C395" s="3" t="s">
        <v>3750</v>
      </c>
      <c r="D395" s="3" t="e">
        <v>#VALUE!</v>
      </c>
      <c r="E395" s="4" t="e">
        <v>#N/A</v>
      </c>
      <c r="F395" s="4"/>
      <c r="G395" s="5" t="s">
        <v>4036</v>
      </c>
      <c r="H395" s="6" t="e">
        <v>#N/A</v>
      </c>
      <c r="I395" s="21" t="e">
        <v>#N/A</v>
      </c>
      <c r="J395" s="21" t="e">
        <v>#N/A</v>
      </c>
      <c r="K395" s="21" t="e">
        <v>#N/A</v>
      </c>
      <c r="L395" s="22" t="e">
        <v>#N/A</v>
      </c>
    </row>
    <row r="396" spans="1:12" s="1" customFormat="1">
      <c r="A396" s="4" t="s">
        <v>4037</v>
      </c>
      <c r="B396" s="4" t="e">
        <v>#VALUE!</v>
      </c>
      <c r="C396" s="3" t="s">
        <v>3750</v>
      </c>
      <c r="D396" s="3" t="e">
        <v>#VALUE!</v>
      </c>
      <c r="E396" s="4" t="e">
        <v>#N/A</v>
      </c>
      <c r="F396" s="4"/>
      <c r="G396" s="5" t="s">
        <v>4038</v>
      </c>
      <c r="H396" s="6" t="e">
        <v>#N/A</v>
      </c>
      <c r="I396" s="21" t="e">
        <v>#N/A</v>
      </c>
      <c r="J396" s="21" t="e">
        <v>#N/A</v>
      </c>
      <c r="K396" s="21" t="e">
        <v>#N/A</v>
      </c>
      <c r="L396" s="22" t="e">
        <v>#N/A</v>
      </c>
    </row>
    <row r="397" spans="1:12" s="1" customFormat="1">
      <c r="A397" s="4" t="s">
        <v>4039</v>
      </c>
      <c r="B397" s="4" t="e">
        <v>#VALUE!</v>
      </c>
      <c r="C397" s="3" t="s">
        <v>3750</v>
      </c>
      <c r="D397" s="3" t="e">
        <v>#VALUE!</v>
      </c>
      <c r="E397" s="4" t="e">
        <v>#N/A</v>
      </c>
      <c r="F397" s="4"/>
      <c r="G397" s="5" t="s">
        <v>4040</v>
      </c>
      <c r="H397" s="6" t="e">
        <v>#N/A</v>
      </c>
      <c r="I397" s="21" t="e">
        <v>#N/A</v>
      </c>
      <c r="J397" s="21" t="e">
        <v>#N/A</v>
      </c>
      <c r="K397" s="21" t="e">
        <v>#N/A</v>
      </c>
      <c r="L397" s="22" t="e">
        <v>#N/A</v>
      </c>
    </row>
    <row r="398" spans="1:12" s="1" customFormat="1">
      <c r="A398" s="4" t="s">
        <v>4041</v>
      </c>
      <c r="B398" s="4" t="e">
        <v>#VALUE!</v>
      </c>
      <c r="C398" s="3" t="s">
        <v>3750</v>
      </c>
      <c r="D398" s="3" t="e">
        <v>#VALUE!</v>
      </c>
      <c r="E398" s="4" t="e">
        <v>#N/A</v>
      </c>
      <c r="F398" s="4"/>
      <c r="G398" s="5" t="s">
        <v>4042</v>
      </c>
      <c r="H398" s="6" t="e">
        <v>#N/A</v>
      </c>
      <c r="I398" s="21" t="e">
        <v>#N/A</v>
      </c>
      <c r="J398" s="21" t="e">
        <v>#N/A</v>
      </c>
      <c r="K398" s="21" t="e">
        <v>#N/A</v>
      </c>
      <c r="L398" s="22" t="e">
        <v>#N/A</v>
      </c>
    </row>
    <row r="399" spans="1:12" s="1" customFormat="1">
      <c r="A399" s="4" t="s">
        <v>4043</v>
      </c>
      <c r="B399" s="4" t="e">
        <v>#VALUE!</v>
      </c>
      <c r="C399" s="3" t="s">
        <v>3750</v>
      </c>
      <c r="D399" s="3" t="e">
        <v>#VALUE!</v>
      </c>
      <c r="E399" s="4" t="s">
        <v>964</v>
      </c>
      <c r="F399" s="4"/>
      <c r="G399" s="5" t="s">
        <v>4044</v>
      </c>
      <c r="H399" s="6" t="s">
        <v>4045</v>
      </c>
      <c r="I399" s="21" t="e">
        <v>#N/A</v>
      </c>
      <c r="J399" s="21" t="e">
        <v>#N/A</v>
      </c>
      <c r="K399" s="21" t="s">
        <v>4046</v>
      </c>
      <c r="L399" s="22" t="s">
        <v>4047</v>
      </c>
    </row>
    <row r="400" spans="1:12" s="1" customFormat="1">
      <c r="A400" s="4" t="s">
        <v>4048</v>
      </c>
      <c r="B400" s="4" t="e">
        <v>#VALUE!</v>
      </c>
      <c r="C400" s="3" t="s">
        <v>3750</v>
      </c>
      <c r="D400" s="3" t="e">
        <v>#VALUE!</v>
      </c>
      <c r="E400" s="4" t="e">
        <v>#N/A</v>
      </c>
      <c r="F400" s="4"/>
      <c r="G400" s="5" t="s">
        <v>4049</v>
      </c>
      <c r="H400" s="6" t="e">
        <v>#N/A</v>
      </c>
      <c r="I400" s="21" t="e">
        <v>#N/A</v>
      </c>
      <c r="J400" s="21" t="e">
        <v>#N/A</v>
      </c>
      <c r="K400" s="21" t="e">
        <v>#N/A</v>
      </c>
      <c r="L400" s="22" t="e">
        <v>#N/A</v>
      </c>
    </row>
    <row r="401" spans="1:12" s="1" customFormat="1">
      <c r="A401" s="4" t="s">
        <v>4050</v>
      </c>
      <c r="B401" s="4" t="e">
        <v>#VALUE!</v>
      </c>
      <c r="C401" s="3" t="s">
        <v>3750</v>
      </c>
      <c r="D401" s="3" t="e">
        <v>#VALUE!</v>
      </c>
      <c r="E401" s="4" t="s">
        <v>3165</v>
      </c>
      <c r="F401" s="4"/>
      <c r="G401" s="5" t="s">
        <v>4051</v>
      </c>
      <c r="H401" s="6" t="e">
        <v>#N/A</v>
      </c>
      <c r="I401" s="21" t="s">
        <v>4052</v>
      </c>
      <c r="J401" s="21" t="s">
        <v>4053</v>
      </c>
      <c r="K401" s="21" t="s">
        <v>4054</v>
      </c>
      <c r="L401" s="22" t="s">
        <v>4055</v>
      </c>
    </row>
    <row r="402" spans="1:12" s="1" customFormat="1">
      <c r="A402" s="4" t="s">
        <v>4056</v>
      </c>
      <c r="B402" s="4" t="e">
        <v>#VALUE!</v>
      </c>
      <c r="C402" s="3" t="s">
        <v>3750</v>
      </c>
      <c r="D402" s="3" t="e">
        <v>#VALUE!</v>
      </c>
      <c r="E402" s="4" t="e">
        <v>#N/A</v>
      </c>
      <c r="F402" s="4"/>
      <c r="G402" s="5" t="s">
        <v>4057</v>
      </c>
      <c r="H402" s="6" t="e">
        <v>#N/A</v>
      </c>
      <c r="I402" s="21" t="e">
        <v>#N/A</v>
      </c>
      <c r="J402" s="21" t="e">
        <v>#N/A</v>
      </c>
      <c r="K402" s="21" t="e">
        <v>#N/A</v>
      </c>
      <c r="L402" s="22" t="e">
        <v>#N/A</v>
      </c>
    </row>
    <row r="403" spans="1:12" s="1" customFormat="1">
      <c r="A403" s="4" t="s">
        <v>4058</v>
      </c>
      <c r="B403" s="4" t="e">
        <v>#VALUE!</v>
      </c>
      <c r="C403" s="3" t="s">
        <v>3750</v>
      </c>
      <c r="D403" s="3" t="e">
        <v>#VALUE!</v>
      </c>
      <c r="E403" s="4" t="e">
        <v>#N/A</v>
      </c>
      <c r="F403" s="4"/>
      <c r="G403" s="5" t="s">
        <v>4059</v>
      </c>
      <c r="H403" s="6" t="e">
        <v>#N/A</v>
      </c>
      <c r="I403" s="21" t="e">
        <v>#N/A</v>
      </c>
      <c r="J403" s="21" t="e">
        <v>#N/A</v>
      </c>
      <c r="K403" s="21" t="e">
        <v>#N/A</v>
      </c>
      <c r="L403" s="22" t="e">
        <v>#N/A</v>
      </c>
    </row>
    <row r="404" spans="1:12" s="1" customFormat="1">
      <c r="A404" s="4" t="s">
        <v>4060</v>
      </c>
      <c r="B404" s="4" t="e">
        <v>#VALUE!</v>
      </c>
      <c r="C404" s="3" t="s">
        <v>3750</v>
      </c>
      <c r="D404" s="3" t="e">
        <v>#VALUE!</v>
      </c>
      <c r="E404" s="4" t="e">
        <v>#N/A</v>
      </c>
      <c r="F404" s="4"/>
      <c r="G404" s="5" t="s">
        <v>4061</v>
      </c>
      <c r="H404" s="6" t="e">
        <v>#N/A</v>
      </c>
      <c r="I404" s="21" t="e">
        <v>#N/A</v>
      </c>
      <c r="J404" s="21" t="e">
        <v>#N/A</v>
      </c>
      <c r="K404" s="21" t="e">
        <v>#N/A</v>
      </c>
      <c r="L404" s="22" t="e">
        <v>#N/A</v>
      </c>
    </row>
    <row r="405" spans="1:12" s="1" customFormat="1">
      <c r="A405" s="4" t="s">
        <v>4062</v>
      </c>
      <c r="B405" s="4" t="e">
        <v>#VALUE!</v>
      </c>
      <c r="C405" s="3" t="s">
        <v>3750</v>
      </c>
      <c r="D405" s="3" t="e">
        <v>#VALUE!</v>
      </c>
      <c r="E405" s="4" t="e">
        <v>#N/A</v>
      </c>
      <c r="F405" s="4"/>
      <c r="G405" s="5" t="s">
        <v>4063</v>
      </c>
      <c r="H405" s="6" t="e">
        <v>#N/A</v>
      </c>
      <c r="I405" s="21" t="e">
        <v>#N/A</v>
      </c>
      <c r="J405" s="21" t="e">
        <v>#N/A</v>
      </c>
      <c r="K405" s="21" t="e">
        <v>#N/A</v>
      </c>
      <c r="L405" s="22" t="e">
        <v>#N/A</v>
      </c>
    </row>
    <row r="406" spans="1:12" s="1" customFormat="1">
      <c r="A406" s="4" t="s">
        <v>4064</v>
      </c>
      <c r="B406" s="4" t="e">
        <v>#VALUE!</v>
      </c>
      <c r="C406" s="3" t="s">
        <v>3750</v>
      </c>
      <c r="D406" s="3" t="e">
        <v>#VALUE!</v>
      </c>
      <c r="E406" s="4" t="s">
        <v>620</v>
      </c>
      <c r="F406" s="4"/>
      <c r="G406" s="5" t="s">
        <v>4065</v>
      </c>
      <c r="H406" s="6" t="s">
        <v>4066</v>
      </c>
      <c r="I406" s="21" t="e">
        <v>#N/A</v>
      </c>
      <c r="J406" s="21" t="e">
        <v>#N/A</v>
      </c>
      <c r="K406" s="21" t="s">
        <v>4067</v>
      </c>
      <c r="L406" s="22" t="s">
        <v>4068</v>
      </c>
    </row>
    <row r="407" spans="1:12" s="1" customFormat="1">
      <c r="A407" s="4" t="s">
        <v>4069</v>
      </c>
      <c r="B407" s="4" t="e">
        <v>#VALUE!</v>
      </c>
      <c r="C407" s="3" t="s">
        <v>3750</v>
      </c>
      <c r="D407" s="3" t="e">
        <v>#VALUE!</v>
      </c>
      <c r="E407" s="4" t="e">
        <v>#N/A</v>
      </c>
      <c r="F407" s="4"/>
      <c r="G407" s="5" t="s">
        <v>4070</v>
      </c>
      <c r="H407" s="6" t="e">
        <v>#N/A</v>
      </c>
      <c r="I407" s="21" t="e">
        <v>#N/A</v>
      </c>
      <c r="J407" s="21" t="e">
        <v>#N/A</v>
      </c>
      <c r="K407" s="21" t="e">
        <v>#N/A</v>
      </c>
      <c r="L407" s="22" t="e">
        <v>#N/A</v>
      </c>
    </row>
    <row r="408" spans="1:12" s="1" customFormat="1">
      <c r="A408" s="4" t="s">
        <v>4071</v>
      </c>
      <c r="B408" s="4" t="e">
        <v>#VALUE!</v>
      </c>
      <c r="C408" s="3" t="s">
        <v>3750</v>
      </c>
      <c r="D408" s="3" t="e">
        <v>#VALUE!</v>
      </c>
      <c r="E408" s="4" t="e">
        <v>#N/A</v>
      </c>
      <c r="F408" s="4"/>
      <c r="G408" s="5" t="s">
        <v>4072</v>
      </c>
      <c r="H408" s="6" t="e">
        <v>#N/A</v>
      </c>
      <c r="I408" s="21" t="e">
        <v>#N/A</v>
      </c>
      <c r="J408" s="21" t="e">
        <v>#N/A</v>
      </c>
      <c r="K408" s="21" t="e">
        <v>#N/A</v>
      </c>
      <c r="L408" s="22" t="e">
        <v>#N/A</v>
      </c>
    </row>
    <row r="409" spans="1:12" s="1" customFormat="1">
      <c r="A409" s="4" t="s">
        <v>4073</v>
      </c>
      <c r="B409" s="4" t="e">
        <v>#VALUE!</v>
      </c>
      <c r="C409" s="3" t="s">
        <v>3750</v>
      </c>
      <c r="D409" s="3" t="e">
        <v>#VALUE!</v>
      </c>
      <c r="E409" s="4" t="e">
        <v>#N/A</v>
      </c>
      <c r="F409" s="4"/>
      <c r="G409" s="5" t="s">
        <v>4074</v>
      </c>
      <c r="H409" s="6" t="e">
        <v>#N/A</v>
      </c>
      <c r="I409" s="21" t="e">
        <v>#N/A</v>
      </c>
      <c r="J409" s="21" t="e">
        <v>#N/A</v>
      </c>
      <c r="K409" s="21" t="e">
        <v>#N/A</v>
      </c>
      <c r="L409" s="22" t="e">
        <v>#N/A</v>
      </c>
    </row>
    <row r="410" spans="1:12" s="1" customFormat="1">
      <c r="A410" s="4" t="s">
        <v>4075</v>
      </c>
      <c r="B410" s="4" t="e">
        <v>#VALUE!</v>
      </c>
      <c r="C410" s="3" t="s">
        <v>3750</v>
      </c>
      <c r="D410" s="3" t="e">
        <v>#VALUE!</v>
      </c>
      <c r="E410" s="4" t="e">
        <v>#N/A</v>
      </c>
      <c r="F410" s="4"/>
      <c r="G410" s="5" t="s">
        <v>4076</v>
      </c>
      <c r="H410" s="6" t="e">
        <v>#N/A</v>
      </c>
      <c r="I410" s="21" t="e">
        <v>#N/A</v>
      </c>
      <c r="J410" s="21" t="e">
        <v>#N/A</v>
      </c>
      <c r="K410" s="21" t="e">
        <v>#N/A</v>
      </c>
      <c r="L410" s="22" t="e">
        <v>#N/A</v>
      </c>
    </row>
    <row r="411" spans="1:12" s="1" customFormat="1">
      <c r="A411" s="4" t="s">
        <v>4077</v>
      </c>
      <c r="B411" s="4" t="e">
        <v>#VALUE!</v>
      </c>
      <c r="C411" s="3" t="s">
        <v>3750</v>
      </c>
      <c r="D411" s="3" t="e">
        <v>#VALUE!</v>
      </c>
      <c r="E411" s="4" t="e">
        <v>#N/A</v>
      </c>
      <c r="F411" s="4"/>
      <c r="G411" s="5" t="s">
        <v>4078</v>
      </c>
      <c r="H411" s="6" t="e">
        <v>#N/A</v>
      </c>
      <c r="I411" s="21" t="e">
        <v>#N/A</v>
      </c>
      <c r="J411" s="21" t="e">
        <v>#N/A</v>
      </c>
      <c r="K411" s="21" t="e">
        <v>#N/A</v>
      </c>
      <c r="L411" s="22" t="e">
        <v>#N/A</v>
      </c>
    </row>
    <row r="412" spans="1:12" s="1" customFormat="1">
      <c r="A412" s="4" t="s">
        <v>4079</v>
      </c>
      <c r="B412" s="4" t="e">
        <v>#VALUE!</v>
      </c>
      <c r="C412" s="3" t="s">
        <v>3750</v>
      </c>
      <c r="D412" s="3" t="e">
        <v>#VALUE!</v>
      </c>
      <c r="E412" s="4" t="s">
        <v>1378</v>
      </c>
      <c r="F412" s="4"/>
      <c r="G412" s="5" t="s">
        <v>4080</v>
      </c>
      <c r="H412" s="6" t="e">
        <v>#N/A</v>
      </c>
      <c r="I412" s="21" t="e">
        <v>#N/A</v>
      </c>
      <c r="J412" s="21" t="e">
        <v>#N/A</v>
      </c>
      <c r="K412" s="21" t="e">
        <v>#N/A</v>
      </c>
      <c r="L412" s="22" t="e">
        <v>#N/A</v>
      </c>
    </row>
    <row r="413" spans="1:12" s="1" customFormat="1">
      <c r="A413" s="4" t="s">
        <v>4081</v>
      </c>
      <c r="B413" s="4" t="e">
        <v>#VALUE!</v>
      </c>
      <c r="C413" s="3" t="s">
        <v>3750</v>
      </c>
      <c r="D413" s="3" t="e">
        <v>#VALUE!</v>
      </c>
      <c r="E413" s="4" t="s">
        <v>1343</v>
      </c>
      <c r="F413" s="4"/>
      <c r="G413" s="5" t="s">
        <v>4082</v>
      </c>
      <c r="H413" s="6" t="e">
        <v>#N/A</v>
      </c>
      <c r="I413" s="21" t="e">
        <v>#N/A</v>
      </c>
      <c r="J413" s="21" t="e">
        <v>#N/A</v>
      </c>
      <c r="K413" s="21" t="e">
        <v>#N/A</v>
      </c>
      <c r="L413" s="22" t="e">
        <v>#N/A</v>
      </c>
    </row>
    <row r="414" spans="1:12" s="1" customFormat="1">
      <c r="A414" s="4" t="s">
        <v>4083</v>
      </c>
      <c r="B414" s="4" t="e">
        <v>#VALUE!</v>
      </c>
      <c r="C414" s="3" t="s">
        <v>3750</v>
      </c>
      <c r="D414" s="3" t="e">
        <v>#VALUE!</v>
      </c>
      <c r="E414" s="4" t="e">
        <v>#N/A</v>
      </c>
      <c r="F414" s="4"/>
      <c r="G414" s="5" t="s">
        <v>4084</v>
      </c>
      <c r="H414" s="6" t="e">
        <v>#N/A</v>
      </c>
      <c r="I414" s="21" t="e">
        <v>#N/A</v>
      </c>
      <c r="J414" s="21" t="e">
        <v>#N/A</v>
      </c>
      <c r="K414" s="21" t="e">
        <v>#N/A</v>
      </c>
      <c r="L414" s="22" t="e">
        <v>#N/A</v>
      </c>
    </row>
    <row r="415" spans="1:12" s="1" customFormat="1">
      <c r="A415" s="4" t="s">
        <v>4085</v>
      </c>
      <c r="B415" s="4" t="e">
        <v>#VALUE!</v>
      </c>
      <c r="C415" s="3" t="s">
        <v>3750</v>
      </c>
      <c r="D415" s="3" t="e">
        <v>#VALUE!</v>
      </c>
      <c r="E415" s="4" t="s">
        <v>4085</v>
      </c>
      <c r="F415" s="4"/>
      <c r="G415" s="5" t="s">
        <v>4086</v>
      </c>
      <c r="H415" s="6" t="e">
        <v>#N/A</v>
      </c>
      <c r="I415" s="21" t="e">
        <v>#N/A</v>
      </c>
      <c r="J415" s="21" t="e">
        <v>#N/A</v>
      </c>
      <c r="K415" s="21" t="e">
        <v>#N/A</v>
      </c>
      <c r="L415" s="22" t="e">
        <v>#N/A</v>
      </c>
    </row>
    <row r="416" spans="1:12" s="1" customFormat="1">
      <c r="A416" s="4" t="s">
        <v>4087</v>
      </c>
      <c r="B416" s="4" t="e">
        <v>#VALUE!</v>
      </c>
      <c r="C416" s="3" t="s">
        <v>3750</v>
      </c>
      <c r="D416" s="3" t="e">
        <v>#VALUE!</v>
      </c>
      <c r="E416" s="4" t="e">
        <v>#N/A</v>
      </c>
      <c r="F416" s="4"/>
      <c r="G416" s="5" t="s">
        <v>4088</v>
      </c>
      <c r="H416" s="6" t="e">
        <v>#N/A</v>
      </c>
      <c r="I416" s="21" t="e">
        <v>#N/A</v>
      </c>
      <c r="J416" s="21" t="e">
        <v>#N/A</v>
      </c>
      <c r="K416" s="21" t="e">
        <v>#N/A</v>
      </c>
      <c r="L416" s="22" t="e">
        <v>#N/A</v>
      </c>
    </row>
    <row r="417" spans="1:12" s="1" customFormat="1">
      <c r="A417" s="4" t="s">
        <v>4089</v>
      </c>
      <c r="B417" s="4" t="e">
        <v>#VALUE!</v>
      </c>
      <c r="C417" s="3" t="s">
        <v>3750</v>
      </c>
      <c r="D417" s="3" t="e">
        <v>#VALUE!</v>
      </c>
      <c r="E417" s="4" t="e">
        <v>#N/A</v>
      </c>
      <c r="F417" s="4"/>
      <c r="G417" s="5" t="s">
        <v>4090</v>
      </c>
      <c r="H417" s="6" t="e">
        <v>#N/A</v>
      </c>
      <c r="I417" s="21" t="e">
        <v>#N/A</v>
      </c>
      <c r="J417" s="21" t="e">
        <v>#N/A</v>
      </c>
      <c r="K417" s="21" t="e">
        <v>#N/A</v>
      </c>
      <c r="L417" s="22" t="e">
        <v>#N/A</v>
      </c>
    </row>
    <row r="418" spans="1:12" s="1" customFormat="1">
      <c r="A418" s="4" t="s">
        <v>4091</v>
      </c>
      <c r="B418" s="4" t="e">
        <v>#VALUE!</v>
      </c>
      <c r="C418" s="3" t="s">
        <v>3750</v>
      </c>
      <c r="D418" s="3" t="e">
        <v>#VALUE!</v>
      </c>
      <c r="E418" s="4" t="s">
        <v>3121</v>
      </c>
      <c r="F418" s="4"/>
      <c r="G418" s="5" t="s">
        <v>4092</v>
      </c>
      <c r="H418" s="6" t="s">
        <v>4093</v>
      </c>
      <c r="I418" s="21" t="e">
        <v>#N/A</v>
      </c>
      <c r="J418" s="21" t="e">
        <v>#N/A</v>
      </c>
      <c r="K418" s="21" t="e">
        <v>#N/A</v>
      </c>
      <c r="L418" s="22" t="s">
        <v>4094</v>
      </c>
    </row>
    <row r="419" spans="1:12" s="1" customFormat="1">
      <c r="A419" s="4" t="s">
        <v>4095</v>
      </c>
      <c r="B419" s="4" t="e">
        <v>#VALUE!</v>
      </c>
      <c r="C419" s="3" t="s">
        <v>3750</v>
      </c>
      <c r="D419" s="3" t="e">
        <v>#VALUE!</v>
      </c>
      <c r="E419" s="4" t="s">
        <v>3121</v>
      </c>
      <c r="F419" s="4"/>
      <c r="G419" s="5" t="s">
        <v>4096</v>
      </c>
      <c r="H419" s="6" t="s">
        <v>4097</v>
      </c>
      <c r="I419" s="21" t="e">
        <v>#N/A</v>
      </c>
      <c r="J419" s="21" t="e">
        <v>#N/A</v>
      </c>
      <c r="K419" s="21" t="e">
        <v>#N/A</v>
      </c>
      <c r="L419" s="22" t="s">
        <v>4098</v>
      </c>
    </row>
    <row r="420" spans="1:12" s="1" customFormat="1">
      <c r="A420" s="4" t="s">
        <v>4099</v>
      </c>
      <c r="B420" s="4" t="e">
        <v>#VALUE!</v>
      </c>
      <c r="C420" s="3" t="s">
        <v>3750</v>
      </c>
      <c r="D420" s="3" t="e">
        <v>#VALUE!</v>
      </c>
      <c r="E420" s="4" t="s">
        <v>2157</v>
      </c>
      <c r="F420" s="4"/>
      <c r="G420" s="5" t="s">
        <v>4100</v>
      </c>
      <c r="H420" s="6" t="s">
        <v>4101</v>
      </c>
      <c r="I420" s="21" t="e">
        <v>#N/A</v>
      </c>
      <c r="J420" s="21" t="e">
        <v>#N/A</v>
      </c>
      <c r="K420" s="21" t="s">
        <v>4102</v>
      </c>
      <c r="L420" s="22" t="e">
        <v>#N/A</v>
      </c>
    </row>
    <row r="421" spans="1:12" s="1" customFormat="1">
      <c r="A421" s="4" t="s">
        <v>4103</v>
      </c>
      <c r="B421" s="4" t="e">
        <v>#VALUE!</v>
      </c>
      <c r="C421" s="3" t="s">
        <v>3750</v>
      </c>
      <c r="D421" s="3" t="e">
        <v>#VALUE!</v>
      </c>
      <c r="E421" s="4" t="e">
        <v>#N/A</v>
      </c>
      <c r="F421" s="4"/>
      <c r="G421" s="5" t="s">
        <v>4104</v>
      </c>
      <c r="H421" s="6" t="e">
        <v>#N/A</v>
      </c>
      <c r="I421" s="21" t="e">
        <v>#N/A</v>
      </c>
      <c r="J421" s="21" t="e">
        <v>#N/A</v>
      </c>
      <c r="K421" s="21" t="e">
        <v>#N/A</v>
      </c>
      <c r="L421" s="22" t="e">
        <v>#N/A</v>
      </c>
    </row>
    <row r="422" spans="1:12" s="1" customFormat="1">
      <c r="A422" s="4" t="s">
        <v>4105</v>
      </c>
      <c r="B422" s="4" t="e">
        <v>#VALUE!</v>
      </c>
      <c r="C422" s="3" t="s">
        <v>3750</v>
      </c>
      <c r="D422" s="3" t="e">
        <v>#VALUE!</v>
      </c>
      <c r="E422" s="4" t="e">
        <v>#N/A</v>
      </c>
      <c r="F422" s="4"/>
      <c r="G422" s="5" t="s">
        <v>4106</v>
      </c>
      <c r="H422" s="6" t="e">
        <v>#N/A</v>
      </c>
      <c r="I422" s="21" t="e">
        <v>#N/A</v>
      </c>
      <c r="J422" s="21" t="e">
        <v>#N/A</v>
      </c>
      <c r="K422" s="21" t="e">
        <v>#N/A</v>
      </c>
      <c r="L422" s="22" t="e">
        <v>#N/A</v>
      </c>
    </row>
    <row r="423" spans="1:12" s="1" customFormat="1">
      <c r="A423" s="4" t="s">
        <v>4107</v>
      </c>
      <c r="B423" s="4" t="e">
        <v>#VALUE!</v>
      </c>
      <c r="C423" s="3" t="s">
        <v>3750</v>
      </c>
      <c r="D423" s="3" t="e">
        <v>#VALUE!</v>
      </c>
      <c r="E423" s="4" t="e">
        <v>#N/A</v>
      </c>
      <c r="F423" s="4"/>
      <c r="G423" s="5" t="s">
        <v>4108</v>
      </c>
      <c r="H423" s="6" t="e">
        <v>#N/A</v>
      </c>
      <c r="I423" s="21" t="e">
        <v>#N/A</v>
      </c>
      <c r="J423" s="21" t="e">
        <v>#N/A</v>
      </c>
      <c r="K423" s="21" t="e">
        <v>#N/A</v>
      </c>
      <c r="L423" s="22" t="e">
        <v>#N/A</v>
      </c>
    </row>
    <row r="424" spans="1:12" s="1" customFormat="1">
      <c r="A424" s="4" t="s">
        <v>4109</v>
      </c>
      <c r="B424" s="4" t="e">
        <v>#VALUE!</v>
      </c>
      <c r="C424" s="3" t="s">
        <v>3750</v>
      </c>
      <c r="D424" s="3" t="e">
        <v>#VALUE!</v>
      </c>
      <c r="E424" s="4" t="e">
        <v>#N/A</v>
      </c>
      <c r="F424" s="4"/>
      <c r="G424" s="5" t="s">
        <v>4110</v>
      </c>
      <c r="H424" s="6" t="e">
        <v>#N/A</v>
      </c>
      <c r="I424" s="21" t="e">
        <v>#N/A</v>
      </c>
      <c r="J424" s="21" t="e">
        <v>#N/A</v>
      </c>
      <c r="K424" s="21" t="e">
        <v>#N/A</v>
      </c>
      <c r="L424" s="22" t="e">
        <v>#N/A</v>
      </c>
    </row>
    <row r="425" spans="1:12" s="1" customFormat="1">
      <c r="A425" s="4" t="s">
        <v>4111</v>
      </c>
      <c r="B425" s="4" t="e">
        <v>#VALUE!</v>
      </c>
      <c r="C425" s="3" t="s">
        <v>3750</v>
      </c>
      <c r="D425" s="3" t="e">
        <v>#VALUE!</v>
      </c>
      <c r="E425" s="4" t="e">
        <v>#N/A</v>
      </c>
      <c r="F425" s="4"/>
      <c r="G425" s="5" t="s">
        <v>4112</v>
      </c>
      <c r="H425" s="6" t="e">
        <v>#N/A</v>
      </c>
      <c r="I425" s="21" t="e">
        <v>#N/A</v>
      </c>
      <c r="J425" s="21" t="e">
        <v>#N/A</v>
      </c>
      <c r="K425" s="21" t="e">
        <v>#N/A</v>
      </c>
      <c r="L425" s="22" t="e">
        <v>#N/A</v>
      </c>
    </row>
    <row r="426" spans="1:12" s="1" customFormat="1">
      <c r="A426" s="4" t="s">
        <v>4113</v>
      </c>
      <c r="B426" s="4" t="e">
        <v>#VALUE!</v>
      </c>
      <c r="C426" s="3" t="s">
        <v>3750</v>
      </c>
      <c r="D426" s="3" t="e">
        <v>#VALUE!</v>
      </c>
      <c r="E426" s="4" t="e">
        <v>#N/A</v>
      </c>
      <c r="F426" s="4"/>
      <c r="G426" s="5" t="s">
        <v>4114</v>
      </c>
      <c r="H426" s="6" t="e">
        <v>#N/A</v>
      </c>
      <c r="I426" s="21" t="e">
        <v>#N/A</v>
      </c>
      <c r="J426" s="21" t="e">
        <v>#N/A</v>
      </c>
      <c r="K426" s="21" t="e">
        <v>#N/A</v>
      </c>
      <c r="L426" s="22" t="e">
        <v>#N/A</v>
      </c>
    </row>
    <row r="427" spans="1:12" s="1" customFormat="1">
      <c r="A427" s="4" t="s">
        <v>4115</v>
      </c>
      <c r="B427" s="4" t="e">
        <v>#VALUE!</v>
      </c>
      <c r="C427" s="3" t="s">
        <v>3750</v>
      </c>
      <c r="D427" s="3" t="e">
        <v>#VALUE!</v>
      </c>
      <c r="E427" s="4" t="e">
        <v>#N/A</v>
      </c>
      <c r="F427" s="4"/>
      <c r="G427" s="5" t="s">
        <v>4116</v>
      </c>
      <c r="H427" s="6" t="e">
        <v>#N/A</v>
      </c>
      <c r="I427" s="21" t="e">
        <v>#N/A</v>
      </c>
      <c r="J427" s="21" t="e">
        <v>#N/A</v>
      </c>
      <c r="K427" s="21" t="e">
        <v>#N/A</v>
      </c>
      <c r="L427" s="22" t="e">
        <v>#N/A</v>
      </c>
    </row>
    <row r="428" spans="1:12" s="1" customFormat="1">
      <c r="A428" s="4" t="s">
        <v>4117</v>
      </c>
      <c r="B428" s="4" t="e">
        <v>#VALUE!</v>
      </c>
      <c r="C428" s="3" t="s">
        <v>3750</v>
      </c>
      <c r="D428" s="3" t="e">
        <v>#VALUE!</v>
      </c>
      <c r="E428" s="4" t="e">
        <v>#N/A</v>
      </c>
      <c r="F428" s="4"/>
      <c r="G428" s="5" t="s">
        <v>4118</v>
      </c>
      <c r="H428" s="6" t="e">
        <v>#N/A</v>
      </c>
      <c r="I428" s="21" t="e">
        <v>#N/A</v>
      </c>
      <c r="J428" s="21" t="e">
        <v>#N/A</v>
      </c>
      <c r="K428" s="21" t="e">
        <v>#N/A</v>
      </c>
      <c r="L428" s="22" t="e">
        <v>#N/A</v>
      </c>
    </row>
    <row r="429" spans="1:12" s="1" customFormat="1">
      <c r="A429" s="4" t="s">
        <v>4119</v>
      </c>
      <c r="B429" s="4" t="e">
        <v>#VALUE!</v>
      </c>
      <c r="C429" s="3" t="s">
        <v>3750</v>
      </c>
      <c r="D429" s="3" t="e">
        <v>#VALUE!</v>
      </c>
      <c r="E429" s="4" t="e">
        <v>#N/A</v>
      </c>
      <c r="F429" s="4"/>
      <c r="G429" s="5" t="s">
        <v>4120</v>
      </c>
      <c r="H429" s="6" t="e">
        <v>#N/A</v>
      </c>
      <c r="I429" s="21" t="e">
        <v>#N/A</v>
      </c>
      <c r="J429" s="21" t="e">
        <v>#N/A</v>
      </c>
      <c r="K429" s="21" t="e">
        <v>#N/A</v>
      </c>
      <c r="L429" s="22" t="e">
        <v>#N/A</v>
      </c>
    </row>
    <row r="430" spans="1:12" s="1" customFormat="1">
      <c r="A430" s="4" t="s">
        <v>4121</v>
      </c>
      <c r="B430" s="4" t="e">
        <v>#VALUE!</v>
      </c>
      <c r="C430" s="3" t="s">
        <v>3750</v>
      </c>
      <c r="D430" s="3" t="e">
        <v>#VALUE!</v>
      </c>
      <c r="E430" s="4" t="e">
        <v>#N/A</v>
      </c>
      <c r="F430" s="4"/>
      <c r="G430" s="5" t="s">
        <v>4122</v>
      </c>
      <c r="H430" s="6" t="e">
        <v>#N/A</v>
      </c>
      <c r="I430" s="21" t="e">
        <v>#N/A</v>
      </c>
      <c r="J430" s="21" t="e">
        <v>#N/A</v>
      </c>
      <c r="K430" s="21" t="e">
        <v>#N/A</v>
      </c>
      <c r="L430" s="22" t="e">
        <v>#N/A</v>
      </c>
    </row>
    <row r="431" spans="1:12" s="1" customFormat="1">
      <c r="A431" s="4" t="s">
        <v>4123</v>
      </c>
      <c r="B431" s="4" t="e">
        <v>#VALUE!</v>
      </c>
      <c r="C431" s="3" t="s">
        <v>3750</v>
      </c>
      <c r="D431" s="3" t="e">
        <v>#VALUE!</v>
      </c>
      <c r="E431" s="4" t="e">
        <v>#N/A</v>
      </c>
      <c r="F431" s="4"/>
      <c r="G431" s="5" t="s">
        <v>4124</v>
      </c>
      <c r="H431" s="6" t="e">
        <v>#N/A</v>
      </c>
      <c r="I431" s="21" t="e">
        <v>#N/A</v>
      </c>
      <c r="J431" s="21" t="e">
        <v>#N/A</v>
      </c>
      <c r="K431" s="21" t="e">
        <v>#N/A</v>
      </c>
      <c r="L431" s="22" t="e">
        <v>#N/A</v>
      </c>
    </row>
    <row r="432" spans="1:12" s="1" customFormat="1">
      <c r="A432" s="4" t="s">
        <v>4125</v>
      </c>
      <c r="B432" s="4" t="e">
        <v>#VALUE!</v>
      </c>
      <c r="C432" s="3" t="s">
        <v>3750</v>
      </c>
      <c r="D432" s="3" t="e">
        <v>#VALUE!</v>
      </c>
      <c r="E432" s="4" t="s">
        <v>819</v>
      </c>
      <c r="F432" s="4"/>
      <c r="G432" s="5" t="s">
        <v>4126</v>
      </c>
      <c r="H432" s="6" t="s">
        <v>821</v>
      </c>
      <c r="I432" s="21" t="s">
        <v>4127</v>
      </c>
      <c r="J432" s="21" t="s">
        <v>4128</v>
      </c>
      <c r="K432" s="21" t="s">
        <v>4129</v>
      </c>
      <c r="L432" s="22" t="s">
        <v>4130</v>
      </c>
    </row>
    <row r="433" spans="1:12" s="1" customFormat="1">
      <c r="A433" s="4" t="s">
        <v>4131</v>
      </c>
      <c r="B433" s="4" t="e">
        <v>#VALUE!</v>
      </c>
      <c r="C433" s="3" t="s">
        <v>3750</v>
      </c>
      <c r="D433" s="3" t="e">
        <v>#VALUE!</v>
      </c>
      <c r="E433" s="4" t="s">
        <v>548</v>
      </c>
      <c r="F433" s="4"/>
      <c r="G433" s="5" t="s">
        <v>4132</v>
      </c>
      <c r="H433" s="6" t="s">
        <v>4133</v>
      </c>
      <c r="I433" s="21" t="e">
        <v>#N/A</v>
      </c>
      <c r="J433" s="21" t="e">
        <v>#N/A</v>
      </c>
      <c r="K433" s="21" t="e">
        <v>#N/A</v>
      </c>
      <c r="L433" s="22" t="e">
        <v>#N/A</v>
      </c>
    </row>
    <row r="434" spans="1:12" s="1" customFormat="1">
      <c r="A434" s="4" t="s">
        <v>3148</v>
      </c>
      <c r="B434" s="4" t="e">
        <v>#VALUE!</v>
      </c>
      <c r="C434" s="3" t="s">
        <v>3750</v>
      </c>
      <c r="D434" s="3" t="e">
        <v>#VALUE!</v>
      </c>
      <c r="E434" s="4" t="s">
        <v>548</v>
      </c>
      <c r="F434" s="4"/>
      <c r="G434" s="5" t="s">
        <v>4134</v>
      </c>
      <c r="H434" s="6" t="s">
        <v>4135</v>
      </c>
      <c r="I434" s="21" t="e">
        <v>#N/A</v>
      </c>
      <c r="J434" s="21" t="e">
        <v>#N/A</v>
      </c>
      <c r="K434" s="21" t="e">
        <v>#N/A</v>
      </c>
      <c r="L434" s="22" t="e">
        <v>#N/A</v>
      </c>
    </row>
    <row r="435" spans="1:12" s="1" customFormat="1">
      <c r="A435" s="4" t="s">
        <v>1571</v>
      </c>
      <c r="B435" s="4" t="e">
        <v>#VALUE!</v>
      </c>
      <c r="C435" s="3" t="s">
        <v>3750</v>
      </c>
      <c r="D435" s="3" t="e">
        <v>#VALUE!</v>
      </c>
      <c r="E435" s="4" t="s">
        <v>949</v>
      </c>
      <c r="F435" s="4"/>
      <c r="G435" s="5" t="s">
        <v>4136</v>
      </c>
      <c r="H435" s="6" t="e">
        <v>#N/A</v>
      </c>
      <c r="I435" s="21" t="s">
        <v>1573</v>
      </c>
      <c r="J435" s="21" t="s">
        <v>1574</v>
      </c>
      <c r="K435" s="21" t="e">
        <v>#N/A</v>
      </c>
      <c r="L435" s="22" t="e">
        <v>#N/A</v>
      </c>
    </row>
    <row r="436" spans="1:12" s="1" customFormat="1">
      <c r="A436" s="4" t="s">
        <v>4137</v>
      </c>
      <c r="B436" s="4" t="e">
        <v>#VALUE!</v>
      </c>
      <c r="C436" s="3" t="s">
        <v>3750</v>
      </c>
      <c r="D436" s="3" t="e">
        <v>#VALUE!</v>
      </c>
      <c r="E436" s="4" t="s">
        <v>652</v>
      </c>
      <c r="F436" s="4"/>
      <c r="G436" s="5" t="s">
        <v>4138</v>
      </c>
      <c r="H436" s="6" t="s">
        <v>654</v>
      </c>
      <c r="I436" s="21" t="s">
        <v>4139</v>
      </c>
      <c r="J436" s="21" t="s">
        <v>4140</v>
      </c>
      <c r="K436" s="21" t="s">
        <v>4141</v>
      </c>
      <c r="L436" s="22" t="s">
        <v>4142</v>
      </c>
    </row>
    <row r="437" spans="1:12" s="1" customFormat="1">
      <c r="A437" s="4" t="s">
        <v>4143</v>
      </c>
      <c r="B437" s="4" t="e">
        <v>#VALUE!</v>
      </c>
      <c r="C437" s="3" t="s">
        <v>3750</v>
      </c>
      <c r="D437" s="3" t="e">
        <v>#VALUE!</v>
      </c>
      <c r="E437" s="4" t="s">
        <v>1164</v>
      </c>
      <c r="F437" s="4"/>
      <c r="G437" s="5" t="s">
        <v>4144</v>
      </c>
      <c r="H437" s="6" t="s">
        <v>4145</v>
      </c>
      <c r="I437" s="21" t="e">
        <v>#N/A</v>
      </c>
      <c r="J437" s="21" t="e">
        <v>#N/A</v>
      </c>
      <c r="K437" s="21" t="e">
        <v>#N/A</v>
      </c>
      <c r="L437" s="22" t="e">
        <v>#N/A</v>
      </c>
    </row>
    <row r="438" spans="1:12" s="1" customFormat="1">
      <c r="A438" s="4" t="s">
        <v>4146</v>
      </c>
      <c r="B438" s="4" t="e">
        <v>#VALUE!</v>
      </c>
      <c r="C438" s="3" t="s">
        <v>3750</v>
      </c>
      <c r="D438" s="3" t="e">
        <v>#VALUE!</v>
      </c>
      <c r="E438" s="4" t="s">
        <v>45</v>
      </c>
      <c r="F438" s="4"/>
      <c r="G438" s="5" t="s">
        <v>4147</v>
      </c>
      <c r="H438" s="6" t="s">
        <v>269</v>
      </c>
      <c r="I438" s="21" t="e">
        <v>#N/A</v>
      </c>
      <c r="J438" s="21" t="e">
        <v>#N/A</v>
      </c>
      <c r="K438" s="21" t="e">
        <v>#N/A</v>
      </c>
      <c r="L438" s="22" t="e">
        <v>#N/A</v>
      </c>
    </row>
    <row r="439" spans="1:12" s="1" customFormat="1">
      <c r="A439" s="4" t="s">
        <v>4148</v>
      </c>
      <c r="B439" s="4" t="e">
        <v>#VALUE!</v>
      </c>
      <c r="C439" s="3" t="s">
        <v>3750</v>
      </c>
      <c r="D439" s="3" t="e">
        <v>#VALUE!</v>
      </c>
      <c r="E439" s="4" t="s">
        <v>2082</v>
      </c>
      <c r="F439" s="4"/>
      <c r="G439" s="5" t="s">
        <v>4149</v>
      </c>
      <c r="H439" s="6" t="s">
        <v>4150</v>
      </c>
      <c r="I439" s="21" t="s">
        <v>4151</v>
      </c>
      <c r="J439" s="21" t="s">
        <v>4152</v>
      </c>
      <c r="K439" s="21" t="s">
        <v>4153</v>
      </c>
      <c r="L439" s="22" t="s">
        <v>4154</v>
      </c>
    </row>
    <row r="440" spans="1:12" s="1" customFormat="1">
      <c r="A440" s="4" t="s">
        <v>4155</v>
      </c>
      <c r="B440" s="4" t="e">
        <v>#VALUE!</v>
      </c>
      <c r="C440" s="3" t="s">
        <v>3750</v>
      </c>
      <c r="D440" s="3" t="e">
        <v>#VALUE!</v>
      </c>
      <c r="E440" s="4" t="e">
        <v>#N/A</v>
      </c>
      <c r="F440" s="4"/>
      <c r="G440" s="5" t="s">
        <v>4156</v>
      </c>
      <c r="H440" s="6" t="s">
        <v>4157</v>
      </c>
      <c r="I440" s="21" t="s">
        <v>4158</v>
      </c>
      <c r="J440" s="21" t="s">
        <v>4159</v>
      </c>
      <c r="K440" s="21" t="s">
        <v>4160</v>
      </c>
      <c r="L440" s="22" t="s">
        <v>4161</v>
      </c>
    </row>
    <row r="441" spans="1:12" s="1" customFormat="1">
      <c r="A441" s="4" t="s">
        <v>4162</v>
      </c>
      <c r="B441" s="4" t="e">
        <v>#VALUE!</v>
      </c>
      <c r="C441" s="3" t="s">
        <v>3750</v>
      </c>
      <c r="D441" s="3" t="e">
        <v>#VALUE!</v>
      </c>
      <c r="E441" s="4" t="e">
        <v>#N/A</v>
      </c>
      <c r="F441" s="4"/>
      <c r="G441" s="5" t="s">
        <v>4163</v>
      </c>
      <c r="H441" s="6" t="e">
        <v>#N/A</v>
      </c>
      <c r="I441" s="21" t="e">
        <v>#N/A</v>
      </c>
      <c r="J441" s="21" t="e">
        <v>#N/A</v>
      </c>
      <c r="K441" s="21" t="e">
        <v>#N/A</v>
      </c>
      <c r="L441" s="22" t="e">
        <v>#N/A</v>
      </c>
    </row>
    <row r="442" spans="1:12" s="1" customFormat="1">
      <c r="A442" s="4" t="s">
        <v>4164</v>
      </c>
      <c r="B442" s="4" t="e">
        <v>#VALUE!</v>
      </c>
      <c r="C442" s="3" t="s">
        <v>3750</v>
      </c>
      <c r="D442" s="3" t="e">
        <v>#VALUE!</v>
      </c>
      <c r="E442" s="4" t="s">
        <v>3164</v>
      </c>
      <c r="F442" s="4"/>
      <c r="G442" s="5" t="s">
        <v>4165</v>
      </c>
      <c r="H442" s="6" t="s">
        <v>4166</v>
      </c>
      <c r="I442" s="21" t="e">
        <v>#N/A</v>
      </c>
      <c r="J442" s="21" t="e">
        <v>#N/A</v>
      </c>
      <c r="K442" s="21" t="s">
        <v>4167</v>
      </c>
      <c r="L442" s="22" t="s">
        <v>4168</v>
      </c>
    </row>
    <row r="443" spans="1:12" s="1" customFormat="1">
      <c r="A443" s="4" t="s">
        <v>4169</v>
      </c>
      <c r="B443" s="4" t="e">
        <v>#VALUE!</v>
      </c>
      <c r="C443" s="3" t="s">
        <v>3750</v>
      </c>
      <c r="D443" s="3" t="e">
        <v>#VALUE!</v>
      </c>
      <c r="E443" s="4" t="e">
        <v>#N/A</v>
      </c>
      <c r="F443" s="4"/>
      <c r="G443" s="5" t="s">
        <v>4170</v>
      </c>
      <c r="H443" s="6" t="s">
        <v>4171</v>
      </c>
      <c r="I443" s="21" t="e">
        <v>#N/A</v>
      </c>
      <c r="J443" s="21" t="e">
        <v>#N/A</v>
      </c>
      <c r="K443" s="21" t="s">
        <v>4172</v>
      </c>
      <c r="L443" s="22" t="s">
        <v>4173</v>
      </c>
    </row>
    <row r="444" spans="1:12" s="1" customFormat="1">
      <c r="A444" s="4" t="s">
        <v>4174</v>
      </c>
      <c r="B444" s="4" t="e">
        <v>#VALUE!</v>
      </c>
      <c r="C444" s="3" t="s">
        <v>3750</v>
      </c>
      <c r="D444" s="3" t="e">
        <v>#VALUE!</v>
      </c>
      <c r="E444" s="4" t="s">
        <v>1844</v>
      </c>
      <c r="F444" s="4"/>
      <c r="G444" s="5" t="s">
        <v>4175</v>
      </c>
      <c r="H444" s="6" t="s">
        <v>4176</v>
      </c>
      <c r="I444" s="21" t="s">
        <v>4177</v>
      </c>
      <c r="J444" s="21" t="s">
        <v>4178</v>
      </c>
      <c r="K444" s="21" t="s">
        <v>4179</v>
      </c>
      <c r="L444" s="22" t="e">
        <v>#N/A</v>
      </c>
    </row>
    <row r="445" spans="1:12" s="1" customFormat="1">
      <c r="A445" s="4" t="s">
        <v>4180</v>
      </c>
      <c r="B445" s="4" t="e">
        <v>#VALUE!</v>
      </c>
      <c r="C445" s="3" t="s">
        <v>3750</v>
      </c>
      <c r="D445" s="3" t="e">
        <v>#VALUE!</v>
      </c>
      <c r="E445" s="4" t="e">
        <v>#N/A</v>
      </c>
      <c r="F445" s="4"/>
      <c r="G445" s="5" t="s">
        <v>4181</v>
      </c>
      <c r="H445" s="6" t="s">
        <v>4182</v>
      </c>
      <c r="I445" s="21" t="e">
        <v>#N/A</v>
      </c>
      <c r="J445" s="21" t="e">
        <v>#N/A</v>
      </c>
      <c r="K445" s="21" t="s">
        <v>4183</v>
      </c>
      <c r="L445" s="22" t="s">
        <v>4184</v>
      </c>
    </row>
    <row r="446" spans="1:12" s="1" customFormat="1">
      <c r="A446" s="4" t="s">
        <v>4185</v>
      </c>
      <c r="B446" s="4" t="e">
        <v>#VALUE!</v>
      </c>
      <c r="C446" s="3" t="s">
        <v>3750</v>
      </c>
      <c r="D446" s="3" t="e">
        <v>#VALUE!</v>
      </c>
      <c r="E446" s="4" t="e">
        <v>#N/A</v>
      </c>
      <c r="F446" s="4"/>
      <c r="G446" s="5" t="s">
        <v>4186</v>
      </c>
      <c r="H446" s="6" t="s">
        <v>4187</v>
      </c>
      <c r="I446" s="21" t="e">
        <v>#N/A</v>
      </c>
      <c r="J446" s="21" t="e">
        <v>#N/A</v>
      </c>
      <c r="K446" s="21" t="s">
        <v>4188</v>
      </c>
      <c r="L446" s="22" t="e">
        <v>#N/A</v>
      </c>
    </row>
    <row r="447" spans="1:12" s="1" customFormat="1">
      <c r="A447" s="4" t="s">
        <v>4189</v>
      </c>
      <c r="B447" s="4" t="e">
        <v>#VALUE!</v>
      </c>
      <c r="C447" s="3" t="s">
        <v>3750</v>
      </c>
      <c r="D447" s="3" t="e">
        <v>#VALUE!</v>
      </c>
      <c r="E447" s="4" t="s">
        <v>1369</v>
      </c>
      <c r="F447" s="4"/>
      <c r="G447" s="5" t="s">
        <v>4190</v>
      </c>
      <c r="H447" s="6" t="s">
        <v>4191</v>
      </c>
      <c r="I447" s="21" t="e">
        <v>#N/A</v>
      </c>
      <c r="J447" s="21" t="e">
        <v>#N/A</v>
      </c>
      <c r="K447" s="21" t="s">
        <v>4192</v>
      </c>
      <c r="L447" s="22" t="s">
        <v>4193</v>
      </c>
    </row>
    <row r="448" spans="1:12" s="1" customFormat="1">
      <c r="A448" s="4" t="s">
        <v>4194</v>
      </c>
      <c r="B448" s="4" t="e">
        <v>#VALUE!</v>
      </c>
      <c r="C448" s="3" t="s">
        <v>3750</v>
      </c>
      <c r="D448" s="3" t="e">
        <v>#VALUE!</v>
      </c>
      <c r="E448" s="4" t="e">
        <v>#N/A</v>
      </c>
      <c r="F448" s="4"/>
      <c r="G448" s="5" t="s">
        <v>4195</v>
      </c>
      <c r="H448" s="6" t="e">
        <v>#N/A</v>
      </c>
      <c r="I448" s="21" t="e">
        <v>#N/A</v>
      </c>
      <c r="J448" s="21" t="e">
        <v>#N/A</v>
      </c>
      <c r="K448" s="21" t="e">
        <v>#N/A</v>
      </c>
      <c r="L448" s="22" t="e">
        <v>#N/A</v>
      </c>
    </row>
    <row r="449" spans="1:12" s="1" customFormat="1">
      <c r="A449" s="4" t="s">
        <v>4196</v>
      </c>
      <c r="B449" s="4" t="e">
        <v>#VALUE!</v>
      </c>
      <c r="C449" s="3" t="s">
        <v>3750</v>
      </c>
      <c r="D449" s="3" t="e">
        <v>#VALUE!</v>
      </c>
      <c r="E449" s="4" t="s">
        <v>3146</v>
      </c>
      <c r="F449" s="4"/>
      <c r="G449" s="5" t="s">
        <v>4197</v>
      </c>
      <c r="H449" s="6" t="s">
        <v>4198</v>
      </c>
      <c r="I449" s="21" t="s">
        <v>4199</v>
      </c>
      <c r="J449" s="21" t="s">
        <v>4200</v>
      </c>
      <c r="K449" s="21" t="s">
        <v>4201</v>
      </c>
      <c r="L449" s="22" t="e">
        <v>#N/A</v>
      </c>
    </row>
    <row r="450" spans="1:12" s="1" customFormat="1">
      <c r="A450" s="4" t="s">
        <v>4202</v>
      </c>
      <c r="B450" s="4" t="e">
        <v>#VALUE!</v>
      </c>
      <c r="C450" s="3" t="s">
        <v>3750</v>
      </c>
      <c r="D450" s="3" t="e">
        <v>#VALUE!</v>
      </c>
      <c r="E450" s="4" t="s">
        <v>3146</v>
      </c>
      <c r="F450" s="4"/>
      <c r="G450" s="5" t="s">
        <v>4203</v>
      </c>
      <c r="H450" s="6" t="s">
        <v>4204</v>
      </c>
      <c r="I450" s="21" t="e">
        <v>#N/A</v>
      </c>
      <c r="J450" s="21" t="e">
        <v>#N/A</v>
      </c>
      <c r="K450" s="21" t="s">
        <v>4205</v>
      </c>
      <c r="L450" s="22" t="e">
        <v>#N/A</v>
      </c>
    </row>
    <row r="451" spans="1:12" s="1" customFormat="1">
      <c r="A451" s="4" t="s">
        <v>4206</v>
      </c>
      <c r="B451" s="4" t="e">
        <v>#VALUE!</v>
      </c>
      <c r="C451" s="3" t="s">
        <v>3750</v>
      </c>
      <c r="D451" s="3" t="e">
        <v>#VALUE!</v>
      </c>
      <c r="E451" s="4" t="s">
        <v>3147</v>
      </c>
      <c r="F451" s="4"/>
      <c r="G451" s="5" t="s">
        <v>4207</v>
      </c>
      <c r="H451" s="6" t="s">
        <v>4208</v>
      </c>
      <c r="I451" s="21" t="e">
        <v>#N/A</v>
      </c>
      <c r="J451" s="21" t="e">
        <v>#N/A</v>
      </c>
      <c r="K451" s="21" t="s">
        <v>4209</v>
      </c>
      <c r="L451" s="22" t="e">
        <v>#N/A</v>
      </c>
    </row>
    <row r="452" spans="1:12" s="1" customFormat="1">
      <c r="A452" s="4" t="s">
        <v>4210</v>
      </c>
      <c r="B452" s="4" t="e">
        <v>#VALUE!</v>
      </c>
      <c r="C452" s="3" t="s">
        <v>3750</v>
      </c>
      <c r="D452" s="3" t="e">
        <v>#VALUE!</v>
      </c>
      <c r="E452" s="4" t="s">
        <v>3147</v>
      </c>
      <c r="F452" s="4"/>
      <c r="G452" s="5" t="s">
        <v>4211</v>
      </c>
      <c r="H452" s="6" t="s">
        <v>4212</v>
      </c>
      <c r="I452" s="21" t="e">
        <v>#N/A</v>
      </c>
      <c r="J452" s="21" t="e">
        <v>#N/A</v>
      </c>
      <c r="K452" s="21" t="s">
        <v>4213</v>
      </c>
      <c r="L452" s="22" t="e">
        <v>#N/A</v>
      </c>
    </row>
    <row r="453" spans="1:12" s="1" customFormat="1">
      <c r="A453" s="4" t="s">
        <v>4214</v>
      </c>
      <c r="B453" s="4" t="e">
        <v>#VALUE!</v>
      </c>
      <c r="C453" s="3" t="s">
        <v>3750</v>
      </c>
      <c r="D453" s="3" t="e">
        <v>#VALUE!</v>
      </c>
      <c r="E453" s="4" t="e">
        <v>#N/A</v>
      </c>
      <c r="F453" s="4"/>
      <c r="G453" s="5" t="s">
        <v>4215</v>
      </c>
      <c r="H453" s="6" t="s">
        <v>4216</v>
      </c>
      <c r="I453" s="21" t="s">
        <v>4217</v>
      </c>
      <c r="J453" s="21" t="s">
        <v>4218</v>
      </c>
      <c r="K453" s="21" t="e">
        <v>#N/A</v>
      </c>
      <c r="L453" s="22" t="e">
        <v>#N/A</v>
      </c>
    </row>
    <row r="454" spans="1:12" s="1" customFormat="1">
      <c r="A454" s="4" t="s">
        <v>4219</v>
      </c>
      <c r="B454" s="4" t="e">
        <v>#VALUE!</v>
      </c>
      <c r="C454" s="3" t="s">
        <v>3750</v>
      </c>
      <c r="D454" s="3" t="e">
        <v>#VALUE!</v>
      </c>
      <c r="E454" s="4" t="e">
        <v>#N/A</v>
      </c>
      <c r="F454" s="4"/>
      <c r="G454" s="5" t="s">
        <v>4220</v>
      </c>
      <c r="H454" s="6" t="e">
        <v>#N/A</v>
      </c>
      <c r="I454" s="21" t="e">
        <v>#N/A</v>
      </c>
      <c r="J454" s="21" t="e">
        <v>#N/A</v>
      </c>
      <c r="K454" s="21" t="e">
        <v>#N/A</v>
      </c>
      <c r="L454" s="22" t="e">
        <v>#N/A</v>
      </c>
    </row>
    <row r="455" spans="1:12" s="1" customFormat="1">
      <c r="A455" s="4" t="s">
        <v>4221</v>
      </c>
      <c r="B455" s="4" t="e">
        <v>#VALUE!</v>
      </c>
      <c r="C455" s="3" t="s">
        <v>3750</v>
      </c>
      <c r="D455" s="3" t="e">
        <v>#VALUE!</v>
      </c>
      <c r="E455" s="4" t="s">
        <v>453</v>
      </c>
      <c r="F455" s="4"/>
      <c r="G455" s="5" t="s">
        <v>4222</v>
      </c>
      <c r="H455" s="6" t="s">
        <v>4223</v>
      </c>
      <c r="I455" s="21" t="e">
        <v>#N/A</v>
      </c>
      <c r="J455" s="21" t="e">
        <v>#N/A</v>
      </c>
      <c r="K455" s="21" t="s">
        <v>4224</v>
      </c>
      <c r="L455" s="22" t="s">
        <v>4225</v>
      </c>
    </row>
    <row r="456" spans="1:12" s="1" customFormat="1">
      <c r="A456" s="4" t="s">
        <v>4226</v>
      </c>
      <c r="B456" s="4" t="e">
        <v>#VALUE!</v>
      </c>
      <c r="C456" s="3" t="s">
        <v>3750</v>
      </c>
      <c r="D456" s="3" t="e">
        <v>#VALUE!</v>
      </c>
      <c r="E456" s="4" t="s">
        <v>1699</v>
      </c>
      <c r="F456" s="4"/>
      <c r="G456" s="5" t="s">
        <v>4227</v>
      </c>
      <c r="H456" s="6" t="s">
        <v>4228</v>
      </c>
      <c r="I456" s="21" t="s">
        <v>4229</v>
      </c>
      <c r="J456" s="21" t="s">
        <v>4230</v>
      </c>
      <c r="K456" s="21" t="s">
        <v>4231</v>
      </c>
      <c r="L456" s="22" t="s">
        <v>4232</v>
      </c>
    </row>
    <row r="457" spans="1:12" s="1" customFormat="1">
      <c r="A457" s="4" t="s">
        <v>4233</v>
      </c>
      <c r="B457" s="4" t="e">
        <v>#VALUE!</v>
      </c>
      <c r="C457" s="3" t="s">
        <v>3750</v>
      </c>
      <c r="D457" s="3" t="e">
        <v>#VALUE!</v>
      </c>
      <c r="E457" s="4" t="e">
        <v>#N/A</v>
      </c>
      <c r="F457" s="4"/>
      <c r="G457" s="5" t="s">
        <v>4234</v>
      </c>
      <c r="H457" s="6" t="e">
        <v>#N/A</v>
      </c>
      <c r="I457" s="21" t="e">
        <v>#N/A</v>
      </c>
      <c r="J457" s="21" t="e">
        <v>#N/A</v>
      </c>
      <c r="K457" s="21" t="s">
        <v>4235</v>
      </c>
      <c r="L457" s="22" t="e">
        <v>#N/A</v>
      </c>
    </row>
    <row r="458" spans="1:12" s="1" customFormat="1">
      <c r="A458" s="4" t="s">
        <v>4236</v>
      </c>
      <c r="B458" s="4" t="e">
        <v>#VALUE!</v>
      </c>
      <c r="C458" s="3" t="s">
        <v>3750</v>
      </c>
      <c r="D458" s="3" t="e">
        <v>#VALUE!</v>
      </c>
      <c r="E458" s="4" t="s">
        <v>3119</v>
      </c>
      <c r="F458" s="4"/>
      <c r="G458" s="5" t="s">
        <v>4237</v>
      </c>
      <c r="H458" s="6" t="s">
        <v>4238</v>
      </c>
      <c r="I458" s="21" t="e">
        <v>#N/A</v>
      </c>
      <c r="J458" s="21" t="e">
        <v>#N/A</v>
      </c>
      <c r="K458" s="21" t="s">
        <v>4239</v>
      </c>
      <c r="L458" s="22" t="e">
        <v>#N/A</v>
      </c>
    </row>
    <row r="459" spans="1:12" s="1" customFormat="1">
      <c r="A459" s="4" t="s">
        <v>4240</v>
      </c>
      <c r="B459" s="4" t="e">
        <v>#VALUE!</v>
      </c>
      <c r="C459" s="3" t="s">
        <v>3750</v>
      </c>
      <c r="D459" s="3" t="e">
        <v>#VALUE!</v>
      </c>
      <c r="E459" s="4" t="s">
        <v>3120</v>
      </c>
      <c r="F459" s="4"/>
      <c r="G459" s="5" t="s">
        <v>4241</v>
      </c>
      <c r="H459" s="6" t="s">
        <v>4242</v>
      </c>
      <c r="I459" s="21" t="e">
        <v>#N/A</v>
      </c>
      <c r="J459" s="21" t="e">
        <v>#N/A</v>
      </c>
      <c r="K459" s="21" t="s">
        <v>4243</v>
      </c>
      <c r="L459" s="22" t="s">
        <v>4244</v>
      </c>
    </row>
    <row r="460" spans="1:12" s="1" customFormat="1">
      <c r="A460" s="4" t="s">
        <v>4245</v>
      </c>
      <c r="B460" s="4" t="e">
        <v>#VALUE!</v>
      </c>
      <c r="C460" s="3" t="s">
        <v>3750</v>
      </c>
      <c r="D460" s="3" t="e">
        <v>#VALUE!</v>
      </c>
      <c r="E460" s="4" t="s">
        <v>3120</v>
      </c>
      <c r="F460" s="4"/>
      <c r="G460" s="5" t="s">
        <v>4246</v>
      </c>
      <c r="H460" s="6" t="s">
        <v>4247</v>
      </c>
      <c r="I460" s="21" t="e">
        <v>#N/A</v>
      </c>
      <c r="J460" s="21" t="e">
        <v>#N/A</v>
      </c>
      <c r="K460" s="21" t="s">
        <v>4248</v>
      </c>
      <c r="L460" s="22" t="s">
        <v>4249</v>
      </c>
    </row>
    <row r="461" spans="1:12" s="1" customFormat="1">
      <c r="A461" s="4" t="s">
        <v>4250</v>
      </c>
      <c r="B461" s="4" t="e">
        <v>#VALUE!</v>
      </c>
      <c r="C461" s="3" t="s">
        <v>3750</v>
      </c>
      <c r="D461" s="3" t="e">
        <v>#VALUE!</v>
      </c>
      <c r="E461" s="4" t="s">
        <v>1431</v>
      </c>
      <c r="F461" s="4"/>
      <c r="G461" s="5" t="s">
        <v>4251</v>
      </c>
      <c r="H461" s="6" t="s">
        <v>4252</v>
      </c>
      <c r="I461" s="21" t="e">
        <v>#N/A</v>
      </c>
      <c r="J461" s="21" t="e">
        <v>#N/A</v>
      </c>
      <c r="K461" s="21" t="s">
        <v>4253</v>
      </c>
      <c r="L461" s="22" t="s">
        <v>4254</v>
      </c>
    </row>
    <row r="462" spans="1:12" s="1" customFormat="1">
      <c r="A462" s="4" t="s">
        <v>4255</v>
      </c>
      <c r="B462" s="4" t="e">
        <v>#VALUE!</v>
      </c>
      <c r="C462" s="3" t="s">
        <v>3750</v>
      </c>
      <c r="D462" s="3" t="e">
        <v>#VALUE!</v>
      </c>
      <c r="E462" s="4" t="s">
        <v>3140</v>
      </c>
      <c r="F462" s="4"/>
      <c r="G462" s="5" t="s">
        <v>4256</v>
      </c>
      <c r="H462" s="6" t="s">
        <v>4257</v>
      </c>
      <c r="I462" s="21" t="e">
        <v>#N/A</v>
      </c>
      <c r="J462" s="21" t="e">
        <v>#N/A</v>
      </c>
      <c r="K462" s="21" t="e">
        <v>#N/A</v>
      </c>
      <c r="L462" s="22" t="e">
        <v>#N/A</v>
      </c>
    </row>
    <row r="463" spans="1:12" s="1" customFormat="1">
      <c r="A463" s="4" t="s">
        <v>4258</v>
      </c>
      <c r="B463" s="4" t="e">
        <v>#VALUE!</v>
      </c>
      <c r="C463" s="3" t="s">
        <v>3750</v>
      </c>
      <c r="D463" s="3" t="e">
        <v>#VALUE!</v>
      </c>
      <c r="E463" s="4" t="s">
        <v>3140</v>
      </c>
      <c r="F463" s="4"/>
      <c r="G463" s="5" t="s">
        <v>4259</v>
      </c>
      <c r="H463" s="6" t="s">
        <v>4260</v>
      </c>
      <c r="I463" s="21" t="e">
        <v>#N/A</v>
      </c>
      <c r="J463" s="21" t="e">
        <v>#N/A</v>
      </c>
      <c r="K463" s="21" t="e">
        <v>#N/A</v>
      </c>
      <c r="L463" s="22" t="e">
        <v>#N/A</v>
      </c>
    </row>
    <row r="464" spans="1:12" s="1" customFormat="1">
      <c r="A464" s="4" t="s">
        <v>4261</v>
      </c>
      <c r="B464" s="4" t="e">
        <v>#VALUE!</v>
      </c>
      <c r="C464" s="3" t="s">
        <v>3750</v>
      </c>
      <c r="D464" s="3" t="e">
        <v>#VALUE!</v>
      </c>
      <c r="E464" s="4">
        <v>0</v>
      </c>
      <c r="F464" s="4"/>
      <c r="G464" s="5" t="s">
        <v>4262</v>
      </c>
      <c r="H464" s="6" t="s">
        <v>4263</v>
      </c>
      <c r="I464" s="21" t="e">
        <v>#N/A</v>
      </c>
      <c r="J464" s="21" t="e">
        <v>#N/A</v>
      </c>
      <c r="K464" s="21" t="e">
        <v>#N/A</v>
      </c>
      <c r="L464" s="22" t="e">
        <v>#N/A</v>
      </c>
    </row>
    <row r="465" spans="1:12" s="1" customFormat="1">
      <c r="A465" s="4" t="s">
        <v>4264</v>
      </c>
      <c r="B465" s="4" t="e">
        <v>#VALUE!</v>
      </c>
      <c r="C465" s="3" t="s">
        <v>3750</v>
      </c>
      <c r="D465" s="3" t="e">
        <v>#VALUE!</v>
      </c>
      <c r="E465" s="4" t="s">
        <v>3157</v>
      </c>
      <c r="F465" s="4"/>
      <c r="G465" s="5" t="s">
        <v>4265</v>
      </c>
      <c r="H465" s="6" t="s">
        <v>4266</v>
      </c>
      <c r="I465" s="21" t="e">
        <v>#N/A</v>
      </c>
      <c r="J465" s="21" t="e">
        <v>#N/A</v>
      </c>
      <c r="K465" s="21" t="s">
        <v>4267</v>
      </c>
      <c r="L465" s="22" t="s">
        <v>4268</v>
      </c>
    </row>
    <row r="466" spans="1:12" s="1" customFormat="1">
      <c r="A466" s="4" t="s">
        <v>4269</v>
      </c>
      <c r="B466" s="4" t="e">
        <v>#VALUE!</v>
      </c>
      <c r="C466" s="3" t="s">
        <v>3750</v>
      </c>
      <c r="D466" s="3" t="e">
        <v>#VALUE!</v>
      </c>
      <c r="E466" s="4" t="s">
        <v>3158</v>
      </c>
      <c r="F466" s="4"/>
      <c r="G466" s="5" t="s">
        <v>4270</v>
      </c>
      <c r="H466" s="6" t="s">
        <v>4271</v>
      </c>
      <c r="I466" s="21" t="s">
        <v>4272</v>
      </c>
      <c r="J466" s="21" t="s">
        <v>4273</v>
      </c>
      <c r="K466" s="21" t="s">
        <v>4274</v>
      </c>
      <c r="L466" s="22" t="s">
        <v>4275</v>
      </c>
    </row>
    <row r="467" spans="1:12" s="1" customFormat="1">
      <c r="A467" s="4" t="s">
        <v>4276</v>
      </c>
      <c r="B467" s="4" t="e">
        <v>#VALUE!</v>
      </c>
      <c r="C467" s="3" t="s">
        <v>3750</v>
      </c>
      <c r="D467" s="3" t="e">
        <v>#VALUE!</v>
      </c>
      <c r="E467" s="4" t="s">
        <v>514</v>
      </c>
      <c r="F467" s="4"/>
      <c r="G467" s="5" t="s">
        <v>4277</v>
      </c>
      <c r="H467" s="6" t="e">
        <v>#N/A</v>
      </c>
      <c r="I467" s="21" t="e">
        <v>#N/A</v>
      </c>
      <c r="J467" s="21" t="e">
        <v>#N/A</v>
      </c>
      <c r="K467" s="21" t="s">
        <v>4278</v>
      </c>
      <c r="L467" s="22" t="s">
        <v>4279</v>
      </c>
    </row>
    <row r="468" spans="1:12" s="1" customFormat="1">
      <c r="A468" s="4" t="s">
        <v>4280</v>
      </c>
      <c r="B468" s="4" t="e">
        <v>#VALUE!</v>
      </c>
      <c r="C468" s="3" t="s">
        <v>3750</v>
      </c>
      <c r="D468" s="3" t="e">
        <v>#VALUE!</v>
      </c>
      <c r="E468" s="4" t="s">
        <v>514</v>
      </c>
      <c r="F468" s="4"/>
      <c r="G468" s="5" t="s">
        <v>4281</v>
      </c>
      <c r="H468" s="6" t="e">
        <v>#N/A</v>
      </c>
      <c r="I468" s="21" t="e">
        <v>#N/A</v>
      </c>
      <c r="J468" s="21" t="e">
        <v>#N/A</v>
      </c>
      <c r="K468" s="21" t="e">
        <v>#N/A</v>
      </c>
      <c r="L468" s="22" t="e">
        <v>#N/A</v>
      </c>
    </row>
    <row r="469" spans="1:12" s="1" customFormat="1">
      <c r="A469" s="4" t="s">
        <v>4282</v>
      </c>
      <c r="B469" s="4" t="e">
        <v>#VALUE!</v>
      </c>
      <c r="C469" s="3" t="s">
        <v>3750</v>
      </c>
      <c r="D469" s="3" t="e">
        <v>#VALUE!</v>
      </c>
      <c r="E469" s="4" t="s">
        <v>2580</v>
      </c>
      <c r="F469" s="4"/>
      <c r="G469" s="5" t="s">
        <v>4283</v>
      </c>
      <c r="H469" s="6" t="s">
        <v>4284</v>
      </c>
      <c r="I469" s="21" t="s">
        <v>4285</v>
      </c>
      <c r="J469" s="21" t="s">
        <v>4286</v>
      </c>
      <c r="K469" s="21" t="e">
        <v>#N/A</v>
      </c>
      <c r="L469" s="22" t="s">
        <v>4287</v>
      </c>
    </row>
    <row r="470" spans="1:12" s="1" customFormat="1">
      <c r="A470" s="4" t="s">
        <v>4288</v>
      </c>
      <c r="B470" s="4" t="e">
        <v>#VALUE!</v>
      </c>
      <c r="C470" s="3" t="s">
        <v>3750</v>
      </c>
      <c r="D470" s="3" t="e">
        <v>#VALUE!</v>
      </c>
      <c r="E470" s="4" t="s">
        <v>1616</v>
      </c>
      <c r="F470" s="4"/>
      <c r="G470" s="5" t="s">
        <v>4289</v>
      </c>
      <c r="H470" s="6" t="s">
        <v>1618</v>
      </c>
      <c r="I470" s="21" t="s">
        <v>4290</v>
      </c>
      <c r="J470" s="21" t="s">
        <v>4291</v>
      </c>
      <c r="K470" s="21" t="s">
        <v>4292</v>
      </c>
      <c r="L470" s="22" t="s">
        <v>4293</v>
      </c>
    </row>
    <row r="471" spans="1:12" s="1" customFormat="1">
      <c r="A471" s="4" t="s">
        <v>4294</v>
      </c>
      <c r="B471" s="4" t="e">
        <v>#VALUE!</v>
      </c>
      <c r="C471" s="3" t="s">
        <v>3750</v>
      </c>
      <c r="D471" s="3" t="e">
        <v>#VALUE!</v>
      </c>
      <c r="E471" s="4" t="s">
        <v>1400</v>
      </c>
      <c r="F471" s="4"/>
      <c r="G471" s="5" t="s">
        <v>4295</v>
      </c>
      <c r="H471" s="6" t="s">
        <v>4296</v>
      </c>
      <c r="I471" s="21" t="e">
        <v>#N/A</v>
      </c>
      <c r="J471" s="21" t="e">
        <v>#N/A</v>
      </c>
      <c r="K471" s="21" t="s">
        <v>4297</v>
      </c>
      <c r="L471" s="22" t="s">
        <v>4298</v>
      </c>
    </row>
    <row r="472" spans="1:12" s="1" customFormat="1">
      <c r="A472" s="4" t="s">
        <v>4299</v>
      </c>
      <c r="B472" s="4" t="e">
        <v>#VALUE!</v>
      </c>
      <c r="C472" s="3" t="s">
        <v>3750</v>
      </c>
      <c r="D472" s="3" t="e">
        <v>#VALUE!</v>
      </c>
      <c r="E472" s="4" t="s">
        <v>1400</v>
      </c>
      <c r="F472" s="4"/>
      <c r="G472" s="5" t="s">
        <v>4300</v>
      </c>
      <c r="H472" s="6" t="s">
        <v>4301</v>
      </c>
      <c r="I472" s="21" t="s">
        <v>4302</v>
      </c>
      <c r="J472" s="21" t="s">
        <v>4303</v>
      </c>
      <c r="K472" s="21" t="s">
        <v>4304</v>
      </c>
      <c r="L472" s="22" t="s">
        <v>4305</v>
      </c>
    </row>
    <row r="473" spans="1:12" s="1" customFormat="1">
      <c r="A473" s="4" t="s">
        <v>4306</v>
      </c>
      <c r="B473" s="4" t="e">
        <v>#VALUE!</v>
      </c>
      <c r="C473" s="3" t="s">
        <v>3750</v>
      </c>
      <c r="D473" s="3" t="e">
        <v>#VALUE!</v>
      </c>
      <c r="E473" s="4" t="e">
        <v>#N/A</v>
      </c>
      <c r="F473" s="4"/>
      <c r="G473" s="5" t="s">
        <v>4307</v>
      </c>
      <c r="H473" s="6" t="s">
        <v>4308</v>
      </c>
      <c r="I473" s="21" t="s">
        <v>4309</v>
      </c>
      <c r="J473" s="21" t="s">
        <v>4310</v>
      </c>
      <c r="K473" s="21" t="s">
        <v>4311</v>
      </c>
      <c r="L473" s="22" t="s">
        <v>4312</v>
      </c>
    </row>
    <row r="474" spans="1:12" s="1" customFormat="1">
      <c r="A474" s="4" t="s">
        <v>3152</v>
      </c>
      <c r="B474" s="4" t="e">
        <v>#VALUE!</v>
      </c>
      <c r="C474" s="3" t="s">
        <v>3750</v>
      </c>
      <c r="D474" s="3" t="e">
        <v>#VALUE!</v>
      </c>
      <c r="E474" s="4" t="s">
        <v>3152</v>
      </c>
      <c r="F474" s="4"/>
      <c r="G474" s="5" t="s">
        <v>4313</v>
      </c>
      <c r="H474" s="6" t="s">
        <v>4314</v>
      </c>
      <c r="I474" s="21" t="e">
        <v>#N/A</v>
      </c>
      <c r="J474" s="21" t="e">
        <v>#N/A</v>
      </c>
      <c r="K474" s="21" t="s">
        <v>4315</v>
      </c>
      <c r="L474" s="22" t="s">
        <v>4316</v>
      </c>
    </row>
    <row r="475" spans="1:12" s="1" customFormat="1">
      <c r="A475" s="4" t="s">
        <v>4317</v>
      </c>
      <c r="B475" s="4" t="e">
        <v>#VALUE!</v>
      </c>
      <c r="C475" s="3" t="s">
        <v>3750</v>
      </c>
      <c r="D475" s="3" t="e">
        <v>#VALUE!</v>
      </c>
      <c r="E475" s="4" t="e">
        <v>#N/A</v>
      </c>
      <c r="F475" s="4"/>
      <c r="G475" s="5" t="s">
        <v>4318</v>
      </c>
      <c r="H475" s="6" t="s">
        <v>4319</v>
      </c>
      <c r="I475" s="21" t="e">
        <v>#N/A</v>
      </c>
      <c r="J475" s="21" t="e">
        <v>#N/A</v>
      </c>
      <c r="K475" s="21" t="s">
        <v>4320</v>
      </c>
      <c r="L475" s="22" t="e">
        <v>#N/A</v>
      </c>
    </row>
    <row r="476" spans="1:12" s="1" customFormat="1">
      <c r="A476" s="4" t="s">
        <v>4321</v>
      </c>
      <c r="B476" s="4" t="e">
        <v>#VALUE!</v>
      </c>
      <c r="C476" s="3" t="s">
        <v>3750</v>
      </c>
      <c r="D476" s="3" t="e">
        <v>#VALUE!</v>
      </c>
      <c r="E476" s="4" t="e">
        <v>#N/A</v>
      </c>
      <c r="F476" s="4"/>
      <c r="G476" s="5" t="s">
        <v>4322</v>
      </c>
      <c r="H476" s="6" t="s">
        <v>4323</v>
      </c>
      <c r="I476" s="21" t="e">
        <v>#N/A</v>
      </c>
      <c r="J476" s="21" t="e">
        <v>#N/A</v>
      </c>
      <c r="K476" s="21" t="s">
        <v>4324</v>
      </c>
      <c r="L476" s="22" t="s">
        <v>4325</v>
      </c>
    </row>
    <row r="477" spans="1:12" s="1" customFormat="1">
      <c r="A477" s="4" t="s">
        <v>3162</v>
      </c>
      <c r="B477" s="4" t="e">
        <v>#VALUE!</v>
      </c>
      <c r="C477" s="3" t="s">
        <v>3750</v>
      </c>
      <c r="D477" s="3" t="e">
        <v>#VALUE!</v>
      </c>
      <c r="E477" s="4" t="s">
        <v>3160</v>
      </c>
      <c r="F477" s="4"/>
      <c r="G477" s="5" t="s">
        <v>4326</v>
      </c>
      <c r="H477" s="6" t="s">
        <v>4327</v>
      </c>
      <c r="I477" s="21" t="s">
        <v>4328</v>
      </c>
      <c r="J477" s="21" t="s">
        <v>4329</v>
      </c>
      <c r="K477" s="21" t="s">
        <v>4330</v>
      </c>
      <c r="L477" s="22" t="s">
        <v>4331</v>
      </c>
    </row>
    <row r="478" spans="1:12" s="1" customFormat="1">
      <c r="A478" s="4" t="s">
        <v>4332</v>
      </c>
      <c r="B478" s="4" t="e">
        <v>#VALUE!</v>
      </c>
      <c r="C478" s="3" t="s">
        <v>3750</v>
      </c>
      <c r="D478" s="3" t="e">
        <v>#VALUE!</v>
      </c>
      <c r="E478" s="4" t="s">
        <v>3124</v>
      </c>
      <c r="F478" s="4"/>
      <c r="G478" s="5" t="s">
        <v>4333</v>
      </c>
      <c r="H478" s="6" t="s">
        <v>4334</v>
      </c>
      <c r="I478" s="21" t="e">
        <v>#N/A</v>
      </c>
      <c r="J478" s="21" t="e">
        <v>#N/A</v>
      </c>
      <c r="K478" s="21" t="s">
        <v>4335</v>
      </c>
      <c r="L478" s="22" t="s">
        <v>4336</v>
      </c>
    </row>
    <row r="479" spans="1:12" s="1" customFormat="1">
      <c r="A479" s="4" t="s">
        <v>4337</v>
      </c>
      <c r="B479" s="4" t="e">
        <v>#VALUE!</v>
      </c>
      <c r="C479" s="3" t="s">
        <v>3750</v>
      </c>
      <c r="D479" s="3" t="e">
        <v>#VALUE!</v>
      </c>
      <c r="E479" s="4" t="s">
        <v>3124</v>
      </c>
      <c r="F479" s="4"/>
      <c r="G479" s="5" t="s">
        <v>4338</v>
      </c>
      <c r="H479" s="6" t="s">
        <v>4339</v>
      </c>
      <c r="I479" s="21" t="s">
        <v>4340</v>
      </c>
      <c r="J479" s="21" t="s">
        <v>4341</v>
      </c>
      <c r="K479" s="21" t="s">
        <v>4342</v>
      </c>
      <c r="L479" s="22" t="s">
        <v>4343</v>
      </c>
    </row>
    <row r="480" spans="1:12" s="1" customFormat="1">
      <c r="A480" s="4" t="s">
        <v>4344</v>
      </c>
      <c r="B480" s="4" t="e">
        <v>#VALUE!</v>
      </c>
      <c r="C480" s="3" t="s">
        <v>3750</v>
      </c>
      <c r="D480" s="3" t="e">
        <v>#VALUE!</v>
      </c>
      <c r="E480" s="4" t="e">
        <v>#N/A</v>
      </c>
      <c r="F480" s="4"/>
      <c r="G480" s="5" t="s">
        <v>4345</v>
      </c>
      <c r="H480" s="6" t="s">
        <v>4346</v>
      </c>
      <c r="I480" s="21" t="e">
        <v>#N/A</v>
      </c>
      <c r="J480" s="21" t="e">
        <v>#N/A</v>
      </c>
      <c r="K480" s="21" t="s">
        <v>4347</v>
      </c>
      <c r="L480" s="22" t="s">
        <v>4348</v>
      </c>
    </row>
    <row r="481" spans="1:12" s="1" customFormat="1">
      <c r="A481" s="4" t="s">
        <v>4349</v>
      </c>
      <c r="B481" s="4" t="e">
        <v>#VALUE!</v>
      </c>
      <c r="C481" s="3" t="s">
        <v>3750</v>
      </c>
      <c r="D481" s="3" t="e">
        <v>#VALUE!</v>
      </c>
      <c r="E481" s="4" t="s">
        <v>3138</v>
      </c>
      <c r="F481" s="4"/>
      <c r="G481" s="5" t="s">
        <v>4350</v>
      </c>
      <c r="H481" s="6" t="s">
        <v>4351</v>
      </c>
      <c r="I481" s="21" t="e">
        <v>#N/A</v>
      </c>
      <c r="J481" s="21" t="e">
        <v>#N/A</v>
      </c>
      <c r="K481" s="21" t="s">
        <v>4352</v>
      </c>
      <c r="L481" s="22" t="s">
        <v>4353</v>
      </c>
    </row>
    <row r="482" spans="1:12" s="1" customFormat="1">
      <c r="A482" s="4" t="s">
        <v>4354</v>
      </c>
      <c r="B482" s="4" t="e">
        <v>#VALUE!</v>
      </c>
      <c r="C482" s="3" t="s">
        <v>3750</v>
      </c>
      <c r="D482" s="3" t="e">
        <v>#VALUE!</v>
      </c>
      <c r="E482" s="4" t="e">
        <v>#N/A</v>
      </c>
      <c r="F482" s="4"/>
      <c r="G482" s="5" t="s">
        <v>4355</v>
      </c>
      <c r="H482" s="6" t="s">
        <v>4356</v>
      </c>
      <c r="I482" s="21" t="s">
        <v>4357</v>
      </c>
      <c r="J482" s="21" t="s">
        <v>4358</v>
      </c>
      <c r="K482" s="21" t="e">
        <v>#N/A</v>
      </c>
      <c r="L482" s="22" t="s">
        <v>4359</v>
      </c>
    </row>
    <row r="483" spans="1:12" s="1" customFormat="1">
      <c r="A483" s="4" t="s">
        <v>4360</v>
      </c>
      <c r="B483" s="4" t="e">
        <v>#VALUE!</v>
      </c>
      <c r="C483" s="3" t="s">
        <v>3750</v>
      </c>
      <c r="D483" s="3" t="e">
        <v>#VALUE!</v>
      </c>
      <c r="E483" s="4" t="e">
        <v>#N/A</v>
      </c>
      <c r="F483" s="5" t="s">
        <v>4361</v>
      </c>
      <c r="G483" s="6" t="s">
        <v>4362</v>
      </c>
      <c r="H483" s="21" t="e">
        <v>#N/A</v>
      </c>
      <c r="I483" s="21" t="e">
        <v>#N/A</v>
      </c>
      <c r="J483" s="21" t="e">
        <v>#N/A</v>
      </c>
      <c r="K483" s="22" t="e">
        <v>#N/A</v>
      </c>
    </row>
    <row r="484" spans="1:12" s="1" customFormat="1">
      <c r="A484" s="4" t="s">
        <v>4363</v>
      </c>
      <c r="B484" s="4" t="e">
        <v>#VALUE!</v>
      </c>
      <c r="C484" s="3" t="s">
        <v>3750</v>
      </c>
      <c r="D484" s="3" t="e">
        <v>#VALUE!</v>
      </c>
      <c r="E484" s="4" t="e">
        <v>#N/A</v>
      </c>
      <c r="F484" s="4"/>
      <c r="G484" s="5" t="s">
        <v>4364</v>
      </c>
      <c r="H484" s="6" t="e">
        <v>#N/A</v>
      </c>
      <c r="I484" s="21" t="e">
        <v>#N/A</v>
      </c>
      <c r="J484" s="21" t="e">
        <v>#N/A</v>
      </c>
      <c r="K484" s="21" t="e">
        <v>#N/A</v>
      </c>
      <c r="L484" s="22" t="e">
        <v>#N/A</v>
      </c>
    </row>
    <row r="485" spans="1:12" s="1" customFormat="1">
      <c r="A485" s="4" t="s">
        <v>4365</v>
      </c>
      <c r="B485" s="4" t="e">
        <v>#VALUE!</v>
      </c>
      <c r="C485" s="3" t="s">
        <v>3750</v>
      </c>
      <c r="D485" s="3" t="e">
        <v>#VALUE!</v>
      </c>
      <c r="E485" s="4" t="s">
        <v>3167</v>
      </c>
      <c r="F485" s="4"/>
      <c r="G485" s="5" t="s">
        <v>4366</v>
      </c>
      <c r="H485" s="6" t="s">
        <v>4367</v>
      </c>
      <c r="I485" s="21" t="e">
        <v>#N/A</v>
      </c>
      <c r="J485" s="21" t="e">
        <v>#N/A</v>
      </c>
      <c r="K485" s="21" t="s">
        <v>4368</v>
      </c>
      <c r="L485" s="22" t="s">
        <v>4369</v>
      </c>
    </row>
    <row r="486" spans="1:12" s="1" customFormat="1">
      <c r="A486" s="4" t="s">
        <v>4370</v>
      </c>
      <c r="B486" s="4" t="e">
        <v>#VALUE!</v>
      </c>
      <c r="C486" s="3" t="s">
        <v>3750</v>
      </c>
      <c r="D486" s="3" t="e">
        <v>#VALUE!</v>
      </c>
      <c r="E486" s="4" t="e">
        <v>#N/A</v>
      </c>
      <c r="F486" s="4"/>
      <c r="G486" s="5" t="s">
        <v>4371</v>
      </c>
      <c r="H486" s="6" t="s">
        <v>4372</v>
      </c>
      <c r="I486" s="21" t="e">
        <v>#N/A</v>
      </c>
      <c r="J486" s="21" t="e">
        <v>#N/A</v>
      </c>
      <c r="K486" s="21" t="e">
        <v>#N/A</v>
      </c>
      <c r="L486" s="22" t="e">
        <v>#N/A</v>
      </c>
    </row>
    <row r="487" spans="1:12" s="1" customFormat="1">
      <c r="A487" s="4" t="s">
        <v>4373</v>
      </c>
      <c r="B487" s="4" t="e">
        <v>#VALUE!</v>
      </c>
      <c r="C487" s="3" t="s">
        <v>3750</v>
      </c>
      <c r="D487" s="3" t="e">
        <v>#VALUE!</v>
      </c>
      <c r="E487" s="4" t="s">
        <v>4374</v>
      </c>
      <c r="F487" s="4"/>
      <c r="G487" s="5" t="s">
        <v>4375</v>
      </c>
      <c r="H487" s="6" t="s">
        <v>4376</v>
      </c>
      <c r="I487" s="21" t="s">
        <v>4377</v>
      </c>
      <c r="J487" s="21" t="s">
        <v>4378</v>
      </c>
      <c r="K487" s="21" t="e">
        <v>#N/A</v>
      </c>
      <c r="L487" s="22" t="s">
        <v>4379</v>
      </c>
    </row>
    <row r="488" spans="1:12" s="1" customFormat="1">
      <c r="A488" s="4" t="s">
        <v>4380</v>
      </c>
      <c r="B488" s="4" t="e">
        <v>#VALUE!</v>
      </c>
      <c r="C488" s="3" t="s">
        <v>3750</v>
      </c>
      <c r="D488" s="3" t="e">
        <v>#VALUE!</v>
      </c>
      <c r="E488" s="4" t="s">
        <v>3156</v>
      </c>
      <c r="F488" s="4"/>
      <c r="G488" s="5" t="s">
        <v>4381</v>
      </c>
      <c r="H488" s="6" t="s">
        <v>4382</v>
      </c>
      <c r="I488" s="21" t="e">
        <v>#N/A</v>
      </c>
      <c r="J488" s="21" t="e">
        <v>#N/A</v>
      </c>
      <c r="K488" s="21" t="s">
        <v>4383</v>
      </c>
      <c r="L488" s="22" t="s">
        <v>4384</v>
      </c>
    </row>
    <row r="489" spans="1:12" s="1" customFormat="1">
      <c r="A489" s="4" t="s">
        <v>4385</v>
      </c>
      <c r="B489" s="4" t="e">
        <v>#VALUE!</v>
      </c>
      <c r="C489" s="3" t="s">
        <v>3750</v>
      </c>
      <c r="D489" s="3" t="e">
        <v>#VALUE!</v>
      </c>
      <c r="E489" s="4" t="s">
        <v>3125</v>
      </c>
      <c r="F489" s="4"/>
      <c r="G489" s="5" t="s">
        <v>4386</v>
      </c>
      <c r="H489" s="6" t="s">
        <v>4387</v>
      </c>
      <c r="I489" s="21" t="e">
        <v>#N/A</v>
      </c>
      <c r="J489" s="21" t="e">
        <v>#N/A</v>
      </c>
      <c r="K489" s="21" t="s">
        <v>4388</v>
      </c>
      <c r="L489" s="22" t="s">
        <v>4389</v>
      </c>
    </row>
    <row r="490" spans="1:12" s="1" customFormat="1">
      <c r="A490" s="4" t="s">
        <v>4390</v>
      </c>
      <c r="B490" s="4" t="e">
        <v>#VALUE!</v>
      </c>
      <c r="C490" s="3" t="s">
        <v>3750</v>
      </c>
      <c r="D490" s="3" t="e">
        <v>#VALUE!</v>
      </c>
      <c r="E490" s="4" t="s">
        <v>331</v>
      </c>
      <c r="F490" s="4"/>
      <c r="G490" s="5" t="s">
        <v>4391</v>
      </c>
      <c r="H490" s="6" t="s">
        <v>332</v>
      </c>
      <c r="I490" s="21" t="s">
        <v>4392</v>
      </c>
      <c r="J490" s="21" t="s">
        <v>4393</v>
      </c>
      <c r="K490" s="21" t="s">
        <v>4394</v>
      </c>
      <c r="L490" s="22" t="s">
        <v>4395</v>
      </c>
    </row>
    <row r="491" spans="1:12" s="1" customFormat="1">
      <c r="A491" s="4" t="s">
        <v>4396</v>
      </c>
      <c r="B491" s="4" t="e">
        <v>#VALUE!</v>
      </c>
      <c r="C491" s="3" t="s">
        <v>3750</v>
      </c>
      <c r="D491" s="3" t="e">
        <v>#VALUE!</v>
      </c>
      <c r="E491" s="4" t="s">
        <v>3132</v>
      </c>
      <c r="F491" s="4"/>
      <c r="G491" s="5" t="s">
        <v>4397</v>
      </c>
      <c r="H491" s="6" t="s">
        <v>4398</v>
      </c>
      <c r="I491" s="21" t="e">
        <v>#N/A</v>
      </c>
      <c r="J491" s="21" t="e">
        <v>#N/A</v>
      </c>
      <c r="K491" s="21" t="e">
        <v>#N/A</v>
      </c>
      <c r="L491" s="22" t="s">
        <v>4399</v>
      </c>
    </row>
    <row r="492" spans="1:12" s="1" customFormat="1">
      <c r="A492" s="4" t="s">
        <v>4400</v>
      </c>
      <c r="B492" s="4" t="e">
        <v>#VALUE!</v>
      </c>
      <c r="C492" s="3" t="s">
        <v>3750</v>
      </c>
      <c r="D492" s="3" t="e">
        <v>#VALUE!</v>
      </c>
      <c r="E492" s="4" t="s">
        <v>843</v>
      </c>
      <c r="F492" s="4"/>
      <c r="G492" s="5" t="s">
        <v>4401</v>
      </c>
      <c r="H492" s="6" t="s">
        <v>4402</v>
      </c>
      <c r="I492" s="21" t="e">
        <v>#N/A</v>
      </c>
      <c r="J492" s="21" t="e">
        <v>#N/A</v>
      </c>
      <c r="K492" s="21" t="s">
        <v>4403</v>
      </c>
      <c r="L492" s="22" t="s">
        <v>4404</v>
      </c>
    </row>
    <row r="493" spans="1:12" s="1" customFormat="1">
      <c r="A493" s="4" t="s">
        <v>4405</v>
      </c>
      <c r="B493" s="4" t="e">
        <v>#VALUE!</v>
      </c>
      <c r="C493" s="3" t="s">
        <v>3750</v>
      </c>
      <c r="D493" s="3" t="e">
        <v>#VALUE!</v>
      </c>
      <c r="E493" s="4" t="s">
        <v>843</v>
      </c>
      <c r="F493" s="4"/>
      <c r="G493" s="5" t="s">
        <v>4406</v>
      </c>
      <c r="H493" s="6" t="s">
        <v>844</v>
      </c>
      <c r="I493" s="21" t="e">
        <v>#N/A</v>
      </c>
      <c r="J493" s="21" t="e">
        <v>#N/A</v>
      </c>
      <c r="K493" s="21" t="s">
        <v>4407</v>
      </c>
      <c r="L493" s="22" t="s">
        <v>4408</v>
      </c>
    </row>
    <row r="494" spans="1:12" s="1" customFormat="1">
      <c r="A494" s="4" t="s">
        <v>4409</v>
      </c>
      <c r="B494" s="4" t="e">
        <v>#VALUE!</v>
      </c>
      <c r="C494" s="3" t="s">
        <v>3750</v>
      </c>
      <c r="D494" s="3" t="e">
        <v>#VALUE!</v>
      </c>
      <c r="E494" s="4" t="s">
        <v>3153</v>
      </c>
      <c r="F494" s="4"/>
      <c r="G494" s="5" t="s">
        <v>4410</v>
      </c>
      <c r="H494" s="6" t="s">
        <v>4411</v>
      </c>
      <c r="I494" s="21" t="s">
        <v>4412</v>
      </c>
      <c r="J494" s="21" t="s">
        <v>4413</v>
      </c>
      <c r="K494" s="21" t="s">
        <v>4414</v>
      </c>
      <c r="L494" s="22" t="e">
        <v>#N/A</v>
      </c>
    </row>
    <row r="495" spans="1:12" s="1" customFormat="1">
      <c r="A495" s="4" t="s">
        <v>4415</v>
      </c>
      <c r="B495" s="4" t="e">
        <v>#VALUE!</v>
      </c>
      <c r="C495" s="3" t="s">
        <v>3750</v>
      </c>
      <c r="D495" s="3" t="e">
        <v>#VALUE!</v>
      </c>
      <c r="E495" s="4" t="s">
        <v>3153</v>
      </c>
      <c r="F495" s="4"/>
      <c r="G495" s="5" t="s">
        <v>4416</v>
      </c>
      <c r="H495" s="6" t="s">
        <v>4417</v>
      </c>
      <c r="I495" s="21" t="s">
        <v>4418</v>
      </c>
      <c r="J495" s="21" t="s">
        <v>4419</v>
      </c>
      <c r="K495" s="21" t="s">
        <v>4420</v>
      </c>
      <c r="L495" s="22" t="e">
        <v>#N/A</v>
      </c>
    </row>
    <row r="496" spans="1:12" s="1" customFormat="1">
      <c r="A496" s="4" t="s">
        <v>4421</v>
      </c>
      <c r="B496" s="4" t="e">
        <v>#VALUE!</v>
      </c>
      <c r="C496" s="3" t="s">
        <v>3750</v>
      </c>
      <c r="D496" s="3" t="e">
        <v>#VALUE!</v>
      </c>
      <c r="E496" s="4" t="s">
        <v>643</v>
      </c>
      <c r="F496" s="4"/>
      <c r="G496" s="5" t="s">
        <v>4422</v>
      </c>
      <c r="H496" s="6" t="e">
        <v>#N/A</v>
      </c>
      <c r="I496" s="21" t="e">
        <v>#N/A</v>
      </c>
      <c r="J496" s="21" t="e">
        <v>#N/A</v>
      </c>
      <c r="K496" s="21" t="s">
        <v>4423</v>
      </c>
      <c r="L496" s="22" t="s">
        <v>4424</v>
      </c>
    </row>
    <row r="497" spans="1:12" s="1" customFormat="1">
      <c r="A497" s="4" t="s">
        <v>4425</v>
      </c>
      <c r="B497" s="4" t="e">
        <v>#VALUE!</v>
      </c>
      <c r="C497" s="3" t="s">
        <v>3750</v>
      </c>
      <c r="D497" s="3" t="e">
        <v>#VALUE!</v>
      </c>
      <c r="E497" s="4" t="s">
        <v>643</v>
      </c>
      <c r="F497" s="4"/>
      <c r="G497" s="5" t="s">
        <v>4426</v>
      </c>
      <c r="H497" s="6" t="e">
        <v>#N/A</v>
      </c>
      <c r="I497" s="21" t="e">
        <v>#N/A</v>
      </c>
      <c r="J497" s="21" t="e">
        <v>#N/A</v>
      </c>
      <c r="K497" s="21" t="s">
        <v>4427</v>
      </c>
      <c r="L497" s="22" t="s">
        <v>4428</v>
      </c>
    </row>
    <row r="498" spans="1:12" s="1" customFormat="1">
      <c r="A498" s="4" t="s">
        <v>4429</v>
      </c>
      <c r="B498" s="4" t="e">
        <v>#VALUE!</v>
      </c>
      <c r="C498" s="3" t="s">
        <v>3750</v>
      </c>
      <c r="D498" s="3" t="e">
        <v>#VALUE!</v>
      </c>
      <c r="E498" s="4" t="s">
        <v>1557</v>
      </c>
      <c r="F498" s="4"/>
      <c r="G498" s="5" t="s">
        <v>4430</v>
      </c>
      <c r="H498" s="6" t="e">
        <v>#N/A</v>
      </c>
      <c r="I498" s="21" t="s">
        <v>4431</v>
      </c>
      <c r="J498" s="21" t="s">
        <v>4432</v>
      </c>
      <c r="K498" s="21" t="s">
        <v>4433</v>
      </c>
      <c r="L498" s="22" t="s">
        <v>4434</v>
      </c>
    </row>
    <row r="499" spans="1:12" s="1" customFormat="1">
      <c r="A499" s="4" t="s">
        <v>4435</v>
      </c>
      <c r="B499" s="4" t="e">
        <v>#VALUE!</v>
      </c>
      <c r="C499" s="3" t="s">
        <v>3750</v>
      </c>
      <c r="D499" s="3" t="e">
        <v>#VALUE!</v>
      </c>
      <c r="E499" s="4" t="s">
        <v>538</v>
      </c>
      <c r="F499" s="4"/>
      <c r="G499" s="5" t="s">
        <v>4436</v>
      </c>
      <c r="H499" s="6" t="s">
        <v>4437</v>
      </c>
      <c r="I499" s="21" t="e">
        <v>#N/A</v>
      </c>
      <c r="J499" s="21" t="e">
        <v>#N/A</v>
      </c>
      <c r="K499" s="21" t="s">
        <v>4438</v>
      </c>
      <c r="L499" s="22" t="s">
        <v>4439</v>
      </c>
    </row>
    <row r="500" spans="1:12" s="1" customFormat="1">
      <c r="A500" s="4" t="s">
        <v>4440</v>
      </c>
      <c r="B500" s="4" t="e">
        <v>#VALUE!</v>
      </c>
      <c r="C500" s="3" t="s">
        <v>3750</v>
      </c>
      <c r="D500" s="3" t="e">
        <v>#VALUE!</v>
      </c>
      <c r="E500" s="4" t="e">
        <v>#N/A</v>
      </c>
      <c r="F500" s="4"/>
      <c r="G500" s="5" t="s">
        <v>540</v>
      </c>
      <c r="H500" s="6" t="e">
        <v>#N/A</v>
      </c>
      <c r="I500" s="21" t="e">
        <v>#N/A</v>
      </c>
      <c r="J500" s="21" t="e">
        <v>#N/A</v>
      </c>
      <c r="K500" s="21" t="e">
        <v>#N/A</v>
      </c>
      <c r="L500" s="22" t="e">
        <v>#N/A</v>
      </c>
    </row>
    <row r="501" spans="1:12" s="1" customFormat="1">
      <c r="A501" s="4" t="s">
        <v>4441</v>
      </c>
      <c r="B501" s="4" t="e">
        <v>#VALUE!</v>
      </c>
      <c r="C501" s="3" t="s">
        <v>3750</v>
      </c>
      <c r="D501" s="3" t="e">
        <v>#VALUE!</v>
      </c>
      <c r="E501" s="4" t="e">
        <v>#N/A</v>
      </c>
      <c r="F501" s="4"/>
      <c r="G501" s="5" t="s">
        <v>4442</v>
      </c>
      <c r="H501" s="6" t="e">
        <v>#N/A</v>
      </c>
      <c r="I501" s="21" t="e">
        <v>#N/A</v>
      </c>
      <c r="J501" s="21" t="e">
        <v>#N/A</v>
      </c>
      <c r="K501" s="21" t="e">
        <v>#N/A</v>
      </c>
      <c r="L501" s="22" t="e">
        <v>#N/A</v>
      </c>
    </row>
    <row r="502" spans="1:12" s="1" customFormat="1">
      <c r="A502" s="4" t="s">
        <v>4443</v>
      </c>
      <c r="B502" s="4" t="e">
        <v>#VALUE!</v>
      </c>
      <c r="C502" s="3" t="s">
        <v>3750</v>
      </c>
      <c r="D502" s="3" t="e">
        <v>#VALUE!</v>
      </c>
      <c r="E502" s="4" t="s">
        <v>2531</v>
      </c>
      <c r="F502" s="4"/>
      <c r="G502" s="5" t="s">
        <v>4444</v>
      </c>
      <c r="H502" s="6" t="s">
        <v>4445</v>
      </c>
      <c r="I502" s="21" t="s">
        <v>4446</v>
      </c>
      <c r="J502" s="21" t="s">
        <v>4447</v>
      </c>
      <c r="K502" s="21" t="s">
        <v>4448</v>
      </c>
      <c r="L502" s="22" t="s">
        <v>4449</v>
      </c>
    </row>
    <row r="503" spans="1:12" s="1" customFormat="1">
      <c r="A503" s="4" t="s">
        <v>4450</v>
      </c>
      <c r="B503" s="4" t="e">
        <v>#VALUE!</v>
      </c>
      <c r="C503" s="3" t="s">
        <v>3750</v>
      </c>
      <c r="D503" s="3" t="e">
        <v>#VALUE!</v>
      </c>
      <c r="E503" s="4" t="e">
        <v>#N/A</v>
      </c>
      <c r="F503" s="4"/>
      <c r="G503" s="5" t="s">
        <v>4451</v>
      </c>
      <c r="H503" s="6" t="e">
        <v>#N/A</v>
      </c>
      <c r="I503" s="21" t="e">
        <v>#N/A</v>
      </c>
      <c r="J503" s="21" t="e">
        <v>#N/A</v>
      </c>
      <c r="K503" s="21" t="e">
        <v>#N/A</v>
      </c>
      <c r="L503" s="22" t="e">
        <v>#N/A</v>
      </c>
    </row>
    <row r="504" spans="1:12" s="1" customFormat="1">
      <c r="A504" s="4" t="s">
        <v>4452</v>
      </c>
      <c r="B504" s="4" t="e">
        <v>#VALUE!</v>
      </c>
      <c r="C504" s="3" t="s">
        <v>3750</v>
      </c>
      <c r="D504" s="3" t="e">
        <v>#VALUE!</v>
      </c>
      <c r="E504" s="4" t="e">
        <v>#N/A</v>
      </c>
      <c r="F504" s="4"/>
      <c r="G504" s="5" t="s">
        <v>4453</v>
      </c>
      <c r="H504" s="6" t="e">
        <v>#N/A</v>
      </c>
      <c r="I504" s="21" t="e">
        <v>#N/A</v>
      </c>
      <c r="J504" s="21" t="e">
        <v>#N/A</v>
      </c>
      <c r="K504" s="21" t="e">
        <v>#N/A</v>
      </c>
      <c r="L504" s="22" t="e">
        <v>#N/A</v>
      </c>
    </row>
    <row r="505" spans="1:12" s="1" customFormat="1">
      <c r="A505" s="4" t="s">
        <v>4454</v>
      </c>
      <c r="B505" s="4" t="e">
        <v>#VALUE!</v>
      </c>
      <c r="C505" s="3" t="s">
        <v>3750</v>
      </c>
      <c r="D505" s="3" t="e">
        <v>#VALUE!</v>
      </c>
      <c r="E505" s="4" t="e">
        <v>#N/A</v>
      </c>
      <c r="F505" s="4"/>
      <c r="G505" s="5" t="s">
        <v>4455</v>
      </c>
      <c r="H505" s="6" t="e">
        <v>#N/A</v>
      </c>
      <c r="I505" s="21" t="e">
        <v>#N/A</v>
      </c>
      <c r="J505" s="21" t="e">
        <v>#N/A</v>
      </c>
      <c r="K505" s="21" t="e">
        <v>#N/A</v>
      </c>
      <c r="L505" s="22" t="e">
        <v>#N/A</v>
      </c>
    </row>
    <row r="506" spans="1:12" s="1" customFormat="1">
      <c r="A506" s="4" t="s">
        <v>4456</v>
      </c>
      <c r="B506" s="4" t="e">
        <v>#VALUE!</v>
      </c>
      <c r="C506" s="3" t="s">
        <v>3750</v>
      </c>
      <c r="D506" s="3" t="e">
        <v>#VALUE!</v>
      </c>
      <c r="E506" s="4" t="s">
        <v>3139</v>
      </c>
      <c r="F506" s="4"/>
      <c r="G506" s="5" t="s">
        <v>4457</v>
      </c>
      <c r="H506" s="6" t="s">
        <v>4458</v>
      </c>
      <c r="I506" s="21" t="e">
        <v>#N/A</v>
      </c>
      <c r="J506" s="21" t="e">
        <v>#N/A</v>
      </c>
      <c r="K506" s="21" t="s">
        <v>4459</v>
      </c>
      <c r="L506" s="22" t="s">
        <v>4460</v>
      </c>
    </row>
    <row r="507" spans="1:12" s="1" customFormat="1">
      <c r="A507" s="4" t="s">
        <v>4461</v>
      </c>
      <c r="B507" s="4" t="e">
        <v>#VALUE!</v>
      </c>
      <c r="C507" s="3" t="s">
        <v>3750</v>
      </c>
      <c r="D507" s="3" t="e">
        <v>#VALUE!</v>
      </c>
      <c r="E507" s="4" t="s">
        <v>3139</v>
      </c>
      <c r="F507" s="4"/>
      <c r="G507" s="5" t="s">
        <v>4462</v>
      </c>
      <c r="H507" s="6" t="s">
        <v>4463</v>
      </c>
      <c r="I507" s="21" t="s">
        <v>4464</v>
      </c>
      <c r="J507" s="21" t="s">
        <v>4465</v>
      </c>
      <c r="K507" s="21" t="s">
        <v>4466</v>
      </c>
      <c r="L507" s="22" t="s">
        <v>4467</v>
      </c>
    </row>
    <row r="508" spans="1:12" s="1" customFormat="1">
      <c r="A508" s="4" t="s">
        <v>4468</v>
      </c>
      <c r="B508" s="4" t="e">
        <v>#VALUE!</v>
      </c>
      <c r="C508" s="3" t="s">
        <v>3750</v>
      </c>
      <c r="D508" s="3" t="e">
        <v>#VALUE!</v>
      </c>
      <c r="E508" s="4" t="e">
        <v>#N/A</v>
      </c>
      <c r="F508" s="4"/>
      <c r="G508" s="5" t="s">
        <v>4469</v>
      </c>
      <c r="H508" s="6" t="e">
        <v>#N/A</v>
      </c>
      <c r="I508" s="21" t="e">
        <v>#N/A</v>
      </c>
      <c r="J508" s="21" t="e">
        <v>#N/A</v>
      </c>
      <c r="K508" s="21" t="e">
        <v>#N/A</v>
      </c>
      <c r="L508" s="22" t="e">
        <v>#N/A</v>
      </c>
    </row>
    <row r="509" spans="1:12" s="1" customFormat="1">
      <c r="A509" s="4" t="s">
        <v>4470</v>
      </c>
      <c r="B509" s="4" t="e">
        <v>#VALUE!</v>
      </c>
      <c r="C509" s="3" t="s">
        <v>3750</v>
      </c>
      <c r="D509" s="3" t="e">
        <v>#VALUE!</v>
      </c>
      <c r="E509" s="4" t="e">
        <v>#N/A</v>
      </c>
      <c r="F509" s="4"/>
      <c r="G509" s="5" t="s">
        <v>4471</v>
      </c>
      <c r="H509" s="6" t="s">
        <v>4472</v>
      </c>
      <c r="I509" s="21" t="e">
        <v>#N/A</v>
      </c>
      <c r="J509" s="21" t="e">
        <v>#N/A</v>
      </c>
      <c r="K509" s="21" t="s">
        <v>4473</v>
      </c>
      <c r="L509" s="22" t="e">
        <v>#N/A</v>
      </c>
    </row>
    <row r="510" spans="1:12" s="1" customFormat="1">
      <c r="A510" s="4" t="s">
        <v>4474</v>
      </c>
      <c r="B510" s="4" t="e">
        <v>#VALUE!</v>
      </c>
      <c r="C510" s="3" t="s">
        <v>3750</v>
      </c>
      <c r="D510" s="3" t="e">
        <v>#VALUE!</v>
      </c>
      <c r="E510" s="4" t="e">
        <v>#N/A</v>
      </c>
      <c r="F510" s="4"/>
      <c r="G510" s="5" t="s">
        <v>4475</v>
      </c>
      <c r="H510" s="6" t="s">
        <v>4476</v>
      </c>
      <c r="I510" s="21" t="s">
        <v>4477</v>
      </c>
      <c r="J510" s="21" t="s">
        <v>4478</v>
      </c>
      <c r="K510" s="21" t="s">
        <v>4479</v>
      </c>
      <c r="L510" s="22" t="e">
        <v>#N/A</v>
      </c>
    </row>
    <row r="511" spans="1:12" s="1" customFormat="1">
      <c r="A511" s="4" t="s">
        <v>4480</v>
      </c>
      <c r="B511" s="4" t="e">
        <v>#VALUE!</v>
      </c>
      <c r="C511" s="3" t="s">
        <v>3750</v>
      </c>
      <c r="D511" s="3" t="e">
        <v>#VALUE!</v>
      </c>
      <c r="E511" s="4" t="s">
        <v>2588</v>
      </c>
      <c r="F511" s="4"/>
      <c r="G511" s="5" t="s">
        <v>4481</v>
      </c>
      <c r="H511" s="6" t="s">
        <v>4482</v>
      </c>
      <c r="I511" s="21" t="e">
        <v>#N/A</v>
      </c>
      <c r="J511" s="21" t="e">
        <v>#N/A</v>
      </c>
      <c r="K511" s="21" t="s">
        <v>4483</v>
      </c>
      <c r="L511" s="22" t="s">
        <v>4484</v>
      </c>
    </row>
    <row r="512" spans="1:12" s="1" customFormat="1">
      <c r="A512" s="4" t="s">
        <v>4485</v>
      </c>
      <c r="B512" s="4" t="e">
        <v>#VALUE!</v>
      </c>
      <c r="C512" s="3" t="s">
        <v>3750</v>
      </c>
      <c r="D512" s="3" t="e">
        <v>#VALUE!</v>
      </c>
      <c r="E512" s="4" t="s">
        <v>3155</v>
      </c>
      <c r="F512" s="4"/>
      <c r="G512" s="5" t="s">
        <v>4486</v>
      </c>
      <c r="H512" s="6" t="s">
        <v>4487</v>
      </c>
      <c r="I512" s="21" t="e">
        <v>#N/A</v>
      </c>
      <c r="J512" s="21" t="e">
        <v>#N/A</v>
      </c>
      <c r="K512" s="21" t="s">
        <v>4488</v>
      </c>
      <c r="L512" s="22" t="s">
        <v>4489</v>
      </c>
    </row>
    <row r="513" spans="1:12" s="1" customFormat="1">
      <c r="A513" s="4" t="s">
        <v>4490</v>
      </c>
      <c r="B513" s="4" t="e">
        <v>#VALUE!</v>
      </c>
      <c r="C513" s="3" t="s">
        <v>3750</v>
      </c>
      <c r="D513" s="3" t="e">
        <v>#VALUE!</v>
      </c>
      <c r="E513" s="4" t="e">
        <v>#N/A</v>
      </c>
      <c r="F513" s="4"/>
      <c r="G513" s="5" t="s">
        <v>4491</v>
      </c>
      <c r="H513" s="6" t="e">
        <v>#N/A</v>
      </c>
      <c r="I513" s="21" t="e">
        <v>#N/A</v>
      </c>
      <c r="J513" s="21" t="e">
        <v>#N/A</v>
      </c>
      <c r="K513" s="21" t="e">
        <v>#N/A</v>
      </c>
      <c r="L513" s="22" t="e">
        <v>#N/A</v>
      </c>
    </row>
    <row r="514" spans="1:12" s="1" customFormat="1">
      <c r="A514" s="4" t="s">
        <v>4492</v>
      </c>
      <c r="B514" s="4" t="e">
        <v>#VALUE!</v>
      </c>
      <c r="C514" s="3" t="s">
        <v>3750</v>
      </c>
      <c r="D514" s="3" t="e">
        <v>#VALUE!</v>
      </c>
      <c r="E514" s="4" t="s">
        <v>711</v>
      </c>
      <c r="F514" s="5" t="s">
        <v>4493</v>
      </c>
      <c r="G514" s="6" t="e">
        <v>#N/A</v>
      </c>
      <c r="H514" s="21" t="e">
        <v>#N/A</v>
      </c>
      <c r="I514" s="21" t="e">
        <v>#N/A</v>
      </c>
      <c r="J514" s="21" t="s">
        <v>4494</v>
      </c>
      <c r="K514" s="22" t="s">
        <v>4495</v>
      </c>
    </row>
    <row r="515" spans="1:12" s="1" customFormat="1">
      <c r="A515" s="4"/>
      <c r="B515" s="4" t="e">
        <v>#VALUE!</v>
      </c>
      <c r="C515" s="3" t="s">
        <v>3750</v>
      </c>
      <c r="D515" s="3" t="e">
        <v>#VALUE!</v>
      </c>
      <c r="E515" s="4" t="s">
        <v>711</v>
      </c>
      <c r="F515" s="5" t="s">
        <v>4496</v>
      </c>
      <c r="G515" s="6" t="s">
        <v>4497</v>
      </c>
      <c r="H515" s="21" t="e">
        <v>#N/A</v>
      </c>
      <c r="I515" s="21" t="e">
        <v>#N/A</v>
      </c>
      <c r="J515" s="21" t="e">
        <v>#N/A</v>
      </c>
      <c r="K515" s="22" t="s">
        <v>4498</v>
      </c>
    </row>
    <row r="516" spans="1:12" s="1" customFormat="1">
      <c r="A516" s="4" t="s">
        <v>4499</v>
      </c>
      <c r="B516" s="4" t="e">
        <v>#VALUE!</v>
      </c>
      <c r="C516" s="3" t="s">
        <v>3750</v>
      </c>
      <c r="D516" s="3" t="e">
        <v>#VALUE!</v>
      </c>
      <c r="E516" s="4" t="e">
        <v>#N/A</v>
      </c>
      <c r="F516" s="5" t="s">
        <v>4500</v>
      </c>
      <c r="G516" s="6" t="e">
        <v>#N/A</v>
      </c>
      <c r="H516" s="21" t="e">
        <v>#N/A</v>
      </c>
      <c r="I516" s="21" t="e">
        <v>#N/A</v>
      </c>
      <c r="J516" s="21" t="e">
        <v>#N/A</v>
      </c>
      <c r="K516" s="22" t="e">
        <v>#N/A</v>
      </c>
    </row>
    <row r="517" spans="1:12" s="1" customFormat="1">
      <c r="A517" s="4" t="s">
        <v>4501</v>
      </c>
      <c r="B517" s="4" t="e">
        <v>#VALUE!</v>
      </c>
      <c r="C517" s="3" t="s">
        <v>3750</v>
      </c>
      <c r="D517" s="3" t="e">
        <v>#VALUE!</v>
      </c>
      <c r="E517" s="4" t="s">
        <v>2384</v>
      </c>
      <c r="F517" s="5" t="s">
        <v>4502</v>
      </c>
      <c r="G517" s="6" t="s">
        <v>4503</v>
      </c>
      <c r="H517" s="21" t="e">
        <v>#N/A</v>
      </c>
      <c r="I517" s="21" t="e">
        <v>#N/A</v>
      </c>
      <c r="J517" s="21" t="s">
        <v>4504</v>
      </c>
      <c r="K517" s="22" t="s">
        <v>4505</v>
      </c>
    </row>
    <row r="518" spans="1:12" s="1" customFormat="1">
      <c r="A518" s="4" t="s">
        <v>4506</v>
      </c>
      <c r="B518" s="4" t="e">
        <v>#VALUE!</v>
      </c>
      <c r="C518" s="3" t="s">
        <v>3750</v>
      </c>
      <c r="D518" s="3" t="e">
        <v>#VALUE!</v>
      </c>
      <c r="E518" s="4" t="e">
        <v>#N/A</v>
      </c>
      <c r="F518" s="4"/>
      <c r="G518" s="5" t="s">
        <v>1868</v>
      </c>
      <c r="H518" s="6" t="e">
        <v>#N/A</v>
      </c>
      <c r="I518" s="21" t="e">
        <v>#N/A</v>
      </c>
      <c r="J518" s="21" t="e">
        <v>#N/A</v>
      </c>
      <c r="K518" s="21" t="e">
        <v>#N/A</v>
      </c>
      <c r="L518" s="22" t="e">
        <v>#N/A</v>
      </c>
    </row>
    <row r="519" spans="1:12" s="1" customFormat="1">
      <c r="A519" s="4" t="s">
        <v>4507</v>
      </c>
      <c r="B519" s="4" t="e">
        <v>#VALUE!</v>
      </c>
      <c r="C519" s="3" t="s">
        <v>3750</v>
      </c>
      <c r="D519" s="3" t="e">
        <v>#VALUE!</v>
      </c>
      <c r="E519" s="4" t="s">
        <v>895</v>
      </c>
      <c r="F519" s="4"/>
      <c r="G519" s="5" t="s">
        <v>4508</v>
      </c>
      <c r="H519" s="6" t="s">
        <v>4509</v>
      </c>
      <c r="I519" s="21" t="s">
        <v>4510</v>
      </c>
      <c r="J519" s="21" t="s">
        <v>4511</v>
      </c>
      <c r="K519" s="21" t="e">
        <v>#N/A</v>
      </c>
      <c r="L519" s="22" t="s">
        <v>4512</v>
      </c>
    </row>
    <row r="520" spans="1:12" s="1" customFormat="1">
      <c r="A520" s="4" t="s">
        <v>4513</v>
      </c>
      <c r="B520" s="4" t="e">
        <v>#VALUE!</v>
      </c>
      <c r="C520" s="3" t="s">
        <v>3750</v>
      </c>
      <c r="D520" s="3" t="e">
        <v>#VALUE!</v>
      </c>
      <c r="E520" s="4" t="s">
        <v>1887</v>
      </c>
      <c r="F520" s="4"/>
      <c r="G520" s="5" t="s">
        <v>4514</v>
      </c>
      <c r="H520" s="6" t="s">
        <v>1889</v>
      </c>
      <c r="I520" s="21" t="e">
        <v>#N/A</v>
      </c>
      <c r="J520" s="21" t="e">
        <v>#N/A</v>
      </c>
      <c r="K520" s="21" t="s">
        <v>4515</v>
      </c>
      <c r="L520" s="22" t="s">
        <v>4516</v>
      </c>
    </row>
    <row r="521" spans="1:12" s="1" customFormat="1">
      <c r="A521" s="4" t="s">
        <v>4517</v>
      </c>
      <c r="B521" s="4" t="e">
        <v>#VALUE!</v>
      </c>
      <c r="C521" s="3" t="s">
        <v>3750</v>
      </c>
      <c r="D521" s="3" t="e">
        <v>#VALUE!</v>
      </c>
      <c r="E521" s="4" t="s">
        <v>1887</v>
      </c>
      <c r="F521" s="4"/>
      <c r="G521" s="5" t="s">
        <v>4518</v>
      </c>
      <c r="H521" s="6" t="s">
        <v>4519</v>
      </c>
      <c r="I521" s="21" t="s">
        <v>4520</v>
      </c>
      <c r="J521" s="21" t="s">
        <v>4521</v>
      </c>
      <c r="K521" s="21" t="s">
        <v>4522</v>
      </c>
      <c r="L521" s="22" t="s">
        <v>4523</v>
      </c>
    </row>
    <row r="522" spans="1:12" s="1" customFormat="1">
      <c r="A522" s="4" t="s">
        <v>4524</v>
      </c>
      <c r="B522" s="4" t="e">
        <v>#VALUE!</v>
      </c>
      <c r="C522" s="3" t="s">
        <v>3750</v>
      </c>
      <c r="D522" s="3" t="e">
        <v>#VALUE!</v>
      </c>
      <c r="E522" s="4" t="e">
        <v>#N/A</v>
      </c>
      <c r="F522" s="4"/>
      <c r="G522" s="5" t="s">
        <v>4525</v>
      </c>
      <c r="H522" s="6" t="e">
        <v>#N/A</v>
      </c>
      <c r="I522" s="21" t="e">
        <v>#N/A</v>
      </c>
      <c r="J522" s="21" t="e">
        <v>#N/A</v>
      </c>
      <c r="K522" s="21" t="e">
        <v>#N/A</v>
      </c>
      <c r="L522" s="22" t="e">
        <v>#N/A</v>
      </c>
    </row>
    <row r="523" spans="1:12" s="1" customFormat="1">
      <c r="A523" s="4" t="s">
        <v>4526</v>
      </c>
      <c r="B523" s="4" t="e">
        <v>#VALUE!</v>
      </c>
      <c r="C523" s="3" t="s">
        <v>3750</v>
      </c>
      <c r="D523" s="3" t="e">
        <v>#VALUE!</v>
      </c>
      <c r="E523" s="4" t="e">
        <v>#N/A</v>
      </c>
      <c r="F523" s="4"/>
      <c r="G523" s="5" t="s">
        <v>4527</v>
      </c>
      <c r="H523" s="6" t="e">
        <v>#N/A</v>
      </c>
      <c r="I523" s="21" t="e">
        <v>#N/A</v>
      </c>
      <c r="J523" s="21" t="e">
        <v>#N/A</v>
      </c>
      <c r="K523" s="21" t="e">
        <v>#N/A</v>
      </c>
      <c r="L523" s="22" t="e">
        <v>#N/A</v>
      </c>
    </row>
    <row r="524" spans="1:12" s="1" customFormat="1">
      <c r="A524" s="4" t="s">
        <v>4528</v>
      </c>
      <c r="B524" s="4" t="e">
        <v>#VALUE!</v>
      </c>
      <c r="C524" s="3" t="s">
        <v>3750</v>
      </c>
      <c r="D524" s="3" t="e">
        <v>#VALUE!</v>
      </c>
      <c r="E524" s="4" t="s">
        <v>1287</v>
      </c>
      <c r="F524" s="4"/>
      <c r="G524" s="5" t="s">
        <v>4529</v>
      </c>
      <c r="H524" s="6" t="s">
        <v>4530</v>
      </c>
      <c r="I524" s="21" t="e">
        <v>#N/A</v>
      </c>
      <c r="J524" s="21" t="e">
        <v>#N/A</v>
      </c>
      <c r="K524" s="21" t="s">
        <v>4531</v>
      </c>
      <c r="L524" s="22" t="s">
        <v>4532</v>
      </c>
    </row>
    <row r="525" spans="1:12" s="1" customFormat="1">
      <c r="A525" s="4" t="s">
        <v>4533</v>
      </c>
      <c r="B525" s="4" t="e">
        <v>#VALUE!</v>
      </c>
      <c r="C525" s="3" t="s">
        <v>3750</v>
      </c>
      <c r="D525" s="3" t="e">
        <v>#VALUE!</v>
      </c>
      <c r="E525" s="4" t="s">
        <v>1287</v>
      </c>
      <c r="F525" s="4"/>
      <c r="G525" s="5" t="s">
        <v>4534</v>
      </c>
      <c r="H525" s="6" t="s">
        <v>4535</v>
      </c>
      <c r="I525" s="21" t="e">
        <v>#N/A</v>
      </c>
      <c r="J525" s="21" t="e">
        <v>#N/A</v>
      </c>
      <c r="K525" s="21" t="s">
        <v>4536</v>
      </c>
      <c r="L525" s="22" t="s">
        <v>4537</v>
      </c>
    </row>
    <row r="526" spans="1:12" s="1" customFormat="1">
      <c r="A526" s="4" t="s">
        <v>4538</v>
      </c>
      <c r="B526" s="4" t="e">
        <v>#VALUE!</v>
      </c>
      <c r="C526" s="3" t="s">
        <v>3750</v>
      </c>
      <c r="D526" s="3" t="e">
        <v>#VALUE!</v>
      </c>
      <c r="E526" s="4" t="s">
        <v>1025</v>
      </c>
      <c r="F526" s="4"/>
      <c r="G526" s="5" t="s">
        <v>4539</v>
      </c>
      <c r="H526" s="6" t="s">
        <v>1027</v>
      </c>
      <c r="I526" s="21" t="s">
        <v>4540</v>
      </c>
      <c r="J526" s="21" t="s">
        <v>4541</v>
      </c>
      <c r="K526" s="21" t="s">
        <v>4542</v>
      </c>
      <c r="L526" s="22" t="s">
        <v>4543</v>
      </c>
    </row>
    <row r="527" spans="1:12" s="1" customFormat="1">
      <c r="A527" s="4" t="s">
        <v>4544</v>
      </c>
      <c r="B527" s="4" t="e">
        <v>#VALUE!</v>
      </c>
      <c r="C527" s="3" t="s">
        <v>3750</v>
      </c>
      <c r="D527" s="3" t="e">
        <v>#VALUE!</v>
      </c>
      <c r="E527" s="4" t="s">
        <v>1025</v>
      </c>
      <c r="F527" s="4"/>
      <c r="G527" s="5" t="s">
        <v>4545</v>
      </c>
      <c r="H527" s="6" t="s">
        <v>4546</v>
      </c>
      <c r="I527" s="21" t="e">
        <v>#N/A</v>
      </c>
      <c r="J527" s="21" t="e">
        <v>#N/A</v>
      </c>
      <c r="K527" s="21" t="s">
        <v>4547</v>
      </c>
      <c r="L527" s="22" t="s">
        <v>4548</v>
      </c>
    </row>
    <row r="528" spans="1:12" s="1" customFormat="1">
      <c r="A528" s="4" t="s">
        <v>4549</v>
      </c>
      <c r="B528" s="4" t="e">
        <v>#VALUE!</v>
      </c>
      <c r="C528" s="3" t="s">
        <v>3750</v>
      </c>
      <c r="D528" s="3" t="e">
        <v>#VALUE!</v>
      </c>
      <c r="E528" s="4" t="e">
        <v>#N/A</v>
      </c>
      <c r="F528" s="4"/>
      <c r="G528" s="5" t="s">
        <v>4550</v>
      </c>
      <c r="H528" s="6" t="e">
        <v>#N/A</v>
      </c>
      <c r="I528" s="21" t="e">
        <v>#N/A</v>
      </c>
      <c r="J528" s="21" t="e">
        <v>#N/A</v>
      </c>
      <c r="K528" s="21" t="e">
        <v>#N/A</v>
      </c>
      <c r="L528" s="22" t="e">
        <v>#N/A</v>
      </c>
    </row>
    <row r="529" spans="1:12" s="1" customFormat="1">
      <c r="A529" s="4" t="s">
        <v>4551</v>
      </c>
      <c r="B529" s="4" t="e">
        <v>#VALUE!</v>
      </c>
      <c r="C529" s="3" t="s">
        <v>3750</v>
      </c>
      <c r="D529" s="3" t="e">
        <v>#VALUE!</v>
      </c>
      <c r="E529" s="4" t="s">
        <v>3136</v>
      </c>
      <c r="F529" s="4"/>
      <c r="G529" s="5" t="s">
        <v>4552</v>
      </c>
      <c r="H529" s="6" t="s">
        <v>4553</v>
      </c>
      <c r="I529" s="21" t="s">
        <v>4554</v>
      </c>
      <c r="J529" s="21" t="s">
        <v>4555</v>
      </c>
      <c r="K529" s="21" t="s">
        <v>4556</v>
      </c>
      <c r="L529" s="22" t="s">
        <v>4557</v>
      </c>
    </row>
    <row r="530" spans="1:12" s="1" customFormat="1">
      <c r="A530" s="4" t="s">
        <v>4558</v>
      </c>
      <c r="B530" s="4" t="e">
        <v>#VALUE!</v>
      </c>
      <c r="C530" s="3" t="s">
        <v>3750</v>
      </c>
      <c r="D530" s="3" t="e">
        <v>#VALUE!</v>
      </c>
      <c r="E530" s="4" t="e">
        <v>#N/A</v>
      </c>
      <c r="F530" s="4"/>
      <c r="G530" s="5" t="s">
        <v>4559</v>
      </c>
      <c r="H530" s="6" t="e">
        <v>#N/A</v>
      </c>
      <c r="I530" s="21" t="e">
        <v>#N/A</v>
      </c>
      <c r="J530" s="21" t="e">
        <v>#N/A</v>
      </c>
      <c r="K530" s="21" t="e">
        <v>#N/A</v>
      </c>
      <c r="L530" s="22" t="e">
        <v>#N/A</v>
      </c>
    </row>
    <row r="531" spans="1:12" s="1" customFormat="1">
      <c r="A531" s="4" t="s">
        <v>4560</v>
      </c>
      <c r="B531" s="4" t="e">
        <v>#VALUE!</v>
      </c>
      <c r="C531" s="3" t="s">
        <v>3750</v>
      </c>
      <c r="D531" s="3" t="e">
        <v>#VALUE!</v>
      </c>
      <c r="E531" s="4" t="s">
        <v>1608</v>
      </c>
      <c r="F531" s="4"/>
      <c r="G531" s="5" t="s">
        <v>4561</v>
      </c>
      <c r="H531" s="6" t="s">
        <v>1610</v>
      </c>
      <c r="I531" s="21" t="e">
        <v>#N/A</v>
      </c>
      <c r="J531" s="21" t="e">
        <v>#N/A</v>
      </c>
      <c r="K531" s="21" t="s">
        <v>4562</v>
      </c>
      <c r="L531" s="22" t="s">
        <v>4563</v>
      </c>
    </row>
    <row r="532" spans="1:12" s="1" customFormat="1">
      <c r="A532" s="4" t="s">
        <v>4564</v>
      </c>
      <c r="B532" s="4" t="e">
        <v>#VALUE!</v>
      </c>
      <c r="C532" s="3" t="s">
        <v>3750</v>
      </c>
      <c r="D532" s="3" t="e">
        <v>#VALUE!</v>
      </c>
      <c r="E532" s="4" t="e">
        <v>#N/A</v>
      </c>
      <c r="F532" s="4"/>
      <c r="G532" s="5" t="s">
        <v>4565</v>
      </c>
      <c r="H532" s="6" t="e">
        <v>#N/A</v>
      </c>
      <c r="I532" s="21" t="e">
        <v>#N/A</v>
      </c>
      <c r="J532" s="21" t="e">
        <v>#N/A</v>
      </c>
      <c r="K532" s="21" t="e">
        <v>#N/A</v>
      </c>
      <c r="L532" s="22" t="e">
        <v>#N/A</v>
      </c>
    </row>
    <row r="533" spans="1:12" s="1" customFormat="1">
      <c r="A533" s="4" t="s">
        <v>4566</v>
      </c>
      <c r="B533" s="4" t="e">
        <v>#VALUE!</v>
      </c>
      <c r="C533" s="3" t="s">
        <v>3750</v>
      </c>
      <c r="D533" s="3" t="e">
        <v>#VALUE!</v>
      </c>
      <c r="E533" s="4" t="s">
        <v>3149</v>
      </c>
      <c r="F533" s="4"/>
      <c r="G533" s="5" t="s">
        <v>4567</v>
      </c>
      <c r="H533" s="6" t="s">
        <v>4568</v>
      </c>
      <c r="I533" s="21" t="e">
        <v>#N/A</v>
      </c>
      <c r="J533" s="21" t="e">
        <v>#N/A</v>
      </c>
      <c r="K533" s="21" t="s">
        <v>4569</v>
      </c>
      <c r="L533" s="22" t="s">
        <v>4570</v>
      </c>
    </row>
    <row r="534" spans="1:12" s="1" customFormat="1">
      <c r="A534" s="4" t="s">
        <v>4571</v>
      </c>
      <c r="B534" s="4" t="e">
        <v>#VALUE!</v>
      </c>
      <c r="C534" s="3" t="s">
        <v>3750</v>
      </c>
      <c r="D534" s="3" t="e">
        <v>#VALUE!</v>
      </c>
      <c r="E534" s="4" t="s">
        <v>3149</v>
      </c>
      <c r="F534" s="4"/>
      <c r="G534" s="5" t="s">
        <v>4572</v>
      </c>
      <c r="H534" s="6" t="s">
        <v>4573</v>
      </c>
      <c r="I534" s="21" t="s">
        <v>4574</v>
      </c>
      <c r="J534" s="21" t="s">
        <v>4575</v>
      </c>
      <c r="K534" s="21" t="e">
        <v>#N/A</v>
      </c>
      <c r="L534" s="22" t="s">
        <v>4576</v>
      </c>
    </row>
    <row r="535" spans="1:12" s="1" customFormat="1">
      <c r="A535" s="4" t="s">
        <v>4577</v>
      </c>
      <c r="B535" s="4" t="e">
        <v>#VALUE!</v>
      </c>
      <c r="C535" s="3" t="s">
        <v>3750</v>
      </c>
      <c r="D535" s="3" t="e">
        <v>#VALUE!</v>
      </c>
      <c r="E535" s="4" t="s">
        <v>3149</v>
      </c>
      <c r="F535" s="4"/>
      <c r="G535" s="5" t="s">
        <v>4578</v>
      </c>
      <c r="H535" s="6" t="s">
        <v>4579</v>
      </c>
      <c r="I535" s="21" t="e">
        <v>#N/A</v>
      </c>
      <c r="J535" s="21" t="e">
        <v>#N/A</v>
      </c>
      <c r="K535" s="21" t="s">
        <v>4580</v>
      </c>
      <c r="L535" s="22" t="s">
        <v>4581</v>
      </c>
    </row>
    <row r="536" spans="1:12" s="1" customFormat="1">
      <c r="A536" s="4" t="s">
        <v>4582</v>
      </c>
      <c r="B536" s="4" t="e">
        <v>#VALUE!</v>
      </c>
      <c r="C536" s="3" t="s">
        <v>3750</v>
      </c>
      <c r="D536" s="3" t="e">
        <v>#VALUE!</v>
      </c>
      <c r="E536" s="4" t="s">
        <v>1343</v>
      </c>
      <c r="F536" s="4"/>
      <c r="G536" s="5" t="s">
        <v>4583</v>
      </c>
      <c r="H536" s="6" t="s">
        <v>4584</v>
      </c>
      <c r="I536" s="21" t="e">
        <v>#N/A</v>
      </c>
      <c r="J536" s="21" t="e">
        <v>#N/A</v>
      </c>
      <c r="K536" s="21" t="e">
        <v>#N/A</v>
      </c>
      <c r="L536" s="22" t="e">
        <v>#N/A</v>
      </c>
    </row>
    <row r="537" spans="1:12" s="1" customFormat="1">
      <c r="A537" s="4" t="s">
        <v>4585</v>
      </c>
      <c r="B537" s="4" t="e">
        <v>#VALUE!</v>
      </c>
      <c r="C537" s="3" t="s">
        <v>3750</v>
      </c>
      <c r="D537" s="3" t="e">
        <v>#VALUE!</v>
      </c>
      <c r="E537" s="4" t="e">
        <v>#N/A</v>
      </c>
      <c r="F537" s="4"/>
      <c r="G537" s="5" t="s">
        <v>4586</v>
      </c>
      <c r="H537" s="6" t="e">
        <v>#N/A</v>
      </c>
      <c r="I537" s="21" t="e">
        <v>#N/A</v>
      </c>
      <c r="J537" s="21" t="e">
        <v>#N/A</v>
      </c>
      <c r="K537" s="21" t="e">
        <v>#N/A</v>
      </c>
      <c r="L537" s="22" t="e">
        <v>#N/A</v>
      </c>
    </row>
    <row r="538" spans="1:12" s="1" customFormat="1">
      <c r="A538" s="4" t="s">
        <v>4587</v>
      </c>
      <c r="B538" s="4" t="e">
        <v>#VALUE!</v>
      </c>
      <c r="C538" s="3" t="s">
        <v>3750</v>
      </c>
      <c r="D538" s="3" t="e">
        <v>#VALUE!</v>
      </c>
      <c r="E538" s="4" t="s">
        <v>2754</v>
      </c>
      <c r="F538" s="4"/>
      <c r="G538" s="5" t="s">
        <v>4588</v>
      </c>
      <c r="H538" s="6" t="s">
        <v>4589</v>
      </c>
      <c r="I538" s="21" t="s">
        <v>4590</v>
      </c>
      <c r="J538" s="21" t="s">
        <v>4591</v>
      </c>
      <c r="K538" s="21" t="e">
        <v>#N/A</v>
      </c>
      <c r="L538" s="22" t="e">
        <v>#N/A</v>
      </c>
    </row>
    <row r="539" spans="1:12" s="1" customFormat="1">
      <c r="A539" s="4" t="s">
        <v>4592</v>
      </c>
      <c r="B539" s="4" t="e">
        <v>#VALUE!</v>
      </c>
      <c r="C539" s="3" t="s">
        <v>3750</v>
      </c>
      <c r="D539" s="3" t="e">
        <v>#VALUE!</v>
      </c>
      <c r="E539" s="4" t="e">
        <v>#N/A</v>
      </c>
      <c r="F539" s="4"/>
      <c r="G539" s="5" t="s">
        <v>4593</v>
      </c>
      <c r="H539" s="6" t="e">
        <v>#N/A</v>
      </c>
      <c r="I539" s="21" t="e">
        <v>#N/A</v>
      </c>
      <c r="J539" s="21" t="e">
        <v>#N/A</v>
      </c>
      <c r="K539" s="21" t="e">
        <v>#N/A</v>
      </c>
      <c r="L539" s="22" t="e">
        <v>#N/A</v>
      </c>
    </row>
    <row r="540" spans="1:12" s="1" customFormat="1">
      <c r="A540" s="4" t="s">
        <v>4594</v>
      </c>
      <c r="B540" s="4" t="e">
        <v>#VALUE!</v>
      </c>
      <c r="C540" s="3" t="s">
        <v>3750</v>
      </c>
      <c r="D540" s="3" t="e">
        <v>#VALUE!</v>
      </c>
      <c r="E540" s="4" t="e">
        <v>#N/A</v>
      </c>
      <c r="F540" s="4"/>
      <c r="G540" s="5" t="s">
        <v>1218</v>
      </c>
      <c r="H540" s="6" t="e">
        <v>#N/A</v>
      </c>
      <c r="I540" s="21" t="e">
        <v>#N/A</v>
      </c>
      <c r="J540" s="21" t="e">
        <v>#N/A</v>
      </c>
      <c r="K540" s="21" t="e">
        <v>#N/A</v>
      </c>
      <c r="L540" s="22" t="e">
        <v>#N/A</v>
      </c>
    </row>
    <row r="541" spans="1:12" s="1" customFormat="1">
      <c r="A541" s="4" t="s">
        <v>4595</v>
      </c>
      <c r="B541" s="4" t="e">
        <v>#VALUE!</v>
      </c>
      <c r="C541" s="3" t="s">
        <v>3750</v>
      </c>
      <c r="D541" s="3" t="e">
        <v>#VALUE!</v>
      </c>
      <c r="E541" s="4" t="e">
        <v>#N/A</v>
      </c>
      <c r="F541" s="4"/>
      <c r="G541" s="5" t="s">
        <v>4596</v>
      </c>
      <c r="H541" s="6" t="e">
        <v>#N/A</v>
      </c>
      <c r="I541" s="21" t="e">
        <v>#N/A</v>
      </c>
      <c r="J541" s="21" t="e">
        <v>#N/A</v>
      </c>
      <c r="K541" s="21" t="e">
        <v>#N/A</v>
      </c>
      <c r="L541" s="22" t="e">
        <v>#N/A</v>
      </c>
    </row>
    <row r="542" spans="1:12" s="1" customFormat="1">
      <c r="A542" s="4" t="s">
        <v>4597</v>
      </c>
      <c r="B542" s="4" t="e">
        <v>#VALUE!</v>
      </c>
      <c r="C542" s="3" t="s">
        <v>3750</v>
      </c>
      <c r="D542" s="3" t="e">
        <v>#VALUE!</v>
      </c>
      <c r="E542" s="4" t="s">
        <v>737</v>
      </c>
      <c r="F542" s="4"/>
      <c r="G542" s="5" t="s">
        <v>4598</v>
      </c>
      <c r="H542" s="6" t="s">
        <v>4599</v>
      </c>
      <c r="I542" s="21" t="e">
        <v>#N/A</v>
      </c>
      <c r="J542" s="21" t="e">
        <v>#N/A</v>
      </c>
      <c r="K542" s="21" t="e">
        <v>#N/A</v>
      </c>
      <c r="L542" s="22" t="e">
        <v>#N/A</v>
      </c>
    </row>
    <row r="543" spans="1:12" s="1" customFormat="1">
      <c r="A543" s="4" t="s">
        <v>4600</v>
      </c>
      <c r="B543" s="4" t="e">
        <v>#VALUE!</v>
      </c>
      <c r="C543" s="3" t="s">
        <v>3750</v>
      </c>
      <c r="D543" s="3" t="e">
        <v>#VALUE!</v>
      </c>
      <c r="E543" s="4" t="e">
        <v>#N/A</v>
      </c>
      <c r="F543" s="4"/>
      <c r="G543" s="5" t="s">
        <v>4601</v>
      </c>
      <c r="H543" s="6" t="e">
        <v>#N/A</v>
      </c>
      <c r="I543" s="21" t="e">
        <v>#N/A</v>
      </c>
      <c r="J543" s="21" t="e">
        <v>#N/A</v>
      </c>
      <c r="K543" s="21" t="e">
        <v>#N/A</v>
      </c>
      <c r="L543" s="22" t="e">
        <v>#N/A</v>
      </c>
    </row>
    <row r="544" spans="1:12" s="1" customFormat="1">
      <c r="A544" s="4" t="s">
        <v>4602</v>
      </c>
      <c r="B544" s="4" t="e">
        <v>#VALUE!</v>
      </c>
      <c r="C544" s="3" t="s">
        <v>3750</v>
      </c>
      <c r="D544" s="3" t="e">
        <v>#VALUE!</v>
      </c>
      <c r="E544" s="4" t="s">
        <v>703</v>
      </c>
      <c r="F544" s="4"/>
      <c r="G544" s="5" t="s">
        <v>4603</v>
      </c>
      <c r="H544" s="6" t="s">
        <v>4604</v>
      </c>
      <c r="I544" s="21" t="e">
        <v>#N/A</v>
      </c>
      <c r="J544" s="21" t="e">
        <v>#N/A</v>
      </c>
      <c r="K544" s="21" t="s">
        <v>4605</v>
      </c>
      <c r="L544" s="22" t="s">
        <v>4606</v>
      </c>
    </row>
    <row r="545" spans="1:12" s="1" customFormat="1">
      <c r="A545" s="4" t="s">
        <v>4607</v>
      </c>
      <c r="B545" s="4" t="e">
        <v>#VALUE!</v>
      </c>
      <c r="C545" s="3" t="s">
        <v>3750</v>
      </c>
      <c r="D545" s="3" t="e">
        <v>#VALUE!</v>
      </c>
      <c r="E545" s="4" t="s">
        <v>1335</v>
      </c>
      <c r="F545" s="4"/>
      <c r="G545" s="5" t="s">
        <v>4608</v>
      </c>
      <c r="H545" s="6" t="s">
        <v>4609</v>
      </c>
      <c r="I545" s="21" t="s">
        <v>4610</v>
      </c>
      <c r="J545" s="21" t="s">
        <v>4611</v>
      </c>
      <c r="K545" s="21" t="s">
        <v>4612</v>
      </c>
      <c r="L545" s="22" t="s">
        <v>4613</v>
      </c>
    </row>
    <row r="546" spans="1:12" s="1" customFormat="1">
      <c r="A546" s="4" t="s">
        <v>4614</v>
      </c>
      <c r="B546" s="4" t="e">
        <v>#VALUE!</v>
      </c>
      <c r="C546" s="3" t="s">
        <v>3750</v>
      </c>
      <c r="D546" s="3" t="e">
        <v>#VALUE!</v>
      </c>
      <c r="E546" s="4" t="e">
        <v>#N/A</v>
      </c>
      <c r="F546" s="4"/>
      <c r="G546" s="5" t="s">
        <v>4615</v>
      </c>
      <c r="H546" s="6" t="s">
        <v>4616</v>
      </c>
      <c r="I546" s="21" t="e">
        <v>#N/A</v>
      </c>
      <c r="J546" s="21" t="e">
        <v>#N/A</v>
      </c>
      <c r="K546" s="21" t="s">
        <v>4617</v>
      </c>
      <c r="L546" s="22" t="s">
        <v>4618</v>
      </c>
    </row>
    <row r="547" spans="1:12" s="1" customFormat="1">
      <c r="A547" s="4" t="s">
        <v>4619</v>
      </c>
      <c r="B547" s="4" t="e">
        <v>#VALUE!</v>
      </c>
      <c r="C547" s="3" t="s">
        <v>3750</v>
      </c>
      <c r="D547" s="3" t="e">
        <v>#VALUE!</v>
      </c>
      <c r="E547" s="4" t="s">
        <v>4620</v>
      </c>
      <c r="F547" s="4"/>
      <c r="G547" s="5" t="s">
        <v>4621</v>
      </c>
      <c r="H547" s="6" t="s">
        <v>4622</v>
      </c>
      <c r="I547" s="21" t="e">
        <v>#N/A</v>
      </c>
      <c r="J547" s="21" t="e">
        <v>#N/A</v>
      </c>
      <c r="K547" s="21" t="s">
        <v>4623</v>
      </c>
      <c r="L547" s="22" t="s">
        <v>4624</v>
      </c>
    </row>
    <row r="548" spans="1:12" s="1" customFormat="1">
      <c r="A548" s="4" t="s">
        <v>4625</v>
      </c>
      <c r="B548" s="4" t="e">
        <v>#VALUE!</v>
      </c>
      <c r="C548" s="3" t="s">
        <v>3750</v>
      </c>
      <c r="D548" s="3" t="e">
        <v>#VALUE!</v>
      </c>
      <c r="E548" s="4" t="e">
        <v>#N/A</v>
      </c>
      <c r="F548" s="4"/>
      <c r="G548" s="5" t="s">
        <v>4626</v>
      </c>
      <c r="H548" s="6" t="e">
        <v>#N/A</v>
      </c>
      <c r="I548" s="21" t="s">
        <v>4627</v>
      </c>
      <c r="J548" s="21" t="s">
        <v>4628</v>
      </c>
      <c r="K548" s="21" t="s">
        <v>4629</v>
      </c>
      <c r="L548" s="22" t="s">
        <v>4630</v>
      </c>
    </row>
    <row r="549" spans="1:12" s="1" customFormat="1">
      <c r="A549" s="4" t="s">
        <v>4631</v>
      </c>
      <c r="B549" s="4" t="e">
        <v>#VALUE!</v>
      </c>
      <c r="C549" s="3" t="s">
        <v>3750</v>
      </c>
      <c r="D549" s="3" t="e">
        <v>#VALUE!</v>
      </c>
      <c r="E549" s="4" t="s">
        <v>4632</v>
      </c>
      <c r="F549" s="4"/>
      <c r="G549" s="5" t="s">
        <v>4633</v>
      </c>
      <c r="H549" s="6" t="s">
        <v>4634</v>
      </c>
      <c r="I549" s="21" t="e">
        <v>#N/A</v>
      </c>
      <c r="J549" s="21" t="e">
        <v>#N/A</v>
      </c>
      <c r="K549" s="21" t="s">
        <v>4635</v>
      </c>
      <c r="L549" s="22" t="s">
        <v>4636</v>
      </c>
    </row>
    <row r="550" spans="1:12" s="1" customFormat="1">
      <c r="A550" s="4" t="s">
        <v>4637</v>
      </c>
      <c r="B550" s="4" t="e">
        <v>#VALUE!</v>
      </c>
      <c r="C550" s="3" t="s">
        <v>3750</v>
      </c>
      <c r="D550" s="3" t="e">
        <v>#VALUE!</v>
      </c>
      <c r="E550" s="4" t="s">
        <v>3122</v>
      </c>
      <c r="F550" s="4"/>
      <c r="G550" s="5" t="s">
        <v>4638</v>
      </c>
      <c r="H550" s="6" t="s">
        <v>4639</v>
      </c>
      <c r="I550" s="21" t="e">
        <v>#N/A</v>
      </c>
      <c r="J550" s="21" t="e">
        <v>#N/A</v>
      </c>
      <c r="K550" s="21" t="s">
        <v>4640</v>
      </c>
      <c r="L550" s="22" t="s">
        <v>4641</v>
      </c>
    </row>
    <row r="551" spans="1:12" s="1" customFormat="1">
      <c r="A551" s="4" t="s">
        <v>4642</v>
      </c>
      <c r="B551" s="4" t="e">
        <v>#VALUE!</v>
      </c>
      <c r="C551" s="3" t="s">
        <v>3750</v>
      </c>
      <c r="D551" s="3" t="e">
        <v>#VALUE!</v>
      </c>
      <c r="E551" s="4" t="s">
        <v>3122</v>
      </c>
      <c r="F551" s="4"/>
      <c r="G551" s="5" t="s">
        <v>4643</v>
      </c>
      <c r="H551" s="6" t="s">
        <v>4644</v>
      </c>
      <c r="I551" s="21" t="e">
        <v>#N/A</v>
      </c>
      <c r="J551" s="21" t="e">
        <v>#N/A</v>
      </c>
      <c r="K551" s="21" t="s">
        <v>4645</v>
      </c>
      <c r="L551" s="22" t="s">
        <v>4646</v>
      </c>
    </row>
    <row r="552" spans="1:12" s="1" customFormat="1">
      <c r="A552" s="4" t="s">
        <v>4647</v>
      </c>
      <c r="B552" s="4" t="e">
        <v>#VALUE!</v>
      </c>
      <c r="C552" s="3" t="s">
        <v>3750</v>
      </c>
      <c r="D552" s="3" t="e">
        <v>#VALUE!</v>
      </c>
      <c r="E552" s="4" t="s">
        <v>1187</v>
      </c>
      <c r="F552" s="4"/>
      <c r="G552" s="5" t="s">
        <v>4648</v>
      </c>
      <c r="H552" s="6" t="s">
        <v>4649</v>
      </c>
      <c r="I552" s="21" t="s">
        <v>4650</v>
      </c>
      <c r="J552" s="21" t="s">
        <v>4651</v>
      </c>
      <c r="K552" s="21" t="s">
        <v>4652</v>
      </c>
      <c r="L552" s="22" t="s">
        <v>4653</v>
      </c>
    </row>
    <row r="553" spans="1:12" s="1" customFormat="1">
      <c r="A553" s="4" t="s">
        <v>4654</v>
      </c>
      <c r="B553" s="4" t="e">
        <v>#VALUE!</v>
      </c>
      <c r="C553" s="3" t="s">
        <v>3750</v>
      </c>
      <c r="D553" s="3" t="e">
        <v>#VALUE!</v>
      </c>
      <c r="E553" s="4" t="s">
        <v>1262</v>
      </c>
      <c r="F553" s="4"/>
      <c r="G553" s="5" t="s">
        <v>4655</v>
      </c>
      <c r="H553" s="6" t="s">
        <v>4656</v>
      </c>
      <c r="I553" s="21" t="s">
        <v>4657</v>
      </c>
      <c r="J553" s="21" t="s">
        <v>4658</v>
      </c>
      <c r="K553" s="21" t="s">
        <v>4659</v>
      </c>
      <c r="L553" s="22" t="s">
        <v>4660</v>
      </c>
    </row>
    <row r="554" spans="1:12" s="1" customFormat="1">
      <c r="A554" s="4" t="s">
        <v>4661</v>
      </c>
      <c r="B554" s="4" t="e">
        <v>#VALUE!</v>
      </c>
      <c r="C554" s="3" t="s">
        <v>3750</v>
      </c>
      <c r="D554" s="3" t="e">
        <v>#VALUE!</v>
      </c>
      <c r="E554" s="4" t="s">
        <v>1335</v>
      </c>
      <c r="F554" s="4"/>
      <c r="G554" s="5" t="s">
        <v>4662</v>
      </c>
      <c r="H554" s="6" t="s">
        <v>4663</v>
      </c>
      <c r="I554" s="21" t="e">
        <v>#N/A</v>
      </c>
      <c r="J554" s="21" t="e">
        <v>#N/A</v>
      </c>
      <c r="K554" s="21" t="s">
        <v>4664</v>
      </c>
      <c r="L554" s="22" t="s">
        <v>4665</v>
      </c>
    </row>
    <row r="555" spans="1:12" s="1" customFormat="1">
      <c r="A555" s="4" t="s">
        <v>4666</v>
      </c>
      <c r="B555" s="4" t="e">
        <v>#VALUE!</v>
      </c>
      <c r="C555" s="3" t="s">
        <v>3750</v>
      </c>
      <c r="D555" s="3" t="e">
        <v>#VALUE!</v>
      </c>
      <c r="E555" s="4" t="e">
        <v>#N/A</v>
      </c>
      <c r="F555" s="4"/>
      <c r="G555" s="5" t="s">
        <v>4667</v>
      </c>
      <c r="H555" s="6" t="e">
        <v>#N/A</v>
      </c>
      <c r="I555" s="21" t="e">
        <v>#N/A</v>
      </c>
      <c r="J555" s="21" t="e">
        <v>#N/A</v>
      </c>
      <c r="K555" s="21" t="e">
        <v>#N/A</v>
      </c>
      <c r="L555" s="22" t="e">
        <v>#N/A</v>
      </c>
    </row>
    <row r="556" spans="1:12" s="1" customFormat="1">
      <c r="A556" s="4" t="s">
        <v>4668</v>
      </c>
      <c r="B556" s="4" t="e">
        <v>#VALUE!</v>
      </c>
      <c r="C556" s="3" t="s">
        <v>3750</v>
      </c>
      <c r="D556" s="3" t="e">
        <v>#VALUE!</v>
      </c>
      <c r="E556" s="4" t="e">
        <v>#N/A</v>
      </c>
      <c r="F556" s="4"/>
      <c r="G556" s="5" t="s">
        <v>4669</v>
      </c>
      <c r="H556" s="6" t="e">
        <v>#N/A</v>
      </c>
      <c r="I556" s="21" t="e">
        <v>#N/A</v>
      </c>
      <c r="J556" s="21" t="e">
        <v>#N/A</v>
      </c>
      <c r="K556" s="21" t="e">
        <v>#N/A</v>
      </c>
      <c r="L556" s="22" t="e">
        <v>#N/A</v>
      </c>
    </row>
    <row r="557" spans="1:12" s="1" customFormat="1">
      <c r="A557" s="4" t="s">
        <v>4670</v>
      </c>
      <c r="B557" s="4" t="e">
        <v>#VALUE!</v>
      </c>
      <c r="C557" s="3" t="s">
        <v>3750</v>
      </c>
      <c r="D557" s="3" t="e">
        <v>#VALUE!</v>
      </c>
      <c r="E557" s="4" t="s">
        <v>3133</v>
      </c>
      <c r="F557" s="4"/>
      <c r="G557" s="5" t="s">
        <v>4671</v>
      </c>
      <c r="H557" s="6" t="s">
        <v>4672</v>
      </c>
      <c r="I557" s="21" t="e">
        <v>#N/A</v>
      </c>
      <c r="J557" s="21" t="e">
        <v>#N/A</v>
      </c>
      <c r="K557" s="21" t="e">
        <v>#N/A</v>
      </c>
      <c r="L557" s="22" t="e">
        <v>#N/A</v>
      </c>
    </row>
    <row r="558" spans="1:12" s="1" customFormat="1">
      <c r="A558" s="4" t="s">
        <v>4673</v>
      </c>
      <c r="B558" s="4" t="e">
        <v>#VALUE!</v>
      </c>
      <c r="C558" s="3" t="s">
        <v>3750</v>
      </c>
      <c r="D558" s="3" t="e">
        <v>#VALUE!</v>
      </c>
      <c r="E558" s="4" t="s">
        <v>3170</v>
      </c>
      <c r="F558" s="4"/>
      <c r="G558" s="5" t="s">
        <v>4674</v>
      </c>
      <c r="H558" s="6" t="s">
        <v>4675</v>
      </c>
      <c r="I558" s="21" t="s">
        <v>4676</v>
      </c>
      <c r="J558" s="21" t="s">
        <v>4677</v>
      </c>
      <c r="K558" s="21" t="s">
        <v>4678</v>
      </c>
      <c r="L558" s="22" t="s">
        <v>4679</v>
      </c>
    </row>
    <row r="559" spans="1:12" s="1" customFormat="1">
      <c r="A559" s="4" t="s">
        <v>4680</v>
      </c>
      <c r="B559" s="4" t="e">
        <v>#VALUE!</v>
      </c>
      <c r="C559" s="3" t="s">
        <v>3750</v>
      </c>
      <c r="D559" s="3" t="e">
        <v>#VALUE!</v>
      </c>
      <c r="E559" s="4" t="s">
        <v>1051</v>
      </c>
      <c r="F559" s="4"/>
      <c r="G559" s="5" t="s">
        <v>4681</v>
      </c>
      <c r="H559" s="6" t="s">
        <v>4682</v>
      </c>
      <c r="I559" s="21" t="e">
        <v>#N/A</v>
      </c>
      <c r="J559" s="21" t="e">
        <v>#N/A</v>
      </c>
      <c r="K559" s="21" t="s">
        <v>4683</v>
      </c>
      <c r="L559" s="22" t="s">
        <v>4684</v>
      </c>
    </row>
    <row r="560" spans="1:12" s="1" customFormat="1">
      <c r="A560" s="4" t="s">
        <v>4685</v>
      </c>
      <c r="B560" s="4" t="e">
        <v>#VALUE!</v>
      </c>
      <c r="C560" s="3" t="s">
        <v>3750</v>
      </c>
      <c r="D560" s="3" t="e">
        <v>#VALUE!</v>
      </c>
      <c r="E560" s="4" t="s">
        <v>3170</v>
      </c>
      <c r="F560" s="4"/>
      <c r="G560" s="5" t="s">
        <v>4686</v>
      </c>
      <c r="H560" s="6" t="s">
        <v>4687</v>
      </c>
      <c r="I560" s="21" t="s">
        <v>4688</v>
      </c>
      <c r="J560" s="21" t="s">
        <v>4689</v>
      </c>
      <c r="K560" s="21" t="s">
        <v>4690</v>
      </c>
      <c r="L560" s="22" t="s">
        <v>4691</v>
      </c>
    </row>
    <row r="561" spans="1:12" s="1" customFormat="1">
      <c r="A561" s="4" t="s">
        <v>4692</v>
      </c>
      <c r="B561" s="4" t="e">
        <v>#VALUE!</v>
      </c>
      <c r="C561" s="3" t="s">
        <v>3750</v>
      </c>
      <c r="D561" s="3" t="e">
        <v>#VALUE!</v>
      </c>
      <c r="E561" s="4" t="s">
        <v>2074</v>
      </c>
      <c r="F561" s="4"/>
      <c r="G561" s="5" t="s">
        <v>4693</v>
      </c>
      <c r="H561" s="6" t="s">
        <v>4694</v>
      </c>
      <c r="I561" s="21" t="e">
        <v>#N/A</v>
      </c>
      <c r="J561" s="21" t="e">
        <v>#N/A</v>
      </c>
      <c r="K561" s="21" t="s">
        <v>4695</v>
      </c>
      <c r="L561" s="22" t="s">
        <v>4696</v>
      </c>
    </row>
    <row r="562" spans="1:12" s="1" customFormat="1">
      <c r="A562" s="4" t="s">
        <v>4697</v>
      </c>
      <c r="B562" s="4" t="e">
        <v>#VALUE!</v>
      </c>
      <c r="C562" s="3" t="s">
        <v>3750</v>
      </c>
      <c r="D562" s="3" t="e">
        <v>#VALUE!</v>
      </c>
      <c r="E562" s="4" t="s">
        <v>1721</v>
      </c>
      <c r="F562" s="4"/>
      <c r="G562" s="5" t="s">
        <v>4698</v>
      </c>
      <c r="H562" s="6" t="s">
        <v>4699</v>
      </c>
      <c r="I562" s="21" t="s">
        <v>4700</v>
      </c>
      <c r="J562" s="21" t="s">
        <v>4701</v>
      </c>
      <c r="K562" s="21" t="s">
        <v>4702</v>
      </c>
      <c r="L562" s="22" t="s">
        <v>4703</v>
      </c>
    </row>
    <row r="563" spans="1:12" s="1" customFormat="1">
      <c r="A563" s="4" t="s">
        <v>4704</v>
      </c>
      <c r="B563" s="4" t="e">
        <v>#VALUE!</v>
      </c>
      <c r="C563" s="3" t="s">
        <v>3750</v>
      </c>
      <c r="D563" s="3" t="e">
        <v>#VALUE!</v>
      </c>
      <c r="E563" s="4" t="s">
        <v>1834</v>
      </c>
      <c r="F563" s="4"/>
      <c r="G563" s="5" t="s">
        <v>4705</v>
      </c>
      <c r="H563" s="6" t="s">
        <v>4706</v>
      </c>
      <c r="I563" s="21" t="e">
        <v>#N/A</v>
      </c>
      <c r="J563" s="21" t="e">
        <v>#N/A</v>
      </c>
      <c r="K563" s="21" t="s">
        <v>4707</v>
      </c>
      <c r="L563" s="22" t="s">
        <v>4708</v>
      </c>
    </row>
    <row r="564" spans="1:12" s="1" customFormat="1">
      <c r="A564" s="4" t="s">
        <v>4709</v>
      </c>
      <c r="B564" s="4" t="e">
        <v>#VALUE!</v>
      </c>
      <c r="C564" s="3" t="s">
        <v>3750</v>
      </c>
      <c r="D564" s="3" t="e">
        <v>#VALUE!</v>
      </c>
      <c r="E564" s="4" t="e">
        <v>#N/A</v>
      </c>
      <c r="F564" s="4"/>
      <c r="G564" s="5" t="s">
        <v>4710</v>
      </c>
      <c r="H564" s="6" t="s">
        <v>4711</v>
      </c>
      <c r="I564" s="21" t="s">
        <v>4712</v>
      </c>
      <c r="J564" s="21" t="s">
        <v>4713</v>
      </c>
      <c r="K564" s="21" t="e">
        <v>#N/A</v>
      </c>
      <c r="L564" s="22" t="s">
        <v>4714</v>
      </c>
    </row>
    <row r="565" spans="1:12" s="1" customFormat="1">
      <c r="A565" s="4" t="s">
        <v>4715</v>
      </c>
      <c r="B565" s="4" t="e">
        <v>#VALUE!</v>
      </c>
      <c r="C565" s="3" t="s">
        <v>3750</v>
      </c>
      <c r="D565" s="3" t="e">
        <v>#VALUE!</v>
      </c>
      <c r="E565" s="4" t="s">
        <v>4716</v>
      </c>
      <c r="F565" s="4"/>
      <c r="G565" s="5" t="s">
        <v>4717</v>
      </c>
      <c r="H565" s="6" t="s">
        <v>4718</v>
      </c>
      <c r="I565" s="21" t="e">
        <v>#N/A</v>
      </c>
      <c r="J565" s="21" t="e">
        <v>#N/A</v>
      </c>
      <c r="K565" s="21" t="e">
        <v>#N/A</v>
      </c>
      <c r="L565" s="22" t="s">
        <v>4719</v>
      </c>
    </row>
    <row r="566" spans="1:12" s="1" customFormat="1">
      <c r="A566" s="4" t="s">
        <v>4720</v>
      </c>
      <c r="B566" s="4" t="e">
        <v>#VALUE!</v>
      </c>
      <c r="C566" s="3" t="s">
        <v>3750</v>
      </c>
      <c r="D566" s="3" t="e">
        <v>#VALUE!</v>
      </c>
      <c r="E566" s="4" t="s">
        <v>4721</v>
      </c>
      <c r="F566" s="4"/>
      <c r="G566" s="5" t="s">
        <v>4722</v>
      </c>
      <c r="H566" s="6" t="s">
        <v>4723</v>
      </c>
      <c r="I566" s="21" t="e">
        <v>#N/A</v>
      </c>
      <c r="J566" s="21" t="e">
        <v>#N/A</v>
      </c>
      <c r="K566" s="21" t="e">
        <v>#N/A</v>
      </c>
      <c r="L566" s="22" t="e">
        <v>#N/A</v>
      </c>
    </row>
    <row r="567" spans="1:12" s="1" customFormat="1">
      <c r="A567" s="4" t="s">
        <v>4724</v>
      </c>
      <c r="B567" s="4" t="e">
        <v>#VALUE!</v>
      </c>
      <c r="C567" s="3" t="s">
        <v>3750</v>
      </c>
      <c r="D567" s="3" t="e">
        <v>#VALUE!</v>
      </c>
      <c r="E567" s="4" t="s">
        <v>4721</v>
      </c>
      <c r="F567" s="4"/>
      <c r="G567" s="5" t="s">
        <v>4725</v>
      </c>
      <c r="H567" s="6" t="s">
        <v>4726</v>
      </c>
      <c r="I567" s="21" t="s">
        <v>4727</v>
      </c>
      <c r="J567" s="21" t="s">
        <v>4728</v>
      </c>
      <c r="K567" s="21" t="e">
        <v>#N/A</v>
      </c>
      <c r="L567" s="22" t="e">
        <v>#N/A</v>
      </c>
    </row>
    <row r="568" spans="1:12" s="1" customFormat="1">
      <c r="A568" s="4" t="s">
        <v>4729</v>
      </c>
      <c r="B568" s="4" t="e">
        <v>#VALUE!</v>
      </c>
      <c r="C568" s="3" t="s">
        <v>3750</v>
      </c>
      <c r="D568" s="3" t="e">
        <v>#VALUE!</v>
      </c>
      <c r="E568" s="4" t="s">
        <v>4716</v>
      </c>
      <c r="F568" s="4"/>
      <c r="G568" s="5" t="s">
        <v>4730</v>
      </c>
      <c r="H568" s="6" t="s">
        <v>4731</v>
      </c>
      <c r="I568" s="21" t="s">
        <v>4732</v>
      </c>
      <c r="J568" s="21" t="s">
        <v>4733</v>
      </c>
      <c r="K568" s="21" t="e">
        <v>#N/A</v>
      </c>
      <c r="L568" s="22" t="s">
        <v>4734</v>
      </c>
    </row>
    <row r="569" spans="1:12" s="1" customFormat="1">
      <c r="A569" s="4" t="s">
        <v>4735</v>
      </c>
      <c r="B569" s="4" t="e">
        <v>#VALUE!</v>
      </c>
      <c r="C569" s="3" t="s">
        <v>3750</v>
      </c>
      <c r="D569" s="3" t="e">
        <v>#VALUE!</v>
      </c>
      <c r="E569" s="4" t="s">
        <v>694</v>
      </c>
      <c r="F569" s="4"/>
      <c r="G569" s="5" t="s">
        <v>4736</v>
      </c>
      <c r="H569" s="6" t="s">
        <v>1090</v>
      </c>
      <c r="I569" s="21" t="s">
        <v>4737</v>
      </c>
      <c r="J569" s="21" t="s">
        <v>4738</v>
      </c>
      <c r="K569" s="21" t="e">
        <v>#N/A</v>
      </c>
      <c r="L569" s="22" t="e">
        <v>#N/A</v>
      </c>
    </row>
    <row r="570" spans="1:12" s="1" customFormat="1">
      <c r="A570" s="4" t="s">
        <v>4739</v>
      </c>
      <c r="B570" s="4" t="e">
        <v>#VALUE!</v>
      </c>
      <c r="C570" s="3" t="s">
        <v>3750</v>
      </c>
      <c r="D570" s="3" t="e">
        <v>#VALUE!</v>
      </c>
      <c r="E570" s="4" t="s">
        <v>4739</v>
      </c>
      <c r="F570" s="4"/>
      <c r="G570" s="5" t="s">
        <v>4740</v>
      </c>
      <c r="H570" s="6" t="s">
        <v>4741</v>
      </c>
      <c r="I570" s="21" t="s">
        <v>4742</v>
      </c>
      <c r="J570" s="21" t="s">
        <v>4743</v>
      </c>
      <c r="K570" s="21" t="e">
        <v>#N/A</v>
      </c>
      <c r="L570" s="22" t="e">
        <v>#N/A</v>
      </c>
    </row>
    <row r="571" spans="1:12" s="1" customFormat="1">
      <c r="A571" s="4" t="s">
        <v>4744</v>
      </c>
      <c r="B571" s="4" t="e">
        <v>#VALUE!</v>
      </c>
      <c r="C571" s="3" t="s">
        <v>3750</v>
      </c>
      <c r="D571" s="3" t="e">
        <v>#VALUE!</v>
      </c>
      <c r="E571" s="4" t="e">
        <v>#N/A</v>
      </c>
      <c r="F571" s="4"/>
      <c r="G571" s="5" t="s">
        <v>4745</v>
      </c>
      <c r="H571" s="6" t="s">
        <v>4746</v>
      </c>
      <c r="I571" s="21" t="e">
        <v>#N/A</v>
      </c>
      <c r="J571" s="21" t="e">
        <v>#N/A</v>
      </c>
      <c r="K571" s="21" t="e">
        <v>#N/A</v>
      </c>
      <c r="L571" s="22" t="e">
        <v>#N/A</v>
      </c>
    </row>
    <row r="572" spans="1:12" s="1" customFormat="1">
      <c r="A572" s="4" t="s">
        <v>4747</v>
      </c>
      <c r="B572" s="4" t="e">
        <v>#VALUE!</v>
      </c>
      <c r="C572" s="3" t="s">
        <v>3750</v>
      </c>
      <c r="D572" s="3" t="e">
        <v>#VALUE!</v>
      </c>
      <c r="E572" s="4" t="e">
        <v>#N/A</v>
      </c>
      <c r="F572" s="4"/>
      <c r="G572" s="5" t="s">
        <v>4748</v>
      </c>
      <c r="H572" s="6" t="s">
        <v>4749</v>
      </c>
      <c r="I572" s="21" t="e">
        <v>#N/A</v>
      </c>
      <c r="J572" s="21" t="e">
        <v>#N/A</v>
      </c>
      <c r="K572" s="21" t="s">
        <v>4750</v>
      </c>
      <c r="L572" s="22" t="e">
        <v>#N/A</v>
      </c>
    </row>
    <row r="573" spans="1:12" s="1" customFormat="1">
      <c r="A573" s="4" t="s">
        <v>3159</v>
      </c>
      <c r="B573" s="4" t="e">
        <v>#VALUE!</v>
      </c>
      <c r="C573" s="3" t="s">
        <v>3750</v>
      </c>
      <c r="D573" s="3" t="e">
        <v>#VALUE!</v>
      </c>
      <c r="E573" s="4" t="s">
        <v>3159</v>
      </c>
      <c r="F573" s="4"/>
      <c r="G573" s="5" t="s">
        <v>4751</v>
      </c>
      <c r="H573" s="6" t="s">
        <v>4752</v>
      </c>
      <c r="I573" s="21" t="s">
        <v>4753</v>
      </c>
      <c r="J573" s="21" t="s">
        <v>4754</v>
      </c>
      <c r="K573" s="21" t="s">
        <v>4755</v>
      </c>
      <c r="L573" s="22" t="e">
        <v>#N/A</v>
      </c>
    </row>
    <row r="574" spans="1:12" s="1" customFormat="1">
      <c r="A574" s="4" t="s">
        <v>3163</v>
      </c>
      <c r="B574" s="4" t="e">
        <v>#VALUE!</v>
      </c>
      <c r="C574" s="3" t="s">
        <v>3750</v>
      </c>
      <c r="D574" s="3" t="e">
        <v>#VALUE!</v>
      </c>
      <c r="E574" s="4" t="s">
        <v>3163</v>
      </c>
      <c r="F574" s="4"/>
      <c r="G574" s="5" t="s">
        <v>4756</v>
      </c>
      <c r="H574" s="6" t="s">
        <v>4757</v>
      </c>
      <c r="I574" s="21" t="s">
        <v>4758</v>
      </c>
      <c r="J574" s="21" t="s">
        <v>4759</v>
      </c>
      <c r="K574" s="21" t="s">
        <v>4760</v>
      </c>
      <c r="L574" s="22" t="e">
        <v>#N/A</v>
      </c>
    </row>
    <row r="575" spans="1:12" s="1" customFormat="1">
      <c r="A575" s="4" t="s">
        <v>4761</v>
      </c>
      <c r="B575" s="4" t="e">
        <v>#VALUE!</v>
      </c>
      <c r="C575" s="3" t="s">
        <v>3750</v>
      </c>
      <c r="D575" s="3" t="e">
        <v>#VALUE!</v>
      </c>
      <c r="E575" s="4" t="s">
        <v>4761</v>
      </c>
      <c r="F575" s="4"/>
      <c r="G575" s="5" t="s">
        <v>4762</v>
      </c>
      <c r="H575" s="6" t="e">
        <v>#N/A</v>
      </c>
      <c r="I575" s="21" t="e">
        <v>#N/A</v>
      </c>
      <c r="J575" s="21" t="e">
        <v>#N/A</v>
      </c>
      <c r="K575" s="21" t="e">
        <v>#N/A</v>
      </c>
      <c r="L575" s="22" t="e">
        <v>#N/A</v>
      </c>
    </row>
    <row r="576" spans="1:12" s="1" customFormat="1">
      <c r="A576" s="4" t="s">
        <v>4763</v>
      </c>
      <c r="B576" s="4" t="e">
        <v>#VALUE!</v>
      </c>
      <c r="C576" s="3" t="s">
        <v>3750</v>
      </c>
      <c r="D576" s="3" t="e">
        <v>#VALUE!</v>
      </c>
      <c r="E576" s="4" t="e">
        <v>#N/A</v>
      </c>
      <c r="F576" s="4"/>
      <c r="G576" s="5" t="s">
        <v>4764</v>
      </c>
      <c r="H576" s="6" t="s">
        <v>4765</v>
      </c>
      <c r="I576" s="21" t="s">
        <v>4766</v>
      </c>
      <c r="J576" s="21" t="s">
        <v>4767</v>
      </c>
      <c r="K576" s="21" t="s">
        <v>4768</v>
      </c>
      <c r="L576" s="22" t="e">
        <v>#N/A</v>
      </c>
    </row>
    <row r="577" spans="1:12" s="1" customFormat="1">
      <c r="A577" s="4" t="s">
        <v>4769</v>
      </c>
      <c r="B577" s="4" t="e">
        <v>#VALUE!</v>
      </c>
      <c r="C577" s="3" t="s">
        <v>3750</v>
      </c>
      <c r="D577" s="3" t="e">
        <v>#VALUE!</v>
      </c>
      <c r="E577" s="4" t="e">
        <v>#N/A</v>
      </c>
      <c r="F577" s="4"/>
      <c r="G577" s="5" t="s">
        <v>4770</v>
      </c>
      <c r="H577" s="6" t="s">
        <v>4771</v>
      </c>
      <c r="I577" s="21" t="e">
        <v>#N/A</v>
      </c>
      <c r="J577" s="21" t="e">
        <v>#N/A</v>
      </c>
      <c r="K577" s="21" t="s">
        <v>4772</v>
      </c>
      <c r="L577" s="22" t="e">
        <v>#N/A</v>
      </c>
    </row>
    <row r="578" spans="1:12" s="1" customFormat="1">
      <c r="A578" s="4" t="s">
        <v>4773</v>
      </c>
      <c r="B578" s="4" t="e">
        <v>#VALUE!</v>
      </c>
      <c r="C578" s="3" t="s">
        <v>3750</v>
      </c>
      <c r="D578" s="3" t="e">
        <v>#VALUE!</v>
      </c>
      <c r="E578" s="4" t="e">
        <v>#N/A</v>
      </c>
      <c r="F578" s="4"/>
      <c r="G578" s="5" t="s">
        <v>4774</v>
      </c>
      <c r="H578" s="6" t="s">
        <v>4775</v>
      </c>
      <c r="I578" s="21" t="e">
        <v>#N/A</v>
      </c>
      <c r="J578" s="21" t="e">
        <v>#N/A</v>
      </c>
      <c r="K578" s="21" t="s">
        <v>4776</v>
      </c>
      <c r="L578" s="22" t="e">
        <v>#N/A</v>
      </c>
    </row>
    <row r="579" spans="1:12" s="1" customFormat="1">
      <c r="A579" s="4" t="s">
        <v>4777</v>
      </c>
      <c r="B579" s="4" t="e">
        <v>#VALUE!</v>
      </c>
      <c r="C579" s="3" t="s">
        <v>3750</v>
      </c>
      <c r="D579" s="3" t="e">
        <v>#VALUE!</v>
      </c>
      <c r="E579" s="4" t="e">
        <v>#N/A</v>
      </c>
      <c r="F579" s="4"/>
      <c r="G579" s="5" t="s">
        <v>4778</v>
      </c>
      <c r="H579" s="6" t="s">
        <v>4779</v>
      </c>
      <c r="I579" s="21" t="e">
        <v>#N/A</v>
      </c>
      <c r="J579" s="21" t="e">
        <v>#N/A</v>
      </c>
      <c r="K579" s="21" t="s">
        <v>4780</v>
      </c>
      <c r="L579" s="22" t="e">
        <v>#N/A</v>
      </c>
    </row>
    <row r="580" spans="1:12" s="1" customFormat="1">
      <c r="A580" s="4" t="s">
        <v>4781</v>
      </c>
      <c r="B580" s="4" t="e">
        <v>#VALUE!</v>
      </c>
      <c r="C580" s="3" t="s">
        <v>3750</v>
      </c>
      <c r="D580" s="3" t="e">
        <v>#VALUE!</v>
      </c>
      <c r="E580" s="4" t="s">
        <v>1294</v>
      </c>
      <c r="F580" s="4"/>
      <c r="G580" s="5" t="s">
        <v>4782</v>
      </c>
      <c r="H580" s="6" t="s">
        <v>1296</v>
      </c>
      <c r="I580" s="21" t="e">
        <v>#N/A</v>
      </c>
      <c r="J580" s="21" t="e">
        <v>#N/A</v>
      </c>
      <c r="K580" s="21" t="s">
        <v>4783</v>
      </c>
      <c r="L580" s="22" t="s">
        <v>4784</v>
      </c>
    </row>
    <row r="581" spans="1:12" s="1" customFormat="1">
      <c r="A581" s="4" t="s">
        <v>4785</v>
      </c>
      <c r="B581" s="4" t="e">
        <v>#VALUE!</v>
      </c>
      <c r="C581" s="3" t="s">
        <v>3750</v>
      </c>
      <c r="D581" s="3" t="e">
        <v>#VALUE!</v>
      </c>
      <c r="E581" s="4" t="s">
        <v>1294</v>
      </c>
      <c r="F581" s="4"/>
      <c r="G581" s="5" t="s">
        <v>4786</v>
      </c>
      <c r="H581" s="6" t="s">
        <v>4787</v>
      </c>
      <c r="I581" s="21" t="s">
        <v>4788</v>
      </c>
      <c r="J581" s="21" t="s">
        <v>4789</v>
      </c>
      <c r="K581" s="21" t="s">
        <v>4790</v>
      </c>
      <c r="L581" s="22" t="s">
        <v>4791</v>
      </c>
    </row>
    <row r="582" spans="1:12" s="1" customFormat="1">
      <c r="A582" s="4" t="s">
        <v>4792</v>
      </c>
      <c r="B582" s="4" t="e">
        <v>#VALUE!</v>
      </c>
      <c r="C582" s="3" t="s">
        <v>3750</v>
      </c>
      <c r="D582" s="3" t="e">
        <v>#VALUE!</v>
      </c>
      <c r="E582" s="4" t="s">
        <v>1533</v>
      </c>
      <c r="F582" s="4"/>
      <c r="G582" s="5" t="s">
        <v>4793</v>
      </c>
      <c r="H582" s="6" t="s">
        <v>4794</v>
      </c>
      <c r="I582" s="21" t="e">
        <v>#N/A</v>
      </c>
      <c r="J582" s="21" t="e">
        <v>#N/A</v>
      </c>
      <c r="K582" s="21" t="s">
        <v>4795</v>
      </c>
      <c r="L582" s="22" t="s">
        <v>4796</v>
      </c>
    </row>
    <row r="583" spans="1:12" s="1" customFormat="1">
      <c r="A583" s="4" t="s">
        <v>4797</v>
      </c>
      <c r="B583" s="4" t="e">
        <v>#VALUE!</v>
      </c>
      <c r="C583" s="3" t="s">
        <v>3750</v>
      </c>
      <c r="D583" s="3" t="e">
        <v>#VALUE!</v>
      </c>
      <c r="E583" s="4" t="s">
        <v>1533</v>
      </c>
      <c r="F583" s="4"/>
      <c r="G583" s="5" t="s">
        <v>4798</v>
      </c>
      <c r="H583" s="6" t="s">
        <v>1535</v>
      </c>
      <c r="I583" s="21" t="e">
        <v>#N/A</v>
      </c>
      <c r="J583" s="21" t="e">
        <v>#N/A</v>
      </c>
      <c r="K583" s="21" t="s">
        <v>4799</v>
      </c>
      <c r="L583" s="22" t="s">
        <v>4800</v>
      </c>
    </row>
    <row r="584" spans="1:12" s="1" customFormat="1">
      <c r="A584" s="4" t="s">
        <v>4801</v>
      </c>
      <c r="B584" s="4" t="e">
        <v>#VALUE!</v>
      </c>
      <c r="C584" s="3" t="s">
        <v>3750</v>
      </c>
      <c r="D584" s="3" t="e">
        <v>#VALUE!</v>
      </c>
      <c r="E584" s="4" t="e">
        <v>#N/A</v>
      </c>
      <c r="F584" s="4"/>
      <c r="G584" s="5" t="s">
        <v>4802</v>
      </c>
      <c r="H584" s="6" t="s">
        <v>4803</v>
      </c>
      <c r="I584" s="21" t="e">
        <v>#N/A</v>
      </c>
      <c r="J584" s="21" t="e">
        <v>#N/A</v>
      </c>
      <c r="K584" s="21" t="s">
        <v>4804</v>
      </c>
      <c r="L584" s="22" t="s">
        <v>4805</v>
      </c>
    </row>
    <row r="585" spans="1:12" s="1" customFormat="1">
      <c r="A585" s="4" t="s">
        <v>4806</v>
      </c>
      <c r="B585" s="4" t="e">
        <v>#VALUE!</v>
      </c>
      <c r="C585" s="3" t="s">
        <v>3750</v>
      </c>
      <c r="D585" s="3" t="e">
        <v>#VALUE!</v>
      </c>
      <c r="E585" s="4" t="e">
        <v>#N/A</v>
      </c>
      <c r="F585" s="4"/>
      <c r="G585" s="5" t="s">
        <v>4807</v>
      </c>
      <c r="H585" s="6" t="s">
        <v>4808</v>
      </c>
      <c r="I585" s="21" t="e">
        <v>#N/A</v>
      </c>
      <c r="J585" s="21" t="e">
        <v>#N/A</v>
      </c>
      <c r="K585" s="21" t="s">
        <v>4809</v>
      </c>
      <c r="L585" s="22" t="s">
        <v>4810</v>
      </c>
    </row>
    <row r="586" spans="1:12" s="1" customFormat="1">
      <c r="A586" s="4" t="s">
        <v>4811</v>
      </c>
      <c r="B586" s="4" t="e">
        <v>#VALUE!</v>
      </c>
      <c r="C586" s="3" t="s">
        <v>3750</v>
      </c>
      <c r="D586" s="3" t="e">
        <v>#VALUE!</v>
      </c>
      <c r="E586" s="4" t="e">
        <v>#N/A</v>
      </c>
      <c r="F586" s="4"/>
      <c r="G586" s="5" t="s">
        <v>4812</v>
      </c>
      <c r="H586" s="6" t="s">
        <v>4813</v>
      </c>
      <c r="I586" s="21" t="e">
        <v>#N/A</v>
      </c>
      <c r="J586" s="21" t="e">
        <v>#N/A</v>
      </c>
      <c r="K586" s="21" t="s">
        <v>4814</v>
      </c>
      <c r="L586" s="22" t="s">
        <v>4815</v>
      </c>
    </row>
    <row r="587" spans="1:12" s="1" customFormat="1">
      <c r="A587" s="4" t="s">
        <v>4816</v>
      </c>
      <c r="B587" s="4" t="e">
        <v>#VALUE!</v>
      </c>
      <c r="C587" s="3" t="s">
        <v>3750</v>
      </c>
      <c r="D587" s="3" t="e">
        <v>#VALUE!</v>
      </c>
      <c r="E587" s="4" t="e">
        <v>#N/A</v>
      </c>
      <c r="F587" s="4"/>
      <c r="G587" s="5" t="s">
        <v>4817</v>
      </c>
      <c r="H587" s="6" t="e">
        <v>#N/A</v>
      </c>
      <c r="I587" s="21" t="e">
        <v>#N/A</v>
      </c>
      <c r="J587" s="21" t="e">
        <v>#N/A</v>
      </c>
      <c r="K587" s="21" t="s">
        <v>4818</v>
      </c>
      <c r="L587" s="22" t="e">
        <v>#N/A</v>
      </c>
    </row>
    <row r="588" spans="1:12" s="1" customFormat="1">
      <c r="A588" s="4" t="s">
        <v>4819</v>
      </c>
      <c r="B588" s="4" t="e">
        <v>#VALUE!</v>
      </c>
      <c r="C588" s="3" t="s">
        <v>3750</v>
      </c>
      <c r="D588" s="3" t="e">
        <v>#VALUE!</v>
      </c>
      <c r="E588" s="4" t="e">
        <v>#N/A</v>
      </c>
      <c r="F588" s="4"/>
      <c r="G588" s="5" t="s">
        <v>4820</v>
      </c>
      <c r="H588" s="6" t="s">
        <v>4821</v>
      </c>
      <c r="I588" s="21" t="e">
        <v>#N/A</v>
      </c>
      <c r="J588" s="21" t="e">
        <v>#N/A</v>
      </c>
      <c r="K588" s="21" t="s">
        <v>4822</v>
      </c>
      <c r="L588" s="22" t="e">
        <v>#N/A</v>
      </c>
    </row>
    <row r="589" spans="1:12" s="1" customFormat="1">
      <c r="A589" s="4" t="s">
        <v>4823</v>
      </c>
      <c r="B589" s="4" t="e">
        <v>#VALUE!</v>
      </c>
      <c r="C589" s="3" t="s">
        <v>3750</v>
      </c>
      <c r="D589" s="3" t="e">
        <v>#VALUE!</v>
      </c>
      <c r="E589" s="4" t="s">
        <v>770</v>
      </c>
      <c r="F589" s="4"/>
      <c r="G589" s="5" t="s">
        <v>4824</v>
      </c>
      <c r="H589" s="6" t="s">
        <v>4825</v>
      </c>
      <c r="I589" s="21" t="e">
        <v>#N/A</v>
      </c>
      <c r="J589" s="21" t="e">
        <v>#N/A</v>
      </c>
      <c r="K589" s="21" t="s">
        <v>4826</v>
      </c>
      <c r="L589" s="22" t="s">
        <v>4827</v>
      </c>
    </row>
    <row r="590" spans="1:12" s="1" customFormat="1">
      <c r="A590" s="4" t="s">
        <v>4828</v>
      </c>
      <c r="B590" s="4" t="e">
        <v>#VALUE!</v>
      </c>
      <c r="C590" s="3" t="s">
        <v>3750</v>
      </c>
      <c r="D590" s="3" t="e">
        <v>#VALUE!</v>
      </c>
      <c r="E590" s="4" t="s">
        <v>851</v>
      </c>
      <c r="F590" s="4"/>
      <c r="G590" s="5" t="s">
        <v>4829</v>
      </c>
      <c r="H590" s="6" t="s">
        <v>852</v>
      </c>
      <c r="I590" s="21" t="e">
        <v>#N/A</v>
      </c>
      <c r="J590" s="21" t="e">
        <v>#N/A</v>
      </c>
      <c r="K590" s="21" t="s">
        <v>4830</v>
      </c>
      <c r="L590" s="22" t="s">
        <v>4831</v>
      </c>
    </row>
    <row r="591" spans="1:12" s="1" customFormat="1">
      <c r="A591" s="4" t="s">
        <v>4832</v>
      </c>
      <c r="B591" s="4" t="e">
        <v>#VALUE!</v>
      </c>
      <c r="C591" s="3" t="s">
        <v>3750</v>
      </c>
      <c r="D591" s="3" t="e">
        <v>#VALUE!</v>
      </c>
      <c r="E591" s="4" t="s">
        <v>3832</v>
      </c>
      <c r="F591" s="4"/>
      <c r="G591" s="5" t="s">
        <v>4833</v>
      </c>
      <c r="H591" s="6" t="s">
        <v>4834</v>
      </c>
      <c r="I591" s="21" t="s">
        <v>4835</v>
      </c>
      <c r="J591" s="21" t="s">
        <v>4836</v>
      </c>
      <c r="K591" s="21" t="e">
        <v>#N/A</v>
      </c>
      <c r="L591" s="22" t="e">
        <v>#N/A</v>
      </c>
    </row>
    <row r="592" spans="1:12" s="1" customFormat="1">
      <c r="A592" s="4" t="s">
        <v>4837</v>
      </c>
      <c r="B592" s="4" t="e">
        <v>#VALUE!</v>
      </c>
      <c r="C592" s="3" t="s">
        <v>3750</v>
      </c>
      <c r="D592" s="3" t="e">
        <v>#VALUE!</v>
      </c>
      <c r="E592" s="4" t="s">
        <v>3829</v>
      </c>
      <c r="F592" s="4"/>
      <c r="G592" s="5" t="s">
        <v>4838</v>
      </c>
      <c r="H592" s="6" t="s">
        <v>4839</v>
      </c>
      <c r="I592" s="21" t="e">
        <v>#N/A</v>
      </c>
      <c r="J592" s="21" t="e">
        <v>#N/A</v>
      </c>
      <c r="K592" s="21" t="e">
        <v>#N/A</v>
      </c>
      <c r="L592" s="22" t="e">
        <v>#N/A</v>
      </c>
    </row>
    <row r="593" spans="1:12" s="1" customFormat="1">
      <c r="A593" s="4" t="s">
        <v>4840</v>
      </c>
      <c r="B593" s="4" t="e">
        <v>#VALUE!</v>
      </c>
      <c r="C593" s="3" t="s">
        <v>3750</v>
      </c>
      <c r="D593" s="3" t="e">
        <v>#VALUE!</v>
      </c>
      <c r="E593" s="4" t="e">
        <v>#N/A</v>
      </c>
      <c r="F593" s="4"/>
      <c r="G593" s="5" t="s">
        <v>4841</v>
      </c>
      <c r="H593" s="6" t="s">
        <v>4842</v>
      </c>
      <c r="I593" s="21" t="s">
        <v>4843</v>
      </c>
      <c r="J593" s="21" t="s">
        <v>4844</v>
      </c>
      <c r="K593" s="21" t="e">
        <v>#N/A</v>
      </c>
      <c r="L593" s="22" t="e">
        <v>#N/A</v>
      </c>
    </row>
    <row r="594" spans="1:12" s="1" customFormat="1">
      <c r="A594" s="4" t="s">
        <v>4845</v>
      </c>
      <c r="B594" s="4" t="e">
        <v>#VALUE!</v>
      </c>
      <c r="C594" s="3" t="s">
        <v>3750</v>
      </c>
      <c r="D594" s="3" t="e">
        <v>#VALUE!</v>
      </c>
      <c r="E594" s="4" t="e">
        <v>#N/A</v>
      </c>
      <c r="F594" s="4"/>
      <c r="G594" s="5" t="s">
        <v>4846</v>
      </c>
      <c r="H594" s="6" t="s">
        <v>4847</v>
      </c>
      <c r="I594" s="21" t="e">
        <v>#N/A</v>
      </c>
      <c r="J594" s="21" t="e">
        <v>#N/A</v>
      </c>
      <c r="K594" s="21" t="e">
        <v>#N/A</v>
      </c>
      <c r="L594" s="22" t="e">
        <v>#N/A</v>
      </c>
    </row>
    <row r="595" spans="1:12" s="1" customFormat="1">
      <c r="A595" s="4" t="s">
        <v>4848</v>
      </c>
      <c r="B595" s="4" t="e">
        <v>#VALUE!</v>
      </c>
      <c r="C595" s="3" t="s">
        <v>3750</v>
      </c>
      <c r="D595" s="3" t="e">
        <v>#VALUE!</v>
      </c>
      <c r="E595" s="4" t="e">
        <v>#N/A</v>
      </c>
      <c r="F595" s="4"/>
      <c r="G595" s="5" t="s">
        <v>4849</v>
      </c>
      <c r="H595" s="6" t="s">
        <v>4850</v>
      </c>
      <c r="I595" s="21" t="s">
        <v>4851</v>
      </c>
      <c r="J595" s="21" t="s">
        <v>4852</v>
      </c>
      <c r="K595" s="21" t="e">
        <v>#N/A</v>
      </c>
      <c r="L595" s="22" t="e">
        <v>#N/A</v>
      </c>
    </row>
    <row r="596" spans="1:12" s="1" customFormat="1">
      <c r="A596" s="4" t="s">
        <v>4853</v>
      </c>
      <c r="B596" s="4" t="e">
        <v>#VALUE!</v>
      </c>
      <c r="C596" s="3" t="s">
        <v>3750</v>
      </c>
      <c r="D596" s="3" t="e">
        <v>#VALUE!</v>
      </c>
      <c r="E596" s="4" t="e">
        <v>#N/A</v>
      </c>
      <c r="F596" s="4"/>
      <c r="G596" s="5" t="s">
        <v>1174</v>
      </c>
      <c r="H596" s="6" t="e">
        <v>#N/A</v>
      </c>
      <c r="I596" s="21" t="s">
        <v>1176</v>
      </c>
      <c r="J596" s="21" t="e">
        <v>#N/A</v>
      </c>
      <c r="K596" s="21" t="e">
        <v>#N/A</v>
      </c>
      <c r="L596" s="22" t="e">
        <v>#N/A</v>
      </c>
    </row>
    <row r="597" spans="1:12" s="1" customFormat="1">
      <c r="A597" s="15" t="s">
        <v>4854</v>
      </c>
      <c r="B597" s="26" t="e">
        <v>#VALUE!</v>
      </c>
      <c r="C597" s="3" t="s">
        <v>3750</v>
      </c>
      <c r="D597" s="3" t="e">
        <v>#VALUE!</v>
      </c>
      <c r="E597" s="4" t="s">
        <v>1241</v>
      </c>
      <c r="F597" s="4"/>
      <c r="G597" s="5" t="e">
        <v>#N/A</v>
      </c>
      <c r="H597" s="6" t="s">
        <v>1242</v>
      </c>
      <c r="I597" s="21" t="e">
        <v>#N/A</v>
      </c>
      <c r="J597" s="21" t="e">
        <v>#N/A</v>
      </c>
      <c r="K597" s="21" t="e">
        <v>#N/A</v>
      </c>
      <c r="L597" s="22" t="e">
        <v>#N/A</v>
      </c>
    </row>
    <row r="598" spans="1:12" s="1" customFormat="1">
      <c r="A598" s="14" t="s">
        <v>4855</v>
      </c>
      <c r="B598" s="27" t="e">
        <v>#VALUE!</v>
      </c>
      <c r="C598" s="3" t="s">
        <v>3750</v>
      </c>
      <c r="D598" s="3" t="e">
        <v>#VALUE!</v>
      </c>
      <c r="E598" s="4" t="s">
        <v>1270</v>
      </c>
      <c r="F598" s="4"/>
      <c r="G598" s="5" t="s">
        <v>4856</v>
      </c>
      <c r="H598" s="6" t="s">
        <v>4857</v>
      </c>
      <c r="I598" s="21" t="s">
        <v>4858</v>
      </c>
      <c r="J598" s="21" t="s">
        <v>4859</v>
      </c>
      <c r="K598" s="21" t="s">
        <v>4860</v>
      </c>
      <c r="L598" s="22" t="s">
        <v>4861</v>
      </c>
    </row>
    <row r="599" spans="1:12" s="1" customFormat="1">
      <c r="A599" s="15" t="s">
        <v>4862</v>
      </c>
      <c r="B599" s="26" t="e">
        <v>#VALUE!</v>
      </c>
      <c r="C599" s="3" t="s">
        <v>3750</v>
      </c>
      <c r="D599" s="3" t="e">
        <v>#VALUE!</v>
      </c>
      <c r="E599" s="4" t="s">
        <v>1343</v>
      </c>
      <c r="F599" s="4"/>
      <c r="G599" s="6" t="s">
        <v>4863</v>
      </c>
      <c r="H599" s="6" t="s">
        <v>4864</v>
      </c>
      <c r="I599" s="21" t="e">
        <v>#N/A</v>
      </c>
      <c r="J599" s="21" t="e">
        <v>#N/A</v>
      </c>
      <c r="K599" s="21" t="e">
        <v>#N/A</v>
      </c>
      <c r="L599" s="22" t="e">
        <v>#N/A</v>
      </c>
    </row>
    <row r="600" spans="1:12" s="1" customFormat="1">
      <c r="A600" s="14" t="s">
        <v>4865</v>
      </c>
      <c r="B600" s="27" t="e">
        <v>#VALUE!</v>
      </c>
      <c r="C600" s="3" t="s">
        <v>3750</v>
      </c>
      <c r="D600" s="3" t="e">
        <v>#VALUE!</v>
      </c>
      <c r="E600" s="4" t="s">
        <v>851</v>
      </c>
      <c r="F600" s="4"/>
      <c r="G600" s="6" t="s">
        <v>4866</v>
      </c>
      <c r="H600" s="6" t="s">
        <v>4867</v>
      </c>
      <c r="I600" s="21" t="s">
        <v>4868</v>
      </c>
      <c r="J600" s="21" t="s">
        <v>4869</v>
      </c>
      <c r="K600" s="21" t="s">
        <v>4870</v>
      </c>
      <c r="L600" s="22" t="s">
        <v>4871</v>
      </c>
    </row>
    <row r="601" spans="1:12" s="1" customFormat="1">
      <c r="A601" s="13" t="s">
        <v>4872</v>
      </c>
      <c r="B601" s="30" t="e">
        <v>#VALUE!</v>
      </c>
      <c r="C601" s="3" t="s">
        <v>3750</v>
      </c>
      <c r="D601" s="3" t="e">
        <v>#VALUE!</v>
      </c>
      <c r="E601" s="4" t="s">
        <v>1011</v>
      </c>
      <c r="F601" s="4"/>
      <c r="G601" s="6" t="e">
        <v>#N/A</v>
      </c>
      <c r="H601" s="6" t="e">
        <v>#N/A</v>
      </c>
      <c r="I601" s="21" t="e">
        <v>#N/A</v>
      </c>
      <c r="J601" s="21" t="e">
        <v>#N/A</v>
      </c>
      <c r="K601" s="21" t="e">
        <v>#N/A</v>
      </c>
      <c r="L601" s="22" t="e">
        <v>#N/A</v>
      </c>
    </row>
    <row r="602" spans="1:12" s="1" customFormat="1">
      <c r="A602" s="2" t="s">
        <v>4873</v>
      </c>
      <c r="B602" s="25" t="e">
        <v>#VALUE!</v>
      </c>
      <c r="C602" s="3" t="s">
        <v>3750</v>
      </c>
      <c r="D602" s="3" t="e">
        <v>#VALUE!</v>
      </c>
      <c r="E602" s="4" t="s">
        <v>3136</v>
      </c>
      <c r="F602" s="4"/>
      <c r="G602" s="6" t="s">
        <v>4874</v>
      </c>
      <c r="H602" s="6" t="s">
        <v>4875</v>
      </c>
      <c r="I602" s="21" t="s">
        <v>4876</v>
      </c>
      <c r="J602" s="21" t="s">
        <v>4877</v>
      </c>
      <c r="K602" s="21" t="s">
        <v>4878</v>
      </c>
      <c r="L602" s="22" t="s">
        <v>4879</v>
      </c>
    </row>
    <row r="603" spans="1:12" s="1" customFormat="1">
      <c r="A603" s="9" t="s">
        <v>4880</v>
      </c>
      <c r="B603" s="28" t="e">
        <v>#VALUE!</v>
      </c>
      <c r="C603" s="3" t="s">
        <v>3750</v>
      </c>
      <c r="D603" s="3" t="e">
        <v>#VALUE!</v>
      </c>
      <c r="E603" s="4" t="s">
        <v>3135</v>
      </c>
      <c r="F603" s="4"/>
      <c r="G603" s="6" t="s">
        <v>4881</v>
      </c>
      <c r="H603" s="6" t="s">
        <v>4882</v>
      </c>
      <c r="I603" s="21" t="e">
        <v>#N/A</v>
      </c>
      <c r="J603" s="21" t="e">
        <v>#N/A</v>
      </c>
      <c r="K603" s="21" t="s">
        <v>4883</v>
      </c>
      <c r="L603" s="22" t="s">
        <v>4884</v>
      </c>
    </row>
    <row r="604" spans="1:12" s="1" customFormat="1">
      <c r="A604" s="8" t="s">
        <v>4885</v>
      </c>
      <c r="B604" s="27" t="e">
        <v>#VALUE!</v>
      </c>
      <c r="C604" s="3" t="s">
        <v>3750</v>
      </c>
      <c r="D604" s="3" t="e">
        <v>#VALUE!</v>
      </c>
      <c r="E604" s="4" t="s">
        <v>1557</v>
      </c>
      <c r="F604" s="4"/>
      <c r="G604" s="5" t="s">
        <v>4886</v>
      </c>
      <c r="H604" s="6" t="e">
        <v>#N/A</v>
      </c>
      <c r="I604" s="21" t="s">
        <v>4887</v>
      </c>
      <c r="J604" s="21" t="s">
        <v>4888</v>
      </c>
      <c r="K604" s="21" t="s">
        <v>4889</v>
      </c>
      <c r="L604" s="22" t="s">
        <v>4890</v>
      </c>
    </row>
    <row r="605" spans="1:12" s="1" customFormat="1">
      <c r="A605" s="7" t="s">
        <v>4891</v>
      </c>
      <c r="B605" s="26" t="e">
        <v>#VALUE!</v>
      </c>
      <c r="C605" s="3" t="s">
        <v>3750</v>
      </c>
      <c r="D605" s="3" t="e">
        <v>#VALUE!</v>
      </c>
      <c r="E605" s="4">
        <v>0</v>
      </c>
      <c r="F605" s="4"/>
      <c r="G605" s="6" t="s">
        <v>4892</v>
      </c>
      <c r="H605" s="6" t="s">
        <v>4893</v>
      </c>
      <c r="I605" s="21" t="s">
        <v>4894</v>
      </c>
      <c r="J605" s="21" t="s">
        <v>4895</v>
      </c>
      <c r="K605" s="21" t="e">
        <v>#N/A</v>
      </c>
      <c r="L605" s="22" t="s">
        <v>4896</v>
      </c>
    </row>
    <row r="606" spans="1:12" s="1" customFormat="1">
      <c r="A606" s="8" t="s">
        <v>4897</v>
      </c>
      <c r="B606" s="27" t="e">
        <v>#VALUE!</v>
      </c>
      <c r="C606" s="3" t="s">
        <v>3750</v>
      </c>
      <c r="D606" s="3" t="e">
        <v>#VALUE!</v>
      </c>
      <c r="E606" s="4" t="s">
        <v>4898</v>
      </c>
      <c r="F606" s="4"/>
      <c r="G606" s="5" t="s">
        <v>4899</v>
      </c>
      <c r="H606" s="6" t="s">
        <v>4900</v>
      </c>
      <c r="I606" s="21" t="e">
        <v>#N/A</v>
      </c>
      <c r="J606" s="21" t="e">
        <v>#N/A</v>
      </c>
      <c r="K606" s="21" t="s">
        <v>4901</v>
      </c>
      <c r="L606" s="22" t="s">
        <v>4902</v>
      </c>
    </row>
    <row r="607" spans="1:12" s="1" customFormat="1">
      <c r="A607" s="12" t="s">
        <v>4903</v>
      </c>
      <c r="B607" s="29" t="e">
        <v>#VALUE!</v>
      </c>
      <c r="C607" s="3" t="s">
        <v>3750</v>
      </c>
      <c r="D607" s="3" t="e">
        <v>#VALUE!</v>
      </c>
      <c r="E607" s="4">
        <v>0</v>
      </c>
      <c r="F607" s="4"/>
      <c r="G607" s="5" t="e">
        <v>#N/A</v>
      </c>
      <c r="H607" s="6" t="s">
        <v>4904</v>
      </c>
      <c r="I607" s="21" t="e">
        <v>#N/A</v>
      </c>
      <c r="J607" s="21" t="e">
        <v>#N/A</v>
      </c>
      <c r="K607" s="21" t="e">
        <v>#N/A</v>
      </c>
      <c r="L607" s="22" t="e">
        <v>#N/A</v>
      </c>
    </row>
    <row r="608" spans="1:12" s="1" customFormat="1">
      <c r="A608" s="8" t="s">
        <v>4905</v>
      </c>
      <c r="B608" s="27" t="e">
        <v>#VALUE!</v>
      </c>
      <c r="C608" s="3" t="s">
        <v>3750</v>
      </c>
      <c r="D608" s="3" t="e">
        <v>#VALUE!</v>
      </c>
      <c r="E608" s="4">
        <v>0</v>
      </c>
      <c r="F608" s="4"/>
      <c r="G608" s="6" t="s">
        <v>4906</v>
      </c>
      <c r="H608" s="6" t="s">
        <v>4907</v>
      </c>
      <c r="I608" s="21" t="e">
        <v>#N/A</v>
      </c>
      <c r="J608" s="21" t="e">
        <v>#N/A</v>
      </c>
      <c r="K608" s="21" t="s">
        <v>4908</v>
      </c>
      <c r="L608" s="22" t="e">
        <v>#N/A</v>
      </c>
    </row>
    <row r="609" spans="1:12" s="1" customFormat="1">
      <c r="A609" s="9" t="s">
        <v>4909</v>
      </c>
      <c r="B609" s="28" t="e">
        <v>#VALUE!</v>
      </c>
      <c r="C609" s="3" t="s">
        <v>3750</v>
      </c>
      <c r="D609" s="3" t="e">
        <v>#VALUE!</v>
      </c>
      <c r="E609" s="4" t="e">
        <v>#N/A</v>
      </c>
      <c r="F609" s="4"/>
      <c r="G609" s="6" t="s">
        <v>4910</v>
      </c>
      <c r="H609" s="6" t="s">
        <v>4911</v>
      </c>
      <c r="I609" s="21" t="e">
        <v>#N/A</v>
      </c>
      <c r="J609" s="21" t="e">
        <v>#N/A</v>
      </c>
      <c r="K609" s="21" t="e">
        <v>#N/A</v>
      </c>
      <c r="L609" s="22" t="e">
        <v>#N/A</v>
      </c>
    </row>
    <row r="610" spans="1:12" s="1" customFormat="1">
      <c r="A610" s="8" t="s">
        <v>3161</v>
      </c>
      <c r="B610" s="27" t="e">
        <v>#VALUE!</v>
      </c>
      <c r="C610" s="3" t="s">
        <v>3750</v>
      </c>
      <c r="D610" s="3" t="e">
        <v>#VALUE!</v>
      </c>
      <c r="E610" s="4" t="s">
        <v>3160</v>
      </c>
      <c r="F610" s="4"/>
      <c r="G610" s="5" t="s">
        <v>4912</v>
      </c>
      <c r="H610" s="6" t="s">
        <v>4913</v>
      </c>
      <c r="I610" s="21" t="s">
        <v>4914</v>
      </c>
      <c r="J610" s="21" t="s">
        <v>4915</v>
      </c>
      <c r="K610" s="21" t="s">
        <v>4916</v>
      </c>
      <c r="L610" s="22" t="s">
        <v>4917</v>
      </c>
    </row>
    <row r="611" spans="1:12" s="1" customFormat="1">
      <c r="A611" s="8" t="s">
        <v>4918</v>
      </c>
      <c r="B611" s="27" t="e">
        <v>#VALUE!</v>
      </c>
      <c r="C611" s="3" t="s">
        <v>3750</v>
      </c>
      <c r="D611" s="3" t="e">
        <v>#VALUE!</v>
      </c>
      <c r="E611" s="4" t="s">
        <v>3155</v>
      </c>
      <c r="F611" s="4"/>
      <c r="G611" s="6" t="s">
        <v>4919</v>
      </c>
      <c r="H611" s="6" t="s">
        <v>4920</v>
      </c>
      <c r="I611" s="21" t="s">
        <v>4921</v>
      </c>
      <c r="J611" s="21" t="s">
        <v>4922</v>
      </c>
      <c r="K611" s="21" t="s">
        <v>4923</v>
      </c>
      <c r="L611" s="22" t="s">
        <v>4924</v>
      </c>
    </row>
    <row r="612" spans="1:12" s="1" customFormat="1">
      <c r="A612" s="8" t="s">
        <v>4925</v>
      </c>
      <c r="B612" s="27" t="e">
        <v>#VALUE!</v>
      </c>
      <c r="C612" s="3" t="s">
        <v>3750</v>
      </c>
      <c r="D612" s="3" t="e">
        <v>#VALUE!</v>
      </c>
      <c r="E612" s="4" t="s">
        <v>3141</v>
      </c>
      <c r="F612" s="4"/>
      <c r="G612" s="6" t="s">
        <v>4926</v>
      </c>
      <c r="H612" s="6" t="s">
        <v>4927</v>
      </c>
      <c r="I612" s="21" t="s">
        <v>4928</v>
      </c>
      <c r="J612" s="21" t="s">
        <v>4929</v>
      </c>
      <c r="K612" s="21" t="e">
        <v>#N/A</v>
      </c>
      <c r="L612" s="22" t="s">
        <v>4930</v>
      </c>
    </row>
    <row r="613" spans="1:12" s="1" customFormat="1">
      <c r="A613" s="8" t="s">
        <v>4931</v>
      </c>
      <c r="B613" s="27" t="e">
        <v>#VALUE!</v>
      </c>
      <c r="C613" s="3" t="s">
        <v>3750</v>
      </c>
      <c r="D613" s="3" t="e">
        <v>#VALUE!</v>
      </c>
      <c r="E613" s="4" t="s">
        <v>3138</v>
      </c>
      <c r="F613" s="4"/>
      <c r="G613" s="6" t="s">
        <v>4932</v>
      </c>
      <c r="H613" s="6" t="s">
        <v>4933</v>
      </c>
      <c r="I613" s="21" t="s">
        <v>4934</v>
      </c>
      <c r="J613" s="21" t="s">
        <v>4935</v>
      </c>
      <c r="K613" s="21" t="s">
        <v>4936</v>
      </c>
      <c r="L613" s="22" t="s">
        <v>4937</v>
      </c>
    </row>
    <row r="614" spans="1:12" s="1" customFormat="1">
      <c r="A614" s="8" t="s">
        <v>4938</v>
      </c>
      <c r="B614" s="27" t="e">
        <v>#VALUE!</v>
      </c>
      <c r="C614" s="3" t="s">
        <v>3750</v>
      </c>
      <c r="D614" s="3" t="e">
        <v>#VALUE!</v>
      </c>
      <c r="E614" s="4" t="s">
        <v>3119</v>
      </c>
      <c r="F614" s="4"/>
      <c r="G614" s="6" t="s">
        <v>4939</v>
      </c>
      <c r="H614" s="6" t="s">
        <v>4940</v>
      </c>
      <c r="I614" s="21" t="e">
        <v>#N/A</v>
      </c>
      <c r="J614" s="21" t="e">
        <v>#N/A</v>
      </c>
      <c r="K614" s="21" t="s">
        <v>4941</v>
      </c>
      <c r="L614" s="22" t="s">
        <v>4942</v>
      </c>
    </row>
    <row r="615" spans="1:12" s="1" customFormat="1">
      <c r="A615" s="9" t="s">
        <v>4943</v>
      </c>
      <c r="B615" s="28" t="e">
        <v>#VALUE!</v>
      </c>
      <c r="C615" s="3" t="s">
        <v>3750</v>
      </c>
      <c r="D615" s="3" t="e">
        <v>#VALUE!</v>
      </c>
      <c r="E615" s="4">
        <v>0</v>
      </c>
      <c r="F615" s="4"/>
      <c r="G615" s="6" t="e">
        <v>#N/A</v>
      </c>
      <c r="H615" s="6" t="s">
        <v>4944</v>
      </c>
      <c r="I615" s="21" t="s">
        <v>4945</v>
      </c>
      <c r="J615" s="21" t="s">
        <v>4946</v>
      </c>
      <c r="K615" s="21" t="e">
        <v>#N/A</v>
      </c>
      <c r="L615" s="22" t="s">
        <v>4947</v>
      </c>
    </row>
    <row r="616" spans="1:12" s="1" customFormat="1">
      <c r="A616" s="7" t="s">
        <v>4948</v>
      </c>
      <c r="B616" s="26" t="e">
        <v>#VALUE!</v>
      </c>
      <c r="C616" s="3" t="s">
        <v>3750</v>
      </c>
      <c r="D616" s="3" t="e">
        <v>#VALUE!</v>
      </c>
      <c r="E616" s="4" t="s">
        <v>1729</v>
      </c>
      <c r="F616" s="4"/>
      <c r="G616" s="6" t="s">
        <v>4949</v>
      </c>
      <c r="H616" s="6" t="s">
        <v>4950</v>
      </c>
      <c r="I616" s="21" t="s">
        <v>4951</v>
      </c>
      <c r="J616" s="21" t="s">
        <v>4952</v>
      </c>
      <c r="K616" s="21" t="e">
        <v>#N/A</v>
      </c>
      <c r="L616" s="22" t="s">
        <v>4953</v>
      </c>
    </row>
    <row r="617" spans="1:12" s="1" customFormat="1">
      <c r="A617" s="8" t="s">
        <v>4954</v>
      </c>
      <c r="B617" s="27" t="e">
        <v>#VALUE!</v>
      </c>
      <c r="C617" s="3" t="s">
        <v>3750</v>
      </c>
      <c r="D617" s="3" t="e">
        <v>#VALUE!</v>
      </c>
      <c r="E617" s="4" t="s">
        <v>1721</v>
      </c>
      <c r="F617" s="4"/>
      <c r="G617" s="6" t="s">
        <v>4955</v>
      </c>
      <c r="H617" s="6" t="s">
        <v>4956</v>
      </c>
      <c r="I617" s="21" t="s">
        <v>4957</v>
      </c>
      <c r="J617" s="21" t="s">
        <v>4958</v>
      </c>
      <c r="K617" s="21" t="s">
        <v>4959</v>
      </c>
      <c r="L617" s="22" t="s">
        <v>4960</v>
      </c>
    </row>
    <row r="618" spans="1:12" s="1" customFormat="1">
      <c r="A618" s="7" t="s">
        <v>4961</v>
      </c>
      <c r="B618" s="26" t="e">
        <v>#VALUE!</v>
      </c>
      <c r="C618" s="3" t="s">
        <v>3750</v>
      </c>
      <c r="D618" s="3" t="e">
        <v>#VALUE!</v>
      </c>
      <c r="E618" s="4" t="s">
        <v>1721</v>
      </c>
      <c r="F618" s="4"/>
      <c r="G618" s="6" t="s">
        <v>4962</v>
      </c>
      <c r="H618" s="6" t="s">
        <v>4963</v>
      </c>
      <c r="I618" s="21" t="s">
        <v>4964</v>
      </c>
      <c r="J618" s="21" t="s">
        <v>4965</v>
      </c>
      <c r="K618" s="21" t="s">
        <v>4966</v>
      </c>
      <c r="L618" s="22" t="s">
        <v>4967</v>
      </c>
    </row>
    <row r="619" spans="1:12" s="1" customFormat="1">
      <c r="A619" s="9" t="s">
        <v>4968</v>
      </c>
      <c r="B619" s="28" t="e">
        <v>#VALUE!</v>
      </c>
      <c r="C619" s="3" t="s">
        <v>3750</v>
      </c>
      <c r="D619" s="3" t="e">
        <v>#VALUE!</v>
      </c>
      <c r="E619" s="4" t="s">
        <v>3134</v>
      </c>
      <c r="F619" s="4"/>
      <c r="G619" s="6" t="s">
        <v>4969</v>
      </c>
      <c r="H619" s="6" t="s">
        <v>4970</v>
      </c>
      <c r="I619" s="21" t="s">
        <v>4971</v>
      </c>
      <c r="J619" s="21" t="s">
        <v>4972</v>
      </c>
      <c r="K619" s="21" t="s">
        <v>4973</v>
      </c>
      <c r="L619" s="22" t="s">
        <v>4974</v>
      </c>
    </row>
    <row r="620" spans="1:12" s="1" customFormat="1">
      <c r="A620" s="9" t="s">
        <v>4975</v>
      </c>
      <c r="B620" s="28" t="e">
        <v>#VALUE!</v>
      </c>
      <c r="C620" s="3" t="s">
        <v>3750</v>
      </c>
      <c r="D620" s="3" t="e">
        <v>#VALUE!</v>
      </c>
      <c r="E620" s="4" t="s">
        <v>3126</v>
      </c>
      <c r="F620" s="4"/>
      <c r="G620" s="6" t="s">
        <v>4976</v>
      </c>
      <c r="H620" s="6" t="s">
        <v>4977</v>
      </c>
      <c r="I620" s="21" t="s">
        <v>4978</v>
      </c>
      <c r="J620" s="21" t="s">
        <v>4979</v>
      </c>
      <c r="K620" s="21" t="s">
        <v>4980</v>
      </c>
      <c r="L620" s="22" t="s">
        <v>4981</v>
      </c>
    </row>
    <row r="621" spans="1:12" s="1" customFormat="1">
      <c r="A621" s="8" t="s">
        <v>4982</v>
      </c>
      <c r="B621" s="27" t="e">
        <v>#VALUE!</v>
      </c>
      <c r="C621" s="3" t="s">
        <v>3750</v>
      </c>
      <c r="D621" s="3" t="e">
        <v>#VALUE!</v>
      </c>
      <c r="E621" s="4" t="s">
        <v>1616</v>
      </c>
      <c r="F621" s="4"/>
      <c r="G621" s="5" t="s">
        <v>4983</v>
      </c>
      <c r="H621" s="6" t="s">
        <v>4984</v>
      </c>
      <c r="I621" s="21" t="s">
        <v>4985</v>
      </c>
      <c r="J621" s="21" t="s">
        <v>4986</v>
      </c>
      <c r="K621" s="21" t="s">
        <v>4987</v>
      </c>
      <c r="L621" s="22" t="s">
        <v>4988</v>
      </c>
    </row>
    <row r="622" spans="1:12" s="1" customFormat="1">
      <c r="A622" s="9" t="s">
        <v>4989</v>
      </c>
      <c r="B622" s="28" t="e">
        <v>#VALUE!</v>
      </c>
      <c r="C622" s="3" t="s">
        <v>3750</v>
      </c>
      <c r="D622" s="3" t="e">
        <v>#VALUE!</v>
      </c>
      <c r="E622" s="4" t="s">
        <v>728</v>
      </c>
      <c r="F622" s="4"/>
      <c r="G622" s="6" t="s">
        <v>4990</v>
      </c>
      <c r="H622" s="6" t="s">
        <v>4991</v>
      </c>
      <c r="I622" s="21" t="s">
        <v>4992</v>
      </c>
      <c r="J622" s="21" t="s">
        <v>4993</v>
      </c>
      <c r="K622" s="21" t="s">
        <v>4994</v>
      </c>
      <c r="L622" s="22" t="s">
        <v>4995</v>
      </c>
    </row>
    <row r="623" spans="1:12" s="1" customFormat="1">
      <c r="A623" s="9" t="s">
        <v>4996</v>
      </c>
      <c r="B623" s="28" t="e">
        <v>#VALUE!</v>
      </c>
      <c r="C623" s="3" t="s">
        <v>3750</v>
      </c>
      <c r="D623" s="3" t="e">
        <v>#VALUE!</v>
      </c>
      <c r="E623" s="4" t="s">
        <v>4997</v>
      </c>
      <c r="F623" s="4"/>
      <c r="G623" s="5" t="s">
        <v>4998</v>
      </c>
      <c r="H623" s="6" t="s">
        <v>4999</v>
      </c>
      <c r="I623" s="21" t="s">
        <v>5000</v>
      </c>
      <c r="J623" s="21" t="s">
        <v>5001</v>
      </c>
      <c r="K623" s="21" t="s">
        <v>5002</v>
      </c>
      <c r="L623" s="22" t="s">
        <v>5003</v>
      </c>
    </row>
    <row r="624" spans="1:12" s="1" customFormat="1">
      <c r="A624" s="8" t="s">
        <v>5004</v>
      </c>
      <c r="B624" s="27" t="e">
        <v>#VALUE!</v>
      </c>
      <c r="C624" s="3" t="s">
        <v>3750</v>
      </c>
      <c r="D624" s="3" t="e">
        <v>#VALUE!</v>
      </c>
      <c r="E624" s="4" t="s">
        <v>5005</v>
      </c>
      <c r="F624" s="4"/>
      <c r="G624" s="6" t="s">
        <v>5006</v>
      </c>
      <c r="H624" s="6" t="s">
        <v>5007</v>
      </c>
      <c r="I624" s="21" t="s">
        <v>5008</v>
      </c>
      <c r="J624" s="21" t="s">
        <v>5009</v>
      </c>
      <c r="K624" s="21" t="s">
        <v>5010</v>
      </c>
      <c r="L624" s="22" t="s">
        <v>5011</v>
      </c>
    </row>
    <row r="625" spans="1:12" s="1" customFormat="1">
      <c r="A625" s="10" t="s">
        <v>5012</v>
      </c>
      <c r="B625" s="28" t="e">
        <v>#VALUE!</v>
      </c>
      <c r="C625" s="3" t="s">
        <v>3750</v>
      </c>
      <c r="D625" s="3" t="e">
        <v>#VALUE!</v>
      </c>
      <c r="E625" s="4" t="s">
        <v>3166</v>
      </c>
      <c r="F625" s="4"/>
      <c r="G625" s="6" t="e">
        <v>#N/A</v>
      </c>
      <c r="H625" s="6" t="e">
        <v>#N/A</v>
      </c>
      <c r="I625" s="21" t="e">
        <v>#N/A</v>
      </c>
      <c r="J625" s="21" t="e">
        <v>#N/A</v>
      </c>
      <c r="K625" s="21" t="e">
        <v>#N/A</v>
      </c>
      <c r="L625" s="22" t="e">
        <v>#N/A</v>
      </c>
    </row>
    <row r="626" spans="1:12" s="1" customFormat="1">
      <c r="A626" s="14" t="s">
        <v>5013</v>
      </c>
      <c r="B626" s="27" t="e">
        <v>#VALUE!</v>
      </c>
      <c r="C626" s="3" t="s">
        <v>3750</v>
      </c>
      <c r="D626" s="3" t="e">
        <v>#VALUE!</v>
      </c>
      <c r="E626" s="4" t="s">
        <v>1586</v>
      </c>
      <c r="F626" s="4"/>
      <c r="G626" s="6" t="s">
        <v>5014</v>
      </c>
      <c r="H626" s="6" t="s">
        <v>5015</v>
      </c>
      <c r="I626" s="21" t="e">
        <v>#N/A</v>
      </c>
      <c r="J626" s="21" t="e">
        <v>#N/A</v>
      </c>
      <c r="K626" s="21" t="s">
        <v>5016</v>
      </c>
      <c r="L626" s="22" t="s">
        <v>5017</v>
      </c>
    </row>
    <row r="627" spans="1:12" s="1" customFormat="1">
      <c r="A627" s="19" t="s">
        <v>5018</v>
      </c>
      <c r="B627" s="31" t="e">
        <v>#VALUE!</v>
      </c>
      <c r="C627" s="3" t="s">
        <v>3750</v>
      </c>
      <c r="D627" s="16" t="e">
        <v>#VALUE!</v>
      </c>
      <c r="E627" s="17" t="s">
        <v>356</v>
      </c>
      <c r="F627" s="17"/>
      <c r="G627" s="18"/>
      <c r="H627" s="11" t="s">
        <v>4372</v>
      </c>
      <c r="I627" s="21" t="e">
        <v>#N/A</v>
      </c>
      <c r="J627" s="23"/>
      <c r="K627" s="23"/>
      <c r="L627" s="24"/>
    </row>
    <row r="628" spans="1:12">
      <c r="A628" s="14" t="s">
        <v>2405</v>
      </c>
      <c r="B628" s="27" t="e">
        <v>#VALUE!</v>
      </c>
      <c r="C628" s="3" t="s">
        <v>3750</v>
      </c>
      <c r="D628" s="3" t="e">
        <v>#VALUE!</v>
      </c>
      <c r="E628" s="4" t="s">
        <v>2406</v>
      </c>
      <c r="F628" s="4"/>
      <c r="G628" s="6"/>
      <c r="H628" s="6" t="s">
        <v>2408</v>
      </c>
      <c r="I628" s="21" t="s">
        <v>2409</v>
      </c>
      <c r="J628" s="21"/>
      <c r="K628" s="21"/>
      <c r="L628" s="22"/>
    </row>
  </sheetData>
  <conditionalFormatting sqref="A1">
    <cfRule type="duplicateValues" dxfId="251" priority="3"/>
    <cfRule type="duplicateValues" dxfId="250" priority="4"/>
  </conditionalFormatting>
  <conditionalFormatting sqref="A2:A3">
    <cfRule type="duplicateValues" dxfId="249" priority="252"/>
  </conditionalFormatting>
  <conditionalFormatting sqref="A4">
    <cfRule type="duplicateValues" dxfId="248" priority="249"/>
  </conditionalFormatting>
  <conditionalFormatting sqref="A5:A48">
    <cfRule type="duplicateValues" dxfId="247" priority="246"/>
  </conditionalFormatting>
  <conditionalFormatting sqref="A49:A75">
    <cfRule type="duplicateValues" dxfId="246" priority="243"/>
  </conditionalFormatting>
  <conditionalFormatting sqref="A76:A77">
    <cfRule type="duplicateValues" dxfId="245" priority="240"/>
  </conditionalFormatting>
  <conditionalFormatting sqref="A78:A99">
    <cfRule type="duplicateValues" dxfId="244" priority="237"/>
  </conditionalFormatting>
  <conditionalFormatting sqref="A100:A119">
    <cfRule type="duplicateValues" dxfId="243" priority="234"/>
  </conditionalFormatting>
  <conditionalFormatting sqref="A120:A143">
    <cfRule type="duplicateValues" dxfId="242" priority="231"/>
  </conditionalFormatting>
  <conditionalFormatting sqref="A144:A164">
    <cfRule type="duplicateValues" dxfId="241" priority="228"/>
  </conditionalFormatting>
  <conditionalFormatting sqref="A165:A215">
    <cfRule type="duplicateValues" dxfId="240" priority="225"/>
  </conditionalFormatting>
  <conditionalFormatting sqref="A216:A217">
    <cfRule type="duplicateValues" dxfId="239" priority="222"/>
  </conditionalFormatting>
  <conditionalFormatting sqref="A218:A237">
    <cfRule type="duplicateValues" dxfId="238" priority="219"/>
  </conditionalFormatting>
  <conditionalFormatting sqref="A238:A255">
    <cfRule type="duplicateValues" dxfId="237" priority="216"/>
  </conditionalFormatting>
  <conditionalFormatting sqref="A256:A259">
    <cfRule type="duplicateValues" dxfId="236" priority="213"/>
  </conditionalFormatting>
  <conditionalFormatting sqref="A260:A261">
    <cfRule type="duplicateValues" dxfId="235" priority="210"/>
  </conditionalFormatting>
  <conditionalFormatting sqref="A262">
    <cfRule type="duplicateValues" dxfId="234" priority="207"/>
  </conditionalFormatting>
  <conditionalFormatting sqref="A263:A265">
    <cfRule type="duplicateValues" dxfId="233" priority="204"/>
  </conditionalFormatting>
  <conditionalFormatting sqref="A266:A276">
    <cfRule type="duplicateValues" dxfId="232" priority="201"/>
  </conditionalFormatting>
  <conditionalFormatting sqref="A277">
    <cfRule type="duplicateValues" dxfId="231" priority="198"/>
  </conditionalFormatting>
  <conditionalFormatting sqref="A278:A280">
    <cfRule type="duplicateValues" dxfId="230" priority="195"/>
  </conditionalFormatting>
  <conditionalFormatting sqref="A281">
    <cfRule type="duplicateValues" dxfId="229" priority="192"/>
  </conditionalFormatting>
  <conditionalFormatting sqref="A282">
    <cfRule type="duplicateValues" dxfId="228" priority="189"/>
  </conditionalFormatting>
  <conditionalFormatting sqref="A283:A287">
    <cfRule type="duplicateValues" dxfId="227" priority="186"/>
  </conditionalFormatting>
  <conditionalFormatting sqref="A288">
    <cfRule type="duplicateValues" dxfId="226" priority="183"/>
  </conditionalFormatting>
  <conditionalFormatting sqref="A289:A293">
    <cfRule type="duplicateValues" dxfId="225" priority="180"/>
  </conditionalFormatting>
  <conditionalFormatting sqref="A294:A301">
    <cfRule type="duplicateValues" dxfId="224" priority="177"/>
  </conditionalFormatting>
  <conditionalFormatting sqref="A302:A306">
    <cfRule type="duplicateValues" dxfId="223" priority="174"/>
  </conditionalFormatting>
  <conditionalFormatting sqref="A307:A310">
    <cfRule type="duplicateValues" dxfId="222" priority="171"/>
  </conditionalFormatting>
  <conditionalFormatting sqref="A311:A320">
    <cfRule type="duplicateValues" dxfId="221" priority="168"/>
  </conditionalFormatting>
  <conditionalFormatting sqref="A321:A330">
    <cfRule type="duplicateValues" dxfId="220" priority="165"/>
  </conditionalFormatting>
  <conditionalFormatting sqref="A331:A334">
    <cfRule type="duplicateValues" dxfId="219" priority="162"/>
  </conditionalFormatting>
  <conditionalFormatting sqref="A335">
    <cfRule type="duplicateValues" dxfId="218" priority="159"/>
  </conditionalFormatting>
  <conditionalFormatting sqref="A336:A339">
    <cfRule type="duplicateValues" dxfId="217" priority="156"/>
  </conditionalFormatting>
  <conditionalFormatting sqref="A340">
    <cfRule type="duplicateValues" dxfId="216" priority="153"/>
  </conditionalFormatting>
  <conditionalFormatting sqref="A341">
    <cfRule type="duplicateValues" dxfId="215" priority="150"/>
  </conditionalFormatting>
  <conditionalFormatting sqref="A342">
    <cfRule type="duplicateValues" dxfId="214" priority="147"/>
  </conditionalFormatting>
  <conditionalFormatting sqref="A343">
    <cfRule type="duplicateValues" dxfId="213" priority="144"/>
  </conditionalFormatting>
  <conditionalFormatting sqref="A344">
    <cfRule type="duplicateValues" dxfId="212" priority="141"/>
  </conditionalFormatting>
  <conditionalFormatting sqref="A345">
    <cfRule type="duplicateValues" dxfId="211" priority="138"/>
  </conditionalFormatting>
  <conditionalFormatting sqref="A346:A349">
    <cfRule type="duplicateValues" dxfId="210" priority="135"/>
  </conditionalFormatting>
  <conditionalFormatting sqref="A350:A352">
    <cfRule type="duplicateValues" dxfId="209" priority="132"/>
  </conditionalFormatting>
  <conditionalFormatting sqref="A353:A354">
    <cfRule type="duplicateValues" dxfId="208" priority="129"/>
  </conditionalFormatting>
  <conditionalFormatting sqref="A355">
    <cfRule type="duplicateValues" dxfId="207" priority="126"/>
  </conditionalFormatting>
  <conditionalFormatting sqref="A356:A357">
    <cfRule type="duplicateValues" dxfId="206" priority="123"/>
  </conditionalFormatting>
  <conditionalFormatting sqref="A358">
    <cfRule type="duplicateValues" dxfId="205" priority="120"/>
  </conditionalFormatting>
  <conditionalFormatting sqref="A359:A360">
    <cfRule type="duplicateValues" dxfId="204" priority="117"/>
  </conditionalFormatting>
  <conditionalFormatting sqref="A361">
    <cfRule type="duplicateValues" dxfId="203" priority="114"/>
  </conditionalFormatting>
  <conditionalFormatting sqref="A362">
    <cfRule type="duplicateValues" dxfId="202" priority="111"/>
  </conditionalFormatting>
  <conditionalFormatting sqref="A363">
    <cfRule type="duplicateValues" dxfId="201" priority="108"/>
  </conditionalFormatting>
  <conditionalFormatting sqref="A364">
    <cfRule type="duplicateValues" dxfId="200" priority="105"/>
  </conditionalFormatting>
  <conditionalFormatting sqref="A365:A369">
    <cfRule type="duplicateValues" dxfId="199" priority="102"/>
  </conditionalFormatting>
  <conditionalFormatting sqref="A370:A371">
    <cfRule type="duplicateValues" dxfId="198" priority="99"/>
  </conditionalFormatting>
  <conditionalFormatting sqref="A372:A373">
    <cfRule type="duplicateValues" dxfId="197" priority="96"/>
  </conditionalFormatting>
  <conditionalFormatting sqref="A374:A380">
    <cfRule type="duplicateValues" dxfId="196" priority="93"/>
  </conditionalFormatting>
  <conditionalFormatting sqref="A381:A382">
    <cfRule type="duplicateValues" dxfId="195" priority="90"/>
  </conditionalFormatting>
  <conditionalFormatting sqref="A383:A384">
    <cfRule type="duplicateValues" dxfId="194" priority="87"/>
  </conditionalFormatting>
  <conditionalFormatting sqref="A385:B438">
    <cfRule type="duplicateValues" dxfId="193" priority="84"/>
  </conditionalFormatting>
  <conditionalFormatting sqref="A439:B596">
    <cfRule type="duplicateValues" dxfId="192" priority="81"/>
  </conditionalFormatting>
  <conditionalFormatting sqref="A597:B598">
    <cfRule type="duplicateValues" dxfId="191" priority="78"/>
  </conditionalFormatting>
  <conditionalFormatting sqref="A599:B600">
    <cfRule type="duplicateValues" dxfId="190" priority="75"/>
  </conditionalFormatting>
  <conditionalFormatting sqref="A601:B601">
    <cfRule type="duplicateValues" dxfId="189" priority="72"/>
  </conditionalFormatting>
  <conditionalFormatting sqref="A602:B602">
    <cfRule type="duplicateValues" dxfId="188" priority="69"/>
  </conditionalFormatting>
  <conditionalFormatting sqref="A603:B605">
    <cfRule type="duplicateValues" dxfId="187" priority="66"/>
  </conditionalFormatting>
  <conditionalFormatting sqref="A606:B610">
    <cfRule type="duplicateValues" dxfId="186" priority="63"/>
  </conditionalFormatting>
  <conditionalFormatting sqref="A611:B611">
    <cfRule type="duplicateValues" dxfId="185" priority="60"/>
  </conditionalFormatting>
  <conditionalFormatting sqref="A612:B612">
    <cfRule type="duplicateValues" dxfId="184" priority="57"/>
  </conditionalFormatting>
  <conditionalFormatting sqref="A613:B613">
    <cfRule type="duplicateValues" dxfId="183" priority="54"/>
  </conditionalFormatting>
  <conditionalFormatting sqref="A614:B614">
    <cfRule type="duplicateValues" dxfId="182" priority="51"/>
  </conditionalFormatting>
  <conditionalFormatting sqref="A615:B615">
    <cfRule type="duplicateValues" dxfId="181" priority="48"/>
  </conditionalFormatting>
  <conditionalFormatting sqref="A616:B616">
    <cfRule type="duplicateValues" dxfId="180" priority="45"/>
  </conditionalFormatting>
  <conditionalFormatting sqref="A617:B618">
    <cfRule type="duplicateValues" dxfId="179" priority="42"/>
  </conditionalFormatting>
  <conditionalFormatting sqref="A619:B619">
    <cfRule type="duplicateValues" dxfId="178" priority="39"/>
  </conditionalFormatting>
  <conditionalFormatting sqref="A620:B620">
    <cfRule type="duplicateValues" dxfId="177" priority="36"/>
  </conditionalFormatting>
  <conditionalFormatting sqref="A621:B621">
    <cfRule type="duplicateValues" dxfId="176" priority="33"/>
  </conditionalFormatting>
  <conditionalFormatting sqref="A622:B622">
    <cfRule type="duplicateValues" dxfId="175" priority="30"/>
  </conditionalFormatting>
  <conditionalFormatting sqref="A623:B623">
    <cfRule type="duplicateValues" dxfId="174" priority="27"/>
  </conditionalFormatting>
  <conditionalFormatting sqref="A624:B624">
    <cfRule type="duplicateValues" dxfId="173" priority="24"/>
  </conditionalFormatting>
  <conditionalFormatting sqref="A625:B625">
    <cfRule type="duplicateValues" dxfId="172" priority="21"/>
  </conditionalFormatting>
  <conditionalFormatting sqref="A626:B626">
    <cfRule type="duplicateValues" dxfId="171" priority="18"/>
  </conditionalFormatting>
  <conditionalFormatting sqref="A627:B627">
    <cfRule type="duplicateValues" dxfId="170" priority="15"/>
    <cfRule type="duplicateValues" dxfId="169" priority="10"/>
    <cfRule type="duplicateValues" dxfId="168" priority="11"/>
    <cfRule type="duplicateValues" dxfId="167" priority="12"/>
    <cfRule type="duplicateValues" dxfId="166" priority="13"/>
    <cfRule type="duplicateValues" dxfId="165" priority="14"/>
  </conditionalFormatting>
  <conditionalFormatting sqref="A628:B628">
    <cfRule type="duplicateValues" dxfId="164" priority="7"/>
  </conditionalFormatting>
  <conditionalFormatting sqref="H1">
    <cfRule type="duplicateValues" dxfId="163" priority="2"/>
  </conditionalFormatting>
  <conditionalFormatting sqref="H2:H3">
    <cfRule type="duplicateValues" dxfId="162" priority="251"/>
  </conditionalFormatting>
  <conditionalFormatting sqref="H4">
    <cfRule type="duplicateValues" dxfId="161" priority="248"/>
  </conditionalFormatting>
  <conditionalFormatting sqref="H5:H48">
    <cfRule type="duplicateValues" dxfId="160" priority="245"/>
  </conditionalFormatting>
  <conditionalFormatting sqref="H49:H75">
    <cfRule type="duplicateValues" dxfId="159" priority="242"/>
  </conditionalFormatting>
  <conditionalFormatting sqref="H76:H77">
    <cfRule type="duplicateValues" dxfId="158" priority="239"/>
  </conditionalFormatting>
  <conditionalFormatting sqref="H78:H99">
    <cfRule type="duplicateValues" dxfId="157" priority="236"/>
  </conditionalFormatting>
  <conditionalFormatting sqref="H100:H119">
    <cfRule type="duplicateValues" dxfId="156" priority="233"/>
  </conditionalFormatting>
  <conditionalFormatting sqref="H120:H143">
    <cfRule type="duplicateValues" dxfId="155" priority="230"/>
  </conditionalFormatting>
  <conditionalFormatting sqref="H144:H164">
    <cfRule type="duplicateValues" dxfId="154" priority="227"/>
  </conditionalFormatting>
  <conditionalFormatting sqref="H165:H215">
    <cfRule type="duplicateValues" dxfId="153" priority="224"/>
  </conditionalFormatting>
  <conditionalFormatting sqref="H216:H217">
    <cfRule type="duplicateValues" dxfId="152" priority="221"/>
  </conditionalFormatting>
  <conditionalFormatting sqref="H218:H237">
    <cfRule type="duplicateValues" dxfId="151" priority="218"/>
  </conditionalFormatting>
  <conditionalFormatting sqref="H238:H255">
    <cfRule type="duplicateValues" dxfId="150" priority="215"/>
  </conditionalFormatting>
  <conditionalFormatting sqref="H256:H259">
    <cfRule type="duplicateValues" dxfId="149" priority="212"/>
  </conditionalFormatting>
  <conditionalFormatting sqref="H260:H261">
    <cfRule type="duplicateValues" dxfId="148" priority="209"/>
  </conditionalFormatting>
  <conditionalFormatting sqref="H262">
    <cfRule type="duplicateValues" dxfId="147" priority="206"/>
  </conditionalFormatting>
  <conditionalFormatting sqref="H263:H265">
    <cfRule type="duplicateValues" dxfId="146" priority="203"/>
  </conditionalFormatting>
  <conditionalFormatting sqref="H266:H276">
    <cfRule type="duplicateValues" dxfId="145" priority="200"/>
  </conditionalFormatting>
  <conditionalFormatting sqref="H277">
    <cfRule type="duplicateValues" dxfId="144" priority="197"/>
  </conditionalFormatting>
  <conditionalFormatting sqref="H278:H280">
    <cfRule type="duplicateValues" dxfId="143" priority="194"/>
  </conditionalFormatting>
  <conditionalFormatting sqref="H281">
    <cfRule type="duplicateValues" dxfId="142" priority="191"/>
  </conditionalFormatting>
  <conditionalFormatting sqref="H282">
    <cfRule type="duplicateValues" dxfId="141" priority="188"/>
  </conditionalFormatting>
  <conditionalFormatting sqref="H283:H287">
    <cfRule type="duplicateValues" dxfId="140" priority="185"/>
  </conditionalFormatting>
  <conditionalFormatting sqref="H288">
    <cfRule type="duplicateValues" dxfId="139" priority="182"/>
  </conditionalFormatting>
  <conditionalFormatting sqref="H289:H293">
    <cfRule type="duplicateValues" dxfId="138" priority="179"/>
  </conditionalFormatting>
  <conditionalFormatting sqref="H294:H301">
    <cfRule type="duplicateValues" dxfId="137" priority="176"/>
  </conditionalFormatting>
  <conditionalFormatting sqref="H302:H306">
    <cfRule type="duplicateValues" dxfId="136" priority="173"/>
  </conditionalFormatting>
  <conditionalFormatting sqref="H307:H310">
    <cfRule type="duplicateValues" dxfId="135" priority="170"/>
  </conditionalFormatting>
  <conditionalFormatting sqref="H311:H320">
    <cfRule type="duplicateValues" dxfId="134" priority="167"/>
  </conditionalFormatting>
  <conditionalFormatting sqref="H321:H330">
    <cfRule type="duplicateValues" dxfId="133" priority="164"/>
  </conditionalFormatting>
  <conditionalFormatting sqref="H331:H334">
    <cfRule type="duplicateValues" dxfId="132" priority="161"/>
  </conditionalFormatting>
  <conditionalFormatting sqref="H335">
    <cfRule type="duplicateValues" dxfId="131" priority="158"/>
  </conditionalFormatting>
  <conditionalFormatting sqref="H336:H339">
    <cfRule type="duplicateValues" dxfId="130" priority="155"/>
  </conditionalFormatting>
  <conditionalFormatting sqref="H340">
    <cfRule type="duplicateValues" dxfId="129" priority="152"/>
  </conditionalFormatting>
  <conditionalFormatting sqref="H341">
    <cfRule type="duplicateValues" dxfId="128" priority="149"/>
  </conditionalFormatting>
  <conditionalFormatting sqref="H342">
    <cfRule type="duplicateValues" dxfId="127" priority="146"/>
  </conditionalFormatting>
  <conditionalFormatting sqref="H343">
    <cfRule type="duplicateValues" dxfId="126" priority="143"/>
  </conditionalFormatting>
  <conditionalFormatting sqref="H344">
    <cfRule type="duplicateValues" dxfId="125" priority="140"/>
  </conditionalFormatting>
  <conditionalFormatting sqref="H345">
    <cfRule type="duplicateValues" dxfId="124" priority="137"/>
  </conditionalFormatting>
  <conditionalFormatting sqref="H346:H349">
    <cfRule type="duplicateValues" dxfId="123" priority="134"/>
  </conditionalFormatting>
  <conditionalFormatting sqref="H350:H352">
    <cfRule type="duplicateValues" dxfId="122" priority="131"/>
  </conditionalFormatting>
  <conditionalFormatting sqref="H353:H354">
    <cfRule type="duplicateValues" dxfId="121" priority="128"/>
  </conditionalFormatting>
  <conditionalFormatting sqref="H355">
    <cfRule type="duplicateValues" dxfId="120" priority="125"/>
  </conditionalFormatting>
  <conditionalFormatting sqref="H356:H357">
    <cfRule type="duplicateValues" dxfId="119" priority="122"/>
  </conditionalFormatting>
  <conditionalFormatting sqref="H358">
    <cfRule type="duplicateValues" dxfId="118" priority="119"/>
  </conditionalFormatting>
  <conditionalFormatting sqref="H359:H360">
    <cfRule type="duplicateValues" dxfId="117" priority="116"/>
  </conditionalFormatting>
  <conditionalFormatting sqref="H361">
    <cfRule type="duplicateValues" dxfId="116" priority="113"/>
  </conditionalFormatting>
  <conditionalFormatting sqref="H362">
    <cfRule type="duplicateValues" dxfId="115" priority="110"/>
  </conditionalFormatting>
  <conditionalFormatting sqref="H363">
    <cfRule type="duplicateValues" dxfId="114" priority="107"/>
  </conditionalFormatting>
  <conditionalFormatting sqref="H364">
    <cfRule type="duplicateValues" dxfId="113" priority="104"/>
  </conditionalFormatting>
  <conditionalFormatting sqref="H365:H369">
    <cfRule type="duplicateValues" dxfId="112" priority="101"/>
  </conditionalFormatting>
  <conditionalFormatting sqref="H370:H371">
    <cfRule type="duplicateValues" dxfId="111" priority="98"/>
  </conditionalFormatting>
  <conditionalFormatting sqref="H372:H373">
    <cfRule type="duplicateValues" dxfId="110" priority="95"/>
  </conditionalFormatting>
  <conditionalFormatting sqref="H374:H380">
    <cfRule type="duplicateValues" dxfId="109" priority="92"/>
  </conditionalFormatting>
  <conditionalFormatting sqref="H381:H382">
    <cfRule type="duplicateValues" dxfId="108" priority="89"/>
  </conditionalFormatting>
  <conditionalFormatting sqref="H383:H384">
    <cfRule type="duplicateValues" dxfId="107" priority="86"/>
  </conditionalFormatting>
  <conditionalFormatting sqref="I1">
    <cfRule type="duplicateValues" dxfId="106" priority="1"/>
  </conditionalFormatting>
  <conditionalFormatting sqref="I2:I3">
    <cfRule type="duplicateValues" dxfId="105" priority="250"/>
  </conditionalFormatting>
  <conditionalFormatting sqref="I4">
    <cfRule type="duplicateValues" dxfId="104" priority="247"/>
  </conditionalFormatting>
  <conditionalFormatting sqref="I5:I48">
    <cfRule type="duplicateValues" dxfId="103" priority="244"/>
  </conditionalFormatting>
  <conditionalFormatting sqref="I49:I75">
    <cfRule type="duplicateValues" dxfId="102" priority="241"/>
  </conditionalFormatting>
  <conditionalFormatting sqref="I76:I77">
    <cfRule type="duplicateValues" dxfId="101" priority="238"/>
  </conditionalFormatting>
  <conditionalFormatting sqref="I78:I99">
    <cfRule type="duplicateValues" dxfId="100" priority="235"/>
  </conditionalFormatting>
  <conditionalFormatting sqref="I100:I119">
    <cfRule type="duplicateValues" dxfId="99" priority="232"/>
  </conditionalFormatting>
  <conditionalFormatting sqref="I120:I143">
    <cfRule type="duplicateValues" dxfId="98" priority="229"/>
  </conditionalFormatting>
  <conditionalFormatting sqref="I144:I164">
    <cfRule type="duplicateValues" dxfId="97" priority="226"/>
  </conditionalFormatting>
  <conditionalFormatting sqref="I165:I215">
    <cfRule type="duplicateValues" dxfId="96" priority="223"/>
  </conditionalFormatting>
  <conditionalFormatting sqref="I216:I217">
    <cfRule type="duplicateValues" dxfId="95" priority="220"/>
  </conditionalFormatting>
  <conditionalFormatting sqref="I218:I237">
    <cfRule type="duplicateValues" dxfId="94" priority="217"/>
  </conditionalFormatting>
  <conditionalFormatting sqref="I238:I255">
    <cfRule type="duplicateValues" dxfId="93" priority="214"/>
  </conditionalFormatting>
  <conditionalFormatting sqref="I256:I259">
    <cfRule type="duplicateValues" dxfId="92" priority="211"/>
  </conditionalFormatting>
  <conditionalFormatting sqref="I260:I261">
    <cfRule type="duplicateValues" dxfId="91" priority="208"/>
  </conditionalFormatting>
  <conditionalFormatting sqref="I262">
    <cfRule type="duplicateValues" dxfId="90" priority="205"/>
  </conditionalFormatting>
  <conditionalFormatting sqref="I263:I265">
    <cfRule type="duplicateValues" dxfId="89" priority="202"/>
  </conditionalFormatting>
  <conditionalFormatting sqref="I266:I276">
    <cfRule type="duplicateValues" dxfId="88" priority="199"/>
  </conditionalFormatting>
  <conditionalFormatting sqref="I277">
    <cfRule type="duplicateValues" dxfId="87" priority="196"/>
  </conditionalFormatting>
  <conditionalFormatting sqref="I278:I280">
    <cfRule type="duplicateValues" dxfId="86" priority="193"/>
  </conditionalFormatting>
  <conditionalFormatting sqref="I281">
    <cfRule type="duplicateValues" dxfId="85" priority="190"/>
  </conditionalFormatting>
  <conditionalFormatting sqref="I282">
    <cfRule type="duplicateValues" dxfId="84" priority="187"/>
  </conditionalFormatting>
  <conditionalFormatting sqref="I283:I287">
    <cfRule type="duplicateValues" dxfId="83" priority="184"/>
  </conditionalFormatting>
  <conditionalFormatting sqref="I288">
    <cfRule type="duplicateValues" dxfId="82" priority="181"/>
  </conditionalFormatting>
  <conditionalFormatting sqref="I289:I293">
    <cfRule type="duplicateValues" dxfId="81" priority="178"/>
  </conditionalFormatting>
  <conditionalFormatting sqref="I294:I301">
    <cfRule type="duplicateValues" dxfId="80" priority="175"/>
  </conditionalFormatting>
  <conditionalFormatting sqref="I302:I306">
    <cfRule type="duplicateValues" dxfId="79" priority="172"/>
  </conditionalFormatting>
  <conditionalFormatting sqref="I307:I310">
    <cfRule type="duplicateValues" dxfId="78" priority="169"/>
  </conditionalFormatting>
  <conditionalFormatting sqref="I311:I320">
    <cfRule type="duplicateValues" dxfId="77" priority="166"/>
  </conditionalFormatting>
  <conditionalFormatting sqref="I321:I330">
    <cfRule type="duplicateValues" dxfId="76" priority="163"/>
  </conditionalFormatting>
  <conditionalFormatting sqref="I331:I334">
    <cfRule type="duplicateValues" dxfId="75" priority="160"/>
  </conditionalFormatting>
  <conditionalFormatting sqref="I335">
    <cfRule type="duplicateValues" dxfId="74" priority="157"/>
  </conditionalFormatting>
  <conditionalFormatting sqref="I336:I339">
    <cfRule type="duplicateValues" dxfId="73" priority="154"/>
  </conditionalFormatting>
  <conditionalFormatting sqref="I340">
    <cfRule type="duplicateValues" dxfId="72" priority="151"/>
  </conditionalFormatting>
  <conditionalFormatting sqref="I341">
    <cfRule type="duplicateValues" dxfId="71" priority="148"/>
  </conditionalFormatting>
  <conditionalFormatting sqref="I342">
    <cfRule type="duplicateValues" dxfId="70" priority="145"/>
  </conditionalFormatting>
  <conditionalFormatting sqref="I343">
    <cfRule type="duplicateValues" dxfId="69" priority="142"/>
  </conditionalFormatting>
  <conditionalFormatting sqref="I344">
    <cfRule type="duplicateValues" dxfId="68" priority="139"/>
  </conditionalFormatting>
  <conditionalFormatting sqref="I345">
    <cfRule type="duplicateValues" dxfId="67" priority="136"/>
  </conditionalFormatting>
  <conditionalFormatting sqref="I346:I349">
    <cfRule type="duplicateValues" dxfId="66" priority="133"/>
  </conditionalFormatting>
  <conditionalFormatting sqref="I350:I352">
    <cfRule type="duplicateValues" dxfId="65" priority="130"/>
  </conditionalFormatting>
  <conditionalFormatting sqref="I353:I354">
    <cfRule type="duplicateValues" dxfId="64" priority="127"/>
  </conditionalFormatting>
  <conditionalFormatting sqref="I355">
    <cfRule type="duplicateValues" dxfId="63" priority="124"/>
  </conditionalFormatting>
  <conditionalFormatting sqref="I356:I357">
    <cfRule type="duplicateValues" dxfId="62" priority="121"/>
  </conditionalFormatting>
  <conditionalFormatting sqref="I358">
    <cfRule type="duplicateValues" dxfId="61" priority="118"/>
  </conditionalFormatting>
  <conditionalFormatting sqref="I359:I360">
    <cfRule type="duplicateValues" dxfId="60" priority="115"/>
  </conditionalFormatting>
  <conditionalFormatting sqref="I361">
    <cfRule type="duplicateValues" dxfId="59" priority="112"/>
  </conditionalFormatting>
  <conditionalFormatting sqref="I362">
    <cfRule type="duplicateValues" dxfId="58" priority="109"/>
  </conditionalFormatting>
  <conditionalFormatting sqref="I363">
    <cfRule type="duplicateValues" dxfId="57" priority="106"/>
  </conditionalFormatting>
  <conditionalFormatting sqref="I364">
    <cfRule type="duplicateValues" dxfId="56" priority="103"/>
  </conditionalFormatting>
  <conditionalFormatting sqref="I365:I369">
    <cfRule type="duplicateValues" dxfId="55" priority="100"/>
  </conditionalFormatting>
  <conditionalFormatting sqref="I370:I371">
    <cfRule type="duplicateValues" dxfId="54" priority="97"/>
  </conditionalFormatting>
  <conditionalFormatting sqref="I372:I373">
    <cfRule type="duplicateValues" dxfId="53" priority="94"/>
  </conditionalFormatting>
  <conditionalFormatting sqref="I374:I380">
    <cfRule type="duplicateValues" dxfId="52" priority="91"/>
  </conditionalFormatting>
  <conditionalFormatting sqref="I381:I382">
    <cfRule type="duplicateValues" dxfId="51" priority="88"/>
  </conditionalFormatting>
  <conditionalFormatting sqref="I383:I384">
    <cfRule type="duplicateValues" dxfId="50" priority="85"/>
  </conditionalFormatting>
  <conditionalFormatting sqref="I385:I438">
    <cfRule type="duplicateValues" dxfId="49" priority="83"/>
  </conditionalFormatting>
  <conditionalFormatting sqref="I439:I482 I484:I513 H483 I518:I596 H514:H517">
    <cfRule type="duplicateValues" dxfId="48" priority="80"/>
  </conditionalFormatting>
  <conditionalFormatting sqref="I597:I598">
    <cfRule type="duplicateValues" dxfId="47" priority="77"/>
  </conditionalFormatting>
  <conditionalFormatting sqref="I599:I600">
    <cfRule type="duplicateValues" dxfId="46" priority="74"/>
  </conditionalFormatting>
  <conditionalFormatting sqref="I601">
    <cfRule type="duplicateValues" dxfId="45" priority="71"/>
  </conditionalFormatting>
  <conditionalFormatting sqref="I602">
    <cfRule type="duplicateValues" dxfId="44" priority="68"/>
  </conditionalFormatting>
  <conditionalFormatting sqref="I603:I605">
    <cfRule type="duplicateValues" dxfId="43" priority="65"/>
  </conditionalFormatting>
  <conditionalFormatting sqref="I606:I610">
    <cfRule type="duplicateValues" dxfId="42" priority="62"/>
  </conditionalFormatting>
  <conditionalFormatting sqref="I611">
    <cfRule type="duplicateValues" dxfId="41" priority="59"/>
  </conditionalFormatting>
  <conditionalFormatting sqref="I612">
    <cfRule type="duplicateValues" dxfId="40" priority="56"/>
  </conditionalFormatting>
  <conditionalFormatting sqref="I613">
    <cfRule type="duplicateValues" dxfId="39" priority="53"/>
  </conditionalFormatting>
  <conditionalFormatting sqref="I614">
    <cfRule type="duplicateValues" dxfId="38" priority="50"/>
  </conditionalFormatting>
  <conditionalFormatting sqref="I615">
    <cfRule type="duplicateValues" dxfId="37" priority="47"/>
  </conditionalFormatting>
  <conditionalFormatting sqref="I616">
    <cfRule type="duplicateValues" dxfId="36" priority="44"/>
  </conditionalFormatting>
  <conditionalFormatting sqref="I617:I618">
    <cfRule type="duplicateValues" dxfId="35" priority="41"/>
  </conditionalFormatting>
  <conditionalFormatting sqref="I619">
    <cfRule type="duplicateValues" dxfId="34" priority="38"/>
  </conditionalFormatting>
  <conditionalFormatting sqref="I620">
    <cfRule type="duplicateValues" dxfId="33" priority="35"/>
  </conditionalFormatting>
  <conditionalFormatting sqref="I621">
    <cfRule type="duplicateValues" dxfId="32" priority="32"/>
  </conditionalFormatting>
  <conditionalFormatting sqref="I622">
    <cfRule type="duplicateValues" dxfId="31" priority="29"/>
  </conditionalFormatting>
  <conditionalFormatting sqref="I623">
    <cfRule type="duplicateValues" dxfId="30" priority="26"/>
  </conditionalFormatting>
  <conditionalFormatting sqref="I624">
    <cfRule type="duplicateValues" dxfId="29" priority="23"/>
  </conditionalFormatting>
  <conditionalFormatting sqref="I625">
    <cfRule type="duplicateValues" dxfId="28" priority="20"/>
  </conditionalFormatting>
  <conditionalFormatting sqref="I626">
    <cfRule type="duplicateValues" dxfId="27" priority="17"/>
  </conditionalFormatting>
  <conditionalFormatting sqref="I627">
    <cfRule type="duplicateValues" dxfId="26" priority="9"/>
  </conditionalFormatting>
  <conditionalFormatting sqref="I628">
    <cfRule type="duplicateValues" dxfId="25" priority="6"/>
  </conditionalFormatting>
  <conditionalFormatting sqref="J385:J438">
    <cfRule type="duplicateValues" dxfId="24" priority="82"/>
  </conditionalFormatting>
  <conditionalFormatting sqref="J439:J482 J484:J513 I483 J518:J596 I514:I517">
    <cfRule type="duplicateValues" dxfId="23" priority="79"/>
  </conditionalFormatting>
  <conditionalFormatting sqref="J597:J598">
    <cfRule type="duplicateValues" dxfId="22" priority="76"/>
  </conditionalFormatting>
  <conditionalFormatting sqref="J599:J600">
    <cfRule type="duplicateValues" dxfId="21" priority="73"/>
  </conditionalFormatting>
  <conditionalFormatting sqref="J601">
    <cfRule type="duplicateValues" dxfId="20" priority="70"/>
  </conditionalFormatting>
  <conditionalFormatting sqref="J602">
    <cfRule type="duplicateValues" dxfId="19" priority="67"/>
  </conditionalFormatting>
  <conditionalFormatting sqref="J603:J605">
    <cfRule type="duplicateValues" dxfId="18" priority="64"/>
  </conditionalFormatting>
  <conditionalFormatting sqref="J606:J610">
    <cfRule type="duplicateValues" dxfId="17" priority="61"/>
  </conditionalFormatting>
  <conditionalFormatting sqref="J611">
    <cfRule type="duplicateValues" dxfId="16" priority="58"/>
  </conditionalFormatting>
  <conditionalFormatting sqref="J612">
    <cfRule type="duplicateValues" dxfId="15" priority="55"/>
  </conditionalFormatting>
  <conditionalFormatting sqref="J613">
    <cfRule type="duplicateValues" dxfId="14" priority="52"/>
  </conditionalFormatting>
  <conditionalFormatting sqref="J614">
    <cfRule type="duplicateValues" dxfId="13" priority="49"/>
  </conditionalFormatting>
  <conditionalFormatting sqref="J615">
    <cfRule type="duplicateValues" dxfId="12" priority="46"/>
  </conditionalFormatting>
  <conditionalFormatting sqref="J616">
    <cfRule type="duplicateValues" dxfId="11" priority="43"/>
  </conditionalFormatting>
  <conditionalFormatting sqref="J617:J618">
    <cfRule type="duplicateValues" dxfId="10" priority="40"/>
  </conditionalFormatting>
  <conditionalFormatting sqref="J619">
    <cfRule type="duplicateValues" dxfId="9" priority="37"/>
  </conditionalFormatting>
  <conditionalFormatting sqref="J620">
    <cfRule type="duplicateValues" dxfId="8" priority="34"/>
  </conditionalFormatting>
  <conditionalFormatting sqref="J621">
    <cfRule type="duplicateValues" dxfId="7" priority="31"/>
  </conditionalFormatting>
  <conditionalFormatting sqref="J622">
    <cfRule type="duplicateValues" dxfId="6" priority="28"/>
  </conditionalFormatting>
  <conditionalFormatting sqref="J623">
    <cfRule type="duplicateValues" dxfId="5" priority="25"/>
  </conditionalFormatting>
  <conditionalFormatting sqref="J624">
    <cfRule type="duplicateValues" dxfId="4" priority="22"/>
  </conditionalFormatting>
  <conditionalFormatting sqref="J625">
    <cfRule type="duplicateValues" dxfId="3" priority="19"/>
  </conditionalFormatting>
  <conditionalFormatting sqref="J626">
    <cfRule type="duplicateValues" dxfId="2" priority="16"/>
  </conditionalFormatting>
  <conditionalFormatting sqref="J627">
    <cfRule type="duplicateValues" dxfId="1" priority="8"/>
  </conditionalFormatting>
  <conditionalFormatting sqref="J628">
    <cfRule type="duplicateValues" dxfId="0" priority="5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124778-2e69-4b7d-ac5c-10d89944a77b">
      <Terms xmlns="http://schemas.microsoft.com/office/infopath/2007/PartnerControls"/>
    </lcf76f155ced4ddcb4097134ff3c332f>
    <TaxCatchAll xmlns="52b6c1f0-30dd-46a3-b8b9-21e81a756b86" xsi:nil="true"/>
    <SharedWithUsers xmlns="52b6c1f0-30dd-46a3-b8b9-21e81a756b86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8882EC2DE8F6479BA1A5D28442BE55" ma:contentTypeVersion="17" ma:contentTypeDescription="Create a new document." ma:contentTypeScope="" ma:versionID="18d92b9f73f9ccadf79eac3d1e2894ea">
  <xsd:schema xmlns:xsd="http://www.w3.org/2001/XMLSchema" xmlns:xs="http://www.w3.org/2001/XMLSchema" xmlns:p="http://schemas.microsoft.com/office/2006/metadata/properties" xmlns:ns2="b1124778-2e69-4b7d-ac5c-10d89944a77b" xmlns:ns3="52b6c1f0-30dd-46a3-b8b9-21e81a756b86" targetNamespace="http://schemas.microsoft.com/office/2006/metadata/properties" ma:root="true" ma:fieldsID="c80681f7bdfa75a951a60b07df7b5ca1" ns2:_="" ns3:_="">
    <xsd:import namespace="b1124778-2e69-4b7d-ac5c-10d89944a77b"/>
    <xsd:import namespace="52b6c1f0-30dd-46a3-b8b9-21e81a756b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124778-2e69-4b7d-ac5c-10d89944a7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29e7da9-676b-4a26-a0eb-bdb38cae83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b6c1f0-30dd-46a3-b8b9-21e81a756b8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49b4f30-e39f-46d2-93ac-186bae04c8fb}" ma:internalName="TaxCatchAll" ma:showField="CatchAllData" ma:web="52b6c1f0-30dd-46a3-b8b9-21e81a756b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49F955-D462-4DCD-9954-C1F330D3390D}"/>
</file>

<file path=customXml/itemProps2.xml><?xml version="1.0" encoding="utf-8"?>
<ds:datastoreItem xmlns:ds="http://schemas.openxmlformats.org/officeDocument/2006/customXml" ds:itemID="{425D9966-DC18-4362-8118-0376F8BCE988}"/>
</file>

<file path=customXml/itemProps3.xml><?xml version="1.0" encoding="utf-8"?>
<ds:datastoreItem xmlns:ds="http://schemas.openxmlformats.org/officeDocument/2006/customXml" ds:itemID="{48C71155-513D-46EF-AC64-F79A0AFA44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2024-06-26T06:16:46Z</dcterms:created>
  <dcterms:modified xsi:type="dcterms:W3CDTF">2026-02-10T12:33:56Z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0x010100BD8882EC2DE8F6479BA1A5D28442BE55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