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24226"/>
  <xr:revisionPtr revIDLastSave="0" documentId="8_{ECFE16E9-1D92-4FC1-8273-21A2E77EB9AA}" xr6:coauthVersionLast="47" xr6:coauthVersionMax="47" xr10:uidLastSave="{00000000-0000-0000-0000-000000000000}"/>
  <bookViews>
    <workbookView xWindow="-120" yWindow="-120" windowWidth="29040" windowHeight="15840" firstSheet="1" xr2:uid="{00000000-000D-0000-FFFF-FFFF00000000}"/>
  </bookViews>
  <sheets>
    <sheet name="Billing Dimensions" sheetId="12" r:id="rId1"/>
    <sheet name="Audit Dimensions" sheetId="4" r:id="rId2"/>
    <sheet name="Audit VAR" sheetId="10" r:id="rId3"/>
    <sheet name="Billing Dimensions (TEMP-DELETE" sheetId="14" r:id="rId4"/>
    <sheet name="HELP" sheetId="11" r:id="rId5"/>
    <sheet name="Sheet1" sheetId="13" r:id="rId6"/>
  </sheets>
  <externalReferences>
    <externalReference r:id="rId7"/>
    <externalReference r:id="rId8"/>
  </externalReferences>
  <definedNames>
    <definedName name="_xlnm._FilterDatabase" localSheetId="2" hidden="1">'Audit VAR'!$A$3:$Q$338</definedName>
    <definedName name="_xlnm._FilterDatabase" localSheetId="0" hidden="1">'Billing Dimensions'!#REF!</definedName>
    <definedName name="_xlnm._FilterDatabase" localSheetId="3" hidden="1">'Billing Dimensions'!#REF!</definedName>
    <definedName name="_xlnm._FilterDatabase" localSheetId="5" hidden="1">Sheet1!$A$1:$G$1</definedName>
    <definedName name="_xlnm._FilterDatabase" localSheetId="1" hidden="1">'Audit Dimensions'!$A$1:$Y$269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2" i="12" l="1"/>
  <c r="F213" i="12"/>
  <c r="F162" i="12"/>
  <c r="F201" i="12"/>
  <c r="F164" i="12"/>
  <c r="F123" i="12"/>
  <c r="F208" i="12"/>
  <c r="F167" i="12"/>
  <c r="E27" i="12"/>
  <c r="D27" i="12"/>
  <c r="C27" i="12"/>
  <c r="E19" i="12"/>
  <c r="F235" i="12"/>
  <c r="F239" i="12"/>
  <c r="F252" i="12"/>
  <c r="C242" i="12"/>
  <c r="F243" i="12"/>
  <c r="F244" i="12"/>
  <c r="F245" i="12"/>
  <c r="F248" i="12"/>
  <c r="E252" i="12"/>
  <c r="D252" i="12"/>
  <c r="C252" i="12"/>
  <c r="F276" i="12"/>
  <c r="F6" i="12"/>
  <c r="F16" i="12"/>
  <c r="F13" i="12"/>
  <c r="E12" i="12"/>
  <c r="F12" i="12"/>
  <c r="D12" i="12"/>
  <c r="E11" i="12"/>
  <c r="F11" i="12"/>
  <c r="D10" i="12"/>
  <c r="E10" i="12"/>
  <c r="F10" i="12"/>
  <c r="F9" i="12"/>
  <c r="G147" i="12"/>
  <c r="C5" i="12"/>
  <c r="D5" i="12"/>
  <c r="G5" i="12"/>
  <c r="H5" i="12"/>
  <c r="I5" i="12"/>
  <c r="J5" i="12"/>
  <c r="K5" i="12"/>
  <c r="L5" i="12"/>
  <c r="M5" i="12"/>
  <c r="N5" i="12"/>
  <c r="C4" i="12"/>
  <c r="D4" i="12"/>
  <c r="E4" i="12"/>
  <c r="F4" i="12"/>
  <c r="G4" i="12"/>
  <c r="H4" i="12"/>
  <c r="I4" i="12"/>
  <c r="J4" i="12"/>
  <c r="K4" i="12"/>
  <c r="L4" i="12"/>
  <c r="M4" i="12"/>
  <c r="N4" i="12"/>
  <c r="C6" i="12"/>
  <c r="D6" i="12"/>
  <c r="E6" i="12"/>
  <c r="G6" i="12"/>
  <c r="H6" i="12"/>
  <c r="I6" i="12"/>
  <c r="J6" i="12"/>
  <c r="K6" i="12"/>
  <c r="L6" i="12"/>
  <c r="M6" i="12"/>
  <c r="N6" i="12"/>
  <c r="C7" i="12"/>
  <c r="D7" i="12"/>
  <c r="E7" i="12"/>
  <c r="G7" i="12"/>
  <c r="H7" i="12"/>
  <c r="I7" i="12"/>
  <c r="J7" i="12"/>
  <c r="K7" i="12"/>
  <c r="L7" i="12"/>
  <c r="M7" i="12"/>
  <c r="N7" i="12"/>
  <c r="C316" i="12"/>
  <c r="D316" i="12"/>
  <c r="E316" i="12"/>
  <c r="F316" i="12"/>
  <c r="G316" i="12"/>
  <c r="H316" i="12"/>
  <c r="I316" i="12"/>
  <c r="J316" i="12"/>
  <c r="K316" i="12"/>
  <c r="L316" i="12"/>
  <c r="M316" i="12"/>
  <c r="N316" i="12"/>
  <c r="F279" i="12"/>
  <c r="G279" i="12"/>
  <c r="H279" i="12"/>
  <c r="I279" i="12"/>
  <c r="J279" i="12"/>
  <c r="K279" i="12"/>
  <c r="L279" i="12"/>
  <c r="M279" i="12"/>
  <c r="N279" i="12"/>
  <c r="C277" i="12"/>
  <c r="D277" i="12"/>
  <c r="E277" i="12"/>
  <c r="F277" i="12"/>
  <c r="G277" i="12"/>
  <c r="H277" i="12"/>
  <c r="I277" i="12"/>
  <c r="J277" i="12"/>
  <c r="K277" i="12"/>
  <c r="L277" i="12"/>
  <c r="M277" i="12"/>
  <c r="N277" i="12"/>
  <c r="C188" i="12"/>
  <c r="D188" i="12"/>
  <c r="E188" i="12"/>
  <c r="G188" i="12"/>
  <c r="H188" i="12"/>
  <c r="I188" i="12"/>
  <c r="J188" i="12"/>
  <c r="K188" i="12"/>
  <c r="L188" i="12"/>
  <c r="M188" i="12"/>
  <c r="N188" i="12"/>
  <c r="C50" i="12"/>
  <c r="D50" i="12"/>
  <c r="E50" i="12"/>
  <c r="G50" i="12"/>
  <c r="H50" i="12"/>
  <c r="I50" i="12"/>
  <c r="J50" i="12"/>
  <c r="K50" i="12"/>
  <c r="L50" i="12"/>
  <c r="M50" i="12"/>
  <c r="N50" i="12"/>
  <c r="G200" i="12"/>
  <c r="H200" i="12"/>
  <c r="I200" i="12"/>
  <c r="J200" i="12"/>
  <c r="K200" i="12"/>
  <c r="L200" i="12"/>
  <c r="M200" i="12"/>
  <c r="N200" i="12"/>
  <c r="C40" i="12"/>
  <c r="D40" i="12"/>
  <c r="E40" i="12"/>
  <c r="G40" i="12"/>
  <c r="H40" i="12"/>
  <c r="I40" i="12"/>
  <c r="J40" i="12"/>
  <c r="K40" i="12"/>
  <c r="L40" i="12"/>
  <c r="M40" i="12"/>
  <c r="N40" i="12"/>
  <c r="C67" i="12"/>
  <c r="D67" i="12"/>
  <c r="E67" i="12"/>
  <c r="G67" i="12"/>
  <c r="H67" i="12"/>
  <c r="I67" i="12"/>
  <c r="J67" i="12"/>
  <c r="K67" i="12"/>
  <c r="L67" i="12"/>
  <c r="M67" i="12"/>
  <c r="N67" i="12"/>
  <c r="D19" i="12"/>
  <c r="G19" i="12"/>
  <c r="H19" i="12"/>
  <c r="I19" i="12"/>
  <c r="J19" i="12"/>
  <c r="K19" i="12"/>
  <c r="L19" i="12"/>
  <c r="M19" i="12"/>
  <c r="N19" i="12"/>
  <c r="C18" i="12"/>
  <c r="D18" i="12"/>
  <c r="E18" i="12"/>
  <c r="G18" i="12"/>
  <c r="H18" i="12"/>
  <c r="I18" i="12"/>
  <c r="J18" i="12"/>
  <c r="K18" i="12"/>
  <c r="L18" i="12"/>
  <c r="M18" i="12"/>
  <c r="N18" i="12"/>
  <c r="C244" i="12"/>
  <c r="D244" i="12"/>
  <c r="E244" i="12"/>
  <c r="G244" i="12"/>
  <c r="H244" i="12"/>
  <c r="I244" i="12"/>
  <c r="J244" i="12"/>
  <c r="K244" i="12"/>
  <c r="L244" i="12"/>
  <c r="M244" i="12"/>
  <c r="N244" i="12"/>
  <c r="C121" i="12"/>
  <c r="D121" i="12"/>
  <c r="E121" i="12"/>
  <c r="G121" i="12"/>
  <c r="H121" i="12"/>
  <c r="I121" i="12"/>
  <c r="J121" i="12"/>
  <c r="K121" i="12"/>
  <c r="L121" i="12"/>
  <c r="M121" i="12"/>
  <c r="N121" i="12"/>
  <c r="C127" i="12"/>
  <c r="D127" i="12"/>
  <c r="E127" i="12"/>
  <c r="G127" i="12"/>
  <c r="H127" i="12"/>
  <c r="I127" i="12"/>
  <c r="J127" i="12"/>
  <c r="K127" i="12"/>
  <c r="L127" i="12"/>
  <c r="M127" i="12"/>
  <c r="N127" i="12"/>
  <c r="C166" i="12"/>
  <c r="D166" i="12"/>
  <c r="E166" i="12"/>
  <c r="G166" i="12"/>
  <c r="H166" i="12"/>
  <c r="I166" i="12"/>
  <c r="J166" i="12"/>
  <c r="K166" i="12"/>
  <c r="L166" i="12"/>
  <c r="M166" i="12"/>
  <c r="N166" i="12"/>
  <c r="C146" i="12"/>
  <c r="D146" i="12"/>
  <c r="E146" i="12"/>
  <c r="G146" i="12"/>
  <c r="H146" i="12"/>
  <c r="I146" i="12"/>
  <c r="J146" i="12"/>
  <c r="K146" i="12"/>
  <c r="L146" i="12"/>
  <c r="M146" i="12"/>
  <c r="N146" i="12"/>
  <c r="C39" i="12"/>
  <c r="D39" i="12"/>
  <c r="E39" i="12"/>
  <c r="G39" i="12"/>
  <c r="H39" i="12"/>
  <c r="I39" i="12"/>
  <c r="J39" i="12"/>
  <c r="K39" i="12"/>
  <c r="L39" i="12"/>
  <c r="M39" i="12"/>
  <c r="N39" i="12"/>
  <c r="C231" i="12"/>
  <c r="D231" i="12"/>
  <c r="E231" i="12"/>
  <c r="G231" i="12"/>
  <c r="H231" i="12"/>
  <c r="I231" i="12"/>
  <c r="J231" i="12"/>
  <c r="K231" i="12"/>
  <c r="L231" i="12"/>
  <c r="M231" i="12"/>
  <c r="N231" i="12"/>
  <c r="F17" i="12"/>
  <c r="G17" i="12"/>
  <c r="H17" i="12"/>
  <c r="I17" i="12"/>
  <c r="J17" i="12"/>
  <c r="K17" i="12"/>
  <c r="L17" i="12"/>
  <c r="M17" i="12"/>
  <c r="N17" i="12"/>
  <c r="C142" i="12"/>
  <c r="D142" i="12"/>
  <c r="E142" i="12"/>
  <c r="G142" i="12"/>
  <c r="H142" i="12"/>
  <c r="I142" i="12"/>
  <c r="J142" i="12"/>
  <c r="K142" i="12"/>
  <c r="L142" i="12"/>
  <c r="M142" i="12"/>
  <c r="N142" i="12"/>
  <c r="C232" i="12"/>
  <c r="D232" i="12"/>
  <c r="E232" i="12"/>
  <c r="G232" i="12"/>
  <c r="H232" i="12"/>
  <c r="I232" i="12"/>
  <c r="J232" i="12"/>
  <c r="K232" i="12"/>
  <c r="L232" i="12"/>
  <c r="M232" i="12"/>
  <c r="N232" i="12"/>
  <c r="C110" i="12"/>
  <c r="D110" i="12"/>
  <c r="E110" i="12"/>
  <c r="G110" i="12"/>
  <c r="H110" i="12"/>
  <c r="I110" i="12"/>
  <c r="J110" i="12"/>
  <c r="K110" i="12"/>
  <c r="L110" i="12"/>
  <c r="M110" i="12"/>
  <c r="N110" i="12"/>
  <c r="C123" i="12"/>
  <c r="D123" i="12"/>
  <c r="E123" i="12"/>
  <c r="G123" i="12"/>
  <c r="H123" i="12"/>
  <c r="I123" i="12"/>
  <c r="J123" i="12"/>
  <c r="K123" i="12"/>
  <c r="L123" i="12"/>
  <c r="M123" i="12"/>
  <c r="N123" i="12"/>
  <c r="C213" i="12"/>
  <c r="D213" i="12"/>
  <c r="G213" i="12"/>
  <c r="H213" i="12"/>
  <c r="I213" i="12"/>
  <c r="J213" i="12"/>
  <c r="K213" i="12"/>
  <c r="L213" i="12"/>
  <c r="M213" i="12"/>
  <c r="N213" i="12"/>
  <c r="C225" i="12"/>
  <c r="D225" i="12"/>
  <c r="E225" i="12"/>
  <c r="G225" i="12"/>
  <c r="H225" i="12"/>
  <c r="I225" i="12"/>
  <c r="J225" i="12"/>
  <c r="K225" i="12"/>
  <c r="L225" i="12"/>
  <c r="M225" i="12"/>
  <c r="N225" i="12"/>
  <c r="C223" i="12"/>
  <c r="D223" i="12"/>
  <c r="E223" i="12"/>
  <c r="G223" i="12"/>
  <c r="H223" i="12"/>
  <c r="I223" i="12"/>
  <c r="J223" i="12"/>
  <c r="K223" i="12"/>
  <c r="L223" i="12"/>
  <c r="M223" i="12"/>
  <c r="N223" i="12"/>
  <c r="C218" i="12"/>
  <c r="D218" i="12"/>
  <c r="E218" i="12"/>
  <c r="G218" i="12"/>
  <c r="H218" i="12"/>
  <c r="I218" i="12"/>
  <c r="J218" i="12"/>
  <c r="K218" i="12"/>
  <c r="L218" i="12"/>
  <c r="M218" i="12"/>
  <c r="N218" i="12"/>
  <c r="C57" i="12"/>
  <c r="D57" i="12"/>
  <c r="E57" i="12"/>
  <c r="G57" i="12"/>
  <c r="H57" i="12"/>
  <c r="I57" i="12"/>
  <c r="J57" i="12"/>
  <c r="K57" i="12"/>
  <c r="L57" i="12"/>
  <c r="M57" i="12"/>
  <c r="N57" i="12"/>
  <c r="C154" i="12"/>
  <c r="D154" i="12"/>
  <c r="E154" i="12"/>
  <c r="G154" i="12"/>
  <c r="H154" i="12"/>
  <c r="I154" i="12"/>
  <c r="J154" i="12"/>
  <c r="K154" i="12"/>
  <c r="L154" i="12"/>
  <c r="M154" i="12"/>
  <c r="N154" i="12"/>
  <c r="C151" i="12"/>
  <c r="D151" i="12"/>
  <c r="E151" i="12"/>
  <c r="G151" i="12"/>
  <c r="H151" i="12"/>
  <c r="I151" i="12"/>
  <c r="J151" i="12"/>
  <c r="K151" i="12"/>
  <c r="L151" i="12"/>
  <c r="M151" i="12"/>
  <c r="N151" i="12"/>
  <c r="C228" i="12"/>
  <c r="D228" i="12"/>
  <c r="E228" i="12"/>
  <c r="G228" i="12"/>
  <c r="H228" i="12"/>
  <c r="I228" i="12"/>
  <c r="J228" i="12"/>
  <c r="K228" i="12"/>
  <c r="L228" i="12"/>
  <c r="M228" i="12"/>
  <c r="N228" i="12"/>
  <c r="C99" i="12"/>
  <c r="D99" i="12"/>
  <c r="E99" i="12"/>
  <c r="G99" i="12"/>
  <c r="H99" i="12"/>
  <c r="I99" i="12"/>
  <c r="J99" i="12"/>
  <c r="K99" i="12"/>
  <c r="L99" i="12"/>
  <c r="M99" i="12"/>
  <c r="N99" i="12"/>
  <c r="C194" i="12"/>
  <c r="D194" i="12"/>
  <c r="E194" i="12"/>
  <c r="G194" i="12"/>
  <c r="H194" i="12"/>
  <c r="I194" i="12"/>
  <c r="J194" i="12"/>
  <c r="K194" i="12"/>
  <c r="L194" i="12"/>
  <c r="M194" i="12"/>
  <c r="N194" i="12"/>
  <c r="C229" i="12"/>
  <c r="D229" i="12"/>
  <c r="E229" i="12"/>
  <c r="G229" i="12"/>
  <c r="H229" i="12"/>
  <c r="I229" i="12"/>
  <c r="J229" i="12"/>
  <c r="K229" i="12"/>
  <c r="L229" i="12"/>
  <c r="M229" i="12"/>
  <c r="N229" i="12"/>
  <c r="C119" i="12"/>
  <c r="D119" i="12"/>
  <c r="E119" i="12"/>
  <c r="G119" i="12"/>
  <c r="H119" i="12"/>
  <c r="I119" i="12"/>
  <c r="J119" i="12"/>
  <c r="K119" i="12"/>
  <c r="L119" i="12"/>
  <c r="M119" i="12"/>
  <c r="N119" i="12"/>
  <c r="C192" i="12"/>
  <c r="D192" i="12"/>
  <c r="E192" i="12"/>
  <c r="G192" i="12"/>
  <c r="H192" i="12"/>
  <c r="I192" i="12"/>
  <c r="J192" i="12"/>
  <c r="K192" i="12"/>
  <c r="L192" i="12"/>
  <c r="M192" i="12"/>
  <c r="N192" i="12"/>
  <c r="G214" i="12"/>
  <c r="H214" i="12"/>
  <c r="I214" i="12"/>
  <c r="J214" i="12"/>
  <c r="K214" i="12"/>
  <c r="L214" i="12"/>
  <c r="M214" i="12"/>
  <c r="N214" i="12"/>
  <c r="C98" i="12"/>
  <c r="D98" i="12"/>
  <c r="E98" i="12"/>
  <c r="G98" i="12"/>
  <c r="H98" i="12"/>
  <c r="I98" i="12"/>
  <c r="J98" i="12"/>
  <c r="K98" i="12"/>
  <c r="L98" i="12"/>
  <c r="M98" i="12"/>
  <c r="N98" i="12"/>
  <c r="C74" i="12"/>
  <c r="D74" i="12"/>
  <c r="E74" i="12"/>
  <c r="G74" i="12"/>
  <c r="H74" i="12"/>
  <c r="I74" i="12"/>
  <c r="J74" i="12"/>
  <c r="K74" i="12"/>
  <c r="L74" i="12"/>
  <c r="M74" i="12"/>
  <c r="N74" i="12"/>
  <c r="C73" i="12"/>
  <c r="D73" i="12"/>
  <c r="E73" i="12"/>
  <c r="G73" i="12"/>
  <c r="H73" i="12"/>
  <c r="I73" i="12"/>
  <c r="J73" i="12"/>
  <c r="K73" i="12"/>
  <c r="L73" i="12"/>
  <c r="M73" i="12"/>
  <c r="N73" i="12"/>
  <c r="C201" i="12"/>
  <c r="D201" i="12"/>
  <c r="E201" i="12"/>
  <c r="G201" i="12"/>
  <c r="H201" i="12"/>
  <c r="I201" i="12"/>
  <c r="J201" i="12"/>
  <c r="K201" i="12"/>
  <c r="L201" i="12"/>
  <c r="M201" i="12"/>
  <c r="N201" i="12"/>
  <c r="C139" i="12"/>
  <c r="D139" i="12"/>
  <c r="E139" i="12"/>
  <c r="G139" i="12"/>
  <c r="H139" i="12"/>
  <c r="I139" i="12"/>
  <c r="J139" i="12"/>
  <c r="K139" i="12"/>
  <c r="L139" i="12"/>
  <c r="M139" i="12"/>
  <c r="N139" i="12"/>
  <c r="C55" i="12"/>
  <c r="D55" i="12"/>
  <c r="E55" i="12"/>
  <c r="G55" i="12"/>
  <c r="H55" i="12"/>
  <c r="I55" i="12"/>
  <c r="J55" i="12"/>
  <c r="K55" i="12"/>
  <c r="L55" i="12"/>
  <c r="M55" i="12"/>
  <c r="N55" i="12"/>
  <c r="C248" i="12"/>
  <c r="D248" i="12"/>
  <c r="E248" i="12"/>
  <c r="G248" i="12"/>
  <c r="H248" i="12"/>
  <c r="I248" i="12"/>
  <c r="J248" i="12"/>
  <c r="K248" i="12"/>
  <c r="L248" i="12"/>
  <c r="M248" i="12"/>
  <c r="N248" i="12"/>
  <c r="C104" i="12"/>
  <c r="D104" i="12"/>
  <c r="E104" i="12"/>
  <c r="G104" i="12"/>
  <c r="H104" i="12"/>
  <c r="I104" i="12"/>
  <c r="J104" i="12"/>
  <c r="K104" i="12"/>
  <c r="L104" i="12"/>
  <c r="M104" i="12"/>
  <c r="N104" i="12"/>
  <c r="C190" i="12"/>
  <c r="D190" i="12"/>
  <c r="E190" i="12"/>
  <c r="G190" i="12"/>
  <c r="H190" i="12"/>
  <c r="I190" i="12"/>
  <c r="J190" i="12"/>
  <c r="K190" i="12"/>
  <c r="L190" i="12"/>
  <c r="M190" i="12"/>
  <c r="N190" i="12"/>
  <c r="C157" i="12"/>
  <c r="D157" i="12"/>
  <c r="E157" i="12"/>
  <c r="G157" i="12"/>
  <c r="H157" i="12"/>
  <c r="I157" i="12"/>
  <c r="J157" i="12"/>
  <c r="K157" i="12"/>
  <c r="L157" i="12"/>
  <c r="M157" i="12"/>
  <c r="N157" i="12"/>
  <c r="G242" i="12"/>
  <c r="H242" i="12"/>
  <c r="I242" i="12"/>
  <c r="J242" i="12"/>
  <c r="K242" i="12"/>
  <c r="L242" i="12"/>
  <c r="M242" i="12"/>
  <c r="N242" i="12"/>
  <c r="C176" i="12"/>
  <c r="D176" i="12"/>
  <c r="E176" i="12"/>
  <c r="G176" i="12"/>
  <c r="H176" i="12"/>
  <c r="I176" i="12"/>
  <c r="J176" i="12"/>
  <c r="K176" i="12"/>
  <c r="L176" i="12"/>
  <c r="M176" i="12"/>
  <c r="N176" i="12"/>
  <c r="C226" i="12"/>
  <c r="D226" i="12"/>
  <c r="E226" i="12"/>
  <c r="G226" i="12"/>
  <c r="H226" i="12"/>
  <c r="I226" i="12"/>
  <c r="J226" i="12"/>
  <c r="K226" i="12"/>
  <c r="L226" i="12"/>
  <c r="M226" i="12"/>
  <c r="N226" i="12"/>
  <c r="C130" i="12"/>
  <c r="D130" i="12"/>
  <c r="E130" i="12"/>
  <c r="G130" i="12"/>
  <c r="H130" i="12"/>
  <c r="I130" i="12"/>
  <c r="J130" i="12"/>
  <c r="K130" i="12"/>
  <c r="L130" i="12"/>
  <c r="M130" i="12"/>
  <c r="N130" i="12"/>
  <c r="G252" i="12"/>
  <c r="H252" i="12"/>
  <c r="I252" i="12"/>
  <c r="J252" i="12"/>
  <c r="K252" i="12"/>
  <c r="L252" i="12"/>
  <c r="M252" i="12"/>
  <c r="N252" i="12"/>
  <c r="C239" i="12"/>
  <c r="D239" i="12"/>
  <c r="E239" i="12"/>
  <c r="G239" i="12"/>
  <c r="H239" i="12"/>
  <c r="I239" i="12"/>
  <c r="J239" i="12"/>
  <c r="K239" i="12"/>
  <c r="L239" i="12"/>
  <c r="M239" i="12"/>
  <c r="N239" i="12"/>
  <c r="C210" i="12"/>
  <c r="D210" i="12"/>
  <c r="E210" i="12"/>
  <c r="G210" i="12"/>
  <c r="H210" i="12"/>
  <c r="I210" i="12"/>
  <c r="J210" i="12"/>
  <c r="K210" i="12"/>
  <c r="L210" i="12"/>
  <c r="M210" i="12"/>
  <c r="N210" i="12"/>
  <c r="C122" i="12"/>
  <c r="D122" i="12"/>
  <c r="E122" i="12"/>
  <c r="G122" i="12"/>
  <c r="H122" i="12"/>
  <c r="I122" i="12"/>
  <c r="J122" i="12"/>
  <c r="K122" i="12"/>
  <c r="L122" i="12"/>
  <c r="M122" i="12"/>
  <c r="N122" i="12"/>
  <c r="C174" i="12"/>
  <c r="D174" i="12"/>
  <c r="E174" i="12"/>
  <c r="G174" i="12"/>
  <c r="H174" i="12"/>
  <c r="I174" i="12"/>
  <c r="J174" i="12"/>
  <c r="K174" i="12"/>
  <c r="L174" i="12"/>
  <c r="M174" i="12"/>
  <c r="N174" i="12"/>
  <c r="C205" i="12"/>
  <c r="D205" i="12"/>
  <c r="E205" i="12"/>
  <c r="G205" i="12"/>
  <c r="H205" i="12"/>
  <c r="I205" i="12"/>
  <c r="J205" i="12"/>
  <c r="K205" i="12"/>
  <c r="L205" i="12"/>
  <c r="M205" i="12"/>
  <c r="N205" i="12"/>
  <c r="C167" i="12"/>
  <c r="D167" i="12"/>
  <c r="E167" i="12"/>
  <c r="G167" i="12"/>
  <c r="H167" i="12"/>
  <c r="I167" i="12"/>
  <c r="J167" i="12"/>
  <c r="K167" i="12"/>
  <c r="L167" i="12"/>
  <c r="M167" i="12"/>
  <c r="N167" i="12"/>
  <c r="C203" i="12"/>
  <c r="D203" i="12"/>
  <c r="E203" i="12"/>
  <c r="G203" i="12"/>
  <c r="H203" i="12"/>
  <c r="I203" i="12"/>
  <c r="J203" i="12"/>
  <c r="K203" i="12"/>
  <c r="L203" i="12"/>
  <c r="M203" i="12"/>
  <c r="N203" i="12"/>
  <c r="C96" i="12"/>
  <c r="D96" i="12"/>
  <c r="E96" i="12"/>
  <c r="G96" i="12"/>
  <c r="H96" i="12"/>
  <c r="I96" i="12"/>
  <c r="J96" i="12"/>
  <c r="K96" i="12"/>
  <c r="L96" i="12"/>
  <c r="M96" i="12"/>
  <c r="N96" i="12"/>
  <c r="C165" i="12"/>
  <c r="D165" i="12"/>
  <c r="E165" i="12"/>
  <c r="G165" i="12"/>
  <c r="H165" i="12"/>
  <c r="I165" i="12"/>
  <c r="J165" i="12"/>
  <c r="K165" i="12"/>
  <c r="L165" i="12"/>
  <c r="M165" i="12"/>
  <c r="N165" i="12"/>
  <c r="C230" i="12"/>
  <c r="D230" i="12"/>
  <c r="E230" i="12"/>
  <c r="G230" i="12"/>
  <c r="H230" i="12"/>
  <c r="I230" i="12"/>
  <c r="J230" i="12"/>
  <c r="K230" i="12"/>
  <c r="L230" i="12"/>
  <c r="M230" i="12"/>
  <c r="N230" i="12"/>
  <c r="C106" i="12"/>
  <c r="D106" i="12"/>
  <c r="E106" i="12"/>
  <c r="G106" i="12"/>
  <c r="H106" i="12"/>
  <c r="I106" i="12"/>
  <c r="J106" i="12"/>
  <c r="K106" i="12"/>
  <c r="L106" i="12"/>
  <c r="M106" i="12"/>
  <c r="N106" i="12"/>
  <c r="C131" i="12"/>
  <c r="D131" i="12"/>
  <c r="E131" i="12"/>
  <c r="G131" i="12"/>
  <c r="H131" i="12"/>
  <c r="I131" i="12"/>
  <c r="J131" i="12"/>
  <c r="K131" i="12"/>
  <c r="L131" i="12"/>
  <c r="M131" i="12"/>
  <c r="N131" i="12"/>
  <c r="C175" i="12"/>
  <c r="D175" i="12"/>
  <c r="E175" i="12"/>
  <c r="G175" i="12"/>
  <c r="H175" i="12"/>
  <c r="I175" i="12"/>
  <c r="J175" i="12"/>
  <c r="K175" i="12"/>
  <c r="L175" i="12"/>
  <c r="M175" i="12"/>
  <c r="N175" i="12"/>
  <c r="C134" i="12"/>
  <c r="D134" i="12"/>
  <c r="E134" i="12"/>
  <c r="G134" i="12"/>
  <c r="H134" i="12"/>
  <c r="I134" i="12"/>
  <c r="J134" i="12"/>
  <c r="K134" i="12"/>
  <c r="L134" i="12"/>
  <c r="M134" i="12"/>
  <c r="N134" i="12"/>
  <c r="C183" i="12"/>
  <c r="D183" i="12"/>
  <c r="E183" i="12"/>
  <c r="G183" i="12"/>
  <c r="H183" i="12"/>
  <c r="I183" i="12"/>
  <c r="J183" i="12"/>
  <c r="K183" i="12"/>
  <c r="L183" i="12"/>
  <c r="M183" i="12"/>
  <c r="N183" i="12"/>
  <c r="C235" i="12"/>
  <c r="D235" i="12"/>
  <c r="E235" i="12"/>
  <c r="G235" i="12"/>
  <c r="H235" i="12"/>
  <c r="I235" i="12"/>
  <c r="J235" i="12"/>
  <c r="K235" i="12"/>
  <c r="L235" i="12"/>
  <c r="M235" i="12"/>
  <c r="N235" i="12"/>
  <c r="C95" i="12"/>
  <c r="D95" i="12"/>
  <c r="E95" i="12"/>
  <c r="G95" i="12"/>
  <c r="H95" i="12"/>
  <c r="I95" i="12"/>
  <c r="J95" i="12"/>
  <c r="K95" i="12"/>
  <c r="L95" i="12"/>
  <c r="M95" i="12"/>
  <c r="N95" i="12"/>
  <c r="C172" i="12"/>
  <c r="D172" i="12"/>
  <c r="E172" i="12"/>
  <c r="G172" i="12"/>
  <c r="H172" i="12"/>
  <c r="I172" i="12"/>
  <c r="J172" i="12"/>
  <c r="K172" i="12"/>
  <c r="L172" i="12"/>
  <c r="M172" i="12"/>
  <c r="N172" i="12"/>
  <c r="C91" i="12"/>
  <c r="D91" i="12"/>
  <c r="E91" i="12"/>
  <c r="G91" i="12"/>
  <c r="H91" i="12"/>
  <c r="I91" i="12"/>
  <c r="J91" i="12"/>
  <c r="K91" i="12"/>
  <c r="L91" i="12"/>
  <c r="M91" i="12"/>
  <c r="N91" i="12"/>
  <c r="C103" i="12"/>
  <c r="D103" i="12"/>
  <c r="E103" i="12"/>
  <c r="G103" i="12"/>
  <c r="H103" i="12"/>
  <c r="I103" i="12"/>
  <c r="K103" i="12"/>
  <c r="L103" i="12"/>
  <c r="M103" i="12"/>
  <c r="C125" i="12"/>
  <c r="D125" i="12"/>
  <c r="E125" i="12"/>
  <c r="G125" i="12"/>
  <c r="H125" i="12"/>
  <c r="I125" i="12"/>
  <c r="J125" i="12"/>
  <c r="K125" i="12"/>
  <c r="L125" i="12"/>
  <c r="M125" i="12"/>
  <c r="N125" i="12"/>
  <c r="C196" i="12"/>
  <c r="D196" i="12"/>
  <c r="E196" i="12"/>
  <c r="G196" i="12"/>
  <c r="H196" i="12"/>
  <c r="I196" i="12"/>
  <c r="J196" i="12"/>
  <c r="K196" i="12"/>
  <c r="L196" i="12"/>
  <c r="M196" i="12"/>
  <c r="N196" i="12"/>
  <c r="C187" i="12"/>
  <c r="D187" i="12"/>
  <c r="E187" i="12"/>
  <c r="G187" i="12"/>
  <c r="H187" i="12"/>
  <c r="I187" i="12"/>
  <c r="J187" i="12"/>
  <c r="K187" i="12"/>
  <c r="L187" i="12"/>
  <c r="M187" i="12"/>
  <c r="N187" i="12"/>
  <c r="C181" i="12"/>
  <c r="D181" i="12"/>
  <c r="E181" i="12"/>
  <c r="G181" i="12"/>
  <c r="H181" i="12"/>
  <c r="I181" i="12"/>
  <c r="J181" i="12"/>
  <c r="K181" i="12"/>
  <c r="L181" i="12"/>
  <c r="M181" i="12"/>
  <c r="N181" i="12"/>
  <c r="C53" i="12"/>
  <c r="D53" i="12"/>
  <c r="E53" i="12"/>
  <c r="G53" i="12"/>
  <c r="H53" i="12"/>
  <c r="I53" i="12"/>
  <c r="K53" i="12"/>
  <c r="L53" i="12"/>
  <c r="M53" i="12"/>
  <c r="N53" i="12"/>
  <c r="C86" i="12"/>
  <c r="D86" i="12"/>
  <c r="E86" i="12"/>
  <c r="G86" i="12"/>
  <c r="H86" i="12"/>
  <c r="I86" i="12"/>
  <c r="J86" i="12"/>
  <c r="K86" i="12"/>
  <c r="L86" i="12"/>
  <c r="M86" i="12"/>
  <c r="N86" i="12"/>
  <c r="C115" i="12"/>
  <c r="D115" i="12"/>
  <c r="E115" i="12"/>
  <c r="G115" i="12"/>
  <c r="H115" i="12"/>
  <c r="I115" i="12"/>
  <c r="J115" i="12"/>
  <c r="K115" i="12"/>
  <c r="L115" i="12"/>
  <c r="M115" i="12"/>
  <c r="N115" i="12"/>
  <c r="C149" i="12"/>
  <c r="D149" i="12"/>
  <c r="E149" i="12"/>
  <c r="G149" i="12"/>
  <c r="H149" i="12"/>
  <c r="I149" i="12"/>
  <c r="J149" i="12"/>
  <c r="K149" i="12"/>
  <c r="L149" i="12"/>
  <c r="M149" i="12"/>
  <c r="N149" i="12"/>
  <c r="C116" i="12"/>
  <c r="D116" i="12"/>
  <c r="E116" i="12"/>
  <c r="G116" i="12"/>
  <c r="H116" i="12"/>
  <c r="I116" i="12"/>
  <c r="J116" i="12"/>
  <c r="K116" i="12"/>
  <c r="L116" i="12"/>
  <c r="M116" i="12"/>
  <c r="N116" i="12"/>
  <c r="C197" i="12"/>
  <c r="D197" i="12"/>
  <c r="E197" i="12"/>
  <c r="G197" i="12"/>
  <c r="H197" i="12"/>
  <c r="I197" i="12"/>
  <c r="J197" i="12"/>
  <c r="K197" i="12"/>
  <c r="L197" i="12"/>
  <c r="M197" i="12"/>
  <c r="N197" i="12"/>
  <c r="C105" i="12"/>
  <c r="D105" i="12"/>
  <c r="E105" i="12"/>
  <c r="G105" i="12"/>
  <c r="H105" i="12"/>
  <c r="I105" i="12"/>
  <c r="J105" i="12"/>
  <c r="K105" i="12"/>
  <c r="L105" i="12"/>
  <c r="M105" i="12"/>
  <c r="N105" i="12"/>
  <c r="C85" i="12"/>
  <c r="D85" i="12"/>
  <c r="E85" i="12"/>
  <c r="G85" i="12"/>
  <c r="H85" i="12"/>
  <c r="I85" i="12"/>
  <c r="J85" i="12"/>
  <c r="K85" i="12"/>
  <c r="L85" i="12"/>
  <c r="M85" i="12"/>
  <c r="N85" i="12"/>
  <c r="C180" i="12"/>
  <c r="D180" i="12"/>
  <c r="E180" i="12"/>
  <c r="G180" i="12"/>
  <c r="H180" i="12"/>
  <c r="I180" i="12"/>
  <c r="J180" i="12"/>
  <c r="K180" i="12"/>
  <c r="L180" i="12"/>
  <c r="M180" i="12"/>
  <c r="N180" i="12"/>
  <c r="C155" i="12"/>
  <c r="D155" i="12"/>
  <c r="E155" i="12"/>
  <c r="G155" i="12"/>
  <c r="H155" i="12"/>
  <c r="I155" i="12"/>
  <c r="J155" i="12"/>
  <c r="K155" i="12"/>
  <c r="L155" i="12"/>
  <c r="M155" i="12"/>
  <c r="N155" i="12"/>
  <c r="C113" i="12"/>
  <c r="D113" i="12"/>
  <c r="E113" i="12"/>
  <c r="G113" i="12"/>
  <c r="H113" i="12"/>
  <c r="I113" i="12"/>
  <c r="J113" i="12"/>
  <c r="K113" i="12"/>
  <c r="L113" i="12"/>
  <c r="M113" i="12"/>
  <c r="N113" i="12"/>
  <c r="C109" i="12"/>
  <c r="D109" i="12"/>
  <c r="E109" i="12"/>
  <c r="G109" i="12"/>
  <c r="H109" i="12"/>
  <c r="I109" i="12"/>
  <c r="J109" i="12"/>
  <c r="K109" i="12"/>
  <c r="L109" i="12"/>
  <c r="M109" i="12"/>
  <c r="N109" i="12"/>
  <c r="C136" i="12"/>
  <c r="D136" i="12"/>
  <c r="E136" i="12"/>
  <c r="G136" i="12"/>
  <c r="H136" i="12"/>
  <c r="I136" i="12"/>
  <c r="J136" i="12"/>
  <c r="K136" i="12"/>
  <c r="L136" i="12"/>
  <c r="M136" i="12"/>
  <c r="N136" i="12"/>
  <c r="C133" i="12"/>
  <c r="D133" i="12"/>
  <c r="E133" i="12"/>
  <c r="G133" i="12"/>
  <c r="H133" i="12"/>
  <c r="I133" i="12"/>
  <c r="J133" i="12"/>
  <c r="K133" i="12"/>
  <c r="L133" i="12"/>
  <c r="M133" i="12"/>
  <c r="N133" i="12"/>
  <c r="C215" i="12"/>
  <c r="D215" i="12"/>
  <c r="E215" i="12"/>
  <c r="G215" i="12"/>
  <c r="H215" i="12"/>
  <c r="I215" i="12"/>
  <c r="J215" i="12"/>
  <c r="K215" i="12"/>
  <c r="L215" i="12"/>
  <c r="M215" i="12"/>
  <c r="N215" i="12"/>
  <c r="C92" i="12"/>
  <c r="D92" i="12"/>
  <c r="E92" i="12"/>
  <c r="G92" i="12"/>
  <c r="H92" i="12"/>
  <c r="I92" i="12"/>
  <c r="J92" i="12"/>
  <c r="K92" i="12"/>
  <c r="L92" i="12"/>
  <c r="M92" i="12"/>
  <c r="N92" i="12"/>
  <c r="C143" i="12"/>
  <c r="D143" i="12"/>
  <c r="E143" i="12"/>
  <c r="G143" i="12"/>
  <c r="H143" i="12"/>
  <c r="I143" i="12"/>
  <c r="J143" i="12"/>
  <c r="K143" i="12"/>
  <c r="L143" i="12"/>
  <c r="M143" i="12"/>
  <c r="N143" i="12"/>
  <c r="C140" i="12"/>
  <c r="D140" i="12"/>
  <c r="E140" i="12"/>
  <c r="G140" i="12"/>
  <c r="H140" i="12"/>
  <c r="I140" i="12"/>
  <c r="J140" i="12"/>
  <c r="K140" i="12"/>
  <c r="L140" i="12"/>
  <c r="M140" i="12"/>
  <c r="N140" i="12"/>
  <c r="C234" i="12"/>
  <c r="D234" i="12"/>
  <c r="E234" i="12"/>
  <c r="G234" i="12"/>
  <c r="H234" i="12"/>
  <c r="I234" i="12"/>
  <c r="J234" i="12"/>
  <c r="K234" i="12"/>
  <c r="L234" i="12"/>
  <c r="M234" i="12"/>
  <c r="N234" i="12"/>
  <c r="C206" i="12"/>
  <c r="D206" i="12"/>
  <c r="E206" i="12"/>
  <c r="G206" i="12"/>
  <c r="H206" i="12"/>
  <c r="I206" i="12"/>
  <c r="J206" i="12"/>
  <c r="K206" i="12"/>
  <c r="L206" i="12"/>
  <c r="M206" i="12"/>
  <c r="N206" i="12"/>
  <c r="C199" i="12"/>
  <c r="D199" i="12"/>
  <c r="E199" i="12"/>
  <c r="G199" i="12"/>
  <c r="H199" i="12"/>
  <c r="I199" i="12"/>
  <c r="J199" i="12"/>
  <c r="K199" i="12"/>
  <c r="L199" i="12"/>
  <c r="M199" i="12"/>
  <c r="N199" i="12"/>
  <c r="C88" i="12"/>
  <c r="D88" i="12"/>
  <c r="E88" i="12"/>
  <c r="G88" i="12"/>
  <c r="H88" i="12"/>
  <c r="I88" i="12"/>
  <c r="J88" i="12"/>
  <c r="K88" i="12"/>
  <c r="L88" i="12"/>
  <c r="M88" i="12"/>
  <c r="N88" i="12"/>
  <c r="C107" i="12"/>
  <c r="D107" i="12"/>
  <c r="E107" i="12"/>
  <c r="G107" i="12"/>
  <c r="H107" i="12"/>
  <c r="I107" i="12"/>
  <c r="J107" i="12"/>
  <c r="K107" i="12"/>
  <c r="L107" i="12"/>
  <c r="M107" i="12"/>
  <c r="N107" i="12"/>
  <c r="C58" i="12"/>
  <c r="D58" i="12"/>
  <c r="E58" i="12"/>
  <c r="G58" i="12"/>
  <c r="H58" i="12"/>
  <c r="I58" i="12"/>
  <c r="J58" i="12"/>
  <c r="K58" i="12"/>
  <c r="L58" i="12"/>
  <c r="M58" i="12"/>
  <c r="N58" i="12"/>
  <c r="C69" i="12"/>
  <c r="D69" i="12"/>
  <c r="E69" i="12"/>
  <c r="G69" i="12"/>
  <c r="H69" i="12"/>
  <c r="I69" i="12"/>
  <c r="J69" i="12"/>
  <c r="K69" i="12"/>
  <c r="L69" i="12"/>
  <c r="M69" i="12"/>
  <c r="N69" i="12"/>
  <c r="C66" i="12"/>
  <c r="D66" i="12"/>
  <c r="E66" i="12"/>
  <c r="G66" i="12"/>
  <c r="H66" i="12"/>
  <c r="I66" i="12"/>
  <c r="J66" i="12"/>
  <c r="K66" i="12"/>
  <c r="L66" i="12"/>
  <c r="M66" i="12"/>
  <c r="N66" i="12"/>
  <c r="C241" i="12"/>
  <c r="D241" i="12"/>
  <c r="E241" i="12"/>
  <c r="G241" i="12"/>
  <c r="H241" i="12"/>
  <c r="I241" i="12"/>
  <c r="J241" i="12"/>
  <c r="K241" i="12"/>
  <c r="L241" i="12"/>
  <c r="M241" i="12"/>
  <c r="N241" i="12"/>
  <c r="C243" i="12"/>
  <c r="D243" i="12"/>
  <c r="E243" i="12"/>
  <c r="G243" i="12"/>
  <c r="H243" i="12"/>
  <c r="I243" i="12"/>
  <c r="J243" i="12"/>
  <c r="K243" i="12"/>
  <c r="L243" i="12"/>
  <c r="M243" i="12"/>
  <c r="N243" i="12"/>
  <c r="C148" i="12"/>
  <c r="D148" i="12"/>
  <c r="E148" i="12"/>
  <c r="G148" i="12"/>
  <c r="H148" i="12"/>
  <c r="I148" i="12"/>
  <c r="J148" i="12"/>
  <c r="K148" i="12"/>
  <c r="L148" i="12"/>
  <c r="M148" i="12"/>
  <c r="N148" i="12"/>
  <c r="C158" i="12"/>
  <c r="D158" i="12"/>
  <c r="E158" i="12"/>
  <c r="G158" i="12"/>
  <c r="H158" i="12"/>
  <c r="I158" i="12"/>
  <c r="K158" i="12"/>
  <c r="L158" i="12"/>
  <c r="M158" i="12"/>
  <c r="N158" i="12"/>
  <c r="C150" i="12"/>
  <c r="D150" i="12"/>
  <c r="E150" i="12"/>
  <c r="G150" i="12"/>
  <c r="H150" i="12"/>
  <c r="I150" i="12"/>
  <c r="K150" i="12"/>
  <c r="L150" i="12"/>
  <c r="M150" i="12"/>
  <c r="C47" i="12"/>
  <c r="D47" i="12"/>
  <c r="E47" i="12"/>
  <c r="G47" i="12"/>
  <c r="H47" i="12"/>
  <c r="I47" i="12"/>
  <c r="J47" i="12"/>
  <c r="K47" i="12"/>
  <c r="L47" i="12"/>
  <c r="M47" i="12"/>
  <c r="N47" i="12"/>
  <c r="C191" i="12"/>
  <c r="D191" i="12"/>
  <c r="E191" i="12"/>
  <c r="G191" i="12"/>
  <c r="H191" i="12"/>
  <c r="I191" i="12"/>
  <c r="J191" i="12"/>
  <c r="K191" i="12"/>
  <c r="L191" i="12"/>
  <c r="M191" i="12"/>
  <c r="N191" i="12"/>
  <c r="C233" i="12"/>
  <c r="D233" i="12"/>
  <c r="E233" i="12"/>
  <c r="G233" i="12"/>
  <c r="H233" i="12"/>
  <c r="I233" i="12"/>
  <c r="J233" i="12"/>
  <c r="K233" i="12"/>
  <c r="L233" i="12"/>
  <c r="M233" i="12"/>
  <c r="N233" i="12"/>
  <c r="C153" i="12"/>
  <c r="D153" i="12"/>
  <c r="E153" i="12"/>
  <c r="G153" i="12"/>
  <c r="H153" i="12"/>
  <c r="I153" i="12"/>
  <c r="J153" i="12"/>
  <c r="K153" i="12"/>
  <c r="L153" i="12"/>
  <c r="M153" i="12"/>
  <c r="N153" i="12"/>
  <c r="C208" i="12"/>
  <c r="D208" i="12"/>
  <c r="E208" i="12"/>
  <c r="G208" i="12"/>
  <c r="H208" i="12"/>
  <c r="I208" i="12"/>
  <c r="J208" i="12"/>
  <c r="K208" i="12"/>
  <c r="L208" i="12"/>
  <c r="M208" i="12"/>
  <c r="N208" i="12"/>
  <c r="C212" i="12"/>
  <c r="D212" i="12"/>
  <c r="E212" i="12"/>
  <c r="G212" i="12"/>
  <c r="H212" i="12"/>
  <c r="I212" i="12"/>
  <c r="J212" i="12"/>
  <c r="K212" i="12"/>
  <c r="L212" i="12"/>
  <c r="M212" i="12"/>
  <c r="N212" i="12"/>
  <c r="C112" i="12"/>
  <c r="D112" i="12"/>
  <c r="E112" i="12"/>
  <c r="G112" i="12"/>
  <c r="H112" i="12"/>
  <c r="I112" i="12"/>
  <c r="J112" i="12"/>
  <c r="K112" i="12"/>
  <c r="L112" i="12"/>
  <c r="M112" i="12"/>
  <c r="N112" i="12"/>
  <c r="C220" i="12"/>
  <c r="D220" i="12"/>
  <c r="E220" i="12"/>
  <c r="G220" i="12"/>
  <c r="H220" i="12"/>
  <c r="I220" i="12"/>
  <c r="J220" i="12"/>
  <c r="K220" i="12"/>
  <c r="L220" i="12"/>
  <c r="M220" i="12"/>
  <c r="N220" i="12"/>
  <c r="C161" i="12"/>
  <c r="D161" i="12"/>
  <c r="E161" i="12"/>
  <c r="G161" i="12"/>
  <c r="H161" i="12"/>
  <c r="I161" i="12"/>
  <c r="K161" i="12"/>
  <c r="L161" i="12"/>
  <c r="M161" i="12"/>
  <c r="N161" i="12"/>
  <c r="Q161" i="12" s="1"/>
  <c r="C36" i="12"/>
  <c r="D36" i="12"/>
  <c r="E36" i="12"/>
  <c r="G36" i="12"/>
  <c r="H36" i="12"/>
  <c r="I36" i="12"/>
  <c r="K36" i="12"/>
  <c r="L36" i="12"/>
  <c r="M36" i="12"/>
  <c r="N36" i="12"/>
  <c r="C168" i="12"/>
  <c r="D168" i="12"/>
  <c r="E168" i="12"/>
  <c r="G168" i="12"/>
  <c r="H168" i="12"/>
  <c r="I168" i="12"/>
  <c r="J168" i="12"/>
  <c r="K168" i="12"/>
  <c r="L168" i="12"/>
  <c r="M168" i="12"/>
  <c r="N168" i="12"/>
  <c r="C221" i="12"/>
  <c r="D221" i="12"/>
  <c r="E221" i="12"/>
  <c r="G221" i="12"/>
  <c r="H221" i="12"/>
  <c r="I221" i="12"/>
  <c r="J221" i="12"/>
  <c r="K221" i="12"/>
  <c r="L221" i="12"/>
  <c r="M221" i="12"/>
  <c r="N221" i="12"/>
  <c r="C72" i="12"/>
  <c r="D72" i="12"/>
  <c r="E72" i="12"/>
  <c r="G72" i="12"/>
  <c r="H72" i="12"/>
  <c r="I72" i="12"/>
  <c r="J72" i="12"/>
  <c r="K72" i="12"/>
  <c r="L72" i="12"/>
  <c r="M72" i="12"/>
  <c r="N72" i="12"/>
  <c r="C159" i="12"/>
  <c r="D159" i="12"/>
  <c r="E159" i="12"/>
  <c r="G159" i="12"/>
  <c r="H159" i="12"/>
  <c r="I159" i="12"/>
  <c r="J159" i="12"/>
  <c r="K159" i="12"/>
  <c r="L159" i="12"/>
  <c r="M159" i="12"/>
  <c r="N159" i="12"/>
  <c r="C45" i="12"/>
  <c r="D45" i="12"/>
  <c r="E45" i="12"/>
  <c r="G45" i="12"/>
  <c r="H45" i="12"/>
  <c r="I45" i="12"/>
  <c r="J45" i="12"/>
  <c r="K45" i="12"/>
  <c r="L45" i="12"/>
  <c r="M45" i="12"/>
  <c r="N45" i="12"/>
  <c r="C128" i="12"/>
  <c r="D128" i="12"/>
  <c r="E128" i="12"/>
  <c r="G128" i="12"/>
  <c r="H128" i="12"/>
  <c r="I128" i="12"/>
  <c r="J128" i="12"/>
  <c r="K128" i="12"/>
  <c r="L128" i="12"/>
  <c r="M128" i="12"/>
  <c r="N128" i="12"/>
  <c r="C79" i="12"/>
  <c r="D79" i="12"/>
  <c r="E79" i="12"/>
  <c r="G79" i="12"/>
  <c r="H79" i="12"/>
  <c r="I79" i="12"/>
  <c r="J79" i="12"/>
  <c r="K79" i="12"/>
  <c r="L79" i="12"/>
  <c r="M79" i="12"/>
  <c r="N79" i="12"/>
  <c r="C184" i="12"/>
  <c r="D184" i="12"/>
  <c r="E184" i="12"/>
  <c r="G184" i="12"/>
  <c r="H184" i="12"/>
  <c r="I184" i="12"/>
  <c r="J184" i="12"/>
  <c r="K184" i="12"/>
  <c r="L184" i="12"/>
  <c r="M184" i="12"/>
  <c r="N184" i="12"/>
  <c r="C117" i="12"/>
  <c r="D117" i="12"/>
  <c r="E117" i="12"/>
  <c r="G117" i="12"/>
  <c r="H117" i="12"/>
  <c r="I117" i="12"/>
  <c r="K117" i="12"/>
  <c r="L117" i="12"/>
  <c r="M117" i="12"/>
  <c r="N117" i="12"/>
  <c r="C129" i="12"/>
  <c r="D129" i="12"/>
  <c r="E129" i="12"/>
  <c r="G129" i="12"/>
  <c r="H129" i="12"/>
  <c r="I129" i="12"/>
  <c r="J129" i="12"/>
  <c r="K129" i="12"/>
  <c r="L129" i="12"/>
  <c r="M129" i="12"/>
  <c r="N129" i="12"/>
  <c r="C68" i="12"/>
  <c r="D68" i="12"/>
  <c r="E68" i="12"/>
  <c r="G68" i="12"/>
  <c r="H68" i="12"/>
  <c r="I68" i="12"/>
  <c r="J68" i="12"/>
  <c r="K68" i="12"/>
  <c r="L68" i="12"/>
  <c r="M68" i="12"/>
  <c r="N68" i="12"/>
  <c r="C76" i="12"/>
  <c r="D76" i="12"/>
  <c r="E76" i="12"/>
  <c r="G76" i="12"/>
  <c r="H76" i="12"/>
  <c r="I76" i="12"/>
  <c r="J76" i="12"/>
  <c r="K76" i="12"/>
  <c r="L76" i="12"/>
  <c r="M76" i="12"/>
  <c r="N76" i="12"/>
  <c r="C189" i="12"/>
  <c r="D189" i="12"/>
  <c r="E189" i="12"/>
  <c r="G189" i="12"/>
  <c r="H189" i="12"/>
  <c r="I189" i="12"/>
  <c r="J189" i="12"/>
  <c r="K189" i="12"/>
  <c r="L189" i="12"/>
  <c r="M189" i="12"/>
  <c r="N189" i="12"/>
  <c r="C171" i="12"/>
  <c r="D171" i="12"/>
  <c r="E171" i="12"/>
  <c r="G171" i="12"/>
  <c r="H171" i="12"/>
  <c r="I171" i="12"/>
  <c r="J171" i="12"/>
  <c r="K171" i="12"/>
  <c r="L171" i="12"/>
  <c r="M171" i="12"/>
  <c r="N171" i="12"/>
  <c r="C217" i="12"/>
  <c r="D217" i="12"/>
  <c r="E217" i="12"/>
  <c r="G217" i="12"/>
  <c r="H217" i="12"/>
  <c r="I217" i="12"/>
  <c r="J217" i="12"/>
  <c r="K217" i="12"/>
  <c r="L217" i="12"/>
  <c r="M217" i="12"/>
  <c r="N217" i="12"/>
  <c r="C100" i="12"/>
  <c r="D100" i="12"/>
  <c r="E100" i="12"/>
  <c r="G100" i="12"/>
  <c r="H100" i="12"/>
  <c r="I100" i="12"/>
  <c r="K100" i="12"/>
  <c r="L100" i="12"/>
  <c r="M100" i="12"/>
  <c r="N100" i="12"/>
  <c r="C43" i="12"/>
  <c r="D43" i="12"/>
  <c r="E43" i="12"/>
  <c r="G43" i="12"/>
  <c r="H43" i="12"/>
  <c r="I43" i="12"/>
  <c r="J43" i="12"/>
  <c r="K43" i="12"/>
  <c r="L43" i="12"/>
  <c r="M43" i="12"/>
  <c r="N43" i="12"/>
  <c r="C245" i="12"/>
  <c r="D245" i="12"/>
  <c r="E245" i="12"/>
  <c r="G245" i="12"/>
  <c r="H245" i="12"/>
  <c r="I245" i="12"/>
  <c r="J245" i="12"/>
  <c r="K245" i="12"/>
  <c r="L245" i="12"/>
  <c r="M245" i="12"/>
  <c r="N245" i="12"/>
  <c r="C222" i="12"/>
  <c r="D222" i="12"/>
  <c r="E222" i="12"/>
  <c r="G222" i="12"/>
  <c r="H222" i="12"/>
  <c r="I222" i="12"/>
  <c r="J222" i="12"/>
  <c r="K222" i="12"/>
  <c r="L222" i="12"/>
  <c r="M222" i="12"/>
  <c r="N222" i="12"/>
  <c r="C193" i="12"/>
  <c r="D193" i="12"/>
  <c r="E193" i="12"/>
  <c r="G193" i="12"/>
  <c r="H193" i="12"/>
  <c r="I193" i="12"/>
  <c r="J193" i="12"/>
  <c r="K193" i="12"/>
  <c r="L193" i="12"/>
  <c r="M193" i="12"/>
  <c r="N193" i="12"/>
  <c r="C81" i="12"/>
  <c r="D81" i="12"/>
  <c r="E81" i="12"/>
  <c r="G81" i="12"/>
  <c r="H81" i="12"/>
  <c r="I81" i="12"/>
  <c r="J81" i="12"/>
  <c r="K81" i="12"/>
  <c r="L81" i="12"/>
  <c r="M81" i="12"/>
  <c r="N81" i="12"/>
  <c r="C118" i="12"/>
  <c r="D118" i="12"/>
  <c r="E118" i="12"/>
  <c r="G118" i="12"/>
  <c r="H118" i="12"/>
  <c r="I118" i="12"/>
  <c r="K118" i="12"/>
  <c r="L118" i="12"/>
  <c r="M118" i="12"/>
  <c r="N118" i="12"/>
  <c r="C37" i="12"/>
  <c r="D37" i="12"/>
  <c r="E37" i="12"/>
  <c r="G37" i="12"/>
  <c r="H37" i="12"/>
  <c r="I37" i="12"/>
  <c r="K37" i="12"/>
  <c r="L37" i="12"/>
  <c r="M37" i="12"/>
  <c r="C77" i="12"/>
  <c r="D77" i="12"/>
  <c r="E77" i="12"/>
  <c r="G77" i="12"/>
  <c r="H77" i="12"/>
  <c r="I77" i="12"/>
  <c r="J77" i="12"/>
  <c r="K77" i="12"/>
  <c r="L77" i="12"/>
  <c r="M77" i="12"/>
  <c r="N77" i="12"/>
  <c r="C216" i="12"/>
  <c r="D216" i="12"/>
  <c r="G216" i="12"/>
  <c r="H216" i="12"/>
  <c r="I216" i="12"/>
  <c r="J216" i="12"/>
  <c r="K216" i="12"/>
  <c r="L216" i="12"/>
  <c r="M216" i="12"/>
  <c r="N216" i="12"/>
  <c r="C177" i="12"/>
  <c r="D177" i="12"/>
  <c r="E177" i="12"/>
  <c r="G177" i="12"/>
  <c r="H177" i="12"/>
  <c r="I177" i="12"/>
  <c r="J177" i="12"/>
  <c r="K177" i="12"/>
  <c r="L177" i="12"/>
  <c r="M177" i="12"/>
  <c r="N177" i="12"/>
  <c r="C108" i="12"/>
  <c r="D108" i="12"/>
  <c r="E108" i="12"/>
  <c r="G108" i="12"/>
  <c r="H108" i="12"/>
  <c r="I108" i="12"/>
  <c r="J108" i="12"/>
  <c r="K108" i="12"/>
  <c r="L108" i="12"/>
  <c r="M108" i="12"/>
  <c r="N108" i="12"/>
  <c r="C126" i="12"/>
  <c r="D126" i="12"/>
  <c r="E126" i="12"/>
  <c r="G126" i="12"/>
  <c r="H126" i="12"/>
  <c r="I126" i="12"/>
  <c r="J126" i="12"/>
  <c r="K126" i="12"/>
  <c r="L126" i="12"/>
  <c r="M126" i="12"/>
  <c r="N126" i="12"/>
  <c r="C152" i="12"/>
  <c r="D152" i="12"/>
  <c r="E152" i="12"/>
  <c r="G152" i="12"/>
  <c r="H152" i="12"/>
  <c r="I152" i="12"/>
  <c r="J152" i="12"/>
  <c r="K152" i="12"/>
  <c r="L152" i="12"/>
  <c r="M152" i="12"/>
  <c r="N152" i="12"/>
  <c r="C170" i="12"/>
  <c r="D170" i="12"/>
  <c r="E170" i="12"/>
  <c r="G170" i="12"/>
  <c r="H170" i="12"/>
  <c r="I170" i="12"/>
  <c r="K170" i="12"/>
  <c r="L170" i="12"/>
  <c r="M170" i="12"/>
  <c r="C80" i="12"/>
  <c r="D80" i="12"/>
  <c r="E80" i="12"/>
  <c r="G80" i="12"/>
  <c r="H80" i="12"/>
  <c r="I80" i="12"/>
  <c r="J80" i="12"/>
  <c r="K80" i="12"/>
  <c r="L80" i="12"/>
  <c r="M80" i="12"/>
  <c r="N80" i="12"/>
  <c r="C144" i="12"/>
  <c r="D144" i="12"/>
  <c r="E144" i="12"/>
  <c r="G144" i="12"/>
  <c r="H144" i="12"/>
  <c r="I144" i="12"/>
  <c r="J144" i="12"/>
  <c r="K144" i="12"/>
  <c r="L144" i="12"/>
  <c r="M144" i="12"/>
  <c r="N144" i="12"/>
  <c r="C204" i="12"/>
  <c r="D204" i="12"/>
  <c r="E204" i="12"/>
  <c r="G204" i="12"/>
  <c r="H204" i="12"/>
  <c r="I204" i="12"/>
  <c r="J204" i="12"/>
  <c r="K204" i="12"/>
  <c r="L204" i="12"/>
  <c r="M204" i="12"/>
  <c r="N204" i="12"/>
  <c r="C101" i="12"/>
  <c r="D101" i="12"/>
  <c r="E101" i="12"/>
  <c r="G101" i="12"/>
  <c r="H101" i="12"/>
  <c r="I101" i="12"/>
  <c r="J101" i="12"/>
  <c r="K101" i="12"/>
  <c r="L101" i="12"/>
  <c r="M101" i="12"/>
  <c r="N101" i="12"/>
  <c r="C34" i="12"/>
  <c r="D34" i="12"/>
  <c r="E34" i="12"/>
  <c r="G34" i="12"/>
  <c r="H34" i="12"/>
  <c r="I34" i="12"/>
  <c r="J34" i="12"/>
  <c r="K34" i="12"/>
  <c r="L34" i="12"/>
  <c r="M34" i="12"/>
  <c r="N34" i="12"/>
  <c r="C219" i="12"/>
  <c r="D219" i="12"/>
  <c r="E219" i="12"/>
  <c r="G219" i="12"/>
  <c r="H219" i="12"/>
  <c r="I219" i="12"/>
  <c r="J219" i="12"/>
  <c r="K219" i="12"/>
  <c r="L219" i="12"/>
  <c r="M219" i="12"/>
  <c r="N219" i="12"/>
  <c r="C54" i="12"/>
  <c r="D54" i="12"/>
  <c r="E54" i="12"/>
  <c r="G54" i="12"/>
  <c r="H54" i="12"/>
  <c r="I54" i="12"/>
  <c r="J54" i="12"/>
  <c r="K54" i="12"/>
  <c r="L54" i="12"/>
  <c r="M54" i="12"/>
  <c r="N54" i="12"/>
  <c r="C33" i="12"/>
  <c r="D33" i="12"/>
  <c r="E33" i="12"/>
  <c r="G33" i="12"/>
  <c r="H33" i="12"/>
  <c r="I33" i="12"/>
  <c r="K33" i="12"/>
  <c r="L33" i="12"/>
  <c r="M33" i="12"/>
  <c r="C83" i="12"/>
  <c r="D83" i="12"/>
  <c r="E83" i="12"/>
  <c r="G83" i="12"/>
  <c r="H83" i="12"/>
  <c r="I83" i="12"/>
  <c r="J83" i="12"/>
  <c r="K83" i="12"/>
  <c r="L83" i="12"/>
  <c r="M83" i="12"/>
  <c r="N83" i="12"/>
  <c r="C114" i="12"/>
  <c r="D114" i="12"/>
  <c r="E114" i="12"/>
  <c r="G114" i="12"/>
  <c r="H114" i="12"/>
  <c r="I114" i="12"/>
  <c r="J114" i="12"/>
  <c r="K114" i="12"/>
  <c r="L114" i="12"/>
  <c r="M114" i="12"/>
  <c r="N114" i="12"/>
  <c r="C71" i="12"/>
  <c r="D71" i="12"/>
  <c r="E71" i="12"/>
  <c r="G71" i="12"/>
  <c r="H71" i="12"/>
  <c r="I71" i="12"/>
  <c r="J71" i="12"/>
  <c r="K71" i="12"/>
  <c r="L71" i="12"/>
  <c r="M71" i="12"/>
  <c r="N71" i="12"/>
  <c r="C35" i="12"/>
  <c r="D35" i="12"/>
  <c r="E35" i="12"/>
  <c r="G35" i="12"/>
  <c r="H35" i="12"/>
  <c r="I35" i="12"/>
  <c r="K35" i="12"/>
  <c r="L35" i="12"/>
  <c r="M35" i="12"/>
  <c r="N35" i="12"/>
  <c r="C87" i="12"/>
  <c r="D87" i="12"/>
  <c r="E87" i="12"/>
  <c r="G87" i="12"/>
  <c r="H87" i="12"/>
  <c r="I87" i="12"/>
  <c r="K87" i="12"/>
  <c r="L87" i="12"/>
  <c r="M87" i="12"/>
  <c r="C29" i="12"/>
  <c r="D29" i="12"/>
  <c r="E29" i="12"/>
  <c r="G29" i="12"/>
  <c r="H29" i="12"/>
  <c r="I29" i="12"/>
  <c r="K29" i="12"/>
  <c r="L29" i="12"/>
  <c r="M29" i="12"/>
  <c r="N29" i="12"/>
  <c r="C209" i="12"/>
  <c r="D209" i="12"/>
  <c r="E209" i="12"/>
  <c r="G209" i="12"/>
  <c r="H209" i="12"/>
  <c r="I209" i="12"/>
  <c r="J209" i="12"/>
  <c r="K209" i="12"/>
  <c r="L209" i="12"/>
  <c r="M209" i="12"/>
  <c r="N209" i="12"/>
  <c r="C31" i="12"/>
  <c r="D31" i="12"/>
  <c r="E31" i="12"/>
  <c r="G31" i="12"/>
  <c r="H31" i="12"/>
  <c r="I31" i="12"/>
  <c r="K31" i="12"/>
  <c r="L31" i="12"/>
  <c r="M31" i="12"/>
  <c r="C156" i="12"/>
  <c r="D156" i="12"/>
  <c r="E156" i="12"/>
  <c r="G156" i="12"/>
  <c r="H156" i="12"/>
  <c r="I156" i="12"/>
  <c r="J156" i="12"/>
  <c r="K156" i="12"/>
  <c r="L156" i="12"/>
  <c r="M156" i="12"/>
  <c r="N156" i="12"/>
  <c r="C49" i="12"/>
  <c r="D49" i="12"/>
  <c r="E49" i="12"/>
  <c r="G49" i="12"/>
  <c r="H49" i="12"/>
  <c r="I49" i="12"/>
  <c r="K49" i="12"/>
  <c r="L49" i="12"/>
  <c r="M49" i="12"/>
  <c r="C38" i="12"/>
  <c r="D38" i="12"/>
  <c r="E38" i="12"/>
  <c r="G38" i="12"/>
  <c r="H38" i="12"/>
  <c r="I38" i="12"/>
  <c r="J38" i="12"/>
  <c r="K38" i="12"/>
  <c r="L38" i="12"/>
  <c r="M38" i="12"/>
  <c r="N38" i="12"/>
  <c r="C46" i="12"/>
  <c r="D46" i="12"/>
  <c r="E46" i="12"/>
  <c r="G46" i="12"/>
  <c r="H46" i="12"/>
  <c r="I46" i="12"/>
  <c r="J46" i="12"/>
  <c r="K46" i="12"/>
  <c r="L46" i="12"/>
  <c r="M46" i="12"/>
  <c r="N46" i="12"/>
  <c r="C111" i="12"/>
  <c r="D111" i="12"/>
  <c r="E111" i="12"/>
  <c r="G111" i="12"/>
  <c r="H111" i="12"/>
  <c r="I111" i="12"/>
  <c r="J111" i="12"/>
  <c r="K111" i="12"/>
  <c r="L111" i="12"/>
  <c r="M111" i="12"/>
  <c r="N111" i="12"/>
  <c r="C21" i="12"/>
  <c r="D21" i="12"/>
  <c r="E21" i="12"/>
  <c r="G21" i="12"/>
  <c r="H21" i="12"/>
  <c r="I21" i="12"/>
  <c r="J21" i="12"/>
  <c r="K21" i="12"/>
  <c r="L21" i="12"/>
  <c r="M21" i="12"/>
  <c r="N21" i="12"/>
  <c r="C32" i="12"/>
  <c r="D32" i="12"/>
  <c r="E32" i="12"/>
  <c r="G32" i="12"/>
  <c r="H32" i="12"/>
  <c r="I32" i="12"/>
  <c r="K32" i="12"/>
  <c r="L32" i="12"/>
  <c r="M32" i="12"/>
  <c r="C178" i="12"/>
  <c r="D178" i="12"/>
  <c r="E178" i="12"/>
  <c r="G178" i="12"/>
  <c r="H178" i="12"/>
  <c r="I178" i="12"/>
  <c r="J178" i="12"/>
  <c r="K178" i="12"/>
  <c r="L178" i="12"/>
  <c r="M178" i="12"/>
  <c r="N178" i="12"/>
  <c r="C195" i="12"/>
  <c r="D195" i="12"/>
  <c r="E195" i="12"/>
  <c r="G195" i="12"/>
  <c r="H195" i="12"/>
  <c r="I195" i="12"/>
  <c r="K195" i="12"/>
  <c r="L195" i="12"/>
  <c r="M195" i="12"/>
  <c r="N195" i="12"/>
  <c r="C56" i="12"/>
  <c r="D56" i="12"/>
  <c r="E56" i="12"/>
  <c r="G56" i="12"/>
  <c r="H56" i="12"/>
  <c r="I56" i="12"/>
  <c r="K56" i="12"/>
  <c r="L56" i="12"/>
  <c r="M56" i="12"/>
  <c r="N56" i="12"/>
  <c r="C120" i="12"/>
  <c r="D120" i="12"/>
  <c r="E120" i="12"/>
  <c r="G120" i="12"/>
  <c r="H120" i="12"/>
  <c r="I120" i="12"/>
  <c r="J120" i="12"/>
  <c r="K120" i="12"/>
  <c r="L120" i="12"/>
  <c r="M120" i="12"/>
  <c r="N120" i="12"/>
  <c r="C41" i="12"/>
  <c r="D41" i="12"/>
  <c r="E41" i="12"/>
  <c r="G41" i="12"/>
  <c r="H41" i="12"/>
  <c r="I41" i="12"/>
  <c r="J41" i="12"/>
  <c r="K41" i="12"/>
  <c r="L41" i="12"/>
  <c r="M41" i="12"/>
  <c r="N41" i="12"/>
  <c r="C44" i="12"/>
  <c r="D44" i="12"/>
  <c r="E44" i="12"/>
  <c r="G44" i="12"/>
  <c r="H44" i="12"/>
  <c r="I44" i="12"/>
  <c r="J44" i="12"/>
  <c r="K44" i="12"/>
  <c r="L44" i="12"/>
  <c r="M44" i="12"/>
  <c r="N44" i="12"/>
  <c r="C42" i="12"/>
  <c r="D42" i="12"/>
  <c r="E42" i="12"/>
  <c r="G42" i="12"/>
  <c r="H42" i="12"/>
  <c r="I42" i="12"/>
  <c r="J42" i="12"/>
  <c r="K42" i="12"/>
  <c r="L42" i="12"/>
  <c r="M42" i="12"/>
  <c r="N42" i="12"/>
  <c r="C51" i="12"/>
  <c r="D51" i="12"/>
  <c r="E51" i="12"/>
  <c r="G51" i="12"/>
  <c r="H51" i="12"/>
  <c r="I51" i="12"/>
  <c r="K51" i="12"/>
  <c r="L51" i="12"/>
  <c r="M51" i="12"/>
  <c r="C13" i="12"/>
  <c r="D13" i="12"/>
  <c r="E13" i="12"/>
  <c r="G13" i="12"/>
  <c r="H13" i="12"/>
  <c r="I13" i="12"/>
  <c r="J13" i="12"/>
  <c r="K13" i="12"/>
  <c r="L13" i="12"/>
  <c r="M13" i="12"/>
  <c r="N13" i="12"/>
  <c r="C75" i="12"/>
  <c r="D75" i="12"/>
  <c r="E75" i="12"/>
  <c r="G75" i="12"/>
  <c r="H75" i="12"/>
  <c r="I75" i="12"/>
  <c r="J75" i="12"/>
  <c r="K75" i="12"/>
  <c r="L75" i="12"/>
  <c r="M75" i="12"/>
  <c r="N75" i="12"/>
  <c r="C65" i="12"/>
  <c r="D65" i="12"/>
  <c r="E65" i="12"/>
  <c r="G65" i="12"/>
  <c r="H65" i="12"/>
  <c r="I65" i="12"/>
  <c r="J65" i="12"/>
  <c r="K65" i="12"/>
  <c r="L65" i="12"/>
  <c r="M65" i="12"/>
  <c r="N65" i="12"/>
  <c r="C90" i="12"/>
  <c r="D90" i="12"/>
  <c r="E90" i="12"/>
  <c r="G90" i="12"/>
  <c r="H90" i="12"/>
  <c r="I90" i="12"/>
  <c r="J90" i="12"/>
  <c r="K90" i="12"/>
  <c r="L90" i="12"/>
  <c r="M90" i="12"/>
  <c r="N90" i="12"/>
  <c r="C70" i="12"/>
  <c r="D70" i="12"/>
  <c r="E70" i="12"/>
  <c r="G70" i="12"/>
  <c r="H70" i="12"/>
  <c r="I70" i="12"/>
  <c r="J70" i="12"/>
  <c r="K70" i="12"/>
  <c r="L70" i="12"/>
  <c r="M70" i="12"/>
  <c r="N70" i="12"/>
  <c r="C62" i="12"/>
  <c r="D62" i="12"/>
  <c r="E62" i="12"/>
  <c r="G62" i="12"/>
  <c r="H62" i="12"/>
  <c r="I62" i="12"/>
  <c r="J62" i="12"/>
  <c r="K62" i="12"/>
  <c r="L62" i="12"/>
  <c r="M62" i="12"/>
  <c r="N62" i="12"/>
  <c r="C238" i="12"/>
  <c r="D238" i="12"/>
  <c r="E238" i="12"/>
  <c r="G238" i="12"/>
  <c r="H238" i="12"/>
  <c r="I238" i="12"/>
  <c r="J238" i="12"/>
  <c r="K238" i="12"/>
  <c r="L238" i="12"/>
  <c r="M238" i="12"/>
  <c r="N238" i="12"/>
  <c r="C169" i="12"/>
  <c r="D169" i="12"/>
  <c r="E169" i="12"/>
  <c r="G169" i="12"/>
  <c r="H169" i="12"/>
  <c r="I169" i="12"/>
  <c r="J169" i="12"/>
  <c r="K169" i="12"/>
  <c r="L169" i="12"/>
  <c r="M169" i="12"/>
  <c r="N169" i="12"/>
  <c r="C24" i="12"/>
  <c r="D24" i="12"/>
  <c r="E24" i="12"/>
  <c r="G24" i="12"/>
  <c r="H24" i="12"/>
  <c r="I24" i="12"/>
  <c r="J24" i="12"/>
  <c r="K24" i="12"/>
  <c r="L24" i="12"/>
  <c r="M24" i="12"/>
  <c r="N24" i="12"/>
  <c r="G276" i="12"/>
  <c r="H276" i="12"/>
  <c r="I276" i="12"/>
  <c r="J276" i="12"/>
  <c r="K276" i="12"/>
  <c r="L276" i="12"/>
  <c r="M276" i="12"/>
  <c r="N276" i="12"/>
  <c r="C63" i="12"/>
  <c r="D63" i="12"/>
  <c r="E63" i="12"/>
  <c r="G63" i="12"/>
  <c r="H63" i="12"/>
  <c r="I63" i="12"/>
  <c r="J63" i="12"/>
  <c r="K63" i="12"/>
  <c r="L63" i="12"/>
  <c r="M63" i="12"/>
  <c r="N63" i="12"/>
  <c r="C30" i="12"/>
  <c r="D30" i="12"/>
  <c r="E30" i="12"/>
  <c r="G30" i="12"/>
  <c r="H30" i="12"/>
  <c r="I30" i="12"/>
  <c r="J30" i="12"/>
  <c r="K30" i="12"/>
  <c r="L30" i="12"/>
  <c r="M30" i="12"/>
  <c r="N30" i="12"/>
  <c r="C102" i="12"/>
  <c r="D102" i="12"/>
  <c r="E102" i="12"/>
  <c r="G102" i="12"/>
  <c r="H102" i="12"/>
  <c r="I102" i="12"/>
  <c r="J102" i="12"/>
  <c r="K102" i="12"/>
  <c r="L102" i="12"/>
  <c r="M102" i="12"/>
  <c r="N102" i="12"/>
  <c r="C23" i="12"/>
  <c r="D23" i="12"/>
  <c r="E23" i="12"/>
  <c r="G23" i="12"/>
  <c r="H23" i="12"/>
  <c r="I23" i="12"/>
  <c r="J23" i="12"/>
  <c r="K23" i="12"/>
  <c r="L23" i="12"/>
  <c r="M23" i="12"/>
  <c r="N23" i="12"/>
  <c r="C89" i="12"/>
  <c r="D89" i="12"/>
  <c r="E89" i="12"/>
  <c r="G89" i="12"/>
  <c r="H89" i="12"/>
  <c r="I89" i="12"/>
  <c r="J89" i="12"/>
  <c r="K89" i="12"/>
  <c r="L89" i="12"/>
  <c r="M89" i="12"/>
  <c r="N89" i="12"/>
  <c r="C78" i="12"/>
  <c r="D78" i="12"/>
  <c r="E78" i="12"/>
  <c r="I78" i="12"/>
  <c r="K78" i="12"/>
  <c r="L78" i="12"/>
  <c r="M78" i="12"/>
  <c r="N78" i="12"/>
  <c r="C52" i="12"/>
  <c r="D52" i="12"/>
  <c r="E52" i="12"/>
  <c r="G52" i="12"/>
  <c r="H52" i="12"/>
  <c r="I52" i="12"/>
  <c r="J52" i="12"/>
  <c r="K52" i="12"/>
  <c r="L52" i="12"/>
  <c r="M52" i="12"/>
  <c r="N52" i="12"/>
  <c r="C16" i="12"/>
  <c r="D16" i="12"/>
  <c r="E16" i="12"/>
  <c r="G16" i="12"/>
  <c r="H16" i="12"/>
  <c r="I16" i="12"/>
  <c r="J16" i="12"/>
  <c r="K16" i="12"/>
  <c r="L16" i="12"/>
  <c r="M16" i="12"/>
  <c r="N16" i="12"/>
  <c r="C202" i="12"/>
  <c r="D202" i="12"/>
  <c r="E202" i="12"/>
  <c r="G202" i="12"/>
  <c r="H202" i="12"/>
  <c r="I202" i="12"/>
  <c r="J202" i="12"/>
  <c r="K202" i="12"/>
  <c r="L202" i="12"/>
  <c r="M202" i="12"/>
  <c r="N202" i="12"/>
  <c r="C162" i="12"/>
  <c r="D162" i="12"/>
  <c r="E162" i="12"/>
  <c r="G162" i="12"/>
  <c r="H162" i="12"/>
  <c r="I162" i="12"/>
  <c r="J162" i="12"/>
  <c r="K162" i="12"/>
  <c r="L162" i="12"/>
  <c r="M162" i="12"/>
  <c r="N162" i="12"/>
  <c r="C164" i="12"/>
  <c r="D164" i="12"/>
  <c r="G164" i="12"/>
  <c r="H164" i="12"/>
  <c r="I164" i="12"/>
  <c r="J164" i="12"/>
  <c r="K164" i="12"/>
  <c r="L164" i="12"/>
  <c r="M164" i="12"/>
  <c r="N164" i="12"/>
  <c r="C160" i="12"/>
  <c r="D160" i="12"/>
  <c r="E160" i="12"/>
  <c r="G160" i="12"/>
  <c r="H160" i="12"/>
  <c r="I160" i="12"/>
  <c r="J160" i="12"/>
  <c r="K160" i="12"/>
  <c r="L160" i="12"/>
  <c r="M160" i="12"/>
  <c r="N160" i="12"/>
  <c r="C48" i="12"/>
  <c r="D48" i="12"/>
  <c r="E48" i="12"/>
  <c r="G48" i="12"/>
  <c r="H48" i="12"/>
  <c r="I48" i="12"/>
  <c r="K48" i="12"/>
  <c r="L48" i="12"/>
  <c r="M48" i="12"/>
  <c r="C224" i="12"/>
  <c r="D224" i="12"/>
  <c r="E224" i="12"/>
  <c r="G224" i="12"/>
  <c r="H224" i="12"/>
  <c r="I224" i="12"/>
  <c r="J224" i="12"/>
  <c r="K224" i="12"/>
  <c r="L224" i="12"/>
  <c r="M224" i="12"/>
  <c r="N224" i="12"/>
  <c r="C93" i="12"/>
  <c r="D93" i="12"/>
  <c r="E93" i="12"/>
  <c r="G93" i="12"/>
  <c r="H93" i="12"/>
  <c r="I93" i="12"/>
  <c r="J93" i="12"/>
  <c r="K93" i="12"/>
  <c r="L93" i="12"/>
  <c r="M93" i="12"/>
  <c r="N93" i="12"/>
  <c r="C227" i="12"/>
  <c r="D227" i="12"/>
  <c r="E227" i="12"/>
  <c r="G227" i="12"/>
  <c r="H227" i="12"/>
  <c r="I227" i="12"/>
  <c r="J227" i="12"/>
  <c r="K227" i="12"/>
  <c r="L227" i="12"/>
  <c r="M227" i="12"/>
  <c r="N227" i="12"/>
  <c r="C64" i="12"/>
  <c r="D64" i="12"/>
  <c r="E64" i="12"/>
  <c r="G64" i="12"/>
  <c r="H64" i="12"/>
  <c r="I64" i="12"/>
  <c r="K64" i="12"/>
  <c r="L64" i="12"/>
  <c r="M64" i="12"/>
  <c r="N64" i="12"/>
  <c r="C163" i="12"/>
  <c r="D163" i="12"/>
  <c r="E163" i="12"/>
  <c r="G163" i="12"/>
  <c r="H163" i="12"/>
  <c r="I163" i="12"/>
  <c r="J163" i="12"/>
  <c r="K163" i="12"/>
  <c r="L163" i="12"/>
  <c r="M163" i="12"/>
  <c r="N163" i="12"/>
  <c r="C12" i="12"/>
  <c r="G12" i="12"/>
  <c r="H12" i="12"/>
  <c r="I12" i="12"/>
  <c r="J12" i="12"/>
  <c r="K12" i="12"/>
  <c r="L12" i="12"/>
  <c r="M12" i="12"/>
  <c r="N12" i="12"/>
  <c r="C26" i="12"/>
  <c r="D26" i="12"/>
  <c r="E26" i="12"/>
  <c r="G26" i="12"/>
  <c r="H26" i="12"/>
  <c r="I26" i="12"/>
  <c r="J26" i="12"/>
  <c r="K26" i="12"/>
  <c r="L26" i="12"/>
  <c r="M26" i="12"/>
  <c r="N26" i="12"/>
  <c r="C22" i="12"/>
  <c r="E22" i="12"/>
  <c r="G22" i="12"/>
  <c r="H22" i="12"/>
  <c r="I22" i="12"/>
  <c r="J22" i="12"/>
  <c r="K22" i="12"/>
  <c r="L22" i="12"/>
  <c r="M22" i="12"/>
  <c r="N22" i="12"/>
  <c r="G11" i="12"/>
  <c r="H11" i="12"/>
  <c r="I11" i="12"/>
  <c r="J11" i="12"/>
  <c r="K11" i="12"/>
  <c r="L11" i="12"/>
  <c r="M11" i="12"/>
  <c r="N11" i="12"/>
  <c r="C173" i="12"/>
  <c r="D173" i="12"/>
  <c r="E173" i="12"/>
  <c r="G173" i="12"/>
  <c r="H173" i="12"/>
  <c r="I173" i="12"/>
  <c r="J173" i="12"/>
  <c r="K173" i="12"/>
  <c r="L173" i="12"/>
  <c r="M173" i="12"/>
  <c r="N173" i="12"/>
  <c r="C251" i="12"/>
  <c r="D251" i="12"/>
  <c r="G251" i="12"/>
  <c r="H251" i="12"/>
  <c r="I251" i="12"/>
  <c r="J251" i="12"/>
  <c r="K251" i="12"/>
  <c r="L251" i="12"/>
  <c r="M251" i="12"/>
  <c r="N251" i="12"/>
  <c r="C207" i="12"/>
  <c r="D207" i="12"/>
  <c r="E207" i="12"/>
  <c r="G207" i="12"/>
  <c r="H207" i="12"/>
  <c r="I207" i="12"/>
  <c r="J207" i="12"/>
  <c r="K207" i="12"/>
  <c r="L207" i="12"/>
  <c r="M207" i="12"/>
  <c r="N207" i="12"/>
  <c r="C240" i="12"/>
  <c r="D240" i="12"/>
  <c r="E240" i="12"/>
  <c r="G240" i="12"/>
  <c r="H240" i="12"/>
  <c r="I240" i="12"/>
  <c r="J240" i="12"/>
  <c r="K240" i="12"/>
  <c r="L240" i="12"/>
  <c r="M240" i="12"/>
  <c r="N240" i="12"/>
  <c r="C236" i="12"/>
  <c r="D236" i="12"/>
  <c r="E236" i="12"/>
  <c r="G236" i="12"/>
  <c r="H236" i="12"/>
  <c r="I236" i="12"/>
  <c r="J236" i="12"/>
  <c r="K236" i="12"/>
  <c r="L236" i="12"/>
  <c r="M236" i="12"/>
  <c r="N236" i="12"/>
  <c r="C28" i="12"/>
  <c r="D28" i="12"/>
  <c r="E28" i="12"/>
  <c r="G28" i="12"/>
  <c r="H28" i="12"/>
  <c r="I28" i="12"/>
  <c r="J28" i="12"/>
  <c r="K28" i="12"/>
  <c r="L28" i="12"/>
  <c r="M28" i="12"/>
  <c r="N28" i="12"/>
  <c r="C145" i="12"/>
  <c r="D145" i="12"/>
  <c r="E145" i="12"/>
  <c r="G145" i="12"/>
  <c r="H145" i="12"/>
  <c r="I145" i="12"/>
  <c r="J145" i="12"/>
  <c r="K145" i="12"/>
  <c r="L145" i="12"/>
  <c r="M145" i="12"/>
  <c r="N145" i="12"/>
  <c r="C10" i="12"/>
  <c r="G10" i="12"/>
  <c r="H10" i="12"/>
  <c r="I10" i="12"/>
  <c r="J10" i="12"/>
  <c r="K10" i="12"/>
  <c r="L10" i="12"/>
  <c r="M10" i="12"/>
  <c r="N10" i="12"/>
  <c r="C182" i="12"/>
  <c r="D182" i="12"/>
  <c r="E182" i="12"/>
  <c r="G182" i="12"/>
  <c r="H182" i="12"/>
  <c r="I182" i="12"/>
  <c r="J182" i="12"/>
  <c r="K182" i="12"/>
  <c r="L182" i="12"/>
  <c r="M182" i="12"/>
  <c r="N182" i="12"/>
  <c r="G8" i="12"/>
  <c r="H8" i="12"/>
  <c r="I8" i="12"/>
  <c r="J8" i="12"/>
  <c r="K8" i="12"/>
  <c r="L8" i="12"/>
  <c r="M8" i="12"/>
  <c r="N8" i="12"/>
  <c r="G20" i="12"/>
  <c r="H20" i="12"/>
  <c r="I20" i="12"/>
  <c r="J20" i="12"/>
  <c r="K20" i="12"/>
  <c r="L20" i="12"/>
  <c r="M20" i="12"/>
  <c r="N20" i="12"/>
  <c r="G211" i="12"/>
  <c r="H211" i="12"/>
  <c r="I211" i="12"/>
  <c r="J211" i="12"/>
  <c r="K211" i="12"/>
  <c r="L211" i="12"/>
  <c r="M211" i="12"/>
  <c r="N211" i="12"/>
  <c r="G97" i="12"/>
  <c r="H97" i="12"/>
  <c r="I97" i="12"/>
  <c r="J97" i="12"/>
  <c r="K97" i="12"/>
  <c r="L97" i="12"/>
  <c r="M97" i="12"/>
  <c r="N97" i="12"/>
  <c r="K186" i="12"/>
  <c r="L186" i="12"/>
  <c r="M186" i="12"/>
  <c r="N186" i="12"/>
  <c r="G9" i="12"/>
  <c r="H9" i="12"/>
  <c r="I9" i="12"/>
  <c r="J9" i="12"/>
  <c r="K9" i="12"/>
  <c r="L9" i="12"/>
  <c r="M9" i="12"/>
  <c r="N9" i="12"/>
  <c r="F8" i="12"/>
  <c r="C211" i="12"/>
  <c r="D211" i="12"/>
  <c r="E211" i="12"/>
  <c r="C97" i="12"/>
  <c r="D97" i="12"/>
  <c r="E97" i="12"/>
  <c r="D186" i="12"/>
  <c r="N147" i="12"/>
  <c r="M147" i="12"/>
  <c r="L147" i="12"/>
  <c r="K147" i="12"/>
  <c r="J147" i="12"/>
  <c r="I147" i="12"/>
  <c r="H147" i="12"/>
  <c r="E147" i="12"/>
  <c r="C147" i="12"/>
  <c r="D147" i="12"/>
  <c r="P46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210" i="4"/>
  <c r="P240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2" i="4"/>
  <c r="P140" i="4"/>
  <c r="P141" i="4"/>
  <c r="P143" i="4"/>
  <c r="P144" i="4"/>
  <c r="P145" i="4"/>
  <c r="P146" i="4"/>
  <c r="P186" i="4"/>
  <c r="P147" i="4"/>
  <c r="P151" i="4"/>
  <c r="P148" i="4"/>
  <c r="P149" i="4"/>
  <c r="P150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7" i="4"/>
  <c r="P164" i="4"/>
  <c r="P165" i="4"/>
  <c r="P166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7" i="4"/>
  <c r="P184" i="4"/>
  <c r="P185" i="4"/>
  <c r="P223" i="4"/>
  <c r="P188" i="4"/>
  <c r="P189" i="4"/>
  <c r="P190" i="4"/>
  <c r="P227" i="4"/>
  <c r="P191" i="4"/>
  <c r="P192" i="4"/>
  <c r="P193" i="4"/>
  <c r="P194" i="4"/>
  <c r="P195" i="4"/>
  <c r="P196" i="4"/>
  <c r="P197" i="4"/>
  <c r="P198" i="4"/>
  <c r="P199" i="4"/>
  <c r="P200" i="4"/>
  <c r="P201" i="4"/>
  <c r="P226" i="4"/>
  <c r="P202" i="4"/>
  <c r="P203" i="4"/>
  <c r="P204" i="4"/>
  <c r="P205" i="4"/>
  <c r="P206" i="4"/>
  <c r="P207" i="4"/>
  <c r="P213" i="4"/>
  <c r="P208" i="4"/>
  <c r="P209" i="4"/>
  <c r="P211" i="4"/>
  <c r="P212" i="4"/>
  <c r="P214" i="4"/>
  <c r="P219" i="4"/>
  <c r="P217" i="4"/>
  <c r="P215" i="4"/>
  <c r="P216" i="4"/>
  <c r="P218" i="4"/>
  <c r="P224" i="4"/>
  <c r="P220" i="4"/>
  <c r="P221" i="4"/>
  <c r="P222" i="4"/>
  <c r="P228" i="4"/>
  <c r="P225" i="4"/>
  <c r="P230" i="4"/>
  <c r="P229" i="4"/>
  <c r="P231" i="4"/>
  <c r="P233" i="4"/>
  <c r="P232" i="4"/>
  <c r="P234" i="4"/>
  <c r="P236" i="4"/>
  <c r="P237" i="4"/>
  <c r="P238" i="4"/>
  <c r="P239" i="4"/>
  <c r="P235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47" i="4"/>
  <c r="P15" i="4"/>
  <c r="S225" i="4"/>
  <c r="AA322" i="14"/>
  <c r="AB322" i="14" s="1"/>
  <c r="X322" i="14"/>
  <c r="Y322" i="14" s="1"/>
  <c r="Z322" i="14" s="1"/>
  <c r="U322" i="14"/>
  <c r="V322" i="14" s="1"/>
  <c r="W322" i="14" s="1"/>
  <c r="T322" i="14"/>
  <c r="R322" i="14"/>
  <c r="P322" i="14"/>
  <c r="AA321" i="14"/>
  <c r="AB321" i="14" s="1"/>
  <c r="X321" i="14"/>
  <c r="Y321" i="14" s="1"/>
  <c r="Z321" i="14" s="1"/>
  <c r="U321" i="14"/>
  <c r="V321" i="14" s="1"/>
  <c r="W321" i="14" s="1"/>
  <c r="T321" i="14"/>
  <c r="R321" i="14"/>
  <c r="P321" i="14"/>
  <c r="AD320" i="14"/>
  <c r="AE320" i="14" s="1"/>
  <c r="AA320" i="14"/>
  <c r="AB320" i="14" s="1"/>
  <c r="AC320" i="14" s="1"/>
  <c r="X320" i="14"/>
  <c r="Y320" i="14" s="1"/>
  <c r="Z320" i="14" s="1"/>
  <c r="U320" i="14"/>
  <c r="V320" i="14" s="1"/>
  <c r="W320" i="14" s="1"/>
  <c r="T320" i="14"/>
  <c r="R320" i="14"/>
  <c r="P320" i="14"/>
  <c r="AA319" i="14"/>
  <c r="AB319" i="14" s="1"/>
  <c r="X319" i="14"/>
  <c r="Y319" i="14" s="1"/>
  <c r="Z319" i="14" s="1"/>
  <c r="U319" i="14"/>
  <c r="V319" i="14" s="1"/>
  <c r="W319" i="14" s="1"/>
  <c r="T319" i="14"/>
  <c r="R319" i="14"/>
  <c r="P319" i="14"/>
  <c r="AD318" i="14"/>
  <c r="AE318" i="14" s="1"/>
  <c r="AA318" i="14"/>
  <c r="AB318" i="14" s="1"/>
  <c r="AC318" i="14" s="1"/>
  <c r="X318" i="14"/>
  <c r="Y318" i="14" s="1"/>
  <c r="Z318" i="14" s="1"/>
  <c r="U318" i="14"/>
  <c r="V318" i="14" s="1"/>
  <c r="W318" i="14" s="1"/>
  <c r="T318" i="14"/>
  <c r="R318" i="14"/>
  <c r="P318" i="14"/>
  <c r="AD317" i="14"/>
  <c r="AA317" i="14"/>
  <c r="AB317" i="14" s="1"/>
  <c r="AC317" i="14" s="1"/>
  <c r="X317" i="14"/>
  <c r="Y317" i="14" s="1"/>
  <c r="Z317" i="14" s="1"/>
  <c r="U317" i="14"/>
  <c r="V317" i="14" s="1"/>
  <c r="W317" i="14" s="1"/>
  <c r="T317" i="14"/>
  <c r="Q317" i="14"/>
  <c r="O317" i="14"/>
  <c r="P317" i="14" s="1"/>
  <c r="AA316" i="14"/>
  <c r="AB316" i="14" s="1"/>
  <c r="X316" i="14"/>
  <c r="Y316" i="14" s="1"/>
  <c r="Z316" i="14" s="1"/>
  <c r="U316" i="14"/>
  <c r="V316" i="14" s="1"/>
  <c r="W316" i="14" s="1"/>
  <c r="T316" i="14"/>
  <c r="Q316" i="14"/>
  <c r="O316" i="14"/>
  <c r="P316" i="14" s="1"/>
  <c r="AD315" i="14"/>
  <c r="AA315" i="14"/>
  <c r="AB315" i="14" s="1"/>
  <c r="AC315" i="14" s="1"/>
  <c r="X315" i="14"/>
  <c r="Y315" i="14" s="1"/>
  <c r="Z315" i="14" s="1"/>
  <c r="U315" i="14"/>
  <c r="V315" i="14" s="1"/>
  <c r="W315" i="14" s="1"/>
  <c r="T315" i="14"/>
  <c r="Q315" i="14"/>
  <c r="O315" i="14"/>
  <c r="P315" i="14" s="1"/>
  <c r="AD314" i="14"/>
  <c r="AA314" i="14"/>
  <c r="AB314" i="14" s="1"/>
  <c r="AC314" i="14" s="1"/>
  <c r="X314" i="14"/>
  <c r="Y314" i="14" s="1"/>
  <c r="Z314" i="14" s="1"/>
  <c r="U314" i="14"/>
  <c r="V314" i="14" s="1"/>
  <c r="W314" i="14" s="1"/>
  <c r="T314" i="14"/>
  <c r="Q314" i="14"/>
  <c r="O314" i="14"/>
  <c r="P314" i="14" s="1"/>
  <c r="AD313" i="14"/>
  <c r="AA313" i="14"/>
  <c r="AB313" i="14" s="1"/>
  <c r="AC313" i="14" s="1"/>
  <c r="X313" i="14"/>
  <c r="Y313" i="14" s="1"/>
  <c r="Z313" i="14" s="1"/>
  <c r="U313" i="14"/>
  <c r="V313" i="14" s="1"/>
  <c r="W313" i="14" s="1"/>
  <c r="T313" i="14"/>
  <c r="Q313" i="14"/>
  <c r="O313" i="14"/>
  <c r="P313" i="14" s="1"/>
  <c r="AA312" i="14"/>
  <c r="AB312" i="14" s="1"/>
  <c r="X312" i="14"/>
  <c r="Y312" i="14" s="1"/>
  <c r="Z312" i="14" s="1"/>
  <c r="U312" i="14"/>
  <c r="V312" i="14" s="1"/>
  <c r="W312" i="14" s="1"/>
  <c r="T312" i="14"/>
  <c r="Q312" i="14"/>
  <c r="O312" i="14"/>
  <c r="P312" i="14" s="1"/>
  <c r="AD311" i="14"/>
  <c r="AA311" i="14"/>
  <c r="AB311" i="14" s="1"/>
  <c r="AC311" i="14" s="1"/>
  <c r="X311" i="14"/>
  <c r="Y311" i="14" s="1"/>
  <c r="Z311" i="14" s="1"/>
  <c r="U311" i="14"/>
  <c r="V311" i="14" s="1"/>
  <c r="W311" i="14" s="1"/>
  <c r="T311" i="14"/>
  <c r="Q311" i="14"/>
  <c r="O311" i="14"/>
  <c r="P311" i="14" s="1"/>
  <c r="AD310" i="14"/>
  <c r="AA310" i="14"/>
  <c r="AB310" i="14" s="1"/>
  <c r="AC310" i="14" s="1"/>
  <c r="X310" i="14"/>
  <c r="Y310" i="14" s="1"/>
  <c r="Z310" i="14" s="1"/>
  <c r="U310" i="14"/>
  <c r="V310" i="14" s="1"/>
  <c r="W310" i="14" s="1"/>
  <c r="T310" i="14"/>
  <c r="Q310" i="14"/>
  <c r="O310" i="14"/>
  <c r="P310" i="14" s="1"/>
  <c r="AD309" i="14"/>
  <c r="AA309" i="14"/>
  <c r="AB309" i="14" s="1"/>
  <c r="AC309" i="14" s="1"/>
  <c r="X309" i="14"/>
  <c r="Y309" i="14" s="1"/>
  <c r="Z309" i="14" s="1"/>
  <c r="U309" i="14"/>
  <c r="V309" i="14" s="1"/>
  <c r="W309" i="14" s="1"/>
  <c r="T309" i="14"/>
  <c r="Q309" i="14"/>
  <c r="O309" i="14"/>
  <c r="P309" i="14" s="1"/>
  <c r="AD308" i="14"/>
  <c r="AA308" i="14"/>
  <c r="AB308" i="14" s="1"/>
  <c r="AC308" i="14" s="1"/>
  <c r="X308" i="14"/>
  <c r="Y308" i="14" s="1"/>
  <c r="Z308" i="14" s="1"/>
  <c r="U308" i="14"/>
  <c r="V308" i="14" s="1"/>
  <c r="W308" i="14" s="1"/>
  <c r="T308" i="14"/>
  <c r="Q308" i="14"/>
  <c r="O308" i="14"/>
  <c r="P308" i="14" s="1"/>
  <c r="AD307" i="14"/>
  <c r="AA307" i="14"/>
  <c r="AB307" i="14" s="1"/>
  <c r="AC307" i="14" s="1"/>
  <c r="X307" i="14"/>
  <c r="Y307" i="14" s="1"/>
  <c r="Z307" i="14" s="1"/>
  <c r="U307" i="14"/>
  <c r="V307" i="14" s="1"/>
  <c r="W307" i="14" s="1"/>
  <c r="T307" i="14"/>
  <c r="Q307" i="14"/>
  <c r="O307" i="14"/>
  <c r="P307" i="14" s="1"/>
  <c r="AA306" i="14"/>
  <c r="AB306" i="14" s="1"/>
  <c r="X306" i="14"/>
  <c r="Y306" i="14" s="1"/>
  <c r="Z306" i="14" s="1"/>
  <c r="U306" i="14"/>
  <c r="V306" i="14" s="1"/>
  <c r="W306" i="14" s="1"/>
  <c r="T306" i="14"/>
  <c r="Q306" i="14"/>
  <c r="O306" i="14"/>
  <c r="P306" i="14" s="1"/>
  <c r="AD305" i="14"/>
  <c r="AA305" i="14"/>
  <c r="AB305" i="14" s="1"/>
  <c r="AC305" i="14" s="1"/>
  <c r="X305" i="14"/>
  <c r="Y305" i="14" s="1"/>
  <c r="Z305" i="14" s="1"/>
  <c r="U305" i="14"/>
  <c r="V305" i="14" s="1"/>
  <c r="W305" i="14" s="1"/>
  <c r="T305" i="14"/>
  <c r="Q305" i="14"/>
  <c r="O305" i="14"/>
  <c r="P305" i="14" s="1"/>
  <c r="AD304" i="14"/>
  <c r="AA304" i="14"/>
  <c r="AB304" i="14" s="1"/>
  <c r="AC304" i="14" s="1"/>
  <c r="X304" i="14"/>
  <c r="Y304" i="14" s="1"/>
  <c r="Z304" i="14" s="1"/>
  <c r="U304" i="14"/>
  <c r="V304" i="14" s="1"/>
  <c r="W304" i="14" s="1"/>
  <c r="T304" i="14"/>
  <c r="Q304" i="14"/>
  <c r="O304" i="14"/>
  <c r="P304" i="14" s="1"/>
  <c r="AD303" i="14"/>
  <c r="AA303" i="14"/>
  <c r="AB303" i="14" s="1"/>
  <c r="AC303" i="14" s="1"/>
  <c r="X303" i="14"/>
  <c r="Y303" i="14" s="1"/>
  <c r="Z303" i="14" s="1"/>
  <c r="U303" i="14"/>
  <c r="V303" i="14" s="1"/>
  <c r="W303" i="14" s="1"/>
  <c r="T303" i="14"/>
  <c r="Q303" i="14"/>
  <c r="O303" i="14"/>
  <c r="P303" i="14" s="1"/>
  <c r="AD302" i="14"/>
  <c r="AA302" i="14"/>
  <c r="AB302" i="14" s="1"/>
  <c r="AC302" i="14" s="1"/>
  <c r="X302" i="14"/>
  <c r="Y302" i="14" s="1"/>
  <c r="Z302" i="14" s="1"/>
  <c r="U302" i="14"/>
  <c r="V302" i="14" s="1"/>
  <c r="W302" i="14" s="1"/>
  <c r="T302" i="14"/>
  <c r="Q302" i="14"/>
  <c r="O302" i="14"/>
  <c r="P302" i="14" s="1"/>
  <c r="AD301" i="14"/>
  <c r="AA301" i="14"/>
  <c r="AB301" i="14" s="1"/>
  <c r="AC301" i="14" s="1"/>
  <c r="X301" i="14"/>
  <c r="Y301" i="14" s="1"/>
  <c r="Z301" i="14" s="1"/>
  <c r="U301" i="14"/>
  <c r="V301" i="14" s="1"/>
  <c r="W301" i="14" s="1"/>
  <c r="T301" i="14"/>
  <c r="Q301" i="14"/>
  <c r="O301" i="14"/>
  <c r="P301" i="14" s="1"/>
  <c r="AD300" i="14"/>
  <c r="AA300" i="14"/>
  <c r="AB300" i="14" s="1"/>
  <c r="AC300" i="14" s="1"/>
  <c r="X300" i="14"/>
  <c r="Y300" i="14" s="1"/>
  <c r="Z300" i="14" s="1"/>
  <c r="U300" i="14"/>
  <c r="V300" i="14" s="1"/>
  <c r="W300" i="14" s="1"/>
  <c r="T300" i="14"/>
  <c r="Q300" i="14"/>
  <c r="O300" i="14"/>
  <c r="P300" i="14" s="1"/>
  <c r="AD299" i="14"/>
  <c r="AA299" i="14"/>
  <c r="AB299" i="14" s="1"/>
  <c r="AC299" i="14" s="1"/>
  <c r="X299" i="14"/>
  <c r="Y299" i="14" s="1"/>
  <c r="Z299" i="14" s="1"/>
  <c r="U299" i="14"/>
  <c r="V299" i="14" s="1"/>
  <c r="W299" i="14" s="1"/>
  <c r="T299" i="14"/>
  <c r="Q299" i="14"/>
  <c r="O299" i="14"/>
  <c r="P299" i="14" s="1"/>
  <c r="AD298" i="14"/>
  <c r="AA298" i="14"/>
  <c r="AB298" i="14" s="1"/>
  <c r="AC298" i="14" s="1"/>
  <c r="X298" i="14"/>
  <c r="Y298" i="14" s="1"/>
  <c r="Z298" i="14" s="1"/>
  <c r="U298" i="14"/>
  <c r="V298" i="14" s="1"/>
  <c r="W298" i="14" s="1"/>
  <c r="T298" i="14"/>
  <c r="Q298" i="14"/>
  <c r="O298" i="14"/>
  <c r="P298" i="14" s="1"/>
  <c r="AD297" i="14"/>
  <c r="AA297" i="14"/>
  <c r="AB297" i="14" s="1"/>
  <c r="AC297" i="14" s="1"/>
  <c r="X297" i="14"/>
  <c r="Y297" i="14" s="1"/>
  <c r="Z297" i="14" s="1"/>
  <c r="U297" i="14"/>
  <c r="V297" i="14" s="1"/>
  <c r="W297" i="14" s="1"/>
  <c r="T297" i="14"/>
  <c r="Q297" i="14"/>
  <c r="O297" i="14"/>
  <c r="P297" i="14" s="1"/>
  <c r="AD296" i="14"/>
  <c r="AA296" i="14"/>
  <c r="AB296" i="14" s="1"/>
  <c r="AC296" i="14" s="1"/>
  <c r="X296" i="14"/>
  <c r="Y296" i="14" s="1"/>
  <c r="Z296" i="14" s="1"/>
  <c r="U296" i="14"/>
  <c r="V296" i="14" s="1"/>
  <c r="W296" i="14" s="1"/>
  <c r="T296" i="14"/>
  <c r="Q296" i="14"/>
  <c r="O296" i="14"/>
  <c r="P296" i="14" s="1"/>
  <c r="AD295" i="14"/>
  <c r="AA295" i="14"/>
  <c r="AB295" i="14" s="1"/>
  <c r="AC295" i="14" s="1"/>
  <c r="X295" i="14"/>
  <c r="Y295" i="14" s="1"/>
  <c r="Z295" i="14" s="1"/>
  <c r="U295" i="14"/>
  <c r="V295" i="14" s="1"/>
  <c r="W295" i="14" s="1"/>
  <c r="T295" i="14"/>
  <c r="Q295" i="14"/>
  <c r="O295" i="14"/>
  <c r="P295" i="14" s="1"/>
  <c r="AA294" i="14"/>
  <c r="AB294" i="14" s="1"/>
  <c r="X294" i="14"/>
  <c r="Y294" i="14" s="1"/>
  <c r="Z294" i="14" s="1"/>
  <c r="U294" i="14"/>
  <c r="V294" i="14" s="1"/>
  <c r="W294" i="14" s="1"/>
  <c r="T294" i="14"/>
  <c r="Q294" i="14"/>
  <c r="O294" i="14"/>
  <c r="P294" i="14" s="1"/>
  <c r="AD293" i="14"/>
  <c r="AA293" i="14"/>
  <c r="AB293" i="14" s="1"/>
  <c r="AC293" i="14" s="1"/>
  <c r="X293" i="14"/>
  <c r="Y293" i="14" s="1"/>
  <c r="Z293" i="14" s="1"/>
  <c r="U293" i="14"/>
  <c r="V293" i="14" s="1"/>
  <c r="W293" i="14" s="1"/>
  <c r="T293" i="14"/>
  <c r="Q293" i="14"/>
  <c r="O293" i="14"/>
  <c r="P293" i="14" s="1"/>
  <c r="AD292" i="14"/>
  <c r="AA292" i="14"/>
  <c r="AB292" i="14" s="1"/>
  <c r="AC292" i="14" s="1"/>
  <c r="X292" i="14"/>
  <c r="Y292" i="14" s="1"/>
  <c r="Z292" i="14" s="1"/>
  <c r="U292" i="14"/>
  <c r="V292" i="14" s="1"/>
  <c r="W292" i="14" s="1"/>
  <c r="T292" i="14"/>
  <c r="Q292" i="14"/>
  <c r="O292" i="14"/>
  <c r="P292" i="14" s="1"/>
  <c r="AD291" i="14"/>
  <c r="AA291" i="14"/>
  <c r="AB291" i="14" s="1"/>
  <c r="AC291" i="14" s="1"/>
  <c r="X291" i="14"/>
  <c r="Y291" i="14" s="1"/>
  <c r="Z291" i="14" s="1"/>
  <c r="U291" i="14"/>
  <c r="V291" i="14" s="1"/>
  <c r="W291" i="14" s="1"/>
  <c r="T291" i="14"/>
  <c r="Q291" i="14"/>
  <c r="O291" i="14"/>
  <c r="P291" i="14" s="1"/>
  <c r="AD290" i="14"/>
  <c r="AA290" i="14"/>
  <c r="AB290" i="14" s="1"/>
  <c r="AC290" i="14" s="1"/>
  <c r="X290" i="14"/>
  <c r="Y290" i="14" s="1"/>
  <c r="Z290" i="14" s="1"/>
  <c r="U290" i="14"/>
  <c r="V290" i="14" s="1"/>
  <c r="W290" i="14" s="1"/>
  <c r="T290" i="14"/>
  <c r="Q290" i="14"/>
  <c r="O290" i="14"/>
  <c r="P290" i="14" s="1"/>
  <c r="AD289" i="14"/>
  <c r="AA289" i="14"/>
  <c r="AB289" i="14" s="1"/>
  <c r="AC289" i="14" s="1"/>
  <c r="X289" i="14"/>
  <c r="Y289" i="14" s="1"/>
  <c r="Z289" i="14" s="1"/>
  <c r="U289" i="14"/>
  <c r="V289" i="14" s="1"/>
  <c r="W289" i="14" s="1"/>
  <c r="T289" i="14"/>
  <c r="Q289" i="14"/>
  <c r="O289" i="14"/>
  <c r="P289" i="14" s="1"/>
  <c r="AD288" i="14"/>
  <c r="AA288" i="14"/>
  <c r="AB288" i="14" s="1"/>
  <c r="AC288" i="14" s="1"/>
  <c r="X288" i="14"/>
  <c r="Y288" i="14" s="1"/>
  <c r="Z288" i="14" s="1"/>
  <c r="U288" i="14"/>
  <c r="V288" i="14" s="1"/>
  <c r="W288" i="14" s="1"/>
  <c r="T288" i="14"/>
  <c r="Q288" i="14"/>
  <c r="O288" i="14"/>
  <c r="P288" i="14" s="1"/>
  <c r="AD287" i="14"/>
  <c r="AA287" i="14"/>
  <c r="AB287" i="14" s="1"/>
  <c r="AC287" i="14" s="1"/>
  <c r="X287" i="14"/>
  <c r="Y287" i="14" s="1"/>
  <c r="Z287" i="14" s="1"/>
  <c r="U287" i="14"/>
  <c r="V287" i="14" s="1"/>
  <c r="W287" i="14" s="1"/>
  <c r="T287" i="14"/>
  <c r="Q287" i="14"/>
  <c r="O287" i="14"/>
  <c r="P287" i="14" s="1"/>
  <c r="AD286" i="14"/>
  <c r="AA286" i="14"/>
  <c r="AB286" i="14" s="1"/>
  <c r="AC286" i="14" s="1"/>
  <c r="X286" i="14"/>
  <c r="Y286" i="14" s="1"/>
  <c r="Z286" i="14" s="1"/>
  <c r="U286" i="14"/>
  <c r="V286" i="14" s="1"/>
  <c r="W286" i="14" s="1"/>
  <c r="T286" i="14"/>
  <c r="Q286" i="14"/>
  <c r="O286" i="14"/>
  <c r="P286" i="14" s="1"/>
  <c r="AD285" i="14"/>
  <c r="AA285" i="14"/>
  <c r="AB285" i="14" s="1"/>
  <c r="AC285" i="14" s="1"/>
  <c r="X285" i="14"/>
  <c r="Y285" i="14" s="1"/>
  <c r="Z285" i="14" s="1"/>
  <c r="U285" i="14"/>
  <c r="V285" i="14" s="1"/>
  <c r="W285" i="14" s="1"/>
  <c r="T285" i="14"/>
  <c r="Q285" i="14"/>
  <c r="O285" i="14"/>
  <c r="P285" i="14" s="1"/>
  <c r="AD284" i="14"/>
  <c r="AA284" i="14"/>
  <c r="AB284" i="14" s="1"/>
  <c r="AC284" i="14" s="1"/>
  <c r="X284" i="14"/>
  <c r="Y284" i="14" s="1"/>
  <c r="Z284" i="14" s="1"/>
  <c r="U284" i="14"/>
  <c r="V284" i="14" s="1"/>
  <c r="W284" i="14" s="1"/>
  <c r="T284" i="14"/>
  <c r="Q284" i="14"/>
  <c r="O284" i="14"/>
  <c r="P284" i="14" s="1"/>
  <c r="AD283" i="14"/>
  <c r="AA283" i="14"/>
  <c r="AB283" i="14" s="1"/>
  <c r="AC283" i="14" s="1"/>
  <c r="X283" i="14"/>
  <c r="Y283" i="14" s="1"/>
  <c r="Z283" i="14" s="1"/>
  <c r="U283" i="14"/>
  <c r="V283" i="14" s="1"/>
  <c r="W283" i="14" s="1"/>
  <c r="T283" i="14"/>
  <c r="Q283" i="14"/>
  <c r="O283" i="14"/>
  <c r="P283" i="14" s="1"/>
  <c r="AD282" i="14"/>
  <c r="AA282" i="14"/>
  <c r="AB282" i="14" s="1"/>
  <c r="AC282" i="14" s="1"/>
  <c r="X282" i="14"/>
  <c r="Y282" i="14" s="1"/>
  <c r="Z282" i="14" s="1"/>
  <c r="U282" i="14"/>
  <c r="V282" i="14" s="1"/>
  <c r="W282" i="14" s="1"/>
  <c r="T282" i="14"/>
  <c r="Q282" i="14"/>
  <c r="O282" i="14"/>
  <c r="P282" i="14" s="1"/>
  <c r="AD281" i="14"/>
  <c r="AA281" i="14"/>
  <c r="AB281" i="14" s="1"/>
  <c r="AC281" i="14" s="1"/>
  <c r="X281" i="14"/>
  <c r="Y281" i="14" s="1"/>
  <c r="Z281" i="14" s="1"/>
  <c r="U281" i="14"/>
  <c r="V281" i="14" s="1"/>
  <c r="W281" i="14" s="1"/>
  <c r="T281" i="14"/>
  <c r="Q281" i="14"/>
  <c r="O281" i="14"/>
  <c r="P281" i="14" s="1"/>
  <c r="AD280" i="14"/>
  <c r="AA280" i="14"/>
  <c r="AB280" i="14" s="1"/>
  <c r="AC280" i="14" s="1"/>
  <c r="X280" i="14"/>
  <c r="Y280" i="14" s="1"/>
  <c r="Z280" i="14" s="1"/>
  <c r="U280" i="14"/>
  <c r="V280" i="14" s="1"/>
  <c r="W280" i="14" s="1"/>
  <c r="T280" i="14"/>
  <c r="Q280" i="14"/>
  <c r="O280" i="14"/>
  <c r="P280" i="14" s="1"/>
  <c r="AA279" i="14"/>
  <c r="AB279" i="14" s="1"/>
  <c r="X279" i="14"/>
  <c r="Y279" i="14" s="1"/>
  <c r="Z279" i="14" s="1"/>
  <c r="U279" i="14"/>
  <c r="V279" i="14" s="1"/>
  <c r="W279" i="14" s="1"/>
  <c r="T279" i="14"/>
  <c r="O279" i="14"/>
  <c r="AD278" i="14"/>
  <c r="AA278" i="14"/>
  <c r="AB278" i="14" s="1"/>
  <c r="AC278" i="14" s="1"/>
  <c r="X278" i="14"/>
  <c r="Y278" i="14" s="1"/>
  <c r="Z278" i="14" s="1"/>
  <c r="U278" i="14"/>
  <c r="V278" i="14" s="1"/>
  <c r="W278" i="14" s="1"/>
  <c r="T278" i="14"/>
  <c r="Q278" i="14"/>
  <c r="O278" i="14"/>
  <c r="P278" i="14" s="1"/>
  <c r="AA277" i="14"/>
  <c r="AB277" i="14" s="1"/>
  <c r="X277" i="14"/>
  <c r="Y277" i="14" s="1"/>
  <c r="Z277" i="14" s="1"/>
  <c r="U277" i="14"/>
  <c r="V277" i="14" s="1"/>
  <c r="W277" i="14" s="1"/>
  <c r="T277" i="14"/>
  <c r="O277" i="14"/>
  <c r="AA276" i="14"/>
  <c r="AB276" i="14" s="1"/>
  <c r="X276" i="14"/>
  <c r="Y276" i="14" s="1"/>
  <c r="Z276" i="14" s="1"/>
  <c r="U276" i="14"/>
  <c r="V276" i="14" s="1"/>
  <c r="W276" i="14" s="1"/>
  <c r="T276" i="14"/>
  <c r="O276" i="14"/>
  <c r="AD275" i="14"/>
  <c r="AA275" i="14"/>
  <c r="AB275" i="14" s="1"/>
  <c r="AC275" i="14" s="1"/>
  <c r="X275" i="14"/>
  <c r="Y275" i="14" s="1"/>
  <c r="Z275" i="14" s="1"/>
  <c r="U275" i="14"/>
  <c r="V275" i="14" s="1"/>
  <c r="W275" i="14" s="1"/>
  <c r="T275" i="14"/>
  <c r="Q275" i="14"/>
  <c r="O275" i="14"/>
  <c r="P275" i="14" s="1"/>
  <c r="AD274" i="14"/>
  <c r="AA274" i="14"/>
  <c r="AB274" i="14" s="1"/>
  <c r="AC274" i="14" s="1"/>
  <c r="X274" i="14"/>
  <c r="Y274" i="14" s="1"/>
  <c r="Z274" i="14" s="1"/>
  <c r="U274" i="14"/>
  <c r="V274" i="14" s="1"/>
  <c r="W274" i="14" s="1"/>
  <c r="T274" i="14"/>
  <c r="Q274" i="14"/>
  <c r="O274" i="14"/>
  <c r="P274" i="14" s="1"/>
  <c r="AD273" i="14"/>
  <c r="AA273" i="14"/>
  <c r="AB273" i="14" s="1"/>
  <c r="AC273" i="14" s="1"/>
  <c r="X273" i="14"/>
  <c r="Y273" i="14" s="1"/>
  <c r="Z273" i="14" s="1"/>
  <c r="U273" i="14"/>
  <c r="V273" i="14" s="1"/>
  <c r="W273" i="14" s="1"/>
  <c r="T273" i="14"/>
  <c r="Q273" i="14"/>
  <c r="O273" i="14"/>
  <c r="P273" i="14" s="1"/>
  <c r="AD272" i="14"/>
  <c r="AA272" i="14"/>
  <c r="AB272" i="14" s="1"/>
  <c r="AC272" i="14" s="1"/>
  <c r="X272" i="14"/>
  <c r="Y272" i="14" s="1"/>
  <c r="Z272" i="14" s="1"/>
  <c r="U272" i="14"/>
  <c r="V272" i="14" s="1"/>
  <c r="W272" i="14" s="1"/>
  <c r="T272" i="14"/>
  <c r="Q272" i="14"/>
  <c r="O272" i="14"/>
  <c r="P272" i="14" s="1"/>
  <c r="AD271" i="14"/>
  <c r="AA271" i="14"/>
  <c r="AB271" i="14" s="1"/>
  <c r="AC271" i="14" s="1"/>
  <c r="X271" i="14"/>
  <c r="Y271" i="14" s="1"/>
  <c r="Z271" i="14" s="1"/>
  <c r="U271" i="14"/>
  <c r="V271" i="14" s="1"/>
  <c r="W271" i="14" s="1"/>
  <c r="T271" i="14"/>
  <c r="Q271" i="14"/>
  <c r="O271" i="14"/>
  <c r="P271" i="14" s="1"/>
  <c r="AD270" i="14"/>
  <c r="AA270" i="14"/>
  <c r="AB270" i="14" s="1"/>
  <c r="AC270" i="14" s="1"/>
  <c r="X270" i="14"/>
  <c r="Y270" i="14" s="1"/>
  <c r="Z270" i="14" s="1"/>
  <c r="U270" i="14"/>
  <c r="V270" i="14" s="1"/>
  <c r="W270" i="14" s="1"/>
  <c r="T270" i="14"/>
  <c r="Q270" i="14"/>
  <c r="O270" i="14"/>
  <c r="P270" i="14" s="1"/>
  <c r="AD269" i="14"/>
  <c r="AA269" i="14"/>
  <c r="AB269" i="14" s="1"/>
  <c r="AC269" i="14" s="1"/>
  <c r="X269" i="14"/>
  <c r="Y269" i="14" s="1"/>
  <c r="Z269" i="14" s="1"/>
  <c r="U269" i="14"/>
  <c r="V269" i="14" s="1"/>
  <c r="W269" i="14" s="1"/>
  <c r="T269" i="14"/>
  <c r="Q269" i="14"/>
  <c r="O269" i="14"/>
  <c r="P269" i="14" s="1"/>
  <c r="AD268" i="14"/>
  <c r="AA268" i="14"/>
  <c r="AB268" i="14" s="1"/>
  <c r="AC268" i="14" s="1"/>
  <c r="X268" i="14"/>
  <c r="Y268" i="14" s="1"/>
  <c r="Z268" i="14" s="1"/>
  <c r="U268" i="14"/>
  <c r="V268" i="14" s="1"/>
  <c r="W268" i="14" s="1"/>
  <c r="T268" i="14"/>
  <c r="Q268" i="14"/>
  <c r="O268" i="14"/>
  <c r="P268" i="14" s="1"/>
  <c r="AD267" i="14"/>
  <c r="AA267" i="14"/>
  <c r="AB267" i="14" s="1"/>
  <c r="AC267" i="14" s="1"/>
  <c r="X267" i="14"/>
  <c r="Y267" i="14" s="1"/>
  <c r="Z267" i="14" s="1"/>
  <c r="U267" i="14"/>
  <c r="V267" i="14" s="1"/>
  <c r="W267" i="14" s="1"/>
  <c r="T267" i="14"/>
  <c r="Q267" i="14"/>
  <c r="O267" i="14"/>
  <c r="P267" i="14" s="1"/>
  <c r="AD266" i="14"/>
  <c r="AA266" i="14"/>
  <c r="AB266" i="14" s="1"/>
  <c r="AC266" i="14" s="1"/>
  <c r="X266" i="14"/>
  <c r="Y266" i="14" s="1"/>
  <c r="Z266" i="14" s="1"/>
  <c r="U266" i="14"/>
  <c r="V266" i="14" s="1"/>
  <c r="W266" i="14" s="1"/>
  <c r="T266" i="14"/>
  <c r="Q266" i="14"/>
  <c r="O266" i="14"/>
  <c r="P266" i="14" s="1"/>
  <c r="AD265" i="14"/>
  <c r="AA265" i="14"/>
  <c r="AB265" i="14" s="1"/>
  <c r="AC265" i="14" s="1"/>
  <c r="X265" i="14"/>
  <c r="Y265" i="14" s="1"/>
  <c r="Z265" i="14" s="1"/>
  <c r="U265" i="14"/>
  <c r="V265" i="14" s="1"/>
  <c r="W265" i="14" s="1"/>
  <c r="T265" i="14"/>
  <c r="Q265" i="14"/>
  <c r="O265" i="14"/>
  <c r="P265" i="14" s="1"/>
  <c r="AD264" i="14"/>
  <c r="AA264" i="14"/>
  <c r="AB264" i="14" s="1"/>
  <c r="AC264" i="14" s="1"/>
  <c r="X264" i="14"/>
  <c r="Y264" i="14" s="1"/>
  <c r="Z264" i="14" s="1"/>
  <c r="U264" i="14"/>
  <c r="V264" i="14" s="1"/>
  <c r="W264" i="14" s="1"/>
  <c r="T264" i="14"/>
  <c r="Q264" i="14"/>
  <c r="O264" i="14"/>
  <c r="P264" i="14" s="1"/>
  <c r="AD263" i="14"/>
  <c r="AA263" i="14"/>
  <c r="AB263" i="14" s="1"/>
  <c r="AC263" i="14" s="1"/>
  <c r="X263" i="14"/>
  <c r="Y263" i="14" s="1"/>
  <c r="Z263" i="14" s="1"/>
  <c r="U263" i="14"/>
  <c r="V263" i="14" s="1"/>
  <c r="W263" i="14" s="1"/>
  <c r="T263" i="14"/>
  <c r="Q263" i="14"/>
  <c r="O263" i="14"/>
  <c r="P263" i="14" s="1"/>
  <c r="AD262" i="14"/>
  <c r="AA262" i="14"/>
  <c r="AB262" i="14" s="1"/>
  <c r="AC262" i="14" s="1"/>
  <c r="X262" i="14"/>
  <c r="Y262" i="14" s="1"/>
  <c r="Z262" i="14" s="1"/>
  <c r="U262" i="14"/>
  <c r="V262" i="14" s="1"/>
  <c r="W262" i="14" s="1"/>
  <c r="T262" i="14"/>
  <c r="Q262" i="14"/>
  <c r="O262" i="14"/>
  <c r="P262" i="14" s="1"/>
  <c r="AD261" i="14"/>
  <c r="AA261" i="14"/>
  <c r="AB261" i="14" s="1"/>
  <c r="AC261" i="14" s="1"/>
  <c r="X261" i="14"/>
  <c r="Y261" i="14" s="1"/>
  <c r="Z261" i="14" s="1"/>
  <c r="U261" i="14"/>
  <c r="V261" i="14" s="1"/>
  <c r="W261" i="14" s="1"/>
  <c r="T261" i="14"/>
  <c r="Q261" i="14"/>
  <c r="O261" i="14"/>
  <c r="P261" i="14" s="1"/>
  <c r="AD260" i="14"/>
  <c r="AA260" i="14"/>
  <c r="AB260" i="14" s="1"/>
  <c r="AC260" i="14" s="1"/>
  <c r="X260" i="14"/>
  <c r="Y260" i="14" s="1"/>
  <c r="Z260" i="14" s="1"/>
  <c r="U260" i="14"/>
  <c r="V260" i="14" s="1"/>
  <c r="W260" i="14" s="1"/>
  <c r="T260" i="14"/>
  <c r="Q260" i="14"/>
  <c r="O260" i="14"/>
  <c r="P260" i="14" s="1"/>
  <c r="AD259" i="14"/>
  <c r="AA259" i="14"/>
  <c r="AB259" i="14" s="1"/>
  <c r="AC259" i="14" s="1"/>
  <c r="X259" i="14"/>
  <c r="Y259" i="14" s="1"/>
  <c r="Z259" i="14" s="1"/>
  <c r="U259" i="14"/>
  <c r="V259" i="14" s="1"/>
  <c r="W259" i="14" s="1"/>
  <c r="T259" i="14"/>
  <c r="Q259" i="14"/>
  <c r="O259" i="14"/>
  <c r="P259" i="14" s="1"/>
  <c r="AD258" i="14"/>
  <c r="AA258" i="14"/>
  <c r="AB258" i="14" s="1"/>
  <c r="AC258" i="14" s="1"/>
  <c r="X258" i="14"/>
  <c r="Y258" i="14" s="1"/>
  <c r="Z258" i="14" s="1"/>
  <c r="U258" i="14"/>
  <c r="V258" i="14" s="1"/>
  <c r="W258" i="14" s="1"/>
  <c r="T258" i="14"/>
  <c r="Q258" i="14"/>
  <c r="O258" i="14"/>
  <c r="P258" i="14" s="1"/>
  <c r="AD257" i="14"/>
  <c r="AA257" i="14"/>
  <c r="AB257" i="14" s="1"/>
  <c r="AC257" i="14" s="1"/>
  <c r="X257" i="14"/>
  <c r="Y257" i="14" s="1"/>
  <c r="Z257" i="14" s="1"/>
  <c r="U257" i="14"/>
  <c r="V257" i="14" s="1"/>
  <c r="W257" i="14" s="1"/>
  <c r="T257" i="14"/>
  <c r="Q257" i="14"/>
  <c r="O257" i="14"/>
  <c r="P257" i="14" s="1"/>
  <c r="AD256" i="14"/>
  <c r="AA256" i="14"/>
  <c r="AB256" i="14" s="1"/>
  <c r="AC256" i="14" s="1"/>
  <c r="X256" i="14"/>
  <c r="Y256" i="14" s="1"/>
  <c r="Z256" i="14" s="1"/>
  <c r="U256" i="14"/>
  <c r="V256" i="14" s="1"/>
  <c r="W256" i="14" s="1"/>
  <c r="T256" i="14"/>
  <c r="Q256" i="14"/>
  <c r="O256" i="14"/>
  <c r="P256" i="14" s="1"/>
  <c r="AD255" i="14"/>
  <c r="AA255" i="14"/>
  <c r="AB255" i="14" s="1"/>
  <c r="AC255" i="14" s="1"/>
  <c r="X255" i="14"/>
  <c r="Y255" i="14" s="1"/>
  <c r="Z255" i="14" s="1"/>
  <c r="U255" i="14"/>
  <c r="V255" i="14" s="1"/>
  <c r="W255" i="14" s="1"/>
  <c r="T255" i="14"/>
  <c r="Q255" i="14"/>
  <c r="O255" i="14"/>
  <c r="P255" i="14" s="1"/>
  <c r="AA254" i="14"/>
  <c r="AB254" i="14" s="1"/>
  <c r="X254" i="14"/>
  <c r="Y254" i="14" s="1"/>
  <c r="Z254" i="14" s="1"/>
  <c r="U254" i="14"/>
  <c r="V254" i="14" s="1"/>
  <c r="W254" i="14" s="1"/>
  <c r="T254" i="14"/>
  <c r="Q254" i="14"/>
  <c r="O254" i="14"/>
  <c r="P254" i="14" s="1"/>
  <c r="AD253" i="14"/>
  <c r="AA253" i="14"/>
  <c r="AB253" i="14" s="1"/>
  <c r="AC253" i="14" s="1"/>
  <c r="X253" i="14"/>
  <c r="Y253" i="14" s="1"/>
  <c r="Z253" i="14" s="1"/>
  <c r="U253" i="14"/>
  <c r="V253" i="14" s="1"/>
  <c r="W253" i="14" s="1"/>
  <c r="T253" i="14"/>
  <c r="Q253" i="14"/>
  <c r="O253" i="14"/>
  <c r="P253" i="14" s="1"/>
  <c r="AA252" i="14"/>
  <c r="AB252" i="14" s="1"/>
  <c r="X252" i="14"/>
  <c r="Y252" i="14" s="1"/>
  <c r="Z252" i="14" s="1"/>
  <c r="U252" i="14"/>
  <c r="V252" i="14" s="1"/>
  <c r="W252" i="14" s="1"/>
  <c r="T252" i="14"/>
  <c r="Q252" i="14"/>
  <c r="O252" i="14"/>
  <c r="P252" i="14" s="1"/>
  <c r="AA251" i="14"/>
  <c r="AB251" i="14" s="1"/>
  <c r="X251" i="14"/>
  <c r="Y251" i="14" s="1"/>
  <c r="Z251" i="14" s="1"/>
  <c r="U251" i="14"/>
  <c r="V251" i="14" s="1"/>
  <c r="W251" i="14" s="1"/>
  <c r="T251" i="14"/>
  <c r="Q251" i="14"/>
  <c r="O251" i="14"/>
  <c r="P251" i="14" s="1"/>
  <c r="AD250" i="14"/>
  <c r="AA250" i="14"/>
  <c r="AB250" i="14" s="1"/>
  <c r="AC250" i="14" s="1"/>
  <c r="X250" i="14"/>
  <c r="Y250" i="14" s="1"/>
  <c r="Z250" i="14" s="1"/>
  <c r="U250" i="14"/>
  <c r="V250" i="14" s="1"/>
  <c r="W250" i="14" s="1"/>
  <c r="T250" i="14"/>
  <c r="Q250" i="14"/>
  <c r="O250" i="14"/>
  <c r="P250" i="14" s="1"/>
  <c r="AA249" i="14"/>
  <c r="AB249" i="14" s="1"/>
  <c r="X249" i="14"/>
  <c r="Y249" i="14" s="1"/>
  <c r="Z249" i="14" s="1"/>
  <c r="U249" i="14"/>
  <c r="V249" i="14" s="1"/>
  <c r="W249" i="14" s="1"/>
  <c r="T249" i="14"/>
  <c r="Q249" i="14"/>
  <c r="O249" i="14"/>
  <c r="P249" i="14" s="1"/>
  <c r="AA248" i="14"/>
  <c r="AB248" i="14" s="1"/>
  <c r="X248" i="14"/>
  <c r="Y248" i="14" s="1"/>
  <c r="Z248" i="14" s="1"/>
  <c r="U248" i="14"/>
  <c r="V248" i="14" s="1"/>
  <c r="W248" i="14" s="1"/>
  <c r="T248" i="14"/>
  <c r="Q248" i="14"/>
  <c r="O248" i="14"/>
  <c r="P248" i="14" s="1"/>
  <c r="AD247" i="14"/>
  <c r="AA247" i="14"/>
  <c r="AB247" i="14" s="1"/>
  <c r="AC247" i="14" s="1"/>
  <c r="X247" i="14"/>
  <c r="Y247" i="14" s="1"/>
  <c r="Z247" i="14" s="1"/>
  <c r="U247" i="14"/>
  <c r="V247" i="14" s="1"/>
  <c r="W247" i="14" s="1"/>
  <c r="T247" i="14"/>
  <c r="Q247" i="14"/>
  <c r="O247" i="14"/>
  <c r="P247" i="14" s="1"/>
  <c r="AD246" i="14"/>
  <c r="AA246" i="14"/>
  <c r="AB246" i="14" s="1"/>
  <c r="AC246" i="14" s="1"/>
  <c r="X246" i="14"/>
  <c r="Y246" i="14" s="1"/>
  <c r="Z246" i="14" s="1"/>
  <c r="U246" i="14"/>
  <c r="V246" i="14" s="1"/>
  <c r="W246" i="14" s="1"/>
  <c r="T246" i="14"/>
  <c r="Q246" i="14"/>
  <c r="O246" i="14"/>
  <c r="P246" i="14" s="1"/>
  <c r="AA245" i="14"/>
  <c r="AB245" i="14" s="1"/>
  <c r="X245" i="14"/>
  <c r="Y245" i="14" s="1"/>
  <c r="Z245" i="14" s="1"/>
  <c r="U245" i="14"/>
  <c r="V245" i="14" s="1"/>
  <c r="W245" i="14" s="1"/>
  <c r="T245" i="14"/>
  <c r="Q245" i="14"/>
  <c r="O245" i="14"/>
  <c r="P245" i="14" s="1"/>
  <c r="AA244" i="14"/>
  <c r="AB244" i="14" s="1"/>
  <c r="X244" i="14"/>
  <c r="Y244" i="14" s="1"/>
  <c r="Z244" i="14" s="1"/>
  <c r="U244" i="14"/>
  <c r="V244" i="14" s="1"/>
  <c r="W244" i="14" s="1"/>
  <c r="T244" i="14"/>
  <c r="Q244" i="14"/>
  <c r="O244" i="14"/>
  <c r="P244" i="14" s="1"/>
  <c r="AA243" i="14"/>
  <c r="AB243" i="14" s="1"/>
  <c r="X243" i="14"/>
  <c r="Y243" i="14" s="1"/>
  <c r="Z243" i="14" s="1"/>
  <c r="U243" i="14"/>
  <c r="V243" i="14" s="1"/>
  <c r="W243" i="14" s="1"/>
  <c r="T243" i="14"/>
  <c r="Q243" i="14"/>
  <c r="O243" i="14"/>
  <c r="P243" i="14" s="1"/>
  <c r="AA242" i="14"/>
  <c r="AB242" i="14" s="1"/>
  <c r="X242" i="14"/>
  <c r="Y242" i="14" s="1"/>
  <c r="Z242" i="14" s="1"/>
  <c r="U242" i="14"/>
  <c r="V242" i="14" s="1"/>
  <c r="W242" i="14" s="1"/>
  <c r="T242" i="14"/>
  <c r="Q242" i="14"/>
  <c r="O242" i="14"/>
  <c r="P242" i="14" s="1"/>
  <c r="AA241" i="14"/>
  <c r="AB241" i="14" s="1"/>
  <c r="X241" i="14"/>
  <c r="Y241" i="14" s="1"/>
  <c r="Z241" i="14" s="1"/>
  <c r="U241" i="14"/>
  <c r="V241" i="14" s="1"/>
  <c r="W241" i="14" s="1"/>
  <c r="T241" i="14"/>
  <c r="Q241" i="14"/>
  <c r="O241" i="14"/>
  <c r="P241" i="14" s="1"/>
  <c r="AA240" i="14"/>
  <c r="AB240" i="14" s="1"/>
  <c r="X240" i="14"/>
  <c r="Y240" i="14" s="1"/>
  <c r="Z240" i="14" s="1"/>
  <c r="U240" i="14"/>
  <c r="V240" i="14" s="1"/>
  <c r="W240" i="14" s="1"/>
  <c r="T240" i="14"/>
  <c r="Q240" i="14"/>
  <c r="O240" i="14"/>
  <c r="P240" i="14" s="1"/>
  <c r="AA239" i="14"/>
  <c r="AB239" i="14" s="1"/>
  <c r="X239" i="14"/>
  <c r="Y239" i="14" s="1"/>
  <c r="Z239" i="14" s="1"/>
  <c r="U239" i="14"/>
  <c r="V239" i="14" s="1"/>
  <c r="W239" i="14" s="1"/>
  <c r="T239" i="14"/>
  <c r="Q239" i="14"/>
  <c r="O239" i="14"/>
  <c r="P239" i="14" s="1"/>
  <c r="AA238" i="14"/>
  <c r="AB238" i="14" s="1"/>
  <c r="X238" i="14"/>
  <c r="Y238" i="14" s="1"/>
  <c r="Z238" i="14" s="1"/>
  <c r="U238" i="14"/>
  <c r="V238" i="14" s="1"/>
  <c r="W238" i="14" s="1"/>
  <c r="T238" i="14"/>
  <c r="Q238" i="14"/>
  <c r="O238" i="14"/>
  <c r="P238" i="14" s="1"/>
  <c r="AA237" i="14"/>
  <c r="AB237" i="14" s="1"/>
  <c r="X237" i="14"/>
  <c r="Y237" i="14" s="1"/>
  <c r="Z237" i="14" s="1"/>
  <c r="U237" i="14"/>
  <c r="V237" i="14" s="1"/>
  <c r="W237" i="14" s="1"/>
  <c r="T237" i="14"/>
  <c r="Q237" i="14"/>
  <c r="O237" i="14"/>
  <c r="P237" i="14" s="1"/>
  <c r="AD236" i="14"/>
  <c r="AA236" i="14"/>
  <c r="AB236" i="14" s="1"/>
  <c r="AC236" i="14" s="1"/>
  <c r="X236" i="14"/>
  <c r="Y236" i="14" s="1"/>
  <c r="Z236" i="14" s="1"/>
  <c r="U236" i="14"/>
  <c r="V236" i="14" s="1"/>
  <c r="W236" i="14" s="1"/>
  <c r="T236" i="14"/>
  <c r="Q236" i="14"/>
  <c r="O236" i="14"/>
  <c r="P236" i="14" s="1"/>
  <c r="AA235" i="14"/>
  <c r="AB235" i="14" s="1"/>
  <c r="X235" i="14"/>
  <c r="Y235" i="14" s="1"/>
  <c r="Z235" i="14" s="1"/>
  <c r="U235" i="14"/>
  <c r="V235" i="14" s="1"/>
  <c r="W235" i="14" s="1"/>
  <c r="T235" i="14"/>
  <c r="Q235" i="14"/>
  <c r="O235" i="14"/>
  <c r="P235" i="14" s="1"/>
  <c r="AA234" i="14"/>
  <c r="AB234" i="14" s="1"/>
  <c r="X234" i="14"/>
  <c r="Y234" i="14" s="1"/>
  <c r="Z234" i="14" s="1"/>
  <c r="U234" i="14"/>
  <c r="V234" i="14" s="1"/>
  <c r="W234" i="14" s="1"/>
  <c r="T234" i="14"/>
  <c r="Q234" i="14"/>
  <c r="O234" i="14"/>
  <c r="P234" i="14" s="1"/>
  <c r="AA233" i="14"/>
  <c r="AB233" i="14" s="1"/>
  <c r="X233" i="14"/>
  <c r="Y233" i="14" s="1"/>
  <c r="Z233" i="14" s="1"/>
  <c r="U233" i="14"/>
  <c r="V233" i="14" s="1"/>
  <c r="W233" i="14" s="1"/>
  <c r="T233" i="14"/>
  <c r="Q233" i="14"/>
  <c r="O233" i="14"/>
  <c r="P233" i="14" s="1"/>
  <c r="AA232" i="14"/>
  <c r="AB232" i="14" s="1"/>
  <c r="X232" i="14"/>
  <c r="Y232" i="14" s="1"/>
  <c r="Z232" i="14" s="1"/>
  <c r="U232" i="14"/>
  <c r="V232" i="14" s="1"/>
  <c r="W232" i="14" s="1"/>
  <c r="T232" i="14"/>
  <c r="Q232" i="14"/>
  <c r="O232" i="14"/>
  <c r="P232" i="14" s="1"/>
  <c r="AA231" i="14"/>
  <c r="AB231" i="14" s="1"/>
  <c r="X231" i="14"/>
  <c r="Y231" i="14" s="1"/>
  <c r="Z231" i="14" s="1"/>
  <c r="U231" i="14"/>
  <c r="V231" i="14" s="1"/>
  <c r="W231" i="14" s="1"/>
  <c r="T231" i="14"/>
  <c r="Q231" i="14"/>
  <c r="O231" i="14"/>
  <c r="P231" i="14" s="1"/>
  <c r="AA230" i="14"/>
  <c r="AB230" i="14" s="1"/>
  <c r="X230" i="14"/>
  <c r="Y230" i="14" s="1"/>
  <c r="Z230" i="14" s="1"/>
  <c r="U230" i="14"/>
  <c r="V230" i="14" s="1"/>
  <c r="W230" i="14" s="1"/>
  <c r="T230" i="14"/>
  <c r="Q230" i="14"/>
  <c r="O230" i="14"/>
  <c r="P230" i="14" s="1"/>
  <c r="AA229" i="14"/>
  <c r="AB229" i="14" s="1"/>
  <c r="X229" i="14"/>
  <c r="Y229" i="14" s="1"/>
  <c r="Z229" i="14" s="1"/>
  <c r="U229" i="14"/>
  <c r="V229" i="14" s="1"/>
  <c r="W229" i="14" s="1"/>
  <c r="T229" i="14"/>
  <c r="Q229" i="14"/>
  <c r="O229" i="14"/>
  <c r="P229" i="14" s="1"/>
  <c r="AA228" i="14"/>
  <c r="AB228" i="14" s="1"/>
  <c r="X228" i="14"/>
  <c r="Y228" i="14" s="1"/>
  <c r="Z228" i="14" s="1"/>
  <c r="U228" i="14"/>
  <c r="V228" i="14" s="1"/>
  <c r="W228" i="14" s="1"/>
  <c r="T228" i="14"/>
  <c r="Q228" i="14"/>
  <c r="O228" i="14"/>
  <c r="P228" i="14" s="1"/>
  <c r="AA227" i="14"/>
  <c r="AB227" i="14" s="1"/>
  <c r="X227" i="14"/>
  <c r="Y227" i="14" s="1"/>
  <c r="Z227" i="14" s="1"/>
  <c r="U227" i="14"/>
  <c r="V227" i="14" s="1"/>
  <c r="W227" i="14" s="1"/>
  <c r="T227" i="14"/>
  <c r="Q227" i="14"/>
  <c r="O227" i="14"/>
  <c r="P227" i="14" s="1"/>
  <c r="AD226" i="14"/>
  <c r="AA226" i="14"/>
  <c r="AB226" i="14" s="1"/>
  <c r="AC226" i="14" s="1"/>
  <c r="X226" i="14"/>
  <c r="Y226" i="14" s="1"/>
  <c r="Z226" i="14" s="1"/>
  <c r="U226" i="14"/>
  <c r="V226" i="14" s="1"/>
  <c r="W226" i="14" s="1"/>
  <c r="T226" i="14"/>
  <c r="Q226" i="14"/>
  <c r="O226" i="14"/>
  <c r="P226" i="14" s="1"/>
  <c r="AA225" i="14"/>
  <c r="AB225" i="14" s="1"/>
  <c r="X225" i="14"/>
  <c r="Y225" i="14" s="1"/>
  <c r="Z225" i="14" s="1"/>
  <c r="U225" i="14"/>
  <c r="V225" i="14" s="1"/>
  <c r="W225" i="14" s="1"/>
  <c r="T225" i="14"/>
  <c r="Q225" i="14"/>
  <c r="O225" i="14"/>
  <c r="P225" i="14" s="1"/>
  <c r="AA224" i="14"/>
  <c r="AB224" i="14" s="1"/>
  <c r="X224" i="14"/>
  <c r="Y224" i="14" s="1"/>
  <c r="Z224" i="14" s="1"/>
  <c r="U224" i="14"/>
  <c r="V224" i="14" s="1"/>
  <c r="W224" i="14" s="1"/>
  <c r="T224" i="14"/>
  <c r="Q224" i="14"/>
  <c r="O224" i="14"/>
  <c r="P224" i="14" s="1"/>
  <c r="AA223" i="14"/>
  <c r="AB223" i="14" s="1"/>
  <c r="X223" i="14"/>
  <c r="Y223" i="14" s="1"/>
  <c r="Z223" i="14" s="1"/>
  <c r="U223" i="14"/>
  <c r="V223" i="14" s="1"/>
  <c r="W223" i="14" s="1"/>
  <c r="T223" i="14"/>
  <c r="Q223" i="14"/>
  <c r="O223" i="14"/>
  <c r="P223" i="14" s="1"/>
  <c r="AA222" i="14"/>
  <c r="AB222" i="14" s="1"/>
  <c r="X222" i="14"/>
  <c r="Y222" i="14" s="1"/>
  <c r="Z222" i="14" s="1"/>
  <c r="U222" i="14"/>
  <c r="V222" i="14" s="1"/>
  <c r="W222" i="14" s="1"/>
  <c r="T222" i="14"/>
  <c r="Q222" i="14"/>
  <c r="O222" i="14"/>
  <c r="P222" i="14" s="1"/>
  <c r="AA221" i="14"/>
  <c r="AB221" i="14" s="1"/>
  <c r="X221" i="14"/>
  <c r="Y221" i="14" s="1"/>
  <c r="Z221" i="14" s="1"/>
  <c r="U221" i="14"/>
  <c r="V221" i="14" s="1"/>
  <c r="W221" i="14" s="1"/>
  <c r="T221" i="14"/>
  <c r="Q221" i="14"/>
  <c r="O221" i="14"/>
  <c r="P221" i="14" s="1"/>
  <c r="AA220" i="14"/>
  <c r="AB220" i="14" s="1"/>
  <c r="X220" i="14"/>
  <c r="Y220" i="14" s="1"/>
  <c r="Z220" i="14" s="1"/>
  <c r="U220" i="14"/>
  <c r="V220" i="14" s="1"/>
  <c r="W220" i="14" s="1"/>
  <c r="T220" i="14"/>
  <c r="Q220" i="14"/>
  <c r="O220" i="14"/>
  <c r="P220" i="14" s="1"/>
  <c r="AA219" i="14"/>
  <c r="AB219" i="14" s="1"/>
  <c r="X219" i="14"/>
  <c r="Y219" i="14" s="1"/>
  <c r="Z219" i="14" s="1"/>
  <c r="U219" i="14"/>
  <c r="V219" i="14" s="1"/>
  <c r="W219" i="14" s="1"/>
  <c r="T219" i="14"/>
  <c r="Q219" i="14"/>
  <c r="O219" i="14"/>
  <c r="P219" i="14" s="1"/>
  <c r="AA218" i="14"/>
  <c r="AB218" i="14" s="1"/>
  <c r="X218" i="14"/>
  <c r="Y218" i="14" s="1"/>
  <c r="Z218" i="14" s="1"/>
  <c r="U218" i="14"/>
  <c r="V218" i="14" s="1"/>
  <c r="W218" i="14" s="1"/>
  <c r="T218" i="14"/>
  <c r="Q218" i="14"/>
  <c r="O218" i="14"/>
  <c r="P218" i="14" s="1"/>
  <c r="AA217" i="14"/>
  <c r="AB217" i="14" s="1"/>
  <c r="X217" i="14"/>
  <c r="Y217" i="14" s="1"/>
  <c r="Z217" i="14" s="1"/>
  <c r="U217" i="14"/>
  <c r="V217" i="14" s="1"/>
  <c r="W217" i="14" s="1"/>
  <c r="T217" i="14"/>
  <c r="Q217" i="14"/>
  <c r="O217" i="14"/>
  <c r="P217" i="14" s="1"/>
  <c r="AA216" i="14"/>
  <c r="AB216" i="14" s="1"/>
  <c r="X216" i="14"/>
  <c r="Y216" i="14" s="1"/>
  <c r="Z216" i="14" s="1"/>
  <c r="U216" i="14"/>
  <c r="V216" i="14" s="1"/>
  <c r="W216" i="14" s="1"/>
  <c r="T216" i="14"/>
  <c r="Q216" i="14"/>
  <c r="O216" i="14"/>
  <c r="P216" i="14" s="1"/>
  <c r="AA215" i="14"/>
  <c r="AB215" i="14" s="1"/>
  <c r="X215" i="14"/>
  <c r="Y215" i="14" s="1"/>
  <c r="Z215" i="14" s="1"/>
  <c r="U215" i="14"/>
  <c r="V215" i="14" s="1"/>
  <c r="W215" i="14" s="1"/>
  <c r="T215" i="14"/>
  <c r="Q215" i="14"/>
  <c r="O215" i="14"/>
  <c r="P215" i="14" s="1"/>
  <c r="AA214" i="14"/>
  <c r="AB214" i="14" s="1"/>
  <c r="X214" i="14"/>
  <c r="Y214" i="14" s="1"/>
  <c r="Z214" i="14" s="1"/>
  <c r="U214" i="14"/>
  <c r="V214" i="14" s="1"/>
  <c r="W214" i="14" s="1"/>
  <c r="T214" i="14"/>
  <c r="Q214" i="14"/>
  <c r="O214" i="14"/>
  <c r="P214" i="14" s="1"/>
  <c r="AA213" i="14"/>
  <c r="AB213" i="14" s="1"/>
  <c r="X213" i="14"/>
  <c r="Y213" i="14" s="1"/>
  <c r="Z213" i="14" s="1"/>
  <c r="U213" i="14"/>
  <c r="V213" i="14" s="1"/>
  <c r="W213" i="14" s="1"/>
  <c r="T213" i="14"/>
  <c r="Q213" i="14"/>
  <c r="O213" i="14"/>
  <c r="P213" i="14" s="1"/>
  <c r="AA212" i="14"/>
  <c r="AB212" i="14" s="1"/>
  <c r="X212" i="14"/>
  <c r="Y212" i="14" s="1"/>
  <c r="Z212" i="14" s="1"/>
  <c r="U212" i="14"/>
  <c r="V212" i="14" s="1"/>
  <c r="W212" i="14" s="1"/>
  <c r="T212" i="14"/>
  <c r="Q212" i="14"/>
  <c r="O212" i="14"/>
  <c r="P212" i="14" s="1"/>
  <c r="AA211" i="14"/>
  <c r="AB211" i="14" s="1"/>
  <c r="X211" i="14"/>
  <c r="Y211" i="14" s="1"/>
  <c r="Z211" i="14" s="1"/>
  <c r="U211" i="14"/>
  <c r="V211" i="14" s="1"/>
  <c r="W211" i="14" s="1"/>
  <c r="T211" i="14"/>
  <c r="Q211" i="14"/>
  <c r="O211" i="14"/>
  <c r="P211" i="14" s="1"/>
  <c r="AA210" i="14"/>
  <c r="AB210" i="14" s="1"/>
  <c r="X210" i="14"/>
  <c r="Y210" i="14" s="1"/>
  <c r="Z210" i="14" s="1"/>
  <c r="U210" i="14"/>
  <c r="V210" i="14" s="1"/>
  <c r="W210" i="14" s="1"/>
  <c r="T210" i="14"/>
  <c r="Q210" i="14"/>
  <c r="O210" i="14"/>
  <c r="P210" i="14" s="1"/>
  <c r="AA209" i="14"/>
  <c r="AB209" i="14" s="1"/>
  <c r="X209" i="14"/>
  <c r="Y209" i="14" s="1"/>
  <c r="Z209" i="14" s="1"/>
  <c r="U209" i="14"/>
  <c r="V209" i="14" s="1"/>
  <c r="W209" i="14" s="1"/>
  <c r="T209" i="14"/>
  <c r="Q209" i="14"/>
  <c r="O209" i="14"/>
  <c r="P209" i="14" s="1"/>
  <c r="AA208" i="14"/>
  <c r="AB208" i="14" s="1"/>
  <c r="X208" i="14"/>
  <c r="Y208" i="14" s="1"/>
  <c r="Z208" i="14" s="1"/>
  <c r="U208" i="14"/>
  <c r="V208" i="14" s="1"/>
  <c r="W208" i="14" s="1"/>
  <c r="T208" i="14"/>
  <c r="Q208" i="14"/>
  <c r="O208" i="14"/>
  <c r="P208" i="14" s="1"/>
  <c r="AA207" i="14"/>
  <c r="AB207" i="14" s="1"/>
  <c r="X207" i="14"/>
  <c r="Y207" i="14" s="1"/>
  <c r="Z207" i="14" s="1"/>
  <c r="U207" i="14"/>
  <c r="V207" i="14" s="1"/>
  <c r="W207" i="14" s="1"/>
  <c r="T207" i="14"/>
  <c r="Q207" i="14"/>
  <c r="O207" i="14"/>
  <c r="P207" i="14" s="1"/>
  <c r="AA206" i="14"/>
  <c r="AB206" i="14" s="1"/>
  <c r="X206" i="14"/>
  <c r="Y206" i="14" s="1"/>
  <c r="Z206" i="14" s="1"/>
  <c r="U206" i="14"/>
  <c r="V206" i="14" s="1"/>
  <c r="W206" i="14" s="1"/>
  <c r="T206" i="14"/>
  <c r="Q206" i="14"/>
  <c r="O206" i="14"/>
  <c r="P206" i="14" s="1"/>
  <c r="AA205" i="14"/>
  <c r="AB205" i="14" s="1"/>
  <c r="X205" i="14"/>
  <c r="Y205" i="14" s="1"/>
  <c r="Z205" i="14" s="1"/>
  <c r="U205" i="14"/>
  <c r="V205" i="14" s="1"/>
  <c r="W205" i="14" s="1"/>
  <c r="T205" i="14"/>
  <c r="Q205" i="14"/>
  <c r="O205" i="14"/>
  <c r="P205" i="14" s="1"/>
  <c r="AA204" i="14"/>
  <c r="AB204" i="14" s="1"/>
  <c r="X204" i="14"/>
  <c r="Y204" i="14" s="1"/>
  <c r="Z204" i="14" s="1"/>
  <c r="U204" i="14"/>
  <c r="V204" i="14" s="1"/>
  <c r="W204" i="14" s="1"/>
  <c r="T204" i="14"/>
  <c r="Q204" i="14"/>
  <c r="O204" i="14"/>
  <c r="P204" i="14" s="1"/>
  <c r="AA203" i="14"/>
  <c r="AB203" i="14" s="1"/>
  <c r="X203" i="14"/>
  <c r="Y203" i="14" s="1"/>
  <c r="Z203" i="14" s="1"/>
  <c r="U203" i="14"/>
  <c r="V203" i="14" s="1"/>
  <c r="W203" i="14" s="1"/>
  <c r="T203" i="14"/>
  <c r="Q203" i="14"/>
  <c r="O203" i="14"/>
  <c r="P203" i="14" s="1"/>
  <c r="AA202" i="14"/>
  <c r="AB202" i="14" s="1"/>
  <c r="X202" i="14"/>
  <c r="Y202" i="14" s="1"/>
  <c r="Z202" i="14" s="1"/>
  <c r="U202" i="14"/>
  <c r="V202" i="14" s="1"/>
  <c r="W202" i="14" s="1"/>
  <c r="T202" i="14"/>
  <c r="Q202" i="14"/>
  <c r="O202" i="14"/>
  <c r="P202" i="14" s="1"/>
  <c r="AA201" i="14"/>
  <c r="AB201" i="14" s="1"/>
  <c r="X201" i="14"/>
  <c r="Y201" i="14" s="1"/>
  <c r="Z201" i="14" s="1"/>
  <c r="U201" i="14"/>
  <c r="V201" i="14" s="1"/>
  <c r="W201" i="14" s="1"/>
  <c r="T201" i="14"/>
  <c r="Q201" i="14"/>
  <c r="O201" i="14"/>
  <c r="P201" i="14" s="1"/>
  <c r="AA200" i="14"/>
  <c r="AB200" i="14" s="1"/>
  <c r="X200" i="14"/>
  <c r="Y200" i="14" s="1"/>
  <c r="Z200" i="14" s="1"/>
  <c r="U200" i="14"/>
  <c r="V200" i="14" s="1"/>
  <c r="W200" i="14" s="1"/>
  <c r="T200" i="14"/>
  <c r="Q200" i="14"/>
  <c r="O200" i="14"/>
  <c r="P200" i="14" s="1"/>
  <c r="AA199" i="14"/>
  <c r="AB199" i="14" s="1"/>
  <c r="X199" i="14"/>
  <c r="Y199" i="14" s="1"/>
  <c r="Z199" i="14" s="1"/>
  <c r="U199" i="14"/>
  <c r="V199" i="14" s="1"/>
  <c r="W199" i="14" s="1"/>
  <c r="T199" i="14"/>
  <c r="Q199" i="14"/>
  <c r="O199" i="14"/>
  <c r="P199" i="14" s="1"/>
  <c r="AA198" i="14"/>
  <c r="AB198" i="14" s="1"/>
  <c r="X198" i="14"/>
  <c r="Y198" i="14" s="1"/>
  <c r="Z198" i="14" s="1"/>
  <c r="U198" i="14"/>
  <c r="V198" i="14" s="1"/>
  <c r="W198" i="14" s="1"/>
  <c r="T198" i="14"/>
  <c r="Q198" i="14"/>
  <c r="O198" i="14"/>
  <c r="P198" i="14" s="1"/>
  <c r="AA197" i="14"/>
  <c r="AB197" i="14" s="1"/>
  <c r="X197" i="14"/>
  <c r="Y197" i="14" s="1"/>
  <c r="Z197" i="14" s="1"/>
  <c r="U197" i="14"/>
  <c r="V197" i="14" s="1"/>
  <c r="W197" i="14" s="1"/>
  <c r="T197" i="14"/>
  <c r="Q197" i="14"/>
  <c r="O197" i="14"/>
  <c r="P197" i="14" s="1"/>
  <c r="AA196" i="14"/>
  <c r="AB196" i="14" s="1"/>
  <c r="X196" i="14"/>
  <c r="Y196" i="14" s="1"/>
  <c r="Z196" i="14" s="1"/>
  <c r="U196" i="14"/>
  <c r="V196" i="14" s="1"/>
  <c r="W196" i="14" s="1"/>
  <c r="T196" i="14"/>
  <c r="Q196" i="14"/>
  <c r="O196" i="14"/>
  <c r="P196" i="14" s="1"/>
  <c r="AA195" i="14"/>
  <c r="AB195" i="14" s="1"/>
  <c r="X195" i="14"/>
  <c r="Y195" i="14" s="1"/>
  <c r="Z195" i="14" s="1"/>
  <c r="U195" i="14"/>
  <c r="V195" i="14" s="1"/>
  <c r="W195" i="14" s="1"/>
  <c r="T195" i="14"/>
  <c r="Q195" i="14"/>
  <c r="O195" i="14"/>
  <c r="P195" i="14" s="1"/>
  <c r="AA194" i="14"/>
  <c r="AB194" i="14" s="1"/>
  <c r="X194" i="14"/>
  <c r="Y194" i="14" s="1"/>
  <c r="Z194" i="14" s="1"/>
  <c r="U194" i="14"/>
  <c r="V194" i="14" s="1"/>
  <c r="W194" i="14" s="1"/>
  <c r="T194" i="14"/>
  <c r="Q194" i="14"/>
  <c r="O194" i="14"/>
  <c r="P194" i="14" s="1"/>
  <c r="AA193" i="14"/>
  <c r="AB193" i="14" s="1"/>
  <c r="X193" i="14"/>
  <c r="Y193" i="14" s="1"/>
  <c r="Z193" i="14" s="1"/>
  <c r="U193" i="14"/>
  <c r="V193" i="14" s="1"/>
  <c r="W193" i="14" s="1"/>
  <c r="T193" i="14"/>
  <c r="Q193" i="14"/>
  <c r="O193" i="14"/>
  <c r="P193" i="14" s="1"/>
  <c r="AA192" i="14"/>
  <c r="AB192" i="14" s="1"/>
  <c r="X192" i="14"/>
  <c r="Y192" i="14" s="1"/>
  <c r="Z192" i="14" s="1"/>
  <c r="U192" i="14"/>
  <c r="V192" i="14" s="1"/>
  <c r="W192" i="14" s="1"/>
  <c r="T192" i="14"/>
  <c r="Q192" i="14"/>
  <c r="O192" i="14"/>
  <c r="P192" i="14" s="1"/>
  <c r="AA191" i="14"/>
  <c r="AB191" i="14" s="1"/>
  <c r="X191" i="14"/>
  <c r="Y191" i="14" s="1"/>
  <c r="Z191" i="14" s="1"/>
  <c r="U191" i="14"/>
  <c r="V191" i="14" s="1"/>
  <c r="W191" i="14" s="1"/>
  <c r="T191" i="14"/>
  <c r="Q191" i="14"/>
  <c r="O191" i="14"/>
  <c r="P191" i="14" s="1"/>
  <c r="AA190" i="14"/>
  <c r="AB190" i="14" s="1"/>
  <c r="X190" i="14"/>
  <c r="Y190" i="14" s="1"/>
  <c r="Z190" i="14" s="1"/>
  <c r="U190" i="14"/>
  <c r="V190" i="14" s="1"/>
  <c r="W190" i="14" s="1"/>
  <c r="T190" i="14"/>
  <c r="Q190" i="14"/>
  <c r="O190" i="14"/>
  <c r="P190" i="14" s="1"/>
  <c r="AA189" i="14"/>
  <c r="AB189" i="14" s="1"/>
  <c r="X189" i="14"/>
  <c r="Y189" i="14" s="1"/>
  <c r="Z189" i="14" s="1"/>
  <c r="U189" i="14"/>
  <c r="V189" i="14" s="1"/>
  <c r="W189" i="14" s="1"/>
  <c r="T189" i="14"/>
  <c r="Q189" i="14"/>
  <c r="O189" i="14"/>
  <c r="P189" i="14" s="1"/>
  <c r="AD188" i="14"/>
  <c r="AA188" i="14"/>
  <c r="AB188" i="14" s="1"/>
  <c r="AC188" i="14" s="1"/>
  <c r="X188" i="14"/>
  <c r="Y188" i="14" s="1"/>
  <c r="Z188" i="14" s="1"/>
  <c r="U188" i="14"/>
  <c r="V188" i="14" s="1"/>
  <c r="W188" i="14" s="1"/>
  <c r="T188" i="14"/>
  <c r="Q188" i="14"/>
  <c r="O188" i="14"/>
  <c r="P188" i="14" s="1"/>
  <c r="AA187" i="14"/>
  <c r="AB187" i="14" s="1"/>
  <c r="X187" i="14"/>
  <c r="Y187" i="14" s="1"/>
  <c r="Z187" i="14" s="1"/>
  <c r="U187" i="14"/>
  <c r="V187" i="14" s="1"/>
  <c r="W187" i="14" s="1"/>
  <c r="T187" i="14"/>
  <c r="Q187" i="14"/>
  <c r="O187" i="14"/>
  <c r="P187" i="14" s="1"/>
  <c r="AA186" i="14"/>
  <c r="AB186" i="14" s="1"/>
  <c r="X186" i="14"/>
  <c r="Y186" i="14" s="1"/>
  <c r="Z186" i="14" s="1"/>
  <c r="U186" i="14"/>
  <c r="V186" i="14" s="1"/>
  <c r="W186" i="14" s="1"/>
  <c r="T186" i="14"/>
  <c r="Q186" i="14"/>
  <c r="O186" i="14"/>
  <c r="P186" i="14" s="1"/>
  <c r="AA185" i="14"/>
  <c r="AB185" i="14" s="1"/>
  <c r="X185" i="14"/>
  <c r="Y185" i="14" s="1"/>
  <c r="Z185" i="14" s="1"/>
  <c r="U185" i="14"/>
  <c r="V185" i="14" s="1"/>
  <c r="W185" i="14" s="1"/>
  <c r="T185" i="14"/>
  <c r="Q185" i="14"/>
  <c r="O185" i="14"/>
  <c r="P185" i="14" s="1"/>
  <c r="AA184" i="14"/>
  <c r="AB184" i="14" s="1"/>
  <c r="X184" i="14"/>
  <c r="Y184" i="14" s="1"/>
  <c r="Z184" i="14" s="1"/>
  <c r="U184" i="14"/>
  <c r="V184" i="14" s="1"/>
  <c r="W184" i="14" s="1"/>
  <c r="T184" i="14"/>
  <c r="Q184" i="14"/>
  <c r="O184" i="14"/>
  <c r="P184" i="14" s="1"/>
  <c r="AA183" i="14"/>
  <c r="AB183" i="14" s="1"/>
  <c r="X183" i="14"/>
  <c r="Y183" i="14" s="1"/>
  <c r="Z183" i="14" s="1"/>
  <c r="U183" i="14"/>
  <c r="V183" i="14" s="1"/>
  <c r="W183" i="14" s="1"/>
  <c r="T183" i="14"/>
  <c r="Q183" i="14"/>
  <c r="O183" i="14"/>
  <c r="P183" i="14" s="1"/>
  <c r="AA182" i="14"/>
  <c r="AB182" i="14" s="1"/>
  <c r="X182" i="14"/>
  <c r="Y182" i="14" s="1"/>
  <c r="Z182" i="14" s="1"/>
  <c r="U182" i="14"/>
  <c r="V182" i="14" s="1"/>
  <c r="W182" i="14" s="1"/>
  <c r="T182" i="14"/>
  <c r="Q182" i="14"/>
  <c r="O182" i="14"/>
  <c r="P182" i="14" s="1"/>
  <c r="AA181" i="14"/>
  <c r="AB181" i="14" s="1"/>
  <c r="X181" i="14"/>
  <c r="Y181" i="14" s="1"/>
  <c r="Z181" i="14" s="1"/>
  <c r="U181" i="14"/>
  <c r="V181" i="14" s="1"/>
  <c r="W181" i="14" s="1"/>
  <c r="T181" i="14"/>
  <c r="Q181" i="14"/>
  <c r="O181" i="14"/>
  <c r="P181" i="14" s="1"/>
  <c r="AA180" i="14"/>
  <c r="AB180" i="14" s="1"/>
  <c r="X180" i="14"/>
  <c r="Y180" i="14" s="1"/>
  <c r="Z180" i="14" s="1"/>
  <c r="U180" i="14"/>
  <c r="V180" i="14" s="1"/>
  <c r="W180" i="14" s="1"/>
  <c r="T180" i="14"/>
  <c r="Q180" i="14"/>
  <c r="O180" i="14"/>
  <c r="P180" i="14" s="1"/>
  <c r="AA179" i="14"/>
  <c r="AB179" i="14" s="1"/>
  <c r="X179" i="14"/>
  <c r="Y179" i="14" s="1"/>
  <c r="Z179" i="14" s="1"/>
  <c r="U179" i="14"/>
  <c r="V179" i="14" s="1"/>
  <c r="W179" i="14" s="1"/>
  <c r="T179" i="14"/>
  <c r="Q179" i="14"/>
  <c r="O179" i="14"/>
  <c r="P179" i="14" s="1"/>
  <c r="AA178" i="14"/>
  <c r="AB178" i="14" s="1"/>
  <c r="X178" i="14"/>
  <c r="Y178" i="14" s="1"/>
  <c r="Z178" i="14" s="1"/>
  <c r="U178" i="14"/>
  <c r="V178" i="14" s="1"/>
  <c r="W178" i="14" s="1"/>
  <c r="T178" i="14"/>
  <c r="Q178" i="14"/>
  <c r="O178" i="14"/>
  <c r="P178" i="14" s="1"/>
  <c r="AA177" i="14"/>
  <c r="AB177" i="14" s="1"/>
  <c r="X177" i="14"/>
  <c r="Y177" i="14" s="1"/>
  <c r="Z177" i="14" s="1"/>
  <c r="U177" i="14"/>
  <c r="V177" i="14" s="1"/>
  <c r="W177" i="14" s="1"/>
  <c r="T177" i="14"/>
  <c r="Q177" i="14"/>
  <c r="O177" i="14"/>
  <c r="P177" i="14" s="1"/>
  <c r="AA176" i="14"/>
  <c r="AB176" i="14" s="1"/>
  <c r="X176" i="14"/>
  <c r="Y176" i="14" s="1"/>
  <c r="Z176" i="14" s="1"/>
  <c r="U176" i="14"/>
  <c r="V176" i="14" s="1"/>
  <c r="W176" i="14" s="1"/>
  <c r="T176" i="14"/>
  <c r="Q176" i="14"/>
  <c r="O176" i="14"/>
  <c r="P176" i="14" s="1"/>
  <c r="AA175" i="14"/>
  <c r="AB175" i="14" s="1"/>
  <c r="X175" i="14"/>
  <c r="Y175" i="14" s="1"/>
  <c r="Z175" i="14" s="1"/>
  <c r="U175" i="14"/>
  <c r="V175" i="14" s="1"/>
  <c r="W175" i="14" s="1"/>
  <c r="T175" i="14"/>
  <c r="Q175" i="14"/>
  <c r="O175" i="14"/>
  <c r="P175" i="14" s="1"/>
  <c r="AA174" i="14"/>
  <c r="AB174" i="14" s="1"/>
  <c r="X174" i="14"/>
  <c r="Y174" i="14" s="1"/>
  <c r="Z174" i="14" s="1"/>
  <c r="U174" i="14"/>
  <c r="V174" i="14" s="1"/>
  <c r="W174" i="14" s="1"/>
  <c r="T174" i="14"/>
  <c r="Q174" i="14"/>
  <c r="O174" i="14"/>
  <c r="P174" i="14" s="1"/>
  <c r="AA173" i="14"/>
  <c r="AB173" i="14" s="1"/>
  <c r="X173" i="14"/>
  <c r="Y173" i="14" s="1"/>
  <c r="Z173" i="14" s="1"/>
  <c r="U173" i="14"/>
  <c r="V173" i="14" s="1"/>
  <c r="W173" i="14" s="1"/>
  <c r="T173" i="14"/>
  <c r="Q173" i="14"/>
  <c r="O173" i="14"/>
  <c r="P173" i="14" s="1"/>
  <c r="AA172" i="14"/>
  <c r="AB172" i="14" s="1"/>
  <c r="X172" i="14"/>
  <c r="Y172" i="14" s="1"/>
  <c r="Z172" i="14" s="1"/>
  <c r="U172" i="14"/>
  <c r="V172" i="14" s="1"/>
  <c r="W172" i="14" s="1"/>
  <c r="T172" i="14"/>
  <c r="Q172" i="14"/>
  <c r="O172" i="14"/>
  <c r="P172" i="14" s="1"/>
  <c r="AA171" i="14"/>
  <c r="AB171" i="14" s="1"/>
  <c r="X171" i="14"/>
  <c r="Y171" i="14" s="1"/>
  <c r="Z171" i="14" s="1"/>
  <c r="U171" i="14"/>
  <c r="V171" i="14" s="1"/>
  <c r="W171" i="14" s="1"/>
  <c r="T171" i="14"/>
  <c r="Q171" i="14"/>
  <c r="O171" i="14"/>
  <c r="P171" i="14" s="1"/>
  <c r="AA170" i="14"/>
  <c r="AB170" i="14" s="1"/>
  <c r="X170" i="14"/>
  <c r="Y170" i="14" s="1"/>
  <c r="Z170" i="14" s="1"/>
  <c r="U170" i="14"/>
  <c r="V170" i="14" s="1"/>
  <c r="W170" i="14" s="1"/>
  <c r="T170" i="14"/>
  <c r="Q170" i="14"/>
  <c r="O170" i="14"/>
  <c r="P170" i="14" s="1"/>
  <c r="AA169" i="14"/>
  <c r="AB169" i="14" s="1"/>
  <c r="X169" i="14"/>
  <c r="Y169" i="14" s="1"/>
  <c r="Z169" i="14" s="1"/>
  <c r="U169" i="14"/>
  <c r="V169" i="14" s="1"/>
  <c r="W169" i="14" s="1"/>
  <c r="T169" i="14"/>
  <c r="Q169" i="14"/>
  <c r="O169" i="14"/>
  <c r="P169" i="14" s="1"/>
  <c r="AA168" i="14"/>
  <c r="AB168" i="14" s="1"/>
  <c r="X168" i="14"/>
  <c r="Y168" i="14" s="1"/>
  <c r="Z168" i="14" s="1"/>
  <c r="U168" i="14"/>
  <c r="V168" i="14" s="1"/>
  <c r="W168" i="14" s="1"/>
  <c r="T168" i="14"/>
  <c r="Q168" i="14"/>
  <c r="O168" i="14"/>
  <c r="P168" i="14" s="1"/>
  <c r="AA167" i="14"/>
  <c r="AB167" i="14" s="1"/>
  <c r="X167" i="14"/>
  <c r="Y167" i="14" s="1"/>
  <c r="Z167" i="14" s="1"/>
  <c r="U167" i="14"/>
  <c r="V167" i="14" s="1"/>
  <c r="W167" i="14" s="1"/>
  <c r="T167" i="14"/>
  <c r="Q167" i="14"/>
  <c r="O167" i="14"/>
  <c r="P167" i="14" s="1"/>
  <c r="AA166" i="14"/>
  <c r="AB166" i="14" s="1"/>
  <c r="X166" i="14"/>
  <c r="Y166" i="14" s="1"/>
  <c r="Z166" i="14" s="1"/>
  <c r="U166" i="14"/>
  <c r="V166" i="14" s="1"/>
  <c r="W166" i="14" s="1"/>
  <c r="T166" i="14"/>
  <c r="Q166" i="14"/>
  <c r="O166" i="14"/>
  <c r="P166" i="14" s="1"/>
  <c r="AA165" i="14"/>
  <c r="AB165" i="14" s="1"/>
  <c r="X165" i="14"/>
  <c r="Y165" i="14" s="1"/>
  <c r="Z165" i="14" s="1"/>
  <c r="U165" i="14"/>
  <c r="V165" i="14" s="1"/>
  <c r="W165" i="14" s="1"/>
  <c r="T165" i="14"/>
  <c r="Q165" i="14"/>
  <c r="O165" i="14"/>
  <c r="P165" i="14" s="1"/>
  <c r="AA164" i="14"/>
  <c r="AB164" i="14" s="1"/>
  <c r="X164" i="14"/>
  <c r="Y164" i="14" s="1"/>
  <c r="Z164" i="14" s="1"/>
  <c r="U164" i="14"/>
  <c r="V164" i="14" s="1"/>
  <c r="W164" i="14" s="1"/>
  <c r="T164" i="14"/>
  <c r="Q164" i="14"/>
  <c r="O164" i="14"/>
  <c r="P164" i="14" s="1"/>
  <c r="AA163" i="14"/>
  <c r="AB163" i="14" s="1"/>
  <c r="X163" i="14"/>
  <c r="Y163" i="14" s="1"/>
  <c r="Z163" i="14" s="1"/>
  <c r="U163" i="14"/>
  <c r="V163" i="14" s="1"/>
  <c r="W163" i="14" s="1"/>
  <c r="T163" i="14"/>
  <c r="Q163" i="14"/>
  <c r="O163" i="14"/>
  <c r="P163" i="14" s="1"/>
  <c r="AA162" i="14"/>
  <c r="AB162" i="14" s="1"/>
  <c r="X162" i="14"/>
  <c r="Y162" i="14" s="1"/>
  <c r="Z162" i="14" s="1"/>
  <c r="U162" i="14"/>
  <c r="V162" i="14" s="1"/>
  <c r="W162" i="14" s="1"/>
  <c r="T162" i="14"/>
  <c r="Q162" i="14"/>
  <c r="O162" i="14"/>
  <c r="P162" i="14" s="1"/>
  <c r="AA161" i="14"/>
  <c r="AB161" i="14" s="1"/>
  <c r="X161" i="14"/>
  <c r="Y161" i="14" s="1"/>
  <c r="Z161" i="14" s="1"/>
  <c r="U161" i="14"/>
  <c r="V161" i="14" s="1"/>
  <c r="W161" i="14" s="1"/>
  <c r="T161" i="14"/>
  <c r="Q161" i="14"/>
  <c r="O161" i="14"/>
  <c r="P161" i="14" s="1"/>
  <c r="AA160" i="14"/>
  <c r="AB160" i="14" s="1"/>
  <c r="X160" i="14"/>
  <c r="Y160" i="14" s="1"/>
  <c r="Z160" i="14" s="1"/>
  <c r="U160" i="14"/>
  <c r="V160" i="14" s="1"/>
  <c r="W160" i="14" s="1"/>
  <c r="T160" i="14"/>
  <c r="Q160" i="14"/>
  <c r="O160" i="14"/>
  <c r="P160" i="14" s="1"/>
  <c r="AA159" i="14"/>
  <c r="AB159" i="14" s="1"/>
  <c r="X159" i="14"/>
  <c r="Y159" i="14" s="1"/>
  <c r="Z159" i="14" s="1"/>
  <c r="U159" i="14"/>
  <c r="V159" i="14" s="1"/>
  <c r="W159" i="14" s="1"/>
  <c r="T159" i="14"/>
  <c r="Q159" i="14"/>
  <c r="O159" i="14"/>
  <c r="P159" i="14" s="1"/>
  <c r="AA158" i="14"/>
  <c r="AB158" i="14" s="1"/>
  <c r="X158" i="14"/>
  <c r="Y158" i="14" s="1"/>
  <c r="Z158" i="14" s="1"/>
  <c r="U158" i="14"/>
  <c r="V158" i="14" s="1"/>
  <c r="W158" i="14" s="1"/>
  <c r="T158" i="14"/>
  <c r="Q158" i="14"/>
  <c r="O158" i="14"/>
  <c r="P158" i="14" s="1"/>
  <c r="AA157" i="14"/>
  <c r="AB157" i="14" s="1"/>
  <c r="X157" i="14"/>
  <c r="Y157" i="14" s="1"/>
  <c r="Z157" i="14" s="1"/>
  <c r="U157" i="14"/>
  <c r="V157" i="14" s="1"/>
  <c r="W157" i="14" s="1"/>
  <c r="T157" i="14"/>
  <c r="Q157" i="14"/>
  <c r="O157" i="14"/>
  <c r="P157" i="14" s="1"/>
  <c r="AA156" i="14"/>
  <c r="AB156" i="14" s="1"/>
  <c r="X156" i="14"/>
  <c r="Y156" i="14" s="1"/>
  <c r="Z156" i="14" s="1"/>
  <c r="U156" i="14"/>
  <c r="V156" i="14" s="1"/>
  <c r="W156" i="14" s="1"/>
  <c r="T156" i="14"/>
  <c r="Q156" i="14"/>
  <c r="O156" i="14"/>
  <c r="P156" i="14" s="1"/>
  <c r="AA155" i="14"/>
  <c r="AB155" i="14" s="1"/>
  <c r="X155" i="14"/>
  <c r="Y155" i="14" s="1"/>
  <c r="Z155" i="14" s="1"/>
  <c r="U155" i="14"/>
  <c r="V155" i="14" s="1"/>
  <c r="W155" i="14" s="1"/>
  <c r="T155" i="14"/>
  <c r="Q155" i="14"/>
  <c r="O155" i="14"/>
  <c r="P155" i="14" s="1"/>
  <c r="AA154" i="14"/>
  <c r="AB154" i="14" s="1"/>
  <c r="X154" i="14"/>
  <c r="Y154" i="14" s="1"/>
  <c r="Z154" i="14" s="1"/>
  <c r="U154" i="14"/>
  <c r="V154" i="14" s="1"/>
  <c r="W154" i="14" s="1"/>
  <c r="T154" i="14"/>
  <c r="Q154" i="14"/>
  <c r="O154" i="14"/>
  <c r="P154" i="14" s="1"/>
  <c r="AA153" i="14"/>
  <c r="AB153" i="14" s="1"/>
  <c r="X153" i="14"/>
  <c r="Y153" i="14" s="1"/>
  <c r="Z153" i="14" s="1"/>
  <c r="U153" i="14"/>
  <c r="V153" i="14" s="1"/>
  <c r="W153" i="14" s="1"/>
  <c r="T153" i="14"/>
  <c r="Q153" i="14"/>
  <c r="O153" i="14"/>
  <c r="P153" i="14" s="1"/>
  <c r="AA152" i="14"/>
  <c r="AB152" i="14" s="1"/>
  <c r="X152" i="14"/>
  <c r="Y152" i="14" s="1"/>
  <c r="Z152" i="14" s="1"/>
  <c r="U152" i="14"/>
  <c r="V152" i="14" s="1"/>
  <c r="W152" i="14" s="1"/>
  <c r="T152" i="14"/>
  <c r="Q152" i="14"/>
  <c r="O152" i="14"/>
  <c r="P152" i="14" s="1"/>
  <c r="AA151" i="14"/>
  <c r="AB151" i="14" s="1"/>
  <c r="X151" i="14"/>
  <c r="Y151" i="14" s="1"/>
  <c r="Z151" i="14" s="1"/>
  <c r="U151" i="14"/>
  <c r="V151" i="14" s="1"/>
  <c r="W151" i="14" s="1"/>
  <c r="T151" i="14"/>
  <c r="Q151" i="14"/>
  <c r="O151" i="14"/>
  <c r="P151" i="14" s="1"/>
  <c r="AA150" i="14"/>
  <c r="AB150" i="14" s="1"/>
  <c r="X150" i="14"/>
  <c r="Y150" i="14" s="1"/>
  <c r="Z150" i="14" s="1"/>
  <c r="U150" i="14"/>
  <c r="V150" i="14" s="1"/>
  <c r="W150" i="14" s="1"/>
  <c r="T150" i="14"/>
  <c r="Q150" i="14"/>
  <c r="O150" i="14"/>
  <c r="P150" i="14" s="1"/>
  <c r="AA149" i="14"/>
  <c r="AB149" i="14" s="1"/>
  <c r="X149" i="14"/>
  <c r="Y149" i="14" s="1"/>
  <c r="Z149" i="14" s="1"/>
  <c r="U149" i="14"/>
  <c r="V149" i="14" s="1"/>
  <c r="W149" i="14" s="1"/>
  <c r="T149" i="14"/>
  <c r="Q149" i="14"/>
  <c r="O149" i="14"/>
  <c r="P149" i="14" s="1"/>
  <c r="AA148" i="14"/>
  <c r="AB148" i="14" s="1"/>
  <c r="X148" i="14"/>
  <c r="Y148" i="14" s="1"/>
  <c r="Z148" i="14" s="1"/>
  <c r="U148" i="14"/>
  <c r="V148" i="14" s="1"/>
  <c r="W148" i="14" s="1"/>
  <c r="T148" i="14"/>
  <c r="Q148" i="14"/>
  <c r="O148" i="14"/>
  <c r="P148" i="14" s="1"/>
  <c r="AA147" i="14"/>
  <c r="AB147" i="14" s="1"/>
  <c r="X147" i="14"/>
  <c r="Y147" i="14" s="1"/>
  <c r="Z147" i="14" s="1"/>
  <c r="U147" i="14"/>
  <c r="V147" i="14" s="1"/>
  <c r="W147" i="14" s="1"/>
  <c r="T147" i="14"/>
  <c r="Q147" i="14"/>
  <c r="O147" i="14"/>
  <c r="P147" i="14" s="1"/>
  <c r="AA146" i="14"/>
  <c r="AB146" i="14" s="1"/>
  <c r="X146" i="14"/>
  <c r="Y146" i="14" s="1"/>
  <c r="Z146" i="14" s="1"/>
  <c r="U146" i="14"/>
  <c r="V146" i="14" s="1"/>
  <c r="W146" i="14" s="1"/>
  <c r="T146" i="14"/>
  <c r="Q146" i="14"/>
  <c r="O146" i="14"/>
  <c r="P146" i="14" s="1"/>
  <c r="AA145" i="14"/>
  <c r="AB145" i="14" s="1"/>
  <c r="X145" i="14"/>
  <c r="Y145" i="14" s="1"/>
  <c r="Z145" i="14" s="1"/>
  <c r="U145" i="14"/>
  <c r="V145" i="14" s="1"/>
  <c r="W145" i="14" s="1"/>
  <c r="T145" i="14"/>
  <c r="Q145" i="14"/>
  <c r="O145" i="14"/>
  <c r="P145" i="14" s="1"/>
  <c r="AA144" i="14"/>
  <c r="AB144" i="14" s="1"/>
  <c r="X144" i="14"/>
  <c r="Y144" i="14" s="1"/>
  <c r="Z144" i="14" s="1"/>
  <c r="U144" i="14"/>
  <c r="V144" i="14" s="1"/>
  <c r="W144" i="14" s="1"/>
  <c r="T144" i="14"/>
  <c r="Q144" i="14"/>
  <c r="O144" i="14"/>
  <c r="P144" i="14" s="1"/>
  <c r="AA143" i="14"/>
  <c r="AB143" i="14" s="1"/>
  <c r="X143" i="14"/>
  <c r="Y143" i="14" s="1"/>
  <c r="Z143" i="14" s="1"/>
  <c r="U143" i="14"/>
  <c r="V143" i="14" s="1"/>
  <c r="W143" i="14" s="1"/>
  <c r="T143" i="14"/>
  <c r="Q143" i="14"/>
  <c r="O143" i="14"/>
  <c r="P143" i="14" s="1"/>
  <c r="AA142" i="14"/>
  <c r="AB142" i="14" s="1"/>
  <c r="X142" i="14"/>
  <c r="Y142" i="14" s="1"/>
  <c r="Z142" i="14" s="1"/>
  <c r="U142" i="14"/>
  <c r="V142" i="14" s="1"/>
  <c r="W142" i="14" s="1"/>
  <c r="T142" i="14"/>
  <c r="Q142" i="14"/>
  <c r="O142" i="14"/>
  <c r="P142" i="14" s="1"/>
  <c r="AA141" i="14"/>
  <c r="AB141" i="14" s="1"/>
  <c r="X141" i="14"/>
  <c r="Y141" i="14" s="1"/>
  <c r="Z141" i="14" s="1"/>
  <c r="U141" i="14"/>
  <c r="V141" i="14" s="1"/>
  <c r="W141" i="14" s="1"/>
  <c r="T141" i="14"/>
  <c r="Q141" i="14"/>
  <c r="O141" i="14"/>
  <c r="P141" i="14" s="1"/>
  <c r="AA140" i="14"/>
  <c r="AB140" i="14" s="1"/>
  <c r="X140" i="14"/>
  <c r="Y140" i="14" s="1"/>
  <c r="Z140" i="14" s="1"/>
  <c r="U140" i="14"/>
  <c r="V140" i="14" s="1"/>
  <c r="W140" i="14" s="1"/>
  <c r="T140" i="14"/>
  <c r="Q140" i="14"/>
  <c r="O140" i="14"/>
  <c r="P140" i="14" s="1"/>
  <c r="AA139" i="14"/>
  <c r="AB139" i="14" s="1"/>
  <c r="X139" i="14"/>
  <c r="Y139" i="14" s="1"/>
  <c r="Z139" i="14" s="1"/>
  <c r="U139" i="14"/>
  <c r="V139" i="14" s="1"/>
  <c r="W139" i="14" s="1"/>
  <c r="T139" i="14"/>
  <c r="Q139" i="14"/>
  <c r="E139" i="14"/>
  <c r="D139" i="14"/>
  <c r="C139" i="14"/>
  <c r="O139" i="14" s="1"/>
  <c r="P139" i="14" s="1"/>
  <c r="AA138" i="14"/>
  <c r="AB138" i="14" s="1"/>
  <c r="X138" i="14"/>
  <c r="Y138" i="14" s="1"/>
  <c r="Z138" i="14" s="1"/>
  <c r="U138" i="14"/>
  <c r="V138" i="14" s="1"/>
  <c r="W138" i="14" s="1"/>
  <c r="T138" i="14"/>
  <c r="Q138" i="14"/>
  <c r="O138" i="14"/>
  <c r="P138" i="14" s="1"/>
  <c r="AA137" i="14"/>
  <c r="AB137" i="14" s="1"/>
  <c r="X137" i="14"/>
  <c r="Y137" i="14" s="1"/>
  <c r="Z137" i="14" s="1"/>
  <c r="U137" i="14"/>
  <c r="V137" i="14" s="1"/>
  <c r="W137" i="14" s="1"/>
  <c r="T137" i="14"/>
  <c r="Q137" i="14"/>
  <c r="O137" i="14"/>
  <c r="P137" i="14" s="1"/>
  <c r="AA136" i="14"/>
  <c r="AB136" i="14" s="1"/>
  <c r="X136" i="14"/>
  <c r="Y136" i="14" s="1"/>
  <c r="Z136" i="14" s="1"/>
  <c r="U136" i="14"/>
  <c r="V136" i="14" s="1"/>
  <c r="W136" i="14" s="1"/>
  <c r="T136" i="14"/>
  <c r="Q136" i="14"/>
  <c r="O136" i="14"/>
  <c r="P136" i="14" s="1"/>
  <c r="AA135" i="14"/>
  <c r="AB135" i="14" s="1"/>
  <c r="X135" i="14"/>
  <c r="Y135" i="14" s="1"/>
  <c r="Z135" i="14" s="1"/>
  <c r="U135" i="14"/>
  <c r="V135" i="14" s="1"/>
  <c r="W135" i="14" s="1"/>
  <c r="T135" i="14"/>
  <c r="Q135" i="14"/>
  <c r="O135" i="14"/>
  <c r="P135" i="14" s="1"/>
  <c r="AA134" i="14"/>
  <c r="AB134" i="14" s="1"/>
  <c r="X134" i="14"/>
  <c r="Y134" i="14" s="1"/>
  <c r="Z134" i="14" s="1"/>
  <c r="U134" i="14"/>
  <c r="V134" i="14" s="1"/>
  <c r="W134" i="14" s="1"/>
  <c r="T134" i="14"/>
  <c r="Q134" i="14"/>
  <c r="O134" i="14"/>
  <c r="P134" i="14" s="1"/>
  <c r="AA133" i="14"/>
  <c r="AB133" i="14" s="1"/>
  <c r="X133" i="14"/>
  <c r="Y133" i="14" s="1"/>
  <c r="Z133" i="14" s="1"/>
  <c r="U133" i="14"/>
  <c r="V133" i="14" s="1"/>
  <c r="W133" i="14" s="1"/>
  <c r="T133" i="14"/>
  <c r="Q133" i="14"/>
  <c r="O133" i="14"/>
  <c r="P133" i="14" s="1"/>
  <c r="AA132" i="14"/>
  <c r="AB132" i="14" s="1"/>
  <c r="X132" i="14"/>
  <c r="Y132" i="14" s="1"/>
  <c r="Z132" i="14" s="1"/>
  <c r="U132" i="14"/>
  <c r="V132" i="14" s="1"/>
  <c r="W132" i="14" s="1"/>
  <c r="T132" i="14"/>
  <c r="Q132" i="14"/>
  <c r="O132" i="14"/>
  <c r="P132" i="14" s="1"/>
  <c r="AA131" i="14"/>
  <c r="AB131" i="14" s="1"/>
  <c r="X131" i="14"/>
  <c r="Y131" i="14" s="1"/>
  <c r="Z131" i="14" s="1"/>
  <c r="U131" i="14"/>
  <c r="V131" i="14" s="1"/>
  <c r="W131" i="14" s="1"/>
  <c r="T131" i="14"/>
  <c r="Q131" i="14"/>
  <c r="O131" i="14"/>
  <c r="P131" i="14" s="1"/>
  <c r="AA130" i="14"/>
  <c r="AB130" i="14" s="1"/>
  <c r="X130" i="14"/>
  <c r="Y130" i="14" s="1"/>
  <c r="Z130" i="14" s="1"/>
  <c r="U130" i="14"/>
  <c r="V130" i="14" s="1"/>
  <c r="W130" i="14" s="1"/>
  <c r="T130" i="14"/>
  <c r="Q130" i="14"/>
  <c r="O130" i="14"/>
  <c r="P130" i="14" s="1"/>
  <c r="AA129" i="14"/>
  <c r="AB129" i="14" s="1"/>
  <c r="X129" i="14"/>
  <c r="Y129" i="14" s="1"/>
  <c r="Z129" i="14" s="1"/>
  <c r="U129" i="14"/>
  <c r="V129" i="14" s="1"/>
  <c r="W129" i="14" s="1"/>
  <c r="T129" i="14"/>
  <c r="Q129" i="14"/>
  <c r="O129" i="14"/>
  <c r="P129" i="14" s="1"/>
  <c r="AA128" i="14"/>
  <c r="AB128" i="14" s="1"/>
  <c r="X128" i="14"/>
  <c r="Y128" i="14" s="1"/>
  <c r="Z128" i="14" s="1"/>
  <c r="U128" i="14"/>
  <c r="V128" i="14" s="1"/>
  <c r="W128" i="14" s="1"/>
  <c r="T128" i="14"/>
  <c r="Q128" i="14"/>
  <c r="O128" i="14"/>
  <c r="P128" i="14" s="1"/>
  <c r="AA127" i="14"/>
  <c r="AB127" i="14" s="1"/>
  <c r="X127" i="14"/>
  <c r="Y127" i="14" s="1"/>
  <c r="Z127" i="14" s="1"/>
  <c r="U127" i="14"/>
  <c r="V127" i="14" s="1"/>
  <c r="W127" i="14" s="1"/>
  <c r="T127" i="14"/>
  <c r="Q127" i="14"/>
  <c r="O127" i="14"/>
  <c r="P127" i="14" s="1"/>
  <c r="AA126" i="14"/>
  <c r="AB126" i="14" s="1"/>
  <c r="X126" i="14"/>
  <c r="Y126" i="14" s="1"/>
  <c r="Z126" i="14" s="1"/>
  <c r="U126" i="14"/>
  <c r="V126" i="14" s="1"/>
  <c r="W126" i="14" s="1"/>
  <c r="T126" i="14"/>
  <c r="Q126" i="14"/>
  <c r="O126" i="14"/>
  <c r="P126" i="14" s="1"/>
  <c r="AA125" i="14"/>
  <c r="AB125" i="14" s="1"/>
  <c r="X125" i="14"/>
  <c r="Y125" i="14" s="1"/>
  <c r="Z125" i="14" s="1"/>
  <c r="U125" i="14"/>
  <c r="V125" i="14" s="1"/>
  <c r="W125" i="14" s="1"/>
  <c r="T125" i="14"/>
  <c r="Q125" i="14"/>
  <c r="O125" i="14"/>
  <c r="P125" i="14" s="1"/>
  <c r="AA124" i="14"/>
  <c r="AB124" i="14" s="1"/>
  <c r="X124" i="14"/>
  <c r="Y124" i="14" s="1"/>
  <c r="Z124" i="14" s="1"/>
  <c r="U124" i="14"/>
  <c r="V124" i="14" s="1"/>
  <c r="W124" i="14" s="1"/>
  <c r="T124" i="14"/>
  <c r="Q124" i="14"/>
  <c r="O124" i="14"/>
  <c r="P124" i="14" s="1"/>
  <c r="AA123" i="14"/>
  <c r="AB123" i="14" s="1"/>
  <c r="X123" i="14"/>
  <c r="Y123" i="14" s="1"/>
  <c r="Z123" i="14" s="1"/>
  <c r="U123" i="14"/>
  <c r="V123" i="14" s="1"/>
  <c r="W123" i="14" s="1"/>
  <c r="T123" i="14"/>
  <c r="Q123" i="14"/>
  <c r="O123" i="14"/>
  <c r="P123" i="14" s="1"/>
  <c r="AA122" i="14"/>
  <c r="AB122" i="14" s="1"/>
  <c r="X122" i="14"/>
  <c r="Y122" i="14" s="1"/>
  <c r="Z122" i="14" s="1"/>
  <c r="U122" i="14"/>
  <c r="V122" i="14" s="1"/>
  <c r="W122" i="14" s="1"/>
  <c r="T122" i="14"/>
  <c r="Q122" i="14"/>
  <c r="O122" i="14"/>
  <c r="P122" i="14" s="1"/>
  <c r="AA121" i="14"/>
  <c r="AB121" i="14" s="1"/>
  <c r="X121" i="14"/>
  <c r="Y121" i="14" s="1"/>
  <c r="Z121" i="14" s="1"/>
  <c r="U121" i="14"/>
  <c r="V121" i="14" s="1"/>
  <c r="W121" i="14" s="1"/>
  <c r="T121" i="14"/>
  <c r="Q121" i="14"/>
  <c r="O121" i="14"/>
  <c r="P121" i="14" s="1"/>
  <c r="AA120" i="14"/>
  <c r="AB120" i="14" s="1"/>
  <c r="X120" i="14"/>
  <c r="Y120" i="14" s="1"/>
  <c r="Z120" i="14" s="1"/>
  <c r="U120" i="14"/>
  <c r="V120" i="14" s="1"/>
  <c r="W120" i="14" s="1"/>
  <c r="T120" i="14"/>
  <c r="Q120" i="14"/>
  <c r="O120" i="14"/>
  <c r="P120" i="14" s="1"/>
  <c r="AA119" i="14"/>
  <c r="AB119" i="14" s="1"/>
  <c r="X119" i="14"/>
  <c r="Y119" i="14" s="1"/>
  <c r="Z119" i="14" s="1"/>
  <c r="U119" i="14"/>
  <c r="V119" i="14" s="1"/>
  <c r="W119" i="14" s="1"/>
  <c r="T119" i="14"/>
  <c r="Q119" i="14"/>
  <c r="O119" i="14"/>
  <c r="P119" i="14" s="1"/>
  <c r="AA118" i="14"/>
  <c r="AB118" i="14" s="1"/>
  <c r="X118" i="14"/>
  <c r="Y118" i="14" s="1"/>
  <c r="Z118" i="14" s="1"/>
  <c r="U118" i="14"/>
  <c r="V118" i="14" s="1"/>
  <c r="W118" i="14" s="1"/>
  <c r="T118" i="14"/>
  <c r="Q118" i="14"/>
  <c r="O118" i="14"/>
  <c r="P118" i="14" s="1"/>
  <c r="AA117" i="14"/>
  <c r="AB117" i="14" s="1"/>
  <c r="X117" i="14"/>
  <c r="Y117" i="14" s="1"/>
  <c r="Z117" i="14" s="1"/>
  <c r="U117" i="14"/>
  <c r="V117" i="14" s="1"/>
  <c r="W117" i="14" s="1"/>
  <c r="T117" i="14"/>
  <c r="Q117" i="14"/>
  <c r="O117" i="14"/>
  <c r="P117" i="14" s="1"/>
  <c r="AA116" i="14"/>
  <c r="AB116" i="14" s="1"/>
  <c r="X116" i="14"/>
  <c r="Y116" i="14" s="1"/>
  <c r="Z116" i="14" s="1"/>
  <c r="U116" i="14"/>
  <c r="V116" i="14" s="1"/>
  <c r="W116" i="14" s="1"/>
  <c r="T116" i="14"/>
  <c r="Q116" i="14"/>
  <c r="O116" i="14"/>
  <c r="P116" i="14" s="1"/>
  <c r="AA115" i="14"/>
  <c r="AB115" i="14" s="1"/>
  <c r="X115" i="14"/>
  <c r="Y115" i="14" s="1"/>
  <c r="Z115" i="14" s="1"/>
  <c r="U115" i="14"/>
  <c r="V115" i="14" s="1"/>
  <c r="W115" i="14" s="1"/>
  <c r="T115" i="14"/>
  <c r="Q115" i="14"/>
  <c r="O115" i="14"/>
  <c r="P115" i="14" s="1"/>
  <c r="AA114" i="14"/>
  <c r="AB114" i="14" s="1"/>
  <c r="X114" i="14"/>
  <c r="Y114" i="14" s="1"/>
  <c r="Z114" i="14" s="1"/>
  <c r="U114" i="14"/>
  <c r="V114" i="14" s="1"/>
  <c r="W114" i="14" s="1"/>
  <c r="T114" i="14"/>
  <c r="Q114" i="14"/>
  <c r="O114" i="14"/>
  <c r="P114" i="14" s="1"/>
  <c r="AA113" i="14"/>
  <c r="AB113" i="14" s="1"/>
  <c r="X113" i="14"/>
  <c r="Y113" i="14" s="1"/>
  <c r="Z113" i="14" s="1"/>
  <c r="U113" i="14"/>
  <c r="V113" i="14" s="1"/>
  <c r="W113" i="14" s="1"/>
  <c r="T113" i="14"/>
  <c r="Q113" i="14"/>
  <c r="O113" i="14"/>
  <c r="P113" i="14" s="1"/>
  <c r="AA112" i="14"/>
  <c r="AB112" i="14" s="1"/>
  <c r="X112" i="14"/>
  <c r="Y112" i="14" s="1"/>
  <c r="Z112" i="14" s="1"/>
  <c r="U112" i="14"/>
  <c r="V112" i="14" s="1"/>
  <c r="W112" i="14" s="1"/>
  <c r="T112" i="14"/>
  <c r="Q112" i="14"/>
  <c r="O112" i="14"/>
  <c r="P112" i="14" s="1"/>
  <c r="AA111" i="14"/>
  <c r="AB111" i="14" s="1"/>
  <c r="X111" i="14"/>
  <c r="Y111" i="14" s="1"/>
  <c r="Z111" i="14" s="1"/>
  <c r="U111" i="14"/>
  <c r="V111" i="14" s="1"/>
  <c r="W111" i="14" s="1"/>
  <c r="T111" i="14"/>
  <c r="Q111" i="14"/>
  <c r="O111" i="14"/>
  <c r="P111" i="14" s="1"/>
  <c r="AA110" i="14"/>
  <c r="AB110" i="14" s="1"/>
  <c r="X110" i="14"/>
  <c r="Y110" i="14" s="1"/>
  <c r="Z110" i="14" s="1"/>
  <c r="U110" i="14"/>
  <c r="V110" i="14" s="1"/>
  <c r="W110" i="14" s="1"/>
  <c r="T110" i="14"/>
  <c r="Q110" i="14"/>
  <c r="O110" i="14"/>
  <c r="P110" i="14" s="1"/>
  <c r="AA109" i="14"/>
  <c r="AB109" i="14" s="1"/>
  <c r="X109" i="14"/>
  <c r="Y109" i="14" s="1"/>
  <c r="Z109" i="14" s="1"/>
  <c r="U109" i="14"/>
  <c r="V109" i="14" s="1"/>
  <c r="W109" i="14" s="1"/>
  <c r="T109" i="14"/>
  <c r="Q109" i="14"/>
  <c r="O109" i="14"/>
  <c r="P109" i="14" s="1"/>
  <c r="AA108" i="14"/>
  <c r="AB108" i="14" s="1"/>
  <c r="X108" i="14"/>
  <c r="Y108" i="14" s="1"/>
  <c r="Z108" i="14" s="1"/>
  <c r="U108" i="14"/>
  <c r="V108" i="14" s="1"/>
  <c r="W108" i="14" s="1"/>
  <c r="T108" i="14"/>
  <c r="Q108" i="14"/>
  <c r="O108" i="14"/>
  <c r="P108" i="14" s="1"/>
  <c r="AA107" i="14"/>
  <c r="AB107" i="14" s="1"/>
  <c r="X107" i="14"/>
  <c r="Y107" i="14" s="1"/>
  <c r="Z107" i="14" s="1"/>
  <c r="U107" i="14"/>
  <c r="V107" i="14" s="1"/>
  <c r="W107" i="14" s="1"/>
  <c r="T107" i="14"/>
  <c r="Q107" i="14"/>
  <c r="O107" i="14"/>
  <c r="P107" i="14" s="1"/>
  <c r="AA106" i="14"/>
  <c r="AB106" i="14" s="1"/>
  <c r="X106" i="14"/>
  <c r="Y106" i="14" s="1"/>
  <c r="Z106" i="14" s="1"/>
  <c r="U106" i="14"/>
  <c r="V106" i="14" s="1"/>
  <c r="W106" i="14" s="1"/>
  <c r="T106" i="14"/>
  <c r="Q106" i="14"/>
  <c r="O106" i="14"/>
  <c r="P106" i="14" s="1"/>
  <c r="AA105" i="14"/>
  <c r="AB105" i="14" s="1"/>
  <c r="X105" i="14"/>
  <c r="Y105" i="14" s="1"/>
  <c r="Z105" i="14" s="1"/>
  <c r="U105" i="14"/>
  <c r="V105" i="14" s="1"/>
  <c r="W105" i="14" s="1"/>
  <c r="T105" i="14"/>
  <c r="Q105" i="14"/>
  <c r="O105" i="14"/>
  <c r="P105" i="14" s="1"/>
  <c r="AA104" i="14"/>
  <c r="AB104" i="14" s="1"/>
  <c r="X104" i="14"/>
  <c r="Y104" i="14" s="1"/>
  <c r="Z104" i="14" s="1"/>
  <c r="U104" i="14"/>
  <c r="V104" i="14" s="1"/>
  <c r="W104" i="14" s="1"/>
  <c r="T104" i="14"/>
  <c r="Q104" i="14"/>
  <c r="O104" i="14"/>
  <c r="P104" i="14" s="1"/>
  <c r="AA103" i="14"/>
  <c r="AB103" i="14" s="1"/>
  <c r="X103" i="14"/>
  <c r="Y103" i="14" s="1"/>
  <c r="Z103" i="14" s="1"/>
  <c r="U103" i="14"/>
  <c r="V103" i="14" s="1"/>
  <c r="W103" i="14" s="1"/>
  <c r="T103" i="14"/>
  <c r="Q103" i="14"/>
  <c r="O103" i="14"/>
  <c r="P103" i="14" s="1"/>
  <c r="AA102" i="14"/>
  <c r="AB102" i="14" s="1"/>
  <c r="X102" i="14"/>
  <c r="Y102" i="14" s="1"/>
  <c r="Z102" i="14" s="1"/>
  <c r="U102" i="14"/>
  <c r="V102" i="14" s="1"/>
  <c r="W102" i="14" s="1"/>
  <c r="T102" i="14"/>
  <c r="Q102" i="14"/>
  <c r="O102" i="14"/>
  <c r="P102" i="14" s="1"/>
  <c r="AA101" i="14"/>
  <c r="AB101" i="14" s="1"/>
  <c r="X101" i="14"/>
  <c r="Y101" i="14" s="1"/>
  <c r="Z101" i="14" s="1"/>
  <c r="U101" i="14"/>
  <c r="V101" i="14" s="1"/>
  <c r="W101" i="14" s="1"/>
  <c r="T101" i="14"/>
  <c r="Q101" i="14"/>
  <c r="O101" i="14"/>
  <c r="P101" i="14" s="1"/>
  <c r="AA100" i="14"/>
  <c r="AB100" i="14" s="1"/>
  <c r="X100" i="14"/>
  <c r="Y100" i="14" s="1"/>
  <c r="Z100" i="14" s="1"/>
  <c r="U100" i="14"/>
  <c r="V100" i="14" s="1"/>
  <c r="W100" i="14" s="1"/>
  <c r="T100" i="14"/>
  <c r="Q100" i="14"/>
  <c r="O100" i="14"/>
  <c r="P100" i="14" s="1"/>
  <c r="AA99" i="14"/>
  <c r="AB99" i="14" s="1"/>
  <c r="X99" i="14"/>
  <c r="Y99" i="14" s="1"/>
  <c r="Z99" i="14" s="1"/>
  <c r="U99" i="14"/>
  <c r="V99" i="14" s="1"/>
  <c r="W99" i="14" s="1"/>
  <c r="T99" i="14"/>
  <c r="Q99" i="14"/>
  <c r="O99" i="14"/>
  <c r="P99" i="14" s="1"/>
  <c r="AA98" i="14"/>
  <c r="AB98" i="14" s="1"/>
  <c r="X98" i="14"/>
  <c r="Y98" i="14" s="1"/>
  <c r="Z98" i="14" s="1"/>
  <c r="U98" i="14"/>
  <c r="V98" i="14" s="1"/>
  <c r="W98" i="14" s="1"/>
  <c r="T98" i="14"/>
  <c r="Q98" i="14"/>
  <c r="O98" i="14"/>
  <c r="P98" i="14" s="1"/>
  <c r="AA97" i="14"/>
  <c r="AB97" i="14" s="1"/>
  <c r="X97" i="14"/>
  <c r="Y97" i="14" s="1"/>
  <c r="Z97" i="14" s="1"/>
  <c r="U97" i="14"/>
  <c r="V97" i="14" s="1"/>
  <c r="W97" i="14" s="1"/>
  <c r="T97" i="14"/>
  <c r="Q97" i="14"/>
  <c r="O97" i="14"/>
  <c r="P97" i="14" s="1"/>
  <c r="AA96" i="14"/>
  <c r="AB96" i="14" s="1"/>
  <c r="X96" i="14"/>
  <c r="Y96" i="14" s="1"/>
  <c r="Z96" i="14" s="1"/>
  <c r="U96" i="14"/>
  <c r="V96" i="14" s="1"/>
  <c r="W96" i="14" s="1"/>
  <c r="T96" i="14"/>
  <c r="Q96" i="14"/>
  <c r="O96" i="14"/>
  <c r="P96" i="14" s="1"/>
  <c r="AA95" i="14"/>
  <c r="AB95" i="14" s="1"/>
  <c r="X95" i="14"/>
  <c r="Y95" i="14" s="1"/>
  <c r="Z95" i="14" s="1"/>
  <c r="U95" i="14"/>
  <c r="V95" i="14" s="1"/>
  <c r="W95" i="14" s="1"/>
  <c r="T95" i="14"/>
  <c r="Q95" i="14"/>
  <c r="O95" i="14"/>
  <c r="P95" i="14" s="1"/>
  <c r="AA94" i="14"/>
  <c r="AB94" i="14" s="1"/>
  <c r="X94" i="14"/>
  <c r="Y94" i="14" s="1"/>
  <c r="Z94" i="14" s="1"/>
  <c r="U94" i="14"/>
  <c r="V94" i="14" s="1"/>
  <c r="W94" i="14" s="1"/>
  <c r="T94" i="14"/>
  <c r="Q94" i="14"/>
  <c r="O94" i="14"/>
  <c r="P94" i="14" s="1"/>
  <c r="AA93" i="14"/>
  <c r="AB93" i="14" s="1"/>
  <c r="X93" i="14"/>
  <c r="Y93" i="14" s="1"/>
  <c r="Z93" i="14" s="1"/>
  <c r="U93" i="14"/>
  <c r="V93" i="14" s="1"/>
  <c r="W93" i="14" s="1"/>
  <c r="T93" i="14"/>
  <c r="Q93" i="14"/>
  <c r="O93" i="14"/>
  <c r="P93" i="14" s="1"/>
  <c r="AA92" i="14"/>
  <c r="AB92" i="14" s="1"/>
  <c r="X92" i="14"/>
  <c r="Y92" i="14" s="1"/>
  <c r="Z92" i="14" s="1"/>
  <c r="U92" i="14"/>
  <c r="V92" i="14" s="1"/>
  <c r="W92" i="14" s="1"/>
  <c r="T92" i="14"/>
  <c r="Q92" i="14"/>
  <c r="O92" i="14"/>
  <c r="P92" i="14" s="1"/>
  <c r="AA91" i="14"/>
  <c r="AB91" i="14" s="1"/>
  <c r="X91" i="14"/>
  <c r="Y91" i="14" s="1"/>
  <c r="Z91" i="14" s="1"/>
  <c r="U91" i="14"/>
  <c r="V91" i="14" s="1"/>
  <c r="W91" i="14" s="1"/>
  <c r="T91" i="14"/>
  <c r="Q91" i="14"/>
  <c r="O91" i="14"/>
  <c r="P91" i="14" s="1"/>
  <c r="AA90" i="14"/>
  <c r="AB90" i="14" s="1"/>
  <c r="X90" i="14"/>
  <c r="Y90" i="14" s="1"/>
  <c r="Z90" i="14" s="1"/>
  <c r="U90" i="14"/>
  <c r="V90" i="14" s="1"/>
  <c r="W90" i="14" s="1"/>
  <c r="T90" i="14"/>
  <c r="Q90" i="14"/>
  <c r="O90" i="14"/>
  <c r="P90" i="14" s="1"/>
  <c r="AA89" i="14"/>
  <c r="AB89" i="14" s="1"/>
  <c r="X89" i="14"/>
  <c r="Y89" i="14" s="1"/>
  <c r="Z89" i="14" s="1"/>
  <c r="U89" i="14"/>
  <c r="V89" i="14" s="1"/>
  <c r="W89" i="14" s="1"/>
  <c r="T89" i="14"/>
  <c r="Q89" i="14"/>
  <c r="O89" i="14"/>
  <c r="P89" i="14" s="1"/>
  <c r="AA88" i="14"/>
  <c r="AB88" i="14" s="1"/>
  <c r="X88" i="14"/>
  <c r="Y88" i="14" s="1"/>
  <c r="Z88" i="14" s="1"/>
  <c r="U88" i="14"/>
  <c r="V88" i="14" s="1"/>
  <c r="W88" i="14" s="1"/>
  <c r="T88" i="14"/>
  <c r="Q88" i="14"/>
  <c r="O88" i="14"/>
  <c r="P88" i="14" s="1"/>
  <c r="AA87" i="14"/>
  <c r="AB87" i="14" s="1"/>
  <c r="X87" i="14"/>
  <c r="Y87" i="14" s="1"/>
  <c r="Z87" i="14" s="1"/>
  <c r="U87" i="14"/>
  <c r="V87" i="14" s="1"/>
  <c r="W87" i="14" s="1"/>
  <c r="T87" i="14"/>
  <c r="Q87" i="14"/>
  <c r="O87" i="14"/>
  <c r="P87" i="14" s="1"/>
  <c r="AA86" i="14"/>
  <c r="AB86" i="14" s="1"/>
  <c r="X86" i="14"/>
  <c r="Y86" i="14" s="1"/>
  <c r="Z86" i="14" s="1"/>
  <c r="U86" i="14"/>
  <c r="V86" i="14" s="1"/>
  <c r="W86" i="14" s="1"/>
  <c r="T86" i="14"/>
  <c r="Q86" i="14"/>
  <c r="O86" i="14"/>
  <c r="P86" i="14" s="1"/>
  <c r="AA85" i="14"/>
  <c r="AB85" i="14" s="1"/>
  <c r="X85" i="14"/>
  <c r="Y85" i="14" s="1"/>
  <c r="Z85" i="14" s="1"/>
  <c r="U85" i="14"/>
  <c r="V85" i="14" s="1"/>
  <c r="W85" i="14" s="1"/>
  <c r="T85" i="14"/>
  <c r="Q85" i="14"/>
  <c r="O85" i="14"/>
  <c r="P85" i="14" s="1"/>
  <c r="AA84" i="14"/>
  <c r="AB84" i="14" s="1"/>
  <c r="X84" i="14"/>
  <c r="Y84" i="14" s="1"/>
  <c r="Z84" i="14" s="1"/>
  <c r="U84" i="14"/>
  <c r="V84" i="14" s="1"/>
  <c r="W84" i="14" s="1"/>
  <c r="T84" i="14"/>
  <c r="Q84" i="14"/>
  <c r="O84" i="14"/>
  <c r="P84" i="14" s="1"/>
  <c r="AD83" i="14"/>
  <c r="AA83" i="14"/>
  <c r="AB83" i="14" s="1"/>
  <c r="AC83" i="14" s="1"/>
  <c r="X83" i="14"/>
  <c r="Y83" i="14" s="1"/>
  <c r="Z83" i="14" s="1"/>
  <c r="U83" i="14"/>
  <c r="V83" i="14" s="1"/>
  <c r="W83" i="14" s="1"/>
  <c r="T83" i="14"/>
  <c r="Q83" i="14"/>
  <c r="O83" i="14"/>
  <c r="P83" i="14" s="1"/>
  <c r="AA82" i="14"/>
  <c r="AB82" i="14" s="1"/>
  <c r="X82" i="14"/>
  <c r="Y82" i="14" s="1"/>
  <c r="Z82" i="14" s="1"/>
  <c r="U82" i="14"/>
  <c r="V82" i="14" s="1"/>
  <c r="W82" i="14" s="1"/>
  <c r="T82" i="14"/>
  <c r="Q82" i="14"/>
  <c r="O82" i="14"/>
  <c r="P82" i="14" s="1"/>
  <c r="AA81" i="14"/>
  <c r="AB81" i="14" s="1"/>
  <c r="X81" i="14"/>
  <c r="Y81" i="14" s="1"/>
  <c r="Z81" i="14" s="1"/>
  <c r="U81" i="14"/>
  <c r="V81" i="14" s="1"/>
  <c r="W81" i="14" s="1"/>
  <c r="T81" i="14"/>
  <c r="Q81" i="14"/>
  <c r="O81" i="14"/>
  <c r="P81" i="14" s="1"/>
  <c r="AA80" i="14"/>
  <c r="AB80" i="14" s="1"/>
  <c r="X80" i="14"/>
  <c r="Y80" i="14" s="1"/>
  <c r="Z80" i="14" s="1"/>
  <c r="U80" i="14"/>
  <c r="V80" i="14" s="1"/>
  <c r="W80" i="14" s="1"/>
  <c r="T80" i="14"/>
  <c r="Q80" i="14"/>
  <c r="O80" i="14"/>
  <c r="P80" i="14" s="1"/>
  <c r="AA79" i="14"/>
  <c r="AB79" i="14" s="1"/>
  <c r="X79" i="14"/>
  <c r="Y79" i="14" s="1"/>
  <c r="Z79" i="14" s="1"/>
  <c r="U79" i="14"/>
  <c r="V79" i="14" s="1"/>
  <c r="W79" i="14" s="1"/>
  <c r="T79" i="14"/>
  <c r="Q79" i="14"/>
  <c r="O79" i="14"/>
  <c r="P79" i="14" s="1"/>
  <c r="AA78" i="14"/>
  <c r="AB78" i="14" s="1"/>
  <c r="X78" i="14"/>
  <c r="Y78" i="14" s="1"/>
  <c r="Z78" i="14" s="1"/>
  <c r="U78" i="14"/>
  <c r="V78" i="14" s="1"/>
  <c r="W78" i="14" s="1"/>
  <c r="T78" i="14"/>
  <c r="Q78" i="14"/>
  <c r="O78" i="14"/>
  <c r="P78" i="14" s="1"/>
  <c r="AA77" i="14"/>
  <c r="AB77" i="14" s="1"/>
  <c r="X77" i="14"/>
  <c r="Y77" i="14" s="1"/>
  <c r="Z77" i="14" s="1"/>
  <c r="U77" i="14"/>
  <c r="V77" i="14" s="1"/>
  <c r="W77" i="14" s="1"/>
  <c r="T77" i="14"/>
  <c r="Q77" i="14"/>
  <c r="O77" i="14"/>
  <c r="P77" i="14" s="1"/>
  <c r="AA76" i="14"/>
  <c r="AB76" i="14" s="1"/>
  <c r="X76" i="14"/>
  <c r="Y76" i="14" s="1"/>
  <c r="Z76" i="14" s="1"/>
  <c r="U76" i="14"/>
  <c r="V76" i="14" s="1"/>
  <c r="W76" i="14" s="1"/>
  <c r="T76" i="14"/>
  <c r="Q76" i="14"/>
  <c r="O76" i="14"/>
  <c r="P76" i="14" s="1"/>
  <c r="AD75" i="14"/>
  <c r="AA75" i="14"/>
  <c r="AB75" i="14" s="1"/>
  <c r="AC75" i="14" s="1"/>
  <c r="X75" i="14"/>
  <c r="Y75" i="14" s="1"/>
  <c r="Z75" i="14" s="1"/>
  <c r="U75" i="14"/>
  <c r="V75" i="14" s="1"/>
  <c r="W75" i="14" s="1"/>
  <c r="T75" i="14"/>
  <c r="Q75" i="14"/>
  <c r="O75" i="14"/>
  <c r="P75" i="14" s="1"/>
  <c r="AA74" i="14"/>
  <c r="AB74" i="14" s="1"/>
  <c r="X74" i="14"/>
  <c r="Y74" i="14" s="1"/>
  <c r="Z74" i="14" s="1"/>
  <c r="U74" i="14"/>
  <c r="V74" i="14" s="1"/>
  <c r="W74" i="14" s="1"/>
  <c r="T74" i="14"/>
  <c r="Q74" i="14"/>
  <c r="O74" i="14"/>
  <c r="P74" i="14" s="1"/>
  <c r="AA73" i="14"/>
  <c r="AB73" i="14" s="1"/>
  <c r="X73" i="14"/>
  <c r="Y73" i="14" s="1"/>
  <c r="Z73" i="14" s="1"/>
  <c r="U73" i="14"/>
  <c r="V73" i="14" s="1"/>
  <c r="W73" i="14" s="1"/>
  <c r="T73" i="14"/>
  <c r="Q73" i="14"/>
  <c r="O73" i="14"/>
  <c r="P73" i="14" s="1"/>
  <c r="AA72" i="14"/>
  <c r="AB72" i="14" s="1"/>
  <c r="X72" i="14"/>
  <c r="Y72" i="14" s="1"/>
  <c r="Z72" i="14" s="1"/>
  <c r="U72" i="14"/>
  <c r="V72" i="14" s="1"/>
  <c r="W72" i="14" s="1"/>
  <c r="T72" i="14"/>
  <c r="Q72" i="14"/>
  <c r="O72" i="14"/>
  <c r="P72" i="14" s="1"/>
  <c r="AA71" i="14"/>
  <c r="AB71" i="14" s="1"/>
  <c r="X71" i="14"/>
  <c r="Y71" i="14" s="1"/>
  <c r="Z71" i="14" s="1"/>
  <c r="U71" i="14"/>
  <c r="V71" i="14" s="1"/>
  <c r="W71" i="14" s="1"/>
  <c r="T71" i="14"/>
  <c r="Q71" i="14"/>
  <c r="O71" i="14"/>
  <c r="P71" i="14" s="1"/>
  <c r="AA70" i="14"/>
  <c r="AB70" i="14" s="1"/>
  <c r="X70" i="14"/>
  <c r="Y70" i="14" s="1"/>
  <c r="Z70" i="14" s="1"/>
  <c r="U70" i="14"/>
  <c r="V70" i="14" s="1"/>
  <c r="W70" i="14" s="1"/>
  <c r="T70" i="14"/>
  <c r="Q70" i="14"/>
  <c r="O70" i="14"/>
  <c r="P70" i="14" s="1"/>
  <c r="AA69" i="14"/>
  <c r="AB69" i="14" s="1"/>
  <c r="X69" i="14"/>
  <c r="Y69" i="14" s="1"/>
  <c r="Z69" i="14" s="1"/>
  <c r="U69" i="14"/>
  <c r="V69" i="14" s="1"/>
  <c r="W69" i="14" s="1"/>
  <c r="T69" i="14"/>
  <c r="Q69" i="14"/>
  <c r="O69" i="14"/>
  <c r="P69" i="14" s="1"/>
  <c r="AA68" i="14"/>
  <c r="AB68" i="14" s="1"/>
  <c r="X68" i="14"/>
  <c r="Y68" i="14" s="1"/>
  <c r="Z68" i="14" s="1"/>
  <c r="U68" i="14"/>
  <c r="V68" i="14" s="1"/>
  <c r="W68" i="14" s="1"/>
  <c r="T68" i="14"/>
  <c r="Q68" i="14"/>
  <c r="O68" i="14"/>
  <c r="P68" i="14" s="1"/>
  <c r="AA67" i="14"/>
  <c r="AB67" i="14" s="1"/>
  <c r="X67" i="14"/>
  <c r="Y67" i="14" s="1"/>
  <c r="Z67" i="14" s="1"/>
  <c r="U67" i="14"/>
  <c r="V67" i="14" s="1"/>
  <c r="W67" i="14" s="1"/>
  <c r="T67" i="14"/>
  <c r="Q67" i="14"/>
  <c r="O67" i="14"/>
  <c r="P67" i="14" s="1"/>
  <c r="AA66" i="14"/>
  <c r="AB66" i="14" s="1"/>
  <c r="X66" i="14"/>
  <c r="Y66" i="14" s="1"/>
  <c r="Z66" i="14" s="1"/>
  <c r="U66" i="14"/>
  <c r="V66" i="14" s="1"/>
  <c r="W66" i="14" s="1"/>
  <c r="T66" i="14"/>
  <c r="Q66" i="14"/>
  <c r="O66" i="14"/>
  <c r="P66" i="14" s="1"/>
  <c r="AA65" i="14"/>
  <c r="AB65" i="14" s="1"/>
  <c r="X65" i="14"/>
  <c r="Y65" i="14" s="1"/>
  <c r="Z65" i="14" s="1"/>
  <c r="U65" i="14"/>
  <c r="V65" i="14" s="1"/>
  <c r="W65" i="14" s="1"/>
  <c r="T65" i="14"/>
  <c r="Q65" i="14"/>
  <c r="O65" i="14"/>
  <c r="P65" i="14" s="1"/>
  <c r="AA64" i="14"/>
  <c r="AB64" i="14" s="1"/>
  <c r="X64" i="14"/>
  <c r="Y64" i="14" s="1"/>
  <c r="Z64" i="14" s="1"/>
  <c r="U64" i="14"/>
  <c r="V64" i="14" s="1"/>
  <c r="W64" i="14" s="1"/>
  <c r="T64" i="14"/>
  <c r="Q64" i="14"/>
  <c r="O64" i="14"/>
  <c r="P64" i="14" s="1"/>
  <c r="AD63" i="14"/>
  <c r="AA63" i="14"/>
  <c r="AB63" i="14" s="1"/>
  <c r="AC63" i="14" s="1"/>
  <c r="X63" i="14"/>
  <c r="Y63" i="14" s="1"/>
  <c r="Z63" i="14" s="1"/>
  <c r="U63" i="14"/>
  <c r="V63" i="14" s="1"/>
  <c r="W63" i="14" s="1"/>
  <c r="T63" i="14"/>
  <c r="Q63" i="14"/>
  <c r="O63" i="14"/>
  <c r="P63" i="14" s="1"/>
  <c r="AA62" i="14"/>
  <c r="AB62" i="14" s="1"/>
  <c r="X62" i="14"/>
  <c r="Y62" i="14" s="1"/>
  <c r="Z62" i="14" s="1"/>
  <c r="U62" i="14"/>
  <c r="V62" i="14" s="1"/>
  <c r="W62" i="14" s="1"/>
  <c r="T62" i="14"/>
  <c r="Q62" i="14"/>
  <c r="O62" i="14"/>
  <c r="P62" i="14" s="1"/>
  <c r="AA61" i="14"/>
  <c r="AB61" i="14" s="1"/>
  <c r="X61" i="14"/>
  <c r="Y61" i="14" s="1"/>
  <c r="Z61" i="14" s="1"/>
  <c r="U61" i="14"/>
  <c r="V61" i="14" s="1"/>
  <c r="W61" i="14" s="1"/>
  <c r="T61" i="14"/>
  <c r="Q61" i="14"/>
  <c r="O61" i="14"/>
  <c r="P61" i="14" s="1"/>
  <c r="AA60" i="14"/>
  <c r="AB60" i="14" s="1"/>
  <c r="X60" i="14"/>
  <c r="Y60" i="14" s="1"/>
  <c r="Z60" i="14" s="1"/>
  <c r="U60" i="14"/>
  <c r="V60" i="14" s="1"/>
  <c r="W60" i="14" s="1"/>
  <c r="T60" i="14"/>
  <c r="Q60" i="14"/>
  <c r="O60" i="14"/>
  <c r="P60" i="14" s="1"/>
  <c r="AA59" i="14"/>
  <c r="AB59" i="14" s="1"/>
  <c r="X59" i="14"/>
  <c r="Y59" i="14" s="1"/>
  <c r="Z59" i="14" s="1"/>
  <c r="U59" i="14"/>
  <c r="V59" i="14" s="1"/>
  <c r="W59" i="14" s="1"/>
  <c r="T59" i="14"/>
  <c r="Q59" i="14"/>
  <c r="O59" i="14"/>
  <c r="P59" i="14" s="1"/>
  <c r="AA58" i="14"/>
  <c r="AB58" i="14" s="1"/>
  <c r="X58" i="14"/>
  <c r="Y58" i="14" s="1"/>
  <c r="Z58" i="14" s="1"/>
  <c r="U58" i="14"/>
  <c r="V58" i="14" s="1"/>
  <c r="W58" i="14" s="1"/>
  <c r="T58" i="14"/>
  <c r="Q58" i="14"/>
  <c r="O58" i="14"/>
  <c r="P58" i="14" s="1"/>
  <c r="AA57" i="14"/>
  <c r="AB57" i="14" s="1"/>
  <c r="X57" i="14"/>
  <c r="Y57" i="14" s="1"/>
  <c r="Z57" i="14" s="1"/>
  <c r="U57" i="14"/>
  <c r="V57" i="14" s="1"/>
  <c r="W57" i="14" s="1"/>
  <c r="T57" i="14"/>
  <c r="Q57" i="14"/>
  <c r="O57" i="14"/>
  <c r="P57" i="14" s="1"/>
  <c r="AA56" i="14"/>
  <c r="AB56" i="14" s="1"/>
  <c r="X56" i="14"/>
  <c r="Y56" i="14" s="1"/>
  <c r="Z56" i="14" s="1"/>
  <c r="U56" i="14"/>
  <c r="V56" i="14" s="1"/>
  <c r="W56" i="14" s="1"/>
  <c r="T56" i="14"/>
  <c r="Q56" i="14"/>
  <c r="O56" i="14"/>
  <c r="P56" i="14" s="1"/>
  <c r="AA55" i="14"/>
  <c r="AB55" i="14" s="1"/>
  <c r="X55" i="14"/>
  <c r="Y55" i="14" s="1"/>
  <c r="Z55" i="14" s="1"/>
  <c r="U55" i="14"/>
  <c r="V55" i="14" s="1"/>
  <c r="W55" i="14" s="1"/>
  <c r="T55" i="14"/>
  <c r="Q55" i="14"/>
  <c r="O55" i="14"/>
  <c r="P55" i="14" s="1"/>
  <c r="AD54" i="14"/>
  <c r="AA54" i="14"/>
  <c r="AB54" i="14" s="1"/>
  <c r="AC54" i="14" s="1"/>
  <c r="X54" i="14"/>
  <c r="Y54" i="14" s="1"/>
  <c r="Z54" i="14" s="1"/>
  <c r="U54" i="14"/>
  <c r="V54" i="14" s="1"/>
  <c r="W54" i="14" s="1"/>
  <c r="T54" i="14"/>
  <c r="Q54" i="14"/>
  <c r="O54" i="14"/>
  <c r="P54" i="14" s="1"/>
  <c r="AA53" i="14"/>
  <c r="AB53" i="14" s="1"/>
  <c r="X53" i="14"/>
  <c r="Y53" i="14" s="1"/>
  <c r="Z53" i="14" s="1"/>
  <c r="U53" i="14"/>
  <c r="V53" i="14" s="1"/>
  <c r="W53" i="14" s="1"/>
  <c r="T53" i="14"/>
  <c r="Q53" i="14"/>
  <c r="O53" i="14"/>
  <c r="P53" i="14" s="1"/>
  <c r="AA52" i="14"/>
  <c r="AB52" i="14" s="1"/>
  <c r="X52" i="14"/>
  <c r="Y52" i="14" s="1"/>
  <c r="Z52" i="14" s="1"/>
  <c r="U52" i="14"/>
  <c r="V52" i="14" s="1"/>
  <c r="W52" i="14" s="1"/>
  <c r="T52" i="14"/>
  <c r="Q52" i="14"/>
  <c r="O52" i="14"/>
  <c r="P52" i="14" s="1"/>
  <c r="AA51" i="14"/>
  <c r="AB51" i="14" s="1"/>
  <c r="X51" i="14"/>
  <c r="Y51" i="14" s="1"/>
  <c r="Z51" i="14" s="1"/>
  <c r="U51" i="14"/>
  <c r="V51" i="14" s="1"/>
  <c r="W51" i="14" s="1"/>
  <c r="T51" i="14"/>
  <c r="Q51" i="14"/>
  <c r="O51" i="14"/>
  <c r="P51" i="14" s="1"/>
  <c r="AA50" i="14"/>
  <c r="AB50" i="14" s="1"/>
  <c r="X50" i="14"/>
  <c r="Y50" i="14" s="1"/>
  <c r="Z50" i="14" s="1"/>
  <c r="U50" i="14"/>
  <c r="V50" i="14" s="1"/>
  <c r="W50" i="14" s="1"/>
  <c r="T50" i="14"/>
  <c r="Q50" i="14"/>
  <c r="O50" i="14"/>
  <c r="P50" i="14" s="1"/>
  <c r="AA49" i="14"/>
  <c r="AB49" i="14" s="1"/>
  <c r="X49" i="14"/>
  <c r="Y49" i="14" s="1"/>
  <c r="Z49" i="14" s="1"/>
  <c r="U49" i="14"/>
  <c r="V49" i="14" s="1"/>
  <c r="W49" i="14" s="1"/>
  <c r="T49" i="14"/>
  <c r="Q49" i="14"/>
  <c r="O49" i="14"/>
  <c r="P49" i="14" s="1"/>
  <c r="AA48" i="14"/>
  <c r="AB48" i="14" s="1"/>
  <c r="X48" i="14"/>
  <c r="Y48" i="14" s="1"/>
  <c r="Z48" i="14" s="1"/>
  <c r="U48" i="14"/>
  <c r="V48" i="14" s="1"/>
  <c r="W48" i="14" s="1"/>
  <c r="T48" i="14"/>
  <c r="Q48" i="14"/>
  <c r="O48" i="14"/>
  <c r="P48" i="14" s="1"/>
  <c r="AD47" i="14"/>
  <c r="AA47" i="14"/>
  <c r="AB47" i="14" s="1"/>
  <c r="AC47" i="14" s="1"/>
  <c r="X47" i="14"/>
  <c r="Y47" i="14" s="1"/>
  <c r="Z47" i="14" s="1"/>
  <c r="U47" i="14"/>
  <c r="V47" i="14" s="1"/>
  <c r="W47" i="14" s="1"/>
  <c r="T47" i="14"/>
  <c r="Q47" i="14"/>
  <c r="O47" i="14"/>
  <c r="P47" i="14" s="1"/>
  <c r="AA46" i="14"/>
  <c r="AB46" i="14" s="1"/>
  <c r="X46" i="14"/>
  <c r="Y46" i="14" s="1"/>
  <c r="Z46" i="14" s="1"/>
  <c r="U46" i="14"/>
  <c r="V46" i="14" s="1"/>
  <c r="W46" i="14" s="1"/>
  <c r="T46" i="14"/>
  <c r="Q46" i="14"/>
  <c r="O46" i="14"/>
  <c r="P46" i="14" s="1"/>
  <c r="AA45" i="14"/>
  <c r="AB45" i="14" s="1"/>
  <c r="X45" i="14"/>
  <c r="Y45" i="14" s="1"/>
  <c r="Z45" i="14" s="1"/>
  <c r="U45" i="14"/>
  <c r="V45" i="14" s="1"/>
  <c r="W45" i="14" s="1"/>
  <c r="T45" i="14"/>
  <c r="Q45" i="14"/>
  <c r="O45" i="14"/>
  <c r="P45" i="14" s="1"/>
  <c r="AA44" i="14"/>
  <c r="AB44" i="14" s="1"/>
  <c r="X44" i="14"/>
  <c r="Y44" i="14" s="1"/>
  <c r="Z44" i="14" s="1"/>
  <c r="U44" i="14"/>
  <c r="V44" i="14" s="1"/>
  <c r="W44" i="14" s="1"/>
  <c r="T44" i="14"/>
  <c r="Q44" i="14"/>
  <c r="O44" i="14"/>
  <c r="P44" i="14" s="1"/>
  <c r="AA43" i="14"/>
  <c r="AB43" i="14" s="1"/>
  <c r="X43" i="14"/>
  <c r="Y43" i="14" s="1"/>
  <c r="Z43" i="14" s="1"/>
  <c r="U43" i="14"/>
  <c r="V43" i="14" s="1"/>
  <c r="W43" i="14" s="1"/>
  <c r="T43" i="14"/>
  <c r="Q43" i="14"/>
  <c r="O43" i="14"/>
  <c r="P43" i="14" s="1"/>
  <c r="AA42" i="14"/>
  <c r="AB42" i="14" s="1"/>
  <c r="X42" i="14"/>
  <c r="Y42" i="14" s="1"/>
  <c r="Z42" i="14" s="1"/>
  <c r="U42" i="14"/>
  <c r="V42" i="14" s="1"/>
  <c r="W42" i="14" s="1"/>
  <c r="T42" i="14"/>
  <c r="Q42" i="14"/>
  <c r="O42" i="14"/>
  <c r="P42" i="14" s="1"/>
  <c r="AA41" i="14"/>
  <c r="AB41" i="14" s="1"/>
  <c r="X41" i="14"/>
  <c r="Y41" i="14" s="1"/>
  <c r="Z41" i="14" s="1"/>
  <c r="U41" i="14"/>
  <c r="V41" i="14" s="1"/>
  <c r="W41" i="14" s="1"/>
  <c r="T41" i="14"/>
  <c r="Q41" i="14"/>
  <c r="O41" i="14"/>
  <c r="P41" i="14" s="1"/>
  <c r="AA40" i="14"/>
  <c r="AB40" i="14" s="1"/>
  <c r="X40" i="14"/>
  <c r="Y40" i="14" s="1"/>
  <c r="Z40" i="14" s="1"/>
  <c r="U40" i="14"/>
  <c r="V40" i="14" s="1"/>
  <c r="W40" i="14" s="1"/>
  <c r="T40" i="14"/>
  <c r="Q40" i="14"/>
  <c r="O40" i="14"/>
  <c r="P40" i="14" s="1"/>
  <c r="AA39" i="14"/>
  <c r="AB39" i="14" s="1"/>
  <c r="X39" i="14"/>
  <c r="Y39" i="14" s="1"/>
  <c r="Z39" i="14" s="1"/>
  <c r="U39" i="14"/>
  <c r="V39" i="14" s="1"/>
  <c r="W39" i="14" s="1"/>
  <c r="T39" i="14"/>
  <c r="Q39" i="14"/>
  <c r="O39" i="14"/>
  <c r="P39" i="14" s="1"/>
  <c r="AA38" i="14"/>
  <c r="AB38" i="14" s="1"/>
  <c r="X38" i="14"/>
  <c r="Y38" i="14" s="1"/>
  <c r="Z38" i="14" s="1"/>
  <c r="U38" i="14"/>
  <c r="V38" i="14" s="1"/>
  <c r="W38" i="14" s="1"/>
  <c r="T38" i="14"/>
  <c r="Q38" i="14"/>
  <c r="O38" i="14"/>
  <c r="P38" i="14" s="1"/>
  <c r="AA37" i="14"/>
  <c r="AB37" i="14" s="1"/>
  <c r="X37" i="14"/>
  <c r="Y37" i="14" s="1"/>
  <c r="Z37" i="14" s="1"/>
  <c r="U37" i="14"/>
  <c r="V37" i="14" s="1"/>
  <c r="W37" i="14" s="1"/>
  <c r="T37" i="14"/>
  <c r="Q37" i="14"/>
  <c r="O37" i="14"/>
  <c r="P37" i="14" s="1"/>
  <c r="AA36" i="14"/>
  <c r="AB36" i="14" s="1"/>
  <c r="X36" i="14"/>
  <c r="Y36" i="14" s="1"/>
  <c r="Z36" i="14" s="1"/>
  <c r="U36" i="14"/>
  <c r="V36" i="14" s="1"/>
  <c r="W36" i="14" s="1"/>
  <c r="T36" i="14"/>
  <c r="Q36" i="14"/>
  <c r="O36" i="14"/>
  <c r="P36" i="14" s="1"/>
  <c r="AA35" i="14"/>
  <c r="AB35" i="14" s="1"/>
  <c r="X35" i="14"/>
  <c r="Y35" i="14" s="1"/>
  <c r="Z35" i="14" s="1"/>
  <c r="U35" i="14"/>
  <c r="V35" i="14" s="1"/>
  <c r="W35" i="14" s="1"/>
  <c r="T35" i="14"/>
  <c r="Q35" i="14"/>
  <c r="O35" i="14"/>
  <c r="P35" i="14" s="1"/>
  <c r="AD34" i="14"/>
  <c r="AA34" i="14"/>
  <c r="AB34" i="14" s="1"/>
  <c r="AC34" i="14" s="1"/>
  <c r="X34" i="14"/>
  <c r="Y34" i="14" s="1"/>
  <c r="Z34" i="14" s="1"/>
  <c r="U34" i="14"/>
  <c r="V34" i="14" s="1"/>
  <c r="W34" i="14" s="1"/>
  <c r="T34" i="14"/>
  <c r="Q34" i="14"/>
  <c r="O34" i="14"/>
  <c r="P34" i="14" s="1"/>
  <c r="AA33" i="14"/>
  <c r="AB33" i="14" s="1"/>
  <c r="X33" i="14"/>
  <c r="Y33" i="14" s="1"/>
  <c r="Z33" i="14" s="1"/>
  <c r="U33" i="14"/>
  <c r="V33" i="14" s="1"/>
  <c r="W33" i="14" s="1"/>
  <c r="T33" i="14"/>
  <c r="Q33" i="14"/>
  <c r="O33" i="14"/>
  <c r="P33" i="14" s="1"/>
  <c r="AA32" i="14"/>
  <c r="AB32" i="14" s="1"/>
  <c r="X32" i="14"/>
  <c r="Y32" i="14" s="1"/>
  <c r="Z32" i="14" s="1"/>
  <c r="U32" i="14"/>
  <c r="V32" i="14" s="1"/>
  <c r="W32" i="14" s="1"/>
  <c r="T32" i="14"/>
  <c r="Q32" i="14"/>
  <c r="O32" i="14"/>
  <c r="P32" i="14" s="1"/>
  <c r="AA31" i="14"/>
  <c r="AB31" i="14" s="1"/>
  <c r="X31" i="14"/>
  <c r="Y31" i="14" s="1"/>
  <c r="Z31" i="14" s="1"/>
  <c r="U31" i="14"/>
  <c r="V31" i="14" s="1"/>
  <c r="W31" i="14" s="1"/>
  <c r="T31" i="14"/>
  <c r="Q31" i="14"/>
  <c r="O31" i="14"/>
  <c r="P31" i="14" s="1"/>
  <c r="AA30" i="14"/>
  <c r="AB30" i="14" s="1"/>
  <c r="X30" i="14"/>
  <c r="Y30" i="14" s="1"/>
  <c r="Z30" i="14" s="1"/>
  <c r="U30" i="14"/>
  <c r="V30" i="14" s="1"/>
  <c r="W30" i="14" s="1"/>
  <c r="T30" i="14"/>
  <c r="Q30" i="14"/>
  <c r="O30" i="14"/>
  <c r="P30" i="14" s="1"/>
  <c r="AA29" i="14"/>
  <c r="AB29" i="14" s="1"/>
  <c r="X29" i="14"/>
  <c r="Y29" i="14" s="1"/>
  <c r="Z29" i="14" s="1"/>
  <c r="U29" i="14"/>
  <c r="V29" i="14" s="1"/>
  <c r="W29" i="14" s="1"/>
  <c r="T29" i="14"/>
  <c r="Q29" i="14"/>
  <c r="O29" i="14"/>
  <c r="P29" i="14" s="1"/>
  <c r="AA28" i="14"/>
  <c r="AB28" i="14" s="1"/>
  <c r="X28" i="14"/>
  <c r="Y28" i="14" s="1"/>
  <c r="Z28" i="14" s="1"/>
  <c r="U28" i="14"/>
  <c r="V28" i="14" s="1"/>
  <c r="W28" i="14" s="1"/>
  <c r="T28" i="14"/>
  <c r="Q28" i="14"/>
  <c r="O28" i="14"/>
  <c r="P28" i="14" s="1"/>
  <c r="AA27" i="14"/>
  <c r="AB27" i="14" s="1"/>
  <c r="X27" i="14"/>
  <c r="Y27" i="14" s="1"/>
  <c r="Z27" i="14" s="1"/>
  <c r="U27" i="14"/>
  <c r="V27" i="14" s="1"/>
  <c r="W27" i="14" s="1"/>
  <c r="T27" i="14"/>
  <c r="Q27" i="14"/>
  <c r="O27" i="14"/>
  <c r="P27" i="14" s="1"/>
  <c r="AA26" i="14"/>
  <c r="AB26" i="14" s="1"/>
  <c r="X26" i="14"/>
  <c r="Y26" i="14" s="1"/>
  <c r="Z26" i="14" s="1"/>
  <c r="U26" i="14"/>
  <c r="V26" i="14" s="1"/>
  <c r="W26" i="14" s="1"/>
  <c r="T26" i="14"/>
  <c r="Q26" i="14"/>
  <c r="O26" i="14"/>
  <c r="P26" i="14" s="1"/>
  <c r="AA25" i="14"/>
  <c r="AB25" i="14" s="1"/>
  <c r="X25" i="14"/>
  <c r="Y25" i="14" s="1"/>
  <c r="Z25" i="14" s="1"/>
  <c r="U25" i="14"/>
  <c r="V25" i="14" s="1"/>
  <c r="W25" i="14" s="1"/>
  <c r="T25" i="14"/>
  <c r="Q25" i="14"/>
  <c r="O25" i="14"/>
  <c r="P25" i="14" s="1"/>
  <c r="AA24" i="14"/>
  <c r="AB24" i="14" s="1"/>
  <c r="X24" i="14"/>
  <c r="Y24" i="14" s="1"/>
  <c r="Z24" i="14" s="1"/>
  <c r="U24" i="14"/>
  <c r="V24" i="14" s="1"/>
  <c r="W24" i="14" s="1"/>
  <c r="T24" i="14"/>
  <c r="Q24" i="14"/>
  <c r="O24" i="14"/>
  <c r="P24" i="14" s="1"/>
  <c r="AA23" i="14"/>
  <c r="AB23" i="14" s="1"/>
  <c r="X23" i="14"/>
  <c r="Y23" i="14" s="1"/>
  <c r="Z23" i="14" s="1"/>
  <c r="U23" i="14"/>
  <c r="V23" i="14" s="1"/>
  <c r="W23" i="14" s="1"/>
  <c r="T23" i="14"/>
  <c r="Q23" i="14"/>
  <c r="O23" i="14"/>
  <c r="P23" i="14" s="1"/>
  <c r="AA22" i="14"/>
  <c r="AB22" i="14" s="1"/>
  <c r="X22" i="14"/>
  <c r="Y22" i="14" s="1"/>
  <c r="Z22" i="14" s="1"/>
  <c r="U22" i="14"/>
  <c r="V22" i="14" s="1"/>
  <c r="W22" i="14" s="1"/>
  <c r="T22" i="14"/>
  <c r="Q22" i="14"/>
  <c r="O22" i="14"/>
  <c r="P22" i="14" s="1"/>
  <c r="AA21" i="14"/>
  <c r="AB21" i="14" s="1"/>
  <c r="X21" i="14"/>
  <c r="Y21" i="14" s="1"/>
  <c r="Z21" i="14" s="1"/>
  <c r="U21" i="14"/>
  <c r="V21" i="14" s="1"/>
  <c r="W21" i="14" s="1"/>
  <c r="T21" i="14"/>
  <c r="Q21" i="14"/>
  <c r="O21" i="14"/>
  <c r="P21" i="14" s="1"/>
  <c r="AA20" i="14"/>
  <c r="AB20" i="14" s="1"/>
  <c r="X20" i="14"/>
  <c r="Y20" i="14" s="1"/>
  <c r="Z20" i="14" s="1"/>
  <c r="U20" i="14"/>
  <c r="V20" i="14" s="1"/>
  <c r="W20" i="14" s="1"/>
  <c r="T20" i="14"/>
  <c r="Q20" i="14"/>
  <c r="O20" i="14"/>
  <c r="P20" i="14" s="1"/>
  <c r="AA19" i="14"/>
  <c r="AB19" i="14" s="1"/>
  <c r="X19" i="14"/>
  <c r="Y19" i="14" s="1"/>
  <c r="Z19" i="14" s="1"/>
  <c r="U19" i="14"/>
  <c r="V19" i="14" s="1"/>
  <c r="W19" i="14" s="1"/>
  <c r="T19" i="14"/>
  <c r="Q19" i="14"/>
  <c r="O19" i="14"/>
  <c r="P19" i="14" s="1"/>
  <c r="AA18" i="14"/>
  <c r="AB18" i="14" s="1"/>
  <c r="X18" i="14"/>
  <c r="Y18" i="14" s="1"/>
  <c r="Z18" i="14" s="1"/>
  <c r="U18" i="14"/>
  <c r="V18" i="14" s="1"/>
  <c r="W18" i="14" s="1"/>
  <c r="T18" i="14"/>
  <c r="Q18" i="14"/>
  <c r="O18" i="14"/>
  <c r="P18" i="14" s="1"/>
  <c r="AA17" i="14"/>
  <c r="AB17" i="14" s="1"/>
  <c r="X17" i="14"/>
  <c r="Y17" i="14" s="1"/>
  <c r="Z17" i="14" s="1"/>
  <c r="U17" i="14"/>
  <c r="V17" i="14" s="1"/>
  <c r="W17" i="14" s="1"/>
  <c r="T17" i="14"/>
  <c r="Q17" i="14"/>
  <c r="O17" i="14"/>
  <c r="P17" i="14" s="1"/>
  <c r="AA16" i="14"/>
  <c r="AB16" i="14" s="1"/>
  <c r="X16" i="14"/>
  <c r="Y16" i="14" s="1"/>
  <c r="Z16" i="14" s="1"/>
  <c r="U16" i="14"/>
  <c r="V16" i="14" s="1"/>
  <c r="W16" i="14" s="1"/>
  <c r="T16" i="14"/>
  <c r="Q16" i="14"/>
  <c r="O16" i="14"/>
  <c r="P16" i="14" s="1"/>
  <c r="AA15" i="14"/>
  <c r="AB15" i="14" s="1"/>
  <c r="X15" i="14"/>
  <c r="Y15" i="14" s="1"/>
  <c r="Z15" i="14" s="1"/>
  <c r="U15" i="14"/>
  <c r="V15" i="14" s="1"/>
  <c r="W15" i="14" s="1"/>
  <c r="T15" i="14"/>
  <c r="Q15" i="14"/>
  <c r="O15" i="14"/>
  <c r="P15" i="14" s="1"/>
  <c r="AA14" i="14"/>
  <c r="AB14" i="14" s="1"/>
  <c r="X14" i="14"/>
  <c r="Y14" i="14" s="1"/>
  <c r="Z14" i="14" s="1"/>
  <c r="U14" i="14"/>
  <c r="V14" i="14" s="1"/>
  <c r="W14" i="14" s="1"/>
  <c r="T14" i="14"/>
  <c r="Q14" i="14"/>
  <c r="O14" i="14"/>
  <c r="P14" i="14" s="1"/>
  <c r="AD13" i="14"/>
  <c r="AA13" i="14"/>
  <c r="AB13" i="14" s="1"/>
  <c r="AC13" i="14" s="1"/>
  <c r="X13" i="14"/>
  <c r="Y13" i="14" s="1"/>
  <c r="Z13" i="14" s="1"/>
  <c r="U13" i="14"/>
  <c r="V13" i="14" s="1"/>
  <c r="W13" i="14" s="1"/>
  <c r="T13" i="14"/>
  <c r="Q13" i="14"/>
  <c r="O13" i="14"/>
  <c r="P13" i="14" s="1"/>
  <c r="AA12" i="14"/>
  <c r="AB12" i="14" s="1"/>
  <c r="X12" i="14"/>
  <c r="Y12" i="14" s="1"/>
  <c r="Z12" i="14" s="1"/>
  <c r="U12" i="14"/>
  <c r="V12" i="14" s="1"/>
  <c r="W12" i="14" s="1"/>
  <c r="T12" i="14"/>
  <c r="Q12" i="14"/>
  <c r="O12" i="14"/>
  <c r="P12" i="14" s="1"/>
  <c r="AA11" i="14"/>
  <c r="AB11" i="14" s="1"/>
  <c r="X11" i="14"/>
  <c r="Y11" i="14" s="1"/>
  <c r="Z11" i="14" s="1"/>
  <c r="U11" i="14"/>
  <c r="V11" i="14" s="1"/>
  <c r="W11" i="14" s="1"/>
  <c r="T11" i="14"/>
  <c r="Q11" i="14"/>
  <c r="O11" i="14"/>
  <c r="P11" i="14" s="1"/>
  <c r="AA10" i="14"/>
  <c r="AB10" i="14" s="1"/>
  <c r="X10" i="14"/>
  <c r="Y10" i="14" s="1"/>
  <c r="Z10" i="14" s="1"/>
  <c r="U10" i="14"/>
  <c r="V10" i="14" s="1"/>
  <c r="W10" i="14" s="1"/>
  <c r="T10" i="14"/>
  <c r="Q10" i="14"/>
  <c r="O10" i="14"/>
  <c r="P10" i="14" s="1"/>
  <c r="AD9" i="14"/>
  <c r="AA9" i="14"/>
  <c r="AB9" i="14" s="1"/>
  <c r="AC9" i="14" s="1"/>
  <c r="X9" i="14"/>
  <c r="Y9" i="14" s="1"/>
  <c r="Z9" i="14" s="1"/>
  <c r="U9" i="14"/>
  <c r="V9" i="14" s="1"/>
  <c r="W9" i="14" s="1"/>
  <c r="T9" i="14"/>
  <c r="Q9" i="14"/>
  <c r="O9" i="14"/>
  <c r="P9" i="14" s="1"/>
  <c r="AA8" i="14"/>
  <c r="AB8" i="14" s="1"/>
  <c r="X8" i="14"/>
  <c r="Y8" i="14" s="1"/>
  <c r="Z8" i="14" s="1"/>
  <c r="U8" i="14"/>
  <c r="V8" i="14" s="1"/>
  <c r="W8" i="14" s="1"/>
  <c r="T8" i="14"/>
  <c r="Q8" i="14"/>
  <c r="O8" i="14"/>
  <c r="P8" i="14" s="1"/>
  <c r="AA7" i="14"/>
  <c r="AB7" i="14" s="1"/>
  <c r="X7" i="14"/>
  <c r="Y7" i="14" s="1"/>
  <c r="Z7" i="14" s="1"/>
  <c r="U7" i="14"/>
  <c r="V7" i="14" s="1"/>
  <c r="W7" i="14" s="1"/>
  <c r="T7" i="14"/>
  <c r="Q7" i="14"/>
  <c r="O7" i="14"/>
  <c r="P7" i="14" s="1"/>
  <c r="AA6" i="14"/>
  <c r="AB6" i="14" s="1"/>
  <c r="X6" i="14"/>
  <c r="Y6" i="14" s="1"/>
  <c r="Z6" i="14" s="1"/>
  <c r="U6" i="14"/>
  <c r="V6" i="14" s="1"/>
  <c r="W6" i="14" s="1"/>
  <c r="T6" i="14"/>
  <c r="Q6" i="14"/>
  <c r="O6" i="14"/>
  <c r="P6" i="14" s="1"/>
  <c r="AA5" i="14"/>
  <c r="AB5" i="14" s="1"/>
  <c r="X5" i="14"/>
  <c r="Y5" i="14" s="1"/>
  <c r="Z5" i="14" s="1"/>
  <c r="U5" i="14"/>
  <c r="V5" i="14" s="1"/>
  <c r="W5" i="14" s="1"/>
  <c r="T5" i="14"/>
  <c r="Q5" i="14"/>
  <c r="O5" i="14"/>
  <c r="P5" i="14" s="1"/>
  <c r="AA4" i="14"/>
  <c r="AB4" i="14" s="1"/>
  <c r="X4" i="14"/>
  <c r="Y4" i="14" s="1"/>
  <c r="Z4" i="14" s="1"/>
  <c r="U4" i="14"/>
  <c r="V4" i="14" s="1"/>
  <c r="W4" i="14" s="1"/>
  <c r="T4" i="14"/>
  <c r="Q4" i="14"/>
  <c r="O4" i="14"/>
  <c r="P4" i="14" s="1"/>
  <c r="AD246" i="12"/>
  <c r="AD247" i="12"/>
  <c r="AD250" i="12"/>
  <c r="AD253" i="12"/>
  <c r="AD255" i="12"/>
  <c r="AD256" i="12"/>
  <c r="AD257" i="12"/>
  <c r="AD186" i="12"/>
  <c r="AD258" i="12"/>
  <c r="AD259" i="12"/>
  <c r="AD224" i="12"/>
  <c r="AD260" i="12"/>
  <c r="AD261" i="12"/>
  <c r="AD262" i="12"/>
  <c r="AD263" i="12"/>
  <c r="AD264" i="12"/>
  <c r="AD265" i="12"/>
  <c r="AD266" i="12"/>
  <c r="AD252" i="12"/>
  <c r="AD267" i="12"/>
  <c r="AD268" i="12"/>
  <c r="AD269" i="12"/>
  <c r="AD270" i="12"/>
  <c r="AD271" i="12"/>
  <c r="AD272" i="12"/>
  <c r="AD273" i="12"/>
  <c r="AD274" i="12"/>
  <c r="AD275" i="12"/>
  <c r="AD278" i="12"/>
  <c r="AD280" i="12"/>
  <c r="AD281" i="12"/>
  <c r="AD282" i="12"/>
  <c r="AD283" i="12"/>
  <c r="AD284" i="12"/>
  <c r="AD285" i="12"/>
  <c r="AD286" i="12"/>
  <c r="AD114" i="12"/>
  <c r="AD287" i="12"/>
  <c r="AD52" i="12"/>
  <c r="AD288" i="12"/>
  <c r="AD289" i="12"/>
  <c r="AD290" i="12"/>
  <c r="AD291" i="12"/>
  <c r="AD292" i="12"/>
  <c r="AD293" i="12"/>
  <c r="AD295" i="12"/>
  <c r="AD296" i="12"/>
  <c r="AD297" i="12"/>
  <c r="AD298" i="12"/>
  <c r="AD299" i="12"/>
  <c r="AD300" i="12"/>
  <c r="AD301" i="12"/>
  <c r="AD302" i="12"/>
  <c r="AD90" i="12"/>
  <c r="AD303" i="12"/>
  <c r="AD304" i="12"/>
  <c r="AD305" i="12"/>
  <c r="AD307" i="12"/>
  <c r="AD308" i="12"/>
  <c r="AD309" i="12"/>
  <c r="AD310" i="12"/>
  <c r="AD311" i="12"/>
  <c r="AD176" i="12"/>
  <c r="AD313" i="12"/>
  <c r="AD314" i="12"/>
  <c r="AD315" i="12"/>
  <c r="AD317" i="12"/>
  <c r="AD318" i="12"/>
  <c r="AE318" i="12" s="1"/>
  <c r="AD320" i="12"/>
  <c r="AE320" i="12" s="1"/>
  <c r="S223" i="4"/>
  <c r="AA158" i="12"/>
  <c r="AB158" i="12" s="1"/>
  <c r="AA87" i="12"/>
  <c r="AB87" i="12" s="1"/>
  <c r="AA31" i="12"/>
  <c r="AB31" i="12" s="1"/>
  <c r="AA246" i="12"/>
  <c r="AB246" i="12" s="1"/>
  <c r="AA33" i="12"/>
  <c r="AB33" i="12" s="1"/>
  <c r="AA247" i="12"/>
  <c r="AB247" i="12" s="1"/>
  <c r="AA48" i="12"/>
  <c r="AB48" i="12" s="1"/>
  <c r="AA100" i="12"/>
  <c r="AB100" i="12" s="1"/>
  <c r="AA277" i="12"/>
  <c r="AB277" i="12" s="1"/>
  <c r="AA96" i="12"/>
  <c r="AB96" i="12" s="1"/>
  <c r="AA161" i="12"/>
  <c r="AB161" i="12" s="1"/>
  <c r="AA29" i="12"/>
  <c r="AB29" i="12" s="1"/>
  <c r="AA195" i="12"/>
  <c r="AB195" i="12" s="1"/>
  <c r="AA155" i="12"/>
  <c r="AB155" i="12" s="1"/>
  <c r="AA185" i="12"/>
  <c r="AB185" i="12" s="1"/>
  <c r="AA249" i="12"/>
  <c r="AB249" i="12" s="1"/>
  <c r="AA250" i="12"/>
  <c r="AB250" i="12" s="1"/>
  <c r="AA21" i="12"/>
  <c r="AB21" i="12" s="1"/>
  <c r="AA163" i="12"/>
  <c r="AB163" i="12" s="1"/>
  <c r="AA102" i="12"/>
  <c r="AB102" i="12" s="1"/>
  <c r="AA279" i="12"/>
  <c r="AB279" i="12" s="1"/>
  <c r="AA316" i="12"/>
  <c r="AB316" i="12" s="1"/>
  <c r="AA253" i="12"/>
  <c r="AB253" i="12" s="1"/>
  <c r="AA182" i="12"/>
  <c r="AB182" i="12" s="1"/>
  <c r="AA59" i="12"/>
  <c r="AB59" i="12" s="1"/>
  <c r="AA14" i="12"/>
  <c r="AB14" i="12" s="1"/>
  <c r="AA66" i="12"/>
  <c r="AB66" i="12" s="1"/>
  <c r="AA181" i="12"/>
  <c r="AB181" i="12" s="1"/>
  <c r="AA254" i="12"/>
  <c r="AB254" i="12" s="1"/>
  <c r="AA124" i="12"/>
  <c r="AB124" i="12" s="1"/>
  <c r="AA84" i="12"/>
  <c r="AB84" i="12" s="1"/>
  <c r="AA82" i="12"/>
  <c r="AB82" i="12" s="1"/>
  <c r="AA228" i="12"/>
  <c r="AB228" i="12" s="1"/>
  <c r="AA255" i="12"/>
  <c r="AB255" i="12" s="1"/>
  <c r="AA183" i="12"/>
  <c r="AB183" i="12" s="1"/>
  <c r="AA256" i="12"/>
  <c r="AB256" i="12" s="1"/>
  <c r="AA257" i="12"/>
  <c r="AB257" i="12" s="1"/>
  <c r="AA186" i="12"/>
  <c r="AB186" i="12" s="1"/>
  <c r="AA78" i="12"/>
  <c r="AB78" i="12" s="1"/>
  <c r="AA237" i="12"/>
  <c r="AB237" i="12" s="1"/>
  <c r="AA152" i="12"/>
  <c r="AB152" i="12" s="1"/>
  <c r="AA258" i="12"/>
  <c r="AB258" i="12" s="1"/>
  <c r="AA207" i="12"/>
  <c r="AB207" i="12" s="1"/>
  <c r="AA259" i="12"/>
  <c r="AB259" i="12" s="1"/>
  <c r="AA28" i="12"/>
  <c r="AB28" i="12" s="1"/>
  <c r="AA225" i="12"/>
  <c r="AB225" i="12" s="1"/>
  <c r="AA224" i="12"/>
  <c r="AB224" i="12" s="1"/>
  <c r="AA236" i="12"/>
  <c r="AB236" i="12" s="1"/>
  <c r="AA193" i="12"/>
  <c r="AB193" i="12" s="1"/>
  <c r="AA260" i="12"/>
  <c r="AB260" i="12" s="1"/>
  <c r="AA128" i="12"/>
  <c r="AB128" i="12" s="1"/>
  <c r="AA204" i="12"/>
  <c r="AB204" i="12" s="1"/>
  <c r="AA69" i="12"/>
  <c r="AB69" i="12" s="1"/>
  <c r="AA35" i="12"/>
  <c r="AB35" i="12" s="1"/>
  <c r="AA75" i="12"/>
  <c r="AB75" i="12" s="1"/>
  <c r="AA261" i="12"/>
  <c r="AB261" i="12" s="1"/>
  <c r="AA262" i="12"/>
  <c r="AB262" i="12" s="1"/>
  <c r="AA154" i="12"/>
  <c r="AB154" i="12" s="1"/>
  <c r="AA263" i="12"/>
  <c r="AB263" i="12" s="1"/>
  <c r="AA178" i="12"/>
  <c r="AB178" i="12" s="1"/>
  <c r="AA264" i="12"/>
  <c r="AB264" i="12" s="1"/>
  <c r="AA265" i="12"/>
  <c r="AB265" i="12" s="1"/>
  <c r="AA30" i="12"/>
  <c r="AB30" i="12" s="1"/>
  <c r="AA219" i="12"/>
  <c r="AB219" i="12" s="1"/>
  <c r="AA89" i="12"/>
  <c r="AB89" i="12" s="1"/>
  <c r="AA54" i="12"/>
  <c r="AB54" i="12" s="1"/>
  <c r="AA120" i="12"/>
  <c r="AB120" i="12" s="1"/>
  <c r="AA17" i="12"/>
  <c r="AB17" i="12" s="1"/>
  <c r="AA135" i="12"/>
  <c r="AB135" i="12" s="1"/>
  <c r="AA11" i="12"/>
  <c r="AB11" i="12" s="1"/>
  <c r="AA266" i="12"/>
  <c r="AB266" i="12" s="1"/>
  <c r="AA13" i="12"/>
  <c r="AB13" i="12" s="1"/>
  <c r="AA20" i="12"/>
  <c r="AB20" i="12" s="1"/>
  <c r="AA8" i="12"/>
  <c r="AB8" i="12" s="1"/>
  <c r="AA9" i="12"/>
  <c r="AB9" i="12" s="1"/>
  <c r="AA12" i="12"/>
  <c r="AB12" i="12" s="1"/>
  <c r="AA213" i="12"/>
  <c r="AB213" i="12" s="1"/>
  <c r="AA19" i="12"/>
  <c r="AB19" i="12" s="1"/>
  <c r="AA252" i="12"/>
  <c r="AB252" i="12" s="1"/>
  <c r="AA239" i="12"/>
  <c r="AB239" i="12" s="1"/>
  <c r="AA23" i="12"/>
  <c r="AB23" i="12" s="1"/>
  <c r="AA123" i="12"/>
  <c r="AB123" i="12" s="1"/>
  <c r="AA94" i="12"/>
  <c r="AB94" i="12" s="1"/>
  <c r="AA10" i="12"/>
  <c r="AB10" i="12" s="1"/>
  <c r="AA241" i="12"/>
  <c r="AB241" i="12" s="1"/>
  <c r="AA267" i="12"/>
  <c r="AB267" i="12" s="1"/>
  <c r="AA231" i="12"/>
  <c r="AB231" i="12" s="1"/>
  <c r="AA189" i="12"/>
  <c r="AB189" i="12" s="1"/>
  <c r="AA214" i="12"/>
  <c r="AB214" i="12" s="1"/>
  <c r="AA200" i="12"/>
  <c r="AB200" i="12" s="1"/>
  <c r="AA129" i="12"/>
  <c r="AB129" i="12" s="1"/>
  <c r="AA167" i="12"/>
  <c r="AB167" i="12" s="1"/>
  <c r="AA40" i="12"/>
  <c r="AB40" i="12" s="1"/>
  <c r="AA184" i="12"/>
  <c r="AB184" i="12" s="1"/>
  <c r="AA156" i="12"/>
  <c r="AB156" i="12" s="1"/>
  <c r="AA242" i="12"/>
  <c r="AB242" i="12" s="1"/>
  <c r="AA276" i="12"/>
  <c r="AB276" i="12" s="1"/>
  <c r="AA268" i="12"/>
  <c r="AB268" i="12" s="1"/>
  <c r="AA269" i="12"/>
  <c r="AB269" i="12" s="1"/>
  <c r="AA143" i="12"/>
  <c r="AB143" i="12" s="1"/>
  <c r="AA159" i="12"/>
  <c r="AB159" i="12" s="1"/>
  <c r="AA76" i="12"/>
  <c r="AB76" i="12" s="1"/>
  <c r="AA145" i="12"/>
  <c r="AB145" i="12" s="1"/>
  <c r="AA63" i="12"/>
  <c r="AB63" i="12" s="1"/>
  <c r="AA216" i="12"/>
  <c r="AB216" i="12" s="1"/>
  <c r="AA270" i="12"/>
  <c r="AB270" i="12" s="1"/>
  <c r="AA136" i="12"/>
  <c r="AB136" i="12" s="1"/>
  <c r="AA197" i="12"/>
  <c r="AB197" i="12" s="1"/>
  <c r="AA196" i="12"/>
  <c r="AB196" i="12" s="1"/>
  <c r="AA175" i="12"/>
  <c r="AB175" i="12" s="1"/>
  <c r="AA218" i="12"/>
  <c r="AB218" i="12" s="1"/>
  <c r="AA245" i="12"/>
  <c r="AB245" i="12" s="1"/>
  <c r="AA271" i="12"/>
  <c r="AB271" i="12" s="1"/>
  <c r="AA272" i="12"/>
  <c r="AB272" i="12" s="1"/>
  <c r="AA148" i="12"/>
  <c r="AB148" i="12" s="1"/>
  <c r="AA46" i="12"/>
  <c r="AB46" i="12" s="1"/>
  <c r="AA199" i="12"/>
  <c r="AB199" i="12" s="1"/>
  <c r="AA77" i="12"/>
  <c r="AB77" i="12" s="1"/>
  <c r="AA92" i="12"/>
  <c r="AB92" i="12" s="1"/>
  <c r="AA138" i="12"/>
  <c r="AB138" i="12" s="1"/>
  <c r="AA107" i="12"/>
  <c r="AB107" i="12" s="1"/>
  <c r="AA273" i="12"/>
  <c r="AB273" i="12" s="1"/>
  <c r="AA55" i="12"/>
  <c r="AB55" i="12" s="1"/>
  <c r="AA60" i="12"/>
  <c r="AB60" i="12" s="1"/>
  <c r="AA217" i="12"/>
  <c r="AB217" i="12" s="1"/>
  <c r="AA190" i="12"/>
  <c r="AB190" i="12" s="1"/>
  <c r="AA194" i="12"/>
  <c r="AB194" i="12" s="1"/>
  <c r="AA203" i="12"/>
  <c r="AB203" i="12" s="1"/>
  <c r="AA132" i="12"/>
  <c r="AB132" i="12" s="1"/>
  <c r="AA274" i="12"/>
  <c r="AB274" i="12" s="1"/>
  <c r="AA26" i="12"/>
  <c r="AB26" i="12" s="1"/>
  <c r="AA275" i="12"/>
  <c r="AB275" i="12" s="1"/>
  <c r="AA7" i="12"/>
  <c r="AB7" i="12" s="1"/>
  <c r="AA238" i="12"/>
  <c r="AB238" i="12" s="1"/>
  <c r="AA61" i="12"/>
  <c r="AB61" i="12" s="1"/>
  <c r="AA188" i="12"/>
  <c r="AB188" i="12" s="1"/>
  <c r="AA222" i="12"/>
  <c r="AB222" i="12" s="1"/>
  <c r="AA6" i="12"/>
  <c r="AB6" i="12" s="1"/>
  <c r="AA278" i="12"/>
  <c r="AB278" i="12" s="1"/>
  <c r="AA93" i="12"/>
  <c r="AB93" i="12" s="1"/>
  <c r="AA151" i="12"/>
  <c r="AB151" i="12" s="1"/>
  <c r="AA4" i="12"/>
  <c r="AB4" i="12" s="1"/>
  <c r="AA112" i="12"/>
  <c r="AB112" i="12" s="1"/>
  <c r="AA220" i="12"/>
  <c r="AB220" i="12" s="1"/>
  <c r="AA234" i="12"/>
  <c r="AB234" i="12" s="1"/>
  <c r="AA125" i="12"/>
  <c r="AB125" i="12" s="1"/>
  <c r="AA153" i="12"/>
  <c r="AB153" i="12" s="1"/>
  <c r="AA280" i="12"/>
  <c r="AB280" i="12" s="1"/>
  <c r="AA86" i="12"/>
  <c r="AB86" i="12" s="1"/>
  <c r="AA137" i="12"/>
  <c r="AB137" i="12" s="1"/>
  <c r="AA226" i="12"/>
  <c r="AB226" i="12" s="1"/>
  <c r="AA281" i="12"/>
  <c r="AB281" i="12" s="1"/>
  <c r="AA83" i="12"/>
  <c r="AB83" i="12" s="1"/>
  <c r="AA201" i="12"/>
  <c r="AB201" i="12" s="1"/>
  <c r="AA179" i="12"/>
  <c r="AB179" i="12" s="1"/>
  <c r="AA211" i="12"/>
  <c r="AB211" i="12" s="1"/>
  <c r="AA251" i="12"/>
  <c r="AB251" i="12" s="1"/>
  <c r="AA164" i="12"/>
  <c r="AB164" i="12" s="1"/>
  <c r="AA240" i="12"/>
  <c r="AB240" i="12" s="1"/>
  <c r="AA140" i="12"/>
  <c r="AB140" i="12" s="1"/>
  <c r="AA282" i="12"/>
  <c r="AB282" i="12" s="1"/>
  <c r="AA248" i="12"/>
  <c r="AB248" i="12" s="1"/>
  <c r="AA283" i="12"/>
  <c r="AB283" i="12" s="1"/>
  <c r="AA15" i="12"/>
  <c r="AB15" i="12" s="1"/>
  <c r="AA284" i="12"/>
  <c r="AB284" i="12" s="1"/>
  <c r="AA285" i="12"/>
  <c r="AB285" i="12" s="1"/>
  <c r="AA229" i="12"/>
  <c r="AB229" i="12" s="1"/>
  <c r="AA286" i="12"/>
  <c r="AB286" i="12" s="1"/>
  <c r="AA130" i="12"/>
  <c r="AB130" i="12" s="1"/>
  <c r="AA24" i="12"/>
  <c r="AB24" i="12" s="1"/>
  <c r="AA114" i="12"/>
  <c r="AB114" i="12" s="1"/>
  <c r="AA168" i="12"/>
  <c r="AB168" i="12" s="1"/>
  <c r="AA215" i="12"/>
  <c r="AB215" i="12" s="1"/>
  <c r="AA146" i="12"/>
  <c r="AB146" i="12" s="1"/>
  <c r="AA119" i="12"/>
  <c r="AB119" i="12" s="1"/>
  <c r="AA70" i="12"/>
  <c r="AB70" i="12" s="1"/>
  <c r="AA180" i="12"/>
  <c r="AB180" i="12" s="1"/>
  <c r="AA287" i="12"/>
  <c r="AB287" i="12" s="1"/>
  <c r="AA81" i="12"/>
  <c r="AB81" i="12" s="1"/>
  <c r="AA99" i="12"/>
  <c r="AB99" i="12" s="1"/>
  <c r="AA117" i="12"/>
  <c r="AB117" i="12" s="1"/>
  <c r="AA101" i="12"/>
  <c r="AB101" i="12" s="1"/>
  <c r="AA177" i="12"/>
  <c r="AB177" i="12" s="1"/>
  <c r="AA52" i="12"/>
  <c r="AB52" i="12" s="1"/>
  <c r="AA74" i="12"/>
  <c r="AB74" i="12" s="1"/>
  <c r="AA50" i="12"/>
  <c r="AB50" i="12" s="1"/>
  <c r="AA16" i="12"/>
  <c r="AB16" i="12" s="1"/>
  <c r="AA288" i="12"/>
  <c r="AB288" i="12" s="1"/>
  <c r="AA289" i="12"/>
  <c r="AB289" i="12" s="1"/>
  <c r="AA223" i="12"/>
  <c r="AB223" i="12" s="1"/>
  <c r="AA172" i="12"/>
  <c r="AB172" i="12" s="1"/>
  <c r="AA192" i="12"/>
  <c r="AB192" i="12" s="1"/>
  <c r="AA97" i="12"/>
  <c r="AB97" i="12" s="1"/>
  <c r="AA173" i="12"/>
  <c r="AB173" i="12" s="1"/>
  <c r="AA290" i="12"/>
  <c r="AB290" i="12" s="1"/>
  <c r="AA291" i="12"/>
  <c r="AB291" i="12" s="1"/>
  <c r="AA292" i="12"/>
  <c r="AB292" i="12" s="1"/>
  <c r="AA293" i="12"/>
  <c r="AB293" i="12" s="1"/>
  <c r="AA139" i="12"/>
  <c r="AB139" i="12" s="1"/>
  <c r="AA121" i="12"/>
  <c r="AB121" i="12" s="1"/>
  <c r="AA294" i="12"/>
  <c r="AB294" i="12" s="1"/>
  <c r="AA198" i="12"/>
  <c r="AB198" i="12" s="1"/>
  <c r="AA295" i="12"/>
  <c r="AB295" i="12" s="1"/>
  <c r="AA296" i="12"/>
  <c r="AB296" i="12" s="1"/>
  <c r="AA297" i="12"/>
  <c r="AB297" i="12" s="1"/>
  <c r="AA298" i="12"/>
  <c r="AB298" i="12" s="1"/>
  <c r="AA113" i="12"/>
  <c r="AB113" i="12" s="1"/>
  <c r="AA25" i="12"/>
  <c r="AB25" i="12" s="1"/>
  <c r="AA149" i="12"/>
  <c r="AB149" i="12" s="1"/>
  <c r="AA209" i="12"/>
  <c r="AB209" i="12" s="1"/>
  <c r="AA202" i="12"/>
  <c r="AB202" i="12" s="1"/>
  <c r="AA57" i="12"/>
  <c r="AB57" i="12" s="1"/>
  <c r="AA44" i="12"/>
  <c r="AB44" i="12" s="1"/>
  <c r="AA233" i="12"/>
  <c r="AB233" i="12" s="1"/>
  <c r="AA299" i="12"/>
  <c r="AB299" i="12" s="1"/>
  <c r="AA47" i="12"/>
  <c r="AB47" i="12" s="1"/>
  <c r="AA71" i="12"/>
  <c r="AB71" i="12" s="1"/>
  <c r="AA88" i="12"/>
  <c r="AB88" i="12" s="1"/>
  <c r="AA106" i="12"/>
  <c r="AB106" i="12" s="1"/>
  <c r="AA244" i="12"/>
  <c r="AB244" i="12" s="1"/>
  <c r="AA27" i="12"/>
  <c r="AB27" i="12" s="1"/>
  <c r="AA162" i="12"/>
  <c r="AB162" i="12" s="1"/>
  <c r="AA147" i="12"/>
  <c r="AB147" i="12" s="1"/>
  <c r="AA110" i="12"/>
  <c r="AB110" i="12" s="1"/>
  <c r="AA232" i="12"/>
  <c r="AB232" i="12" s="1"/>
  <c r="AA300" i="12"/>
  <c r="AB300" i="12" s="1"/>
  <c r="AA115" i="12"/>
  <c r="AB115" i="12" s="1"/>
  <c r="AA108" i="12"/>
  <c r="AB108" i="12" s="1"/>
  <c r="AA53" i="12"/>
  <c r="AB53" i="12" s="1"/>
  <c r="AA227" i="12"/>
  <c r="AB227" i="12" s="1"/>
  <c r="AA95" i="12"/>
  <c r="AB95" i="12" s="1"/>
  <c r="AA43" i="12"/>
  <c r="AB43" i="12" s="1"/>
  <c r="AA191" i="12"/>
  <c r="AB191" i="12" s="1"/>
  <c r="AA301" i="12"/>
  <c r="AB301" i="12" s="1"/>
  <c r="AA133" i="12"/>
  <c r="AB133" i="12" s="1"/>
  <c r="AA302" i="12"/>
  <c r="AB302" i="12" s="1"/>
  <c r="AA171" i="12"/>
  <c r="AB171" i="12" s="1"/>
  <c r="AA85" i="12"/>
  <c r="AB85" i="12" s="1"/>
  <c r="AA126" i="12"/>
  <c r="AB126" i="12" s="1"/>
  <c r="AA235" i="12"/>
  <c r="AB235" i="12" s="1"/>
  <c r="AA90" i="12"/>
  <c r="AB90" i="12" s="1"/>
  <c r="AA150" i="12"/>
  <c r="AB150" i="12" s="1"/>
  <c r="AA187" i="12"/>
  <c r="AB187" i="12" s="1"/>
  <c r="AA166" i="12"/>
  <c r="AB166" i="12" s="1"/>
  <c r="AA39" i="12"/>
  <c r="AB39" i="12" s="1"/>
  <c r="AA98" i="12"/>
  <c r="AB98" i="12" s="1"/>
  <c r="AA303" i="12"/>
  <c r="AB303" i="12" s="1"/>
  <c r="AA157" i="12"/>
  <c r="AB157" i="12" s="1"/>
  <c r="AA141" i="12"/>
  <c r="AB141" i="12" s="1"/>
  <c r="AA116" i="12"/>
  <c r="AB116" i="12" s="1"/>
  <c r="AA104" i="12"/>
  <c r="AB104" i="12" s="1"/>
  <c r="AA243" i="12"/>
  <c r="AB243" i="12" s="1"/>
  <c r="AA230" i="12"/>
  <c r="AB230" i="12" s="1"/>
  <c r="AA18" i="12"/>
  <c r="AB18" i="12" s="1"/>
  <c r="AA205" i="12"/>
  <c r="AB205" i="12" s="1"/>
  <c r="AA109" i="12"/>
  <c r="AB109" i="12" s="1"/>
  <c r="AA67" i="12"/>
  <c r="AB67" i="12" s="1"/>
  <c r="AA304" i="12"/>
  <c r="AB304" i="12" s="1"/>
  <c r="AA305" i="12"/>
  <c r="AB305" i="12" s="1"/>
  <c r="AA169" i="12"/>
  <c r="AB169" i="12" s="1"/>
  <c r="AA42" i="12"/>
  <c r="AB42" i="12" s="1"/>
  <c r="AA122" i="12"/>
  <c r="AB122" i="12" s="1"/>
  <c r="AA73" i="12"/>
  <c r="AB73" i="12" s="1"/>
  <c r="AA212" i="12"/>
  <c r="AB212" i="12" s="1"/>
  <c r="AA134" i="12"/>
  <c r="AB134" i="12" s="1"/>
  <c r="AA79" i="12"/>
  <c r="AB79" i="12" s="1"/>
  <c r="AA206" i="12"/>
  <c r="AB206" i="12" s="1"/>
  <c r="AA306" i="12"/>
  <c r="AB306" i="12" s="1"/>
  <c r="AA210" i="12"/>
  <c r="AB210" i="12" s="1"/>
  <c r="AA65" i="12"/>
  <c r="AB65" i="12" s="1"/>
  <c r="AA165" i="12"/>
  <c r="AB165" i="12" s="1"/>
  <c r="AA307" i="12"/>
  <c r="AB307" i="12" s="1"/>
  <c r="AA131" i="12"/>
  <c r="AB131" i="12" s="1"/>
  <c r="AA58" i="12"/>
  <c r="AB58" i="12" s="1"/>
  <c r="AA308" i="12"/>
  <c r="AB308" i="12" s="1"/>
  <c r="AA118" i="12"/>
  <c r="AB118" i="12" s="1"/>
  <c r="AA111" i="12"/>
  <c r="AB111" i="12" s="1"/>
  <c r="AA68" i="12"/>
  <c r="AB68" i="12" s="1"/>
  <c r="AA127" i="12"/>
  <c r="AB127" i="12" s="1"/>
  <c r="AA105" i="12"/>
  <c r="AB105" i="12" s="1"/>
  <c r="AA144" i="12"/>
  <c r="AB144" i="12" s="1"/>
  <c r="AA62" i="12"/>
  <c r="AB62" i="12" s="1"/>
  <c r="AA221" i="12"/>
  <c r="AB221" i="12" s="1"/>
  <c r="AA208" i="12"/>
  <c r="AB208" i="12" s="1"/>
  <c r="AA309" i="12"/>
  <c r="AB309" i="12" s="1"/>
  <c r="AA310" i="12"/>
  <c r="AB310" i="12" s="1"/>
  <c r="AA311" i="12"/>
  <c r="AB311" i="12" s="1"/>
  <c r="AA176" i="12"/>
  <c r="AB176" i="12" s="1"/>
  <c r="AA72" i="12"/>
  <c r="AB72" i="12" s="1"/>
  <c r="AA174" i="12"/>
  <c r="AB174" i="12" s="1"/>
  <c r="AA312" i="12"/>
  <c r="AB312" i="12" s="1"/>
  <c r="AA313" i="12"/>
  <c r="AB313" i="12" s="1"/>
  <c r="AA314" i="12"/>
  <c r="AB314" i="12" s="1"/>
  <c r="AA38" i="12"/>
  <c r="AB38" i="12" s="1"/>
  <c r="AA315" i="12"/>
  <c r="AB315" i="12" s="1"/>
  <c r="AA91" i="12"/>
  <c r="AB91" i="12" s="1"/>
  <c r="AA36" i="12"/>
  <c r="AB36" i="12" s="1"/>
  <c r="AA64" i="12"/>
  <c r="AB64" i="12" s="1"/>
  <c r="AA49" i="12"/>
  <c r="AB49" i="12" s="1"/>
  <c r="AA32" i="12"/>
  <c r="AB32" i="12" s="1"/>
  <c r="AA37" i="12"/>
  <c r="AB37" i="12" s="1"/>
  <c r="AA170" i="12"/>
  <c r="AB170" i="12" s="1"/>
  <c r="AA5" i="12"/>
  <c r="AB5" i="12" s="1"/>
  <c r="AA22" i="12"/>
  <c r="AB22" i="12" s="1"/>
  <c r="AA45" i="12"/>
  <c r="AB45" i="12" s="1"/>
  <c r="AA160" i="12"/>
  <c r="AB160" i="12" s="1"/>
  <c r="AA103" i="12"/>
  <c r="AB103" i="12" s="1"/>
  <c r="AA34" i="12"/>
  <c r="AB34" i="12" s="1"/>
  <c r="AA142" i="12"/>
  <c r="AB142" i="12" s="1"/>
  <c r="AA80" i="12"/>
  <c r="AB80" i="12" s="1"/>
  <c r="AA56" i="12"/>
  <c r="AB56" i="12" s="1"/>
  <c r="AA51" i="12"/>
  <c r="AB51" i="12" s="1"/>
  <c r="AA41" i="12"/>
  <c r="AB41" i="12" s="1"/>
  <c r="AA317" i="12"/>
  <c r="AB317" i="12" s="1"/>
  <c r="AA318" i="12"/>
  <c r="AB318" i="12" s="1"/>
  <c r="AA319" i="12"/>
  <c r="AB319" i="12" s="1"/>
  <c r="AA320" i="12"/>
  <c r="AB320" i="12" s="1"/>
  <c r="AA321" i="12"/>
  <c r="AB321" i="12" s="1"/>
  <c r="AA322" i="12"/>
  <c r="AB322" i="12" s="1"/>
  <c r="X158" i="12"/>
  <c r="Y158" i="12" s="1"/>
  <c r="Z158" i="12" s="1"/>
  <c r="X87" i="12"/>
  <c r="Y87" i="12" s="1"/>
  <c r="Z87" i="12" s="1"/>
  <c r="X31" i="12"/>
  <c r="Y31" i="12" s="1"/>
  <c r="Z31" i="12" s="1"/>
  <c r="X246" i="12"/>
  <c r="Y246" i="12" s="1"/>
  <c r="Z246" i="12" s="1"/>
  <c r="X33" i="12"/>
  <c r="Y33" i="12" s="1"/>
  <c r="Z33" i="12" s="1"/>
  <c r="X247" i="12"/>
  <c r="Y247" i="12" s="1"/>
  <c r="Z247" i="12" s="1"/>
  <c r="X48" i="12"/>
  <c r="Y48" i="12" s="1"/>
  <c r="Z48" i="12" s="1"/>
  <c r="X100" i="12"/>
  <c r="Y100" i="12" s="1"/>
  <c r="Z100" i="12" s="1"/>
  <c r="X277" i="12"/>
  <c r="Y277" i="12" s="1"/>
  <c r="Z277" i="12" s="1"/>
  <c r="X96" i="12"/>
  <c r="Y96" i="12" s="1"/>
  <c r="Z96" i="12" s="1"/>
  <c r="X161" i="12"/>
  <c r="Y161" i="12" s="1"/>
  <c r="Z161" i="12" s="1"/>
  <c r="X29" i="12"/>
  <c r="Y29" i="12" s="1"/>
  <c r="Z29" i="12" s="1"/>
  <c r="X195" i="12"/>
  <c r="Y195" i="12" s="1"/>
  <c r="Z195" i="12" s="1"/>
  <c r="X155" i="12"/>
  <c r="Y155" i="12" s="1"/>
  <c r="Z155" i="12" s="1"/>
  <c r="X185" i="12"/>
  <c r="Y185" i="12" s="1"/>
  <c r="Z185" i="12" s="1"/>
  <c r="X249" i="12"/>
  <c r="Y249" i="12" s="1"/>
  <c r="Z249" i="12" s="1"/>
  <c r="X250" i="12"/>
  <c r="Y250" i="12" s="1"/>
  <c r="Z250" i="12" s="1"/>
  <c r="X21" i="12"/>
  <c r="Y21" i="12" s="1"/>
  <c r="Z21" i="12" s="1"/>
  <c r="X163" i="12"/>
  <c r="Y163" i="12" s="1"/>
  <c r="Z163" i="12" s="1"/>
  <c r="X102" i="12"/>
  <c r="Y102" i="12" s="1"/>
  <c r="Z102" i="12" s="1"/>
  <c r="X279" i="12"/>
  <c r="Y279" i="12" s="1"/>
  <c r="Z279" i="12" s="1"/>
  <c r="X316" i="12"/>
  <c r="Y316" i="12" s="1"/>
  <c r="Z316" i="12" s="1"/>
  <c r="X253" i="12"/>
  <c r="Y253" i="12" s="1"/>
  <c r="Z253" i="12" s="1"/>
  <c r="X182" i="12"/>
  <c r="Y182" i="12" s="1"/>
  <c r="Z182" i="12" s="1"/>
  <c r="X59" i="12"/>
  <c r="Y59" i="12" s="1"/>
  <c r="Z59" i="12" s="1"/>
  <c r="X14" i="12"/>
  <c r="Y14" i="12" s="1"/>
  <c r="Z14" i="12" s="1"/>
  <c r="X66" i="12"/>
  <c r="Y66" i="12" s="1"/>
  <c r="Z66" i="12" s="1"/>
  <c r="X181" i="12"/>
  <c r="Y181" i="12" s="1"/>
  <c r="Z181" i="12" s="1"/>
  <c r="X254" i="12"/>
  <c r="Y254" i="12" s="1"/>
  <c r="Z254" i="12" s="1"/>
  <c r="X124" i="12"/>
  <c r="Y124" i="12" s="1"/>
  <c r="Z124" i="12" s="1"/>
  <c r="X84" i="12"/>
  <c r="Y84" i="12" s="1"/>
  <c r="Z84" i="12" s="1"/>
  <c r="X82" i="12"/>
  <c r="Y82" i="12" s="1"/>
  <c r="Z82" i="12" s="1"/>
  <c r="X228" i="12"/>
  <c r="Y228" i="12" s="1"/>
  <c r="Z228" i="12" s="1"/>
  <c r="X255" i="12"/>
  <c r="Y255" i="12" s="1"/>
  <c r="Z255" i="12" s="1"/>
  <c r="X183" i="12"/>
  <c r="Y183" i="12" s="1"/>
  <c r="Z183" i="12" s="1"/>
  <c r="X256" i="12"/>
  <c r="Y256" i="12" s="1"/>
  <c r="Z256" i="12" s="1"/>
  <c r="X257" i="12"/>
  <c r="Y257" i="12" s="1"/>
  <c r="Z257" i="12" s="1"/>
  <c r="X186" i="12"/>
  <c r="Y186" i="12" s="1"/>
  <c r="Z186" i="12" s="1"/>
  <c r="X78" i="12"/>
  <c r="Y78" i="12" s="1"/>
  <c r="Z78" i="12" s="1"/>
  <c r="X237" i="12"/>
  <c r="Y237" i="12" s="1"/>
  <c r="Z237" i="12" s="1"/>
  <c r="X152" i="12"/>
  <c r="Y152" i="12" s="1"/>
  <c r="Z152" i="12" s="1"/>
  <c r="X258" i="12"/>
  <c r="Y258" i="12" s="1"/>
  <c r="Z258" i="12" s="1"/>
  <c r="X207" i="12"/>
  <c r="Y207" i="12" s="1"/>
  <c r="Z207" i="12" s="1"/>
  <c r="X259" i="12"/>
  <c r="Y259" i="12" s="1"/>
  <c r="Z259" i="12" s="1"/>
  <c r="X28" i="12"/>
  <c r="Y28" i="12" s="1"/>
  <c r="Z28" i="12" s="1"/>
  <c r="X225" i="12"/>
  <c r="Y225" i="12" s="1"/>
  <c r="Z225" i="12" s="1"/>
  <c r="X224" i="12"/>
  <c r="Y224" i="12" s="1"/>
  <c r="Z224" i="12" s="1"/>
  <c r="X236" i="12"/>
  <c r="Y236" i="12" s="1"/>
  <c r="Z236" i="12" s="1"/>
  <c r="X193" i="12"/>
  <c r="Y193" i="12" s="1"/>
  <c r="Z193" i="12" s="1"/>
  <c r="X260" i="12"/>
  <c r="Y260" i="12" s="1"/>
  <c r="Z260" i="12" s="1"/>
  <c r="X128" i="12"/>
  <c r="Y128" i="12" s="1"/>
  <c r="Z128" i="12" s="1"/>
  <c r="X204" i="12"/>
  <c r="Y204" i="12" s="1"/>
  <c r="Z204" i="12" s="1"/>
  <c r="X69" i="12"/>
  <c r="Y69" i="12" s="1"/>
  <c r="Z69" i="12" s="1"/>
  <c r="X35" i="12"/>
  <c r="Y35" i="12" s="1"/>
  <c r="Z35" i="12" s="1"/>
  <c r="X75" i="12"/>
  <c r="Y75" i="12" s="1"/>
  <c r="Z75" i="12" s="1"/>
  <c r="X261" i="12"/>
  <c r="Y261" i="12" s="1"/>
  <c r="Z261" i="12" s="1"/>
  <c r="X262" i="12"/>
  <c r="Y262" i="12" s="1"/>
  <c r="Z262" i="12" s="1"/>
  <c r="X154" i="12"/>
  <c r="Y154" i="12" s="1"/>
  <c r="Z154" i="12" s="1"/>
  <c r="X263" i="12"/>
  <c r="Y263" i="12" s="1"/>
  <c r="Z263" i="12" s="1"/>
  <c r="X178" i="12"/>
  <c r="Y178" i="12" s="1"/>
  <c r="Z178" i="12" s="1"/>
  <c r="X264" i="12"/>
  <c r="Y264" i="12" s="1"/>
  <c r="Z264" i="12" s="1"/>
  <c r="X265" i="12"/>
  <c r="Y265" i="12" s="1"/>
  <c r="Z265" i="12" s="1"/>
  <c r="X30" i="12"/>
  <c r="Y30" i="12" s="1"/>
  <c r="Z30" i="12" s="1"/>
  <c r="X219" i="12"/>
  <c r="Y219" i="12" s="1"/>
  <c r="Z219" i="12" s="1"/>
  <c r="X89" i="12"/>
  <c r="Y89" i="12" s="1"/>
  <c r="Z89" i="12" s="1"/>
  <c r="X54" i="12"/>
  <c r="Y54" i="12" s="1"/>
  <c r="Z54" i="12" s="1"/>
  <c r="X120" i="12"/>
  <c r="Y120" i="12" s="1"/>
  <c r="Z120" i="12" s="1"/>
  <c r="X17" i="12"/>
  <c r="Y17" i="12" s="1"/>
  <c r="Z17" i="12" s="1"/>
  <c r="X135" i="12"/>
  <c r="Y135" i="12" s="1"/>
  <c r="Z135" i="12" s="1"/>
  <c r="X11" i="12"/>
  <c r="Y11" i="12" s="1"/>
  <c r="Z11" i="12" s="1"/>
  <c r="X266" i="12"/>
  <c r="Y266" i="12" s="1"/>
  <c r="Z266" i="12" s="1"/>
  <c r="X13" i="12"/>
  <c r="Y13" i="12" s="1"/>
  <c r="Z13" i="12" s="1"/>
  <c r="X20" i="12"/>
  <c r="Y20" i="12" s="1"/>
  <c r="Z20" i="12" s="1"/>
  <c r="X8" i="12"/>
  <c r="Y8" i="12" s="1"/>
  <c r="Z8" i="12" s="1"/>
  <c r="X9" i="12"/>
  <c r="Y9" i="12" s="1"/>
  <c r="Z9" i="12" s="1"/>
  <c r="X12" i="12"/>
  <c r="Y12" i="12" s="1"/>
  <c r="Z12" i="12" s="1"/>
  <c r="X213" i="12"/>
  <c r="Y213" i="12" s="1"/>
  <c r="Z213" i="12" s="1"/>
  <c r="X19" i="12"/>
  <c r="Y19" i="12" s="1"/>
  <c r="Z19" i="12" s="1"/>
  <c r="X252" i="12"/>
  <c r="Y252" i="12" s="1"/>
  <c r="Z252" i="12" s="1"/>
  <c r="X239" i="12"/>
  <c r="Y239" i="12" s="1"/>
  <c r="Z239" i="12" s="1"/>
  <c r="X23" i="12"/>
  <c r="Y23" i="12" s="1"/>
  <c r="Z23" i="12" s="1"/>
  <c r="X123" i="12"/>
  <c r="Y123" i="12" s="1"/>
  <c r="Z123" i="12" s="1"/>
  <c r="X94" i="12"/>
  <c r="Y94" i="12" s="1"/>
  <c r="Z94" i="12" s="1"/>
  <c r="X10" i="12"/>
  <c r="Y10" i="12" s="1"/>
  <c r="Z10" i="12" s="1"/>
  <c r="X241" i="12"/>
  <c r="Y241" i="12" s="1"/>
  <c r="Z241" i="12" s="1"/>
  <c r="X267" i="12"/>
  <c r="Y267" i="12" s="1"/>
  <c r="Z267" i="12" s="1"/>
  <c r="X231" i="12"/>
  <c r="Y231" i="12" s="1"/>
  <c r="Z231" i="12" s="1"/>
  <c r="X189" i="12"/>
  <c r="Y189" i="12" s="1"/>
  <c r="Z189" i="12" s="1"/>
  <c r="X214" i="12"/>
  <c r="Y214" i="12" s="1"/>
  <c r="Z214" i="12" s="1"/>
  <c r="X200" i="12"/>
  <c r="Y200" i="12" s="1"/>
  <c r="Z200" i="12" s="1"/>
  <c r="X129" i="12"/>
  <c r="Y129" i="12" s="1"/>
  <c r="Z129" i="12" s="1"/>
  <c r="X167" i="12"/>
  <c r="Y167" i="12" s="1"/>
  <c r="Z167" i="12" s="1"/>
  <c r="X40" i="12"/>
  <c r="Y40" i="12" s="1"/>
  <c r="Z40" i="12" s="1"/>
  <c r="X184" i="12"/>
  <c r="Y184" i="12" s="1"/>
  <c r="Z184" i="12" s="1"/>
  <c r="X156" i="12"/>
  <c r="Y156" i="12" s="1"/>
  <c r="Z156" i="12" s="1"/>
  <c r="X242" i="12"/>
  <c r="Y242" i="12" s="1"/>
  <c r="Z242" i="12" s="1"/>
  <c r="X276" i="12"/>
  <c r="Y276" i="12" s="1"/>
  <c r="Z276" i="12" s="1"/>
  <c r="X268" i="12"/>
  <c r="Y268" i="12" s="1"/>
  <c r="Z268" i="12" s="1"/>
  <c r="X269" i="12"/>
  <c r="Y269" i="12" s="1"/>
  <c r="Z269" i="12" s="1"/>
  <c r="X143" i="12"/>
  <c r="Y143" i="12" s="1"/>
  <c r="Z143" i="12" s="1"/>
  <c r="X159" i="12"/>
  <c r="Y159" i="12" s="1"/>
  <c r="Z159" i="12" s="1"/>
  <c r="X76" i="12"/>
  <c r="Y76" i="12" s="1"/>
  <c r="Z76" i="12" s="1"/>
  <c r="X145" i="12"/>
  <c r="Y145" i="12" s="1"/>
  <c r="Z145" i="12" s="1"/>
  <c r="X63" i="12"/>
  <c r="Y63" i="12" s="1"/>
  <c r="Z63" i="12" s="1"/>
  <c r="X216" i="12"/>
  <c r="Y216" i="12" s="1"/>
  <c r="Z216" i="12" s="1"/>
  <c r="X270" i="12"/>
  <c r="Y270" i="12" s="1"/>
  <c r="Z270" i="12" s="1"/>
  <c r="X136" i="12"/>
  <c r="Y136" i="12" s="1"/>
  <c r="Z136" i="12" s="1"/>
  <c r="X197" i="12"/>
  <c r="Y197" i="12" s="1"/>
  <c r="Z197" i="12" s="1"/>
  <c r="X196" i="12"/>
  <c r="Y196" i="12" s="1"/>
  <c r="Z196" i="12" s="1"/>
  <c r="X175" i="12"/>
  <c r="Y175" i="12" s="1"/>
  <c r="Z175" i="12" s="1"/>
  <c r="X218" i="12"/>
  <c r="Y218" i="12" s="1"/>
  <c r="Z218" i="12" s="1"/>
  <c r="X245" i="12"/>
  <c r="Y245" i="12" s="1"/>
  <c r="Z245" i="12" s="1"/>
  <c r="X271" i="12"/>
  <c r="Y271" i="12" s="1"/>
  <c r="Z271" i="12" s="1"/>
  <c r="X272" i="12"/>
  <c r="Y272" i="12" s="1"/>
  <c r="Z272" i="12" s="1"/>
  <c r="X148" i="12"/>
  <c r="Y148" i="12" s="1"/>
  <c r="Z148" i="12" s="1"/>
  <c r="X46" i="12"/>
  <c r="Y46" i="12" s="1"/>
  <c r="Z46" i="12" s="1"/>
  <c r="X199" i="12"/>
  <c r="Y199" i="12" s="1"/>
  <c r="Z199" i="12" s="1"/>
  <c r="X77" i="12"/>
  <c r="Y77" i="12" s="1"/>
  <c r="Z77" i="12" s="1"/>
  <c r="X92" i="12"/>
  <c r="Y92" i="12" s="1"/>
  <c r="Z92" i="12" s="1"/>
  <c r="X138" i="12"/>
  <c r="Y138" i="12" s="1"/>
  <c r="Z138" i="12" s="1"/>
  <c r="X107" i="12"/>
  <c r="Y107" i="12" s="1"/>
  <c r="Z107" i="12" s="1"/>
  <c r="X273" i="12"/>
  <c r="Y273" i="12" s="1"/>
  <c r="Z273" i="12" s="1"/>
  <c r="X55" i="12"/>
  <c r="Y55" i="12" s="1"/>
  <c r="Z55" i="12" s="1"/>
  <c r="X60" i="12"/>
  <c r="Y60" i="12" s="1"/>
  <c r="Z60" i="12" s="1"/>
  <c r="X217" i="12"/>
  <c r="Y217" i="12" s="1"/>
  <c r="Z217" i="12" s="1"/>
  <c r="X190" i="12"/>
  <c r="Y190" i="12" s="1"/>
  <c r="Z190" i="12" s="1"/>
  <c r="X194" i="12"/>
  <c r="Y194" i="12" s="1"/>
  <c r="Z194" i="12" s="1"/>
  <c r="X203" i="12"/>
  <c r="Y203" i="12" s="1"/>
  <c r="Z203" i="12" s="1"/>
  <c r="X132" i="12"/>
  <c r="Y132" i="12" s="1"/>
  <c r="Z132" i="12" s="1"/>
  <c r="X274" i="12"/>
  <c r="Y274" i="12" s="1"/>
  <c r="Z274" i="12" s="1"/>
  <c r="X26" i="12"/>
  <c r="Y26" i="12" s="1"/>
  <c r="Z26" i="12" s="1"/>
  <c r="X275" i="12"/>
  <c r="Y275" i="12" s="1"/>
  <c r="Z275" i="12" s="1"/>
  <c r="X7" i="12"/>
  <c r="Y7" i="12" s="1"/>
  <c r="Z7" i="12" s="1"/>
  <c r="X238" i="12"/>
  <c r="Y238" i="12" s="1"/>
  <c r="Z238" i="12" s="1"/>
  <c r="X61" i="12"/>
  <c r="Y61" i="12" s="1"/>
  <c r="Z61" i="12" s="1"/>
  <c r="X188" i="12"/>
  <c r="Y188" i="12" s="1"/>
  <c r="Z188" i="12" s="1"/>
  <c r="X222" i="12"/>
  <c r="Y222" i="12" s="1"/>
  <c r="Z222" i="12" s="1"/>
  <c r="X6" i="12"/>
  <c r="Y6" i="12" s="1"/>
  <c r="Z6" i="12" s="1"/>
  <c r="X278" i="12"/>
  <c r="Y278" i="12" s="1"/>
  <c r="Z278" i="12" s="1"/>
  <c r="X93" i="12"/>
  <c r="Y93" i="12" s="1"/>
  <c r="Z93" i="12" s="1"/>
  <c r="X151" i="12"/>
  <c r="Y151" i="12" s="1"/>
  <c r="Z151" i="12" s="1"/>
  <c r="X4" i="12"/>
  <c r="Y4" i="12" s="1"/>
  <c r="Z4" i="12" s="1"/>
  <c r="X112" i="12"/>
  <c r="Y112" i="12" s="1"/>
  <c r="Z112" i="12" s="1"/>
  <c r="X220" i="12"/>
  <c r="Y220" i="12" s="1"/>
  <c r="Z220" i="12" s="1"/>
  <c r="X234" i="12"/>
  <c r="Y234" i="12" s="1"/>
  <c r="Z234" i="12" s="1"/>
  <c r="X125" i="12"/>
  <c r="Y125" i="12" s="1"/>
  <c r="Z125" i="12" s="1"/>
  <c r="X153" i="12"/>
  <c r="Y153" i="12" s="1"/>
  <c r="Z153" i="12" s="1"/>
  <c r="X280" i="12"/>
  <c r="Y280" i="12" s="1"/>
  <c r="Z280" i="12" s="1"/>
  <c r="X86" i="12"/>
  <c r="Y86" i="12" s="1"/>
  <c r="Z86" i="12" s="1"/>
  <c r="X137" i="12"/>
  <c r="Y137" i="12" s="1"/>
  <c r="Z137" i="12" s="1"/>
  <c r="X226" i="12"/>
  <c r="Y226" i="12" s="1"/>
  <c r="Z226" i="12" s="1"/>
  <c r="X281" i="12"/>
  <c r="Y281" i="12" s="1"/>
  <c r="Z281" i="12" s="1"/>
  <c r="X83" i="12"/>
  <c r="Y83" i="12" s="1"/>
  <c r="Z83" i="12" s="1"/>
  <c r="X201" i="12"/>
  <c r="Y201" i="12" s="1"/>
  <c r="Z201" i="12" s="1"/>
  <c r="X179" i="12"/>
  <c r="Y179" i="12" s="1"/>
  <c r="Z179" i="12" s="1"/>
  <c r="X211" i="12"/>
  <c r="Y211" i="12" s="1"/>
  <c r="Z211" i="12" s="1"/>
  <c r="X251" i="12"/>
  <c r="Y251" i="12" s="1"/>
  <c r="Z251" i="12" s="1"/>
  <c r="X164" i="12"/>
  <c r="Y164" i="12" s="1"/>
  <c r="Z164" i="12" s="1"/>
  <c r="X240" i="12"/>
  <c r="Y240" i="12" s="1"/>
  <c r="Z240" i="12" s="1"/>
  <c r="X140" i="12"/>
  <c r="Y140" i="12" s="1"/>
  <c r="Z140" i="12" s="1"/>
  <c r="X282" i="12"/>
  <c r="Y282" i="12" s="1"/>
  <c r="Z282" i="12" s="1"/>
  <c r="X248" i="12"/>
  <c r="Y248" i="12" s="1"/>
  <c r="Z248" i="12" s="1"/>
  <c r="X283" i="12"/>
  <c r="Y283" i="12" s="1"/>
  <c r="Z283" i="12" s="1"/>
  <c r="X15" i="12"/>
  <c r="Y15" i="12" s="1"/>
  <c r="Z15" i="12" s="1"/>
  <c r="X284" i="12"/>
  <c r="Y284" i="12" s="1"/>
  <c r="Z284" i="12" s="1"/>
  <c r="X285" i="12"/>
  <c r="Y285" i="12" s="1"/>
  <c r="Z285" i="12" s="1"/>
  <c r="X229" i="12"/>
  <c r="Y229" i="12" s="1"/>
  <c r="Z229" i="12" s="1"/>
  <c r="X286" i="12"/>
  <c r="Y286" i="12" s="1"/>
  <c r="Z286" i="12" s="1"/>
  <c r="X130" i="12"/>
  <c r="Y130" i="12" s="1"/>
  <c r="Z130" i="12" s="1"/>
  <c r="X24" i="12"/>
  <c r="Y24" i="12" s="1"/>
  <c r="Z24" i="12" s="1"/>
  <c r="X114" i="12"/>
  <c r="Y114" i="12" s="1"/>
  <c r="Z114" i="12" s="1"/>
  <c r="X168" i="12"/>
  <c r="Y168" i="12" s="1"/>
  <c r="Z168" i="12" s="1"/>
  <c r="X215" i="12"/>
  <c r="Y215" i="12" s="1"/>
  <c r="Z215" i="12" s="1"/>
  <c r="X146" i="12"/>
  <c r="Y146" i="12" s="1"/>
  <c r="Z146" i="12" s="1"/>
  <c r="X119" i="12"/>
  <c r="Y119" i="12" s="1"/>
  <c r="Z119" i="12" s="1"/>
  <c r="X70" i="12"/>
  <c r="Y70" i="12" s="1"/>
  <c r="Z70" i="12" s="1"/>
  <c r="X180" i="12"/>
  <c r="Y180" i="12" s="1"/>
  <c r="Z180" i="12" s="1"/>
  <c r="X287" i="12"/>
  <c r="Y287" i="12" s="1"/>
  <c r="Z287" i="12" s="1"/>
  <c r="X81" i="12"/>
  <c r="Y81" i="12" s="1"/>
  <c r="Z81" i="12" s="1"/>
  <c r="X99" i="12"/>
  <c r="Y99" i="12" s="1"/>
  <c r="Z99" i="12" s="1"/>
  <c r="X117" i="12"/>
  <c r="Y117" i="12" s="1"/>
  <c r="Z117" i="12" s="1"/>
  <c r="X101" i="12"/>
  <c r="Y101" i="12" s="1"/>
  <c r="Z101" i="12" s="1"/>
  <c r="X177" i="12"/>
  <c r="Y177" i="12" s="1"/>
  <c r="Z177" i="12" s="1"/>
  <c r="X52" i="12"/>
  <c r="Y52" i="12" s="1"/>
  <c r="Z52" i="12" s="1"/>
  <c r="X74" i="12"/>
  <c r="Y74" i="12" s="1"/>
  <c r="Z74" i="12" s="1"/>
  <c r="X50" i="12"/>
  <c r="Y50" i="12" s="1"/>
  <c r="Z50" i="12" s="1"/>
  <c r="X16" i="12"/>
  <c r="Y16" i="12" s="1"/>
  <c r="Z16" i="12" s="1"/>
  <c r="X288" i="12"/>
  <c r="Y288" i="12" s="1"/>
  <c r="Z288" i="12" s="1"/>
  <c r="X289" i="12"/>
  <c r="Y289" i="12" s="1"/>
  <c r="Z289" i="12" s="1"/>
  <c r="X223" i="12"/>
  <c r="Y223" i="12" s="1"/>
  <c r="Z223" i="12" s="1"/>
  <c r="X172" i="12"/>
  <c r="Y172" i="12" s="1"/>
  <c r="Z172" i="12" s="1"/>
  <c r="X192" i="12"/>
  <c r="Y192" i="12" s="1"/>
  <c r="Z192" i="12" s="1"/>
  <c r="X97" i="12"/>
  <c r="Y97" i="12" s="1"/>
  <c r="Z97" i="12" s="1"/>
  <c r="X173" i="12"/>
  <c r="Y173" i="12" s="1"/>
  <c r="Z173" i="12" s="1"/>
  <c r="X290" i="12"/>
  <c r="Y290" i="12" s="1"/>
  <c r="Z290" i="12" s="1"/>
  <c r="X291" i="12"/>
  <c r="Y291" i="12" s="1"/>
  <c r="Z291" i="12" s="1"/>
  <c r="X292" i="12"/>
  <c r="Y292" i="12" s="1"/>
  <c r="Z292" i="12" s="1"/>
  <c r="X293" i="12"/>
  <c r="Y293" i="12" s="1"/>
  <c r="Z293" i="12" s="1"/>
  <c r="X139" i="12"/>
  <c r="Y139" i="12" s="1"/>
  <c r="Z139" i="12" s="1"/>
  <c r="X121" i="12"/>
  <c r="Y121" i="12" s="1"/>
  <c r="Z121" i="12" s="1"/>
  <c r="X294" i="12"/>
  <c r="Y294" i="12" s="1"/>
  <c r="Z294" i="12" s="1"/>
  <c r="X198" i="12"/>
  <c r="Y198" i="12" s="1"/>
  <c r="Z198" i="12" s="1"/>
  <c r="X295" i="12"/>
  <c r="Y295" i="12" s="1"/>
  <c r="Z295" i="12" s="1"/>
  <c r="X296" i="12"/>
  <c r="Y296" i="12" s="1"/>
  <c r="Z296" i="12" s="1"/>
  <c r="X297" i="12"/>
  <c r="Y297" i="12" s="1"/>
  <c r="Z297" i="12" s="1"/>
  <c r="X298" i="12"/>
  <c r="Y298" i="12" s="1"/>
  <c r="Z298" i="12" s="1"/>
  <c r="X113" i="12"/>
  <c r="Y113" i="12" s="1"/>
  <c r="Z113" i="12" s="1"/>
  <c r="X25" i="12"/>
  <c r="Y25" i="12" s="1"/>
  <c r="Z25" i="12" s="1"/>
  <c r="X149" i="12"/>
  <c r="Y149" i="12" s="1"/>
  <c r="Z149" i="12" s="1"/>
  <c r="X209" i="12"/>
  <c r="Y209" i="12" s="1"/>
  <c r="Z209" i="12" s="1"/>
  <c r="X202" i="12"/>
  <c r="Y202" i="12" s="1"/>
  <c r="Z202" i="12" s="1"/>
  <c r="X57" i="12"/>
  <c r="Y57" i="12" s="1"/>
  <c r="Z57" i="12" s="1"/>
  <c r="X44" i="12"/>
  <c r="Y44" i="12" s="1"/>
  <c r="Z44" i="12" s="1"/>
  <c r="X233" i="12"/>
  <c r="Y233" i="12" s="1"/>
  <c r="Z233" i="12" s="1"/>
  <c r="X299" i="12"/>
  <c r="Y299" i="12" s="1"/>
  <c r="Z299" i="12" s="1"/>
  <c r="X47" i="12"/>
  <c r="Y47" i="12" s="1"/>
  <c r="Z47" i="12" s="1"/>
  <c r="X71" i="12"/>
  <c r="Y71" i="12" s="1"/>
  <c r="Z71" i="12" s="1"/>
  <c r="X88" i="12"/>
  <c r="Y88" i="12" s="1"/>
  <c r="Z88" i="12" s="1"/>
  <c r="X106" i="12"/>
  <c r="Y106" i="12" s="1"/>
  <c r="Z106" i="12" s="1"/>
  <c r="X244" i="12"/>
  <c r="Y244" i="12" s="1"/>
  <c r="Z244" i="12" s="1"/>
  <c r="X27" i="12"/>
  <c r="Y27" i="12" s="1"/>
  <c r="Z27" i="12" s="1"/>
  <c r="X162" i="12"/>
  <c r="Y162" i="12" s="1"/>
  <c r="Z162" i="12" s="1"/>
  <c r="X147" i="12"/>
  <c r="Y147" i="12" s="1"/>
  <c r="Z147" i="12" s="1"/>
  <c r="X110" i="12"/>
  <c r="Y110" i="12" s="1"/>
  <c r="Z110" i="12" s="1"/>
  <c r="X232" i="12"/>
  <c r="Y232" i="12" s="1"/>
  <c r="Z232" i="12" s="1"/>
  <c r="X300" i="12"/>
  <c r="Y300" i="12" s="1"/>
  <c r="Z300" i="12" s="1"/>
  <c r="X115" i="12"/>
  <c r="Y115" i="12" s="1"/>
  <c r="Z115" i="12" s="1"/>
  <c r="X108" i="12"/>
  <c r="Y108" i="12" s="1"/>
  <c r="Z108" i="12" s="1"/>
  <c r="X53" i="12"/>
  <c r="Y53" i="12" s="1"/>
  <c r="Z53" i="12" s="1"/>
  <c r="X227" i="12"/>
  <c r="Y227" i="12" s="1"/>
  <c r="Z227" i="12" s="1"/>
  <c r="X95" i="12"/>
  <c r="Y95" i="12" s="1"/>
  <c r="Z95" i="12" s="1"/>
  <c r="X43" i="12"/>
  <c r="Y43" i="12" s="1"/>
  <c r="Z43" i="12" s="1"/>
  <c r="X191" i="12"/>
  <c r="Y191" i="12" s="1"/>
  <c r="Z191" i="12" s="1"/>
  <c r="X301" i="12"/>
  <c r="Y301" i="12" s="1"/>
  <c r="Z301" i="12" s="1"/>
  <c r="X133" i="12"/>
  <c r="Y133" i="12" s="1"/>
  <c r="Z133" i="12" s="1"/>
  <c r="X302" i="12"/>
  <c r="Y302" i="12" s="1"/>
  <c r="Z302" i="12" s="1"/>
  <c r="X171" i="12"/>
  <c r="Y171" i="12" s="1"/>
  <c r="Z171" i="12" s="1"/>
  <c r="X85" i="12"/>
  <c r="Y85" i="12" s="1"/>
  <c r="Z85" i="12" s="1"/>
  <c r="X126" i="12"/>
  <c r="Y126" i="12" s="1"/>
  <c r="Z126" i="12" s="1"/>
  <c r="X235" i="12"/>
  <c r="Y235" i="12" s="1"/>
  <c r="Z235" i="12" s="1"/>
  <c r="X90" i="12"/>
  <c r="Y90" i="12" s="1"/>
  <c r="Z90" i="12" s="1"/>
  <c r="X150" i="12"/>
  <c r="Y150" i="12" s="1"/>
  <c r="Z150" i="12" s="1"/>
  <c r="X187" i="12"/>
  <c r="Y187" i="12" s="1"/>
  <c r="Z187" i="12" s="1"/>
  <c r="X166" i="12"/>
  <c r="Y166" i="12" s="1"/>
  <c r="Z166" i="12" s="1"/>
  <c r="X39" i="12"/>
  <c r="Y39" i="12" s="1"/>
  <c r="Z39" i="12" s="1"/>
  <c r="X98" i="12"/>
  <c r="Y98" i="12" s="1"/>
  <c r="Z98" i="12" s="1"/>
  <c r="X303" i="12"/>
  <c r="Y303" i="12" s="1"/>
  <c r="Z303" i="12" s="1"/>
  <c r="X157" i="12"/>
  <c r="Y157" i="12" s="1"/>
  <c r="Z157" i="12" s="1"/>
  <c r="X141" i="12"/>
  <c r="Y141" i="12" s="1"/>
  <c r="Z141" i="12" s="1"/>
  <c r="X116" i="12"/>
  <c r="Y116" i="12" s="1"/>
  <c r="Z116" i="12" s="1"/>
  <c r="X104" i="12"/>
  <c r="Y104" i="12" s="1"/>
  <c r="Z104" i="12" s="1"/>
  <c r="X243" i="12"/>
  <c r="Y243" i="12" s="1"/>
  <c r="Z243" i="12" s="1"/>
  <c r="X230" i="12"/>
  <c r="Y230" i="12" s="1"/>
  <c r="Z230" i="12" s="1"/>
  <c r="X18" i="12"/>
  <c r="Y18" i="12" s="1"/>
  <c r="Z18" i="12" s="1"/>
  <c r="X205" i="12"/>
  <c r="Y205" i="12" s="1"/>
  <c r="Z205" i="12" s="1"/>
  <c r="X109" i="12"/>
  <c r="Y109" i="12" s="1"/>
  <c r="Z109" i="12" s="1"/>
  <c r="X67" i="12"/>
  <c r="Y67" i="12" s="1"/>
  <c r="Z67" i="12" s="1"/>
  <c r="X304" i="12"/>
  <c r="Y304" i="12" s="1"/>
  <c r="Z304" i="12" s="1"/>
  <c r="X305" i="12"/>
  <c r="Y305" i="12" s="1"/>
  <c r="Z305" i="12" s="1"/>
  <c r="X169" i="12"/>
  <c r="Y169" i="12" s="1"/>
  <c r="Z169" i="12" s="1"/>
  <c r="X42" i="12"/>
  <c r="Y42" i="12" s="1"/>
  <c r="Z42" i="12" s="1"/>
  <c r="X122" i="12"/>
  <c r="Y122" i="12" s="1"/>
  <c r="Z122" i="12" s="1"/>
  <c r="X73" i="12"/>
  <c r="Y73" i="12" s="1"/>
  <c r="Z73" i="12" s="1"/>
  <c r="X212" i="12"/>
  <c r="Y212" i="12" s="1"/>
  <c r="Z212" i="12" s="1"/>
  <c r="X134" i="12"/>
  <c r="Y134" i="12" s="1"/>
  <c r="Z134" i="12" s="1"/>
  <c r="X79" i="12"/>
  <c r="Y79" i="12" s="1"/>
  <c r="Z79" i="12" s="1"/>
  <c r="X206" i="12"/>
  <c r="Y206" i="12" s="1"/>
  <c r="Z206" i="12" s="1"/>
  <c r="X306" i="12"/>
  <c r="Y306" i="12" s="1"/>
  <c r="Z306" i="12" s="1"/>
  <c r="X210" i="12"/>
  <c r="Y210" i="12" s="1"/>
  <c r="Z210" i="12" s="1"/>
  <c r="X65" i="12"/>
  <c r="Y65" i="12" s="1"/>
  <c r="Z65" i="12" s="1"/>
  <c r="X165" i="12"/>
  <c r="Y165" i="12" s="1"/>
  <c r="Z165" i="12" s="1"/>
  <c r="X307" i="12"/>
  <c r="Y307" i="12" s="1"/>
  <c r="Z307" i="12" s="1"/>
  <c r="X131" i="12"/>
  <c r="Y131" i="12" s="1"/>
  <c r="Z131" i="12" s="1"/>
  <c r="X58" i="12"/>
  <c r="Y58" i="12" s="1"/>
  <c r="Z58" i="12" s="1"/>
  <c r="X308" i="12"/>
  <c r="Y308" i="12" s="1"/>
  <c r="Z308" i="12" s="1"/>
  <c r="X118" i="12"/>
  <c r="Y118" i="12" s="1"/>
  <c r="Z118" i="12" s="1"/>
  <c r="X111" i="12"/>
  <c r="Y111" i="12" s="1"/>
  <c r="Z111" i="12" s="1"/>
  <c r="X68" i="12"/>
  <c r="Y68" i="12" s="1"/>
  <c r="Z68" i="12" s="1"/>
  <c r="X127" i="12"/>
  <c r="Y127" i="12" s="1"/>
  <c r="Z127" i="12" s="1"/>
  <c r="X105" i="12"/>
  <c r="Y105" i="12" s="1"/>
  <c r="Z105" i="12" s="1"/>
  <c r="X144" i="12"/>
  <c r="Y144" i="12" s="1"/>
  <c r="Z144" i="12" s="1"/>
  <c r="X62" i="12"/>
  <c r="Y62" i="12" s="1"/>
  <c r="Z62" i="12" s="1"/>
  <c r="X221" i="12"/>
  <c r="Y221" i="12" s="1"/>
  <c r="Z221" i="12" s="1"/>
  <c r="X208" i="12"/>
  <c r="Y208" i="12" s="1"/>
  <c r="Z208" i="12" s="1"/>
  <c r="X309" i="12"/>
  <c r="Y309" i="12" s="1"/>
  <c r="Z309" i="12" s="1"/>
  <c r="X310" i="12"/>
  <c r="Y310" i="12" s="1"/>
  <c r="Z310" i="12" s="1"/>
  <c r="X311" i="12"/>
  <c r="Y311" i="12" s="1"/>
  <c r="Z311" i="12" s="1"/>
  <c r="X176" i="12"/>
  <c r="Y176" i="12" s="1"/>
  <c r="Z176" i="12" s="1"/>
  <c r="X72" i="12"/>
  <c r="Y72" i="12" s="1"/>
  <c r="Z72" i="12" s="1"/>
  <c r="X174" i="12"/>
  <c r="Y174" i="12" s="1"/>
  <c r="Z174" i="12" s="1"/>
  <c r="X312" i="12"/>
  <c r="Y312" i="12" s="1"/>
  <c r="Z312" i="12" s="1"/>
  <c r="X313" i="12"/>
  <c r="Y313" i="12" s="1"/>
  <c r="Z313" i="12" s="1"/>
  <c r="X314" i="12"/>
  <c r="Y314" i="12" s="1"/>
  <c r="Z314" i="12" s="1"/>
  <c r="X38" i="12"/>
  <c r="Y38" i="12" s="1"/>
  <c r="Z38" i="12" s="1"/>
  <c r="X315" i="12"/>
  <c r="Y315" i="12" s="1"/>
  <c r="Z315" i="12" s="1"/>
  <c r="X91" i="12"/>
  <c r="Y91" i="12" s="1"/>
  <c r="Z91" i="12" s="1"/>
  <c r="X36" i="12"/>
  <c r="Y36" i="12" s="1"/>
  <c r="Z36" i="12" s="1"/>
  <c r="X64" i="12"/>
  <c r="Y64" i="12" s="1"/>
  <c r="Z64" i="12" s="1"/>
  <c r="X49" i="12"/>
  <c r="Y49" i="12" s="1"/>
  <c r="Z49" i="12" s="1"/>
  <c r="X32" i="12"/>
  <c r="Y32" i="12" s="1"/>
  <c r="Z32" i="12" s="1"/>
  <c r="X37" i="12"/>
  <c r="Y37" i="12" s="1"/>
  <c r="Z37" i="12" s="1"/>
  <c r="X170" i="12"/>
  <c r="Y170" i="12" s="1"/>
  <c r="Z170" i="12" s="1"/>
  <c r="X5" i="12"/>
  <c r="Y5" i="12" s="1"/>
  <c r="Z5" i="12" s="1"/>
  <c r="X22" i="12"/>
  <c r="Y22" i="12" s="1"/>
  <c r="Z22" i="12" s="1"/>
  <c r="X45" i="12"/>
  <c r="Y45" i="12" s="1"/>
  <c r="Z45" i="12" s="1"/>
  <c r="X160" i="12"/>
  <c r="Y160" i="12" s="1"/>
  <c r="Z160" i="12" s="1"/>
  <c r="X103" i="12"/>
  <c r="Y103" i="12" s="1"/>
  <c r="Z103" i="12" s="1"/>
  <c r="X34" i="12"/>
  <c r="Y34" i="12" s="1"/>
  <c r="Z34" i="12" s="1"/>
  <c r="X142" i="12"/>
  <c r="Y142" i="12" s="1"/>
  <c r="Z142" i="12" s="1"/>
  <c r="X80" i="12"/>
  <c r="Y80" i="12" s="1"/>
  <c r="Z80" i="12" s="1"/>
  <c r="X56" i="12"/>
  <c r="Y56" i="12" s="1"/>
  <c r="Z56" i="12" s="1"/>
  <c r="X51" i="12"/>
  <c r="Y51" i="12" s="1"/>
  <c r="Z51" i="12" s="1"/>
  <c r="X41" i="12"/>
  <c r="Y41" i="12" s="1"/>
  <c r="Z41" i="12" s="1"/>
  <c r="X317" i="12"/>
  <c r="Y317" i="12" s="1"/>
  <c r="Z317" i="12" s="1"/>
  <c r="X318" i="12"/>
  <c r="Y318" i="12" s="1"/>
  <c r="Z318" i="12" s="1"/>
  <c r="X319" i="12"/>
  <c r="Y319" i="12" s="1"/>
  <c r="Z319" i="12" s="1"/>
  <c r="X320" i="12"/>
  <c r="Y320" i="12" s="1"/>
  <c r="Z320" i="12" s="1"/>
  <c r="X321" i="12"/>
  <c r="Y321" i="12" s="1"/>
  <c r="Z321" i="12" s="1"/>
  <c r="X322" i="12"/>
  <c r="Y322" i="12" s="1"/>
  <c r="Z322" i="12" s="1"/>
  <c r="U158" i="12"/>
  <c r="V158" i="12" s="1"/>
  <c r="W158" i="12" s="1"/>
  <c r="U87" i="12"/>
  <c r="V87" i="12" s="1"/>
  <c r="W87" i="12" s="1"/>
  <c r="U31" i="12"/>
  <c r="V31" i="12" s="1"/>
  <c r="W31" i="12" s="1"/>
  <c r="U246" i="12"/>
  <c r="V246" i="12" s="1"/>
  <c r="W246" i="12" s="1"/>
  <c r="U33" i="12"/>
  <c r="V33" i="12" s="1"/>
  <c r="W33" i="12" s="1"/>
  <c r="U247" i="12"/>
  <c r="V247" i="12" s="1"/>
  <c r="W247" i="12" s="1"/>
  <c r="U48" i="12"/>
  <c r="V48" i="12" s="1"/>
  <c r="W48" i="12" s="1"/>
  <c r="U100" i="12"/>
  <c r="V100" i="12" s="1"/>
  <c r="W100" i="12" s="1"/>
  <c r="U277" i="12"/>
  <c r="V277" i="12" s="1"/>
  <c r="W277" i="12" s="1"/>
  <c r="U96" i="12"/>
  <c r="V96" i="12" s="1"/>
  <c r="W96" i="12" s="1"/>
  <c r="U161" i="12"/>
  <c r="V161" i="12" s="1"/>
  <c r="W161" i="12" s="1"/>
  <c r="U29" i="12"/>
  <c r="V29" i="12" s="1"/>
  <c r="W29" i="12" s="1"/>
  <c r="U195" i="12"/>
  <c r="V195" i="12" s="1"/>
  <c r="W195" i="12" s="1"/>
  <c r="U155" i="12"/>
  <c r="V155" i="12" s="1"/>
  <c r="W155" i="12" s="1"/>
  <c r="U185" i="12"/>
  <c r="V185" i="12" s="1"/>
  <c r="W185" i="12" s="1"/>
  <c r="U249" i="12"/>
  <c r="V249" i="12" s="1"/>
  <c r="W249" i="12" s="1"/>
  <c r="U250" i="12"/>
  <c r="V250" i="12" s="1"/>
  <c r="W250" i="12" s="1"/>
  <c r="U21" i="12"/>
  <c r="V21" i="12" s="1"/>
  <c r="W21" i="12" s="1"/>
  <c r="U163" i="12"/>
  <c r="V163" i="12" s="1"/>
  <c r="W163" i="12" s="1"/>
  <c r="U102" i="12"/>
  <c r="V102" i="12" s="1"/>
  <c r="W102" i="12" s="1"/>
  <c r="U279" i="12"/>
  <c r="V279" i="12" s="1"/>
  <c r="W279" i="12" s="1"/>
  <c r="U316" i="12"/>
  <c r="V316" i="12" s="1"/>
  <c r="W316" i="12" s="1"/>
  <c r="U253" i="12"/>
  <c r="V253" i="12" s="1"/>
  <c r="W253" i="12" s="1"/>
  <c r="U182" i="12"/>
  <c r="V182" i="12" s="1"/>
  <c r="W182" i="12" s="1"/>
  <c r="U59" i="12"/>
  <c r="V59" i="12" s="1"/>
  <c r="W59" i="12" s="1"/>
  <c r="U14" i="12"/>
  <c r="V14" i="12" s="1"/>
  <c r="W14" i="12" s="1"/>
  <c r="U66" i="12"/>
  <c r="V66" i="12" s="1"/>
  <c r="W66" i="12" s="1"/>
  <c r="U181" i="12"/>
  <c r="V181" i="12" s="1"/>
  <c r="W181" i="12" s="1"/>
  <c r="U254" i="12"/>
  <c r="V254" i="12" s="1"/>
  <c r="W254" i="12" s="1"/>
  <c r="U124" i="12"/>
  <c r="V124" i="12" s="1"/>
  <c r="W124" i="12" s="1"/>
  <c r="U84" i="12"/>
  <c r="V84" i="12" s="1"/>
  <c r="W84" i="12" s="1"/>
  <c r="U82" i="12"/>
  <c r="V82" i="12" s="1"/>
  <c r="W82" i="12" s="1"/>
  <c r="U228" i="12"/>
  <c r="V228" i="12" s="1"/>
  <c r="W228" i="12" s="1"/>
  <c r="U255" i="12"/>
  <c r="V255" i="12" s="1"/>
  <c r="W255" i="12" s="1"/>
  <c r="U183" i="12"/>
  <c r="V183" i="12" s="1"/>
  <c r="W183" i="12" s="1"/>
  <c r="U256" i="12"/>
  <c r="V256" i="12" s="1"/>
  <c r="W256" i="12" s="1"/>
  <c r="U257" i="12"/>
  <c r="V257" i="12" s="1"/>
  <c r="W257" i="12" s="1"/>
  <c r="U186" i="12"/>
  <c r="V186" i="12" s="1"/>
  <c r="W186" i="12" s="1"/>
  <c r="U78" i="12"/>
  <c r="V78" i="12" s="1"/>
  <c r="W78" i="12" s="1"/>
  <c r="U237" i="12"/>
  <c r="V237" i="12" s="1"/>
  <c r="W237" i="12" s="1"/>
  <c r="U152" i="12"/>
  <c r="V152" i="12" s="1"/>
  <c r="W152" i="12" s="1"/>
  <c r="U258" i="12"/>
  <c r="V258" i="12" s="1"/>
  <c r="W258" i="12" s="1"/>
  <c r="U207" i="12"/>
  <c r="V207" i="12" s="1"/>
  <c r="W207" i="12" s="1"/>
  <c r="U259" i="12"/>
  <c r="V259" i="12" s="1"/>
  <c r="W259" i="12" s="1"/>
  <c r="U28" i="12"/>
  <c r="V28" i="12" s="1"/>
  <c r="W28" i="12" s="1"/>
  <c r="U225" i="12"/>
  <c r="V225" i="12" s="1"/>
  <c r="W225" i="12" s="1"/>
  <c r="U224" i="12"/>
  <c r="V224" i="12" s="1"/>
  <c r="W224" i="12" s="1"/>
  <c r="U236" i="12"/>
  <c r="V236" i="12" s="1"/>
  <c r="W236" i="12" s="1"/>
  <c r="U193" i="12"/>
  <c r="V193" i="12" s="1"/>
  <c r="W193" i="12" s="1"/>
  <c r="U260" i="12"/>
  <c r="V260" i="12" s="1"/>
  <c r="W260" i="12" s="1"/>
  <c r="U128" i="12"/>
  <c r="V128" i="12" s="1"/>
  <c r="W128" i="12" s="1"/>
  <c r="U204" i="12"/>
  <c r="V204" i="12" s="1"/>
  <c r="W204" i="12" s="1"/>
  <c r="U69" i="12"/>
  <c r="V69" i="12" s="1"/>
  <c r="W69" i="12" s="1"/>
  <c r="U35" i="12"/>
  <c r="V35" i="12" s="1"/>
  <c r="W35" i="12" s="1"/>
  <c r="U75" i="12"/>
  <c r="V75" i="12" s="1"/>
  <c r="W75" i="12" s="1"/>
  <c r="U261" i="12"/>
  <c r="V261" i="12" s="1"/>
  <c r="W261" i="12" s="1"/>
  <c r="U262" i="12"/>
  <c r="V262" i="12" s="1"/>
  <c r="W262" i="12" s="1"/>
  <c r="U154" i="12"/>
  <c r="V154" i="12" s="1"/>
  <c r="W154" i="12" s="1"/>
  <c r="U263" i="12"/>
  <c r="V263" i="12" s="1"/>
  <c r="W263" i="12" s="1"/>
  <c r="U178" i="12"/>
  <c r="V178" i="12" s="1"/>
  <c r="W178" i="12" s="1"/>
  <c r="U264" i="12"/>
  <c r="V264" i="12" s="1"/>
  <c r="W264" i="12" s="1"/>
  <c r="U265" i="12"/>
  <c r="V265" i="12" s="1"/>
  <c r="W265" i="12" s="1"/>
  <c r="U30" i="12"/>
  <c r="V30" i="12" s="1"/>
  <c r="W30" i="12" s="1"/>
  <c r="U219" i="12"/>
  <c r="V219" i="12" s="1"/>
  <c r="W219" i="12" s="1"/>
  <c r="U89" i="12"/>
  <c r="V89" i="12" s="1"/>
  <c r="W89" i="12" s="1"/>
  <c r="U54" i="12"/>
  <c r="V54" i="12" s="1"/>
  <c r="W54" i="12" s="1"/>
  <c r="U120" i="12"/>
  <c r="V120" i="12" s="1"/>
  <c r="W120" i="12" s="1"/>
  <c r="U17" i="12"/>
  <c r="V17" i="12" s="1"/>
  <c r="W17" i="12" s="1"/>
  <c r="U135" i="12"/>
  <c r="V135" i="12" s="1"/>
  <c r="W135" i="12" s="1"/>
  <c r="U11" i="12"/>
  <c r="V11" i="12" s="1"/>
  <c r="W11" i="12" s="1"/>
  <c r="U266" i="12"/>
  <c r="V266" i="12" s="1"/>
  <c r="W266" i="12" s="1"/>
  <c r="U13" i="12"/>
  <c r="V13" i="12" s="1"/>
  <c r="W13" i="12" s="1"/>
  <c r="U20" i="12"/>
  <c r="V20" i="12" s="1"/>
  <c r="W20" i="12" s="1"/>
  <c r="U8" i="12"/>
  <c r="V8" i="12" s="1"/>
  <c r="W8" i="12" s="1"/>
  <c r="U9" i="12"/>
  <c r="V9" i="12" s="1"/>
  <c r="W9" i="12" s="1"/>
  <c r="U12" i="12"/>
  <c r="V12" i="12" s="1"/>
  <c r="W12" i="12" s="1"/>
  <c r="U213" i="12"/>
  <c r="V213" i="12" s="1"/>
  <c r="W213" i="12" s="1"/>
  <c r="U19" i="12"/>
  <c r="V19" i="12" s="1"/>
  <c r="W19" i="12" s="1"/>
  <c r="U252" i="12"/>
  <c r="V252" i="12" s="1"/>
  <c r="W252" i="12" s="1"/>
  <c r="U239" i="12"/>
  <c r="V239" i="12" s="1"/>
  <c r="W239" i="12" s="1"/>
  <c r="U23" i="12"/>
  <c r="V23" i="12" s="1"/>
  <c r="W23" i="12" s="1"/>
  <c r="U123" i="12"/>
  <c r="V123" i="12" s="1"/>
  <c r="W123" i="12" s="1"/>
  <c r="U94" i="12"/>
  <c r="V94" i="12" s="1"/>
  <c r="W94" i="12" s="1"/>
  <c r="U10" i="12"/>
  <c r="V10" i="12" s="1"/>
  <c r="W10" i="12" s="1"/>
  <c r="U241" i="12"/>
  <c r="V241" i="12" s="1"/>
  <c r="W241" i="12" s="1"/>
  <c r="U267" i="12"/>
  <c r="V267" i="12" s="1"/>
  <c r="W267" i="12" s="1"/>
  <c r="U231" i="12"/>
  <c r="V231" i="12" s="1"/>
  <c r="W231" i="12" s="1"/>
  <c r="U189" i="12"/>
  <c r="V189" i="12" s="1"/>
  <c r="W189" i="12" s="1"/>
  <c r="U214" i="12"/>
  <c r="V214" i="12" s="1"/>
  <c r="W214" i="12" s="1"/>
  <c r="U200" i="12"/>
  <c r="V200" i="12" s="1"/>
  <c r="W200" i="12" s="1"/>
  <c r="U129" i="12"/>
  <c r="V129" i="12" s="1"/>
  <c r="W129" i="12" s="1"/>
  <c r="U167" i="12"/>
  <c r="V167" i="12" s="1"/>
  <c r="W167" i="12" s="1"/>
  <c r="U40" i="12"/>
  <c r="V40" i="12" s="1"/>
  <c r="W40" i="12" s="1"/>
  <c r="U184" i="12"/>
  <c r="V184" i="12" s="1"/>
  <c r="W184" i="12" s="1"/>
  <c r="U156" i="12"/>
  <c r="V156" i="12" s="1"/>
  <c r="W156" i="12" s="1"/>
  <c r="U242" i="12"/>
  <c r="V242" i="12" s="1"/>
  <c r="W242" i="12" s="1"/>
  <c r="U276" i="12"/>
  <c r="V276" i="12" s="1"/>
  <c r="W276" i="12" s="1"/>
  <c r="U268" i="12"/>
  <c r="V268" i="12" s="1"/>
  <c r="W268" i="12" s="1"/>
  <c r="U269" i="12"/>
  <c r="V269" i="12" s="1"/>
  <c r="W269" i="12" s="1"/>
  <c r="U143" i="12"/>
  <c r="V143" i="12" s="1"/>
  <c r="W143" i="12" s="1"/>
  <c r="U159" i="12"/>
  <c r="V159" i="12" s="1"/>
  <c r="W159" i="12" s="1"/>
  <c r="U76" i="12"/>
  <c r="V76" i="12" s="1"/>
  <c r="W76" i="12" s="1"/>
  <c r="U145" i="12"/>
  <c r="V145" i="12" s="1"/>
  <c r="W145" i="12" s="1"/>
  <c r="U63" i="12"/>
  <c r="V63" i="12" s="1"/>
  <c r="W63" i="12" s="1"/>
  <c r="U216" i="12"/>
  <c r="V216" i="12" s="1"/>
  <c r="W216" i="12" s="1"/>
  <c r="U270" i="12"/>
  <c r="V270" i="12" s="1"/>
  <c r="W270" i="12" s="1"/>
  <c r="U136" i="12"/>
  <c r="V136" i="12" s="1"/>
  <c r="W136" i="12" s="1"/>
  <c r="U197" i="12"/>
  <c r="V197" i="12" s="1"/>
  <c r="W197" i="12" s="1"/>
  <c r="U196" i="12"/>
  <c r="V196" i="12" s="1"/>
  <c r="W196" i="12" s="1"/>
  <c r="U175" i="12"/>
  <c r="V175" i="12" s="1"/>
  <c r="W175" i="12" s="1"/>
  <c r="U218" i="12"/>
  <c r="V218" i="12" s="1"/>
  <c r="W218" i="12" s="1"/>
  <c r="U245" i="12"/>
  <c r="V245" i="12" s="1"/>
  <c r="W245" i="12" s="1"/>
  <c r="U271" i="12"/>
  <c r="V271" i="12" s="1"/>
  <c r="W271" i="12" s="1"/>
  <c r="U272" i="12"/>
  <c r="V272" i="12" s="1"/>
  <c r="W272" i="12" s="1"/>
  <c r="U148" i="12"/>
  <c r="V148" i="12" s="1"/>
  <c r="W148" i="12" s="1"/>
  <c r="U46" i="12"/>
  <c r="V46" i="12" s="1"/>
  <c r="W46" i="12" s="1"/>
  <c r="U199" i="12"/>
  <c r="V199" i="12" s="1"/>
  <c r="W199" i="12" s="1"/>
  <c r="U77" i="12"/>
  <c r="V77" i="12" s="1"/>
  <c r="W77" i="12" s="1"/>
  <c r="U92" i="12"/>
  <c r="V92" i="12" s="1"/>
  <c r="W92" i="12" s="1"/>
  <c r="U138" i="12"/>
  <c r="V138" i="12" s="1"/>
  <c r="W138" i="12" s="1"/>
  <c r="U107" i="12"/>
  <c r="V107" i="12" s="1"/>
  <c r="W107" i="12" s="1"/>
  <c r="U273" i="12"/>
  <c r="V273" i="12" s="1"/>
  <c r="W273" i="12" s="1"/>
  <c r="U55" i="12"/>
  <c r="V55" i="12" s="1"/>
  <c r="W55" i="12" s="1"/>
  <c r="U60" i="12"/>
  <c r="V60" i="12" s="1"/>
  <c r="W60" i="12" s="1"/>
  <c r="U217" i="12"/>
  <c r="V217" i="12" s="1"/>
  <c r="W217" i="12" s="1"/>
  <c r="U190" i="12"/>
  <c r="V190" i="12" s="1"/>
  <c r="W190" i="12" s="1"/>
  <c r="U194" i="12"/>
  <c r="V194" i="12" s="1"/>
  <c r="W194" i="12" s="1"/>
  <c r="U203" i="12"/>
  <c r="V203" i="12" s="1"/>
  <c r="W203" i="12" s="1"/>
  <c r="U132" i="12"/>
  <c r="V132" i="12" s="1"/>
  <c r="W132" i="12" s="1"/>
  <c r="U274" i="12"/>
  <c r="V274" i="12" s="1"/>
  <c r="W274" i="12" s="1"/>
  <c r="U26" i="12"/>
  <c r="V26" i="12" s="1"/>
  <c r="W26" i="12" s="1"/>
  <c r="U275" i="12"/>
  <c r="V275" i="12" s="1"/>
  <c r="W275" i="12" s="1"/>
  <c r="U7" i="12"/>
  <c r="V7" i="12" s="1"/>
  <c r="W7" i="12" s="1"/>
  <c r="U238" i="12"/>
  <c r="V238" i="12" s="1"/>
  <c r="W238" i="12" s="1"/>
  <c r="U61" i="12"/>
  <c r="V61" i="12" s="1"/>
  <c r="W61" i="12" s="1"/>
  <c r="U188" i="12"/>
  <c r="V188" i="12" s="1"/>
  <c r="W188" i="12" s="1"/>
  <c r="U222" i="12"/>
  <c r="V222" i="12" s="1"/>
  <c r="W222" i="12" s="1"/>
  <c r="U6" i="12"/>
  <c r="V6" i="12" s="1"/>
  <c r="W6" i="12" s="1"/>
  <c r="U278" i="12"/>
  <c r="V278" i="12" s="1"/>
  <c r="W278" i="12" s="1"/>
  <c r="U93" i="12"/>
  <c r="V93" i="12" s="1"/>
  <c r="W93" i="12" s="1"/>
  <c r="U151" i="12"/>
  <c r="V151" i="12" s="1"/>
  <c r="W151" i="12" s="1"/>
  <c r="U4" i="12"/>
  <c r="V4" i="12" s="1"/>
  <c r="W4" i="12" s="1"/>
  <c r="U112" i="12"/>
  <c r="V112" i="12" s="1"/>
  <c r="W112" i="12" s="1"/>
  <c r="U220" i="12"/>
  <c r="V220" i="12" s="1"/>
  <c r="W220" i="12" s="1"/>
  <c r="U234" i="12"/>
  <c r="V234" i="12" s="1"/>
  <c r="W234" i="12" s="1"/>
  <c r="U125" i="12"/>
  <c r="V125" i="12" s="1"/>
  <c r="W125" i="12" s="1"/>
  <c r="U153" i="12"/>
  <c r="V153" i="12" s="1"/>
  <c r="W153" i="12" s="1"/>
  <c r="U280" i="12"/>
  <c r="V280" i="12" s="1"/>
  <c r="W280" i="12" s="1"/>
  <c r="U86" i="12"/>
  <c r="V86" i="12" s="1"/>
  <c r="W86" i="12" s="1"/>
  <c r="U137" i="12"/>
  <c r="V137" i="12" s="1"/>
  <c r="W137" i="12" s="1"/>
  <c r="U226" i="12"/>
  <c r="V226" i="12" s="1"/>
  <c r="W226" i="12" s="1"/>
  <c r="U281" i="12"/>
  <c r="V281" i="12" s="1"/>
  <c r="W281" i="12" s="1"/>
  <c r="U83" i="12"/>
  <c r="V83" i="12" s="1"/>
  <c r="W83" i="12" s="1"/>
  <c r="U201" i="12"/>
  <c r="V201" i="12" s="1"/>
  <c r="W201" i="12" s="1"/>
  <c r="U179" i="12"/>
  <c r="V179" i="12" s="1"/>
  <c r="W179" i="12" s="1"/>
  <c r="U211" i="12"/>
  <c r="V211" i="12" s="1"/>
  <c r="W211" i="12" s="1"/>
  <c r="U251" i="12"/>
  <c r="V251" i="12" s="1"/>
  <c r="W251" i="12" s="1"/>
  <c r="U164" i="12"/>
  <c r="V164" i="12" s="1"/>
  <c r="W164" i="12" s="1"/>
  <c r="U240" i="12"/>
  <c r="V240" i="12" s="1"/>
  <c r="W240" i="12" s="1"/>
  <c r="U140" i="12"/>
  <c r="V140" i="12" s="1"/>
  <c r="W140" i="12" s="1"/>
  <c r="U282" i="12"/>
  <c r="V282" i="12" s="1"/>
  <c r="W282" i="12" s="1"/>
  <c r="U248" i="12"/>
  <c r="V248" i="12" s="1"/>
  <c r="W248" i="12" s="1"/>
  <c r="U283" i="12"/>
  <c r="V283" i="12" s="1"/>
  <c r="W283" i="12" s="1"/>
  <c r="U15" i="12"/>
  <c r="V15" i="12" s="1"/>
  <c r="W15" i="12" s="1"/>
  <c r="U284" i="12"/>
  <c r="V284" i="12" s="1"/>
  <c r="W284" i="12" s="1"/>
  <c r="U285" i="12"/>
  <c r="V285" i="12" s="1"/>
  <c r="W285" i="12" s="1"/>
  <c r="U229" i="12"/>
  <c r="V229" i="12" s="1"/>
  <c r="W229" i="12" s="1"/>
  <c r="U286" i="12"/>
  <c r="V286" i="12" s="1"/>
  <c r="W286" i="12" s="1"/>
  <c r="U130" i="12"/>
  <c r="V130" i="12" s="1"/>
  <c r="W130" i="12" s="1"/>
  <c r="U24" i="12"/>
  <c r="V24" i="12" s="1"/>
  <c r="W24" i="12" s="1"/>
  <c r="U114" i="12"/>
  <c r="V114" i="12" s="1"/>
  <c r="W114" i="12" s="1"/>
  <c r="U168" i="12"/>
  <c r="V168" i="12" s="1"/>
  <c r="W168" i="12" s="1"/>
  <c r="U215" i="12"/>
  <c r="V215" i="12" s="1"/>
  <c r="W215" i="12" s="1"/>
  <c r="U146" i="12"/>
  <c r="V146" i="12" s="1"/>
  <c r="W146" i="12" s="1"/>
  <c r="U119" i="12"/>
  <c r="V119" i="12" s="1"/>
  <c r="W119" i="12" s="1"/>
  <c r="U70" i="12"/>
  <c r="V70" i="12" s="1"/>
  <c r="W70" i="12" s="1"/>
  <c r="U180" i="12"/>
  <c r="V180" i="12" s="1"/>
  <c r="W180" i="12" s="1"/>
  <c r="U287" i="12"/>
  <c r="V287" i="12" s="1"/>
  <c r="W287" i="12" s="1"/>
  <c r="U81" i="12"/>
  <c r="V81" i="12" s="1"/>
  <c r="W81" i="12" s="1"/>
  <c r="U99" i="12"/>
  <c r="V99" i="12" s="1"/>
  <c r="W99" i="12" s="1"/>
  <c r="U117" i="12"/>
  <c r="V117" i="12" s="1"/>
  <c r="W117" i="12" s="1"/>
  <c r="U101" i="12"/>
  <c r="V101" i="12" s="1"/>
  <c r="W101" i="12" s="1"/>
  <c r="U177" i="12"/>
  <c r="V177" i="12" s="1"/>
  <c r="W177" i="12" s="1"/>
  <c r="U52" i="12"/>
  <c r="V52" i="12" s="1"/>
  <c r="W52" i="12" s="1"/>
  <c r="U74" i="12"/>
  <c r="V74" i="12" s="1"/>
  <c r="W74" i="12" s="1"/>
  <c r="U50" i="12"/>
  <c r="V50" i="12" s="1"/>
  <c r="W50" i="12" s="1"/>
  <c r="U16" i="12"/>
  <c r="V16" i="12" s="1"/>
  <c r="W16" i="12" s="1"/>
  <c r="U288" i="12"/>
  <c r="V288" i="12" s="1"/>
  <c r="W288" i="12" s="1"/>
  <c r="U289" i="12"/>
  <c r="V289" i="12" s="1"/>
  <c r="W289" i="12" s="1"/>
  <c r="U223" i="12"/>
  <c r="V223" i="12" s="1"/>
  <c r="W223" i="12" s="1"/>
  <c r="U172" i="12"/>
  <c r="V172" i="12" s="1"/>
  <c r="W172" i="12" s="1"/>
  <c r="U192" i="12"/>
  <c r="V192" i="12" s="1"/>
  <c r="W192" i="12" s="1"/>
  <c r="U97" i="12"/>
  <c r="V97" i="12" s="1"/>
  <c r="W97" i="12" s="1"/>
  <c r="U173" i="12"/>
  <c r="V173" i="12" s="1"/>
  <c r="W173" i="12" s="1"/>
  <c r="U290" i="12"/>
  <c r="V290" i="12" s="1"/>
  <c r="W290" i="12" s="1"/>
  <c r="U291" i="12"/>
  <c r="V291" i="12" s="1"/>
  <c r="W291" i="12" s="1"/>
  <c r="U292" i="12"/>
  <c r="V292" i="12" s="1"/>
  <c r="W292" i="12" s="1"/>
  <c r="U293" i="12"/>
  <c r="V293" i="12" s="1"/>
  <c r="W293" i="12" s="1"/>
  <c r="U139" i="12"/>
  <c r="V139" i="12" s="1"/>
  <c r="W139" i="12" s="1"/>
  <c r="U121" i="12"/>
  <c r="V121" i="12" s="1"/>
  <c r="W121" i="12" s="1"/>
  <c r="U294" i="12"/>
  <c r="V294" i="12" s="1"/>
  <c r="W294" i="12" s="1"/>
  <c r="U198" i="12"/>
  <c r="V198" i="12" s="1"/>
  <c r="W198" i="12" s="1"/>
  <c r="U295" i="12"/>
  <c r="V295" i="12" s="1"/>
  <c r="W295" i="12" s="1"/>
  <c r="U296" i="12"/>
  <c r="V296" i="12" s="1"/>
  <c r="W296" i="12" s="1"/>
  <c r="U297" i="12"/>
  <c r="V297" i="12" s="1"/>
  <c r="W297" i="12" s="1"/>
  <c r="U298" i="12"/>
  <c r="V298" i="12" s="1"/>
  <c r="W298" i="12" s="1"/>
  <c r="U113" i="12"/>
  <c r="V113" i="12" s="1"/>
  <c r="W113" i="12" s="1"/>
  <c r="U25" i="12"/>
  <c r="V25" i="12" s="1"/>
  <c r="W25" i="12" s="1"/>
  <c r="U149" i="12"/>
  <c r="V149" i="12" s="1"/>
  <c r="W149" i="12" s="1"/>
  <c r="U209" i="12"/>
  <c r="V209" i="12" s="1"/>
  <c r="W209" i="12" s="1"/>
  <c r="U202" i="12"/>
  <c r="V202" i="12" s="1"/>
  <c r="W202" i="12" s="1"/>
  <c r="U57" i="12"/>
  <c r="V57" i="12" s="1"/>
  <c r="W57" i="12" s="1"/>
  <c r="U44" i="12"/>
  <c r="V44" i="12" s="1"/>
  <c r="W44" i="12" s="1"/>
  <c r="U233" i="12"/>
  <c r="V233" i="12" s="1"/>
  <c r="W233" i="12" s="1"/>
  <c r="U299" i="12"/>
  <c r="V299" i="12" s="1"/>
  <c r="W299" i="12" s="1"/>
  <c r="U47" i="12"/>
  <c r="V47" i="12" s="1"/>
  <c r="W47" i="12" s="1"/>
  <c r="U71" i="12"/>
  <c r="V71" i="12" s="1"/>
  <c r="W71" i="12" s="1"/>
  <c r="U88" i="12"/>
  <c r="V88" i="12" s="1"/>
  <c r="W88" i="12" s="1"/>
  <c r="U106" i="12"/>
  <c r="V106" i="12" s="1"/>
  <c r="W106" i="12" s="1"/>
  <c r="U244" i="12"/>
  <c r="V244" i="12" s="1"/>
  <c r="W244" i="12" s="1"/>
  <c r="U27" i="12"/>
  <c r="V27" i="12" s="1"/>
  <c r="W27" i="12" s="1"/>
  <c r="U162" i="12"/>
  <c r="V162" i="12" s="1"/>
  <c r="W162" i="12" s="1"/>
  <c r="U147" i="12"/>
  <c r="V147" i="12" s="1"/>
  <c r="W147" i="12" s="1"/>
  <c r="U110" i="12"/>
  <c r="V110" i="12" s="1"/>
  <c r="W110" i="12" s="1"/>
  <c r="U232" i="12"/>
  <c r="V232" i="12" s="1"/>
  <c r="W232" i="12" s="1"/>
  <c r="U300" i="12"/>
  <c r="V300" i="12" s="1"/>
  <c r="W300" i="12" s="1"/>
  <c r="U115" i="12"/>
  <c r="V115" i="12" s="1"/>
  <c r="W115" i="12" s="1"/>
  <c r="U108" i="12"/>
  <c r="V108" i="12" s="1"/>
  <c r="W108" i="12" s="1"/>
  <c r="U53" i="12"/>
  <c r="V53" i="12" s="1"/>
  <c r="W53" i="12" s="1"/>
  <c r="U227" i="12"/>
  <c r="V227" i="12" s="1"/>
  <c r="W227" i="12" s="1"/>
  <c r="U95" i="12"/>
  <c r="V95" i="12" s="1"/>
  <c r="W95" i="12" s="1"/>
  <c r="U43" i="12"/>
  <c r="V43" i="12" s="1"/>
  <c r="W43" i="12" s="1"/>
  <c r="U191" i="12"/>
  <c r="V191" i="12" s="1"/>
  <c r="W191" i="12" s="1"/>
  <c r="U301" i="12"/>
  <c r="V301" i="12" s="1"/>
  <c r="W301" i="12" s="1"/>
  <c r="U133" i="12"/>
  <c r="V133" i="12" s="1"/>
  <c r="W133" i="12" s="1"/>
  <c r="U302" i="12"/>
  <c r="V302" i="12" s="1"/>
  <c r="W302" i="12" s="1"/>
  <c r="U171" i="12"/>
  <c r="V171" i="12" s="1"/>
  <c r="W171" i="12" s="1"/>
  <c r="U85" i="12"/>
  <c r="V85" i="12" s="1"/>
  <c r="W85" i="12" s="1"/>
  <c r="U126" i="12"/>
  <c r="V126" i="12" s="1"/>
  <c r="W126" i="12" s="1"/>
  <c r="U235" i="12"/>
  <c r="V235" i="12" s="1"/>
  <c r="W235" i="12" s="1"/>
  <c r="U90" i="12"/>
  <c r="V90" i="12" s="1"/>
  <c r="W90" i="12" s="1"/>
  <c r="U150" i="12"/>
  <c r="V150" i="12" s="1"/>
  <c r="W150" i="12" s="1"/>
  <c r="U187" i="12"/>
  <c r="V187" i="12" s="1"/>
  <c r="W187" i="12" s="1"/>
  <c r="U166" i="12"/>
  <c r="V166" i="12" s="1"/>
  <c r="W166" i="12" s="1"/>
  <c r="U39" i="12"/>
  <c r="V39" i="12" s="1"/>
  <c r="W39" i="12" s="1"/>
  <c r="U98" i="12"/>
  <c r="V98" i="12" s="1"/>
  <c r="W98" i="12" s="1"/>
  <c r="U303" i="12"/>
  <c r="V303" i="12" s="1"/>
  <c r="W303" i="12" s="1"/>
  <c r="U157" i="12"/>
  <c r="V157" i="12" s="1"/>
  <c r="W157" i="12" s="1"/>
  <c r="U141" i="12"/>
  <c r="V141" i="12" s="1"/>
  <c r="W141" i="12" s="1"/>
  <c r="U116" i="12"/>
  <c r="V116" i="12" s="1"/>
  <c r="W116" i="12" s="1"/>
  <c r="U104" i="12"/>
  <c r="V104" i="12" s="1"/>
  <c r="W104" i="12" s="1"/>
  <c r="U243" i="12"/>
  <c r="V243" i="12" s="1"/>
  <c r="W243" i="12" s="1"/>
  <c r="U230" i="12"/>
  <c r="V230" i="12" s="1"/>
  <c r="W230" i="12" s="1"/>
  <c r="U18" i="12"/>
  <c r="V18" i="12" s="1"/>
  <c r="W18" i="12" s="1"/>
  <c r="U205" i="12"/>
  <c r="V205" i="12" s="1"/>
  <c r="W205" i="12" s="1"/>
  <c r="U109" i="12"/>
  <c r="V109" i="12" s="1"/>
  <c r="W109" i="12" s="1"/>
  <c r="U67" i="12"/>
  <c r="V67" i="12" s="1"/>
  <c r="W67" i="12" s="1"/>
  <c r="U304" i="12"/>
  <c r="V304" i="12" s="1"/>
  <c r="W304" i="12" s="1"/>
  <c r="U305" i="12"/>
  <c r="V305" i="12" s="1"/>
  <c r="W305" i="12" s="1"/>
  <c r="U169" i="12"/>
  <c r="V169" i="12" s="1"/>
  <c r="W169" i="12" s="1"/>
  <c r="U42" i="12"/>
  <c r="V42" i="12" s="1"/>
  <c r="W42" i="12" s="1"/>
  <c r="U122" i="12"/>
  <c r="V122" i="12" s="1"/>
  <c r="W122" i="12" s="1"/>
  <c r="U73" i="12"/>
  <c r="V73" i="12" s="1"/>
  <c r="W73" i="12" s="1"/>
  <c r="U212" i="12"/>
  <c r="V212" i="12" s="1"/>
  <c r="W212" i="12" s="1"/>
  <c r="U134" i="12"/>
  <c r="V134" i="12" s="1"/>
  <c r="W134" i="12" s="1"/>
  <c r="U79" i="12"/>
  <c r="V79" i="12" s="1"/>
  <c r="W79" i="12" s="1"/>
  <c r="U206" i="12"/>
  <c r="V206" i="12" s="1"/>
  <c r="W206" i="12" s="1"/>
  <c r="U306" i="12"/>
  <c r="V306" i="12" s="1"/>
  <c r="W306" i="12" s="1"/>
  <c r="U210" i="12"/>
  <c r="V210" i="12" s="1"/>
  <c r="W210" i="12" s="1"/>
  <c r="U65" i="12"/>
  <c r="V65" i="12" s="1"/>
  <c r="W65" i="12" s="1"/>
  <c r="U165" i="12"/>
  <c r="V165" i="12" s="1"/>
  <c r="W165" i="12" s="1"/>
  <c r="U307" i="12"/>
  <c r="V307" i="12" s="1"/>
  <c r="W307" i="12" s="1"/>
  <c r="U131" i="12"/>
  <c r="V131" i="12" s="1"/>
  <c r="W131" i="12" s="1"/>
  <c r="U58" i="12"/>
  <c r="V58" i="12" s="1"/>
  <c r="W58" i="12" s="1"/>
  <c r="U308" i="12"/>
  <c r="V308" i="12" s="1"/>
  <c r="W308" i="12" s="1"/>
  <c r="U118" i="12"/>
  <c r="V118" i="12" s="1"/>
  <c r="W118" i="12" s="1"/>
  <c r="U111" i="12"/>
  <c r="V111" i="12" s="1"/>
  <c r="W111" i="12" s="1"/>
  <c r="U68" i="12"/>
  <c r="V68" i="12" s="1"/>
  <c r="W68" i="12" s="1"/>
  <c r="U127" i="12"/>
  <c r="V127" i="12" s="1"/>
  <c r="W127" i="12" s="1"/>
  <c r="U105" i="12"/>
  <c r="V105" i="12" s="1"/>
  <c r="W105" i="12" s="1"/>
  <c r="U144" i="12"/>
  <c r="V144" i="12" s="1"/>
  <c r="W144" i="12" s="1"/>
  <c r="U62" i="12"/>
  <c r="V62" i="12" s="1"/>
  <c r="W62" i="12" s="1"/>
  <c r="U221" i="12"/>
  <c r="V221" i="12" s="1"/>
  <c r="W221" i="12" s="1"/>
  <c r="U208" i="12"/>
  <c r="V208" i="12" s="1"/>
  <c r="W208" i="12" s="1"/>
  <c r="U309" i="12"/>
  <c r="V309" i="12" s="1"/>
  <c r="W309" i="12" s="1"/>
  <c r="U310" i="12"/>
  <c r="V310" i="12" s="1"/>
  <c r="W310" i="12" s="1"/>
  <c r="U311" i="12"/>
  <c r="V311" i="12" s="1"/>
  <c r="W311" i="12" s="1"/>
  <c r="U176" i="12"/>
  <c r="V176" i="12" s="1"/>
  <c r="W176" i="12" s="1"/>
  <c r="U72" i="12"/>
  <c r="V72" i="12" s="1"/>
  <c r="W72" i="12" s="1"/>
  <c r="U174" i="12"/>
  <c r="V174" i="12" s="1"/>
  <c r="W174" i="12" s="1"/>
  <c r="U312" i="12"/>
  <c r="V312" i="12" s="1"/>
  <c r="W312" i="12" s="1"/>
  <c r="U313" i="12"/>
  <c r="V313" i="12" s="1"/>
  <c r="W313" i="12" s="1"/>
  <c r="U314" i="12"/>
  <c r="V314" i="12" s="1"/>
  <c r="W314" i="12" s="1"/>
  <c r="U38" i="12"/>
  <c r="V38" i="12" s="1"/>
  <c r="W38" i="12" s="1"/>
  <c r="U315" i="12"/>
  <c r="V315" i="12" s="1"/>
  <c r="W315" i="12" s="1"/>
  <c r="U91" i="12"/>
  <c r="V91" i="12" s="1"/>
  <c r="W91" i="12" s="1"/>
  <c r="U36" i="12"/>
  <c r="V36" i="12" s="1"/>
  <c r="W36" i="12" s="1"/>
  <c r="U64" i="12"/>
  <c r="V64" i="12" s="1"/>
  <c r="W64" i="12" s="1"/>
  <c r="U49" i="12"/>
  <c r="V49" i="12" s="1"/>
  <c r="W49" i="12" s="1"/>
  <c r="U32" i="12"/>
  <c r="V32" i="12" s="1"/>
  <c r="W32" i="12" s="1"/>
  <c r="U37" i="12"/>
  <c r="V37" i="12" s="1"/>
  <c r="W37" i="12" s="1"/>
  <c r="U170" i="12"/>
  <c r="V170" i="12" s="1"/>
  <c r="W170" i="12" s="1"/>
  <c r="U5" i="12"/>
  <c r="V5" i="12" s="1"/>
  <c r="W5" i="12" s="1"/>
  <c r="U22" i="12"/>
  <c r="V22" i="12" s="1"/>
  <c r="W22" i="12" s="1"/>
  <c r="U45" i="12"/>
  <c r="V45" i="12" s="1"/>
  <c r="W45" i="12" s="1"/>
  <c r="U160" i="12"/>
  <c r="V160" i="12" s="1"/>
  <c r="W160" i="12" s="1"/>
  <c r="U103" i="12"/>
  <c r="V103" i="12" s="1"/>
  <c r="W103" i="12" s="1"/>
  <c r="U34" i="12"/>
  <c r="V34" i="12" s="1"/>
  <c r="W34" i="12" s="1"/>
  <c r="U142" i="12"/>
  <c r="V142" i="12" s="1"/>
  <c r="W142" i="12" s="1"/>
  <c r="U80" i="12"/>
  <c r="V80" i="12" s="1"/>
  <c r="W80" i="12" s="1"/>
  <c r="U56" i="12"/>
  <c r="V56" i="12" s="1"/>
  <c r="W56" i="12" s="1"/>
  <c r="U51" i="12"/>
  <c r="V51" i="12" s="1"/>
  <c r="W51" i="12" s="1"/>
  <c r="U41" i="12"/>
  <c r="V41" i="12" s="1"/>
  <c r="W41" i="12" s="1"/>
  <c r="U317" i="12"/>
  <c r="V317" i="12" s="1"/>
  <c r="W317" i="12" s="1"/>
  <c r="U318" i="12"/>
  <c r="V318" i="12" s="1"/>
  <c r="W318" i="12" s="1"/>
  <c r="U319" i="12"/>
  <c r="V319" i="12" s="1"/>
  <c r="W319" i="12" s="1"/>
  <c r="U320" i="12"/>
  <c r="V320" i="12" s="1"/>
  <c r="W320" i="12" s="1"/>
  <c r="U321" i="12"/>
  <c r="V321" i="12" s="1"/>
  <c r="W321" i="12" s="1"/>
  <c r="U322" i="12"/>
  <c r="V322" i="12" s="1"/>
  <c r="W322" i="12" s="1"/>
  <c r="S170" i="4"/>
  <c r="S160" i="4"/>
  <c r="S177" i="4"/>
  <c r="S80" i="4"/>
  <c r="S222" i="4"/>
  <c r="S169" i="4"/>
  <c r="S131" i="4"/>
  <c r="S141" i="4"/>
  <c r="T158" i="12"/>
  <c r="T87" i="12"/>
  <c r="T31" i="12"/>
  <c r="T246" i="12"/>
  <c r="T33" i="12"/>
  <c r="T247" i="12"/>
  <c r="T48" i="12"/>
  <c r="T100" i="12"/>
  <c r="T277" i="12"/>
  <c r="T96" i="12"/>
  <c r="T161" i="12"/>
  <c r="T29" i="12"/>
  <c r="T195" i="12"/>
  <c r="T155" i="12"/>
  <c r="T185" i="12"/>
  <c r="T249" i="12"/>
  <c r="T250" i="12"/>
  <c r="T21" i="12"/>
  <c r="T163" i="12"/>
  <c r="T102" i="12"/>
  <c r="T279" i="12"/>
  <c r="T316" i="12"/>
  <c r="T253" i="12"/>
  <c r="T182" i="12"/>
  <c r="T59" i="12"/>
  <c r="T14" i="12"/>
  <c r="T66" i="12"/>
  <c r="T181" i="12"/>
  <c r="T254" i="12"/>
  <c r="T124" i="12"/>
  <c r="T84" i="12"/>
  <c r="T82" i="12"/>
  <c r="T228" i="12"/>
  <c r="T255" i="12"/>
  <c r="T183" i="12"/>
  <c r="T256" i="12"/>
  <c r="T257" i="12"/>
  <c r="T186" i="12"/>
  <c r="T78" i="12"/>
  <c r="T237" i="12"/>
  <c r="T152" i="12"/>
  <c r="T258" i="12"/>
  <c r="T207" i="12"/>
  <c r="T259" i="12"/>
  <c r="T28" i="12"/>
  <c r="T225" i="12"/>
  <c r="T224" i="12"/>
  <c r="T236" i="12"/>
  <c r="T193" i="12"/>
  <c r="T260" i="12"/>
  <c r="T128" i="12"/>
  <c r="T204" i="12"/>
  <c r="T69" i="12"/>
  <c r="T35" i="12"/>
  <c r="T75" i="12"/>
  <c r="T261" i="12"/>
  <c r="T262" i="12"/>
  <c r="T154" i="12"/>
  <c r="T263" i="12"/>
  <c r="T178" i="12"/>
  <c r="T264" i="12"/>
  <c r="T265" i="12"/>
  <c r="T30" i="12"/>
  <c r="T219" i="12"/>
  <c r="T89" i="12"/>
  <c r="T54" i="12"/>
  <c r="T120" i="12"/>
  <c r="T17" i="12"/>
  <c r="T135" i="12"/>
  <c r="T11" i="12"/>
  <c r="T266" i="12"/>
  <c r="T13" i="12"/>
  <c r="T20" i="12"/>
  <c r="T8" i="12"/>
  <c r="T9" i="12"/>
  <c r="T12" i="12"/>
  <c r="T213" i="12"/>
  <c r="T19" i="12"/>
  <c r="T252" i="12"/>
  <c r="T239" i="12"/>
  <c r="T23" i="12"/>
  <c r="T123" i="12"/>
  <c r="T94" i="12"/>
  <c r="T10" i="12"/>
  <c r="T241" i="12"/>
  <c r="T267" i="12"/>
  <c r="T231" i="12"/>
  <c r="T189" i="12"/>
  <c r="T214" i="12"/>
  <c r="T200" i="12"/>
  <c r="T129" i="12"/>
  <c r="T167" i="12"/>
  <c r="T40" i="12"/>
  <c r="T184" i="12"/>
  <c r="T156" i="12"/>
  <c r="T242" i="12"/>
  <c r="T276" i="12"/>
  <c r="T268" i="12"/>
  <c r="T269" i="12"/>
  <c r="T143" i="12"/>
  <c r="T159" i="12"/>
  <c r="T76" i="12"/>
  <c r="T145" i="12"/>
  <c r="T63" i="12"/>
  <c r="T216" i="12"/>
  <c r="T270" i="12"/>
  <c r="T136" i="12"/>
  <c r="T197" i="12"/>
  <c r="T196" i="12"/>
  <c r="T175" i="12"/>
  <c r="T218" i="12"/>
  <c r="T245" i="12"/>
  <c r="T271" i="12"/>
  <c r="T272" i="12"/>
  <c r="T148" i="12"/>
  <c r="T46" i="12"/>
  <c r="T199" i="12"/>
  <c r="T77" i="12"/>
  <c r="T92" i="12"/>
  <c r="T138" i="12"/>
  <c r="T107" i="12"/>
  <c r="T273" i="12"/>
  <c r="T55" i="12"/>
  <c r="T60" i="12"/>
  <c r="T217" i="12"/>
  <c r="T190" i="12"/>
  <c r="T194" i="12"/>
  <c r="T203" i="12"/>
  <c r="T132" i="12"/>
  <c r="T274" i="12"/>
  <c r="T26" i="12"/>
  <c r="T275" i="12"/>
  <c r="T7" i="12"/>
  <c r="T238" i="12"/>
  <c r="T61" i="12"/>
  <c r="T188" i="12"/>
  <c r="T222" i="12"/>
  <c r="T6" i="12"/>
  <c r="T278" i="12"/>
  <c r="T93" i="12"/>
  <c r="T151" i="12"/>
  <c r="T4" i="12"/>
  <c r="T112" i="12"/>
  <c r="T220" i="12"/>
  <c r="T234" i="12"/>
  <c r="T125" i="12"/>
  <c r="T153" i="12"/>
  <c r="T280" i="12"/>
  <c r="T86" i="12"/>
  <c r="T137" i="12"/>
  <c r="T226" i="12"/>
  <c r="T281" i="12"/>
  <c r="T83" i="12"/>
  <c r="T201" i="12"/>
  <c r="T179" i="12"/>
  <c r="T211" i="12"/>
  <c r="T251" i="12"/>
  <c r="T164" i="12"/>
  <c r="T240" i="12"/>
  <c r="T140" i="12"/>
  <c r="T282" i="12"/>
  <c r="T248" i="12"/>
  <c r="T283" i="12"/>
  <c r="T15" i="12"/>
  <c r="T284" i="12"/>
  <c r="T285" i="12"/>
  <c r="T229" i="12"/>
  <c r="T286" i="12"/>
  <c r="T130" i="12"/>
  <c r="T24" i="12"/>
  <c r="T114" i="12"/>
  <c r="T168" i="12"/>
  <c r="T215" i="12"/>
  <c r="T146" i="12"/>
  <c r="T119" i="12"/>
  <c r="T70" i="12"/>
  <c r="T180" i="12"/>
  <c r="T287" i="12"/>
  <c r="T81" i="12"/>
  <c r="T99" i="12"/>
  <c r="T117" i="12"/>
  <c r="T101" i="12"/>
  <c r="T177" i="12"/>
  <c r="T52" i="12"/>
  <c r="T74" i="12"/>
  <c r="T50" i="12"/>
  <c r="T16" i="12"/>
  <c r="T288" i="12"/>
  <c r="T289" i="12"/>
  <c r="T223" i="12"/>
  <c r="T172" i="12"/>
  <c r="T192" i="12"/>
  <c r="T97" i="12"/>
  <c r="T173" i="12"/>
  <c r="T290" i="12"/>
  <c r="T291" i="12"/>
  <c r="T292" i="12"/>
  <c r="T293" i="12"/>
  <c r="T139" i="12"/>
  <c r="T121" i="12"/>
  <c r="T294" i="12"/>
  <c r="T198" i="12"/>
  <c r="T295" i="12"/>
  <c r="T296" i="12"/>
  <c r="T297" i="12"/>
  <c r="T298" i="12"/>
  <c r="T113" i="12"/>
  <c r="T25" i="12"/>
  <c r="T149" i="12"/>
  <c r="T209" i="12"/>
  <c r="T202" i="12"/>
  <c r="T57" i="12"/>
  <c r="T44" i="12"/>
  <c r="T233" i="12"/>
  <c r="T299" i="12"/>
  <c r="T47" i="12"/>
  <c r="T71" i="12"/>
  <c r="T88" i="12"/>
  <c r="T106" i="12"/>
  <c r="T244" i="12"/>
  <c r="T27" i="12"/>
  <c r="T162" i="12"/>
  <c r="T147" i="12"/>
  <c r="T110" i="12"/>
  <c r="T232" i="12"/>
  <c r="T300" i="12"/>
  <c r="T115" i="12"/>
  <c r="T108" i="12"/>
  <c r="T53" i="12"/>
  <c r="T227" i="12"/>
  <c r="T95" i="12"/>
  <c r="T43" i="12"/>
  <c r="T191" i="12"/>
  <c r="T301" i="12"/>
  <c r="T133" i="12"/>
  <c r="T302" i="12"/>
  <c r="T171" i="12"/>
  <c r="T85" i="12"/>
  <c r="T126" i="12"/>
  <c r="T235" i="12"/>
  <c r="T90" i="12"/>
  <c r="T150" i="12"/>
  <c r="T187" i="12"/>
  <c r="T166" i="12"/>
  <c r="T39" i="12"/>
  <c r="T98" i="12"/>
  <c r="T303" i="12"/>
  <c r="T157" i="12"/>
  <c r="T141" i="12"/>
  <c r="T116" i="12"/>
  <c r="T104" i="12"/>
  <c r="T243" i="12"/>
  <c r="T230" i="12"/>
  <c r="T18" i="12"/>
  <c r="T205" i="12"/>
  <c r="T109" i="12"/>
  <c r="T67" i="12"/>
  <c r="T304" i="12"/>
  <c r="T305" i="12"/>
  <c r="T169" i="12"/>
  <c r="T42" i="12"/>
  <c r="T122" i="12"/>
  <c r="T73" i="12"/>
  <c r="T212" i="12"/>
  <c r="T134" i="12"/>
  <c r="T79" i="12"/>
  <c r="T206" i="12"/>
  <c r="T306" i="12"/>
  <c r="T210" i="12"/>
  <c r="T65" i="12"/>
  <c r="T165" i="12"/>
  <c r="T307" i="12"/>
  <c r="T131" i="12"/>
  <c r="T58" i="12"/>
  <c r="T308" i="12"/>
  <c r="T118" i="12"/>
  <c r="T111" i="12"/>
  <c r="T68" i="12"/>
  <c r="T127" i="12"/>
  <c r="T105" i="12"/>
  <c r="T144" i="12"/>
  <c r="T62" i="12"/>
  <c r="T221" i="12"/>
  <c r="T208" i="12"/>
  <c r="T309" i="12"/>
  <c r="T310" i="12"/>
  <c r="T311" i="12"/>
  <c r="T176" i="12"/>
  <c r="T72" i="12"/>
  <c r="T174" i="12"/>
  <c r="T312" i="12"/>
  <c r="T313" i="12"/>
  <c r="T314" i="12"/>
  <c r="T38" i="12"/>
  <c r="T315" i="12"/>
  <c r="T91" i="12"/>
  <c r="T36" i="12"/>
  <c r="T64" i="12"/>
  <c r="T49" i="12"/>
  <c r="T32" i="12"/>
  <c r="T37" i="12"/>
  <c r="T170" i="12"/>
  <c r="T5" i="12"/>
  <c r="T22" i="12"/>
  <c r="T45" i="12"/>
  <c r="T160" i="12"/>
  <c r="T103" i="12"/>
  <c r="T34" i="12"/>
  <c r="T142" i="12"/>
  <c r="T80" i="12"/>
  <c r="T56" i="12"/>
  <c r="T51" i="12"/>
  <c r="T41" i="12"/>
  <c r="T317" i="12"/>
  <c r="T318" i="12"/>
  <c r="T319" i="12"/>
  <c r="T320" i="12"/>
  <c r="T321" i="12"/>
  <c r="T322" i="12"/>
  <c r="S26" i="4"/>
  <c r="X249" i="4"/>
  <c r="X5" i="4"/>
  <c r="X7" i="4"/>
  <c r="X45" i="4"/>
  <c r="X8" i="4"/>
  <c r="X16" i="4"/>
  <c r="X6" i="4"/>
  <c r="X93" i="4"/>
  <c r="X92" i="4"/>
  <c r="X13" i="4"/>
  <c r="X9" i="4"/>
  <c r="X12" i="4"/>
  <c r="X23" i="4"/>
  <c r="X232" i="4"/>
  <c r="X106" i="4"/>
  <c r="X15" i="4"/>
  <c r="X26" i="4"/>
  <c r="X41" i="4"/>
  <c r="X44" i="4"/>
  <c r="X201" i="4"/>
  <c r="X14" i="4"/>
  <c r="X17" i="4"/>
  <c r="X52" i="4"/>
  <c r="X25" i="4"/>
  <c r="X109" i="4"/>
  <c r="X70" i="4"/>
  <c r="X81" i="4"/>
  <c r="X213" i="4"/>
  <c r="X130" i="4"/>
  <c r="X19" i="4"/>
  <c r="X97" i="4"/>
  <c r="X40" i="4"/>
  <c r="X24" i="4"/>
  <c r="X83" i="4"/>
  <c r="X53" i="4"/>
  <c r="X22" i="4"/>
  <c r="X28" i="4"/>
  <c r="X200" i="4"/>
  <c r="X47" i="4"/>
  <c r="X105" i="4"/>
  <c r="X56" i="4"/>
  <c r="X123" i="4"/>
  <c r="X48" i="4"/>
  <c r="X42" i="4"/>
  <c r="X86" i="4"/>
  <c r="X64" i="4"/>
  <c r="X35" i="4"/>
  <c r="X36" i="4"/>
  <c r="X39" i="4"/>
  <c r="X76" i="4"/>
  <c r="X20" i="4"/>
  <c r="X196" i="4"/>
  <c r="X144" i="4"/>
  <c r="X72" i="4"/>
  <c r="X32" i="4"/>
  <c r="X38" i="4"/>
  <c r="X50" i="4"/>
  <c r="X68" i="4"/>
  <c r="X27" i="4"/>
  <c r="X49" i="4"/>
  <c r="X37" i="4"/>
  <c r="X184" i="4"/>
  <c r="X62" i="4"/>
  <c r="X57" i="4"/>
  <c r="X61" i="4"/>
  <c r="X63" i="4"/>
  <c r="X71" i="4"/>
  <c r="X183" i="4"/>
  <c r="X148" i="4"/>
  <c r="X119" i="4"/>
  <c r="X21" i="4"/>
  <c r="X221" i="4"/>
  <c r="X55" i="4"/>
  <c r="X89" i="4"/>
  <c r="X51" i="4"/>
  <c r="X74" i="4"/>
  <c r="X78" i="4"/>
  <c r="X90" i="4"/>
  <c r="X100" i="4"/>
  <c r="X118" i="4"/>
  <c r="X176" i="4"/>
  <c r="X65" i="4"/>
  <c r="X111" i="4"/>
  <c r="X75" i="4"/>
  <c r="X82" i="4"/>
  <c r="X192" i="4"/>
  <c r="X79" i="4"/>
  <c r="X217" i="4"/>
  <c r="X185" i="4"/>
  <c r="X107" i="4"/>
  <c r="X67" i="4"/>
  <c r="X143" i="4"/>
  <c r="X121" i="4"/>
  <c r="X101" i="4"/>
  <c r="X110" i="4"/>
  <c r="X199" i="4"/>
  <c r="X126" i="4"/>
  <c r="X73" i="4"/>
  <c r="X85" i="4"/>
  <c r="X115" i="4"/>
  <c r="X137" i="4"/>
  <c r="X127" i="4"/>
  <c r="X139" i="4"/>
  <c r="X120" i="4"/>
  <c r="X117" i="4"/>
  <c r="X43" i="4"/>
  <c r="X114" i="4"/>
  <c r="X145" i="4"/>
  <c r="X95" i="4"/>
  <c r="X132" i="4"/>
  <c r="X98" i="4"/>
  <c r="X99" i="4"/>
  <c r="X133" i="4"/>
  <c r="X177" i="4"/>
  <c r="X136" i="4"/>
  <c r="X156" i="4"/>
  <c r="X157" i="4"/>
  <c r="X128" i="4"/>
  <c r="X154" i="4"/>
  <c r="X140" i="4"/>
  <c r="X150" i="4"/>
  <c r="X147" i="4"/>
  <c r="X159" i="4"/>
  <c r="X163" i="4"/>
  <c r="X152" i="4"/>
  <c r="X155" i="4"/>
  <c r="X146" i="4"/>
  <c r="X186" i="4"/>
  <c r="X173" i="4"/>
  <c r="X161" i="4"/>
  <c r="X190" i="4"/>
  <c r="X174" i="4"/>
  <c r="X188" i="4"/>
  <c r="X181" i="4"/>
  <c r="X166" i="4"/>
  <c r="X172" i="4"/>
  <c r="X180" i="4"/>
  <c r="X178" i="4"/>
  <c r="X142" i="4"/>
  <c r="X171" i="4"/>
  <c r="X162" i="4"/>
  <c r="X189" i="4"/>
  <c r="X153" i="4"/>
  <c r="X198" i="4"/>
  <c r="X168" i="4"/>
  <c r="X125" i="4"/>
  <c r="X197" i="4"/>
  <c r="X30" i="4"/>
  <c r="X87" i="4"/>
  <c r="X194" i="4"/>
  <c r="X205" i="4"/>
  <c r="X202" i="4"/>
  <c r="X208" i="4"/>
  <c r="X211" i="4"/>
  <c r="X212" i="4"/>
  <c r="X151" i="4"/>
  <c r="X113" i="4"/>
  <c r="X182" i="4"/>
  <c r="X102" i="4"/>
  <c r="X207" i="4"/>
  <c r="X209" i="4"/>
  <c r="X214" i="4"/>
  <c r="X216" i="4"/>
  <c r="X66" i="4"/>
  <c r="X46" i="4"/>
  <c r="X222" i="4"/>
  <c r="X210" i="4"/>
  <c r="X96" i="4"/>
  <c r="X218" i="4"/>
  <c r="X112" i="4"/>
  <c r="X169" i="4"/>
  <c r="X226" i="4"/>
  <c r="X88" i="4"/>
  <c r="X203" i="4"/>
  <c r="X227" i="4"/>
  <c r="X135" i="4"/>
  <c r="X206" i="4"/>
  <c r="X204" i="4"/>
  <c r="X104" i="4"/>
  <c r="X215" i="4"/>
  <c r="X231" i="4"/>
  <c r="X84" i="4"/>
  <c r="X187" i="4"/>
  <c r="X129" i="4"/>
  <c r="X108" i="4"/>
  <c r="X170" i="4"/>
  <c r="X223" i="4"/>
  <c r="X80" i="4"/>
  <c r="X11" i="4"/>
  <c r="X158" i="4"/>
  <c r="X160" i="4"/>
  <c r="X165" i="4"/>
  <c r="X193" i="4"/>
  <c r="X175" i="4"/>
  <c r="X134" i="4"/>
  <c r="X122" i="4"/>
  <c r="X58" i="4"/>
  <c r="X131" i="4"/>
  <c r="X18" i="4"/>
  <c r="X116" i="4"/>
  <c r="X149" i="4"/>
  <c r="X103" i="4"/>
  <c r="X167" i="4"/>
  <c r="X69" i="4"/>
  <c r="X94" i="4"/>
  <c r="X60" i="4"/>
  <c r="X77" i="4"/>
  <c r="X33" i="4"/>
  <c r="X228" i="4"/>
  <c r="X91" i="4"/>
  <c r="X29" i="4"/>
  <c r="X219" i="4"/>
  <c r="X224" i="4"/>
  <c r="X179" i="4"/>
  <c r="X31" i="4"/>
  <c r="X195" i="4"/>
  <c r="X225" i="4"/>
  <c r="X229" i="4"/>
  <c r="X141" i="4"/>
  <c r="X220" i="4"/>
  <c r="X234" i="4"/>
  <c r="X34" i="4"/>
  <c r="X240" i="4"/>
  <c r="X268" i="4"/>
  <c r="X124" i="4"/>
  <c r="X230" i="4"/>
  <c r="X233" i="4"/>
  <c r="X164" i="4"/>
  <c r="X191" i="4"/>
  <c r="X235" i="4"/>
  <c r="X237" i="4"/>
  <c r="X236" i="4"/>
  <c r="X245" i="4"/>
  <c r="X238" i="4"/>
  <c r="X239" i="4"/>
  <c r="X244" i="4"/>
  <c r="X241" i="4"/>
  <c r="X242" i="4"/>
  <c r="X243" i="4"/>
  <c r="X256" i="4"/>
  <c r="X259" i="4"/>
  <c r="X246" i="4"/>
  <c r="X247" i="4"/>
  <c r="X248" i="4"/>
  <c r="X54" i="4"/>
  <c r="X250" i="4"/>
  <c r="X251" i="4"/>
  <c r="X252" i="4"/>
  <c r="X253" i="4"/>
  <c r="X254" i="4"/>
  <c r="X255" i="4"/>
  <c r="X257" i="4"/>
  <c r="X59" i="4"/>
  <c r="X258" i="4"/>
  <c r="X138" i="4"/>
  <c r="X260" i="4"/>
  <c r="X261" i="4"/>
  <c r="X262" i="4"/>
  <c r="X263" i="4"/>
  <c r="X264" i="4"/>
  <c r="X265" i="4"/>
  <c r="X266" i="4"/>
  <c r="X267" i="4"/>
  <c r="X10" i="4"/>
  <c r="X269" i="4"/>
  <c r="X4" i="4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4" i="10"/>
  <c r="S109" i="4"/>
  <c r="S224" i="4"/>
  <c r="S16" i="4"/>
  <c r="S5" i="4"/>
  <c r="S249" i="4"/>
  <c r="S199" i="4"/>
  <c r="S7" i="4"/>
  <c r="S226" i="4"/>
  <c r="S8" i="4"/>
  <c r="S92" i="4"/>
  <c r="S210" i="4"/>
  <c r="S55" i="4"/>
  <c r="S11" i="4"/>
  <c r="S140" i="4"/>
  <c r="S120" i="4"/>
  <c r="S149" i="4"/>
  <c r="S67" i="4"/>
  <c r="S13" i="4"/>
  <c r="S232" i="4"/>
  <c r="S9" i="4"/>
  <c r="S136" i="4"/>
  <c r="S82" i="4"/>
  <c r="S53" i="4"/>
  <c r="S93" i="4"/>
  <c r="S268" i="4"/>
  <c r="T268" i="4" s="1"/>
  <c r="S161" i="4"/>
  <c r="S56" i="4"/>
  <c r="S164" i="4"/>
  <c r="S17" i="4"/>
  <c r="S124" i="4"/>
  <c r="S150" i="4"/>
  <c r="S79" i="4"/>
  <c r="S49" i="4"/>
  <c r="S48" i="4"/>
  <c r="S12" i="4"/>
  <c r="S71" i="4"/>
  <c r="S146" i="4"/>
  <c r="S52" i="4"/>
  <c r="S64" i="4"/>
  <c r="S171" i="4"/>
  <c r="S132" i="4"/>
  <c r="S166" i="4"/>
  <c r="S78" i="4"/>
  <c r="S25" i="4"/>
  <c r="S40" i="4"/>
  <c r="S76" i="4"/>
  <c r="S46" i="4"/>
  <c r="S121" i="4"/>
  <c r="S72" i="4"/>
  <c r="S97" i="4"/>
  <c r="S98" i="4"/>
  <c r="S111" i="4"/>
  <c r="S118" i="4"/>
  <c r="S62" i="4"/>
  <c r="S39" i="4"/>
  <c r="S156" i="4"/>
  <c r="S201" i="4"/>
  <c r="S176" i="4"/>
  <c r="S105" i="4"/>
  <c r="S90" i="4"/>
  <c r="S42" i="4"/>
  <c r="S162" i="4"/>
  <c r="S15" i="4"/>
  <c r="S41" i="4"/>
  <c r="S145" i="4"/>
  <c r="S196" i="4"/>
  <c r="S19" i="4"/>
  <c r="S184" i="4"/>
  <c r="S117" i="4"/>
  <c r="S63" i="4"/>
  <c r="S221" i="4"/>
  <c r="S148" i="4"/>
  <c r="S51" i="4"/>
  <c r="S65" i="4"/>
  <c r="S138" i="4"/>
  <c r="S192" i="4"/>
  <c r="S35" i="4"/>
  <c r="S217" i="4"/>
  <c r="S185" i="4"/>
  <c r="S127" i="4"/>
  <c r="S114" i="4"/>
  <c r="S133" i="4"/>
  <c r="S189" i="4"/>
  <c r="S70" i="4"/>
  <c r="S119" i="4"/>
  <c r="S200" i="4"/>
  <c r="S106" i="4"/>
  <c r="S24" i="4"/>
  <c r="S144" i="4"/>
  <c r="S126" i="4"/>
  <c r="S174" i="4"/>
  <c r="S186" i="4"/>
  <c r="S107" i="4"/>
  <c r="S38" i="4"/>
  <c r="S153" i="4"/>
  <c r="S125" i="4"/>
  <c r="S142" i="4"/>
  <c r="S30" i="4"/>
  <c r="S157" i="4"/>
  <c r="S130" i="4"/>
  <c r="S213" i="4"/>
  <c r="S208" i="4"/>
  <c r="S168" i="4"/>
  <c r="S74" i="4"/>
  <c r="S113" i="4"/>
  <c r="S37" i="4"/>
  <c r="S102" i="4"/>
  <c r="S66" i="4"/>
  <c r="S96" i="4"/>
  <c r="S50" i="4"/>
  <c r="S207" i="4"/>
  <c r="S203" i="4"/>
  <c r="S216" i="4"/>
  <c r="S88" i="4"/>
  <c r="S86" i="4"/>
  <c r="S100" i="4"/>
  <c r="S47" i="4"/>
  <c r="S206" i="4"/>
  <c r="S135" i="4"/>
  <c r="S180" i="4"/>
  <c r="S89" i="4"/>
  <c r="S104" i="4"/>
  <c r="S155" i="4"/>
  <c r="S137" i="4"/>
  <c r="S143" i="4"/>
  <c r="S57" i="4"/>
  <c r="S84" i="4"/>
  <c r="S77" i="4"/>
  <c r="S36" i="4"/>
  <c r="S43" i="4"/>
  <c r="S108" i="4"/>
  <c r="S190" i="4"/>
  <c r="S101" i="4"/>
  <c r="S110" i="4"/>
  <c r="S27" i="4"/>
  <c r="S154" i="4"/>
  <c r="S198" i="4"/>
  <c r="S188" i="4"/>
  <c r="S163" i="4"/>
  <c r="S183" i="4"/>
  <c r="S165" i="4"/>
  <c r="S158" i="4"/>
  <c r="S83" i="4"/>
  <c r="S23" i="4"/>
  <c r="S193" i="4"/>
  <c r="S175" i="4"/>
  <c r="S178" i="4"/>
  <c r="S181" i="4"/>
  <c r="S134" i="4"/>
  <c r="S68" i="4"/>
  <c r="S122" i="4"/>
  <c r="S58" i="4"/>
  <c r="S95" i="4"/>
  <c r="S173" i="4"/>
  <c r="S172" i="4"/>
  <c r="S99" i="4"/>
  <c r="S159" i="4"/>
  <c r="S211" i="4"/>
  <c r="S18" i="4"/>
  <c r="S61" i="4"/>
  <c r="S128" i="4"/>
  <c r="S34" i="4"/>
  <c r="S123" i="4"/>
  <c r="S75" i="4"/>
  <c r="S197" i="4"/>
  <c r="S147" i="4"/>
  <c r="S167" i="4"/>
  <c r="S229" i="4"/>
  <c r="S69" i="4"/>
  <c r="S152" i="4"/>
  <c r="S182" i="4"/>
  <c r="S139" i="4"/>
  <c r="S205" i="4"/>
  <c r="S44" i="4"/>
  <c r="S194" i="4"/>
  <c r="S45" i="4"/>
  <c r="S202" i="4"/>
  <c r="S227" i="4"/>
  <c r="S209" i="4"/>
  <c r="S59" i="4"/>
  <c r="S73" i="4"/>
  <c r="S94" i="4"/>
  <c r="S33" i="4"/>
  <c r="S87" i="4"/>
  <c r="S29" i="4"/>
  <c r="S195" i="4"/>
  <c r="S219" i="4"/>
  <c r="S187" i="4"/>
  <c r="S179" i="4"/>
  <c r="S103" i="4"/>
  <c r="S218" i="4"/>
  <c r="S115" i="4"/>
  <c r="S91" i="4"/>
  <c r="S60" i="4"/>
  <c r="S212" i="4"/>
  <c r="S240" i="4"/>
  <c r="S28" i="4"/>
  <c r="S151" i="4"/>
  <c r="S234" i="4"/>
  <c r="S6" i="4"/>
  <c r="S214" i="4"/>
  <c r="S31" i="4"/>
  <c r="S22" i="4"/>
  <c r="S231" i="4"/>
  <c r="S215" i="4"/>
  <c r="S204" i="4"/>
  <c r="S235" i="4"/>
  <c r="S85" i="4"/>
  <c r="S220" i="4"/>
  <c r="S81" i="4"/>
  <c r="S230" i="4"/>
  <c r="S14" i="4"/>
  <c r="S20" i="4"/>
  <c r="S191" i="4"/>
  <c r="S32" i="4"/>
  <c r="S129" i="4"/>
  <c r="S228" i="4"/>
  <c r="S233" i="4"/>
  <c r="S112" i="4"/>
  <c r="S21" i="4"/>
  <c r="S116" i="4"/>
  <c r="S242" i="4"/>
  <c r="S250" i="4"/>
  <c r="S237" i="4"/>
  <c r="S236" i="4"/>
  <c r="S245" i="4"/>
  <c r="S238" i="4"/>
  <c r="S239" i="4"/>
  <c r="S244" i="4"/>
  <c r="S241" i="4"/>
  <c r="S243" i="4"/>
  <c r="S256" i="4"/>
  <c r="S259" i="4"/>
  <c r="S246" i="4"/>
  <c r="S247" i="4"/>
  <c r="S248" i="4"/>
  <c r="S54" i="4"/>
  <c r="S251" i="4"/>
  <c r="S252" i="4"/>
  <c r="S253" i="4"/>
  <c r="S254" i="4"/>
  <c r="S257" i="4"/>
  <c r="S258" i="4"/>
  <c r="S265" i="4"/>
  <c r="S266" i="4"/>
  <c r="T266" i="4" s="1"/>
  <c r="S10" i="4"/>
  <c r="S269" i="4"/>
  <c r="S260" i="4"/>
  <c r="S255" i="4"/>
  <c r="S261" i="4"/>
  <c r="S267" i="4"/>
  <c r="T267" i="4" s="1"/>
  <c r="S264" i="4"/>
  <c r="S262" i="4"/>
  <c r="S263" i="4"/>
  <c r="S4" i="4"/>
  <c r="P200" i="12" l="1"/>
  <c r="Q7" i="12"/>
  <c r="Q6" i="12"/>
  <c r="Q4" i="12"/>
  <c r="R4" i="14"/>
  <c r="S4" i="14" s="1"/>
  <c r="R5" i="14"/>
  <c r="S5" i="14" s="1"/>
  <c r="R6" i="14"/>
  <c r="S6" i="14" s="1"/>
  <c r="R7" i="14"/>
  <c r="S7" i="14" s="1"/>
  <c r="R8" i="14"/>
  <c r="S8" i="14" s="1"/>
  <c r="AE9" i="14"/>
  <c r="R9" i="14"/>
  <c r="S9" i="14" s="1"/>
  <c r="R10" i="14"/>
  <c r="S10" i="14" s="1"/>
  <c r="R11" i="14"/>
  <c r="S11" i="14" s="1"/>
  <c r="R12" i="14"/>
  <c r="S12" i="14" s="1"/>
  <c r="AE13" i="14"/>
  <c r="R13" i="14"/>
  <c r="S13" i="14" s="1"/>
  <c r="R14" i="14"/>
  <c r="S14" i="14" s="1"/>
  <c r="R15" i="14"/>
  <c r="S15" i="14" s="1"/>
  <c r="R16" i="14"/>
  <c r="S16" i="14" s="1"/>
  <c r="R17" i="14"/>
  <c r="S17" i="14" s="1"/>
  <c r="R18" i="14"/>
  <c r="S18" i="14" s="1"/>
  <c r="R19" i="14"/>
  <c r="S19" i="14" s="1"/>
  <c r="R20" i="14"/>
  <c r="S20" i="14" s="1"/>
  <c r="R21" i="14"/>
  <c r="S21" i="14" s="1"/>
  <c r="R22" i="14"/>
  <c r="S22" i="14" s="1"/>
  <c r="R23" i="14"/>
  <c r="S23" i="14" s="1"/>
  <c r="R24" i="14"/>
  <c r="S24" i="14" s="1"/>
  <c r="R25" i="14"/>
  <c r="S25" i="14" s="1"/>
  <c r="R26" i="14"/>
  <c r="S26" i="14" s="1"/>
  <c r="R27" i="14"/>
  <c r="S27" i="14" s="1"/>
  <c r="R28" i="14"/>
  <c r="S28" i="14" s="1"/>
  <c r="R29" i="14"/>
  <c r="S29" i="14" s="1"/>
  <c r="R30" i="14"/>
  <c r="S30" i="14" s="1"/>
  <c r="R31" i="14"/>
  <c r="S31" i="14" s="1"/>
  <c r="R32" i="14"/>
  <c r="S32" i="14" s="1"/>
  <c r="R33" i="14"/>
  <c r="S33" i="14" s="1"/>
  <c r="AE34" i="14"/>
  <c r="R34" i="14"/>
  <c r="S34" i="14" s="1"/>
  <c r="R35" i="14"/>
  <c r="S35" i="14" s="1"/>
  <c r="R36" i="14"/>
  <c r="S36" i="14" s="1"/>
  <c r="R37" i="14"/>
  <c r="S37" i="14" s="1"/>
  <c r="R38" i="14"/>
  <c r="S38" i="14" s="1"/>
  <c r="R39" i="14"/>
  <c r="S39" i="14" s="1"/>
  <c r="R40" i="14"/>
  <c r="S40" i="14" s="1"/>
  <c r="R41" i="14"/>
  <c r="S41" i="14" s="1"/>
  <c r="R42" i="14"/>
  <c r="S42" i="14" s="1"/>
  <c r="R43" i="14"/>
  <c r="S43" i="14" s="1"/>
  <c r="R44" i="14"/>
  <c r="S44" i="14" s="1"/>
  <c r="R45" i="14"/>
  <c r="S45" i="14" s="1"/>
  <c r="R46" i="14"/>
  <c r="S46" i="14" s="1"/>
  <c r="AE47" i="14"/>
  <c r="R47" i="14"/>
  <c r="S47" i="14" s="1"/>
  <c r="R48" i="14"/>
  <c r="S48" i="14" s="1"/>
  <c r="R49" i="14"/>
  <c r="S49" i="14" s="1"/>
  <c r="R50" i="14"/>
  <c r="S50" i="14" s="1"/>
  <c r="R51" i="14"/>
  <c r="S51" i="14" s="1"/>
  <c r="R52" i="14"/>
  <c r="S52" i="14" s="1"/>
  <c r="R53" i="14"/>
  <c r="S53" i="14" s="1"/>
  <c r="AE54" i="14"/>
  <c r="R54" i="14"/>
  <c r="S54" i="14" s="1"/>
  <c r="R55" i="14"/>
  <c r="S55" i="14" s="1"/>
  <c r="R56" i="14"/>
  <c r="S56" i="14" s="1"/>
  <c r="R57" i="14"/>
  <c r="S57" i="14" s="1"/>
  <c r="R58" i="14"/>
  <c r="S58" i="14" s="1"/>
  <c r="R59" i="14"/>
  <c r="S59" i="14" s="1"/>
  <c r="R60" i="14"/>
  <c r="S60" i="14" s="1"/>
  <c r="R61" i="14"/>
  <c r="S61" i="14" s="1"/>
  <c r="R62" i="14"/>
  <c r="S62" i="14" s="1"/>
  <c r="AE63" i="14"/>
  <c r="R63" i="14"/>
  <c r="S63" i="14" s="1"/>
  <c r="R64" i="14"/>
  <c r="S64" i="14" s="1"/>
  <c r="R65" i="14"/>
  <c r="S65" i="14" s="1"/>
  <c r="R66" i="14"/>
  <c r="S66" i="14" s="1"/>
  <c r="R67" i="14"/>
  <c r="S67" i="14" s="1"/>
  <c r="R68" i="14"/>
  <c r="S68" i="14" s="1"/>
  <c r="R69" i="14"/>
  <c r="S69" i="14" s="1"/>
  <c r="R70" i="14"/>
  <c r="S70" i="14" s="1"/>
  <c r="R71" i="14"/>
  <c r="S71" i="14" s="1"/>
  <c r="R72" i="14"/>
  <c r="S72" i="14" s="1"/>
  <c r="R73" i="14"/>
  <c r="S73" i="14" s="1"/>
  <c r="R74" i="14"/>
  <c r="S74" i="14" s="1"/>
  <c r="AE75" i="14"/>
  <c r="R75" i="14"/>
  <c r="S75" i="14" s="1"/>
  <c r="R76" i="14"/>
  <c r="S76" i="14" s="1"/>
  <c r="R77" i="14"/>
  <c r="S77" i="14" s="1"/>
  <c r="R78" i="14"/>
  <c r="S78" i="14" s="1"/>
  <c r="R79" i="14"/>
  <c r="S79" i="14" s="1"/>
  <c r="R80" i="14"/>
  <c r="S80" i="14" s="1"/>
  <c r="R81" i="14"/>
  <c r="S81" i="14" s="1"/>
  <c r="R82" i="14"/>
  <c r="S82" i="14" s="1"/>
  <c r="AE83" i="14"/>
  <c r="R83" i="14"/>
  <c r="S83" i="14" s="1"/>
  <c r="R84" i="14"/>
  <c r="S84" i="14" s="1"/>
  <c r="R85" i="14"/>
  <c r="S85" i="14" s="1"/>
  <c r="R86" i="14"/>
  <c r="S86" i="14" s="1"/>
  <c r="R87" i="14"/>
  <c r="S87" i="14" s="1"/>
  <c r="R88" i="14"/>
  <c r="S88" i="14" s="1"/>
  <c r="R89" i="14"/>
  <c r="S89" i="14" s="1"/>
  <c r="R90" i="14"/>
  <c r="S90" i="14" s="1"/>
  <c r="R91" i="14"/>
  <c r="S91" i="14" s="1"/>
  <c r="R92" i="14"/>
  <c r="S92" i="14" s="1"/>
  <c r="R93" i="14"/>
  <c r="S93" i="14" s="1"/>
  <c r="R94" i="14"/>
  <c r="S94" i="14" s="1"/>
  <c r="R95" i="14"/>
  <c r="S95" i="14" s="1"/>
  <c r="R96" i="14"/>
  <c r="S96" i="14" s="1"/>
  <c r="R97" i="14"/>
  <c r="S97" i="14" s="1"/>
  <c r="R98" i="14"/>
  <c r="S98" i="14" s="1"/>
  <c r="R99" i="14"/>
  <c r="S99" i="14" s="1"/>
  <c r="R100" i="14"/>
  <c r="S100" i="14" s="1"/>
  <c r="R101" i="14"/>
  <c r="S101" i="14" s="1"/>
  <c r="R102" i="14"/>
  <c r="S102" i="14" s="1"/>
  <c r="R103" i="14"/>
  <c r="S103" i="14" s="1"/>
  <c r="R104" i="14"/>
  <c r="S104" i="14" s="1"/>
  <c r="R105" i="14"/>
  <c r="S105" i="14" s="1"/>
  <c r="R106" i="14"/>
  <c r="S106" i="14" s="1"/>
  <c r="R107" i="14"/>
  <c r="S107" i="14" s="1"/>
  <c r="R108" i="14"/>
  <c r="S108" i="14" s="1"/>
  <c r="R109" i="14"/>
  <c r="S109" i="14" s="1"/>
  <c r="R110" i="14"/>
  <c r="S110" i="14" s="1"/>
  <c r="R111" i="14"/>
  <c r="S111" i="14" s="1"/>
  <c r="R112" i="14"/>
  <c r="S112" i="14" s="1"/>
  <c r="R113" i="14"/>
  <c r="S113" i="14" s="1"/>
  <c r="R114" i="14"/>
  <c r="S114" i="14" s="1"/>
  <c r="R115" i="14"/>
  <c r="S115" i="14" s="1"/>
  <c r="R116" i="14"/>
  <c r="S116" i="14" s="1"/>
  <c r="R117" i="14"/>
  <c r="S117" i="14" s="1"/>
  <c r="R118" i="14"/>
  <c r="S118" i="14" s="1"/>
  <c r="R119" i="14"/>
  <c r="S119" i="14" s="1"/>
  <c r="R120" i="14"/>
  <c r="S120" i="14" s="1"/>
  <c r="R121" i="14"/>
  <c r="S121" i="14" s="1"/>
  <c r="R122" i="14"/>
  <c r="S122" i="14" s="1"/>
  <c r="R123" i="14"/>
  <c r="S123" i="14" s="1"/>
  <c r="R124" i="14"/>
  <c r="S124" i="14" s="1"/>
  <c r="R125" i="14"/>
  <c r="S125" i="14" s="1"/>
  <c r="R126" i="14"/>
  <c r="S126" i="14" s="1"/>
  <c r="R127" i="14"/>
  <c r="S127" i="14" s="1"/>
  <c r="R128" i="14"/>
  <c r="S128" i="14" s="1"/>
  <c r="R129" i="14"/>
  <c r="S129" i="14" s="1"/>
  <c r="R130" i="14"/>
  <c r="S130" i="14" s="1"/>
  <c r="R131" i="14"/>
  <c r="S131" i="14" s="1"/>
  <c r="R132" i="14"/>
  <c r="S132" i="14" s="1"/>
  <c r="R133" i="14"/>
  <c r="S133" i="14" s="1"/>
  <c r="R134" i="14"/>
  <c r="S134" i="14" s="1"/>
  <c r="R135" i="14"/>
  <c r="S135" i="14" s="1"/>
  <c r="R136" i="14"/>
  <c r="S136" i="14" s="1"/>
  <c r="R137" i="14"/>
  <c r="S137" i="14" s="1"/>
  <c r="R138" i="14"/>
  <c r="S138" i="14" s="1"/>
  <c r="R139" i="14"/>
  <c r="S139" i="14" s="1"/>
  <c r="R140" i="14"/>
  <c r="S140" i="14" s="1"/>
  <c r="R141" i="14"/>
  <c r="S141" i="14" s="1"/>
  <c r="R142" i="14"/>
  <c r="S142" i="14" s="1"/>
  <c r="R143" i="14"/>
  <c r="S143" i="14" s="1"/>
  <c r="R144" i="14"/>
  <c r="S144" i="14" s="1"/>
  <c r="R145" i="14"/>
  <c r="S145" i="14" s="1"/>
  <c r="R146" i="14"/>
  <c r="S146" i="14" s="1"/>
  <c r="R147" i="14"/>
  <c r="S147" i="14" s="1"/>
  <c r="R148" i="14"/>
  <c r="S148" i="14" s="1"/>
  <c r="R149" i="14"/>
  <c r="S149" i="14" s="1"/>
  <c r="R150" i="14"/>
  <c r="S150" i="14" s="1"/>
  <c r="R151" i="14"/>
  <c r="S151" i="14" s="1"/>
  <c r="R152" i="14"/>
  <c r="S152" i="14" s="1"/>
  <c r="R153" i="14"/>
  <c r="S153" i="14" s="1"/>
  <c r="R154" i="14"/>
  <c r="S154" i="14" s="1"/>
  <c r="R155" i="14"/>
  <c r="S155" i="14" s="1"/>
  <c r="R156" i="14"/>
  <c r="S156" i="14" s="1"/>
  <c r="R157" i="14"/>
  <c r="S157" i="14" s="1"/>
  <c r="R158" i="14"/>
  <c r="S158" i="14" s="1"/>
  <c r="R159" i="14"/>
  <c r="S159" i="14" s="1"/>
  <c r="R160" i="14"/>
  <c r="S160" i="14" s="1"/>
  <c r="R161" i="14"/>
  <c r="S161" i="14" s="1"/>
  <c r="R162" i="14"/>
  <c r="S162" i="14" s="1"/>
  <c r="R163" i="14"/>
  <c r="S163" i="14" s="1"/>
  <c r="R164" i="14"/>
  <c r="S164" i="14" s="1"/>
  <c r="R165" i="14"/>
  <c r="S165" i="14" s="1"/>
  <c r="R166" i="14"/>
  <c r="S166" i="14" s="1"/>
  <c r="R167" i="14"/>
  <c r="S167" i="14" s="1"/>
  <c r="R168" i="14"/>
  <c r="S168" i="14" s="1"/>
  <c r="R169" i="14"/>
  <c r="S169" i="14" s="1"/>
  <c r="R170" i="14"/>
  <c r="S170" i="14" s="1"/>
  <c r="R171" i="14"/>
  <c r="S171" i="14" s="1"/>
  <c r="R172" i="14"/>
  <c r="S172" i="14" s="1"/>
  <c r="R173" i="14"/>
  <c r="S173" i="14" s="1"/>
  <c r="R174" i="14"/>
  <c r="S174" i="14" s="1"/>
  <c r="R175" i="14"/>
  <c r="S175" i="14" s="1"/>
  <c r="R176" i="14"/>
  <c r="S176" i="14" s="1"/>
  <c r="R177" i="14"/>
  <c r="S177" i="14" s="1"/>
  <c r="R178" i="14"/>
  <c r="S178" i="14" s="1"/>
  <c r="R179" i="14"/>
  <c r="S179" i="14" s="1"/>
  <c r="R180" i="14"/>
  <c r="S180" i="14" s="1"/>
  <c r="R181" i="14"/>
  <c r="S181" i="14" s="1"/>
  <c r="R182" i="14"/>
  <c r="S182" i="14" s="1"/>
  <c r="R183" i="14"/>
  <c r="S183" i="14" s="1"/>
  <c r="R184" i="14"/>
  <c r="S184" i="14" s="1"/>
  <c r="R185" i="14"/>
  <c r="S185" i="14" s="1"/>
  <c r="R186" i="14"/>
  <c r="S186" i="14" s="1"/>
  <c r="R187" i="14"/>
  <c r="S187" i="14" s="1"/>
  <c r="AE188" i="14"/>
  <c r="R188" i="14"/>
  <c r="S188" i="14" s="1"/>
  <c r="R189" i="14"/>
  <c r="S189" i="14" s="1"/>
  <c r="R190" i="14"/>
  <c r="S190" i="14" s="1"/>
  <c r="R191" i="14"/>
  <c r="S191" i="14" s="1"/>
  <c r="R192" i="14"/>
  <c r="S192" i="14" s="1"/>
  <c r="R193" i="14"/>
  <c r="S193" i="14" s="1"/>
  <c r="R194" i="14"/>
  <c r="S194" i="14" s="1"/>
  <c r="R195" i="14"/>
  <c r="S195" i="14" s="1"/>
  <c r="R196" i="14"/>
  <c r="S196" i="14" s="1"/>
  <c r="R197" i="14"/>
  <c r="S197" i="14" s="1"/>
  <c r="R198" i="14"/>
  <c r="S198" i="14" s="1"/>
  <c r="R199" i="14"/>
  <c r="S199" i="14" s="1"/>
  <c r="R200" i="14"/>
  <c r="S200" i="14" s="1"/>
  <c r="R201" i="14"/>
  <c r="S201" i="14" s="1"/>
  <c r="R202" i="14"/>
  <c r="S202" i="14" s="1"/>
  <c r="R203" i="14"/>
  <c r="S203" i="14" s="1"/>
  <c r="R204" i="14"/>
  <c r="S204" i="14" s="1"/>
  <c r="R205" i="14"/>
  <c r="S205" i="14" s="1"/>
  <c r="R206" i="14"/>
  <c r="S206" i="14" s="1"/>
  <c r="R207" i="14"/>
  <c r="S207" i="14" s="1"/>
  <c r="R208" i="14"/>
  <c r="S208" i="14" s="1"/>
  <c r="R209" i="14"/>
  <c r="S209" i="14" s="1"/>
  <c r="R210" i="14"/>
  <c r="S210" i="14" s="1"/>
  <c r="R211" i="14"/>
  <c r="S211" i="14" s="1"/>
  <c r="R212" i="14"/>
  <c r="S212" i="14" s="1"/>
  <c r="R213" i="14"/>
  <c r="S213" i="14" s="1"/>
  <c r="R214" i="14"/>
  <c r="S214" i="14" s="1"/>
  <c r="R215" i="14"/>
  <c r="S215" i="14" s="1"/>
  <c r="R216" i="14"/>
  <c r="S216" i="14" s="1"/>
  <c r="R217" i="14"/>
  <c r="S217" i="14" s="1"/>
  <c r="R218" i="14"/>
  <c r="S218" i="14" s="1"/>
  <c r="R219" i="14"/>
  <c r="S219" i="14" s="1"/>
  <c r="R220" i="14"/>
  <c r="S220" i="14" s="1"/>
  <c r="R221" i="14"/>
  <c r="S221" i="14" s="1"/>
  <c r="R222" i="14"/>
  <c r="S222" i="14" s="1"/>
  <c r="R223" i="14"/>
  <c r="S223" i="14" s="1"/>
  <c r="R224" i="14"/>
  <c r="S224" i="14" s="1"/>
  <c r="R225" i="14"/>
  <c r="S225" i="14" s="1"/>
  <c r="AE226" i="14"/>
  <c r="R226" i="14"/>
  <c r="S226" i="14" s="1"/>
  <c r="R227" i="14"/>
  <c r="S227" i="14" s="1"/>
  <c r="R228" i="14"/>
  <c r="S228" i="14" s="1"/>
  <c r="R229" i="14"/>
  <c r="S229" i="14" s="1"/>
  <c r="R230" i="14"/>
  <c r="S230" i="14" s="1"/>
  <c r="R231" i="14"/>
  <c r="S231" i="14" s="1"/>
  <c r="R232" i="14"/>
  <c r="S232" i="14" s="1"/>
  <c r="R233" i="14"/>
  <c r="S233" i="14" s="1"/>
  <c r="R234" i="14"/>
  <c r="S234" i="14" s="1"/>
  <c r="R235" i="14"/>
  <c r="S235" i="14" s="1"/>
  <c r="AE236" i="14"/>
  <c r="R236" i="14"/>
  <c r="S236" i="14" s="1"/>
  <c r="R237" i="14"/>
  <c r="S237" i="14" s="1"/>
  <c r="R238" i="14"/>
  <c r="S238" i="14" s="1"/>
  <c r="R239" i="14"/>
  <c r="S239" i="14" s="1"/>
  <c r="R240" i="14"/>
  <c r="S240" i="14" s="1"/>
  <c r="R241" i="14"/>
  <c r="S241" i="14" s="1"/>
  <c r="R242" i="14"/>
  <c r="S242" i="14" s="1"/>
  <c r="R243" i="14"/>
  <c r="S243" i="14" s="1"/>
  <c r="R244" i="14"/>
  <c r="S244" i="14" s="1"/>
  <c r="R245" i="14"/>
  <c r="S245" i="14" s="1"/>
  <c r="AE246" i="14"/>
  <c r="R246" i="14"/>
  <c r="S246" i="14" s="1"/>
  <c r="AE247" i="14"/>
  <c r="R247" i="14"/>
  <c r="S247" i="14" s="1"/>
  <c r="R248" i="14"/>
  <c r="S248" i="14" s="1"/>
  <c r="R249" i="14"/>
  <c r="S249" i="14" s="1"/>
  <c r="AE250" i="14"/>
  <c r="R250" i="14"/>
  <c r="S250" i="14" s="1"/>
  <c r="R251" i="14"/>
  <c r="S251" i="14" s="1"/>
  <c r="R252" i="14"/>
  <c r="S252" i="14" s="1"/>
  <c r="AE253" i="14"/>
  <c r="R253" i="14"/>
  <c r="S253" i="14" s="1"/>
  <c r="R254" i="14"/>
  <c r="S254" i="14" s="1"/>
  <c r="AE255" i="14"/>
  <c r="R255" i="14"/>
  <c r="S255" i="14" s="1"/>
  <c r="AE256" i="14"/>
  <c r="R256" i="14"/>
  <c r="S256" i="14" s="1"/>
  <c r="AE257" i="14"/>
  <c r="R257" i="14"/>
  <c r="S257" i="14" s="1"/>
  <c r="AE258" i="14"/>
  <c r="R258" i="14"/>
  <c r="S258" i="14" s="1"/>
  <c r="AE259" i="14"/>
  <c r="R259" i="14"/>
  <c r="S259" i="14" s="1"/>
  <c r="AE260" i="14"/>
  <c r="R260" i="14"/>
  <c r="S260" i="14" s="1"/>
  <c r="AE261" i="14"/>
  <c r="R261" i="14"/>
  <c r="S261" i="14" s="1"/>
  <c r="AE262" i="14"/>
  <c r="R262" i="14"/>
  <c r="S262" i="14" s="1"/>
  <c r="AE263" i="14"/>
  <c r="R263" i="14"/>
  <c r="S263" i="14" s="1"/>
  <c r="AE264" i="14"/>
  <c r="R264" i="14"/>
  <c r="S264" i="14" s="1"/>
  <c r="AE265" i="14"/>
  <c r="R265" i="14"/>
  <c r="S265" i="14" s="1"/>
  <c r="AE266" i="14"/>
  <c r="R266" i="14"/>
  <c r="S266" i="14" s="1"/>
  <c r="AE267" i="14"/>
  <c r="R267" i="14"/>
  <c r="S267" i="14" s="1"/>
  <c r="AE268" i="14"/>
  <c r="R268" i="14"/>
  <c r="S268" i="14" s="1"/>
  <c r="AE269" i="14"/>
  <c r="R269" i="14"/>
  <c r="S269" i="14" s="1"/>
  <c r="AE270" i="14"/>
  <c r="R270" i="14"/>
  <c r="S270" i="14" s="1"/>
  <c r="AE271" i="14"/>
  <c r="R271" i="14"/>
  <c r="S271" i="14" s="1"/>
  <c r="AE272" i="14"/>
  <c r="R272" i="14"/>
  <c r="S272" i="14" s="1"/>
  <c r="AE273" i="14"/>
  <c r="R273" i="14"/>
  <c r="S273" i="14" s="1"/>
  <c r="AE274" i="14"/>
  <c r="R274" i="14"/>
  <c r="S274" i="14" s="1"/>
  <c r="AE275" i="14"/>
  <c r="R275" i="14"/>
  <c r="S275" i="14" s="1"/>
  <c r="R276" i="14"/>
  <c r="P276" i="14"/>
  <c r="R277" i="14"/>
  <c r="P277" i="14"/>
  <c r="AE278" i="14"/>
  <c r="R278" i="14"/>
  <c r="S278" i="14" s="1"/>
  <c r="R279" i="14"/>
  <c r="P279" i="14"/>
  <c r="AE280" i="14"/>
  <c r="R280" i="14"/>
  <c r="S280" i="14" s="1"/>
  <c r="AE281" i="14"/>
  <c r="R281" i="14"/>
  <c r="S281" i="14" s="1"/>
  <c r="AE282" i="14"/>
  <c r="R282" i="14"/>
  <c r="S282" i="14" s="1"/>
  <c r="AE283" i="14"/>
  <c r="R283" i="14"/>
  <c r="S283" i="14" s="1"/>
  <c r="AE284" i="14"/>
  <c r="R284" i="14"/>
  <c r="S284" i="14" s="1"/>
  <c r="AE285" i="14"/>
  <c r="R285" i="14"/>
  <c r="S285" i="14" s="1"/>
  <c r="AE286" i="14"/>
  <c r="R286" i="14"/>
  <c r="S286" i="14" s="1"/>
  <c r="AE287" i="14"/>
  <c r="R287" i="14"/>
  <c r="S287" i="14" s="1"/>
  <c r="AE288" i="14"/>
  <c r="R288" i="14"/>
  <c r="S288" i="14" s="1"/>
  <c r="AE289" i="14"/>
  <c r="R289" i="14"/>
  <c r="S289" i="14" s="1"/>
  <c r="AE290" i="14"/>
  <c r="R290" i="14"/>
  <c r="S290" i="14" s="1"/>
  <c r="AE291" i="14"/>
  <c r="R291" i="14"/>
  <c r="S291" i="14" s="1"/>
  <c r="AE292" i="14"/>
  <c r="R292" i="14"/>
  <c r="S292" i="14" s="1"/>
  <c r="AE293" i="14"/>
  <c r="R293" i="14"/>
  <c r="S293" i="14" s="1"/>
  <c r="R294" i="14"/>
  <c r="S294" i="14" s="1"/>
  <c r="AE295" i="14"/>
  <c r="R295" i="14"/>
  <c r="S295" i="14" s="1"/>
  <c r="AE296" i="14"/>
  <c r="R296" i="14"/>
  <c r="S296" i="14" s="1"/>
  <c r="AE297" i="14"/>
  <c r="R297" i="14"/>
  <c r="S297" i="14" s="1"/>
  <c r="AE298" i="14"/>
  <c r="R298" i="14"/>
  <c r="S298" i="14" s="1"/>
  <c r="AE299" i="14"/>
  <c r="R299" i="14"/>
  <c r="S299" i="14" s="1"/>
  <c r="AE300" i="14"/>
  <c r="R300" i="14"/>
  <c r="S300" i="14" s="1"/>
  <c r="AE301" i="14"/>
  <c r="R301" i="14"/>
  <c r="S301" i="14" s="1"/>
  <c r="AE302" i="14"/>
  <c r="R302" i="14"/>
  <c r="S302" i="14" s="1"/>
  <c r="AE303" i="14"/>
  <c r="R303" i="14"/>
  <c r="S303" i="14" s="1"/>
  <c r="AE304" i="14"/>
  <c r="R304" i="14"/>
  <c r="S304" i="14" s="1"/>
  <c r="AE305" i="14"/>
  <c r="R305" i="14"/>
  <c r="S305" i="14" s="1"/>
  <c r="R306" i="14"/>
  <c r="S306" i="14" s="1"/>
  <c r="AE307" i="14"/>
  <c r="R307" i="14"/>
  <c r="S307" i="14" s="1"/>
  <c r="AE308" i="14"/>
  <c r="R308" i="14"/>
  <c r="S308" i="14" s="1"/>
  <c r="AE309" i="14"/>
  <c r="R309" i="14"/>
  <c r="S309" i="14" s="1"/>
  <c r="AE310" i="14"/>
  <c r="R310" i="14"/>
  <c r="S310" i="14" s="1"/>
  <c r="AE311" i="14"/>
  <c r="R311" i="14"/>
  <c r="S311" i="14" s="1"/>
  <c r="R312" i="14"/>
  <c r="S312" i="14" s="1"/>
  <c r="AE313" i="14"/>
  <c r="R313" i="14"/>
  <c r="S313" i="14" s="1"/>
  <c r="AE314" i="14"/>
  <c r="R314" i="14"/>
  <c r="S314" i="14" s="1"/>
  <c r="AE315" i="14"/>
  <c r="R315" i="14"/>
  <c r="S315" i="14" s="1"/>
  <c r="R316" i="14"/>
  <c r="S316" i="14" s="1"/>
  <c r="AE317" i="14"/>
  <c r="R317" i="14"/>
  <c r="S317" i="14" s="1"/>
  <c r="S318" i="14"/>
  <c r="S319" i="14"/>
  <c r="S320" i="14"/>
  <c r="S321" i="14"/>
  <c r="S322" i="14"/>
  <c r="AC320" i="12"/>
  <c r="AC318" i="12"/>
  <c r="AC317" i="12"/>
  <c r="AC315" i="12"/>
  <c r="AC314" i="12"/>
  <c r="AC313" i="12"/>
  <c r="AC176" i="12"/>
  <c r="AC311" i="12"/>
  <c r="AC310" i="12"/>
  <c r="AC309" i="12"/>
  <c r="AC308" i="12"/>
  <c r="AC307" i="12"/>
  <c r="AC305" i="12"/>
  <c r="AC304" i="12"/>
  <c r="AC303" i="12"/>
  <c r="AC90" i="12"/>
  <c r="AC302" i="12"/>
  <c r="AC301" i="12"/>
  <c r="AC300" i="12"/>
  <c r="AC299" i="12"/>
  <c r="AC298" i="12"/>
  <c r="AC297" i="12"/>
  <c r="AC296" i="12"/>
  <c r="AC295" i="12"/>
  <c r="AC293" i="12"/>
  <c r="AC292" i="12"/>
  <c r="AC291" i="12"/>
  <c r="AC290" i="12"/>
  <c r="AC289" i="12"/>
  <c r="AC288" i="12"/>
  <c r="AC52" i="12"/>
  <c r="AC287" i="12"/>
  <c r="AC114" i="12"/>
  <c r="AC286" i="12"/>
  <c r="AC285" i="12"/>
  <c r="AC284" i="12"/>
  <c r="AC283" i="12"/>
  <c r="AC282" i="12"/>
  <c r="AC281" i="12"/>
  <c r="AC280" i="12"/>
  <c r="AC278" i="12"/>
  <c r="AC275" i="12"/>
  <c r="AC274" i="12"/>
  <c r="AC273" i="12"/>
  <c r="AC272" i="12"/>
  <c r="AC271" i="12"/>
  <c r="AC270" i="12"/>
  <c r="AC269" i="12"/>
  <c r="AC268" i="12"/>
  <c r="AC267" i="12"/>
  <c r="AC252" i="12"/>
  <c r="AC266" i="12"/>
  <c r="AC265" i="12"/>
  <c r="AC264" i="12"/>
  <c r="AC263" i="12"/>
  <c r="AC262" i="12"/>
  <c r="AC261" i="12"/>
  <c r="AC260" i="12"/>
  <c r="AC224" i="12"/>
  <c r="AC259" i="12"/>
  <c r="AC258" i="12"/>
  <c r="AC186" i="12"/>
  <c r="AC257" i="12"/>
  <c r="AC256" i="12"/>
  <c r="AC255" i="12"/>
  <c r="AC253" i="12"/>
  <c r="AC250" i="12"/>
  <c r="AC247" i="12"/>
  <c r="AC246" i="12"/>
  <c r="P344" i="10"/>
  <c r="O344" i="10"/>
  <c r="P343" i="10"/>
  <c r="O343" i="10"/>
  <c r="P342" i="10"/>
  <c r="O342" i="10"/>
  <c r="P341" i="10"/>
  <c r="O341" i="10"/>
  <c r="P340" i="10"/>
  <c r="O340" i="10"/>
  <c r="P339" i="10"/>
  <c r="O339" i="10"/>
  <c r="P338" i="10"/>
  <c r="O338" i="10"/>
  <c r="P337" i="10"/>
  <c r="O337" i="10"/>
  <c r="P336" i="10"/>
  <c r="O336" i="10"/>
  <c r="P335" i="10"/>
  <c r="O335" i="10"/>
  <c r="P334" i="10"/>
  <c r="O334" i="10"/>
  <c r="P333" i="10"/>
  <c r="O333" i="10"/>
  <c r="P332" i="10"/>
  <c r="O332" i="10"/>
  <c r="P331" i="10"/>
  <c r="O331" i="10"/>
  <c r="P330" i="10"/>
  <c r="O330" i="10"/>
  <c r="P329" i="10"/>
  <c r="O329" i="10"/>
  <c r="P328" i="10"/>
  <c r="O328" i="10"/>
  <c r="P327" i="10"/>
  <c r="O327" i="10"/>
  <c r="P326" i="10"/>
  <c r="O326" i="10"/>
  <c r="P325" i="10"/>
  <c r="O325" i="10"/>
  <c r="P324" i="10"/>
  <c r="O324" i="10"/>
  <c r="P323" i="10"/>
  <c r="O323" i="10"/>
  <c r="P322" i="10"/>
  <c r="O322" i="10"/>
  <c r="P321" i="10"/>
  <c r="O321" i="10"/>
  <c r="P320" i="10"/>
  <c r="O320" i="10"/>
  <c r="P319" i="10"/>
  <c r="O319" i="10"/>
  <c r="P318" i="10"/>
  <c r="O318" i="10"/>
  <c r="P317" i="10"/>
  <c r="O317" i="10"/>
  <c r="P316" i="10"/>
  <c r="O316" i="10"/>
  <c r="P315" i="10"/>
  <c r="O315" i="10"/>
  <c r="P314" i="10"/>
  <c r="O314" i="10"/>
  <c r="P313" i="10"/>
  <c r="O313" i="10"/>
  <c r="P312" i="10"/>
  <c r="O312" i="10"/>
  <c r="P311" i="10"/>
  <c r="O311" i="10"/>
  <c r="P310" i="10"/>
  <c r="O310" i="10"/>
  <c r="P309" i="10"/>
  <c r="O309" i="10"/>
  <c r="P308" i="10"/>
  <c r="O308" i="10"/>
  <c r="P307" i="10"/>
  <c r="O307" i="10"/>
  <c r="P306" i="10"/>
  <c r="O306" i="10"/>
  <c r="P305" i="10"/>
  <c r="O305" i="10"/>
  <c r="P304" i="10"/>
  <c r="O304" i="10"/>
  <c r="P303" i="10"/>
  <c r="O303" i="10"/>
  <c r="P302" i="10"/>
  <c r="O302" i="10"/>
  <c r="P301" i="10"/>
  <c r="O301" i="10"/>
  <c r="P300" i="10"/>
  <c r="O300" i="10"/>
  <c r="P299" i="10"/>
  <c r="O299" i="10"/>
  <c r="P298" i="10"/>
  <c r="O298" i="10"/>
  <c r="P297" i="10"/>
  <c r="O297" i="10"/>
  <c r="P296" i="10"/>
  <c r="O296" i="10"/>
  <c r="P295" i="10"/>
  <c r="O295" i="10"/>
  <c r="P294" i="10"/>
  <c r="O294" i="10"/>
  <c r="P293" i="10"/>
  <c r="O293" i="10"/>
  <c r="P292" i="10"/>
  <c r="O292" i="10"/>
  <c r="P291" i="10"/>
  <c r="O291" i="10"/>
  <c r="P290" i="10"/>
  <c r="O290" i="10"/>
  <c r="P289" i="10"/>
  <c r="O289" i="10"/>
  <c r="P288" i="10"/>
  <c r="O288" i="10"/>
  <c r="P287" i="10"/>
  <c r="O287" i="10"/>
  <c r="P286" i="10"/>
  <c r="O286" i="10"/>
  <c r="P285" i="10"/>
  <c r="O285" i="10"/>
  <c r="P284" i="10"/>
  <c r="O284" i="10"/>
  <c r="P283" i="10"/>
  <c r="O283" i="10"/>
  <c r="P282" i="10"/>
  <c r="O282" i="10"/>
  <c r="P281" i="10"/>
  <c r="O281" i="10"/>
  <c r="P280" i="10"/>
  <c r="O280" i="10"/>
  <c r="P279" i="10"/>
  <c r="O279" i="10"/>
  <c r="P278" i="10"/>
  <c r="O278" i="10"/>
  <c r="P277" i="10"/>
  <c r="O277" i="10"/>
  <c r="P276" i="10"/>
  <c r="O276" i="10"/>
  <c r="P275" i="10"/>
  <c r="O275" i="10"/>
  <c r="P274" i="10"/>
  <c r="O274" i="10"/>
  <c r="P273" i="10"/>
  <c r="O273" i="10"/>
  <c r="P272" i="10"/>
  <c r="O272" i="10"/>
  <c r="S2" i="10"/>
  <c r="U2" i="10"/>
  <c r="T2" i="10"/>
  <c r="S279" i="14" l="1"/>
  <c r="S277" i="14"/>
  <c r="S276" i="14"/>
  <c r="Q273" i="10"/>
  <c r="Q276" i="10"/>
  <c r="Q279" i="10"/>
  <c r="Q282" i="10"/>
  <c r="Q285" i="10"/>
  <c r="Q288" i="10"/>
  <c r="Q291" i="10"/>
  <c r="Q294" i="10"/>
  <c r="Q297" i="10"/>
  <c r="Q299" i="10"/>
  <c r="Q302" i="10"/>
  <c r="Q305" i="10"/>
  <c r="Q308" i="10"/>
  <c r="Q311" i="10"/>
  <c r="Q314" i="10"/>
  <c r="Q317" i="10"/>
  <c r="Q320" i="10"/>
  <c r="Q323" i="10"/>
  <c r="Q326" i="10"/>
  <c r="Q329" i="10"/>
  <c r="Q332" i="10"/>
  <c r="Q335" i="10"/>
  <c r="Q338" i="10"/>
  <c r="Q341" i="10"/>
  <c r="Q344" i="10"/>
  <c r="Q272" i="10"/>
  <c r="Q274" i="10"/>
  <c r="Q277" i="10"/>
  <c r="Q280" i="10"/>
  <c r="Q283" i="10"/>
  <c r="Q286" i="10"/>
  <c r="Q289" i="10"/>
  <c r="Q292" i="10"/>
  <c r="Q295" i="10"/>
  <c r="Q298" i="10"/>
  <c r="Q301" i="10"/>
  <c r="Q304" i="10"/>
  <c r="Q307" i="10"/>
  <c r="Q310" i="10"/>
  <c r="Q313" i="10"/>
  <c r="Q316" i="10"/>
  <c r="Q319" i="10"/>
  <c r="Q322" i="10"/>
  <c r="Q325" i="10"/>
  <c r="Q328" i="10"/>
  <c r="Q331" i="10"/>
  <c r="Q334" i="10"/>
  <c r="Q337" i="10"/>
  <c r="Q340" i="10"/>
  <c r="Q343" i="10"/>
  <c r="Q300" i="10"/>
  <c r="Q303" i="10"/>
  <c r="Q306" i="10"/>
  <c r="Q309" i="10"/>
  <c r="Q312" i="10"/>
  <c r="Q315" i="10"/>
  <c r="Q318" i="10"/>
  <c r="Q321" i="10"/>
  <c r="Q324" i="10"/>
  <c r="Q327" i="10"/>
  <c r="Q330" i="10"/>
  <c r="Q333" i="10"/>
  <c r="Q336" i="10"/>
  <c r="Q339" i="10"/>
  <c r="Q342" i="10"/>
  <c r="Q275" i="10"/>
  <c r="Q278" i="10"/>
  <c r="Q281" i="10"/>
  <c r="Q284" i="10"/>
  <c r="Q287" i="10"/>
  <c r="Q290" i="10"/>
  <c r="Q293" i="10"/>
  <c r="Q296" i="10"/>
  <c r="E5" i="10"/>
  <c r="E7" i="10"/>
  <c r="E9" i="10"/>
  <c r="E10" i="10"/>
  <c r="C11" i="10"/>
  <c r="E11" i="10"/>
  <c r="E12" i="10"/>
  <c r="K12" i="10"/>
  <c r="C13" i="10"/>
  <c r="C15" i="10"/>
  <c r="C17" i="10"/>
  <c r="C20" i="10"/>
  <c r="C23" i="10"/>
  <c r="D30" i="10"/>
  <c r="E30" i="10"/>
  <c r="G30" i="10"/>
  <c r="H30" i="10"/>
  <c r="I30" i="10"/>
  <c r="J30" i="10"/>
  <c r="K30" i="10"/>
  <c r="L30" i="10"/>
  <c r="M30" i="10"/>
  <c r="N30" i="10"/>
  <c r="C35" i="10"/>
  <c r="C41" i="10"/>
  <c r="C46" i="10"/>
  <c r="D46" i="10"/>
  <c r="E46" i="10"/>
  <c r="G46" i="10"/>
  <c r="H46" i="10"/>
  <c r="I46" i="10"/>
  <c r="J46" i="10"/>
  <c r="K46" i="10"/>
  <c r="L46" i="10"/>
  <c r="M46" i="10"/>
  <c r="N46" i="10"/>
  <c r="C47" i="10"/>
  <c r="D47" i="10"/>
  <c r="E47" i="10"/>
  <c r="G47" i="10"/>
  <c r="H47" i="10"/>
  <c r="I47" i="10"/>
  <c r="J47" i="10"/>
  <c r="K47" i="10"/>
  <c r="L47" i="10"/>
  <c r="M47" i="10"/>
  <c r="N47" i="10"/>
  <c r="C49" i="10"/>
  <c r="D49" i="10"/>
  <c r="E49" i="10"/>
  <c r="G49" i="10"/>
  <c r="H49" i="10"/>
  <c r="I49" i="10"/>
  <c r="J49" i="10"/>
  <c r="K49" i="10"/>
  <c r="L49" i="10"/>
  <c r="M49" i="10"/>
  <c r="N49" i="10"/>
  <c r="D50" i="10"/>
  <c r="E50" i="10"/>
  <c r="G50" i="10"/>
  <c r="H50" i="10"/>
  <c r="I50" i="10"/>
  <c r="J50" i="10"/>
  <c r="K50" i="10"/>
  <c r="L50" i="10"/>
  <c r="M50" i="10"/>
  <c r="N50" i="10"/>
  <c r="D52" i="10"/>
  <c r="E52" i="10"/>
  <c r="G52" i="10"/>
  <c r="H52" i="10"/>
  <c r="I52" i="10"/>
  <c r="J52" i="10"/>
  <c r="K52" i="10"/>
  <c r="L52" i="10"/>
  <c r="M52" i="10"/>
  <c r="N52" i="10"/>
  <c r="C53" i="10"/>
  <c r="C57" i="10"/>
  <c r="C67" i="10"/>
  <c r="D76" i="10"/>
  <c r="E76" i="10"/>
  <c r="G76" i="10"/>
  <c r="H76" i="10"/>
  <c r="I76" i="10"/>
  <c r="J76" i="10"/>
  <c r="K76" i="10"/>
  <c r="L76" i="10"/>
  <c r="M76" i="10"/>
  <c r="N76" i="10"/>
  <c r="C77" i="10"/>
  <c r="C84" i="10"/>
  <c r="C88" i="10"/>
  <c r="D91" i="10"/>
  <c r="E91" i="10"/>
  <c r="G91" i="10"/>
  <c r="H91" i="10"/>
  <c r="I91" i="10"/>
  <c r="J91" i="10"/>
  <c r="K91" i="10"/>
  <c r="L91" i="10"/>
  <c r="M91" i="10"/>
  <c r="N91" i="10"/>
  <c r="C92" i="10"/>
  <c r="C94" i="10"/>
  <c r="G96" i="10"/>
  <c r="C103" i="10"/>
  <c r="D104" i="10"/>
  <c r="E104" i="10"/>
  <c r="G104" i="10"/>
  <c r="H104" i="10"/>
  <c r="I104" i="10"/>
  <c r="J104" i="10"/>
  <c r="K104" i="10"/>
  <c r="L104" i="10"/>
  <c r="M104" i="10"/>
  <c r="N104" i="10"/>
  <c r="C105" i="10"/>
  <c r="C107" i="10"/>
  <c r="D114" i="10"/>
  <c r="E114" i="10"/>
  <c r="G114" i="10"/>
  <c r="H114" i="10"/>
  <c r="I114" i="10"/>
  <c r="J114" i="10"/>
  <c r="K114" i="10"/>
  <c r="L114" i="10"/>
  <c r="M114" i="10"/>
  <c r="N114" i="10"/>
  <c r="D115" i="10"/>
  <c r="E115" i="10"/>
  <c r="G115" i="10"/>
  <c r="H115" i="10"/>
  <c r="I115" i="10"/>
  <c r="J115" i="10"/>
  <c r="K115" i="10"/>
  <c r="L115" i="10"/>
  <c r="M115" i="10"/>
  <c r="N115" i="10"/>
  <c r="D121" i="10"/>
  <c r="E121" i="10"/>
  <c r="G121" i="10"/>
  <c r="H121" i="10"/>
  <c r="I121" i="10"/>
  <c r="J121" i="10"/>
  <c r="K121" i="10"/>
  <c r="L121" i="10"/>
  <c r="M121" i="10"/>
  <c r="N121" i="10"/>
  <c r="C122" i="10"/>
  <c r="C123" i="10"/>
  <c r="D125" i="10"/>
  <c r="E125" i="10"/>
  <c r="G125" i="10"/>
  <c r="H125" i="10"/>
  <c r="I125" i="10"/>
  <c r="J125" i="10"/>
  <c r="K125" i="10"/>
  <c r="L125" i="10"/>
  <c r="M125" i="10"/>
  <c r="N125" i="10"/>
  <c r="D126" i="10"/>
  <c r="E126" i="10"/>
  <c r="G126" i="10"/>
  <c r="H126" i="10"/>
  <c r="I126" i="10"/>
  <c r="J126" i="10"/>
  <c r="K126" i="10"/>
  <c r="L126" i="10"/>
  <c r="M126" i="10"/>
  <c r="N126" i="10"/>
  <c r="D128" i="10"/>
  <c r="E128" i="10"/>
  <c r="G128" i="10"/>
  <c r="H128" i="10"/>
  <c r="I128" i="10"/>
  <c r="J128" i="10"/>
  <c r="K128" i="10"/>
  <c r="L128" i="10"/>
  <c r="M128" i="10"/>
  <c r="N128" i="10"/>
  <c r="D129" i="10"/>
  <c r="E129" i="10"/>
  <c r="G129" i="10"/>
  <c r="H129" i="10"/>
  <c r="I129" i="10"/>
  <c r="J129" i="10"/>
  <c r="K129" i="10"/>
  <c r="L129" i="10"/>
  <c r="M129" i="10"/>
  <c r="N129" i="10"/>
  <c r="C130" i="10"/>
  <c r="C132" i="10"/>
  <c r="D132" i="10"/>
  <c r="E132" i="10"/>
  <c r="G132" i="10"/>
  <c r="H132" i="10"/>
  <c r="I132" i="10"/>
  <c r="J132" i="10"/>
  <c r="K132" i="10"/>
  <c r="L132" i="10"/>
  <c r="M132" i="10"/>
  <c r="N132" i="10"/>
  <c r="D133" i="10"/>
  <c r="E133" i="10"/>
  <c r="G133" i="10"/>
  <c r="H133" i="10"/>
  <c r="I133" i="10"/>
  <c r="J133" i="10"/>
  <c r="K133" i="10"/>
  <c r="L133" i="10"/>
  <c r="M133" i="10"/>
  <c r="N133" i="10"/>
  <c r="C137" i="10"/>
  <c r="C143" i="10"/>
  <c r="C146" i="10"/>
  <c r="C153" i="10"/>
  <c r="C155" i="10"/>
  <c r="C157" i="10"/>
  <c r="C159" i="10"/>
  <c r="C163" i="10"/>
  <c r="D164" i="10"/>
  <c r="E164" i="10"/>
  <c r="G164" i="10"/>
  <c r="H164" i="10"/>
  <c r="I164" i="10"/>
  <c r="J164" i="10"/>
  <c r="K164" i="10"/>
  <c r="L164" i="10"/>
  <c r="M164" i="10"/>
  <c r="N164" i="10"/>
  <c r="C167" i="10"/>
  <c r="D171" i="10"/>
  <c r="E171" i="10"/>
  <c r="G171" i="10"/>
  <c r="H171" i="10"/>
  <c r="I171" i="10"/>
  <c r="J171" i="10"/>
  <c r="K171" i="10"/>
  <c r="L171" i="10"/>
  <c r="M171" i="10"/>
  <c r="N171" i="10"/>
  <c r="C174" i="10"/>
  <c r="C177" i="10"/>
  <c r="D177" i="10"/>
  <c r="E177" i="10"/>
  <c r="G177" i="10"/>
  <c r="H177" i="10"/>
  <c r="I177" i="10"/>
  <c r="J177" i="10"/>
  <c r="K177" i="10"/>
  <c r="L177" i="10"/>
  <c r="M177" i="10"/>
  <c r="N177" i="10"/>
  <c r="D183" i="10"/>
  <c r="E183" i="10"/>
  <c r="G183" i="10"/>
  <c r="H183" i="10"/>
  <c r="I183" i="10"/>
  <c r="J183" i="10"/>
  <c r="K183" i="10"/>
  <c r="L183" i="10"/>
  <c r="M183" i="10"/>
  <c r="N183" i="10"/>
  <c r="C193" i="10"/>
  <c r="D193" i="10"/>
  <c r="E193" i="10"/>
  <c r="G193" i="10"/>
  <c r="H193" i="10"/>
  <c r="I193" i="10"/>
  <c r="J193" i="10"/>
  <c r="K193" i="10"/>
  <c r="L193" i="10"/>
  <c r="M193" i="10"/>
  <c r="N193" i="10"/>
  <c r="D194" i="10"/>
  <c r="E194" i="10"/>
  <c r="G194" i="10"/>
  <c r="H194" i="10"/>
  <c r="I194" i="10"/>
  <c r="J194" i="10"/>
  <c r="K194" i="10"/>
  <c r="L194" i="10"/>
  <c r="M194" i="10"/>
  <c r="N194" i="10"/>
  <c r="C195" i="10"/>
  <c r="D195" i="10"/>
  <c r="E195" i="10"/>
  <c r="G195" i="10"/>
  <c r="H195" i="10"/>
  <c r="I195" i="10"/>
  <c r="J195" i="10"/>
  <c r="K195" i="10"/>
  <c r="L195" i="10"/>
  <c r="M195" i="10"/>
  <c r="N195" i="10"/>
  <c r="C197" i="10"/>
  <c r="D199" i="10"/>
  <c r="E199" i="10"/>
  <c r="G199" i="10"/>
  <c r="H199" i="10"/>
  <c r="I199" i="10"/>
  <c r="J199" i="10"/>
  <c r="K199" i="10"/>
  <c r="L199" i="10"/>
  <c r="M199" i="10"/>
  <c r="N199" i="10"/>
  <c r="C201" i="10"/>
  <c r="C203" i="10"/>
  <c r="C207" i="10"/>
  <c r="C209" i="10"/>
  <c r="C213" i="10"/>
  <c r="C217" i="10"/>
  <c r="C218" i="10"/>
  <c r="D219" i="10"/>
  <c r="E219" i="10"/>
  <c r="G219" i="10"/>
  <c r="H219" i="10"/>
  <c r="I219" i="10"/>
  <c r="J219" i="10"/>
  <c r="K219" i="10"/>
  <c r="L219" i="10"/>
  <c r="M219" i="10"/>
  <c r="N219" i="10"/>
  <c r="D220" i="10"/>
  <c r="E220" i="10"/>
  <c r="G220" i="10"/>
  <c r="H220" i="10"/>
  <c r="I220" i="10"/>
  <c r="J220" i="10"/>
  <c r="K220" i="10"/>
  <c r="L220" i="10"/>
  <c r="M220" i="10"/>
  <c r="N220" i="10"/>
  <c r="C221" i="10"/>
  <c r="C222" i="10"/>
  <c r="C225" i="10"/>
  <c r="C228" i="10"/>
  <c r="C229" i="10"/>
  <c r="C230" i="10"/>
  <c r="D230" i="10"/>
  <c r="E230" i="10"/>
  <c r="G230" i="10"/>
  <c r="H230" i="10"/>
  <c r="I230" i="10"/>
  <c r="J230" i="10"/>
  <c r="K230" i="10"/>
  <c r="L230" i="10"/>
  <c r="M230" i="10"/>
  <c r="N230" i="10"/>
  <c r="C234" i="10"/>
  <c r="C243" i="10"/>
  <c r="C245" i="10"/>
  <c r="C247" i="10"/>
  <c r="C248" i="10"/>
  <c r="C249" i="10"/>
  <c r="C252" i="10"/>
  <c r="C254" i="10"/>
  <c r="C256" i="10"/>
  <c r="C272" i="10"/>
  <c r="C276" i="10"/>
  <c r="C283" i="10"/>
  <c r="C286" i="10"/>
  <c r="C290" i="10"/>
  <c r="C292" i="10"/>
  <c r="C294" i="10"/>
  <c r="C124" i="10"/>
  <c r="C154" i="10"/>
  <c r="D154" i="10"/>
  <c r="E154" i="10"/>
  <c r="G154" i="10"/>
  <c r="H154" i="10"/>
  <c r="I154" i="10"/>
  <c r="K154" i="10"/>
  <c r="L154" i="10"/>
  <c r="M154" i="10"/>
  <c r="N154" i="10"/>
  <c r="C291" i="10"/>
  <c r="P322" i="12"/>
  <c r="R322" i="12"/>
  <c r="P321" i="12"/>
  <c r="R321" i="12"/>
  <c r="P318" i="12"/>
  <c r="P319" i="12"/>
  <c r="P320" i="12"/>
  <c r="R318" i="12"/>
  <c r="R319" i="12"/>
  <c r="R320" i="12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8" i="10"/>
  <c r="M8" i="10"/>
  <c r="L8" i="10"/>
  <c r="K8" i="10"/>
  <c r="J8" i="10"/>
  <c r="I8" i="10"/>
  <c r="H8" i="10"/>
  <c r="G8" i="10"/>
  <c r="F8" i="10"/>
  <c r="E8" i="10"/>
  <c r="D8" i="10"/>
  <c r="C8" i="10"/>
  <c r="N6" i="10"/>
  <c r="M6" i="10"/>
  <c r="L6" i="10"/>
  <c r="K6" i="10"/>
  <c r="J6" i="10"/>
  <c r="I6" i="10"/>
  <c r="H6" i="10"/>
  <c r="G6" i="10"/>
  <c r="F6" i="10"/>
  <c r="E6" i="10"/>
  <c r="D6" i="10"/>
  <c r="C6" i="10"/>
  <c r="S321" i="12" l="1"/>
  <c r="S319" i="12"/>
  <c r="J28" i="10"/>
  <c r="J27" i="10"/>
  <c r="J26" i="10"/>
  <c r="J25" i="10"/>
  <c r="J24" i="10"/>
  <c r="J23" i="10"/>
  <c r="J22" i="10"/>
  <c r="E134" i="10"/>
  <c r="E291" i="10"/>
  <c r="M134" i="10"/>
  <c r="M291" i="10"/>
  <c r="J20" i="10"/>
  <c r="J19" i="10"/>
  <c r="J17" i="10"/>
  <c r="J16" i="10"/>
  <c r="J15" i="10"/>
  <c r="J13" i="10"/>
  <c r="I12" i="10"/>
  <c r="I11" i="10"/>
  <c r="K264" i="10"/>
  <c r="K113" i="10"/>
  <c r="K124" i="10"/>
  <c r="K73" i="10"/>
  <c r="K294" i="10"/>
  <c r="K293" i="10"/>
  <c r="K292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G263" i="10"/>
  <c r="G262" i="10"/>
  <c r="I247" i="10"/>
  <c r="I246" i="10"/>
  <c r="I245" i="10"/>
  <c r="I244" i="10"/>
  <c r="I243" i="10"/>
  <c r="I242" i="10"/>
  <c r="I240" i="10"/>
  <c r="I239" i="10"/>
  <c r="I237" i="10"/>
  <c r="I236" i="10"/>
  <c r="I235" i="10"/>
  <c r="I234" i="10"/>
  <c r="I231" i="10"/>
  <c r="N229" i="10"/>
  <c r="H229" i="10"/>
  <c r="N228" i="10"/>
  <c r="H228" i="10"/>
  <c r="N226" i="10"/>
  <c r="H226" i="10"/>
  <c r="N225" i="10"/>
  <c r="H225" i="10"/>
  <c r="N224" i="10"/>
  <c r="H224" i="10"/>
  <c r="N223" i="10"/>
  <c r="H223" i="10"/>
  <c r="N222" i="10"/>
  <c r="H222" i="10"/>
  <c r="N221" i="10"/>
  <c r="H221" i="10"/>
  <c r="J218" i="10"/>
  <c r="D218" i="10"/>
  <c r="J217" i="10"/>
  <c r="D217" i="10"/>
  <c r="J216" i="10"/>
  <c r="D216" i="10"/>
  <c r="J215" i="10"/>
  <c r="D215" i="10"/>
  <c r="J214" i="10"/>
  <c r="D214" i="10"/>
  <c r="J213" i="10"/>
  <c r="D213" i="10"/>
  <c r="J212" i="10"/>
  <c r="D212" i="10"/>
  <c r="J210" i="10"/>
  <c r="D210" i="10"/>
  <c r="J209" i="10"/>
  <c r="J208" i="10"/>
  <c r="J207" i="10"/>
  <c r="J206" i="10"/>
  <c r="J205" i="10"/>
  <c r="J204" i="10"/>
  <c r="J203" i="10"/>
  <c r="J202" i="10"/>
  <c r="J201" i="10"/>
  <c r="J200" i="10"/>
  <c r="H198" i="10"/>
  <c r="H197" i="10"/>
  <c r="H196" i="10"/>
  <c r="D192" i="10"/>
  <c r="D191" i="10"/>
  <c r="D190" i="10"/>
  <c r="K96" i="10"/>
  <c r="I10" i="10"/>
  <c r="I9" i="10"/>
  <c r="I7" i="10"/>
  <c r="I134" i="10"/>
  <c r="I291" i="10"/>
  <c r="G264" i="10"/>
  <c r="G113" i="10"/>
  <c r="G124" i="10"/>
  <c r="G73" i="10"/>
  <c r="G294" i="10"/>
  <c r="G293" i="10"/>
  <c r="G292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K263" i="10"/>
  <c r="K262" i="10"/>
  <c r="G261" i="10"/>
  <c r="G260" i="10"/>
  <c r="G259" i="10"/>
  <c r="G258" i="10"/>
  <c r="G257" i="10"/>
  <c r="G256" i="10"/>
  <c r="G255" i="10"/>
  <c r="G254" i="10"/>
  <c r="G253" i="10"/>
  <c r="G252" i="10"/>
  <c r="G250" i="10"/>
  <c r="G249" i="10"/>
  <c r="G248" i="10"/>
  <c r="G247" i="10"/>
  <c r="M246" i="10"/>
  <c r="G246" i="10"/>
  <c r="M245" i="10"/>
  <c r="G245" i="10"/>
  <c r="M244" i="10"/>
  <c r="G244" i="10"/>
  <c r="M243" i="10"/>
  <c r="G243" i="10"/>
  <c r="M242" i="10"/>
  <c r="G242" i="10"/>
  <c r="M240" i="10"/>
  <c r="G240" i="10"/>
  <c r="M239" i="10"/>
  <c r="G239" i="10"/>
  <c r="M237" i="10"/>
  <c r="G237" i="10"/>
  <c r="M236" i="10"/>
  <c r="G236" i="10"/>
  <c r="M235" i="10"/>
  <c r="G235" i="10"/>
  <c r="M234" i="10"/>
  <c r="G234" i="10"/>
  <c r="M231" i="10"/>
  <c r="G231" i="10"/>
  <c r="L229" i="10"/>
  <c r="L228" i="10"/>
  <c r="L226" i="10"/>
  <c r="L225" i="10"/>
  <c r="L224" i="10"/>
  <c r="L223" i="10"/>
  <c r="L222" i="10"/>
  <c r="L221" i="10"/>
  <c r="N218" i="10"/>
  <c r="H218" i="10"/>
  <c r="N217" i="10"/>
  <c r="H217" i="10"/>
  <c r="N216" i="10"/>
  <c r="H216" i="10"/>
  <c r="N215" i="10"/>
  <c r="H215" i="10"/>
  <c r="N214" i="10"/>
  <c r="H214" i="10"/>
  <c r="N213" i="10"/>
  <c r="H213" i="10"/>
  <c r="N212" i="10"/>
  <c r="H212" i="10"/>
  <c r="N210" i="10"/>
  <c r="H210" i="10"/>
  <c r="N209" i="10"/>
  <c r="N208" i="10"/>
  <c r="N207" i="10"/>
  <c r="N206" i="10"/>
  <c r="N205" i="10"/>
  <c r="N204" i="10"/>
  <c r="N203" i="10"/>
  <c r="N202" i="10"/>
  <c r="N201" i="10"/>
  <c r="N200" i="10"/>
  <c r="L198" i="10"/>
  <c r="L197" i="10"/>
  <c r="L196" i="10"/>
  <c r="H192" i="10"/>
  <c r="H191" i="10"/>
  <c r="H190" i="10"/>
  <c r="H189" i="10"/>
  <c r="N28" i="10"/>
  <c r="N27" i="10"/>
  <c r="N26" i="10"/>
  <c r="N25" i="10"/>
  <c r="N24" i="10"/>
  <c r="N23" i="10"/>
  <c r="N22" i="10"/>
  <c r="N20" i="10"/>
  <c r="N19" i="10"/>
  <c r="N17" i="10"/>
  <c r="N16" i="10"/>
  <c r="N15" i="10"/>
  <c r="N13" i="10"/>
  <c r="N12" i="10"/>
  <c r="M11" i="10"/>
  <c r="M10" i="10"/>
  <c r="M9" i="10"/>
  <c r="M7" i="10"/>
  <c r="M5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K261" i="10"/>
  <c r="K260" i="10"/>
  <c r="K259" i="10"/>
  <c r="K258" i="10"/>
  <c r="K257" i="10"/>
  <c r="K256" i="10"/>
  <c r="K255" i="10"/>
  <c r="K254" i="10"/>
  <c r="K253" i="10"/>
  <c r="K252" i="10"/>
  <c r="K250" i="10"/>
  <c r="K249" i="10"/>
  <c r="K248" i="10"/>
  <c r="K247" i="10"/>
  <c r="E247" i="10"/>
  <c r="K246" i="10"/>
  <c r="E246" i="10"/>
  <c r="K245" i="10"/>
  <c r="E245" i="10"/>
  <c r="K244" i="10"/>
  <c r="E244" i="10"/>
  <c r="K243" i="10"/>
  <c r="E243" i="10"/>
  <c r="K242" i="10"/>
  <c r="E242" i="10"/>
  <c r="K240" i="10"/>
  <c r="E240" i="10"/>
  <c r="K239" i="10"/>
  <c r="E239" i="10"/>
  <c r="K237" i="10"/>
  <c r="E237" i="10"/>
  <c r="K236" i="10"/>
  <c r="E236" i="10"/>
  <c r="K235" i="10"/>
  <c r="E235" i="10"/>
  <c r="K234" i="10"/>
  <c r="E234" i="10"/>
  <c r="K231" i="10"/>
  <c r="E231" i="10"/>
  <c r="J229" i="10"/>
  <c r="D229" i="10"/>
  <c r="J228" i="10"/>
  <c r="D228" i="10"/>
  <c r="J226" i="10"/>
  <c r="D226" i="10"/>
  <c r="J225" i="10"/>
  <c r="D225" i="10"/>
  <c r="J224" i="10"/>
  <c r="D224" i="10"/>
  <c r="J223" i="10"/>
  <c r="D223" i="10"/>
  <c r="J222" i="10"/>
  <c r="D222" i="10"/>
  <c r="J221" i="10"/>
  <c r="D221" i="10"/>
  <c r="L218" i="10"/>
  <c r="L217" i="10"/>
  <c r="L216" i="10"/>
  <c r="L215" i="10"/>
  <c r="L214" i="10"/>
  <c r="L213" i="10"/>
  <c r="L212" i="10"/>
  <c r="L210" i="10"/>
  <c r="L209" i="10"/>
  <c r="D198" i="10"/>
  <c r="D197" i="10"/>
  <c r="D196" i="10"/>
  <c r="L192" i="10"/>
  <c r="L191" i="10"/>
  <c r="L190" i="10"/>
  <c r="L189" i="10"/>
  <c r="I5" i="10"/>
  <c r="E96" i="10"/>
  <c r="K134" i="10"/>
  <c r="G134" i="10"/>
  <c r="K291" i="10"/>
  <c r="G291" i="10"/>
  <c r="M264" i="10"/>
  <c r="I264" i="10"/>
  <c r="E264" i="10"/>
  <c r="M113" i="10"/>
  <c r="I113" i="10"/>
  <c r="E113" i="10"/>
  <c r="M124" i="10"/>
  <c r="I124" i="10"/>
  <c r="E124" i="10"/>
  <c r="M73" i="10"/>
  <c r="I73" i="10"/>
  <c r="E73" i="10"/>
  <c r="M294" i="10"/>
  <c r="I294" i="10"/>
  <c r="E294" i="10"/>
  <c r="M293" i="10"/>
  <c r="I293" i="10"/>
  <c r="E293" i="10"/>
  <c r="M292" i="10"/>
  <c r="I292" i="10"/>
  <c r="E292" i="10"/>
  <c r="M290" i="10"/>
  <c r="I290" i="10"/>
  <c r="E290" i="10"/>
  <c r="M289" i="10"/>
  <c r="I289" i="10"/>
  <c r="E289" i="10"/>
  <c r="M288" i="10"/>
  <c r="I288" i="10"/>
  <c r="E288" i="10"/>
  <c r="M287" i="10"/>
  <c r="I287" i="10"/>
  <c r="E287" i="10"/>
  <c r="M286" i="10"/>
  <c r="I286" i="10"/>
  <c r="E286" i="10"/>
  <c r="M285" i="10"/>
  <c r="I285" i="10"/>
  <c r="E285" i="10"/>
  <c r="M284" i="10"/>
  <c r="I284" i="10"/>
  <c r="E284" i="10"/>
  <c r="M283" i="10"/>
  <c r="I283" i="10"/>
  <c r="E283" i="10"/>
  <c r="M282" i="10"/>
  <c r="I282" i="10"/>
  <c r="E282" i="10"/>
  <c r="M281" i="10"/>
  <c r="I281" i="10"/>
  <c r="E281" i="10"/>
  <c r="M280" i="10"/>
  <c r="I280" i="10"/>
  <c r="E280" i="10"/>
  <c r="M279" i="10"/>
  <c r="I279" i="10"/>
  <c r="E279" i="10"/>
  <c r="M278" i="10"/>
  <c r="I278" i="10"/>
  <c r="E278" i="10"/>
  <c r="M277" i="10"/>
  <c r="I277" i="10"/>
  <c r="E277" i="10"/>
  <c r="M276" i="10"/>
  <c r="I276" i="10"/>
  <c r="E276" i="10"/>
  <c r="M275" i="10"/>
  <c r="I275" i="10"/>
  <c r="E275" i="10"/>
  <c r="M274" i="10"/>
  <c r="I274" i="10"/>
  <c r="E274" i="10"/>
  <c r="M273" i="10"/>
  <c r="I273" i="10"/>
  <c r="E273" i="10"/>
  <c r="M272" i="10"/>
  <c r="I272" i="10"/>
  <c r="E272" i="10"/>
  <c r="M271" i="10"/>
  <c r="I271" i="10"/>
  <c r="E271" i="10"/>
  <c r="M270" i="10"/>
  <c r="I270" i="10"/>
  <c r="E270" i="10"/>
  <c r="M269" i="10"/>
  <c r="I269" i="10"/>
  <c r="E269" i="10"/>
  <c r="M268" i="10"/>
  <c r="I268" i="10"/>
  <c r="E268" i="10"/>
  <c r="M267" i="10"/>
  <c r="I267" i="10"/>
  <c r="E267" i="10"/>
  <c r="M266" i="10"/>
  <c r="I266" i="10"/>
  <c r="E266" i="10"/>
  <c r="M265" i="10"/>
  <c r="I265" i="10"/>
  <c r="E265" i="10"/>
  <c r="M263" i="10"/>
  <c r="I263" i="10"/>
  <c r="E263" i="10"/>
  <c r="M262" i="10"/>
  <c r="I262" i="10"/>
  <c r="E262" i="10"/>
  <c r="M261" i="10"/>
  <c r="I261" i="10"/>
  <c r="E261" i="10"/>
  <c r="M260" i="10"/>
  <c r="I260" i="10"/>
  <c r="E260" i="10"/>
  <c r="M259" i="10"/>
  <c r="I259" i="10"/>
  <c r="E259" i="10"/>
  <c r="M258" i="10"/>
  <c r="I258" i="10"/>
  <c r="E258" i="10"/>
  <c r="M257" i="10"/>
  <c r="I257" i="10"/>
  <c r="E257" i="10"/>
  <c r="M256" i="10"/>
  <c r="I256" i="10"/>
  <c r="E256" i="10"/>
  <c r="M255" i="10"/>
  <c r="I255" i="10"/>
  <c r="E255" i="10"/>
  <c r="M254" i="10"/>
  <c r="I254" i="10"/>
  <c r="E254" i="10"/>
  <c r="M253" i="10"/>
  <c r="I253" i="10"/>
  <c r="E253" i="10"/>
  <c r="M252" i="10"/>
  <c r="I252" i="10"/>
  <c r="E252" i="10"/>
  <c r="M250" i="10"/>
  <c r="I250" i="10"/>
  <c r="E250" i="10"/>
  <c r="M249" i="10"/>
  <c r="I249" i="10"/>
  <c r="E249" i="10"/>
  <c r="M248" i="10"/>
  <c r="I248" i="10"/>
  <c r="E248" i="10"/>
  <c r="M247" i="10"/>
  <c r="H209" i="10"/>
  <c r="D209" i="10"/>
  <c r="L208" i="10"/>
  <c r="H208" i="10"/>
  <c r="D208" i="10"/>
  <c r="L207" i="10"/>
  <c r="H207" i="10"/>
  <c r="D207" i="10"/>
  <c r="L206" i="10"/>
  <c r="H206" i="10"/>
  <c r="D206" i="10"/>
  <c r="L205" i="10"/>
  <c r="H205" i="10"/>
  <c r="D205" i="10"/>
  <c r="L204" i="10"/>
  <c r="H204" i="10"/>
  <c r="D204" i="10"/>
  <c r="L203" i="10"/>
  <c r="H203" i="10"/>
  <c r="D203" i="10"/>
  <c r="L202" i="10"/>
  <c r="H202" i="10"/>
  <c r="D202" i="10"/>
  <c r="L201" i="10"/>
  <c r="H201" i="10"/>
  <c r="D201" i="10"/>
  <c r="L200" i="10"/>
  <c r="H200" i="10"/>
  <c r="D200" i="10"/>
  <c r="N198" i="10"/>
  <c r="J198" i="10"/>
  <c r="N197" i="10"/>
  <c r="J197" i="10"/>
  <c r="N196" i="10"/>
  <c r="J196" i="10"/>
  <c r="N192" i="10"/>
  <c r="J192" i="10"/>
  <c r="N191" i="10"/>
  <c r="J191" i="10"/>
  <c r="N190" i="10"/>
  <c r="J190" i="10"/>
  <c r="N189" i="10"/>
  <c r="J189" i="10"/>
  <c r="N188" i="10"/>
  <c r="J188" i="10"/>
  <c r="N187" i="10"/>
  <c r="J187" i="10"/>
  <c r="N186" i="10"/>
  <c r="J186" i="10"/>
  <c r="N184" i="10"/>
  <c r="J184" i="10"/>
  <c r="L182" i="10"/>
  <c r="H182" i="10"/>
  <c r="L181" i="10"/>
  <c r="H181" i="10"/>
  <c r="D181" i="10"/>
  <c r="L180" i="10"/>
  <c r="H180" i="10"/>
  <c r="D180" i="10"/>
  <c r="L179" i="10"/>
  <c r="H179" i="10"/>
  <c r="D179" i="10"/>
  <c r="L178" i="10"/>
  <c r="H178" i="10"/>
  <c r="K176" i="10"/>
  <c r="G176" i="10"/>
  <c r="K175" i="10"/>
  <c r="G175" i="10"/>
  <c r="K174" i="10"/>
  <c r="G174" i="10"/>
  <c r="K173" i="10"/>
  <c r="G173" i="10"/>
  <c r="M170" i="10"/>
  <c r="I170" i="10"/>
  <c r="E170" i="10"/>
  <c r="M169" i="10"/>
  <c r="I169" i="10"/>
  <c r="E169" i="10"/>
  <c r="M168" i="10"/>
  <c r="I168" i="10"/>
  <c r="E168" i="10"/>
  <c r="M167" i="10"/>
  <c r="I167" i="10"/>
  <c r="E167" i="10"/>
  <c r="M166" i="10"/>
  <c r="I166" i="10"/>
  <c r="E166" i="10"/>
  <c r="M165" i="10"/>
  <c r="I165" i="10"/>
  <c r="E165" i="10"/>
  <c r="K163" i="10"/>
  <c r="G163" i="10"/>
  <c r="K162" i="10"/>
  <c r="G162" i="10"/>
  <c r="K161" i="10"/>
  <c r="G161" i="10"/>
  <c r="K159" i="10"/>
  <c r="G159" i="10"/>
  <c r="K158" i="10"/>
  <c r="G158" i="10"/>
  <c r="K157" i="10"/>
  <c r="G157" i="10"/>
  <c r="K155" i="10"/>
  <c r="G155" i="10"/>
  <c r="K153" i="10"/>
  <c r="G153" i="10"/>
  <c r="K152" i="10"/>
  <c r="G152" i="10"/>
  <c r="K150" i="10"/>
  <c r="G150" i="10"/>
  <c r="K149" i="10"/>
  <c r="G149" i="10"/>
  <c r="K148" i="10"/>
  <c r="G148" i="10"/>
  <c r="K147" i="10"/>
  <c r="G147" i="10"/>
  <c r="K146" i="10"/>
  <c r="G146" i="10"/>
  <c r="K144" i="10"/>
  <c r="G144" i="10"/>
  <c r="K143" i="10"/>
  <c r="G143" i="10"/>
  <c r="K142" i="10"/>
  <c r="G142" i="10"/>
  <c r="K141" i="10"/>
  <c r="G141" i="10"/>
  <c r="K140" i="10"/>
  <c r="G140" i="10"/>
  <c r="K137" i="10"/>
  <c r="G137" i="10"/>
  <c r="K135" i="10"/>
  <c r="G135" i="10"/>
  <c r="L130" i="10"/>
  <c r="H130" i="10"/>
  <c r="D130" i="10"/>
  <c r="L127" i="10"/>
  <c r="H127" i="10"/>
  <c r="L123" i="10"/>
  <c r="H123" i="10"/>
  <c r="D123" i="10"/>
  <c r="L122" i="10"/>
  <c r="H122" i="10"/>
  <c r="N120" i="10"/>
  <c r="J120" i="10"/>
  <c r="N119" i="10"/>
  <c r="J119" i="10"/>
  <c r="N118" i="10"/>
  <c r="J118" i="10"/>
  <c r="N117" i="10"/>
  <c r="J117" i="10"/>
  <c r="N116" i="10"/>
  <c r="J116" i="10"/>
  <c r="N111" i="10"/>
  <c r="J111" i="10"/>
  <c r="N109" i="10"/>
  <c r="J109" i="10"/>
  <c r="N108" i="10"/>
  <c r="J108" i="10"/>
  <c r="N107" i="10"/>
  <c r="J107" i="10"/>
  <c r="N106" i="10"/>
  <c r="J106" i="10"/>
  <c r="N105" i="10"/>
  <c r="J105" i="10"/>
  <c r="L103" i="10"/>
  <c r="H103" i="10"/>
  <c r="D103" i="10"/>
  <c r="L102" i="10"/>
  <c r="H102" i="10"/>
  <c r="D102" i="10"/>
  <c r="L101" i="10"/>
  <c r="H101" i="10"/>
  <c r="D101" i="10"/>
  <c r="L100" i="10"/>
  <c r="H100" i="10"/>
  <c r="L99" i="10"/>
  <c r="H96" i="10"/>
  <c r="D96" i="10"/>
  <c r="N48" i="10"/>
  <c r="J48" i="10"/>
  <c r="L45" i="10"/>
  <c r="H45" i="10"/>
  <c r="D45" i="10"/>
  <c r="L44" i="10"/>
  <c r="H44" i="10"/>
  <c r="D44" i="10"/>
  <c r="L42" i="10"/>
  <c r="H42" i="10"/>
  <c r="D42" i="10"/>
  <c r="L41" i="10"/>
  <c r="H41" i="10"/>
  <c r="D41" i="10"/>
  <c r="L39" i="10"/>
  <c r="H39" i="10"/>
  <c r="L37" i="10"/>
  <c r="H37" i="10"/>
  <c r="L36" i="10"/>
  <c r="H36" i="10"/>
  <c r="D36" i="10"/>
  <c r="L35" i="10"/>
  <c r="H35" i="10"/>
  <c r="D35" i="10"/>
  <c r="L34" i="10"/>
  <c r="H34" i="10"/>
  <c r="L31" i="10"/>
  <c r="H31" i="10"/>
  <c r="D31" i="10"/>
  <c r="D189" i="10"/>
  <c r="L188" i="10"/>
  <c r="H188" i="10"/>
  <c r="D188" i="10"/>
  <c r="L187" i="10"/>
  <c r="H187" i="10"/>
  <c r="D187" i="10"/>
  <c r="L186" i="10"/>
  <c r="H186" i="10"/>
  <c r="D186" i="10"/>
  <c r="L184" i="10"/>
  <c r="H184" i="10"/>
  <c r="N182" i="10"/>
  <c r="J182" i="10"/>
  <c r="N181" i="10"/>
  <c r="J181" i="10"/>
  <c r="N180" i="10"/>
  <c r="J180" i="10"/>
  <c r="N179" i="10"/>
  <c r="J179" i="10"/>
  <c r="N178" i="10"/>
  <c r="J178" i="10"/>
  <c r="M176" i="10"/>
  <c r="I176" i="10"/>
  <c r="S320" i="12"/>
  <c r="S318" i="12"/>
  <c r="S322" i="12"/>
  <c r="H99" i="10"/>
  <c r="L98" i="10"/>
  <c r="H98" i="10"/>
  <c r="E176" i="10"/>
  <c r="M175" i="10"/>
  <c r="I175" i="10"/>
  <c r="E175" i="10"/>
  <c r="M174" i="10"/>
  <c r="I174" i="10"/>
  <c r="E174" i="10"/>
  <c r="M173" i="10"/>
  <c r="I173" i="10"/>
  <c r="E173" i="10"/>
  <c r="K170" i="10"/>
  <c r="G170" i="10"/>
  <c r="K169" i="10"/>
  <c r="G169" i="10"/>
  <c r="K168" i="10"/>
  <c r="G168" i="10"/>
  <c r="K167" i="10"/>
  <c r="G167" i="10"/>
  <c r="K166" i="10"/>
  <c r="G166" i="10"/>
  <c r="K165" i="10"/>
  <c r="G165" i="10"/>
  <c r="M163" i="10"/>
  <c r="I163" i="10"/>
  <c r="E163" i="10"/>
  <c r="M162" i="10"/>
  <c r="I162" i="10"/>
  <c r="E162" i="10"/>
  <c r="M161" i="10"/>
  <c r="I161" i="10"/>
  <c r="E161" i="10"/>
  <c r="M159" i="10"/>
  <c r="I159" i="10"/>
  <c r="E159" i="10"/>
  <c r="M158" i="10"/>
  <c r="I158" i="10"/>
  <c r="E158" i="10"/>
  <c r="M157" i="10"/>
  <c r="I157" i="10"/>
  <c r="E157" i="10"/>
  <c r="M155" i="10"/>
  <c r="I155" i="10"/>
  <c r="E155" i="10"/>
  <c r="M153" i="10"/>
  <c r="I153" i="10"/>
  <c r="E153" i="10"/>
  <c r="M152" i="10"/>
  <c r="I152" i="10"/>
  <c r="E152" i="10"/>
  <c r="M150" i="10"/>
  <c r="I150" i="10"/>
  <c r="E150" i="10"/>
  <c r="M149" i="10"/>
  <c r="I149" i="10"/>
  <c r="E149" i="10"/>
  <c r="M148" i="10"/>
  <c r="I148" i="10"/>
  <c r="E148" i="10"/>
  <c r="M147" i="10"/>
  <c r="I147" i="10"/>
  <c r="E147" i="10"/>
  <c r="M146" i="10"/>
  <c r="I146" i="10"/>
  <c r="E146" i="10"/>
  <c r="M144" i="10"/>
  <c r="I144" i="10"/>
  <c r="E144" i="10"/>
  <c r="M143" i="10"/>
  <c r="I143" i="10"/>
  <c r="E143" i="10"/>
  <c r="M142" i="10"/>
  <c r="I142" i="10"/>
  <c r="E142" i="10"/>
  <c r="M141" i="10"/>
  <c r="I141" i="10"/>
  <c r="E141" i="10"/>
  <c r="M140" i="10"/>
  <c r="I140" i="10"/>
  <c r="E140" i="10"/>
  <c r="M137" i="10"/>
  <c r="I137" i="10"/>
  <c r="E137" i="10"/>
  <c r="M135" i="10"/>
  <c r="I135" i="10"/>
  <c r="E135" i="10"/>
  <c r="D98" i="10"/>
  <c r="L96" i="10"/>
  <c r="L95" i="10"/>
  <c r="H95" i="10"/>
  <c r="D95" i="10"/>
  <c r="L94" i="10"/>
  <c r="H94" i="10"/>
  <c r="D94" i="10"/>
  <c r="L93" i="10"/>
  <c r="H93" i="10"/>
  <c r="L92" i="10"/>
  <c r="H92" i="10"/>
  <c r="D92" i="10"/>
  <c r="N90" i="10"/>
  <c r="J90" i="10"/>
  <c r="N89" i="10"/>
  <c r="J89" i="10"/>
  <c r="N88" i="10"/>
  <c r="J88" i="10"/>
  <c r="N87" i="10"/>
  <c r="J87" i="10"/>
  <c r="N86" i="10"/>
  <c r="J86" i="10"/>
  <c r="N85" i="10"/>
  <c r="J85" i="10"/>
  <c r="N84" i="10"/>
  <c r="J84" i="10"/>
  <c r="N83" i="10"/>
  <c r="J83" i="10"/>
  <c r="N82" i="10"/>
  <c r="J82" i="10"/>
  <c r="N81" i="10"/>
  <c r="J81" i="10"/>
  <c r="N80" i="10"/>
  <c r="J80" i="10"/>
  <c r="N79" i="10"/>
  <c r="J79" i="10"/>
  <c r="N78" i="10"/>
  <c r="J78" i="10"/>
  <c r="N77" i="10"/>
  <c r="J77" i="10"/>
  <c r="L75" i="10"/>
  <c r="H75" i="10"/>
  <c r="L74" i="10"/>
  <c r="H74" i="10"/>
  <c r="D74" i="10"/>
  <c r="L72" i="10"/>
  <c r="H72" i="10"/>
  <c r="L71" i="10"/>
  <c r="H71" i="10"/>
  <c r="D71" i="10"/>
  <c r="L70" i="10"/>
  <c r="H70" i="10"/>
  <c r="D70" i="10"/>
  <c r="L67" i="10"/>
  <c r="H67" i="10"/>
  <c r="D67" i="10"/>
  <c r="L66" i="10"/>
  <c r="H66" i="10"/>
  <c r="D66" i="10"/>
  <c r="L60" i="10"/>
  <c r="H60" i="10"/>
  <c r="D60" i="10"/>
  <c r="L59" i="10"/>
  <c r="H59" i="10"/>
  <c r="D59" i="10"/>
  <c r="L58" i="10"/>
  <c r="H58" i="10"/>
  <c r="L57" i="10"/>
  <c r="H57" i="10"/>
  <c r="D57" i="10"/>
  <c r="L56" i="10"/>
  <c r="H56" i="10"/>
  <c r="L55" i="10"/>
  <c r="H55" i="10"/>
  <c r="D55" i="10"/>
  <c r="L54" i="10"/>
  <c r="H54" i="10"/>
  <c r="D54" i="10"/>
  <c r="L53" i="10"/>
  <c r="H53" i="10"/>
  <c r="N130" i="10"/>
  <c r="J130" i="10"/>
  <c r="N127" i="10"/>
  <c r="J127" i="10"/>
  <c r="N123" i="10"/>
  <c r="J123" i="10"/>
  <c r="N122" i="10"/>
  <c r="J122" i="10"/>
  <c r="L120" i="10"/>
  <c r="H120" i="10"/>
  <c r="D120" i="10"/>
  <c r="L119" i="10"/>
  <c r="H119" i="10"/>
  <c r="L118" i="10"/>
  <c r="H118" i="10"/>
  <c r="D118" i="10"/>
  <c r="L117" i="10"/>
  <c r="H117" i="10"/>
  <c r="D117" i="10"/>
  <c r="L116" i="10"/>
  <c r="H116" i="10"/>
  <c r="H4" i="10"/>
  <c r="J4" i="10"/>
  <c r="L4" i="10"/>
  <c r="N4" i="10"/>
  <c r="G4" i="10"/>
  <c r="K4" i="10"/>
  <c r="N134" i="10"/>
  <c r="J134" i="10"/>
  <c r="N291" i="10"/>
  <c r="J291" i="10"/>
  <c r="L264" i="10"/>
  <c r="H264" i="10"/>
  <c r="D264" i="10"/>
  <c r="L113" i="10"/>
  <c r="H113" i="10"/>
  <c r="D113" i="10"/>
  <c r="L124" i="10"/>
  <c r="H124" i="10"/>
  <c r="D124" i="10"/>
  <c r="L73" i="10"/>
  <c r="D73" i="10"/>
  <c r="L294" i="10"/>
  <c r="H294" i="10"/>
  <c r="D294" i="10"/>
  <c r="L293" i="10"/>
  <c r="H293" i="10"/>
  <c r="D293" i="10"/>
  <c r="L292" i="10"/>
  <c r="H292" i="10"/>
  <c r="D292" i="10"/>
  <c r="L290" i="10"/>
  <c r="H290" i="10"/>
  <c r="D290" i="10"/>
  <c r="L289" i="10"/>
  <c r="H289" i="10"/>
  <c r="D289" i="10"/>
  <c r="L288" i="10"/>
  <c r="H288" i="10"/>
  <c r="D288" i="10"/>
  <c r="L287" i="10"/>
  <c r="H287" i="10"/>
  <c r="E4" i="10"/>
  <c r="I4" i="10"/>
  <c r="M4" i="10"/>
  <c r="L134" i="10"/>
  <c r="H134" i="10"/>
  <c r="D134" i="10"/>
  <c r="L291" i="10"/>
  <c r="H291" i="10"/>
  <c r="N264" i="10"/>
  <c r="N113" i="10"/>
  <c r="N124" i="10"/>
  <c r="N73" i="10"/>
  <c r="J73" i="10"/>
  <c r="N294" i="10"/>
  <c r="J294" i="10"/>
  <c r="N293" i="10"/>
  <c r="J293" i="10"/>
  <c r="N292" i="10"/>
  <c r="J292" i="10"/>
  <c r="N290" i="10"/>
  <c r="J290" i="10"/>
  <c r="N289" i="10"/>
  <c r="J289" i="10"/>
  <c r="N288" i="10"/>
  <c r="J288" i="10"/>
  <c r="N287" i="10"/>
  <c r="N286" i="10"/>
  <c r="J286" i="10"/>
  <c r="N285" i="10"/>
  <c r="J285" i="10"/>
  <c r="N284" i="10"/>
  <c r="J284" i="10"/>
  <c r="N283" i="10"/>
  <c r="J283" i="10"/>
  <c r="N282" i="10"/>
  <c r="J282" i="10"/>
  <c r="N281" i="10"/>
  <c r="J281" i="10"/>
  <c r="N280" i="10"/>
  <c r="J280" i="10"/>
  <c r="N279" i="10"/>
  <c r="J279" i="10"/>
  <c r="N278" i="10"/>
  <c r="J278" i="10"/>
  <c r="N277" i="10"/>
  <c r="J277" i="10"/>
  <c r="N276" i="10"/>
  <c r="J276" i="10"/>
  <c r="N275" i="10"/>
  <c r="J275" i="10"/>
  <c r="N274" i="10"/>
  <c r="J274" i="10"/>
  <c r="N273" i="10"/>
  <c r="J273" i="10"/>
  <c r="N272" i="10"/>
  <c r="J272" i="10"/>
  <c r="N271" i="10"/>
  <c r="J271" i="10"/>
  <c r="N270" i="10"/>
  <c r="J270" i="10"/>
  <c r="N269" i="10"/>
  <c r="J269" i="10"/>
  <c r="N268" i="10"/>
  <c r="J268" i="10"/>
  <c r="N267" i="10"/>
  <c r="J267" i="10"/>
  <c r="N266" i="10"/>
  <c r="J266" i="10"/>
  <c r="N265" i="10"/>
  <c r="J265" i="10"/>
  <c r="N263" i="10"/>
  <c r="J263" i="10"/>
  <c r="N262" i="10"/>
  <c r="J262" i="10"/>
  <c r="N261" i="10"/>
  <c r="J261" i="10"/>
  <c r="N260" i="10"/>
  <c r="J260" i="10"/>
  <c r="N259" i="10"/>
  <c r="J259" i="10"/>
  <c r="N258" i="10"/>
  <c r="J258" i="10"/>
  <c r="N257" i="10"/>
  <c r="J257" i="10"/>
  <c r="N256" i="10"/>
  <c r="J256" i="10"/>
  <c r="N255" i="10"/>
  <c r="J255" i="10"/>
  <c r="N254" i="10"/>
  <c r="J254" i="10"/>
  <c r="N253" i="10"/>
  <c r="J253" i="10"/>
  <c r="N252" i="10"/>
  <c r="J252" i="10"/>
  <c r="N250" i="10"/>
  <c r="J250" i="10"/>
  <c r="N249" i="10"/>
  <c r="J249" i="10"/>
  <c r="N248" i="10"/>
  <c r="J248" i="10"/>
  <c r="N247" i="10"/>
  <c r="J247" i="10"/>
  <c r="N246" i="10"/>
  <c r="J246" i="10"/>
  <c r="N245" i="10"/>
  <c r="J245" i="10"/>
  <c r="N244" i="10"/>
  <c r="J244" i="10"/>
  <c r="N243" i="10"/>
  <c r="J243" i="10"/>
  <c r="N242" i="10"/>
  <c r="J242" i="10"/>
  <c r="N240" i="10"/>
  <c r="J240" i="10"/>
  <c r="N239" i="10"/>
  <c r="J239" i="10"/>
  <c r="N237" i="10"/>
  <c r="J237" i="10"/>
  <c r="N236" i="10"/>
  <c r="J236" i="10"/>
  <c r="N235" i="10"/>
  <c r="J235" i="10"/>
  <c r="N234" i="10"/>
  <c r="J234" i="10"/>
  <c r="N231" i="10"/>
  <c r="J231" i="10"/>
  <c r="M229" i="10"/>
  <c r="I229" i="10"/>
  <c r="D287" i="10"/>
  <c r="L286" i="10"/>
  <c r="H286" i="10"/>
  <c r="D286" i="10"/>
  <c r="L285" i="10"/>
  <c r="H285" i="10"/>
  <c r="D285" i="10"/>
  <c r="L284" i="10"/>
  <c r="H284" i="10"/>
  <c r="D284" i="10"/>
  <c r="L283" i="10"/>
  <c r="H283" i="10"/>
  <c r="D283" i="10"/>
  <c r="L282" i="10"/>
  <c r="H282" i="10"/>
  <c r="D282" i="10"/>
  <c r="L281" i="10"/>
  <c r="H281" i="10"/>
  <c r="D281" i="10"/>
  <c r="L280" i="10"/>
  <c r="H280" i="10"/>
  <c r="D280" i="10"/>
  <c r="L279" i="10"/>
  <c r="H279" i="10"/>
  <c r="D279" i="10"/>
  <c r="L278" i="10"/>
  <c r="H278" i="10"/>
  <c r="D278" i="10"/>
  <c r="L277" i="10"/>
  <c r="H277" i="10"/>
  <c r="D277" i="10"/>
  <c r="L276" i="10"/>
  <c r="H276" i="10"/>
  <c r="D276" i="10"/>
  <c r="L275" i="10"/>
  <c r="H275" i="10"/>
  <c r="D275" i="10"/>
  <c r="L274" i="10"/>
  <c r="H274" i="10"/>
  <c r="D274" i="10"/>
  <c r="L273" i="10"/>
  <c r="H273" i="10"/>
  <c r="D273" i="10"/>
  <c r="L272" i="10"/>
  <c r="H272" i="10"/>
  <c r="D272" i="10"/>
  <c r="L271" i="10"/>
  <c r="H271" i="10"/>
  <c r="D271" i="10"/>
  <c r="L270" i="10"/>
  <c r="H270" i="10"/>
  <c r="D270" i="10"/>
  <c r="L269" i="10"/>
  <c r="H269" i="10"/>
  <c r="D269" i="10"/>
  <c r="L268" i="10"/>
  <c r="H268" i="10"/>
  <c r="D268" i="10"/>
  <c r="L267" i="10"/>
  <c r="H267" i="10"/>
  <c r="D267" i="10"/>
  <c r="L266" i="10"/>
  <c r="H266" i="10"/>
  <c r="D266" i="10"/>
  <c r="L265" i="10"/>
  <c r="H265" i="10"/>
  <c r="D265" i="10"/>
  <c r="L263" i="10"/>
  <c r="H263" i="10"/>
  <c r="D263" i="10"/>
  <c r="L262" i="10"/>
  <c r="H262" i="10"/>
  <c r="D262" i="10"/>
  <c r="L261" i="10"/>
  <c r="H261" i="10"/>
  <c r="D261" i="10"/>
  <c r="L260" i="10"/>
  <c r="H260" i="10"/>
  <c r="D260" i="10"/>
  <c r="L259" i="10"/>
  <c r="H259" i="10"/>
  <c r="D259" i="10"/>
  <c r="L258" i="10"/>
  <c r="H258" i="10"/>
  <c r="D258" i="10"/>
  <c r="L257" i="10"/>
  <c r="H257" i="10"/>
  <c r="D257" i="10"/>
  <c r="L256" i="10"/>
  <c r="H256" i="10"/>
  <c r="D256" i="10"/>
  <c r="L255" i="10"/>
  <c r="H255" i="10"/>
  <c r="D255" i="10"/>
  <c r="L254" i="10"/>
  <c r="H254" i="10"/>
  <c r="D254" i="10"/>
  <c r="L253" i="10"/>
  <c r="H253" i="10"/>
  <c r="D253" i="10"/>
  <c r="L252" i="10"/>
  <c r="H252" i="10"/>
  <c r="D252" i="10"/>
  <c r="L250" i="10"/>
  <c r="H250" i="10"/>
  <c r="D250" i="10"/>
  <c r="L249" i="10"/>
  <c r="H249" i="10"/>
  <c r="D249" i="10"/>
  <c r="L248" i="10"/>
  <c r="H248" i="10"/>
  <c r="D248" i="10"/>
  <c r="L247" i="10"/>
  <c r="H247" i="10"/>
  <c r="D247" i="10"/>
  <c r="L246" i="10"/>
  <c r="H246" i="10"/>
  <c r="D246" i="10"/>
  <c r="L245" i="10"/>
  <c r="H245" i="10"/>
  <c r="D245" i="10"/>
  <c r="L244" i="10"/>
  <c r="H244" i="10"/>
  <c r="D244" i="10"/>
  <c r="L243" i="10"/>
  <c r="H243" i="10"/>
  <c r="D243" i="10"/>
  <c r="L242" i="10"/>
  <c r="E229" i="10"/>
  <c r="M228" i="10"/>
  <c r="I228" i="10"/>
  <c r="E228" i="10"/>
  <c r="M227" i="10"/>
  <c r="I227" i="10"/>
  <c r="E227" i="10"/>
  <c r="M226" i="10"/>
  <c r="I226" i="10"/>
  <c r="E226" i="10"/>
  <c r="M225" i="10"/>
  <c r="I225" i="10"/>
  <c r="E225" i="10"/>
  <c r="M224" i="10"/>
  <c r="I224" i="10"/>
  <c r="E224" i="10"/>
  <c r="M223" i="10"/>
  <c r="I223" i="10"/>
  <c r="E223" i="10"/>
  <c r="M222" i="10"/>
  <c r="I222" i="10"/>
  <c r="E222" i="10"/>
  <c r="M221" i="10"/>
  <c r="I221" i="10"/>
  <c r="E221" i="10"/>
  <c r="M218" i="10"/>
  <c r="I218" i="10"/>
  <c r="E218" i="10"/>
  <c r="M217" i="10"/>
  <c r="I217" i="10"/>
  <c r="E217" i="10"/>
  <c r="M216" i="10"/>
  <c r="I216" i="10"/>
  <c r="E216" i="10"/>
  <c r="M215" i="10"/>
  <c r="I215" i="10"/>
  <c r="E215" i="10"/>
  <c r="M214" i="10"/>
  <c r="I214" i="10"/>
  <c r="E214" i="10"/>
  <c r="M213" i="10"/>
  <c r="I213" i="10"/>
  <c r="E213" i="10"/>
  <c r="M212" i="10"/>
  <c r="I212" i="10"/>
  <c r="E212" i="10"/>
  <c r="M210" i="10"/>
  <c r="I210" i="10"/>
  <c r="E210" i="10"/>
  <c r="M209" i="10"/>
  <c r="I209" i="10"/>
  <c r="E209" i="10"/>
  <c r="M208" i="10"/>
  <c r="I208" i="10"/>
  <c r="E208" i="10"/>
  <c r="M207" i="10"/>
  <c r="I207" i="10"/>
  <c r="E207" i="10"/>
  <c r="M206" i="10"/>
  <c r="I206" i="10"/>
  <c r="E206" i="10"/>
  <c r="M205" i="10"/>
  <c r="I205" i="10"/>
  <c r="E205" i="10"/>
  <c r="M204" i="10"/>
  <c r="I204" i="10"/>
  <c r="E204" i="10"/>
  <c r="M203" i="10"/>
  <c r="I203" i="10"/>
  <c r="E203" i="10"/>
  <c r="M202" i="10"/>
  <c r="I202" i="10"/>
  <c r="E202" i="10"/>
  <c r="M201" i="10"/>
  <c r="I201" i="10"/>
  <c r="E201" i="10"/>
  <c r="M200" i="10"/>
  <c r="I200" i="10"/>
  <c r="E200" i="10"/>
  <c r="K198" i="10"/>
  <c r="G198" i="10"/>
  <c r="K197" i="10"/>
  <c r="G197" i="10"/>
  <c r="K196" i="10"/>
  <c r="G196" i="10"/>
  <c r="K192" i="10"/>
  <c r="G192" i="10"/>
  <c r="K191" i="10"/>
  <c r="G191" i="10"/>
  <c r="K190" i="10"/>
  <c r="G190" i="10"/>
  <c r="K189" i="10"/>
  <c r="G189" i="10"/>
  <c r="K188" i="10"/>
  <c r="G188" i="10"/>
  <c r="K187" i="10"/>
  <c r="G187" i="10"/>
  <c r="K186" i="10"/>
  <c r="G186" i="10"/>
  <c r="K184" i="10"/>
  <c r="G184" i="10"/>
  <c r="M182" i="10"/>
  <c r="I182" i="10"/>
  <c r="E182" i="10"/>
  <c r="M181" i="10"/>
  <c r="I181" i="10"/>
  <c r="E181" i="10"/>
  <c r="M180" i="10"/>
  <c r="I180" i="10"/>
  <c r="E180" i="10"/>
  <c r="M179" i="10"/>
  <c r="I179" i="10"/>
  <c r="E179" i="10"/>
  <c r="M178" i="10"/>
  <c r="I178" i="10"/>
  <c r="E178" i="10"/>
  <c r="L176" i="10"/>
  <c r="H176" i="10"/>
  <c r="L175" i="10"/>
  <c r="H175" i="10"/>
  <c r="D175" i="10"/>
  <c r="L174" i="10"/>
  <c r="H174" i="10"/>
  <c r="D174" i="10"/>
  <c r="L173" i="10"/>
  <c r="H173" i="10"/>
  <c r="D173" i="10"/>
  <c r="N170" i="10"/>
  <c r="J170" i="10"/>
  <c r="N169" i="10"/>
  <c r="J169" i="10"/>
  <c r="N168" i="10"/>
  <c r="J168" i="10"/>
  <c r="N167" i="10"/>
  <c r="J167" i="10"/>
  <c r="N166" i="10"/>
  <c r="J166" i="10"/>
  <c r="N165" i="10"/>
  <c r="J165" i="10"/>
  <c r="L163" i="10"/>
  <c r="H163" i="10"/>
  <c r="D163" i="10"/>
  <c r="L162" i="10"/>
  <c r="H162" i="10"/>
  <c r="D162" i="10"/>
  <c r="L161" i="10"/>
  <c r="H161" i="10"/>
  <c r="D161" i="10"/>
  <c r="L159" i="10"/>
  <c r="H159" i="10"/>
  <c r="D159" i="10"/>
  <c r="L158" i="10"/>
  <c r="H158" i="10"/>
  <c r="L157" i="10"/>
  <c r="H157" i="10"/>
  <c r="D157" i="10"/>
  <c r="L155" i="10"/>
  <c r="H155" i="10"/>
  <c r="D155" i="10"/>
  <c r="L153" i="10"/>
  <c r="H153" i="10"/>
  <c r="D153" i="10"/>
  <c r="L152" i="10"/>
  <c r="H152" i="10"/>
  <c r="D152" i="10"/>
  <c r="L150" i="10"/>
  <c r="H150" i="10"/>
  <c r="D150" i="10"/>
  <c r="L149" i="10"/>
  <c r="H149" i="10"/>
  <c r="H242" i="10"/>
  <c r="D242" i="10"/>
  <c r="L240" i="10"/>
  <c r="H240" i="10"/>
  <c r="D240" i="10"/>
  <c r="L239" i="10"/>
  <c r="H239" i="10"/>
  <c r="D239" i="10"/>
  <c r="L237" i="10"/>
  <c r="H237" i="10"/>
  <c r="D237" i="10"/>
  <c r="L236" i="10"/>
  <c r="H236" i="10"/>
  <c r="D236" i="10"/>
  <c r="L235" i="10"/>
  <c r="H235" i="10"/>
  <c r="D235" i="10"/>
  <c r="L234" i="10"/>
  <c r="H234" i="10"/>
  <c r="D234" i="10"/>
  <c r="L231" i="10"/>
  <c r="H231" i="10"/>
  <c r="D231" i="10"/>
  <c r="K229" i="10"/>
  <c r="G229" i="10"/>
  <c r="K228" i="10"/>
  <c r="G228" i="10"/>
  <c r="K227" i="10"/>
  <c r="G227" i="10"/>
  <c r="K226" i="10"/>
  <c r="G226" i="10"/>
  <c r="K225" i="10"/>
  <c r="G225" i="10"/>
  <c r="K224" i="10"/>
  <c r="G224" i="10"/>
  <c r="K223" i="10"/>
  <c r="G223" i="10"/>
  <c r="K222" i="10"/>
  <c r="G222" i="10"/>
  <c r="K221" i="10"/>
  <c r="G221" i="10"/>
  <c r="K218" i="10"/>
  <c r="G218" i="10"/>
  <c r="K217" i="10"/>
  <c r="G217" i="10"/>
  <c r="K216" i="10"/>
  <c r="G216" i="10"/>
  <c r="K215" i="10"/>
  <c r="G215" i="10"/>
  <c r="K214" i="10"/>
  <c r="G214" i="10"/>
  <c r="K213" i="10"/>
  <c r="G213" i="10"/>
  <c r="K212" i="10"/>
  <c r="G212" i="10"/>
  <c r="K210" i="10"/>
  <c r="G210" i="10"/>
  <c r="K209" i="10"/>
  <c r="G209" i="10"/>
  <c r="K208" i="10"/>
  <c r="G208" i="10"/>
  <c r="K207" i="10"/>
  <c r="G207" i="10"/>
  <c r="K206" i="10"/>
  <c r="G206" i="10"/>
  <c r="K205" i="10"/>
  <c r="G205" i="10"/>
  <c r="K204" i="10"/>
  <c r="G204" i="10"/>
  <c r="K203" i="10"/>
  <c r="G203" i="10"/>
  <c r="K202" i="10"/>
  <c r="G202" i="10"/>
  <c r="K201" i="10"/>
  <c r="G201" i="10"/>
  <c r="L111" i="10"/>
  <c r="H111" i="10"/>
  <c r="D111" i="10"/>
  <c r="L109" i="10"/>
  <c r="H109" i="10"/>
  <c r="D109" i="10"/>
  <c r="L108" i="10"/>
  <c r="H108" i="10"/>
  <c r="L107" i="10"/>
  <c r="H107" i="10"/>
  <c r="D107" i="10"/>
  <c r="L106" i="10"/>
  <c r="H106" i="10"/>
  <c r="L105" i="10"/>
  <c r="H105" i="10"/>
  <c r="D105" i="10"/>
  <c r="N103" i="10"/>
  <c r="J103" i="10"/>
  <c r="N102" i="10"/>
  <c r="J102" i="10"/>
  <c r="N101" i="10"/>
  <c r="J101" i="10"/>
  <c r="N100" i="10"/>
  <c r="J100" i="10"/>
  <c r="N99" i="10"/>
  <c r="J99" i="10"/>
  <c r="N98" i="10"/>
  <c r="J98" i="10"/>
  <c r="N96" i="10"/>
  <c r="D149" i="10"/>
  <c r="L148" i="10"/>
  <c r="H148" i="10"/>
  <c r="D148" i="10"/>
  <c r="L147" i="10"/>
  <c r="H147" i="10"/>
  <c r="D147" i="10"/>
  <c r="L146" i="10"/>
  <c r="H146" i="10"/>
  <c r="D146" i="10"/>
  <c r="L144" i="10"/>
  <c r="H144" i="10"/>
  <c r="D144" i="10"/>
  <c r="L143" i="10"/>
  <c r="H143" i="10"/>
  <c r="D143" i="10"/>
  <c r="L142" i="10"/>
  <c r="H142" i="10"/>
  <c r="D142" i="10"/>
  <c r="L141" i="10"/>
  <c r="H141" i="10"/>
  <c r="D141" i="10"/>
  <c r="L140" i="10"/>
  <c r="H140" i="10"/>
  <c r="D140" i="10"/>
  <c r="L137" i="10"/>
  <c r="H137" i="10"/>
  <c r="D137" i="10"/>
  <c r="L135" i="10"/>
  <c r="H135" i="10"/>
  <c r="D135" i="10"/>
  <c r="M130" i="10"/>
  <c r="I130" i="10"/>
  <c r="E130" i="10"/>
  <c r="M127" i="10"/>
  <c r="I127" i="10"/>
  <c r="E127" i="10"/>
  <c r="M123" i="10"/>
  <c r="I123" i="10"/>
  <c r="E123" i="10"/>
  <c r="M122" i="10"/>
  <c r="I122" i="10"/>
  <c r="E122" i="10"/>
  <c r="K120" i="10"/>
  <c r="G120" i="10"/>
  <c r="K119" i="10"/>
  <c r="G119" i="10"/>
  <c r="K118" i="10"/>
  <c r="G118" i="10"/>
  <c r="K117" i="10"/>
  <c r="G117" i="10"/>
  <c r="K116" i="10"/>
  <c r="G116" i="10"/>
  <c r="K111" i="10"/>
  <c r="G111" i="10"/>
  <c r="K109" i="10"/>
  <c r="G109" i="10"/>
  <c r="K108" i="10"/>
  <c r="G108" i="10"/>
  <c r="K107" i="10"/>
  <c r="G107" i="10"/>
  <c r="K106" i="10"/>
  <c r="G106" i="10"/>
  <c r="K105" i="10"/>
  <c r="G105" i="10"/>
  <c r="M103" i="10"/>
  <c r="I103" i="10"/>
  <c r="E103" i="10"/>
  <c r="M102" i="10"/>
  <c r="I102" i="10"/>
  <c r="E102" i="10"/>
  <c r="M101" i="10"/>
  <c r="I101" i="10"/>
  <c r="E101" i="10"/>
  <c r="M100" i="10"/>
  <c r="I100" i="10"/>
  <c r="E100" i="10"/>
  <c r="M99" i="10"/>
  <c r="I99" i="10"/>
  <c r="E99" i="10"/>
  <c r="M98" i="10"/>
  <c r="I98" i="10"/>
  <c r="E98" i="10"/>
  <c r="M96" i="10"/>
  <c r="I96" i="10"/>
  <c r="K200" i="10"/>
  <c r="G200" i="10"/>
  <c r="M198" i="10"/>
  <c r="I198" i="10"/>
  <c r="E198" i="10"/>
  <c r="M197" i="10"/>
  <c r="I197" i="10"/>
  <c r="E197" i="10"/>
  <c r="M196" i="10"/>
  <c r="I196" i="10"/>
  <c r="E196" i="10"/>
  <c r="M192" i="10"/>
  <c r="I192" i="10"/>
  <c r="E192" i="10"/>
  <c r="M191" i="10"/>
  <c r="I191" i="10"/>
  <c r="E191" i="10"/>
  <c r="M190" i="10"/>
  <c r="I190" i="10"/>
  <c r="E190" i="10"/>
  <c r="M189" i="10"/>
  <c r="I189" i="10"/>
  <c r="E189" i="10"/>
  <c r="M188" i="10"/>
  <c r="I188" i="10"/>
  <c r="E188" i="10"/>
  <c r="M187" i="10"/>
  <c r="I187" i="10"/>
  <c r="E187" i="10"/>
  <c r="M186" i="10"/>
  <c r="I186" i="10"/>
  <c r="E186" i="10"/>
  <c r="M184" i="10"/>
  <c r="I184" i="10"/>
  <c r="E184" i="10"/>
  <c r="K182" i="10"/>
  <c r="G182" i="10"/>
  <c r="K181" i="10"/>
  <c r="G181" i="10"/>
  <c r="K180" i="10"/>
  <c r="G180" i="10"/>
  <c r="K179" i="10"/>
  <c r="G179" i="10"/>
  <c r="K178" i="10"/>
  <c r="G178" i="10"/>
  <c r="N176" i="10"/>
  <c r="J176" i="10"/>
  <c r="N175" i="10"/>
  <c r="J175" i="10"/>
  <c r="N174" i="10"/>
  <c r="J174" i="10"/>
  <c r="N173" i="10"/>
  <c r="J173" i="10"/>
  <c r="L170" i="10"/>
  <c r="H170" i="10"/>
  <c r="D170" i="10"/>
  <c r="L169" i="10"/>
  <c r="H169" i="10"/>
  <c r="D169" i="10"/>
  <c r="L168" i="10"/>
  <c r="H168" i="10"/>
  <c r="D168" i="10"/>
  <c r="L167" i="10"/>
  <c r="H167" i="10"/>
  <c r="D167" i="10"/>
  <c r="L166" i="10"/>
  <c r="H166" i="10"/>
  <c r="D166" i="10"/>
  <c r="L165" i="10"/>
  <c r="H165" i="10"/>
  <c r="D165" i="10"/>
  <c r="N163" i="10"/>
  <c r="J163" i="10"/>
  <c r="N162" i="10"/>
  <c r="J162" i="10"/>
  <c r="N161" i="10"/>
  <c r="J161" i="10"/>
  <c r="N159" i="10"/>
  <c r="J159" i="10"/>
  <c r="N158" i="10"/>
  <c r="J158" i="10"/>
  <c r="N157" i="10"/>
  <c r="J157" i="10"/>
  <c r="N155" i="10"/>
  <c r="J155" i="10"/>
  <c r="N153" i="10"/>
  <c r="J153" i="10"/>
  <c r="N152" i="10"/>
  <c r="J152" i="10"/>
  <c r="N150" i="10"/>
  <c r="J150" i="10"/>
  <c r="N149" i="10"/>
  <c r="J149" i="10"/>
  <c r="N148" i="10"/>
  <c r="J148" i="10"/>
  <c r="N147" i="10"/>
  <c r="J147" i="10"/>
  <c r="N146" i="10"/>
  <c r="J146" i="10"/>
  <c r="N144" i="10"/>
  <c r="J144" i="10"/>
  <c r="N143" i="10"/>
  <c r="J143" i="10"/>
  <c r="N142" i="10"/>
  <c r="J142" i="10"/>
  <c r="N141" i="10"/>
  <c r="J141" i="10"/>
  <c r="N140" i="10"/>
  <c r="J140" i="10"/>
  <c r="N137" i="10"/>
  <c r="J137" i="10"/>
  <c r="N135" i="10"/>
  <c r="J135" i="10"/>
  <c r="K130" i="10"/>
  <c r="G130" i="10"/>
  <c r="K127" i="10"/>
  <c r="G127" i="10"/>
  <c r="K123" i="10"/>
  <c r="G123" i="10"/>
  <c r="K122" i="10"/>
  <c r="G122" i="10"/>
  <c r="M120" i="10"/>
  <c r="I120" i="10"/>
  <c r="E120" i="10"/>
  <c r="M119" i="10"/>
  <c r="I119" i="10"/>
  <c r="E119" i="10"/>
  <c r="M118" i="10"/>
  <c r="I118" i="10"/>
  <c r="E118" i="10"/>
  <c r="M117" i="10"/>
  <c r="I117" i="10"/>
  <c r="E117" i="10"/>
  <c r="M116" i="10"/>
  <c r="I116" i="10"/>
  <c r="E116" i="10"/>
  <c r="M111" i="10"/>
  <c r="I111" i="10"/>
  <c r="E111" i="10"/>
  <c r="M109" i="10"/>
  <c r="I109" i="10"/>
  <c r="E109" i="10"/>
  <c r="M108" i="10"/>
  <c r="I108" i="10"/>
  <c r="E108" i="10"/>
  <c r="M107" i="10"/>
  <c r="I107" i="10"/>
  <c r="E107" i="10"/>
  <c r="M106" i="10"/>
  <c r="I106" i="10"/>
  <c r="E106" i="10"/>
  <c r="M105" i="10"/>
  <c r="I105" i="10"/>
  <c r="E105" i="10"/>
  <c r="K103" i="10"/>
  <c r="G103" i="10"/>
  <c r="K102" i="10"/>
  <c r="G102" i="10"/>
  <c r="K101" i="10"/>
  <c r="G101" i="10"/>
  <c r="K100" i="10"/>
  <c r="G100" i="10"/>
  <c r="K99" i="10"/>
  <c r="G99" i="10"/>
  <c r="K98" i="10"/>
  <c r="G98" i="10"/>
  <c r="K95" i="10"/>
  <c r="G95" i="10"/>
  <c r="K94" i="10"/>
  <c r="G94" i="10"/>
  <c r="J96" i="10"/>
  <c r="N95" i="10"/>
  <c r="J95" i="10"/>
  <c r="N94" i="10"/>
  <c r="J94" i="10"/>
  <c r="N93" i="10"/>
  <c r="J93" i="10"/>
  <c r="N92" i="10"/>
  <c r="J92" i="10"/>
  <c r="L90" i="10"/>
  <c r="H90" i="10"/>
  <c r="L89" i="10"/>
  <c r="H89" i="10"/>
  <c r="D89" i="10"/>
  <c r="L88" i="10"/>
  <c r="H88" i="10"/>
  <c r="L87" i="10"/>
  <c r="H87" i="10"/>
  <c r="D87" i="10"/>
  <c r="M95" i="10"/>
  <c r="I95" i="10"/>
  <c r="E95" i="10"/>
  <c r="M94" i="10"/>
  <c r="I94" i="10"/>
  <c r="E94" i="10"/>
  <c r="M93" i="10"/>
  <c r="I93" i="10"/>
  <c r="E93" i="10"/>
  <c r="M92" i="10"/>
  <c r="I92" i="10"/>
  <c r="E92" i="10"/>
  <c r="K90" i="10"/>
  <c r="G90" i="10"/>
  <c r="K89" i="10"/>
  <c r="G89" i="10"/>
  <c r="K88" i="10"/>
  <c r="G88" i="10"/>
  <c r="K87" i="10"/>
  <c r="G87" i="10"/>
  <c r="K86" i="10"/>
  <c r="G86" i="10"/>
  <c r="K85" i="10"/>
  <c r="G85" i="10"/>
  <c r="K84" i="10"/>
  <c r="G84" i="10"/>
  <c r="K83" i="10"/>
  <c r="G83" i="10"/>
  <c r="K82" i="10"/>
  <c r="G82" i="10"/>
  <c r="K81" i="10"/>
  <c r="G81" i="10"/>
  <c r="K80" i="10"/>
  <c r="K93" i="10"/>
  <c r="G93" i="10"/>
  <c r="K92" i="10"/>
  <c r="G92" i="10"/>
  <c r="M90" i="10"/>
  <c r="I90" i="10"/>
  <c r="E90" i="10"/>
  <c r="M89" i="10"/>
  <c r="I89" i="10"/>
  <c r="E89" i="10"/>
  <c r="M88" i="10"/>
  <c r="I88" i="10"/>
  <c r="E88" i="10"/>
  <c r="M87" i="10"/>
  <c r="I87" i="10"/>
  <c r="E87" i="10"/>
  <c r="M86" i="10"/>
  <c r="I86" i="10"/>
  <c r="E86" i="10"/>
  <c r="M85" i="10"/>
  <c r="I85" i="10"/>
  <c r="E85" i="10"/>
  <c r="M84" i="10"/>
  <c r="I84" i="10"/>
  <c r="E84" i="10"/>
  <c r="M83" i="10"/>
  <c r="I83" i="10"/>
  <c r="E83" i="10"/>
  <c r="M82" i="10"/>
  <c r="I82" i="10"/>
  <c r="E82" i="10"/>
  <c r="M81" i="10"/>
  <c r="I81" i="10"/>
  <c r="E81" i="10"/>
  <c r="M80" i="10"/>
  <c r="I80" i="10"/>
  <c r="E80" i="10"/>
  <c r="M79" i="10"/>
  <c r="I79" i="10"/>
  <c r="E79" i="10"/>
  <c r="M78" i="10"/>
  <c r="I78" i="10"/>
  <c r="E78" i="10"/>
  <c r="M77" i="10"/>
  <c r="I77" i="10"/>
  <c r="E77" i="10"/>
  <c r="K75" i="10"/>
  <c r="G75" i="10"/>
  <c r="K74" i="10"/>
  <c r="G74" i="10"/>
  <c r="K72" i="10"/>
  <c r="G72" i="10"/>
  <c r="K71" i="10"/>
  <c r="G71" i="10"/>
  <c r="K70" i="10"/>
  <c r="G70" i="10"/>
  <c r="K67" i="10"/>
  <c r="G67" i="10"/>
  <c r="K66" i="10"/>
  <c r="G66" i="10"/>
  <c r="K60" i="10"/>
  <c r="G60" i="10"/>
  <c r="K59" i="10"/>
  <c r="G59" i="10"/>
  <c r="K58" i="10"/>
  <c r="G58" i="10"/>
  <c r="K57" i="10"/>
  <c r="G57" i="10"/>
  <c r="K56" i="10"/>
  <c r="G56" i="10"/>
  <c r="K55" i="10"/>
  <c r="L86" i="10"/>
  <c r="H86" i="10"/>
  <c r="L85" i="10"/>
  <c r="H85" i="10"/>
  <c r="D85" i="10"/>
  <c r="L84" i="10"/>
  <c r="H84" i="10"/>
  <c r="D84" i="10"/>
  <c r="L83" i="10"/>
  <c r="H83" i="10"/>
  <c r="D83" i="10"/>
  <c r="L82" i="10"/>
  <c r="H82" i="10"/>
  <c r="D82" i="10"/>
  <c r="L81" i="10"/>
  <c r="H81" i="10"/>
  <c r="D81" i="10"/>
  <c r="L80" i="10"/>
  <c r="H80" i="10"/>
  <c r="D80" i="10"/>
  <c r="L79" i="10"/>
  <c r="H79" i="10"/>
  <c r="L78" i="10"/>
  <c r="H78" i="10"/>
  <c r="D78" i="10"/>
  <c r="L77" i="10"/>
  <c r="H77" i="10"/>
  <c r="N75" i="10"/>
  <c r="J75" i="10"/>
  <c r="N74" i="10"/>
  <c r="J74" i="10"/>
  <c r="N72" i="10"/>
  <c r="J72" i="10"/>
  <c r="N71" i="10"/>
  <c r="J71" i="10"/>
  <c r="N70" i="10"/>
  <c r="J70" i="10"/>
  <c r="N67" i="10"/>
  <c r="J67" i="10"/>
  <c r="N66" i="10"/>
  <c r="J66" i="10"/>
  <c r="N60" i="10"/>
  <c r="J60" i="10"/>
  <c r="N59" i="10"/>
  <c r="J59" i="10"/>
  <c r="N58" i="10"/>
  <c r="J58" i="10"/>
  <c r="N57" i="10"/>
  <c r="J57" i="10"/>
  <c r="N56" i="10"/>
  <c r="J56" i="10"/>
  <c r="N55" i="10"/>
  <c r="J55" i="10"/>
  <c r="N54" i="10"/>
  <c r="J54" i="10"/>
  <c r="N53" i="10"/>
  <c r="J53" i="10"/>
  <c r="L48" i="10"/>
  <c r="H48" i="10"/>
  <c r="N45" i="10"/>
  <c r="J45" i="10"/>
  <c r="N44" i="10"/>
  <c r="J44" i="10"/>
  <c r="N42" i="10"/>
  <c r="J42" i="10"/>
  <c r="N41" i="10"/>
  <c r="J41" i="10"/>
  <c r="N39" i="10"/>
  <c r="J39" i="10"/>
  <c r="N37" i="10"/>
  <c r="J37" i="10"/>
  <c r="N36" i="10"/>
  <c r="J36" i="10"/>
  <c r="N35" i="10"/>
  <c r="J35" i="10"/>
  <c r="N34" i="10"/>
  <c r="J34" i="10"/>
  <c r="F34" i="10"/>
  <c r="N31" i="10"/>
  <c r="J31" i="10"/>
  <c r="G80" i="10"/>
  <c r="K79" i="10"/>
  <c r="G79" i="10"/>
  <c r="K78" i="10"/>
  <c r="G78" i="10"/>
  <c r="K77" i="10"/>
  <c r="G77" i="10"/>
  <c r="M75" i="10"/>
  <c r="I75" i="10"/>
  <c r="E75" i="10"/>
  <c r="M74" i="10"/>
  <c r="I74" i="10"/>
  <c r="E74" i="10"/>
  <c r="M72" i="10"/>
  <c r="I72" i="10"/>
  <c r="E72" i="10"/>
  <c r="M71" i="10"/>
  <c r="I71" i="10"/>
  <c r="E71" i="10"/>
  <c r="M70" i="10"/>
  <c r="I70" i="10"/>
  <c r="E70" i="10"/>
  <c r="M67" i="10"/>
  <c r="I67" i="10"/>
  <c r="E67" i="10"/>
  <c r="M66" i="10"/>
  <c r="I66" i="10"/>
  <c r="E66" i="10"/>
  <c r="M60" i="10"/>
  <c r="I60" i="10"/>
  <c r="E60" i="10"/>
  <c r="M59" i="10"/>
  <c r="I59" i="10"/>
  <c r="E59" i="10"/>
  <c r="M58" i="10"/>
  <c r="I58" i="10"/>
  <c r="E58" i="10"/>
  <c r="M57" i="10"/>
  <c r="I57" i="10"/>
  <c r="E57" i="10"/>
  <c r="M56" i="10"/>
  <c r="I56" i="10"/>
  <c r="E56" i="10"/>
  <c r="M55" i="10"/>
  <c r="I55" i="10"/>
  <c r="E55" i="10"/>
  <c r="M54" i="10"/>
  <c r="I54" i="10"/>
  <c r="E54" i="10"/>
  <c r="M53" i="10"/>
  <c r="I53" i="10"/>
  <c r="E53" i="10"/>
  <c r="K48" i="10"/>
  <c r="G48" i="10"/>
  <c r="M45" i="10"/>
  <c r="I45" i="10"/>
  <c r="E45" i="10"/>
  <c r="M44" i="10"/>
  <c r="I44" i="10"/>
  <c r="E44" i="10"/>
  <c r="M42" i="10"/>
  <c r="I42" i="10"/>
  <c r="E42" i="10"/>
  <c r="M41" i="10"/>
  <c r="I41" i="10"/>
  <c r="E41" i="10"/>
  <c r="M39" i="10"/>
  <c r="I39" i="10"/>
  <c r="E39" i="10"/>
  <c r="M37" i="10"/>
  <c r="I37" i="10"/>
  <c r="E37" i="10"/>
  <c r="M36" i="10"/>
  <c r="I36" i="10"/>
  <c r="E36" i="10"/>
  <c r="M35" i="10"/>
  <c r="I35" i="10"/>
  <c r="E35" i="10"/>
  <c r="M34" i="10"/>
  <c r="I34" i="10"/>
  <c r="E34" i="10"/>
  <c r="M31" i="10"/>
  <c r="I31" i="10"/>
  <c r="E31" i="10"/>
  <c r="G55" i="10"/>
  <c r="K54" i="10"/>
  <c r="G54" i="10"/>
  <c r="K53" i="10"/>
  <c r="G53" i="10"/>
  <c r="M48" i="10"/>
  <c r="I48" i="10"/>
  <c r="E48" i="10"/>
  <c r="K45" i="10"/>
  <c r="G45" i="10"/>
  <c r="K44" i="10"/>
  <c r="G44" i="10"/>
  <c r="K42" i="10"/>
  <c r="G42" i="10"/>
  <c r="K41" i="10"/>
  <c r="G41" i="10"/>
  <c r="K39" i="10"/>
  <c r="G39" i="10"/>
  <c r="K37" i="10"/>
  <c r="G37" i="10"/>
  <c r="K36" i="10"/>
  <c r="G36" i="10"/>
  <c r="K35" i="10"/>
  <c r="G35" i="10"/>
  <c r="K34" i="10"/>
  <c r="G34" i="10"/>
  <c r="K31" i="10"/>
  <c r="G31" i="10"/>
  <c r="I251" i="10"/>
  <c r="E29" i="10"/>
  <c r="M28" i="10"/>
  <c r="I28" i="10"/>
  <c r="E28" i="10"/>
  <c r="M27" i="10"/>
  <c r="I27" i="10"/>
  <c r="E27" i="10"/>
  <c r="M26" i="10"/>
  <c r="I26" i="10"/>
  <c r="E26" i="10"/>
  <c r="M25" i="10"/>
  <c r="I25" i="10"/>
  <c r="E25" i="10"/>
  <c r="M24" i="10"/>
  <c r="I24" i="10"/>
  <c r="E24" i="10"/>
  <c r="M23" i="10"/>
  <c r="I23" i="10"/>
  <c r="E23" i="10"/>
  <c r="M22" i="10"/>
  <c r="I22" i="10"/>
  <c r="E22" i="10"/>
  <c r="M20" i="10"/>
  <c r="I20" i="10"/>
  <c r="E20" i="10"/>
  <c r="M19" i="10"/>
  <c r="I19" i="10"/>
  <c r="E19" i="10"/>
  <c r="M17" i="10"/>
  <c r="I17" i="10"/>
  <c r="E17" i="10"/>
  <c r="M16" i="10"/>
  <c r="I16" i="10"/>
  <c r="E16" i="10"/>
  <c r="M15" i="10"/>
  <c r="I15" i="10"/>
  <c r="E15" i="10"/>
  <c r="M241" i="10"/>
  <c r="I241" i="10"/>
  <c r="E241" i="10"/>
  <c r="M13" i="10"/>
  <c r="I13" i="10"/>
  <c r="E13" i="10"/>
  <c r="M12" i="10"/>
  <c r="H12" i="10"/>
  <c r="L11" i="10"/>
  <c r="H11" i="10"/>
  <c r="L10" i="10"/>
  <c r="H10" i="10"/>
  <c r="L9" i="10"/>
  <c r="H9" i="10"/>
  <c r="L7" i="10"/>
  <c r="H7" i="10"/>
  <c r="L5" i="10"/>
  <c r="H5" i="10"/>
  <c r="D5" i="10"/>
  <c r="L28" i="10"/>
  <c r="H28" i="10"/>
  <c r="L27" i="10"/>
  <c r="H27" i="10"/>
  <c r="L26" i="10"/>
  <c r="H26" i="10"/>
  <c r="D26" i="10"/>
  <c r="L25" i="10"/>
  <c r="H25" i="10"/>
  <c r="D25" i="10"/>
  <c r="L24" i="10"/>
  <c r="H24" i="10"/>
  <c r="D24" i="10"/>
  <c r="L23" i="10"/>
  <c r="H23" i="10"/>
  <c r="D23" i="10"/>
  <c r="L22" i="10"/>
  <c r="H22" i="10"/>
  <c r="D22" i="10"/>
  <c r="L20" i="10"/>
  <c r="H20" i="10"/>
  <c r="D20" i="10"/>
  <c r="L19" i="10"/>
  <c r="H19" i="10"/>
  <c r="L17" i="10"/>
  <c r="H17" i="10"/>
  <c r="D17" i="10"/>
  <c r="L16" i="10"/>
  <c r="H16" i="10"/>
  <c r="D16" i="10"/>
  <c r="L15" i="10"/>
  <c r="H15" i="10"/>
  <c r="L241" i="10"/>
  <c r="H241" i="10"/>
  <c r="D14" i="10"/>
  <c r="L13" i="10"/>
  <c r="H13" i="10"/>
  <c r="D13" i="10"/>
  <c r="L12" i="10"/>
  <c r="G12" i="10"/>
  <c r="K11" i="10"/>
  <c r="G11" i="10"/>
  <c r="K10" i="10"/>
  <c r="G10" i="10"/>
  <c r="K9" i="10"/>
  <c r="G9" i="10"/>
  <c r="K7" i="10"/>
  <c r="G7" i="10"/>
  <c r="K5" i="10"/>
  <c r="G5" i="10"/>
  <c r="K251" i="10"/>
  <c r="K28" i="10"/>
  <c r="G28" i="10"/>
  <c r="K27" i="10"/>
  <c r="G27" i="10"/>
  <c r="K26" i="10"/>
  <c r="G26" i="10"/>
  <c r="K25" i="10"/>
  <c r="G25" i="10"/>
  <c r="K24" i="10"/>
  <c r="G24" i="10"/>
  <c r="K23" i="10"/>
  <c r="G23" i="10"/>
  <c r="K22" i="10"/>
  <c r="G22" i="10"/>
  <c r="K20" i="10"/>
  <c r="G20" i="10"/>
  <c r="K19" i="10"/>
  <c r="G19" i="10"/>
  <c r="K17" i="10"/>
  <c r="G17" i="10"/>
  <c r="K16" i="10"/>
  <c r="G16" i="10"/>
  <c r="K15" i="10"/>
  <c r="G15" i="10"/>
  <c r="K14" i="10"/>
  <c r="G14" i="10"/>
  <c r="K13" i="10"/>
  <c r="G13" i="10"/>
  <c r="N11" i="10"/>
  <c r="J11" i="10"/>
  <c r="N10" i="10"/>
  <c r="J10" i="10"/>
  <c r="N9" i="10"/>
  <c r="J9" i="10"/>
  <c r="N7" i="10"/>
  <c r="J7" i="10"/>
  <c r="N5" i="10"/>
  <c r="J5" i="10"/>
  <c r="J12" i="10"/>
  <c r="I14" i="10"/>
  <c r="I29" i="10"/>
  <c r="E251" i="10"/>
  <c r="M14" i="10"/>
  <c r="M29" i="10"/>
  <c r="M251" i="10"/>
  <c r="P55" i="4"/>
  <c r="P57" i="4"/>
  <c r="P34" i="4"/>
  <c r="P17" i="4"/>
  <c r="P35" i="4"/>
  <c r="P38" i="4"/>
  <c r="AD74" i="12"/>
  <c r="P69" i="4"/>
  <c r="P32" i="4"/>
  <c r="P8" i="4"/>
  <c r="P30" i="4"/>
  <c r="AD33" i="12"/>
  <c r="P21" i="4"/>
  <c r="G241" i="10"/>
  <c r="G29" i="10"/>
  <c r="G251" i="10"/>
  <c r="P73" i="4"/>
  <c r="P25" i="4"/>
  <c r="P33" i="4"/>
  <c r="P6" i="4"/>
  <c r="P36" i="4"/>
  <c r="P68" i="4"/>
  <c r="P40" i="4"/>
  <c r="P72" i="4"/>
  <c r="AD21" i="12"/>
  <c r="V9" i="4"/>
  <c r="V249" i="4"/>
  <c r="V173" i="4"/>
  <c r="V102" i="4"/>
  <c r="V216" i="4"/>
  <c r="V38" i="4"/>
  <c r="V121" i="4"/>
  <c r="V5" i="4"/>
  <c r="V124" i="4"/>
  <c r="V120" i="4"/>
  <c r="V100" i="4"/>
  <c r="C140" i="10"/>
  <c r="P42" i="4"/>
  <c r="V162" i="4"/>
  <c r="V135" i="4"/>
  <c r="V29" i="4"/>
  <c r="V134" i="4"/>
  <c r="V182" i="4"/>
  <c r="V219" i="4"/>
  <c r="V105" i="4"/>
  <c r="P54" i="4"/>
  <c r="P48" i="4"/>
  <c r="P13" i="4"/>
  <c r="P58" i="4"/>
  <c r="P24" i="4"/>
  <c r="V196" i="4"/>
  <c r="V227" i="4"/>
  <c r="V263" i="4"/>
  <c r="V264" i="4"/>
  <c r="C134" i="10"/>
  <c r="V63" i="4"/>
  <c r="V71" i="4"/>
  <c r="V11" i="4"/>
  <c r="V117" i="4"/>
  <c r="V42" i="4"/>
  <c r="V60" i="4"/>
  <c r="V13" i="4"/>
  <c r="V246" i="4"/>
  <c r="V256" i="4"/>
  <c r="V243" i="4"/>
  <c r="V179" i="4"/>
  <c r="V108" i="4"/>
  <c r="V170" i="4"/>
  <c r="C73" i="10"/>
  <c r="V232" i="4"/>
  <c r="V158" i="4"/>
  <c r="V47" i="4"/>
  <c r="V244" i="4"/>
  <c r="V238" i="4"/>
  <c r="V236" i="4"/>
  <c r="V31" i="4"/>
  <c r="V45" i="4"/>
  <c r="V261" i="4"/>
  <c r="V191" i="4"/>
  <c r="V81" i="4"/>
  <c r="V185" i="4"/>
  <c r="V96" i="4"/>
  <c r="C282" i="10"/>
  <c r="V125" i="4"/>
  <c r="V160" i="4"/>
  <c r="C279" i="10"/>
  <c r="V165" i="4"/>
  <c r="V15" i="4"/>
  <c r="V109" i="4"/>
  <c r="V16" i="4"/>
  <c r="V92" i="4"/>
  <c r="V186" i="4"/>
  <c r="C266" i="10"/>
  <c r="V19" i="4"/>
  <c r="V140" i="4"/>
  <c r="V112" i="4"/>
  <c r="V20" i="4"/>
  <c r="C263" i="10"/>
  <c r="V154" i="4"/>
  <c r="V150" i="4"/>
  <c r="C260" i="10"/>
  <c r="V138" i="4"/>
  <c r="V188" i="4"/>
  <c r="V77" i="4"/>
  <c r="V235" i="4"/>
  <c r="V126" i="4"/>
  <c r="V189" i="4"/>
  <c r="C244" i="10"/>
  <c r="V255" i="4"/>
  <c r="V237" i="4"/>
  <c r="V41" i="4"/>
  <c r="V62" i="4"/>
  <c r="V107" i="4"/>
  <c r="V184" i="4"/>
  <c r="V28" i="4"/>
  <c r="V119" i="4"/>
  <c r="V7" i="4"/>
  <c r="V203" i="4"/>
  <c r="V208" i="4"/>
  <c r="V130" i="4"/>
  <c r="V168" i="4"/>
  <c r="V269" i="4"/>
  <c r="V39" i="4"/>
  <c r="V195" i="4"/>
  <c r="V164" i="4"/>
  <c r="V197" i="4"/>
  <c r="V250" i="4"/>
  <c r="V79" i="4"/>
  <c r="V163" i="4"/>
  <c r="V132" i="4"/>
  <c r="V61" i="4"/>
  <c r="V159" i="4"/>
  <c r="V155" i="4"/>
  <c r="V136" i="4"/>
  <c r="V64" i="4"/>
  <c r="V205" i="4"/>
  <c r="V161" i="4"/>
  <c r="V234" i="4"/>
  <c r="C150" i="10"/>
  <c r="V230" i="4"/>
  <c r="C149" i="10"/>
  <c r="V169" i="4"/>
  <c r="V266" i="4"/>
  <c r="C141" i="10"/>
  <c r="V265" i="4"/>
  <c r="V115" i="4"/>
  <c r="V177" i="4"/>
  <c r="V68" i="4"/>
  <c r="C117" i="10"/>
  <c r="V190" i="4"/>
  <c r="V53" i="4"/>
  <c r="C114" i="10"/>
  <c r="V209" i="4"/>
  <c r="V194" i="4"/>
  <c r="V152" i="4"/>
  <c r="V55" i="4"/>
  <c r="V83" i="4"/>
  <c r="V75" i="4"/>
  <c r="V40" i="4"/>
  <c r="V176" i="4"/>
  <c r="C96" i="10"/>
  <c r="V69" i="4"/>
  <c r="V187" i="4"/>
  <c r="V106" i="4"/>
  <c r="V98" i="4"/>
  <c r="V202" i="4"/>
  <c r="V74" i="4"/>
  <c r="V25" i="4"/>
  <c r="V57" i="4"/>
  <c r="C85" i="10"/>
  <c r="V137" i="4"/>
  <c r="V142" i="4"/>
  <c r="V72" i="4"/>
  <c r="V111" i="4"/>
  <c r="V118" i="4"/>
  <c r="V207" i="4"/>
  <c r="V33" i="4"/>
  <c r="V103" i="4"/>
  <c r="V214" i="4"/>
  <c r="V220" i="4"/>
  <c r="C76" i="10"/>
  <c r="V22" i="4"/>
  <c r="V32" i="4"/>
  <c r="C74" i="10"/>
  <c r="V80" i="4"/>
  <c r="V73" i="4"/>
  <c r="V94" i="4"/>
  <c r="V228" i="4"/>
  <c r="V18" i="4"/>
  <c r="V258" i="4"/>
  <c r="C59" i="10"/>
  <c r="V268" i="4"/>
  <c r="V240" i="4"/>
  <c r="V34" i="4"/>
  <c r="V21" i="4"/>
  <c r="V17" i="4"/>
  <c r="V85" i="4"/>
  <c r="C50" i="10"/>
  <c r="V193" i="4"/>
  <c r="V147" i="4"/>
  <c r="V223" i="4"/>
  <c r="V212" i="4"/>
  <c r="V200" i="4"/>
  <c r="V180" i="4"/>
  <c r="V8" i="4"/>
  <c r="V37" i="4"/>
  <c r="V225" i="4"/>
  <c r="V86" i="4"/>
  <c r="C30" i="10"/>
  <c r="V95" i="4"/>
  <c r="V6" i="4"/>
  <c r="V93" i="4"/>
  <c r="C27" i="10"/>
  <c r="V242" i="4"/>
  <c r="C25" i="10"/>
  <c r="V99" i="4"/>
  <c r="V257" i="4"/>
  <c r="V254" i="4"/>
  <c r="V70" i="4"/>
  <c r="V90" i="4"/>
  <c r="V253" i="4"/>
  <c r="V252" i="4"/>
  <c r="V110" i="4"/>
  <c r="V148" i="4"/>
  <c r="V192" i="4"/>
  <c r="V199" i="4"/>
  <c r="V30" i="4"/>
  <c r="V52" i="4"/>
  <c r="V217" i="4"/>
  <c r="C7" i="10"/>
  <c r="V51" i="4"/>
  <c r="C5" i="10"/>
  <c r="V4" i="4"/>
  <c r="V262" i="4"/>
  <c r="V267" i="4"/>
  <c r="V251" i="4"/>
  <c r="V56" i="4"/>
  <c r="V171" i="4"/>
  <c r="V54" i="4"/>
  <c r="V48" i="4"/>
  <c r="V65" i="4"/>
  <c r="V172" i="4"/>
  <c r="V131" i="4"/>
  <c r="V156" i="4"/>
  <c r="V248" i="4"/>
  <c r="V247" i="4"/>
  <c r="V259" i="4"/>
  <c r="V91" i="4"/>
  <c r="V59" i="4"/>
  <c r="V201" i="4"/>
  <c r="V241" i="4"/>
  <c r="V239" i="4"/>
  <c r="V245" i="4"/>
  <c r="V231" i="4"/>
  <c r="V128" i="4"/>
  <c r="V127" i="4"/>
  <c r="V123" i="4"/>
  <c r="V141" i="4"/>
  <c r="V82" i="4"/>
  <c r="V78" i="4"/>
  <c r="C288" i="10"/>
  <c r="V104" i="4"/>
  <c r="V175" i="4"/>
  <c r="V129" i="4"/>
  <c r="C280" i="10"/>
  <c r="V174" i="4"/>
  <c r="C278" i="10"/>
  <c r="V58" i="4"/>
  <c r="V12" i="4"/>
  <c r="V44" i="4"/>
  <c r="V215" i="4"/>
  <c r="V76" i="4"/>
  <c r="V14" i="4"/>
  <c r="V224" i="4"/>
  <c r="V27" i="4"/>
  <c r="C258" i="10"/>
  <c r="V157" i="4"/>
  <c r="V66" i="4"/>
  <c r="V233" i="4"/>
  <c r="V23" i="4"/>
  <c r="V97" i="4"/>
  <c r="V151" i="4"/>
  <c r="V87" i="4"/>
  <c r="V26" i="4"/>
  <c r="V46" i="4"/>
  <c r="C236" i="10"/>
  <c r="V144" i="4"/>
  <c r="V204" i="4"/>
  <c r="C227" i="10"/>
  <c r="V67" i="4"/>
  <c r="V260" i="4"/>
  <c r="C223" i="10"/>
  <c r="V146" i="4"/>
  <c r="V49" i="4"/>
  <c r="V221" i="4"/>
  <c r="C215" i="10"/>
  <c r="C212" i="10"/>
  <c r="V178" i="4"/>
  <c r="V167" i="4"/>
  <c r="V149" i="4"/>
  <c r="V206" i="4"/>
  <c r="V113" i="4"/>
  <c r="V84" i="4"/>
  <c r="V88" i="4"/>
  <c r="C202" i="10"/>
  <c r="V122" i="4"/>
  <c r="V153" i="4"/>
  <c r="C198" i="10"/>
  <c r="V133" i="4"/>
  <c r="V226" i="4"/>
  <c r="V24" i="4"/>
  <c r="V211" i="4"/>
  <c r="C191" i="10"/>
  <c r="V89" i="4"/>
  <c r="V198" i="4"/>
  <c r="V229" i="4"/>
  <c r="V101" i="4"/>
  <c r="V50" i="4"/>
  <c r="V218" i="4"/>
  <c r="C169" i="10"/>
  <c r="V213" i="4"/>
  <c r="V36" i="4"/>
  <c r="C165" i="10"/>
  <c r="V166" i="4"/>
  <c r="V181" i="4"/>
  <c r="V143" i="4"/>
  <c r="V43" i="4"/>
  <c r="V35" i="4"/>
  <c r="V10" i="4"/>
  <c r="C148" i="10"/>
  <c r="V116" i="4"/>
  <c r="V139" i="4"/>
  <c r="V183" i="4"/>
  <c r="C133" i="10"/>
  <c r="C128" i="10"/>
  <c r="V210" i="4"/>
  <c r="V222" i="4"/>
  <c r="V145" i="4"/>
  <c r="C126" i="10"/>
  <c r="C171" i="10"/>
  <c r="C205" i="10"/>
  <c r="C262" i="10"/>
  <c r="C270" i="10"/>
  <c r="C274" i="10"/>
  <c r="C284" i="10"/>
  <c r="C268" i="10"/>
  <c r="C240" i="10"/>
  <c r="C219" i="10"/>
  <c r="C199" i="10"/>
  <c r="C161" i="10"/>
  <c r="C144" i="10"/>
  <c r="C118" i="10"/>
  <c r="C82" i="10"/>
  <c r="V114" i="4"/>
  <c r="P56" i="4"/>
  <c r="P5" i="4"/>
  <c r="P16" i="4"/>
  <c r="P44" i="4"/>
  <c r="P62" i="4"/>
  <c r="P39" i="4"/>
  <c r="P50" i="4"/>
  <c r="P61" i="4"/>
  <c r="P64" i="4"/>
  <c r="AD143" i="14"/>
  <c r="P59" i="4"/>
  <c r="P9" i="4"/>
  <c r="P63" i="4"/>
  <c r="P71" i="4"/>
  <c r="P11" i="4"/>
  <c r="P65" i="4"/>
  <c r="P60" i="4"/>
  <c r="AD182" i="12"/>
  <c r="P45" i="4"/>
  <c r="P12" i="4"/>
  <c r="P19" i="4"/>
  <c r="P20" i="4"/>
  <c r="P14" i="4"/>
  <c r="P27" i="4"/>
  <c r="P66" i="4"/>
  <c r="P4" i="4"/>
  <c r="P23" i="4"/>
  <c r="P41" i="4"/>
  <c r="P26" i="4"/>
  <c r="P67" i="4"/>
  <c r="P28" i="4"/>
  <c r="P49" i="4"/>
  <c r="P7" i="4"/>
  <c r="P31" i="4"/>
  <c r="P43" i="4"/>
  <c r="P10" i="4"/>
  <c r="P53" i="4"/>
  <c r="P74" i="4"/>
  <c r="P29" i="4"/>
  <c r="AD183" i="14" s="1"/>
  <c r="P18" i="4"/>
  <c r="P37" i="4"/>
  <c r="P70" i="4"/>
  <c r="P51" i="4"/>
  <c r="P22" i="4"/>
  <c r="P52" i="4"/>
  <c r="F260" i="10"/>
  <c r="F134" i="10"/>
  <c r="J264" i="10"/>
  <c r="K241" i="10"/>
  <c r="K29" i="10"/>
  <c r="C60" i="10"/>
  <c r="C265" i="10"/>
  <c r="C216" i="10"/>
  <c r="C196" i="10"/>
  <c r="C175" i="10"/>
  <c r="C142" i="10"/>
  <c r="C83" i="10"/>
  <c r="C19" i="10"/>
  <c r="C246" i="10"/>
  <c r="C200" i="10"/>
  <c r="C192" i="10"/>
  <c r="C147" i="10"/>
  <c r="C119" i="10"/>
  <c r="C115" i="10"/>
  <c r="C285" i="10"/>
  <c r="C34" i="10"/>
  <c r="C44" i="10"/>
  <c r="C91" i="10"/>
  <c r="C224" i="10"/>
  <c r="C125" i="10"/>
  <c r="C220" i="10"/>
  <c r="C237" i="10"/>
  <c r="C242" i="10"/>
  <c r="C235" i="10"/>
  <c r="C214" i="10"/>
  <c r="C206" i="10"/>
  <c r="C186" i="10"/>
  <c r="C239" i="10"/>
  <c r="C190" i="10"/>
  <c r="C164" i="10"/>
  <c r="C36" i="10"/>
  <c r="C16" i="10"/>
  <c r="C22" i="10"/>
  <c r="C26" i="10"/>
  <c r="C113" i="10"/>
  <c r="C168" i="10"/>
  <c r="C194" i="10"/>
  <c r="C210" i="10"/>
  <c r="C226" i="10"/>
  <c r="C52" i="10"/>
  <c r="C104" i="10"/>
  <c r="C121" i="10"/>
  <c r="C152" i="10"/>
  <c r="C162" i="10"/>
  <c r="C166" i="10"/>
  <c r="C170" i="10"/>
  <c r="C188" i="10"/>
  <c r="C204" i="10"/>
  <c r="C208" i="10"/>
  <c r="C231" i="10"/>
  <c r="C261" i="10"/>
  <c r="C281" i="10"/>
  <c r="C287" i="10"/>
  <c r="C264" i="10"/>
  <c r="C289" i="10"/>
  <c r="C293" i="10"/>
  <c r="C271" i="10"/>
  <c r="C253" i="10"/>
  <c r="C179" i="10"/>
  <c r="C10" i="10"/>
  <c r="E14" i="10"/>
  <c r="C71" i="10"/>
  <c r="C87" i="10"/>
  <c r="C129" i="10"/>
  <c r="C135" i="10"/>
  <c r="C183" i="10"/>
  <c r="C250" i="10"/>
  <c r="C255" i="10"/>
  <c r="C257" i="10"/>
  <c r="C259" i="10"/>
  <c r="C267" i="10"/>
  <c r="C269" i="10"/>
  <c r="C273" i="10"/>
  <c r="C275" i="10"/>
  <c r="C277" i="10"/>
  <c r="C81" i="10"/>
  <c r="H73" i="10"/>
  <c r="D291" i="10"/>
  <c r="F129" i="10"/>
  <c r="C98" i="10"/>
  <c r="F12" i="10"/>
  <c r="D19" i="10"/>
  <c r="C111" i="10"/>
  <c r="C181" i="10"/>
  <c r="H14" i="10"/>
  <c r="D77" i="10"/>
  <c r="F79" i="10"/>
  <c r="F83" i="10"/>
  <c r="D178" i="10"/>
  <c r="C178" i="10"/>
  <c r="C9" i="10"/>
  <c r="D9" i="10"/>
  <c r="F283" i="10"/>
  <c r="F275" i="10"/>
  <c r="F253" i="10"/>
  <c r="F234" i="10"/>
  <c r="F217" i="10"/>
  <c r="F205" i="10"/>
  <c r="F193" i="10"/>
  <c r="F180" i="10"/>
  <c r="F167" i="10"/>
  <c r="F143" i="10"/>
  <c r="F130" i="10"/>
  <c r="F122" i="10"/>
  <c r="F116" i="10"/>
  <c r="F105" i="10"/>
  <c r="F101" i="10"/>
  <c r="F92" i="10"/>
  <c r="F84" i="10"/>
  <c r="F80" i="10"/>
  <c r="F72" i="10"/>
  <c r="F57" i="10"/>
  <c r="F49" i="10"/>
  <c r="F35" i="10"/>
  <c r="F264" i="10"/>
  <c r="C31" i="10"/>
  <c r="C55" i="10"/>
  <c r="C78" i="10"/>
  <c r="F5" i="10"/>
  <c r="F9" i="10"/>
  <c r="D11" i="10"/>
  <c r="F59" i="10"/>
  <c r="D88" i="10"/>
  <c r="F90" i="10"/>
  <c r="D122" i="10"/>
  <c r="F153" i="10"/>
  <c r="D127" i="10"/>
  <c r="C127" i="10"/>
  <c r="D106" i="10"/>
  <c r="C106" i="10"/>
  <c r="D93" i="10"/>
  <c r="C93" i="10"/>
  <c r="C58" i="10"/>
  <c r="D58" i="10"/>
  <c r="C12" i="10"/>
  <c r="D12" i="10"/>
  <c r="F294" i="10"/>
  <c r="F290" i="10"/>
  <c r="F286" i="10"/>
  <c r="F282" i="10"/>
  <c r="F278" i="10"/>
  <c r="F274" i="10"/>
  <c r="F270" i="10"/>
  <c r="F266" i="10"/>
  <c r="F262" i="10"/>
  <c r="F258" i="10"/>
  <c r="F254" i="10"/>
  <c r="F252" i="10"/>
  <c r="F249" i="10"/>
  <c r="F245" i="10"/>
  <c r="F237" i="10"/>
  <c r="F231" i="10"/>
  <c r="F224" i="10"/>
  <c r="F220" i="10"/>
  <c r="F216" i="10"/>
  <c r="F212" i="10"/>
  <c r="F208" i="10"/>
  <c r="F204" i="10"/>
  <c r="F200" i="10"/>
  <c r="F196" i="10"/>
  <c r="F192" i="10"/>
  <c r="F188" i="10"/>
  <c r="F183" i="10"/>
  <c r="F179" i="10"/>
  <c r="F175" i="10"/>
  <c r="F170" i="10"/>
  <c r="F166" i="10"/>
  <c r="F162" i="10"/>
  <c r="F158" i="10"/>
  <c r="F152" i="10"/>
  <c r="F147" i="10"/>
  <c r="F142" i="10"/>
  <c r="F135" i="10"/>
  <c r="F125" i="10"/>
  <c r="F121" i="10"/>
  <c r="F119" i="10"/>
  <c r="F115" i="10"/>
  <c r="F108" i="10"/>
  <c r="F104" i="10"/>
  <c r="F100" i="10"/>
  <c r="F95" i="10"/>
  <c r="F91" i="10"/>
  <c r="F87" i="10"/>
  <c r="F60" i="10"/>
  <c r="F56" i="10"/>
  <c r="F52" i="10"/>
  <c r="F39" i="10"/>
  <c r="F19" i="10"/>
  <c r="F241" i="10"/>
  <c r="F14" i="10"/>
  <c r="F10" i="10"/>
  <c r="J227" i="10"/>
  <c r="L227" i="10"/>
  <c r="N251" i="10"/>
  <c r="N29" i="10"/>
  <c r="J154" i="10"/>
  <c r="C42" i="10"/>
  <c r="C66" i="10"/>
  <c r="C187" i="10"/>
  <c r="C101" i="10"/>
  <c r="C120" i="10"/>
  <c r="D7" i="10"/>
  <c r="F16" i="10"/>
  <c r="F24" i="10"/>
  <c r="D27" i="10"/>
  <c r="D34" i="10"/>
  <c r="F44" i="10"/>
  <c r="F71" i="10"/>
  <c r="J113" i="10"/>
  <c r="D119" i="10"/>
  <c r="D99" i="10"/>
  <c r="C99" i="10"/>
  <c r="D90" i="10"/>
  <c r="C90" i="10"/>
  <c r="F287" i="10"/>
  <c r="F279" i="10"/>
  <c r="F267" i="10"/>
  <c r="F259" i="10"/>
  <c r="F246" i="10"/>
  <c r="F228" i="10"/>
  <c r="F209" i="10"/>
  <c r="F197" i="10"/>
  <c r="F184" i="10"/>
  <c r="F163" i="10"/>
  <c r="H227" i="10"/>
  <c r="D72" i="10"/>
  <c r="C72" i="10"/>
  <c r="F289" i="10"/>
  <c r="F281" i="10"/>
  <c r="F273" i="10"/>
  <c r="F265" i="10"/>
  <c r="F257" i="10"/>
  <c r="F244" i="10"/>
  <c r="F230" i="10"/>
  <c r="F219" i="10"/>
  <c r="F215" i="10"/>
  <c r="F207" i="10"/>
  <c r="F195" i="10"/>
  <c r="F187" i="10"/>
  <c r="F178" i="10"/>
  <c r="F169" i="10"/>
  <c r="F161" i="10"/>
  <c r="F146" i="10"/>
  <c r="F23" i="10"/>
  <c r="H251" i="10"/>
  <c r="H29" i="10"/>
  <c r="N241" i="10"/>
  <c r="N14" i="10"/>
  <c r="F113" i="10"/>
  <c r="C24" i="10"/>
  <c r="C45" i="10"/>
  <c r="C70" i="10"/>
  <c r="C173" i="10"/>
  <c r="C189" i="10"/>
  <c r="C89" i="10"/>
  <c r="C102" i="10"/>
  <c r="F4" i="10"/>
  <c r="F13" i="10"/>
  <c r="D15" i="10"/>
  <c r="F36" i="10"/>
  <c r="F48" i="10"/>
  <c r="D53" i="10"/>
  <c r="F55" i="10"/>
  <c r="F98" i="10"/>
  <c r="D227" i="10"/>
  <c r="D182" i="10"/>
  <c r="C182" i="10"/>
  <c r="C86" i="10"/>
  <c r="D86" i="10"/>
  <c r="D37" i="10"/>
  <c r="C37" i="10"/>
  <c r="F291" i="10"/>
  <c r="F271" i="10"/>
  <c r="F263" i="10"/>
  <c r="F255" i="10"/>
  <c r="F250" i="10"/>
  <c r="F242" i="10"/>
  <c r="F225" i="10"/>
  <c r="F221" i="10"/>
  <c r="F213" i="10"/>
  <c r="F201" i="10"/>
  <c r="F189" i="10"/>
  <c r="F176" i="10"/>
  <c r="F171" i="10"/>
  <c r="F159" i="10"/>
  <c r="F148" i="10"/>
  <c r="F137" i="10"/>
  <c r="F126" i="10"/>
  <c r="F120" i="10"/>
  <c r="F96" i="10"/>
  <c r="F88" i="10"/>
  <c r="F76" i="10"/>
  <c r="F66" i="10"/>
  <c r="F53" i="10"/>
  <c r="F45" i="10"/>
  <c r="F41" i="10"/>
  <c r="F251" i="10"/>
  <c r="F29" i="10"/>
  <c r="F15" i="10"/>
  <c r="F11" i="10"/>
  <c r="D184" i="10"/>
  <c r="C184" i="10"/>
  <c r="D176" i="10"/>
  <c r="C176" i="10"/>
  <c r="D116" i="10"/>
  <c r="C116" i="10"/>
  <c r="D251" i="10"/>
  <c r="D29" i="10"/>
  <c r="F293" i="10"/>
  <c r="F285" i="10"/>
  <c r="F277" i="10"/>
  <c r="F269" i="10"/>
  <c r="F261" i="10"/>
  <c r="F248" i="10"/>
  <c r="F240" i="10"/>
  <c r="F236" i="10"/>
  <c r="F227" i="10"/>
  <c r="F223" i="10"/>
  <c r="F203" i="10"/>
  <c r="F199" i="10"/>
  <c r="F191" i="10"/>
  <c r="F182" i="10"/>
  <c r="F174" i="10"/>
  <c r="F165" i="10"/>
  <c r="F157" i="10"/>
  <c r="F150" i="10"/>
  <c r="F141" i="10"/>
  <c r="F133" i="10"/>
  <c r="F128" i="10"/>
  <c r="F123" i="10"/>
  <c r="F118" i="10"/>
  <c r="F114" i="10"/>
  <c r="F107" i="10"/>
  <c r="F103" i="10"/>
  <c r="F99" i="10"/>
  <c r="F94" i="10"/>
  <c r="F86" i="10"/>
  <c r="F82" i="10"/>
  <c r="F78" i="10"/>
  <c r="F74" i="10"/>
  <c r="F70" i="10"/>
  <c r="F47" i="10"/>
  <c r="F37" i="10"/>
  <c r="F31" i="10"/>
  <c r="F27" i="10"/>
  <c r="C4" i="10"/>
  <c r="D4" i="10"/>
  <c r="D158" i="10"/>
  <c r="C158" i="10"/>
  <c r="D108" i="10"/>
  <c r="C108" i="10"/>
  <c r="D100" i="10"/>
  <c r="C100" i="10"/>
  <c r="C79" i="10"/>
  <c r="D79" i="10"/>
  <c r="C75" i="10"/>
  <c r="D75" i="10"/>
  <c r="D56" i="10"/>
  <c r="C56" i="10"/>
  <c r="D48" i="10"/>
  <c r="C48" i="10"/>
  <c r="C39" i="10"/>
  <c r="D39" i="10"/>
  <c r="C28" i="10"/>
  <c r="D28" i="10"/>
  <c r="D241" i="10"/>
  <c r="F292" i="10"/>
  <c r="F288" i="10"/>
  <c r="F284" i="10"/>
  <c r="F280" i="10"/>
  <c r="F276" i="10"/>
  <c r="F272" i="10"/>
  <c r="F268" i="10"/>
  <c r="F256" i="10"/>
  <c r="F247" i="10"/>
  <c r="F243" i="10"/>
  <c r="F239" i="10"/>
  <c r="F235" i="10"/>
  <c r="F229" i="10"/>
  <c r="F226" i="10"/>
  <c r="F222" i="10"/>
  <c r="F218" i="10"/>
  <c r="F214" i="10"/>
  <c r="F210" i="10"/>
  <c r="F206" i="10"/>
  <c r="F202" i="10"/>
  <c r="F198" i="10"/>
  <c r="F194" i="10"/>
  <c r="F190" i="10"/>
  <c r="F186" i="10"/>
  <c r="F181" i="10"/>
  <c r="F177" i="10"/>
  <c r="F173" i="10"/>
  <c r="F168" i="10"/>
  <c r="F164" i="10"/>
  <c r="F155" i="10"/>
  <c r="F149" i="10"/>
  <c r="F144" i="10"/>
  <c r="F140" i="10"/>
  <c r="F132" i="10"/>
  <c r="F127" i="10"/>
  <c r="F117" i="10"/>
  <c r="F111" i="10"/>
  <c r="F106" i="10"/>
  <c r="F102" i="10"/>
  <c r="F93" i="10"/>
  <c r="F89" i="10"/>
  <c r="F85" i="10"/>
  <c r="F81" i="10"/>
  <c r="F77" i="10"/>
  <c r="F73" i="10"/>
  <c r="F58" i="10"/>
  <c r="F54" i="10"/>
  <c r="F50" i="10"/>
  <c r="F46" i="10"/>
  <c r="F42" i="10"/>
  <c r="F30" i="10"/>
  <c r="F26" i="10"/>
  <c r="F22" i="10"/>
  <c r="F7" i="10"/>
  <c r="J251" i="10"/>
  <c r="J29" i="10"/>
  <c r="J241" i="10"/>
  <c r="J14" i="10"/>
  <c r="L251" i="10"/>
  <c r="L29" i="10"/>
  <c r="N227" i="10"/>
  <c r="F154" i="10"/>
  <c r="J124" i="10"/>
  <c r="C54" i="10"/>
  <c r="C180" i="10"/>
  <c r="C80" i="10"/>
  <c r="C95" i="10"/>
  <c r="C109" i="10"/>
  <c r="D10" i="10"/>
  <c r="L14" i="10"/>
  <c r="F17" i="10"/>
  <c r="F20" i="10"/>
  <c r="F25" i="10"/>
  <c r="F28" i="10"/>
  <c r="F67" i="10"/>
  <c r="F75" i="10"/>
  <c r="F109" i="10"/>
  <c r="F124" i="10"/>
  <c r="AD31" i="12" l="1"/>
  <c r="AD69" i="14"/>
  <c r="AD78" i="12"/>
  <c r="AD46" i="14"/>
  <c r="AC183" i="14"/>
  <c r="AE183" i="14"/>
  <c r="AD180" i="12"/>
  <c r="AC180" i="12" s="1"/>
  <c r="AD160" i="14"/>
  <c r="AD191" i="12"/>
  <c r="AD134" i="14"/>
  <c r="AD50" i="12"/>
  <c r="AC50" i="12" s="1"/>
  <c r="AD240" i="14"/>
  <c r="AD135" i="12"/>
  <c r="AD135" i="14"/>
  <c r="AD137" i="12"/>
  <c r="AC137" i="12" s="1"/>
  <c r="AD137" i="14"/>
  <c r="AD167" i="12"/>
  <c r="AD194" i="14"/>
  <c r="AD181" i="12"/>
  <c r="AC181" i="12" s="1"/>
  <c r="AD151" i="14"/>
  <c r="AD11" i="12"/>
  <c r="AD18" i="14"/>
  <c r="AD20" i="12"/>
  <c r="AC20" i="12" s="1"/>
  <c r="AD6" i="14"/>
  <c r="AD316" i="14"/>
  <c r="AD5" i="12"/>
  <c r="AC5" i="12" s="1"/>
  <c r="AD83" i="12"/>
  <c r="AC83" i="12" s="1"/>
  <c r="AD62" i="14"/>
  <c r="AD6" i="12"/>
  <c r="AD277" i="14"/>
  <c r="AD129" i="12"/>
  <c r="AC129" i="12" s="1"/>
  <c r="AD105" i="14"/>
  <c r="AD98" i="12"/>
  <c r="AD225" i="14"/>
  <c r="AD306" i="12"/>
  <c r="AD306" i="14"/>
  <c r="AD58" i="12"/>
  <c r="AC58" i="12" s="1"/>
  <c r="AD175" i="14"/>
  <c r="AD221" i="12"/>
  <c r="AC221" i="12" s="1"/>
  <c r="AD97" i="14"/>
  <c r="AD225" i="12"/>
  <c r="AD212" i="14"/>
  <c r="AD217" i="12"/>
  <c r="AC217" i="12" s="1"/>
  <c r="AD110" i="14"/>
  <c r="AD279" i="12"/>
  <c r="AD251" i="14"/>
  <c r="AD200" i="12"/>
  <c r="AC200" i="12" s="1"/>
  <c r="AD241" i="14"/>
  <c r="AD4" i="12"/>
  <c r="AC4" i="12" s="1"/>
  <c r="AD279" i="14"/>
  <c r="AD73" i="12"/>
  <c r="AD227" i="14"/>
  <c r="AD321" i="12"/>
  <c r="AD321" i="14"/>
  <c r="AD69" i="12"/>
  <c r="AC69" i="12" s="1"/>
  <c r="AD176" i="14"/>
  <c r="AD85" i="12"/>
  <c r="AD159" i="14"/>
  <c r="AD23" i="12"/>
  <c r="AC23" i="12" s="1"/>
  <c r="AD44" i="14"/>
  <c r="AD34" i="12"/>
  <c r="AD91" i="14"/>
  <c r="AD39" i="12"/>
  <c r="AC39" i="12" s="1"/>
  <c r="AD204" i="14"/>
  <c r="AD139" i="12"/>
  <c r="AD229" i="14"/>
  <c r="AD94" i="12"/>
  <c r="AC94" i="12" s="1"/>
  <c r="AD94" i="14"/>
  <c r="AD233" i="12"/>
  <c r="AD125" i="14"/>
  <c r="AD82" i="12"/>
  <c r="AC82" i="12" s="1"/>
  <c r="AD82" i="14"/>
  <c r="AD218" i="12"/>
  <c r="AD214" i="14"/>
  <c r="AD213" i="12"/>
  <c r="AD211" i="14"/>
  <c r="AD29" i="12"/>
  <c r="AD67" i="14"/>
  <c r="AD237" i="12"/>
  <c r="AC237" i="12" s="1"/>
  <c r="AD237" i="14"/>
  <c r="AD63" i="12"/>
  <c r="AD41" i="14"/>
  <c r="AD25" i="12"/>
  <c r="AC25" i="12" s="1"/>
  <c r="AD25" i="14"/>
  <c r="AD124" i="12"/>
  <c r="AC124" i="12" s="1"/>
  <c r="AD124" i="14"/>
  <c r="AD12" i="12"/>
  <c r="AD26" i="14"/>
  <c r="AD165" i="12"/>
  <c r="AD197" i="14"/>
  <c r="AD125" i="12"/>
  <c r="AC125" i="12" s="1"/>
  <c r="AD148" i="14"/>
  <c r="AD14" i="12"/>
  <c r="AD14" i="14"/>
  <c r="AD48" i="12"/>
  <c r="AC48" i="12" s="1"/>
  <c r="AD53" i="14"/>
  <c r="AD254" i="12"/>
  <c r="AC254" i="12" s="1"/>
  <c r="AD254" i="14"/>
  <c r="AD28" i="12"/>
  <c r="AD24" i="14"/>
  <c r="AD242" i="12"/>
  <c r="AD235" i="14"/>
  <c r="AD140" i="12"/>
  <c r="AC140" i="12" s="1"/>
  <c r="AD169" i="14"/>
  <c r="AD177" i="12"/>
  <c r="AD121" i="14"/>
  <c r="AD244" i="12"/>
  <c r="AC244" i="12" s="1"/>
  <c r="AD238" i="14"/>
  <c r="AD35" i="12"/>
  <c r="AC35" i="12" s="1"/>
  <c r="AD65" i="14"/>
  <c r="AD190" i="12"/>
  <c r="AC190" i="12" s="1"/>
  <c r="AD233" i="14"/>
  <c r="AD47" i="12"/>
  <c r="AD133" i="14"/>
  <c r="AD128" i="12"/>
  <c r="AD101" i="14"/>
  <c r="AD192" i="12"/>
  <c r="AD223" i="14"/>
  <c r="AD43" i="12"/>
  <c r="AC43" i="12" s="1"/>
  <c r="AD112" i="14"/>
  <c r="AD10" i="12"/>
  <c r="AC10" i="12" s="1"/>
  <c r="AD12" i="14"/>
  <c r="AD240" i="12"/>
  <c r="AC240" i="12" s="1"/>
  <c r="AD22" i="14"/>
  <c r="AD164" i="12"/>
  <c r="AD51" i="14"/>
  <c r="AD214" i="12"/>
  <c r="AC214" i="12" s="1"/>
  <c r="AD224" i="14"/>
  <c r="AD104" i="12"/>
  <c r="AD232" i="14"/>
  <c r="AD141" i="12"/>
  <c r="AC141" i="12" s="1"/>
  <c r="AD141" i="14"/>
  <c r="AD230" i="12"/>
  <c r="AC230" i="12" s="1"/>
  <c r="AD186" i="14"/>
  <c r="AD79" i="12"/>
  <c r="AD102" i="14"/>
  <c r="AD312" i="14"/>
  <c r="AD312" i="12"/>
  <c r="AC312" i="12" s="1"/>
  <c r="AD170" i="12"/>
  <c r="AC170" i="12" s="1"/>
  <c r="AD86" i="14"/>
  <c r="AD67" i="12"/>
  <c r="AD243" i="14"/>
  <c r="AD162" i="12"/>
  <c r="AD50" i="14"/>
  <c r="AD145" i="12"/>
  <c r="AC145" i="12" s="1"/>
  <c r="AD11" i="14"/>
  <c r="AD322" i="12"/>
  <c r="AC322" i="12" s="1"/>
  <c r="AD322" i="14"/>
  <c r="AD208" i="12"/>
  <c r="AD127" i="14"/>
  <c r="AD17" i="12"/>
  <c r="AC17" i="12" s="1"/>
  <c r="AD206" i="14"/>
  <c r="AD316" i="12"/>
  <c r="AD252" i="14"/>
  <c r="AD15" i="12"/>
  <c r="AC15" i="12" s="1"/>
  <c r="AD15" i="14"/>
  <c r="AD205" i="12"/>
  <c r="AC205" i="12" s="1"/>
  <c r="AD193" i="14"/>
  <c r="AD92" i="12"/>
  <c r="AC92" i="12" s="1"/>
  <c r="AD167" i="14"/>
  <c r="AD151" i="12"/>
  <c r="AD217" i="14"/>
  <c r="AD157" i="12"/>
  <c r="AC157" i="12" s="1"/>
  <c r="AD234" i="14"/>
  <c r="AD239" i="12"/>
  <c r="AD189" i="14"/>
  <c r="AD154" i="12"/>
  <c r="AC154" i="12" s="1"/>
  <c r="AD216" i="14"/>
  <c r="AD185" i="12"/>
  <c r="AC185" i="12" s="1"/>
  <c r="AD185" i="14"/>
  <c r="AD245" i="12"/>
  <c r="AC245" i="12" s="1"/>
  <c r="AD113" i="14"/>
  <c r="AD203" i="12"/>
  <c r="AD195" i="14"/>
  <c r="AD93" i="12"/>
  <c r="AC93" i="12" s="1"/>
  <c r="AD55" i="14"/>
  <c r="AD198" i="12"/>
  <c r="AD198" i="14"/>
  <c r="AD115" i="12"/>
  <c r="AD154" i="14"/>
  <c r="AD19" i="12"/>
  <c r="AD244" i="14"/>
  <c r="AD207" i="12"/>
  <c r="AC207" i="12" s="1"/>
  <c r="AD21" i="14"/>
  <c r="AD136" i="12"/>
  <c r="AD164" i="14"/>
  <c r="AD216" i="12"/>
  <c r="AD120" i="14"/>
  <c r="AD204" i="12"/>
  <c r="AD89" i="14"/>
  <c r="AD229" i="12"/>
  <c r="AC229" i="12" s="1"/>
  <c r="AD221" i="14"/>
  <c r="AD27" i="12"/>
  <c r="AC27" i="12" s="1"/>
  <c r="AD27" i="14"/>
  <c r="AD16" i="12"/>
  <c r="AD48" i="14"/>
  <c r="AD75" i="12"/>
  <c r="AD32" i="14"/>
  <c r="AD179" i="14"/>
  <c r="AD179" i="12"/>
  <c r="AC179" i="12" s="1"/>
  <c r="AD189" i="12"/>
  <c r="AD108" i="14"/>
  <c r="AD9" i="12"/>
  <c r="AC9" i="12" s="1"/>
  <c r="AD10" i="14"/>
  <c r="AD123" i="12"/>
  <c r="AD210" i="14"/>
  <c r="AD120" i="12"/>
  <c r="AC120" i="12" s="1"/>
  <c r="AD80" i="14"/>
  <c r="AD106" i="12"/>
  <c r="AC106" i="12" s="1"/>
  <c r="AD181" i="14"/>
  <c r="AD319" i="12"/>
  <c r="AE319" i="12" s="1"/>
  <c r="AD319" i="14"/>
  <c r="AD126" i="12"/>
  <c r="AD123" i="14"/>
  <c r="AD65" i="12"/>
  <c r="AC65" i="12" s="1"/>
  <c r="AD33" i="14"/>
  <c r="AD111" i="12"/>
  <c r="AC111" i="12" s="1"/>
  <c r="AD74" i="14"/>
  <c r="AD105" i="12"/>
  <c r="AD158" i="14"/>
  <c r="AD80" i="12"/>
  <c r="AD87" i="14"/>
  <c r="AD22" i="12"/>
  <c r="AC22" i="12" s="1"/>
  <c r="AD17" i="14"/>
  <c r="AD251" i="12"/>
  <c r="AD20" i="14"/>
  <c r="AD178" i="12"/>
  <c r="AC178" i="12" s="1"/>
  <c r="AD77" i="14"/>
  <c r="AD7" i="12"/>
  <c r="AE7" i="12" s="1"/>
  <c r="AD276" i="14"/>
  <c r="AD42" i="12"/>
  <c r="AC42" i="12" s="1"/>
  <c r="AD29" i="14"/>
  <c r="AD294" i="12"/>
  <c r="AC294" i="12" s="1"/>
  <c r="AD294" i="14"/>
  <c r="AD169" i="12"/>
  <c r="AC169" i="12" s="1"/>
  <c r="AD38" i="14"/>
  <c r="AD160" i="12"/>
  <c r="AD52" i="14"/>
  <c r="AD277" i="12"/>
  <c r="AC277" i="12" s="1"/>
  <c r="AD248" i="14"/>
  <c r="AD249" i="12"/>
  <c r="AD249" i="14"/>
  <c r="AD209" i="12"/>
  <c r="AD68" i="14"/>
  <c r="AD59" i="12"/>
  <c r="AD59" i="14"/>
  <c r="AD60" i="12"/>
  <c r="AC60" i="12" s="1"/>
  <c r="AD60" i="14"/>
  <c r="AD195" i="12"/>
  <c r="AC195" i="12" s="1"/>
  <c r="AD78" i="14"/>
  <c r="AD100" i="12"/>
  <c r="AC100" i="12" s="1"/>
  <c r="AD111" i="14"/>
  <c r="AD276" i="12"/>
  <c r="AC276" i="12" s="1"/>
  <c r="AD40" i="14"/>
  <c r="AD61" i="12"/>
  <c r="AD61" i="14"/>
  <c r="AD130" i="12"/>
  <c r="AC130" i="12" s="1"/>
  <c r="AD187" i="14"/>
  <c r="AD113" i="12"/>
  <c r="AC113" i="12" s="1"/>
  <c r="AD162" i="14"/>
  <c r="AD187" i="12"/>
  <c r="AC187" i="12" s="1"/>
  <c r="AD150" i="14"/>
  <c r="AD152" i="12"/>
  <c r="AD85" i="14"/>
  <c r="AD197" i="12"/>
  <c r="AC197" i="12" s="1"/>
  <c r="AD157" i="14"/>
  <c r="AD55" i="12"/>
  <c r="AC55" i="12" s="1"/>
  <c r="AD230" i="14"/>
  <c r="AD232" i="12"/>
  <c r="AD208" i="14"/>
  <c r="AD201" i="12"/>
  <c r="AC201" i="12" s="1"/>
  <c r="AD228" i="14"/>
  <c r="AD161" i="12"/>
  <c r="AD131" i="14"/>
  <c r="AD155" i="12"/>
  <c r="AC155" i="12" s="1"/>
  <c r="AD161" i="14"/>
  <c r="AD102" i="12"/>
  <c r="AC102" i="12" s="1"/>
  <c r="AD43" i="14"/>
  <c r="AD228" i="12"/>
  <c r="AD218" i="14"/>
  <c r="AD13" i="12"/>
  <c r="AD31" i="14"/>
  <c r="AD76" i="12"/>
  <c r="AC76" i="12" s="1"/>
  <c r="AD107" i="14"/>
  <c r="AD138" i="12"/>
  <c r="AD138" i="14"/>
  <c r="AD194" i="12"/>
  <c r="AC194" i="12" s="1"/>
  <c r="AD220" i="14"/>
  <c r="AD234" i="12"/>
  <c r="AC234" i="12" s="1"/>
  <c r="AD170" i="14"/>
  <c r="AD202" i="12"/>
  <c r="AC202" i="12" s="1"/>
  <c r="AD49" i="14"/>
  <c r="AD71" i="12"/>
  <c r="AD64" i="14"/>
  <c r="AD133" i="12"/>
  <c r="AC133" i="12" s="1"/>
  <c r="AD165" i="14"/>
  <c r="AD56" i="12"/>
  <c r="AD79" i="14"/>
  <c r="AD51" i="12"/>
  <c r="AC51" i="12" s="1"/>
  <c r="AD30" i="14"/>
  <c r="AD236" i="12"/>
  <c r="AC236" i="12" s="1"/>
  <c r="AD23" i="14"/>
  <c r="AD26" i="12"/>
  <c r="AC26" i="12" s="1"/>
  <c r="AD16" i="14"/>
  <c r="AD171" i="12"/>
  <c r="AC171" i="12" s="1"/>
  <c r="AD109" i="14"/>
  <c r="AD62" i="12"/>
  <c r="AC62" i="12" s="1"/>
  <c r="AD36" i="14"/>
  <c r="AD168" i="12"/>
  <c r="AC168" i="12" s="1"/>
  <c r="AD96" i="14"/>
  <c r="AD81" i="12"/>
  <c r="AC81" i="12" s="1"/>
  <c r="AD116" i="14"/>
  <c r="AD173" i="12"/>
  <c r="AC173" i="12" s="1"/>
  <c r="AD19" i="14"/>
  <c r="AD88" i="12"/>
  <c r="AC88" i="12" s="1"/>
  <c r="AD173" i="14"/>
  <c r="AD227" i="12"/>
  <c r="AC227" i="12" s="1"/>
  <c r="AD56" i="14"/>
  <c r="AD57" i="12"/>
  <c r="AC57" i="12" s="1"/>
  <c r="AD215" i="14"/>
  <c r="AD149" i="12"/>
  <c r="AC149" i="12" s="1"/>
  <c r="AD155" i="14"/>
  <c r="AD131" i="12"/>
  <c r="AC131" i="12" s="1"/>
  <c r="AD182" i="14"/>
  <c r="AD231" i="12"/>
  <c r="AC231" i="12" s="1"/>
  <c r="AD205" i="14"/>
  <c r="AD95" i="12"/>
  <c r="AC95" i="12" s="1"/>
  <c r="AD144" i="14"/>
  <c r="AD211" i="12"/>
  <c r="AC211" i="12" s="1"/>
  <c r="AD7" i="14"/>
  <c r="AD97" i="12"/>
  <c r="AC97" i="12" s="1"/>
  <c r="AD8" i="14"/>
  <c r="AD30" i="12"/>
  <c r="AD42" i="14"/>
  <c r="AD24" i="12"/>
  <c r="AC24" i="12" s="1"/>
  <c r="AD39" i="14"/>
  <c r="AD117" i="12"/>
  <c r="AC117" i="12" s="1"/>
  <c r="AD104" i="14"/>
  <c r="AD45" i="12"/>
  <c r="AC45" i="12" s="1"/>
  <c r="AD100" i="14"/>
  <c r="AD103" i="12"/>
  <c r="AC103" i="12" s="1"/>
  <c r="AD147" i="14"/>
  <c r="AD142" i="12"/>
  <c r="AC142" i="12" s="1"/>
  <c r="AD207" i="14"/>
  <c r="AD41" i="12"/>
  <c r="AC41" i="12" s="1"/>
  <c r="AD81" i="14"/>
  <c r="AD158" i="12"/>
  <c r="AC158" i="12" s="1"/>
  <c r="AD139" i="14"/>
  <c r="AD70" i="12"/>
  <c r="AC70" i="12" s="1"/>
  <c r="AD35" i="14"/>
  <c r="AD112" i="12"/>
  <c r="AC112" i="12" s="1"/>
  <c r="AD129" i="14"/>
  <c r="AD184" i="12"/>
  <c r="AC184" i="12" s="1"/>
  <c r="AD103" i="14"/>
  <c r="AD156" i="12"/>
  <c r="AC156" i="12" s="1"/>
  <c r="AD70" i="14"/>
  <c r="AD86" i="12"/>
  <c r="AC86" i="12" s="1"/>
  <c r="AD153" i="14"/>
  <c r="AD99" i="12"/>
  <c r="AC99" i="12" s="1"/>
  <c r="AD219" i="14"/>
  <c r="AD53" i="12"/>
  <c r="AC53" i="12" s="1"/>
  <c r="AD152" i="14"/>
  <c r="AD109" i="12"/>
  <c r="AC109" i="12" s="1"/>
  <c r="AD163" i="14"/>
  <c r="AD122" i="12"/>
  <c r="AC122" i="12" s="1"/>
  <c r="AD191" i="14"/>
  <c r="AD144" i="12"/>
  <c r="AC144" i="12" s="1"/>
  <c r="AD88" i="14"/>
  <c r="AD54" i="12"/>
  <c r="AC54" i="12" s="1"/>
  <c r="AD93" i="14"/>
  <c r="AC143" i="14"/>
  <c r="AE143" i="14"/>
  <c r="AD150" i="12"/>
  <c r="AC150" i="12" s="1"/>
  <c r="AD136" i="14"/>
  <c r="AD166" i="12"/>
  <c r="AC166" i="12" s="1"/>
  <c r="AD202" i="14"/>
  <c r="AD116" i="12"/>
  <c r="AC116" i="12" s="1"/>
  <c r="AD156" i="14"/>
  <c r="AD243" i="12"/>
  <c r="AC243" i="12" s="1"/>
  <c r="AD142" i="14"/>
  <c r="AD18" i="12"/>
  <c r="AC18" i="12" s="1"/>
  <c r="AD245" i="14"/>
  <c r="AD212" i="12"/>
  <c r="AC212" i="12" s="1"/>
  <c r="AD128" i="14"/>
  <c r="AD206" i="12"/>
  <c r="AC206" i="12" s="1"/>
  <c r="AD171" i="14"/>
  <c r="AD210" i="12"/>
  <c r="AC210" i="12" s="1"/>
  <c r="AD190" i="14"/>
  <c r="AD118" i="12"/>
  <c r="AC118" i="12" s="1"/>
  <c r="AD117" i="14"/>
  <c r="AD68" i="12"/>
  <c r="AC68" i="12" s="1"/>
  <c r="AD106" i="14"/>
  <c r="AD127" i="12"/>
  <c r="AC127" i="12" s="1"/>
  <c r="AD201" i="14"/>
  <c r="AD38" i="12"/>
  <c r="AC38" i="12" s="1"/>
  <c r="AD72" i="14"/>
  <c r="AD91" i="12"/>
  <c r="AC91" i="12" s="1"/>
  <c r="AD146" i="14"/>
  <c r="AD36" i="12"/>
  <c r="AC36" i="12" s="1"/>
  <c r="AD95" i="14"/>
  <c r="AD64" i="12"/>
  <c r="AC64" i="12" s="1"/>
  <c r="AD57" i="14"/>
  <c r="AD37" i="12"/>
  <c r="AC37" i="12" s="1"/>
  <c r="AD118" i="14"/>
  <c r="AD108" i="12"/>
  <c r="AC108" i="12" s="1"/>
  <c r="AD122" i="14"/>
  <c r="AD8" i="12"/>
  <c r="AC8" i="12" s="1"/>
  <c r="AD5" i="14"/>
  <c r="AD174" i="12"/>
  <c r="AC174" i="12" s="1"/>
  <c r="AD192" i="14"/>
  <c r="AD147" i="12"/>
  <c r="AC147" i="12" s="1"/>
  <c r="AD4" i="14"/>
  <c r="AD40" i="12"/>
  <c r="AC40" i="12" s="1"/>
  <c r="AD242" i="14"/>
  <c r="AD44" i="12"/>
  <c r="AC44" i="12" s="1"/>
  <c r="AD28" i="14"/>
  <c r="AD101" i="12"/>
  <c r="AC101" i="12" s="1"/>
  <c r="AD90" i="14"/>
  <c r="AD110" i="12"/>
  <c r="AC110" i="12" s="1"/>
  <c r="AD209" i="14"/>
  <c r="AD134" i="12"/>
  <c r="AC134" i="12" s="1"/>
  <c r="AD184" i="14"/>
  <c r="AD32" i="12"/>
  <c r="AC32" i="12" s="1"/>
  <c r="AD76" i="14"/>
  <c r="AD172" i="12"/>
  <c r="AC172" i="12" s="1"/>
  <c r="AD145" i="14"/>
  <c r="AD72" i="12"/>
  <c r="AC72" i="12" s="1"/>
  <c r="AD98" i="14"/>
  <c r="AD148" i="12"/>
  <c r="AC148" i="12" s="1"/>
  <c r="AD140" i="14"/>
  <c r="AD219" i="12"/>
  <c r="AC219" i="12" s="1"/>
  <c r="AD92" i="14"/>
  <c r="AD89" i="12"/>
  <c r="AC89" i="12" s="1"/>
  <c r="AD45" i="14"/>
  <c r="AD121" i="12"/>
  <c r="AC121" i="12" s="1"/>
  <c r="AD200" i="14"/>
  <c r="AD49" i="12"/>
  <c r="AC49" i="12" s="1"/>
  <c r="AD71" i="14"/>
  <c r="AD119" i="12"/>
  <c r="AC119" i="12" s="1"/>
  <c r="AD222" i="14"/>
  <c r="AD196" i="12"/>
  <c r="AC196" i="12" s="1"/>
  <c r="AD149" i="14"/>
  <c r="AD77" i="12"/>
  <c r="AC77" i="12" s="1"/>
  <c r="AD119" i="14"/>
  <c r="AD132" i="12"/>
  <c r="AC132" i="12" s="1"/>
  <c r="AD132" i="14"/>
  <c r="AD248" i="12"/>
  <c r="AC248" i="12" s="1"/>
  <c r="AD231" i="14"/>
  <c r="AD215" i="12"/>
  <c r="AC215" i="12" s="1"/>
  <c r="AD166" i="14"/>
  <c r="AD223" i="12"/>
  <c r="AC223" i="12" s="1"/>
  <c r="AD213" i="14"/>
  <c r="AD222" i="12"/>
  <c r="AC222" i="12" s="1"/>
  <c r="AD114" i="14"/>
  <c r="AD96" i="12"/>
  <c r="AC96" i="12" s="1"/>
  <c r="AD196" i="14"/>
  <c r="AD84" i="12"/>
  <c r="AC84" i="12" s="1"/>
  <c r="AD84" i="14"/>
  <c r="AD143" i="12"/>
  <c r="AC143" i="12" s="1"/>
  <c r="AD168" i="14"/>
  <c r="AD199" i="12"/>
  <c r="AC199" i="12" s="1"/>
  <c r="AD172" i="14"/>
  <c r="AD238" i="12"/>
  <c r="AC238" i="12" s="1"/>
  <c r="AD37" i="14"/>
  <c r="AD66" i="12"/>
  <c r="AC66" i="12" s="1"/>
  <c r="AD177" i="14"/>
  <c r="AD193" i="12"/>
  <c r="AC193" i="12" s="1"/>
  <c r="AD115" i="14"/>
  <c r="AD159" i="12"/>
  <c r="AC159" i="12" s="1"/>
  <c r="AD99" i="14"/>
  <c r="AD163" i="12"/>
  <c r="AC163" i="12" s="1"/>
  <c r="AD58" i="14"/>
  <c r="AD241" i="12"/>
  <c r="AC241" i="12" s="1"/>
  <c r="AD178" i="14"/>
  <c r="AD46" i="12"/>
  <c r="AC46" i="12" s="1"/>
  <c r="AD73" i="14"/>
  <c r="AD107" i="12"/>
  <c r="AC107" i="12" s="1"/>
  <c r="AD174" i="14"/>
  <c r="AD188" i="12"/>
  <c r="AC188" i="12" s="1"/>
  <c r="AD239" i="14"/>
  <c r="AD220" i="12"/>
  <c r="AC220" i="12" s="1"/>
  <c r="AD130" i="14"/>
  <c r="AD153" i="12"/>
  <c r="AC153" i="12" s="1"/>
  <c r="AD126" i="14"/>
  <c r="AD226" i="12"/>
  <c r="AC226" i="12" s="1"/>
  <c r="AD199" i="14"/>
  <c r="AD183" i="12"/>
  <c r="AC183" i="12" s="1"/>
  <c r="AD180" i="14"/>
  <c r="AD146" i="12"/>
  <c r="AC146" i="12" s="1"/>
  <c r="AD203" i="14"/>
  <c r="AC228" i="12"/>
  <c r="AC123" i="12"/>
  <c r="AC126" i="12"/>
  <c r="AC80" i="12"/>
  <c r="AC251" i="12"/>
  <c r="AC31" i="12"/>
  <c r="AC13" i="12"/>
  <c r="AC71" i="12"/>
  <c r="AC135" i="12"/>
  <c r="AC11" i="12"/>
  <c r="AC182" i="12"/>
  <c r="AC98" i="12"/>
  <c r="AC225" i="12"/>
  <c r="AE4" i="12"/>
  <c r="AC73" i="12"/>
  <c r="AC34" i="12"/>
  <c r="AC21" i="12"/>
  <c r="AC218" i="12"/>
  <c r="AC213" i="12"/>
  <c r="AC29" i="12"/>
  <c r="AC63" i="12"/>
  <c r="AC74" i="12"/>
  <c r="AC12" i="12"/>
  <c r="AC165" i="12"/>
  <c r="AC14" i="12"/>
  <c r="AC216" i="12"/>
  <c r="AC204" i="12"/>
  <c r="AC16" i="12"/>
  <c r="AC75" i="12"/>
  <c r="AC249" i="12"/>
  <c r="AC59" i="12"/>
  <c r="AC61" i="12"/>
  <c r="AC232" i="12"/>
  <c r="AC78" i="12"/>
  <c r="AC191" i="12"/>
  <c r="AC167" i="12"/>
  <c r="AE6" i="12"/>
  <c r="AC6" i="12"/>
  <c r="AC306" i="12"/>
  <c r="AC279" i="12"/>
  <c r="AE321" i="12"/>
  <c r="AC321" i="12"/>
  <c r="AC85" i="12"/>
  <c r="AC139" i="12"/>
  <c r="AC233" i="12"/>
  <c r="AC161" i="12"/>
  <c r="AC28" i="12"/>
  <c r="AC242" i="12"/>
  <c r="AC138" i="12"/>
  <c r="AC177" i="12"/>
  <c r="AC56" i="12"/>
  <c r="AC47" i="12"/>
  <c r="AC128" i="12"/>
  <c r="AC192" i="12"/>
  <c r="AC30" i="12"/>
  <c r="AC164" i="12"/>
  <c r="AC104" i="12"/>
  <c r="AC79" i="12"/>
  <c r="AC67" i="12"/>
  <c r="AC162" i="12"/>
  <c r="AE322" i="12"/>
  <c r="AC208" i="12"/>
  <c r="AC316" i="12"/>
  <c r="AC151" i="12"/>
  <c r="AC239" i="12"/>
  <c r="AC33" i="12"/>
  <c r="AC203" i="12"/>
  <c r="AC198" i="12"/>
  <c r="AC115" i="12"/>
  <c r="AC19" i="12"/>
  <c r="AC136" i="12"/>
  <c r="AC189" i="12"/>
  <c r="AC105" i="12"/>
  <c r="AC160" i="12"/>
  <c r="AC209" i="12"/>
  <c r="AC152" i="12"/>
  <c r="T29" i="4"/>
  <c r="U29" i="4" s="1"/>
  <c r="AD175" i="12"/>
  <c r="Q143" i="4"/>
  <c r="AD235" i="12"/>
  <c r="O258" i="10"/>
  <c r="O12" i="10"/>
  <c r="O72" i="10"/>
  <c r="O33" i="10"/>
  <c r="O92" i="10"/>
  <c r="O99" i="10"/>
  <c r="O80" i="10"/>
  <c r="O15" i="10"/>
  <c r="O88" i="10"/>
  <c r="O138" i="10"/>
  <c r="O135" i="10"/>
  <c r="O146" i="10"/>
  <c r="O184" i="10"/>
  <c r="O158" i="10"/>
  <c r="O75" i="10"/>
  <c r="O263" i="10"/>
  <c r="O244" i="10"/>
  <c r="O128" i="10"/>
  <c r="O47" i="10"/>
  <c r="O63" i="10"/>
  <c r="O271" i="10"/>
  <c r="O231" i="10"/>
  <c r="O187" i="10"/>
  <c r="O66" i="10"/>
  <c r="O44" i="10"/>
  <c r="O51" i="10"/>
  <c r="O107" i="10"/>
  <c r="O143" i="10"/>
  <c r="O112" i="10"/>
  <c r="O171" i="10"/>
  <c r="O227" i="10"/>
  <c r="O252" i="10"/>
  <c r="O255" i="10"/>
  <c r="O203" i="10"/>
  <c r="O164" i="10"/>
  <c r="O223" i="10"/>
  <c r="O22" i="10"/>
  <c r="O191" i="10"/>
  <c r="O64" i="10"/>
  <c r="O208" i="10"/>
  <c r="O233" i="10"/>
  <c r="O166" i="10"/>
  <c r="O37" i="10"/>
  <c r="O163" i="10"/>
  <c r="O269" i="10"/>
  <c r="O265" i="10"/>
  <c r="O217" i="10"/>
  <c r="O224" i="10"/>
  <c r="O6" i="10"/>
  <c r="O20" i="10"/>
  <c r="O40" i="10"/>
  <c r="O65" i="10"/>
  <c r="O113" i="10"/>
  <c r="O182" i="10"/>
  <c r="O270" i="10"/>
  <c r="O50" i="10"/>
  <c r="O157" i="10"/>
  <c r="O141" i="10"/>
  <c r="O81" i="10"/>
  <c r="O160" i="10"/>
  <c r="O238" i="10"/>
  <c r="O61" i="10"/>
  <c r="O131" i="10"/>
  <c r="O234" i="10"/>
  <c r="O242" i="10"/>
  <c r="O254" i="10"/>
  <c r="O259" i="10"/>
  <c r="O78" i="10"/>
  <c r="O43" i="10"/>
  <c r="O96" i="10"/>
  <c r="O67" i="10"/>
  <c r="O193" i="10"/>
  <c r="O228" i="10"/>
  <c r="O52" i="10"/>
  <c r="O153" i="10"/>
  <c r="O170" i="10"/>
  <c r="O202" i="10"/>
  <c r="O77" i="10"/>
  <c r="O209" i="10"/>
  <c r="O214" i="10"/>
  <c r="O262" i="10"/>
  <c r="O62" i="10"/>
  <c r="O118" i="10"/>
  <c r="T52" i="4"/>
  <c r="U52" i="4" s="1"/>
  <c r="O8" i="10"/>
  <c r="T230" i="4"/>
  <c r="U230" i="4" s="1"/>
  <c r="O192" i="10"/>
  <c r="T179" i="4"/>
  <c r="U179" i="4" s="1"/>
  <c r="O167" i="10"/>
  <c r="T146" i="4"/>
  <c r="U146" i="4" s="1"/>
  <c r="O116" i="10"/>
  <c r="T67" i="4"/>
  <c r="U67" i="4" s="1"/>
  <c r="O205" i="10"/>
  <c r="O29" i="10"/>
  <c r="T76" i="4"/>
  <c r="U76" i="4" s="1"/>
  <c r="O201" i="10"/>
  <c r="T12" i="4"/>
  <c r="U12" i="4" s="1"/>
  <c r="O142" i="10"/>
  <c r="T129" i="4"/>
  <c r="U129" i="4" s="1"/>
  <c r="O161" i="10"/>
  <c r="T104" i="4"/>
  <c r="U104" i="4" s="1"/>
  <c r="O267" i="10"/>
  <c r="O21" i="10"/>
  <c r="T11" i="4"/>
  <c r="U11" i="4" s="1"/>
  <c r="O218" i="10"/>
  <c r="T59" i="4"/>
  <c r="U59" i="4" s="1"/>
  <c r="O60" i="10"/>
  <c r="T159" i="4"/>
  <c r="U159" i="4" s="1"/>
  <c r="O219" i="10"/>
  <c r="T132" i="4"/>
  <c r="U132" i="4" s="1"/>
  <c r="O229" i="10"/>
  <c r="T89" i="4"/>
  <c r="U89" i="4" s="1"/>
  <c r="O241" i="10"/>
  <c r="T211" i="4"/>
  <c r="U211" i="4" s="1"/>
  <c r="O246" i="10"/>
  <c r="T133" i="4"/>
  <c r="U133" i="4" s="1"/>
  <c r="O253" i="10"/>
  <c r="T88" i="4"/>
  <c r="U88" i="4" s="1"/>
  <c r="O256" i="10"/>
  <c r="T168" i="4"/>
  <c r="U168" i="4" s="1"/>
  <c r="O268" i="10"/>
  <c r="T62" i="4"/>
  <c r="U62" i="4" s="1"/>
  <c r="T140" i="4"/>
  <c r="U140" i="4" s="1"/>
  <c r="O251" i="10"/>
  <c r="T231" i="4"/>
  <c r="U231" i="4" s="1"/>
  <c r="O140" i="10"/>
  <c r="O117" i="10"/>
  <c r="T248" i="4"/>
  <c r="U248" i="4" s="1"/>
  <c r="O147" i="10"/>
  <c r="T117" i="4"/>
  <c r="U117" i="4" s="1"/>
  <c r="O195" i="10"/>
  <c r="O173" i="10"/>
  <c r="T163" i="4"/>
  <c r="U163" i="4" s="1"/>
  <c r="O230" i="10"/>
  <c r="Q189" i="4"/>
  <c r="W189" i="4" s="1"/>
  <c r="O206" i="10"/>
  <c r="Q154" i="4"/>
  <c r="O102" i="10"/>
  <c r="T58" i="4"/>
  <c r="U58" i="4" s="1"/>
  <c r="O58" i="10"/>
  <c r="Q244" i="4"/>
  <c r="W244" i="4" s="1"/>
  <c r="O25" i="10"/>
  <c r="Q13" i="4"/>
  <c r="W13" i="4" s="1"/>
  <c r="O145" i="10"/>
  <c r="T54" i="4"/>
  <c r="U54" i="4" s="1"/>
  <c r="O222" i="10"/>
  <c r="Q15" i="4"/>
  <c r="W15" i="4" s="1"/>
  <c r="Q251" i="4"/>
  <c r="P249" i="10"/>
  <c r="O249" i="10"/>
  <c r="O49" i="10"/>
  <c r="Q72" i="4"/>
  <c r="W72" i="4" s="1"/>
  <c r="O105" i="10"/>
  <c r="Q162" i="4"/>
  <c r="W162" i="4" s="1"/>
  <c r="O144" i="10"/>
  <c r="T183" i="4"/>
  <c r="U183" i="4" s="1"/>
  <c r="O181" i="10"/>
  <c r="T91" i="4"/>
  <c r="U91" i="4" s="1"/>
  <c r="O121" i="10"/>
  <c r="Q254" i="4"/>
  <c r="O28" i="10"/>
  <c r="Q268" i="4"/>
  <c r="W268" i="4" s="1"/>
  <c r="O73" i="10"/>
  <c r="Q111" i="4"/>
  <c r="W111" i="4" s="1"/>
  <c r="O104" i="10"/>
  <c r="T99" i="4"/>
  <c r="U99" i="4" s="1"/>
  <c r="O31" i="10"/>
  <c r="Q193" i="4"/>
  <c r="Q217" i="4"/>
  <c r="W217" i="4" s="1"/>
  <c r="O7" i="10"/>
  <c r="T252" i="4"/>
  <c r="U252" i="4" s="1"/>
  <c r="O16" i="10"/>
  <c r="T207" i="4"/>
  <c r="U207" i="4" s="1"/>
  <c r="O101" i="10"/>
  <c r="T202" i="4"/>
  <c r="U202" i="4" s="1"/>
  <c r="O114" i="10"/>
  <c r="T176" i="4"/>
  <c r="U176" i="4" s="1"/>
  <c r="O123" i="10"/>
  <c r="Q135" i="4"/>
  <c r="W135" i="4" s="1"/>
  <c r="O133" i="10"/>
  <c r="Q265" i="4"/>
  <c r="W265" i="4" s="1"/>
  <c r="O177" i="10"/>
  <c r="Q35" i="4"/>
  <c r="W35" i="4" s="1"/>
  <c r="O197" i="10"/>
  <c r="Q86" i="4"/>
  <c r="W86" i="4" s="1"/>
  <c r="O38" i="10"/>
  <c r="Q34" i="4"/>
  <c r="W34" i="4" s="1"/>
  <c r="O71" i="10"/>
  <c r="Q145" i="4"/>
  <c r="W145" i="4" s="1"/>
  <c r="O155" i="10"/>
  <c r="T225" i="4"/>
  <c r="U225" i="4" s="1"/>
  <c r="O39" i="10"/>
  <c r="T116" i="4"/>
  <c r="U116" i="4" s="1"/>
  <c r="T260" i="4"/>
  <c r="U260" i="4" s="1"/>
  <c r="O132" i="10"/>
  <c r="T204" i="4"/>
  <c r="U204" i="4" s="1"/>
  <c r="T87" i="4"/>
  <c r="U87" i="4" s="1"/>
  <c r="O159" i="10"/>
  <c r="T66" i="4"/>
  <c r="U66" i="4" s="1"/>
  <c r="O180" i="10"/>
  <c r="T14" i="4"/>
  <c r="U14" i="4" s="1"/>
  <c r="O68" i="10"/>
  <c r="T124" i="4"/>
  <c r="U124" i="4" s="1"/>
  <c r="O139" i="10"/>
  <c r="T141" i="4"/>
  <c r="U141" i="4" s="1"/>
  <c r="O126" i="10"/>
  <c r="T123" i="4"/>
  <c r="U123" i="4" s="1"/>
  <c r="O86" i="10"/>
  <c r="T238" i="4"/>
  <c r="U238" i="4" s="1"/>
  <c r="O23" i="10"/>
  <c r="T172" i="4"/>
  <c r="U172" i="4" s="1"/>
  <c r="U267" i="4"/>
  <c r="O183" i="10"/>
  <c r="T205" i="4"/>
  <c r="U205" i="4" s="1"/>
  <c r="O207" i="10"/>
  <c r="T64" i="4"/>
  <c r="U64" i="4" s="1"/>
  <c r="O210" i="10"/>
  <c r="T213" i="4"/>
  <c r="U213" i="4" s="1"/>
  <c r="O216" i="10"/>
  <c r="T218" i="4"/>
  <c r="U218" i="4" s="1"/>
  <c r="O220" i="10"/>
  <c r="T164" i="4"/>
  <c r="U164" i="4" s="1"/>
  <c r="O239" i="10"/>
  <c r="T226" i="4"/>
  <c r="U226" i="4" s="1"/>
  <c r="O248" i="10"/>
  <c r="T178" i="4"/>
  <c r="U178" i="4" s="1"/>
  <c r="O45" i="10"/>
  <c r="T173" i="4"/>
  <c r="U173" i="4" s="1"/>
  <c r="O111" i="10"/>
  <c r="T92" i="4"/>
  <c r="U92" i="4" s="1"/>
  <c r="O194" i="10"/>
  <c r="T78" i="4"/>
  <c r="U78" i="4" s="1"/>
  <c r="O85" i="10"/>
  <c r="T259" i="4"/>
  <c r="U259" i="4" s="1"/>
  <c r="O125" i="10"/>
  <c r="O151" i="10"/>
  <c r="T171" i="4"/>
  <c r="U171" i="4" s="1"/>
  <c r="O226" i="10"/>
  <c r="T264" i="4"/>
  <c r="U264" i="4" s="1"/>
  <c r="O176" i="10"/>
  <c r="T24" i="4"/>
  <c r="U24" i="4" s="1"/>
  <c r="O247" i="10"/>
  <c r="T119" i="4"/>
  <c r="U119" i="4" s="1"/>
  <c r="O169" i="10"/>
  <c r="T215" i="4"/>
  <c r="U215" i="4" s="1"/>
  <c r="O74" i="10"/>
  <c r="Q175" i="4"/>
  <c r="W175" i="4" s="1"/>
  <c r="O264" i="10"/>
  <c r="T158" i="4"/>
  <c r="U158" i="4" s="1"/>
  <c r="O59" i="10"/>
  <c r="T131" i="4"/>
  <c r="U131" i="4" s="1"/>
  <c r="O175" i="10"/>
  <c r="T84" i="4"/>
  <c r="U84" i="4" s="1"/>
  <c r="O257" i="10"/>
  <c r="Q191" i="4"/>
  <c r="W191" i="4" s="1"/>
  <c r="O106" i="10"/>
  <c r="Q150" i="4"/>
  <c r="W150" i="4" s="1"/>
  <c r="O156" i="10"/>
  <c r="Q258" i="4"/>
  <c r="W258" i="4" s="1"/>
  <c r="O76" i="10"/>
  <c r="Q98" i="4"/>
  <c r="W98" i="4" s="1"/>
  <c r="O115" i="10"/>
  <c r="T68" i="4"/>
  <c r="U68" i="4" s="1"/>
  <c r="O154" i="10"/>
  <c r="T169" i="4"/>
  <c r="U169" i="4" s="1"/>
  <c r="O186" i="10"/>
  <c r="T6" i="4"/>
  <c r="U6" i="4" s="1"/>
  <c r="O36" i="10"/>
  <c r="Q93" i="4"/>
  <c r="W93" i="4" s="1"/>
  <c r="O35" i="10"/>
  <c r="Q94" i="4"/>
  <c r="W94" i="4" s="1"/>
  <c r="O90" i="10"/>
  <c r="Q25" i="4"/>
  <c r="W25" i="4" s="1"/>
  <c r="O110" i="10"/>
  <c r="T147" i="4"/>
  <c r="U147" i="4" s="1"/>
  <c r="T192" i="4"/>
  <c r="U192" i="4" s="1"/>
  <c r="O14" i="10"/>
  <c r="Q30" i="4"/>
  <c r="W30" i="4" s="1"/>
  <c r="O9" i="10"/>
  <c r="T90" i="4"/>
  <c r="U90" i="4" s="1"/>
  <c r="O19" i="10"/>
  <c r="Q228" i="4"/>
  <c r="W228" i="4" s="1"/>
  <c r="O89" i="10"/>
  <c r="Q118" i="4"/>
  <c r="W118" i="4" s="1"/>
  <c r="O103" i="10"/>
  <c r="T187" i="4"/>
  <c r="U187" i="4" s="1"/>
  <c r="O119" i="10"/>
  <c r="Q75" i="4"/>
  <c r="W75" i="4" s="1"/>
  <c r="O127" i="10"/>
  <c r="T190" i="4"/>
  <c r="U190" i="4" s="1"/>
  <c r="O149" i="10"/>
  <c r="Q38" i="4"/>
  <c r="W38" i="4" s="1"/>
  <c r="O178" i="10"/>
  <c r="Q181" i="4"/>
  <c r="W181" i="4" s="1"/>
  <c r="O211" i="10"/>
  <c r="T180" i="4"/>
  <c r="U180" i="4" s="1"/>
  <c r="O42" i="10"/>
  <c r="Q214" i="4"/>
  <c r="W214" i="4" s="1"/>
  <c r="O97" i="10"/>
  <c r="Q57" i="4"/>
  <c r="W57" i="4" s="1"/>
  <c r="O109" i="10"/>
  <c r="Q234" i="4"/>
  <c r="W234" i="4" s="1"/>
  <c r="O196" i="10"/>
  <c r="T194" i="4"/>
  <c r="U194" i="4" s="1"/>
  <c r="O137" i="10"/>
  <c r="T22" i="4"/>
  <c r="U22" i="4" s="1"/>
  <c r="O95" i="10"/>
  <c r="T161" i="4"/>
  <c r="U161" i="4" s="1"/>
  <c r="O204" i="10"/>
  <c r="T221" i="4"/>
  <c r="U221" i="4" s="1"/>
  <c r="O53" i="10"/>
  <c r="T144" i="4"/>
  <c r="U144" i="4" s="1"/>
  <c r="O245" i="10"/>
  <c r="T26" i="4"/>
  <c r="U26" i="4" s="1"/>
  <c r="O32" i="10"/>
  <c r="T151" i="4"/>
  <c r="U151" i="4" s="1"/>
  <c r="O172" i="10"/>
  <c r="T157" i="4"/>
  <c r="U157" i="4" s="1"/>
  <c r="O237" i="10"/>
  <c r="T138" i="4"/>
  <c r="U138" i="4" s="1"/>
  <c r="O79" i="10"/>
  <c r="T249" i="4"/>
  <c r="U249" i="4" s="1"/>
  <c r="O261" i="10"/>
  <c r="T160" i="4"/>
  <c r="U160" i="4" s="1"/>
  <c r="O150" i="10"/>
  <c r="T81" i="4"/>
  <c r="U81" i="4" s="1"/>
  <c r="O4" i="10"/>
  <c r="T47" i="4"/>
  <c r="U47" i="4" s="1"/>
  <c r="O27" i="10"/>
  <c r="T256" i="4"/>
  <c r="U256" i="4" s="1"/>
  <c r="O122" i="10"/>
  <c r="T9" i="4"/>
  <c r="U9" i="4" s="1"/>
  <c r="T136" i="4"/>
  <c r="U136" i="4" s="1"/>
  <c r="O212" i="10"/>
  <c r="T61" i="4"/>
  <c r="U61" i="4" s="1"/>
  <c r="T79" i="4"/>
  <c r="U79" i="4" s="1"/>
  <c r="O232" i="10"/>
  <c r="T197" i="4"/>
  <c r="U197" i="4" s="1"/>
  <c r="O235" i="10"/>
  <c r="T195" i="4"/>
  <c r="U195" i="4" s="1"/>
  <c r="O240" i="10"/>
  <c r="T39" i="4"/>
  <c r="U39" i="4" s="1"/>
  <c r="O243" i="10"/>
  <c r="T206" i="4"/>
  <c r="U206" i="4" s="1"/>
  <c r="O260" i="10"/>
  <c r="T127" i="4"/>
  <c r="U127" i="4" s="1"/>
  <c r="O185" i="10"/>
  <c r="O26" i="10"/>
  <c r="T170" i="4"/>
  <c r="U170" i="4" s="1"/>
  <c r="O93" i="10"/>
  <c r="O136" i="10"/>
  <c r="T156" i="4"/>
  <c r="U156" i="4" s="1"/>
  <c r="O162" i="10"/>
  <c r="T262" i="4"/>
  <c r="U262" i="4" s="1"/>
  <c r="O148" i="10"/>
  <c r="Q216" i="4"/>
  <c r="W216" i="4" s="1"/>
  <c r="O225" i="10"/>
  <c r="T120" i="4"/>
  <c r="U120" i="4" s="1"/>
  <c r="O250" i="10"/>
  <c r="Q186" i="4"/>
  <c r="W186" i="4" s="1"/>
  <c r="O152" i="10"/>
  <c r="T185" i="4"/>
  <c r="U185" i="4" s="1"/>
  <c r="O266" i="10"/>
  <c r="T246" i="4"/>
  <c r="U246" i="4" s="1"/>
  <c r="O134" i="10"/>
  <c r="Q48" i="4"/>
  <c r="W48" i="4" s="1"/>
  <c r="O213" i="10"/>
  <c r="T42" i="4"/>
  <c r="U42" i="4" s="1"/>
  <c r="O174" i="10"/>
  <c r="Q237" i="4"/>
  <c r="W237" i="4" s="1"/>
  <c r="O10" i="10"/>
  <c r="Q239" i="4"/>
  <c r="W239" i="4" s="1"/>
  <c r="O24" i="10"/>
  <c r="Q253" i="4"/>
  <c r="W253" i="4" s="1"/>
  <c r="O17" i="10"/>
  <c r="T103" i="4"/>
  <c r="U103" i="4" s="1"/>
  <c r="O98" i="10"/>
  <c r="Q40" i="4"/>
  <c r="W40" i="4" s="1"/>
  <c r="O124" i="10"/>
  <c r="Q115" i="4"/>
  <c r="W115" i="4" s="1"/>
  <c r="O168" i="10"/>
  <c r="Q36" i="4"/>
  <c r="W36" i="4" s="1"/>
  <c r="O215" i="10"/>
  <c r="Q148" i="4"/>
  <c r="W148" i="4" s="1"/>
  <c r="O11" i="10"/>
  <c r="Q223" i="4"/>
  <c r="W223" i="4" s="1"/>
  <c r="O46" i="10"/>
  <c r="Q33" i="4"/>
  <c r="W33" i="4" s="1"/>
  <c r="Q73" i="4"/>
  <c r="W73" i="4" s="1"/>
  <c r="O91" i="10"/>
  <c r="T21" i="4"/>
  <c r="U21" i="4" s="1"/>
  <c r="O70" i="10"/>
  <c r="T199" i="4"/>
  <c r="U199" i="4" s="1"/>
  <c r="O13" i="10"/>
  <c r="T8" i="4"/>
  <c r="U8" i="4" s="1"/>
  <c r="O41" i="10"/>
  <c r="T32" i="4"/>
  <c r="U32" i="4" s="1"/>
  <c r="O94" i="10"/>
  <c r="Q137" i="4"/>
  <c r="W137" i="4" s="1"/>
  <c r="O108" i="10"/>
  <c r="Q69" i="4"/>
  <c r="W69" i="4" s="1"/>
  <c r="O120" i="10"/>
  <c r="Q152" i="4"/>
  <c r="W152" i="4" s="1"/>
  <c r="O130" i="10"/>
  <c r="Q210" i="4"/>
  <c r="W210" i="4" s="1"/>
  <c r="O165" i="10"/>
  <c r="U266" i="4"/>
  <c r="O179" i="10"/>
  <c r="Q219" i="4"/>
  <c r="W219" i="4" s="1"/>
  <c r="O34" i="10"/>
  <c r="T17" i="4"/>
  <c r="U17" i="4" s="1"/>
  <c r="O69" i="10"/>
  <c r="Q229" i="4"/>
  <c r="W229" i="4" s="1"/>
  <c r="O236" i="10"/>
  <c r="Q55" i="4"/>
  <c r="W55" i="4" s="1"/>
  <c r="O129" i="10"/>
  <c r="T257" i="4"/>
  <c r="U257" i="4" s="1"/>
  <c r="O30" i="10"/>
  <c r="T7" i="4"/>
  <c r="U7" i="4" s="1"/>
  <c r="T4" i="4"/>
  <c r="U4" i="4" s="1"/>
  <c r="T250" i="4"/>
  <c r="U250" i="4" s="1"/>
  <c r="T233" i="4"/>
  <c r="U233" i="4" s="1"/>
  <c r="Q257" i="4"/>
  <c r="W257" i="4" s="1"/>
  <c r="T234" i="4"/>
  <c r="U234" i="4" s="1"/>
  <c r="T228" i="4"/>
  <c r="U228" i="4" s="1"/>
  <c r="T30" i="4"/>
  <c r="U30" i="4" s="1"/>
  <c r="T118" i="4"/>
  <c r="U118" i="4" s="1"/>
  <c r="Q187" i="4"/>
  <c r="W187" i="4" s="1"/>
  <c r="T193" i="4"/>
  <c r="U193" i="4" s="1"/>
  <c r="T152" i="4"/>
  <c r="U152" i="4" s="1"/>
  <c r="Q266" i="4"/>
  <c r="W266" i="4" s="1"/>
  <c r="T239" i="4"/>
  <c r="U239" i="4" s="1"/>
  <c r="Q194" i="4"/>
  <c r="W194" i="4" s="1"/>
  <c r="T181" i="4"/>
  <c r="U181" i="4" s="1"/>
  <c r="Q163" i="4"/>
  <c r="W163" i="4" s="1"/>
  <c r="T214" i="4"/>
  <c r="U214" i="4" s="1"/>
  <c r="T55" i="4"/>
  <c r="U55" i="4" s="1"/>
  <c r="Q42" i="4"/>
  <c r="W42" i="4" s="1"/>
  <c r="Q202" i="4"/>
  <c r="W202" i="4" s="1"/>
  <c r="T111" i="4"/>
  <c r="U111" i="4" s="1"/>
  <c r="Q180" i="4"/>
  <c r="W180" i="4" s="1"/>
  <c r="T33" i="4"/>
  <c r="U33" i="4" s="1"/>
  <c r="T189" i="4"/>
  <c r="U189" i="4" s="1"/>
  <c r="Q68" i="4"/>
  <c r="W68" i="4" s="1"/>
  <c r="T13" i="4"/>
  <c r="U13" i="4" s="1"/>
  <c r="Q8" i="4"/>
  <c r="W8" i="4" s="1"/>
  <c r="T254" i="4"/>
  <c r="U254" i="4" s="1"/>
  <c r="Q183" i="4"/>
  <c r="W183" i="4" s="1"/>
  <c r="Q119" i="4"/>
  <c r="W119" i="4" s="1"/>
  <c r="Q176" i="4"/>
  <c r="W176" i="4" s="1"/>
  <c r="T98" i="4"/>
  <c r="U98" i="4" s="1"/>
  <c r="T216" i="4"/>
  <c r="U216" i="4" s="1"/>
  <c r="Q192" i="4"/>
  <c r="W192" i="4" s="1"/>
  <c r="Q91" i="4"/>
  <c r="W91" i="4" s="1"/>
  <c r="Q99" i="4"/>
  <c r="W99" i="4" s="1"/>
  <c r="T186" i="4"/>
  <c r="U186" i="4" s="1"/>
  <c r="Q58" i="4"/>
  <c r="W58" i="4" s="1"/>
  <c r="T57" i="4"/>
  <c r="U57" i="4" s="1"/>
  <c r="T75" i="4"/>
  <c r="U75" i="4" s="1"/>
  <c r="Q207" i="4"/>
  <c r="W207" i="4" s="1"/>
  <c r="Q215" i="4"/>
  <c r="W215" i="4" s="1"/>
  <c r="T35" i="4"/>
  <c r="U35" i="4" s="1"/>
  <c r="T36" i="4"/>
  <c r="U36" i="4" s="1"/>
  <c r="T34" i="4"/>
  <c r="U34" i="4" s="1"/>
  <c r="Q199" i="4"/>
  <c r="W199" i="4" s="1"/>
  <c r="U268" i="4"/>
  <c r="Q6" i="4"/>
  <c r="W6" i="4" s="1"/>
  <c r="T258" i="4"/>
  <c r="U258" i="4" s="1"/>
  <c r="T40" i="4"/>
  <c r="U40" i="4" s="1"/>
  <c r="T251" i="4"/>
  <c r="U251" i="4" s="1"/>
  <c r="Q169" i="4"/>
  <c r="W169" i="4" s="1"/>
  <c r="T93" i="4"/>
  <c r="U93" i="4" s="1"/>
  <c r="T25" i="4"/>
  <c r="U25" i="4" s="1"/>
  <c r="Q90" i="4"/>
  <c r="W90" i="4" s="1"/>
  <c r="Q17" i="4"/>
  <c r="W17" i="4" s="1"/>
  <c r="Q185" i="4"/>
  <c r="W185" i="4" s="1"/>
  <c r="T223" i="4"/>
  <c r="U223" i="4" s="1"/>
  <c r="T210" i="4"/>
  <c r="U210" i="4" s="1"/>
  <c r="Q21" i="4"/>
  <c r="W21" i="4" s="1"/>
  <c r="T73" i="4"/>
  <c r="U73" i="4" s="1"/>
  <c r="T72" i="4"/>
  <c r="U72" i="4" s="1"/>
  <c r="W254" i="4"/>
  <c r="Q32" i="4"/>
  <c r="W32" i="4" s="1"/>
  <c r="Q233" i="4"/>
  <c r="W233" i="4" s="1"/>
  <c r="Q84" i="4"/>
  <c r="W84" i="4" s="1"/>
  <c r="T38" i="4"/>
  <c r="U38" i="4" s="1"/>
  <c r="T86" i="4"/>
  <c r="U86" i="4" s="1"/>
  <c r="T148" i="4"/>
  <c r="U148" i="4" s="1"/>
  <c r="T200" i="4"/>
  <c r="U200" i="4" s="1"/>
  <c r="T208" i="4"/>
  <c r="U208" i="4" s="1"/>
  <c r="Q200" i="4"/>
  <c r="W200" i="4" s="1"/>
  <c r="Q134" i="4"/>
  <c r="W134" i="4" s="1"/>
  <c r="Q208" i="4"/>
  <c r="W208" i="4" s="1"/>
  <c r="Q103" i="4"/>
  <c r="W103" i="4" s="1"/>
  <c r="Q147" i="4"/>
  <c r="W147" i="4" s="1"/>
  <c r="T145" i="4"/>
  <c r="U145" i="4" s="1"/>
  <c r="T253" i="4"/>
  <c r="U253" i="4" s="1"/>
  <c r="T134" i="4"/>
  <c r="U134" i="4" s="1"/>
  <c r="T217" i="4"/>
  <c r="U217" i="4" s="1"/>
  <c r="T162" i="4"/>
  <c r="U162" i="4" s="1"/>
  <c r="Q252" i="4"/>
  <c r="W252" i="4" s="1"/>
  <c r="Q24" i="4"/>
  <c r="W24" i="4" s="1"/>
  <c r="Q246" i="4"/>
  <c r="W246" i="4" s="1"/>
  <c r="Q54" i="4"/>
  <c r="W54" i="4" s="1"/>
  <c r="W154" i="4"/>
  <c r="T219" i="4"/>
  <c r="U219" i="4" s="1"/>
  <c r="T137" i="4"/>
  <c r="U137" i="4" s="1"/>
  <c r="T135" i="4"/>
  <c r="U135" i="4" s="1"/>
  <c r="T15" i="4"/>
  <c r="U15" i="4" s="1"/>
  <c r="Q190" i="4"/>
  <c r="W190" i="4" s="1"/>
  <c r="T229" i="4"/>
  <c r="U229" i="4" s="1"/>
  <c r="T150" i="4"/>
  <c r="U150" i="4" s="1"/>
  <c r="T94" i="4"/>
  <c r="U94" i="4" s="1"/>
  <c r="T69" i="4"/>
  <c r="U69" i="4" s="1"/>
  <c r="T115" i="4"/>
  <c r="U115" i="4" s="1"/>
  <c r="Q220" i="4"/>
  <c r="W220" i="4" s="1"/>
  <c r="Q106" i="4"/>
  <c r="W106" i="4" s="1"/>
  <c r="T220" i="4"/>
  <c r="U220" i="4" s="1"/>
  <c r="T106" i="4"/>
  <c r="U106" i="4" s="1"/>
  <c r="T154" i="4"/>
  <c r="U154" i="4" s="1"/>
  <c r="Q120" i="4"/>
  <c r="W120" i="4" s="1"/>
  <c r="T102" i="4"/>
  <c r="U102" i="4" s="1"/>
  <c r="T191" i="4"/>
  <c r="U191" i="4" s="1"/>
  <c r="T265" i="4"/>
  <c r="U265" i="4" s="1"/>
  <c r="T244" i="4"/>
  <c r="U244" i="4" s="1"/>
  <c r="Q102" i="4"/>
  <c r="W102" i="4" s="1"/>
  <c r="Q131" i="4"/>
  <c r="W131" i="4" s="1"/>
  <c r="T237" i="4"/>
  <c r="U237" i="4" s="1"/>
  <c r="T175" i="4"/>
  <c r="U175" i="4" s="1"/>
  <c r="W193" i="4"/>
  <c r="Q158" i="4"/>
  <c r="W158" i="4" s="1"/>
  <c r="T48" i="4"/>
  <c r="U48" i="4" s="1"/>
  <c r="Q52" i="4"/>
  <c r="W52" i="4" s="1"/>
  <c r="T105" i="4"/>
  <c r="U105" i="4" s="1"/>
  <c r="Q105" i="4"/>
  <c r="W105" i="4" s="1"/>
  <c r="T95" i="4"/>
  <c r="U95" i="4" s="1"/>
  <c r="Q95" i="4"/>
  <c r="W95" i="4" s="1"/>
  <c r="Q80" i="4"/>
  <c r="W80" i="4" s="1"/>
  <c r="T80" i="4"/>
  <c r="U80" i="4" s="1"/>
  <c r="T142" i="4"/>
  <c r="U142" i="4" s="1"/>
  <c r="Q142" i="4"/>
  <c r="W142" i="4" s="1"/>
  <c r="Q83" i="4"/>
  <c r="W83" i="4" s="1"/>
  <c r="T83" i="4"/>
  <c r="U83" i="4" s="1"/>
  <c r="T53" i="4"/>
  <c r="U53" i="4" s="1"/>
  <c r="Q53" i="4"/>
  <c r="W53" i="4" s="1"/>
  <c r="Q230" i="4"/>
  <c r="W230" i="4" s="1"/>
  <c r="Q179" i="4"/>
  <c r="W179" i="4" s="1"/>
  <c r="Q149" i="4"/>
  <c r="W149" i="4" s="1"/>
  <c r="Q221" i="4"/>
  <c r="W221" i="4" s="1"/>
  <c r="T28" i="4"/>
  <c r="U28" i="4" s="1"/>
  <c r="Q28" i="4"/>
  <c r="W28" i="4" s="1"/>
  <c r="Q144" i="4"/>
  <c r="W144" i="4" s="1"/>
  <c r="T41" i="4"/>
  <c r="U41" i="4" s="1"/>
  <c r="Q41" i="4"/>
  <c r="W41" i="4" s="1"/>
  <c r="T255" i="4"/>
  <c r="U255" i="4" s="1"/>
  <c r="Q255" i="4"/>
  <c r="W255" i="4" s="1"/>
  <c r="Q4" i="4"/>
  <c r="W4" i="4" s="1"/>
  <c r="Q188" i="4"/>
  <c r="W188" i="4" s="1"/>
  <c r="Q14" i="4"/>
  <c r="W14" i="4" s="1"/>
  <c r="T19" i="4"/>
  <c r="U19" i="4" s="1"/>
  <c r="Q19" i="4"/>
  <c r="W19" i="4" s="1"/>
  <c r="T109" i="4"/>
  <c r="U109" i="4" s="1"/>
  <c r="Q109" i="4"/>
  <c r="W109" i="4" s="1"/>
  <c r="Q129" i="4"/>
  <c r="W129" i="4" s="1"/>
  <c r="T114" i="4"/>
  <c r="U114" i="4" s="1"/>
  <c r="Q114" i="4"/>
  <c r="W114" i="4" s="1"/>
  <c r="Q261" i="4"/>
  <c r="W261" i="4" s="1"/>
  <c r="Q205" i="4"/>
  <c r="W205" i="4" s="1"/>
  <c r="Q136" i="4"/>
  <c r="W136" i="4" s="1"/>
  <c r="T155" i="4"/>
  <c r="U155" i="4" s="1"/>
  <c r="Q155" i="4"/>
  <c r="W155" i="4" s="1"/>
  <c r="Q79" i="4"/>
  <c r="W79" i="4" s="1"/>
  <c r="T198" i="4"/>
  <c r="U198" i="4" s="1"/>
  <c r="Q198" i="4"/>
  <c r="W198" i="4" s="1"/>
  <c r="T100" i="4"/>
  <c r="U100" i="4" s="1"/>
  <c r="Q100" i="4"/>
  <c r="W100" i="4" s="1"/>
  <c r="T113" i="4"/>
  <c r="U113" i="4" s="1"/>
  <c r="Q113" i="4"/>
  <c r="W113" i="4" s="1"/>
  <c r="T184" i="4"/>
  <c r="U184" i="4" s="1"/>
  <c r="Q184" i="4"/>
  <c r="W184" i="4" s="1"/>
  <c r="Q44" i="4"/>
  <c r="W44" i="4" s="1"/>
  <c r="Q231" i="4"/>
  <c r="W231" i="4" s="1"/>
  <c r="T241" i="4"/>
  <c r="U241" i="4" s="1"/>
  <c r="Q241" i="4"/>
  <c r="W241" i="4" s="1"/>
  <c r="T5" i="4"/>
  <c r="U5" i="4" s="1"/>
  <c r="Q5" i="4"/>
  <c r="W5" i="4" s="1"/>
  <c r="Q156" i="4"/>
  <c r="W156" i="4" s="1"/>
  <c r="Q171" i="4"/>
  <c r="W171" i="4" s="1"/>
  <c r="Q264" i="4"/>
  <c r="W264" i="4" s="1"/>
  <c r="W251" i="4"/>
  <c r="T188" i="4"/>
  <c r="U188" i="4" s="1"/>
  <c r="Q225" i="4"/>
  <c r="W225" i="4" s="1"/>
  <c r="T110" i="4"/>
  <c r="U110" i="4" s="1"/>
  <c r="Q110" i="4"/>
  <c r="W110" i="4" s="1"/>
  <c r="T37" i="4"/>
  <c r="U37" i="4" s="1"/>
  <c r="Q37" i="4"/>
  <c r="W37" i="4" s="1"/>
  <c r="T85" i="4"/>
  <c r="U85" i="4" s="1"/>
  <c r="Q85" i="4"/>
  <c r="W85" i="4" s="1"/>
  <c r="T74" i="4"/>
  <c r="U74" i="4" s="1"/>
  <c r="Q74" i="4"/>
  <c r="W74" i="4" s="1"/>
  <c r="T222" i="4"/>
  <c r="U222" i="4" s="1"/>
  <c r="Q222" i="4"/>
  <c r="W222" i="4" s="1"/>
  <c r="T43" i="4"/>
  <c r="U43" i="4" s="1"/>
  <c r="Q43" i="4"/>
  <c r="W43" i="4" s="1"/>
  <c r="T167" i="4"/>
  <c r="U167" i="4" s="1"/>
  <c r="Q167" i="4"/>
  <c r="W167" i="4" s="1"/>
  <c r="Q203" i="4"/>
  <c r="W203" i="4" s="1"/>
  <c r="T49" i="4"/>
  <c r="U49" i="4" s="1"/>
  <c r="Q49" i="4"/>
  <c r="W49" i="4" s="1"/>
  <c r="Q67" i="4"/>
  <c r="W67" i="4" s="1"/>
  <c r="T107" i="4"/>
  <c r="U107" i="4" s="1"/>
  <c r="Q107" i="4"/>
  <c r="W107" i="4" s="1"/>
  <c r="Q97" i="4"/>
  <c r="W97" i="4" s="1"/>
  <c r="Q235" i="4"/>
  <c r="W235" i="4" s="1"/>
  <c r="T77" i="4"/>
  <c r="U77" i="4" s="1"/>
  <c r="Q77" i="4"/>
  <c r="W77" i="4" s="1"/>
  <c r="T27" i="4"/>
  <c r="U27" i="4" s="1"/>
  <c r="Q27" i="4"/>
  <c r="W27" i="4" s="1"/>
  <c r="Q249" i="4"/>
  <c r="W249" i="4" s="1"/>
  <c r="Q165" i="4"/>
  <c r="W165" i="4" s="1"/>
  <c r="Q125" i="4"/>
  <c r="W125" i="4" s="1"/>
  <c r="Q81" i="4"/>
  <c r="W81" i="4" s="1"/>
  <c r="T45" i="4"/>
  <c r="U45" i="4" s="1"/>
  <c r="Q45" i="4"/>
  <c r="W45" i="4" s="1"/>
  <c r="Q236" i="4"/>
  <c r="W236" i="4" s="1"/>
  <c r="Q232" i="4"/>
  <c r="W232" i="4" s="1"/>
  <c r="Q256" i="4"/>
  <c r="W256" i="4" s="1"/>
  <c r="Q172" i="4"/>
  <c r="W172" i="4" s="1"/>
  <c r="T121" i="4"/>
  <c r="U121" i="4" s="1"/>
  <c r="Q121" i="4"/>
  <c r="W121" i="4" s="1"/>
  <c r="T63" i="4"/>
  <c r="U63" i="4" s="1"/>
  <c r="Q63" i="4"/>
  <c r="W63" i="4" s="1"/>
  <c r="T97" i="4"/>
  <c r="U97" i="4" s="1"/>
  <c r="W143" i="4"/>
  <c r="T166" i="4"/>
  <c r="U166" i="4" s="1"/>
  <c r="Q166" i="4"/>
  <c r="W166" i="4" s="1"/>
  <c r="Q159" i="4"/>
  <c r="W159" i="4" s="1"/>
  <c r="Q132" i="4"/>
  <c r="W132" i="4" s="1"/>
  <c r="Q250" i="4"/>
  <c r="W250" i="4" s="1"/>
  <c r="Q164" i="4"/>
  <c r="W164" i="4" s="1"/>
  <c r="Q39" i="4"/>
  <c r="W39" i="4" s="1"/>
  <c r="Q226" i="4"/>
  <c r="W226" i="4" s="1"/>
  <c r="Q153" i="4"/>
  <c r="W153" i="4" s="1"/>
  <c r="Q206" i="4"/>
  <c r="W206" i="4" s="1"/>
  <c r="Q62" i="4"/>
  <c r="W62" i="4" s="1"/>
  <c r="Q140" i="4"/>
  <c r="W140" i="4" s="1"/>
  <c r="T16" i="4"/>
  <c r="U16" i="4" s="1"/>
  <c r="Q16" i="4"/>
  <c r="W16" i="4" s="1"/>
  <c r="T243" i="4"/>
  <c r="U243" i="4" s="1"/>
  <c r="Q243" i="4"/>
  <c r="W243" i="4" s="1"/>
  <c r="T247" i="4"/>
  <c r="U247" i="4" s="1"/>
  <c r="Q247" i="4"/>
  <c r="W247" i="4" s="1"/>
  <c r="Q117" i="4"/>
  <c r="W117" i="4" s="1"/>
  <c r="Q56" i="4"/>
  <c r="W56" i="4" s="1"/>
  <c r="T153" i="4"/>
  <c r="U153" i="4" s="1"/>
  <c r="T203" i="4"/>
  <c r="U203" i="4" s="1"/>
  <c r="T125" i="4"/>
  <c r="U125" i="4" s="1"/>
  <c r="T236" i="4"/>
  <c r="U236" i="4" s="1"/>
  <c r="Q22" i="4"/>
  <c r="W22" i="4" s="1"/>
  <c r="T70" i="4"/>
  <c r="U70" i="4" s="1"/>
  <c r="Q70" i="4"/>
  <c r="W70" i="4" s="1"/>
  <c r="T212" i="4"/>
  <c r="U212" i="4" s="1"/>
  <c r="Q212" i="4"/>
  <c r="W212" i="4" s="1"/>
  <c r="T240" i="4"/>
  <c r="U240" i="4" s="1"/>
  <c r="Q240" i="4"/>
  <c r="W240" i="4" s="1"/>
  <c r="Q29" i="4"/>
  <c r="W29" i="4" s="1"/>
  <c r="T209" i="4"/>
  <c r="U209" i="4" s="1"/>
  <c r="Q209" i="4"/>
  <c r="W209" i="4" s="1"/>
  <c r="T177" i="4"/>
  <c r="U177" i="4" s="1"/>
  <c r="Q177" i="4"/>
  <c r="W177" i="4" s="1"/>
  <c r="T139" i="4"/>
  <c r="U139" i="4" s="1"/>
  <c r="Q139" i="4"/>
  <c r="W139" i="4" s="1"/>
  <c r="Q116" i="4"/>
  <c r="W116" i="4" s="1"/>
  <c r="Q146" i="4"/>
  <c r="W146" i="4" s="1"/>
  <c r="Q204" i="4"/>
  <c r="W204" i="4" s="1"/>
  <c r="Q46" i="4"/>
  <c r="W46" i="4" s="1"/>
  <c r="Q87" i="4"/>
  <c r="W87" i="4" s="1"/>
  <c r="Q126" i="4"/>
  <c r="W126" i="4" s="1"/>
  <c r="Q66" i="4"/>
  <c r="W66" i="4" s="1"/>
  <c r="Q138" i="4"/>
  <c r="W138" i="4" s="1"/>
  <c r="Q20" i="4"/>
  <c r="W20" i="4" s="1"/>
  <c r="Q12" i="4"/>
  <c r="W12" i="4" s="1"/>
  <c r="T174" i="4"/>
  <c r="U174" i="4" s="1"/>
  <c r="Q174" i="4"/>
  <c r="W174" i="4" s="1"/>
  <c r="T96" i="4"/>
  <c r="U96" i="4" s="1"/>
  <c r="Q96" i="4"/>
  <c r="W96" i="4" s="1"/>
  <c r="T82" i="4"/>
  <c r="U82" i="4" s="1"/>
  <c r="Q82" i="4"/>
  <c r="W82" i="4" s="1"/>
  <c r="Q123" i="4"/>
  <c r="W123" i="4" s="1"/>
  <c r="Q238" i="4"/>
  <c r="W238" i="4" s="1"/>
  <c r="T60" i="4"/>
  <c r="U60" i="4" s="1"/>
  <c r="Q60" i="4"/>
  <c r="W60" i="4" s="1"/>
  <c r="Q65" i="4"/>
  <c r="W65" i="4" s="1"/>
  <c r="Q267" i="4"/>
  <c r="W267" i="4" s="1"/>
  <c r="T235" i="4"/>
  <c r="U235" i="4" s="1"/>
  <c r="T165" i="4"/>
  <c r="U165" i="4" s="1"/>
  <c r="Q9" i="4"/>
  <c r="W9" i="4" s="1"/>
  <c r="T227" i="4"/>
  <c r="U227" i="4" s="1"/>
  <c r="Q227" i="4"/>
  <c r="W227" i="4" s="1"/>
  <c r="Q218" i="4"/>
  <c r="W218" i="4" s="1"/>
  <c r="T50" i="4"/>
  <c r="U50" i="4" s="1"/>
  <c r="Q50" i="4"/>
  <c r="W50" i="4" s="1"/>
  <c r="T101" i="4"/>
  <c r="U101" i="4" s="1"/>
  <c r="Q101" i="4"/>
  <c r="W101" i="4" s="1"/>
  <c r="Q195" i="4"/>
  <c r="W195" i="4" s="1"/>
  <c r="Q211" i="4"/>
  <c r="T269" i="4"/>
  <c r="U269" i="4" s="1"/>
  <c r="Q269" i="4"/>
  <c r="W269" i="4" s="1"/>
  <c r="T122" i="4"/>
  <c r="U122" i="4" s="1"/>
  <c r="Q122" i="4"/>
  <c r="W122" i="4" s="1"/>
  <c r="Q168" i="4"/>
  <c r="W168" i="4" s="1"/>
  <c r="Q173" i="4"/>
  <c r="W173" i="4" s="1"/>
  <c r="Q78" i="4"/>
  <c r="W78" i="4" s="1"/>
  <c r="T245" i="4"/>
  <c r="U245" i="4" s="1"/>
  <c r="Q245" i="4"/>
  <c r="W245" i="4" s="1"/>
  <c r="T201" i="4"/>
  <c r="U201" i="4" s="1"/>
  <c r="Q201" i="4"/>
  <c r="W201" i="4" s="1"/>
  <c r="Q170" i="4"/>
  <c r="W170" i="4" s="1"/>
  <c r="Q248" i="4"/>
  <c r="W248" i="4" s="1"/>
  <c r="T143" i="4"/>
  <c r="U143" i="4" s="1"/>
  <c r="Q262" i="4"/>
  <c r="W262" i="4" s="1"/>
  <c r="T20" i="4"/>
  <c r="U20" i="4" s="1"/>
  <c r="T65" i="4"/>
  <c r="U65" i="4" s="1"/>
  <c r="T51" i="4"/>
  <c r="U51" i="4" s="1"/>
  <c r="Q51" i="4"/>
  <c r="W51" i="4" s="1"/>
  <c r="T242" i="4"/>
  <c r="U242" i="4" s="1"/>
  <c r="Q242" i="4"/>
  <c r="W242" i="4" s="1"/>
  <c r="T182" i="4"/>
  <c r="U182" i="4" s="1"/>
  <c r="Q182" i="4"/>
  <c r="W182" i="4" s="1"/>
  <c r="T18" i="4"/>
  <c r="U18" i="4" s="1"/>
  <c r="Q18" i="4"/>
  <c r="W18" i="4" s="1"/>
  <c r="T10" i="4"/>
  <c r="U10" i="4" s="1"/>
  <c r="Q10" i="4"/>
  <c r="W10" i="4" s="1"/>
  <c r="Q161" i="4"/>
  <c r="W161" i="4" s="1"/>
  <c r="Q31" i="4"/>
  <c r="W31" i="4" s="1"/>
  <c r="T130" i="4"/>
  <c r="U130" i="4" s="1"/>
  <c r="Q130" i="4"/>
  <c r="W130" i="4" s="1"/>
  <c r="Q7" i="4"/>
  <c r="W7" i="4" s="1"/>
  <c r="Q260" i="4"/>
  <c r="W260" i="4" s="1"/>
  <c r="Q26" i="4"/>
  <c r="W26" i="4" s="1"/>
  <c r="Q151" i="4"/>
  <c r="W151" i="4" s="1"/>
  <c r="T23" i="4"/>
  <c r="U23" i="4" s="1"/>
  <c r="Q23" i="4"/>
  <c r="W23" i="4" s="1"/>
  <c r="Q157" i="4"/>
  <c r="W157" i="4" s="1"/>
  <c r="T224" i="4"/>
  <c r="U224" i="4" s="1"/>
  <c r="Q224" i="4"/>
  <c r="W224" i="4" s="1"/>
  <c r="Q76" i="4"/>
  <c r="W76" i="4" s="1"/>
  <c r="Q124" i="4"/>
  <c r="W124" i="4" s="1"/>
  <c r="Q160" i="4"/>
  <c r="W160" i="4" s="1"/>
  <c r="Q104" i="4"/>
  <c r="W104" i="4" s="1"/>
  <c r="Q141" i="4"/>
  <c r="W141" i="4" s="1"/>
  <c r="T128" i="4"/>
  <c r="U128" i="4" s="1"/>
  <c r="Q128" i="4"/>
  <c r="W128" i="4" s="1"/>
  <c r="Q47" i="4"/>
  <c r="W47" i="4" s="1"/>
  <c r="T108" i="4"/>
  <c r="U108" i="4" s="1"/>
  <c r="Q108" i="4"/>
  <c r="W108" i="4" s="1"/>
  <c r="Q11" i="4"/>
  <c r="W11" i="4" s="1"/>
  <c r="Q71" i="4"/>
  <c r="W71" i="4" s="1"/>
  <c r="T46" i="4"/>
  <c r="U46" i="4" s="1"/>
  <c r="T31" i="4"/>
  <c r="U31" i="4" s="1"/>
  <c r="T71" i="4"/>
  <c r="U71" i="4" s="1"/>
  <c r="Q59" i="4"/>
  <c r="W59" i="4" s="1"/>
  <c r="Q64" i="4"/>
  <c r="W64" i="4" s="1"/>
  <c r="Q213" i="4"/>
  <c r="W213" i="4" s="1"/>
  <c r="Q61" i="4"/>
  <c r="W61" i="4" s="1"/>
  <c r="Q197" i="4"/>
  <c r="W197" i="4" s="1"/>
  <c r="Q89" i="4"/>
  <c r="W89" i="4" s="1"/>
  <c r="Q133" i="4"/>
  <c r="W133" i="4" s="1"/>
  <c r="Q88" i="4"/>
  <c r="W88" i="4" s="1"/>
  <c r="Q178" i="4"/>
  <c r="W178" i="4" s="1"/>
  <c r="T112" i="4"/>
  <c r="U112" i="4" s="1"/>
  <c r="Q112" i="4"/>
  <c r="W112" i="4" s="1"/>
  <c r="Q92" i="4"/>
  <c r="W92" i="4" s="1"/>
  <c r="Q127" i="4"/>
  <c r="W127" i="4" s="1"/>
  <c r="Q259" i="4"/>
  <c r="W259" i="4" s="1"/>
  <c r="T263" i="4"/>
  <c r="U263" i="4" s="1"/>
  <c r="Q263" i="4"/>
  <c r="W263" i="4" s="1"/>
  <c r="T149" i="4"/>
  <c r="U149" i="4" s="1"/>
  <c r="T126" i="4"/>
  <c r="U126" i="4" s="1"/>
  <c r="T44" i="4"/>
  <c r="U44" i="4" s="1"/>
  <c r="T261" i="4"/>
  <c r="U261" i="4" s="1"/>
  <c r="T232" i="4"/>
  <c r="U232" i="4" s="1"/>
  <c r="T56" i="4"/>
  <c r="U56" i="4" s="1"/>
  <c r="C241" i="10"/>
  <c r="C14" i="10"/>
  <c r="C251" i="10"/>
  <c r="C29" i="10"/>
  <c r="O279" i="12"/>
  <c r="P279" i="12" s="1"/>
  <c r="O316" i="12"/>
  <c r="P316" i="12" s="1"/>
  <c r="O7" i="12"/>
  <c r="O4" i="12"/>
  <c r="P4" i="12" s="1"/>
  <c r="O6" i="12"/>
  <c r="P6" i="12" s="1"/>
  <c r="O109" i="12"/>
  <c r="P109" i="12" s="1"/>
  <c r="O205" i="12"/>
  <c r="P205" i="12" s="1"/>
  <c r="O122" i="12"/>
  <c r="P122" i="12" s="1"/>
  <c r="O104" i="12"/>
  <c r="P104" i="12" s="1"/>
  <c r="O39" i="12"/>
  <c r="P39" i="12" s="1"/>
  <c r="O110" i="12"/>
  <c r="O42" i="12"/>
  <c r="P42" i="12" s="1"/>
  <c r="O73" i="12"/>
  <c r="P73" i="12" s="1"/>
  <c r="Q316" i="12"/>
  <c r="AE316" i="12" s="1"/>
  <c r="Q279" i="12"/>
  <c r="AE279" i="12" s="1"/>
  <c r="Q73" i="12"/>
  <c r="Q42" i="12"/>
  <c r="Q110" i="12"/>
  <c r="AE110" i="12" s="1"/>
  <c r="Q39" i="12"/>
  <c r="Q104" i="12"/>
  <c r="AE104" i="12" s="1"/>
  <c r="Q122" i="12"/>
  <c r="AE122" i="12" s="1"/>
  <c r="Q205" i="12"/>
  <c r="AE205" i="12" s="1"/>
  <c r="Q109" i="12"/>
  <c r="Q251" i="12"/>
  <c r="AE251" i="12" s="1"/>
  <c r="O251" i="12"/>
  <c r="P251" i="12" s="1"/>
  <c r="O156" i="12"/>
  <c r="P156" i="12" s="1"/>
  <c r="O129" i="12"/>
  <c r="P129" i="12" s="1"/>
  <c r="Q156" i="12"/>
  <c r="Q129" i="12"/>
  <c r="Q44" i="12"/>
  <c r="O44" i="12"/>
  <c r="P44" i="12" s="1"/>
  <c r="AC7" i="12" l="1"/>
  <c r="AE44" i="12"/>
  <c r="AE129" i="12"/>
  <c r="AE109" i="12"/>
  <c r="AE39" i="12"/>
  <c r="AE42" i="12"/>
  <c r="AC319" i="12"/>
  <c r="AE156" i="12"/>
  <c r="AE73" i="12"/>
  <c r="AC208" i="14"/>
  <c r="AE208" i="14"/>
  <c r="AC85" i="14"/>
  <c r="AE85" i="14"/>
  <c r="AC187" i="14"/>
  <c r="AE187" i="14"/>
  <c r="AC111" i="14"/>
  <c r="AE111" i="14"/>
  <c r="AC59" i="14"/>
  <c r="AE59" i="14"/>
  <c r="AC248" i="14"/>
  <c r="AE248" i="14"/>
  <c r="AC294" i="14"/>
  <c r="AE294" i="14"/>
  <c r="AC77" i="14"/>
  <c r="AE77" i="14"/>
  <c r="AC87" i="14"/>
  <c r="AE87" i="14"/>
  <c r="AC33" i="14"/>
  <c r="AE33" i="14"/>
  <c r="AC181" i="14"/>
  <c r="AE181" i="14"/>
  <c r="AC10" i="14"/>
  <c r="AE10" i="14"/>
  <c r="AC32" i="14"/>
  <c r="AE32" i="14"/>
  <c r="AC221" i="14"/>
  <c r="AE221" i="14"/>
  <c r="AC164" i="14"/>
  <c r="AE164" i="14"/>
  <c r="AC154" i="14"/>
  <c r="AE154" i="14"/>
  <c r="AC195" i="14"/>
  <c r="AE195" i="14"/>
  <c r="AC216" i="14"/>
  <c r="AE216" i="14"/>
  <c r="AC217" i="14"/>
  <c r="AE217" i="14"/>
  <c r="AC15" i="14"/>
  <c r="AE15" i="14"/>
  <c r="AC127" i="14"/>
  <c r="AE127" i="14"/>
  <c r="AC50" i="14"/>
  <c r="AE50" i="14"/>
  <c r="AC141" i="14"/>
  <c r="AE141" i="14"/>
  <c r="AC51" i="14"/>
  <c r="AE51" i="14"/>
  <c r="AC112" i="14"/>
  <c r="AE112" i="14"/>
  <c r="AC133" i="14"/>
  <c r="AE133" i="14"/>
  <c r="AC238" i="14"/>
  <c r="AE238" i="14"/>
  <c r="AC235" i="14"/>
  <c r="AE235" i="14"/>
  <c r="AC53" i="14"/>
  <c r="AE53" i="14"/>
  <c r="AC197" i="14"/>
  <c r="AE197" i="14"/>
  <c r="AC25" i="14"/>
  <c r="AE25" i="14"/>
  <c r="AC67" i="14"/>
  <c r="AE67" i="14"/>
  <c r="AC82" i="14"/>
  <c r="AE82" i="14"/>
  <c r="AC229" i="14"/>
  <c r="AE229" i="14"/>
  <c r="AC44" i="14"/>
  <c r="AE44" i="14"/>
  <c r="AE321" i="14"/>
  <c r="AC321" i="14"/>
  <c r="AC241" i="14"/>
  <c r="AE241" i="14"/>
  <c r="AC212" i="14"/>
  <c r="AE212" i="14"/>
  <c r="AC306" i="14"/>
  <c r="AE306" i="14"/>
  <c r="AE277" i="14"/>
  <c r="AC277" i="14"/>
  <c r="AC6" i="14"/>
  <c r="AE6" i="14"/>
  <c r="AC194" i="14"/>
  <c r="AE194" i="14"/>
  <c r="AC240" i="14"/>
  <c r="AE240" i="14"/>
  <c r="AC228" i="14"/>
  <c r="AE228" i="14"/>
  <c r="AC157" i="14"/>
  <c r="AE157" i="14"/>
  <c r="AC162" i="14"/>
  <c r="AE162" i="14"/>
  <c r="AC40" i="14"/>
  <c r="AE40" i="14"/>
  <c r="AC60" i="14"/>
  <c r="AE60" i="14"/>
  <c r="AC249" i="14"/>
  <c r="AE249" i="14"/>
  <c r="AC38" i="14"/>
  <c r="AE38" i="14"/>
  <c r="AE276" i="14"/>
  <c r="AC276" i="14"/>
  <c r="AC17" i="14"/>
  <c r="AE17" i="14"/>
  <c r="AC74" i="14"/>
  <c r="AE74" i="14"/>
  <c r="AE319" i="14"/>
  <c r="AC319" i="14"/>
  <c r="AC210" i="14"/>
  <c r="AE210" i="14"/>
  <c r="AC27" i="14"/>
  <c r="AE27" i="14"/>
  <c r="AC120" i="14"/>
  <c r="AE120" i="14"/>
  <c r="AC244" i="14"/>
  <c r="AE244" i="14"/>
  <c r="AC55" i="14"/>
  <c r="AE55" i="14"/>
  <c r="AC185" i="14"/>
  <c r="AE185" i="14"/>
  <c r="AC234" i="14"/>
  <c r="AE234" i="14"/>
  <c r="AC193" i="14"/>
  <c r="AE193" i="14"/>
  <c r="AC206" i="14"/>
  <c r="AE206" i="14"/>
  <c r="AC11" i="14"/>
  <c r="AE11" i="14"/>
  <c r="AC86" i="14"/>
  <c r="AE86" i="14"/>
  <c r="AC312" i="14"/>
  <c r="AE312" i="14"/>
  <c r="AC186" i="14"/>
  <c r="AE186" i="14"/>
  <c r="AC224" i="14"/>
  <c r="AE224" i="14"/>
  <c r="AC12" i="14"/>
  <c r="AE12" i="14"/>
  <c r="AC101" i="14"/>
  <c r="AE101" i="14"/>
  <c r="AC65" i="14"/>
  <c r="AE65" i="14"/>
  <c r="AC169" i="14"/>
  <c r="AE169" i="14"/>
  <c r="AC254" i="14"/>
  <c r="AE254" i="14"/>
  <c r="AC148" i="14"/>
  <c r="AE148" i="14"/>
  <c r="AC124" i="14"/>
  <c r="AE124" i="14"/>
  <c r="AC237" i="14"/>
  <c r="AE237" i="14"/>
  <c r="AC214" i="14"/>
  <c r="AE214" i="14"/>
  <c r="AC94" i="14"/>
  <c r="AE94" i="14"/>
  <c r="AC91" i="14"/>
  <c r="AE91" i="14"/>
  <c r="AC176" i="14"/>
  <c r="AE176" i="14"/>
  <c r="AE279" i="14"/>
  <c r="AC279" i="14"/>
  <c r="AC110" i="14"/>
  <c r="AE110" i="14"/>
  <c r="AC175" i="14"/>
  <c r="AE175" i="14"/>
  <c r="AC105" i="14"/>
  <c r="AE105" i="14"/>
  <c r="AC151" i="14"/>
  <c r="AE151" i="14"/>
  <c r="AC135" i="14"/>
  <c r="AE135" i="14"/>
  <c r="AC160" i="14"/>
  <c r="AE160" i="14"/>
  <c r="AC69" i="14"/>
  <c r="AE69" i="14"/>
  <c r="AC230" i="14"/>
  <c r="AE230" i="14"/>
  <c r="AC150" i="14"/>
  <c r="AE150" i="14"/>
  <c r="AC61" i="14"/>
  <c r="AE61" i="14"/>
  <c r="AC78" i="14"/>
  <c r="AE78" i="14"/>
  <c r="AC68" i="14"/>
  <c r="AE68" i="14"/>
  <c r="AC52" i="14"/>
  <c r="AE52" i="14"/>
  <c r="AC29" i="14"/>
  <c r="AE29" i="14"/>
  <c r="AC20" i="14"/>
  <c r="AE20" i="14"/>
  <c r="AC158" i="14"/>
  <c r="AE158" i="14"/>
  <c r="AC123" i="14"/>
  <c r="AE123" i="14"/>
  <c r="AC80" i="14"/>
  <c r="AE80" i="14"/>
  <c r="AC108" i="14"/>
  <c r="AE108" i="14"/>
  <c r="AC179" i="14"/>
  <c r="AE179" i="14"/>
  <c r="AC48" i="14"/>
  <c r="AE48" i="14"/>
  <c r="AC89" i="14"/>
  <c r="AE89" i="14"/>
  <c r="AC21" i="14"/>
  <c r="AE21" i="14"/>
  <c r="AC198" i="14"/>
  <c r="AE198" i="14"/>
  <c r="AC113" i="14"/>
  <c r="AE113" i="14"/>
  <c r="AC189" i="14"/>
  <c r="AE189" i="14"/>
  <c r="AC167" i="14"/>
  <c r="AE167" i="14"/>
  <c r="AC252" i="14"/>
  <c r="AE252" i="14"/>
  <c r="AE322" i="14"/>
  <c r="AC322" i="14"/>
  <c r="AC243" i="14"/>
  <c r="AE243" i="14"/>
  <c r="AC102" i="14"/>
  <c r="AE102" i="14"/>
  <c r="AC232" i="14"/>
  <c r="AE232" i="14"/>
  <c r="AC22" i="14"/>
  <c r="AE22" i="14"/>
  <c r="AC223" i="14"/>
  <c r="AE223" i="14"/>
  <c r="AC233" i="14"/>
  <c r="AE233" i="14"/>
  <c r="AC121" i="14"/>
  <c r="AE121" i="14"/>
  <c r="AC24" i="14"/>
  <c r="AE24" i="14"/>
  <c r="AC14" i="14"/>
  <c r="AE14" i="14"/>
  <c r="AC26" i="14"/>
  <c r="AE26" i="14"/>
  <c r="AC41" i="14"/>
  <c r="AE41" i="14"/>
  <c r="AC211" i="14"/>
  <c r="AE211" i="14"/>
  <c r="AC125" i="14"/>
  <c r="AE125" i="14"/>
  <c r="AC204" i="14"/>
  <c r="AE204" i="14"/>
  <c r="AC159" i="14"/>
  <c r="AE159" i="14"/>
  <c r="AC227" i="14"/>
  <c r="AE227" i="14"/>
  <c r="AC251" i="14"/>
  <c r="AE251" i="14"/>
  <c r="AC97" i="14"/>
  <c r="AE97" i="14"/>
  <c r="AC225" i="14"/>
  <c r="AE225" i="14"/>
  <c r="AC62" i="14"/>
  <c r="AE62" i="14"/>
  <c r="AC316" i="14"/>
  <c r="AE316" i="14"/>
  <c r="AC18" i="14"/>
  <c r="AE18" i="14"/>
  <c r="AC137" i="14"/>
  <c r="AE137" i="14"/>
  <c r="AC134" i="14"/>
  <c r="AE134" i="14"/>
  <c r="AC46" i="14"/>
  <c r="AE46" i="14"/>
  <c r="AC203" i="14"/>
  <c r="AE203" i="14"/>
  <c r="AC180" i="14"/>
  <c r="AE180" i="14"/>
  <c r="AC199" i="14"/>
  <c r="AE199" i="14"/>
  <c r="AC126" i="14"/>
  <c r="AE126" i="14"/>
  <c r="AC130" i="14"/>
  <c r="AE130" i="14"/>
  <c r="AC239" i="14"/>
  <c r="AE239" i="14"/>
  <c r="AC174" i="14"/>
  <c r="AE174" i="14"/>
  <c r="AC73" i="14"/>
  <c r="AE73" i="14"/>
  <c r="AC178" i="14"/>
  <c r="AE178" i="14"/>
  <c r="AC58" i="14"/>
  <c r="AE58" i="14"/>
  <c r="AC99" i="14"/>
  <c r="AE99" i="14"/>
  <c r="AC115" i="14"/>
  <c r="AE115" i="14"/>
  <c r="AC177" i="14"/>
  <c r="AE177" i="14"/>
  <c r="AC37" i="14"/>
  <c r="AE37" i="14"/>
  <c r="AC172" i="14"/>
  <c r="AE172" i="14"/>
  <c r="AC168" i="14"/>
  <c r="AE168" i="14"/>
  <c r="AC84" i="14"/>
  <c r="AE84" i="14"/>
  <c r="AC196" i="14"/>
  <c r="AE196" i="14"/>
  <c r="AC114" i="14"/>
  <c r="AE114" i="14"/>
  <c r="AC213" i="14"/>
  <c r="AE213" i="14"/>
  <c r="AC166" i="14"/>
  <c r="AE166" i="14"/>
  <c r="AC231" i="14"/>
  <c r="AE231" i="14"/>
  <c r="AC132" i="14"/>
  <c r="AE132" i="14"/>
  <c r="AC119" i="14"/>
  <c r="AE119" i="14"/>
  <c r="AC149" i="14"/>
  <c r="AE149" i="14"/>
  <c r="AC222" i="14"/>
  <c r="AE222" i="14"/>
  <c r="AC71" i="14"/>
  <c r="AE71" i="14"/>
  <c r="AC200" i="14"/>
  <c r="AE200" i="14"/>
  <c r="AC45" i="14"/>
  <c r="AE45" i="14"/>
  <c r="AC92" i="14"/>
  <c r="AE92" i="14"/>
  <c r="AC140" i="14"/>
  <c r="AE140" i="14"/>
  <c r="AC98" i="14"/>
  <c r="AE98" i="14"/>
  <c r="AC145" i="14"/>
  <c r="AE145" i="14"/>
  <c r="AC76" i="14"/>
  <c r="AE76" i="14"/>
  <c r="AC184" i="14"/>
  <c r="AE184" i="14"/>
  <c r="AC209" i="14"/>
  <c r="AE209" i="14"/>
  <c r="AC90" i="14"/>
  <c r="AE90" i="14"/>
  <c r="AC28" i="14"/>
  <c r="AE28" i="14"/>
  <c r="AC242" i="14"/>
  <c r="AE242" i="14"/>
  <c r="AC4" i="14"/>
  <c r="AE4" i="14"/>
  <c r="AC192" i="14"/>
  <c r="AE192" i="14"/>
  <c r="AC5" i="14"/>
  <c r="AE5" i="14"/>
  <c r="AC122" i="14"/>
  <c r="AE122" i="14"/>
  <c r="AC118" i="14"/>
  <c r="AE118" i="14"/>
  <c r="AC57" i="14"/>
  <c r="AE57" i="14"/>
  <c r="AC95" i="14"/>
  <c r="AE95" i="14"/>
  <c r="AC146" i="14"/>
  <c r="AE146" i="14"/>
  <c r="AC72" i="14"/>
  <c r="AE72" i="14"/>
  <c r="AC201" i="14"/>
  <c r="AE201" i="14"/>
  <c r="AC106" i="14"/>
  <c r="AE106" i="14"/>
  <c r="AC117" i="14"/>
  <c r="AE117" i="14"/>
  <c r="AC190" i="14"/>
  <c r="AE190" i="14"/>
  <c r="AC171" i="14"/>
  <c r="AE171" i="14"/>
  <c r="AC128" i="14"/>
  <c r="AE128" i="14"/>
  <c r="AC245" i="14"/>
  <c r="AE245" i="14"/>
  <c r="AC142" i="14"/>
  <c r="AE142" i="14"/>
  <c r="AC156" i="14"/>
  <c r="AE156" i="14"/>
  <c r="AC202" i="14"/>
  <c r="AE202" i="14"/>
  <c r="AC136" i="14"/>
  <c r="AE136" i="14"/>
  <c r="AC93" i="14"/>
  <c r="AE93" i="14"/>
  <c r="AC88" i="14"/>
  <c r="AE88" i="14"/>
  <c r="AC191" i="14"/>
  <c r="AE191" i="14"/>
  <c r="AC163" i="14"/>
  <c r="AE163" i="14"/>
  <c r="AC152" i="14"/>
  <c r="AE152" i="14"/>
  <c r="AC219" i="14"/>
  <c r="AE219" i="14"/>
  <c r="AC153" i="14"/>
  <c r="AE153" i="14"/>
  <c r="AC70" i="14"/>
  <c r="AE70" i="14"/>
  <c r="AC103" i="14"/>
  <c r="AE103" i="14"/>
  <c r="AC129" i="14"/>
  <c r="AE129" i="14"/>
  <c r="AC35" i="14"/>
  <c r="AE35" i="14"/>
  <c r="AC139" i="14"/>
  <c r="AE139" i="14"/>
  <c r="AC81" i="14"/>
  <c r="AE81" i="14"/>
  <c r="AC207" i="14"/>
  <c r="AE207" i="14"/>
  <c r="AC147" i="14"/>
  <c r="AE147" i="14"/>
  <c r="AC100" i="14"/>
  <c r="AE100" i="14"/>
  <c r="AC104" i="14"/>
  <c r="AE104" i="14"/>
  <c r="AC39" i="14"/>
  <c r="AE39" i="14"/>
  <c r="AC42" i="14"/>
  <c r="AE42" i="14"/>
  <c r="AC8" i="14"/>
  <c r="AE8" i="14"/>
  <c r="AC7" i="14"/>
  <c r="AE7" i="14"/>
  <c r="AC144" i="14"/>
  <c r="AE144" i="14"/>
  <c r="AC205" i="14"/>
  <c r="AE205" i="14"/>
  <c r="AC182" i="14"/>
  <c r="AE182" i="14"/>
  <c r="AC155" i="14"/>
  <c r="AE155" i="14"/>
  <c r="AC215" i="14"/>
  <c r="AE215" i="14"/>
  <c r="AC56" i="14"/>
  <c r="AE56" i="14"/>
  <c r="AC173" i="14"/>
  <c r="AE173" i="14"/>
  <c r="AC19" i="14"/>
  <c r="AE19" i="14"/>
  <c r="AC116" i="14"/>
  <c r="AE116" i="14"/>
  <c r="AC96" i="14"/>
  <c r="AE96" i="14"/>
  <c r="AC36" i="14"/>
  <c r="AE36" i="14"/>
  <c r="AC109" i="14"/>
  <c r="AE109" i="14"/>
  <c r="AC16" i="14"/>
  <c r="AE16" i="14"/>
  <c r="AC23" i="14"/>
  <c r="AE23" i="14"/>
  <c r="AC30" i="14"/>
  <c r="AE30" i="14"/>
  <c r="AC79" i="14"/>
  <c r="AE79" i="14"/>
  <c r="AC165" i="14"/>
  <c r="AE165" i="14"/>
  <c r="AC64" i="14"/>
  <c r="AE64" i="14"/>
  <c r="AC49" i="14"/>
  <c r="AE49" i="14"/>
  <c r="AC170" i="14"/>
  <c r="AE170" i="14"/>
  <c r="AC220" i="14"/>
  <c r="AE220" i="14"/>
  <c r="AC138" i="14"/>
  <c r="AE138" i="14"/>
  <c r="AC107" i="14"/>
  <c r="AE107" i="14"/>
  <c r="AC31" i="14"/>
  <c r="AE31" i="14"/>
  <c r="AC218" i="14"/>
  <c r="AE218" i="14"/>
  <c r="AC43" i="14"/>
  <c r="AE43" i="14"/>
  <c r="AC161" i="14"/>
  <c r="AE161" i="14"/>
  <c r="AC131" i="14"/>
  <c r="AE131" i="14"/>
  <c r="AC235" i="12"/>
  <c r="AC175" i="12"/>
  <c r="Q249" i="10"/>
  <c r="R39" i="12"/>
  <c r="S39" i="12" s="1"/>
  <c r="R205" i="12"/>
  <c r="S205" i="12" s="1"/>
  <c r="R4" i="12"/>
  <c r="S4" i="12" s="1"/>
  <c r="R7" i="12"/>
  <c r="P7" i="12"/>
  <c r="R109" i="12"/>
  <c r="S109" i="12" s="1"/>
  <c r="R110" i="12"/>
  <c r="P110" i="12"/>
  <c r="R6" i="12"/>
  <c r="R279" i="12"/>
  <c r="S279" i="12" s="1"/>
  <c r="R316" i="12"/>
  <c r="S316" i="12" s="1"/>
  <c r="R73" i="12"/>
  <c r="S73" i="12" s="1"/>
  <c r="R104" i="12"/>
  <c r="S104" i="12" s="1"/>
  <c r="R122" i="12"/>
  <c r="S122" i="12" s="1"/>
  <c r="R42" i="12"/>
  <c r="S42" i="12" s="1"/>
  <c r="R251" i="12"/>
  <c r="S251" i="12" s="1"/>
  <c r="R44" i="12"/>
  <c r="S44" i="12" s="1"/>
  <c r="O184" i="12"/>
  <c r="P184" i="12" s="1"/>
  <c r="Q184" i="12"/>
  <c r="AE184" i="12" s="1"/>
  <c r="O50" i="12"/>
  <c r="P50" i="12" s="1"/>
  <c r="Q50" i="12"/>
  <c r="AE50" i="12" s="1"/>
  <c r="O164" i="12"/>
  <c r="P164" i="12" s="1"/>
  <c r="Q164" i="12"/>
  <c r="AE164" i="12" s="1"/>
  <c r="O158" i="12"/>
  <c r="P158" i="12" s="1"/>
  <c r="Q158" i="12"/>
  <c r="AE158" i="12" s="1"/>
  <c r="O40" i="12"/>
  <c r="P40" i="12" s="1"/>
  <c r="Q40" i="12"/>
  <c r="AE40" i="12" s="1"/>
  <c r="O92" i="12"/>
  <c r="P92" i="12" s="1"/>
  <c r="Q92" i="12"/>
  <c r="AE92" i="12" s="1"/>
  <c r="O70" i="12"/>
  <c r="P70" i="12" s="1"/>
  <c r="Q70" i="12"/>
  <c r="AE70" i="12" s="1"/>
  <c r="O144" i="12"/>
  <c r="P144" i="12" s="1"/>
  <c r="Q144" i="12"/>
  <c r="O112" i="12"/>
  <c r="P112" i="12" s="1"/>
  <c r="Q112" i="12"/>
  <c r="AE112" i="12" s="1"/>
  <c r="O83" i="12"/>
  <c r="P83" i="12" s="1"/>
  <c r="Q83" i="12"/>
  <c r="AE83" i="12" s="1"/>
  <c r="O89" i="12"/>
  <c r="P89" i="12" s="1"/>
  <c r="Q89" i="12"/>
  <c r="AE89" i="12" s="1"/>
  <c r="O54" i="12"/>
  <c r="P54" i="12" s="1"/>
  <c r="Q54" i="12"/>
  <c r="AE54" i="12" s="1"/>
  <c r="O99" i="12"/>
  <c r="P99" i="12" s="1"/>
  <c r="Q99" i="12"/>
  <c r="AE99" i="12" s="1"/>
  <c r="O101" i="12"/>
  <c r="P101" i="12" s="1"/>
  <c r="Q101" i="12"/>
  <c r="AE101" i="12" s="1"/>
  <c r="P244" i="10" l="1"/>
  <c r="Q244" i="10" s="1"/>
  <c r="AE144" i="12"/>
  <c r="S110" i="12"/>
  <c r="S6" i="12"/>
  <c r="S7" i="12"/>
  <c r="R144" i="12"/>
  <c r="S144" i="12" s="1"/>
  <c r="R112" i="12"/>
  <c r="S112" i="12" s="1"/>
  <c r="R101" i="12"/>
  <c r="S101" i="12" s="1"/>
  <c r="R54" i="12"/>
  <c r="S54" i="12" s="1"/>
  <c r="R83" i="12"/>
  <c r="S83" i="12" s="1"/>
  <c r="R99" i="12"/>
  <c r="S99" i="12" s="1"/>
  <c r="R89" i="12"/>
  <c r="S89" i="12" s="1"/>
  <c r="R70" i="12"/>
  <c r="S70" i="12" s="1"/>
  <c r="R50" i="12"/>
  <c r="S50" i="12" s="1"/>
  <c r="R184" i="12"/>
  <c r="R92" i="12"/>
  <c r="S92" i="12" s="1"/>
  <c r="R40" i="12"/>
  <c r="S40" i="12" s="1"/>
  <c r="R158" i="12"/>
  <c r="S158" i="12" s="1"/>
  <c r="R164" i="12"/>
  <c r="S164" i="12" s="1"/>
  <c r="S184" i="12" l="1"/>
  <c r="O21" i="12"/>
  <c r="P21" i="12" s="1"/>
  <c r="Q21" i="12"/>
  <c r="AE21" i="12" s="1"/>
  <c r="O30" i="12"/>
  <c r="P30" i="12" s="1"/>
  <c r="Q30" i="12"/>
  <c r="AE30" i="12" s="1"/>
  <c r="O219" i="12"/>
  <c r="P219" i="12" s="1"/>
  <c r="Q219" i="12"/>
  <c r="AE219" i="12" s="1"/>
  <c r="O120" i="12"/>
  <c r="P120" i="12" s="1"/>
  <c r="Q120" i="12"/>
  <c r="AE120" i="12" s="1"/>
  <c r="O24" i="12"/>
  <c r="P24" i="12" s="1"/>
  <c r="Q24" i="12"/>
  <c r="AE24" i="12" s="1"/>
  <c r="O117" i="12"/>
  <c r="P117" i="12" s="1"/>
  <c r="Q117" i="12"/>
  <c r="AE117" i="12" s="1"/>
  <c r="O45" i="12"/>
  <c r="P45" i="12" s="1"/>
  <c r="Q45" i="12"/>
  <c r="AE45" i="12" s="1"/>
  <c r="O103" i="12"/>
  <c r="P103" i="12" s="1"/>
  <c r="Q103" i="12"/>
  <c r="O160" i="12"/>
  <c r="P160" i="12" s="1"/>
  <c r="Q160" i="12"/>
  <c r="O34" i="12"/>
  <c r="P34" i="12" s="1"/>
  <c r="Q34" i="12"/>
  <c r="AE34" i="12" s="1"/>
  <c r="O142" i="12"/>
  <c r="P142" i="12" s="1"/>
  <c r="Q142" i="12"/>
  <c r="AE142" i="12" s="1"/>
  <c r="O41" i="12"/>
  <c r="P41" i="12" s="1"/>
  <c r="Q41" i="12"/>
  <c r="AE41" i="12" s="1"/>
  <c r="O114" i="12"/>
  <c r="P114" i="12" s="1"/>
  <c r="O147" i="12"/>
  <c r="P147" i="12" s="1"/>
  <c r="O162" i="12"/>
  <c r="P162" i="12" s="1"/>
  <c r="O22" i="12"/>
  <c r="P22" i="12" s="1"/>
  <c r="O5" i="12"/>
  <c r="P5" i="12" s="1"/>
  <c r="O240" i="12"/>
  <c r="P240" i="12" s="1"/>
  <c r="O211" i="12"/>
  <c r="P211" i="12" s="1"/>
  <c r="O97" i="12"/>
  <c r="P97" i="12" s="1"/>
  <c r="O200" i="10"/>
  <c r="O193" i="12"/>
  <c r="P193" i="12" s="1"/>
  <c r="Q114" i="12"/>
  <c r="AE114" i="12" s="1"/>
  <c r="O23" i="12"/>
  <c r="P23" i="12" s="1"/>
  <c r="Q23" i="12"/>
  <c r="AE23" i="12" s="1"/>
  <c r="O123" i="12"/>
  <c r="P123" i="12" s="1"/>
  <c r="Q123" i="12"/>
  <c r="AE123" i="12" s="1"/>
  <c r="O95" i="12"/>
  <c r="P95" i="12" s="1"/>
  <c r="Q95" i="12"/>
  <c r="AE95" i="12" s="1"/>
  <c r="O174" i="12"/>
  <c r="P174" i="12" s="1"/>
  <c r="Q174" i="12"/>
  <c r="AE174" i="12" s="1"/>
  <c r="O9" i="12"/>
  <c r="P9" i="12" s="1"/>
  <c r="O20" i="12"/>
  <c r="P20" i="12" s="1"/>
  <c r="O8" i="12"/>
  <c r="P8" i="12" s="1"/>
  <c r="O246" i="12"/>
  <c r="P246" i="12" s="1"/>
  <c r="O199" i="10" l="1"/>
  <c r="AD66" i="14"/>
  <c r="O198" i="10"/>
  <c r="O18" i="10"/>
  <c r="P265" i="10"/>
  <c r="Q265" i="10" s="1"/>
  <c r="AE103" i="12"/>
  <c r="P264" i="10"/>
  <c r="Q264" i="10" s="1"/>
  <c r="AE160" i="12"/>
  <c r="AD87" i="12"/>
  <c r="AC87" i="12" s="1"/>
  <c r="O190" i="10"/>
  <c r="O188" i="10"/>
  <c r="O189" i="10"/>
  <c r="O57" i="10"/>
  <c r="O100" i="10"/>
  <c r="O83" i="10"/>
  <c r="O84" i="10"/>
  <c r="O82" i="10"/>
  <c r="O221" i="10"/>
  <c r="O87" i="10"/>
  <c r="O48" i="10"/>
  <c r="O56" i="10"/>
  <c r="O54" i="10"/>
  <c r="O55" i="10"/>
  <c r="O5" i="10"/>
  <c r="Q196" i="4"/>
  <c r="T196" i="4"/>
  <c r="R114" i="12"/>
  <c r="S114" i="12" s="1"/>
  <c r="R142" i="12"/>
  <c r="S142" i="12" s="1"/>
  <c r="R160" i="12"/>
  <c r="S160" i="12" s="1"/>
  <c r="R45" i="12"/>
  <c r="S45" i="12" s="1"/>
  <c r="R24" i="12"/>
  <c r="S24" i="12" s="1"/>
  <c r="R219" i="12"/>
  <c r="S219" i="12" s="1"/>
  <c r="R21" i="12"/>
  <c r="S21" i="12" s="1"/>
  <c r="R174" i="12"/>
  <c r="S174" i="12" s="1"/>
  <c r="R23" i="12"/>
  <c r="S23" i="12" s="1"/>
  <c r="R95" i="12"/>
  <c r="S95" i="12" s="1"/>
  <c r="R41" i="12"/>
  <c r="S41" i="12" s="1"/>
  <c r="R34" i="12"/>
  <c r="S34" i="12" s="1"/>
  <c r="R103" i="12"/>
  <c r="S103" i="12" s="1"/>
  <c r="R117" i="12"/>
  <c r="S117" i="12" s="1"/>
  <c r="R123" i="12"/>
  <c r="S123" i="12" s="1"/>
  <c r="R120" i="12"/>
  <c r="S120" i="12" s="1"/>
  <c r="R30" i="12"/>
  <c r="S30" i="12" s="1"/>
  <c r="B5" i="10"/>
  <c r="B6" i="10"/>
  <c r="B7" i="10"/>
  <c r="B8" i="10"/>
  <c r="B9" i="10"/>
  <c r="B10" i="10"/>
  <c r="B11" i="10"/>
  <c r="B12" i="10"/>
  <c r="B13" i="10"/>
  <c r="B14" i="10"/>
  <c r="B15" i="10"/>
  <c r="B16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4" i="10"/>
  <c r="Q246" i="12"/>
  <c r="AE161" i="12"/>
  <c r="Q97" i="12"/>
  <c r="AE97" i="12" s="1"/>
  <c r="Q211" i="12"/>
  <c r="AE211" i="12" s="1"/>
  <c r="Q240" i="12"/>
  <c r="Q5" i="12"/>
  <c r="AE5" i="12" s="1"/>
  <c r="Q22" i="12"/>
  <c r="AE22" i="12" s="1"/>
  <c r="Q8" i="12"/>
  <c r="AE8" i="12" s="1"/>
  <c r="Q20" i="12"/>
  <c r="AE20" i="12" s="1"/>
  <c r="Q9" i="12"/>
  <c r="AE9" i="12" s="1"/>
  <c r="Q53" i="12"/>
  <c r="AE53" i="12" s="1"/>
  <c r="Q148" i="12"/>
  <c r="AE148" i="12" s="1"/>
  <c r="Q10" i="12"/>
  <c r="AE10" i="12" s="1"/>
  <c r="Q217" i="12"/>
  <c r="AE217" i="12" s="1"/>
  <c r="Q119" i="12"/>
  <c r="AE119" i="12" s="1"/>
  <c r="Q231" i="12"/>
  <c r="AE231" i="12" s="1"/>
  <c r="Q189" i="12"/>
  <c r="AE189" i="12" s="1"/>
  <c r="Q43" i="12"/>
  <c r="AE43" i="12" s="1"/>
  <c r="Q131" i="12"/>
  <c r="AE131" i="12" s="1"/>
  <c r="Q149" i="12"/>
  <c r="AE149" i="12" s="1"/>
  <c r="Q57" i="12"/>
  <c r="AE57" i="12" s="1"/>
  <c r="Q200" i="12"/>
  <c r="AE200" i="12" s="1"/>
  <c r="Q214" i="12"/>
  <c r="AE214" i="12" s="1"/>
  <c r="Q17" i="12"/>
  <c r="AE17" i="12" s="1"/>
  <c r="Q11" i="12"/>
  <c r="AE11" i="12" s="1"/>
  <c r="Q179" i="12"/>
  <c r="AE179" i="12" s="1"/>
  <c r="Q192" i="12"/>
  <c r="AE192" i="12" s="1"/>
  <c r="Q227" i="12"/>
  <c r="AE227" i="12" s="1"/>
  <c r="Q88" i="12"/>
  <c r="AE88" i="12" s="1"/>
  <c r="Q85" i="12"/>
  <c r="AE85" i="12" s="1"/>
  <c r="Q182" i="12"/>
  <c r="AE182" i="12" s="1"/>
  <c r="Q277" i="12"/>
  <c r="AE277" i="12" s="1"/>
  <c r="Q173" i="12"/>
  <c r="AE173" i="12" s="1"/>
  <c r="Q81" i="12"/>
  <c r="AE81" i="12" s="1"/>
  <c r="Q128" i="12"/>
  <c r="AE128" i="12" s="1"/>
  <c r="Q181" i="12"/>
  <c r="AE181" i="12" s="1"/>
  <c r="Q52" i="12"/>
  <c r="AE52" i="12" s="1"/>
  <c r="Q108" i="12"/>
  <c r="AE108" i="12" s="1"/>
  <c r="Q168" i="12"/>
  <c r="AE168" i="12" s="1"/>
  <c r="Q314" i="12"/>
  <c r="AE314" i="12" s="1"/>
  <c r="Q313" i="12"/>
  <c r="AE313" i="12" s="1"/>
  <c r="Q72" i="12"/>
  <c r="Q62" i="12"/>
  <c r="Q67" i="12"/>
  <c r="AE67" i="12" s="1"/>
  <c r="Q167" i="12"/>
  <c r="AE167" i="12" s="1"/>
  <c r="Q171" i="12"/>
  <c r="AE171" i="12" s="1"/>
  <c r="Q47" i="12"/>
  <c r="AE47" i="12" s="1"/>
  <c r="Q172" i="12"/>
  <c r="AE172" i="12" s="1"/>
  <c r="Q137" i="12"/>
  <c r="AE137" i="12" s="1"/>
  <c r="Q26" i="12"/>
  <c r="AE26" i="12" s="1"/>
  <c r="Q190" i="12"/>
  <c r="AE190" i="12" s="1"/>
  <c r="Q273" i="12"/>
  <c r="AE273" i="12" s="1"/>
  <c r="Q267" i="12"/>
  <c r="AE267" i="12" s="1"/>
  <c r="Q135" i="12"/>
  <c r="AE135" i="12" s="1"/>
  <c r="Q178" i="12"/>
  <c r="AE178" i="12" s="1"/>
  <c r="Q75" i="12"/>
  <c r="AE75" i="12" s="1"/>
  <c r="Q35" i="12"/>
  <c r="AE35" i="12" s="1"/>
  <c r="Q69" i="12"/>
  <c r="AE69" i="12" s="1"/>
  <c r="Q236" i="12"/>
  <c r="AE236" i="12" s="1"/>
  <c r="Q225" i="12"/>
  <c r="AE225" i="12" s="1"/>
  <c r="Q317" i="12"/>
  <c r="AE317" i="12" s="1"/>
  <c r="Q286" i="12"/>
  <c r="AE286" i="12" s="1"/>
  <c r="Q51" i="12"/>
  <c r="AE51" i="12" s="1"/>
  <c r="Q56" i="12"/>
  <c r="Q80" i="12"/>
  <c r="AE80" i="12" s="1"/>
  <c r="Q170" i="12"/>
  <c r="AE170" i="12" s="1"/>
  <c r="Q37" i="12"/>
  <c r="AE37" i="12" s="1"/>
  <c r="Q32" i="12"/>
  <c r="AE32" i="12" s="1"/>
  <c r="Q49" i="12"/>
  <c r="Q64" i="12"/>
  <c r="AE64" i="12" s="1"/>
  <c r="Q36" i="12"/>
  <c r="AE36" i="12" s="1"/>
  <c r="Q91" i="12"/>
  <c r="AE91" i="12" s="1"/>
  <c r="Q315" i="12"/>
  <c r="AE315" i="12" s="1"/>
  <c r="Q38" i="12"/>
  <c r="AE38" i="12" s="1"/>
  <c r="Q312" i="12"/>
  <c r="Q176" i="12"/>
  <c r="Q311" i="12"/>
  <c r="AE311" i="12" s="1"/>
  <c r="Q310" i="12"/>
  <c r="AE310" i="12" s="1"/>
  <c r="Q309" i="12"/>
  <c r="AE309" i="12" s="1"/>
  <c r="Q208" i="12"/>
  <c r="Q221" i="12"/>
  <c r="AE221" i="12" s="1"/>
  <c r="Q105" i="12"/>
  <c r="AE105" i="12" s="1"/>
  <c r="Q127" i="12"/>
  <c r="AE127" i="12" s="1"/>
  <c r="Q68" i="12"/>
  <c r="AE68" i="12" s="1"/>
  <c r="Q111" i="12"/>
  <c r="AE111" i="12" s="1"/>
  <c r="Q118" i="12"/>
  <c r="Q308" i="12"/>
  <c r="AE308" i="12" s="1"/>
  <c r="Q58" i="12"/>
  <c r="AE58" i="12" s="1"/>
  <c r="Q307" i="12"/>
  <c r="AE307" i="12" s="1"/>
  <c r="Q165" i="12"/>
  <c r="AE165" i="12" s="1"/>
  <c r="Q65" i="12"/>
  <c r="AE65" i="12" s="1"/>
  <c r="Q210" i="12"/>
  <c r="AE210" i="12" s="1"/>
  <c r="Q306" i="12"/>
  <c r="Q206" i="12"/>
  <c r="Q79" i="12"/>
  <c r="AE79" i="12" s="1"/>
  <c r="Q134" i="12"/>
  <c r="AE134" i="12" s="1"/>
  <c r="Q212" i="12"/>
  <c r="AE212" i="12" s="1"/>
  <c r="Q169" i="12"/>
  <c r="AE169" i="12" s="1"/>
  <c r="Q305" i="12"/>
  <c r="AE305" i="12" s="1"/>
  <c r="Q304" i="12"/>
  <c r="AE304" i="12" s="1"/>
  <c r="Q18" i="12"/>
  <c r="AE18" i="12" s="1"/>
  <c r="Q230" i="12"/>
  <c r="AE230" i="12" s="1"/>
  <c r="Q243" i="12"/>
  <c r="AE243" i="12" s="1"/>
  <c r="Q116" i="12"/>
  <c r="AE116" i="12" s="1"/>
  <c r="Q141" i="12"/>
  <c r="AE141" i="12" s="1"/>
  <c r="Q157" i="12"/>
  <c r="AE157" i="12" s="1"/>
  <c r="Q303" i="12"/>
  <c r="AE303" i="12" s="1"/>
  <c r="Q98" i="12"/>
  <c r="AE98" i="12" s="1"/>
  <c r="Q166" i="12"/>
  <c r="AE166" i="12" s="1"/>
  <c r="Q187" i="12"/>
  <c r="AE187" i="12" s="1"/>
  <c r="Q150" i="12"/>
  <c r="AE150" i="12" s="1"/>
  <c r="Q90" i="12"/>
  <c r="AE90" i="12" s="1"/>
  <c r="Q235" i="12"/>
  <c r="AE235" i="12" s="1"/>
  <c r="Q126" i="12"/>
  <c r="AE126" i="12" s="1"/>
  <c r="Q302" i="12"/>
  <c r="AE302" i="12" s="1"/>
  <c r="Q133" i="12"/>
  <c r="AE133" i="12" s="1"/>
  <c r="Q301" i="12"/>
  <c r="AE301" i="12" s="1"/>
  <c r="Q191" i="12"/>
  <c r="AE191" i="12" s="1"/>
  <c r="Q115" i="12"/>
  <c r="AE115" i="12" s="1"/>
  <c r="Q300" i="12"/>
  <c r="AE300" i="12" s="1"/>
  <c r="Q232" i="12"/>
  <c r="AE232" i="12" s="1"/>
  <c r="Q27" i="12"/>
  <c r="AE27" i="12" s="1"/>
  <c r="Q244" i="12"/>
  <c r="AE244" i="12" s="1"/>
  <c r="Q106" i="12"/>
  <c r="AE106" i="12" s="1"/>
  <c r="Q71" i="12"/>
  <c r="AE71" i="12" s="1"/>
  <c r="Q299" i="12"/>
  <c r="AE299" i="12" s="1"/>
  <c r="Q233" i="12"/>
  <c r="AE233" i="12" s="1"/>
  <c r="Q202" i="12"/>
  <c r="AE202" i="12" s="1"/>
  <c r="Q209" i="12"/>
  <c r="Q25" i="12"/>
  <c r="AE25" i="12" s="1"/>
  <c r="Q113" i="12"/>
  <c r="Q298" i="12"/>
  <c r="AE298" i="12" s="1"/>
  <c r="Q297" i="12"/>
  <c r="AE297" i="12" s="1"/>
  <c r="Q296" i="12"/>
  <c r="AE296" i="12" s="1"/>
  <c r="Q295" i="12"/>
  <c r="AE295" i="12" s="1"/>
  <c r="Q198" i="12"/>
  <c r="AE198" i="12" s="1"/>
  <c r="Q294" i="12"/>
  <c r="AE294" i="12" s="1"/>
  <c r="Q121" i="12"/>
  <c r="AE121" i="12" s="1"/>
  <c r="Q139" i="12"/>
  <c r="AE139" i="12" s="1"/>
  <c r="Q293" i="12"/>
  <c r="AE293" i="12" s="1"/>
  <c r="Q292" i="12"/>
  <c r="AE292" i="12" s="1"/>
  <c r="Q291" i="12"/>
  <c r="AE291" i="12" s="1"/>
  <c r="Q290" i="12"/>
  <c r="AE290" i="12" s="1"/>
  <c r="Q223" i="12"/>
  <c r="AE223" i="12" s="1"/>
  <c r="Q289" i="12"/>
  <c r="AE289" i="12" s="1"/>
  <c r="Q288" i="12"/>
  <c r="AE288" i="12" s="1"/>
  <c r="Q16" i="12"/>
  <c r="Q74" i="12"/>
  <c r="Q177" i="12"/>
  <c r="AE177" i="12" s="1"/>
  <c r="Q287" i="12"/>
  <c r="AE287" i="12" s="1"/>
  <c r="Q180" i="12"/>
  <c r="AE180" i="12" s="1"/>
  <c r="Q146" i="12"/>
  <c r="Q215" i="12"/>
  <c r="AE215" i="12" s="1"/>
  <c r="Q130" i="12"/>
  <c r="AE130" i="12" s="1"/>
  <c r="Q229" i="12"/>
  <c r="AE229" i="12" s="1"/>
  <c r="Q285" i="12"/>
  <c r="AE285" i="12" s="1"/>
  <c r="Q284" i="12"/>
  <c r="AE284" i="12" s="1"/>
  <c r="Q15" i="12"/>
  <c r="AE15" i="12" s="1"/>
  <c r="Q283" i="12"/>
  <c r="AE283" i="12" s="1"/>
  <c r="Q248" i="12"/>
  <c r="AE248" i="12" s="1"/>
  <c r="Q282" i="12"/>
  <c r="AE282" i="12" s="1"/>
  <c r="Q140" i="12"/>
  <c r="AE140" i="12" s="1"/>
  <c r="Q201" i="12"/>
  <c r="AE201" i="12" s="1"/>
  <c r="Q281" i="12"/>
  <c r="AE281" i="12" s="1"/>
  <c r="Q226" i="12"/>
  <c r="Q86" i="12"/>
  <c r="Q280" i="12"/>
  <c r="AE280" i="12" s="1"/>
  <c r="Q153" i="12"/>
  <c r="AE153" i="12" s="1"/>
  <c r="Q125" i="12"/>
  <c r="AE125" i="12" s="1"/>
  <c r="Q234" i="12"/>
  <c r="AE234" i="12" s="1"/>
  <c r="Q220" i="12"/>
  <c r="Q151" i="12"/>
  <c r="AE151" i="12" s="1"/>
  <c r="Q93" i="12"/>
  <c r="Q278" i="12"/>
  <c r="AE278" i="12" s="1"/>
  <c r="Q222" i="12"/>
  <c r="Q188" i="12"/>
  <c r="AE188" i="12" s="1"/>
  <c r="Q61" i="12"/>
  <c r="AE61" i="12" s="1"/>
  <c r="Q238" i="12"/>
  <c r="Q275" i="12"/>
  <c r="AE275" i="12" s="1"/>
  <c r="Q274" i="12"/>
  <c r="AE274" i="12" s="1"/>
  <c r="Q132" i="12"/>
  <c r="AE132" i="12" s="1"/>
  <c r="Q203" i="12"/>
  <c r="Q194" i="12"/>
  <c r="Q60" i="12"/>
  <c r="AE60" i="12" s="1"/>
  <c r="Q55" i="12"/>
  <c r="P58" i="10" s="1"/>
  <c r="Q58" i="10" s="1"/>
  <c r="Q107" i="12"/>
  <c r="AE107" i="12" s="1"/>
  <c r="Q138" i="12"/>
  <c r="Q77" i="12"/>
  <c r="AE77" i="12" s="1"/>
  <c r="Q199" i="12"/>
  <c r="Q46" i="12"/>
  <c r="AE46" i="12" s="1"/>
  <c r="Q272" i="12"/>
  <c r="AE272" i="12" s="1"/>
  <c r="Q271" i="12"/>
  <c r="AE271" i="12" s="1"/>
  <c r="Q245" i="12"/>
  <c r="AE245" i="12" s="1"/>
  <c r="Q218" i="12"/>
  <c r="AE218" i="12" s="1"/>
  <c r="Q175" i="12"/>
  <c r="AE175" i="12" s="1"/>
  <c r="Q196" i="12"/>
  <c r="Q197" i="12"/>
  <c r="Q136" i="12"/>
  <c r="AE136" i="12" s="1"/>
  <c r="Q270" i="12"/>
  <c r="AE270" i="12" s="1"/>
  <c r="Q216" i="12"/>
  <c r="AE216" i="12" s="1"/>
  <c r="Q63" i="12"/>
  <c r="Q145" i="12"/>
  <c r="AE145" i="12" s="1"/>
  <c r="Q76" i="12"/>
  <c r="Q159" i="12"/>
  <c r="Q143" i="12"/>
  <c r="Q269" i="12"/>
  <c r="AE269" i="12" s="1"/>
  <c r="Q268" i="12"/>
  <c r="AE268" i="12" s="1"/>
  <c r="Q276" i="12"/>
  <c r="Q242" i="12"/>
  <c r="AE242" i="12" s="1"/>
  <c r="Q241" i="12"/>
  <c r="Q94" i="12"/>
  <c r="AE94" i="12" s="1"/>
  <c r="Q239" i="12"/>
  <c r="AE239" i="12" s="1"/>
  <c r="Q252" i="12"/>
  <c r="AE252" i="12" s="1"/>
  <c r="Q19" i="12"/>
  <c r="AE19" i="12" s="1"/>
  <c r="Q213" i="12"/>
  <c r="AE213" i="12" s="1"/>
  <c r="Q12" i="12"/>
  <c r="AE12" i="12" s="1"/>
  <c r="Q13" i="12"/>
  <c r="AE13" i="12" s="1"/>
  <c r="Q266" i="12"/>
  <c r="AE266" i="12" s="1"/>
  <c r="Q265" i="12"/>
  <c r="AE265" i="12" s="1"/>
  <c r="Q264" i="12"/>
  <c r="AE264" i="12" s="1"/>
  <c r="Q263" i="12"/>
  <c r="AE263" i="12" s="1"/>
  <c r="Q154" i="12"/>
  <c r="AE154" i="12" s="1"/>
  <c r="Q262" i="12"/>
  <c r="AE262" i="12" s="1"/>
  <c r="Q261" i="12"/>
  <c r="AE261" i="12" s="1"/>
  <c r="Q204" i="12"/>
  <c r="Q260" i="12"/>
  <c r="Q193" i="12"/>
  <c r="AE193" i="12" s="1"/>
  <c r="Q224" i="12"/>
  <c r="AE224" i="12" s="1"/>
  <c r="Q28" i="12"/>
  <c r="Q259" i="12"/>
  <c r="AE259" i="12" s="1"/>
  <c r="Q207" i="12"/>
  <c r="AE207" i="12" s="1"/>
  <c r="Q258" i="12"/>
  <c r="AE258" i="12" s="1"/>
  <c r="Q152" i="12"/>
  <c r="AE152" i="12" s="1"/>
  <c r="Q237" i="12"/>
  <c r="Q78" i="12"/>
  <c r="Q186" i="12"/>
  <c r="AE186" i="12" s="1"/>
  <c r="Q257" i="12"/>
  <c r="AE257" i="12" s="1"/>
  <c r="Q256" i="12"/>
  <c r="AE256" i="12" s="1"/>
  <c r="Q183" i="12"/>
  <c r="AE183" i="12" s="1"/>
  <c r="Q255" i="12"/>
  <c r="AE255" i="12" s="1"/>
  <c r="Q228" i="12"/>
  <c r="AE228" i="12" s="1"/>
  <c r="Q82" i="12"/>
  <c r="AE82" i="12" s="1"/>
  <c r="Q84" i="12"/>
  <c r="AE84" i="12" s="1"/>
  <c r="Q124" i="12"/>
  <c r="AE124" i="12" s="1"/>
  <c r="Q254" i="12"/>
  <c r="Q66" i="12"/>
  <c r="AE66" i="12" s="1"/>
  <c r="Q14" i="12"/>
  <c r="AE14" i="12" s="1"/>
  <c r="Q59" i="12"/>
  <c r="Q253" i="12"/>
  <c r="AE253" i="12" s="1"/>
  <c r="Q102" i="12"/>
  <c r="AE102" i="12" s="1"/>
  <c r="Q163" i="12"/>
  <c r="Q250" i="12"/>
  <c r="AE250" i="12" s="1"/>
  <c r="Q249" i="12"/>
  <c r="AE249" i="12" s="1"/>
  <c r="Q185" i="12"/>
  <c r="AE185" i="12" s="1"/>
  <c r="Q155" i="12"/>
  <c r="AE155" i="12" s="1"/>
  <c r="Q96" i="12"/>
  <c r="Q195" i="12"/>
  <c r="AE195" i="12" s="1"/>
  <c r="Q29" i="12"/>
  <c r="AE29" i="12" s="1"/>
  <c r="Q100" i="12"/>
  <c r="AE100" i="12" s="1"/>
  <c r="O53" i="12"/>
  <c r="O148" i="12"/>
  <c r="P148" i="12" s="1"/>
  <c r="O10" i="12"/>
  <c r="P10" i="12" s="1"/>
  <c r="O217" i="12"/>
  <c r="P217" i="12" s="1"/>
  <c r="O119" i="12"/>
  <c r="P119" i="12" s="1"/>
  <c r="O231" i="12"/>
  <c r="P231" i="12" s="1"/>
  <c r="O189" i="12"/>
  <c r="P189" i="12" s="1"/>
  <c r="O43" i="12"/>
  <c r="P43" i="12" s="1"/>
  <c r="O131" i="12"/>
  <c r="P131" i="12" s="1"/>
  <c r="O149" i="12"/>
  <c r="P149" i="12" s="1"/>
  <c r="O57" i="12"/>
  <c r="P57" i="12" s="1"/>
  <c r="O200" i="12"/>
  <c r="O214" i="12"/>
  <c r="P214" i="12" s="1"/>
  <c r="O17" i="12"/>
  <c r="P17" i="12" s="1"/>
  <c r="O11" i="12"/>
  <c r="P11" i="12" s="1"/>
  <c r="O179" i="12"/>
  <c r="P179" i="12" s="1"/>
  <c r="O192" i="12"/>
  <c r="P192" i="12" s="1"/>
  <c r="O227" i="12"/>
  <c r="P227" i="12" s="1"/>
  <c r="O88" i="12"/>
  <c r="P88" i="12" s="1"/>
  <c r="O85" i="12"/>
  <c r="P85" i="12" s="1"/>
  <c r="O182" i="12"/>
  <c r="P182" i="12" s="1"/>
  <c r="O277" i="12"/>
  <c r="P277" i="12" s="1"/>
  <c r="O173" i="12"/>
  <c r="P173" i="12" s="1"/>
  <c r="O81" i="12"/>
  <c r="P81" i="12" s="1"/>
  <c r="O128" i="12"/>
  <c r="P128" i="12" s="1"/>
  <c r="O181" i="12"/>
  <c r="P181" i="12" s="1"/>
  <c r="O52" i="12"/>
  <c r="P52" i="12" s="1"/>
  <c r="O108" i="12"/>
  <c r="P108" i="12" s="1"/>
  <c r="O168" i="12"/>
  <c r="P168" i="12" s="1"/>
  <c r="O314" i="12"/>
  <c r="P314" i="12" s="1"/>
  <c r="O313" i="12"/>
  <c r="P313" i="12" s="1"/>
  <c r="O72" i="12"/>
  <c r="P72" i="12" s="1"/>
  <c r="O62" i="12"/>
  <c r="P62" i="12" s="1"/>
  <c r="O67" i="12"/>
  <c r="P67" i="12" s="1"/>
  <c r="O167" i="12"/>
  <c r="P167" i="12" s="1"/>
  <c r="O171" i="12"/>
  <c r="P171" i="12" s="1"/>
  <c r="O47" i="12"/>
  <c r="P47" i="12" s="1"/>
  <c r="O172" i="12"/>
  <c r="P172" i="12" s="1"/>
  <c r="O137" i="12"/>
  <c r="P137" i="12" s="1"/>
  <c r="O26" i="12"/>
  <c r="P26" i="12" s="1"/>
  <c r="O190" i="12"/>
  <c r="P190" i="12" s="1"/>
  <c r="O273" i="12"/>
  <c r="P273" i="12" s="1"/>
  <c r="O267" i="12"/>
  <c r="P267" i="12" s="1"/>
  <c r="O135" i="12"/>
  <c r="P135" i="12" s="1"/>
  <c r="O178" i="12"/>
  <c r="P178" i="12" s="1"/>
  <c r="O75" i="12"/>
  <c r="P75" i="12" s="1"/>
  <c r="O35" i="12"/>
  <c r="P35" i="12" s="1"/>
  <c r="O69" i="12"/>
  <c r="P69" i="12" s="1"/>
  <c r="O236" i="12"/>
  <c r="P236" i="12" s="1"/>
  <c r="O225" i="12"/>
  <c r="P225" i="12" s="1"/>
  <c r="O317" i="12"/>
  <c r="P317" i="12" s="1"/>
  <c r="O286" i="12"/>
  <c r="P286" i="12" s="1"/>
  <c r="O51" i="12"/>
  <c r="P51" i="12" s="1"/>
  <c r="O56" i="12"/>
  <c r="P56" i="12" s="1"/>
  <c r="O80" i="12"/>
  <c r="P80" i="12" s="1"/>
  <c r="O170" i="12"/>
  <c r="P170" i="12" s="1"/>
  <c r="O37" i="12"/>
  <c r="P37" i="12" s="1"/>
  <c r="O32" i="12"/>
  <c r="P32" i="12" s="1"/>
  <c r="O49" i="12"/>
  <c r="P49" i="12" s="1"/>
  <c r="O64" i="12"/>
  <c r="P64" i="12" s="1"/>
  <c r="O36" i="12"/>
  <c r="P36" i="12" s="1"/>
  <c r="O91" i="12"/>
  <c r="P91" i="12" s="1"/>
  <c r="O315" i="12"/>
  <c r="P315" i="12" s="1"/>
  <c r="O38" i="12"/>
  <c r="P38" i="12" s="1"/>
  <c r="O312" i="12"/>
  <c r="P312" i="12" s="1"/>
  <c r="O176" i="12"/>
  <c r="P176" i="12" s="1"/>
  <c r="O311" i="12"/>
  <c r="P311" i="12" s="1"/>
  <c r="O310" i="12"/>
  <c r="P310" i="12" s="1"/>
  <c r="O309" i="12"/>
  <c r="P309" i="12" s="1"/>
  <c r="O208" i="12"/>
  <c r="P208" i="12" s="1"/>
  <c r="O221" i="12"/>
  <c r="P221" i="12" s="1"/>
  <c r="O105" i="12"/>
  <c r="P105" i="12" s="1"/>
  <c r="O127" i="12"/>
  <c r="P127" i="12" s="1"/>
  <c r="O68" i="12"/>
  <c r="P68" i="12" s="1"/>
  <c r="O111" i="12"/>
  <c r="P111" i="12" s="1"/>
  <c r="O118" i="12"/>
  <c r="P118" i="12" s="1"/>
  <c r="O308" i="12"/>
  <c r="P308" i="12" s="1"/>
  <c r="O58" i="12"/>
  <c r="P58" i="12" s="1"/>
  <c r="O307" i="12"/>
  <c r="P307" i="12" s="1"/>
  <c r="O165" i="12"/>
  <c r="P165" i="12" s="1"/>
  <c r="O65" i="12"/>
  <c r="P65" i="12" s="1"/>
  <c r="O210" i="12"/>
  <c r="P210" i="12" s="1"/>
  <c r="O306" i="12"/>
  <c r="P306" i="12" s="1"/>
  <c r="O206" i="12"/>
  <c r="P206" i="12" s="1"/>
  <c r="O79" i="12"/>
  <c r="P79" i="12" s="1"/>
  <c r="O134" i="12"/>
  <c r="P134" i="12" s="1"/>
  <c r="O212" i="12"/>
  <c r="P212" i="12" s="1"/>
  <c r="O169" i="12"/>
  <c r="P169" i="12" s="1"/>
  <c r="O305" i="12"/>
  <c r="P305" i="12" s="1"/>
  <c r="O304" i="12"/>
  <c r="P304" i="12" s="1"/>
  <c r="O18" i="12"/>
  <c r="P18" i="12" s="1"/>
  <c r="O230" i="12"/>
  <c r="P230" i="12" s="1"/>
  <c r="O243" i="12"/>
  <c r="P243" i="12" s="1"/>
  <c r="O116" i="12"/>
  <c r="P116" i="12" s="1"/>
  <c r="O141" i="12"/>
  <c r="P141" i="12" s="1"/>
  <c r="O157" i="12"/>
  <c r="P157" i="12" s="1"/>
  <c r="O303" i="12"/>
  <c r="P303" i="12" s="1"/>
  <c r="O98" i="12"/>
  <c r="P98" i="12" s="1"/>
  <c r="O166" i="12"/>
  <c r="P166" i="12" s="1"/>
  <c r="O187" i="12"/>
  <c r="P187" i="12" s="1"/>
  <c r="O150" i="12"/>
  <c r="P150" i="12" s="1"/>
  <c r="O90" i="12"/>
  <c r="P90" i="12" s="1"/>
  <c r="O235" i="12"/>
  <c r="P235" i="12" s="1"/>
  <c r="O126" i="12"/>
  <c r="P126" i="12" s="1"/>
  <c r="O302" i="12"/>
  <c r="P302" i="12" s="1"/>
  <c r="O133" i="12"/>
  <c r="P133" i="12" s="1"/>
  <c r="O301" i="12"/>
  <c r="P301" i="12" s="1"/>
  <c r="O191" i="12"/>
  <c r="P191" i="12" s="1"/>
  <c r="O115" i="12"/>
  <c r="P115" i="12" s="1"/>
  <c r="O300" i="12"/>
  <c r="P300" i="12" s="1"/>
  <c r="O232" i="12"/>
  <c r="P232" i="12" s="1"/>
  <c r="O27" i="12"/>
  <c r="P27" i="12" s="1"/>
  <c r="O244" i="12"/>
  <c r="P244" i="12" s="1"/>
  <c r="O106" i="12"/>
  <c r="P106" i="12" s="1"/>
  <c r="O71" i="12"/>
  <c r="P71" i="12" s="1"/>
  <c r="O299" i="12"/>
  <c r="P299" i="12" s="1"/>
  <c r="O233" i="12"/>
  <c r="P233" i="12" s="1"/>
  <c r="O202" i="12"/>
  <c r="P202" i="12" s="1"/>
  <c r="O209" i="12"/>
  <c r="P209" i="12" s="1"/>
  <c r="O25" i="12"/>
  <c r="P25" i="12" s="1"/>
  <c r="O113" i="12"/>
  <c r="P113" i="12" s="1"/>
  <c r="O298" i="12"/>
  <c r="P298" i="12" s="1"/>
  <c r="O297" i="12"/>
  <c r="P297" i="12" s="1"/>
  <c r="O296" i="12"/>
  <c r="P296" i="12" s="1"/>
  <c r="O295" i="12"/>
  <c r="P295" i="12" s="1"/>
  <c r="O198" i="12"/>
  <c r="P198" i="12" s="1"/>
  <c r="O294" i="12"/>
  <c r="P294" i="12" s="1"/>
  <c r="O121" i="12"/>
  <c r="P121" i="12" s="1"/>
  <c r="O139" i="12"/>
  <c r="P139" i="12" s="1"/>
  <c r="O293" i="12"/>
  <c r="P293" i="12" s="1"/>
  <c r="O292" i="12"/>
  <c r="P292" i="12" s="1"/>
  <c r="O291" i="12"/>
  <c r="P291" i="12" s="1"/>
  <c r="O290" i="12"/>
  <c r="P290" i="12" s="1"/>
  <c r="O223" i="12"/>
  <c r="P223" i="12" s="1"/>
  <c r="O289" i="12"/>
  <c r="P289" i="12" s="1"/>
  <c r="O288" i="12"/>
  <c r="P288" i="12" s="1"/>
  <c r="O16" i="12"/>
  <c r="P16" i="12" s="1"/>
  <c r="O74" i="12"/>
  <c r="P74" i="12" s="1"/>
  <c r="O177" i="12"/>
  <c r="P177" i="12" s="1"/>
  <c r="O287" i="12"/>
  <c r="P287" i="12" s="1"/>
  <c r="O180" i="12"/>
  <c r="P180" i="12" s="1"/>
  <c r="O146" i="12"/>
  <c r="P146" i="12" s="1"/>
  <c r="O215" i="12"/>
  <c r="P215" i="12" s="1"/>
  <c r="O130" i="12"/>
  <c r="P130" i="12" s="1"/>
  <c r="O229" i="12"/>
  <c r="P229" i="12" s="1"/>
  <c r="O285" i="12"/>
  <c r="P285" i="12" s="1"/>
  <c r="O284" i="12"/>
  <c r="P284" i="12" s="1"/>
  <c r="O15" i="12"/>
  <c r="P15" i="12" s="1"/>
  <c r="O283" i="12"/>
  <c r="P283" i="12" s="1"/>
  <c r="O248" i="12"/>
  <c r="P248" i="12" s="1"/>
  <c r="O282" i="12"/>
  <c r="P282" i="12" s="1"/>
  <c r="O140" i="12"/>
  <c r="P140" i="12" s="1"/>
  <c r="O201" i="12"/>
  <c r="P201" i="12" s="1"/>
  <c r="O281" i="12"/>
  <c r="P281" i="12" s="1"/>
  <c r="O226" i="12"/>
  <c r="P226" i="12" s="1"/>
  <c r="O86" i="12"/>
  <c r="P86" i="12" s="1"/>
  <c r="O280" i="12"/>
  <c r="P280" i="12" s="1"/>
  <c r="O153" i="12"/>
  <c r="P153" i="12" s="1"/>
  <c r="O125" i="12"/>
  <c r="P125" i="12" s="1"/>
  <c r="O234" i="12"/>
  <c r="P234" i="12" s="1"/>
  <c r="O220" i="12"/>
  <c r="P220" i="12" s="1"/>
  <c r="O151" i="12"/>
  <c r="P151" i="12" s="1"/>
  <c r="O93" i="12"/>
  <c r="P93" i="12" s="1"/>
  <c r="O278" i="12"/>
  <c r="P278" i="12" s="1"/>
  <c r="O222" i="12"/>
  <c r="P222" i="12" s="1"/>
  <c r="O188" i="12"/>
  <c r="P188" i="12" s="1"/>
  <c r="O61" i="12"/>
  <c r="P61" i="12" s="1"/>
  <c r="O238" i="12"/>
  <c r="P238" i="12" s="1"/>
  <c r="O275" i="12"/>
  <c r="P275" i="12" s="1"/>
  <c r="O274" i="12"/>
  <c r="P274" i="12" s="1"/>
  <c r="O132" i="12"/>
  <c r="P132" i="12" s="1"/>
  <c r="O203" i="12"/>
  <c r="P203" i="12" s="1"/>
  <c r="O194" i="12"/>
  <c r="P194" i="12" s="1"/>
  <c r="O60" i="12"/>
  <c r="P60" i="12" s="1"/>
  <c r="O55" i="12"/>
  <c r="P55" i="12" s="1"/>
  <c r="O107" i="12"/>
  <c r="P107" i="12" s="1"/>
  <c r="O138" i="12"/>
  <c r="P138" i="12" s="1"/>
  <c r="O77" i="12"/>
  <c r="P77" i="12" s="1"/>
  <c r="O199" i="12"/>
  <c r="P199" i="12" s="1"/>
  <c r="O46" i="12"/>
  <c r="P46" i="12" s="1"/>
  <c r="O272" i="12"/>
  <c r="P272" i="12" s="1"/>
  <c r="O271" i="12"/>
  <c r="P271" i="12" s="1"/>
  <c r="O245" i="12"/>
  <c r="P245" i="12" s="1"/>
  <c r="O218" i="12"/>
  <c r="P218" i="12" s="1"/>
  <c r="O175" i="12"/>
  <c r="P175" i="12" s="1"/>
  <c r="O196" i="12"/>
  <c r="P196" i="12" s="1"/>
  <c r="O197" i="12"/>
  <c r="P197" i="12" s="1"/>
  <c r="O136" i="12"/>
  <c r="P136" i="12" s="1"/>
  <c r="O270" i="12"/>
  <c r="P270" i="12" s="1"/>
  <c r="O216" i="12"/>
  <c r="P216" i="12" s="1"/>
  <c r="O63" i="12"/>
  <c r="P63" i="12" s="1"/>
  <c r="O145" i="12"/>
  <c r="P145" i="12" s="1"/>
  <c r="O76" i="12"/>
  <c r="P76" i="12" s="1"/>
  <c r="O159" i="12"/>
  <c r="P159" i="12" s="1"/>
  <c r="O143" i="12"/>
  <c r="P143" i="12" s="1"/>
  <c r="O269" i="12"/>
  <c r="P269" i="12" s="1"/>
  <c r="O268" i="12"/>
  <c r="P268" i="12" s="1"/>
  <c r="O276" i="12"/>
  <c r="P276" i="12" s="1"/>
  <c r="O242" i="12"/>
  <c r="P242" i="12" s="1"/>
  <c r="O241" i="12"/>
  <c r="P241" i="12" s="1"/>
  <c r="O94" i="12"/>
  <c r="P94" i="12" s="1"/>
  <c r="O239" i="12"/>
  <c r="P239" i="12" s="1"/>
  <c r="O252" i="12"/>
  <c r="P252" i="12" s="1"/>
  <c r="O19" i="12"/>
  <c r="P19" i="12" s="1"/>
  <c r="O213" i="12"/>
  <c r="P213" i="12" s="1"/>
  <c r="O12" i="12"/>
  <c r="P12" i="12" s="1"/>
  <c r="O13" i="12"/>
  <c r="P13" i="12" s="1"/>
  <c r="O266" i="12"/>
  <c r="P266" i="12" s="1"/>
  <c r="O265" i="12"/>
  <c r="P265" i="12" s="1"/>
  <c r="O264" i="12"/>
  <c r="P264" i="12" s="1"/>
  <c r="O263" i="12"/>
  <c r="P263" i="12" s="1"/>
  <c r="O154" i="12"/>
  <c r="P154" i="12" s="1"/>
  <c r="O262" i="12"/>
  <c r="P262" i="12" s="1"/>
  <c r="O261" i="12"/>
  <c r="P261" i="12" s="1"/>
  <c r="O204" i="12"/>
  <c r="P204" i="12" s="1"/>
  <c r="O260" i="12"/>
  <c r="P260" i="12" s="1"/>
  <c r="O224" i="12"/>
  <c r="P224" i="12" s="1"/>
  <c r="O28" i="12"/>
  <c r="P28" i="12" s="1"/>
  <c r="O259" i="12"/>
  <c r="P259" i="12" s="1"/>
  <c r="O207" i="12"/>
  <c r="P207" i="12" s="1"/>
  <c r="O258" i="12"/>
  <c r="P258" i="12" s="1"/>
  <c r="O152" i="12"/>
  <c r="P152" i="12" s="1"/>
  <c r="O237" i="12"/>
  <c r="P237" i="12" s="1"/>
  <c r="O78" i="12"/>
  <c r="P78" i="12" s="1"/>
  <c r="O186" i="12"/>
  <c r="P186" i="12" s="1"/>
  <c r="O257" i="12"/>
  <c r="P257" i="12" s="1"/>
  <c r="O256" i="12"/>
  <c r="P256" i="12" s="1"/>
  <c r="O183" i="12"/>
  <c r="P183" i="12" s="1"/>
  <c r="O255" i="12"/>
  <c r="P255" i="12" s="1"/>
  <c r="O228" i="12"/>
  <c r="P228" i="12" s="1"/>
  <c r="O82" i="12"/>
  <c r="P82" i="12" s="1"/>
  <c r="O84" i="12"/>
  <c r="P84" i="12" s="1"/>
  <c r="O124" i="12"/>
  <c r="P124" i="12" s="1"/>
  <c r="O254" i="12"/>
  <c r="P254" i="12" s="1"/>
  <c r="O66" i="12"/>
  <c r="P66" i="12" s="1"/>
  <c r="O14" i="12"/>
  <c r="P14" i="12" s="1"/>
  <c r="O59" i="12"/>
  <c r="P59" i="12" s="1"/>
  <c r="O253" i="12"/>
  <c r="P253" i="12" s="1"/>
  <c r="O102" i="12"/>
  <c r="P102" i="12" s="1"/>
  <c r="O163" i="12"/>
  <c r="P163" i="12" s="1"/>
  <c r="O250" i="12"/>
  <c r="P250" i="12" s="1"/>
  <c r="O249" i="12"/>
  <c r="P249" i="12" s="1"/>
  <c r="O185" i="12"/>
  <c r="P185" i="12" s="1"/>
  <c r="O155" i="12"/>
  <c r="P155" i="12" s="1"/>
  <c r="O96" i="12"/>
  <c r="P96" i="12" s="1"/>
  <c r="O195" i="12"/>
  <c r="P195" i="12" s="1"/>
  <c r="O29" i="12"/>
  <c r="P29" i="12" s="1"/>
  <c r="O161" i="12"/>
  <c r="P161" i="12" s="1"/>
  <c r="O100" i="12"/>
  <c r="P100" i="12" s="1"/>
  <c r="O48" i="12"/>
  <c r="P48" i="12" s="1"/>
  <c r="O33" i="12"/>
  <c r="P33" i="12" s="1"/>
  <c r="O31" i="12"/>
  <c r="P31" i="12" s="1"/>
  <c r="O87" i="12"/>
  <c r="P87" i="12" s="1"/>
  <c r="O247" i="12"/>
  <c r="P247" i="12" s="1"/>
  <c r="Q87" i="12"/>
  <c r="P5" i="10" s="1"/>
  <c r="Q5" i="10" s="1"/>
  <c r="Q48" i="12"/>
  <c r="AE48" i="12" s="1"/>
  <c r="Q247" i="12"/>
  <c r="AE247" i="12" s="1"/>
  <c r="Q33" i="12"/>
  <c r="AE33" i="12" s="1"/>
  <c r="Q31" i="12"/>
  <c r="AC66" i="14" l="1"/>
  <c r="AE66" i="14"/>
  <c r="P41" i="10"/>
  <c r="Q41" i="10" s="1"/>
  <c r="AE237" i="12"/>
  <c r="P51" i="10"/>
  <c r="Q51" i="10" s="1"/>
  <c r="AE204" i="12"/>
  <c r="P78" i="10"/>
  <c r="Q78" i="10" s="1"/>
  <c r="AE241" i="12"/>
  <c r="AE159" i="12"/>
  <c r="AE63" i="12"/>
  <c r="P104" i="10"/>
  <c r="Q104" i="10" s="1"/>
  <c r="AE199" i="12"/>
  <c r="P113" i="10"/>
  <c r="Q113" i="10" s="1"/>
  <c r="AE194" i="12"/>
  <c r="P127" i="10"/>
  <c r="Q127" i="10" s="1"/>
  <c r="AE220" i="12"/>
  <c r="P133" i="10"/>
  <c r="Q133" i="10" s="1"/>
  <c r="AE226" i="12"/>
  <c r="P167" i="10"/>
  <c r="Q167" i="10" s="1"/>
  <c r="AE16" i="12"/>
  <c r="P181" i="10"/>
  <c r="Q181" i="10" s="1"/>
  <c r="AE209" i="12"/>
  <c r="P233" i="10"/>
  <c r="Q233" i="10" s="1"/>
  <c r="AE306" i="12"/>
  <c r="P252" i="10"/>
  <c r="Q252" i="10" s="1"/>
  <c r="AE312" i="12"/>
  <c r="P257" i="10"/>
  <c r="Q257" i="10" s="1"/>
  <c r="AE49" i="12"/>
  <c r="P250" i="10"/>
  <c r="Q250" i="10" s="1"/>
  <c r="AE72" i="12"/>
  <c r="P19" i="10"/>
  <c r="Q19" i="10" s="1"/>
  <c r="AE163" i="12"/>
  <c r="P28" i="10"/>
  <c r="Q28" i="10" s="1"/>
  <c r="AE59" i="12"/>
  <c r="P33" i="10"/>
  <c r="Q33" i="10" s="1"/>
  <c r="AE254" i="12"/>
  <c r="AE76" i="12"/>
  <c r="P97" i="10"/>
  <c r="Q97" i="10" s="1"/>
  <c r="AE197" i="12"/>
  <c r="P109" i="10"/>
  <c r="Q109" i="10" s="1"/>
  <c r="AE55" i="12"/>
  <c r="P114" i="10"/>
  <c r="Q114" i="10" s="1"/>
  <c r="AE203" i="12"/>
  <c r="P123" i="10"/>
  <c r="Q123" i="10" s="1"/>
  <c r="AE93" i="12"/>
  <c r="P155" i="10"/>
  <c r="Q155" i="10" s="1"/>
  <c r="AE146" i="12"/>
  <c r="P178" i="10"/>
  <c r="Q178" i="10" s="1"/>
  <c r="AE113" i="12"/>
  <c r="P239" i="10"/>
  <c r="Q239" i="10" s="1"/>
  <c r="AE118" i="12"/>
  <c r="P247" i="10"/>
  <c r="Q247" i="10" s="1"/>
  <c r="AE208" i="12"/>
  <c r="P57" i="10"/>
  <c r="AE240" i="12"/>
  <c r="P6" i="10"/>
  <c r="Q6" i="10" s="1"/>
  <c r="AE31" i="12"/>
  <c r="P11" i="10"/>
  <c r="Q11" i="10" s="1"/>
  <c r="AE96" i="12"/>
  <c r="P40" i="10"/>
  <c r="Q40" i="10" s="1"/>
  <c r="AE78" i="12"/>
  <c r="P183" i="10"/>
  <c r="Q183" i="10" s="1"/>
  <c r="AE28" i="12"/>
  <c r="P49" i="10"/>
  <c r="Q49" i="10" s="1"/>
  <c r="AE260" i="12"/>
  <c r="P89" i="10"/>
  <c r="Q89" i="10" s="1"/>
  <c r="AE276" i="12"/>
  <c r="P90" i="10"/>
  <c r="Q90" i="10" s="1"/>
  <c r="AE143" i="12"/>
  <c r="P98" i="10"/>
  <c r="Q98" i="10" s="1"/>
  <c r="AE196" i="12"/>
  <c r="P107" i="10"/>
  <c r="Q107" i="10" s="1"/>
  <c r="AE138" i="12"/>
  <c r="P118" i="10"/>
  <c r="Q118" i="10" s="1"/>
  <c r="AE238" i="12"/>
  <c r="P121" i="10"/>
  <c r="Q121" i="10" s="1"/>
  <c r="AE222" i="12"/>
  <c r="P131" i="10"/>
  <c r="Q131" i="10" s="1"/>
  <c r="AE86" i="12"/>
  <c r="P165" i="10"/>
  <c r="Q165" i="10" s="1"/>
  <c r="AE74" i="12"/>
  <c r="P232" i="10"/>
  <c r="Q232" i="10" s="1"/>
  <c r="AE206" i="12"/>
  <c r="P248" i="10"/>
  <c r="Q248" i="10" s="1"/>
  <c r="AE176" i="12"/>
  <c r="P269" i="10"/>
  <c r="Q269" i="10" s="1"/>
  <c r="AE56" i="12"/>
  <c r="P245" i="10"/>
  <c r="Q245" i="10" s="1"/>
  <c r="AE62" i="12"/>
  <c r="R246" i="12"/>
  <c r="S246" i="12" s="1"/>
  <c r="AE246" i="12"/>
  <c r="AE87" i="12"/>
  <c r="P186" i="10"/>
  <c r="Q186" i="10" s="1"/>
  <c r="P101" i="10"/>
  <c r="Q101" i="10" s="1"/>
  <c r="P17" i="10"/>
  <c r="Q17" i="10" s="1"/>
  <c r="P65" i="10"/>
  <c r="Q65" i="10" s="1"/>
  <c r="P103" i="10"/>
  <c r="Q103" i="10" s="1"/>
  <c r="P115" i="10"/>
  <c r="Q115" i="10" s="1"/>
  <c r="P137" i="10"/>
  <c r="Q137" i="10" s="1"/>
  <c r="P144" i="10"/>
  <c r="Q144" i="10" s="1"/>
  <c r="P226" i="10"/>
  <c r="Q226" i="10" s="1"/>
  <c r="P203" i="10"/>
  <c r="Q203" i="10" s="1"/>
  <c r="P215" i="10"/>
  <c r="Q215" i="10" s="1"/>
  <c r="P259" i="10"/>
  <c r="Q259" i="10" s="1"/>
  <c r="P106" i="10"/>
  <c r="Q106" i="10" s="1"/>
  <c r="P53" i="10"/>
  <c r="Q53" i="10" s="1"/>
  <c r="P8" i="10"/>
  <c r="Q8" i="10" s="1"/>
  <c r="P14" i="10"/>
  <c r="Q14" i="10" s="1"/>
  <c r="P16" i="10"/>
  <c r="Q16" i="10" s="1"/>
  <c r="P128" i="10"/>
  <c r="Q128" i="10" s="1"/>
  <c r="P146" i="10"/>
  <c r="Q146" i="10" s="1"/>
  <c r="P176" i="10"/>
  <c r="Q176" i="10" s="1"/>
  <c r="P192" i="10"/>
  <c r="Q192" i="10" s="1"/>
  <c r="P211" i="10"/>
  <c r="Q211" i="10" s="1"/>
  <c r="P225" i="10"/>
  <c r="Q225" i="10" s="1"/>
  <c r="P116" i="10"/>
  <c r="Q116" i="10" s="1"/>
  <c r="P224" i="10"/>
  <c r="Q224" i="10" s="1"/>
  <c r="P7" i="10"/>
  <c r="Q7" i="10" s="1"/>
  <c r="P185" i="10"/>
  <c r="Q185" i="10" s="1"/>
  <c r="P20" i="10"/>
  <c r="Q20" i="10" s="1"/>
  <c r="P38" i="10"/>
  <c r="Q38" i="10" s="1"/>
  <c r="P55" i="10"/>
  <c r="Q55" i="10" s="1"/>
  <c r="P161" i="10"/>
  <c r="Q161" i="10" s="1"/>
  <c r="P71" i="10"/>
  <c r="Q71" i="10" s="1"/>
  <c r="P73" i="10"/>
  <c r="Q73" i="10" s="1"/>
  <c r="P263" i="10"/>
  <c r="Q263" i="10" s="1"/>
  <c r="P76" i="10"/>
  <c r="Q76" i="10" s="1"/>
  <c r="P93" i="10"/>
  <c r="Q93" i="10" s="1"/>
  <c r="P100" i="10"/>
  <c r="Q100" i="10" s="1"/>
  <c r="P120" i="10"/>
  <c r="Q120" i="10" s="1"/>
  <c r="P163" i="10"/>
  <c r="Q163" i="10" s="1"/>
  <c r="P177" i="10"/>
  <c r="Q177" i="10" s="1"/>
  <c r="P182" i="10"/>
  <c r="Q182" i="10" s="1"/>
  <c r="P209" i="10"/>
  <c r="Q209" i="10" s="1"/>
  <c r="P210" i="10"/>
  <c r="Q210" i="10" s="1"/>
  <c r="P75" i="10"/>
  <c r="Q75" i="10" s="1"/>
  <c r="P221" i="10"/>
  <c r="Q221" i="10" s="1"/>
  <c r="P229" i="10"/>
  <c r="Q229" i="10" s="1"/>
  <c r="P231" i="10"/>
  <c r="Q231" i="10" s="1"/>
  <c r="P235" i="10"/>
  <c r="Q235" i="10" s="1"/>
  <c r="P54" i="10"/>
  <c r="Q54" i="10" s="1"/>
  <c r="P56" i="10"/>
  <c r="Q56" i="10" s="1"/>
  <c r="P112" i="10"/>
  <c r="Q112" i="10" s="1"/>
  <c r="P132" i="10"/>
  <c r="Q132" i="10" s="1"/>
  <c r="P187" i="10"/>
  <c r="Q187" i="10" s="1"/>
  <c r="P164" i="10"/>
  <c r="Q164" i="10" s="1"/>
  <c r="P32" i="10"/>
  <c r="Q32" i="10" s="1"/>
  <c r="P22" i="10"/>
  <c r="Q22" i="10" s="1"/>
  <c r="P189" i="10"/>
  <c r="Q189" i="10" s="1"/>
  <c r="P200" i="10"/>
  <c r="Q200" i="10" s="1"/>
  <c r="P62" i="10"/>
  <c r="Q62" i="10" s="1"/>
  <c r="P81" i="10"/>
  <c r="Q81" i="10" s="1"/>
  <c r="P223" i="10"/>
  <c r="Q223" i="10" s="1"/>
  <c r="P184" i="10"/>
  <c r="Q184" i="10" s="1"/>
  <c r="P199" i="10"/>
  <c r="Q199" i="10" s="1"/>
  <c r="P67" i="10"/>
  <c r="Q67" i="10" s="1"/>
  <c r="P86" i="10"/>
  <c r="Q86" i="10" s="1"/>
  <c r="P162" i="10"/>
  <c r="Q162" i="10" s="1"/>
  <c r="Q57" i="10"/>
  <c r="P39" i="10"/>
  <c r="Q39" i="10" s="1"/>
  <c r="P222" i="10"/>
  <c r="Q222" i="10" s="1"/>
  <c r="P42" i="10"/>
  <c r="Q42" i="10" s="1"/>
  <c r="P125" i="10"/>
  <c r="Q125" i="10" s="1"/>
  <c r="P70" i="10"/>
  <c r="Q70" i="10" s="1"/>
  <c r="P195" i="10"/>
  <c r="Q195" i="10" s="1"/>
  <c r="P95" i="10"/>
  <c r="Q95" i="10" s="1"/>
  <c r="P105" i="10"/>
  <c r="Q105" i="10" s="1"/>
  <c r="P145" i="10"/>
  <c r="Q145" i="10" s="1"/>
  <c r="P188" i="10"/>
  <c r="Q188" i="10" s="1"/>
  <c r="P197" i="10"/>
  <c r="Q197" i="10" s="1"/>
  <c r="P21" i="10"/>
  <c r="Q21" i="10" s="1"/>
  <c r="P204" i="10"/>
  <c r="Q204" i="10" s="1"/>
  <c r="P208" i="10"/>
  <c r="Q208" i="10" s="1"/>
  <c r="P228" i="10"/>
  <c r="Q228" i="10" s="1"/>
  <c r="P217" i="10"/>
  <c r="Q217" i="10" s="1"/>
  <c r="P234" i="10"/>
  <c r="Q234" i="10" s="1"/>
  <c r="P242" i="10"/>
  <c r="Q242" i="10" s="1"/>
  <c r="P253" i="10"/>
  <c r="Q253" i="10" s="1"/>
  <c r="P255" i="10"/>
  <c r="Q255" i="10" s="1"/>
  <c r="P258" i="10"/>
  <c r="Q258" i="10" s="1"/>
  <c r="P268" i="10"/>
  <c r="Q268" i="10" s="1"/>
  <c r="P136" i="10"/>
  <c r="Q136" i="10" s="1"/>
  <c r="P198" i="10"/>
  <c r="Q198" i="10" s="1"/>
  <c r="P50" i="10"/>
  <c r="Q50" i="10" s="1"/>
  <c r="P29" i="10"/>
  <c r="Q29" i="10" s="1"/>
  <c r="P138" i="10"/>
  <c r="Q138" i="10" s="1"/>
  <c r="P4" i="10"/>
  <c r="Q4" i="10" s="1"/>
  <c r="P180" i="10"/>
  <c r="Q180" i="10" s="1"/>
  <c r="P160" i="10"/>
  <c r="Q160" i="10" s="1"/>
  <c r="P80" i="10"/>
  <c r="Q80" i="10" s="1"/>
  <c r="P111" i="10"/>
  <c r="Q111" i="10" s="1"/>
  <c r="P117" i="10"/>
  <c r="Q117" i="10" s="1"/>
  <c r="P12" i="10"/>
  <c r="Q12" i="10" s="1"/>
  <c r="P251" i="10"/>
  <c r="Q251" i="10" s="1"/>
  <c r="P267" i="10"/>
  <c r="Q267" i="10" s="1"/>
  <c r="P61" i="10"/>
  <c r="Q61" i="10" s="1"/>
  <c r="P34" i="10"/>
  <c r="Q34" i="10" s="1"/>
  <c r="P110" i="10"/>
  <c r="Q110" i="10" s="1"/>
  <c r="P25" i="10"/>
  <c r="Q25" i="10" s="1"/>
  <c r="P124" i="10"/>
  <c r="Q124" i="10" s="1"/>
  <c r="P24" i="10"/>
  <c r="Q24" i="10" s="1"/>
  <c r="P129" i="10"/>
  <c r="Q129" i="10" s="1"/>
  <c r="P59" i="10"/>
  <c r="Q59" i="10" s="1"/>
  <c r="P149" i="10"/>
  <c r="Q149" i="10" s="1"/>
  <c r="P158" i="10"/>
  <c r="Q158" i="10" s="1"/>
  <c r="P174" i="10"/>
  <c r="Q174" i="10" s="1"/>
  <c r="P166" i="10"/>
  <c r="Q166" i="10" s="1"/>
  <c r="P179" i="10"/>
  <c r="Q179" i="10" s="1"/>
  <c r="P190" i="10"/>
  <c r="Q190" i="10" s="1"/>
  <c r="P196" i="10"/>
  <c r="Q196" i="10" s="1"/>
  <c r="P227" i="10"/>
  <c r="Q227" i="10" s="1"/>
  <c r="P212" i="10"/>
  <c r="Q212" i="10" s="1"/>
  <c r="P219" i="10"/>
  <c r="Q219" i="10" s="1"/>
  <c r="P238" i="10"/>
  <c r="Q238" i="10" s="1"/>
  <c r="P135" i="10"/>
  <c r="Q135" i="10" s="1"/>
  <c r="P240" i="10"/>
  <c r="Q240" i="10" s="1"/>
  <c r="P148" i="10"/>
  <c r="Q148" i="10" s="1"/>
  <c r="P243" i="10"/>
  <c r="Q243" i="10" s="1"/>
  <c r="P256" i="10"/>
  <c r="Q256" i="10" s="1"/>
  <c r="P173" i="10"/>
  <c r="Q173" i="10" s="1"/>
  <c r="P52" i="10"/>
  <c r="Q52" i="10" s="1"/>
  <c r="P205" i="10"/>
  <c r="Q205" i="10" s="1"/>
  <c r="P159" i="10"/>
  <c r="Q159" i="10" s="1"/>
  <c r="P141" i="10"/>
  <c r="Q141" i="10" s="1"/>
  <c r="P64" i="10"/>
  <c r="Q64" i="10" s="1"/>
  <c r="P82" i="10"/>
  <c r="Q82" i="10" s="1"/>
  <c r="P237" i="10"/>
  <c r="Q237" i="10" s="1"/>
  <c r="P79" i="10"/>
  <c r="Q79" i="10" s="1"/>
  <c r="P68" i="10"/>
  <c r="Q68" i="10" s="1"/>
  <c r="P83" i="10"/>
  <c r="Q83" i="10" s="1"/>
  <c r="P271" i="10"/>
  <c r="Q271" i="10" s="1"/>
  <c r="P150" i="10"/>
  <c r="Q150" i="10" s="1"/>
  <c r="P201" i="10"/>
  <c r="Q201" i="10" s="1"/>
  <c r="P266" i="10"/>
  <c r="Q266" i="10" s="1"/>
  <c r="P30" i="10"/>
  <c r="Q30" i="10" s="1"/>
  <c r="P13" i="10"/>
  <c r="Q13" i="10" s="1"/>
  <c r="P15" i="10"/>
  <c r="Q15" i="10" s="1"/>
  <c r="P31" i="10"/>
  <c r="Q31" i="10" s="1"/>
  <c r="P35" i="10"/>
  <c r="Q35" i="10" s="1"/>
  <c r="P43" i="10"/>
  <c r="Q43" i="10" s="1"/>
  <c r="P140" i="10"/>
  <c r="Q140" i="10" s="1"/>
  <c r="P69" i="10"/>
  <c r="Q69" i="10" s="1"/>
  <c r="P72" i="10"/>
  <c r="Q72" i="10" s="1"/>
  <c r="P96" i="10"/>
  <c r="Q96" i="10" s="1"/>
  <c r="P99" i="10"/>
  <c r="Q99" i="10" s="1"/>
  <c r="P108" i="10"/>
  <c r="Q108" i="10" s="1"/>
  <c r="P85" i="10"/>
  <c r="Q85" i="10" s="1"/>
  <c r="P119" i="10"/>
  <c r="Q119" i="10" s="1"/>
  <c r="P130" i="10"/>
  <c r="Q130" i="10" s="1"/>
  <c r="P143" i="10"/>
  <c r="Q143" i="10" s="1"/>
  <c r="P157" i="10"/>
  <c r="Q157" i="10" s="1"/>
  <c r="P154" i="10"/>
  <c r="Q154" i="10" s="1"/>
  <c r="P168" i="10"/>
  <c r="Q168" i="10" s="1"/>
  <c r="P175" i="10"/>
  <c r="Q175" i="10" s="1"/>
  <c r="P191" i="10"/>
  <c r="Q191" i="10" s="1"/>
  <c r="P207" i="10"/>
  <c r="Q207" i="10" s="1"/>
  <c r="P214" i="10"/>
  <c r="Q214" i="10" s="1"/>
  <c r="P122" i="10"/>
  <c r="Q122" i="10" s="1"/>
  <c r="P216" i="10"/>
  <c r="Q216" i="10" s="1"/>
  <c r="P213" i="10"/>
  <c r="Q213" i="10" s="1"/>
  <c r="P220" i="10"/>
  <c r="Q220" i="10" s="1"/>
  <c r="P230" i="10"/>
  <c r="Q230" i="10" s="1"/>
  <c r="P236" i="10"/>
  <c r="Q236" i="10" s="1"/>
  <c r="P218" i="10"/>
  <c r="Q218" i="10" s="1"/>
  <c r="P241" i="10"/>
  <c r="Q241" i="10" s="1"/>
  <c r="P60" i="10"/>
  <c r="Q60" i="10" s="1"/>
  <c r="P246" i="10"/>
  <c r="Q246" i="10" s="1"/>
  <c r="P147" i="10"/>
  <c r="Q147" i="10" s="1"/>
  <c r="P254" i="10"/>
  <c r="Q254" i="10" s="1"/>
  <c r="P134" i="10"/>
  <c r="Q134" i="10" s="1"/>
  <c r="P260" i="10"/>
  <c r="Q260" i="10" s="1"/>
  <c r="P270" i="10"/>
  <c r="Q270" i="10" s="1"/>
  <c r="P126" i="10"/>
  <c r="Q126" i="10" s="1"/>
  <c r="P63" i="10"/>
  <c r="Q63" i="10" s="1"/>
  <c r="P169" i="10"/>
  <c r="Q169" i="10" s="1"/>
  <c r="P84" i="10"/>
  <c r="Q84" i="10" s="1"/>
  <c r="P153" i="10"/>
  <c r="Q153" i="10" s="1"/>
  <c r="P172" i="10"/>
  <c r="Q172" i="10" s="1"/>
  <c r="P151" i="10"/>
  <c r="Q151" i="10" s="1"/>
  <c r="P206" i="10"/>
  <c r="Q206" i="10" s="1"/>
  <c r="P170" i="10"/>
  <c r="Q170" i="10" s="1"/>
  <c r="P23" i="10"/>
  <c r="Q23" i="10" s="1"/>
  <c r="P202" i="10"/>
  <c r="Q202" i="10" s="1"/>
  <c r="P156" i="10"/>
  <c r="Q156" i="10" s="1"/>
  <c r="P102" i="10"/>
  <c r="Q102" i="10" s="1"/>
  <c r="P66" i="10"/>
  <c r="Q66" i="10" s="1"/>
  <c r="P87" i="10"/>
  <c r="Q87" i="10" s="1"/>
  <c r="P74" i="10"/>
  <c r="Q74" i="10" s="1"/>
  <c r="P18" i="10"/>
  <c r="Q18" i="10" s="1"/>
  <c r="P152" i="10"/>
  <c r="Q152" i="10" s="1"/>
  <c r="R193" i="12"/>
  <c r="S193" i="12" s="1"/>
  <c r="P48" i="10"/>
  <c r="Q48" i="10" s="1"/>
  <c r="R22" i="12"/>
  <c r="S22" i="12" s="1"/>
  <c r="P262" i="10"/>
  <c r="Q262" i="10" s="1"/>
  <c r="R5" i="12"/>
  <c r="S5" i="12" s="1"/>
  <c r="P261" i="10"/>
  <c r="Q261" i="10" s="1"/>
  <c r="R240" i="12"/>
  <c r="S240" i="12" s="1"/>
  <c r="P142" i="10"/>
  <c r="Q142" i="10" s="1"/>
  <c r="R211" i="12"/>
  <c r="S211" i="12" s="1"/>
  <c r="P139" i="10"/>
  <c r="Q139" i="10" s="1"/>
  <c r="R97" i="12"/>
  <c r="S97" i="12" s="1"/>
  <c r="P171" i="10"/>
  <c r="Q171" i="10" s="1"/>
  <c r="R87" i="12"/>
  <c r="S87" i="12" s="1"/>
  <c r="R31" i="12"/>
  <c r="S31" i="12" s="1"/>
  <c r="P53" i="12"/>
  <c r="R250" i="12"/>
  <c r="S250" i="12" s="1"/>
  <c r="R255" i="12"/>
  <c r="S255" i="12" s="1"/>
  <c r="R224" i="12"/>
  <c r="S224" i="12" s="1"/>
  <c r="R257" i="12"/>
  <c r="S257" i="12" s="1"/>
  <c r="R155" i="12"/>
  <c r="S155" i="12" s="1"/>
  <c r="R84" i="12"/>
  <c r="S84" i="12" s="1"/>
  <c r="R207" i="12"/>
  <c r="S207" i="12" s="1"/>
  <c r="R253" i="12"/>
  <c r="S253" i="12" s="1"/>
  <c r="R48" i="12"/>
  <c r="S48" i="12" s="1"/>
  <c r="R29" i="12"/>
  <c r="S29" i="12" s="1"/>
  <c r="R66" i="12"/>
  <c r="S66" i="12" s="1"/>
  <c r="R237" i="12"/>
  <c r="S237" i="12" s="1"/>
  <c r="R204" i="12"/>
  <c r="S204" i="12" s="1"/>
  <c r="R12" i="12"/>
  <c r="S12" i="12" s="1"/>
  <c r="R268" i="12"/>
  <c r="S268" i="12" s="1"/>
  <c r="R136" i="12"/>
  <c r="S136" i="12" s="1"/>
  <c r="R271" i="12"/>
  <c r="S271" i="12" s="1"/>
  <c r="R107" i="12"/>
  <c r="S107" i="12" s="1"/>
  <c r="R61" i="12"/>
  <c r="S61" i="12" s="1"/>
  <c r="R220" i="12"/>
  <c r="S220" i="12" s="1"/>
  <c r="R226" i="12"/>
  <c r="S226" i="12" s="1"/>
  <c r="R285" i="12"/>
  <c r="S285" i="12" s="1"/>
  <c r="R287" i="12"/>
  <c r="S287" i="12" s="1"/>
  <c r="R223" i="12"/>
  <c r="S223" i="12" s="1"/>
  <c r="R295" i="12"/>
  <c r="S295" i="12" s="1"/>
  <c r="R299" i="12"/>
  <c r="S299" i="12" s="1"/>
  <c r="R301" i="12"/>
  <c r="S301" i="12" s="1"/>
  <c r="R150" i="12"/>
  <c r="S150" i="12" s="1"/>
  <c r="R230" i="12"/>
  <c r="S230" i="12" s="1"/>
  <c r="R134" i="12"/>
  <c r="S134" i="12" s="1"/>
  <c r="R308" i="12"/>
  <c r="S308" i="12" s="1"/>
  <c r="R221" i="12"/>
  <c r="S221" i="12" s="1"/>
  <c r="R312" i="12"/>
  <c r="S312" i="12" s="1"/>
  <c r="R51" i="12"/>
  <c r="S51" i="12" s="1"/>
  <c r="R35" i="12"/>
  <c r="S35" i="12" s="1"/>
  <c r="R135" i="12"/>
  <c r="S135" i="12" s="1"/>
  <c r="R172" i="12"/>
  <c r="S172" i="12" s="1"/>
  <c r="R167" i="12"/>
  <c r="S167" i="12" s="1"/>
  <c r="R72" i="12"/>
  <c r="S72" i="12" s="1"/>
  <c r="R168" i="12"/>
  <c r="S168" i="12" s="1"/>
  <c r="R181" i="12"/>
  <c r="S181" i="12" s="1"/>
  <c r="R173" i="12"/>
  <c r="S173" i="12" s="1"/>
  <c r="R85" i="12"/>
  <c r="S85" i="12" s="1"/>
  <c r="R192" i="12"/>
  <c r="S192" i="12" s="1"/>
  <c r="R17" i="12"/>
  <c r="S17" i="12" s="1"/>
  <c r="R57" i="12"/>
  <c r="S57" i="12" s="1"/>
  <c r="R43" i="12"/>
  <c r="S43" i="12" s="1"/>
  <c r="R148" i="12"/>
  <c r="S148" i="12" s="1"/>
  <c r="R20" i="12"/>
  <c r="S20" i="12" s="1"/>
  <c r="R154" i="12"/>
  <c r="S154" i="12" s="1"/>
  <c r="R265" i="12"/>
  <c r="S265" i="12" s="1"/>
  <c r="R252" i="12"/>
  <c r="S252" i="12" s="1"/>
  <c r="R241" i="12"/>
  <c r="S241" i="12" s="1"/>
  <c r="R159" i="12"/>
  <c r="S159" i="12" s="1"/>
  <c r="R63" i="12"/>
  <c r="S63" i="12" s="1"/>
  <c r="R175" i="12"/>
  <c r="S175" i="12" s="1"/>
  <c r="R199" i="12"/>
  <c r="S199" i="12" s="1"/>
  <c r="R194" i="12"/>
  <c r="S194" i="12" s="1"/>
  <c r="R274" i="12"/>
  <c r="S274" i="12" s="1"/>
  <c r="R278" i="12"/>
  <c r="S278" i="12" s="1"/>
  <c r="R153" i="12"/>
  <c r="S153" i="12" s="1"/>
  <c r="R140" i="12"/>
  <c r="S140" i="12" s="1"/>
  <c r="R283" i="12"/>
  <c r="S283" i="12" s="1"/>
  <c r="R215" i="12"/>
  <c r="S215" i="12" s="1"/>
  <c r="R16" i="12"/>
  <c r="S16" i="12" s="1"/>
  <c r="R292" i="12"/>
  <c r="S292" i="12" s="1"/>
  <c r="R121" i="12"/>
  <c r="S121" i="12" s="1"/>
  <c r="R298" i="12"/>
  <c r="S298" i="12" s="1"/>
  <c r="R209" i="12"/>
  <c r="S209" i="12" s="1"/>
  <c r="R244" i="12"/>
  <c r="S244" i="12" s="1"/>
  <c r="R300" i="12"/>
  <c r="S300" i="12" s="1"/>
  <c r="R126" i="12"/>
  <c r="S126" i="12" s="1"/>
  <c r="R98" i="12"/>
  <c r="S98" i="12" s="1"/>
  <c r="R141" i="12"/>
  <c r="S141" i="12" s="1"/>
  <c r="R305" i="12"/>
  <c r="S305" i="12" s="1"/>
  <c r="R306" i="12"/>
  <c r="S306" i="12" s="1"/>
  <c r="R165" i="12"/>
  <c r="S165" i="12" s="1"/>
  <c r="R68" i="12"/>
  <c r="S68" i="12" s="1"/>
  <c r="R310" i="12"/>
  <c r="S310" i="12" s="1"/>
  <c r="R91" i="12"/>
  <c r="S91" i="12" s="1"/>
  <c r="R49" i="12"/>
  <c r="S49" i="12" s="1"/>
  <c r="R170" i="12"/>
  <c r="S170" i="12" s="1"/>
  <c r="R225" i="12"/>
  <c r="S225" i="12" s="1"/>
  <c r="R190" i="12"/>
  <c r="S190" i="12" s="1"/>
  <c r="R119" i="12"/>
  <c r="S119" i="12" s="1"/>
  <c r="R195" i="12"/>
  <c r="S195" i="12" s="1"/>
  <c r="R185" i="12"/>
  <c r="S185" i="12" s="1"/>
  <c r="R163" i="12"/>
  <c r="S163" i="12" s="1"/>
  <c r="R59" i="12"/>
  <c r="S59" i="12" s="1"/>
  <c r="R254" i="12"/>
  <c r="S254" i="12" s="1"/>
  <c r="R82" i="12"/>
  <c r="S82" i="12" s="1"/>
  <c r="R183" i="12"/>
  <c r="S183" i="12" s="1"/>
  <c r="R186" i="12"/>
  <c r="S186" i="12" s="1"/>
  <c r="R152" i="12"/>
  <c r="S152" i="12" s="1"/>
  <c r="R259" i="12"/>
  <c r="S259" i="12" s="1"/>
  <c r="R261" i="12"/>
  <c r="S261" i="12" s="1"/>
  <c r="R263" i="12"/>
  <c r="S263" i="12" s="1"/>
  <c r="R266" i="12"/>
  <c r="S266" i="12" s="1"/>
  <c r="R213" i="12"/>
  <c r="S213" i="12" s="1"/>
  <c r="R239" i="12"/>
  <c r="S239" i="12" s="1"/>
  <c r="R242" i="12"/>
  <c r="S242" i="12" s="1"/>
  <c r="R269" i="12"/>
  <c r="S269" i="12" s="1"/>
  <c r="R76" i="12"/>
  <c r="S76" i="12" s="1"/>
  <c r="R216" i="12"/>
  <c r="S216" i="12" s="1"/>
  <c r="R197" i="12"/>
  <c r="S197" i="12" s="1"/>
  <c r="R218" i="12"/>
  <c r="S218" i="12" s="1"/>
  <c r="R272" i="12"/>
  <c r="S272" i="12" s="1"/>
  <c r="R77" i="12"/>
  <c r="S77" i="12" s="1"/>
  <c r="R55" i="12"/>
  <c r="S55" i="12" s="1"/>
  <c r="R203" i="12"/>
  <c r="S203" i="12" s="1"/>
  <c r="R275" i="12"/>
  <c r="S275" i="12" s="1"/>
  <c r="R188" i="12"/>
  <c r="S188" i="12" s="1"/>
  <c r="R93" i="12"/>
  <c r="S93" i="12" s="1"/>
  <c r="R234" i="12"/>
  <c r="S234" i="12" s="1"/>
  <c r="R280" i="12"/>
  <c r="S280" i="12" s="1"/>
  <c r="R281" i="12"/>
  <c r="S281" i="12" s="1"/>
  <c r="R282" i="12"/>
  <c r="S282" i="12" s="1"/>
  <c r="R15" i="12"/>
  <c r="S15" i="12" s="1"/>
  <c r="R229" i="12"/>
  <c r="S229" i="12" s="1"/>
  <c r="R146" i="12"/>
  <c r="S146" i="12" s="1"/>
  <c r="R177" i="12"/>
  <c r="S177" i="12" s="1"/>
  <c r="R288" i="12"/>
  <c r="S288" i="12" s="1"/>
  <c r="R290" i="12"/>
  <c r="S290" i="12" s="1"/>
  <c r="R293" i="12"/>
  <c r="S293" i="12" s="1"/>
  <c r="R294" i="12"/>
  <c r="S294" i="12" s="1"/>
  <c r="R296" i="12"/>
  <c r="S296" i="12" s="1"/>
  <c r="R113" i="12"/>
  <c r="S113" i="12" s="1"/>
  <c r="R202" i="12"/>
  <c r="S202" i="12" s="1"/>
  <c r="R71" i="12"/>
  <c r="S71" i="12" s="1"/>
  <c r="R27" i="12"/>
  <c r="S27" i="12" s="1"/>
  <c r="R115" i="12"/>
  <c r="S115" i="12" s="1"/>
  <c r="R133" i="12"/>
  <c r="S133" i="12" s="1"/>
  <c r="R235" i="12"/>
  <c r="S235" i="12" s="1"/>
  <c r="R187" i="12"/>
  <c r="S187" i="12" s="1"/>
  <c r="R303" i="12"/>
  <c r="S303" i="12" s="1"/>
  <c r="R116" i="12"/>
  <c r="S116" i="12" s="1"/>
  <c r="R18" i="12"/>
  <c r="S18" i="12" s="1"/>
  <c r="R169" i="12"/>
  <c r="S169" i="12" s="1"/>
  <c r="R79" i="12"/>
  <c r="S79" i="12" s="1"/>
  <c r="R210" i="12"/>
  <c r="S210" i="12" s="1"/>
  <c r="R307" i="12"/>
  <c r="S307" i="12" s="1"/>
  <c r="R118" i="12"/>
  <c r="S118" i="12" s="1"/>
  <c r="R127" i="12"/>
  <c r="S127" i="12" s="1"/>
  <c r="R208" i="12"/>
  <c r="S208" i="12" s="1"/>
  <c r="R311" i="12"/>
  <c r="S311" i="12" s="1"/>
  <c r="R38" i="12"/>
  <c r="S38" i="12" s="1"/>
  <c r="R36" i="12"/>
  <c r="S36" i="12" s="1"/>
  <c r="R32" i="12"/>
  <c r="S32" i="12" s="1"/>
  <c r="R80" i="12"/>
  <c r="S80" i="12" s="1"/>
  <c r="R286" i="12"/>
  <c r="S286" i="12" s="1"/>
  <c r="R236" i="12"/>
  <c r="S236" i="12" s="1"/>
  <c r="R75" i="12"/>
  <c r="S75" i="12" s="1"/>
  <c r="R267" i="12"/>
  <c r="S267" i="12" s="1"/>
  <c r="R26" i="12"/>
  <c r="S26" i="12" s="1"/>
  <c r="R47" i="12"/>
  <c r="S47" i="12" s="1"/>
  <c r="R67" i="12"/>
  <c r="S67" i="12" s="1"/>
  <c r="R313" i="12"/>
  <c r="S313" i="12" s="1"/>
  <c r="R108" i="12"/>
  <c r="S108" i="12" s="1"/>
  <c r="R128" i="12"/>
  <c r="S128" i="12" s="1"/>
  <c r="R277" i="12"/>
  <c r="S277" i="12" s="1"/>
  <c r="R88" i="12"/>
  <c r="S88" i="12" s="1"/>
  <c r="R179" i="12"/>
  <c r="S179" i="12" s="1"/>
  <c r="R214" i="12"/>
  <c r="S214" i="12" s="1"/>
  <c r="R149" i="12"/>
  <c r="S149" i="12" s="1"/>
  <c r="R189" i="12"/>
  <c r="S189" i="12" s="1"/>
  <c r="R217" i="12"/>
  <c r="S217" i="12" s="1"/>
  <c r="R53" i="12"/>
  <c r="R8" i="12"/>
  <c r="S8" i="12" s="1"/>
  <c r="R161" i="12"/>
  <c r="S161" i="12" s="1"/>
  <c r="R33" i="12"/>
  <c r="S33" i="12" s="1"/>
  <c r="R247" i="12"/>
  <c r="S247" i="12" s="1"/>
  <c r="R100" i="12"/>
  <c r="S100" i="12" s="1"/>
  <c r="R96" i="12"/>
  <c r="S96" i="12" s="1"/>
  <c r="R249" i="12"/>
  <c r="S249" i="12" s="1"/>
  <c r="R102" i="12"/>
  <c r="S102" i="12" s="1"/>
  <c r="R14" i="12"/>
  <c r="S14" i="12" s="1"/>
  <c r="R124" i="12"/>
  <c r="S124" i="12" s="1"/>
  <c r="R228" i="12"/>
  <c r="S228" i="12" s="1"/>
  <c r="R256" i="12"/>
  <c r="S256" i="12" s="1"/>
  <c r="R78" i="12"/>
  <c r="S78" i="12" s="1"/>
  <c r="R258" i="12"/>
  <c r="S258" i="12" s="1"/>
  <c r="R28" i="12"/>
  <c r="S28" i="12" s="1"/>
  <c r="R260" i="12"/>
  <c r="S260" i="12" s="1"/>
  <c r="R262" i="12"/>
  <c r="S262" i="12" s="1"/>
  <c r="R264" i="12"/>
  <c r="S264" i="12" s="1"/>
  <c r="R13" i="12"/>
  <c r="S13" i="12" s="1"/>
  <c r="R19" i="12"/>
  <c r="S19" i="12" s="1"/>
  <c r="R94" i="12"/>
  <c r="S94" i="12" s="1"/>
  <c r="R276" i="12"/>
  <c r="S276" i="12" s="1"/>
  <c r="R143" i="12"/>
  <c r="S143" i="12" s="1"/>
  <c r="R145" i="12"/>
  <c r="S145" i="12" s="1"/>
  <c r="R270" i="12"/>
  <c r="S270" i="12" s="1"/>
  <c r="R196" i="12"/>
  <c r="S196" i="12" s="1"/>
  <c r="R245" i="12"/>
  <c r="S245" i="12" s="1"/>
  <c r="R46" i="12"/>
  <c r="S46" i="12" s="1"/>
  <c r="R138" i="12"/>
  <c r="S138" i="12" s="1"/>
  <c r="R60" i="12"/>
  <c r="S60" i="12" s="1"/>
  <c r="R132" i="12"/>
  <c r="S132" i="12" s="1"/>
  <c r="R238" i="12"/>
  <c r="S238" i="12" s="1"/>
  <c r="R222" i="12"/>
  <c r="S222" i="12" s="1"/>
  <c r="R151" i="12"/>
  <c r="S151" i="12" s="1"/>
  <c r="R125" i="12"/>
  <c r="S125" i="12" s="1"/>
  <c r="R86" i="12"/>
  <c r="S86" i="12" s="1"/>
  <c r="R201" i="12"/>
  <c r="S201" i="12" s="1"/>
  <c r="R248" i="12"/>
  <c r="S248" i="12" s="1"/>
  <c r="R284" i="12"/>
  <c r="S284" i="12" s="1"/>
  <c r="R130" i="12"/>
  <c r="S130" i="12" s="1"/>
  <c r="R180" i="12"/>
  <c r="S180" i="12" s="1"/>
  <c r="R74" i="12"/>
  <c r="S74" i="12" s="1"/>
  <c r="R289" i="12"/>
  <c r="S289" i="12" s="1"/>
  <c r="R291" i="12"/>
  <c r="S291" i="12" s="1"/>
  <c r="R139" i="12"/>
  <c r="S139" i="12" s="1"/>
  <c r="R198" i="12"/>
  <c r="S198" i="12" s="1"/>
  <c r="R297" i="12"/>
  <c r="S297" i="12" s="1"/>
  <c r="R25" i="12"/>
  <c r="S25" i="12" s="1"/>
  <c r="R233" i="12"/>
  <c r="S233" i="12" s="1"/>
  <c r="R106" i="12"/>
  <c r="S106" i="12" s="1"/>
  <c r="R232" i="12"/>
  <c r="S232" i="12" s="1"/>
  <c r="R191" i="12"/>
  <c r="S191" i="12" s="1"/>
  <c r="R302" i="12"/>
  <c r="S302" i="12" s="1"/>
  <c r="R90" i="12"/>
  <c r="S90" i="12" s="1"/>
  <c r="R166" i="12"/>
  <c r="S166" i="12" s="1"/>
  <c r="R157" i="12"/>
  <c r="S157" i="12" s="1"/>
  <c r="R243" i="12"/>
  <c r="S243" i="12" s="1"/>
  <c r="R304" i="12"/>
  <c r="S304" i="12" s="1"/>
  <c r="R212" i="12"/>
  <c r="S212" i="12" s="1"/>
  <c r="R206" i="12"/>
  <c r="S206" i="12" s="1"/>
  <c r="R65" i="12"/>
  <c r="S65" i="12" s="1"/>
  <c r="R58" i="12"/>
  <c r="S58" i="12" s="1"/>
  <c r="R111" i="12"/>
  <c r="S111" i="12" s="1"/>
  <c r="R105" i="12"/>
  <c r="S105" i="12" s="1"/>
  <c r="R309" i="12"/>
  <c r="S309" i="12" s="1"/>
  <c r="R176" i="12"/>
  <c r="S176" i="12" s="1"/>
  <c r="R315" i="12"/>
  <c r="S315" i="12" s="1"/>
  <c r="R64" i="12"/>
  <c r="S64" i="12" s="1"/>
  <c r="R37" i="12"/>
  <c r="S37" i="12" s="1"/>
  <c r="R56" i="12"/>
  <c r="S56" i="12" s="1"/>
  <c r="R317" i="12"/>
  <c r="S317" i="12" s="1"/>
  <c r="R69" i="12"/>
  <c r="S69" i="12" s="1"/>
  <c r="R178" i="12"/>
  <c r="S178" i="12" s="1"/>
  <c r="R273" i="12"/>
  <c r="S273" i="12" s="1"/>
  <c r="R137" i="12"/>
  <c r="S137" i="12" s="1"/>
  <c r="R171" i="12"/>
  <c r="S171" i="12" s="1"/>
  <c r="R62" i="12"/>
  <c r="S62" i="12" s="1"/>
  <c r="R314" i="12"/>
  <c r="S314" i="12" s="1"/>
  <c r="R52" i="12"/>
  <c r="S52" i="12" s="1"/>
  <c r="R81" i="12"/>
  <c r="S81" i="12" s="1"/>
  <c r="R182" i="12"/>
  <c r="S182" i="12" s="1"/>
  <c r="R227" i="12"/>
  <c r="S227" i="12" s="1"/>
  <c r="R11" i="12"/>
  <c r="S11" i="12" s="1"/>
  <c r="R200" i="12"/>
  <c r="S200" i="12" s="1"/>
  <c r="R131" i="12"/>
  <c r="S131" i="12" s="1"/>
  <c r="R231" i="12"/>
  <c r="S231" i="12" s="1"/>
  <c r="R10" i="12"/>
  <c r="S10" i="12" s="1"/>
  <c r="R9" i="12"/>
  <c r="S9" i="12" s="1"/>
  <c r="S53" i="12" l="1"/>
  <c r="U196" i="4" l="1"/>
  <c r="W196" i="4" l="1"/>
  <c r="Q147" i="12" l="1"/>
  <c r="Q162" i="12"/>
  <c r="P37" i="10" s="1"/>
  <c r="Q37" i="10" s="1"/>
  <c r="P27" i="10" l="1"/>
  <c r="Q27" i="10" s="1"/>
  <c r="P26" i="10"/>
  <c r="Q26" i="10" s="1"/>
  <c r="P94" i="10"/>
  <c r="Q94" i="10" s="1"/>
  <c r="P92" i="10"/>
  <c r="Q92" i="10" s="1"/>
  <c r="P45" i="10"/>
  <c r="Q45" i="10" s="1"/>
  <c r="P47" i="10"/>
  <c r="Q47" i="10" s="1"/>
  <c r="P44" i="10"/>
  <c r="Q44" i="10" s="1"/>
  <c r="AE162" i="12"/>
  <c r="P46" i="10"/>
  <c r="Q46" i="10" s="1"/>
  <c r="AE147" i="12"/>
  <c r="P91" i="10"/>
  <c r="Q91" i="10" s="1"/>
  <c r="P77" i="10"/>
  <c r="Q77" i="10" s="1"/>
  <c r="P88" i="10"/>
  <c r="Q88" i="10" s="1"/>
  <c r="P10" i="10"/>
  <c r="Q10" i="10" s="1"/>
  <c r="P36" i="10"/>
  <c r="Q36" i="10" s="1"/>
  <c r="P194" i="10"/>
  <c r="Q194" i="10" s="1"/>
  <c r="P9" i="10"/>
  <c r="Q9" i="10" s="1"/>
  <c r="R162" i="12"/>
  <c r="S162" i="12" s="1"/>
  <c r="P193" i="10"/>
  <c r="Q193" i="10" s="1"/>
  <c r="R147" i="12"/>
  <c r="S147" i="12" s="1"/>
  <c r="R156" i="12" l="1"/>
  <c r="S156" i="12" s="1"/>
  <c r="R129" i="12"/>
  <c r="S129" i="12" s="1"/>
  <c r="J287" i="10" l="1"/>
  <c r="O84" i="4"/>
  <c r="R84" i="4" s="1"/>
  <c r="R11" i="4"/>
  <c r="O11" i="4"/>
  <c r="O70" i="4"/>
  <c r="R70" i="4" s="1"/>
  <c r="R72" i="4"/>
  <c r="O72" i="4"/>
  <c r="O210" i="4"/>
  <c r="R210" i="4" s="1"/>
  <c r="R8" i="4"/>
  <c r="O8" i="4"/>
  <c r="O188" i="4"/>
  <c r="R188" i="4" s="1"/>
  <c r="R108" i="4"/>
  <c r="O108" i="4"/>
  <c r="O23" i="4"/>
  <c r="R23" i="4" s="1"/>
  <c r="R40" i="4"/>
  <c r="O40" i="4"/>
  <c r="O101" i="4"/>
  <c r="R101" i="4" s="1"/>
  <c r="R206" i="4"/>
  <c r="O206" i="4"/>
  <c r="O9" i="4"/>
  <c r="R9" i="4" s="1"/>
  <c r="R229" i="4"/>
  <c r="O229" i="4"/>
  <c r="O6" i="4"/>
  <c r="R6" i="4" s="1"/>
  <c r="R214" i="4"/>
  <c r="O214" i="4"/>
  <c r="O25" i="4"/>
  <c r="R25" i="4" s="1"/>
  <c r="R85" i="4"/>
  <c r="O85" i="4"/>
  <c r="O145" i="4"/>
  <c r="R145" i="4" s="1"/>
  <c r="R130" i="4"/>
  <c r="O130" i="4"/>
  <c r="O95" i="4"/>
  <c r="R95" i="4" s="1"/>
  <c r="R171" i="4"/>
  <c r="O171" i="4"/>
  <c r="O106" i="4"/>
  <c r="R106" i="4" s="1"/>
  <c r="R88" i="4"/>
  <c r="O88" i="4"/>
  <c r="O80" i="4"/>
  <c r="R80" i="4" s="1"/>
  <c r="R245" i="4"/>
  <c r="O245" i="4"/>
  <c r="O243" i="4"/>
  <c r="R243" i="4" s="1"/>
  <c r="R99" i="4"/>
  <c r="O99" i="4"/>
  <c r="O53" i="4"/>
  <c r="R53" i="4" s="1"/>
  <c r="R244" i="4"/>
  <c r="O244" i="4"/>
  <c r="O76" i="4"/>
  <c r="R76" i="4" s="1"/>
  <c r="R199" i="4"/>
  <c r="O199" i="4"/>
  <c r="O75" i="4"/>
  <c r="R75" i="4" s="1"/>
  <c r="R90" i="4"/>
  <c r="O90" i="4"/>
  <c r="O64" i="4"/>
  <c r="R64" i="4" s="1"/>
  <c r="R215" i="4"/>
  <c r="O215" i="4"/>
  <c r="O114" i="4"/>
  <c r="R114" i="4" s="1"/>
  <c r="R127" i="4"/>
  <c r="O127" i="4"/>
  <c r="O38" i="4"/>
  <c r="R38" i="4" s="1"/>
  <c r="R32" i="4"/>
  <c r="O32" i="4"/>
  <c r="O241" i="4"/>
  <c r="R241" i="4" s="1"/>
  <c r="R22" i="4"/>
  <c r="O22" i="4"/>
  <c r="O190" i="4"/>
  <c r="R190" i="4" s="1"/>
  <c r="R186" i="4"/>
  <c r="O186" i="4"/>
  <c r="O10" i="4"/>
  <c r="R10" i="4" s="1"/>
  <c r="R141" i="4"/>
  <c r="O141" i="4"/>
  <c r="O143" i="4"/>
  <c r="R143" i="4" s="1"/>
  <c r="R140" i="4"/>
  <c r="O140" i="4"/>
  <c r="O13" i="4"/>
  <c r="R13" i="4" s="1"/>
  <c r="R231" i="4"/>
  <c r="O231" i="4"/>
  <c r="O254" i="4"/>
  <c r="R254" i="4" s="1"/>
  <c r="R55" i="4"/>
  <c r="O55" i="4"/>
  <c r="O212" i="4"/>
  <c r="R212" i="4" s="1"/>
  <c r="R173" i="4"/>
  <c r="O173" i="4"/>
  <c r="O104" i="4"/>
  <c r="R104" i="4" s="1"/>
  <c r="R131" i="4"/>
  <c r="O131" i="4"/>
  <c r="O135" i="4"/>
  <c r="R135" i="4" s="1"/>
  <c r="R177" i="4"/>
  <c r="O177" i="4"/>
  <c r="O129" i="4"/>
  <c r="R129" i="4" s="1"/>
  <c r="R183" i="4"/>
  <c r="O183" i="4"/>
  <c r="O12" i="4"/>
  <c r="R12" i="4" s="1"/>
  <c r="R83" i="4"/>
  <c r="O83" i="4"/>
  <c r="O175" i="4"/>
  <c r="R175" i="4" s="1"/>
  <c r="R260" i="4"/>
  <c r="O260" i="4"/>
  <c r="O115" i="4"/>
  <c r="R115" i="4" s="1"/>
  <c r="R164" i="4"/>
  <c r="O164" i="4"/>
  <c r="O223" i="4"/>
  <c r="R223" i="4" s="1"/>
  <c r="R34" i="4"/>
  <c r="O34" i="4"/>
  <c r="O211" i="4"/>
  <c r="R211" i="4" s="1"/>
  <c r="R258" i="4"/>
  <c r="O258" i="4"/>
  <c r="O111" i="4"/>
  <c r="R111" i="4" s="1"/>
  <c r="R117" i="4"/>
  <c r="O117" i="4"/>
  <c r="O165" i="4"/>
  <c r="R165" i="4" s="1"/>
  <c r="R208" i="4"/>
  <c r="O208" i="4"/>
  <c r="R225" i="4"/>
  <c r="O225" i="4"/>
  <c r="R160" i="4"/>
  <c r="O160" i="4"/>
  <c r="R26" i="4"/>
  <c r="O26" i="4"/>
  <c r="R170" i="4"/>
  <c r="O170" i="4"/>
  <c r="R187" i="4"/>
  <c r="O187" i="4"/>
  <c r="R251" i="4"/>
  <c r="O251" i="4"/>
  <c r="R159" i="4"/>
  <c r="O159" i="4"/>
  <c r="R266" i="4"/>
  <c r="O266" i="4"/>
  <c r="R66" i="4"/>
  <c r="O66" i="4"/>
  <c r="R105" i="4"/>
  <c r="O105" i="4"/>
  <c r="R36" i="4"/>
  <c r="O36" i="4"/>
  <c r="R136" i="4"/>
  <c r="O136" i="4"/>
  <c r="R230" i="4"/>
  <c r="O230" i="4"/>
  <c r="R227" i="4"/>
  <c r="O227" i="4"/>
  <c r="R62" i="4"/>
  <c r="O62" i="4"/>
  <c r="R121" i="4"/>
  <c r="O121" i="4"/>
  <c r="R201" i="4"/>
  <c r="O201" i="4"/>
  <c r="R124" i="4"/>
  <c r="O124" i="4"/>
  <c r="R44" i="4"/>
  <c r="O44" i="4"/>
  <c r="R259" i="4"/>
  <c r="O259" i="4"/>
  <c r="R182" i="4"/>
  <c r="O182" i="4"/>
  <c r="R237" i="4"/>
  <c r="O237" i="4"/>
  <c r="R142" i="4"/>
  <c r="O142" i="4"/>
  <c r="R41" i="4"/>
  <c r="O41" i="4"/>
  <c r="R49" i="4"/>
  <c r="O49" i="4"/>
  <c r="R221" i="4"/>
  <c r="O221" i="4"/>
  <c r="R47" i="4"/>
  <c r="O47" i="4"/>
  <c r="R89" i="4"/>
  <c r="O89" i="4"/>
  <c r="R45" i="4"/>
  <c r="O45" i="4"/>
  <c r="R30" i="4"/>
  <c r="O30" i="4"/>
  <c r="R263" i="4"/>
  <c r="O263" i="4"/>
  <c r="R132" i="4"/>
  <c r="O132" i="4"/>
  <c r="O68" i="4"/>
  <c r="R68" i="4" s="1"/>
  <c r="R247" i="4"/>
  <c r="O247" i="4"/>
  <c r="O157" i="4"/>
  <c r="R157" i="4" s="1"/>
  <c r="R265" i="4"/>
  <c r="O265" i="4"/>
  <c r="O248" i="4"/>
  <c r="R248" i="4" s="1"/>
  <c r="R77" i="4"/>
  <c r="O77" i="4"/>
  <c r="R86" i="4"/>
  <c r="O86" i="4"/>
  <c r="R27" i="4"/>
  <c r="O27" i="4"/>
  <c r="R65" i="4"/>
  <c r="O65" i="4"/>
  <c r="R52" i="4"/>
  <c r="O52" i="4"/>
  <c r="O29" i="4"/>
  <c r="R29" i="4" s="1"/>
  <c r="R48" i="4"/>
  <c r="O48" i="4"/>
  <c r="R122" i="4"/>
  <c r="O122" i="4"/>
  <c r="R268" i="4"/>
  <c r="O268" i="4"/>
  <c r="R82" i="4"/>
  <c r="O82" i="4"/>
  <c r="R168" i="4"/>
  <c r="O168" i="4"/>
  <c r="R232" i="4"/>
  <c r="O232" i="4"/>
  <c r="R261" i="4"/>
  <c r="O261" i="4"/>
  <c r="R153" i="4"/>
  <c r="O153" i="4"/>
  <c r="R63" i="4"/>
  <c r="O63" i="4"/>
  <c r="O50" i="4"/>
  <c r="R50" i="4" s="1"/>
  <c r="R133" i="4"/>
  <c r="O133" i="4"/>
  <c r="O94" i="4"/>
  <c r="R94" i="4" s="1"/>
  <c r="R120" i="4"/>
  <c r="O120" i="4"/>
  <c r="R96" i="4"/>
  <c r="O96" i="4"/>
  <c r="R222" i="4"/>
  <c r="O222" i="4"/>
  <c r="R269" i="4"/>
  <c r="O269" i="4"/>
  <c r="R256" i="4"/>
  <c r="O256" i="4"/>
  <c r="R192" i="4"/>
  <c r="O192" i="4"/>
  <c r="R239" i="4"/>
  <c r="O239" i="4"/>
  <c r="R207" i="4"/>
  <c r="O207" i="4"/>
  <c r="R169" i="4"/>
  <c r="O169" i="4"/>
  <c r="R257" i="4"/>
  <c r="O257" i="4"/>
  <c r="R193" i="4"/>
  <c r="O193" i="4"/>
  <c r="R233" i="4"/>
  <c r="O233" i="4"/>
  <c r="R18" i="4"/>
  <c r="O18" i="4"/>
  <c r="R262" i="4"/>
  <c r="O262" i="4"/>
  <c r="R97" i="4"/>
  <c r="O97" i="4"/>
  <c r="R204" i="4"/>
  <c r="O204" i="4"/>
  <c r="R147" i="4"/>
  <c r="O147" i="4"/>
  <c r="O202" i="4"/>
  <c r="R202" i="4" s="1"/>
  <c r="R236" i="4"/>
  <c r="O236" i="4"/>
  <c r="R46" i="4"/>
  <c r="O46" i="4"/>
  <c r="R235" i="4"/>
  <c r="O235" i="4"/>
  <c r="R57" i="4"/>
  <c r="O57" i="4"/>
  <c r="R98" i="4"/>
  <c r="O98" i="4"/>
  <c r="R58" i="4"/>
  <c r="O58" i="4"/>
  <c r="R149" i="4"/>
  <c r="O149" i="4"/>
  <c r="R191" i="4"/>
  <c r="O191" i="4"/>
  <c r="R203" i="4"/>
  <c r="O203" i="4"/>
  <c r="R205" i="4"/>
  <c r="O205" i="4"/>
  <c r="R224" i="4"/>
  <c r="O224" i="4"/>
  <c r="R246" i="4"/>
  <c r="O246" i="4"/>
  <c r="R195" i="4"/>
  <c r="O195" i="4"/>
  <c r="R20" i="4"/>
  <c r="O20" i="4"/>
  <c r="R264" i="4"/>
  <c r="O264" i="4"/>
  <c r="R35" i="4"/>
  <c r="O35" i="4"/>
  <c r="R234" i="4"/>
  <c r="O234" i="4"/>
  <c r="R197" i="4"/>
  <c r="O197" i="4"/>
  <c r="R172" i="4"/>
  <c r="O172" i="4"/>
  <c r="R24" i="4"/>
  <c r="O24" i="4"/>
  <c r="R238" i="4"/>
  <c r="O238" i="4"/>
  <c r="R213" i="4"/>
  <c r="O213" i="4"/>
  <c r="R87" i="4"/>
  <c r="O87" i="4"/>
  <c r="R93" i="4"/>
  <c r="O93" i="4"/>
  <c r="R134" i="4"/>
  <c r="O134" i="4"/>
  <c r="R217" i="4"/>
  <c r="O217" i="4"/>
  <c r="R139" i="4"/>
  <c r="O139" i="4"/>
  <c r="R109" i="4"/>
  <c r="O109" i="4"/>
  <c r="R163" i="4"/>
  <c r="O163" i="4"/>
  <c r="R119" i="4"/>
  <c r="O119" i="4"/>
  <c r="R161" i="4"/>
  <c r="O161" i="4"/>
  <c r="R123" i="4"/>
  <c r="O123" i="4"/>
  <c r="R155" i="4"/>
  <c r="O155" i="4"/>
  <c r="R17" i="4"/>
  <c r="O17" i="4"/>
  <c r="R118" i="4"/>
  <c r="O118" i="4"/>
  <c r="R7" i="4"/>
  <c r="O7" i="4"/>
  <c r="R21" i="4"/>
  <c r="O21" i="4"/>
  <c r="R218" i="4"/>
  <c r="O218" i="4"/>
  <c r="R15" i="4"/>
  <c r="O15" i="4"/>
  <c r="R51" i="4"/>
  <c r="O51" i="4"/>
  <c r="R176" i="4"/>
  <c r="O176" i="4"/>
  <c r="R81" i="4"/>
  <c r="O81" i="4"/>
  <c r="R37" i="4"/>
  <c r="O37" i="4"/>
  <c r="R79" i="4"/>
  <c r="O79" i="4"/>
  <c r="R181" i="4"/>
  <c r="O181" i="4"/>
  <c r="R198" i="4"/>
  <c r="O198" i="4"/>
  <c r="R158" i="4"/>
  <c r="O158" i="4"/>
  <c r="R125" i="4"/>
  <c r="O125" i="4"/>
  <c r="R60" i="4"/>
  <c r="O60" i="4"/>
  <c r="R216" i="4"/>
  <c r="O216" i="4"/>
  <c r="R253" i="4"/>
  <c r="O253" i="4"/>
  <c r="R33" i="4"/>
  <c r="O33" i="4"/>
  <c r="R54" i="4"/>
  <c r="O54" i="4"/>
  <c r="R69" i="4"/>
  <c r="O69" i="4"/>
  <c r="R228" i="4"/>
  <c r="O228" i="4"/>
  <c r="R73" i="4"/>
  <c r="O73" i="4"/>
  <c r="R194" i="4"/>
  <c r="O194" i="4"/>
  <c r="R162" i="4"/>
  <c r="O162" i="4"/>
  <c r="R91" i="4"/>
  <c r="O91" i="4"/>
  <c r="R126" i="4"/>
  <c r="O126" i="4"/>
  <c r="R92" i="4"/>
  <c r="O92" i="4"/>
  <c r="R42" i="4"/>
  <c r="O42" i="4"/>
  <c r="R56" i="4"/>
  <c r="O56" i="4"/>
  <c r="R150" i="4"/>
  <c r="O150" i="4"/>
  <c r="R128" i="4"/>
  <c r="O128" i="4"/>
  <c r="R107" i="4"/>
  <c r="O107" i="4"/>
  <c r="R154" i="4"/>
  <c r="O154" i="4"/>
  <c r="R103" i="4"/>
  <c r="O103" i="4"/>
  <c r="R28" i="4"/>
  <c r="O28" i="4"/>
  <c r="R209" i="4"/>
  <c r="O209" i="4"/>
  <c r="R167" i="4"/>
  <c r="O167" i="4"/>
  <c r="R180" i="4"/>
  <c r="O180" i="4"/>
  <c r="R255" i="4"/>
  <c r="O255" i="4"/>
  <c r="R220" i="4"/>
  <c r="O220" i="4"/>
  <c r="R219" i="4"/>
  <c r="O219" i="4"/>
  <c r="R249" i="4"/>
  <c r="O249" i="4"/>
  <c r="R267" i="4"/>
  <c r="O267" i="4"/>
  <c r="R61" i="4"/>
  <c r="O61" i="4"/>
  <c r="R252" i="4"/>
  <c r="O252" i="4"/>
  <c r="R226" i="4"/>
  <c r="O226" i="4"/>
  <c r="R240" i="4"/>
  <c r="O240" i="4"/>
  <c r="R250" i="4"/>
  <c r="O250" i="4"/>
  <c r="R19" i="4"/>
  <c r="O19" i="4"/>
  <c r="R146" i="4"/>
  <c r="O146" i="4"/>
  <c r="R113" i="4"/>
  <c r="O113" i="4"/>
  <c r="R144" i="4"/>
  <c r="O144" i="4"/>
  <c r="R185" i="4"/>
  <c r="O185" i="4"/>
  <c r="R112" i="4"/>
  <c r="O112" i="4"/>
  <c r="R189" i="4"/>
  <c r="O189" i="4"/>
  <c r="R178" i="4"/>
  <c r="O178" i="4"/>
  <c r="R200" i="4"/>
  <c r="O200" i="4"/>
  <c r="R102" i="4"/>
  <c r="O102" i="4"/>
  <c r="R71" i="4"/>
  <c r="O71" i="4"/>
  <c r="R100" i="4"/>
  <c r="O100" i="4"/>
  <c r="R166" i="4"/>
  <c r="O166" i="4"/>
  <c r="R174" i="4"/>
  <c r="O174" i="4"/>
  <c r="R5" i="4"/>
  <c r="O5" i="4"/>
  <c r="R110" i="4"/>
  <c r="O110" i="4"/>
  <c r="R14" i="4"/>
  <c r="O14" i="4"/>
  <c r="R16" i="4"/>
  <c r="O16" i="4"/>
  <c r="R137" i="4"/>
  <c r="O137" i="4"/>
  <c r="R242" i="4"/>
  <c r="O242" i="4"/>
  <c r="R78" i="4"/>
  <c r="O78" i="4"/>
  <c r="R74" i="4"/>
  <c r="O74" i="4"/>
  <c r="R4" i="4"/>
  <c r="O59" i="4"/>
  <c r="R59" i="4" s="1"/>
  <c r="O196" i="4"/>
  <c r="R196" i="4" s="1"/>
  <c r="O152" i="4"/>
  <c r="R152" i="4" s="1"/>
  <c r="O67" i="4"/>
  <c r="R67" i="4" s="1"/>
  <c r="O39" i="4"/>
  <c r="R39" i="4" s="1"/>
  <c r="O179" i="4"/>
  <c r="R179" i="4" s="1"/>
  <c r="O184" i="4"/>
  <c r="R184" i="4" s="1"/>
  <c r="O148" i="4"/>
  <c r="R148" i="4" s="1"/>
  <c r="O31" i="4"/>
  <c r="R31" i="4" s="1"/>
  <c r="O151" i="4"/>
  <c r="R151" i="4" s="1"/>
  <c r="O138" i="4"/>
  <c r="R138" i="4" s="1"/>
  <c r="O116" i="4"/>
  <c r="R116" i="4" s="1"/>
  <c r="O156" i="4"/>
  <c r="R156" i="4" s="1"/>
  <c r="O4" i="4"/>
  <c r="O43" i="4"/>
  <c r="R4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tc={1BA32E9B-D0DE-4E3A-99EA-699DBDFAC3C2}</author>
    <author>tc={EF7F9912-0557-45C7-99B2-B4D494D140DB}</author>
  </authors>
  <commentList>
    <comment ref="F2" authorId="0" shapeId="0" xr:uid="{1BA32E9B-D0DE-4E3A-99EA-699DBDFAC3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  <comment ref="P2" authorId="1" shapeId="0" xr:uid="{EF7F9912-0557-45C7-99B2-B4D494D140DB}">
      <text>
        <t>[Threaded comment]
Your version of Excel allows you to read this threaded comment; however, any edits to it will get removed if the file is opened in a newer version of Excel. Learn more: https://go.microsoft.com/fwlink/?linkid=870924
Comment:
    BD/DTDC/DLVRY @6Kgs
(divisibility by 4729~ LBH/28373*6)
Amazon @5.67 Kgs 
(divisibility by 5000)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tc={0B04E303-E462-4D1A-B753-0273328B7E36}</author>
  </authors>
  <commentList>
    <comment ref="F2" authorId="0" shapeId="0" xr:uid="{0B04E303-E462-4D1A-B753-0273328B7E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tc={5B76CBE9-0D33-4A4D-A9AB-DFC6216122A7}</author>
  </authors>
  <commentList>
    <comment ref="F2" authorId="0" shapeId="0" xr:uid="{5B76CBE9-0D33-4A4D-A9AB-DFC6216122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tc={C767F0ED-011B-4DCB-82CD-867692C18D8F}</author>
  </authors>
  <commentList>
    <comment ref="F2" authorId="0" shapeId="0" xr:uid="{C767F0ED-011B-4DCB-82CD-867692C18D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sharedStrings.xml><?xml version="1.0" encoding="utf-8"?>
<sst xmlns="http://schemas.openxmlformats.org/spreadsheetml/2006/main" count="2436" uniqueCount="415">
  <si>
    <t>MANUAL ENTRIES HERE</t>
  </si>
  <si>
    <t>Box 1 Dimension Details</t>
  </si>
  <si>
    <t>Box 2 Dimension Details</t>
  </si>
  <si>
    <t>Box 3 Dimension Details</t>
  </si>
  <si>
    <t>Volume</t>
  </si>
  <si>
    <t>Vol.Wht</t>
  </si>
  <si>
    <t>Total Weight</t>
  </si>
  <si>
    <t>Chg.Wht</t>
  </si>
  <si>
    <t>Check (+ve = Bill wt is less (gain))</t>
  </si>
  <si>
    <t>Long</t>
  </si>
  <si>
    <t>Med</t>
  </si>
  <si>
    <t>Smal</t>
  </si>
  <si>
    <t>Actual.Wht</t>
  </si>
  <si>
    <t>CBF</t>
  </si>
  <si>
    <t>Phys.Wht</t>
  </si>
  <si>
    <t>Wht(Kgs)</t>
  </si>
  <si>
    <t>MTP SKU Code</t>
  </si>
  <si>
    <t>SB/MB</t>
  </si>
  <si>
    <t>Lcm</t>
  </si>
  <si>
    <t>Bcm</t>
  </si>
  <si>
    <t>Hcm</t>
  </si>
  <si>
    <t>PW(gm)</t>
  </si>
  <si>
    <t>Lcm2</t>
  </si>
  <si>
    <t>Bcm3</t>
  </si>
  <si>
    <t>Hcm4</t>
  </si>
  <si>
    <t>PW(gm)5</t>
  </si>
  <si>
    <t>Lcm6</t>
  </si>
  <si>
    <t>Bcm7</t>
  </si>
  <si>
    <t>Hcm8</t>
  </si>
  <si>
    <t>PW(gm)9</t>
  </si>
  <si>
    <t>Column15</t>
  </si>
  <si>
    <t>Kgs</t>
  </si>
  <si>
    <t>Gms</t>
  </si>
  <si>
    <t>Kgs10</t>
  </si>
  <si>
    <t>Column11</t>
  </si>
  <si>
    <t>MTP.Chk</t>
  </si>
  <si>
    <t>B1.Aud</t>
  </si>
  <si>
    <t>B1.Diff</t>
  </si>
  <si>
    <t>B1.Diff%</t>
  </si>
  <si>
    <t>B2.Aud</t>
  </si>
  <si>
    <t>B2.Diff</t>
  </si>
  <si>
    <t>B2.Diff2%</t>
  </si>
  <si>
    <t>B3.Aud</t>
  </si>
  <si>
    <t>B3.Diff</t>
  </si>
  <si>
    <t>B3.Diff%</t>
  </si>
  <si>
    <t>BaLL.Aud</t>
  </si>
  <si>
    <t>BAll.Diff%</t>
  </si>
  <si>
    <t>SB-SRA</t>
  </si>
  <si>
    <t>SB</t>
  </si>
  <si>
    <t>WA-PYS-N</t>
  </si>
  <si>
    <t>SB-SDA</t>
  </si>
  <si>
    <t>SB-OVO</t>
  </si>
  <si>
    <t>KH-SUT-21</t>
  </si>
  <si>
    <t>KH-SUT-5</t>
  </si>
  <si>
    <t>KH-WLR</t>
  </si>
  <si>
    <t>KH-RMT</t>
  </si>
  <si>
    <t>KH-SW-W10</t>
  </si>
  <si>
    <t>KHS-SW-W1</t>
  </si>
  <si>
    <t>CT-ATD-ST</t>
  </si>
  <si>
    <t>SL-VE-P</t>
  </si>
  <si>
    <t>S-RY</t>
  </si>
  <si>
    <t>KH-EDL</t>
  </si>
  <si>
    <t>TU-MLE</t>
  </si>
  <si>
    <t>KH-SW-WB</t>
  </si>
  <si>
    <t>KH-SUT-10</t>
  </si>
  <si>
    <t>BT-NHE</t>
  </si>
  <si>
    <t>WA-PYS-S</t>
  </si>
  <si>
    <t>KH-TOC-18</t>
  </si>
  <si>
    <t>SR-BKN-H</t>
  </si>
  <si>
    <t>ST-HES</t>
  </si>
  <si>
    <t>SB-NBK</t>
  </si>
  <si>
    <t>TS-NL-A</t>
  </si>
  <si>
    <t>CT-OSN-RT</t>
  </si>
  <si>
    <t>B-RVB-QN</t>
  </si>
  <si>
    <t>MB</t>
  </si>
  <si>
    <t>KC-OPT-1N</t>
  </si>
  <si>
    <t>B-MLT-QT</t>
  </si>
  <si>
    <t>W-AND-3N</t>
  </si>
  <si>
    <t>B-POL-KT</t>
  </si>
  <si>
    <t>W-CLO-4</t>
  </si>
  <si>
    <t>DC-MYN-LA</t>
  </si>
  <si>
    <t>W-AND-2M</t>
  </si>
  <si>
    <t>W-AND-4M</t>
  </si>
  <si>
    <t>W-AND-10N</t>
  </si>
  <si>
    <t>TU-HRI</t>
  </si>
  <si>
    <t>PU-SNM</t>
  </si>
  <si>
    <t>W-MLT-M</t>
  </si>
  <si>
    <t>TU-OLA</t>
  </si>
  <si>
    <t>TU-BVN</t>
  </si>
  <si>
    <t>ST-RDO-ST</t>
  </si>
  <si>
    <t>W-BNO</t>
  </si>
  <si>
    <t>SB-AXA-4</t>
  </si>
  <si>
    <t>ST-WLD</t>
  </si>
  <si>
    <t>B-POL-QT</t>
  </si>
  <si>
    <t>W-AND-3M</t>
  </si>
  <si>
    <t>SR-WMO</t>
  </si>
  <si>
    <t>W-MLT-4N</t>
  </si>
  <si>
    <t>SR-PRG</t>
  </si>
  <si>
    <t>TU-BKMT</t>
  </si>
  <si>
    <t>KC-OPT-2S</t>
  </si>
  <si>
    <t>SB-CS-LA</t>
  </si>
  <si>
    <t>W-MLT-3N</t>
  </si>
  <si>
    <t>ST-RDO</t>
  </si>
  <si>
    <t>TU-RE-LA</t>
  </si>
  <si>
    <t>CT-ATD-LA</t>
  </si>
  <si>
    <t>SB-CS-ST</t>
  </si>
  <si>
    <t>S-BR-4</t>
  </si>
  <si>
    <t>TU-SNQ-LA</t>
  </si>
  <si>
    <t>RT-RI</t>
  </si>
  <si>
    <t>W-AND-2N</t>
  </si>
  <si>
    <t>TU-PMS-ST</t>
  </si>
  <si>
    <t>CT-DOV</t>
  </si>
  <si>
    <t>TU-MYN</t>
  </si>
  <si>
    <t>TU-RYE-LA</t>
  </si>
  <si>
    <t>DC-CLV</t>
  </si>
  <si>
    <t>SR-FYN</t>
  </si>
  <si>
    <t>S-XD</t>
  </si>
  <si>
    <t>TU-WBM</t>
  </si>
  <si>
    <t>TU-PIN</t>
  </si>
  <si>
    <t>SR-WHTO</t>
  </si>
  <si>
    <t>DC-MYN-ST</t>
  </si>
  <si>
    <t>RT-DR</t>
  </si>
  <si>
    <t>SB-AXA-52</t>
  </si>
  <si>
    <t>CT-MT-RT</t>
  </si>
  <si>
    <t>TU-PM-LA</t>
  </si>
  <si>
    <t>W-MLT-2N</t>
  </si>
  <si>
    <t>SR-MVS</t>
  </si>
  <si>
    <t>CT-GSE-SQ2</t>
  </si>
  <si>
    <t>SF-WBR-4LI</t>
  </si>
  <si>
    <t>CT-GSE-SQ</t>
  </si>
  <si>
    <t>TU-DSK</t>
  </si>
  <si>
    <t>S-CRF</t>
  </si>
  <si>
    <t>B-MLT-KT</t>
  </si>
  <si>
    <t>TP-MTA</t>
  </si>
  <si>
    <t>KC-OPT-2N</t>
  </si>
  <si>
    <t>TU-ETY-ST</t>
  </si>
  <si>
    <t>W-AND-12N</t>
  </si>
  <si>
    <t>SB-BNA</t>
  </si>
  <si>
    <t>SB-SN-D</t>
  </si>
  <si>
    <t>KH-VD</t>
  </si>
  <si>
    <t>TU-BKY-ST</t>
  </si>
  <si>
    <t>B-RVB-D36N</t>
  </si>
  <si>
    <t>ST-CBN-P</t>
  </si>
  <si>
    <t>TU-KU-LA</t>
  </si>
  <si>
    <t>SR-MVS-I</t>
  </si>
  <si>
    <t>B-POL-SN</t>
  </si>
  <si>
    <t>SR-MVS-T</t>
  </si>
  <si>
    <t>BT-OL-D</t>
  </si>
  <si>
    <t>W-CLO-345</t>
  </si>
  <si>
    <t>TU-LMI</t>
  </si>
  <si>
    <t>TU-SKD</t>
  </si>
  <si>
    <t>TS-FV</t>
  </si>
  <si>
    <t>SB-CB</t>
  </si>
  <si>
    <t>TU-AYL</t>
  </si>
  <si>
    <t>TU-MSEP</t>
  </si>
  <si>
    <t>TU-AMY</t>
  </si>
  <si>
    <t>TU-RWT-M</t>
  </si>
  <si>
    <t>SB-VNO</t>
  </si>
  <si>
    <t>ST-HE</t>
  </si>
  <si>
    <t>SR-BKN-T</t>
  </si>
  <si>
    <t>TU-ATD</t>
  </si>
  <si>
    <t>TU-LE</t>
  </si>
  <si>
    <t>SR-MVS-IT</t>
  </si>
  <si>
    <t>TU-RWT-LA</t>
  </si>
  <si>
    <t>SR-CLM-T</t>
  </si>
  <si>
    <t>KC-SRN</t>
  </si>
  <si>
    <t>ST-EFI-ST</t>
  </si>
  <si>
    <t>TU-OML</t>
  </si>
  <si>
    <t>KH-TOC-40</t>
  </si>
  <si>
    <t>CT-GSE-RT2</t>
  </si>
  <si>
    <t>SB-WLB</t>
  </si>
  <si>
    <t>TU-ETY-LA</t>
  </si>
  <si>
    <t>TU-RYE-ST</t>
  </si>
  <si>
    <t>CT-TYU</t>
  </si>
  <si>
    <t>PU-DRV</t>
  </si>
  <si>
    <t>SR-BKN-2</t>
  </si>
  <si>
    <t>TU-PTL</t>
  </si>
  <si>
    <t>SB-MXL-LA</t>
  </si>
  <si>
    <t>TU-CRL</t>
  </si>
  <si>
    <t>TU-PMG-ST</t>
  </si>
  <si>
    <t>KH-LKN-6</t>
  </si>
  <si>
    <t>S-AB</t>
  </si>
  <si>
    <t>S-ERA</t>
  </si>
  <si>
    <t>SB-CA</t>
  </si>
  <si>
    <t>ST-EFI-LA</t>
  </si>
  <si>
    <t>S-JVS</t>
  </si>
  <si>
    <t>TU-KVD-ST</t>
  </si>
  <si>
    <t>W-CLO-5</t>
  </si>
  <si>
    <t>RT-ALY</t>
  </si>
  <si>
    <t>TU-SKDL</t>
  </si>
  <si>
    <t>RT-FR</t>
  </si>
  <si>
    <t>SR-CLM-3</t>
  </si>
  <si>
    <t>TS-NL-ST</t>
  </si>
  <si>
    <t>SB-ASG</t>
  </si>
  <si>
    <t>ST-KYA</t>
  </si>
  <si>
    <t>TU-FL</t>
  </si>
  <si>
    <t>SB-SN-N</t>
  </si>
  <si>
    <t>CT-NO-RT</t>
  </si>
  <si>
    <t>S-CC</t>
  </si>
  <si>
    <t>DT-HE-4</t>
  </si>
  <si>
    <t>BT-CO</t>
  </si>
  <si>
    <t>PU-SUB-ST</t>
  </si>
  <si>
    <t>TU-KVD-LA</t>
  </si>
  <si>
    <t>B-MLT-D30T</t>
  </si>
  <si>
    <t>RT-AT</t>
  </si>
  <si>
    <t>W-CLO-3</t>
  </si>
  <si>
    <t>B-RVB-KN</t>
  </si>
  <si>
    <t>TS-NL-LA</t>
  </si>
  <si>
    <t>BT-OL</t>
  </si>
  <si>
    <t>SH-GTA</t>
  </si>
  <si>
    <t>TU-PM-ST</t>
  </si>
  <si>
    <t>TU-HMD</t>
  </si>
  <si>
    <t>PU-SDI-ST</t>
  </si>
  <si>
    <t>SR-CLE</t>
  </si>
  <si>
    <t>TU-OL</t>
  </si>
  <si>
    <t>W-AND-4N</t>
  </si>
  <si>
    <t>TU-DRN</t>
  </si>
  <si>
    <t>ST-CBN</t>
  </si>
  <si>
    <t>ST-CBN-S</t>
  </si>
  <si>
    <t>TU-WBM-ST</t>
  </si>
  <si>
    <t>S-AO</t>
  </si>
  <si>
    <t>TU-VC</t>
  </si>
  <si>
    <t>SR-OLY</t>
  </si>
  <si>
    <t>FT-EDR</t>
  </si>
  <si>
    <t>SH-CHR</t>
  </si>
  <si>
    <t>SR-KPN</t>
  </si>
  <si>
    <t>CT-ETE</t>
  </si>
  <si>
    <t>CT-ATD</t>
  </si>
  <si>
    <t>CT-LE</t>
  </si>
  <si>
    <t>PU-SUB</t>
  </si>
  <si>
    <t>BT-HE</t>
  </si>
  <si>
    <t>CT-MT-RO</t>
  </si>
  <si>
    <t>TU-GAU</t>
  </si>
  <si>
    <t>S-BR-6</t>
  </si>
  <si>
    <t>MD-TNO-S</t>
  </si>
  <si>
    <t>SB-LGN</t>
  </si>
  <si>
    <t>TU-CBR-LA</t>
  </si>
  <si>
    <t>ST-CBN-LS</t>
  </si>
  <si>
    <t>CT-TR-RT</t>
  </si>
  <si>
    <t>SB-MOL</t>
  </si>
  <si>
    <t>B-RVB-SN</t>
  </si>
  <si>
    <t>S-AI</t>
  </si>
  <si>
    <t>S-AE</t>
  </si>
  <si>
    <t>ST-GSE-ST</t>
  </si>
  <si>
    <t>SB-AXA-51</t>
  </si>
  <si>
    <t>PF-NAH-RO</t>
  </si>
  <si>
    <t>S-GRB</t>
  </si>
  <si>
    <t>ST-MLM-N</t>
  </si>
  <si>
    <t>SB-MPL</t>
  </si>
  <si>
    <t>CT-VC</t>
  </si>
  <si>
    <t>TU-MSE</t>
  </si>
  <si>
    <t>TU-PMP-L</t>
  </si>
  <si>
    <t>CT-OL</t>
  </si>
  <si>
    <t>TU-TK-ST</t>
  </si>
  <si>
    <t>ST-MLM-L</t>
  </si>
  <si>
    <t>TU-PMS-LA</t>
  </si>
  <si>
    <t>SH-DVN</t>
  </si>
  <si>
    <t>TU-PMG-LA</t>
  </si>
  <si>
    <t>KH-SW-W21</t>
  </si>
  <si>
    <t>PF-MIS-RT</t>
  </si>
  <si>
    <t>SR-CLM-2</t>
  </si>
  <si>
    <t>RT-RI-M</t>
  </si>
  <si>
    <t>SB-JMY</t>
  </si>
  <si>
    <t>S-ATL</t>
  </si>
  <si>
    <t>KC-OPT-1S</t>
  </si>
  <si>
    <t>SB-WA</t>
  </si>
  <si>
    <t>TU-TK-LA</t>
  </si>
  <si>
    <t>S-BR-F6</t>
  </si>
  <si>
    <t>ST-AML</t>
  </si>
  <si>
    <t>CT-SY</t>
  </si>
  <si>
    <t>CT-SH</t>
  </si>
  <si>
    <t>S-ETN</t>
  </si>
  <si>
    <t>TU-BKY</t>
  </si>
  <si>
    <t>CT-KV-RT</t>
  </si>
  <si>
    <t>S-PTE</t>
  </si>
  <si>
    <t>TU-MA-ST</t>
  </si>
  <si>
    <t>MD-TNO-L</t>
  </si>
  <si>
    <t>TU-ARO-LA</t>
  </si>
  <si>
    <t>ST-RE</t>
  </si>
  <si>
    <t>SB-WA-WM</t>
  </si>
  <si>
    <t>TU-ETY-M</t>
  </si>
  <si>
    <t>CT-TLY</t>
  </si>
  <si>
    <t>CT-MT-SQ</t>
  </si>
  <si>
    <t>SB-PH</t>
  </si>
  <si>
    <t>KH-TO-40</t>
  </si>
  <si>
    <t>SH-YBO</t>
  </si>
  <si>
    <t>KR-JSD</t>
  </si>
  <si>
    <t>RH-OT</t>
  </si>
  <si>
    <t>TU-MA-LA</t>
  </si>
  <si>
    <t>TS-NLM</t>
  </si>
  <si>
    <t>SB-AA</t>
  </si>
  <si>
    <t>B-POL-KN</t>
  </si>
  <si>
    <t>B-POL-QN</t>
  </si>
  <si>
    <t>S-LO</t>
  </si>
  <si>
    <t>BT-LE-B</t>
  </si>
  <si>
    <t>BT-LE-S</t>
  </si>
  <si>
    <t> </t>
  </si>
  <si>
    <t>SH-DVN-ST</t>
  </si>
  <si>
    <t>KH-TO-18</t>
  </si>
  <si>
    <t>CMB-RELO</t>
  </si>
  <si>
    <t>CT-GSE-RT</t>
  </si>
  <si>
    <t>CT-KV-SQ</t>
  </si>
  <si>
    <t>CT-MD-RT</t>
  </si>
  <si>
    <t>CT-MD-SQ</t>
  </si>
  <si>
    <t>CT-NO-SQ</t>
  </si>
  <si>
    <t>CT-OSN-OV</t>
  </si>
  <si>
    <t>CT-TR-RTS</t>
  </si>
  <si>
    <t>DT-GRA</t>
  </si>
  <si>
    <t>DT-HE-3</t>
  </si>
  <si>
    <t>DT-MR</t>
  </si>
  <si>
    <t>GH-CE</t>
  </si>
  <si>
    <t>GH-IS</t>
  </si>
  <si>
    <t>KH-RZ</t>
  </si>
  <si>
    <t>LT-FN</t>
  </si>
  <si>
    <t>RH-SU-2-2</t>
  </si>
  <si>
    <t>RH-SU-4</t>
  </si>
  <si>
    <t>RT-T</t>
  </si>
  <si>
    <t>SB-AL-2</t>
  </si>
  <si>
    <t>SB-AL-4</t>
  </si>
  <si>
    <t>SB-CB.P-T</t>
  </si>
  <si>
    <t>SB-MXL-ST</t>
  </si>
  <si>
    <t>SB-OS</t>
  </si>
  <si>
    <t>RH-RL</t>
  </si>
  <si>
    <t>B-RVB-D30N</t>
  </si>
  <si>
    <t>SB-SML</t>
  </si>
  <si>
    <t>CH-PLI-ME</t>
  </si>
  <si>
    <t>S-CK-2</t>
  </si>
  <si>
    <t>S-FE-W2</t>
  </si>
  <si>
    <t>S-LC</t>
  </si>
  <si>
    <t>SL-VE-18</t>
  </si>
  <si>
    <t>S-MO-3</t>
  </si>
  <si>
    <t>S-MO-5</t>
  </si>
  <si>
    <t>S-PTE-W</t>
  </si>
  <si>
    <t>SR-LRL</t>
  </si>
  <si>
    <t>S-SB-S3</t>
  </si>
  <si>
    <t>S-T-16S4</t>
  </si>
  <si>
    <t>ST-CND-LA</t>
  </si>
  <si>
    <t>ST-CND-ST</t>
  </si>
  <si>
    <t>S-TCW-10P2</t>
  </si>
  <si>
    <t>S-TCW-8P2</t>
  </si>
  <si>
    <t>ST-GSE-LA</t>
  </si>
  <si>
    <t>ST-GSE-WMN</t>
  </si>
  <si>
    <t>ST-GSE-WMS</t>
  </si>
  <si>
    <t>ST-GSE-WMSF</t>
  </si>
  <si>
    <t>ST-GSE-WMSW</t>
  </si>
  <si>
    <t>S-TW12-S4</t>
  </si>
  <si>
    <t>TU-ARO-ST</t>
  </si>
  <si>
    <t>TU-CBR-ST</t>
  </si>
  <si>
    <t>TU-DAR</t>
  </si>
  <si>
    <t>TU-KU-ST</t>
  </si>
  <si>
    <t>TU-NVH-M</t>
  </si>
  <si>
    <t>TU-NVH-ST</t>
  </si>
  <si>
    <t>TU-PMP-S</t>
  </si>
  <si>
    <t>TU-PR</t>
  </si>
  <si>
    <t>TU-RE-ST</t>
  </si>
  <si>
    <t>TU-TP</t>
  </si>
  <si>
    <t>TU-TT-L</t>
  </si>
  <si>
    <t>TU-TT-S</t>
  </si>
  <si>
    <t>WA-BLS</t>
  </si>
  <si>
    <t>WA-CCI.P-DW</t>
  </si>
  <si>
    <t>WA-FBA.P-DW</t>
  </si>
  <si>
    <t>W-AND-11N</t>
  </si>
  <si>
    <t>CH-ZLO-ME</t>
  </si>
  <si>
    <t>WT-EA</t>
  </si>
  <si>
    <t>SR-FLV</t>
  </si>
  <si>
    <t>ST-NFN</t>
  </si>
  <si>
    <t>SR-ADS-2</t>
  </si>
  <si>
    <t>SR-ADS-3</t>
  </si>
  <si>
    <t>ST-DZL</t>
  </si>
  <si>
    <t xml:space="preserve">Theoretical Weight </t>
  </si>
  <si>
    <t>Sys.Wht</t>
  </si>
  <si>
    <t>Wht (Kgs)</t>
  </si>
  <si>
    <t>Difference</t>
  </si>
  <si>
    <t>Diff %</t>
  </si>
  <si>
    <t>KG/CBF</t>
  </si>
  <si>
    <t>BOM.Wht</t>
  </si>
  <si>
    <t>MTP.CHK</t>
  </si>
  <si>
    <t>Weight dispatch Remarks</t>
  </si>
  <si>
    <t>Reason</t>
  </si>
  <si>
    <t>ok</t>
  </si>
  <si>
    <t xml:space="preserve"> </t>
  </si>
  <si>
    <t>CH-FXA-MP</t>
  </si>
  <si>
    <t>0</t>
  </si>
  <si>
    <t>CH-SYN-ME</t>
  </si>
  <si>
    <t>CH-SYN-MP</t>
  </si>
  <si>
    <t>CH-ZLO-MP</t>
  </si>
  <si>
    <t>SF-WBR-2</t>
  </si>
  <si>
    <t>SF-WBR-IL</t>
  </si>
  <si>
    <t>SR-ADS-2W</t>
  </si>
  <si>
    <t>TU-VCO</t>
  </si>
  <si>
    <t>CT-ATD-M</t>
  </si>
  <si>
    <t>BD SKUs</t>
  </si>
  <si>
    <t>AD SKUs</t>
  </si>
  <si>
    <t>Audit SKUs</t>
  </si>
  <si>
    <t>Variance</t>
  </si>
  <si>
    <t>%</t>
  </si>
  <si>
    <t xml:space="preserve">same as AD SKUs </t>
  </si>
  <si>
    <t>Guidelines</t>
  </si>
  <si>
    <t>Put actual physical dimensions and weights only on 'Dimensions Audit' Sheet</t>
  </si>
  <si>
    <t>Do not make any change in 'Dimension Master' Shee</t>
  </si>
  <si>
    <t>Only changes to manage weights and dimensions to be done in 'dimension master' manually. Mark all such changes in RED TEXT</t>
  </si>
  <si>
    <t xml:space="preserve">Connect all logistics order dispatches and billing  data from Dimensions Master sheet </t>
  </si>
  <si>
    <t>Weight</t>
  </si>
  <si>
    <t>BOX1</t>
  </si>
  <si>
    <t>BOX2</t>
  </si>
  <si>
    <t>BOX3</t>
  </si>
  <si>
    <t>N</t>
  </si>
  <si>
    <t>Y</t>
  </si>
  <si>
    <t>poly/Foam weight</t>
  </si>
  <si>
    <t>RL</t>
  </si>
  <si>
    <t>leg weight issue</t>
  </si>
  <si>
    <t>physical weight</t>
  </si>
  <si>
    <t>carton box issue</t>
  </si>
  <si>
    <t>Box weight issue</t>
  </si>
  <si>
    <t>TS-NL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</si>
</sst>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(* #,##0_);_(* \(#,##0\);_(* &quot;-&quot;??_);_(@_)"/>
    <numFmt numFmtId="167" formatCode="[$-4009]General"/>
    <numFmt numFmtId="168" formatCode="_-* #,##0_-;\-* #,##0_-;_-* &quot;-&quot;??_-;_-@_-"/>
    <numFmt numFmtId="169" formatCode="0.0%"/>
    <numFmt numFmtId="170" formatCode="0.000"/>
    <numFmt numFmtId="171" formatCode="0.0"/>
    <numFmt numFmtId="172" formatCode="_ * #,##0_ ;_ * \-#,##0_ ;_ * &quot;-&quot;??_ ;_ @_ 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u/>
      <sz val="7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7.7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2"/>
      <color indexed="8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mbria"/>
      <family val="1"/>
      <scheme val="major"/>
    </font>
    <font>
      <sz val="10"/>
      <color rgb="FFFF000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rgb="FFFF0000"/>
      <name val="Calibri"/>
      <family val="2"/>
      <scheme val="minor"/>
    </font>
    <font>
      <b/>
      <sz val="10"/>
      <color rgb="FF00B050"/>
      <name val="Cambria"/>
      <family val="1"/>
      <scheme val="major"/>
    </font>
    <font>
      <b/>
      <sz val="10"/>
      <color theme="6" tint="-0.249977111117893"/>
      <name val="Cambria"/>
      <family val="1"/>
      <scheme val="major"/>
    </font>
    <font>
      <sz val="9"/>
      <color rgb="FF605E5C"/>
      <name val="-Apple-System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14">
    <xf numFmtId="0" fontId="0" fillId="0" borderId="0"/>
    <xf numFmtId="0" fontId="2" fillId="0" borderId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NumberFormat="0" applyFill="0" applyBorder="0" applyAlignment="0" applyProtection="0"/>
  </cellStyleXfs>
  <cellXfs count="212">
    <xf numFmtId="0" fontId="0" fillId="0" borderId="0" xfId="0"/>
    <xf numFmtId="0" fontId="1" fillId="0" borderId="0" xfId="0" applyFont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6" borderId="1" xfId="0" applyFont="1" applyFill="1" applyBorder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168" fontId="14" fillId="4" borderId="3" xfId="20" applyNumberFormat="1" applyFont="1" applyFill="1" applyBorder="1" applyAlignment="1">
      <alignment horizontal="right"/>
    </xf>
    <xf numFmtId="2" fontId="14" fillId="4" borderId="3" xfId="20" applyNumberFormat="1" applyFont="1" applyFill="1" applyBorder="1" applyAlignment="1">
      <alignment horizontal="right"/>
    </xf>
    <xf numFmtId="171" fontId="14" fillId="5" borderId="1" xfId="20" applyNumberFormat="1" applyFont="1" applyFill="1" applyBorder="1" applyAlignment="1">
      <alignment horizontal="right" vertical="center"/>
    </xf>
    <xf numFmtId="166" fontId="14" fillId="7" borderId="1" xfId="2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right"/>
    </xf>
    <xf numFmtId="2" fontId="14" fillId="4" borderId="1" xfId="0" applyNumberFormat="1" applyFont="1" applyFill="1" applyBorder="1" applyAlignment="1">
      <alignment horizontal="right"/>
    </xf>
    <xf numFmtId="171" fontId="14" fillId="5" borderId="1" xfId="0" applyNumberFormat="1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right" vertical="center"/>
    </xf>
    <xf numFmtId="171" fontId="14" fillId="5" borderId="0" xfId="20" applyNumberFormat="1" applyFont="1" applyFill="1" applyAlignment="1">
      <alignment horizontal="right" vertical="center"/>
    </xf>
    <xf numFmtId="1" fontId="14" fillId="5" borderId="0" xfId="20" applyNumberFormat="1" applyFont="1" applyFill="1" applyAlignment="1">
      <alignment horizontal="right" vertical="center"/>
    </xf>
    <xf numFmtId="166" fontId="14" fillId="7" borderId="0" xfId="20" applyNumberFormat="1" applyFont="1" applyFill="1" applyAlignment="1">
      <alignment horizontal="right" vertical="center"/>
    </xf>
    <xf numFmtId="166" fontId="14" fillId="8" borderId="0" xfId="2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right"/>
    </xf>
    <xf numFmtId="2" fontId="14" fillId="4" borderId="0" xfId="0" applyNumberFormat="1" applyFont="1" applyFill="1" applyAlignment="1">
      <alignment horizontal="right"/>
    </xf>
    <xf numFmtId="0" fontId="12" fillId="0" borderId="1" xfId="0" applyFont="1" applyBorder="1"/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5" xfId="0" applyFont="1" applyBorder="1" applyAlignment="1">
      <alignment horizontal="center"/>
    </xf>
    <xf numFmtId="1" fontId="14" fillId="5" borderId="5" xfId="2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1" fontId="14" fillId="6" borderId="5" xfId="0" applyNumberFormat="1" applyFont="1" applyFill="1" applyBorder="1" applyAlignment="1">
      <alignment horizontal="right" vertical="center"/>
    </xf>
    <xf numFmtId="1" fontId="14" fillId="7" borderId="5" xfId="20" applyNumberFormat="1" applyFont="1" applyFill="1" applyBorder="1" applyAlignment="1">
      <alignment horizontal="right" vertical="center"/>
    </xf>
    <xf numFmtId="1" fontId="14" fillId="6" borderId="0" xfId="0" applyNumberFormat="1" applyFont="1" applyFill="1" applyAlignment="1">
      <alignment horizontal="right" vertical="center"/>
    </xf>
    <xf numFmtId="1" fontId="14" fillId="7" borderId="0" xfId="20" applyNumberFormat="1" applyFont="1" applyFill="1" applyAlignment="1">
      <alignment horizontal="right" vertical="center"/>
    </xf>
    <xf numFmtId="166" fontId="9" fillId="3" borderId="5" xfId="20" applyNumberFormat="1" applyFont="1" applyFill="1" applyBorder="1" applyAlignment="1">
      <alignment horizontal="right" vertical="center"/>
    </xf>
    <xf numFmtId="0" fontId="14" fillId="6" borderId="5" xfId="20" applyNumberFormat="1" applyFont="1" applyFill="1" applyBorder="1" applyAlignment="1">
      <alignment horizontal="right" vertical="center"/>
    </xf>
    <xf numFmtId="0" fontId="14" fillId="6" borderId="0" xfId="20" applyNumberFormat="1" applyFont="1" applyFill="1" applyAlignment="1">
      <alignment horizontal="right" vertical="center"/>
    </xf>
    <xf numFmtId="0" fontId="14" fillId="2" borderId="0" xfId="0" applyFont="1" applyFill="1"/>
    <xf numFmtId="168" fontId="14" fillId="10" borderId="2" xfId="20" applyNumberFormat="1" applyFont="1" applyFill="1" applyBorder="1" applyAlignment="1">
      <alignment horizontal="right"/>
    </xf>
    <xf numFmtId="0" fontId="14" fillId="10" borderId="1" xfId="0" applyFont="1" applyFill="1" applyBorder="1" applyAlignment="1">
      <alignment horizontal="right"/>
    </xf>
    <xf numFmtId="168" fontId="14" fillId="10" borderId="0" xfId="20" applyNumberFormat="1" applyFont="1" applyFill="1" applyAlignment="1">
      <alignment horizontal="right"/>
    </xf>
    <xf numFmtId="0" fontId="14" fillId="10" borderId="0" xfId="0" applyFont="1" applyFill="1" applyAlignment="1">
      <alignment horizontal="right"/>
    </xf>
    <xf numFmtId="166" fontId="9" fillId="11" borderId="5" xfId="20" applyNumberFormat="1" applyFont="1" applyFill="1" applyBorder="1" applyAlignment="1">
      <alignment horizontal="right" vertical="center"/>
    </xf>
    <xf numFmtId="166" fontId="9" fillId="11" borderId="1" xfId="20" applyNumberFormat="1" applyFont="1" applyFill="1" applyBorder="1" applyAlignment="1">
      <alignment horizontal="right" vertical="center"/>
    </xf>
    <xf numFmtId="166" fontId="9" fillId="11" borderId="6" xfId="20" applyNumberFormat="1" applyFont="1" applyFill="1" applyBorder="1" applyAlignment="1">
      <alignment horizontal="right" vertical="center"/>
    </xf>
    <xf numFmtId="166" fontId="9" fillId="11" borderId="2" xfId="20" applyNumberFormat="1" applyFont="1" applyFill="1" applyBorder="1" applyAlignment="1">
      <alignment horizontal="right" vertical="center"/>
    </xf>
    <xf numFmtId="166" fontId="14" fillId="11" borderId="0" xfId="20" applyNumberFormat="1" applyFont="1" applyFill="1" applyAlignment="1">
      <alignment horizontal="right" vertical="center"/>
    </xf>
    <xf numFmtId="0" fontId="16" fillId="0" borderId="0" xfId="0" applyFont="1"/>
    <xf numFmtId="0" fontId="9" fillId="0" borderId="0" xfId="0" applyFont="1"/>
    <xf numFmtId="0" fontId="17" fillId="0" borderId="0" xfId="0" applyFont="1"/>
    <xf numFmtId="0" fontId="14" fillId="0" borderId="8" xfId="0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14" fillId="6" borderId="8" xfId="0" applyFont="1" applyFill="1" applyBorder="1" applyAlignment="1">
      <alignment horizontal="right" vertical="center"/>
    </xf>
    <xf numFmtId="171" fontId="14" fillId="5" borderId="8" xfId="20" applyNumberFormat="1" applyFont="1" applyFill="1" applyBorder="1" applyAlignment="1">
      <alignment horizontal="right" vertical="center"/>
    </xf>
    <xf numFmtId="1" fontId="14" fillId="5" borderId="8" xfId="20" applyNumberFormat="1" applyFont="1" applyFill="1" applyBorder="1" applyAlignment="1">
      <alignment horizontal="right" vertical="center"/>
    </xf>
    <xf numFmtId="166" fontId="14" fillId="7" borderId="8" xfId="20" applyNumberFormat="1" applyFont="1" applyFill="1" applyBorder="1" applyAlignment="1">
      <alignment horizontal="right" vertical="center"/>
    </xf>
    <xf numFmtId="166" fontId="9" fillId="8" borderId="8" xfId="2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6" borderId="1" xfId="0" applyFont="1" applyFill="1" applyBorder="1" applyAlignment="1">
      <alignment horizontal="right" vertical="center"/>
    </xf>
    <xf numFmtId="171" fontId="11" fillId="5" borderId="1" xfId="0" applyNumberFormat="1" applyFont="1" applyFill="1" applyBorder="1" applyAlignment="1">
      <alignment horizontal="right" vertical="center"/>
    </xf>
    <xf numFmtId="1" fontId="11" fillId="5" borderId="1" xfId="2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166" fontId="11" fillId="7" borderId="1" xfId="20" applyNumberFormat="1" applyFont="1" applyFill="1" applyBorder="1" applyAlignment="1">
      <alignment horizontal="right" vertical="center"/>
    </xf>
    <xf numFmtId="166" fontId="15" fillId="8" borderId="1" xfId="20" applyNumberFormat="1" applyFont="1" applyFill="1" applyBorder="1" applyAlignment="1">
      <alignment horizontal="right" vertical="center"/>
    </xf>
    <xf numFmtId="171" fontId="11" fillId="5" borderId="1" xfId="20" applyNumberFormat="1" applyFont="1" applyFill="1" applyBorder="1" applyAlignment="1">
      <alignment horizontal="right" vertical="center"/>
    </xf>
    <xf numFmtId="170" fontId="11" fillId="4" borderId="1" xfId="18" applyNumberFormat="1" applyFont="1" applyFill="1" applyBorder="1" applyAlignment="1">
      <alignment horizontal="right"/>
    </xf>
    <xf numFmtId="2" fontId="11" fillId="4" borderId="1" xfId="18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/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166" fontId="12" fillId="11" borderId="1" xfId="20" applyNumberFormat="1" applyFont="1" applyFill="1" applyBorder="1" applyAlignment="1">
      <alignment horizontal="right" vertical="center"/>
    </xf>
    <xf numFmtId="43" fontId="12" fillId="11" borderId="1" xfId="20" applyNumberFormat="1" applyFont="1" applyFill="1" applyBorder="1" applyAlignment="1">
      <alignment horizontal="right" vertical="center"/>
    </xf>
    <xf numFmtId="168" fontId="11" fillId="10" borderId="1" xfId="20" applyNumberFormat="1" applyFont="1" applyFill="1" applyBorder="1" applyAlignment="1">
      <alignment horizontal="right"/>
    </xf>
    <xf numFmtId="166" fontId="11" fillId="10" borderId="1" xfId="0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1" fillId="0" borderId="1" xfId="0" applyFont="1" applyBorder="1"/>
    <xf numFmtId="1" fontId="14" fillId="9" borderId="8" xfId="0" applyNumberFormat="1" applyFont="1" applyFill="1" applyBorder="1" applyAlignment="1">
      <alignment horizontal="center" vertical="center"/>
    </xf>
    <xf numFmtId="0" fontId="14" fillId="9" borderId="8" xfId="20" applyNumberFormat="1" applyFont="1" applyFill="1" applyBorder="1" applyAlignment="1">
      <alignment horizontal="right" vertical="center"/>
    </xf>
    <xf numFmtId="1" fontId="14" fillId="9" borderId="8" xfId="20" applyNumberFormat="1" applyFont="1" applyFill="1" applyBorder="1" applyAlignment="1">
      <alignment horizontal="center" vertical="center"/>
    </xf>
    <xf numFmtId="166" fontId="9" fillId="3" borderId="8" xfId="2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43" fontId="18" fillId="0" borderId="1" xfId="20" applyNumberFormat="1" applyFont="1" applyFill="1" applyBorder="1" applyAlignment="1">
      <alignment horizontal="right" vertical="center"/>
    </xf>
    <xf numFmtId="166" fontId="18" fillId="0" borderId="1" xfId="20" applyNumberFormat="1" applyFont="1" applyFill="1" applyBorder="1" applyAlignment="1">
      <alignment horizontal="right" vertical="center"/>
    </xf>
    <xf numFmtId="2" fontId="18" fillId="0" borderId="1" xfId="20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right"/>
    </xf>
    <xf numFmtId="49" fontId="18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right"/>
    </xf>
    <xf numFmtId="166" fontId="20" fillId="0" borderId="1" xfId="20" applyNumberFormat="1" applyFont="1" applyFill="1" applyBorder="1" applyAlignment="1">
      <alignment horizontal="right" vertical="center"/>
    </xf>
    <xf numFmtId="43" fontId="20" fillId="0" borderId="1" xfId="20" applyNumberFormat="1" applyFont="1" applyFill="1" applyBorder="1" applyAlignment="1">
      <alignment horizontal="right" vertical="center"/>
    </xf>
    <xf numFmtId="0" fontId="20" fillId="0" borderId="1" xfId="0" applyFont="1" applyBorder="1"/>
    <xf numFmtId="0" fontId="18" fillId="0" borderId="1" xfId="2" applyFont="1" applyBorder="1" applyAlignment="1">
      <alignment horizontal="left"/>
    </xf>
    <xf numFmtId="1" fontId="18" fillId="0" borderId="1" xfId="0" applyNumberFormat="1" applyFont="1" applyBorder="1" applyAlignment="1">
      <alignment horizontal="right" vertical="center"/>
    </xf>
    <xf numFmtId="0" fontId="18" fillId="0" borderId="1" xfId="20" applyNumberFormat="1" applyFont="1" applyFill="1" applyBorder="1" applyAlignment="1">
      <alignment horizontal="right" vertical="center"/>
    </xf>
    <xf numFmtId="1" fontId="18" fillId="0" borderId="1" xfId="20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left" vertical="center" wrapText="1"/>
    </xf>
    <xf numFmtId="0" fontId="14" fillId="2" borderId="0" xfId="0" applyFont="1" applyFill="1" applyAlignment="1">
      <alignment horizontal="center"/>
    </xf>
    <xf numFmtId="0" fontId="9" fillId="10" borderId="1" xfId="0" applyFont="1" applyFill="1" applyBorder="1" applyAlignment="1">
      <alignment horizontal="right"/>
    </xf>
    <xf numFmtId="169" fontId="15" fillId="10" borderId="1" xfId="18" applyNumberFormat="1" applyFont="1" applyFill="1" applyBorder="1" applyAlignment="1">
      <alignment horizontal="right"/>
    </xf>
    <xf numFmtId="0" fontId="9" fillId="10" borderId="0" xfId="0" applyFont="1" applyFill="1" applyAlignment="1">
      <alignment horizontal="right"/>
    </xf>
    <xf numFmtId="168" fontId="14" fillId="10" borderId="2" xfId="20" applyNumberFormat="1" applyFont="1" applyFill="1" applyBorder="1" applyAlignment="1">
      <alignment horizontal="left"/>
    </xf>
    <xf numFmtId="166" fontId="9" fillId="12" borderId="7" xfId="20" applyNumberFormat="1" applyFont="1" applyFill="1" applyBorder="1" applyAlignment="1">
      <alignment horizontal="center" vertical="center"/>
    </xf>
    <xf numFmtId="166" fontId="9" fillId="12" borderId="6" xfId="20" applyNumberFormat="1" applyFont="1" applyFill="1" applyBorder="1" applyAlignment="1">
      <alignment horizontal="center" vertical="center"/>
    </xf>
    <xf numFmtId="166" fontId="9" fillId="12" borderId="2" xfId="20" applyNumberFormat="1" applyFont="1" applyFill="1" applyBorder="1" applyAlignment="1">
      <alignment horizontal="center" vertical="center"/>
    </xf>
    <xf numFmtId="43" fontId="12" fillId="12" borderId="1" xfId="20" applyNumberFormat="1" applyFont="1" applyFill="1" applyBorder="1" applyAlignment="1">
      <alignment horizontal="center" vertical="center"/>
    </xf>
    <xf numFmtId="166" fontId="14" fillId="12" borderId="0" xfId="20" applyNumberFormat="1" applyFont="1" applyFill="1" applyAlignment="1">
      <alignment horizontal="center" vertical="center"/>
    </xf>
    <xf numFmtId="0" fontId="19" fillId="0" borderId="1" xfId="0" applyFont="1" applyBorder="1"/>
    <xf numFmtId="168" fontId="14" fillId="13" borderId="3" xfId="20" applyNumberFormat="1" applyFont="1" applyFill="1" applyBorder="1" applyAlignment="1">
      <alignment horizontal="right"/>
    </xf>
    <xf numFmtId="0" fontId="14" fillId="13" borderId="3" xfId="0" applyFont="1" applyFill="1" applyBorder="1" applyAlignment="1">
      <alignment horizontal="right"/>
    </xf>
    <xf numFmtId="0" fontId="14" fillId="13" borderId="10" xfId="0" applyFont="1" applyFill="1" applyBorder="1" applyAlignment="1">
      <alignment horizontal="center"/>
    </xf>
    <xf numFmtId="170" fontId="18" fillId="13" borderId="1" xfId="18" applyNumberFormat="1" applyFont="1" applyFill="1" applyBorder="1" applyAlignment="1">
      <alignment horizontal="right"/>
    </xf>
    <xf numFmtId="170" fontId="20" fillId="13" borderId="1" xfId="18" applyNumberFormat="1" applyFont="1" applyFill="1" applyBorder="1" applyAlignment="1">
      <alignment horizontal="right"/>
    </xf>
    <xf numFmtId="1" fontId="18" fillId="13" borderId="1" xfId="20" applyNumberFormat="1" applyFont="1" applyFill="1" applyBorder="1" applyAlignment="1">
      <alignment horizontal="right"/>
    </xf>
    <xf numFmtId="0" fontId="14" fillId="13" borderId="0" xfId="0" applyFont="1" applyFill="1" applyAlignment="1">
      <alignment horizontal="right"/>
    </xf>
    <xf numFmtId="172" fontId="9" fillId="13" borderId="7" xfId="20" applyNumberFormat="1" applyFont="1" applyFill="1" applyBorder="1" applyAlignment="1">
      <alignment horizontal="center" vertical="center"/>
    </xf>
    <xf numFmtId="172" fontId="9" fillId="13" borderId="6" xfId="20" applyNumberFormat="1" applyFont="1" applyFill="1" applyBorder="1" applyAlignment="1">
      <alignment horizontal="right" vertical="center"/>
    </xf>
    <xf numFmtId="172" fontId="9" fillId="13" borderId="9" xfId="20" applyNumberFormat="1" applyFont="1" applyFill="1" applyBorder="1" applyAlignment="1">
      <alignment horizontal="center" vertical="center"/>
    </xf>
    <xf numFmtId="172" fontId="18" fillId="13" borderId="1" xfId="20" applyNumberFormat="1" applyFont="1" applyFill="1" applyBorder="1" applyAlignment="1">
      <alignment horizontal="right" vertical="center"/>
    </xf>
    <xf numFmtId="172" fontId="14" fillId="13" borderId="0" xfId="20" applyNumberFormat="1" applyFont="1" applyFill="1" applyAlignment="1">
      <alignment horizontal="right" vertical="center"/>
    </xf>
    <xf numFmtId="164" fontId="14" fillId="6" borderId="1" xfId="20" applyNumberFormat="1" applyFont="1" applyFill="1" applyBorder="1" applyAlignment="1">
      <alignment horizontal="right" vertical="center"/>
    </xf>
    <xf numFmtId="164" fontId="14" fillId="6" borderId="0" xfId="20" applyNumberFormat="1" applyFont="1" applyFill="1" applyAlignment="1">
      <alignment horizontal="right" vertical="center"/>
    </xf>
    <xf numFmtId="2" fontId="14" fillId="6" borderId="0" xfId="20" applyNumberFormat="1" applyFont="1" applyFill="1" applyAlignment="1">
      <alignment horizontal="right" vertical="center"/>
    </xf>
    <xf numFmtId="164" fontId="14" fillId="5" borderId="1" xfId="20" applyNumberFormat="1" applyFont="1" applyFill="1" applyBorder="1" applyAlignment="1">
      <alignment vertical="center"/>
    </xf>
    <xf numFmtId="164" fontId="12" fillId="2" borderId="1" xfId="0" applyNumberFormat="1" applyFont="1" applyFill="1" applyBorder="1"/>
    <xf numFmtId="164" fontId="14" fillId="5" borderId="0" xfId="20" applyNumberFormat="1" applyFont="1" applyFill="1" applyAlignment="1">
      <alignment vertical="center"/>
    </xf>
    <xf numFmtId="164" fontId="14" fillId="7" borderId="1" xfId="20" applyNumberFormat="1" applyFont="1" applyFill="1" applyBorder="1" applyAlignment="1">
      <alignment vertical="center"/>
    </xf>
    <xf numFmtId="164" fontId="14" fillId="7" borderId="0" xfId="20" applyNumberFormat="1" applyFont="1" applyFill="1" applyAlignment="1">
      <alignment vertical="center"/>
    </xf>
    <xf numFmtId="164" fontId="12" fillId="2" borderId="1" xfId="0" applyNumberFormat="1" applyFont="1" applyFill="1" applyBorder="1" applyAlignment="1">
      <alignment horizontal="right"/>
    </xf>
    <xf numFmtId="2" fontId="14" fillId="6" borderId="8" xfId="20" applyNumberFormat="1" applyFont="1" applyFill="1" applyBorder="1" applyAlignment="1">
      <alignment horizontal="right" vertical="center"/>
    </xf>
    <xf numFmtId="2" fontId="11" fillId="6" borderId="1" xfId="20" applyNumberFormat="1" applyFont="1" applyFill="1" applyBorder="1" applyAlignment="1">
      <alignment horizontal="right" vertical="center"/>
    </xf>
    <xf numFmtId="2" fontId="14" fillId="7" borderId="0" xfId="20" applyNumberFormat="1" applyFont="1" applyFill="1" applyAlignment="1">
      <alignment horizontal="right" vertical="center"/>
    </xf>
    <xf numFmtId="2" fontId="14" fillId="7" borderId="11" xfId="20" applyNumberFormat="1" applyFont="1" applyFill="1" applyBorder="1" applyAlignment="1">
      <alignment horizontal="right" vertical="center"/>
    </xf>
    <xf numFmtId="2" fontId="11" fillId="7" borderId="2" xfId="20" applyNumberFormat="1" applyFont="1" applyFill="1" applyBorder="1" applyAlignment="1">
      <alignment horizontal="right" vertical="center"/>
    </xf>
    <xf numFmtId="2" fontId="21" fillId="8" borderId="13" xfId="20" applyNumberFormat="1" applyFont="1" applyFill="1" applyBorder="1" applyAlignment="1">
      <alignment horizontal="right" vertical="center"/>
    </xf>
    <xf numFmtId="2" fontId="21" fillId="8" borderId="3" xfId="20" applyNumberFormat="1" applyFont="1" applyFill="1" applyBorder="1" applyAlignment="1">
      <alignment horizontal="right" vertical="center"/>
    </xf>
    <xf numFmtId="2" fontId="22" fillId="8" borderId="3" xfId="20" applyNumberFormat="1" applyFont="1" applyFill="1" applyBorder="1" applyAlignment="1">
      <alignment horizontal="right" vertical="center"/>
    </xf>
    <xf numFmtId="2" fontId="23" fillId="8" borderId="0" xfId="20" applyNumberFormat="1" applyFont="1" applyFill="1" applyAlignment="1">
      <alignment horizontal="right" vertical="center"/>
    </xf>
    <xf numFmtId="172" fontId="14" fillId="13" borderId="5" xfId="0" applyNumberFormat="1" applyFont="1" applyFill="1" applyBorder="1"/>
    <xf numFmtId="172" fontId="9" fillId="13" borderId="5" xfId="20" applyNumberFormat="1" applyFont="1" applyFill="1" applyBorder="1" applyAlignment="1">
      <alignment horizontal="right" vertical="center"/>
    </xf>
    <xf numFmtId="172" fontId="14" fillId="13" borderId="0" xfId="0" applyNumberFormat="1" applyFont="1" applyFill="1"/>
    <xf numFmtId="169" fontId="12" fillId="8" borderId="1" xfId="2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0" fontId="11" fillId="2" borderId="1" xfId="0" applyFont="1" applyFill="1" applyBorder="1"/>
    <xf numFmtId="0" fontId="0" fillId="0" borderId="0" xfId="0" applyAlignment="1">
      <alignment horizontal="right"/>
    </xf>
    <xf numFmtId="0" fontId="0" fillId="2" borderId="0" xfId="0" applyFill="1"/>
    <xf numFmtId="0" fontId="24" fillId="0" borderId="0" xfId="0" applyFont="1"/>
    <xf numFmtId="0" fontId="0" fillId="2" borderId="0" xfId="0" applyFill="1" applyAlignment="1">
      <alignment horizontal="right"/>
    </xf>
    <xf numFmtId="0" fontId="18" fillId="0" borderId="0" xfId="0" applyFont="1"/>
    <xf numFmtId="0" fontId="20" fillId="0" borderId="0" xfId="0" applyFont="1"/>
    <xf numFmtId="169" fontId="25" fillId="10" borderId="1" xfId="18" applyNumberFormat="1" applyFont="1" applyFill="1" applyBorder="1" applyAlignment="1">
      <alignment horizontal="right"/>
    </xf>
    <xf numFmtId="43" fontId="12" fillId="14" borderId="1" xfId="20" applyNumberFormat="1" applyFont="1" applyFill="1" applyBorder="1" applyAlignment="1">
      <alignment horizontal="right" vertical="center"/>
    </xf>
    <xf numFmtId="169" fontId="26" fillId="10" borderId="1" xfId="18" applyNumberFormat="1" applyFont="1" applyFill="1" applyBorder="1" applyAlignment="1">
      <alignment horizontal="right"/>
    </xf>
    <xf numFmtId="1" fontId="18" fillId="0" borderId="0" xfId="0" applyNumberFormat="1" applyFont="1"/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7" fillId="0" borderId="0" xfId="113" applyNumberFormat="1" applyFill="1" applyAlignment="1">
      <alignment horizontal="center"/>
    </xf>
    <xf numFmtId="9" fontId="14" fillId="0" borderId="0" xfId="0" applyNumberFormat="1" applyFont="1"/>
    <xf numFmtId="9" fontId="18" fillId="0" borderId="0" xfId="0" applyNumberFormat="1" applyFont="1"/>
    <xf numFmtId="9" fontId="20" fillId="0" borderId="0" xfId="0" applyNumberFormat="1" applyFont="1"/>
    <xf numFmtId="9" fontId="20" fillId="0" borderId="0" xfId="0" applyNumberFormat="1" applyFont="1" applyAlignment="1">
      <alignment horizontal="center"/>
    </xf>
    <xf numFmtId="0" fontId="11" fillId="15" borderId="1" xfId="0" applyFont="1" applyFill="1" applyBorder="1"/>
    <xf numFmtId="0" fontId="11" fillId="15" borderId="1" xfId="0" applyFont="1" applyFill="1" applyBorder="1" applyAlignment="1">
      <alignment horizontal="center"/>
    </xf>
    <xf numFmtId="0" fontId="14" fillId="15" borderId="0" xfId="0" applyFont="1" applyFill="1" applyAlignment="1">
      <alignment horizontal="center"/>
    </xf>
    <xf numFmtId="0" fontId="12" fillId="15" borderId="1" xfId="0" applyFont="1" applyFill="1" applyBorder="1" applyAlignment="1">
      <alignment horizontal="center"/>
    </xf>
    <xf numFmtId="164" fontId="12" fillId="15" borderId="1" xfId="0" applyNumberFormat="1" applyFont="1" applyFill="1" applyBorder="1" applyAlignment="1">
      <alignment horizontal="right"/>
    </xf>
    <xf numFmtId="164" fontId="12" fillId="15" borderId="1" xfId="0" applyNumberFormat="1" applyFont="1" applyFill="1" applyBorder="1"/>
    <xf numFmtId="43" fontId="12" fillId="15" borderId="1" xfId="20" applyNumberFormat="1" applyFont="1" applyFill="1" applyBorder="1" applyAlignment="1">
      <alignment horizontal="center" vertical="center"/>
    </xf>
    <xf numFmtId="166" fontId="12" fillId="15" borderId="1" xfId="20" applyNumberFormat="1" applyFont="1" applyFill="1" applyBorder="1" applyAlignment="1">
      <alignment horizontal="right" vertical="center"/>
    </xf>
    <xf numFmtId="43" fontId="12" fillId="15" borderId="1" xfId="20" applyNumberFormat="1" applyFont="1" applyFill="1" applyBorder="1" applyAlignment="1">
      <alignment horizontal="right" vertical="center"/>
    </xf>
    <xf numFmtId="168" fontId="11" fillId="15" borderId="1" xfId="20" applyNumberFormat="1" applyFont="1" applyFill="1" applyBorder="1" applyAlignment="1">
      <alignment horizontal="right"/>
    </xf>
    <xf numFmtId="166" fontId="11" fillId="15" borderId="1" xfId="0" applyNumberFormat="1" applyFont="1" applyFill="1" applyBorder="1" applyAlignment="1">
      <alignment horizontal="right"/>
    </xf>
    <xf numFmtId="169" fontId="15" fillId="15" borderId="1" xfId="18" applyNumberFormat="1" applyFont="1" applyFill="1" applyBorder="1" applyAlignment="1">
      <alignment horizontal="right"/>
    </xf>
    <xf numFmtId="170" fontId="11" fillId="15" borderId="1" xfId="18" applyNumberFormat="1" applyFont="1" applyFill="1" applyBorder="1" applyAlignment="1">
      <alignment horizontal="right"/>
    </xf>
    <xf numFmtId="2" fontId="11" fillId="15" borderId="1" xfId="18" applyNumberFormat="1" applyFont="1" applyFill="1" applyBorder="1" applyAlignment="1">
      <alignment horizontal="right"/>
    </xf>
    <xf numFmtId="0" fontId="11" fillId="15" borderId="1" xfId="0" applyFont="1" applyFill="1" applyBorder="1" applyAlignment="1">
      <alignment horizontal="left"/>
    </xf>
    <xf numFmtId="0" fontId="14" fillId="15" borderId="0" xfId="0" applyFont="1" applyFill="1"/>
    <xf numFmtId="166" fontId="9" fillId="2" borderId="0" xfId="0" applyNumberFormat="1" applyFont="1" applyFill="1" applyAlignment="1">
      <alignment horizontal="center"/>
    </xf>
    <xf numFmtId="166" fontId="9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166" fontId="18" fillId="0" borderId="1" xfId="0" applyNumberFormat="1" applyFont="1" applyBorder="1" applyAlignment="1">
      <alignment horizontal="center"/>
    </xf>
    <xf numFmtId="164" fontId="19" fillId="2" borderId="1" xfId="0" applyNumberFormat="1" applyFont="1" applyFill="1" applyBorder="1" applyAlignment="1">
      <alignment horizontal="right"/>
    </xf>
    <xf numFmtId="164" fontId="11" fillId="0" borderId="1" xfId="0" applyNumberFormat="1" applyFont="1" applyBorder="1" applyAlignment="1">
      <alignment horizontal="left"/>
    </xf>
    <xf numFmtId="164" fontId="9" fillId="13" borderId="6" xfId="20" applyNumberFormat="1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center"/>
    </xf>
    <xf numFmtId="0" fontId="27" fillId="0" borderId="0" xfId="0" applyFont="1"/>
    <xf numFmtId="1" fontId="9" fillId="6" borderId="5" xfId="0" applyNumberFormat="1" applyFont="1" applyFill="1" applyBorder="1" applyAlignment="1">
      <alignment horizontal="center" vertical="center"/>
    </xf>
    <xf numFmtId="1" fontId="9" fillId="5" borderId="5" xfId="20" applyNumberFormat="1" applyFont="1" applyFill="1" applyBorder="1" applyAlignment="1">
      <alignment horizontal="right" vertical="center"/>
    </xf>
    <xf numFmtId="1" fontId="9" fillId="7" borderId="5" xfId="20" applyNumberFormat="1" applyFont="1" applyFill="1" applyBorder="1" applyAlignment="1">
      <alignment horizontal="right" vertical="center"/>
    </xf>
    <xf numFmtId="166" fontId="9" fillId="3" borderId="5" xfId="2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171" fontId="9" fillId="5" borderId="1" xfId="20" applyNumberFormat="1" applyFont="1" applyFill="1" applyBorder="1" applyAlignment="1">
      <alignment horizontal="right" vertical="center"/>
    </xf>
    <xf numFmtId="166" fontId="9" fillId="7" borderId="1" xfId="20" applyNumberFormat="1" applyFont="1" applyFill="1" applyBorder="1" applyAlignment="1">
      <alignment horizontal="right" vertical="center"/>
    </xf>
    <xf numFmtId="166" fontId="9" fillId="11" borderId="2" xfId="20" applyNumberFormat="1" applyFont="1" applyFill="1" applyBorder="1" applyAlignment="1">
      <alignment horizontal="center" vertical="center"/>
    </xf>
    <xf numFmtId="168" fontId="14" fillId="10" borderId="4" xfId="20" applyNumberFormat="1" applyFont="1" applyFill="1" applyBorder="1" applyAlignment="1">
      <alignment horizontal="right"/>
    </xf>
    <xf numFmtId="0" fontId="9" fillId="6" borderId="5" xfId="0" applyFont="1" applyFill="1" applyBorder="1" applyAlignment="1">
      <alignment horizontal="center" vertical="center"/>
    </xf>
    <xf numFmtId="171" fontId="9" fillId="5" borderId="5" xfId="20" applyNumberFormat="1" applyFont="1" applyFill="1" applyBorder="1" applyAlignment="1">
      <alignment horizontal="right" vertical="center"/>
    </xf>
    <xf numFmtId="166" fontId="9" fillId="7" borderId="5" xfId="20" applyNumberFormat="1" applyFont="1" applyFill="1" applyBorder="1" applyAlignment="1">
      <alignment horizontal="right" vertical="center"/>
    </xf>
    <xf numFmtId="166" fontId="9" fillId="7" borderId="7" xfId="20" applyNumberFormat="1" applyFont="1" applyFill="1" applyBorder="1" applyAlignment="1">
      <alignment horizontal="right" vertical="center"/>
    </xf>
    <xf numFmtId="166" fontId="9" fillId="8" borderId="12" xfId="20" applyNumberFormat="1" applyFont="1" applyFill="1" applyBorder="1" applyAlignment="1">
      <alignment horizontal="right" vertical="center"/>
    </xf>
    <xf numFmtId="166" fontId="9" fillId="8" borderId="5" xfId="20" applyNumberFormat="1" applyFont="1" applyFill="1" applyBorder="1" applyAlignment="1">
      <alignment horizontal="right" vertical="center"/>
    </xf>
  </cellXfs>
  <cellStyles count="114">
    <cellStyle name="Comma" xfId="20" builtinId="3"/>
    <cellStyle name="Comma 2" xfId="4" xr:uid="{00000000-0005-0000-0000-000001000000}"/>
    <cellStyle name="Comma 2 2" xfId="84" xr:uid="{00000000-0005-0000-0000-000002000000}"/>
    <cellStyle name="Comma 3" xfId="47" xr:uid="{00000000-0005-0000-0000-000003000000}"/>
    <cellStyle name="Comma 3 2" xfId="86" xr:uid="{00000000-0005-0000-0000-000004000000}"/>
    <cellStyle name="Comma 4" xfId="59" xr:uid="{00000000-0005-0000-0000-000005000000}"/>
    <cellStyle name="Comma 4 2" xfId="88" xr:uid="{00000000-0005-0000-0000-000006000000}"/>
    <cellStyle name="Comma 5" xfId="85" xr:uid="{00000000-0005-0000-0000-000007000000}"/>
    <cellStyle name="Comma 6" xfId="35" xr:uid="{00000000-0005-0000-0000-000008000000}"/>
    <cellStyle name="Excel Built-in Normal" xfId="73" xr:uid="{00000000-0005-0000-0000-000009000000}"/>
    <cellStyle name="Excel Built-in Normal 2" xfId="83" xr:uid="{00000000-0005-0000-0000-00000A000000}"/>
    <cellStyle name="Hyperlink" xfId="113" builtinId="8"/>
    <cellStyle name="Hyperlink 2" xfId="6" xr:uid="{00000000-0005-0000-0000-00000B000000}"/>
    <cellStyle name="Hyperlink 3" xfId="7" xr:uid="{00000000-0005-0000-0000-00000C000000}"/>
    <cellStyle name="Hyperlink 4" xfId="8" xr:uid="{00000000-0005-0000-0000-00000D000000}"/>
    <cellStyle name="Normal" xfId="0" builtinId="0"/>
    <cellStyle name="Normal 10" xfId="9" xr:uid="{00000000-0005-0000-0000-00000F000000}"/>
    <cellStyle name="Normal 10 2" xfId="95" xr:uid="{00000000-0005-0000-0000-000010000000}"/>
    <cellStyle name="Normal 11" xfId="10" xr:uid="{00000000-0005-0000-0000-000011000000}"/>
    <cellStyle name="Normal 11 2" xfId="96" xr:uid="{00000000-0005-0000-0000-000012000000}"/>
    <cellStyle name="Normal 12" xfId="66" xr:uid="{00000000-0005-0000-0000-000013000000}"/>
    <cellStyle name="Normal 12 2" xfId="97" xr:uid="{00000000-0005-0000-0000-000014000000}"/>
    <cellStyle name="Normal 13" xfId="67" xr:uid="{00000000-0005-0000-0000-000015000000}"/>
    <cellStyle name="Normal 13 2" xfId="98" xr:uid="{00000000-0005-0000-0000-000016000000}"/>
    <cellStyle name="Normal 14" xfId="68" xr:uid="{00000000-0005-0000-0000-000017000000}"/>
    <cellStyle name="Normal 14 2" xfId="99" xr:uid="{00000000-0005-0000-0000-000018000000}"/>
    <cellStyle name="Normal 15" xfId="69" xr:uid="{00000000-0005-0000-0000-000019000000}"/>
    <cellStyle name="Normal 15 2" xfId="100" xr:uid="{00000000-0005-0000-0000-00001A000000}"/>
    <cellStyle name="Normal 16" xfId="70" xr:uid="{00000000-0005-0000-0000-00001B000000}"/>
    <cellStyle name="Normal 16 2" xfId="101" xr:uid="{00000000-0005-0000-0000-00001C000000}"/>
    <cellStyle name="Normal 17" xfId="71" xr:uid="{00000000-0005-0000-0000-00001D000000}"/>
    <cellStyle name="Normal 17 2" xfId="102" xr:uid="{00000000-0005-0000-0000-00001E000000}"/>
    <cellStyle name="Normal 18" xfId="74" xr:uid="{00000000-0005-0000-0000-00001F000000}"/>
    <cellStyle name="Normal 18 2" xfId="104" xr:uid="{00000000-0005-0000-0000-000020000000}"/>
    <cellStyle name="Normal 19" xfId="76" xr:uid="{00000000-0005-0000-0000-000021000000}"/>
    <cellStyle name="Normal 19 2" xfId="106" xr:uid="{00000000-0005-0000-0000-000022000000}"/>
    <cellStyle name="Normal 2" xfId="5" xr:uid="{00000000-0005-0000-0000-000023000000}"/>
    <cellStyle name="Normal 2 10" xfId="36" xr:uid="{00000000-0005-0000-0000-000024000000}"/>
    <cellStyle name="Normal 2 10 2" xfId="48" xr:uid="{00000000-0005-0000-0000-000025000000}"/>
    <cellStyle name="Normal 2 11" xfId="37" xr:uid="{00000000-0005-0000-0000-000026000000}"/>
    <cellStyle name="Normal 2 11 2" xfId="49" xr:uid="{00000000-0005-0000-0000-000027000000}"/>
    <cellStyle name="Normal 2 12" xfId="38" xr:uid="{00000000-0005-0000-0000-000028000000}"/>
    <cellStyle name="Normal 2 12 2" xfId="50" xr:uid="{00000000-0005-0000-0000-000029000000}"/>
    <cellStyle name="Normal 2 13" xfId="39" xr:uid="{00000000-0005-0000-0000-00002A000000}"/>
    <cellStyle name="Normal 2 13 2" xfId="51" xr:uid="{00000000-0005-0000-0000-00002B000000}"/>
    <cellStyle name="Normal 2 14" xfId="40" xr:uid="{00000000-0005-0000-0000-00002C000000}"/>
    <cellStyle name="Normal 2 14 2" xfId="52" xr:uid="{00000000-0005-0000-0000-00002D000000}"/>
    <cellStyle name="Normal 2 15" xfId="41" xr:uid="{00000000-0005-0000-0000-00002E000000}"/>
    <cellStyle name="Normal 2 15 2" xfId="53" xr:uid="{00000000-0005-0000-0000-00002F000000}"/>
    <cellStyle name="Normal 2 16" xfId="42" xr:uid="{00000000-0005-0000-0000-000030000000}"/>
    <cellStyle name="Normal 2 16 2" xfId="54" xr:uid="{00000000-0005-0000-0000-000031000000}"/>
    <cellStyle name="Normal 2 17" xfId="43" xr:uid="{00000000-0005-0000-0000-000032000000}"/>
    <cellStyle name="Normal 2 17 2" xfId="55" xr:uid="{00000000-0005-0000-0000-000033000000}"/>
    <cellStyle name="Normal 2 18" xfId="56" xr:uid="{00000000-0005-0000-0000-000034000000}"/>
    <cellStyle name="Normal 2 18 2" xfId="61" xr:uid="{00000000-0005-0000-0000-000035000000}"/>
    <cellStyle name="Normal 2 19" xfId="57" xr:uid="{00000000-0005-0000-0000-000036000000}"/>
    <cellStyle name="Normal 2 19 2" xfId="87" xr:uid="{00000000-0005-0000-0000-000037000000}"/>
    <cellStyle name="Normal 2 2" xfId="11" xr:uid="{00000000-0005-0000-0000-000038000000}"/>
    <cellStyle name="Normal 2 2 2" xfId="24" xr:uid="{00000000-0005-0000-0000-000039000000}"/>
    <cellStyle name="Normal 2 20" xfId="58" xr:uid="{00000000-0005-0000-0000-00003A000000}"/>
    <cellStyle name="Normal 2 21" xfId="62" xr:uid="{00000000-0005-0000-0000-00003B000000}"/>
    <cellStyle name="Normal 2 21 2" xfId="89" xr:uid="{00000000-0005-0000-0000-00003C000000}"/>
    <cellStyle name="Normal 2 22" xfId="63" xr:uid="{00000000-0005-0000-0000-00003D000000}"/>
    <cellStyle name="Normal 2 22 2" xfId="90" xr:uid="{00000000-0005-0000-0000-00003E000000}"/>
    <cellStyle name="Normal 2 23" xfId="72" xr:uid="{00000000-0005-0000-0000-00003F000000}"/>
    <cellStyle name="Normal 2 23 2" xfId="103" xr:uid="{00000000-0005-0000-0000-000040000000}"/>
    <cellStyle name="Normal 2 24" xfId="75" xr:uid="{00000000-0005-0000-0000-000041000000}"/>
    <cellStyle name="Normal 2 24 2" xfId="105" xr:uid="{00000000-0005-0000-0000-000042000000}"/>
    <cellStyle name="Normal 2 25" xfId="78" xr:uid="{00000000-0005-0000-0000-000043000000}"/>
    <cellStyle name="Normal 2 25 2" xfId="108" xr:uid="{00000000-0005-0000-0000-000044000000}"/>
    <cellStyle name="Normal 2 26" xfId="81" xr:uid="{00000000-0005-0000-0000-000045000000}"/>
    <cellStyle name="Normal 2 26 2" xfId="111" xr:uid="{00000000-0005-0000-0000-000046000000}"/>
    <cellStyle name="Normal 2 27" xfId="82" xr:uid="{00000000-0005-0000-0000-000047000000}"/>
    <cellStyle name="Normal 2 27 2" xfId="112" xr:uid="{00000000-0005-0000-0000-000048000000}"/>
    <cellStyle name="Normal 2 3" xfId="2" xr:uid="{00000000-0005-0000-0000-000049000000}"/>
    <cellStyle name="Normal 2 3 2" xfId="25" xr:uid="{00000000-0005-0000-0000-00004A000000}"/>
    <cellStyle name="Normal 2 3 3" xfId="21" xr:uid="{00000000-0005-0000-0000-00004B000000}"/>
    <cellStyle name="Normal 2 4" xfId="17" xr:uid="{00000000-0005-0000-0000-00004C000000}"/>
    <cellStyle name="Normal 2 4 2" xfId="26" xr:uid="{00000000-0005-0000-0000-00004D000000}"/>
    <cellStyle name="Normal 2 4 3" xfId="22" xr:uid="{00000000-0005-0000-0000-00004E000000}"/>
    <cellStyle name="Normal 2 5" xfId="1" xr:uid="{00000000-0005-0000-0000-00004F000000}"/>
    <cellStyle name="Normal 2 5 2" xfId="30" xr:uid="{00000000-0005-0000-0000-000050000000}"/>
    <cellStyle name="Normal 2 5 3" xfId="27" xr:uid="{00000000-0005-0000-0000-000051000000}"/>
    <cellStyle name="Normal 2 6" xfId="3" xr:uid="{00000000-0005-0000-0000-000052000000}"/>
    <cellStyle name="Normal 2 6 2" xfId="28" xr:uid="{00000000-0005-0000-0000-000053000000}"/>
    <cellStyle name="Normal 2 7" xfId="29" xr:uid="{00000000-0005-0000-0000-000054000000}"/>
    <cellStyle name="Normal 2 7 2" xfId="33" xr:uid="{00000000-0005-0000-0000-000055000000}"/>
    <cellStyle name="Normal 2 8" xfId="31" xr:uid="{00000000-0005-0000-0000-000056000000}"/>
    <cellStyle name="Normal 2 8 2" xfId="34" xr:uid="{00000000-0005-0000-0000-000057000000}"/>
    <cellStyle name="Normal 2 9" xfId="32" xr:uid="{00000000-0005-0000-0000-000058000000}"/>
    <cellStyle name="Normal 2 9 2" xfId="45" xr:uid="{00000000-0005-0000-0000-000059000000}"/>
    <cellStyle name="Normal 20" xfId="77" xr:uid="{00000000-0005-0000-0000-00005A000000}"/>
    <cellStyle name="Normal 20 2" xfId="107" xr:uid="{00000000-0005-0000-0000-00005B000000}"/>
    <cellStyle name="Normal 21" xfId="79" xr:uid="{00000000-0005-0000-0000-00005C000000}"/>
    <cellStyle name="Normal 21 2" xfId="109" xr:uid="{00000000-0005-0000-0000-00005D000000}"/>
    <cellStyle name="Normal 22" xfId="80" xr:uid="{00000000-0005-0000-0000-00005E000000}"/>
    <cellStyle name="Normal 22 2" xfId="110" xr:uid="{00000000-0005-0000-0000-00005F000000}"/>
    <cellStyle name="Normal 3" xfId="12" xr:uid="{00000000-0005-0000-0000-000060000000}"/>
    <cellStyle name="Normal 3 2" xfId="23" xr:uid="{00000000-0005-0000-0000-000061000000}"/>
    <cellStyle name="Normal 36" xfId="19" xr:uid="{00000000-0005-0000-0000-000062000000}"/>
    <cellStyle name="Normal 4" xfId="13" xr:uid="{00000000-0005-0000-0000-000063000000}"/>
    <cellStyle name="Normal 4 2" xfId="46" xr:uid="{00000000-0005-0000-0000-000064000000}"/>
    <cellStyle name="Normal 5" xfId="14" xr:uid="{00000000-0005-0000-0000-000065000000}"/>
    <cellStyle name="Normal 5 2" xfId="60" xr:uid="{00000000-0005-0000-0000-000066000000}"/>
    <cellStyle name="Normal 5 3" xfId="44" xr:uid="{00000000-0005-0000-0000-000067000000}"/>
    <cellStyle name="Normal 6" xfId="15" xr:uid="{00000000-0005-0000-0000-000068000000}"/>
    <cellStyle name="Normal 6 2" xfId="91" xr:uid="{00000000-0005-0000-0000-000069000000}"/>
    <cellStyle name="Normal 7" xfId="16" xr:uid="{00000000-0005-0000-0000-00006A000000}"/>
    <cellStyle name="Normal 7 2" xfId="92" xr:uid="{00000000-0005-0000-0000-00006B000000}"/>
    <cellStyle name="Normal 8" xfId="64" xr:uid="{00000000-0005-0000-0000-00006C000000}"/>
    <cellStyle name="Normal 8 2" xfId="93" xr:uid="{00000000-0005-0000-0000-00006D000000}"/>
    <cellStyle name="Normal 9" xfId="65" xr:uid="{00000000-0005-0000-0000-00006E000000}"/>
    <cellStyle name="Normal 9 2" xfId="94" xr:uid="{00000000-0005-0000-0000-00006F000000}"/>
    <cellStyle name="Percent" xfId="18" builtinId="5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auto="1"/>
        </patternFill>
      </fill>
      <alignment horizontal="general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general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66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72" formatCode="_ * #,##0_ ;_ * \-#,##0_ ;_ * &quot;-&quot;??_ ;_ @_ "/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solid">
          <fgColor indexed="64"/>
          <bgColor theme="6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auto="1"/>
        </patternFill>
      </fill>
      <alignment horizontal="general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general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66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72" formatCode="_ * #,##0_ ;_ * \-#,##0_ ;_ * &quot;-&quot;??_ ;_ @_ "/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solid">
          <fgColor indexed="64"/>
          <bgColor theme="6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mbria"/>
        <family val="1"/>
        <scheme val="major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.sharepoint.com/sites/Bluewud/Shared%20Documents/Catalog%20Content/Catalog%20Docs/SKU%20Aliases,%20Parent%20&amp;%20Child%20Master%20Data.xlsx" TargetMode="External"/><Relationship Id="rId1" Type="http://schemas.openxmlformats.org/officeDocument/2006/relationships/externalLinkPath" Target="/sites/Bluewud/Shared%20Documents/Catalog%20Content/Catalog%20Docs/SKU%20Aliases,%20Parent%20&amp;%20Child%20Master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.sharepoint.com/sites/Bluewud-BOMWorking/Shared%20Documents/BOM%20Working/BOM%20V2/BOM%20Index.xlsx" TargetMode="External"/><Relationship Id="rId1" Type="http://schemas.openxmlformats.org/officeDocument/2006/relationships/externalLinkPath" Target="/sites/Bluewud-BOMWorking/Shared%20Documents/BOM%20Working/BOM%20V2/BOM%20Ind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CkDyraYrk2w6p_t0JOPYvDBtlLdMKNGuLkh6Bp1a4Z4RxKxaS59S6xcENiZRKd7" itemId="012JNYPHL4N32MPQBIAZC2725FUO7UBP76">
      <xxl21:absoluteUrl r:id="rId2"/>
    </xxl21:alternateUrls>
    <sheetNames>
      <sheetName val="Child SKUs - Alias Master"/>
      <sheetName val="Sheet1"/>
      <sheetName val="MTP SKUs - Master Data"/>
      <sheetName val="pIVOT"/>
      <sheetName val="Archived Data "/>
    </sheetNames>
    <sheetDataSet>
      <sheetData sheetId="0"/>
      <sheetData sheetId="1"/>
      <sheetData sheetId="2">
        <row r="1">
          <cell r="A1" t="str">
            <v>MTP SKU</v>
          </cell>
          <cell r="B1" t="str">
            <v>MTP.chk</v>
          </cell>
        </row>
        <row r="2">
          <cell r="A2" t="str">
            <v>SR-CLM-T</v>
          </cell>
          <cell r="B2" t="str">
            <v>Y</v>
          </cell>
        </row>
        <row r="3">
          <cell r="A3" t="str">
            <v>TU-WBM</v>
          </cell>
          <cell r="B3" t="str">
            <v>Y</v>
          </cell>
        </row>
        <row r="4">
          <cell r="A4" t="str">
            <v>TU-SKD</v>
          </cell>
          <cell r="B4" t="str">
            <v>Y</v>
          </cell>
        </row>
        <row r="5">
          <cell r="A5" t="str">
            <v>TU-BKY</v>
          </cell>
          <cell r="B5" t="str">
            <v>Y</v>
          </cell>
        </row>
        <row r="6">
          <cell r="A6" t="str">
            <v>ST-CBN-LS</v>
          </cell>
          <cell r="B6" t="str">
            <v>Y</v>
          </cell>
        </row>
        <row r="7">
          <cell r="A7" t="str">
            <v>TU-BKMT</v>
          </cell>
          <cell r="B7" t="str">
            <v>Y</v>
          </cell>
        </row>
        <row r="8">
          <cell r="A8" t="str">
            <v>TU-DRN</v>
          </cell>
          <cell r="B8" t="str">
            <v>Y</v>
          </cell>
        </row>
        <row r="9">
          <cell r="A9" t="str">
            <v>TU-FL</v>
          </cell>
          <cell r="B9" t="str">
            <v>Y</v>
          </cell>
        </row>
        <row r="10">
          <cell r="A10" t="str">
            <v>SR-CLE</v>
          </cell>
          <cell r="B10" t="str">
            <v>Y</v>
          </cell>
        </row>
        <row r="11">
          <cell r="A11" t="str">
            <v>SR-BKN-2</v>
          </cell>
          <cell r="B11" t="str">
            <v>Y</v>
          </cell>
        </row>
        <row r="12">
          <cell r="A12" t="str">
            <v>SR-KPN</v>
          </cell>
          <cell r="B12" t="str">
            <v>Y</v>
          </cell>
        </row>
        <row r="13">
          <cell r="A13" t="str">
            <v>S-PTE</v>
          </cell>
          <cell r="B13" t="str">
            <v>Y</v>
          </cell>
        </row>
        <row r="14">
          <cell r="A14" t="str">
            <v>TU-WBM-ST</v>
          </cell>
          <cell r="B14" t="str">
            <v>Y</v>
          </cell>
        </row>
        <row r="15">
          <cell r="A15" t="str">
            <v>ST-AML</v>
          </cell>
          <cell r="B15" t="str">
            <v>Y</v>
          </cell>
        </row>
        <row r="16">
          <cell r="A16" t="str">
            <v>TU-AYL</v>
          </cell>
          <cell r="B16" t="str">
            <v>Y</v>
          </cell>
        </row>
        <row r="17">
          <cell r="A17" t="str">
            <v>ST-RDO</v>
          </cell>
          <cell r="B17" t="str">
            <v>Y</v>
          </cell>
        </row>
        <row r="18">
          <cell r="A18" t="str">
            <v>SR-CLM-3</v>
          </cell>
          <cell r="B18" t="str">
            <v>Y</v>
          </cell>
        </row>
        <row r="19">
          <cell r="A19" t="str">
            <v>SR-CLM-2</v>
          </cell>
          <cell r="B19" t="str">
            <v>Y</v>
          </cell>
        </row>
        <row r="20">
          <cell r="A20" t="str">
            <v>TU-RWT-LA</v>
          </cell>
          <cell r="B20" t="str">
            <v>Y</v>
          </cell>
        </row>
        <row r="21">
          <cell r="A21" t="str">
            <v>TU-BKY-ST</v>
          </cell>
          <cell r="B21" t="str">
            <v>Y</v>
          </cell>
        </row>
        <row r="22">
          <cell r="A22" t="str">
            <v>SR-WHTO</v>
          </cell>
          <cell r="B22" t="str">
            <v>Y</v>
          </cell>
        </row>
        <row r="23">
          <cell r="A23" t="str">
            <v>TU-HMD</v>
          </cell>
          <cell r="B23" t="str">
            <v>Y</v>
          </cell>
        </row>
        <row r="24">
          <cell r="A24" t="str">
            <v>TU-PMG-ST</v>
          </cell>
          <cell r="B24" t="str">
            <v>Y</v>
          </cell>
        </row>
        <row r="25">
          <cell r="A25" t="str">
            <v>TU-CBR-LA</v>
          </cell>
          <cell r="B25" t="str">
            <v>Y</v>
          </cell>
        </row>
        <row r="26">
          <cell r="A26" t="str">
            <v>DC-CLV</v>
          </cell>
          <cell r="B26" t="str">
            <v>Y</v>
          </cell>
        </row>
        <row r="27">
          <cell r="A27" t="str">
            <v>TU-RWT-M</v>
          </cell>
          <cell r="B27" t="str">
            <v>Y</v>
          </cell>
        </row>
        <row r="28">
          <cell r="A28" t="str">
            <v>ST-CBN</v>
          </cell>
          <cell r="B28" t="str">
            <v>Y</v>
          </cell>
        </row>
        <row r="29">
          <cell r="A29" t="str">
            <v>RT-FR</v>
          </cell>
          <cell r="B29" t="str">
            <v>Y</v>
          </cell>
        </row>
        <row r="30">
          <cell r="A30" t="str">
            <v>SB-SN-N</v>
          </cell>
          <cell r="B30" t="str">
            <v>Y</v>
          </cell>
        </row>
        <row r="31">
          <cell r="A31" t="str">
            <v>TU-ATD</v>
          </cell>
          <cell r="B31" t="str">
            <v>Y</v>
          </cell>
        </row>
        <row r="32">
          <cell r="A32" t="str">
            <v>RT-DR</v>
          </cell>
          <cell r="B32" t="str">
            <v>Y</v>
          </cell>
        </row>
        <row r="33">
          <cell r="A33" t="str">
            <v>SR-PRG</v>
          </cell>
          <cell r="B33" t="str">
            <v>Y</v>
          </cell>
        </row>
        <row r="34">
          <cell r="A34" t="str">
            <v>W-AND-4N</v>
          </cell>
          <cell r="B34" t="str">
            <v>Y</v>
          </cell>
        </row>
        <row r="35">
          <cell r="A35" t="str">
            <v>TU-CRL</v>
          </cell>
          <cell r="B35" t="str">
            <v>Y</v>
          </cell>
        </row>
        <row r="36">
          <cell r="A36" t="str">
            <v>W-AND-3M</v>
          </cell>
          <cell r="B36" t="str">
            <v>Y</v>
          </cell>
        </row>
        <row r="37">
          <cell r="A37" t="str">
            <v>DC-MYN-LA</v>
          </cell>
          <cell r="B37" t="str">
            <v>Y</v>
          </cell>
        </row>
        <row r="38">
          <cell r="A38" t="str">
            <v>TU-DSK</v>
          </cell>
          <cell r="B38" t="str">
            <v>Y</v>
          </cell>
        </row>
        <row r="39">
          <cell r="A39" t="str">
            <v>W-AND-3N</v>
          </cell>
          <cell r="B39" t="str">
            <v>Y</v>
          </cell>
        </row>
        <row r="40">
          <cell r="A40" t="str">
            <v>W-AND-2M</v>
          </cell>
          <cell r="B40" t="str">
            <v>Y</v>
          </cell>
        </row>
        <row r="41">
          <cell r="A41" t="str">
            <v>DC-MYN-ST</v>
          </cell>
          <cell r="B41" t="str">
            <v>Y</v>
          </cell>
        </row>
        <row r="42">
          <cell r="A42" t="str">
            <v>TU-BVN</v>
          </cell>
          <cell r="B42" t="str">
            <v>Y</v>
          </cell>
        </row>
        <row r="43">
          <cell r="A43" t="str">
            <v>ST-KYA</v>
          </cell>
          <cell r="B43" t="str">
            <v>Y</v>
          </cell>
        </row>
        <row r="44">
          <cell r="A44" t="str">
            <v>TU-PMG-LA</v>
          </cell>
          <cell r="B44" t="str">
            <v>Y</v>
          </cell>
        </row>
        <row r="45">
          <cell r="A45" t="str">
            <v>ST-MLM-L</v>
          </cell>
          <cell r="B45" t="str">
            <v>Y</v>
          </cell>
        </row>
        <row r="46">
          <cell r="A46" t="str">
            <v>SB-WLB</v>
          </cell>
          <cell r="B46" t="str">
            <v>Y</v>
          </cell>
        </row>
        <row r="47">
          <cell r="A47" t="str">
            <v>TU-GAU</v>
          </cell>
          <cell r="B47" t="str">
            <v>Y</v>
          </cell>
        </row>
        <row r="48">
          <cell r="A48" t="str">
            <v>SB-CB</v>
          </cell>
          <cell r="B48" t="str">
            <v>Y</v>
          </cell>
        </row>
        <row r="49">
          <cell r="A49" t="str">
            <v>W-AND-2N</v>
          </cell>
          <cell r="B49" t="str">
            <v>Y</v>
          </cell>
        </row>
        <row r="50">
          <cell r="A50" t="str">
            <v>SR-OLY</v>
          </cell>
          <cell r="B50" t="str">
            <v>Y</v>
          </cell>
        </row>
        <row r="51">
          <cell r="A51" t="str">
            <v>KHS-SW-W1</v>
          </cell>
          <cell r="B51" t="str">
            <v>Y</v>
          </cell>
        </row>
        <row r="52">
          <cell r="A52" t="str">
            <v>W-AND-4M</v>
          </cell>
          <cell r="B52" t="str">
            <v>Y</v>
          </cell>
        </row>
        <row r="53">
          <cell r="A53" t="str">
            <v>B-RVB-QN</v>
          </cell>
          <cell r="B53" t="str">
            <v>Y</v>
          </cell>
        </row>
        <row r="54">
          <cell r="A54" t="str">
            <v>SB-LGN</v>
          </cell>
          <cell r="B54" t="str">
            <v>Y</v>
          </cell>
        </row>
        <row r="55">
          <cell r="A55" t="str">
            <v>B-MLT-QT</v>
          </cell>
          <cell r="B55" t="str">
            <v>Y</v>
          </cell>
        </row>
        <row r="56">
          <cell r="A56" t="str">
            <v>ST-EFI-LA</v>
          </cell>
          <cell r="B56" t="str">
            <v>Y</v>
          </cell>
        </row>
        <row r="57">
          <cell r="A57" t="str">
            <v>SB-AXA-52</v>
          </cell>
          <cell r="B57" t="str">
            <v>Y</v>
          </cell>
        </row>
        <row r="58">
          <cell r="A58" t="str">
            <v>SR-MVS</v>
          </cell>
          <cell r="B58" t="str">
            <v>Y</v>
          </cell>
        </row>
        <row r="59">
          <cell r="A59" t="str">
            <v>W-AND-10N</v>
          </cell>
          <cell r="B59" t="str">
            <v>Y</v>
          </cell>
        </row>
        <row r="60">
          <cell r="A60" t="str">
            <v>CT-NO-RT</v>
          </cell>
          <cell r="B60" t="str">
            <v>Y</v>
          </cell>
        </row>
        <row r="61">
          <cell r="A61" t="str">
            <v>CT-ATD</v>
          </cell>
          <cell r="B61" t="str">
            <v>Y</v>
          </cell>
        </row>
        <row r="62">
          <cell r="A62" t="str">
            <v>S-AE</v>
          </cell>
          <cell r="B62" t="str">
            <v>Y</v>
          </cell>
        </row>
        <row r="63">
          <cell r="A63" t="str">
            <v>TU-RYE-ST</v>
          </cell>
          <cell r="B63" t="str">
            <v>Y</v>
          </cell>
        </row>
        <row r="64">
          <cell r="A64" t="str">
            <v>SB-MXL-LA</v>
          </cell>
          <cell r="B64" t="str">
            <v>DI</v>
          </cell>
        </row>
        <row r="65">
          <cell r="A65" t="str">
            <v>CT-SH</v>
          </cell>
          <cell r="B65" t="str">
            <v>Y</v>
          </cell>
        </row>
        <row r="66">
          <cell r="A66" t="str">
            <v>TU-PMS-LA</v>
          </cell>
          <cell r="B66" t="str">
            <v>Y</v>
          </cell>
        </row>
        <row r="67">
          <cell r="A67" t="str">
            <v>ST-MLM-N</v>
          </cell>
          <cell r="B67" t="str">
            <v>Y</v>
          </cell>
        </row>
        <row r="68">
          <cell r="A68" t="str">
            <v>ST-EFI-ST</v>
          </cell>
          <cell r="B68" t="str">
            <v>Y</v>
          </cell>
        </row>
        <row r="69">
          <cell r="A69" t="str">
            <v>TP-MTA</v>
          </cell>
          <cell r="B69" t="str">
            <v>Y</v>
          </cell>
        </row>
        <row r="70">
          <cell r="A70" t="str">
            <v>TS-NL-LA</v>
          </cell>
          <cell r="B70" t="str">
            <v>Y</v>
          </cell>
        </row>
        <row r="71">
          <cell r="A71" t="str">
            <v>S-LO</v>
          </cell>
          <cell r="B71" t="str">
            <v>Y</v>
          </cell>
        </row>
        <row r="72">
          <cell r="A72" t="str">
            <v>SB-SN-D</v>
          </cell>
          <cell r="B72" t="str">
            <v>Y</v>
          </cell>
        </row>
        <row r="73">
          <cell r="A73" t="str">
            <v>TU-RYE-LA</v>
          </cell>
          <cell r="B73" t="str">
            <v>Y</v>
          </cell>
        </row>
        <row r="74">
          <cell r="A74" t="str">
            <v>S-JVS</v>
          </cell>
          <cell r="B74" t="str">
            <v>Y</v>
          </cell>
        </row>
        <row r="75">
          <cell r="A75" t="str">
            <v>TU-PM-ST</v>
          </cell>
          <cell r="B75" t="str">
            <v>Y</v>
          </cell>
        </row>
        <row r="76">
          <cell r="A76" t="str">
            <v>B-POL-QT</v>
          </cell>
          <cell r="B76" t="str">
            <v>Y</v>
          </cell>
        </row>
        <row r="77">
          <cell r="A77" t="str">
            <v>TU-MA-LA</v>
          </cell>
          <cell r="B77" t="str">
            <v>Y</v>
          </cell>
        </row>
        <row r="78">
          <cell r="A78" t="str">
            <v>TU-KU-LA</v>
          </cell>
          <cell r="B78" t="str">
            <v>Y</v>
          </cell>
        </row>
        <row r="79">
          <cell r="A79" t="str">
            <v>BT-OL-D</v>
          </cell>
          <cell r="B79" t="str">
            <v>Y</v>
          </cell>
        </row>
        <row r="80">
          <cell r="A80" t="str">
            <v>TU-RE-LA</v>
          </cell>
          <cell r="B80" t="str">
            <v>Y</v>
          </cell>
        </row>
        <row r="81">
          <cell r="A81" t="str">
            <v>S-CRF</v>
          </cell>
          <cell r="B81" t="str">
            <v>Y</v>
          </cell>
        </row>
        <row r="82">
          <cell r="A82" t="str">
            <v>W-AND-12N</v>
          </cell>
          <cell r="B82" t="str">
            <v>Y</v>
          </cell>
        </row>
        <row r="83">
          <cell r="A83" t="str">
            <v>SB-WA</v>
          </cell>
          <cell r="B83" t="str">
            <v>Y</v>
          </cell>
        </row>
        <row r="84">
          <cell r="A84" t="str">
            <v>CT-DOV</v>
          </cell>
          <cell r="B84" t="str">
            <v>RL</v>
          </cell>
        </row>
        <row r="85">
          <cell r="A85" t="str">
            <v>S-CC</v>
          </cell>
          <cell r="B85" t="str">
            <v>Y</v>
          </cell>
        </row>
        <row r="86">
          <cell r="A86" t="str">
            <v>TU-OL</v>
          </cell>
          <cell r="B86" t="str">
            <v>Y</v>
          </cell>
        </row>
        <row r="87">
          <cell r="A87" t="str">
            <v>B-RVB-SN</v>
          </cell>
          <cell r="B87" t="str">
            <v>Y</v>
          </cell>
        </row>
        <row r="88">
          <cell r="A88" t="str">
            <v>DT-HE-4</v>
          </cell>
          <cell r="B88" t="str">
            <v>Y</v>
          </cell>
        </row>
        <row r="89">
          <cell r="A89" t="str">
            <v>TU-PM-LA</v>
          </cell>
          <cell r="B89" t="str">
            <v>Y</v>
          </cell>
        </row>
        <row r="90">
          <cell r="A90" t="str">
            <v>S-BR-6</v>
          </cell>
          <cell r="B90" t="str">
            <v>Y</v>
          </cell>
        </row>
        <row r="91">
          <cell r="A91" t="str">
            <v>ST-CBN-S</v>
          </cell>
          <cell r="B91" t="str">
            <v>RL</v>
          </cell>
        </row>
        <row r="92">
          <cell r="A92" t="str">
            <v>B-POL-KT</v>
          </cell>
          <cell r="B92" t="str">
            <v>Y</v>
          </cell>
        </row>
        <row r="93">
          <cell r="A93" t="str">
            <v>TU-ETY-ST</v>
          </cell>
          <cell r="B93" t="str">
            <v>Y</v>
          </cell>
        </row>
        <row r="94">
          <cell r="A94" t="str">
            <v>S-XD</v>
          </cell>
          <cell r="B94" t="str">
            <v>Y</v>
          </cell>
        </row>
        <row r="95">
          <cell r="A95" t="str">
            <v>TU-ETY-M</v>
          </cell>
          <cell r="B95" t="str">
            <v>Y</v>
          </cell>
        </row>
        <row r="96">
          <cell r="A96" t="str">
            <v>TU-PMP-L</v>
          </cell>
          <cell r="B96" t="str">
            <v>Y</v>
          </cell>
        </row>
        <row r="97">
          <cell r="A97" t="str">
            <v>RT-ALY</v>
          </cell>
          <cell r="B97" t="str">
            <v>Y</v>
          </cell>
        </row>
        <row r="98">
          <cell r="A98" t="str">
            <v>KH-TO-18</v>
          </cell>
          <cell r="B98" t="str">
            <v>Y</v>
          </cell>
        </row>
        <row r="99">
          <cell r="A99" t="str">
            <v>CT-MT-RO</v>
          </cell>
          <cell r="B99" t="str">
            <v>Y</v>
          </cell>
        </row>
        <row r="100">
          <cell r="A100" t="str">
            <v>S-BR-F6</v>
          </cell>
          <cell r="B100" t="str">
            <v>Y</v>
          </cell>
        </row>
        <row r="101">
          <cell r="A101" t="str">
            <v>TU-KVD-LA</v>
          </cell>
          <cell r="B101" t="str">
            <v>Y</v>
          </cell>
        </row>
        <row r="102">
          <cell r="A102" t="str">
            <v>ST-RE</v>
          </cell>
          <cell r="B102" t="str">
            <v>Y</v>
          </cell>
        </row>
        <row r="103">
          <cell r="A103" t="str">
            <v>BT-CO</v>
          </cell>
          <cell r="B103" t="str">
            <v>Y</v>
          </cell>
        </row>
        <row r="104">
          <cell r="A104" t="str">
            <v>SB-CS-LA</v>
          </cell>
          <cell r="B104" t="str">
            <v>Y</v>
          </cell>
        </row>
        <row r="105">
          <cell r="A105" t="str">
            <v>KR-JSD</v>
          </cell>
          <cell r="B105" t="str">
            <v>Y</v>
          </cell>
        </row>
        <row r="106">
          <cell r="A106" t="str">
            <v>CT-KV-RT</v>
          </cell>
          <cell r="B106" t="str">
            <v>RL</v>
          </cell>
        </row>
        <row r="107">
          <cell r="A107" t="str">
            <v>SB-WA-WM</v>
          </cell>
          <cell r="B107" t="str">
            <v>Y</v>
          </cell>
        </row>
        <row r="108">
          <cell r="A108" t="str">
            <v>SB-AXA-51</v>
          </cell>
          <cell r="B108" t="str">
            <v>Y</v>
          </cell>
        </row>
        <row r="109">
          <cell r="A109" t="str">
            <v>TU-TK-LA</v>
          </cell>
          <cell r="B109" t="str">
            <v>Y</v>
          </cell>
        </row>
        <row r="110">
          <cell r="A110" t="str">
            <v>TU-ETY-LA</v>
          </cell>
          <cell r="B110" t="str">
            <v>Y</v>
          </cell>
        </row>
        <row r="111">
          <cell r="A111" t="str">
            <v>CT-LE</v>
          </cell>
          <cell r="B111" t="str">
            <v>Y</v>
          </cell>
        </row>
        <row r="112">
          <cell r="A112" t="str">
            <v>TU-KVD-ST</v>
          </cell>
          <cell r="B112" t="str">
            <v>DI</v>
          </cell>
        </row>
        <row r="113">
          <cell r="A113" t="str">
            <v>PU-SDI-ST</v>
          </cell>
          <cell r="B113" t="str">
            <v>Y</v>
          </cell>
        </row>
        <row r="114">
          <cell r="A114" t="str">
            <v>SB-ASG</v>
          </cell>
          <cell r="B114" t="str">
            <v>Y</v>
          </cell>
        </row>
        <row r="115">
          <cell r="A115" t="str">
            <v>KH-SW-W10</v>
          </cell>
          <cell r="B115" t="str">
            <v>Y</v>
          </cell>
        </row>
        <row r="116">
          <cell r="A116" t="str">
            <v>KH-SW-WB</v>
          </cell>
          <cell r="B116" t="str">
            <v>Y</v>
          </cell>
        </row>
        <row r="117">
          <cell r="A117" t="str">
            <v>TU-PMS-ST</v>
          </cell>
          <cell r="B117" t="str">
            <v>Y</v>
          </cell>
        </row>
        <row r="118">
          <cell r="A118" t="str">
            <v>TU-TK-ST</v>
          </cell>
          <cell r="B118" t="str">
            <v>Y</v>
          </cell>
        </row>
        <row r="119">
          <cell r="A119" t="str">
            <v>TU-LE</v>
          </cell>
          <cell r="B119" t="str">
            <v>Y</v>
          </cell>
        </row>
        <row r="120">
          <cell r="A120" t="str">
            <v>TU-MYN</v>
          </cell>
          <cell r="B120" t="str">
            <v>Y</v>
          </cell>
        </row>
        <row r="121">
          <cell r="A121" t="str">
            <v>FT-EDR</v>
          </cell>
          <cell r="B121" t="str">
            <v>Y</v>
          </cell>
        </row>
        <row r="122">
          <cell r="A122" t="str">
            <v>KH-TO-40</v>
          </cell>
          <cell r="B122" t="str">
            <v>Y</v>
          </cell>
        </row>
        <row r="123">
          <cell r="A123" t="str">
            <v>TU-ARO-LA</v>
          </cell>
          <cell r="B123" t="str">
            <v>Y</v>
          </cell>
        </row>
        <row r="124">
          <cell r="A124" t="str">
            <v>TU-SNQ-LA</v>
          </cell>
          <cell r="B124" t="str">
            <v>Y</v>
          </cell>
        </row>
        <row r="125">
          <cell r="A125" t="str">
            <v>SB-MOL</v>
          </cell>
          <cell r="B125" t="str">
            <v>Y</v>
          </cell>
        </row>
        <row r="126">
          <cell r="A126" t="str">
            <v>RH-RL</v>
          </cell>
          <cell r="B126" t="str">
            <v>Y</v>
          </cell>
        </row>
        <row r="127">
          <cell r="A127" t="str">
            <v>B-MLT-KT</v>
          </cell>
          <cell r="B127" t="str">
            <v>Y</v>
          </cell>
        </row>
        <row r="128">
          <cell r="A128" t="str">
            <v>S-ETN</v>
          </cell>
          <cell r="B128" t="str">
            <v>Y</v>
          </cell>
        </row>
        <row r="129">
          <cell r="A129" t="str">
            <v>CT-TR-RT</v>
          </cell>
          <cell r="B129" t="str">
            <v>Y</v>
          </cell>
        </row>
        <row r="130">
          <cell r="A130" t="str">
            <v>PF-NAH-RO</v>
          </cell>
          <cell r="B130" t="str">
            <v>Y</v>
          </cell>
        </row>
        <row r="131">
          <cell r="A131" t="str">
            <v>B-RVB-KN</v>
          </cell>
          <cell r="B131" t="str">
            <v>Y</v>
          </cell>
        </row>
        <row r="132">
          <cell r="A132" t="str">
            <v>TU-MA-ST</v>
          </cell>
          <cell r="B132" t="str">
            <v>Y</v>
          </cell>
        </row>
        <row r="133">
          <cell r="A133" t="str">
            <v>SB-JMY</v>
          </cell>
          <cell r="B133" t="str">
            <v>Y</v>
          </cell>
        </row>
        <row r="134">
          <cell r="A134" t="str">
            <v>S-ATL</v>
          </cell>
          <cell r="B134" t="str">
            <v>Y</v>
          </cell>
        </row>
        <row r="135">
          <cell r="A135" t="str">
            <v>TU-PTL</v>
          </cell>
          <cell r="B135" t="str">
            <v>Y</v>
          </cell>
        </row>
        <row r="136">
          <cell r="A136" t="str">
            <v>CT-ETE</v>
          </cell>
          <cell r="B136" t="str">
            <v>Y</v>
          </cell>
        </row>
        <row r="137">
          <cell r="A137" t="str">
            <v>KH-SUT-5</v>
          </cell>
          <cell r="B137" t="str">
            <v>Y</v>
          </cell>
        </row>
        <row r="138">
          <cell r="A138" t="str">
            <v>CT-SY</v>
          </cell>
          <cell r="B138" t="str">
            <v>Y</v>
          </cell>
        </row>
        <row r="139">
          <cell r="A139" t="str">
            <v>CT-VC</v>
          </cell>
          <cell r="B139" t="str">
            <v>Y</v>
          </cell>
        </row>
        <row r="140">
          <cell r="A140" t="str">
            <v>ST-WLD</v>
          </cell>
          <cell r="B140" t="str">
            <v>RL</v>
          </cell>
        </row>
        <row r="141">
          <cell r="A141" t="str">
            <v>TS-NL-ST</v>
          </cell>
          <cell r="B141" t="str">
            <v>Y</v>
          </cell>
        </row>
        <row r="142">
          <cell r="A142" t="str">
            <v>MD-TNO-L</v>
          </cell>
          <cell r="B142" t="str">
            <v>Y</v>
          </cell>
        </row>
        <row r="143">
          <cell r="A143" t="str">
            <v>RH-OT</v>
          </cell>
          <cell r="B143" t="str">
            <v>Y</v>
          </cell>
        </row>
        <row r="144">
          <cell r="A144" t="str">
            <v>RT-RI</v>
          </cell>
          <cell r="B144" t="str">
            <v>Y</v>
          </cell>
        </row>
        <row r="145">
          <cell r="A145" t="str">
            <v>S-AO</v>
          </cell>
          <cell r="B145" t="str">
            <v>Y</v>
          </cell>
        </row>
        <row r="146">
          <cell r="A146" t="str">
            <v>SB-PH</v>
          </cell>
          <cell r="B146" t="str">
            <v>Y</v>
          </cell>
        </row>
        <row r="147">
          <cell r="A147" t="str">
            <v>S-AB</v>
          </cell>
          <cell r="B147" t="str">
            <v>Y</v>
          </cell>
        </row>
        <row r="148">
          <cell r="A148" t="str">
            <v>KH-SW-W21</v>
          </cell>
          <cell r="B148" t="str">
            <v>Y</v>
          </cell>
        </row>
        <row r="149">
          <cell r="A149" t="str">
            <v>CT-MT-RT</v>
          </cell>
          <cell r="B149" t="str">
            <v>Y</v>
          </cell>
        </row>
        <row r="150">
          <cell r="A150" t="str">
            <v>ST-HE</v>
          </cell>
          <cell r="B150" t="str">
            <v>Y</v>
          </cell>
        </row>
        <row r="151">
          <cell r="A151" t="str">
            <v>S-AI</v>
          </cell>
          <cell r="B151" t="str">
            <v>Y</v>
          </cell>
        </row>
        <row r="152">
          <cell r="A152" t="str">
            <v>CT-TLY</v>
          </cell>
          <cell r="B152" t="str">
            <v>Y</v>
          </cell>
        </row>
        <row r="153">
          <cell r="A153" t="str">
            <v>S-GRB</v>
          </cell>
          <cell r="B153" t="str">
            <v>Y</v>
          </cell>
        </row>
        <row r="154">
          <cell r="A154" t="str">
            <v>SR-ADS-2</v>
          </cell>
          <cell r="B154" t="str">
            <v>DI</v>
          </cell>
        </row>
        <row r="155">
          <cell r="A155" t="str">
            <v>CT-GSE-RT2</v>
          </cell>
          <cell r="B155" t="str">
            <v>DI</v>
          </cell>
        </row>
        <row r="156">
          <cell r="A156" t="str">
            <v>TS-NLM</v>
          </cell>
          <cell r="B156" t="str">
            <v>Y</v>
          </cell>
        </row>
        <row r="157">
          <cell r="A157" t="str">
            <v>RT-AT</v>
          </cell>
          <cell r="B157" t="str">
            <v>Y</v>
          </cell>
        </row>
        <row r="158">
          <cell r="A158" t="str">
            <v>KH-SUT-10</v>
          </cell>
          <cell r="B158" t="str">
            <v>Y</v>
          </cell>
        </row>
        <row r="159">
          <cell r="A159" t="str">
            <v>SB-NBK</v>
          </cell>
          <cell r="B159" t="str">
            <v>Y</v>
          </cell>
        </row>
        <row r="160">
          <cell r="A160" t="str">
            <v>SB-AXA-4</v>
          </cell>
          <cell r="B160" t="str">
            <v>Y</v>
          </cell>
        </row>
        <row r="161">
          <cell r="A161" t="str">
            <v>CT-OSN-RT</v>
          </cell>
          <cell r="B161" t="str">
            <v>Y</v>
          </cell>
        </row>
        <row r="162">
          <cell r="A162" t="str">
            <v>PF-MIS-RT</v>
          </cell>
          <cell r="B162" t="str">
            <v>Y</v>
          </cell>
        </row>
        <row r="163">
          <cell r="A163" t="str">
            <v>TU-MLE</v>
          </cell>
          <cell r="B163" t="str">
            <v>Y</v>
          </cell>
        </row>
        <row r="164">
          <cell r="A164" t="str">
            <v>SB-MPL</v>
          </cell>
          <cell r="B164" t="str">
            <v>Y</v>
          </cell>
        </row>
        <row r="165">
          <cell r="A165" t="str">
            <v>TS-FV</v>
          </cell>
          <cell r="B165" t="str">
            <v>Y</v>
          </cell>
        </row>
        <row r="166">
          <cell r="A166" t="str">
            <v>CT-OL</v>
          </cell>
          <cell r="B166" t="str">
            <v>Y</v>
          </cell>
        </row>
        <row r="167">
          <cell r="A167" t="str">
            <v>MD-TNO-S</v>
          </cell>
          <cell r="B167" t="str">
            <v>Y</v>
          </cell>
        </row>
        <row r="168">
          <cell r="A168" t="str">
            <v>BT-OL</v>
          </cell>
          <cell r="B168" t="str">
            <v>Y</v>
          </cell>
        </row>
        <row r="169">
          <cell r="A169" t="str">
            <v>RT-RI-M</v>
          </cell>
          <cell r="B169" t="str">
            <v>Y</v>
          </cell>
        </row>
        <row r="170">
          <cell r="A170" t="str">
            <v>KH-RMT</v>
          </cell>
          <cell r="B170" t="str">
            <v>Y</v>
          </cell>
        </row>
        <row r="171">
          <cell r="A171" t="str">
            <v>KH-LKN-6</v>
          </cell>
          <cell r="B171" t="str">
            <v>DI</v>
          </cell>
        </row>
        <row r="172">
          <cell r="A172" t="str">
            <v>CT-MT-SQ</v>
          </cell>
          <cell r="B172" t="str">
            <v>DI</v>
          </cell>
        </row>
        <row r="173">
          <cell r="A173" t="str">
            <v>SB-AA</v>
          </cell>
          <cell r="B173" t="str">
            <v>Y</v>
          </cell>
        </row>
        <row r="174">
          <cell r="A174" t="str">
            <v>KH-EDL</v>
          </cell>
          <cell r="B174" t="str">
            <v>RL</v>
          </cell>
        </row>
        <row r="175">
          <cell r="A175" t="str">
            <v>GH-IS</v>
          </cell>
          <cell r="B175" t="str">
            <v>DI</v>
          </cell>
        </row>
        <row r="176">
          <cell r="A176" t="str">
            <v>KH-SUT-21</v>
          </cell>
          <cell r="B176" t="str">
            <v>Y</v>
          </cell>
        </row>
        <row r="177">
          <cell r="A177" t="str">
            <v>TS-NL-A</v>
          </cell>
          <cell r="B177" t="str">
            <v>DI</v>
          </cell>
        </row>
        <row r="178">
          <cell r="A178" t="str">
            <v>B-POL-SN</v>
          </cell>
          <cell r="B178" t="str">
            <v>Y</v>
          </cell>
        </row>
        <row r="179">
          <cell r="A179" t="str">
            <v>ST-HES</v>
          </cell>
          <cell r="B179" t="str">
            <v>DI</v>
          </cell>
        </row>
        <row r="180">
          <cell r="A180" t="str">
            <v>KH-WLR</v>
          </cell>
          <cell r="B180" t="str">
            <v>RL</v>
          </cell>
        </row>
        <row r="181">
          <cell r="A181" t="str">
            <v>SH-CHR</v>
          </cell>
          <cell r="B181" t="str">
            <v>DI</v>
          </cell>
        </row>
        <row r="182">
          <cell r="A182" t="str">
            <v>CT-TYU</v>
          </cell>
          <cell r="B182" t="str">
            <v>Y</v>
          </cell>
        </row>
        <row r="183">
          <cell r="A183" t="str">
            <v>ST-GSE-LA</v>
          </cell>
          <cell r="B183" t="str">
            <v>DI</v>
          </cell>
        </row>
        <row r="184">
          <cell r="A184" t="str">
            <v>CT-GSE-SQ</v>
          </cell>
          <cell r="B184" t="str">
            <v>DI</v>
          </cell>
        </row>
        <row r="185">
          <cell r="A185" t="str">
            <v>W-MLT-3N</v>
          </cell>
          <cell r="B185" t="str">
            <v>Y</v>
          </cell>
        </row>
        <row r="186">
          <cell r="A186" t="str">
            <v>CT-GSE-SQ2</v>
          </cell>
          <cell r="B186" t="str">
            <v>DI</v>
          </cell>
        </row>
        <row r="187">
          <cell r="A187" t="str">
            <v>SL-VE-P</v>
          </cell>
          <cell r="B187" t="str">
            <v>DI</v>
          </cell>
        </row>
        <row r="188">
          <cell r="A188" t="str">
            <v>CT-GSE-RT</v>
          </cell>
          <cell r="B188" t="str">
            <v>DI</v>
          </cell>
        </row>
        <row r="189">
          <cell r="A189" t="str">
            <v>W-MLT-2N</v>
          </cell>
          <cell r="B189" t="str">
            <v>Y</v>
          </cell>
        </row>
        <row r="190">
          <cell r="A190" t="str">
            <v>W-MLT-4N</v>
          </cell>
          <cell r="B190" t="str">
            <v>RL</v>
          </cell>
        </row>
        <row r="191">
          <cell r="A191" t="str">
            <v>B-RVB-D36N</v>
          </cell>
          <cell r="B191" t="str">
            <v>Y</v>
          </cell>
        </row>
        <row r="192">
          <cell r="A192" t="str">
            <v>SR-FLV-H</v>
          </cell>
          <cell r="B192" t="str">
            <v>DI</v>
          </cell>
        </row>
        <row r="193">
          <cell r="A193" t="str">
            <v>SR-FLV</v>
          </cell>
          <cell r="B193" t="str">
            <v>DI</v>
          </cell>
        </row>
        <row r="194">
          <cell r="A194" t="str">
            <v>SR-BKN-T</v>
          </cell>
          <cell r="B194" t="str">
            <v>Y</v>
          </cell>
        </row>
        <row r="195">
          <cell r="A195" t="str">
            <v>KH-TOC-18</v>
          </cell>
          <cell r="B195" t="str">
            <v>Y</v>
          </cell>
        </row>
        <row r="196">
          <cell r="A196" t="str">
            <v>KH-TOC-40</v>
          </cell>
          <cell r="B196" t="str">
            <v>Y</v>
          </cell>
        </row>
        <row r="197">
          <cell r="A197" t="str">
            <v>ST-NFN</v>
          </cell>
          <cell r="B197" t="str">
            <v>DI</v>
          </cell>
        </row>
        <row r="198">
          <cell r="A198" t="str">
            <v>ST-GSE-ST</v>
          </cell>
          <cell r="B198" t="str">
            <v>DI</v>
          </cell>
        </row>
        <row r="199">
          <cell r="A199" t="str">
            <v>CT-TR-RTS</v>
          </cell>
          <cell r="B199" t="str">
            <v>DI</v>
          </cell>
        </row>
        <row r="200">
          <cell r="A200" t="str">
            <v>W-AND-11N</v>
          </cell>
          <cell r="B200" t="str">
            <v>DI</v>
          </cell>
        </row>
        <row r="201">
          <cell r="A201" t="str">
            <v>SB-MXL-ST</v>
          </cell>
          <cell r="B201" t="str">
            <v>DI</v>
          </cell>
        </row>
        <row r="202">
          <cell r="A202" t="str">
            <v>S-T-16S4</v>
          </cell>
          <cell r="B202" t="str">
            <v>DI</v>
          </cell>
        </row>
        <row r="203">
          <cell r="A203" t="str">
            <v>S-RY</v>
          </cell>
          <cell r="B203" t="str">
            <v>Y</v>
          </cell>
        </row>
        <row r="204">
          <cell r="A204" t="str">
            <v>TU-PR</v>
          </cell>
          <cell r="B204" t="str">
            <v>DI</v>
          </cell>
        </row>
        <row r="205">
          <cell r="A205" t="str">
            <v>CT-KV-SQ</v>
          </cell>
          <cell r="B205" t="str">
            <v>DI</v>
          </cell>
        </row>
        <row r="206">
          <cell r="A206" t="str">
            <v>CT-ATD-ST</v>
          </cell>
          <cell r="B206" t="str">
            <v>DI</v>
          </cell>
        </row>
        <row r="207">
          <cell r="A207" t="str">
            <v>RD-AW</v>
          </cell>
          <cell r="B207" t="str">
            <v>DI</v>
          </cell>
        </row>
        <row r="208">
          <cell r="A208" t="str">
            <v>ST-GSE-WMN</v>
          </cell>
          <cell r="B208" t="str">
            <v>DI</v>
          </cell>
        </row>
        <row r="209">
          <cell r="A209" t="str">
            <v>KH-AM</v>
          </cell>
          <cell r="B209" t="str">
            <v>DI</v>
          </cell>
        </row>
        <row r="210">
          <cell r="A210" t="str">
            <v>B-POL-KN</v>
          </cell>
          <cell r="B210" t="str">
            <v>DI</v>
          </cell>
        </row>
        <row r="211">
          <cell r="A211" t="str">
            <v>S-MO-5</v>
          </cell>
          <cell r="B211" t="str">
            <v>DI</v>
          </cell>
        </row>
        <row r="212">
          <cell r="A212" t="str">
            <v>KH-VD</v>
          </cell>
          <cell r="B212" t="str">
            <v>DI</v>
          </cell>
        </row>
        <row r="213">
          <cell r="A213" t="str">
            <v>S-SB-S3</v>
          </cell>
          <cell r="B213" t="str">
            <v>DI</v>
          </cell>
        </row>
        <row r="214">
          <cell r="A214" t="str">
            <v>S-ERA</v>
          </cell>
          <cell r="B214" t="str">
            <v>DI</v>
          </cell>
        </row>
        <row r="215">
          <cell r="A215" t="str">
            <v>PF-NAH-RT</v>
          </cell>
          <cell r="B215" t="str">
            <v>DI</v>
          </cell>
        </row>
        <row r="216">
          <cell r="A216" t="str">
            <v>CT-NO-SQ</v>
          </cell>
          <cell r="B216" t="str">
            <v>DI</v>
          </cell>
        </row>
        <row r="217">
          <cell r="A217" t="str">
            <v>ST-CBN-P</v>
          </cell>
          <cell r="B217" t="str">
            <v>Y</v>
          </cell>
        </row>
        <row r="218">
          <cell r="A218" t="str">
            <v>SH-DVN</v>
          </cell>
          <cell r="B218" t="str">
            <v>Y</v>
          </cell>
        </row>
        <row r="219">
          <cell r="A219" t="str">
            <v>SH-YBO</v>
          </cell>
          <cell r="B219" t="str">
            <v>Y</v>
          </cell>
        </row>
        <row r="220">
          <cell r="A220" t="str">
            <v>WA-PYS-S</v>
          </cell>
          <cell r="B220" t="str">
            <v>Y</v>
          </cell>
        </row>
        <row r="221">
          <cell r="A221" t="str">
            <v>WA-PYS-N</v>
          </cell>
          <cell r="B221" t="str">
            <v>Y</v>
          </cell>
        </row>
        <row r="222">
          <cell r="A222" t="str">
            <v>BT-NHE</v>
          </cell>
          <cell r="B222" t="str">
            <v>Y</v>
          </cell>
        </row>
        <row r="223">
          <cell r="A223" t="str">
            <v>KC-OPT-1N</v>
          </cell>
          <cell r="B223" t="str">
            <v>Y</v>
          </cell>
        </row>
        <row r="224">
          <cell r="A224" t="str">
            <v>KC-OPT-1S</v>
          </cell>
          <cell r="B224" t="str">
            <v>Y</v>
          </cell>
        </row>
        <row r="225">
          <cell r="A225" t="str">
            <v>KC-SRN</v>
          </cell>
          <cell r="B225" t="str">
            <v>Y</v>
          </cell>
        </row>
        <row r="226">
          <cell r="A226" t="str">
            <v>SR-BKN-H</v>
          </cell>
          <cell r="B226" t="str">
            <v>Y</v>
          </cell>
        </row>
        <row r="227">
          <cell r="A227" t="str">
            <v>SR-MVS-IT</v>
          </cell>
          <cell r="B227" t="str">
            <v>Y</v>
          </cell>
        </row>
        <row r="228">
          <cell r="A228" t="str">
            <v>W-BNO</v>
          </cell>
          <cell r="B228" t="str">
            <v>Y</v>
          </cell>
        </row>
        <row r="229">
          <cell r="A229" t="str">
            <v>W-CLO-345</v>
          </cell>
          <cell r="B229" t="str">
            <v>Y</v>
          </cell>
        </row>
        <row r="230">
          <cell r="A230" t="str">
            <v>W-CLO-3</v>
          </cell>
          <cell r="B230" t="str">
            <v>Y</v>
          </cell>
        </row>
        <row r="231">
          <cell r="A231" t="str">
            <v>W-CLO-4</v>
          </cell>
          <cell r="B231" t="str">
            <v>Y</v>
          </cell>
        </row>
        <row r="232">
          <cell r="A232" t="str">
            <v>W-CLO-5</v>
          </cell>
          <cell r="B232" t="str">
            <v>Y</v>
          </cell>
        </row>
        <row r="233">
          <cell r="A233" t="str">
            <v>W-MLT-M</v>
          </cell>
          <cell r="B233" t="str">
            <v>Y</v>
          </cell>
        </row>
        <row r="234">
          <cell r="A234" t="str">
            <v>KC-OPT-2N</v>
          </cell>
          <cell r="B234" t="str">
            <v>Y</v>
          </cell>
        </row>
        <row r="235">
          <cell r="A235" t="str">
            <v>KC-OPT-2S</v>
          </cell>
          <cell r="B235" t="str">
            <v>Y</v>
          </cell>
        </row>
        <row r="236">
          <cell r="A236" t="str">
            <v>SR-MVS-I</v>
          </cell>
          <cell r="B236" t="str">
            <v>Y</v>
          </cell>
        </row>
        <row r="237">
          <cell r="A237" t="str">
            <v>SR-MVS-T</v>
          </cell>
          <cell r="B237" t="str">
            <v>Y</v>
          </cell>
        </row>
        <row r="238">
          <cell r="A238" t="str">
            <v>B-MLT-D30T</v>
          </cell>
          <cell r="B238" t="str">
            <v>Y</v>
          </cell>
        </row>
        <row r="239">
          <cell r="A239" t="str">
            <v>PU-SNM</v>
          </cell>
          <cell r="B239" t="str">
            <v>Y</v>
          </cell>
        </row>
        <row r="240">
          <cell r="A240" t="str">
            <v>SB-BNA</v>
          </cell>
          <cell r="B240" t="str">
            <v>Y</v>
          </cell>
        </row>
        <row r="241">
          <cell r="A241" t="str">
            <v>SF-WBR-4LI</v>
          </cell>
          <cell r="B241" t="str">
            <v>Y</v>
          </cell>
        </row>
        <row r="242">
          <cell r="A242" t="str">
            <v>SR-FYN</v>
          </cell>
          <cell r="B242" t="str">
            <v>Y</v>
          </cell>
        </row>
        <row r="243">
          <cell r="A243" t="str">
            <v>TU-SKDL</v>
          </cell>
          <cell r="B243" t="str">
            <v>Y</v>
          </cell>
        </row>
        <row r="244">
          <cell r="A244" t="str">
            <v>SB-VNO</v>
          </cell>
          <cell r="B244" t="str">
            <v>Y</v>
          </cell>
        </row>
        <row r="245">
          <cell r="A245" t="str">
            <v>SH-GTA</v>
          </cell>
          <cell r="B245" t="str">
            <v>Y</v>
          </cell>
        </row>
        <row r="246">
          <cell r="A246" t="str">
            <v>S-TCW-10P2</v>
          </cell>
          <cell r="B246" t="str">
            <v>DI</v>
          </cell>
        </row>
        <row r="247">
          <cell r="A247" t="str">
            <v>RT-T1</v>
          </cell>
          <cell r="B247" t="str">
            <v>DI</v>
          </cell>
        </row>
        <row r="248">
          <cell r="A248" t="str">
            <v>RD-AW</v>
          </cell>
          <cell r="B248" t="str">
            <v>DI</v>
          </cell>
        </row>
        <row r="249">
          <cell r="A249" t="str">
            <v>RT-T1</v>
          </cell>
          <cell r="B249" t="str">
            <v>DI</v>
          </cell>
        </row>
        <row r="250">
          <cell r="A250" t="str">
            <v>B-RVB-D30N</v>
          </cell>
          <cell r="B250" t="str">
            <v>RL</v>
          </cell>
        </row>
        <row r="251">
          <cell r="A251" t="str">
            <v>WA-FBA.P-D</v>
          </cell>
          <cell r="B251" t="str">
            <v>DI</v>
          </cell>
        </row>
        <row r="252">
          <cell r="A252" t="str">
            <v>SR-WMO</v>
          </cell>
          <cell r="B252" t="str">
            <v>Y</v>
          </cell>
        </row>
        <row r="253">
          <cell r="A253" t="str">
            <v>PU-SUB</v>
          </cell>
          <cell r="B253" t="str">
            <v>Y</v>
          </cell>
        </row>
        <row r="254">
          <cell r="A254" t="str">
            <v>CH-ZLO-ME</v>
          </cell>
          <cell r="B254" t="str">
            <v>Y</v>
          </cell>
        </row>
        <row r="255">
          <cell r="A255" t="str">
            <v>CH-PLI-ME</v>
          </cell>
          <cell r="B255" t="str">
            <v>Y</v>
          </cell>
        </row>
        <row r="256">
          <cell r="A256" t="str">
            <v>PU-SUB-ST</v>
          </cell>
          <cell r="B256" t="str">
            <v>Y</v>
          </cell>
        </row>
        <row r="257">
          <cell r="A257" t="str">
            <v>ST-RDO-ST</v>
          </cell>
          <cell r="B257" t="str">
            <v>Y</v>
          </cell>
        </row>
        <row r="258">
          <cell r="A258" t="str">
            <v>PU-DRV</v>
          </cell>
          <cell r="B258" t="str">
            <v>Y</v>
          </cell>
        </row>
        <row r="259">
          <cell r="A259" t="str">
            <v>SH-DVN-ST</v>
          </cell>
          <cell r="B259" t="str">
            <v>Y</v>
          </cell>
        </row>
        <row r="260">
          <cell r="A260" t="str">
            <v>TU-VC</v>
          </cell>
          <cell r="B260" t="str">
            <v>Y</v>
          </cell>
        </row>
        <row r="261">
          <cell r="A261" t="str">
            <v>TU-PIN</v>
          </cell>
          <cell r="B261" t="str">
            <v>Y</v>
          </cell>
        </row>
        <row r="262">
          <cell r="A262" t="str">
            <v>TU-OLA</v>
          </cell>
          <cell r="B262" t="str">
            <v>Y</v>
          </cell>
        </row>
        <row r="263">
          <cell r="A263" t="str">
            <v>TU-AMY</v>
          </cell>
          <cell r="B263" t="str">
            <v>Y</v>
          </cell>
        </row>
        <row r="264">
          <cell r="A264" t="str">
            <v>TU-HRI</v>
          </cell>
          <cell r="B264" t="str">
            <v>Y</v>
          </cell>
        </row>
        <row r="265">
          <cell r="A265" t="str">
            <v>TU-LMI</v>
          </cell>
          <cell r="B265" t="str">
            <v>Y</v>
          </cell>
        </row>
        <row r="266">
          <cell r="A266" t="str">
            <v>TU-OML</v>
          </cell>
          <cell r="B266" t="str">
            <v>Y</v>
          </cell>
        </row>
        <row r="267">
          <cell r="A267" t="str">
            <v>TU-MSE</v>
          </cell>
          <cell r="B267" t="str">
            <v>Y</v>
          </cell>
        </row>
        <row r="268">
          <cell r="A268" t="str">
            <v>TU-MSEP</v>
          </cell>
          <cell r="B268" t="str">
            <v>Y</v>
          </cell>
        </row>
        <row r="269">
          <cell r="A269" t="str">
            <v>SB-OVO</v>
          </cell>
          <cell r="B269" t="str">
            <v>Y</v>
          </cell>
        </row>
        <row r="270">
          <cell r="A270" t="str">
            <v>SB-SDA</v>
          </cell>
          <cell r="B270" t="str">
            <v>Y</v>
          </cell>
        </row>
        <row r="271">
          <cell r="A271" t="str">
            <v>SB-SRA</v>
          </cell>
          <cell r="B271" t="str">
            <v>Y</v>
          </cell>
        </row>
        <row r="272">
          <cell r="A272" t="str">
            <v>SB-CA</v>
          </cell>
          <cell r="B272" t="str">
            <v>DI</v>
          </cell>
        </row>
        <row r="273">
          <cell r="A273" t="str">
            <v>SB-CS-ST</v>
          </cell>
          <cell r="B273" t="str">
            <v>DI</v>
          </cell>
        </row>
        <row r="274">
          <cell r="A274" t="str">
            <v>S-BR-4</v>
          </cell>
          <cell r="B274" t="str">
            <v>DI</v>
          </cell>
        </row>
        <row r="275">
          <cell r="A275" t="str">
            <v>SR-ADS-2W</v>
          </cell>
          <cell r="B275" t="str">
            <v>DI</v>
          </cell>
        </row>
        <row r="276">
          <cell r="A276" t="str">
            <v>SR-BKN-M</v>
          </cell>
          <cell r="B276" t="str">
            <v>DI</v>
          </cell>
        </row>
        <row r="277">
          <cell r="A277" t="str">
            <v>TU-PMP-S</v>
          </cell>
          <cell r="B277" t="str">
            <v>DI</v>
          </cell>
        </row>
        <row r="278">
          <cell r="A278" t="str">
            <v>TU-VCO</v>
          </cell>
          <cell r="B278" t="str">
            <v>DI</v>
          </cell>
        </row>
        <row r="279">
          <cell r="A279" t="str">
            <v>BT-HE</v>
          </cell>
          <cell r="B279" t="str">
            <v>DI</v>
          </cell>
        </row>
        <row r="280">
          <cell r="A280" t="str">
            <v>BT-LE-B</v>
          </cell>
          <cell r="B280" t="str">
            <v>DI</v>
          </cell>
        </row>
        <row r="281">
          <cell r="A281" t="str">
            <v>CT-ATD-LA</v>
          </cell>
          <cell r="B281" t="str">
            <v>DI</v>
          </cell>
        </row>
        <row r="282">
          <cell r="A282" t="str">
            <v>CT-ATD-M</v>
          </cell>
          <cell r="B282" t="str">
            <v>DI</v>
          </cell>
        </row>
        <row r="283">
          <cell r="A283" t="str">
            <v>SR-ADS-3</v>
          </cell>
          <cell r="B283" t="str">
            <v>DI</v>
          </cell>
        </row>
        <row r="284">
          <cell r="A284" t="str">
            <v>ST-DZL</v>
          </cell>
          <cell r="B284" t="str">
            <v>DI</v>
          </cell>
        </row>
        <row r="285">
          <cell r="A285" t="str">
            <v>WA-BLS</v>
          </cell>
          <cell r="B285" t="str">
            <v>DI</v>
          </cell>
        </row>
        <row r="286">
          <cell r="A286" t="str">
            <v>B-POL-QN</v>
          </cell>
          <cell r="B286" t="str">
            <v>DI</v>
          </cell>
        </row>
        <row r="287">
          <cell r="A287" t="str">
            <v>BT-LE-S</v>
          </cell>
          <cell r="B287" t="str">
            <v>DI</v>
          </cell>
        </row>
        <row r="288">
          <cell r="A288" t="str">
            <v>CMB-RELO</v>
          </cell>
          <cell r="B288" t="str">
            <v>DI</v>
          </cell>
        </row>
        <row r="289">
          <cell r="A289" t="str">
            <v>CT-MD-RT</v>
          </cell>
          <cell r="B289" t="str">
            <v>DI</v>
          </cell>
        </row>
        <row r="290">
          <cell r="A290" t="str">
            <v>CT-MD-SQ</v>
          </cell>
          <cell r="B290" t="str">
            <v>DI</v>
          </cell>
        </row>
        <row r="291">
          <cell r="A291" t="str">
            <v>CT-OSN-OV</v>
          </cell>
          <cell r="B291" t="str">
            <v>DI</v>
          </cell>
        </row>
        <row r="292">
          <cell r="A292" t="str">
            <v>DT-GRA</v>
          </cell>
          <cell r="B292" t="str">
            <v>DI</v>
          </cell>
        </row>
        <row r="293">
          <cell r="A293" t="str">
            <v>DT-HE-3</v>
          </cell>
          <cell r="B293" t="str">
            <v>DI</v>
          </cell>
        </row>
        <row r="294">
          <cell r="A294" t="str">
            <v>DT-MR</v>
          </cell>
          <cell r="B294" t="str">
            <v>DI</v>
          </cell>
        </row>
        <row r="295">
          <cell r="A295" t="str">
            <v>GH-CE</v>
          </cell>
          <cell r="B295" t="str">
            <v>DI</v>
          </cell>
        </row>
        <row r="296">
          <cell r="A296" t="str">
            <v>KH-RZ</v>
          </cell>
          <cell r="B296" t="str">
            <v>DI</v>
          </cell>
        </row>
        <row r="297">
          <cell r="A297" t="str">
            <v>LT-FN</v>
          </cell>
          <cell r="B297" t="str">
            <v>DI</v>
          </cell>
        </row>
        <row r="298">
          <cell r="A298" t="str">
            <v>RH-SU-2-2</v>
          </cell>
          <cell r="B298" t="str">
            <v>DI</v>
          </cell>
        </row>
        <row r="299">
          <cell r="A299" t="str">
            <v>RH-SU-4</v>
          </cell>
          <cell r="B299" t="str">
            <v>DI</v>
          </cell>
        </row>
        <row r="300">
          <cell r="A300" t="str">
            <v>RT-T</v>
          </cell>
          <cell r="B300" t="str">
            <v>DI</v>
          </cell>
        </row>
        <row r="301">
          <cell r="A301" t="str">
            <v>SB-AL-2</v>
          </cell>
          <cell r="B301" t="str">
            <v>DI</v>
          </cell>
        </row>
        <row r="302">
          <cell r="A302" t="str">
            <v>SB-AL-4</v>
          </cell>
          <cell r="B302" t="str">
            <v>DI</v>
          </cell>
        </row>
        <row r="303">
          <cell r="A303" t="str">
            <v>SB-CB.P-T</v>
          </cell>
          <cell r="B303" t="str">
            <v>DI</v>
          </cell>
        </row>
        <row r="304">
          <cell r="A304" t="str">
            <v>SB-OS</v>
          </cell>
          <cell r="B304" t="str">
            <v>DI</v>
          </cell>
        </row>
        <row r="305">
          <cell r="A305" t="str">
            <v>SB-SML</v>
          </cell>
          <cell r="B305" t="str">
            <v>DI</v>
          </cell>
        </row>
        <row r="306">
          <cell r="A306" t="str">
            <v>S-CK-2</v>
          </cell>
          <cell r="B306" t="str">
            <v>DI</v>
          </cell>
        </row>
        <row r="307">
          <cell r="A307" t="str">
            <v>S-FE-W2</v>
          </cell>
          <cell r="B307" t="str">
            <v>DI</v>
          </cell>
        </row>
        <row r="308">
          <cell r="A308" t="str">
            <v>S-LC</v>
          </cell>
          <cell r="B308" t="str">
            <v>DI</v>
          </cell>
        </row>
        <row r="309">
          <cell r="A309" t="str">
            <v>SL-VE-18</v>
          </cell>
          <cell r="B309" t="str">
            <v>DI</v>
          </cell>
        </row>
        <row r="310">
          <cell r="A310" t="str">
            <v>S-MO-3</v>
          </cell>
          <cell r="B310" t="str">
            <v>DI</v>
          </cell>
        </row>
        <row r="311">
          <cell r="A311" t="str">
            <v>S-PTE-W</v>
          </cell>
          <cell r="B311" t="str">
            <v>DI</v>
          </cell>
        </row>
        <row r="312">
          <cell r="A312" t="str">
            <v>SR-LRL</v>
          </cell>
          <cell r="B312" t="str">
            <v>DI</v>
          </cell>
        </row>
        <row r="313">
          <cell r="A313" t="str">
            <v>ST-CND-LA</v>
          </cell>
          <cell r="B313" t="str">
            <v>DI</v>
          </cell>
        </row>
        <row r="314">
          <cell r="A314" t="str">
            <v>ST-CND-ST</v>
          </cell>
          <cell r="B314" t="str">
            <v>DI</v>
          </cell>
        </row>
        <row r="315">
          <cell r="A315" t="str">
            <v>S-TCW-8P2</v>
          </cell>
          <cell r="B315" t="str">
            <v>DI</v>
          </cell>
        </row>
        <row r="316">
          <cell r="A316" t="str">
            <v>ST-GSE-WMS</v>
          </cell>
          <cell r="B316" t="str">
            <v>DI</v>
          </cell>
        </row>
        <row r="317">
          <cell r="A317" t="str">
            <v>ST-GSE-WMSF</v>
          </cell>
          <cell r="B317" t="str">
            <v>DI</v>
          </cell>
        </row>
        <row r="318">
          <cell r="A318" t="str">
            <v>ST-GSE-WMSW</v>
          </cell>
          <cell r="B318" t="str">
            <v>DI</v>
          </cell>
        </row>
        <row r="319">
          <cell r="A319" t="str">
            <v>S-TW12-S4</v>
          </cell>
          <cell r="B319" t="str">
            <v>DI</v>
          </cell>
        </row>
        <row r="320">
          <cell r="A320" t="str">
            <v>TU-ARO-ST</v>
          </cell>
          <cell r="B320" t="str">
            <v>DI</v>
          </cell>
        </row>
        <row r="321">
          <cell r="A321" t="str">
            <v>TU-CBR-ST</v>
          </cell>
          <cell r="B321" t="str">
            <v>DI</v>
          </cell>
        </row>
        <row r="322">
          <cell r="A322" t="str">
            <v>TU-DAR</v>
          </cell>
          <cell r="B322" t="str">
            <v>DI</v>
          </cell>
        </row>
        <row r="323">
          <cell r="A323" t="str">
            <v>TU-KU-ST</v>
          </cell>
          <cell r="B323" t="str">
            <v>DI</v>
          </cell>
        </row>
        <row r="324">
          <cell r="A324" t="str">
            <v>TU-NVH-M</v>
          </cell>
          <cell r="B324" t="str">
            <v>DI</v>
          </cell>
        </row>
        <row r="325">
          <cell r="A325" t="str">
            <v>TU-NVH-ST</v>
          </cell>
          <cell r="B325" t="str">
            <v>DI</v>
          </cell>
        </row>
        <row r="326">
          <cell r="A326" t="str">
            <v>TU-RE-ST</v>
          </cell>
          <cell r="B326" t="str">
            <v>DI</v>
          </cell>
        </row>
        <row r="327">
          <cell r="A327" t="str">
            <v>TU-TP</v>
          </cell>
          <cell r="B327" t="str">
            <v>DI</v>
          </cell>
        </row>
        <row r="328">
          <cell r="A328" t="str">
            <v>TU-TT-L</v>
          </cell>
          <cell r="B328" t="str">
            <v>DI</v>
          </cell>
        </row>
        <row r="329">
          <cell r="A329" t="str">
            <v>TU-TT-S</v>
          </cell>
          <cell r="B329" t="str">
            <v>DI</v>
          </cell>
        </row>
        <row r="330">
          <cell r="A330" t="str">
            <v>WA-CCI.P-DW</v>
          </cell>
          <cell r="B330" t="str">
            <v>DI</v>
          </cell>
        </row>
        <row r="331">
          <cell r="A331" t="str">
            <v>WA-FBA.P-DW</v>
          </cell>
          <cell r="B331" t="str">
            <v>DI</v>
          </cell>
        </row>
        <row r="332">
          <cell r="A332" t="str">
            <v>WT-EA</v>
          </cell>
          <cell r="B332" t="str">
            <v>DI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VaIxOQb2kSXuf5kQ1oQruj7c3_gdlRAsXOvSkaNgh7xD79GbJL9TLDbSHUHUeIh" itemId="01FK7E6YOEJN4EOW7JQJBJUZNWOQQAEWJ5">
      <xxl21:absoluteUrl r:id="rId2"/>
    </xxl21:alternateUrls>
    <sheetNames>
      <sheetName val="BOM FG Files"/>
      <sheetName val="Sheet1"/>
      <sheetName val="BOM FG Files2"/>
      <sheetName val="BOM Files (2)"/>
      <sheetName val="helping file"/>
      <sheetName val="Help notes"/>
    </sheetNames>
    <sheetDataSet>
      <sheetData sheetId="0">
        <row r="1">
          <cell r="A1" t="str">
            <v>MTP Code</v>
          </cell>
          <cell r="B1" t="str">
            <v>Category</v>
          </cell>
          <cell r="C1" t="str">
            <v>Fab.Bom</v>
          </cell>
          <cell r="D1" t="str">
            <v>C.L BOM</v>
          </cell>
          <cell r="E1" t="str">
            <v>Tot.BOM</v>
          </cell>
          <cell r="F1" t="str">
            <v>Tot. Weight</v>
          </cell>
        </row>
        <row r="2">
          <cell r="A2" t="str">
            <v>B-MLT-D30T</v>
          </cell>
          <cell r="B2" t="str">
            <v>Beds</v>
          </cell>
          <cell r="C2">
            <v>1715.66408679561</v>
          </cell>
          <cell r="D2">
            <v>1866.5196647956102</v>
          </cell>
          <cell r="E2">
            <v>2011.5196647956102</v>
          </cell>
          <cell r="F2">
            <v>46023.570286771734</v>
          </cell>
        </row>
        <row r="3">
          <cell r="A3" t="str">
            <v>B-MLT-KT</v>
          </cell>
          <cell r="B3" t="str">
            <v>Beds</v>
          </cell>
          <cell r="C3">
            <v>3774.8535027363646</v>
          </cell>
          <cell r="D3">
            <v>4001.4775688363643</v>
          </cell>
          <cell r="E3">
            <v>4472.4775688363643</v>
          </cell>
          <cell r="F3">
            <v>100677.26640074902</v>
          </cell>
        </row>
        <row r="4">
          <cell r="A4" t="str">
            <v>B-MLT-QT</v>
          </cell>
          <cell r="B4" t="str">
            <v>Beds</v>
          </cell>
          <cell r="C4">
            <v>3313.8100549126152</v>
          </cell>
          <cell r="D4">
            <v>3539.3679979626154</v>
          </cell>
          <cell r="E4">
            <v>3969.3679979626154</v>
          </cell>
          <cell r="F4">
            <v>87886.167781167067</v>
          </cell>
        </row>
        <row r="5">
          <cell r="A5" t="str">
            <v>B-POL-KT</v>
          </cell>
          <cell r="B5" t="str">
            <v>Beds</v>
          </cell>
          <cell r="C5">
            <v>3754.8976828156151</v>
          </cell>
          <cell r="D5">
            <v>4203.035942065615</v>
          </cell>
          <cell r="E5">
            <v>4658.035942065615</v>
          </cell>
          <cell r="F5">
            <v>100918.29638158774</v>
          </cell>
        </row>
        <row r="6">
          <cell r="A6" t="str">
            <v>B-POL-KT (OLD)</v>
          </cell>
          <cell r="B6" t="str">
            <v>Beds</v>
          </cell>
          <cell r="C6">
            <v>3691.532625623815</v>
          </cell>
          <cell r="D6">
            <v>4272.8995722009968</v>
          </cell>
          <cell r="E6">
            <v>4845.8995722009968</v>
          </cell>
          <cell r="F6">
            <v>96930.537999161359</v>
          </cell>
        </row>
        <row r="7">
          <cell r="A7" t="str">
            <v>B-POL-QT</v>
          </cell>
          <cell r="B7" t="str">
            <v>Beds</v>
          </cell>
          <cell r="C7">
            <v>3296.9846357249899</v>
          </cell>
          <cell r="D7">
            <v>3762.9363919749903</v>
          </cell>
          <cell r="E7">
            <v>4103.9363919749903</v>
          </cell>
          <cell r="F7">
            <v>88892.409121884397</v>
          </cell>
        </row>
        <row r="8">
          <cell r="A8" t="str">
            <v>B-POL-SN</v>
          </cell>
          <cell r="B8" t="str">
            <v>Beds</v>
          </cell>
          <cell r="C8">
            <v>1773.0175344036195</v>
          </cell>
          <cell r="D8">
            <v>2109.8746415786195</v>
          </cell>
          <cell r="E8">
            <v>2367.8746415786195</v>
          </cell>
          <cell r="F8">
            <v>45488.306226321787</v>
          </cell>
        </row>
        <row r="9">
          <cell r="A9" t="str">
            <v>B-RVB-D30N</v>
          </cell>
          <cell r="B9" t="str">
            <v>Beds</v>
          </cell>
          <cell r="C9">
            <v>1237.8409453030947</v>
          </cell>
          <cell r="D9">
            <v>1456.3832747033573</v>
          </cell>
          <cell r="E9">
            <v>1456.3832747033573</v>
          </cell>
          <cell r="F9">
            <v>31399.326468617983</v>
          </cell>
        </row>
        <row r="10">
          <cell r="A10" t="str">
            <v>B-RVB-D36N</v>
          </cell>
          <cell r="B10" t="str">
            <v>Beds</v>
          </cell>
          <cell r="C10">
            <v>1428.9529670372697</v>
          </cell>
          <cell r="D10">
            <v>1659.4478000372696</v>
          </cell>
          <cell r="E10">
            <v>1789.9878000372696</v>
          </cell>
          <cell r="F10">
            <v>38076.547330500107</v>
          </cell>
        </row>
        <row r="11">
          <cell r="A11" t="str">
            <v>B-RVB-KN</v>
          </cell>
          <cell r="B11" t="str">
            <v>Beds</v>
          </cell>
          <cell r="C11">
            <v>2686.4234086293141</v>
          </cell>
          <cell r="D11">
            <v>3086.8173036293142</v>
          </cell>
          <cell r="E11">
            <v>3349.8173036293142</v>
          </cell>
          <cell r="F11">
            <v>75934.497445521003</v>
          </cell>
        </row>
        <row r="12">
          <cell r="A12" t="str">
            <v>B-RVB-QN</v>
          </cell>
          <cell r="B12" t="str">
            <v>Beds</v>
          </cell>
          <cell r="C12">
            <v>2377.7733572635643</v>
          </cell>
          <cell r="D12">
            <v>2727.3907259885646</v>
          </cell>
          <cell r="E12">
            <v>2987.3907259885646</v>
          </cell>
          <cell r="F12">
            <v>66534.279130438357</v>
          </cell>
        </row>
        <row r="13">
          <cell r="A13" t="str">
            <v>B-RVB-SN</v>
          </cell>
          <cell r="B13" t="str">
            <v>Beds</v>
          </cell>
          <cell r="C13">
            <v>1822.0890362504997</v>
          </cell>
          <cell r="D13">
            <v>2063.5329404504996</v>
          </cell>
          <cell r="E13">
            <v>2254.0729404504996</v>
          </cell>
          <cell r="F13">
            <v>48789.854575387653</v>
          </cell>
        </row>
        <row r="14">
          <cell r="A14" t="str">
            <v>BT-CO</v>
          </cell>
          <cell r="B14" t="str">
            <v>Side Tables</v>
          </cell>
          <cell r="C14">
            <v>274.73634014000004</v>
          </cell>
          <cell r="D14">
            <v>321.91866994000003</v>
          </cell>
          <cell r="E14">
            <v>366.91866994000003</v>
          </cell>
          <cell r="F14">
            <v>7107.2203088797032</v>
          </cell>
        </row>
        <row r="15">
          <cell r="A15" t="str">
            <v>BT-NHE</v>
          </cell>
          <cell r="B15" t="str">
            <v>Side Tables</v>
          </cell>
          <cell r="C15">
            <v>219.90092272199993</v>
          </cell>
          <cell r="D15">
            <v>239.69478557199994</v>
          </cell>
          <cell r="E15">
            <v>274.69478557199994</v>
          </cell>
          <cell r="F15">
            <v>5209.0691174596495</v>
          </cell>
        </row>
        <row r="16">
          <cell r="A16" t="str">
            <v>BT-OL</v>
          </cell>
          <cell r="B16" t="str">
            <v>Side Tables</v>
          </cell>
          <cell r="C16">
            <v>283.69372641500001</v>
          </cell>
          <cell r="D16">
            <v>336.41181221500005</v>
          </cell>
          <cell r="E16">
            <v>377.41181221500005</v>
          </cell>
          <cell r="F16">
            <v>7783.6251304826264</v>
          </cell>
        </row>
        <row r="17">
          <cell r="A17" t="str">
            <v>BT-OL-D</v>
          </cell>
          <cell r="B17" t="str">
            <v>Side Tables</v>
          </cell>
          <cell r="C17">
            <v>378.36562462499995</v>
          </cell>
          <cell r="D17">
            <v>545.79246162499987</v>
          </cell>
          <cell r="E17">
            <v>586.79246162499987</v>
          </cell>
          <cell r="F17">
            <v>10400.57520519844</v>
          </cell>
        </row>
        <row r="18">
          <cell r="A18" t="str">
            <v>BT-OL-D (old)</v>
          </cell>
          <cell r="B18" t="str">
            <v>Side Tables</v>
          </cell>
          <cell r="C18">
            <v>443.28246256925001</v>
          </cell>
          <cell r="D18">
            <v>516.84529344924999</v>
          </cell>
          <cell r="E18">
            <v>557.84529344924999</v>
          </cell>
          <cell r="F18">
            <v>10595.523373048411</v>
          </cell>
        </row>
        <row r="19">
          <cell r="A19" t="str">
            <v>CH-FXA-MP</v>
          </cell>
          <cell r="B19" t="str">
            <v>Chair</v>
          </cell>
          <cell r="C19">
            <v>3224</v>
          </cell>
          <cell r="D19">
            <v>3262.6271110787925</v>
          </cell>
          <cell r="E19">
            <v>3342.6271110787925</v>
          </cell>
          <cell r="F19">
            <v>16633.053454190584</v>
          </cell>
        </row>
        <row r="20">
          <cell r="A20" t="str">
            <v>CH-PLI-ME</v>
          </cell>
          <cell r="B20" t="str">
            <v>Chair</v>
          </cell>
          <cell r="C20">
            <v>1647.5</v>
          </cell>
          <cell r="D20">
            <v>1690.5294914675626</v>
          </cell>
          <cell r="E20">
            <v>1770.5294914675626</v>
          </cell>
          <cell r="F20">
            <v>11463.678709068985</v>
          </cell>
        </row>
        <row r="21">
          <cell r="A21" t="str">
            <v>CH-SYN-ME</v>
          </cell>
          <cell r="B21" t="str">
            <v>Chair</v>
          </cell>
          <cell r="C21">
            <v>1647.5</v>
          </cell>
          <cell r="D21">
            <v>1608.5294914675626</v>
          </cell>
          <cell r="E21">
            <v>1688.5294914675626</v>
          </cell>
          <cell r="F21">
            <v>10002</v>
          </cell>
        </row>
        <row r="22">
          <cell r="A22" t="str">
            <v>CH-SYN-MP</v>
          </cell>
          <cell r="B22" t="str">
            <v>Chair</v>
          </cell>
          <cell r="C22">
            <v>1647.5</v>
          </cell>
          <cell r="D22">
            <v>1690.5294914675626</v>
          </cell>
          <cell r="E22">
            <v>1770.5294914675626</v>
          </cell>
          <cell r="F22">
            <v>11364.615384615385</v>
          </cell>
        </row>
        <row r="23">
          <cell r="A23" t="str">
            <v>CH-ZLO-ME</v>
          </cell>
          <cell r="B23" t="str">
            <v>Chair</v>
          </cell>
          <cell r="C23">
            <v>1647.5</v>
          </cell>
          <cell r="D23">
            <v>1690.5294914675626</v>
          </cell>
          <cell r="E23">
            <v>1770.5294914675626</v>
          </cell>
          <cell r="F23">
            <v>11364.615384615385</v>
          </cell>
        </row>
        <row r="24">
          <cell r="A24" t="str">
            <v>CH-ZLO-MP</v>
          </cell>
          <cell r="B24" t="str">
            <v>Chair</v>
          </cell>
          <cell r="C24">
            <v>1647.5</v>
          </cell>
          <cell r="D24">
            <v>1690.5294914675626</v>
          </cell>
          <cell r="E24">
            <v>1770.5294914675626</v>
          </cell>
          <cell r="F24">
            <v>11364.615384615385</v>
          </cell>
        </row>
        <row r="25">
          <cell r="A25" t="str">
            <v>CT-ATD</v>
          </cell>
          <cell r="B25" t="str">
            <v>Centre Table</v>
          </cell>
          <cell r="C25">
            <v>393.36650398124999</v>
          </cell>
          <cell r="D25">
            <v>491.08569648125001</v>
          </cell>
          <cell r="E25">
            <v>581.58569648125001</v>
          </cell>
          <cell r="F25">
            <v>11122.30561407401</v>
          </cell>
        </row>
        <row r="26">
          <cell r="A26" t="str">
            <v>CT-DOV</v>
          </cell>
          <cell r="B26" t="str">
            <v>Centre Table</v>
          </cell>
          <cell r="C26">
            <v>895.92952443125012</v>
          </cell>
          <cell r="D26">
            <v>1098.5136684312502</v>
          </cell>
          <cell r="E26">
            <v>1193.5136684312502</v>
          </cell>
          <cell r="F26">
            <v>24564.714758989834</v>
          </cell>
        </row>
        <row r="27">
          <cell r="A27" t="str">
            <v>CT-DOV</v>
          </cell>
          <cell r="B27" t="str">
            <v>Centre Table</v>
          </cell>
          <cell r="C27">
            <v>895.92952443125012</v>
          </cell>
          <cell r="D27">
            <v>1098.5136684312502</v>
          </cell>
          <cell r="E27">
            <v>1193.5136684312502</v>
          </cell>
          <cell r="F27">
            <v>24564.714758989834</v>
          </cell>
        </row>
        <row r="28">
          <cell r="A28" t="str">
            <v>CT-ETE</v>
          </cell>
          <cell r="B28" t="str">
            <v>Centre Table</v>
          </cell>
          <cell r="C28">
            <v>443.92651317500003</v>
          </cell>
          <cell r="D28">
            <v>562.23692417500001</v>
          </cell>
          <cell r="E28">
            <v>641.23692417500001</v>
          </cell>
          <cell r="F28">
            <v>12803.057498248831</v>
          </cell>
        </row>
        <row r="29">
          <cell r="A29" t="str">
            <v>CT-GSE-RT</v>
          </cell>
          <cell r="B29" t="str">
            <v>Centre Table</v>
          </cell>
          <cell r="C29">
            <v>203.0343792228</v>
          </cell>
          <cell r="D29">
            <v>369.60400822280002</v>
          </cell>
          <cell r="E29">
            <v>445.60400822280002</v>
          </cell>
          <cell r="F29">
            <v>7254.212508519955</v>
          </cell>
        </row>
        <row r="30">
          <cell r="A30" t="str">
            <v>CT-GSE-RT2</v>
          </cell>
          <cell r="B30" t="str">
            <v>Centre Table</v>
          </cell>
          <cell r="C30">
            <v>334.44646151370006</v>
          </cell>
          <cell r="D30">
            <v>584.91154226435617</v>
          </cell>
          <cell r="E30">
            <v>660.91154226435617</v>
          </cell>
          <cell r="F30">
            <v>13410.999296879969</v>
          </cell>
        </row>
        <row r="31">
          <cell r="A31" t="str">
            <v>CT-GSE-SQ</v>
          </cell>
          <cell r="B31" t="str">
            <v>Centre Table</v>
          </cell>
          <cell r="C31">
            <v>228.15718326249998</v>
          </cell>
          <cell r="D31">
            <v>398.04865126249996</v>
          </cell>
          <cell r="E31">
            <v>486.04865126249996</v>
          </cell>
          <cell r="F31">
            <v>8442.8719166286392</v>
          </cell>
        </row>
        <row r="32">
          <cell r="A32" t="str">
            <v>CT-GSE-SQ2</v>
          </cell>
          <cell r="B32" t="str">
            <v>Centre Table</v>
          </cell>
          <cell r="C32">
            <v>363.37025082500003</v>
          </cell>
          <cell r="D32">
            <v>604.70339882500002</v>
          </cell>
          <cell r="E32">
            <v>692.70339882500002</v>
          </cell>
          <cell r="F32">
            <v>10198.695171237458</v>
          </cell>
        </row>
        <row r="33">
          <cell r="A33" t="str">
            <v>CT-GSE-SQ2</v>
          </cell>
          <cell r="B33" t="str">
            <v>Centre Table</v>
          </cell>
          <cell r="C33">
            <v>363.37025082500003</v>
          </cell>
          <cell r="D33">
            <v>604.70339882500002</v>
          </cell>
          <cell r="E33">
            <v>692.70339882500002</v>
          </cell>
          <cell r="F33">
            <v>10198.695171237458</v>
          </cell>
        </row>
        <row r="34">
          <cell r="A34" t="str">
            <v>CT-KV-RT</v>
          </cell>
          <cell r="B34" t="str">
            <v>Centre Table</v>
          </cell>
          <cell r="C34">
            <v>501.40944815650005</v>
          </cell>
          <cell r="D34">
            <v>663.52912565650001</v>
          </cell>
          <cell r="E34">
            <v>750.52912565650001</v>
          </cell>
          <cell r="F34">
            <v>14299.475578946307</v>
          </cell>
        </row>
        <row r="35">
          <cell r="A35" t="str">
            <v>CT-KV-SQ</v>
          </cell>
          <cell r="B35" t="str">
            <v>Centre Table</v>
          </cell>
          <cell r="C35">
            <v>798.08250055999997</v>
          </cell>
          <cell r="D35">
            <v>996.00346556</v>
          </cell>
          <cell r="E35">
            <v>1104.00346556</v>
          </cell>
          <cell r="F35">
            <v>21253.625349200964</v>
          </cell>
        </row>
        <row r="36">
          <cell r="A36" t="str">
            <v>CT-LE</v>
          </cell>
          <cell r="B36" t="str">
            <v>Centre Table</v>
          </cell>
          <cell r="C36">
            <v>422.64068381250001</v>
          </cell>
          <cell r="D36">
            <v>524.59378381249996</v>
          </cell>
          <cell r="E36">
            <v>602.09378381249996</v>
          </cell>
          <cell r="F36">
            <v>12116.921702081152</v>
          </cell>
        </row>
        <row r="37">
          <cell r="A37" t="str">
            <v>CT-MT-RO</v>
          </cell>
          <cell r="B37" t="str">
            <v>Centre Table</v>
          </cell>
          <cell r="C37">
            <v>171.12208411560005</v>
          </cell>
          <cell r="D37">
            <v>327.29149849060002</v>
          </cell>
          <cell r="E37">
            <v>469.29149849060002</v>
          </cell>
          <cell r="F37">
            <v>5698.3482375778076</v>
          </cell>
        </row>
        <row r="38">
          <cell r="A38" t="str">
            <v>CT-MT-RT</v>
          </cell>
          <cell r="B38" t="str">
            <v>Centre Table</v>
          </cell>
          <cell r="C38">
            <v>158.4277775205</v>
          </cell>
          <cell r="D38">
            <v>333.16272752050003</v>
          </cell>
          <cell r="E38">
            <v>442.16272752050003</v>
          </cell>
          <cell r="F38">
            <v>6248.8929366131651</v>
          </cell>
        </row>
        <row r="39">
          <cell r="A39" t="str">
            <v>CT-MT-SQ</v>
          </cell>
          <cell r="B39" t="str">
            <v>Centre Table</v>
          </cell>
          <cell r="C39">
            <v>214.56457225</v>
          </cell>
          <cell r="D39">
            <v>391.87604024999996</v>
          </cell>
          <cell r="E39">
            <v>507.87604024999996</v>
          </cell>
          <cell r="F39">
            <v>8183.3621166286393</v>
          </cell>
        </row>
        <row r="40">
          <cell r="A40" t="str">
            <v>CT-NO-RT</v>
          </cell>
          <cell r="B40" t="str">
            <v>Centre Table</v>
          </cell>
          <cell r="C40">
            <v>407.9843513175</v>
          </cell>
          <cell r="D40">
            <v>474.90071761750005</v>
          </cell>
          <cell r="E40">
            <v>534.90071761750005</v>
          </cell>
          <cell r="F40">
            <v>11390.046248423392</v>
          </cell>
        </row>
        <row r="41">
          <cell r="A41" t="str">
            <v>CT-OL</v>
          </cell>
          <cell r="B41" t="str">
            <v>Centre Table</v>
          </cell>
          <cell r="C41">
            <v>431.32657543250002</v>
          </cell>
          <cell r="D41">
            <v>485.93673493250003</v>
          </cell>
          <cell r="E41">
            <v>564.93673493250003</v>
          </cell>
          <cell r="F41">
            <v>11922.782932792434</v>
          </cell>
        </row>
        <row r="42">
          <cell r="A42" t="str">
            <v>CT-OSN-RT</v>
          </cell>
          <cell r="B42" t="str">
            <v>Centre Table</v>
          </cell>
          <cell r="C42">
            <v>319.08849169874998</v>
          </cell>
          <cell r="D42">
            <v>380.75901869874997</v>
          </cell>
          <cell r="E42">
            <v>469.75901869874997</v>
          </cell>
          <cell r="F42">
            <v>8741.3294760605713</v>
          </cell>
        </row>
        <row r="43">
          <cell r="A43" t="str">
            <v>CT-SH</v>
          </cell>
          <cell r="B43" t="str">
            <v>Centre Table</v>
          </cell>
          <cell r="C43">
            <v>499.18112947250006</v>
          </cell>
          <cell r="D43">
            <v>565.4858644725</v>
          </cell>
          <cell r="E43">
            <v>640.4858644725</v>
          </cell>
          <cell r="F43">
            <v>14382.505057238764</v>
          </cell>
        </row>
        <row r="44">
          <cell r="A44" t="str">
            <v>CT-SY</v>
          </cell>
          <cell r="B44" t="str">
            <v>Centre Table</v>
          </cell>
          <cell r="C44">
            <v>415.03009270125006</v>
          </cell>
          <cell r="D44">
            <v>526.98827320125008</v>
          </cell>
          <cell r="E44">
            <v>614.48827320125008</v>
          </cell>
          <cell r="F44">
            <v>12249.62985488095</v>
          </cell>
        </row>
        <row r="45">
          <cell r="A45" t="str">
            <v>CT-TLY</v>
          </cell>
          <cell r="B45" t="str">
            <v>Centre Table</v>
          </cell>
          <cell r="C45">
            <v>430.43188342000002</v>
          </cell>
          <cell r="D45">
            <v>504.74181341999997</v>
          </cell>
          <cell r="E45">
            <v>568.74181341999997</v>
          </cell>
          <cell r="F45">
            <v>12105.150743689313</v>
          </cell>
        </row>
        <row r="46">
          <cell r="A46" t="str">
            <v>CT-TR-RT</v>
          </cell>
          <cell r="B46" t="str">
            <v>Centre Table</v>
          </cell>
          <cell r="C46">
            <v>441.97240251000005</v>
          </cell>
          <cell r="D46">
            <v>563.31245251000007</v>
          </cell>
          <cell r="E46">
            <v>649.31245251000007</v>
          </cell>
          <cell r="F46">
            <v>12717.612862476901</v>
          </cell>
        </row>
        <row r="47">
          <cell r="A47" t="str">
            <v>CT-TYU</v>
          </cell>
          <cell r="B47" t="str">
            <v>Centre Table</v>
          </cell>
          <cell r="C47">
            <v>355.09880339999995</v>
          </cell>
          <cell r="D47">
            <v>383.14044339999992</v>
          </cell>
          <cell r="E47">
            <v>441.14044339999992</v>
          </cell>
          <cell r="F47">
            <v>9624.5684530652543</v>
          </cell>
        </row>
        <row r="48">
          <cell r="A48" t="str">
            <v>CT-TYU-S</v>
          </cell>
          <cell r="B48" t="str">
            <v>Centre Table</v>
          </cell>
          <cell r="C48">
            <v>355.09880339999995</v>
          </cell>
          <cell r="D48">
            <v>454.39320339999995</v>
          </cell>
          <cell r="E48">
            <v>454.69320339999996</v>
          </cell>
          <cell r="F48">
            <v>8884.2558246005192</v>
          </cell>
        </row>
        <row r="49">
          <cell r="A49" t="str">
            <v>CT-VC</v>
          </cell>
          <cell r="B49" t="str">
            <v>Centre Table</v>
          </cell>
          <cell r="C49">
            <v>578.89843250000013</v>
          </cell>
          <cell r="D49">
            <v>677.74513250000018</v>
          </cell>
          <cell r="E49">
            <v>747.74513250000018</v>
          </cell>
          <cell r="F49">
            <v>16271.489498488272</v>
          </cell>
        </row>
        <row r="50">
          <cell r="A50" t="str">
            <v>DC-CLV</v>
          </cell>
          <cell r="B50" t="str">
            <v>Chest of Drawers</v>
          </cell>
          <cell r="C50">
            <v>1660.0974349808</v>
          </cell>
          <cell r="D50">
            <v>2302.3486488808003</v>
          </cell>
          <cell r="E50">
            <v>2391.3486488808003</v>
          </cell>
          <cell r="F50">
            <v>41163.173083204521</v>
          </cell>
        </row>
        <row r="51">
          <cell r="A51" t="str">
            <v>DC-MYN-LA</v>
          </cell>
          <cell r="B51" t="str">
            <v>Chest of Drawers</v>
          </cell>
          <cell r="C51">
            <v>2804.6411692320999</v>
          </cell>
          <cell r="D51">
            <v>4057.4973662320999</v>
          </cell>
          <cell r="E51">
            <v>4243.4973662320999</v>
          </cell>
          <cell r="F51">
            <v>71979.841162356373</v>
          </cell>
        </row>
        <row r="52">
          <cell r="A52" t="str">
            <v>DC-MYN-ST</v>
          </cell>
          <cell r="B52" t="str">
            <v>Chest of Drawers</v>
          </cell>
          <cell r="C52">
            <v>1692.0539593707999</v>
          </cell>
          <cell r="D52">
            <v>2354.4144618708001</v>
          </cell>
          <cell r="E52">
            <v>2479.4144618708001</v>
          </cell>
          <cell r="F52">
            <v>41386.605288402687</v>
          </cell>
        </row>
        <row r="53">
          <cell r="A53" t="str">
            <v>DT-HE-4</v>
          </cell>
          <cell r="B53" t="str">
            <v>Dressing Tables</v>
          </cell>
          <cell r="C53">
            <v>528.82321566341989</v>
          </cell>
          <cell r="D53">
            <v>1378.67846316342</v>
          </cell>
          <cell r="E53">
            <v>1558.67846316342</v>
          </cell>
          <cell r="F53">
            <v>18478.086697902858</v>
          </cell>
        </row>
        <row r="54">
          <cell r="A54" t="str">
            <v>DT-HE-4 (old)</v>
          </cell>
          <cell r="B54" t="str">
            <v>Dressing Tables</v>
          </cell>
          <cell r="C54">
            <v>524.52432588720001</v>
          </cell>
          <cell r="D54">
            <v>1366.2465483872002</v>
          </cell>
          <cell r="E54">
            <v>1546.2465483872002</v>
          </cell>
          <cell r="F54">
            <v>18079.935543520176</v>
          </cell>
        </row>
        <row r="55">
          <cell r="A55" t="str">
            <v>FT-EDR</v>
          </cell>
          <cell r="B55" t="str">
            <v>Side Tables</v>
          </cell>
          <cell r="C55">
            <v>354.57827487750001</v>
          </cell>
          <cell r="D55">
            <v>423.9952448775</v>
          </cell>
          <cell r="E55">
            <v>491.9952448775</v>
          </cell>
          <cell r="F55">
            <v>9315.0588805046955</v>
          </cell>
        </row>
        <row r="56">
          <cell r="A56" t="str">
            <v>GH-IS</v>
          </cell>
          <cell r="B56" t="str">
            <v>Remote holder</v>
          </cell>
          <cell r="C56">
            <v>58.590746657999979</v>
          </cell>
          <cell r="D56">
            <v>67.639194157999981</v>
          </cell>
          <cell r="E56">
            <v>83.639194157999981</v>
          </cell>
          <cell r="F56">
            <v>1394.2227803582309</v>
          </cell>
        </row>
        <row r="57">
          <cell r="A57" t="str">
            <v>KC-OPT-1N</v>
          </cell>
          <cell r="B57" t="str">
            <v>Kitchen Cabinet</v>
          </cell>
          <cell r="C57">
            <v>579.27354389325001</v>
          </cell>
          <cell r="D57">
            <v>763.70047829324994</v>
          </cell>
          <cell r="E57">
            <v>813.70047829324994</v>
          </cell>
          <cell r="F57">
            <v>16380.480094766423</v>
          </cell>
        </row>
        <row r="58">
          <cell r="A58" t="str">
            <v>KC-OPT-1S</v>
          </cell>
          <cell r="B58" t="str">
            <v>Kitchen Cabinet</v>
          </cell>
          <cell r="C58">
            <v>646.24882348450001</v>
          </cell>
          <cell r="D58">
            <v>861.2825084845</v>
          </cell>
          <cell r="E58">
            <v>927.2825084845</v>
          </cell>
          <cell r="F58">
            <v>18373.398781800784</v>
          </cell>
        </row>
        <row r="59">
          <cell r="A59" t="str">
            <v>KC-OPT-2N</v>
          </cell>
          <cell r="B59" t="str">
            <v>Kitchen Cabinet</v>
          </cell>
          <cell r="C59">
            <v>1158.5470877865</v>
          </cell>
          <cell r="D59">
            <v>1527.4009565864999</v>
          </cell>
          <cell r="E59">
            <v>1627.4009565864999</v>
          </cell>
          <cell r="F59">
            <v>32760.960189532845</v>
          </cell>
        </row>
        <row r="60">
          <cell r="A60" t="str">
            <v>KC-OPT-2S</v>
          </cell>
          <cell r="B60" t="str">
            <v>Kitchen Cabinet</v>
          </cell>
          <cell r="C60">
            <v>1292.497646969</v>
          </cell>
          <cell r="D60">
            <v>1722.565016969</v>
          </cell>
          <cell r="E60">
            <v>1854.565016969</v>
          </cell>
          <cell r="F60">
            <v>36746.797563601569</v>
          </cell>
        </row>
        <row r="61">
          <cell r="A61" t="str">
            <v>KC-SRN</v>
          </cell>
          <cell r="B61" t="str">
            <v>Kitchen Cabinet</v>
          </cell>
          <cell r="C61">
            <v>1575.2699280590627</v>
          </cell>
          <cell r="D61">
            <v>2014.2737458090628</v>
          </cell>
          <cell r="E61">
            <v>2134.2737458090628</v>
          </cell>
          <cell r="F61">
            <v>41828.895402398004</v>
          </cell>
        </row>
        <row r="62">
          <cell r="A62" t="str">
            <v>KH-EDL</v>
          </cell>
          <cell r="B62" t="str">
            <v>Key holder</v>
          </cell>
          <cell r="C62">
            <v>12.669766199999998</v>
          </cell>
          <cell r="D62">
            <v>22.554646199999993</v>
          </cell>
          <cell r="E62">
            <v>37.554646199999993</v>
          </cell>
          <cell r="F62">
            <v>433.31097707868662</v>
          </cell>
        </row>
        <row r="63">
          <cell r="A63" t="str">
            <v>KH-LKN-6</v>
          </cell>
          <cell r="B63" t="str">
            <v>Key holder</v>
          </cell>
          <cell r="C63">
            <v>34.304893409999998</v>
          </cell>
          <cell r="D63">
            <v>53.203552627877087</v>
          </cell>
          <cell r="E63">
            <v>53.203552627877087</v>
          </cell>
          <cell r="F63">
            <v>628.41577865384602</v>
          </cell>
        </row>
        <row r="64">
          <cell r="A64" t="str">
            <v>KH-RMT</v>
          </cell>
          <cell r="B64" t="str">
            <v>Key holder</v>
          </cell>
          <cell r="C64">
            <v>15.95787219</v>
          </cell>
          <cell r="D64">
            <v>21.537872190000002</v>
          </cell>
          <cell r="E64">
            <v>32.537872190000002</v>
          </cell>
          <cell r="F64">
            <v>405.00206102625418</v>
          </cell>
        </row>
        <row r="65">
          <cell r="A65" t="str">
            <v>KHS-SW-W1</v>
          </cell>
          <cell r="B65" t="str">
            <v>Key holder</v>
          </cell>
          <cell r="C65">
            <v>29.097450923225004</v>
          </cell>
          <cell r="D65">
            <v>104.00662592322502</v>
          </cell>
          <cell r="E65">
            <v>114.00662592322502</v>
          </cell>
          <cell r="F65">
            <v>817.80676456210892</v>
          </cell>
        </row>
        <row r="66">
          <cell r="A66" t="str">
            <v>KH-SUT-10</v>
          </cell>
          <cell r="B66" t="str">
            <v>Key holder</v>
          </cell>
          <cell r="C66">
            <v>13.303254509999997</v>
          </cell>
          <cell r="D66">
            <v>33.151225728575412</v>
          </cell>
          <cell r="E66">
            <v>44.151225728575412</v>
          </cell>
          <cell r="F66">
            <v>379.96304167319875</v>
          </cell>
        </row>
        <row r="67">
          <cell r="A67" t="str">
            <v>KH-SUT-12</v>
          </cell>
          <cell r="B67" t="str">
            <v>Key holder</v>
          </cell>
          <cell r="C67">
            <v>13.303254509999997</v>
          </cell>
          <cell r="D67">
            <v>34.391225728575414</v>
          </cell>
          <cell r="E67">
            <v>45.391225728575414</v>
          </cell>
          <cell r="F67">
            <v>382.56304167319871</v>
          </cell>
        </row>
        <row r="68">
          <cell r="A68" t="str">
            <v>KH-SUT-12</v>
          </cell>
          <cell r="B68" t="str">
            <v>Key holder</v>
          </cell>
          <cell r="C68">
            <v>13.303254509999997</v>
          </cell>
          <cell r="D68">
            <v>34.391225728575414</v>
          </cell>
          <cell r="E68">
            <v>45.391225728575414</v>
          </cell>
          <cell r="F68">
            <v>382.56304167319871</v>
          </cell>
        </row>
        <row r="69">
          <cell r="A69" t="str">
            <v>KH-SUT-21</v>
          </cell>
          <cell r="B69" t="str">
            <v>Key holder</v>
          </cell>
          <cell r="C69">
            <v>27.149498999999999</v>
          </cell>
          <cell r="D69">
            <v>55.838825797053005</v>
          </cell>
          <cell r="E69">
            <v>77.838825797053005</v>
          </cell>
          <cell r="F69">
            <v>761.58765562968563</v>
          </cell>
        </row>
        <row r="70">
          <cell r="A70" t="str">
            <v>KH-SUT-24</v>
          </cell>
          <cell r="B70" t="str">
            <v>Key holder</v>
          </cell>
          <cell r="C70">
            <v>27.149498999999999</v>
          </cell>
          <cell r="D70">
            <v>52.106591422053</v>
          </cell>
          <cell r="E70">
            <v>74.106591422053</v>
          </cell>
          <cell r="F70">
            <v>739.89410761396653</v>
          </cell>
        </row>
        <row r="71">
          <cell r="A71" t="str">
            <v>KH-SUT-5</v>
          </cell>
          <cell r="B71" t="str">
            <v>Key holder</v>
          </cell>
          <cell r="C71">
            <v>5.0679064799999987</v>
          </cell>
          <cell r="D71">
            <v>13.846677988379888</v>
          </cell>
          <cell r="E71">
            <v>21.346677988379888</v>
          </cell>
          <cell r="F71">
            <v>178.01042707139669</v>
          </cell>
        </row>
        <row r="72">
          <cell r="A72" t="str">
            <v>KH-SUT-6</v>
          </cell>
          <cell r="B72" t="str">
            <v>Key holder</v>
          </cell>
          <cell r="C72">
            <v>5.0679064799999987</v>
          </cell>
          <cell r="D72">
            <v>14.466677988379889</v>
          </cell>
          <cell r="E72">
            <v>21.966677988379889</v>
          </cell>
          <cell r="F72">
            <v>179.3104270713967</v>
          </cell>
        </row>
        <row r="73">
          <cell r="A73" t="str">
            <v>KH-SW-W10</v>
          </cell>
          <cell r="B73" t="str">
            <v>Key holder</v>
          </cell>
          <cell r="C73">
            <v>17.575386884999993</v>
          </cell>
          <cell r="D73">
            <v>150.9325607285754</v>
          </cell>
          <cell r="E73">
            <v>161.9325607285754</v>
          </cell>
          <cell r="F73">
            <v>614.20779437532451</v>
          </cell>
        </row>
        <row r="74">
          <cell r="A74" t="str">
            <v>KH-SW-W21</v>
          </cell>
          <cell r="B74" t="str">
            <v>Key holder</v>
          </cell>
          <cell r="C74">
            <v>34.966120499999988</v>
          </cell>
          <cell r="D74">
            <v>305.66928091500404</v>
          </cell>
          <cell r="E74">
            <v>327.66928091500404</v>
          </cell>
          <cell r="F74">
            <v>1336.7127528205128</v>
          </cell>
        </row>
        <row r="75">
          <cell r="A75" t="str">
            <v>KH-SW-WB</v>
          </cell>
          <cell r="B75" t="str">
            <v>Key holder</v>
          </cell>
          <cell r="C75">
            <v>7.1671294799999981</v>
          </cell>
          <cell r="D75">
            <v>79.558861323575428</v>
          </cell>
          <cell r="E75">
            <v>87.058861323575428</v>
          </cell>
          <cell r="F75">
            <v>299.77597948717948</v>
          </cell>
        </row>
        <row r="76">
          <cell r="A76" t="str">
            <v>KH-TO-18</v>
          </cell>
          <cell r="B76" t="str">
            <v>Key holder</v>
          </cell>
          <cell r="C76">
            <v>113.645787719184</v>
          </cell>
          <cell r="D76">
            <v>246.99818422918401</v>
          </cell>
          <cell r="E76">
            <v>279.99818422918401</v>
          </cell>
          <cell r="F76">
            <v>3627.4940792778762</v>
          </cell>
        </row>
        <row r="77">
          <cell r="A77" t="str">
            <v>KH-TO-40</v>
          </cell>
          <cell r="B77" t="str">
            <v>Key holder</v>
          </cell>
          <cell r="C77">
            <v>183.81498496999995</v>
          </cell>
          <cell r="D77">
            <v>349.88567196999998</v>
          </cell>
          <cell r="E77">
            <v>398.88567196999998</v>
          </cell>
          <cell r="F77">
            <v>5462.1560604744172</v>
          </cell>
        </row>
        <row r="78">
          <cell r="A78" t="str">
            <v>KH-TOC-18</v>
          </cell>
          <cell r="B78" t="str">
            <v>Key holder</v>
          </cell>
          <cell r="C78">
            <v>136.889565253</v>
          </cell>
          <cell r="D78">
            <v>278.04679025300004</v>
          </cell>
          <cell r="E78">
            <v>311.04679025300004</v>
          </cell>
          <cell r="F78">
            <v>3123.6970872138768</v>
          </cell>
        </row>
        <row r="79">
          <cell r="A79" t="str">
            <v>KH-TOC-40</v>
          </cell>
          <cell r="B79" t="str">
            <v>Key holder</v>
          </cell>
          <cell r="C79">
            <v>248.28963473799996</v>
          </cell>
          <cell r="D79">
            <v>415.41032173799994</v>
          </cell>
          <cell r="E79">
            <v>464.41032173799994</v>
          </cell>
          <cell r="F79">
            <v>5526.8526293406485</v>
          </cell>
        </row>
        <row r="80">
          <cell r="A80" t="str">
            <v>KH-WLR</v>
          </cell>
          <cell r="B80" t="str">
            <v>Key holder</v>
          </cell>
          <cell r="C80">
            <v>9.9548162999999992</v>
          </cell>
          <cell r="D80">
            <v>24.843576299999995</v>
          </cell>
          <cell r="E80">
            <v>32.343576299999995</v>
          </cell>
          <cell r="F80">
            <v>298.06913791948568</v>
          </cell>
        </row>
        <row r="81">
          <cell r="A81" t="str">
            <v>KR-JSD</v>
          </cell>
          <cell r="B81" t="str">
            <v>Wall Shelves</v>
          </cell>
          <cell r="C81">
            <v>298.92736065000003</v>
          </cell>
          <cell r="D81">
            <v>342.77195874183678</v>
          </cell>
          <cell r="E81">
            <v>378.77195874183678</v>
          </cell>
          <cell r="F81">
            <v>8460.3126341375864</v>
          </cell>
        </row>
        <row r="82">
          <cell r="A82" t="str">
            <v>MD-TNO-L</v>
          </cell>
          <cell r="B82" t="str">
            <v>Microwave Stand</v>
          </cell>
          <cell r="C82">
            <v>360.40927966999999</v>
          </cell>
          <cell r="D82">
            <v>766.1283501206957</v>
          </cell>
          <cell r="E82">
            <v>766.23035012069568</v>
          </cell>
          <cell r="F82">
            <v>12686.037085952152</v>
          </cell>
        </row>
        <row r="83">
          <cell r="A83" t="str">
            <v>MD-TNO-S</v>
          </cell>
          <cell r="B83" t="str">
            <v>Microwave Stand</v>
          </cell>
          <cell r="C83">
            <v>214.88819731000001</v>
          </cell>
          <cell r="D83">
            <v>443.35912193089166</v>
          </cell>
          <cell r="E83">
            <v>496.35912193089166</v>
          </cell>
          <cell r="F83">
            <v>8862.2379666588222</v>
          </cell>
        </row>
        <row r="84">
          <cell r="A84" t="str">
            <v>PF-MIS-RT</v>
          </cell>
          <cell r="B84" t="str">
            <v>TV Unit</v>
          </cell>
          <cell r="C84">
            <v>20.146555640250007</v>
          </cell>
          <cell r="D84">
            <v>325.08968627407558</v>
          </cell>
          <cell r="E84">
            <v>400.08968627407558</v>
          </cell>
          <cell r="F84">
            <v>2353.6135437461539</v>
          </cell>
        </row>
        <row r="85">
          <cell r="A85" t="str">
            <v>PF-NAH-RO</v>
          </cell>
          <cell r="B85" t="str">
            <v>TV Unit</v>
          </cell>
          <cell r="C85">
            <v>23.571957123000004</v>
          </cell>
          <cell r="D85">
            <v>367.54945058291827</v>
          </cell>
          <cell r="E85">
            <v>432.54945058291827</v>
          </cell>
          <cell r="F85">
            <v>1952.2104166461538</v>
          </cell>
        </row>
        <row r="86">
          <cell r="A86" t="str">
            <v>PU-DRV</v>
          </cell>
          <cell r="B86" t="str">
            <v>Shelves</v>
          </cell>
          <cell r="C86">
            <v>183.80096683199997</v>
          </cell>
          <cell r="D86">
            <v>205.26216783199999</v>
          </cell>
          <cell r="E86">
            <v>235.26216783199999</v>
          </cell>
          <cell r="F86">
            <v>4330.184904067286</v>
          </cell>
        </row>
        <row r="87">
          <cell r="A87" t="str">
            <v>PU-SDI-ST</v>
          </cell>
          <cell r="B87" t="str">
            <v>Shelves</v>
          </cell>
          <cell r="C87">
            <v>416.43972565324987</v>
          </cell>
          <cell r="D87">
            <v>496.21252570324987</v>
          </cell>
          <cell r="E87">
            <v>558.21252570324987</v>
          </cell>
          <cell r="F87">
            <v>9279.2606566760678</v>
          </cell>
        </row>
        <row r="88">
          <cell r="A88" t="str">
            <v>PU-SNM</v>
          </cell>
          <cell r="B88" t="str">
            <v>Shelves</v>
          </cell>
          <cell r="C88">
            <v>1587.2859340682876</v>
          </cell>
          <cell r="D88">
            <v>2157.7695505202878</v>
          </cell>
          <cell r="E88">
            <v>2270.2695505202878</v>
          </cell>
          <cell r="F88">
            <v>42499.256150066321</v>
          </cell>
        </row>
        <row r="89">
          <cell r="A89" t="str">
            <v>PU-SUB</v>
          </cell>
          <cell r="B89" t="str">
            <v>Shelves</v>
          </cell>
          <cell r="C89">
            <v>1040.8353785897502</v>
          </cell>
          <cell r="D89">
            <v>1282.1173078397501</v>
          </cell>
          <cell r="E89">
            <v>1385.1173078397501</v>
          </cell>
          <cell r="F89">
            <v>26470.632192055222</v>
          </cell>
        </row>
        <row r="90">
          <cell r="A90" t="str">
            <v>PU-SUB-ST</v>
          </cell>
          <cell r="B90" t="str">
            <v>Shelves</v>
          </cell>
          <cell r="C90">
            <v>542.94650506350013</v>
          </cell>
          <cell r="D90">
            <v>625.34697256350012</v>
          </cell>
          <cell r="E90">
            <v>679.34697256350012</v>
          </cell>
          <cell r="F90">
            <v>13542.88885429999</v>
          </cell>
        </row>
        <row r="91">
          <cell r="A91" t="str">
            <v>RH-OT</v>
          </cell>
          <cell r="B91" t="str">
            <v>Shelves</v>
          </cell>
          <cell r="C91">
            <v>82.014476731199991</v>
          </cell>
          <cell r="D91">
            <v>89.577104731199995</v>
          </cell>
          <cell r="E91">
            <v>101.5771047312</v>
          </cell>
          <cell r="F91">
            <v>911.18084310444908</v>
          </cell>
        </row>
        <row r="92">
          <cell r="A92" t="str">
            <v>RH-RL</v>
          </cell>
          <cell r="B92" t="str">
            <v>Shelves</v>
          </cell>
          <cell r="C92">
            <v>39.935523671999995</v>
          </cell>
          <cell r="D92">
            <v>70.472311172000005</v>
          </cell>
          <cell r="E92">
            <v>82.472311172000005</v>
          </cell>
          <cell r="F92">
            <v>748.98090852842472</v>
          </cell>
        </row>
        <row r="93">
          <cell r="A93" t="str">
            <v>RT-ALY</v>
          </cell>
          <cell r="B93" t="str">
            <v>Dressing Tables</v>
          </cell>
          <cell r="C93">
            <v>857.20878250579995</v>
          </cell>
          <cell r="D93">
            <v>1501.265631635968</v>
          </cell>
          <cell r="E93">
            <v>1646.265631635968</v>
          </cell>
          <cell r="F93">
            <v>26948.418262830968</v>
          </cell>
        </row>
        <row r="94">
          <cell r="A94" t="str">
            <v>RT-AT</v>
          </cell>
          <cell r="B94" t="str">
            <v>Dressing Tables</v>
          </cell>
          <cell r="C94">
            <v>532.3247917842499</v>
          </cell>
          <cell r="D94">
            <v>976.79388304086001</v>
          </cell>
          <cell r="E94">
            <v>1056.79388304086</v>
          </cell>
          <cell r="F94">
            <v>17942.921826484497</v>
          </cell>
        </row>
        <row r="95">
          <cell r="A95" t="str">
            <v>RT-DR</v>
          </cell>
          <cell r="B95" t="str">
            <v>Dressing Tables</v>
          </cell>
          <cell r="C95">
            <v>1445.5347502964746</v>
          </cell>
          <cell r="D95">
            <v>2403.6872137766427</v>
          </cell>
          <cell r="E95">
            <v>2587.6872137766427</v>
          </cell>
          <cell r="F95">
            <v>40911.71233916434</v>
          </cell>
        </row>
        <row r="96">
          <cell r="A96" t="str">
            <v>RT-FR</v>
          </cell>
          <cell r="B96" t="str">
            <v>Dressing Tables</v>
          </cell>
          <cell r="C96">
            <v>612.62371935500005</v>
          </cell>
          <cell r="D96">
            <v>1173.3753502902714</v>
          </cell>
          <cell r="E96">
            <v>1295.8753502902714</v>
          </cell>
          <cell r="F96">
            <v>17198.006781301923</v>
          </cell>
        </row>
        <row r="97">
          <cell r="A97" t="str">
            <v>RT-FR (old)</v>
          </cell>
          <cell r="B97" t="str">
            <v>Dressing Tables</v>
          </cell>
          <cell r="C97">
            <v>711.20678288300007</v>
          </cell>
          <cell r="D97">
            <v>1355.3420128830001</v>
          </cell>
          <cell r="E97">
            <v>1483.8420128830001</v>
          </cell>
          <cell r="F97">
            <v>24551.649711881088</v>
          </cell>
        </row>
        <row r="98">
          <cell r="A98" t="str">
            <v>RT-RI</v>
          </cell>
          <cell r="B98" t="str">
            <v>Dressing Tables</v>
          </cell>
          <cell r="C98">
            <v>257.55695727968748</v>
          </cell>
          <cell r="D98">
            <v>639.59045272604328</v>
          </cell>
          <cell r="E98">
            <v>727.59045272604328</v>
          </cell>
          <cell r="F98">
            <v>10422.290156443079</v>
          </cell>
        </row>
        <row r="99">
          <cell r="A99" t="str">
            <v>RT-RI-M</v>
          </cell>
          <cell r="B99" t="str">
            <v>Dressing Tables</v>
          </cell>
          <cell r="C99">
            <v>217.98637149059994</v>
          </cell>
          <cell r="D99">
            <v>446.37932071072464</v>
          </cell>
          <cell r="E99">
            <v>528.37932071072464</v>
          </cell>
          <cell r="F99">
            <v>7608.0839796155906</v>
          </cell>
        </row>
        <row r="100">
          <cell r="A100" t="str">
            <v>S-AB</v>
          </cell>
          <cell r="B100" t="str">
            <v xml:space="preserve"> Shelves</v>
          </cell>
          <cell r="C100">
            <v>292.90480121999997</v>
          </cell>
          <cell r="D100">
            <v>340.43749021999997</v>
          </cell>
          <cell r="E100">
            <v>391.43749021999997</v>
          </cell>
          <cell r="F100">
            <v>6772.6695617405094</v>
          </cell>
        </row>
        <row r="101">
          <cell r="A101" t="str">
            <v>S-AE</v>
          </cell>
          <cell r="B101" t="str">
            <v xml:space="preserve"> Shelves</v>
          </cell>
          <cell r="C101">
            <v>620.17055892924998</v>
          </cell>
          <cell r="D101">
            <v>706.43956517924994</v>
          </cell>
          <cell r="E101">
            <v>814.43956517924994</v>
          </cell>
          <cell r="F101">
            <v>15422.690790191107</v>
          </cell>
        </row>
        <row r="102">
          <cell r="A102" t="str">
            <v>S-AE-OLD</v>
          </cell>
          <cell r="B102" t="str">
            <v xml:space="preserve"> Shelves</v>
          </cell>
          <cell r="C102">
            <v>703.4807211292499</v>
          </cell>
          <cell r="D102">
            <v>781.21878112924992</v>
          </cell>
          <cell r="E102">
            <v>889.21878112924992</v>
          </cell>
          <cell r="F102">
            <v>19269.671873322928</v>
          </cell>
        </row>
        <row r="103">
          <cell r="A103" t="str">
            <v>S-AI</v>
          </cell>
          <cell r="B103" t="str">
            <v xml:space="preserve"> Shelves</v>
          </cell>
          <cell r="C103">
            <v>167.64983827204995</v>
          </cell>
          <cell r="D103">
            <v>184.19629127204996</v>
          </cell>
          <cell r="E103">
            <v>229.19629127204996</v>
          </cell>
          <cell r="F103">
            <v>4204.1240120817502</v>
          </cell>
        </row>
        <row r="104">
          <cell r="A104" t="str">
            <v>S-AO</v>
          </cell>
          <cell r="B104" t="str">
            <v xml:space="preserve"> Shelves</v>
          </cell>
          <cell r="C104">
            <v>246.21234305812496</v>
          </cell>
          <cell r="D104">
            <v>275.36670255812493</v>
          </cell>
          <cell r="E104">
            <v>313.86670255812493</v>
          </cell>
          <cell r="F104">
            <v>6316.0555275721217</v>
          </cell>
        </row>
        <row r="105">
          <cell r="A105" t="str">
            <v>S-ATL</v>
          </cell>
          <cell r="B105" t="str">
            <v xml:space="preserve"> Shelves</v>
          </cell>
          <cell r="C105">
            <v>160.49238768750001</v>
          </cell>
          <cell r="D105">
            <v>220.05627718750003</v>
          </cell>
          <cell r="E105">
            <v>254.05627718750003</v>
          </cell>
          <cell r="F105">
            <v>4357.4310745577277</v>
          </cell>
        </row>
        <row r="106">
          <cell r="A106" t="str">
            <v>SB-AA</v>
          </cell>
          <cell r="B106" t="str">
            <v>Wall Shelves</v>
          </cell>
          <cell r="C106">
            <v>64.786058234375005</v>
          </cell>
          <cell r="D106">
            <v>81.359663234375006</v>
          </cell>
          <cell r="E106">
            <v>97.359663234375006</v>
          </cell>
          <cell r="F106">
            <v>1774.5626962033714</v>
          </cell>
        </row>
        <row r="107">
          <cell r="A107" t="str">
            <v>SB-ASG</v>
          </cell>
          <cell r="B107" t="str">
            <v>Wall Shelves</v>
          </cell>
          <cell r="C107">
            <v>653.38820534260003</v>
          </cell>
          <cell r="D107">
            <v>746.11545119260006</v>
          </cell>
          <cell r="E107">
            <v>802.11545119260006</v>
          </cell>
          <cell r="F107">
            <v>17176.268051966297</v>
          </cell>
        </row>
        <row r="108">
          <cell r="A108" t="str">
            <v>SB-AXA-4</v>
          </cell>
          <cell r="B108" t="str">
            <v>Wall Shelves</v>
          </cell>
          <cell r="C108">
            <v>1075.12573836005</v>
          </cell>
          <cell r="D108">
            <v>1134.6367459850501</v>
          </cell>
          <cell r="E108">
            <v>1239.1367459850501</v>
          </cell>
          <cell r="F108">
            <v>26454.093574136034</v>
          </cell>
        </row>
        <row r="109">
          <cell r="A109" t="str">
            <v>SB-AXA-51</v>
          </cell>
          <cell r="B109" t="str">
            <v>Wall Shelves</v>
          </cell>
          <cell r="C109">
            <v>853.25693383499993</v>
          </cell>
          <cell r="D109">
            <v>920.73385308499996</v>
          </cell>
          <cell r="E109">
            <v>1022.733853085</v>
          </cell>
          <cell r="F109">
            <v>22033.168515012447</v>
          </cell>
        </row>
        <row r="110">
          <cell r="A110" t="str">
            <v>SB-AXA-52</v>
          </cell>
          <cell r="B110" t="str">
            <v>Wall Shelves</v>
          </cell>
          <cell r="C110">
            <v>1297.2211180653999</v>
          </cell>
          <cell r="D110">
            <v>1377.7609948653997</v>
          </cell>
          <cell r="E110">
            <v>1488.8609948653996</v>
          </cell>
          <cell r="F110">
            <v>31644.495466324057</v>
          </cell>
        </row>
        <row r="111">
          <cell r="A111" t="str">
            <v>SB-BNA</v>
          </cell>
          <cell r="B111" t="str">
            <v>Wall Shelves</v>
          </cell>
          <cell r="C111">
            <v>705.97060862105002</v>
          </cell>
          <cell r="D111">
            <v>852.01807237104993</v>
          </cell>
          <cell r="E111">
            <v>929.51807237104993</v>
          </cell>
          <cell r="F111">
            <v>18136.028069997614</v>
          </cell>
        </row>
        <row r="112">
          <cell r="A112" t="str">
            <v>SB-CA</v>
          </cell>
          <cell r="B112" t="str">
            <v>Wall Shelves</v>
          </cell>
          <cell r="C112">
            <v>117.58677590625003</v>
          </cell>
          <cell r="D112">
            <v>144.28544090625002</v>
          </cell>
          <cell r="E112">
            <v>166.28544090625002</v>
          </cell>
          <cell r="F112">
            <v>3104.1622961296066</v>
          </cell>
        </row>
        <row r="113">
          <cell r="A113" t="str">
            <v>SB-CB</v>
          </cell>
          <cell r="B113" t="str">
            <v>Wall Shelves</v>
          </cell>
          <cell r="C113">
            <v>885.43202897000003</v>
          </cell>
          <cell r="D113">
            <v>985.50229396999998</v>
          </cell>
          <cell r="E113">
            <v>1055.50229397</v>
          </cell>
          <cell r="F113">
            <v>23401.636356158899</v>
          </cell>
        </row>
        <row r="114">
          <cell r="A114" t="str">
            <v>SB-CS-LA</v>
          </cell>
          <cell r="B114" t="str">
            <v>Wall Shelves</v>
          </cell>
          <cell r="C114">
            <v>323.75389612500004</v>
          </cell>
          <cell r="D114">
            <v>363.52695612500003</v>
          </cell>
          <cell r="E114">
            <v>413.52695612500003</v>
          </cell>
          <cell r="F114">
            <v>8534.5922854865548</v>
          </cell>
        </row>
        <row r="115">
          <cell r="A115" t="str">
            <v>SB-CS-ST</v>
          </cell>
          <cell r="B115" t="str">
            <v>Wall Shelves</v>
          </cell>
          <cell r="C115">
            <v>165.16365912000001</v>
          </cell>
          <cell r="D115">
            <v>183.42295912</v>
          </cell>
          <cell r="E115">
            <v>210.42295912</v>
          </cell>
          <cell r="F115">
            <v>4058.3170730612428</v>
          </cell>
        </row>
        <row r="116">
          <cell r="A116" t="str">
            <v>SB-JMY</v>
          </cell>
          <cell r="B116" t="str">
            <v>Wall Shelves</v>
          </cell>
          <cell r="C116">
            <v>897.4760052048</v>
          </cell>
          <cell r="D116">
            <v>1025.0149342048001</v>
          </cell>
          <cell r="E116">
            <v>1093.0149342048001</v>
          </cell>
          <cell r="F116">
            <v>23715.748126918366</v>
          </cell>
        </row>
        <row r="117">
          <cell r="A117" t="str">
            <v>SB-LGN</v>
          </cell>
          <cell r="B117" t="str">
            <v>Wall Shelves</v>
          </cell>
          <cell r="C117">
            <v>505.61444738000006</v>
          </cell>
          <cell r="D117">
            <v>547.55053088</v>
          </cell>
          <cell r="E117">
            <v>611.55053088</v>
          </cell>
          <cell r="F117">
            <v>13477.950737019974</v>
          </cell>
        </row>
        <row r="118">
          <cell r="A118" t="str">
            <v>SB-MOL</v>
          </cell>
          <cell r="B118" t="str">
            <v>Wall Shelves</v>
          </cell>
          <cell r="C118">
            <v>856.13441953280017</v>
          </cell>
          <cell r="D118">
            <v>964.06461453280008</v>
          </cell>
          <cell r="E118">
            <v>1067.0646145328001</v>
          </cell>
          <cell r="F118">
            <v>22846.763638450302</v>
          </cell>
        </row>
        <row r="119">
          <cell r="A119" t="str">
            <v>SB-MPL</v>
          </cell>
          <cell r="B119" t="str">
            <v>Wall Shelves</v>
          </cell>
          <cell r="C119">
            <v>246.6457294125</v>
          </cell>
          <cell r="D119">
            <v>296.23433216249998</v>
          </cell>
          <cell r="E119">
            <v>333.23433216249998</v>
          </cell>
          <cell r="F119">
            <v>6951.6100452879136</v>
          </cell>
        </row>
        <row r="120">
          <cell r="A120" t="str">
            <v>SB-MXL-LA</v>
          </cell>
          <cell r="B120" t="str">
            <v>Wall Shelves</v>
          </cell>
          <cell r="C120">
            <v>987.90044899362488</v>
          </cell>
          <cell r="D120">
            <v>1039.2635057436248</v>
          </cell>
          <cell r="E120">
            <v>1131.2635057436248</v>
          </cell>
          <cell r="F120">
            <v>26132.606877174585</v>
          </cell>
        </row>
        <row r="121">
          <cell r="A121" t="str">
            <v>SB-MXL-ST</v>
          </cell>
          <cell r="B121" t="str">
            <v>Wall Shelves</v>
          </cell>
          <cell r="C121">
            <v>471.81311162762489</v>
          </cell>
          <cell r="D121">
            <v>516.68434749262485</v>
          </cell>
          <cell r="E121">
            <v>578.68434749262485</v>
          </cell>
          <cell r="F121">
            <v>12145.690285431816</v>
          </cell>
        </row>
        <row r="122">
          <cell r="A122" t="str">
            <v>SB-NBK</v>
          </cell>
          <cell r="B122" t="str">
            <v>Wall Shelves</v>
          </cell>
          <cell r="C122">
            <v>750.87312529200005</v>
          </cell>
          <cell r="D122">
            <v>815.60188329200002</v>
          </cell>
          <cell r="E122">
            <v>911.60188329200002</v>
          </cell>
          <cell r="F122">
            <v>20543.692444866898</v>
          </cell>
        </row>
        <row r="123">
          <cell r="A123" t="str">
            <v>SB-NEW</v>
          </cell>
          <cell r="B123" t="str">
            <v>Wall Shelves</v>
          </cell>
          <cell r="C123">
            <v>484.42343477292502</v>
          </cell>
          <cell r="D123">
            <v>1821.8303610765481</v>
          </cell>
          <cell r="E123">
            <v>1935.8303610765481</v>
          </cell>
          <cell r="F123">
            <v>26884.61886858951</v>
          </cell>
        </row>
        <row r="124">
          <cell r="A124" t="str">
            <v>SB-OVO</v>
          </cell>
          <cell r="B124" t="str">
            <v>Wall Shelves</v>
          </cell>
          <cell r="C124">
            <v>1415.3614411712501</v>
          </cell>
          <cell r="D124">
            <v>1678.2014411712501</v>
          </cell>
          <cell r="E124">
            <v>1758.2014411712501</v>
          </cell>
          <cell r="F124">
            <v>33820.60428461538</v>
          </cell>
        </row>
        <row r="125">
          <cell r="A125" t="str">
            <v>SB-PH</v>
          </cell>
          <cell r="B125" t="str">
            <v>Wall Shelves</v>
          </cell>
          <cell r="C125">
            <v>105.40193391562501</v>
          </cell>
          <cell r="D125">
            <v>123.739766415625</v>
          </cell>
          <cell r="E125">
            <v>127.379766415625</v>
          </cell>
          <cell r="F125">
            <v>2332.4306032629165</v>
          </cell>
        </row>
        <row r="126">
          <cell r="A126" t="str">
            <v>S-BR-4</v>
          </cell>
          <cell r="B126" t="str">
            <v xml:space="preserve"> Shelves</v>
          </cell>
          <cell r="C126">
            <v>153.60220661575002</v>
          </cell>
          <cell r="D126">
            <v>169.84634161575002</v>
          </cell>
          <cell r="E126">
            <v>207.84634161575002</v>
          </cell>
          <cell r="F126">
            <v>3984.0193896555943</v>
          </cell>
        </row>
        <row r="127">
          <cell r="A127" t="str">
            <v>S-BR-6</v>
          </cell>
          <cell r="B127" t="str">
            <v xml:space="preserve"> Shelves</v>
          </cell>
          <cell r="C127">
            <v>227.79266162874998</v>
          </cell>
          <cell r="D127">
            <v>257.93028162874998</v>
          </cell>
          <cell r="E127">
            <v>295.93028162874998</v>
          </cell>
          <cell r="F127">
            <v>5525.9951852930735</v>
          </cell>
        </row>
        <row r="128">
          <cell r="A128" t="str">
            <v>S-BR-F6</v>
          </cell>
          <cell r="B128" t="str">
            <v xml:space="preserve"> Shelves</v>
          </cell>
          <cell r="C128">
            <v>275.38283833200001</v>
          </cell>
          <cell r="D128">
            <v>312.06985208200001</v>
          </cell>
          <cell r="E128">
            <v>364.06985208200001</v>
          </cell>
          <cell r="F128">
            <v>6773.1522147218602</v>
          </cell>
        </row>
        <row r="129">
          <cell r="A129" t="str">
            <v>SB-SDA</v>
          </cell>
          <cell r="B129" t="str">
            <v>Wall Shelves</v>
          </cell>
          <cell r="C129">
            <v>437.25063926000007</v>
          </cell>
          <cell r="D129">
            <v>567.21063925999999</v>
          </cell>
          <cell r="E129">
            <v>592.21063925999999</v>
          </cell>
          <cell r="F129">
            <v>10076.135138461539</v>
          </cell>
        </row>
        <row r="130">
          <cell r="A130" t="str">
            <v>SB-SN-D</v>
          </cell>
          <cell r="B130" t="str">
            <v>Wall Shelves</v>
          </cell>
          <cell r="C130">
            <v>1304.31467701115</v>
          </cell>
          <cell r="D130">
            <v>1585.2818594361499</v>
          </cell>
          <cell r="E130">
            <v>1705.2818594361499</v>
          </cell>
          <cell r="F130">
            <v>32735.158437577888</v>
          </cell>
        </row>
        <row r="131">
          <cell r="A131" t="str">
            <v>SB-SN-N</v>
          </cell>
          <cell r="B131" t="str">
            <v>Wall Shelves</v>
          </cell>
          <cell r="C131">
            <v>999.76827164620011</v>
          </cell>
          <cell r="D131">
            <v>1153.1128727712003</v>
          </cell>
          <cell r="E131">
            <v>1264.1128727712003</v>
          </cell>
          <cell r="F131">
            <v>25282.462881616459</v>
          </cell>
        </row>
        <row r="132">
          <cell r="A132" t="str">
            <v>SB-SRA</v>
          </cell>
          <cell r="B132" t="str">
            <v>Wall Shelves</v>
          </cell>
          <cell r="C132">
            <v>222.21486620000005</v>
          </cell>
          <cell r="D132">
            <v>246.99486620000005</v>
          </cell>
          <cell r="E132">
            <v>276.99486620000005</v>
          </cell>
          <cell r="F132">
            <v>5644.1473083076926</v>
          </cell>
        </row>
        <row r="133">
          <cell r="A133" t="str">
            <v>SB-VNO</v>
          </cell>
          <cell r="B133" t="str">
            <v>Wall Shelves</v>
          </cell>
          <cell r="C133">
            <v>785.13271522687512</v>
          </cell>
          <cell r="D133">
            <v>916.5698397268751</v>
          </cell>
          <cell r="E133">
            <v>990.0698397268751</v>
          </cell>
          <cell r="F133">
            <v>19216.703718429591</v>
          </cell>
        </row>
        <row r="134">
          <cell r="A134" t="str">
            <v>SB-WA</v>
          </cell>
          <cell r="B134" t="str">
            <v>Wall Shelves</v>
          </cell>
          <cell r="C134">
            <v>316.81728811949995</v>
          </cell>
          <cell r="D134">
            <v>358.59384374449991</v>
          </cell>
          <cell r="E134">
            <v>423.59384374449991</v>
          </cell>
          <cell r="F134">
            <v>7950.7273259739013</v>
          </cell>
        </row>
        <row r="135">
          <cell r="A135" t="str">
            <v>SB-WA-WM</v>
          </cell>
          <cell r="B135" t="str">
            <v>Wall Shelves</v>
          </cell>
          <cell r="C135">
            <v>305.98070642375001</v>
          </cell>
          <cell r="D135">
            <v>391.86196292374996</v>
          </cell>
          <cell r="E135">
            <v>449.86196292374996</v>
          </cell>
          <cell r="F135">
            <v>8276.8758710431102</v>
          </cell>
        </row>
        <row r="136">
          <cell r="A136" t="str">
            <v>SB-WLB</v>
          </cell>
          <cell r="B136" t="str">
            <v>Wall Shelves</v>
          </cell>
          <cell r="C136">
            <v>713.37294123875017</v>
          </cell>
          <cell r="D136">
            <v>767.02403673875017</v>
          </cell>
          <cell r="E136">
            <v>858.02403673875017</v>
          </cell>
          <cell r="F136">
            <v>19658.753192864908</v>
          </cell>
        </row>
        <row r="137">
          <cell r="A137" t="str">
            <v>S-CC</v>
          </cell>
          <cell r="B137" t="str">
            <v xml:space="preserve"> Shelves</v>
          </cell>
          <cell r="C137">
            <v>545.40057117349988</v>
          </cell>
          <cell r="D137">
            <v>634.51813792349992</v>
          </cell>
          <cell r="E137">
            <v>758.51813792349992</v>
          </cell>
          <cell r="F137">
            <v>14741.755681604458</v>
          </cell>
        </row>
        <row r="138">
          <cell r="A138" t="str">
            <v>S-CRF</v>
          </cell>
          <cell r="B138" t="str">
            <v xml:space="preserve"> Shelves</v>
          </cell>
          <cell r="C138">
            <v>347.438779125</v>
          </cell>
          <cell r="D138">
            <v>405.36218431683676</v>
          </cell>
          <cell r="E138">
            <v>452.36218431683676</v>
          </cell>
          <cell r="F138">
            <v>9660.6317064965697</v>
          </cell>
        </row>
        <row r="139">
          <cell r="A139" t="str">
            <v>S-ETN</v>
          </cell>
          <cell r="B139" t="str">
            <v xml:space="preserve"> Shelves</v>
          </cell>
          <cell r="C139">
            <v>189.28427104374998</v>
          </cell>
          <cell r="D139">
            <v>217.26030979374997</v>
          </cell>
          <cell r="E139">
            <v>245.26030979374997</v>
          </cell>
          <cell r="F139">
            <v>5292.9980561420962</v>
          </cell>
        </row>
        <row r="140">
          <cell r="A140" t="str">
            <v>SF-WBR-2</v>
          </cell>
          <cell r="B140" t="str">
            <v>Sofa</v>
          </cell>
          <cell r="C140">
            <v>1562.5830244927499</v>
          </cell>
          <cell r="D140">
            <v>0</v>
          </cell>
          <cell r="E140">
            <v>3432.7035628516305</v>
          </cell>
          <cell r="F140">
            <v>38619.914217299993</v>
          </cell>
        </row>
        <row r="141">
          <cell r="A141" t="str">
            <v>SF-WBR-IL</v>
          </cell>
          <cell r="B141" t="str">
            <v>Sofa</v>
          </cell>
          <cell r="C141">
            <v>1774.0899315925501</v>
          </cell>
          <cell r="D141">
            <v>0</v>
          </cell>
          <cell r="E141">
            <v>3165.3858844813585</v>
          </cell>
          <cell r="F141">
            <v>47486.533388579992</v>
          </cell>
        </row>
        <row r="142">
          <cell r="A142" t="str">
            <v>S-GRB</v>
          </cell>
          <cell r="B142" t="str">
            <v xml:space="preserve"> Shelves</v>
          </cell>
          <cell r="C142">
            <v>178.44020937499999</v>
          </cell>
          <cell r="D142">
            <v>230.46238125000002</v>
          </cell>
          <cell r="E142">
            <v>262.46238125000002</v>
          </cell>
          <cell r="F142">
            <v>5060.7510484188379</v>
          </cell>
        </row>
        <row r="143">
          <cell r="A143" t="str">
            <v>SH-CHR</v>
          </cell>
          <cell r="B143" t="str">
            <v>Spice Rack</v>
          </cell>
          <cell r="C143">
            <v>0</v>
          </cell>
          <cell r="D143">
            <v>150.30000000000001</v>
          </cell>
          <cell r="E143">
            <v>150.30000000000001</v>
          </cell>
          <cell r="F143">
            <v>122.4</v>
          </cell>
        </row>
        <row r="144">
          <cell r="A144" t="str">
            <v>SH-DVN</v>
          </cell>
          <cell r="B144" t="str">
            <v>Spice Rack</v>
          </cell>
          <cell r="C144">
            <v>51.971526674999993</v>
          </cell>
          <cell r="D144">
            <v>61.858598174999983</v>
          </cell>
          <cell r="E144">
            <v>88.858598174999983</v>
          </cell>
          <cell r="F144">
            <v>1070.5738536129136</v>
          </cell>
        </row>
        <row r="145">
          <cell r="A145" t="str">
            <v>SH-DVN-ST</v>
          </cell>
          <cell r="B145" t="str">
            <v>Spice Rack</v>
          </cell>
          <cell r="C145">
            <v>31.373688059999992</v>
          </cell>
          <cell r="D145">
            <v>38.804953999999995</v>
          </cell>
          <cell r="E145">
            <v>65.804953999999995</v>
          </cell>
          <cell r="F145">
            <v>616.28343492342651</v>
          </cell>
        </row>
        <row r="146">
          <cell r="A146" t="str">
            <v>SH-GTA</v>
          </cell>
          <cell r="B146" t="str">
            <v>Spice Rack</v>
          </cell>
          <cell r="C146">
            <v>258.39447384017313</v>
          </cell>
          <cell r="D146">
            <v>315.07712224017314</v>
          </cell>
          <cell r="E146">
            <v>345.07712224017314</v>
          </cell>
          <cell r="F146">
            <v>3602.9470223291592</v>
          </cell>
        </row>
        <row r="147">
          <cell r="A147" t="str">
            <v>SH-YBO</v>
          </cell>
          <cell r="B147" t="str">
            <v>Spice Rack</v>
          </cell>
          <cell r="C147">
            <v>82.213873199999981</v>
          </cell>
          <cell r="D147">
            <v>96.033719799999986</v>
          </cell>
          <cell r="E147">
            <v>115.03371979999999</v>
          </cell>
          <cell r="F147">
            <v>1742.8086163678461</v>
          </cell>
        </row>
        <row r="148">
          <cell r="A148" t="str">
            <v>S-JVS</v>
          </cell>
          <cell r="B148" t="str">
            <v xml:space="preserve"> Shelves</v>
          </cell>
          <cell r="C148">
            <v>266.25525398249999</v>
          </cell>
          <cell r="D148">
            <v>340.49653852433676</v>
          </cell>
          <cell r="E148">
            <v>382.49653852433676</v>
          </cell>
          <cell r="F148">
            <v>7797.4632625612321</v>
          </cell>
        </row>
        <row r="149">
          <cell r="A149" t="str">
            <v>S-LO</v>
          </cell>
          <cell r="B149" t="str">
            <v xml:space="preserve"> Shelves</v>
          </cell>
          <cell r="C149">
            <v>144.23640029649999</v>
          </cell>
          <cell r="D149">
            <v>156.40281529649999</v>
          </cell>
          <cell r="E149">
            <v>186.90281529649999</v>
          </cell>
          <cell r="F149">
            <v>3751.7153900061712</v>
          </cell>
        </row>
        <row r="150">
          <cell r="A150" t="str">
            <v>SL-VE-P</v>
          </cell>
          <cell r="B150" t="str">
            <v>Wall Shelves</v>
          </cell>
          <cell r="C150">
            <v>35.629249799999997</v>
          </cell>
          <cell r="D150">
            <v>72.039249799999993</v>
          </cell>
          <cell r="E150">
            <v>105.03924979999999</v>
          </cell>
          <cell r="F150">
            <v>1260.5279999999998</v>
          </cell>
        </row>
        <row r="151">
          <cell r="A151" t="str">
            <v>S-PTE</v>
          </cell>
          <cell r="B151" t="str">
            <v xml:space="preserve"> Shelves</v>
          </cell>
          <cell r="C151">
            <v>484.89152049249998</v>
          </cell>
          <cell r="D151">
            <v>539.55100608433668</v>
          </cell>
          <cell r="E151">
            <v>598.55100608433668</v>
          </cell>
          <cell r="F151">
            <v>13962.612346236428</v>
          </cell>
        </row>
        <row r="152">
          <cell r="A152" t="str">
            <v>SR-ADS-2W</v>
          </cell>
          <cell r="B152" t="str">
            <v>Shoe Rack</v>
          </cell>
          <cell r="C152">
            <v>787.15861849969997</v>
          </cell>
          <cell r="D152">
            <v>1009.0465607496999</v>
          </cell>
          <cell r="E152">
            <v>1103.0465607496999</v>
          </cell>
          <cell r="F152">
            <v>20307.26806356234</v>
          </cell>
        </row>
        <row r="153">
          <cell r="A153" t="str">
            <v>SR-BKN-2</v>
          </cell>
          <cell r="B153" t="str">
            <v>Shoe Rack</v>
          </cell>
          <cell r="C153">
            <v>877.85241113149993</v>
          </cell>
          <cell r="D153">
            <v>1100.5034384648334</v>
          </cell>
          <cell r="E153">
            <v>1197.5034384648334</v>
          </cell>
          <cell r="F153">
            <v>22948.900937718463</v>
          </cell>
        </row>
        <row r="154">
          <cell r="A154" t="str">
            <v>SR-BKN-H</v>
          </cell>
          <cell r="B154" t="str">
            <v>Shoe Rack</v>
          </cell>
          <cell r="C154">
            <v>2354.3238861100003</v>
          </cell>
          <cell r="D154">
            <v>2748.0721559600001</v>
          </cell>
          <cell r="E154">
            <v>2894.0721559600001</v>
          </cell>
          <cell r="F154">
            <v>60713.341186859107</v>
          </cell>
        </row>
        <row r="155">
          <cell r="A155" t="str">
            <v>SR-BKN-M</v>
          </cell>
          <cell r="B155" t="str">
            <v>Shoe Rack</v>
          </cell>
          <cell r="C155">
            <v>875.07021457530311</v>
          </cell>
          <cell r="D155">
            <v>1050.477908575303</v>
          </cell>
          <cell r="E155">
            <v>1147.477908575303</v>
          </cell>
          <cell r="F155">
            <v>22750.308200598465</v>
          </cell>
        </row>
        <row r="156">
          <cell r="A156" t="str">
            <v>SR-BKN-T</v>
          </cell>
          <cell r="B156" t="str">
            <v>Shoe Rack</v>
          </cell>
          <cell r="C156">
            <v>1596.36766326375</v>
          </cell>
          <cell r="D156">
            <v>1943.7934041137501</v>
          </cell>
          <cell r="E156">
            <v>2071.2934041137501</v>
          </cell>
          <cell r="F156">
            <v>41109.106929553978</v>
          </cell>
        </row>
        <row r="157">
          <cell r="A157" t="str">
            <v>SR-CLE</v>
          </cell>
          <cell r="B157" t="str">
            <v>Shoe Rack</v>
          </cell>
          <cell r="C157">
            <v>860.72831460915017</v>
          </cell>
          <cell r="D157">
            <v>1028.8884871091502</v>
          </cell>
          <cell r="E157">
            <v>1103.8884871091502</v>
          </cell>
          <cell r="F157">
            <v>21614.186314119412</v>
          </cell>
        </row>
        <row r="158">
          <cell r="A158" t="str">
            <v>SR-CLM-2</v>
          </cell>
          <cell r="B158" t="str">
            <v>Shoe Rack</v>
          </cell>
          <cell r="C158">
            <v>791.1529762015</v>
          </cell>
          <cell r="D158">
            <v>1015.5709184514999</v>
          </cell>
          <cell r="E158">
            <v>1085.5709184514999</v>
          </cell>
          <cell r="F158">
            <v>18436.233701246969</v>
          </cell>
        </row>
        <row r="159">
          <cell r="A159" t="str">
            <v>SR-CLM-3</v>
          </cell>
          <cell r="B159" t="str">
            <v>Shoe Rack</v>
          </cell>
          <cell r="C159">
            <v>1279.00664470935</v>
          </cell>
          <cell r="D159">
            <v>1574.5814212093499</v>
          </cell>
          <cell r="E159">
            <v>1680.0814212093499</v>
          </cell>
          <cell r="F159">
            <v>30901.644759100633</v>
          </cell>
        </row>
        <row r="160">
          <cell r="A160" t="str">
            <v>SR-CLM-T</v>
          </cell>
          <cell r="B160" t="str">
            <v>Shoe Rack</v>
          </cell>
          <cell r="C160">
            <v>1537.1239009654998</v>
          </cell>
          <cell r="D160">
            <v>1897.0753954654999</v>
          </cell>
          <cell r="E160">
            <v>2019.5753954654999</v>
          </cell>
          <cell r="F160">
            <v>37251.411398858058</v>
          </cell>
        </row>
        <row r="161">
          <cell r="A161" t="str">
            <v>SR-FYN</v>
          </cell>
          <cell r="B161" t="str">
            <v>Shoe Rack</v>
          </cell>
          <cell r="C161">
            <v>1890.6290996765599</v>
          </cell>
          <cell r="D161">
            <v>2096.2912804765597</v>
          </cell>
          <cell r="E161">
            <v>2222.7912804765597</v>
          </cell>
          <cell r="F161">
            <v>46155.170596347329</v>
          </cell>
        </row>
        <row r="162">
          <cell r="A162" t="str">
            <v>SR-KPN</v>
          </cell>
          <cell r="B162" t="str">
            <v>Shoe Rack</v>
          </cell>
          <cell r="C162">
            <v>1396.2178999390749</v>
          </cell>
          <cell r="D162">
            <v>1804.9902096640749</v>
          </cell>
          <cell r="E162">
            <v>1918.4902096640749</v>
          </cell>
          <cell r="F162">
            <v>35455.708763882547</v>
          </cell>
        </row>
        <row r="163">
          <cell r="A163" t="str">
            <v>SR-MVS</v>
          </cell>
          <cell r="B163" t="str">
            <v>Shoe Rack</v>
          </cell>
          <cell r="C163">
            <v>1294.8195159935251</v>
          </cell>
          <cell r="D163">
            <v>1625.2977577685251</v>
          </cell>
          <cell r="E163">
            <v>1709.2977577685251</v>
          </cell>
          <cell r="F163">
            <v>31950.548465537806</v>
          </cell>
        </row>
        <row r="164">
          <cell r="A164" t="str">
            <v>SR-MVS-I</v>
          </cell>
          <cell r="B164" t="str">
            <v>Shoe Rack</v>
          </cell>
          <cell r="C164">
            <v>891.82015377257494</v>
          </cell>
          <cell r="D164">
            <v>1148.3648018819749</v>
          </cell>
          <cell r="E164">
            <v>1268.3648018819749</v>
          </cell>
          <cell r="F164">
            <v>23701.178654297259</v>
          </cell>
        </row>
        <row r="165">
          <cell r="A165" t="str">
            <v>SR-MVS-IT</v>
          </cell>
          <cell r="B165" t="str">
            <v>Shoe Rack</v>
          </cell>
          <cell r="C165">
            <v>2035.7100013026247</v>
          </cell>
          <cell r="D165">
            <v>2461.0206998260246</v>
          </cell>
          <cell r="E165">
            <v>2700.5206998260246</v>
          </cell>
          <cell r="F165">
            <v>54190.599414402386</v>
          </cell>
        </row>
        <row r="166">
          <cell r="A166" t="str">
            <v>SR-MVS-T</v>
          </cell>
          <cell r="B166" t="str">
            <v>Shoe Rack</v>
          </cell>
          <cell r="C166">
            <v>1143.8898475300498</v>
          </cell>
          <cell r="D166">
            <v>1312.6558979440497</v>
          </cell>
          <cell r="E166">
            <v>1432.1558979440497</v>
          </cell>
          <cell r="F166">
            <v>30489.420760105124</v>
          </cell>
        </row>
        <row r="167">
          <cell r="A167" t="str">
            <v>SR-OLY</v>
          </cell>
          <cell r="B167" t="str">
            <v>Shoe Rack</v>
          </cell>
          <cell r="C167">
            <v>1252.4148045752002</v>
          </cell>
          <cell r="D167">
            <v>1530.9799835752001</v>
          </cell>
          <cell r="E167">
            <v>1661.4799835752001</v>
          </cell>
          <cell r="F167">
            <v>31508.490580302285</v>
          </cell>
        </row>
        <row r="168">
          <cell r="A168" t="str">
            <v>SR-PRG</v>
          </cell>
          <cell r="B168" t="str">
            <v>Shoe Rack</v>
          </cell>
          <cell r="C168">
            <v>1351.2778452956002</v>
          </cell>
          <cell r="D168">
            <v>1641.4251431956004</v>
          </cell>
          <cell r="E168">
            <v>1777.9251431956004</v>
          </cell>
          <cell r="F168">
            <v>35537.194357074099</v>
          </cell>
        </row>
        <row r="169">
          <cell r="A169" t="str">
            <v>SR-WHTO</v>
          </cell>
          <cell r="B169" t="str">
            <v>Shoe Rack</v>
          </cell>
          <cell r="C169">
            <v>1246.3544986640002</v>
          </cell>
          <cell r="D169">
            <v>1525.3177684376737</v>
          </cell>
          <cell r="E169">
            <v>1630.3177684376737</v>
          </cell>
          <cell r="F169">
            <v>30862.25264139217</v>
          </cell>
        </row>
        <row r="170">
          <cell r="A170" t="str">
            <v>SR-WMO</v>
          </cell>
          <cell r="B170" t="str">
            <v>Shoe Rack</v>
          </cell>
          <cell r="C170">
            <v>1545.1523288951</v>
          </cell>
          <cell r="D170">
            <v>1831.5338543451001</v>
          </cell>
          <cell r="E170">
            <v>1959.0338543451001</v>
          </cell>
          <cell r="F170">
            <v>38165.661015363141</v>
          </cell>
        </row>
        <row r="171">
          <cell r="A171" t="str">
            <v>S-RY</v>
          </cell>
          <cell r="B171" t="str">
            <v xml:space="preserve"> Shelves</v>
          </cell>
          <cell r="C171">
            <v>152.28463784375001</v>
          </cell>
          <cell r="D171">
            <v>187.61087159374998</v>
          </cell>
          <cell r="E171">
            <v>220.61087159374998</v>
          </cell>
          <cell r="F171">
            <v>3985.1527236959082</v>
          </cell>
        </row>
        <row r="172">
          <cell r="A172" t="str">
            <v>S-SB-S3</v>
          </cell>
          <cell r="B172" t="str">
            <v xml:space="preserve"> Shelves</v>
          </cell>
          <cell r="C172">
            <v>81.509419511999994</v>
          </cell>
          <cell r="D172">
            <v>104.85941951199999</v>
          </cell>
          <cell r="E172">
            <v>104.85941951199999</v>
          </cell>
          <cell r="F172">
            <v>1873.2749759999999</v>
          </cell>
        </row>
        <row r="173">
          <cell r="A173" t="str">
            <v>ST-AML</v>
          </cell>
          <cell r="B173" t="str">
            <v>Study Table</v>
          </cell>
          <cell r="C173">
            <v>881.8012060934999</v>
          </cell>
          <cell r="D173">
            <v>1021.3111937034998</v>
          </cell>
          <cell r="E173">
            <v>1165.3111937034998</v>
          </cell>
          <cell r="F173">
            <v>22466.044846477846</v>
          </cell>
        </row>
        <row r="174">
          <cell r="A174" t="str">
            <v>ST-CBN</v>
          </cell>
          <cell r="B174" t="str">
            <v>Study Table</v>
          </cell>
          <cell r="C174">
            <v>1134.6734040077497</v>
          </cell>
          <cell r="D174">
            <v>1790.2290960734065</v>
          </cell>
          <cell r="E174">
            <v>1928.7290960734065</v>
          </cell>
          <cell r="F174">
            <v>34410.686408173511</v>
          </cell>
        </row>
        <row r="175">
          <cell r="A175" t="str">
            <v>ST-CBN-LS</v>
          </cell>
          <cell r="B175" t="str">
            <v>Study Table</v>
          </cell>
          <cell r="C175">
            <v>535.06475778250001</v>
          </cell>
          <cell r="D175">
            <v>1186.4210354931565</v>
          </cell>
          <cell r="E175">
            <v>1300.4210354931565</v>
          </cell>
          <cell r="F175">
            <v>20785.054077813918</v>
          </cell>
        </row>
        <row r="176">
          <cell r="A176" t="str">
            <v>ST-CBN-P</v>
          </cell>
          <cell r="B176" t="str">
            <v>Study Table</v>
          </cell>
          <cell r="C176">
            <v>506.55037613000007</v>
          </cell>
          <cell r="D176">
            <v>889.92345634065668</v>
          </cell>
          <cell r="E176">
            <v>987.92345634065668</v>
          </cell>
          <cell r="F176">
            <v>16758.171779952994</v>
          </cell>
        </row>
        <row r="177">
          <cell r="A177" t="str">
            <v>ST-CBN-S</v>
          </cell>
          <cell r="B177" t="str">
            <v>Study Table</v>
          </cell>
          <cell r="C177">
            <v>284.33929550000005</v>
          </cell>
          <cell r="D177">
            <v>648.94817946065677</v>
          </cell>
          <cell r="E177">
            <v>738.94817946065677</v>
          </cell>
          <cell r="F177">
            <v>11571.327033737161</v>
          </cell>
        </row>
        <row r="178">
          <cell r="A178" t="str">
            <v>ST-EFI-LA</v>
          </cell>
          <cell r="B178" t="str">
            <v>Study Table</v>
          </cell>
          <cell r="C178">
            <v>581.1242523812499</v>
          </cell>
          <cell r="D178">
            <v>649.01269238124985</v>
          </cell>
          <cell r="E178">
            <v>749.01269238124985</v>
          </cell>
          <cell r="F178">
            <v>16339.84988338553</v>
          </cell>
        </row>
        <row r="179">
          <cell r="A179" t="str">
            <v>ST-EFI-ST</v>
          </cell>
          <cell r="B179" t="str">
            <v>Study Table</v>
          </cell>
          <cell r="C179">
            <v>399.16646471249999</v>
          </cell>
          <cell r="D179">
            <v>476.54754471249998</v>
          </cell>
          <cell r="E179">
            <v>548.54754471249998</v>
          </cell>
          <cell r="F179">
            <v>10628.477473595667</v>
          </cell>
        </row>
        <row r="180">
          <cell r="A180" t="str">
            <v>ST-HE</v>
          </cell>
          <cell r="B180" t="str">
            <v>Study Table</v>
          </cell>
          <cell r="C180">
            <v>202.41658574750002</v>
          </cell>
          <cell r="D180">
            <v>727.75753074750003</v>
          </cell>
          <cell r="E180">
            <v>805.25753074750003</v>
          </cell>
          <cell r="F180">
            <v>7481.5771191213435</v>
          </cell>
        </row>
        <row r="181">
          <cell r="A181" t="str">
            <v>ST-KYA</v>
          </cell>
          <cell r="B181" t="str">
            <v>Study Table</v>
          </cell>
          <cell r="C181">
            <v>1052.1748572324998</v>
          </cell>
          <cell r="D181">
            <v>1250.4825721174996</v>
          </cell>
          <cell r="E181">
            <v>1330.4825721174996</v>
          </cell>
          <cell r="F181">
            <v>26409.479793642848</v>
          </cell>
        </row>
        <row r="182">
          <cell r="A182" t="str">
            <v>ST-MLM-L</v>
          </cell>
          <cell r="B182" t="str">
            <v>Study Table</v>
          </cell>
          <cell r="C182">
            <v>791.93123259639992</v>
          </cell>
          <cell r="D182">
            <v>993.61750627640004</v>
          </cell>
          <cell r="E182">
            <v>1083.6175062764</v>
          </cell>
          <cell r="F182">
            <v>21315.930646643897</v>
          </cell>
        </row>
        <row r="183">
          <cell r="A183" t="str">
            <v>ST-MLM-N</v>
          </cell>
          <cell r="B183" t="str">
            <v>Study Table</v>
          </cell>
          <cell r="C183">
            <v>694.28150225100001</v>
          </cell>
          <cell r="D183">
            <v>785.86759310100001</v>
          </cell>
          <cell r="E183">
            <v>867.86759310100001</v>
          </cell>
          <cell r="F183">
            <v>18574.007668487568</v>
          </cell>
        </row>
        <row r="184">
          <cell r="A184" t="str">
            <v>ST-RDO</v>
          </cell>
          <cell r="B184" t="str">
            <v>Study Table</v>
          </cell>
          <cell r="C184">
            <v>1174.3037545474999</v>
          </cell>
          <cell r="D184">
            <v>1301.3979482474999</v>
          </cell>
          <cell r="E184">
            <v>1437.3979482474999</v>
          </cell>
          <cell r="F184">
            <v>29528.363034713435</v>
          </cell>
        </row>
        <row r="185">
          <cell r="A185" t="str">
            <v>ST-RDO-ST</v>
          </cell>
          <cell r="B185" t="str">
            <v>Study Table</v>
          </cell>
          <cell r="C185">
            <v>547.85159135000004</v>
          </cell>
          <cell r="D185">
            <v>597.27159134999999</v>
          </cell>
          <cell r="E185">
            <v>687.27159134999999</v>
          </cell>
          <cell r="F185">
            <v>14253.192659384615</v>
          </cell>
        </row>
        <row r="186">
          <cell r="A186" t="str">
            <v>ST-RE</v>
          </cell>
          <cell r="B186" t="str">
            <v>Study Table</v>
          </cell>
          <cell r="C186">
            <v>671.51110330180006</v>
          </cell>
          <cell r="D186">
            <v>871.03014580180002</v>
          </cell>
          <cell r="E186">
            <v>951.03014580180002</v>
          </cell>
          <cell r="F186">
            <v>18217.923596843095</v>
          </cell>
        </row>
        <row r="187">
          <cell r="A187" t="str">
            <v>ST-RE-W(OLD)</v>
          </cell>
          <cell r="B187" t="str">
            <v>Study Table</v>
          </cell>
          <cell r="C187">
            <v>671.51110330180006</v>
          </cell>
          <cell r="D187">
            <v>777.19708230180004</v>
          </cell>
          <cell r="E187">
            <v>857.19708230180004</v>
          </cell>
          <cell r="F187">
            <v>17325.635348732572</v>
          </cell>
        </row>
        <row r="188">
          <cell r="A188" t="str">
            <v>ST-WLD</v>
          </cell>
          <cell r="B188" t="str">
            <v>Study Table</v>
          </cell>
          <cell r="C188">
            <v>1912.53249070175</v>
          </cell>
          <cell r="D188">
            <v>2231.99790070175</v>
          </cell>
          <cell r="E188">
            <v>2417.99790070175</v>
          </cell>
          <cell r="F188">
            <v>49114.687712864288</v>
          </cell>
        </row>
        <row r="189">
          <cell r="A189" t="str">
            <v>S-XD</v>
          </cell>
          <cell r="B189" t="str">
            <v xml:space="preserve"> Shelves</v>
          </cell>
          <cell r="C189">
            <v>347.35140723749998</v>
          </cell>
          <cell r="D189">
            <v>428.98204223749997</v>
          </cell>
          <cell r="E189">
            <v>487.98204223749997</v>
          </cell>
          <cell r="F189">
            <v>9862.9049043056402</v>
          </cell>
        </row>
        <row r="190">
          <cell r="A190" t="str">
            <v>TP-MTA</v>
          </cell>
          <cell r="B190" t="str">
            <v>TV Top</v>
          </cell>
          <cell r="C190">
            <v>650.8901459440001</v>
          </cell>
          <cell r="D190">
            <v>753.05541204400004</v>
          </cell>
          <cell r="E190">
            <v>818.05541204400004</v>
          </cell>
          <cell r="F190">
            <v>17701.080612022492</v>
          </cell>
        </row>
        <row r="191">
          <cell r="A191" t="str">
            <v>TS-FV</v>
          </cell>
          <cell r="B191" t="str">
            <v>TV Unit</v>
          </cell>
          <cell r="C191">
            <v>235.29412593125005</v>
          </cell>
          <cell r="D191">
            <v>281.96203703125002</v>
          </cell>
          <cell r="E191">
            <v>317.16203703125001</v>
          </cell>
          <cell r="F191">
            <v>6332.9193607720808</v>
          </cell>
        </row>
        <row r="192">
          <cell r="A192" t="str">
            <v>TS-NL-A</v>
          </cell>
          <cell r="B192" t="str">
            <v>Monitor Stands</v>
          </cell>
          <cell r="C192">
            <v>107.30398335000001</v>
          </cell>
          <cell r="D192">
            <v>112.60398335000002</v>
          </cell>
          <cell r="E192">
            <v>128.10398335000002</v>
          </cell>
          <cell r="F192">
            <v>1838.9855926153846</v>
          </cell>
        </row>
        <row r="193">
          <cell r="A193" t="str">
            <v>TS-NL-LA</v>
          </cell>
          <cell r="B193" t="str">
            <v>Monitor stand</v>
          </cell>
          <cell r="C193">
            <v>147.27906710400003</v>
          </cell>
          <cell r="D193">
            <v>175.58199710400004</v>
          </cell>
          <cell r="E193">
            <v>215.58199710400004</v>
          </cell>
          <cell r="F193">
            <v>3793.4579581434778</v>
          </cell>
        </row>
        <row r="194">
          <cell r="A194" t="str">
            <v>TS-NLM</v>
          </cell>
          <cell r="B194" t="str">
            <v>Monitor stand</v>
          </cell>
          <cell r="C194">
            <v>51.790402500000006</v>
          </cell>
          <cell r="D194">
            <v>55.290402500000013</v>
          </cell>
          <cell r="E194">
            <v>71.290402500000013</v>
          </cell>
          <cell r="F194">
            <v>1297.3753846153845</v>
          </cell>
        </row>
        <row r="195">
          <cell r="A195" t="str">
            <v>TS-NL-ST</v>
          </cell>
          <cell r="B195" t="str">
            <v>Monitor stand</v>
          </cell>
          <cell r="C195">
            <v>79.35344400000001</v>
          </cell>
          <cell r="D195">
            <v>105.157444</v>
          </cell>
          <cell r="E195">
            <v>130.157444</v>
          </cell>
          <cell r="F195">
            <v>2231.4073846153847</v>
          </cell>
        </row>
        <row r="196">
          <cell r="A196" t="str">
            <v>TU-AMY</v>
          </cell>
          <cell r="B196" t="str">
            <v>TV Unit</v>
          </cell>
          <cell r="C196">
            <v>1314.1118165350001</v>
          </cell>
          <cell r="D196">
            <v>1576.835826535</v>
          </cell>
          <cell r="E196">
            <v>1676.835826535</v>
          </cell>
          <cell r="F196">
            <v>35391.465547267399</v>
          </cell>
        </row>
        <row r="197">
          <cell r="A197" t="str">
            <v>TU-ARO-LA</v>
          </cell>
          <cell r="B197" t="str">
            <v>TV Unit</v>
          </cell>
          <cell r="C197">
            <v>239.25636520000003</v>
          </cell>
          <cell r="D197">
            <v>332.26451520000001</v>
          </cell>
          <cell r="E197">
            <v>368.01451520000001</v>
          </cell>
          <cell r="F197">
            <v>6990.3833012779614</v>
          </cell>
        </row>
        <row r="198">
          <cell r="A198" t="str">
            <v>TU-ATD</v>
          </cell>
          <cell r="B198" t="str">
            <v>TV Unit</v>
          </cell>
          <cell r="C198">
            <v>873.52691664656243</v>
          </cell>
          <cell r="D198">
            <v>981.31549264656246</v>
          </cell>
          <cell r="E198">
            <v>1092.8154926465625</v>
          </cell>
          <cell r="F198">
            <v>22573.737357647355</v>
          </cell>
        </row>
        <row r="199">
          <cell r="A199" t="str">
            <v>TU-AYL</v>
          </cell>
          <cell r="B199" t="str">
            <v>TV Unit</v>
          </cell>
          <cell r="C199">
            <v>617.5730188</v>
          </cell>
          <cell r="D199">
            <v>732.91847280000002</v>
          </cell>
          <cell r="E199">
            <v>834.41847280000002</v>
          </cell>
          <cell r="F199">
            <v>17403.866615750041</v>
          </cell>
        </row>
        <row r="200">
          <cell r="A200" t="str">
            <v>TU-BKMT</v>
          </cell>
          <cell r="B200" t="str">
            <v>TV Unit</v>
          </cell>
          <cell r="C200">
            <v>1954.3984442235501</v>
          </cell>
          <cell r="D200">
            <v>0</v>
          </cell>
          <cell r="E200">
            <v>2532.60531732355</v>
          </cell>
          <cell r="F200">
            <v>51329.309283696872</v>
          </cell>
        </row>
        <row r="201">
          <cell r="A201" t="str">
            <v>TU-BKY</v>
          </cell>
          <cell r="B201" t="str">
            <v>TV Unit</v>
          </cell>
          <cell r="C201">
            <v>1261.39285229395</v>
          </cell>
          <cell r="D201">
            <v>1546.9344592939501</v>
          </cell>
          <cell r="E201">
            <v>1672.4344592939501</v>
          </cell>
          <cell r="F201">
            <v>33298.83859693291</v>
          </cell>
        </row>
        <row r="202">
          <cell r="A202" t="str">
            <v>TU-BKY-ST</v>
          </cell>
          <cell r="B202" t="str">
            <v>TV Unit</v>
          </cell>
          <cell r="C202">
            <v>1036.8046389579501</v>
          </cell>
          <cell r="D202">
            <v>1292.51489267795</v>
          </cell>
          <cell r="E202">
            <v>1400.01489267795</v>
          </cell>
          <cell r="F202">
            <v>27754.628781184456</v>
          </cell>
        </row>
        <row r="203">
          <cell r="A203" t="str">
            <v>TU-BVN</v>
          </cell>
          <cell r="B203" t="str">
            <v>TV Unit</v>
          </cell>
          <cell r="C203">
            <v>1172.0735976150002</v>
          </cell>
          <cell r="D203">
            <v>1325.9007781150003</v>
          </cell>
          <cell r="E203">
            <v>1441.9007781150003</v>
          </cell>
          <cell r="F203">
            <v>30288.932025136848</v>
          </cell>
        </row>
        <row r="204">
          <cell r="A204" t="str">
            <v>TU-CBR-LA</v>
          </cell>
          <cell r="B204" t="str">
            <v>TV Unit</v>
          </cell>
          <cell r="C204">
            <v>349.39247212487493</v>
          </cell>
          <cell r="D204">
            <v>383.42161987487492</v>
          </cell>
          <cell r="E204">
            <v>442.42161987487492</v>
          </cell>
          <cell r="F204">
            <v>8810.9117587394539</v>
          </cell>
        </row>
        <row r="205">
          <cell r="A205" t="str">
            <v>TU-CBR-ST</v>
          </cell>
          <cell r="B205" t="str">
            <v>TV Unit</v>
          </cell>
          <cell r="C205">
            <v>208.52298189524996</v>
          </cell>
          <cell r="D205">
            <v>0</v>
          </cell>
          <cell r="E205">
            <v>267.80960639524994</v>
          </cell>
          <cell r="F205">
            <v>5232.3366325278394</v>
          </cell>
        </row>
        <row r="206">
          <cell r="A206" t="str">
            <v>TU-CRL</v>
          </cell>
          <cell r="B206" t="str">
            <v>TV Unit</v>
          </cell>
          <cell r="C206">
            <v>1218.7836824045</v>
          </cell>
          <cell r="D206">
            <v>1361.7345592044999</v>
          </cell>
          <cell r="E206">
            <v>1480.2345592044999</v>
          </cell>
          <cell r="F206">
            <v>30852.461205972952</v>
          </cell>
        </row>
        <row r="207">
          <cell r="A207" t="str">
            <v>TU-DRN</v>
          </cell>
          <cell r="B207" t="str">
            <v>TV Unit</v>
          </cell>
          <cell r="C207">
            <v>673.63467874499986</v>
          </cell>
          <cell r="D207">
            <v>838.27719674499986</v>
          </cell>
          <cell r="E207">
            <v>923.27719674499986</v>
          </cell>
          <cell r="F207">
            <v>17977.771867582156</v>
          </cell>
        </row>
        <row r="208">
          <cell r="A208" t="str">
            <v>TU-DSK</v>
          </cell>
          <cell r="B208" t="str">
            <v>TV Unit</v>
          </cell>
          <cell r="C208">
            <v>1094.5223565861997</v>
          </cell>
          <cell r="D208">
            <v>1461.4183072131998</v>
          </cell>
          <cell r="E208">
            <v>1569.4183072131998</v>
          </cell>
          <cell r="F208">
            <v>31971.674803022164</v>
          </cell>
        </row>
        <row r="209">
          <cell r="A209" t="str">
            <v>TU-ETY-LA</v>
          </cell>
          <cell r="B209" t="str">
            <v>TV Unit</v>
          </cell>
          <cell r="C209">
            <v>573.92181461375003</v>
          </cell>
          <cell r="D209">
            <v>645.75777361375003</v>
          </cell>
          <cell r="E209">
            <v>724.75777361375003</v>
          </cell>
          <cell r="F209">
            <v>14541.035407654028</v>
          </cell>
        </row>
        <row r="210">
          <cell r="A210" t="str">
            <v>TU-ETY-M</v>
          </cell>
          <cell r="B210" t="str">
            <v>TV Unit</v>
          </cell>
          <cell r="C210">
            <v>265.06823889999993</v>
          </cell>
          <cell r="D210">
            <v>311.3276148999999</v>
          </cell>
          <cell r="E210">
            <v>351.3276148999999</v>
          </cell>
          <cell r="F210">
            <v>6765.3475200064613</v>
          </cell>
        </row>
        <row r="211">
          <cell r="A211" t="str">
            <v>TU-ETY-ST</v>
          </cell>
          <cell r="B211" t="str">
            <v>TV Unit</v>
          </cell>
          <cell r="C211">
            <v>458.15665245125001</v>
          </cell>
          <cell r="D211">
            <v>519.79598945124997</v>
          </cell>
          <cell r="E211">
            <v>581.79598945124997</v>
          </cell>
          <cell r="F211">
            <v>11601.058365126648</v>
          </cell>
        </row>
        <row r="212">
          <cell r="A212" t="str">
            <v>TU-FL</v>
          </cell>
          <cell r="B212" t="str">
            <v>TV Unit</v>
          </cell>
          <cell r="C212">
            <v>3391.3241791004998</v>
          </cell>
          <cell r="D212">
            <v>3930.2253332504997</v>
          </cell>
          <cell r="E212">
            <v>4254.7253332504997</v>
          </cell>
          <cell r="F212">
            <v>87025.406202289771</v>
          </cell>
        </row>
        <row r="213">
          <cell r="A213" t="str">
            <v>TU-GAU</v>
          </cell>
          <cell r="B213" t="str">
            <v>TV Unit</v>
          </cell>
          <cell r="C213">
            <v>777.2219481210002</v>
          </cell>
          <cell r="D213">
            <v>923.41164512100022</v>
          </cell>
          <cell r="E213">
            <v>1019.9116451210002</v>
          </cell>
          <cell r="F213">
            <v>20992.302442332082</v>
          </cell>
        </row>
        <row r="214">
          <cell r="A214" t="str">
            <v>TU-HMD</v>
          </cell>
          <cell r="B214" t="str">
            <v>TV Unit</v>
          </cell>
          <cell r="C214">
            <v>1225.8091679222498</v>
          </cell>
          <cell r="D214">
            <v>1387.8866801722497</v>
          </cell>
          <cell r="E214">
            <v>1519.5866801722498</v>
          </cell>
          <cell r="F214">
            <v>31029.956014471009</v>
          </cell>
        </row>
        <row r="215">
          <cell r="A215" t="str">
            <v>TU-HRI</v>
          </cell>
          <cell r="B215" t="str">
            <v>TV Unit</v>
          </cell>
          <cell r="C215">
            <v>1103.7385819949998</v>
          </cell>
          <cell r="D215">
            <v>1201.5365186199997</v>
          </cell>
          <cell r="E215">
            <v>1306.5365186199997</v>
          </cell>
          <cell r="F215">
            <v>27932.44918004287</v>
          </cell>
        </row>
        <row r="216">
          <cell r="A216" t="str">
            <v>TU-KU-LA</v>
          </cell>
          <cell r="B216" t="str">
            <v>TV Unit</v>
          </cell>
          <cell r="C216">
            <v>544.33613726999999</v>
          </cell>
          <cell r="D216">
            <v>627.01395057000002</v>
          </cell>
          <cell r="E216">
            <v>699.01395057000002</v>
          </cell>
          <cell r="F216">
            <v>15375.755295002507</v>
          </cell>
        </row>
        <row r="217">
          <cell r="A217" t="str">
            <v>TU-KU-ST</v>
          </cell>
          <cell r="B217" t="str">
            <v>TV Unit</v>
          </cell>
          <cell r="C217">
            <v>232.81380584249999</v>
          </cell>
          <cell r="D217">
            <v>251.73552909249997</v>
          </cell>
          <cell r="E217">
            <v>293.53552909249998</v>
          </cell>
          <cell r="F217">
            <v>6196.2780374581953</v>
          </cell>
        </row>
        <row r="218">
          <cell r="A218" t="str">
            <v>TU-KVD-LA</v>
          </cell>
          <cell r="B218" t="str">
            <v>TV Unit</v>
          </cell>
          <cell r="C218">
            <v>199.11137905249996</v>
          </cell>
          <cell r="D218">
            <v>226.89493430249993</v>
          </cell>
          <cell r="E218">
            <v>275.29493430249994</v>
          </cell>
          <cell r="F218">
            <v>5106.2742111606949</v>
          </cell>
        </row>
        <row r="219">
          <cell r="A219" t="str">
            <v>TU-KVD-ST</v>
          </cell>
          <cell r="B219" t="str">
            <v>TV Unit</v>
          </cell>
          <cell r="C219">
            <v>132.92804017249995</v>
          </cell>
          <cell r="D219">
            <v>153.62585017249995</v>
          </cell>
          <cell r="E219">
            <v>188.82585017249997</v>
          </cell>
          <cell r="F219">
            <v>3404.4614909325328</v>
          </cell>
        </row>
        <row r="220">
          <cell r="A220" t="str">
            <v>TU-LE</v>
          </cell>
          <cell r="B220" t="str">
            <v>TV Unit</v>
          </cell>
          <cell r="C220">
            <v>660.25585239999987</v>
          </cell>
          <cell r="D220">
            <v>778.6651349</v>
          </cell>
          <cell r="E220">
            <v>876.1651349</v>
          </cell>
          <cell r="F220">
            <v>17715.154670068634</v>
          </cell>
        </row>
        <row r="221">
          <cell r="A221" t="str">
            <v>TU-LMI</v>
          </cell>
          <cell r="B221" t="str">
            <v>TV Unit</v>
          </cell>
          <cell r="C221">
            <v>1206.2662525324999</v>
          </cell>
          <cell r="D221">
            <v>1354.6815667824999</v>
          </cell>
          <cell r="E221">
            <v>1464.6815667824999</v>
          </cell>
          <cell r="F221">
            <v>30520.876280635523</v>
          </cell>
        </row>
        <row r="222">
          <cell r="A222" t="str">
            <v>TU-MA-LA</v>
          </cell>
          <cell r="B222" t="str">
            <v>TV Unit</v>
          </cell>
          <cell r="C222">
            <v>177.67156833999999</v>
          </cell>
          <cell r="D222">
            <v>207.04097333999999</v>
          </cell>
          <cell r="E222">
            <v>251.04097333999999</v>
          </cell>
          <cell r="F222">
            <v>4903.8823406379233</v>
          </cell>
        </row>
        <row r="223">
          <cell r="A223" t="str">
            <v>TU-MA-ST</v>
          </cell>
          <cell r="B223" t="str">
            <v>TV Unit</v>
          </cell>
          <cell r="C223">
            <v>125.73748534000002</v>
          </cell>
          <cell r="D223">
            <v>152.07524934000003</v>
          </cell>
          <cell r="E223">
            <v>192.07524934000003</v>
          </cell>
          <cell r="F223">
            <v>3526.0251317921366</v>
          </cell>
        </row>
        <row r="224">
          <cell r="A224" t="str">
            <v>TU-MLE</v>
          </cell>
          <cell r="B224" t="str">
            <v>TV Unit</v>
          </cell>
          <cell r="C224">
            <v>286.69586214000003</v>
          </cell>
          <cell r="D224">
            <v>338.84223414000002</v>
          </cell>
          <cell r="E224">
            <v>369.84223414000002</v>
          </cell>
          <cell r="F224">
            <v>8100.0859949871974</v>
          </cell>
        </row>
        <row r="225">
          <cell r="A225" t="str">
            <v>TU-MSE</v>
          </cell>
          <cell r="B225" t="str">
            <v>TV Unit</v>
          </cell>
          <cell r="C225">
            <v>1100.506101876975</v>
          </cell>
          <cell r="D225">
            <v>1292.0406963769751</v>
          </cell>
          <cell r="E225">
            <v>1406.5406963769751</v>
          </cell>
          <cell r="F225">
            <v>29687.145878352821</v>
          </cell>
        </row>
        <row r="226">
          <cell r="A226" t="str">
            <v>TU-MSEP</v>
          </cell>
          <cell r="B226" t="str">
            <v>TV Unit</v>
          </cell>
          <cell r="C226">
            <v>1466.575816378725</v>
          </cell>
          <cell r="D226">
            <v>1698.974120878725</v>
          </cell>
          <cell r="E226">
            <v>1821.474120878725</v>
          </cell>
          <cell r="F226">
            <v>38241.337172392945</v>
          </cell>
        </row>
        <row r="227">
          <cell r="A227" t="str">
            <v>TU-MYN</v>
          </cell>
          <cell r="B227" t="str">
            <v>TV Unit</v>
          </cell>
          <cell r="C227">
            <v>1985.9464935978001</v>
          </cell>
          <cell r="D227">
            <v>2657.8027898978003</v>
          </cell>
          <cell r="E227">
            <v>2785.8027898978003</v>
          </cell>
          <cell r="F227">
            <v>49675.409171348714</v>
          </cell>
        </row>
        <row r="228">
          <cell r="A228" t="str">
            <v>TU-OL</v>
          </cell>
          <cell r="B228" t="str">
            <v>TV Unit</v>
          </cell>
          <cell r="C228">
            <v>472.449308454375</v>
          </cell>
          <cell r="D228">
            <v>530.42457505437494</v>
          </cell>
          <cell r="E228">
            <v>602.42457505437494</v>
          </cell>
          <cell r="F228">
            <v>12965.541225920606</v>
          </cell>
        </row>
        <row r="229">
          <cell r="A229" t="str">
            <v>TU-OLA</v>
          </cell>
          <cell r="B229" t="str">
            <v>TV Unit</v>
          </cell>
          <cell r="C229">
            <v>1093.1972363625</v>
          </cell>
          <cell r="D229">
            <v>1275.8946865125001</v>
          </cell>
          <cell r="E229">
            <v>1370.8946865125001</v>
          </cell>
          <cell r="F229">
            <v>30185.347927356488</v>
          </cell>
        </row>
        <row r="230">
          <cell r="A230" t="str">
            <v>TU-OML</v>
          </cell>
          <cell r="B230" t="str">
            <v>TV Unit</v>
          </cell>
          <cell r="C230">
            <v>1039.2548094512501</v>
          </cell>
          <cell r="D230">
            <v>1283.0031073012501</v>
          </cell>
          <cell r="E230">
            <v>1373.0031073012501</v>
          </cell>
          <cell r="F230">
            <v>27778.486695798907</v>
          </cell>
        </row>
        <row r="231">
          <cell r="A231" t="str">
            <v>TU-PIN</v>
          </cell>
          <cell r="B231" t="str">
            <v>TV Unit</v>
          </cell>
          <cell r="C231">
            <v>1969.3781036422504</v>
          </cell>
          <cell r="D231">
            <v>2367.8692542672502</v>
          </cell>
          <cell r="E231">
            <v>2527.3692542672502</v>
          </cell>
          <cell r="F231">
            <v>51446.491624602539</v>
          </cell>
        </row>
        <row r="232">
          <cell r="A232" t="str">
            <v>TU-PMG-LA</v>
          </cell>
          <cell r="B232" t="str">
            <v>TV Unit</v>
          </cell>
          <cell r="C232">
            <v>807.79057835300011</v>
          </cell>
          <cell r="D232">
            <v>911.35889035300011</v>
          </cell>
          <cell r="E232">
            <v>1003.3588903530001</v>
          </cell>
          <cell r="F232">
            <v>22178.136355954153</v>
          </cell>
        </row>
        <row r="233">
          <cell r="A233" t="str">
            <v>TU-PMG-ST</v>
          </cell>
          <cell r="B233" t="str">
            <v>TV Unit</v>
          </cell>
          <cell r="C233">
            <v>635.48846462062511</v>
          </cell>
          <cell r="D233">
            <v>741.68548407062519</v>
          </cell>
          <cell r="E233">
            <v>822.68548407062519</v>
          </cell>
          <cell r="F233">
            <v>17008.529866036071</v>
          </cell>
        </row>
        <row r="234">
          <cell r="A234" t="str">
            <v>TU-PM-LA</v>
          </cell>
          <cell r="B234" t="str">
            <v>TV Unit</v>
          </cell>
          <cell r="C234">
            <v>589.04445518950001</v>
          </cell>
          <cell r="D234">
            <v>679.35589018950009</v>
          </cell>
          <cell r="E234">
            <v>776.35589018950009</v>
          </cell>
          <cell r="F234">
            <v>16123.680228827239</v>
          </cell>
        </row>
        <row r="235">
          <cell r="A235" t="str">
            <v>TU-PMP-L</v>
          </cell>
          <cell r="B235" t="str">
            <v>TV Unit</v>
          </cell>
          <cell r="C235">
            <v>752.68603510662501</v>
          </cell>
          <cell r="D235">
            <v>840.16839430662503</v>
          </cell>
          <cell r="E235">
            <v>932.16839430662503</v>
          </cell>
          <cell r="F235">
            <v>20682.330410438262</v>
          </cell>
        </row>
        <row r="236">
          <cell r="A236" t="str">
            <v>TU-PMP-S</v>
          </cell>
          <cell r="B236" t="str">
            <v>TV Unit</v>
          </cell>
          <cell r="C236">
            <v>671.59667299312503</v>
          </cell>
          <cell r="D236">
            <v>758.12910699312499</v>
          </cell>
          <cell r="E236">
            <v>758.12910699312499</v>
          </cell>
          <cell r="F236">
            <v>16921.13683238034</v>
          </cell>
        </row>
        <row r="237">
          <cell r="A237" t="str">
            <v>TU-PMS-LA</v>
          </cell>
          <cell r="B237" t="str">
            <v>TV Unit</v>
          </cell>
          <cell r="C237">
            <v>420.85607895012504</v>
          </cell>
          <cell r="D237">
            <v>503.58982695012503</v>
          </cell>
          <cell r="E237">
            <v>598.58982695012503</v>
          </cell>
          <cell r="F237">
            <v>12234.346967117865</v>
          </cell>
        </row>
        <row r="238">
          <cell r="A238" t="str">
            <v>TU-PMS-ST</v>
          </cell>
          <cell r="B238" t="str">
            <v>TV Unit</v>
          </cell>
          <cell r="C238">
            <v>309.81014248000002</v>
          </cell>
          <cell r="D238">
            <v>391.54477848000005</v>
          </cell>
          <cell r="E238">
            <v>472.54477848000005</v>
          </cell>
          <cell r="F238">
            <v>8836.5666615297887</v>
          </cell>
        </row>
        <row r="239">
          <cell r="A239" t="str">
            <v>TU-PM-ST</v>
          </cell>
          <cell r="B239" t="str">
            <v>TV Unit</v>
          </cell>
          <cell r="C239">
            <v>471.50300262000007</v>
          </cell>
          <cell r="D239">
            <v>550.47112112000002</v>
          </cell>
          <cell r="E239">
            <v>633.47112112000002</v>
          </cell>
          <cell r="F239">
            <v>13568.734884286912</v>
          </cell>
        </row>
        <row r="240">
          <cell r="A240" t="str">
            <v>TU-PTL</v>
          </cell>
          <cell r="B240" t="str">
            <v>TV Unit</v>
          </cell>
          <cell r="C240">
            <v>861.18311970000002</v>
          </cell>
          <cell r="D240">
            <v>1012.6717907</v>
          </cell>
          <cell r="E240">
            <v>1082.6717907</v>
          </cell>
          <cell r="F240">
            <v>22867.853027018853</v>
          </cell>
        </row>
        <row r="241">
          <cell r="A241" t="str">
            <v>TU-RE-LA</v>
          </cell>
          <cell r="B241" t="str">
            <v>TV Unit</v>
          </cell>
          <cell r="C241">
            <v>536.92018552725006</v>
          </cell>
          <cell r="D241">
            <v>627.50980302725009</v>
          </cell>
          <cell r="E241">
            <v>707.50980302725009</v>
          </cell>
          <cell r="F241">
            <v>14680.920009586756</v>
          </cell>
        </row>
        <row r="242">
          <cell r="A242" t="str">
            <v>TU-RWT-LA</v>
          </cell>
          <cell r="B242" t="str">
            <v>TV Unit</v>
          </cell>
          <cell r="C242">
            <v>2620.5443453330754</v>
          </cell>
          <cell r="D242">
            <v>2950.8945612330758</v>
          </cell>
          <cell r="E242">
            <v>3280.8945612330758</v>
          </cell>
          <cell r="F242">
            <v>72601.142379560784</v>
          </cell>
        </row>
        <row r="243">
          <cell r="A243" t="str">
            <v>TU-RWT-M</v>
          </cell>
          <cell r="B243" t="str">
            <v>TV Unit</v>
          </cell>
          <cell r="C243">
            <v>1615.6061278707</v>
          </cell>
          <cell r="D243">
            <v>1953.6466989956998</v>
          </cell>
          <cell r="E243">
            <v>2119.1466989956998</v>
          </cell>
          <cell r="F243">
            <v>44837.6689480524</v>
          </cell>
        </row>
        <row r="244">
          <cell r="A244" t="str">
            <v>TU-RYE-LA</v>
          </cell>
          <cell r="B244" t="str">
            <v>TV Unit</v>
          </cell>
          <cell r="C244">
            <v>1098.8271832500002</v>
          </cell>
          <cell r="D244">
            <v>1175.0700344500001</v>
          </cell>
          <cell r="E244">
            <v>1272.0700344500001</v>
          </cell>
          <cell r="F244">
            <v>29660.781685663194</v>
          </cell>
        </row>
        <row r="245">
          <cell r="A245" t="str">
            <v>TU-RYE-ST</v>
          </cell>
          <cell r="B245" t="str">
            <v>TV Unit</v>
          </cell>
          <cell r="C245">
            <v>790.93775298750006</v>
          </cell>
          <cell r="D245">
            <v>848.58808758750001</v>
          </cell>
          <cell r="E245">
            <v>932.58808758750001</v>
          </cell>
          <cell r="F245">
            <v>21244.385896107862</v>
          </cell>
        </row>
        <row r="246">
          <cell r="A246" t="str">
            <v>TU-SKD</v>
          </cell>
          <cell r="B246" t="str">
            <v>TV Unit</v>
          </cell>
          <cell r="C246">
            <v>1113.1201858341001</v>
          </cell>
          <cell r="D246">
            <v>1307.9626273341003</v>
          </cell>
          <cell r="E246">
            <v>1421.9626273341003</v>
          </cell>
          <cell r="F246">
            <v>29340.363640037031</v>
          </cell>
        </row>
        <row r="247">
          <cell r="A247" t="str">
            <v>TU-SKDL</v>
          </cell>
          <cell r="B247" t="str">
            <v>TV Unit</v>
          </cell>
          <cell r="C247">
            <v>852.59313649000012</v>
          </cell>
          <cell r="D247">
            <v>1005.7327293900003</v>
          </cell>
          <cell r="E247">
            <v>1127.2327293900003</v>
          </cell>
          <cell r="F247">
            <v>23388.640576871476</v>
          </cell>
        </row>
        <row r="248">
          <cell r="A248" t="str">
            <v>TU-SNQ-LA</v>
          </cell>
          <cell r="B248" t="str">
            <v>TV Unit</v>
          </cell>
          <cell r="C248">
            <v>534.91120614750002</v>
          </cell>
          <cell r="D248">
            <v>603.84182139749998</v>
          </cell>
          <cell r="E248">
            <v>696.84182139749998</v>
          </cell>
          <cell r="F248">
            <v>15530.83065687333</v>
          </cell>
        </row>
        <row r="249">
          <cell r="A249" t="str">
            <v>TU-TK-LA</v>
          </cell>
          <cell r="B249" t="str">
            <v>TV Unit</v>
          </cell>
          <cell r="C249">
            <v>304.54714467500003</v>
          </cell>
          <cell r="D249">
            <v>365.82264392500002</v>
          </cell>
          <cell r="E249">
            <v>412.82264392500002</v>
          </cell>
          <cell r="F249">
            <v>8403.4873814839066</v>
          </cell>
        </row>
        <row r="250">
          <cell r="A250" t="str">
            <v>TU-TK-ST</v>
          </cell>
          <cell r="B250" t="str">
            <v>TV Unit</v>
          </cell>
          <cell r="C250">
            <v>245.30174922500004</v>
          </cell>
          <cell r="D250">
            <v>307.87894222500006</v>
          </cell>
          <cell r="E250">
            <v>341.87894222500006</v>
          </cell>
          <cell r="F250">
            <v>6498.1423574099708</v>
          </cell>
        </row>
        <row r="251">
          <cell r="A251" t="str">
            <v>TU-VC</v>
          </cell>
          <cell r="B251" t="str">
            <v>TV Unit</v>
          </cell>
          <cell r="C251">
            <v>530.48098528749995</v>
          </cell>
          <cell r="D251">
            <v>611.4401612874999</v>
          </cell>
          <cell r="E251">
            <v>681.4401612874999</v>
          </cell>
          <cell r="F251">
            <v>14089.170756045249</v>
          </cell>
        </row>
        <row r="252">
          <cell r="A252" t="str">
            <v>TU-VCO</v>
          </cell>
          <cell r="B252" t="str">
            <v>TV Unit</v>
          </cell>
          <cell r="C252">
            <v>727.69115113812506</v>
          </cell>
          <cell r="D252">
            <v>802.09927213812512</v>
          </cell>
          <cell r="E252">
            <v>872.09927213812512</v>
          </cell>
          <cell r="F252">
            <v>18593.527830583425</v>
          </cell>
        </row>
        <row r="253">
          <cell r="A253" t="str">
            <v>TU-WBM</v>
          </cell>
          <cell r="B253" t="str">
            <v>TV Unit</v>
          </cell>
          <cell r="C253">
            <v>1344.7711224533123</v>
          </cell>
          <cell r="D253">
            <v>1575.8764385033123</v>
          </cell>
          <cell r="E253">
            <v>1712.3764385033123</v>
          </cell>
          <cell r="F253">
            <v>33314.200633759785</v>
          </cell>
        </row>
        <row r="254">
          <cell r="A254" t="str">
            <v>TU-WBM-ST</v>
          </cell>
          <cell r="B254" t="str">
            <v>TV Unit</v>
          </cell>
          <cell r="C254">
            <v>1072.3843097324998</v>
          </cell>
          <cell r="D254">
            <v>1215.5912507324997</v>
          </cell>
          <cell r="E254">
            <v>1319.0912507324997</v>
          </cell>
          <cell r="F254">
            <v>26377.573563159316</v>
          </cell>
        </row>
        <row r="255">
          <cell r="A255" t="str">
            <v>W-AND-10N</v>
          </cell>
          <cell r="B255" t="str">
            <v>Wardrobe</v>
          </cell>
          <cell r="C255">
            <v>1772.5561477835502</v>
          </cell>
          <cell r="D255">
            <v>2031.6139795835502</v>
          </cell>
          <cell r="E255">
            <v>2216.6139795835502</v>
          </cell>
          <cell r="F255">
            <v>46356.614427302869</v>
          </cell>
        </row>
        <row r="256">
          <cell r="A256" t="str">
            <v>W-AND-10N (old)</v>
          </cell>
          <cell r="B256" t="str">
            <v>Wardrobe</v>
          </cell>
          <cell r="C256">
            <v>1886.5259230375</v>
          </cell>
          <cell r="D256">
            <v>0</v>
          </cell>
          <cell r="E256">
            <v>2281.9068220374998</v>
          </cell>
          <cell r="F256">
            <v>44994.833340600817</v>
          </cell>
        </row>
        <row r="257">
          <cell r="A257" t="str">
            <v>W-AND-11N</v>
          </cell>
          <cell r="B257" t="str">
            <v>Wardrobe</v>
          </cell>
          <cell r="C257">
            <v>2003.9525347794247</v>
          </cell>
          <cell r="D257">
            <v>2348.3564357794248</v>
          </cell>
          <cell r="E257">
            <v>2533.3564357794248</v>
          </cell>
          <cell r="F257">
            <v>48230.951182433753</v>
          </cell>
        </row>
        <row r="258">
          <cell r="A258" t="str">
            <v>W-AND-12N</v>
          </cell>
          <cell r="B258" t="str">
            <v>Wardrobe</v>
          </cell>
          <cell r="C258">
            <v>2016.7142102114501</v>
          </cell>
          <cell r="D258">
            <v>2526.1959892014502</v>
          </cell>
          <cell r="E258">
            <v>2686.1959892014502</v>
          </cell>
          <cell r="F258">
            <v>52998.544331664947</v>
          </cell>
        </row>
        <row r="259">
          <cell r="A259" t="str">
            <v>W-AND-2M</v>
          </cell>
          <cell r="B259" t="str">
            <v>Wardrobe</v>
          </cell>
          <cell r="C259">
            <v>3064.8897243548258</v>
          </cell>
          <cell r="D259">
            <v>4115.5872952964928</v>
          </cell>
          <cell r="E259">
            <v>4458.0872952964928</v>
          </cell>
          <cell r="F259">
            <v>81270.315458956145</v>
          </cell>
        </row>
        <row r="260">
          <cell r="A260" t="str">
            <v>W-AND-2N</v>
          </cell>
          <cell r="B260" t="str">
            <v>Wardrobe</v>
          </cell>
          <cell r="C260">
            <v>3082.8274459748259</v>
          </cell>
          <cell r="D260">
            <v>3703.2795949164924</v>
          </cell>
          <cell r="E260">
            <v>4045.7795949164924</v>
          </cell>
          <cell r="F260">
            <v>78624.004785316094</v>
          </cell>
        </row>
        <row r="261">
          <cell r="A261" t="str">
            <v>W-AND-3M</v>
          </cell>
          <cell r="B261" t="str">
            <v>Wardrobe</v>
          </cell>
          <cell r="C261">
            <v>4031.1648027319252</v>
          </cell>
          <cell r="D261">
            <v>5269.2081574985923</v>
          </cell>
          <cell r="E261">
            <v>5763.2081574985923</v>
          </cell>
          <cell r="F261">
            <v>106670.30138409865</v>
          </cell>
        </row>
        <row r="262">
          <cell r="A262" t="str">
            <v>W-AND-3N</v>
          </cell>
          <cell r="B262" t="str">
            <v>Wardrobe</v>
          </cell>
          <cell r="C262">
            <v>4031.1648027319252</v>
          </cell>
          <cell r="D262">
            <v>4940.8619333985916</v>
          </cell>
          <cell r="E262">
            <v>5434.8619333985916</v>
          </cell>
          <cell r="F262">
            <v>104003.58584236536</v>
          </cell>
        </row>
        <row r="263">
          <cell r="A263" t="str">
            <v>W-AND-4M</v>
          </cell>
          <cell r="B263" t="str">
            <v>Wardrobe</v>
          </cell>
          <cell r="C263">
            <v>5424.8151310941766</v>
          </cell>
          <cell r="D263">
            <v>7099.5183757691757</v>
          </cell>
          <cell r="E263">
            <v>7636.5183757691757</v>
          </cell>
          <cell r="F263">
            <v>143504.32997392435</v>
          </cell>
        </row>
        <row r="264">
          <cell r="A264" t="str">
            <v>W-AND-4N</v>
          </cell>
          <cell r="B264" t="str">
            <v>Wardrobe</v>
          </cell>
          <cell r="C264">
            <v>5424.8151310941766</v>
          </cell>
          <cell r="D264">
            <v>6731.9980009691762</v>
          </cell>
          <cell r="E264">
            <v>7268.9980009691762</v>
          </cell>
          <cell r="F264">
            <v>140711.43635019317</v>
          </cell>
        </row>
        <row r="265">
          <cell r="A265" t="str">
            <v>WA-PYS-N</v>
          </cell>
          <cell r="B265" t="str">
            <v>Wall Art</v>
          </cell>
          <cell r="C265">
            <v>61.780193279999992</v>
          </cell>
          <cell r="D265">
            <v>154.48972857473106</v>
          </cell>
          <cell r="E265">
            <v>184.48972857473106</v>
          </cell>
          <cell r="F265">
            <v>1886.8987145419542</v>
          </cell>
        </row>
        <row r="266">
          <cell r="A266" t="str">
            <v>WA-PYS-S</v>
          </cell>
          <cell r="B266" t="str">
            <v>Wall Art</v>
          </cell>
          <cell r="C266">
            <v>61.08632063999999</v>
          </cell>
          <cell r="D266">
            <v>177.5970807169146</v>
          </cell>
          <cell r="E266">
            <v>207.5970807169146</v>
          </cell>
          <cell r="F266">
            <v>2110.4794076016624</v>
          </cell>
        </row>
        <row r="267">
          <cell r="A267" t="str">
            <v>W-BNO</v>
          </cell>
          <cell r="B267" t="str">
            <v>Wardrobe</v>
          </cell>
          <cell r="C267">
            <v>1535.0080527374998</v>
          </cell>
          <cell r="D267">
            <v>1860.5612364041665</v>
          </cell>
          <cell r="E267">
            <v>1985.0612364041665</v>
          </cell>
          <cell r="F267">
            <v>40774.053913886171</v>
          </cell>
        </row>
        <row r="268">
          <cell r="A268" t="str">
            <v>W-CLO-3</v>
          </cell>
          <cell r="B268" t="str">
            <v>Wardrobe</v>
          </cell>
          <cell r="C268">
            <v>757.50752182420013</v>
          </cell>
          <cell r="D268">
            <v>882.21683932420012</v>
          </cell>
          <cell r="E268">
            <v>962.21683932420012</v>
          </cell>
          <cell r="F268">
            <v>19535.073558664499</v>
          </cell>
        </row>
        <row r="269">
          <cell r="A269" t="str">
            <v>W-CLO-345</v>
          </cell>
          <cell r="B269" t="str">
            <v>Wardrobe</v>
          </cell>
          <cell r="C269">
            <v>3048.6235634208001</v>
          </cell>
          <cell r="D269">
            <v>3513.8851578208005</v>
          </cell>
          <cell r="E269">
            <v>3808.8851578208005</v>
          </cell>
          <cell r="F269">
            <v>79564.692435569683</v>
          </cell>
        </row>
        <row r="270">
          <cell r="A270" t="str">
            <v>W-CLO-4</v>
          </cell>
          <cell r="B270" t="str">
            <v>Wardrobe</v>
          </cell>
          <cell r="C270">
            <v>1031.0999632896001</v>
          </cell>
          <cell r="D270">
            <v>1184.8638047896</v>
          </cell>
          <cell r="E270">
            <v>1279.8638047896</v>
          </cell>
          <cell r="F270">
            <v>27332.202246204317</v>
          </cell>
        </row>
        <row r="271">
          <cell r="A271" t="str">
            <v>W-CLO-5</v>
          </cell>
          <cell r="B271" t="str">
            <v>Wardrobe</v>
          </cell>
          <cell r="C271">
            <v>1260.016078307</v>
          </cell>
          <cell r="D271">
            <v>1446.8045137070001</v>
          </cell>
          <cell r="E271">
            <v>1566.8045137070001</v>
          </cell>
          <cell r="F271">
            <v>32697.416630700867</v>
          </cell>
        </row>
        <row r="272">
          <cell r="A272" t="str">
            <v>W-MLT-2N</v>
          </cell>
          <cell r="B272" t="str">
            <v>Wardrobe</v>
          </cell>
          <cell r="C272">
            <v>2105.2549691668005</v>
          </cell>
          <cell r="D272">
            <v>2424.8559945001339</v>
          </cell>
          <cell r="E272">
            <v>2630.3559945001339</v>
          </cell>
          <cell r="F272">
            <v>54585.806833035094</v>
          </cell>
        </row>
        <row r="273">
          <cell r="A273" t="str">
            <v>W-MLT-2NO</v>
          </cell>
          <cell r="B273" t="str">
            <v>Wardrobe</v>
          </cell>
          <cell r="C273">
            <v>2180.3981493719498</v>
          </cell>
          <cell r="D273">
            <v>0</v>
          </cell>
          <cell r="E273">
            <v>2724.9326073552829</v>
          </cell>
          <cell r="F273">
            <v>54734.469141666137</v>
          </cell>
        </row>
        <row r="274">
          <cell r="A274" t="str">
            <v>W-MLT-3N</v>
          </cell>
          <cell r="B274" t="str">
            <v>Wardrobe</v>
          </cell>
          <cell r="C274">
            <v>3145.6018609186508</v>
          </cell>
          <cell r="D274">
            <v>3583.1144762269846</v>
          </cell>
          <cell r="E274">
            <v>3888.6144762269846</v>
          </cell>
          <cell r="F274">
            <v>80113.937238074388</v>
          </cell>
        </row>
        <row r="275">
          <cell r="A275" t="str">
            <v>W-MLT-3N0</v>
          </cell>
          <cell r="B275" t="str">
            <v>Wardrobe</v>
          </cell>
          <cell r="C275">
            <v>3276.9730393784462</v>
          </cell>
          <cell r="D275">
            <v>0</v>
          </cell>
          <cell r="E275">
            <v>4070.2656546867797</v>
          </cell>
          <cell r="F275">
            <v>78821.223087736245</v>
          </cell>
        </row>
        <row r="276">
          <cell r="A276" t="str">
            <v>W-MLT-4N</v>
          </cell>
          <cell r="B276" t="str">
            <v>Wardrobe</v>
          </cell>
          <cell r="C276">
            <v>4221.3571520276246</v>
          </cell>
          <cell r="D276">
            <v>4980.5472197342915</v>
          </cell>
          <cell r="E276">
            <v>5461.5472197342915</v>
          </cell>
          <cell r="F276">
            <v>110303.66298668731</v>
          </cell>
        </row>
        <row r="277">
          <cell r="A277" t="str">
            <v>W-MLT-4N0</v>
          </cell>
          <cell r="B277" t="str">
            <v>Wardrobe</v>
          </cell>
          <cell r="C277">
            <v>4654.5832630196974</v>
          </cell>
          <cell r="D277">
            <v>0</v>
          </cell>
          <cell r="E277">
            <v>5876.7012585196962</v>
          </cell>
          <cell r="F277">
            <v>118616.22972893094</v>
          </cell>
        </row>
        <row r="278">
          <cell r="A278" t="str">
            <v>W-MLT-M</v>
          </cell>
          <cell r="B278" t="str">
            <v>Wardrobe</v>
          </cell>
          <cell r="C278">
            <v>2011.3660984720495</v>
          </cell>
          <cell r="D278">
            <v>2326.2768336720501</v>
          </cell>
          <cell r="E278">
            <v>2446.2768336720501</v>
          </cell>
          <cell r="F278">
            <v>51506.29055271855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bhinav Singh" id="{5E290A7E-80B2-4447-9641-375CDD528DD4}" userId="S::abhinav@bluewud.com::00c3970c-0d8e-47d7-9b91-c4e834c27ee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81096-01E0-44FC-B505-5C70C2CBC082}" name="Table1" displayName="Table1" ref="A3:AE322" totalsRowShown="0" dataDxfId="137">
  <autoFilter ref="A3:AE322" xr:uid="{F0381096-01E0-44FC-B505-5C70C2CBC082}">
    <filterColumn colId="19">
      <filters>
        <filter val="Y"/>
      </filters>
    </filterColumn>
  </autoFilter>
  <sortState xmlns:xlrd2="http://schemas.microsoft.com/office/spreadsheetml/2017/richdata2" ref="A4:AE322">
    <sortCondition ref="AE3:AE322"/>
  </sortState>
  <tableColumns count="31">
    <tableColumn id="1" xr3:uid="{DBBBD2CF-54B2-41A1-A02B-E9082CDC1158}" name="MTP SKU Code" dataDxfId="136"/>
    <tableColumn id="2" xr3:uid="{941295D9-F36D-40FF-893A-1F30B2C40678}" name="SB/MB" dataDxfId="135"/>
    <tableColumn id="3" xr3:uid="{8E01BCC5-4376-492E-A857-41CDEBDF2AA1}" name="Lcm" dataDxfId="134"/>
    <tableColumn id="4" xr3:uid="{06D9F211-AF78-4AC9-924E-C06193E9971E}" name="Bcm" dataDxfId="133"/>
    <tableColumn id="5" xr3:uid="{454C8903-FACB-41FC-B864-E882A263C286}" name="Hcm" dataDxfId="132"/>
    <tableColumn id="6" xr3:uid="{DBED6801-3561-48E1-B144-FB05A9DA4581}" name="PW(gm)" dataDxfId="131" dataCellStyle="Comma"/>
    <tableColumn id="7" xr3:uid="{4378EEC1-B387-44A0-ABEF-B51F2E870781}" name="Lcm2" dataDxfId="130" dataCellStyle="Comma"/>
    <tableColumn id="8" xr3:uid="{CFF4F39F-9E0E-4E8B-8964-F418104A6ACC}" name="Bcm3" dataDxfId="129" dataCellStyle="Comma"/>
    <tableColumn id="9" xr3:uid="{B47BD5F3-A0BD-4ADE-A7D0-0782EE734F91}" name="Hcm4" dataDxfId="128" dataCellStyle="Comma"/>
    <tableColumn id="10" xr3:uid="{AC654126-0ED2-4F3B-9B23-9D386CF92150}" name="PW(gm)5" dataDxfId="127" dataCellStyle="Comma"/>
    <tableColumn id="11" xr3:uid="{90E2CC91-7FC6-4012-A1E2-7048D502796D}" name="Lcm6" dataDxfId="126" dataCellStyle="Comma"/>
    <tableColumn id="12" xr3:uid="{B2402AB9-BE58-42D3-A575-DF5BB869C7DD}" name="Bcm7" dataDxfId="125" dataCellStyle="Comma"/>
    <tableColumn id="13" xr3:uid="{666640FD-2BA8-4EF4-B238-9F36D94EC512}" name="Hcm8" dataDxfId="124" dataCellStyle="Comma"/>
    <tableColumn id="14" xr3:uid="{3D0D0485-8D88-40DD-BACF-86542801921F}" name="PW(gm)9" dataDxfId="123" dataCellStyle="Comma"/>
    <tableColumn id="22" xr3:uid="{FD5CBA19-1F17-4096-BAE3-2E6929567013}" name="Column15" dataDxfId="122" dataCellStyle="Comma"/>
    <tableColumn id="15" xr3:uid="{24713E49-78A5-42E1-BC27-CE1BCA71E94A}" name="Kgs" dataDxfId="121" dataCellStyle="Comma">
      <calculatedColumnFormula>F4+J4+N4</calculatedColumnFormula>
    </tableColumn>
    <tableColumn id="16" xr3:uid="{8EBA2BF4-2EE1-499A-BA3F-E4AD787B0A99}" name="Gms" dataDxfId="120" dataCellStyle="Comma"/>
    <tableColumn id="17" xr3:uid="{F40ED5A5-104D-4B52-858F-844AD4139680}" name="Kgs10" dataDxfId="119" dataCellStyle="Comma">
      <calculatedColumnFormula>MAX(Q4,O4)</calculatedColumnFormula>
    </tableColumn>
    <tableColumn id="18" xr3:uid="{7F9F4869-1F2E-4C0D-98EB-93A736FBD4CE}" name="Column11" dataDxfId="118" dataCellStyle="Comma">
      <calculatedColumnFormula>MAX(R4,P4)</calculatedColumnFormula>
    </tableColumn>
    <tableColumn id="19" xr3:uid="{A96F4B15-797D-40F1-8447-0C7F47BBD0AB}" name="MTP.Chk" dataDxfId="117">
      <calculatedColumnFormula>VLOOKUP(A4,'[1]MTP SKUs - Master Data'!$A:$B,2,FALSE)</calculatedColumnFormula>
    </tableColumn>
    <tableColumn id="20" xr3:uid="{6D6959CE-BBB1-4A79-A147-F4AE4C644D88}" name="B1.Aud" dataDxfId="116">
      <calculatedColumnFormula>_xlfn.IFNA(VLOOKUP(Table1[[#This Row],[MTP SKU Code]],'Audit Dimensions'!A:N,6,FALSE),"ARC")</calculatedColumnFormula>
    </tableColumn>
    <tableColumn id="21" xr3:uid="{11795FE8-724C-40CD-A52D-49AE6A78AA33}" name="B1.Diff" dataDxfId="115">
      <calculatedColumnFormula>IFERROR(Table1[[#This Row],[B1.Aud]]-Table1[[#This Row],[PW(gm)]],"ERR")</calculatedColumnFormula>
    </tableColumn>
    <tableColumn id="28" xr3:uid="{4AD7A397-28F8-4997-8768-29D0FF23BC9D}" name="B1.Diff%" dataDxfId="114">
      <calculatedColumnFormula>IFERROR(Table1[[#This Row],[B1.Diff]]/Table1[[#This Row],[B1.Aud]],"ERR")</calculatedColumnFormula>
    </tableColumn>
    <tableColumn id="24" xr3:uid="{E180543D-A9B4-4E29-ABBB-79393569A661}" name="B2.Aud" dataDxfId="113">
      <calculatedColumnFormula>_xlfn.IFNA(VLOOKUP(Table1[[#This Row],[MTP SKU Code]],'Audit Dimensions'!A:N,10,FALSE),"ARC")</calculatedColumnFormula>
    </tableColumn>
    <tableColumn id="25" xr3:uid="{E6F79C43-4D9E-4936-AEC9-9DD8652AAD8C}" name="B2.Diff" dataDxfId="112">
      <calculatedColumnFormula>IFERROR(Table1[[#This Row],[B2.Aud]]-Table1[[#This Row],[PW(gm)5]],"ERR")</calculatedColumnFormula>
    </tableColumn>
    <tableColumn id="29" xr3:uid="{4720E0C0-13B4-437A-A8E9-5847FD12E8A4}" name="B2.Diff2%" dataDxfId="111">
      <calculatedColumnFormula>IFERROR(Table1[[#This Row],[B2.Diff]]/Table1[[#This Row],[B2.Aud]],"NA")</calculatedColumnFormula>
    </tableColumn>
    <tableColumn id="26" xr3:uid="{DAA291A5-9704-4DB6-B26C-0F95262BB958}" name="B3.Aud" dataDxfId="110">
      <calculatedColumnFormula>_xlfn.IFNA(VLOOKUP(Table1[[#This Row],[MTP SKU Code]],'Audit Dimensions'!A:N,14,FALSE),"ARC")</calculatedColumnFormula>
    </tableColumn>
    <tableColumn id="27" xr3:uid="{72EAABC3-E2B6-47FE-A3A8-BCA4F6DB3B18}" name="B3.Diff" dataDxfId="109">
      <calculatedColumnFormula>IFERROR(Table1[[#This Row],[B3.Aud]]-Table1[[#This Row],[PW(gm)9]],"ERR")</calculatedColumnFormula>
    </tableColumn>
    <tableColumn id="30" xr3:uid="{755B2BE0-99BB-4A14-9E06-E177B1411A89}" name="B3.Diff%" dataDxfId="108">
      <calculatedColumnFormula>IFERROR(Table1[[#This Row],[B3.Diff]]/Table1[[#This Row],[BaLL.Aud]],"ERR")</calculatedColumnFormula>
    </tableColumn>
    <tableColumn id="31" xr3:uid="{D59A903D-E5EF-4840-B03F-8B67428D59B6}" name="BaLL.Aud" dataDxfId="107">
      <calculatedColumnFormula>_xlfn.IFNA(VLOOKUP(Table1[[#This Row],[MTP SKU Code]],'Audit Dimensions'!A:U,16,FALSE),"ARC")</calculatedColumnFormula>
    </tableColumn>
    <tableColumn id="32" xr3:uid="{8F169E6B-963A-4DBE-9381-265D95808EB5}" name="BAll.Diff%" dataDxfId="106">
      <calculatedColumnFormula>IFERROR(1-Table1[[#This Row],[Gms]]/Table1[[#This Row],[BaLL.Aud]],"ERR")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68BC8D-CA7C-4230-B864-16A94CB1D316}" name="Table13" displayName="Table13" ref="A3:AE322" totalsRowShown="0" dataDxfId="55">
  <autoFilter ref="A3:AE322" xr:uid="{F0381096-01E0-44FC-B505-5C70C2CBC082}">
    <filterColumn colId="19">
      <filters>
        <filter val="RL"/>
        <filter val="Y"/>
      </filters>
    </filterColumn>
  </autoFilter>
  <sortState xmlns:xlrd2="http://schemas.microsoft.com/office/spreadsheetml/2017/richdata2" ref="A4:AE322">
    <sortCondition ref="AE3:AE322"/>
  </sortState>
  <tableColumns count="31">
    <tableColumn id="1" xr3:uid="{71141B06-DFC1-41AC-BA92-E44B0F389E58}" name="MTP SKU Code" dataDxfId="54"/>
    <tableColumn id="2" xr3:uid="{533B4017-C35C-4A6D-B8A4-DADEF88D9550}" name="SB/MB" dataDxfId="53"/>
    <tableColumn id="3" xr3:uid="{FF69E1F6-3669-459E-A8A2-52C2AE6E7B28}" name="Lcm" dataDxfId="52"/>
    <tableColumn id="4" xr3:uid="{A662D0B1-3831-44D5-AC79-620FBDB5A4FF}" name="Bcm" dataDxfId="51"/>
    <tableColumn id="5" xr3:uid="{A2BC7303-1078-409C-9FB2-0E5F234A9855}" name="Hcm" dataDxfId="50"/>
    <tableColumn id="6" xr3:uid="{86B94855-1260-4D27-AAD1-4ADD841CADE5}" name="PW(gm)" dataDxfId="49" dataCellStyle="Comma"/>
    <tableColumn id="7" xr3:uid="{E1F495E9-0307-4346-B31C-F2A2C743F546}" name="Lcm2" dataDxfId="48" dataCellStyle="Comma"/>
    <tableColumn id="8" xr3:uid="{252EB2D0-2E7F-4C68-9407-89BB0FAE9B1C}" name="Bcm3" dataDxfId="47" dataCellStyle="Comma"/>
    <tableColumn id="9" xr3:uid="{CBDD78DF-AACC-41CC-ACDE-0B995BE108E7}" name="Hcm4" dataDxfId="46" dataCellStyle="Comma"/>
    <tableColumn id="10" xr3:uid="{81920760-BBDC-415A-8DFA-6934A55F56F5}" name="PW(gm)5" dataDxfId="45" dataCellStyle="Comma"/>
    <tableColumn id="11" xr3:uid="{D13387EA-6E13-4502-9E80-08F9A8C0A290}" name="Lcm6" dataDxfId="44" dataCellStyle="Comma"/>
    <tableColumn id="12" xr3:uid="{3A63B50C-319E-461F-BD4A-B93D62EB285E}" name="Bcm7" dataDxfId="43" dataCellStyle="Comma"/>
    <tableColumn id="13" xr3:uid="{93650D7D-F484-40BD-99EE-A17684DC8DAD}" name="Hcm8" dataDxfId="42" dataCellStyle="Comma"/>
    <tableColumn id="14" xr3:uid="{75677881-9DEC-427B-98EE-4A0EF954D21F}" name="PW(gm)9" dataDxfId="41" dataCellStyle="Comma"/>
    <tableColumn id="22" xr3:uid="{A2E646E3-D6E9-4873-A474-F34F1E696144}" name="Column15" dataDxfId="40" dataCellStyle="Comma"/>
    <tableColumn id="15" xr3:uid="{1B1FC5D9-E7C2-4C2D-BB2E-98902DFEB1EA}" name="Kgs" dataDxfId="39" dataCellStyle="Comma">
      <calculatedColumnFormula>F4+J4+N4</calculatedColumnFormula>
    </tableColumn>
    <tableColumn id="16" xr3:uid="{0CAF9895-7497-4A09-B7E7-7ED69FE883FB}" name="Gms" dataDxfId="38" dataCellStyle="Comma"/>
    <tableColumn id="17" xr3:uid="{C5A84055-2F9E-4B2A-B485-0BBB99EC27D6}" name="Kgs10" dataDxfId="37" dataCellStyle="Comma">
      <calculatedColumnFormula>MAX(Q4,O4)</calculatedColumnFormula>
    </tableColumn>
    <tableColumn id="18" xr3:uid="{1DEC0301-044D-4F71-8DA7-80B6064A2790}" name="Column11" dataDxfId="36" dataCellStyle="Comma">
      <calculatedColumnFormula>MAX(R4,P4)</calculatedColumnFormula>
    </tableColumn>
    <tableColumn id="19" xr3:uid="{59C09FF8-6E47-4587-A779-B8D1B78BCD9F}" name="MTP.Chk" dataDxfId="35">
      <calculatedColumnFormula>VLOOKUP(A4,'[1]MTP SKUs - Master Data'!$A:$B,2,FALSE)</calculatedColumnFormula>
    </tableColumn>
    <tableColumn id="20" xr3:uid="{CFD68C7B-918D-4F92-96E5-38D34E224D90}" name="B1.Aud" dataDxfId="34">
      <calculatedColumnFormula>_xlfn.IFNA(VLOOKUP(Table13[[#This Row],[MTP SKU Code]],'Audit Dimensions'!A:N,6,FALSE),"ARC")</calculatedColumnFormula>
    </tableColumn>
    <tableColumn id="21" xr3:uid="{A08FF7F1-B338-4F86-A11B-D132DABD11F7}" name="B1.Diff" dataDxfId="33">
      <calculatedColumnFormula>IFERROR(Table13[[#This Row],[B1.Aud]]-Table13[[#This Row],[PW(gm)]],"ERR")</calculatedColumnFormula>
    </tableColumn>
    <tableColumn id="28" xr3:uid="{5BEE8E7D-0D4F-4574-BB08-0828C4C73EA0}" name="B1.Diff%" dataDxfId="32">
      <calculatedColumnFormula>IFERROR(Table13[[#This Row],[B1.Diff]]/Table13[[#This Row],[B1.Aud]],"ERR")</calculatedColumnFormula>
    </tableColumn>
    <tableColumn id="24" xr3:uid="{31470467-2940-40BF-A052-514F62EF9AF2}" name="B2.Aud" dataDxfId="31">
      <calculatedColumnFormula>_xlfn.IFNA(VLOOKUP(Table13[[#This Row],[MTP SKU Code]],'Audit Dimensions'!A:N,10,FALSE),"ARC")</calculatedColumnFormula>
    </tableColumn>
    <tableColumn id="25" xr3:uid="{B22ACDDE-F7B0-42F8-B139-83EB887DB276}" name="B2.Diff" dataDxfId="30">
      <calculatedColumnFormula>IFERROR(Table13[[#This Row],[B2.Aud]]-Table13[[#This Row],[PW(gm)5]],"ERR")</calculatedColumnFormula>
    </tableColumn>
    <tableColumn id="29" xr3:uid="{2C899010-8D29-4B70-B1AC-A624A767D2F7}" name="B2.Diff2%" dataDxfId="29">
      <calculatedColumnFormula>IFERROR(Table13[[#This Row],[B2.Diff]]/Table13[[#This Row],[B2.Aud]],"ERR")</calculatedColumnFormula>
    </tableColumn>
    <tableColumn id="26" xr3:uid="{632212CA-D0A3-41C7-BF2F-6875C2880E97}" name="B3.Aud" dataDxfId="28">
      <calculatedColumnFormula>_xlfn.IFNA(VLOOKUP(Table13[[#This Row],[MTP SKU Code]],'Audit Dimensions'!A:N,14,FALSE),"ARC")</calculatedColumnFormula>
    </tableColumn>
    <tableColumn id="27" xr3:uid="{38486EE5-74B2-46A6-BEF7-0D0F0615CE2B}" name="B3.Diff" dataDxfId="27">
      <calculatedColumnFormula>IFERROR(Table13[[#This Row],[B3.Aud]]-Table13[[#This Row],[PW(gm)9]],"ERR")</calculatedColumnFormula>
    </tableColumn>
    <tableColumn id="30" xr3:uid="{448E8265-71D8-4A4B-8161-6D60268F7447}" name="B3.Diff%" dataDxfId="26">
      <calculatedColumnFormula>IFERROR(Table13[[#This Row],[B3.Diff]]/Table13[[#This Row],[BaLL.Aud]],"ERR")</calculatedColumnFormula>
    </tableColumn>
    <tableColumn id="31" xr3:uid="{B6C4F756-DFC1-4FFC-800A-218494F734A6}" name="BaLL.Aud" dataDxfId="25">
      <calculatedColumnFormula>_xlfn.IFNA(VLOOKUP(Table13[[#This Row],[MTP SKU Code]],'Audit Dimensions'!A:U,16,FALSE),"ARC")</calculatedColumnFormula>
    </tableColumn>
    <tableColumn id="32" xr3:uid="{068432D3-4E6A-4FC6-8E64-300D9B79BE78}" name="BAll.Diff%" dataDxfId="24">
      <calculatedColumnFormula>IFERROR(1-Table13[[#This Row],[Gms]]/Table13[[#This Row],[BaLL.Aud]],"ERR")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1BA32E9B-D0DE-4E3A-99EA-699DBDFAC3C2}">
    <text xml:space="preserve">Physical Weight (variable)
</text>
  </threadedComment>
  <threadedComment ref="P2" dT="2026-01-30T13:38:35.14" personId="{5E290A7E-80B2-4447-9641-375CDD528DD4}" id="{EF7F9912-0557-45C7-99B2-B4D494D140DB}">
    <text>BD/DTDC/DLVRY @6Kgs
(divisibility by 4729~ LBH/28373*6)
Amazon @5.67 Kgs 
(divisibility by 5000)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0B04E303-E462-4D1A-B753-0273328B7E36}">
    <text xml:space="preserve">Physical Weight (variable)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5B76CBE9-0D33-4A4D-A9AB-DFC6216122A7}">
    <text xml:space="preserve">Physical Weight (variable)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C767F0ED-011B-4DCB-82CD-867692C18D8F}">
    <text xml:space="preserve">Physical Weight (variable)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=IFERROR([@Diff]/%5b@%5bB1.Aud%5d%5d,%22ERR%22)" TargetMode="External"/><Relationship Id="rId1" Type="http://schemas.openxmlformats.org/officeDocument/2006/relationships/hyperlink" Target="https://sellercentral.amazon.in/skucentral?mSku=TU-PMP-SWF&amp;ref=myi_skuc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mailto:=IFERROR([@Diff]/%5b@%5bB1.Aud%5d%5d,%22ERR%22)" TargetMode="External"/><Relationship Id="rId1" Type="http://schemas.openxmlformats.org/officeDocument/2006/relationships/hyperlink" Target="https://sellercentral.amazon.in/skucentral?mSku=TU-PMP-SWF&amp;ref=myi_skuc" TargetMode="External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4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D499-CB91-4255-9500-87A8C05B32BB}">
  <dimension ref="A1:AI322"/>
  <sheetViews>
    <sheetView tabSelected="1" workbookViewId="0">
      <pane ySplit="3" topLeftCell="A4" activePane="bottomLeft" state="frozen"/>
      <selection pane="bottomLeft" activeCell="F18" sqref="F18"/>
    </sheetView>
  </sheetViews>
  <sheetFormatPr defaultColWidth="8.85546875" defaultRowHeight="12.75"/>
  <cols>
    <col min="1" max="1" width="14.85546875" style="25" customWidth="1"/>
    <col min="2" max="2" width="6.7109375" style="6" customWidth="1"/>
    <col min="3" max="5" width="6.140625" style="33" customWidth="1"/>
    <col min="6" max="6" width="7.42578125" style="37" customWidth="1"/>
    <col min="7" max="10" width="6.5703125" style="18" customWidth="1"/>
    <col min="11" max="14" width="7.140625" style="34" customWidth="1"/>
    <col min="15" max="15" width="8.42578125" style="121" customWidth="1"/>
    <col min="16" max="16" width="10.5703125" style="126" customWidth="1"/>
    <col min="17" max="17" width="8.42578125" style="20" customWidth="1"/>
    <col min="18" max="18" width="11.7109375" style="20" bestFit="1" customWidth="1"/>
    <col min="19" max="19" width="10" style="20" customWidth="1"/>
    <col min="20" max="20" width="4.28515625" style="5" customWidth="1"/>
    <col min="21" max="21" width="8" style="6" customWidth="1"/>
    <col min="22" max="22" width="8.140625" style="6" customWidth="1"/>
    <col min="23" max="23" width="8.140625" style="164" customWidth="1"/>
    <col min="24" max="25" width="6.140625" style="6" customWidth="1"/>
    <col min="26" max="26" width="6.140625" style="164" customWidth="1"/>
    <col min="27" max="27" width="6.140625" style="6" customWidth="1"/>
    <col min="28" max="28" width="6.140625" style="5" customWidth="1"/>
    <col min="29" max="29" width="6.140625" style="167" customWidth="1"/>
    <col min="30" max="30" width="8.5703125" style="188" customWidth="1"/>
    <col min="31" max="31" width="8.85546875" style="6"/>
    <col min="32" max="16384" width="8.85546875" style="5"/>
  </cols>
  <sheetData>
    <row r="1" spans="1:31">
      <c r="A1" s="30" t="s">
        <v>0</v>
      </c>
      <c r="B1" s="27"/>
      <c r="C1" s="196" t="s">
        <v>1</v>
      </c>
      <c r="D1" s="196"/>
      <c r="E1" s="196"/>
      <c r="F1" s="196"/>
      <c r="G1" s="197" t="s">
        <v>2</v>
      </c>
      <c r="H1" s="197"/>
      <c r="I1" s="197"/>
      <c r="J1" s="197"/>
      <c r="K1" s="198" t="s">
        <v>3</v>
      </c>
      <c r="L1" s="198"/>
      <c r="M1" s="198"/>
      <c r="N1" s="198"/>
      <c r="O1" s="115" t="s">
        <v>4</v>
      </c>
      <c r="P1" s="122" t="s">
        <v>5</v>
      </c>
      <c r="Q1" s="199" t="s">
        <v>6</v>
      </c>
      <c r="R1" s="199"/>
      <c r="S1" s="35" t="s">
        <v>7</v>
      </c>
      <c r="U1" s="200" t="s">
        <v>8</v>
      </c>
      <c r="V1" s="200"/>
      <c r="W1" s="200"/>
      <c r="X1" s="200"/>
      <c r="Y1" s="200"/>
      <c r="Z1" s="200"/>
      <c r="AA1" s="200"/>
      <c r="AB1" s="200"/>
      <c r="AC1" s="200"/>
      <c r="AD1" s="187"/>
      <c r="AE1" s="104"/>
    </row>
    <row r="2" spans="1:31">
      <c r="A2" s="26"/>
      <c r="B2" s="27"/>
      <c r="C2" s="31" t="s">
        <v>9</v>
      </c>
      <c r="D2" s="31" t="s">
        <v>10</v>
      </c>
      <c r="E2" s="31" t="s">
        <v>11</v>
      </c>
      <c r="F2" s="36" t="s">
        <v>12</v>
      </c>
      <c r="G2" s="28" t="s">
        <v>9</v>
      </c>
      <c r="H2" s="28" t="s">
        <v>10</v>
      </c>
      <c r="I2" s="28" t="s">
        <v>11</v>
      </c>
      <c r="J2" s="28" t="s">
        <v>12</v>
      </c>
      <c r="K2" s="32" t="s">
        <v>9</v>
      </c>
      <c r="L2" s="32" t="s">
        <v>10</v>
      </c>
      <c r="M2" s="32" t="s">
        <v>11</v>
      </c>
      <c r="N2" s="32" t="s">
        <v>12</v>
      </c>
      <c r="O2" s="116" t="s">
        <v>13</v>
      </c>
      <c r="P2" s="193">
        <v>6</v>
      </c>
      <c r="Q2" s="35" t="s">
        <v>14</v>
      </c>
      <c r="R2" s="35" t="s">
        <v>15</v>
      </c>
      <c r="S2" s="35"/>
      <c r="U2" s="5"/>
      <c r="V2" s="5"/>
      <c r="W2" s="167"/>
      <c r="X2" s="5"/>
      <c r="Y2" s="5"/>
      <c r="Z2" s="167"/>
      <c r="AA2" s="5"/>
      <c r="AE2" s="164"/>
    </row>
    <row r="3" spans="1:31">
      <c r="A3" s="51" t="s">
        <v>16</v>
      </c>
      <c r="B3" s="52" t="s">
        <v>17</v>
      </c>
      <c r="C3" s="80" t="s">
        <v>18</v>
      </c>
      <c r="D3" s="80" t="s">
        <v>19</v>
      </c>
      <c r="E3" s="80" t="s">
        <v>20</v>
      </c>
      <c r="F3" s="81" t="s">
        <v>21</v>
      </c>
      <c r="G3" s="80" t="s">
        <v>22</v>
      </c>
      <c r="H3" s="80" t="s">
        <v>23</v>
      </c>
      <c r="I3" s="80" t="s">
        <v>24</v>
      </c>
      <c r="J3" s="82" t="s">
        <v>25</v>
      </c>
      <c r="K3" s="80" t="s">
        <v>26</v>
      </c>
      <c r="L3" s="80" t="s">
        <v>27</v>
      </c>
      <c r="M3" s="80" t="s">
        <v>28</v>
      </c>
      <c r="N3" s="82" t="s">
        <v>29</v>
      </c>
      <c r="O3" s="117" t="s">
        <v>30</v>
      </c>
      <c r="P3" s="124" t="s">
        <v>31</v>
      </c>
      <c r="Q3" s="83" t="s">
        <v>32</v>
      </c>
      <c r="R3" s="83" t="s">
        <v>33</v>
      </c>
      <c r="S3" s="83" t="s">
        <v>34</v>
      </c>
      <c r="T3" s="5" t="s">
        <v>35</v>
      </c>
      <c r="U3" s="6" t="s">
        <v>36</v>
      </c>
      <c r="V3" s="6" t="s">
        <v>37</v>
      </c>
      <c r="W3" s="6" t="s">
        <v>38</v>
      </c>
      <c r="X3" s="6" t="s">
        <v>39</v>
      </c>
      <c r="Y3" s="6" t="s">
        <v>40</v>
      </c>
      <c r="Z3" s="164" t="s">
        <v>41</v>
      </c>
      <c r="AA3" s="6" t="s">
        <v>42</v>
      </c>
      <c r="AB3" s="5" t="s">
        <v>43</v>
      </c>
      <c r="AC3" s="167" t="s">
        <v>44</v>
      </c>
      <c r="AD3" s="188" t="s">
        <v>45</v>
      </c>
      <c r="AE3" s="164" t="s">
        <v>46</v>
      </c>
    </row>
    <row r="4" spans="1:31" ht="12.4" customHeight="1">
      <c r="A4" s="68" t="s">
        <v>47</v>
      </c>
      <c r="B4" s="84" t="s">
        <v>48</v>
      </c>
      <c r="C4" s="190" t="str">
        <f>_xlfn.XLOOKUP(Table1[[#This Row],[MTP SKU Code]],'Audit Dimensions'!A:A,'Audit Dimensions'!C:C,0)</f>
        <v>0</v>
      </c>
      <c r="D4" s="190" t="str">
        <f>_xlfn.XLOOKUP(Table1[[#This Row],[MTP SKU Code]],'Audit Dimensions'!$A:$A,'Audit Dimensions'!D:D,0)</f>
        <v>0</v>
      </c>
      <c r="E4" s="190" t="str">
        <f>_xlfn.XLOOKUP(Table1[[#This Row],[MTP SKU Code]],'Audit Dimensions'!$A:$A,'Audit Dimensions'!E:E,0)</f>
        <v>0</v>
      </c>
      <c r="F4" s="190">
        <f>_xlfn.XLOOKUP(Table1[[#This Row],[MTP SKU Code]],'Audit Dimensions'!$A:$A,'Audit Dimensions'!F:F,0)</f>
        <v>4800</v>
      </c>
      <c r="G4" s="190" t="str">
        <f>_xlfn.XLOOKUP(Table1[[#This Row],[MTP SKU Code]],'Audit Dimensions'!$A:$A,'Audit Dimensions'!G:G,0)</f>
        <v>0</v>
      </c>
      <c r="H4" s="190" t="str">
        <f>_xlfn.XLOOKUP(Table1[[#This Row],[MTP SKU Code]],'Audit Dimensions'!$A:$A,'Audit Dimensions'!H:H,0)</f>
        <v>0</v>
      </c>
      <c r="I4" s="190" t="str">
        <f>_xlfn.XLOOKUP(Table1[[#This Row],[MTP SKU Code]],'Audit Dimensions'!$A:$A,'Audit Dimensions'!I:I,0)</f>
        <v>0</v>
      </c>
      <c r="J4" s="190" t="str">
        <f>_xlfn.XLOOKUP(Table1[[#This Row],[MTP SKU Code]],'Audit Dimensions'!$A:$A,'Audit Dimensions'!J:J,0)</f>
        <v>0</v>
      </c>
      <c r="K4" s="190" t="str">
        <f>_xlfn.XLOOKUP(Table1[[#This Row],[MTP SKU Code]],'Audit Dimensions'!$A:$A,'Audit Dimensions'!K:K,0)</f>
        <v>0</v>
      </c>
      <c r="L4" s="190" t="str">
        <f>_xlfn.XLOOKUP(Table1[[#This Row],[MTP SKU Code]],'Audit Dimensions'!$A:$A,'Audit Dimensions'!L:L,0)</f>
        <v>0</v>
      </c>
      <c r="M4" s="190" t="str">
        <f>_xlfn.XLOOKUP(Table1[[#This Row],[MTP SKU Code]],'Audit Dimensions'!$A:$A,'Audit Dimensions'!M:M,0)</f>
        <v>0</v>
      </c>
      <c r="N4" s="190" t="str">
        <f>_xlfn.XLOOKUP(Table1[[#This Row],[MTP SKU Code]],'Audit Dimensions'!$A:$A,'Audit Dimensions'!N:N,0)</f>
        <v>0</v>
      </c>
      <c r="O4" s="118">
        <f>((IFERROR((C4*D4*E4),0)+IFERROR((G4*H4*I4),0)+IFERROR((K4*L4*M4),0))/1000000)*35.32</f>
        <v>0</v>
      </c>
      <c r="P4" s="125">
        <f>Table1[[#This Row],[Column15]]*$P$2*1000</f>
        <v>0</v>
      </c>
      <c r="Q4" s="87">
        <f>F4+J4+N4</f>
        <v>4800</v>
      </c>
      <c r="R4" s="88">
        <f>MAX(Q4,O4)</f>
        <v>4800</v>
      </c>
      <c r="S4" s="86">
        <f>MAX(R4,P4)</f>
        <v>4800</v>
      </c>
      <c r="T4" s="156" t="str">
        <f>VLOOKUP(A4,'[1]MTP SKUs - Master Data'!$A:$B,2,FALSE)</f>
        <v>Y</v>
      </c>
      <c r="U4" s="162">
        <f>_xlfn.IFNA(VLOOKUP(Table1[[#This Row],[MTP SKU Code]],'Audit Dimensions'!A:N,6,FALSE),"ARC")</f>
        <v>4800</v>
      </c>
      <c r="V4" s="162">
        <f>IFERROR(Table1[[#This Row],[B1.Aud]]-Table1[[#This Row],[PW(gm)]],"ERR")</f>
        <v>0</v>
      </c>
      <c r="W4" s="165">
        <f>IFERROR(Table1[[#This Row],[B1.Diff]]/Table1[[#This Row],[B1.Aud]],"ERR")</f>
        <v>0</v>
      </c>
      <c r="X4" s="162" t="str">
        <f>_xlfn.IFNA(VLOOKUP(Table1[[#This Row],[MTP SKU Code]],'Audit Dimensions'!A:N,10,FALSE),"ARC")</f>
        <v>0</v>
      </c>
      <c r="Y4" s="163">
        <f>IFERROR(Table1[[#This Row],[B2.Aud]]-Table1[[#This Row],[PW(gm)5]],"ERR")</f>
        <v>0</v>
      </c>
      <c r="Z4" s="165" t="str">
        <f>IFERROR(Table1[[#This Row],[B2.Diff]]/Table1[[#This Row],[B2.Aud]],"NA")</f>
        <v>NA</v>
      </c>
      <c r="AA4" s="162" t="str">
        <f>_xlfn.IFNA(VLOOKUP(Table1[[#This Row],[MTP SKU Code]],'Audit Dimensions'!A:N,14,FALSE),"ARC")</f>
        <v>0</v>
      </c>
      <c r="AB4" s="161">
        <f>IFERROR(Table1[[#This Row],[B3.Aud]]-Table1[[#This Row],[PW(gm)9]],"ERR")</f>
        <v>0</v>
      </c>
      <c r="AC4" s="168">
        <f>IFERROR(Table1[[#This Row],[B3.Diff]]/Table1[[#This Row],[BaLL.Aud]],"ERR")</f>
        <v>0</v>
      </c>
      <c r="AD4" s="189">
        <f>_xlfn.IFNA(VLOOKUP(Table1[[#This Row],[MTP SKU Code]],'Audit Dimensions'!A:U,16,FALSE),"ARC")</f>
        <v>4800</v>
      </c>
      <c r="AE4" s="165">
        <f>IFERROR(1-Table1[[#This Row],[Gms]]/Table1[[#This Row],[BaLL.Aud]],"ERR")</f>
        <v>0</v>
      </c>
    </row>
    <row r="5" spans="1:31">
      <c r="A5" s="68" t="s">
        <v>49</v>
      </c>
      <c r="B5" s="84" t="s">
        <v>48</v>
      </c>
      <c r="C5" s="190">
        <f>_xlfn.XLOOKUP(Table1[[#This Row],[MTP SKU Code]],'Audit Dimensions'!A:A,'Audit Dimensions'!C:C,0)</f>
        <v>70</v>
      </c>
      <c r="D5" s="190">
        <f>_xlfn.XLOOKUP(Table1[[#This Row],[MTP SKU Code]],'Audit Dimensions'!$A:$A,'Audit Dimensions'!D:D,0)</f>
        <v>23</v>
      </c>
      <c r="E5" s="190">
        <v>5</v>
      </c>
      <c r="F5" s="190">
        <v>1890</v>
      </c>
      <c r="G5" s="190">
        <f>_xlfn.XLOOKUP(Table1[[#This Row],[MTP SKU Code]],'Audit Dimensions'!$A:$A,'Audit Dimensions'!G:G,0)</f>
        <v>0</v>
      </c>
      <c r="H5" s="190">
        <f>_xlfn.XLOOKUP(Table1[[#This Row],[MTP SKU Code]],'Audit Dimensions'!$A:$A,'Audit Dimensions'!H:H,0)</f>
        <v>0</v>
      </c>
      <c r="I5" s="190">
        <f>_xlfn.XLOOKUP(Table1[[#This Row],[MTP SKU Code]],'Audit Dimensions'!$A:$A,'Audit Dimensions'!I:I,0)</f>
        <v>0</v>
      </c>
      <c r="J5" s="190">
        <f>_xlfn.XLOOKUP(Table1[[#This Row],[MTP SKU Code]],'Audit Dimensions'!$A:$A,'Audit Dimensions'!J:J,0)</f>
        <v>0</v>
      </c>
      <c r="K5" s="190">
        <f>_xlfn.XLOOKUP(Table1[[#This Row],[MTP SKU Code]],'Audit Dimensions'!$A:$A,'Audit Dimensions'!K:K,0)</f>
        <v>0</v>
      </c>
      <c r="L5" s="190">
        <f>_xlfn.XLOOKUP(Table1[[#This Row],[MTP SKU Code]],'Audit Dimensions'!$A:$A,'Audit Dimensions'!L:L,0)</f>
        <v>0</v>
      </c>
      <c r="M5" s="190">
        <f>_xlfn.XLOOKUP(Table1[[#This Row],[MTP SKU Code]],'Audit Dimensions'!$A:$A,'Audit Dimensions'!M:M,0)</f>
        <v>0</v>
      </c>
      <c r="N5" s="190">
        <f>_xlfn.XLOOKUP(Table1[[#This Row],[MTP SKU Code]],'Audit Dimensions'!$A:$A,'Audit Dimensions'!N:N,0)</f>
        <v>0</v>
      </c>
      <c r="O5" s="118">
        <f>((IFERROR((C5*D5*E5),0)+IFERROR((G5*H5*I5),0)+IFERROR((K5*L5*M5),0))/1000000)*35.32</f>
        <v>0.28432600000000002</v>
      </c>
      <c r="P5" s="125">
        <f>Table1[[#This Row],[Column15]]*$P$2*1000</f>
        <v>1705.9560000000001</v>
      </c>
      <c r="Q5" s="87">
        <f>F5+J5+N5</f>
        <v>1890</v>
      </c>
      <c r="R5" s="86">
        <f>MAX(Q5,O5)</f>
        <v>1890</v>
      </c>
      <c r="S5" s="86">
        <f>MAX(R5,P5)</f>
        <v>1890</v>
      </c>
      <c r="T5" s="156" t="str">
        <f>VLOOKUP(A5,'[1]MTP SKUs - Master Data'!$A:$B,2,FALSE)</f>
        <v>Y</v>
      </c>
      <c r="U5" s="162">
        <f>_xlfn.IFNA(VLOOKUP(Table1[[#This Row],[MTP SKU Code]],'Audit Dimensions'!A:N,6,FALSE),"ARC")</f>
        <v>1940</v>
      </c>
      <c r="V5" s="162">
        <f>IFERROR(Table1[[#This Row],[B1.Aud]]-Table1[[#This Row],[PW(gm)]],"ERR")</f>
        <v>50</v>
      </c>
      <c r="W5" s="165">
        <f>IFERROR(Table1[[#This Row],[B1.Diff]]/Table1[[#This Row],[B1.Aud]],"ERR")</f>
        <v>2.5773195876288658E-2</v>
      </c>
      <c r="X5" s="162">
        <f>_xlfn.IFNA(VLOOKUP(Table1[[#This Row],[MTP SKU Code]],'Audit Dimensions'!A:N,10,FALSE),"ARC")</f>
        <v>0</v>
      </c>
      <c r="Y5" s="163">
        <f>IFERROR(Table1[[#This Row],[B2.Aud]]-Table1[[#This Row],[PW(gm)5]],"ERR")</f>
        <v>0</v>
      </c>
      <c r="Z5" s="165" t="str">
        <f>IFERROR(Table1[[#This Row],[B2.Diff]]/Table1[[#This Row],[B2.Aud]],"NA")</f>
        <v>NA</v>
      </c>
      <c r="AA5" s="162">
        <f>_xlfn.IFNA(VLOOKUP(Table1[[#This Row],[MTP SKU Code]],'Audit Dimensions'!A:N,14,FALSE),"ARC")</f>
        <v>0</v>
      </c>
      <c r="AB5" s="161">
        <f>IFERROR(Table1[[#This Row],[B3.Aud]]-Table1[[#This Row],[PW(gm)9]],"ERR")</f>
        <v>0</v>
      </c>
      <c r="AC5" s="168">
        <f>IFERROR(Table1[[#This Row],[B3.Diff]]/Table1[[#This Row],[BaLL.Aud]],"ERR")</f>
        <v>0</v>
      </c>
      <c r="AD5" s="189">
        <f>_xlfn.IFNA(VLOOKUP(Table1[[#This Row],[MTP SKU Code]],'Audit Dimensions'!A:U,16,FALSE),"ARC")</f>
        <v>1940</v>
      </c>
      <c r="AE5" s="165">
        <f>IFERROR(1-Table1[[#This Row],[Gms]]/Table1[[#This Row],[BaLL.Aud]],"ERR")</f>
        <v>2.5773195876288679E-2</v>
      </c>
    </row>
    <row r="6" spans="1:31">
      <c r="A6" s="68" t="s">
        <v>50</v>
      </c>
      <c r="B6" s="84" t="s">
        <v>48</v>
      </c>
      <c r="C6" s="190" t="str">
        <f>_xlfn.XLOOKUP(Table1[[#This Row],[MTP SKU Code]],'Audit Dimensions'!A:A,'Audit Dimensions'!C:C,0)</f>
        <v>0</v>
      </c>
      <c r="D6" s="190" t="str">
        <f>_xlfn.XLOOKUP(Table1[[#This Row],[MTP SKU Code]],'Audit Dimensions'!$A:$A,'Audit Dimensions'!D:D,0)</f>
        <v>0</v>
      </c>
      <c r="E6" s="190" t="str">
        <f>_xlfn.XLOOKUP(Table1[[#This Row],[MTP SKU Code]],'Audit Dimensions'!$A:$A,'Audit Dimensions'!E:E,0)</f>
        <v>0</v>
      </c>
      <c r="F6" s="190">
        <f>_xlfn.XLOOKUP(Table1[[#This Row],[MTP SKU Code]],'Audit Dimensions'!$A:$A,'Audit Dimensions'!F:F,0)</f>
        <v>8900</v>
      </c>
      <c r="G6" s="190" t="str">
        <f>_xlfn.XLOOKUP(Table1[[#This Row],[MTP SKU Code]],'Audit Dimensions'!$A:$A,'Audit Dimensions'!G:G,0)</f>
        <v>0</v>
      </c>
      <c r="H6" s="190" t="str">
        <f>_xlfn.XLOOKUP(Table1[[#This Row],[MTP SKU Code]],'Audit Dimensions'!$A:$A,'Audit Dimensions'!H:H,0)</f>
        <v>0</v>
      </c>
      <c r="I6" s="190" t="str">
        <f>_xlfn.XLOOKUP(Table1[[#This Row],[MTP SKU Code]],'Audit Dimensions'!$A:$A,'Audit Dimensions'!I:I,0)</f>
        <v>0</v>
      </c>
      <c r="J6" s="190" t="str">
        <f>_xlfn.XLOOKUP(Table1[[#This Row],[MTP SKU Code]],'Audit Dimensions'!$A:$A,'Audit Dimensions'!J:J,0)</f>
        <v>0</v>
      </c>
      <c r="K6" s="190" t="str">
        <f>_xlfn.XLOOKUP(Table1[[#This Row],[MTP SKU Code]],'Audit Dimensions'!$A:$A,'Audit Dimensions'!K:K,0)</f>
        <v>0</v>
      </c>
      <c r="L6" s="190" t="str">
        <f>_xlfn.XLOOKUP(Table1[[#This Row],[MTP SKU Code]],'Audit Dimensions'!$A:$A,'Audit Dimensions'!L:L,0)</f>
        <v>0</v>
      </c>
      <c r="M6" s="190" t="str">
        <f>_xlfn.XLOOKUP(Table1[[#This Row],[MTP SKU Code]],'Audit Dimensions'!$A:$A,'Audit Dimensions'!M:M,0)</f>
        <v>0</v>
      </c>
      <c r="N6" s="190" t="str">
        <f>_xlfn.XLOOKUP(Table1[[#This Row],[MTP SKU Code]],'Audit Dimensions'!$A:$A,'Audit Dimensions'!N:N,0)</f>
        <v>0</v>
      </c>
      <c r="O6" s="118">
        <f>((IFERROR((C6*D6*E6),0)+IFERROR((G6*H6*I6),0)+IFERROR((K6*L6*M6),0))/1000000)*35.32</f>
        <v>0</v>
      </c>
      <c r="P6" s="125">
        <f>Table1[[#This Row],[Column15]]*$P$2*1000</f>
        <v>0</v>
      </c>
      <c r="Q6" s="87">
        <f>F6+J6+N6</f>
        <v>8900</v>
      </c>
      <c r="R6" s="88">
        <f>MAX(Q6,O6)</f>
        <v>8900</v>
      </c>
      <c r="S6" s="86">
        <f>MAX(R6,P6)</f>
        <v>8900</v>
      </c>
      <c r="T6" s="156" t="str">
        <f>VLOOKUP(A6,'[1]MTP SKUs - Master Data'!$A:$B,2,FALSE)</f>
        <v>Y</v>
      </c>
      <c r="U6" s="162">
        <f>_xlfn.IFNA(VLOOKUP(Table1[[#This Row],[MTP SKU Code]],'Audit Dimensions'!A:N,6,FALSE),"ARC")</f>
        <v>8900</v>
      </c>
      <c r="V6" s="162">
        <f>IFERROR(Table1[[#This Row],[B1.Aud]]-Table1[[#This Row],[PW(gm)]],"ERR")</f>
        <v>0</v>
      </c>
      <c r="W6" s="165">
        <f>IFERROR(Table1[[#This Row],[B1.Diff]]/Table1[[#This Row],[B1.Aud]],"ERR")</f>
        <v>0</v>
      </c>
      <c r="X6" s="162" t="str">
        <f>_xlfn.IFNA(VLOOKUP(Table1[[#This Row],[MTP SKU Code]],'Audit Dimensions'!A:N,10,FALSE),"ARC")</f>
        <v>0</v>
      </c>
      <c r="Y6" s="163">
        <f>IFERROR(Table1[[#This Row],[B2.Aud]]-Table1[[#This Row],[PW(gm)5]],"ERR")</f>
        <v>0</v>
      </c>
      <c r="Z6" s="165" t="str">
        <f>IFERROR(Table1[[#This Row],[B2.Diff]]/Table1[[#This Row],[B2.Aud]],"NA")</f>
        <v>NA</v>
      </c>
      <c r="AA6" s="162" t="str">
        <f>_xlfn.IFNA(VLOOKUP(Table1[[#This Row],[MTP SKU Code]],'Audit Dimensions'!A:N,14,FALSE),"ARC")</f>
        <v>0</v>
      </c>
      <c r="AB6" s="161">
        <f>IFERROR(Table1[[#This Row],[B3.Aud]]-Table1[[#This Row],[PW(gm)9]],"ERR")</f>
        <v>0</v>
      </c>
      <c r="AC6" s="168">
        <f>IFERROR(Table1[[#This Row],[B3.Diff]]/Table1[[#This Row],[BaLL.Aud]],"ERR")</f>
        <v>0</v>
      </c>
      <c r="AD6" s="189">
        <f>_xlfn.IFNA(VLOOKUP(Table1[[#This Row],[MTP SKU Code]],'Audit Dimensions'!A:U,16,FALSE),"ARC")</f>
        <v>8900</v>
      </c>
      <c r="AE6" s="165">
        <f>IFERROR(1-Table1[[#This Row],[Gms]]/Table1[[#This Row],[BaLL.Aud]],"ERR")</f>
        <v>0</v>
      </c>
    </row>
    <row r="7" spans="1:31">
      <c r="A7" s="68" t="s">
        <v>51</v>
      </c>
      <c r="B7" s="84" t="s">
        <v>48</v>
      </c>
      <c r="C7" s="190" t="str">
        <f>_xlfn.XLOOKUP(Table1[[#This Row],[MTP SKU Code]],'Audit Dimensions'!A:A,'Audit Dimensions'!C:C,0)</f>
        <v>0</v>
      </c>
      <c r="D7" s="190" t="str">
        <f>_xlfn.XLOOKUP(Table1[[#This Row],[MTP SKU Code]],'Audit Dimensions'!$A:$A,'Audit Dimensions'!D:D,0)</f>
        <v>0</v>
      </c>
      <c r="E7" s="190" t="str">
        <f>_xlfn.XLOOKUP(Table1[[#This Row],[MTP SKU Code]],'Audit Dimensions'!$A:$A,'Audit Dimensions'!E:E,0)</f>
        <v>0</v>
      </c>
      <c r="F7" s="190">
        <v>30500</v>
      </c>
      <c r="G7" s="190" t="str">
        <f>_xlfn.XLOOKUP(Table1[[#This Row],[MTP SKU Code]],'Audit Dimensions'!$A:$A,'Audit Dimensions'!G:G,0)</f>
        <v>0</v>
      </c>
      <c r="H7" s="190" t="str">
        <f>_xlfn.XLOOKUP(Table1[[#This Row],[MTP SKU Code]],'Audit Dimensions'!$A:$A,'Audit Dimensions'!H:H,0)</f>
        <v>0</v>
      </c>
      <c r="I7" s="190" t="str">
        <f>_xlfn.XLOOKUP(Table1[[#This Row],[MTP SKU Code]],'Audit Dimensions'!$A:$A,'Audit Dimensions'!I:I,0)</f>
        <v>0</v>
      </c>
      <c r="J7" s="190" t="str">
        <f>_xlfn.XLOOKUP(Table1[[#This Row],[MTP SKU Code]],'Audit Dimensions'!$A:$A,'Audit Dimensions'!J:J,0)</f>
        <v>0</v>
      </c>
      <c r="K7" s="190" t="str">
        <f>_xlfn.XLOOKUP(Table1[[#This Row],[MTP SKU Code]],'Audit Dimensions'!$A:$A,'Audit Dimensions'!K:K,0)</f>
        <v>0</v>
      </c>
      <c r="L7" s="190" t="str">
        <f>_xlfn.XLOOKUP(Table1[[#This Row],[MTP SKU Code]],'Audit Dimensions'!$A:$A,'Audit Dimensions'!L:L,0)</f>
        <v>0</v>
      </c>
      <c r="M7" s="190" t="str">
        <f>_xlfn.XLOOKUP(Table1[[#This Row],[MTP SKU Code]],'Audit Dimensions'!$A:$A,'Audit Dimensions'!M:M,0)</f>
        <v>0</v>
      </c>
      <c r="N7" s="190" t="str">
        <f>_xlfn.XLOOKUP(Table1[[#This Row],[MTP SKU Code]],'Audit Dimensions'!$A:$A,'Audit Dimensions'!N:N,0)</f>
        <v>0</v>
      </c>
      <c r="O7" s="118">
        <f>((IFERROR((C7*D7*E7),0)+IFERROR((G7*H7*I7),0)+IFERROR((K7*L7*M7),0))/1000000)*35.32</f>
        <v>0</v>
      </c>
      <c r="P7" s="125">
        <f>Table1[[#This Row],[Column15]]*$P$2*1000</f>
        <v>0</v>
      </c>
      <c r="Q7" s="87">
        <f>F7+J7+N7</f>
        <v>30500</v>
      </c>
      <c r="R7" s="88">
        <f>MAX(Q7,O7)</f>
        <v>30500</v>
      </c>
      <c r="S7" s="86">
        <f>MAX(R7,P7)</f>
        <v>30500</v>
      </c>
      <c r="T7" s="156" t="str">
        <f>VLOOKUP(A7,'[1]MTP SKUs - Master Data'!$A:$B,2,FALSE)</f>
        <v>Y</v>
      </c>
      <c r="U7" s="162">
        <f>_xlfn.IFNA(VLOOKUP(Table1[[#This Row],[MTP SKU Code]],'Audit Dimensions'!A:N,6,FALSE),"ARC")</f>
        <v>31800</v>
      </c>
      <c r="V7" s="162">
        <f>IFERROR(Table1[[#This Row],[B1.Aud]]-Table1[[#This Row],[PW(gm)]],"ERR")</f>
        <v>1300</v>
      </c>
      <c r="W7" s="165">
        <f>IFERROR(Table1[[#This Row],[B1.Diff]]/Table1[[#This Row],[B1.Aud]],"ERR")</f>
        <v>4.0880503144654086E-2</v>
      </c>
      <c r="X7" s="162" t="str">
        <f>_xlfn.IFNA(VLOOKUP(Table1[[#This Row],[MTP SKU Code]],'Audit Dimensions'!A:N,10,FALSE),"ARC")</f>
        <v>0</v>
      </c>
      <c r="Y7" s="163">
        <f>IFERROR(Table1[[#This Row],[B2.Aud]]-Table1[[#This Row],[PW(gm)5]],"ERR")</f>
        <v>0</v>
      </c>
      <c r="Z7" s="165" t="str">
        <f>IFERROR(Table1[[#This Row],[B2.Diff]]/Table1[[#This Row],[B2.Aud]],"NA")</f>
        <v>NA</v>
      </c>
      <c r="AA7" s="162" t="str">
        <f>_xlfn.IFNA(VLOOKUP(Table1[[#This Row],[MTP SKU Code]],'Audit Dimensions'!A:N,14,FALSE),"ARC")</f>
        <v>0</v>
      </c>
      <c r="AB7" s="161">
        <f>IFERROR(Table1[[#This Row],[B3.Aud]]-Table1[[#This Row],[PW(gm)9]],"ERR")</f>
        <v>0</v>
      </c>
      <c r="AC7" s="168">
        <f>IFERROR(Table1[[#This Row],[B3.Diff]]/Table1[[#This Row],[BaLL.Aud]],"ERR")</f>
        <v>0</v>
      </c>
      <c r="AD7" s="189">
        <f>_xlfn.IFNA(VLOOKUP(Table1[[#This Row],[MTP SKU Code]],'Audit Dimensions'!A:U,16,FALSE),"ARC")</f>
        <v>31800</v>
      </c>
      <c r="AE7" s="165">
        <f>IFERROR(1-Table1[[#This Row],[Gms]]/Table1[[#This Row],[BaLL.Aud]],"ERR")</f>
        <v>4.0880503144654079E-2</v>
      </c>
    </row>
    <row r="8" spans="1:31">
      <c r="A8" s="70" t="s">
        <v>52</v>
      </c>
      <c r="B8" s="84" t="s">
        <v>48</v>
      </c>
      <c r="C8" s="190">
        <v>32</v>
      </c>
      <c r="D8" s="190">
        <v>30</v>
      </c>
      <c r="E8" s="190">
        <v>4</v>
      </c>
      <c r="F8" s="190">
        <f>_xlfn.XLOOKUP(Table1[[#This Row],[MTP SKU Code]],'Audit Dimensions'!$A:$A,'Audit Dimensions'!F:F,0)</f>
        <v>750</v>
      </c>
      <c r="G8" s="190">
        <f>_xlfn.XLOOKUP(Table1[[#This Row],[MTP SKU Code]],'Audit Dimensions'!$A:$A,'Audit Dimensions'!G:G,0)</f>
        <v>0</v>
      </c>
      <c r="H8" s="190">
        <f>_xlfn.XLOOKUP(Table1[[#This Row],[MTP SKU Code]],'Audit Dimensions'!$A:$A,'Audit Dimensions'!H:H,0)</f>
        <v>0</v>
      </c>
      <c r="I8" s="190">
        <f>_xlfn.XLOOKUP(Table1[[#This Row],[MTP SKU Code]],'Audit Dimensions'!$A:$A,'Audit Dimensions'!I:I,0)</f>
        <v>0</v>
      </c>
      <c r="J8" s="190">
        <f>_xlfn.XLOOKUP(Table1[[#This Row],[MTP SKU Code]],'Audit Dimensions'!$A:$A,'Audit Dimensions'!J:J,0)</f>
        <v>0</v>
      </c>
      <c r="K8" s="190">
        <f>_xlfn.XLOOKUP(Table1[[#This Row],[MTP SKU Code]],'Audit Dimensions'!$A:$A,'Audit Dimensions'!K:K,0)</f>
        <v>0</v>
      </c>
      <c r="L8" s="190">
        <f>_xlfn.XLOOKUP(Table1[[#This Row],[MTP SKU Code]],'Audit Dimensions'!$A:$A,'Audit Dimensions'!L:L,0)</f>
        <v>0</v>
      </c>
      <c r="M8" s="190">
        <f>_xlfn.XLOOKUP(Table1[[#This Row],[MTP SKU Code]],'Audit Dimensions'!$A:$A,'Audit Dimensions'!M:M,0)</f>
        <v>0</v>
      </c>
      <c r="N8" s="190">
        <f>_xlfn.XLOOKUP(Table1[[#This Row],[MTP SKU Code]],'Audit Dimensions'!$A:$A,'Audit Dimensions'!N:N,0)</f>
        <v>0</v>
      </c>
      <c r="O8" s="118">
        <f>((IFERROR((C8*D8*E8),0)+IFERROR((G8*H8*I8),0)+IFERROR((K8*L8*M8),0))/1000000)*35.32</f>
        <v>0.13562879999999999</v>
      </c>
      <c r="P8" s="125">
        <f>Table1[[#This Row],[Column15]]*$P$2*1000</f>
        <v>813.77279999999996</v>
      </c>
      <c r="Q8" s="87">
        <f>F8+J8+N8</f>
        <v>750</v>
      </c>
      <c r="R8" s="86">
        <f>MAX(Q8,O8)</f>
        <v>750</v>
      </c>
      <c r="S8" s="86">
        <f>MAX(R8,P8)</f>
        <v>813.77279999999996</v>
      </c>
      <c r="T8" s="156" t="str">
        <f>VLOOKUP(A8,'[1]MTP SKUs - Master Data'!$A:$B,2,FALSE)</f>
        <v>Y</v>
      </c>
      <c r="U8" s="162">
        <f>_xlfn.IFNA(VLOOKUP(Table1[[#This Row],[MTP SKU Code]],'Audit Dimensions'!A:N,6,FALSE),"ARC")</f>
        <v>750</v>
      </c>
      <c r="V8" s="162">
        <f>IFERROR(Table1[[#This Row],[B1.Aud]]-Table1[[#This Row],[PW(gm)]],"ERR")</f>
        <v>0</v>
      </c>
      <c r="W8" s="165">
        <f>IFERROR(Table1[[#This Row],[B1.Diff]]/Table1[[#This Row],[B1.Aud]],"ERR")</f>
        <v>0</v>
      </c>
      <c r="X8" s="162">
        <f>_xlfn.IFNA(VLOOKUP(Table1[[#This Row],[MTP SKU Code]],'Audit Dimensions'!A:N,10,FALSE),"ARC")</f>
        <v>0</v>
      </c>
      <c r="Y8" s="163">
        <f>IFERROR(Table1[[#This Row],[B2.Aud]]-Table1[[#This Row],[PW(gm)5]],"ERR")</f>
        <v>0</v>
      </c>
      <c r="Z8" s="165" t="str">
        <f>IFERROR(Table1[[#This Row],[B2.Diff]]/Table1[[#This Row],[B2.Aud]],"NA")</f>
        <v>NA</v>
      </c>
      <c r="AA8" s="162">
        <f>_xlfn.IFNA(VLOOKUP(Table1[[#This Row],[MTP SKU Code]],'Audit Dimensions'!A:N,14,FALSE),"ARC")</f>
        <v>0</v>
      </c>
      <c r="AB8" s="161">
        <f>IFERROR(Table1[[#This Row],[B3.Aud]]-Table1[[#This Row],[PW(gm)9]],"ERR")</f>
        <v>0</v>
      </c>
      <c r="AC8" s="168">
        <f>IFERROR(Table1[[#This Row],[B3.Diff]]/Table1[[#This Row],[BaLL.Aud]],"ERR")</f>
        <v>0</v>
      </c>
      <c r="AD8" s="189">
        <f>_xlfn.IFNA(VLOOKUP(Table1[[#This Row],[MTP SKU Code]],'Audit Dimensions'!A:U,16,FALSE),"ARC")</f>
        <v>750</v>
      </c>
      <c r="AE8" s="165">
        <f>IFERROR(1-Table1[[#This Row],[Gms]]/Table1[[#This Row],[BaLL.Aud]],"ERR")</f>
        <v>0</v>
      </c>
    </row>
    <row r="9" spans="1:31">
      <c r="A9" s="70" t="s">
        <v>53</v>
      </c>
      <c r="B9" s="84" t="s">
        <v>48</v>
      </c>
      <c r="C9" s="190">
        <v>35</v>
      </c>
      <c r="D9" s="190">
        <v>10</v>
      </c>
      <c r="E9" s="190">
        <v>5</v>
      </c>
      <c r="F9" s="190">
        <f>_xlfn.XLOOKUP(Table1[[#This Row],[MTP SKU Code]],'Audit Dimensions'!$A:$A,'Audit Dimensions'!F:F,0)</f>
        <v>202</v>
      </c>
      <c r="G9" s="190">
        <f>_xlfn.XLOOKUP(Table1[[#This Row],[MTP SKU Code]],'Audit Dimensions'!$A:$A,'Audit Dimensions'!G:G,0)</f>
        <v>0</v>
      </c>
      <c r="H9" s="190">
        <f>_xlfn.XLOOKUP(Table1[[#This Row],[MTP SKU Code]],'Audit Dimensions'!$A:$A,'Audit Dimensions'!H:H,0)</f>
        <v>0</v>
      </c>
      <c r="I9" s="190">
        <f>_xlfn.XLOOKUP(Table1[[#This Row],[MTP SKU Code]],'Audit Dimensions'!$A:$A,'Audit Dimensions'!I:I,0)</f>
        <v>0</v>
      </c>
      <c r="J9" s="190">
        <f>_xlfn.XLOOKUP(Table1[[#This Row],[MTP SKU Code]],'Audit Dimensions'!$A:$A,'Audit Dimensions'!J:J,0)</f>
        <v>0</v>
      </c>
      <c r="K9" s="190">
        <f>_xlfn.XLOOKUP(Table1[[#This Row],[MTP SKU Code]],'Audit Dimensions'!$A:$A,'Audit Dimensions'!K:K,0)</f>
        <v>0</v>
      </c>
      <c r="L9" s="190">
        <f>_xlfn.XLOOKUP(Table1[[#This Row],[MTP SKU Code]],'Audit Dimensions'!$A:$A,'Audit Dimensions'!L:L,0)</f>
        <v>0</v>
      </c>
      <c r="M9" s="190">
        <f>_xlfn.XLOOKUP(Table1[[#This Row],[MTP SKU Code]],'Audit Dimensions'!$A:$A,'Audit Dimensions'!M:M,0)</f>
        <v>0</v>
      </c>
      <c r="N9" s="190">
        <f>_xlfn.XLOOKUP(Table1[[#This Row],[MTP SKU Code]],'Audit Dimensions'!$A:$A,'Audit Dimensions'!N:N,0)</f>
        <v>0</v>
      </c>
      <c r="O9" s="118">
        <f>((IFERROR((C9*D9*E9),0)+IFERROR((G9*H9*I9),0)+IFERROR((K9*L9*M9),0))/1000000)*35.32</f>
        <v>6.1810000000000004E-2</v>
      </c>
      <c r="P9" s="125">
        <f>Table1[[#This Row],[Column15]]*$P$2*1000</f>
        <v>370.86</v>
      </c>
      <c r="Q9" s="87">
        <f>F9+J9+N9</f>
        <v>202</v>
      </c>
      <c r="R9" s="86">
        <f>MAX(Q9,O9)</f>
        <v>202</v>
      </c>
      <c r="S9" s="86">
        <f>MAX(R9,P9)</f>
        <v>370.86</v>
      </c>
      <c r="T9" s="156" t="str">
        <f>VLOOKUP(A9,'[1]MTP SKUs - Master Data'!$A:$B,2,FALSE)</f>
        <v>Y</v>
      </c>
      <c r="U9" s="162">
        <f>_xlfn.IFNA(VLOOKUP(Table1[[#This Row],[MTP SKU Code]],'Audit Dimensions'!A:N,6,FALSE),"ARC")</f>
        <v>202</v>
      </c>
      <c r="V9" s="162">
        <f>IFERROR(Table1[[#This Row],[B1.Aud]]-Table1[[#This Row],[PW(gm)]],"ERR")</f>
        <v>0</v>
      </c>
      <c r="W9" s="165">
        <f>IFERROR(Table1[[#This Row],[B1.Diff]]/Table1[[#This Row],[B1.Aud]],"ERR")</f>
        <v>0</v>
      </c>
      <c r="X9" s="162">
        <f>_xlfn.IFNA(VLOOKUP(Table1[[#This Row],[MTP SKU Code]],'Audit Dimensions'!A:N,10,FALSE),"ARC")</f>
        <v>0</v>
      </c>
      <c r="Y9" s="163">
        <f>IFERROR(Table1[[#This Row],[B2.Aud]]-Table1[[#This Row],[PW(gm)5]],"ERR")</f>
        <v>0</v>
      </c>
      <c r="Z9" s="165" t="str">
        <f>IFERROR(Table1[[#This Row],[B2.Diff]]/Table1[[#This Row],[B2.Aud]],"NA")</f>
        <v>NA</v>
      </c>
      <c r="AA9" s="162">
        <f>_xlfn.IFNA(VLOOKUP(Table1[[#This Row],[MTP SKU Code]],'Audit Dimensions'!A:N,14,FALSE),"ARC")</f>
        <v>0</v>
      </c>
      <c r="AB9" s="161">
        <f>IFERROR(Table1[[#This Row],[B3.Aud]]-Table1[[#This Row],[PW(gm)9]],"ERR")</f>
        <v>0</v>
      </c>
      <c r="AC9" s="168">
        <f>IFERROR(Table1[[#This Row],[B3.Diff]]/Table1[[#This Row],[BaLL.Aud]],"ERR")</f>
        <v>0</v>
      </c>
      <c r="AD9" s="189">
        <f>_xlfn.IFNA(VLOOKUP(Table1[[#This Row],[MTP SKU Code]],'Audit Dimensions'!A:U,16,FALSE),"ARC")</f>
        <v>202</v>
      </c>
      <c r="AE9" s="165">
        <f>IFERROR(1-Table1[[#This Row],[Gms]]/Table1[[#This Row],[BaLL.Aud]],"ERR")</f>
        <v>0</v>
      </c>
    </row>
    <row r="10" spans="1:31" ht="12.4" hidden="1" customHeight="1">
      <c r="A10" s="68" t="s">
        <v>54</v>
      </c>
      <c r="B10" s="84" t="s">
        <v>48</v>
      </c>
      <c r="C10" s="190">
        <f>_xlfn.XLOOKUP(Table1[[#This Row],[MTP SKU Code]],'Audit Dimensions'!A:A,'Audit Dimensions'!C:C,0)</f>
        <v>35</v>
      </c>
      <c r="D10" s="190">
        <f>_xlfn.XLOOKUP(Table1[[#This Row],[MTP SKU Code]],'Audit Dimensions'!$A:$A,'Audit Dimensions'!D:D,0)</f>
        <v>12</v>
      </c>
      <c r="E10" s="190">
        <f>_xlfn.XLOOKUP(Table1[[#This Row],[MTP SKU Code]],'Audit Dimensions'!$A:$A,'Audit Dimensions'!E:E,0)</f>
        <v>4</v>
      </c>
      <c r="F10" s="190">
        <f>_xlfn.XLOOKUP(Table1[[#This Row],[MTP SKU Code]],'Audit Dimensions'!$A:$A,'Audit Dimensions'!F:F,0)</f>
        <v>266</v>
      </c>
      <c r="G10" s="190">
        <f>_xlfn.XLOOKUP(Table1[[#This Row],[MTP SKU Code]],'Audit Dimensions'!$A:$A,'Audit Dimensions'!G:G,0)</f>
        <v>0</v>
      </c>
      <c r="H10" s="190">
        <f>_xlfn.XLOOKUP(Table1[[#This Row],[MTP SKU Code]],'Audit Dimensions'!$A:$A,'Audit Dimensions'!H:H,0)</f>
        <v>0</v>
      </c>
      <c r="I10" s="190">
        <f>_xlfn.XLOOKUP(Table1[[#This Row],[MTP SKU Code]],'Audit Dimensions'!$A:$A,'Audit Dimensions'!I:I,0)</f>
        <v>0</v>
      </c>
      <c r="J10" s="190">
        <f>_xlfn.XLOOKUP(Table1[[#This Row],[MTP SKU Code]],'Audit Dimensions'!$A:$A,'Audit Dimensions'!J:J,0)</f>
        <v>0</v>
      </c>
      <c r="K10" s="190">
        <f>_xlfn.XLOOKUP(Table1[[#This Row],[MTP SKU Code]],'Audit Dimensions'!$A:$A,'Audit Dimensions'!K:K,0)</f>
        <v>0</v>
      </c>
      <c r="L10" s="190">
        <f>_xlfn.XLOOKUP(Table1[[#This Row],[MTP SKU Code]],'Audit Dimensions'!$A:$A,'Audit Dimensions'!L:L,0)</f>
        <v>0</v>
      </c>
      <c r="M10" s="190">
        <f>_xlfn.XLOOKUP(Table1[[#This Row],[MTP SKU Code]],'Audit Dimensions'!$A:$A,'Audit Dimensions'!M:M,0)</f>
        <v>0</v>
      </c>
      <c r="N10" s="190">
        <f>_xlfn.XLOOKUP(Table1[[#This Row],[MTP SKU Code]],'Audit Dimensions'!$A:$A,'Audit Dimensions'!N:N,0)</f>
        <v>0</v>
      </c>
      <c r="O10" s="118">
        <f>((IFERROR((C10*D10*E10),0)+IFERROR((G10*H10*I10),0)+IFERROR((K10*L10*M10),0))/1000000)*35.32</f>
        <v>5.9337600000000004E-2</v>
      </c>
      <c r="P10" s="125">
        <f>Table1[[#This Row],[Column15]]*$P$2*1000</f>
        <v>356.02560000000005</v>
      </c>
      <c r="Q10" s="87">
        <f>F10+J10+N10</f>
        <v>266</v>
      </c>
      <c r="R10" s="86">
        <f>MAX(Q10,O10)</f>
        <v>266</v>
      </c>
      <c r="S10" s="86">
        <f>MAX(R10,P10)</f>
        <v>356.02560000000005</v>
      </c>
      <c r="T10" s="156" t="str">
        <f>VLOOKUP(A10,'[1]MTP SKUs - Master Data'!$A:$B,2,FALSE)</f>
        <v>RL</v>
      </c>
      <c r="U10" s="162">
        <f>_xlfn.IFNA(VLOOKUP(Table1[[#This Row],[MTP SKU Code]],'Audit Dimensions'!A:N,6,FALSE),"ARC")</f>
        <v>266</v>
      </c>
      <c r="V10" s="162">
        <f>IFERROR(Table1[[#This Row],[B1.Aud]]-Table1[[#This Row],[PW(gm)]],"ERR")</f>
        <v>0</v>
      </c>
      <c r="W10" s="165">
        <f>IFERROR(Table1[[#This Row],[B1.Diff]]/Table1[[#This Row],[B1.Aud]],"ERR")</f>
        <v>0</v>
      </c>
      <c r="X10" s="162">
        <f>_xlfn.IFNA(VLOOKUP(Table1[[#This Row],[MTP SKU Code]],'Audit Dimensions'!A:N,10,FALSE),"ARC")</f>
        <v>0</v>
      </c>
      <c r="Y10" s="163">
        <f>IFERROR(Table1[[#This Row],[B2.Aud]]-Table1[[#This Row],[PW(gm)5]],"ERR")</f>
        <v>0</v>
      </c>
      <c r="Z10" s="165" t="str">
        <f>IFERROR(Table1[[#This Row],[B2.Diff]]/Table1[[#This Row],[B2.Aud]],"NA")</f>
        <v>NA</v>
      </c>
      <c r="AA10" s="162">
        <f>_xlfn.IFNA(VLOOKUP(Table1[[#This Row],[MTP SKU Code]],'Audit Dimensions'!A:N,14,FALSE),"ARC")</f>
        <v>0</v>
      </c>
      <c r="AB10" s="161">
        <f>IFERROR(Table1[[#This Row],[B3.Aud]]-Table1[[#This Row],[PW(gm)9]],"ERR")</f>
        <v>0</v>
      </c>
      <c r="AC10" s="168">
        <f>IFERROR(Table1[[#This Row],[B3.Diff]]/Table1[[#This Row],[BaLL.Aud]],"ERR")</f>
        <v>0</v>
      </c>
      <c r="AD10" s="189">
        <f>_xlfn.IFNA(VLOOKUP(Table1[[#This Row],[MTP SKU Code]],'Audit Dimensions'!A:U,16,FALSE),"ARC")</f>
        <v>266</v>
      </c>
      <c r="AE10" s="165">
        <f>IFERROR(1-Table1[[#This Row],[Gms]]/Table1[[#This Row],[BaLL.Aud]],"ERR")</f>
        <v>0</v>
      </c>
    </row>
    <row r="11" spans="1:31" ht="12.4" customHeight="1">
      <c r="A11" s="91" t="s">
        <v>55</v>
      </c>
      <c r="B11" s="84" t="s">
        <v>48</v>
      </c>
      <c r="C11" s="190">
        <v>24</v>
      </c>
      <c r="D11" s="190">
        <v>24</v>
      </c>
      <c r="E11" s="190">
        <f>_xlfn.XLOOKUP(Table1[[#This Row],[MTP SKU Code]],'Audit Dimensions'!$A:$A,'Audit Dimensions'!E:E,0)</f>
        <v>3</v>
      </c>
      <c r="F11" s="190">
        <f>_xlfn.XLOOKUP(Table1[[#This Row],[MTP SKU Code]],'Audit Dimensions'!$A:$A,'Audit Dimensions'!F:F,0)</f>
        <v>340</v>
      </c>
      <c r="G11" s="190">
        <f>_xlfn.XLOOKUP(Table1[[#This Row],[MTP SKU Code]],'Audit Dimensions'!$A:$A,'Audit Dimensions'!G:G,0)</f>
        <v>0</v>
      </c>
      <c r="H11" s="190">
        <f>_xlfn.XLOOKUP(Table1[[#This Row],[MTP SKU Code]],'Audit Dimensions'!$A:$A,'Audit Dimensions'!H:H,0)</f>
        <v>0</v>
      </c>
      <c r="I11" s="190">
        <f>_xlfn.XLOOKUP(Table1[[#This Row],[MTP SKU Code]],'Audit Dimensions'!$A:$A,'Audit Dimensions'!I:I,0)</f>
        <v>0</v>
      </c>
      <c r="J11" s="190">
        <f>_xlfn.XLOOKUP(Table1[[#This Row],[MTP SKU Code]],'Audit Dimensions'!$A:$A,'Audit Dimensions'!J:J,0)</f>
        <v>0</v>
      </c>
      <c r="K11" s="190">
        <f>_xlfn.XLOOKUP(Table1[[#This Row],[MTP SKU Code]],'Audit Dimensions'!$A:$A,'Audit Dimensions'!K:K,0)</f>
        <v>0</v>
      </c>
      <c r="L11" s="190">
        <f>_xlfn.XLOOKUP(Table1[[#This Row],[MTP SKU Code]],'Audit Dimensions'!$A:$A,'Audit Dimensions'!L:L,0)</f>
        <v>0</v>
      </c>
      <c r="M11" s="190">
        <f>_xlfn.XLOOKUP(Table1[[#This Row],[MTP SKU Code]],'Audit Dimensions'!$A:$A,'Audit Dimensions'!M:M,0)</f>
        <v>0</v>
      </c>
      <c r="N11" s="190">
        <f>_xlfn.XLOOKUP(Table1[[#This Row],[MTP SKU Code]],'Audit Dimensions'!$A:$A,'Audit Dimensions'!N:N,0)</f>
        <v>0</v>
      </c>
      <c r="O11" s="118">
        <f>((IFERROR((C11*D11*E11),0)+IFERROR((G11*H11*I11),0)+IFERROR((K11*L11*M11),0))/1000000)*35.32</f>
        <v>6.1032959999999997E-2</v>
      </c>
      <c r="P11" s="125">
        <f>Table1[[#This Row],[Column15]]*$P$2*1000</f>
        <v>366.19775999999996</v>
      </c>
      <c r="Q11" s="87">
        <f>F11+J11+N11</f>
        <v>340</v>
      </c>
      <c r="R11" s="86">
        <f>MAX(Q11,O11)</f>
        <v>340</v>
      </c>
      <c r="S11" s="86">
        <f>MAX(R11,P11)</f>
        <v>366.19775999999996</v>
      </c>
      <c r="T11" s="156" t="str">
        <f>VLOOKUP(A11,'[1]MTP SKUs - Master Data'!$A:$B,2,FALSE)</f>
        <v>Y</v>
      </c>
      <c r="U11" s="162">
        <f>_xlfn.IFNA(VLOOKUP(Table1[[#This Row],[MTP SKU Code]],'Audit Dimensions'!A:N,6,FALSE),"ARC")</f>
        <v>340</v>
      </c>
      <c r="V11" s="162">
        <f>IFERROR(Table1[[#This Row],[B1.Aud]]-Table1[[#This Row],[PW(gm)]],"ERR")</f>
        <v>0</v>
      </c>
      <c r="W11" s="165">
        <f>IFERROR(Table1[[#This Row],[B1.Diff]]/Table1[[#This Row],[B1.Aud]],"ERR")</f>
        <v>0</v>
      </c>
      <c r="X11" s="162">
        <f>_xlfn.IFNA(VLOOKUP(Table1[[#This Row],[MTP SKU Code]],'Audit Dimensions'!A:N,10,FALSE),"ARC")</f>
        <v>0</v>
      </c>
      <c r="Y11" s="163">
        <f>IFERROR(Table1[[#This Row],[B2.Aud]]-Table1[[#This Row],[PW(gm)5]],"ERR")</f>
        <v>0</v>
      </c>
      <c r="Z11" s="165" t="str">
        <f>IFERROR(Table1[[#This Row],[B2.Diff]]/Table1[[#This Row],[B2.Aud]],"NA")</f>
        <v>NA</v>
      </c>
      <c r="AA11" s="162">
        <f>_xlfn.IFNA(VLOOKUP(Table1[[#This Row],[MTP SKU Code]],'Audit Dimensions'!A:N,14,FALSE),"ARC")</f>
        <v>0</v>
      </c>
      <c r="AB11" s="161">
        <f>IFERROR(Table1[[#This Row],[B3.Aud]]-Table1[[#This Row],[PW(gm)9]],"ERR")</f>
        <v>0</v>
      </c>
      <c r="AC11" s="168">
        <f>IFERROR(Table1[[#This Row],[B3.Diff]]/Table1[[#This Row],[BaLL.Aud]],"ERR")</f>
        <v>0</v>
      </c>
      <c r="AD11" s="189">
        <f>_xlfn.IFNA(VLOOKUP(Table1[[#This Row],[MTP SKU Code]],'Audit Dimensions'!A:U,16,FALSE),"ARC")</f>
        <v>340</v>
      </c>
      <c r="AE11" s="165">
        <f>IFERROR(1-Table1[[#This Row],[Gms]]/Table1[[#This Row],[BaLL.Aud]],"ERR")</f>
        <v>0</v>
      </c>
    </row>
    <row r="12" spans="1:31" s="48" customFormat="1" ht="12.4" customHeight="1">
      <c r="A12" s="68" t="s">
        <v>56</v>
      </c>
      <c r="B12" s="84" t="s">
        <v>48</v>
      </c>
      <c r="C12" s="190">
        <f>_xlfn.XLOOKUP(Table1[[#This Row],[MTP SKU Code]],'Audit Dimensions'!A:A,'Audit Dimensions'!C:C,0)</f>
        <v>25</v>
      </c>
      <c r="D12" s="190">
        <f>_xlfn.XLOOKUP(Table1[[#This Row],[MTP SKU Code]],'Audit Dimensions'!$A:$A,'Audit Dimensions'!D:D,0)</f>
        <v>25</v>
      </c>
      <c r="E12" s="190">
        <f>_xlfn.XLOOKUP(Table1[[#This Row],[MTP SKU Code]],'Audit Dimensions'!$A:$A,'Audit Dimensions'!E:E,0)</f>
        <v>5</v>
      </c>
      <c r="F12" s="190">
        <f>_xlfn.XLOOKUP(Table1[[#This Row],[MTP SKU Code]],'Audit Dimensions'!$A:$A,'Audit Dimensions'!F:F,0)</f>
        <v>660</v>
      </c>
      <c r="G12" s="190">
        <f>_xlfn.XLOOKUP(Table1[[#This Row],[MTP SKU Code]],'Audit Dimensions'!$A:$A,'Audit Dimensions'!G:G,0)</f>
        <v>0</v>
      </c>
      <c r="H12" s="190">
        <f>_xlfn.XLOOKUP(Table1[[#This Row],[MTP SKU Code]],'Audit Dimensions'!$A:$A,'Audit Dimensions'!H:H,0)</f>
        <v>0</v>
      </c>
      <c r="I12" s="190">
        <f>_xlfn.XLOOKUP(Table1[[#This Row],[MTP SKU Code]],'Audit Dimensions'!$A:$A,'Audit Dimensions'!I:I,0)</f>
        <v>0</v>
      </c>
      <c r="J12" s="190">
        <f>_xlfn.XLOOKUP(Table1[[#This Row],[MTP SKU Code]],'Audit Dimensions'!$A:$A,'Audit Dimensions'!J:J,0)</f>
        <v>0</v>
      </c>
      <c r="K12" s="190">
        <f>_xlfn.XLOOKUP(Table1[[#This Row],[MTP SKU Code]],'Audit Dimensions'!$A:$A,'Audit Dimensions'!K:K,0)</f>
        <v>0</v>
      </c>
      <c r="L12" s="190">
        <f>_xlfn.XLOOKUP(Table1[[#This Row],[MTP SKU Code]],'Audit Dimensions'!$A:$A,'Audit Dimensions'!L:L,0)</f>
        <v>0</v>
      </c>
      <c r="M12" s="190">
        <f>_xlfn.XLOOKUP(Table1[[#This Row],[MTP SKU Code]],'Audit Dimensions'!$A:$A,'Audit Dimensions'!M:M,0)</f>
        <v>0</v>
      </c>
      <c r="N12" s="190">
        <f>_xlfn.XLOOKUP(Table1[[#This Row],[MTP SKU Code]],'Audit Dimensions'!$A:$A,'Audit Dimensions'!N:N,0)</f>
        <v>0</v>
      </c>
      <c r="O12" s="118">
        <f>((IFERROR((C12*D12*E12),0)+IFERROR((G12*H12*I12),0)+IFERROR((K12*L12*M12),0))/1000000)*35.32</f>
        <v>0.110375</v>
      </c>
      <c r="P12" s="125">
        <f>Table1[[#This Row],[Column15]]*$P$2*1000</f>
        <v>662.25</v>
      </c>
      <c r="Q12" s="87">
        <f>F12+J12+N12</f>
        <v>660</v>
      </c>
      <c r="R12" s="86">
        <f>MAX(Q12,O12)</f>
        <v>660</v>
      </c>
      <c r="S12" s="86">
        <f>MAX(R12,P12)</f>
        <v>662.25</v>
      </c>
      <c r="T12" s="156" t="str">
        <f>VLOOKUP(A12,'[1]MTP SKUs - Master Data'!$A:$B,2,FALSE)</f>
        <v>Y</v>
      </c>
      <c r="U12" s="162">
        <f>_xlfn.IFNA(VLOOKUP(Table1[[#This Row],[MTP SKU Code]],'Audit Dimensions'!A:N,6,FALSE),"ARC")</f>
        <v>660</v>
      </c>
      <c r="V12" s="162">
        <f>IFERROR(Table1[[#This Row],[B1.Aud]]-Table1[[#This Row],[PW(gm)]],"ERR")</f>
        <v>0</v>
      </c>
      <c r="W12" s="165">
        <f>IFERROR(Table1[[#This Row],[B1.Diff]]/Table1[[#This Row],[B1.Aud]],"ERR")</f>
        <v>0</v>
      </c>
      <c r="X12" s="162">
        <f>_xlfn.IFNA(VLOOKUP(Table1[[#This Row],[MTP SKU Code]],'Audit Dimensions'!A:N,10,FALSE),"ARC")</f>
        <v>0</v>
      </c>
      <c r="Y12" s="163">
        <f>IFERROR(Table1[[#This Row],[B2.Aud]]-Table1[[#This Row],[PW(gm)5]],"ERR")</f>
        <v>0</v>
      </c>
      <c r="Z12" s="165" t="str">
        <f>IFERROR(Table1[[#This Row],[B2.Diff]]/Table1[[#This Row],[B2.Aud]],"NA")</f>
        <v>NA</v>
      </c>
      <c r="AA12" s="162">
        <f>_xlfn.IFNA(VLOOKUP(Table1[[#This Row],[MTP SKU Code]],'Audit Dimensions'!A:N,14,FALSE),"ARC")</f>
        <v>0</v>
      </c>
      <c r="AB12" s="161">
        <f>IFERROR(Table1[[#This Row],[B3.Aud]]-Table1[[#This Row],[PW(gm)9]],"ERR")</f>
        <v>0</v>
      </c>
      <c r="AC12" s="168">
        <f>IFERROR(Table1[[#This Row],[B3.Diff]]/Table1[[#This Row],[BaLL.Aud]],"ERR")</f>
        <v>0</v>
      </c>
      <c r="AD12" s="189">
        <f>_xlfn.IFNA(VLOOKUP(Table1[[#This Row],[MTP SKU Code]],'Audit Dimensions'!A:U,16,FALSE),"ARC")</f>
        <v>660</v>
      </c>
      <c r="AE12" s="165">
        <f>IFERROR(1-Table1[[#This Row],[Gms]]/Table1[[#This Row],[BaLL.Aud]],"ERR")</f>
        <v>0</v>
      </c>
    </row>
    <row r="13" spans="1:31">
      <c r="A13" s="68" t="s">
        <v>57</v>
      </c>
      <c r="B13" s="84" t="s">
        <v>48</v>
      </c>
      <c r="C13" s="190">
        <f>_xlfn.XLOOKUP(Table1[[#This Row],[MTP SKU Code]],'Audit Dimensions'!A:A,'Audit Dimensions'!C:C,0)</f>
        <v>27</v>
      </c>
      <c r="D13" s="190">
        <f>_xlfn.XLOOKUP(Table1[[#This Row],[MTP SKU Code]],'Audit Dimensions'!$A:$A,'Audit Dimensions'!D:D,0)</f>
        <v>20</v>
      </c>
      <c r="E13" s="190">
        <f>_xlfn.XLOOKUP(Table1[[#This Row],[MTP SKU Code]],'Audit Dimensions'!$A:$A,'Audit Dimensions'!E:E,0)</f>
        <v>6</v>
      </c>
      <c r="F13" s="190">
        <f>_xlfn.XLOOKUP(Table1[[#This Row],[MTP SKU Code]],'Audit Dimensions'!$A:$A,'Audit Dimensions'!F:F,0)</f>
        <v>810</v>
      </c>
      <c r="G13" s="190">
        <f>_xlfn.XLOOKUP(Table1[[#This Row],[MTP SKU Code]],'Audit Dimensions'!$A:$A,'Audit Dimensions'!G:G,0)</f>
        <v>0</v>
      </c>
      <c r="H13" s="190">
        <f>_xlfn.XLOOKUP(Table1[[#This Row],[MTP SKU Code]],'Audit Dimensions'!$A:$A,'Audit Dimensions'!H:H,0)</f>
        <v>0</v>
      </c>
      <c r="I13" s="190">
        <f>_xlfn.XLOOKUP(Table1[[#This Row],[MTP SKU Code]],'Audit Dimensions'!$A:$A,'Audit Dimensions'!I:I,0)</f>
        <v>0</v>
      </c>
      <c r="J13" s="190">
        <f>_xlfn.XLOOKUP(Table1[[#This Row],[MTP SKU Code]],'Audit Dimensions'!$A:$A,'Audit Dimensions'!J:J,0)</f>
        <v>0</v>
      </c>
      <c r="K13" s="190">
        <f>_xlfn.XLOOKUP(Table1[[#This Row],[MTP SKU Code]],'Audit Dimensions'!$A:$A,'Audit Dimensions'!K:K,0)</f>
        <v>0</v>
      </c>
      <c r="L13" s="190">
        <f>_xlfn.XLOOKUP(Table1[[#This Row],[MTP SKU Code]],'Audit Dimensions'!$A:$A,'Audit Dimensions'!L:L,0)</f>
        <v>0</v>
      </c>
      <c r="M13" s="190">
        <f>_xlfn.XLOOKUP(Table1[[#This Row],[MTP SKU Code]],'Audit Dimensions'!$A:$A,'Audit Dimensions'!M:M,0)</f>
        <v>0</v>
      </c>
      <c r="N13" s="190">
        <f>_xlfn.XLOOKUP(Table1[[#This Row],[MTP SKU Code]],'Audit Dimensions'!$A:$A,'Audit Dimensions'!N:N,0)</f>
        <v>0</v>
      </c>
      <c r="O13" s="118">
        <f>((IFERROR((C13*D13*E13),0)+IFERROR((G13*H13*I13),0)+IFERROR((K13*L13*M13),0))/1000000)*35.32</f>
        <v>0.11443679999999999</v>
      </c>
      <c r="P13" s="125">
        <f>Table1[[#This Row],[Column15]]*$P$2*1000</f>
        <v>686.62079999999992</v>
      </c>
      <c r="Q13" s="87">
        <f>F13+J13+N13</f>
        <v>810</v>
      </c>
      <c r="R13" s="86">
        <f>MAX(Q13,O13)</f>
        <v>810</v>
      </c>
      <c r="S13" s="86">
        <f>MAX(R13,P13)</f>
        <v>810</v>
      </c>
      <c r="T13" s="156" t="str">
        <f>VLOOKUP(A13,'[1]MTP SKUs - Master Data'!$A:$B,2,FALSE)</f>
        <v>Y</v>
      </c>
      <c r="U13" s="162">
        <f>_xlfn.IFNA(VLOOKUP(Table1[[#This Row],[MTP SKU Code]],'Audit Dimensions'!A:N,6,FALSE),"ARC")</f>
        <v>810</v>
      </c>
      <c r="V13" s="162">
        <f>IFERROR(Table1[[#This Row],[B1.Aud]]-Table1[[#This Row],[PW(gm)]],"ERR")</f>
        <v>0</v>
      </c>
      <c r="W13" s="165">
        <f>IFERROR(Table1[[#This Row],[B1.Diff]]/Table1[[#This Row],[B1.Aud]],"ERR")</f>
        <v>0</v>
      </c>
      <c r="X13" s="162">
        <f>_xlfn.IFNA(VLOOKUP(Table1[[#This Row],[MTP SKU Code]],'Audit Dimensions'!A:N,10,FALSE),"ARC")</f>
        <v>0</v>
      </c>
      <c r="Y13" s="163">
        <f>IFERROR(Table1[[#This Row],[B2.Aud]]-Table1[[#This Row],[PW(gm)5]],"ERR")</f>
        <v>0</v>
      </c>
      <c r="Z13" s="165" t="str">
        <f>IFERROR(Table1[[#This Row],[B2.Diff]]/Table1[[#This Row],[B2.Aud]],"NA")</f>
        <v>NA</v>
      </c>
      <c r="AA13" s="162">
        <f>_xlfn.IFNA(VLOOKUP(Table1[[#This Row],[MTP SKU Code]],'Audit Dimensions'!A:N,14,FALSE),"ARC")</f>
        <v>0</v>
      </c>
      <c r="AB13" s="161">
        <f>IFERROR(Table1[[#This Row],[B3.Aud]]-Table1[[#This Row],[PW(gm)9]],"ERR")</f>
        <v>0</v>
      </c>
      <c r="AC13" s="168">
        <f>IFERROR(Table1[[#This Row],[B3.Diff]]/Table1[[#This Row],[BaLL.Aud]],"ERR")</f>
        <v>0</v>
      </c>
      <c r="AD13" s="189">
        <f>_xlfn.IFNA(VLOOKUP(Table1[[#This Row],[MTP SKU Code]],'Audit Dimensions'!A:U,16,FALSE),"ARC")</f>
        <v>810</v>
      </c>
      <c r="AE13" s="165">
        <f>IFERROR(1-Table1[[#This Row],[Gms]]/Table1[[#This Row],[BaLL.Aud]],"ERR")</f>
        <v>0</v>
      </c>
    </row>
    <row r="14" spans="1:31" hidden="1">
      <c r="A14" s="69" t="s">
        <v>58</v>
      </c>
      <c r="B14" s="84" t="s">
        <v>48</v>
      </c>
      <c r="C14" s="85">
        <v>112</v>
      </c>
      <c r="D14" s="85">
        <v>51</v>
      </c>
      <c r="E14" s="85">
        <v>5</v>
      </c>
      <c r="F14" s="89">
        <v>14800</v>
      </c>
      <c r="G14" s="85"/>
      <c r="H14" s="85"/>
      <c r="I14" s="85"/>
      <c r="J14" s="85"/>
      <c r="K14" s="85"/>
      <c r="L14" s="85"/>
      <c r="M14" s="85"/>
      <c r="N14" s="85"/>
      <c r="O14" s="118">
        <f>((IFERROR((C14*D14*E14),0)+IFERROR((G14*H14*I14),0)+IFERROR((K14*L14*M14),0))/1000000)*35.32</f>
        <v>1.0087391999999999</v>
      </c>
      <c r="P14" s="125">
        <f>Table1[[#This Row],[Column15]]*$P$2*1000</f>
        <v>6052.4351999999999</v>
      </c>
      <c r="Q14" s="87">
        <f>F14+J14+N14</f>
        <v>14800</v>
      </c>
      <c r="R14" s="86">
        <f>MAX(Q14,O14)</f>
        <v>14800</v>
      </c>
      <c r="S14" s="86">
        <f>MAX(R14,P14)</f>
        <v>14800</v>
      </c>
      <c r="T14" s="156" t="str">
        <f>VLOOKUP(A14,'[1]MTP SKUs - Master Data'!$A:$B,2,FALSE)</f>
        <v>DI</v>
      </c>
      <c r="U14" s="162">
        <f>_xlfn.IFNA(VLOOKUP(Table1[[#This Row],[MTP SKU Code]],'Audit Dimensions'!A:N,6,FALSE),"ARC")</f>
        <v>11250</v>
      </c>
      <c r="V14" s="162">
        <f>IFERROR(Table1[[#This Row],[B1.Aud]]-Table1[[#This Row],[PW(gm)]],"ERR")</f>
        <v>-3550</v>
      </c>
      <c r="W14" s="165">
        <f>IFERROR(Table1[[#This Row],[B1.Diff]]/Table1[[#This Row],[B1.Aud]],"ERR")</f>
        <v>-0.31555555555555553</v>
      </c>
      <c r="X14" s="162" t="str">
        <f>_xlfn.IFNA(VLOOKUP(Table1[[#This Row],[MTP SKU Code]],'Audit Dimensions'!A:N,10,FALSE),"ARC")</f>
        <v>0</v>
      </c>
      <c r="Y14" s="163">
        <f>IFERROR(Table1[[#This Row],[B2.Aud]]-Table1[[#This Row],[PW(gm)5]],"ERR")</f>
        <v>0</v>
      </c>
      <c r="Z14" s="165" t="str">
        <f>IFERROR(Table1[[#This Row],[B2.Diff]]/Table1[[#This Row],[B2.Aud]],"NA")</f>
        <v>NA</v>
      </c>
      <c r="AA14" s="162" t="str">
        <f>_xlfn.IFNA(VLOOKUP(Table1[[#This Row],[MTP SKU Code]],'Audit Dimensions'!A:N,14,FALSE),"ARC")</f>
        <v>0</v>
      </c>
      <c r="AB14" s="161">
        <f>IFERROR(Table1[[#This Row],[B3.Aud]]-Table1[[#This Row],[PW(gm)9]],"ERR")</f>
        <v>0</v>
      </c>
      <c r="AC14" s="168">
        <f>IFERROR(Table1[[#This Row],[B3.Diff]]/Table1[[#This Row],[BaLL.Aud]],"ERR")</f>
        <v>0</v>
      </c>
      <c r="AD14" s="162">
        <f>_xlfn.IFNA(VLOOKUP(Table1[[#This Row],[MTP SKU Code]],'Audit Dimensions'!A:U,16,FALSE),"ARC")</f>
        <v>11250</v>
      </c>
      <c r="AE14" s="165">
        <f>IFERROR(1-Table1[[#This Row],[Gms]]/Table1[[#This Row],[BaLL.Aud]],"ERR")</f>
        <v>-0.31555555555555559</v>
      </c>
    </row>
    <row r="15" spans="1:31" hidden="1">
      <c r="A15" s="68" t="s">
        <v>59</v>
      </c>
      <c r="B15" s="84" t="s">
        <v>48</v>
      </c>
      <c r="C15" s="85">
        <v>50</v>
      </c>
      <c r="D15" s="85">
        <v>29</v>
      </c>
      <c r="E15" s="85">
        <v>8</v>
      </c>
      <c r="F15" s="89">
        <v>1890</v>
      </c>
      <c r="G15" s="85"/>
      <c r="H15" s="85"/>
      <c r="I15" s="85"/>
      <c r="J15" s="85"/>
      <c r="K15" s="85"/>
      <c r="L15" s="85"/>
      <c r="M15" s="85"/>
      <c r="N15" s="85"/>
      <c r="O15" s="118">
        <f>((IFERROR((C15*D15*E15),0)+IFERROR((G15*H15*I15),0)+IFERROR((K15*L15*M15),0))/1000000)*35.32</f>
        <v>0.40971199999999997</v>
      </c>
      <c r="P15" s="125">
        <f>Table1[[#This Row],[Column15]]*$P$2*1000</f>
        <v>2458.2719999999999</v>
      </c>
      <c r="Q15" s="87">
        <f>F15+J15+N15</f>
        <v>1890</v>
      </c>
      <c r="R15" s="86">
        <f>MAX(Q15,O15)</f>
        <v>1890</v>
      </c>
      <c r="S15" s="86">
        <f>MAX(R15,P15)</f>
        <v>2458.2719999999999</v>
      </c>
      <c r="T15" s="156" t="str">
        <f>VLOOKUP(A15,'[1]MTP SKUs - Master Data'!$A:$B,2,FALSE)</f>
        <v>DI</v>
      </c>
      <c r="U15" s="162">
        <f>_xlfn.IFNA(VLOOKUP(Table1[[#This Row],[MTP SKU Code]],'Audit Dimensions'!A:N,6,FALSE),"ARC")</f>
        <v>1500</v>
      </c>
      <c r="V15" s="162">
        <f>IFERROR(Table1[[#This Row],[B1.Aud]]-Table1[[#This Row],[PW(gm)]],"ERR")</f>
        <v>-390</v>
      </c>
      <c r="W15" s="165">
        <f>IFERROR(Table1[[#This Row],[B1.Diff]]/Table1[[#This Row],[B1.Aud]],"ERR")</f>
        <v>-0.26</v>
      </c>
      <c r="X15" s="162">
        <f>_xlfn.IFNA(VLOOKUP(Table1[[#This Row],[MTP SKU Code]],'Audit Dimensions'!A:N,10,FALSE),"ARC")</f>
        <v>0</v>
      </c>
      <c r="Y15" s="163">
        <f>IFERROR(Table1[[#This Row],[B2.Aud]]-Table1[[#This Row],[PW(gm)5]],"ERR")</f>
        <v>0</v>
      </c>
      <c r="Z15" s="165" t="str">
        <f>IFERROR(Table1[[#This Row],[B2.Diff]]/Table1[[#This Row],[B2.Aud]],"NA")</f>
        <v>NA</v>
      </c>
      <c r="AA15" s="162">
        <f>_xlfn.IFNA(VLOOKUP(Table1[[#This Row],[MTP SKU Code]],'Audit Dimensions'!A:N,14,FALSE),"ARC")</f>
        <v>0</v>
      </c>
      <c r="AB15" s="161">
        <f>IFERROR(Table1[[#This Row],[B3.Aud]]-Table1[[#This Row],[PW(gm)9]],"ERR")</f>
        <v>0</v>
      </c>
      <c r="AC15" s="168">
        <f>IFERROR(Table1[[#This Row],[B3.Diff]]/Table1[[#This Row],[BaLL.Aud]],"ERR")</f>
        <v>0</v>
      </c>
      <c r="AD15" s="162">
        <f>_xlfn.IFNA(VLOOKUP(Table1[[#This Row],[MTP SKU Code]],'Audit Dimensions'!A:U,16,FALSE),"ARC")</f>
        <v>1500</v>
      </c>
      <c r="AE15" s="165">
        <f>IFERROR(1-Table1[[#This Row],[Gms]]/Table1[[#This Row],[BaLL.Aud]],"ERR")</f>
        <v>-0.26</v>
      </c>
    </row>
    <row r="16" spans="1:31">
      <c r="A16" s="68" t="s">
        <v>60</v>
      </c>
      <c r="B16" s="84" t="s">
        <v>48</v>
      </c>
      <c r="C16" s="190">
        <f>_xlfn.XLOOKUP(Table1[[#This Row],[MTP SKU Code]],'Audit Dimensions'!A:A,'Audit Dimensions'!C:C,0)</f>
        <v>65</v>
      </c>
      <c r="D16" s="190">
        <f>_xlfn.XLOOKUP(Table1[[#This Row],[MTP SKU Code]],'Audit Dimensions'!$A:$A,'Audit Dimensions'!D:D,0)</f>
        <v>18</v>
      </c>
      <c r="E16" s="190">
        <f>_xlfn.XLOOKUP(Table1[[#This Row],[MTP SKU Code]],'Audit Dimensions'!$A:$A,'Audit Dimensions'!E:E,0)</f>
        <v>9</v>
      </c>
      <c r="F16" s="190">
        <f>_xlfn.XLOOKUP(Table1[[#This Row],[MTP SKU Code]],'Audit Dimensions'!$A:$A,'Audit Dimensions'!F:F,0)</f>
        <v>3850</v>
      </c>
      <c r="G16" s="190">
        <f>_xlfn.XLOOKUP(Table1[[#This Row],[MTP SKU Code]],'Audit Dimensions'!$A:$A,'Audit Dimensions'!G:G,0)</f>
        <v>0</v>
      </c>
      <c r="H16" s="190">
        <f>_xlfn.XLOOKUP(Table1[[#This Row],[MTP SKU Code]],'Audit Dimensions'!$A:$A,'Audit Dimensions'!H:H,0)</f>
        <v>0</v>
      </c>
      <c r="I16" s="190">
        <f>_xlfn.XLOOKUP(Table1[[#This Row],[MTP SKU Code]],'Audit Dimensions'!$A:$A,'Audit Dimensions'!I:I,0)</f>
        <v>0</v>
      </c>
      <c r="J16" s="190">
        <f>_xlfn.XLOOKUP(Table1[[#This Row],[MTP SKU Code]],'Audit Dimensions'!$A:$A,'Audit Dimensions'!J:J,0)</f>
        <v>0</v>
      </c>
      <c r="K16" s="190">
        <f>_xlfn.XLOOKUP(Table1[[#This Row],[MTP SKU Code]],'Audit Dimensions'!$A:$A,'Audit Dimensions'!K:K,0)</f>
        <v>0</v>
      </c>
      <c r="L16" s="190">
        <f>_xlfn.XLOOKUP(Table1[[#This Row],[MTP SKU Code]],'Audit Dimensions'!$A:$A,'Audit Dimensions'!L:L,0)</f>
        <v>0</v>
      </c>
      <c r="M16" s="190">
        <f>_xlfn.XLOOKUP(Table1[[#This Row],[MTP SKU Code]],'Audit Dimensions'!$A:$A,'Audit Dimensions'!M:M,0)</f>
        <v>0</v>
      </c>
      <c r="N16" s="190">
        <f>_xlfn.XLOOKUP(Table1[[#This Row],[MTP SKU Code]],'Audit Dimensions'!$A:$A,'Audit Dimensions'!N:N,0)</f>
        <v>0</v>
      </c>
      <c r="O16" s="118">
        <f>((IFERROR((C16*D16*E16),0)+IFERROR((G16*H16*I16),0)+IFERROR((K16*L16*M16),0))/1000000)*35.32</f>
        <v>0.37191959999999996</v>
      </c>
      <c r="P16" s="125">
        <f>Table1[[#This Row],[Column15]]*$P$2*1000</f>
        <v>2231.5175999999997</v>
      </c>
      <c r="Q16" s="87">
        <f>F16+J16+N16</f>
        <v>3850</v>
      </c>
      <c r="R16" s="86">
        <f>MAX(Q16,O16)</f>
        <v>3850</v>
      </c>
      <c r="S16" s="86">
        <f>MAX(R16,P16)</f>
        <v>3850</v>
      </c>
      <c r="T16" s="156" t="str">
        <f>VLOOKUP(A16,'[1]MTP SKUs - Master Data'!$A:$B,2,FALSE)</f>
        <v>Y</v>
      </c>
      <c r="U16" s="162">
        <f>_xlfn.IFNA(VLOOKUP(Table1[[#This Row],[MTP SKU Code]],'Audit Dimensions'!A:N,6,FALSE),"ARC")</f>
        <v>3850</v>
      </c>
      <c r="V16" s="162">
        <f>IFERROR(Table1[[#This Row],[B1.Aud]]-Table1[[#This Row],[PW(gm)]],"ERR")</f>
        <v>0</v>
      </c>
      <c r="W16" s="165">
        <f>IFERROR(Table1[[#This Row],[B1.Diff]]/Table1[[#This Row],[B1.Aud]],"ERR")</f>
        <v>0</v>
      </c>
      <c r="X16" s="162">
        <f>_xlfn.IFNA(VLOOKUP(Table1[[#This Row],[MTP SKU Code]],'Audit Dimensions'!A:N,10,FALSE),"ARC")</f>
        <v>0</v>
      </c>
      <c r="Y16" s="163">
        <f>IFERROR(Table1[[#This Row],[B2.Aud]]-Table1[[#This Row],[PW(gm)5]],"ERR")</f>
        <v>0</v>
      </c>
      <c r="Z16" s="165" t="str">
        <f>IFERROR(Table1[[#This Row],[B2.Diff]]/Table1[[#This Row],[B2.Aud]],"NA")</f>
        <v>NA</v>
      </c>
      <c r="AA16" s="162">
        <f>_xlfn.IFNA(VLOOKUP(Table1[[#This Row],[MTP SKU Code]],'Audit Dimensions'!A:N,14,FALSE),"ARC")</f>
        <v>0</v>
      </c>
      <c r="AB16" s="161">
        <f>IFERROR(Table1[[#This Row],[B3.Aud]]-Table1[[#This Row],[PW(gm)9]],"ERR")</f>
        <v>0</v>
      </c>
      <c r="AC16" s="168">
        <f>IFERROR(Table1[[#This Row],[B3.Diff]]/Table1[[#This Row],[BaLL.Aud]],"ERR")</f>
        <v>0</v>
      </c>
      <c r="AD16" s="189">
        <f>_xlfn.IFNA(VLOOKUP(Table1[[#This Row],[MTP SKU Code]],'Audit Dimensions'!A:U,16,FALSE),"ARC")</f>
        <v>3850</v>
      </c>
      <c r="AE16" s="165">
        <f>IFERROR(1-Table1[[#This Row],[Gms]]/Table1[[#This Row],[BaLL.Aud]],"ERR")</f>
        <v>0</v>
      </c>
    </row>
    <row r="17" spans="1:31" hidden="1">
      <c r="A17" s="91" t="s">
        <v>61</v>
      </c>
      <c r="B17" s="84" t="s">
        <v>48</v>
      </c>
      <c r="C17" s="190">
        <v>34</v>
      </c>
      <c r="D17" s="190">
        <v>18</v>
      </c>
      <c r="E17" s="190">
        <v>3</v>
      </c>
      <c r="F17" s="190">
        <f>_xlfn.XLOOKUP(Table1[[#This Row],[MTP SKU Code]],'Audit Dimensions'!$A:$A,'Audit Dimensions'!F:F,0)</f>
        <v>345</v>
      </c>
      <c r="G17" s="190">
        <f>_xlfn.XLOOKUP(Table1[[#This Row],[MTP SKU Code]],'Audit Dimensions'!$A:$A,'Audit Dimensions'!G:G,0)</f>
        <v>0</v>
      </c>
      <c r="H17" s="190">
        <f>_xlfn.XLOOKUP(Table1[[#This Row],[MTP SKU Code]],'Audit Dimensions'!$A:$A,'Audit Dimensions'!H:H,0)</f>
        <v>0</v>
      </c>
      <c r="I17" s="190">
        <f>_xlfn.XLOOKUP(Table1[[#This Row],[MTP SKU Code]],'Audit Dimensions'!$A:$A,'Audit Dimensions'!I:I,0)</f>
        <v>0</v>
      </c>
      <c r="J17" s="190">
        <f>_xlfn.XLOOKUP(Table1[[#This Row],[MTP SKU Code]],'Audit Dimensions'!$A:$A,'Audit Dimensions'!J:J,0)</f>
        <v>0</v>
      </c>
      <c r="K17" s="190">
        <f>_xlfn.XLOOKUP(Table1[[#This Row],[MTP SKU Code]],'Audit Dimensions'!$A:$A,'Audit Dimensions'!K:K,0)</f>
        <v>0</v>
      </c>
      <c r="L17" s="190">
        <f>_xlfn.XLOOKUP(Table1[[#This Row],[MTP SKU Code]],'Audit Dimensions'!$A:$A,'Audit Dimensions'!L:L,0)</f>
        <v>0</v>
      </c>
      <c r="M17" s="190">
        <f>_xlfn.XLOOKUP(Table1[[#This Row],[MTP SKU Code]],'Audit Dimensions'!$A:$A,'Audit Dimensions'!M:M,0)</f>
        <v>0</v>
      </c>
      <c r="N17" s="190">
        <f>_xlfn.XLOOKUP(Table1[[#This Row],[MTP SKU Code]],'Audit Dimensions'!$A:$A,'Audit Dimensions'!N:N,0)</f>
        <v>0</v>
      </c>
      <c r="O17" s="118">
        <f>((IFERROR((C17*D17*E17),0)+IFERROR((G17*H17*I17),0)+IFERROR((K17*L17*M17),0))/1000000)*35.32</f>
        <v>6.4847520000000006E-2</v>
      </c>
      <c r="P17" s="125">
        <f>Table1[[#This Row],[Column15]]*$P$2*1000</f>
        <v>389.08512000000007</v>
      </c>
      <c r="Q17" s="87">
        <f>F17+J17+N17</f>
        <v>345</v>
      </c>
      <c r="R17" s="86">
        <f>MAX(Q17,O17)</f>
        <v>345</v>
      </c>
      <c r="S17" s="86">
        <f>MAX(R17,P17)</f>
        <v>389.08512000000007</v>
      </c>
      <c r="T17" s="156" t="str">
        <f>VLOOKUP(A17,'[1]MTP SKUs - Master Data'!$A:$B,2,FALSE)</f>
        <v>RL</v>
      </c>
      <c r="U17" s="162">
        <f>_xlfn.IFNA(VLOOKUP(Table1[[#This Row],[MTP SKU Code]],'Audit Dimensions'!A:N,6,FALSE),"ARC")</f>
        <v>345</v>
      </c>
      <c r="V17" s="162">
        <f>IFERROR(Table1[[#This Row],[B1.Aud]]-Table1[[#This Row],[PW(gm)]],"ERR")</f>
        <v>0</v>
      </c>
      <c r="W17" s="165">
        <f>IFERROR(Table1[[#This Row],[B1.Diff]]/Table1[[#This Row],[B1.Aud]],"ERR")</f>
        <v>0</v>
      </c>
      <c r="X17" s="162">
        <f>_xlfn.IFNA(VLOOKUP(Table1[[#This Row],[MTP SKU Code]],'Audit Dimensions'!A:N,10,FALSE),"ARC")</f>
        <v>0</v>
      </c>
      <c r="Y17" s="163">
        <f>IFERROR(Table1[[#This Row],[B2.Aud]]-Table1[[#This Row],[PW(gm)5]],"ERR")</f>
        <v>0</v>
      </c>
      <c r="Z17" s="165" t="str">
        <f>IFERROR(Table1[[#This Row],[B2.Diff]]/Table1[[#This Row],[B2.Aud]],"NA")</f>
        <v>NA</v>
      </c>
      <c r="AA17" s="162">
        <f>_xlfn.IFNA(VLOOKUP(Table1[[#This Row],[MTP SKU Code]],'Audit Dimensions'!A:N,14,FALSE),"ARC")</f>
        <v>0</v>
      </c>
      <c r="AB17" s="161">
        <f>IFERROR(Table1[[#This Row],[B3.Aud]]-Table1[[#This Row],[PW(gm)9]],"ERR")</f>
        <v>0</v>
      </c>
      <c r="AC17" s="168">
        <f>IFERROR(Table1[[#This Row],[B3.Diff]]/Table1[[#This Row],[BaLL.Aud]],"ERR")</f>
        <v>0</v>
      </c>
      <c r="AD17" s="189">
        <f>_xlfn.IFNA(VLOOKUP(Table1[[#This Row],[MTP SKU Code]],'Audit Dimensions'!A:U,16,FALSE),"ARC")</f>
        <v>345</v>
      </c>
      <c r="AE17" s="165">
        <f>IFERROR(1-Table1[[#This Row],[Gms]]/Table1[[#This Row],[BaLL.Aud]],"ERR")</f>
        <v>0</v>
      </c>
    </row>
    <row r="18" spans="1:31">
      <c r="A18" s="68" t="s">
        <v>62</v>
      </c>
      <c r="B18" s="84" t="s">
        <v>48</v>
      </c>
      <c r="C18" s="190">
        <f>_xlfn.XLOOKUP(Table1[[#This Row],[MTP SKU Code]],'Audit Dimensions'!A:A,'Audit Dimensions'!C:C,0)</f>
        <v>126</v>
      </c>
      <c r="D18" s="190">
        <f>_xlfn.XLOOKUP(Table1[[#This Row],[MTP SKU Code]],'Audit Dimensions'!$A:$A,'Audit Dimensions'!D:D,0)</f>
        <v>29</v>
      </c>
      <c r="E18" s="190">
        <f>_xlfn.XLOOKUP(Table1[[#This Row],[MTP SKU Code]],'Audit Dimensions'!$A:$A,'Audit Dimensions'!E:E,0)</f>
        <v>6</v>
      </c>
      <c r="F18" s="190">
        <v>7870</v>
      </c>
      <c r="G18" s="190">
        <f>_xlfn.XLOOKUP(Table1[[#This Row],[MTP SKU Code]],'Audit Dimensions'!$A:$A,'Audit Dimensions'!G:G,0)</f>
        <v>0</v>
      </c>
      <c r="H18" s="190">
        <f>_xlfn.XLOOKUP(Table1[[#This Row],[MTP SKU Code]],'Audit Dimensions'!$A:$A,'Audit Dimensions'!H:H,0)</f>
        <v>0</v>
      </c>
      <c r="I18" s="190">
        <f>_xlfn.XLOOKUP(Table1[[#This Row],[MTP SKU Code]],'Audit Dimensions'!$A:$A,'Audit Dimensions'!I:I,0)</f>
        <v>0</v>
      </c>
      <c r="J18" s="190">
        <f>_xlfn.XLOOKUP(Table1[[#This Row],[MTP SKU Code]],'Audit Dimensions'!$A:$A,'Audit Dimensions'!J:J,0)</f>
        <v>0</v>
      </c>
      <c r="K18" s="190">
        <f>_xlfn.XLOOKUP(Table1[[#This Row],[MTP SKU Code]],'Audit Dimensions'!$A:$A,'Audit Dimensions'!K:K,0)</f>
        <v>0</v>
      </c>
      <c r="L18" s="190">
        <f>_xlfn.XLOOKUP(Table1[[#This Row],[MTP SKU Code]],'Audit Dimensions'!$A:$A,'Audit Dimensions'!L:L,0)</f>
        <v>0</v>
      </c>
      <c r="M18" s="190">
        <f>_xlfn.XLOOKUP(Table1[[#This Row],[MTP SKU Code]],'Audit Dimensions'!$A:$A,'Audit Dimensions'!M:M,0)</f>
        <v>0</v>
      </c>
      <c r="N18" s="190">
        <f>_xlfn.XLOOKUP(Table1[[#This Row],[MTP SKU Code]],'Audit Dimensions'!$A:$A,'Audit Dimensions'!N:N,0)</f>
        <v>0</v>
      </c>
      <c r="O18" s="118">
        <f>((IFERROR((C18*D18*E18),0)+IFERROR((G18*H18*I18),0)+IFERROR((K18*L18*M18),0))/1000000)*35.32</f>
        <v>0.77435567999999999</v>
      </c>
      <c r="P18" s="125">
        <f>Table1[[#This Row],[Column15]]*$P$2*1000</f>
        <v>4646.1340799999998</v>
      </c>
      <c r="Q18" s="87">
        <f>F18+J18+N18</f>
        <v>7870</v>
      </c>
      <c r="R18" s="86">
        <f>MAX(Q18,O18)</f>
        <v>7870</v>
      </c>
      <c r="S18" s="86">
        <f>MAX(R18,P18)</f>
        <v>7870</v>
      </c>
      <c r="T18" s="156" t="str">
        <f>VLOOKUP(A18,'[1]MTP SKUs - Master Data'!$A:$B,2,FALSE)</f>
        <v>Y</v>
      </c>
      <c r="U18" s="162">
        <f>_xlfn.IFNA(VLOOKUP(Table1[[#This Row],[MTP SKU Code]],'Audit Dimensions'!A:N,6,FALSE),"ARC")</f>
        <v>8100</v>
      </c>
      <c r="V18" s="162">
        <f>IFERROR(Table1[[#This Row],[B1.Aud]]-Table1[[#This Row],[PW(gm)]],"ERR")</f>
        <v>230</v>
      </c>
      <c r="W18" s="165">
        <f>IFERROR(Table1[[#This Row],[B1.Diff]]/Table1[[#This Row],[B1.Aud]],"ERR")</f>
        <v>2.8395061728395062E-2</v>
      </c>
      <c r="X18" s="162">
        <f>_xlfn.IFNA(VLOOKUP(Table1[[#This Row],[MTP SKU Code]],'Audit Dimensions'!A:N,10,FALSE),"ARC")</f>
        <v>0</v>
      </c>
      <c r="Y18" s="163">
        <f>IFERROR(Table1[[#This Row],[B2.Aud]]-Table1[[#This Row],[PW(gm)5]],"ERR")</f>
        <v>0</v>
      </c>
      <c r="Z18" s="165" t="str">
        <f>IFERROR(Table1[[#This Row],[B2.Diff]]/Table1[[#This Row],[B2.Aud]],"NA")</f>
        <v>NA</v>
      </c>
      <c r="AA18" s="162">
        <f>_xlfn.IFNA(VLOOKUP(Table1[[#This Row],[MTP SKU Code]],'Audit Dimensions'!A:N,14,FALSE),"ARC")</f>
        <v>0</v>
      </c>
      <c r="AB18" s="161">
        <f>IFERROR(Table1[[#This Row],[B3.Aud]]-Table1[[#This Row],[PW(gm)9]],"ERR")</f>
        <v>0</v>
      </c>
      <c r="AC18" s="168">
        <f>IFERROR(Table1[[#This Row],[B3.Diff]]/Table1[[#This Row],[BaLL.Aud]],"ERR")</f>
        <v>0</v>
      </c>
      <c r="AD18" s="189">
        <f>_xlfn.IFNA(VLOOKUP(Table1[[#This Row],[MTP SKU Code]],'Audit Dimensions'!A:U,16,FALSE),"ARC")</f>
        <v>8100</v>
      </c>
      <c r="AE18" s="165">
        <f>IFERROR(1-Table1[[#This Row],[Gms]]/Table1[[#This Row],[BaLL.Aud]],"ERR")</f>
        <v>2.839506172839501E-2</v>
      </c>
    </row>
    <row r="19" spans="1:31">
      <c r="A19" s="68" t="s">
        <v>63</v>
      </c>
      <c r="B19" s="84" t="s">
        <v>48</v>
      </c>
      <c r="C19" s="190">
        <v>28</v>
      </c>
      <c r="D19" s="190">
        <f>_xlfn.XLOOKUP(Table1[[#This Row],[MTP SKU Code]],'Audit Dimensions'!$A:$A,'Audit Dimensions'!D:D,0)</f>
        <v>11</v>
      </c>
      <c r="E19" s="190">
        <f>_xlfn.XLOOKUP(Table1[[#This Row],[MTP SKU Code]],'Audit Dimensions'!$A:$A,'Audit Dimensions'!E:E,0)</f>
        <v>6</v>
      </c>
      <c r="F19" s="190">
        <v>300</v>
      </c>
      <c r="G19" s="190">
        <f>_xlfn.XLOOKUP(Table1[[#This Row],[MTP SKU Code]],'Audit Dimensions'!$A:$A,'Audit Dimensions'!G:G,0)</f>
        <v>0</v>
      </c>
      <c r="H19" s="190">
        <f>_xlfn.XLOOKUP(Table1[[#This Row],[MTP SKU Code]],'Audit Dimensions'!$A:$A,'Audit Dimensions'!H:H,0)</f>
        <v>0</v>
      </c>
      <c r="I19" s="190">
        <f>_xlfn.XLOOKUP(Table1[[#This Row],[MTP SKU Code]],'Audit Dimensions'!$A:$A,'Audit Dimensions'!I:I,0)</f>
        <v>0</v>
      </c>
      <c r="J19" s="190">
        <f>_xlfn.XLOOKUP(Table1[[#This Row],[MTP SKU Code]],'Audit Dimensions'!$A:$A,'Audit Dimensions'!J:J,0)</f>
        <v>0</v>
      </c>
      <c r="K19" s="190">
        <f>_xlfn.XLOOKUP(Table1[[#This Row],[MTP SKU Code]],'Audit Dimensions'!$A:$A,'Audit Dimensions'!K:K,0)</f>
        <v>0</v>
      </c>
      <c r="L19" s="190">
        <f>_xlfn.XLOOKUP(Table1[[#This Row],[MTP SKU Code]],'Audit Dimensions'!$A:$A,'Audit Dimensions'!L:L,0)</f>
        <v>0</v>
      </c>
      <c r="M19" s="190">
        <f>_xlfn.XLOOKUP(Table1[[#This Row],[MTP SKU Code]],'Audit Dimensions'!$A:$A,'Audit Dimensions'!M:M,0)</f>
        <v>0</v>
      </c>
      <c r="N19" s="190">
        <f>_xlfn.XLOOKUP(Table1[[#This Row],[MTP SKU Code]],'Audit Dimensions'!$A:$A,'Audit Dimensions'!N:N,0)</f>
        <v>0</v>
      </c>
      <c r="O19" s="118">
        <f>((IFERROR((C19*D19*E19),0)+IFERROR((G19*H19*I19),0)+IFERROR((K19*L19*M19),0))/1000000)*35.32</f>
        <v>6.527136E-2</v>
      </c>
      <c r="P19" s="125">
        <f>Table1[[#This Row],[Column15]]*$P$2*1000</f>
        <v>391.62815999999998</v>
      </c>
      <c r="Q19" s="87">
        <f>F19+J19+N19</f>
        <v>300</v>
      </c>
      <c r="R19" s="86">
        <f>MAX(Q19,O19)</f>
        <v>300</v>
      </c>
      <c r="S19" s="86">
        <f>MAX(R19,P19)</f>
        <v>391.62815999999998</v>
      </c>
      <c r="T19" s="156" t="str">
        <f>VLOOKUP(A19,'[1]MTP SKUs - Master Data'!$A:$B,2,FALSE)</f>
        <v>Y</v>
      </c>
      <c r="U19" s="162">
        <f>_xlfn.IFNA(VLOOKUP(Table1[[#This Row],[MTP SKU Code]],'Audit Dimensions'!A:N,6,FALSE),"ARC")</f>
        <v>306</v>
      </c>
      <c r="V19" s="162">
        <f>IFERROR(Table1[[#This Row],[B1.Aud]]-Table1[[#This Row],[PW(gm)]],"ERR")</f>
        <v>6</v>
      </c>
      <c r="W19" s="165">
        <f>IFERROR(Table1[[#This Row],[B1.Diff]]/Table1[[#This Row],[B1.Aud]],"ERR")</f>
        <v>1.9607843137254902E-2</v>
      </c>
      <c r="X19" s="162">
        <f>_xlfn.IFNA(VLOOKUP(Table1[[#This Row],[MTP SKU Code]],'Audit Dimensions'!A:N,10,FALSE),"ARC")</f>
        <v>0</v>
      </c>
      <c r="Y19" s="163">
        <f>IFERROR(Table1[[#This Row],[B2.Aud]]-Table1[[#This Row],[PW(gm)5]],"ERR")</f>
        <v>0</v>
      </c>
      <c r="Z19" s="165" t="str">
        <f>IFERROR(Table1[[#This Row],[B2.Diff]]/Table1[[#This Row],[B2.Aud]],"NA")</f>
        <v>NA</v>
      </c>
      <c r="AA19" s="162">
        <f>_xlfn.IFNA(VLOOKUP(Table1[[#This Row],[MTP SKU Code]],'Audit Dimensions'!A:N,14,FALSE),"ARC")</f>
        <v>0</v>
      </c>
      <c r="AB19" s="161">
        <f>IFERROR(Table1[[#This Row],[B3.Aud]]-Table1[[#This Row],[PW(gm)9]],"ERR")</f>
        <v>0</v>
      </c>
      <c r="AC19" s="168">
        <f>IFERROR(Table1[[#This Row],[B3.Diff]]/Table1[[#This Row],[BaLL.Aud]],"ERR")</f>
        <v>0</v>
      </c>
      <c r="AD19" s="189">
        <f>_xlfn.IFNA(VLOOKUP(Table1[[#This Row],[MTP SKU Code]],'Audit Dimensions'!A:U,16,FALSE),"ARC")</f>
        <v>306</v>
      </c>
      <c r="AE19" s="165">
        <f>IFERROR(1-Table1[[#This Row],[Gms]]/Table1[[#This Row],[BaLL.Aud]],"ERR")</f>
        <v>1.9607843137254943E-2</v>
      </c>
    </row>
    <row r="20" spans="1:31">
      <c r="A20" s="70" t="s">
        <v>64</v>
      </c>
      <c r="B20" s="84" t="s">
        <v>48</v>
      </c>
      <c r="C20" s="190">
        <v>24</v>
      </c>
      <c r="D20" s="190">
        <v>24</v>
      </c>
      <c r="E20" s="190">
        <v>3</v>
      </c>
      <c r="F20" s="190">
        <v>385</v>
      </c>
      <c r="G20" s="190">
        <f>_xlfn.XLOOKUP(Table1[[#This Row],[MTP SKU Code]],'Audit Dimensions'!$A:$A,'Audit Dimensions'!G:G,0)</f>
        <v>0</v>
      </c>
      <c r="H20" s="190">
        <f>_xlfn.XLOOKUP(Table1[[#This Row],[MTP SKU Code]],'Audit Dimensions'!$A:$A,'Audit Dimensions'!H:H,0)</f>
        <v>0</v>
      </c>
      <c r="I20" s="190">
        <f>_xlfn.XLOOKUP(Table1[[#This Row],[MTP SKU Code]],'Audit Dimensions'!$A:$A,'Audit Dimensions'!I:I,0)</f>
        <v>0</v>
      </c>
      <c r="J20" s="190">
        <f>_xlfn.XLOOKUP(Table1[[#This Row],[MTP SKU Code]],'Audit Dimensions'!$A:$A,'Audit Dimensions'!J:J,0)</f>
        <v>0</v>
      </c>
      <c r="K20" s="190">
        <f>_xlfn.XLOOKUP(Table1[[#This Row],[MTP SKU Code]],'Audit Dimensions'!$A:$A,'Audit Dimensions'!K:K,0)</f>
        <v>0</v>
      </c>
      <c r="L20" s="190">
        <f>_xlfn.XLOOKUP(Table1[[#This Row],[MTP SKU Code]],'Audit Dimensions'!$A:$A,'Audit Dimensions'!L:L,0)</f>
        <v>0</v>
      </c>
      <c r="M20" s="190">
        <f>_xlfn.XLOOKUP(Table1[[#This Row],[MTP SKU Code]],'Audit Dimensions'!$A:$A,'Audit Dimensions'!M:M,0)</f>
        <v>0</v>
      </c>
      <c r="N20" s="190">
        <f>_xlfn.XLOOKUP(Table1[[#This Row],[MTP SKU Code]],'Audit Dimensions'!$A:$A,'Audit Dimensions'!N:N,0)</f>
        <v>0</v>
      </c>
      <c r="O20" s="118">
        <f>((IFERROR((C20*D20*E20),0)+IFERROR((G20*H20*I20),0)+IFERROR((K20*L20*M20),0))/1000000)*35.32</f>
        <v>6.1032959999999997E-2</v>
      </c>
      <c r="P20" s="125">
        <f>Table1[[#This Row],[Column15]]*$P$2*1000</f>
        <v>366.19775999999996</v>
      </c>
      <c r="Q20" s="87">
        <f>F20+J20+N20</f>
        <v>385</v>
      </c>
      <c r="R20" s="86">
        <f>MAX(Q20,O20)</f>
        <v>385</v>
      </c>
      <c r="S20" s="86">
        <f>MAX(R20,P20)</f>
        <v>385</v>
      </c>
      <c r="T20" s="156" t="str">
        <f>VLOOKUP(A20,'[1]MTP SKUs - Master Data'!$A:$B,2,FALSE)</f>
        <v>Y</v>
      </c>
      <c r="U20" s="162">
        <f>_xlfn.IFNA(VLOOKUP(Table1[[#This Row],[MTP SKU Code]],'Audit Dimensions'!A:N,6,FALSE),"ARC")</f>
        <v>400</v>
      </c>
      <c r="V20" s="162">
        <f>IFERROR(Table1[[#This Row],[B1.Aud]]-Table1[[#This Row],[PW(gm)]],"ERR")</f>
        <v>15</v>
      </c>
      <c r="W20" s="165">
        <f>IFERROR(Table1[[#This Row],[B1.Diff]]/Table1[[#This Row],[B1.Aud]],"ERR")</f>
        <v>3.7499999999999999E-2</v>
      </c>
      <c r="X20" s="162">
        <f>_xlfn.IFNA(VLOOKUP(Table1[[#This Row],[MTP SKU Code]],'Audit Dimensions'!A:N,10,FALSE),"ARC")</f>
        <v>0</v>
      </c>
      <c r="Y20" s="163">
        <f>IFERROR(Table1[[#This Row],[B2.Aud]]-Table1[[#This Row],[PW(gm)5]],"ERR")</f>
        <v>0</v>
      </c>
      <c r="Z20" s="165" t="str">
        <f>IFERROR(Table1[[#This Row],[B2.Diff]]/Table1[[#This Row],[B2.Aud]],"NA")</f>
        <v>NA</v>
      </c>
      <c r="AA20" s="162">
        <f>_xlfn.IFNA(VLOOKUP(Table1[[#This Row],[MTP SKU Code]],'Audit Dimensions'!A:N,14,FALSE),"ARC")</f>
        <v>0</v>
      </c>
      <c r="AB20" s="161">
        <f>IFERROR(Table1[[#This Row],[B3.Aud]]-Table1[[#This Row],[PW(gm)9]],"ERR")</f>
        <v>0</v>
      </c>
      <c r="AC20" s="168">
        <f>IFERROR(Table1[[#This Row],[B3.Diff]]/Table1[[#This Row],[BaLL.Aud]],"ERR")</f>
        <v>0</v>
      </c>
      <c r="AD20" s="189">
        <f>_xlfn.IFNA(VLOOKUP(Table1[[#This Row],[MTP SKU Code]],'Audit Dimensions'!A:U,16,FALSE),"ARC")</f>
        <v>400</v>
      </c>
      <c r="AE20" s="165">
        <f>IFERROR(1-Table1[[#This Row],[Gms]]/Table1[[#This Row],[BaLL.Aud]],"ERR")</f>
        <v>3.7499999999999978E-2</v>
      </c>
    </row>
    <row r="21" spans="1:31">
      <c r="A21" s="70" t="s">
        <v>65</v>
      </c>
      <c r="B21" s="84" t="s">
        <v>48</v>
      </c>
      <c r="C21" s="190">
        <f>_xlfn.XLOOKUP(Table1[[#This Row],[MTP SKU Code]],'Audit Dimensions'!A:A,'Audit Dimensions'!C:C,0)</f>
        <v>57</v>
      </c>
      <c r="D21" s="190">
        <f>_xlfn.XLOOKUP(Table1[[#This Row],[MTP SKU Code]],'Audit Dimensions'!$A:$A,'Audit Dimensions'!D:D,0)</f>
        <v>28</v>
      </c>
      <c r="E21" s="190">
        <f>_xlfn.XLOOKUP(Table1[[#This Row],[MTP SKU Code]],'Audit Dimensions'!$A:$A,'Audit Dimensions'!E:E,0)</f>
        <v>9</v>
      </c>
      <c r="F21" s="190">
        <v>4800</v>
      </c>
      <c r="G21" s="190">
        <f>_xlfn.XLOOKUP(Table1[[#This Row],[MTP SKU Code]],'Audit Dimensions'!$A:$A,'Audit Dimensions'!G:G,0)</f>
        <v>0</v>
      </c>
      <c r="H21" s="190">
        <f>_xlfn.XLOOKUP(Table1[[#This Row],[MTP SKU Code]],'Audit Dimensions'!$A:$A,'Audit Dimensions'!H:H,0)</f>
        <v>0</v>
      </c>
      <c r="I21" s="190">
        <f>_xlfn.XLOOKUP(Table1[[#This Row],[MTP SKU Code]],'Audit Dimensions'!$A:$A,'Audit Dimensions'!I:I,0)</f>
        <v>0</v>
      </c>
      <c r="J21" s="190">
        <f>_xlfn.XLOOKUP(Table1[[#This Row],[MTP SKU Code]],'Audit Dimensions'!$A:$A,'Audit Dimensions'!J:J,0)</f>
        <v>0</v>
      </c>
      <c r="K21" s="190">
        <f>_xlfn.XLOOKUP(Table1[[#This Row],[MTP SKU Code]],'Audit Dimensions'!$A:$A,'Audit Dimensions'!K:K,0)</f>
        <v>0</v>
      </c>
      <c r="L21" s="190">
        <f>_xlfn.XLOOKUP(Table1[[#This Row],[MTP SKU Code]],'Audit Dimensions'!$A:$A,'Audit Dimensions'!L:L,0)</f>
        <v>0</v>
      </c>
      <c r="M21" s="190">
        <f>_xlfn.XLOOKUP(Table1[[#This Row],[MTP SKU Code]],'Audit Dimensions'!$A:$A,'Audit Dimensions'!M:M,0)</f>
        <v>0</v>
      </c>
      <c r="N21" s="190">
        <f>_xlfn.XLOOKUP(Table1[[#This Row],[MTP SKU Code]],'Audit Dimensions'!$A:$A,'Audit Dimensions'!N:N,0)</f>
        <v>0</v>
      </c>
      <c r="O21" s="118">
        <f>((IFERROR((C21*D21*E21),0)+IFERROR((G21*H21*I21),0)+IFERROR((K21*L21*M21),0))/1000000)*35.32</f>
        <v>0.50733647999999998</v>
      </c>
      <c r="P21" s="125">
        <f>Table1[[#This Row],[Column15]]*$P$2*1000</f>
        <v>3044.0188800000001</v>
      </c>
      <c r="Q21" s="87">
        <f>F21+J21+N21</f>
        <v>4800</v>
      </c>
      <c r="R21" s="86">
        <f>MAX(Q21,O21)</f>
        <v>4800</v>
      </c>
      <c r="S21" s="86">
        <f>MAX(R21,P21)</f>
        <v>4800</v>
      </c>
      <c r="T21" s="156" t="str">
        <f>VLOOKUP(A21,'[1]MTP SKUs - Master Data'!$A:$B,2,FALSE)</f>
        <v>Y</v>
      </c>
      <c r="U21" s="162">
        <f>_xlfn.IFNA(VLOOKUP(Table1[[#This Row],[MTP SKU Code]],'Audit Dimensions'!A:N,6,FALSE),"ARC")</f>
        <v>5010</v>
      </c>
      <c r="V21" s="162">
        <f>IFERROR(Table1[[#This Row],[B1.Aud]]-Table1[[#This Row],[PW(gm)]],"ERR")</f>
        <v>210</v>
      </c>
      <c r="W21" s="165">
        <f>IFERROR(Table1[[#This Row],[B1.Diff]]/Table1[[#This Row],[B1.Aud]],"ERR")</f>
        <v>4.1916167664670656E-2</v>
      </c>
      <c r="X21" s="162">
        <f>_xlfn.IFNA(VLOOKUP(Table1[[#This Row],[MTP SKU Code]],'Audit Dimensions'!A:N,10,FALSE),"ARC")</f>
        <v>0</v>
      </c>
      <c r="Y21" s="163">
        <f>IFERROR(Table1[[#This Row],[B2.Aud]]-Table1[[#This Row],[PW(gm)5]],"ERR")</f>
        <v>0</v>
      </c>
      <c r="Z21" s="165" t="str">
        <f>IFERROR(Table1[[#This Row],[B2.Diff]]/Table1[[#This Row],[B2.Aud]],"NA")</f>
        <v>NA</v>
      </c>
      <c r="AA21" s="162">
        <f>_xlfn.IFNA(VLOOKUP(Table1[[#This Row],[MTP SKU Code]],'Audit Dimensions'!A:N,14,FALSE),"ARC")</f>
        <v>0</v>
      </c>
      <c r="AB21" s="161">
        <f>IFERROR(Table1[[#This Row],[B3.Aud]]-Table1[[#This Row],[PW(gm)9]],"ERR")</f>
        <v>0</v>
      </c>
      <c r="AC21" s="168">
        <f>IFERROR(Table1[[#This Row],[B3.Diff]]/Table1[[#This Row],[BaLL.Aud]],"ERR")</f>
        <v>0</v>
      </c>
      <c r="AD21" s="189">
        <f>_xlfn.IFNA(VLOOKUP(Table1[[#This Row],[MTP SKU Code]],'Audit Dimensions'!A:U,16,FALSE),"ARC")</f>
        <v>5010</v>
      </c>
      <c r="AE21" s="165">
        <f>IFERROR(1-Table1[[#This Row],[Gms]]/Table1[[#This Row],[BaLL.Aud]],"ERR")</f>
        <v>4.1916167664670656E-2</v>
      </c>
    </row>
    <row r="22" spans="1:31" ht="12.4" customHeight="1">
      <c r="A22" s="68" t="s">
        <v>66</v>
      </c>
      <c r="B22" s="84" t="s">
        <v>48</v>
      </c>
      <c r="C22" s="190">
        <f>_xlfn.XLOOKUP(Table1[[#This Row],[MTP SKU Code]],'Audit Dimensions'!A:A,'Audit Dimensions'!C:C,0)</f>
        <v>70</v>
      </c>
      <c r="D22" s="190">
        <v>24</v>
      </c>
      <c r="E22" s="190">
        <f>_xlfn.XLOOKUP(Table1[[#This Row],[MTP SKU Code]],'Audit Dimensions'!$A:$A,'Audit Dimensions'!E:E,0)</f>
        <v>5</v>
      </c>
      <c r="F22" s="190">
        <v>1850</v>
      </c>
      <c r="G22" s="190">
        <f>_xlfn.XLOOKUP(Table1[[#This Row],[MTP SKU Code]],'Audit Dimensions'!$A:$A,'Audit Dimensions'!G:G,0)</f>
        <v>0</v>
      </c>
      <c r="H22" s="190">
        <f>_xlfn.XLOOKUP(Table1[[#This Row],[MTP SKU Code]],'Audit Dimensions'!$A:$A,'Audit Dimensions'!H:H,0)</f>
        <v>0</v>
      </c>
      <c r="I22" s="190">
        <f>_xlfn.XLOOKUP(Table1[[#This Row],[MTP SKU Code]],'Audit Dimensions'!$A:$A,'Audit Dimensions'!I:I,0)</f>
        <v>0</v>
      </c>
      <c r="J22" s="190">
        <f>_xlfn.XLOOKUP(Table1[[#This Row],[MTP SKU Code]],'Audit Dimensions'!$A:$A,'Audit Dimensions'!J:J,0)</f>
        <v>0</v>
      </c>
      <c r="K22" s="190">
        <f>_xlfn.XLOOKUP(Table1[[#This Row],[MTP SKU Code]],'Audit Dimensions'!$A:$A,'Audit Dimensions'!K:K,0)</f>
        <v>0</v>
      </c>
      <c r="L22" s="190">
        <f>_xlfn.XLOOKUP(Table1[[#This Row],[MTP SKU Code]],'Audit Dimensions'!$A:$A,'Audit Dimensions'!L:L,0)</f>
        <v>0</v>
      </c>
      <c r="M22" s="190">
        <f>_xlfn.XLOOKUP(Table1[[#This Row],[MTP SKU Code]],'Audit Dimensions'!$A:$A,'Audit Dimensions'!M:M,0)</f>
        <v>0</v>
      </c>
      <c r="N22" s="190">
        <f>_xlfn.XLOOKUP(Table1[[#This Row],[MTP SKU Code]],'Audit Dimensions'!$A:$A,'Audit Dimensions'!N:N,0)</f>
        <v>0</v>
      </c>
      <c r="O22" s="118">
        <f>((IFERROR((C22*D22*E22),0)+IFERROR((G22*H22*I22),0)+IFERROR((K22*L22*M22),0))/1000000)*35.32</f>
        <v>0.29668800000000001</v>
      </c>
      <c r="P22" s="125">
        <f>Table1[[#This Row],[Column15]]*$P$2*1000</f>
        <v>1780.1279999999999</v>
      </c>
      <c r="Q22" s="87">
        <f>F22+J22+N22</f>
        <v>1850</v>
      </c>
      <c r="R22" s="86">
        <f>MAX(Q22,O22)</f>
        <v>1850</v>
      </c>
      <c r="S22" s="86">
        <f>MAX(R22,P22)</f>
        <v>1850</v>
      </c>
      <c r="T22" s="156" t="str">
        <f>VLOOKUP(A22,'[1]MTP SKUs - Master Data'!$A:$B,2,FALSE)</f>
        <v>Y</v>
      </c>
      <c r="U22" s="162">
        <f>_xlfn.IFNA(VLOOKUP(Table1[[#This Row],[MTP SKU Code]],'Audit Dimensions'!A:N,6,FALSE),"ARC")</f>
        <v>1940</v>
      </c>
      <c r="V22" s="162">
        <f>IFERROR(Table1[[#This Row],[B1.Aud]]-Table1[[#This Row],[PW(gm)]],"ERR")</f>
        <v>90</v>
      </c>
      <c r="W22" s="165">
        <f>IFERROR(Table1[[#This Row],[B1.Diff]]/Table1[[#This Row],[B1.Aud]],"ERR")</f>
        <v>4.6391752577319589E-2</v>
      </c>
      <c r="X22" s="162">
        <f>_xlfn.IFNA(VLOOKUP(Table1[[#This Row],[MTP SKU Code]],'Audit Dimensions'!A:N,10,FALSE),"ARC")</f>
        <v>0</v>
      </c>
      <c r="Y22" s="163">
        <f>IFERROR(Table1[[#This Row],[B2.Aud]]-Table1[[#This Row],[PW(gm)5]],"ERR")</f>
        <v>0</v>
      </c>
      <c r="Z22" s="165" t="str">
        <f>IFERROR(Table1[[#This Row],[B2.Diff]]/Table1[[#This Row],[B2.Aud]],"NA")</f>
        <v>NA</v>
      </c>
      <c r="AA22" s="162">
        <f>_xlfn.IFNA(VLOOKUP(Table1[[#This Row],[MTP SKU Code]],'Audit Dimensions'!A:N,14,FALSE),"ARC")</f>
        <v>0</v>
      </c>
      <c r="AB22" s="161">
        <f>IFERROR(Table1[[#This Row],[B3.Aud]]-Table1[[#This Row],[PW(gm)9]],"ERR")</f>
        <v>0</v>
      </c>
      <c r="AC22" s="168">
        <f>IFERROR(Table1[[#This Row],[B3.Diff]]/Table1[[#This Row],[BaLL.Aud]],"ERR")</f>
        <v>0</v>
      </c>
      <c r="AD22" s="189">
        <f>_xlfn.IFNA(VLOOKUP(Table1[[#This Row],[MTP SKU Code]],'Audit Dimensions'!A:U,16,FALSE),"ARC")</f>
        <v>1940</v>
      </c>
      <c r="AE22" s="165">
        <f>IFERROR(1-Table1[[#This Row],[Gms]]/Table1[[#This Row],[BaLL.Aud]],"ERR")</f>
        <v>4.6391752577319534E-2</v>
      </c>
    </row>
    <row r="23" spans="1:31">
      <c r="A23" s="70" t="s">
        <v>67</v>
      </c>
      <c r="B23" s="84" t="s">
        <v>48</v>
      </c>
      <c r="C23" s="190">
        <f>_xlfn.XLOOKUP(Table1[[#This Row],[MTP SKU Code]],'Audit Dimensions'!A:A,'Audit Dimensions'!C:C,0)</f>
        <v>39</v>
      </c>
      <c r="D23" s="190">
        <f>_xlfn.XLOOKUP(Table1[[#This Row],[MTP SKU Code]],'Audit Dimensions'!$A:$A,'Audit Dimensions'!D:D,0)</f>
        <v>30</v>
      </c>
      <c r="E23" s="190">
        <f>_xlfn.XLOOKUP(Table1[[#This Row],[MTP SKU Code]],'Audit Dimensions'!$A:$A,'Audit Dimensions'!E:E,0)</f>
        <v>10</v>
      </c>
      <c r="F23" s="190">
        <v>2800</v>
      </c>
      <c r="G23" s="190">
        <f>_xlfn.XLOOKUP(Table1[[#This Row],[MTP SKU Code]],'Audit Dimensions'!$A:$A,'Audit Dimensions'!G:G,0)</f>
        <v>0</v>
      </c>
      <c r="H23" s="190">
        <f>_xlfn.XLOOKUP(Table1[[#This Row],[MTP SKU Code]],'Audit Dimensions'!$A:$A,'Audit Dimensions'!H:H,0)</f>
        <v>0</v>
      </c>
      <c r="I23" s="190">
        <f>_xlfn.XLOOKUP(Table1[[#This Row],[MTP SKU Code]],'Audit Dimensions'!$A:$A,'Audit Dimensions'!I:I,0)</f>
        <v>0</v>
      </c>
      <c r="J23" s="190">
        <f>_xlfn.XLOOKUP(Table1[[#This Row],[MTP SKU Code]],'Audit Dimensions'!$A:$A,'Audit Dimensions'!J:J,0)</f>
        <v>0</v>
      </c>
      <c r="K23" s="190">
        <f>_xlfn.XLOOKUP(Table1[[#This Row],[MTP SKU Code]],'Audit Dimensions'!$A:$A,'Audit Dimensions'!K:K,0)</f>
        <v>0</v>
      </c>
      <c r="L23" s="190">
        <f>_xlfn.XLOOKUP(Table1[[#This Row],[MTP SKU Code]],'Audit Dimensions'!$A:$A,'Audit Dimensions'!L:L,0)</f>
        <v>0</v>
      </c>
      <c r="M23" s="190">
        <f>_xlfn.XLOOKUP(Table1[[#This Row],[MTP SKU Code]],'Audit Dimensions'!$A:$A,'Audit Dimensions'!M:M,0)</f>
        <v>0</v>
      </c>
      <c r="N23" s="190">
        <f>_xlfn.XLOOKUP(Table1[[#This Row],[MTP SKU Code]],'Audit Dimensions'!$A:$A,'Audit Dimensions'!N:N,0)</f>
        <v>0</v>
      </c>
      <c r="O23" s="118">
        <f>((IFERROR((C23*D23*E23),0)+IFERROR((G23*H23*I23),0)+IFERROR((K23*L23*M23),0))/1000000)*35.32</f>
        <v>0.413244</v>
      </c>
      <c r="P23" s="125">
        <f>Table1[[#This Row],[Column15]]*$P$2*1000</f>
        <v>2479.4639999999999</v>
      </c>
      <c r="Q23" s="87">
        <f>F23+J23+N23</f>
        <v>2800</v>
      </c>
      <c r="R23" s="86">
        <f>MAX(Q23,O23)</f>
        <v>2800</v>
      </c>
      <c r="S23" s="86">
        <f>MAX(R23,P23)</f>
        <v>2800</v>
      </c>
      <c r="T23" s="156" t="str">
        <f>VLOOKUP(A23,'[1]MTP SKUs - Master Data'!$A:$B,2,FALSE)</f>
        <v>Y</v>
      </c>
      <c r="U23" s="162">
        <f>_xlfn.IFNA(VLOOKUP(Table1[[#This Row],[MTP SKU Code]],'Audit Dimensions'!A:N,6,FALSE),"ARC")</f>
        <v>2960</v>
      </c>
      <c r="V23" s="162">
        <f>IFERROR(Table1[[#This Row],[B1.Aud]]-Table1[[#This Row],[PW(gm)]],"ERR")</f>
        <v>160</v>
      </c>
      <c r="W23" s="165">
        <f>IFERROR(Table1[[#This Row],[B1.Diff]]/Table1[[#This Row],[B1.Aud]],"ERR")</f>
        <v>5.4054054054054057E-2</v>
      </c>
      <c r="X23" s="162">
        <f>_xlfn.IFNA(VLOOKUP(Table1[[#This Row],[MTP SKU Code]],'Audit Dimensions'!A:N,10,FALSE),"ARC")</f>
        <v>0</v>
      </c>
      <c r="Y23" s="163">
        <f>IFERROR(Table1[[#This Row],[B2.Aud]]-Table1[[#This Row],[PW(gm)5]],"ERR")</f>
        <v>0</v>
      </c>
      <c r="Z23" s="165" t="str">
        <f>IFERROR(Table1[[#This Row],[B2.Diff]]/Table1[[#This Row],[B2.Aud]],"NA")</f>
        <v>NA</v>
      </c>
      <c r="AA23" s="162">
        <f>_xlfn.IFNA(VLOOKUP(Table1[[#This Row],[MTP SKU Code]],'Audit Dimensions'!A:N,14,FALSE),"ARC")</f>
        <v>0</v>
      </c>
      <c r="AB23" s="161">
        <f>IFERROR(Table1[[#This Row],[B3.Aud]]-Table1[[#This Row],[PW(gm)9]],"ERR")</f>
        <v>0</v>
      </c>
      <c r="AC23" s="168">
        <f>IFERROR(Table1[[#This Row],[B3.Diff]]/Table1[[#This Row],[BaLL.Aud]],"ERR")</f>
        <v>0</v>
      </c>
      <c r="AD23" s="189">
        <f>_xlfn.IFNA(VLOOKUP(Table1[[#This Row],[MTP SKU Code]],'Audit Dimensions'!A:U,16,FALSE),"ARC")</f>
        <v>2960</v>
      </c>
      <c r="AE23" s="165">
        <f>IFERROR(1-Table1[[#This Row],[Gms]]/Table1[[#This Row],[BaLL.Aud]],"ERR")</f>
        <v>5.4054054054054057E-2</v>
      </c>
    </row>
    <row r="24" spans="1:31" ht="12.4" customHeight="1">
      <c r="A24" s="70" t="s">
        <v>68</v>
      </c>
      <c r="B24" s="84" t="s">
        <v>48</v>
      </c>
      <c r="C24" s="190">
        <f>_xlfn.XLOOKUP(Table1[[#This Row],[MTP SKU Code]],'Audit Dimensions'!A:A,'Audit Dimensions'!C:C,0)</f>
        <v>187</v>
      </c>
      <c r="D24" s="190">
        <f>_xlfn.XLOOKUP(Table1[[#This Row],[MTP SKU Code]],'Audit Dimensions'!$A:$A,'Audit Dimensions'!D:D,0)</f>
        <v>43</v>
      </c>
      <c r="E24" s="190">
        <f>_xlfn.XLOOKUP(Table1[[#This Row],[MTP SKU Code]],'Audit Dimensions'!$A:$A,'Audit Dimensions'!E:E,0)</f>
        <v>14</v>
      </c>
      <c r="F24" s="190">
        <v>55600</v>
      </c>
      <c r="G24" s="190">
        <f>_xlfn.XLOOKUP(Table1[[#This Row],[MTP SKU Code]],'Audit Dimensions'!$A:$A,'Audit Dimensions'!G:G,0)</f>
        <v>0</v>
      </c>
      <c r="H24" s="190">
        <f>_xlfn.XLOOKUP(Table1[[#This Row],[MTP SKU Code]],'Audit Dimensions'!$A:$A,'Audit Dimensions'!H:H,0)</f>
        <v>0</v>
      </c>
      <c r="I24" s="190">
        <f>_xlfn.XLOOKUP(Table1[[#This Row],[MTP SKU Code]],'Audit Dimensions'!$A:$A,'Audit Dimensions'!I:I,0)</f>
        <v>0</v>
      </c>
      <c r="J24" s="190">
        <f>_xlfn.XLOOKUP(Table1[[#This Row],[MTP SKU Code]],'Audit Dimensions'!$A:$A,'Audit Dimensions'!J:J,0)</f>
        <v>0</v>
      </c>
      <c r="K24" s="190">
        <f>_xlfn.XLOOKUP(Table1[[#This Row],[MTP SKU Code]],'Audit Dimensions'!$A:$A,'Audit Dimensions'!K:K,0)</f>
        <v>0</v>
      </c>
      <c r="L24" s="190">
        <f>_xlfn.XLOOKUP(Table1[[#This Row],[MTP SKU Code]],'Audit Dimensions'!$A:$A,'Audit Dimensions'!L:L,0)</f>
        <v>0</v>
      </c>
      <c r="M24" s="190">
        <f>_xlfn.XLOOKUP(Table1[[#This Row],[MTP SKU Code]],'Audit Dimensions'!$A:$A,'Audit Dimensions'!M:M,0)</f>
        <v>0</v>
      </c>
      <c r="N24" s="190">
        <f>_xlfn.XLOOKUP(Table1[[#This Row],[MTP SKU Code]],'Audit Dimensions'!$A:$A,'Audit Dimensions'!N:N,0)</f>
        <v>0</v>
      </c>
      <c r="O24" s="118">
        <f>((IFERROR((C24*D24*E24),0)+IFERROR((G24*H24*I24),0)+IFERROR((K24*L24*M24),0))/1000000)*35.32</f>
        <v>3.9761136799999997</v>
      </c>
      <c r="P24" s="125">
        <f>Table1[[#This Row],[Column15]]*$P$2*1000</f>
        <v>23856.682079999999</v>
      </c>
      <c r="Q24" s="87">
        <f>F24+J24+N24</f>
        <v>55600</v>
      </c>
      <c r="R24" s="86">
        <f>MAX(Q24,O24)</f>
        <v>55600</v>
      </c>
      <c r="S24" s="86">
        <f>MAX(R24,P24)</f>
        <v>55600</v>
      </c>
      <c r="T24" s="156" t="str">
        <f>VLOOKUP(A24,'[1]MTP SKUs - Master Data'!$A:$B,2,FALSE)</f>
        <v>Y</v>
      </c>
      <c r="U24" s="162">
        <f>_xlfn.IFNA(VLOOKUP(Table1[[#This Row],[MTP SKU Code]],'Audit Dimensions'!A:N,6,FALSE),"ARC")</f>
        <v>58920</v>
      </c>
      <c r="V24" s="162">
        <f>IFERROR(Table1[[#This Row],[B1.Aud]]-Table1[[#This Row],[PW(gm)]],"ERR")</f>
        <v>3320</v>
      </c>
      <c r="W24" s="165">
        <f>IFERROR(Table1[[#This Row],[B1.Diff]]/Table1[[#This Row],[B1.Aud]],"ERR")</f>
        <v>5.6347589952477933E-2</v>
      </c>
      <c r="X24" s="162">
        <f>_xlfn.IFNA(VLOOKUP(Table1[[#This Row],[MTP SKU Code]],'Audit Dimensions'!A:N,10,FALSE),"ARC")</f>
        <v>0</v>
      </c>
      <c r="Y24" s="163">
        <f>IFERROR(Table1[[#This Row],[B2.Aud]]-Table1[[#This Row],[PW(gm)5]],"ERR")</f>
        <v>0</v>
      </c>
      <c r="Z24" s="165" t="str">
        <f>IFERROR(Table1[[#This Row],[B2.Diff]]/Table1[[#This Row],[B2.Aud]],"NA")</f>
        <v>NA</v>
      </c>
      <c r="AA24" s="162">
        <f>_xlfn.IFNA(VLOOKUP(Table1[[#This Row],[MTP SKU Code]],'Audit Dimensions'!A:N,14,FALSE),"ARC")</f>
        <v>0</v>
      </c>
      <c r="AB24" s="161">
        <f>IFERROR(Table1[[#This Row],[B3.Aud]]-Table1[[#This Row],[PW(gm)9]],"ERR")</f>
        <v>0</v>
      </c>
      <c r="AC24" s="168">
        <f>IFERROR(Table1[[#This Row],[B3.Diff]]/Table1[[#This Row],[BaLL.Aud]],"ERR")</f>
        <v>0</v>
      </c>
      <c r="AD24" s="189">
        <f>_xlfn.IFNA(VLOOKUP(Table1[[#This Row],[MTP SKU Code]],'Audit Dimensions'!A:U,16,FALSE),"ARC")</f>
        <v>58920</v>
      </c>
      <c r="AE24" s="165">
        <f>IFERROR(1-Table1[[#This Row],[Gms]]/Table1[[#This Row],[BaLL.Aud]],"ERR")</f>
        <v>5.6347589952477906E-2</v>
      </c>
    </row>
    <row r="25" spans="1:31" hidden="1">
      <c r="A25" s="68" t="s">
        <v>69</v>
      </c>
      <c r="B25" s="84" t="s">
        <v>48</v>
      </c>
      <c r="C25" s="85">
        <v>85</v>
      </c>
      <c r="D25" s="85">
        <v>66</v>
      </c>
      <c r="E25" s="85">
        <v>5</v>
      </c>
      <c r="F25" s="89">
        <v>10750</v>
      </c>
      <c r="G25" s="85"/>
      <c r="H25" s="85"/>
      <c r="I25" s="85"/>
      <c r="J25" s="85"/>
      <c r="K25" s="85"/>
      <c r="L25" s="85"/>
      <c r="M25" s="85"/>
      <c r="N25" s="85"/>
      <c r="O25" s="118">
        <f>((IFERROR((C25*D25*E25),0)+IFERROR((G25*H25*I25),0)+IFERROR((K25*L25*M25),0))/1000000)*35.32</f>
        <v>0.990726</v>
      </c>
      <c r="P25" s="125">
        <f>Table1[[#This Row],[Column15]]*$P$2*1000</f>
        <v>5944.3559999999998</v>
      </c>
      <c r="Q25" s="87">
        <f>F25+J25+N25</f>
        <v>10750</v>
      </c>
      <c r="R25" s="86">
        <f>MAX(Q25,O25)</f>
        <v>10750</v>
      </c>
      <c r="S25" s="86">
        <f>MAX(R25,P25)</f>
        <v>10750</v>
      </c>
      <c r="T25" s="156" t="str">
        <f>VLOOKUP(A25,'[1]MTP SKUs - Master Data'!$A:$B,2,FALSE)</f>
        <v>DI</v>
      </c>
      <c r="U25" s="162">
        <f>_xlfn.IFNA(VLOOKUP(Table1[[#This Row],[MTP SKU Code]],'Audit Dimensions'!A:N,6,FALSE),"ARC")</f>
        <v>10100</v>
      </c>
      <c r="V25" s="162">
        <f>IFERROR(Table1[[#This Row],[B1.Aud]]-Table1[[#This Row],[PW(gm)]],"ERR")</f>
        <v>-650</v>
      </c>
      <c r="W25" s="165">
        <f>IFERROR(Table1[[#This Row],[B1.Diff]]/Table1[[#This Row],[B1.Aud]],"ERR")</f>
        <v>-6.4356435643564358E-2</v>
      </c>
      <c r="X25" s="162">
        <f>_xlfn.IFNA(VLOOKUP(Table1[[#This Row],[MTP SKU Code]],'Audit Dimensions'!A:N,10,FALSE),"ARC")</f>
        <v>0</v>
      </c>
      <c r="Y25" s="163">
        <f>IFERROR(Table1[[#This Row],[B2.Aud]]-Table1[[#This Row],[PW(gm)5]],"ERR")</f>
        <v>0</v>
      </c>
      <c r="Z25" s="165" t="str">
        <f>IFERROR(Table1[[#This Row],[B2.Diff]]/Table1[[#This Row],[B2.Aud]],"NA")</f>
        <v>NA</v>
      </c>
      <c r="AA25" s="162">
        <f>_xlfn.IFNA(VLOOKUP(Table1[[#This Row],[MTP SKU Code]],'Audit Dimensions'!A:N,14,FALSE),"ARC")</f>
        <v>0</v>
      </c>
      <c r="AB25" s="161">
        <f>IFERROR(Table1[[#This Row],[B3.Aud]]-Table1[[#This Row],[PW(gm)9]],"ERR")</f>
        <v>0</v>
      </c>
      <c r="AC25" s="168">
        <f>IFERROR(Table1[[#This Row],[B3.Diff]]/Table1[[#This Row],[BaLL.Aud]],"ERR")</f>
        <v>0</v>
      </c>
      <c r="AD25" s="162">
        <f>_xlfn.IFNA(VLOOKUP(Table1[[#This Row],[MTP SKU Code]],'Audit Dimensions'!A:U,16,FALSE),"ARC")</f>
        <v>10100</v>
      </c>
      <c r="AE25" s="165">
        <f>IFERROR(1-Table1[[#This Row],[Gms]]/Table1[[#This Row],[BaLL.Aud]],"ERR")</f>
        <v>-6.4356435643564414E-2</v>
      </c>
    </row>
    <row r="26" spans="1:31">
      <c r="A26" s="91" t="s">
        <v>70</v>
      </c>
      <c r="B26" s="84" t="s">
        <v>48</v>
      </c>
      <c r="C26" s="190">
        <f>_xlfn.XLOOKUP(Table1[[#This Row],[MTP SKU Code]],'Audit Dimensions'!A:A,'Audit Dimensions'!C:C,0)</f>
        <v>159</v>
      </c>
      <c r="D26" s="190">
        <f>_xlfn.XLOOKUP(Table1[[#This Row],[MTP SKU Code]],'Audit Dimensions'!$A:$A,'Audit Dimensions'!D:D,0)</f>
        <v>33</v>
      </c>
      <c r="E26" s="190">
        <f>_xlfn.XLOOKUP(Table1[[#This Row],[MTP SKU Code]],'Audit Dimensions'!$A:$A,'Audit Dimensions'!E:E,0)</f>
        <v>9</v>
      </c>
      <c r="F26" s="190">
        <v>18800</v>
      </c>
      <c r="G26" s="190">
        <f>_xlfn.XLOOKUP(Table1[[#This Row],[MTP SKU Code]],'Audit Dimensions'!$A:$A,'Audit Dimensions'!G:G,0)</f>
        <v>0</v>
      </c>
      <c r="H26" s="190">
        <f>_xlfn.XLOOKUP(Table1[[#This Row],[MTP SKU Code]],'Audit Dimensions'!$A:$A,'Audit Dimensions'!H:H,0)</f>
        <v>0</v>
      </c>
      <c r="I26" s="190">
        <f>_xlfn.XLOOKUP(Table1[[#This Row],[MTP SKU Code]],'Audit Dimensions'!$A:$A,'Audit Dimensions'!I:I,0)</f>
        <v>0</v>
      </c>
      <c r="J26" s="190">
        <f>_xlfn.XLOOKUP(Table1[[#This Row],[MTP SKU Code]],'Audit Dimensions'!$A:$A,'Audit Dimensions'!J:J,0)</f>
        <v>0</v>
      </c>
      <c r="K26" s="190">
        <f>_xlfn.XLOOKUP(Table1[[#This Row],[MTP SKU Code]],'Audit Dimensions'!$A:$A,'Audit Dimensions'!K:K,0)</f>
        <v>0</v>
      </c>
      <c r="L26" s="190">
        <f>_xlfn.XLOOKUP(Table1[[#This Row],[MTP SKU Code]],'Audit Dimensions'!$A:$A,'Audit Dimensions'!L:L,0)</f>
        <v>0</v>
      </c>
      <c r="M26" s="190">
        <f>_xlfn.XLOOKUP(Table1[[#This Row],[MTP SKU Code]],'Audit Dimensions'!$A:$A,'Audit Dimensions'!M:M,0)</f>
        <v>0</v>
      </c>
      <c r="N26" s="190">
        <f>_xlfn.XLOOKUP(Table1[[#This Row],[MTP SKU Code]],'Audit Dimensions'!$A:$A,'Audit Dimensions'!N:N,0)</f>
        <v>0</v>
      </c>
      <c r="O26" s="118">
        <f>((IFERROR((C26*D26*E26),0)+IFERROR((G26*H26*I26),0)+IFERROR((K26*L26*M26),0))/1000000)*35.32</f>
        <v>1.66791636</v>
      </c>
      <c r="P26" s="125">
        <f>Table1[[#This Row],[Column15]]*$P$2*1000</f>
        <v>10007.498160000001</v>
      </c>
      <c r="Q26" s="87">
        <f>F26+J26+N26</f>
        <v>18800</v>
      </c>
      <c r="R26" s="86">
        <f>MAX(Q26,O26)</f>
        <v>18800</v>
      </c>
      <c r="S26" s="86">
        <f>MAX(R26,P26)</f>
        <v>18800</v>
      </c>
      <c r="T26" s="156" t="str">
        <f>VLOOKUP(A26,'[1]MTP SKUs - Master Data'!$A:$B,2,FALSE)</f>
        <v>Y</v>
      </c>
      <c r="U26" s="162">
        <f>_xlfn.IFNA(VLOOKUP(Table1[[#This Row],[MTP SKU Code]],'Audit Dimensions'!A:N,6,FALSE),"ARC")</f>
        <v>20000</v>
      </c>
      <c r="V26" s="162">
        <f>IFERROR(Table1[[#This Row],[B1.Aud]]-Table1[[#This Row],[PW(gm)]],"ERR")</f>
        <v>1200</v>
      </c>
      <c r="W26" s="165">
        <f>IFERROR(Table1[[#This Row],[B1.Diff]]/Table1[[#This Row],[B1.Aud]],"ERR")</f>
        <v>0.06</v>
      </c>
      <c r="X26" s="162">
        <f>_xlfn.IFNA(VLOOKUP(Table1[[#This Row],[MTP SKU Code]],'Audit Dimensions'!A:N,10,FALSE),"ARC")</f>
        <v>0</v>
      </c>
      <c r="Y26" s="163">
        <f>IFERROR(Table1[[#This Row],[B2.Aud]]-Table1[[#This Row],[PW(gm)5]],"ERR")</f>
        <v>0</v>
      </c>
      <c r="Z26" s="165" t="str">
        <f>IFERROR(Table1[[#This Row],[B2.Diff]]/Table1[[#This Row],[B2.Aud]],"NA")</f>
        <v>NA</v>
      </c>
      <c r="AA26" s="162">
        <f>_xlfn.IFNA(VLOOKUP(Table1[[#This Row],[MTP SKU Code]],'Audit Dimensions'!A:N,14,FALSE),"ARC")</f>
        <v>0</v>
      </c>
      <c r="AB26" s="161">
        <f>IFERROR(Table1[[#This Row],[B3.Aud]]-Table1[[#This Row],[PW(gm)9]],"ERR")</f>
        <v>0</v>
      </c>
      <c r="AC26" s="168">
        <f>IFERROR(Table1[[#This Row],[B3.Diff]]/Table1[[#This Row],[BaLL.Aud]],"ERR")</f>
        <v>0</v>
      </c>
      <c r="AD26" s="189">
        <f>_xlfn.IFNA(VLOOKUP(Table1[[#This Row],[MTP SKU Code]],'Audit Dimensions'!A:U,16,FALSE),"ARC")</f>
        <v>20000</v>
      </c>
      <c r="AE26" s="165">
        <f>IFERROR(1-Table1[[#This Row],[Gms]]/Table1[[#This Row],[BaLL.Aud]],"ERR")</f>
        <v>6.0000000000000053E-2</v>
      </c>
    </row>
    <row r="27" spans="1:31" ht="12.4" hidden="1" customHeight="1">
      <c r="A27" s="99" t="s">
        <v>71</v>
      </c>
      <c r="B27" s="84" t="s">
        <v>48</v>
      </c>
      <c r="C27" s="190">
        <f>_xlfn.XLOOKUP(Table1[[#This Row],[MTP SKU Code]],'Audit Dimensions'!A:A,'Audit Dimensions'!C:C,0)</f>
        <v>36</v>
      </c>
      <c r="D27" s="190">
        <f>_xlfn.XLOOKUP(Table1[[#This Row],[MTP SKU Code]],'Audit Dimensions'!$A:$A,'Audit Dimensions'!D:D,0)</f>
        <v>25</v>
      </c>
      <c r="E27" s="190">
        <f>_xlfn.XLOOKUP(Table1[[#This Row],[MTP SKU Code]],'Audit Dimensions'!$A:$A,'Audit Dimensions'!E:E,0)</f>
        <v>4</v>
      </c>
      <c r="F27" s="89">
        <v>1515</v>
      </c>
      <c r="G27" s="85"/>
      <c r="H27" s="85"/>
      <c r="I27" s="85"/>
      <c r="J27" s="85"/>
      <c r="K27" s="85"/>
      <c r="L27" s="85"/>
      <c r="M27" s="85"/>
      <c r="N27" s="85"/>
      <c r="O27" s="118">
        <f>((IFERROR((C27*D27*E27),0)+IFERROR((G27*H27*I27),0)+IFERROR((K27*L27*M27),0))/1000000)*35.32</f>
        <v>0.12715199999999999</v>
      </c>
      <c r="P27" s="125">
        <f>Table1[[#This Row],[Column15]]*$P$2*1000</f>
        <v>762.91199999999992</v>
      </c>
      <c r="Q27" s="87">
        <f>F27+J27+N27</f>
        <v>1515</v>
      </c>
      <c r="R27" s="86">
        <f>MAX(Q27,O27)</f>
        <v>1515</v>
      </c>
      <c r="S27" s="86">
        <f>MAX(R27,P27)</f>
        <v>1515</v>
      </c>
      <c r="T27" s="156" t="str">
        <f>VLOOKUP(A27,'[1]MTP SKUs - Master Data'!$A:$B,2,FALSE)</f>
        <v>DI</v>
      </c>
      <c r="U27" s="162">
        <f>_xlfn.IFNA(VLOOKUP(Table1[[#This Row],[MTP SKU Code]],'Audit Dimensions'!A:N,6,FALSE),"ARC")</f>
        <v>1430</v>
      </c>
      <c r="V27" s="162">
        <f>IFERROR(Table1[[#This Row],[B1.Aud]]-Table1[[#This Row],[PW(gm)]],"ERR")</f>
        <v>-85</v>
      </c>
      <c r="W27" s="165">
        <f>IFERROR(Table1[[#This Row],[B1.Diff]]/Table1[[#This Row],[B1.Aud]],"ERR")</f>
        <v>-5.944055944055944E-2</v>
      </c>
      <c r="X27" s="162">
        <f>_xlfn.IFNA(VLOOKUP(Table1[[#This Row],[MTP SKU Code]],'Audit Dimensions'!A:N,10,FALSE),"ARC")</f>
        <v>0</v>
      </c>
      <c r="Y27" s="163">
        <f>IFERROR(Table1[[#This Row],[B2.Aud]]-Table1[[#This Row],[PW(gm)5]],"ERR")</f>
        <v>0</v>
      </c>
      <c r="Z27" s="165" t="str">
        <f>IFERROR(Table1[[#This Row],[B2.Diff]]/Table1[[#This Row],[B2.Aud]],"NA")</f>
        <v>NA</v>
      </c>
      <c r="AA27" s="162">
        <f>_xlfn.IFNA(VLOOKUP(Table1[[#This Row],[MTP SKU Code]],'Audit Dimensions'!A:N,14,FALSE),"ARC")</f>
        <v>0</v>
      </c>
      <c r="AB27" s="161">
        <f>IFERROR(Table1[[#This Row],[B3.Aud]]-Table1[[#This Row],[PW(gm)9]],"ERR")</f>
        <v>0</v>
      </c>
      <c r="AC27" s="168">
        <f>IFERROR(Table1[[#This Row],[B3.Diff]]/Table1[[#This Row],[BaLL.Aud]],"ERR")</f>
        <v>0</v>
      </c>
      <c r="AD27" s="162">
        <f>_xlfn.IFNA(VLOOKUP(Table1[[#This Row],[MTP SKU Code]],'Audit Dimensions'!A:U,16,FALSE),"ARC")</f>
        <v>1430</v>
      </c>
      <c r="AE27" s="165">
        <f>IFERROR(1-Table1[[#This Row],[Gms]]/Table1[[#This Row],[BaLL.Aud]],"ERR")</f>
        <v>-5.9440559440559371E-2</v>
      </c>
    </row>
    <row r="28" spans="1:31">
      <c r="A28" s="92" t="s">
        <v>72</v>
      </c>
      <c r="B28" s="93" t="s">
        <v>48</v>
      </c>
      <c r="C28" s="190">
        <f>_xlfn.XLOOKUP(Table1[[#This Row],[MTP SKU Code]],'Audit Dimensions'!A:A,'Audit Dimensions'!C:C,0)</f>
        <v>100</v>
      </c>
      <c r="D28" s="190">
        <f>_xlfn.XLOOKUP(Table1[[#This Row],[MTP SKU Code]],'Audit Dimensions'!$A:$A,'Audit Dimensions'!D:D,0)</f>
        <v>50</v>
      </c>
      <c r="E28" s="190">
        <f>_xlfn.XLOOKUP(Table1[[#This Row],[MTP SKU Code]],'Audit Dimensions'!$A:$A,'Audit Dimensions'!E:E,0)</f>
        <v>5</v>
      </c>
      <c r="F28" s="190">
        <v>7800</v>
      </c>
      <c r="G28" s="190">
        <f>_xlfn.XLOOKUP(Table1[[#This Row],[MTP SKU Code]],'Audit Dimensions'!$A:$A,'Audit Dimensions'!G:G,0)</f>
        <v>0</v>
      </c>
      <c r="H28" s="190">
        <f>_xlfn.XLOOKUP(Table1[[#This Row],[MTP SKU Code]],'Audit Dimensions'!$A:$A,'Audit Dimensions'!H:H,0)</f>
        <v>0</v>
      </c>
      <c r="I28" s="190">
        <f>_xlfn.XLOOKUP(Table1[[#This Row],[MTP SKU Code]],'Audit Dimensions'!$A:$A,'Audit Dimensions'!I:I,0)</f>
        <v>0</v>
      </c>
      <c r="J28" s="190">
        <f>_xlfn.XLOOKUP(Table1[[#This Row],[MTP SKU Code]],'Audit Dimensions'!$A:$A,'Audit Dimensions'!J:J,0)</f>
        <v>0</v>
      </c>
      <c r="K28" s="190">
        <f>_xlfn.XLOOKUP(Table1[[#This Row],[MTP SKU Code]],'Audit Dimensions'!$A:$A,'Audit Dimensions'!K:K,0)</f>
        <v>0</v>
      </c>
      <c r="L28" s="190">
        <f>_xlfn.XLOOKUP(Table1[[#This Row],[MTP SKU Code]],'Audit Dimensions'!$A:$A,'Audit Dimensions'!L:L,0)</f>
        <v>0</v>
      </c>
      <c r="M28" s="190">
        <f>_xlfn.XLOOKUP(Table1[[#This Row],[MTP SKU Code]],'Audit Dimensions'!$A:$A,'Audit Dimensions'!M:M,0)</f>
        <v>0</v>
      </c>
      <c r="N28" s="190">
        <f>_xlfn.XLOOKUP(Table1[[#This Row],[MTP SKU Code]],'Audit Dimensions'!$A:$A,'Audit Dimensions'!N:N,0)</f>
        <v>0</v>
      </c>
      <c r="O28" s="119">
        <f>((IFERROR((C28*D28*E28),0)+IFERROR((G28*H28*I28),0)+IFERROR((K28*L28*M28),0))/1000000)*35.32</f>
        <v>0.88300000000000001</v>
      </c>
      <c r="P28" s="125">
        <f>Table1[[#This Row],[Column15]]*$P$2*1000</f>
        <v>5298</v>
      </c>
      <c r="Q28" s="96">
        <f>F28+J28+N28</f>
        <v>7800</v>
      </c>
      <c r="R28" s="97">
        <f>MAX(Q28,O28)</f>
        <v>7800</v>
      </c>
      <c r="S28" s="97">
        <f>MAX(R28,P28)</f>
        <v>7800</v>
      </c>
      <c r="T28" s="156" t="str">
        <f>VLOOKUP(A28,'[1]MTP SKUs - Master Data'!$A:$B,2,FALSE)</f>
        <v>Y</v>
      </c>
      <c r="U28" s="162">
        <f>_xlfn.IFNA(VLOOKUP(Table1[[#This Row],[MTP SKU Code]],'Audit Dimensions'!A:N,6,FALSE),"ARC")</f>
        <v>8310</v>
      </c>
      <c r="V28" s="162">
        <f>IFERROR(Table1[[#This Row],[B1.Aud]]-Table1[[#This Row],[PW(gm)]],"ERR")</f>
        <v>510</v>
      </c>
      <c r="W28" s="165">
        <f>IFERROR(Table1[[#This Row],[B1.Diff]]/Table1[[#This Row],[B1.Aud]],"ERR")</f>
        <v>6.1371841155234655E-2</v>
      </c>
      <c r="X28" s="162">
        <f>_xlfn.IFNA(VLOOKUP(Table1[[#This Row],[MTP SKU Code]],'Audit Dimensions'!A:N,10,FALSE),"ARC")</f>
        <v>0</v>
      </c>
      <c r="Y28" s="163">
        <f>IFERROR(Table1[[#This Row],[B2.Aud]]-Table1[[#This Row],[PW(gm)5]],"ERR")</f>
        <v>0</v>
      </c>
      <c r="Z28" s="165" t="str">
        <f>IFERROR(Table1[[#This Row],[B2.Diff]]/Table1[[#This Row],[B2.Aud]],"NA")</f>
        <v>NA</v>
      </c>
      <c r="AA28" s="162">
        <f>_xlfn.IFNA(VLOOKUP(Table1[[#This Row],[MTP SKU Code]],'Audit Dimensions'!A:N,14,FALSE),"ARC")</f>
        <v>0</v>
      </c>
      <c r="AB28" s="161">
        <f>IFERROR(Table1[[#This Row],[B3.Aud]]-Table1[[#This Row],[PW(gm)9]],"ERR")</f>
        <v>0</v>
      </c>
      <c r="AC28" s="168">
        <f>IFERROR(Table1[[#This Row],[B3.Diff]]/Table1[[#This Row],[BaLL.Aud]],"ERR")</f>
        <v>0</v>
      </c>
      <c r="AD28" s="189">
        <f>_xlfn.IFNA(VLOOKUP(Table1[[#This Row],[MTP SKU Code]],'Audit Dimensions'!A:U,16,FALSE),"ARC")</f>
        <v>8310</v>
      </c>
      <c r="AE28" s="165">
        <f>IFERROR(1-Table1[[#This Row],[Gms]]/Table1[[#This Row],[BaLL.Aud]],"ERR")</f>
        <v>6.1371841155234641E-2</v>
      </c>
    </row>
    <row r="29" spans="1:31" ht="12.4" customHeight="1">
      <c r="A29" s="68" t="s">
        <v>73</v>
      </c>
      <c r="B29" s="84" t="s">
        <v>74</v>
      </c>
      <c r="C29" s="190">
        <f>_xlfn.XLOOKUP(Table1[[#This Row],[MTP SKU Code]],'Audit Dimensions'!A:A,'Audit Dimensions'!C:C,0)</f>
        <v>206</v>
      </c>
      <c r="D29" s="190">
        <f>_xlfn.XLOOKUP(Table1[[#This Row],[MTP SKU Code]],'Audit Dimensions'!$A:$A,'Audit Dimensions'!D:D,0)</f>
        <v>50</v>
      </c>
      <c r="E29" s="190">
        <f>_xlfn.XLOOKUP(Table1[[#This Row],[MTP SKU Code]],'Audit Dimensions'!$A:$A,'Audit Dimensions'!E:E,0)</f>
        <v>8</v>
      </c>
      <c r="F29" s="190">
        <v>38700</v>
      </c>
      <c r="G29" s="190">
        <f>_xlfn.XLOOKUP(Table1[[#This Row],[MTP SKU Code]],'Audit Dimensions'!$A:$A,'Audit Dimensions'!G:G,0)</f>
        <v>103</v>
      </c>
      <c r="H29" s="190">
        <f>_xlfn.XLOOKUP(Table1[[#This Row],[MTP SKU Code]],'Audit Dimensions'!$A:$A,'Audit Dimensions'!H:H,0)</f>
        <v>80</v>
      </c>
      <c r="I29" s="190">
        <f>_xlfn.XLOOKUP(Table1[[#This Row],[MTP SKU Code]],'Audit Dimensions'!$A:$A,'Audit Dimensions'!I:I,0)</f>
        <v>3</v>
      </c>
      <c r="J29" s="190">
        <v>22500</v>
      </c>
      <c r="K29" s="190">
        <f>_xlfn.XLOOKUP(Table1[[#This Row],[MTP SKU Code]],'Audit Dimensions'!$A:$A,'Audit Dimensions'!K:K,0)</f>
        <v>0</v>
      </c>
      <c r="L29" s="190">
        <f>_xlfn.XLOOKUP(Table1[[#This Row],[MTP SKU Code]],'Audit Dimensions'!$A:$A,'Audit Dimensions'!L:L,0)</f>
        <v>0</v>
      </c>
      <c r="M29" s="190">
        <f>_xlfn.XLOOKUP(Table1[[#This Row],[MTP SKU Code]],'Audit Dimensions'!$A:$A,'Audit Dimensions'!M:M,0)</f>
        <v>0</v>
      </c>
      <c r="N29" s="190">
        <f>_xlfn.XLOOKUP(Table1[[#This Row],[MTP SKU Code]],'Audit Dimensions'!$A:$A,'Audit Dimensions'!N:N,0)</f>
        <v>0</v>
      </c>
      <c r="O29" s="118">
        <f>((IFERROR((C29*D29*E29),0)+IFERROR((G29*H29*I29),0)+IFERROR((K29*L29*M29),0))/1000000)*35.32</f>
        <v>3.7834784000000004</v>
      </c>
      <c r="P29" s="125">
        <f>Table1[[#This Row],[Column15]]*$P$2*1000</f>
        <v>22700.870400000003</v>
      </c>
      <c r="Q29" s="87">
        <f>F29+J29+N29</f>
        <v>61200</v>
      </c>
      <c r="R29" s="86">
        <f>MAX(Q29,O29)</f>
        <v>61200</v>
      </c>
      <c r="S29" s="86">
        <f>MAX(R29,P29)</f>
        <v>61200</v>
      </c>
      <c r="T29" s="156" t="str">
        <f>VLOOKUP(A29,'[1]MTP SKUs - Master Data'!$A:$B,2,FALSE)</f>
        <v>Y</v>
      </c>
      <c r="U29" s="162">
        <f>_xlfn.IFNA(VLOOKUP(Table1[[#This Row],[MTP SKU Code]],'Audit Dimensions'!A:N,6,FALSE),"ARC")</f>
        <v>41430</v>
      </c>
      <c r="V29" s="162">
        <f>IFERROR(Table1[[#This Row],[B1.Aud]]-Table1[[#This Row],[PW(gm)]],"ERR")</f>
        <v>2730</v>
      </c>
      <c r="W29" s="165">
        <f>IFERROR(Table1[[#This Row],[B1.Diff]]/Table1[[#This Row],[B1.Aud]],"ERR")</f>
        <v>6.5894279507603182E-2</v>
      </c>
      <c r="X29" s="162">
        <f>_xlfn.IFNA(VLOOKUP(Table1[[#This Row],[MTP SKU Code]],'Audit Dimensions'!A:N,10,FALSE),"ARC")</f>
        <v>23820</v>
      </c>
      <c r="Y29" s="163">
        <f>IFERROR(Table1[[#This Row],[B2.Aud]]-Table1[[#This Row],[PW(gm)5]],"ERR")</f>
        <v>1320</v>
      </c>
      <c r="Z29" s="165">
        <f>IFERROR(Table1[[#This Row],[B2.Diff]]/Table1[[#This Row],[B2.Aud]],"NA")</f>
        <v>5.5415617128463476E-2</v>
      </c>
      <c r="AA29" s="162">
        <f>_xlfn.IFNA(VLOOKUP(Table1[[#This Row],[MTP SKU Code]],'Audit Dimensions'!A:N,14,FALSE),"ARC")</f>
        <v>0</v>
      </c>
      <c r="AB29" s="161">
        <f>IFERROR(Table1[[#This Row],[B3.Aud]]-Table1[[#This Row],[PW(gm)9]],"ERR")</f>
        <v>0</v>
      </c>
      <c r="AC29" s="168">
        <f>IFERROR(Table1[[#This Row],[B3.Diff]]/Table1[[#This Row],[BaLL.Aud]],"ERR")</f>
        <v>0</v>
      </c>
      <c r="AD29" s="189">
        <f>_xlfn.IFNA(VLOOKUP(Table1[[#This Row],[MTP SKU Code]],'Audit Dimensions'!A:U,16,FALSE),"ARC")</f>
        <v>65250</v>
      </c>
      <c r="AE29" s="165">
        <f>IFERROR(1-Table1[[#This Row],[Gms]]/Table1[[#This Row],[BaLL.Aud]],"ERR")</f>
        <v>6.2068965517241392E-2</v>
      </c>
    </row>
    <row r="30" spans="1:31">
      <c r="A30" s="70" t="s">
        <v>75</v>
      </c>
      <c r="B30" s="84" t="s">
        <v>48</v>
      </c>
      <c r="C30" s="190">
        <f>_xlfn.XLOOKUP(Table1[[#This Row],[MTP SKU Code]],'Audit Dimensions'!A:A,'Audit Dimensions'!C:C,0)</f>
        <v>77</v>
      </c>
      <c r="D30" s="190">
        <f>_xlfn.XLOOKUP(Table1[[#This Row],[MTP SKU Code]],'Audit Dimensions'!$A:$A,'Audit Dimensions'!D:D,0)</f>
        <v>35</v>
      </c>
      <c r="E30" s="190">
        <f>_xlfn.XLOOKUP(Table1[[#This Row],[MTP SKU Code]],'Audit Dimensions'!$A:$A,'Audit Dimensions'!E:E,0)</f>
        <v>12</v>
      </c>
      <c r="F30" s="190">
        <v>14800</v>
      </c>
      <c r="G30" s="190">
        <f>_xlfn.XLOOKUP(Table1[[#This Row],[MTP SKU Code]],'Audit Dimensions'!$A:$A,'Audit Dimensions'!G:G,0)</f>
        <v>0</v>
      </c>
      <c r="H30" s="190">
        <f>_xlfn.XLOOKUP(Table1[[#This Row],[MTP SKU Code]],'Audit Dimensions'!$A:$A,'Audit Dimensions'!H:H,0)</f>
        <v>0</v>
      </c>
      <c r="I30" s="190">
        <f>_xlfn.XLOOKUP(Table1[[#This Row],[MTP SKU Code]],'Audit Dimensions'!$A:$A,'Audit Dimensions'!I:I,0)</f>
        <v>0</v>
      </c>
      <c r="J30" s="190">
        <f>_xlfn.XLOOKUP(Table1[[#This Row],[MTP SKU Code]],'Audit Dimensions'!$A:$A,'Audit Dimensions'!J:J,0)</f>
        <v>0</v>
      </c>
      <c r="K30" s="190">
        <f>_xlfn.XLOOKUP(Table1[[#This Row],[MTP SKU Code]],'Audit Dimensions'!$A:$A,'Audit Dimensions'!K:K,0)</f>
        <v>0</v>
      </c>
      <c r="L30" s="190">
        <f>_xlfn.XLOOKUP(Table1[[#This Row],[MTP SKU Code]],'Audit Dimensions'!$A:$A,'Audit Dimensions'!L:L,0)</f>
        <v>0</v>
      </c>
      <c r="M30" s="190">
        <f>_xlfn.XLOOKUP(Table1[[#This Row],[MTP SKU Code]],'Audit Dimensions'!$A:$A,'Audit Dimensions'!M:M,0)</f>
        <v>0</v>
      </c>
      <c r="N30" s="190">
        <f>_xlfn.XLOOKUP(Table1[[#This Row],[MTP SKU Code]],'Audit Dimensions'!$A:$A,'Audit Dimensions'!N:N,0)</f>
        <v>0</v>
      </c>
      <c r="O30" s="118">
        <f>((IFERROR((C30*D30*E30),0)+IFERROR((G30*H30*I30),0)+IFERROR((K30*L30*M30),0))/1000000)*35.32</f>
        <v>1.1422488</v>
      </c>
      <c r="P30" s="125">
        <f>Table1[[#This Row],[Column15]]*$P$2*1000</f>
        <v>6853.4928</v>
      </c>
      <c r="Q30" s="87">
        <f>F30+J30+N30</f>
        <v>14800</v>
      </c>
      <c r="R30" s="86">
        <f>MAX(Q30,O30)</f>
        <v>14800</v>
      </c>
      <c r="S30" s="86">
        <f>MAX(R30,P30)</f>
        <v>14800</v>
      </c>
      <c r="T30" s="156" t="str">
        <f>VLOOKUP(A30,'[1]MTP SKUs - Master Data'!$A:$B,2,FALSE)</f>
        <v>Y</v>
      </c>
      <c r="U30" s="162">
        <f>_xlfn.IFNA(VLOOKUP(Table1[[#This Row],[MTP SKU Code]],'Audit Dimensions'!A:N,6,FALSE),"ARC")</f>
        <v>15880</v>
      </c>
      <c r="V30" s="162">
        <f>IFERROR(Table1[[#This Row],[B1.Aud]]-Table1[[#This Row],[PW(gm)]],"ERR")</f>
        <v>1080</v>
      </c>
      <c r="W30" s="165">
        <f>IFERROR(Table1[[#This Row],[B1.Diff]]/Table1[[#This Row],[B1.Aud]],"ERR")</f>
        <v>6.8010075566750636E-2</v>
      </c>
      <c r="X30" s="162">
        <f>_xlfn.IFNA(VLOOKUP(Table1[[#This Row],[MTP SKU Code]],'Audit Dimensions'!A:N,10,FALSE),"ARC")</f>
        <v>0</v>
      </c>
      <c r="Y30" s="163">
        <f>IFERROR(Table1[[#This Row],[B2.Aud]]-Table1[[#This Row],[PW(gm)5]],"ERR")</f>
        <v>0</v>
      </c>
      <c r="Z30" s="165" t="str">
        <f>IFERROR(Table1[[#This Row],[B2.Diff]]/Table1[[#This Row],[B2.Aud]],"NA")</f>
        <v>NA</v>
      </c>
      <c r="AA30" s="162">
        <f>_xlfn.IFNA(VLOOKUP(Table1[[#This Row],[MTP SKU Code]],'Audit Dimensions'!A:N,14,FALSE),"ARC")</f>
        <v>0</v>
      </c>
      <c r="AB30" s="161">
        <f>IFERROR(Table1[[#This Row],[B3.Aud]]-Table1[[#This Row],[PW(gm)9]],"ERR")</f>
        <v>0</v>
      </c>
      <c r="AC30" s="168">
        <f>IFERROR(Table1[[#This Row],[B3.Diff]]/Table1[[#This Row],[BaLL.Aud]],"ERR")</f>
        <v>0</v>
      </c>
      <c r="AD30" s="189">
        <f>_xlfn.IFNA(VLOOKUP(Table1[[#This Row],[MTP SKU Code]],'Audit Dimensions'!A:U,16,FALSE),"ARC")</f>
        <v>15880</v>
      </c>
      <c r="AE30" s="165">
        <f>IFERROR(1-Table1[[#This Row],[Gms]]/Table1[[#This Row],[BaLL.Aud]],"ERR")</f>
        <v>6.801007556675065E-2</v>
      </c>
    </row>
    <row r="31" spans="1:31" ht="12.4" customHeight="1">
      <c r="A31" s="68" t="s">
        <v>76</v>
      </c>
      <c r="B31" s="84" t="s">
        <v>74</v>
      </c>
      <c r="C31" s="190">
        <f>_xlfn.XLOOKUP(Table1[[#This Row],[MTP SKU Code]],'Audit Dimensions'!A:A,'Audit Dimensions'!C:C,0)</f>
        <v>206</v>
      </c>
      <c r="D31" s="190">
        <f>_xlfn.XLOOKUP(Table1[[#This Row],[MTP SKU Code]],'Audit Dimensions'!$A:$A,'Audit Dimensions'!D:D,0)</f>
        <v>40</v>
      </c>
      <c r="E31" s="190">
        <f>_xlfn.XLOOKUP(Table1[[#This Row],[MTP SKU Code]],'Audit Dimensions'!$A:$A,'Audit Dimensions'!E:E,0)</f>
        <v>4</v>
      </c>
      <c r="F31" s="190">
        <v>26000</v>
      </c>
      <c r="G31" s="190">
        <f>_xlfn.XLOOKUP(Table1[[#This Row],[MTP SKU Code]],'Audit Dimensions'!$A:$A,'Audit Dimensions'!G:G,0)</f>
        <v>164</v>
      </c>
      <c r="H31" s="190">
        <f>_xlfn.XLOOKUP(Table1[[#This Row],[MTP SKU Code]],'Audit Dimensions'!$A:$A,'Audit Dimensions'!H:H,0)</f>
        <v>39</v>
      </c>
      <c r="I31" s="190">
        <f>_xlfn.XLOOKUP(Table1[[#This Row],[MTP SKU Code]],'Audit Dimensions'!$A:$A,'Audit Dimensions'!I:I,0)</f>
        <v>7</v>
      </c>
      <c r="J31" s="190">
        <v>26200</v>
      </c>
      <c r="K31" s="190">
        <f>_xlfn.XLOOKUP(Table1[[#This Row],[MTP SKU Code]],'Audit Dimensions'!$A:$A,'Audit Dimensions'!K:K,0)</f>
        <v>104</v>
      </c>
      <c r="L31" s="190">
        <f>_xlfn.XLOOKUP(Table1[[#This Row],[MTP SKU Code]],'Audit Dimensions'!$A:$A,'Audit Dimensions'!L:L,0)</f>
        <v>81</v>
      </c>
      <c r="M31" s="190">
        <f>_xlfn.XLOOKUP(Table1[[#This Row],[MTP SKU Code]],'Audit Dimensions'!$A:$A,'Audit Dimensions'!M:M,0)</f>
        <v>8</v>
      </c>
      <c r="N31" s="190">
        <v>32000</v>
      </c>
      <c r="O31" s="118">
        <f>((IFERROR((C31*D31*E31),0)+IFERROR((G31*H31*I31),0)+IFERROR((K31*L31*M31),0))/1000000)*35.32</f>
        <v>5.1257796799999999</v>
      </c>
      <c r="P31" s="125">
        <f>Table1[[#This Row],[Column15]]*$P$2*1000</f>
        <v>30754.678079999998</v>
      </c>
      <c r="Q31" s="87">
        <f>F31+J31+N31</f>
        <v>84200</v>
      </c>
      <c r="R31" s="86">
        <f>MAX(Q31,O31)</f>
        <v>84200</v>
      </c>
      <c r="S31" s="86">
        <f>MAX(R31,P31)</f>
        <v>84200</v>
      </c>
      <c r="T31" s="156" t="str">
        <f>VLOOKUP(A31,'[1]MTP SKUs - Master Data'!$A:$B,2,FALSE)</f>
        <v>Y</v>
      </c>
      <c r="U31" s="162">
        <f>_xlfn.IFNA(VLOOKUP(Table1[[#This Row],[MTP SKU Code]],'Audit Dimensions'!A:N,6,FALSE),"ARC")</f>
        <v>28400</v>
      </c>
      <c r="V31" s="162">
        <f>IFERROR(Table1[[#This Row],[B1.Aud]]-Table1[[#This Row],[PW(gm)]],"ERR")</f>
        <v>2400</v>
      </c>
      <c r="W31" s="165">
        <f>IFERROR(Table1[[#This Row],[B1.Diff]]/Table1[[#This Row],[B1.Aud]],"ERR")</f>
        <v>8.4507042253521125E-2</v>
      </c>
      <c r="X31" s="162">
        <f>_xlfn.IFNA(VLOOKUP(Table1[[#This Row],[MTP SKU Code]],'Audit Dimensions'!A:N,10,FALSE),"ARC")</f>
        <v>27300</v>
      </c>
      <c r="Y31" s="163">
        <f>IFERROR(Table1[[#This Row],[B2.Aud]]-Table1[[#This Row],[PW(gm)5]],"ERR")</f>
        <v>1100</v>
      </c>
      <c r="Z31" s="165">
        <f>IFERROR(Table1[[#This Row],[B2.Diff]]/Table1[[#This Row],[B2.Aud]],"NA")</f>
        <v>4.0293040293040296E-2</v>
      </c>
      <c r="AA31" s="162">
        <f>_xlfn.IFNA(VLOOKUP(Table1[[#This Row],[MTP SKU Code]],'Audit Dimensions'!A:N,14,FALSE),"ARC")</f>
        <v>33540</v>
      </c>
      <c r="AB31" s="161">
        <f>IFERROR(Table1[[#This Row],[B3.Aud]]-Table1[[#This Row],[PW(gm)9]],"ERR")</f>
        <v>1540</v>
      </c>
      <c r="AC31" s="168">
        <f>IFERROR(Table1[[#This Row],[B3.Diff]]/Table1[[#This Row],[BaLL.Aud]],"ERR")</f>
        <v>1.7256835499775885E-2</v>
      </c>
      <c r="AD31" s="189">
        <f>_xlfn.IFNA(VLOOKUP(Table1[[#This Row],[MTP SKU Code]],'Audit Dimensions'!A:U,16,FALSE),"ARC")</f>
        <v>89240</v>
      </c>
      <c r="AE31" s="165">
        <f>IFERROR(1-Table1[[#This Row],[Gms]]/Table1[[#This Row],[BaLL.Aud]],"ERR")</f>
        <v>5.6476916181084746E-2</v>
      </c>
    </row>
    <row r="32" spans="1:31">
      <c r="A32" s="68" t="s">
        <v>77</v>
      </c>
      <c r="B32" s="84" t="s">
        <v>74</v>
      </c>
      <c r="C32" s="190">
        <f>_xlfn.XLOOKUP(Table1[[#This Row],[MTP SKU Code]],'Audit Dimensions'!A:A,'Audit Dimensions'!C:C,0)</f>
        <v>129</v>
      </c>
      <c r="D32" s="190">
        <f>_xlfn.XLOOKUP(Table1[[#This Row],[MTP SKU Code]],'Audit Dimensions'!$A:$A,'Audit Dimensions'!D:D,0)</f>
        <v>53</v>
      </c>
      <c r="E32" s="190">
        <f>_xlfn.XLOOKUP(Table1[[#This Row],[MTP SKU Code]],'Audit Dimensions'!$A:$A,'Audit Dimensions'!E:E,0)</f>
        <v>9</v>
      </c>
      <c r="F32" s="190">
        <v>27750</v>
      </c>
      <c r="G32" s="190">
        <f>_xlfn.XLOOKUP(Table1[[#This Row],[MTP SKU Code]],'Audit Dimensions'!$A:$A,'Audit Dimensions'!G:G,0)</f>
        <v>180</v>
      </c>
      <c r="H32" s="190">
        <f>_xlfn.XLOOKUP(Table1[[#This Row],[MTP SKU Code]],'Audit Dimensions'!$A:$A,'Audit Dimensions'!H:H,0)</f>
        <v>47</v>
      </c>
      <c r="I32" s="190">
        <f>_xlfn.XLOOKUP(Table1[[#This Row],[MTP SKU Code]],'Audit Dimensions'!$A:$A,'Audit Dimensions'!I:I,0)</f>
        <v>11</v>
      </c>
      <c r="J32" s="190">
        <v>35700</v>
      </c>
      <c r="K32" s="190">
        <f>_xlfn.XLOOKUP(Table1[[#This Row],[MTP SKU Code]],'Audit Dimensions'!$A:$A,'Audit Dimensions'!K:K,0)</f>
        <v>187</v>
      </c>
      <c r="L32" s="190">
        <f>_xlfn.XLOOKUP(Table1[[#This Row],[MTP SKU Code]],'Audit Dimensions'!$A:$A,'Audit Dimensions'!L:L,0)</f>
        <v>51</v>
      </c>
      <c r="M32" s="190">
        <f>_xlfn.XLOOKUP(Table1[[#This Row],[MTP SKU Code]],'Audit Dimensions'!$A:$A,'Audit Dimensions'!M:M,0)</f>
        <v>10</v>
      </c>
      <c r="N32" s="190">
        <v>34600</v>
      </c>
      <c r="O32" s="118">
        <f>((IFERROR((C32*D32*E32),0)+IFERROR((G32*H32*I32),0)+IFERROR((K32*L32*M32),0))/1000000)*35.32</f>
        <v>8.8286931600000003</v>
      </c>
      <c r="P32" s="125">
        <f>Table1[[#This Row],[Column15]]*$P$2*1000</f>
        <v>52972.158960000001</v>
      </c>
      <c r="Q32" s="87">
        <f>F32+J32+N32</f>
        <v>98050</v>
      </c>
      <c r="R32" s="86">
        <f>MAX(Q32,O32)</f>
        <v>98050</v>
      </c>
      <c r="S32" s="86">
        <f>MAX(R32,P32)</f>
        <v>98050</v>
      </c>
      <c r="T32" s="156" t="str">
        <f>VLOOKUP(A32,'[1]MTP SKUs - Master Data'!$A:$B,2,FALSE)</f>
        <v>Y</v>
      </c>
      <c r="U32" s="162">
        <f>_xlfn.IFNA(VLOOKUP(Table1[[#This Row],[MTP SKU Code]],'Audit Dimensions'!A:N,6,FALSE),"ARC")</f>
        <v>29170</v>
      </c>
      <c r="V32" s="162">
        <f>IFERROR(Table1[[#This Row],[B1.Aud]]-Table1[[#This Row],[PW(gm)]],"ERR")</f>
        <v>1420</v>
      </c>
      <c r="W32" s="165">
        <f>IFERROR(Table1[[#This Row],[B1.Diff]]/Table1[[#This Row],[B1.Aud]],"ERR")</f>
        <v>4.8680150839904013E-2</v>
      </c>
      <c r="X32" s="162">
        <f>_xlfn.IFNA(VLOOKUP(Table1[[#This Row],[MTP SKU Code]],'Audit Dimensions'!A:N,10,FALSE),"ARC")</f>
        <v>36000</v>
      </c>
      <c r="Y32" s="163">
        <f>IFERROR(Table1[[#This Row],[B2.Aud]]-Table1[[#This Row],[PW(gm)5]],"ERR")</f>
        <v>300</v>
      </c>
      <c r="Z32" s="165">
        <f>IFERROR(Table1[[#This Row],[B2.Diff]]/Table1[[#This Row],[B2.Aud]],"NA")</f>
        <v>8.3333333333333332E-3</v>
      </c>
      <c r="AA32" s="162">
        <f>_xlfn.IFNA(VLOOKUP(Table1[[#This Row],[MTP SKU Code]],'Audit Dimensions'!A:N,14,FALSE),"ARC")</f>
        <v>37600</v>
      </c>
      <c r="AB32" s="161">
        <f>IFERROR(Table1[[#This Row],[B3.Aud]]-Table1[[#This Row],[PW(gm)9]],"ERR")</f>
        <v>3000</v>
      </c>
      <c r="AC32" s="168">
        <f>IFERROR(Table1[[#This Row],[B3.Diff]]/Table1[[#This Row],[BaLL.Aud]],"ERR")</f>
        <v>2.9191398267977037E-2</v>
      </c>
      <c r="AD32" s="189">
        <f>_xlfn.IFNA(VLOOKUP(Table1[[#This Row],[MTP SKU Code]],'Audit Dimensions'!A:U,16,FALSE),"ARC")</f>
        <v>102770</v>
      </c>
      <c r="AE32" s="165">
        <f>IFERROR(1-Table1[[#This Row],[Gms]]/Table1[[#This Row],[BaLL.Aud]],"ERR")</f>
        <v>4.592779994161722E-2</v>
      </c>
    </row>
    <row r="33" spans="1:31">
      <c r="A33" s="68" t="s">
        <v>78</v>
      </c>
      <c r="B33" s="84" t="s">
        <v>74</v>
      </c>
      <c r="C33" s="190">
        <f>_xlfn.XLOOKUP(Table1[[#This Row],[MTP SKU Code]],'Audit Dimensions'!A:A,'Audit Dimensions'!C:C,0)</f>
        <v>206</v>
      </c>
      <c r="D33" s="190">
        <f>_xlfn.XLOOKUP(Table1[[#This Row],[MTP SKU Code]],'Audit Dimensions'!$A:$A,'Audit Dimensions'!D:D,0)</f>
        <v>38</v>
      </c>
      <c r="E33" s="190">
        <f>_xlfn.XLOOKUP(Table1[[#This Row],[MTP SKU Code]],'Audit Dimensions'!$A:$A,'Audit Dimensions'!E:E,0)</f>
        <v>9</v>
      </c>
      <c r="F33" s="190">
        <v>33800</v>
      </c>
      <c r="G33" s="190">
        <f>_xlfn.XLOOKUP(Table1[[#This Row],[MTP SKU Code]],'Audit Dimensions'!$A:$A,'Audit Dimensions'!G:G,0)</f>
        <v>151</v>
      </c>
      <c r="H33" s="190">
        <f>_xlfn.XLOOKUP(Table1[[#This Row],[MTP SKU Code]],'Audit Dimensions'!$A:$A,'Audit Dimensions'!H:H,0)</f>
        <v>39</v>
      </c>
      <c r="I33" s="190">
        <f>_xlfn.XLOOKUP(Table1[[#This Row],[MTP SKU Code]],'Audit Dimensions'!$A:$A,'Audit Dimensions'!I:I,0)</f>
        <v>7</v>
      </c>
      <c r="J33" s="190">
        <v>22700</v>
      </c>
      <c r="K33" s="190">
        <f>_xlfn.XLOOKUP(Table1[[#This Row],[MTP SKU Code]],'Audit Dimensions'!$A:$A,'Audit Dimensions'!K:K,0)</f>
        <v>104</v>
      </c>
      <c r="L33" s="190">
        <f>_xlfn.XLOOKUP(Table1[[#This Row],[MTP SKU Code]],'Audit Dimensions'!$A:$A,'Audit Dimensions'!L:L,0)</f>
        <v>95</v>
      </c>
      <c r="M33" s="190">
        <f>_xlfn.XLOOKUP(Table1[[#This Row],[MTP SKU Code]],'Audit Dimensions'!$A:$A,'Audit Dimensions'!M:M,0)</f>
        <v>7</v>
      </c>
      <c r="N33" s="190">
        <v>37500</v>
      </c>
      <c r="O33" s="118">
        <f>((IFERROR((C33*D33*E33),0)+IFERROR((G33*H33*I33),0)+IFERROR((K33*L33*M33),0))/1000000)*35.32</f>
        <v>6.3870921999999997</v>
      </c>
      <c r="P33" s="125">
        <f>Table1[[#This Row],[Column15]]*$P$2*1000</f>
        <v>38322.553200000002</v>
      </c>
      <c r="Q33" s="87">
        <f>F33+J33+N33</f>
        <v>94000</v>
      </c>
      <c r="R33" s="86">
        <f>MAX(Q33,O33)</f>
        <v>94000</v>
      </c>
      <c r="S33" s="86">
        <f>MAX(R33,P33)</f>
        <v>94000</v>
      </c>
      <c r="T33" s="156" t="str">
        <f>VLOOKUP(A33,'[1]MTP SKUs - Master Data'!$A:$B,2,FALSE)</f>
        <v>Y</v>
      </c>
      <c r="U33" s="162">
        <f>_xlfn.IFNA(VLOOKUP(Table1[[#This Row],[MTP SKU Code]],'Audit Dimensions'!A:N,6,FALSE),"ARC")</f>
        <v>36430</v>
      </c>
      <c r="V33" s="162">
        <f>IFERROR(Table1[[#This Row],[B1.Aud]]-Table1[[#This Row],[PW(gm)]],"ERR")</f>
        <v>2630</v>
      </c>
      <c r="W33" s="165">
        <f>IFERROR(Table1[[#This Row],[B1.Diff]]/Table1[[#This Row],[B1.Aud]],"ERR")</f>
        <v>7.2193247323634371E-2</v>
      </c>
      <c r="X33" s="162">
        <f>_xlfn.IFNA(VLOOKUP(Table1[[#This Row],[MTP SKU Code]],'Audit Dimensions'!A:N,10,FALSE),"ARC")</f>
        <v>23900</v>
      </c>
      <c r="Y33" s="163">
        <f>IFERROR(Table1[[#This Row],[B2.Aud]]-Table1[[#This Row],[PW(gm)5]],"ERR")</f>
        <v>1200</v>
      </c>
      <c r="Z33" s="165">
        <f>IFERROR(Table1[[#This Row],[B2.Diff]]/Table1[[#This Row],[B2.Aud]],"NA")</f>
        <v>5.0209205020920501E-2</v>
      </c>
      <c r="AA33" s="162">
        <f>_xlfn.IFNA(VLOOKUP(Table1[[#This Row],[MTP SKU Code]],'Audit Dimensions'!A:N,14,FALSE),"ARC")</f>
        <v>38300</v>
      </c>
      <c r="AB33" s="161">
        <f>IFERROR(Table1[[#This Row],[B3.Aud]]-Table1[[#This Row],[PW(gm)9]],"ERR")</f>
        <v>800</v>
      </c>
      <c r="AC33" s="168">
        <f>IFERROR(Table1[[#This Row],[B3.Diff]]/Table1[[#This Row],[BaLL.Aud]],"ERR")</f>
        <v>8.1111223765588571E-3</v>
      </c>
      <c r="AD33" s="189">
        <f>_xlfn.IFNA(VLOOKUP(Table1[[#This Row],[MTP SKU Code]],'Audit Dimensions'!A:U,16,FALSE),"ARC")</f>
        <v>98630</v>
      </c>
      <c r="AE33" s="165">
        <f>IFERROR(1-Table1[[#This Row],[Gms]]/Table1[[#This Row],[BaLL.Aud]],"ERR")</f>
        <v>4.6943120754334378E-2</v>
      </c>
    </row>
    <row r="34" spans="1:31">
      <c r="A34" s="68" t="s">
        <v>79</v>
      </c>
      <c r="B34" s="84" t="s">
        <v>48</v>
      </c>
      <c r="C34" s="190">
        <f>_xlfn.XLOOKUP(Table1[[#This Row],[MTP SKU Code]],'Audit Dimensions'!A:A,'Audit Dimensions'!C:C,0)</f>
        <v>139</v>
      </c>
      <c r="D34" s="190">
        <f>_xlfn.XLOOKUP(Table1[[#This Row],[MTP SKU Code]],'Audit Dimensions'!$A:$A,'Audit Dimensions'!D:D,0)</f>
        <v>42</v>
      </c>
      <c r="E34" s="190">
        <f>_xlfn.XLOOKUP(Table1[[#This Row],[MTP SKU Code]],'Audit Dimensions'!$A:$A,'Audit Dimensions'!E:E,0)</f>
        <v>9</v>
      </c>
      <c r="F34" s="190">
        <v>24470</v>
      </c>
      <c r="G34" s="190">
        <f>_xlfn.XLOOKUP(Table1[[#This Row],[MTP SKU Code]],'Audit Dimensions'!$A:$A,'Audit Dimensions'!G:G,0)</f>
        <v>0</v>
      </c>
      <c r="H34" s="190">
        <f>_xlfn.XLOOKUP(Table1[[#This Row],[MTP SKU Code]],'Audit Dimensions'!$A:$A,'Audit Dimensions'!H:H,0)</f>
        <v>0</v>
      </c>
      <c r="I34" s="190">
        <f>_xlfn.XLOOKUP(Table1[[#This Row],[MTP SKU Code]],'Audit Dimensions'!$A:$A,'Audit Dimensions'!I:I,0)</f>
        <v>0</v>
      </c>
      <c r="J34" s="190">
        <f>_xlfn.XLOOKUP(Table1[[#This Row],[MTP SKU Code]],'Audit Dimensions'!$A:$A,'Audit Dimensions'!J:J,0)</f>
        <v>0</v>
      </c>
      <c r="K34" s="190">
        <f>_xlfn.XLOOKUP(Table1[[#This Row],[MTP SKU Code]],'Audit Dimensions'!$A:$A,'Audit Dimensions'!K:K,0)</f>
        <v>0</v>
      </c>
      <c r="L34" s="190">
        <f>_xlfn.XLOOKUP(Table1[[#This Row],[MTP SKU Code]],'Audit Dimensions'!$A:$A,'Audit Dimensions'!L:L,0)</f>
        <v>0</v>
      </c>
      <c r="M34" s="190">
        <f>_xlfn.XLOOKUP(Table1[[#This Row],[MTP SKU Code]],'Audit Dimensions'!$A:$A,'Audit Dimensions'!M:M,0)</f>
        <v>0</v>
      </c>
      <c r="N34" s="190">
        <f>_xlfn.XLOOKUP(Table1[[#This Row],[MTP SKU Code]],'Audit Dimensions'!$A:$A,'Audit Dimensions'!N:N,0)</f>
        <v>0</v>
      </c>
      <c r="O34" s="118">
        <f>((IFERROR((C34*D34*E34),0)+IFERROR((G34*H34*I34),0)+IFERROR((K34*L34*M34),0))/1000000)*35.32</f>
        <v>1.85578344</v>
      </c>
      <c r="P34" s="125">
        <f>Table1[[#This Row],[Column15]]*$P$2*1000</f>
        <v>11134.700640000001</v>
      </c>
      <c r="Q34" s="87">
        <f>F34+J34+N34</f>
        <v>24470</v>
      </c>
      <c r="R34" s="86">
        <f>MAX(Q34,O34)</f>
        <v>24470</v>
      </c>
      <c r="S34" s="86">
        <f>MAX(R34,P34)</f>
        <v>24470</v>
      </c>
      <c r="T34" s="156" t="str">
        <f>VLOOKUP(A34,'[1]MTP SKUs - Master Data'!$A:$B,2,FALSE)</f>
        <v>Y</v>
      </c>
      <c r="U34" s="162">
        <f>_xlfn.IFNA(VLOOKUP(Table1[[#This Row],[MTP SKU Code]],'Audit Dimensions'!A:N,6,FALSE),"ARC")</f>
        <v>26350</v>
      </c>
      <c r="V34" s="162">
        <f>IFERROR(Table1[[#This Row],[B1.Aud]]-Table1[[#This Row],[PW(gm)]],"ERR")</f>
        <v>1880</v>
      </c>
      <c r="W34" s="165">
        <f>IFERROR(Table1[[#This Row],[B1.Diff]]/Table1[[#This Row],[B1.Aud]],"ERR")</f>
        <v>7.1347248576850097E-2</v>
      </c>
      <c r="X34" s="162">
        <f>_xlfn.IFNA(VLOOKUP(Table1[[#This Row],[MTP SKU Code]],'Audit Dimensions'!A:N,10,FALSE),"ARC")</f>
        <v>0</v>
      </c>
      <c r="Y34" s="163">
        <f>IFERROR(Table1[[#This Row],[B2.Aud]]-Table1[[#This Row],[PW(gm)5]],"ERR")</f>
        <v>0</v>
      </c>
      <c r="Z34" s="165" t="str">
        <f>IFERROR(Table1[[#This Row],[B2.Diff]]/Table1[[#This Row],[B2.Aud]],"NA")</f>
        <v>NA</v>
      </c>
      <c r="AA34" s="162">
        <f>_xlfn.IFNA(VLOOKUP(Table1[[#This Row],[MTP SKU Code]],'Audit Dimensions'!A:N,14,FALSE),"ARC")</f>
        <v>0</v>
      </c>
      <c r="AB34" s="161">
        <f>IFERROR(Table1[[#This Row],[B3.Aud]]-Table1[[#This Row],[PW(gm)9]],"ERR")</f>
        <v>0</v>
      </c>
      <c r="AC34" s="168">
        <f>IFERROR(Table1[[#This Row],[B3.Diff]]/Table1[[#This Row],[BaLL.Aud]],"ERR")</f>
        <v>0</v>
      </c>
      <c r="AD34" s="189">
        <f>_xlfn.IFNA(VLOOKUP(Table1[[#This Row],[MTP SKU Code]],'Audit Dimensions'!A:U,16,FALSE),"ARC")</f>
        <v>26350</v>
      </c>
      <c r="AE34" s="165">
        <f>IFERROR(1-Table1[[#This Row],[Gms]]/Table1[[#This Row],[BaLL.Aud]],"ERR")</f>
        <v>7.1347248576850042E-2</v>
      </c>
    </row>
    <row r="35" spans="1:31">
      <c r="A35" s="91" t="s">
        <v>80</v>
      </c>
      <c r="B35" s="84" t="s">
        <v>74</v>
      </c>
      <c r="C35" s="190">
        <f>_xlfn.XLOOKUP(Table1[[#This Row],[MTP SKU Code]],'Audit Dimensions'!A:A,'Audit Dimensions'!C:C,0)</f>
        <v>126</v>
      </c>
      <c r="D35" s="190">
        <f>_xlfn.XLOOKUP(Table1[[#This Row],[MTP SKU Code]],'Audit Dimensions'!$A:$A,'Audit Dimensions'!D:D,0)</f>
        <v>0</v>
      </c>
      <c r="E35" s="190">
        <f>_xlfn.XLOOKUP(Table1[[#This Row],[MTP SKU Code]],'Audit Dimensions'!$A:$A,'Audit Dimensions'!E:E,0)</f>
        <v>12</v>
      </c>
      <c r="F35" s="190">
        <v>42800</v>
      </c>
      <c r="G35" s="190">
        <f>_xlfn.XLOOKUP(Table1[[#This Row],[MTP SKU Code]],'Audit Dimensions'!$A:$A,'Audit Dimensions'!G:G,0)</f>
        <v>79</v>
      </c>
      <c r="H35" s="190">
        <f>_xlfn.XLOOKUP(Table1[[#This Row],[MTP SKU Code]],'Audit Dimensions'!$A:$A,'Audit Dimensions'!H:H,0)</f>
        <v>46</v>
      </c>
      <c r="I35" s="190">
        <f>_xlfn.XLOOKUP(Table1[[#This Row],[MTP SKU Code]],'Audit Dimensions'!$A:$A,'Audit Dimensions'!I:I,0)</f>
        <v>15</v>
      </c>
      <c r="J35" s="190">
        <v>22750</v>
      </c>
      <c r="K35" s="190">
        <f>_xlfn.XLOOKUP(Table1[[#This Row],[MTP SKU Code]],'Audit Dimensions'!$A:$A,'Audit Dimensions'!K:K,0)</f>
        <v>0</v>
      </c>
      <c r="L35" s="190">
        <f>_xlfn.XLOOKUP(Table1[[#This Row],[MTP SKU Code]],'Audit Dimensions'!$A:$A,'Audit Dimensions'!L:L,0)</f>
        <v>0</v>
      </c>
      <c r="M35" s="190">
        <f>_xlfn.XLOOKUP(Table1[[#This Row],[MTP SKU Code]],'Audit Dimensions'!$A:$A,'Audit Dimensions'!M:M,0)</f>
        <v>0</v>
      </c>
      <c r="N35" s="190">
        <f>_xlfn.XLOOKUP(Table1[[#This Row],[MTP SKU Code]],'Audit Dimensions'!$A:$A,'Audit Dimensions'!N:N,0)</f>
        <v>0</v>
      </c>
      <c r="O35" s="118">
        <f>((IFERROR((C35*D35*E35),0)+IFERROR((G35*H35*I35),0)+IFERROR((K35*L35*M35),0))/1000000)*35.32</f>
        <v>1.9252932</v>
      </c>
      <c r="P35" s="125">
        <f>Table1[[#This Row],[Column15]]*$P$2*1000</f>
        <v>11551.759199999999</v>
      </c>
      <c r="Q35" s="87">
        <f>F35+J35+N35</f>
        <v>65550</v>
      </c>
      <c r="R35" s="86">
        <f>MAX(Q35,O35)</f>
        <v>65550</v>
      </c>
      <c r="S35" s="86">
        <f>MAX(R35,P35)</f>
        <v>65550</v>
      </c>
      <c r="T35" s="156" t="str">
        <f>VLOOKUP(A35,'[1]MTP SKUs - Master Data'!$A:$B,2,FALSE)</f>
        <v>Y</v>
      </c>
      <c r="U35" s="162">
        <f>_xlfn.IFNA(VLOOKUP(Table1[[#This Row],[MTP SKU Code]],'Audit Dimensions'!A:N,6,FALSE),"ARC")</f>
        <v>43600</v>
      </c>
      <c r="V35" s="162">
        <f>IFERROR(Table1[[#This Row],[B1.Aud]]-Table1[[#This Row],[PW(gm)]],"ERR")</f>
        <v>800</v>
      </c>
      <c r="W35" s="165">
        <f>IFERROR(Table1[[#This Row],[B1.Diff]]/Table1[[#This Row],[B1.Aud]],"ERR")</f>
        <v>1.834862385321101E-2</v>
      </c>
      <c r="X35" s="162">
        <f>_xlfn.IFNA(VLOOKUP(Table1[[#This Row],[MTP SKU Code]],'Audit Dimensions'!A:N,10,FALSE),"ARC")</f>
        <v>24330</v>
      </c>
      <c r="Y35" s="163">
        <f>IFERROR(Table1[[#This Row],[B2.Aud]]-Table1[[#This Row],[PW(gm)5]],"ERR")</f>
        <v>1580</v>
      </c>
      <c r="Z35" s="165">
        <f>IFERROR(Table1[[#This Row],[B2.Diff]]/Table1[[#This Row],[B2.Aud]],"NA")</f>
        <v>6.4940402794903415E-2</v>
      </c>
      <c r="AA35" s="162">
        <f>_xlfn.IFNA(VLOOKUP(Table1[[#This Row],[MTP SKU Code]],'Audit Dimensions'!A:N,14,FALSE),"ARC")</f>
        <v>0</v>
      </c>
      <c r="AB35" s="161">
        <f>IFERROR(Table1[[#This Row],[B3.Aud]]-Table1[[#This Row],[PW(gm)9]],"ERR")</f>
        <v>0</v>
      </c>
      <c r="AC35" s="168">
        <f>IFERROR(Table1[[#This Row],[B3.Diff]]/Table1[[#This Row],[BaLL.Aud]],"ERR")</f>
        <v>0</v>
      </c>
      <c r="AD35" s="189">
        <f>_xlfn.IFNA(VLOOKUP(Table1[[#This Row],[MTP SKU Code]],'Audit Dimensions'!A:U,16,FALSE),"ARC")</f>
        <v>67930</v>
      </c>
      <c r="AE35" s="165">
        <f>IFERROR(1-Table1[[#This Row],[Gms]]/Table1[[#This Row],[BaLL.Aud]],"ERR")</f>
        <v>3.503606653908431E-2</v>
      </c>
    </row>
    <row r="36" spans="1:31">
      <c r="A36" s="68" t="s">
        <v>81</v>
      </c>
      <c r="B36" s="84" t="s">
        <v>74</v>
      </c>
      <c r="C36" s="190">
        <f>_xlfn.XLOOKUP(Table1[[#This Row],[MTP SKU Code]],'Audit Dimensions'!A:A,'Audit Dimensions'!C:C,0)</f>
        <v>124</v>
      </c>
      <c r="D36" s="190">
        <f>_xlfn.XLOOKUP(Table1[[#This Row],[MTP SKU Code]],'Audit Dimensions'!$A:$A,'Audit Dimensions'!D:D,0)</f>
        <v>51</v>
      </c>
      <c r="E36" s="190">
        <f>_xlfn.XLOOKUP(Table1[[#This Row],[MTP SKU Code]],'Audit Dimensions'!$A:$A,'Audit Dimensions'!E:E,0)</f>
        <v>11</v>
      </c>
      <c r="F36" s="190">
        <v>32000</v>
      </c>
      <c r="G36" s="190">
        <f>_xlfn.XLOOKUP(Table1[[#This Row],[MTP SKU Code]],'Audit Dimensions'!$A:$A,'Audit Dimensions'!G:G,0)</f>
        <v>188</v>
      </c>
      <c r="H36" s="190">
        <f>_xlfn.XLOOKUP(Table1[[#This Row],[MTP SKU Code]],'Audit Dimensions'!$A:$A,'Audit Dimensions'!H:H,0)</f>
        <v>51</v>
      </c>
      <c r="I36" s="190">
        <f>_xlfn.XLOOKUP(Table1[[#This Row],[MTP SKU Code]],'Audit Dimensions'!$A:$A,'Audit Dimensions'!I:I,0)</f>
        <v>11</v>
      </c>
      <c r="J36" s="190">
        <v>43400</v>
      </c>
      <c r="K36" s="190">
        <f>_xlfn.XLOOKUP(Table1[[#This Row],[MTP SKU Code]],'Audit Dimensions'!$A:$A,'Audit Dimensions'!K:K,0)</f>
        <v>0</v>
      </c>
      <c r="L36" s="190">
        <f>_xlfn.XLOOKUP(Table1[[#This Row],[MTP SKU Code]],'Audit Dimensions'!$A:$A,'Audit Dimensions'!L:L,0)</f>
        <v>0</v>
      </c>
      <c r="M36" s="190">
        <f>_xlfn.XLOOKUP(Table1[[#This Row],[MTP SKU Code]],'Audit Dimensions'!$A:$A,'Audit Dimensions'!M:M,0)</f>
        <v>0</v>
      </c>
      <c r="N36" s="190">
        <f>_xlfn.XLOOKUP(Table1[[#This Row],[MTP SKU Code]],'Audit Dimensions'!$A:$A,'Audit Dimensions'!N:N,0)</f>
        <v>0</v>
      </c>
      <c r="O36" s="118">
        <f>((IFERROR((C36*D36*E36),0)+IFERROR((G36*H36*I36),0)+IFERROR((K36*L36*M36),0))/1000000)*35.32</f>
        <v>6.1821302400000002</v>
      </c>
      <c r="P36" s="125">
        <f>Table1[[#This Row],[Column15]]*$P$2*1000</f>
        <v>37092.781440000006</v>
      </c>
      <c r="Q36" s="87">
        <f>F36+J36+N36</f>
        <v>75400</v>
      </c>
      <c r="R36" s="86">
        <f>MAX(Q36,O36)</f>
        <v>75400</v>
      </c>
      <c r="S36" s="86">
        <f>MAX(R36,P36)</f>
        <v>75400</v>
      </c>
      <c r="T36" s="156" t="str">
        <f>VLOOKUP(A36,'[1]MTP SKUs - Master Data'!$A:$B,2,FALSE)</f>
        <v>Y</v>
      </c>
      <c r="U36" s="162">
        <f>_xlfn.IFNA(VLOOKUP(Table1[[#This Row],[MTP SKU Code]],'Audit Dimensions'!A:N,6,FALSE),"ARC")</f>
        <v>33080</v>
      </c>
      <c r="V36" s="162">
        <f>IFERROR(Table1[[#This Row],[B1.Aud]]-Table1[[#This Row],[PW(gm)]],"ERR")</f>
        <v>1080</v>
      </c>
      <c r="W36" s="165">
        <f>IFERROR(Table1[[#This Row],[B1.Diff]]/Table1[[#This Row],[B1.Aud]],"ERR")</f>
        <v>3.2648125755743655E-2</v>
      </c>
      <c r="X36" s="162">
        <f>_xlfn.IFNA(VLOOKUP(Table1[[#This Row],[MTP SKU Code]],'Audit Dimensions'!A:N,10,FALSE),"ARC")</f>
        <v>46770</v>
      </c>
      <c r="Y36" s="163">
        <f>IFERROR(Table1[[#This Row],[B2.Aud]]-Table1[[#This Row],[PW(gm)5]],"ERR")</f>
        <v>3370</v>
      </c>
      <c r="Z36" s="165">
        <f>IFERROR(Table1[[#This Row],[B2.Diff]]/Table1[[#This Row],[B2.Aud]],"NA")</f>
        <v>7.2054735941843057E-2</v>
      </c>
      <c r="AA36" s="162">
        <f>_xlfn.IFNA(VLOOKUP(Table1[[#This Row],[MTP SKU Code]],'Audit Dimensions'!A:N,14,FALSE),"ARC")</f>
        <v>0</v>
      </c>
      <c r="AB36" s="161">
        <f>IFERROR(Table1[[#This Row],[B3.Aud]]-Table1[[#This Row],[PW(gm)9]],"ERR")</f>
        <v>0</v>
      </c>
      <c r="AC36" s="168">
        <f>IFERROR(Table1[[#This Row],[B3.Diff]]/Table1[[#This Row],[BaLL.Aud]],"ERR")</f>
        <v>0</v>
      </c>
      <c r="AD36" s="189">
        <f>_xlfn.IFNA(VLOOKUP(Table1[[#This Row],[MTP SKU Code]],'Audit Dimensions'!A:U,16,FALSE),"ARC")</f>
        <v>79850</v>
      </c>
      <c r="AE36" s="165">
        <f>IFERROR(1-Table1[[#This Row],[Gms]]/Table1[[#This Row],[BaLL.Aud]],"ERR")</f>
        <v>5.5729492798998082E-2</v>
      </c>
    </row>
    <row r="37" spans="1:31">
      <c r="A37" s="68" t="s">
        <v>82</v>
      </c>
      <c r="B37" s="84" t="s">
        <v>74</v>
      </c>
      <c r="C37" s="190">
        <f>_xlfn.XLOOKUP(Table1[[#This Row],[MTP SKU Code]],'Audit Dimensions'!A:A,'Audit Dimensions'!C:C,0)</f>
        <v>164</v>
      </c>
      <c r="D37" s="190">
        <f>_xlfn.XLOOKUP(Table1[[#This Row],[MTP SKU Code]],'Audit Dimensions'!$A:$A,'Audit Dimensions'!D:D,0)</f>
        <v>51</v>
      </c>
      <c r="E37" s="190">
        <f>_xlfn.XLOOKUP(Table1[[#This Row],[MTP SKU Code]],'Audit Dimensions'!$A:$A,'Audit Dimensions'!E:E,0)</f>
        <v>11</v>
      </c>
      <c r="F37" s="190">
        <v>43000</v>
      </c>
      <c r="G37" s="190">
        <f>_xlfn.XLOOKUP(Table1[[#This Row],[MTP SKU Code]],'Audit Dimensions'!$A:$A,'Audit Dimensions'!G:G,0)</f>
        <v>178</v>
      </c>
      <c r="H37" s="190">
        <f>_xlfn.XLOOKUP(Table1[[#This Row],[MTP SKU Code]],'Audit Dimensions'!$A:$A,'Audit Dimensions'!H:H,0)</f>
        <v>48</v>
      </c>
      <c r="I37" s="190">
        <f>_xlfn.XLOOKUP(Table1[[#This Row],[MTP SKU Code]],'Audit Dimensions'!$A:$A,'Audit Dimensions'!I:I,0)</f>
        <v>12</v>
      </c>
      <c r="J37" s="190">
        <v>46000</v>
      </c>
      <c r="K37" s="190">
        <f>_xlfn.XLOOKUP(Table1[[#This Row],[MTP SKU Code]],'Audit Dimensions'!$A:$A,'Audit Dimensions'!K:K,0)</f>
        <v>188</v>
      </c>
      <c r="L37" s="190">
        <f>_xlfn.XLOOKUP(Table1[[#This Row],[MTP SKU Code]],'Audit Dimensions'!$A:$A,'Audit Dimensions'!L:L,0)</f>
        <v>50</v>
      </c>
      <c r="M37" s="190">
        <f>_xlfn.XLOOKUP(Table1[[#This Row],[MTP SKU Code]],'Audit Dimensions'!$A:$A,'Audit Dimensions'!M:M,0)</f>
        <v>8</v>
      </c>
      <c r="N37" s="190">
        <v>43600</v>
      </c>
      <c r="O37" s="118">
        <f>((IFERROR((C37*D37*E37),0)+IFERROR((G37*H37*I37),0)+IFERROR((K37*L37*M37),0))/1000000)*35.32</f>
        <v>9.526934240000001</v>
      </c>
      <c r="P37" s="125">
        <f>Table1[[#This Row],[Column15]]*$P$2*1000</f>
        <v>57161.605439999999</v>
      </c>
      <c r="Q37" s="87">
        <f>F37+J37+N37</f>
        <v>132600</v>
      </c>
      <c r="R37" s="86">
        <f>MAX(Q37,O37)</f>
        <v>132600</v>
      </c>
      <c r="S37" s="86">
        <f>MAX(R37,P37)</f>
        <v>132600</v>
      </c>
      <c r="T37" s="156" t="str">
        <f>VLOOKUP(A37,'[1]MTP SKUs - Master Data'!$A:$B,2,FALSE)</f>
        <v>Y</v>
      </c>
      <c r="U37" s="162">
        <f>_xlfn.IFNA(VLOOKUP(Table1[[#This Row],[MTP SKU Code]],'Audit Dimensions'!A:N,6,FALSE),"ARC")</f>
        <v>45210</v>
      </c>
      <c r="V37" s="162">
        <f>IFERROR(Table1[[#This Row],[B1.Aud]]-Table1[[#This Row],[PW(gm)]],"ERR")</f>
        <v>2210</v>
      </c>
      <c r="W37" s="165">
        <f>IFERROR(Table1[[#This Row],[B1.Diff]]/Table1[[#This Row],[B1.Aud]],"ERR")</f>
        <v>4.8882990488829908E-2</v>
      </c>
      <c r="X37" s="162">
        <f>_xlfn.IFNA(VLOOKUP(Table1[[#This Row],[MTP SKU Code]],'Audit Dimensions'!A:N,10,FALSE),"ARC")</f>
        <v>49600</v>
      </c>
      <c r="Y37" s="163">
        <f>IFERROR(Table1[[#This Row],[B2.Aud]]-Table1[[#This Row],[PW(gm)5]],"ERR")</f>
        <v>3600</v>
      </c>
      <c r="Z37" s="165">
        <f>IFERROR(Table1[[#This Row],[B2.Diff]]/Table1[[#This Row],[B2.Aud]],"NA")</f>
        <v>7.2580645161290328E-2</v>
      </c>
      <c r="AA37" s="162">
        <f>_xlfn.IFNA(VLOOKUP(Table1[[#This Row],[MTP SKU Code]],'Audit Dimensions'!A:N,14,FALSE),"ARC")</f>
        <v>46180</v>
      </c>
      <c r="AB37" s="161">
        <f>IFERROR(Table1[[#This Row],[B3.Aud]]-Table1[[#This Row],[PW(gm)9]],"ERR")</f>
        <v>2580</v>
      </c>
      <c r="AC37" s="168">
        <f>IFERROR(Table1[[#This Row],[B3.Diff]]/Table1[[#This Row],[BaLL.Aud]],"ERR")</f>
        <v>1.8299170153911627E-2</v>
      </c>
      <c r="AD37" s="189">
        <f>_xlfn.IFNA(VLOOKUP(Table1[[#This Row],[MTP SKU Code]],'Audit Dimensions'!A:U,16,FALSE),"ARC")</f>
        <v>140990</v>
      </c>
      <c r="AE37" s="165">
        <f>IFERROR(1-Table1[[#This Row],[Gms]]/Table1[[#This Row],[BaLL.Aud]],"ERR")</f>
        <v>5.9507766508262949E-2</v>
      </c>
    </row>
    <row r="38" spans="1:31" ht="12.4" customHeight="1">
      <c r="A38" s="90" t="s">
        <v>83</v>
      </c>
      <c r="B38" s="84" t="s">
        <v>48</v>
      </c>
      <c r="C38" s="190">
        <f>_xlfn.XLOOKUP(Table1[[#This Row],[MTP SKU Code]],'Audit Dimensions'!A:A,'Audit Dimensions'!C:C,0)</f>
        <v>185</v>
      </c>
      <c r="D38" s="190">
        <f>_xlfn.XLOOKUP(Table1[[#This Row],[MTP SKU Code]],'Audit Dimensions'!$A:$A,'Audit Dimensions'!D:D,0)</f>
        <v>49</v>
      </c>
      <c r="E38" s="190">
        <f>_xlfn.XLOOKUP(Table1[[#This Row],[MTP SKU Code]],'Audit Dimensions'!$A:$A,'Audit Dimensions'!E:E,0)</f>
        <v>9</v>
      </c>
      <c r="F38" s="190">
        <v>42640</v>
      </c>
      <c r="G38" s="190">
        <f>_xlfn.XLOOKUP(Table1[[#This Row],[MTP SKU Code]],'Audit Dimensions'!$A:$A,'Audit Dimensions'!G:G,0)</f>
        <v>0</v>
      </c>
      <c r="H38" s="190">
        <f>_xlfn.XLOOKUP(Table1[[#This Row],[MTP SKU Code]],'Audit Dimensions'!$A:$A,'Audit Dimensions'!H:H,0)</f>
        <v>0</v>
      </c>
      <c r="I38" s="190">
        <f>_xlfn.XLOOKUP(Table1[[#This Row],[MTP SKU Code]],'Audit Dimensions'!$A:$A,'Audit Dimensions'!I:I,0)</f>
        <v>0</v>
      </c>
      <c r="J38" s="190">
        <f>_xlfn.XLOOKUP(Table1[[#This Row],[MTP SKU Code]],'Audit Dimensions'!$A:$A,'Audit Dimensions'!J:J,0)</f>
        <v>0</v>
      </c>
      <c r="K38" s="190">
        <f>_xlfn.XLOOKUP(Table1[[#This Row],[MTP SKU Code]],'Audit Dimensions'!$A:$A,'Audit Dimensions'!K:K,0)</f>
        <v>0</v>
      </c>
      <c r="L38" s="190">
        <f>_xlfn.XLOOKUP(Table1[[#This Row],[MTP SKU Code]],'Audit Dimensions'!$A:$A,'Audit Dimensions'!L:L,0)</f>
        <v>0</v>
      </c>
      <c r="M38" s="190">
        <f>_xlfn.XLOOKUP(Table1[[#This Row],[MTP SKU Code]],'Audit Dimensions'!$A:$A,'Audit Dimensions'!M:M,0)</f>
        <v>0</v>
      </c>
      <c r="N38" s="190">
        <f>_xlfn.XLOOKUP(Table1[[#This Row],[MTP SKU Code]],'Audit Dimensions'!$A:$A,'Audit Dimensions'!N:N,0)</f>
        <v>0</v>
      </c>
      <c r="O38" s="118">
        <f>((IFERROR((C38*D38*E38),0)+IFERROR((G38*H38*I38),0)+IFERROR((K38*L38*M38),0))/1000000)*35.32</f>
        <v>2.8815822</v>
      </c>
      <c r="P38" s="125">
        <f>Table1[[#This Row],[Column15]]*$P$2*1000</f>
        <v>17289.493200000001</v>
      </c>
      <c r="Q38" s="87">
        <f>F38+J38+N38</f>
        <v>42640</v>
      </c>
      <c r="R38" s="86">
        <f>MAX(Q38,O38)</f>
        <v>42640</v>
      </c>
      <c r="S38" s="86">
        <f>MAX(R38,P38)</f>
        <v>42640</v>
      </c>
      <c r="T38" s="156" t="str">
        <f>VLOOKUP(A38,'[1]MTP SKUs - Master Data'!$A:$B,2,FALSE)</f>
        <v>Y</v>
      </c>
      <c r="U38" s="162">
        <f>_xlfn.IFNA(VLOOKUP(Table1[[#This Row],[MTP SKU Code]],'Audit Dimensions'!A:N,6,FALSE),"ARC")</f>
        <v>45330</v>
      </c>
      <c r="V38" s="162">
        <f>IFERROR(Table1[[#This Row],[B1.Aud]]-Table1[[#This Row],[PW(gm)]],"ERR")</f>
        <v>2690</v>
      </c>
      <c r="W38" s="165">
        <f>IFERROR(Table1[[#This Row],[B1.Diff]]/Table1[[#This Row],[B1.Aud]],"ERR")</f>
        <v>5.9342598720494154E-2</v>
      </c>
      <c r="X38" s="162">
        <f>_xlfn.IFNA(VLOOKUP(Table1[[#This Row],[MTP SKU Code]],'Audit Dimensions'!A:N,10,FALSE),"ARC")</f>
        <v>0</v>
      </c>
      <c r="Y38" s="163">
        <f>IFERROR(Table1[[#This Row],[B2.Aud]]-Table1[[#This Row],[PW(gm)5]],"ERR")</f>
        <v>0</v>
      </c>
      <c r="Z38" s="165" t="str">
        <f>IFERROR(Table1[[#This Row],[B2.Diff]]/Table1[[#This Row],[B2.Aud]],"NA")</f>
        <v>NA</v>
      </c>
      <c r="AA38" s="162">
        <f>_xlfn.IFNA(VLOOKUP(Table1[[#This Row],[MTP SKU Code]],'Audit Dimensions'!A:N,14,FALSE),"ARC")</f>
        <v>0</v>
      </c>
      <c r="AB38" s="161">
        <f>IFERROR(Table1[[#This Row],[B3.Aud]]-Table1[[#This Row],[PW(gm)9]],"ERR")</f>
        <v>0</v>
      </c>
      <c r="AC38" s="168">
        <f>IFERROR(Table1[[#This Row],[B3.Diff]]/Table1[[#This Row],[BaLL.Aud]],"ERR")</f>
        <v>0</v>
      </c>
      <c r="AD38" s="189">
        <f>_xlfn.IFNA(VLOOKUP(Table1[[#This Row],[MTP SKU Code]],'Audit Dimensions'!A:U,16,FALSE),"ARC")</f>
        <v>45330</v>
      </c>
      <c r="AE38" s="165">
        <f>IFERROR(1-Table1[[#This Row],[Gms]]/Table1[[#This Row],[BaLL.Aud]],"ERR")</f>
        <v>5.9342598720494188E-2</v>
      </c>
    </row>
    <row r="39" spans="1:31">
      <c r="A39" s="68" t="s">
        <v>84</v>
      </c>
      <c r="B39" s="84" t="s">
        <v>48</v>
      </c>
      <c r="C39" s="190">
        <f>_xlfn.XLOOKUP(Table1[[#This Row],[MTP SKU Code]],'Audit Dimensions'!A:A,'Audit Dimensions'!C:C,0)</f>
        <v>165</v>
      </c>
      <c r="D39" s="190">
        <f>_xlfn.XLOOKUP(Table1[[#This Row],[MTP SKU Code]],'Audit Dimensions'!$A:$A,'Audit Dimensions'!D:D,0)</f>
        <v>39</v>
      </c>
      <c r="E39" s="190">
        <f>_xlfn.XLOOKUP(Table1[[#This Row],[MTP SKU Code]],'Audit Dimensions'!$A:$A,'Audit Dimensions'!E:E,0)</f>
        <v>9</v>
      </c>
      <c r="F39" s="190">
        <v>26800</v>
      </c>
      <c r="G39" s="190">
        <f>_xlfn.XLOOKUP(Table1[[#This Row],[MTP SKU Code]],'Audit Dimensions'!$A:$A,'Audit Dimensions'!G:G,0)</f>
        <v>0</v>
      </c>
      <c r="H39" s="190">
        <f>_xlfn.XLOOKUP(Table1[[#This Row],[MTP SKU Code]],'Audit Dimensions'!$A:$A,'Audit Dimensions'!H:H,0)</f>
        <v>0</v>
      </c>
      <c r="I39" s="190">
        <f>_xlfn.XLOOKUP(Table1[[#This Row],[MTP SKU Code]],'Audit Dimensions'!$A:$A,'Audit Dimensions'!I:I,0)</f>
        <v>0</v>
      </c>
      <c r="J39" s="190">
        <f>_xlfn.XLOOKUP(Table1[[#This Row],[MTP SKU Code]],'Audit Dimensions'!$A:$A,'Audit Dimensions'!J:J,0)</f>
        <v>0</v>
      </c>
      <c r="K39" s="190">
        <f>_xlfn.XLOOKUP(Table1[[#This Row],[MTP SKU Code]],'Audit Dimensions'!$A:$A,'Audit Dimensions'!K:K,0)</f>
        <v>0</v>
      </c>
      <c r="L39" s="190">
        <f>_xlfn.XLOOKUP(Table1[[#This Row],[MTP SKU Code]],'Audit Dimensions'!$A:$A,'Audit Dimensions'!L:L,0)</f>
        <v>0</v>
      </c>
      <c r="M39" s="190">
        <f>_xlfn.XLOOKUP(Table1[[#This Row],[MTP SKU Code]],'Audit Dimensions'!$A:$A,'Audit Dimensions'!M:M,0)</f>
        <v>0</v>
      </c>
      <c r="N39" s="190">
        <f>_xlfn.XLOOKUP(Table1[[#This Row],[MTP SKU Code]],'Audit Dimensions'!$A:$A,'Audit Dimensions'!N:N,0)</f>
        <v>0</v>
      </c>
      <c r="O39" s="118">
        <f>((IFERROR((C39*D39*E39),0)+IFERROR((G39*H39*I39),0)+IFERROR((K39*L39*M39),0))/1000000)*35.32</f>
        <v>2.0455578000000001</v>
      </c>
      <c r="P39" s="125">
        <f>Table1[[#This Row],[Column15]]*$P$2*1000</f>
        <v>12273.346800000001</v>
      </c>
      <c r="Q39" s="87">
        <f>F39+J39+N39</f>
        <v>26800</v>
      </c>
      <c r="R39" s="88">
        <f>MAX(Q39,O39)</f>
        <v>26800</v>
      </c>
      <c r="S39" s="86">
        <f>MAX(R39,P39)</f>
        <v>26800</v>
      </c>
      <c r="T39" s="156" t="str">
        <f>VLOOKUP(A39,'[1]MTP SKUs - Master Data'!$A:$B,2,FALSE)</f>
        <v>Y</v>
      </c>
      <c r="U39" s="162">
        <f>_xlfn.IFNA(VLOOKUP(Table1[[#This Row],[MTP SKU Code]],'Audit Dimensions'!A:N,6,FALSE),"ARC")</f>
        <v>28100</v>
      </c>
      <c r="V39" s="162">
        <f>IFERROR(Table1[[#This Row],[B1.Aud]]-Table1[[#This Row],[PW(gm)]],"ERR")</f>
        <v>1300</v>
      </c>
      <c r="W39" s="165">
        <f>IFERROR(Table1[[#This Row],[B1.Diff]]/Table1[[#This Row],[B1.Aud]],"ERR")</f>
        <v>4.6263345195729534E-2</v>
      </c>
      <c r="X39" s="162">
        <f>_xlfn.IFNA(VLOOKUP(Table1[[#This Row],[MTP SKU Code]],'Audit Dimensions'!A:N,10,FALSE),"ARC")</f>
        <v>0</v>
      </c>
      <c r="Y39" s="163">
        <f>IFERROR(Table1[[#This Row],[B2.Aud]]-Table1[[#This Row],[PW(gm)5]],"ERR")</f>
        <v>0</v>
      </c>
      <c r="Z39" s="165" t="str">
        <f>IFERROR(Table1[[#This Row],[B2.Diff]]/Table1[[#This Row],[B2.Aud]],"NA")</f>
        <v>NA</v>
      </c>
      <c r="AA39" s="162">
        <f>_xlfn.IFNA(VLOOKUP(Table1[[#This Row],[MTP SKU Code]],'Audit Dimensions'!A:N,14,FALSE),"ARC")</f>
        <v>0</v>
      </c>
      <c r="AB39" s="161">
        <f>IFERROR(Table1[[#This Row],[B3.Aud]]-Table1[[#This Row],[PW(gm)9]],"ERR")</f>
        <v>0</v>
      </c>
      <c r="AC39" s="168">
        <f>IFERROR(Table1[[#This Row],[B3.Diff]]/Table1[[#This Row],[BaLL.Aud]],"ERR")</f>
        <v>0</v>
      </c>
      <c r="AD39" s="189">
        <f>_xlfn.IFNA(VLOOKUP(Table1[[#This Row],[MTP SKU Code]],'Audit Dimensions'!A:U,16,FALSE),"ARC")</f>
        <v>28100</v>
      </c>
      <c r="AE39" s="165">
        <f>IFERROR(1-Table1[[#This Row],[Gms]]/Table1[[#This Row],[BaLL.Aud]],"ERR")</f>
        <v>4.6263345195729499E-2</v>
      </c>
    </row>
    <row r="40" spans="1:31" ht="12.4" customHeight="1">
      <c r="A40" s="68" t="s">
        <v>85</v>
      </c>
      <c r="B40" s="84" t="s">
        <v>48</v>
      </c>
      <c r="C40" s="190">
        <f>_xlfn.XLOOKUP(Table1[[#This Row],[MTP SKU Code]],'Audit Dimensions'!A:A,'Audit Dimensions'!C:C,0)</f>
        <v>79</v>
      </c>
      <c r="D40" s="190">
        <f>_xlfn.XLOOKUP(Table1[[#This Row],[MTP SKU Code]],'Audit Dimensions'!$A:$A,'Audit Dimensions'!D:D,0)</f>
        <v>48</v>
      </c>
      <c r="E40" s="190">
        <f>_xlfn.XLOOKUP(Table1[[#This Row],[MTP SKU Code]],'Audit Dimensions'!$A:$A,'Audit Dimensions'!E:E,0)</f>
        <v>23</v>
      </c>
      <c r="F40" s="190">
        <v>40200</v>
      </c>
      <c r="G40" s="190">
        <f>_xlfn.XLOOKUP(Table1[[#This Row],[MTP SKU Code]],'Audit Dimensions'!$A:$A,'Audit Dimensions'!G:G,0)</f>
        <v>0</v>
      </c>
      <c r="H40" s="190">
        <f>_xlfn.XLOOKUP(Table1[[#This Row],[MTP SKU Code]],'Audit Dimensions'!$A:$A,'Audit Dimensions'!H:H,0)</f>
        <v>0</v>
      </c>
      <c r="I40" s="190">
        <f>_xlfn.XLOOKUP(Table1[[#This Row],[MTP SKU Code]],'Audit Dimensions'!$A:$A,'Audit Dimensions'!I:I,0)</f>
        <v>0</v>
      </c>
      <c r="J40" s="190">
        <f>_xlfn.XLOOKUP(Table1[[#This Row],[MTP SKU Code]],'Audit Dimensions'!$A:$A,'Audit Dimensions'!J:J,0)</f>
        <v>0</v>
      </c>
      <c r="K40" s="190">
        <f>_xlfn.XLOOKUP(Table1[[#This Row],[MTP SKU Code]],'Audit Dimensions'!$A:$A,'Audit Dimensions'!K:K,0)</f>
        <v>0</v>
      </c>
      <c r="L40" s="190">
        <f>_xlfn.XLOOKUP(Table1[[#This Row],[MTP SKU Code]],'Audit Dimensions'!$A:$A,'Audit Dimensions'!L:L,0)</f>
        <v>0</v>
      </c>
      <c r="M40" s="190">
        <f>_xlfn.XLOOKUP(Table1[[#This Row],[MTP SKU Code]],'Audit Dimensions'!$A:$A,'Audit Dimensions'!M:M,0)</f>
        <v>0</v>
      </c>
      <c r="N40" s="190">
        <f>_xlfn.XLOOKUP(Table1[[#This Row],[MTP SKU Code]],'Audit Dimensions'!$A:$A,'Audit Dimensions'!N:N,0)</f>
        <v>0</v>
      </c>
      <c r="O40" s="118">
        <f>((IFERROR((C40*D40*E40),0)+IFERROR((G40*H40*I40),0)+IFERROR((K40*L40*M40),0))/1000000)*35.32</f>
        <v>3.0804691200000001</v>
      </c>
      <c r="P40" s="125">
        <f>Table1[[#This Row],[Column15]]*$P$2*1000</f>
        <v>18482.814720000002</v>
      </c>
      <c r="Q40" s="87">
        <f>F40+J40+N40</f>
        <v>40200</v>
      </c>
      <c r="R40" s="88">
        <f>MAX(Q40,O40)</f>
        <v>40200</v>
      </c>
      <c r="S40" s="86">
        <f>MAX(R40,P40)</f>
        <v>40200</v>
      </c>
      <c r="T40" s="156" t="str">
        <f>VLOOKUP(A40,'[1]MTP SKUs - Master Data'!$A:$B,2,FALSE)</f>
        <v>Y</v>
      </c>
      <c r="U40" s="162">
        <f>_xlfn.IFNA(VLOOKUP(Table1[[#This Row],[MTP SKU Code]],'Audit Dimensions'!A:N,6,FALSE),"ARC")</f>
        <v>42170</v>
      </c>
      <c r="V40" s="162">
        <f>IFERROR(Table1[[#This Row],[B1.Aud]]-Table1[[#This Row],[PW(gm)]],"ERR")</f>
        <v>1970</v>
      </c>
      <c r="W40" s="165">
        <f>IFERROR(Table1[[#This Row],[B1.Diff]]/Table1[[#This Row],[B1.Aud]],"ERR")</f>
        <v>4.6715674650225282E-2</v>
      </c>
      <c r="X40" s="162">
        <f>_xlfn.IFNA(VLOOKUP(Table1[[#This Row],[MTP SKU Code]],'Audit Dimensions'!A:N,10,FALSE),"ARC")</f>
        <v>0</v>
      </c>
      <c r="Y40" s="163">
        <f>IFERROR(Table1[[#This Row],[B2.Aud]]-Table1[[#This Row],[PW(gm)5]],"ERR")</f>
        <v>0</v>
      </c>
      <c r="Z40" s="165" t="str">
        <f>IFERROR(Table1[[#This Row],[B2.Diff]]/Table1[[#This Row],[B2.Aud]],"NA")</f>
        <v>NA</v>
      </c>
      <c r="AA40" s="162">
        <f>_xlfn.IFNA(VLOOKUP(Table1[[#This Row],[MTP SKU Code]],'Audit Dimensions'!A:N,14,FALSE),"ARC")</f>
        <v>0</v>
      </c>
      <c r="AB40" s="161">
        <f>IFERROR(Table1[[#This Row],[B3.Aud]]-Table1[[#This Row],[PW(gm)9]],"ERR")</f>
        <v>0</v>
      </c>
      <c r="AC40" s="168">
        <f>IFERROR(Table1[[#This Row],[B3.Diff]]/Table1[[#This Row],[BaLL.Aud]],"ERR")</f>
        <v>0</v>
      </c>
      <c r="AD40" s="189">
        <f>_xlfn.IFNA(VLOOKUP(Table1[[#This Row],[MTP SKU Code]],'Audit Dimensions'!A:U,16,FALSE),"ARC")</f>
        <v>42170</v>
      </c>
      <c r="AE40" s="165">
        <f>IFERROR(1-Table1[[#This Row],[Gms]]/Table1[[#This Row],[BaLL.Aud]],"ERR")</f>
        <v>4.6715674650225303E-2</v>
      </c>
    </row>
    <row r="41" spans="1:31">
      <c r="A41" s="68" t="s">
        <v>86</v>
      </c>
      <c r="B41" s="84" t="s">
        <v>48</v>
      </c>
      <c r="C41" s="190">
        <f>_xlfn.XLOOKUP(Table1[[#This Row],[MTP SKU Code]],'Audit Dimensions'!A:A,'Audit Dimensions'!C:C,0)</f>
        <v>183</v>
      </c>
      <c r="D41" s="190">
        <f>_xlfn.XLOOKUP(Table1[[#This Row],[MTP SKU Code]],'Audit Dimensions'!$A:$A,'Audit Dimensions'!D:D,0)</f>
        <v>47</v>
      </c>
      <c r="E41" s="190">
        <f>_xlfn.XLOOKUP(Table1[[#This Row],[MTP SKU Code]],'Audit Dimensions'!$A:$A,'Audit Dimensions'!E:E,0)</f>
        <v>12</v>
      </c>
      <c r="F41" s="190">
        <v>48500</v>
      </c>
      <c r="G41" s="190">
        <f>_xlfn.XLOOKUP(Table1[[#This Row],[MTP SKU Code]],'Audit Dimensions'!$A:$A,'Audit Dimensions'!G:G,0)</f>
        <v>0</v>
      </c>
      <c r="H41" s="190">
        <f>_xlfn.XLOOKUP(Table1[[#This Row],[MTP SKU Code]],'Audit Dimensions'!$A:$A,'Audit Dimensions'!H:H,0)</f>
        <v>0</v>
      </c>
      <c r="I41" s="190">
        <f>_xlfn.XLOOKUP(Table1[[#This Row],[MTP SKU Code]],'Audit Dimensions'!$A:$A,'Audit Dimensions'!I:I,0)</f>
        <v>0</v>
      </c>
      <c r="J41" s="190">
        <f>_xlfn.XLOOKUP(Table1[[#This Row],[MTP SKU Code]],'Audit Dimensions'!$A:$A,'Audit Dimensions'!J:J,0)</f>
        <v>0</v>
      </c>
      <c r="K41" s="190">
        <f>_xlfn.XLOOKUP(Table1[[#This Row],[MTP SKU Code]],'Audit Dimensions'!$A:$A,'Audit Dimensions'!K:K,0)</f>
        <v>0</v>
      </c>
      <c r="L41" s="190">
        <f>_xlfn.XLOOKUP(Table1[[#This Row],[MTP SKU Code]],'Audit Dimensions'!$A:$A,'Audit Dimensions'!L:L,0)</f>
        <v>0</v>
      </c>
      <c r="M41" s="190">
        <f>_xlfn.XLOOKUP(Table1[[#This Row],[MTP SKU Code]],'Audit Dimensions'!$A:$A,'Audit Dimensions'!M:M,0)</f>
        <v>0</v>
      </c>
      <c r="N41" s="190">
        <f>_xlfn.XLOOKUP(Table1[[#This Row],[MTP SKU Code]],'Audit Dimensions'!$A:$A,'Audit Dimensions'!N:N,0)</f>
        <v>0</v>
      </c>
      <c r="O41" s="118">
        <f>((IFERROR((C41*D41*E41),0)+IFERROR((G41*H41*I41),0)+IFERROR((K41*L41*M41),0))/1000000)*35.32</f>
        <v>3.6454478400000001</v>
      </c>
      <c r="P41" s="125">
        <f>Table1[[#This Row],[Column15]]*$P$2*1000</f>
        <v>21872.687040000001</v>
      </c>
      <c r="Q41" s="87">
        <f>F41+J41+N41</f>
        <v>48500</v>
      </c>
      <c r="R41" s="86">
        <f>MAX(Q41,O41)</f>
        <v>48500</v>
      </c>
      <c r="S41" s="86">
        <f>MAX(R41,P41)</f>
        <v>48500</v>
      </c>
      <c r="T41" s="156" t="str">
        <f>VLOOKUP(A41,'[1]MTP SKUs - Master Data'!$A:$B,2,FALSE)</f>
        <v>Y</v>
      </c>
      <c r="U41" s="162">
        <f>_xlfn.IFNA(VLOOKUP(Table1[[#This Row],[MTP SKU Code]],'Audit Dimensions'!A:N,6,FALSE),"ARC")</f>
        <v>50670</v>
      </c>
      <c r="V41" s="162">
        <f>IFERROR(Table1[[#This Row],[B1.Aud]]-Table1[[#This Row],[PW(gm)]],"ERR")</f>
        <v>2170</v>
      </c>
      <c r="W41" s="165">
        <f>IFERROR(Table1[[#This Row],[B1.Diff]]/Table1[[#This Row],[B1.Aud]],"ERR")</f>
        <v>4.2826129859877639E-2</v>
      </c>
      <c r="X41" s="162">
        <f>_xlfn.IFNA(VLOOKUP(Table1[[#This Row],[MTP SKU Code]],'Audit Dimensions'!A:N,10,FALSE),"ARC")</f>
        <v>0</v>
      </c>
      <c r="Y41" s="163">
        <f>IFERROR(Table1[[#This Row],[B2.Aud]]-Table1[[#This Row],[PW(gm)5]],"ERR")</f>
        <v>0</v>
      </c>
      <c r="Z41" s="165" t="str">
        <f>IFERROR(Table1[[#This Row],[B2.Diff]]/Table1[[#This Row],[B2.Aud]],"NA")</f>
        <v>NA</v>
      </c>
      <c r="AA41" s="162">
        <f>_xlfn.IFNA(VLOOKUP(Table1[[#This Row],[MTP SKU Code]],'Audit Dimensions'!A:N,14,FALSE),"ARC")</f>
        <v>0</v>
      </c>
      <c r="AB41" s="161">
        <f>IFERROR(Table1[[#This Row],[B3.Aud]]-Table1[[#This Row],[PW(gm)9]],"ERR")</f>
        <v>0</v>
      </c>
      <c r="AC41" s="168">
        <f>IFERROR(Table1[[#This Row],[B3.Diff]]/Table1[[#This Row],[BaLL.Aud]],"ERR")</f>
        <v>0</v>
      </c>
      <c r="AD41" s="189">
        <f>_xlfn.IFNA(VLOOKUP(Table1[[#This Row],[MTP SKU Code]],'Audit Dimensions'!A:U,16,FALSE),"ARC")</f>
        <v>50670</v>
      </c>
      <c r="AE41" s="165">
        <f>IFERROR(1-Table1[[#This Row],[Gms]]/Table1[[#This Row],[BaLL.Aud]],"ERR")</f>
        <v>4.282612985987766E-2</v>
      </c>
    </row>
    <row r="42" spans="1:31">
      <c r="A42" s="68" t="s">
        <v>87</v>
      </c>
      <c r="B42" s="84" t="s">
        <v>48</v>
      </c>
      <c r="C42" s="190">
        <f>_xlfn.XLOOKUP(Table1[[#This Row],[MTP SKU Code]],'Audit Dimensions'!A:A,'Audit Dimensions'!C:C,0)</f>
        <v>110</v>
      </c>
      <c r="D42" s="190">
        <f>_xlfn.XLOOKUP(Table1[[#This Row],[MTP SKU Code]],'Audit Dimensions'!$A:$A,'Audit Dimensions'!D:D,0)</f>
        <v>31</v>
      </c>
      <c r="E42" s="190">
        <f>_xlfn.XLOOKUP(Table1[[#This Row],[MTP SKU Code]],'Audit Dimensions'!$A:$A,'Audit Dimensions'!E:E,0)</f>
        <v>17</v>
      </c>
      <c r="F42" s="190">
        <v>27200</v>
      </c>
      <c r="G42" s="190">
        <f>_xlfn.XLOOKUP(Table1[[#This Row],[MTP SKU Code]],'Audit Dimensions'!$A:$A,'Audit Dimensions'!G:G,0)</f>
        <v>0</v>
      </c>
      <c r="H42" s="190">
        <f>_xlfn.XLOOKUP(Table1[[#This Row],[MTP SKU Code]],'Audit Dimensions'!$A:$A,'Audit Dimensions'!H:H,0)</f>
        <v>0</v>
      </c>
      <c r="I42" s="190">
        <f>_xlfn.XLOOKUP(Table1[[#This Row],[MTP SKU Code]],'Audit Dimensions'!$A:$A,'Audit Dimensions'!I:I,0)</f>
        <v>0</v>
      </c>
      <c r="J42" s="190">
        <f>_xlfn.XLOOKUP(Table1[[#This Row],[MTP SKU Code]],'Audit Dimensions'!$A:$A,'Audit Dimensions'!J:J,0)</f>
        <v>0</v>
      </c>
      <c r="K42" s="190">
        <f>_xlfn.XLOOKUP(Table1[[#This Row],[MTP SKU Code]],'Audit Dimensions'!$A:$A,'Audit Dimensions'!K:K,0)</f>
        <v>0</v>
      </c>
      <c r="L42" s="190">
        <f>_xlfn.XLOOKUP(Table1[[#This Row],[MTP SKU Code]],'Audit Dimensions'!$A:$A,'Audit Dimensions'!L:L,0)</f>
        <v>0</v>
      </c>
      <c r="M42" s="190">
        <f>_xlfn.XLOOKUP(Table1[[#This Row],[MTP SKU Code]],'Audit Dimensions'!$A:$A,'Audit Dimensions'!M:M,0)</f>
        <v>0</v>
      </c>
      <c r="N42" s="190">
        <f>_xlfn.XLOOKUP(Table1[[#This Row],[MTP SKU Code]],'Audit Dimensions'!$A:$A,'Audit Dimensions'!N:N,0)</f>
        <v>0</v>
      </c>
      <c r="O42" s="118">
        <f>((IFERROR((C42*D42*E42),0)+IFERROR((G42*H42*I42),0)+IFERROR((K42*L42*M42),0))/1000000)*35.32</f>
        <v>2.0475004000000001</v>
      </c>
      <c r="P42" s="125">
        <f>Table1[[#This Row],[Column15]]*$P$2*1000</f>
        <v>12285.002399999999</v>
      </c>
      <c r="Q42" s="87">
        <f>F42+J42+N42</f>
        <v>27200</v>
      </c>
      <c r="R42" s="88">
        <f>MAX(Q42,O42)</f>
        <v>27200</v>
      </c>
      <c r="S42" s="86">
        <f>MAX(R42,P42)</f>
        <v>27200</v>
      </c>
      <c r="T42" s="156" t="str">
        <f>VLOOKUP(A42,'[1]MTP SKUs - Master Data'!$A:$B,2,FALSE)</f>
        <v>Y</v>
      </c>
      <c r="U42" s="162">
        <f>_xlfn.IFNA(VLOOKUP(Table1[[#This Row],[MTP SKU Code]],'Audit Dimensions'!A:N,6,FALSE),"ARC")</f>
        <v>29220</v>
      </c>
      <c r="V42" s="162">
        <f>IFERROR(Table1[[#This Row],[B1.Aud]]-Table1[[#This Row],[PW(gm)]],"ERR")</f>
        <v>2020</v>
      </c>
      <c r="W42" s="165">
        <f>IFERROR(Table1[[#This Row],[B1.Diff]]/Table1[[#This Row],[B1.Aud]],"ERR")</f>
        <v>6.913073237508556E-2</v>
      </c>
      <c r="X42" s="162">
        <f>_xlfn.IFNA(VLOOKUP(Table1[[#This Row],[MTP SKU Code]],'Audit Dimensions'!A:N,10,FALSE),"ARC")</f>
        <v>0</v>
      </c>
      <c r="Y42" s="163">
        <f>IFERROR(Table1[[#This Row],[B2.Aud]]-Table1[[#This Row],[PW(gm)5]],"ERR")</f>
        <v>0</v>
      </c>
      <c r="Z42" s="165" t="str">
        <f>IFERROR(Table1[[#This Row],[B2.Diff]]/Table1[[#This Row],[B2.Aud]],"NA")</f>
        <v>NA</v>
      </c>
      <c r="AA42" s="162">
        <f>_xlfn.IFNA(VLOOKUP(Table1[[#This Row],[MTP SKU Code]],'Audit Dimensions'!A:N,14,FALSE),"ARC")</f>
        <v>0</v>
      </c>
      <c r="AB42" s="161">
        <f>IFERROR(Table1[[#This Row],[B3.Aud]]-Table1[[#This Row],[PW(gm)9]],"ERR")</f>
        <v>0</v>
      </c>
      <c r="AC42" s="168">
        <f>IFERROR(Table1[[#This Row],[B3.Diff]]/Table1[[#This Row],[BaLL.Aud]],"ERR")</f>
        <v>0</v>
      </c>
      <c r="AD42" s="189">
        <f>_xlfn.IFNA(VLOOKUP(Table1[[#This Row],[MTP SKU Code]],'Audit Dimensions'!A:U,16,FALSE),"ARC")</f>
        <v>29220</v>
      </c>
      <c r="AE42" s="165">
        <f>IFERROR(1-Table1[[#This Row],[Gms]]/Table1[[#This Row],[BaLL.Aud]],"ERR")</f>
        <v>6.9130732375085602E-2</v>
      </c>
    </row>
    <row r="43" spans="1:31">
      <c r="A43" s="68" t="s">
        <v>88</v>
      </c>
      <c r="B43" s="84" t="s">
        <v>48</v>
      </c>
      <c r="C43" s="190">
        <f>_xlfn.XLOOKUP(Table1[[#This Row],[MTP SKU Code]],'Audit Dimensions'!A:A,'Audit Dimensions'!C:C,0)</f>
        <v>125</v>
      </c>
      <c r="D43" s="190">
        <f>_xlfn.XLOOKUP(Table1[[#This Row],[MTP SKU Code]],'Audit Dimensions'!$A:$A,'Audit Dimensions'!D:D,0)</f>
        <v>44</v>
      </c>
      <c r="E43" s="190">
        <f>_xlfn.XLOOKUP(Table1[[#This Row],[MTP SKU Code]],'Audit Dimensions'!$A:$A,'Audit Dimensions'!E:E,0)</f>
        <v>10</v>
      </c>
      <c r="F43" s="190">
        <v>27400</v>
      </c>
      <c r="G43" s="190">
        <f>_xlfn.XLOOKUP(Table1[[#This Row],[MTP SKU Code]],'Audit Dimensions'!$A:$A,'Audit Dimensions'!G:G,0)</f>
        <v>0</v>
      </c>
      <c r="H43" s="190">
        <f>_xlfn.XLOOKUP(Table1[[#This Row],[MTP SKU Code]],'Audit Dimensions'!$A:$A,'Audit Dimensions'!H:H,0)</f>
        <v>0</v>
      </c>
      <c r="I43" s="190">
        <f>_xlfn.XLOOKUP(Table1[[#This Row],[MTP SKU Code]],'Audit Dimensions'!$A:$A,'Audit Dimensions'!I:I,0)</f>
        <v>0</v>
      </c>
      <c r="J43" s="190">
        <f>_xlfn.XLOOKUP(Table1[[#This Row],[MTP SKU Code]],'Audit Dimensions'!$A:$A,'Audit Dimensions'!J:J,0)</f>
        <v>0</v>
      </c>
      <c r="K43" s="190">
        <f>_xlfn.XLOOKUP(Table1[[#This Row],[MTP SKU Code]],'Audit Dimensions'!$A:$A,'Audit Dimensions'!K:K,0)</f>
        <v>0</v>
      </c>
      <c r="L43" s="190">
        <f>_xlfn.XLOOKUP(Table1[[#This Row],[MTP SKU Code]],'Audit Dimensions'!$A:$A,'Audit Dimensions'!L:L,0)</f>
        <v>0</v>
      </c>
      <c r="M43" s="190">
        <f>_xlfn.XLOOKUP(Table1[[#This Row],[MTP SKU Code]],'Audit Dimensions'!$A:$A,'Audit Dimensions'!M:M,0)</f>
        <v>0</v>
      </c>
      <c r="N43" s="190">
        <f>_xlfn.XLOOKUP(Table1[[#This Row],[MTP SKU Code]],'Audit Dimensions'!$A:$A,'Audit Dimensions'!N:N,0)</f>
        <v>0</v>
      </c>
      <c r="O43" s="118">
        <f>((IFERROR((C43*D43*E43),0)+IFERROR((G43*H43*I43),0)+IFERROR((K43*L43*M43),0))/1000000)*35.32</f>
        <v>1.9426000000000001</v>
      </c>
      <c r="P43" s="125">
        <f>Table1[[#This Row],[Column15]]*$P$2*1000</f>
        <v>11655.6</v>
      </c>
      <c r="Q43" s="87">
        <f>F43+J43+N43</f>
        <v>27400</v>
      </c>
      <c r="R43" s="86">
        <f>MAX(Q43,O43)</f>
        <v>27400</v>
      </c>
      <c r="S43" s="86">
        <f>MAX(R43,P43)</f>
        <v>27400</v>
      </c>
      <c r="T43" s="156" t="str">
        <f>VLOOKUP(A43,'[1]MTP SKUs - Master Data'!$A:$B,2,FALSE)</f>
        <v>Y</v>
      </c>
      <c r="U43" s="162">
        <f>_xlfn.IFNA(VLOOKUP(Table1[[#This Row],[MTP SKU Code]],'Audit Dimensions'!A:N,6,FALSE),"ARC")</f>
        <v>29160</v>
      </c>
      <c r="V43" s="162">
        <f>IFERROR(Table1[[#This Row],[B1.Aud]]-Table1[[#This Row],[PW(gm)]],"ERR")</f>
        <v>1760</v>
      </c>
      <c r="W43" s="165">
        <f>IFERROR(Table1[[#This Row],[B1.Diff]]/Table1[[#This Row],[B1.Aud]],"ERR")</f>
        <v>6.035665294924554E-2</v>
      </c>
      <c r="X43" s="162">
        <f>_xlfn.IFNA(VLOOKUP(Table1[[#This Row],[MTP SKU Code]],'Audit Dimensions'!A:N,10,FALSE),"ARC")</f>
        <v>0</v>
      </c>
      <c r="Y43" s="163">
        <f>IFERROR(Table1[[#This Row],[B2.Aud]]-Table1[[#This Row],[PW(gm)5]],"ERR")</f>
        <v>0</v>
      </c>
      <c r="Z43" s="165" t="str">
        <f>IFERROR(Table1[[#This Row],[B2.Diff]]/Table1[[#This Row],[B2.Aud]],"NA")</f>
        <v>NA</v>
      </c>
      <c r="AA43" s="162">
        <f>_xlfn.IFNA(VLOOKUP(Table1[[#This Row],[MTP SKU Code]],'Audit Dimensions'!A:N,14,FALSE),"ARC")</f>
        <v>0</v>
      </c>
      <c r="AB43" s="161">
        <f>IFERROR(Table1[[#This Row],[B3.Aud]]-Table1[[#This Row],[PW(gm)9]],"ERR")</f>
        <v>0</v>
      </c>
      <c r="AC43" s="168">
        <f>IFERROR(Table1[[#This Row],[B3.Diff]]/Table1[[#This Row],[BaLL.Aud]],"ERR")</f>
        <v>0</v>
      </c>
      <c r="AD43" s="189">
        <f>_xlfn.IFNA(VLOOKUP(Table1[[#This Row],[MTP SKU Code]],'Audit Dimensions'!A:U,16,FALSE),"ARC")</f>
        <v>29160</v>
      </c>
      <c r="AE43" s="165">
        <f>IFERROR(1-Table1[[#This Row],[Gms]]/Table1[[#This Row],[BaLL.Aud]],"ERR")</f>
        <v>6.0356652949245526E-2</v>
      </c>
    </row>
    <row r="44" spans="1:31" s="49" customFormat="1">
      <c r="A44" s="68" t="s">
        <v>89</v>
      </c>
      <c r="B44" s="84" t="s">
        <v>48</v>
      </c>
      <c r="C44" s="190">
        <f>_xlfn.XLOOKUP(Table1[[#This Row],[MTP SKU Code]],'Audit Dimensions'!A:A,'Audit Dimensions'!C:C,0)</f>
        <v>88</v>
      </c>
      <c r="D44" s="190">
        <f>_xlfn.XLOOKUP(Table1[[#This Row],[MTP SKU Code]],'Audit Dimensions'!$A:$A,'Audit Dimensions'!D:D,0)</f>
        <v>45</v>
      </c>
      <c r="E44" s="190">
        <f>_xlfn.XLOOKUP(Table1[[#This Row],[MTP SKU Code]],'Audit Dimensions'!$A:$A,'Audit Dimensions'!E:E,0)</f>
        <v>10</v>
      </c>
      <c r="F44" s="190">
        <v>13850</v>
      </c>
      <c r="G44" s="190">
        <f>_xlfn.XLOOKUP(Table1[[#This Row],[MTP SKU Code]],'Audit Dimensions'!$A:$A,'Audit Dimensions'!G:G,0)</f>
        <v>0</v>
      </c>
      <c r="H44" s="190">
        <f>_xlfn.XLOOKUP(Table1[[#This Row],[MTP SKU Code]],'Audit Dimensions'!$A:$A,'Audit Dimensions'!H:H,0)</f>
        <v>0</v>
      </c>
      <c r="I44" s="190">
        <f>_xlfn.XLOOKUP(Table1[[#This Row],[MTP SKU Code]],'Audit Dimensions'!$A:$A,'Audit Dimensions'!I:I,0)</f>
        <v>0</v>
      </c>
      <c r="J44" s="190">
        <f>_xlfn.XLOOKUP(Table1[[#This Row],[MTP SKU Code]],'Audit Dimensions'!$A:$A,'Audit Dimensions'!J:J,0)</f>
        <v>0</v>
      </c>
      <c r="K44" s="190">
        <f>_xlfn.XLOOKUP(Table1[[#This Row],[MTP SKU Code]],'Audit Dimensions'!$A:$A,'Audit Dimensions'!K:K,0)</f>
        <v>0</v>
      </c>
      <c r="L44" s="190">
        <f>_xlfn.XLOOKUP(Table1[[#This Row],[MTP SKU Code]],'Audit Dimensions'!$A:$A,'Audit Dimensions'!L:L,0)</f>
        <v>0</v>
      </c>
      <c r="M44" s="190">
        <f>_xlfn.XLOOKUP(Table1[[#This Row],[MTP SKU Code]],'Audit Dimensions'!$A:$A,'Audit Dimensions'!M:M,0)</f>
        <v>0</v>
      </c>
      <c r="N44" s="190">
        <f>_xlfn.XLOOKUP(Table1[[#This Row],[MTP SKU Code]],'Audit Dimensions'!$A:$A,'Audit Dimensions'!N:N,0)</f>
        <v>0</v>
      </c>
      <c r="O44" s="118">
        <f>((IFERROR((C44*D44*E44),0)+IFERROR((G44*H44*I44),0)+IFERROR((K44*L44*M44),0))/1000000)*35.32</f>
        <v>1.3986720000000001</v>
      </c>
      <c r="P44" s="125">
        <f>Table1[[#This Row],[Column15]]*$P$2*1000</f>
        <v>8392.0320000000011</v>
      </c>
      <c r="Q44" s="87">
        <f>F44+J44+N44</f>
        <v>13850</v>
      </c>
      <c r="R44" s="88">
        <f>MAX(Q44,O44)</f>
        <v>13850</v>
      </c>
      <c r="S44" s="86">
        <f>MAX(R44,P44)</f>
        <v>13850</v>
      </c>
      <c r="T44" s="156" t="str">
        <f>VLOOKUP(A44,'[1]MTP SKUs - Master Data'!$A:$B,2,FALSE)</f>
        <v>Y</v>
      </c>
      <c r="U44" s="162">
        <f>_xlfn.IFNA(VLOOKUP(Table1[[#This Row],[MTP SKU Code]],'Audit Dimensions'!A:N,6,FALSE),"ARC")</f>
        <v>13970</v>
      </c>
      <c r="V44" s="162">
        <f>IFERROR(Table1[[#This Row],[B1.Aud]]-Table1[[#This Row],[PW(gm)]],"ERR")</f>
        <v>120</v>
      </c>
      <c r="W44" s="165">
        <f>IFERROR(Table1[[#This Row],[B1.Diff]]/Table1[[#This Row],[B1.Aud]],"ERR")</f>
        <v>8.5898353614889053E-3</v>
      </c>
      <c r="X44" s="162">
        <f>_xlfn.IFNA(VLOOKUP(Table1[[#This Row],[MTP SKU Code]],'Audit Dimensions'!A:N,10,FALSE),"ARC")</f>
        <v>0</v>
      </c>
      <c r="Y44" s="163">
        <f>IFERROR(Table1[[#This Row],[B2.Aud]]-Table1[[#This Row],[PW(gm)5]],"ERR")</f>
        <v>0</v>
      </c>
      <c r="Z44" s="165" t="str">
        <f>IFERROR(Table1[[#This Row],[B2.Diff]]/Table1[[#This Row],[B2.Aud]],"NA")</f>
        <v>NA</v>
      </c>
      <c r="AA44" s="162">
        <f>_xlfn.IFNA(VLOOKUP(Table1[[#This Row],[MTP SKU Code]],'Audit Dimensions'!A:N,14,FALSE),"ARC")</f>
        <v>0</v>
      </c>
      <c r="AB44" s="161">
        <f>IFERROR(Table1[[#This Row],[B3.Aud]]-Table1[[#This Row],[PW(gm)9]],"ERR")</f>
        <v>0</v>
      </c>
      <c r="AC44" s="168">
        <f>IFERROR(Table1[[#This Row],[B3.Diff]]/Table1[[#This Row],[BaLL.Aud]],"ERR")</f>
        <v>0</v>
      </c>
      <c r="AD44" s="189">
        <f>_xlfn.IFNA(VLOOKUP(Table1[[#This Row],[MTP SKU Code]],'Audit Dimensions'!A:U,16,FALSE),"ARC")</f>
        <v>13970</v>
      </c>
      <c r="AE44" s="165">
        <f>IFERROR(1-Table1[[#This Row],[Gms]]/Table1[[#This Row],[BaLL.Aud]],"ERR")</f>
        <v>8.58983536148894E-3</v>
      </c>
    </row>
    <row r="45" spans="1:31">
      <c r="A45" s="70" t="s">
        <v>90</v>
      </c>
      <c r="B45" s="84" t="s">
        <v>48</v>
      </c>
      <c r="C45" s="190">
        <f>_xlfn.XLOOKUP(Table1[[#This Row],[MTP SKU Code]],'Audit Dimensions'!A:A,'Audit Dimensions'!C:C,0)</f>
        <v>151</v>
      </c>
      <c r="D45" s="190">
        <f>_xlfn.XLOOKUP(Table1[[#This Row],[MTP SKU Code]],'Audit Dimensions'!$A:$A,'Audit Dimensions'!D:D,0)</f>
        <v>48</v>
      </c>
      <c r="E45" s="190">
        <f>_xlfn.XLOOKUP(Table1[[#This Row],[MTP SKU Code]],'Audit Dimensions'!$A:$A,'Audit Dimensions'!E:E,0)</f>
        <v>12</v>
      </c>
      <c r="F45" s="190">
        <v>37600</v>
      </c>
      <c r="G45" s="190">
        <f>_xlfn.XLOOKUP(Table1[[#This Row],[MTP SKU Code]],'Audit Dimensions'!$A:$A,'Audit Dimensions'!G:G,0)</f>
        <v>0</v>
      </c>
      <c r="H45" s="190">
        <f>_xlfn.XLOOKUP(Table1[[#This Row],[MTP SKU Code]],'Audit Dimensions'!$A:$A,'Audit Dimensions'!H:H,0)</f>
        <v>0</v>
      </c>
      <c r="I45" s="190">
        <f>_xlfn.XLOOKUP(Table1[[#This Row],[MTP SKU Code]],'Audit Dimensions'!$A:$A,'Audit Dimensions'!I:I,0)</f>
        <v>0</v>
      </c>
      <c r="J45" s="190">
        <f>_xlfn.XLOOKUP(Table1[[#This Row],[MTP SKU Code]],'Audit Dimensions'!$A:$A,'Audit Dimensions'!J:J,0)</f>
        <v>0</v>
      </c>
      <c r="K45" s="190">
        <f>_xlfn.XLOOKUP(Table1[[#This Row],[MTP SKU Code]],'Audit Dimensions'!$A:$A,'Audit Dimensions'!K:K,0)</f>
        <v>0</v>
      </c>
      <c r="L45" s="190">
        <f>_xlfn.XLOOKUP(Table1[[#This Row],[MTP SKU Code]],'Audit Dimensions'!$A:$A,'Audit Dimensions'!L:L,0)</f>
        <v>0</v>
      </c>
      <c r="M45" s="190">
        <f>_xlfn.XLOOKUP(Table1[[#This Row],[MTP SKU Code]],'Audit Dimensions'!$A:$A,'Audit Dimensions'!M:M,0)</f>
        <v>0</v>
      </c>
      <c r="N45" s="190">
        <f>_xlfn.XLOOKUP(Table1[[#This Row],[MTP SKU Code]],'Audit Dimensions'!$A:$A,'Audit Dimensions'!N:N,0)</f>
        <v>0</v>
      </c>
      <c r="O45" s="118">
        <f>((IFERROR((C45*D45*E45),0)+IFERROR((G45*H45*I45),0)+IFERROR((K45*L45*M45),0))/1000000)*35.32</f>
        <v>3.0719923200000001</v>
      </c>
      <c r="P45" s="125">
        <f>Table1[[#This Row],[Column15]]*$P$2*1000</f>
        <v>18431.95392</v>
      </c>
      <c r="Q45" s="87">
        <f>F45+J45+N45</f>
        <v>37600</v>
      </c>
      <c r="R45" s="86">
        <f>MAX(Q45,O45)</f>
        <v>37600</v>
      </c>
      <c r="S45" s="86">
        <f>MAX(R45,P45)</f>
        <v>37600</v>
      </c>
      <c r="T45" s="156" t="str">
        <f>VLOOKUP(A45,'[1]MTP SKUs - Master Data'!$A:$B,2,FALSE)</f>
        <v>Y</v>
      </c>
      <c r="U45" s="162">
        <f>_xlfn.IFNA(VLOOKUP(Table1[[#This Row],[MTP SKU Code]],'Audit Dimensions'!A:N,6,FALSE),"ARC")</f>
        <v>39980</v>
      </c>
      <c r="V45" s="162">
        <f>IFERROR(Table1[[#This Row],[B1.Aud]]-Table1[[#This Row],[PW(gm)]],"ERR")</f>
        <v>2380</v>
      </c>
      <c r="W45" s="165">
        <f>IFERROR(Table1[[#This Row],[B1.Diff]]/Table1[[#This Row],[B1.Aud]],"ERR")</f>
        <v>5.9529764882441223E-2</v>
      </c>
      <c r="X45" s="162">
        <f>_xlfn.IFNA(VLOOKUP(Table1[[#This Row],[MTP SKU Code]],'Audit Dimensions'!A:N,10,FALSE),"ARC")</f>
        <v>0</v>
      </c>
      <c r="Y45" s="163">
        <f>IFERROR(Table1[[#This Row],[B2.Aud]]-Table1[[#This Row],[PW(gm)5]],"ERR")</f>
        <v>0</v>
      </c>
      <c r="Z45" s="165" t="str">
        <f>IFERROR(Table1[[#This Row],[B2.Diff]]/Table1[[#This Row],[B2.Aud]],"NA")</f>
        <v>NA</v>
      </c>
      <c r="AA45" s="162">
        <f>_xlfn.IFNA(VLOOKUP(Table1[[#This Row],[MTP SKU Code]],'Audit Dimensions'!A:N,14,FALSE),"ARC")</f>
        <v>0</v>
      </c>
      <c r="AB45" s="161">
        <f>IFERROR(Table1[[#This Row],[B3.Aud]]-Table1[[#This Row],[PW(gm)9]],"ERR")</f>
        <v>0</v>
      </c>
      <c r="AC45" s="168">
        <f>IFERROR(Table1[[#This Row],[B3.Diff]]/Table1[[#This Row],[BaLL.Aud]],"ERR")</f>
        <v>0</v>
      </c>
      <c r="AD45" s="189">
        <f>_xlfn.IFNA(VLOOKUP(Table1[[#This Row],[MTP SKU Code]],'Audit Dimensions'!A:U,16,FALSE),"ARC")</f>
        <v>39980</v>
      </c>
      <c r="AE45" s="165">
        <f>IFERROR(1-Table1[[#This Row],[Gms]]/Table1[[#This Row],[BaLL.Aud]],"ERR")</f>
        <v>5.9529764882441216E-2</v>
      </c>
    </row>
    <row r="46" spans="1:31">
      <c r="A46" s="68" t="s">
        <v>91</v>
      </c>
      <c r="B46" s="84" t="s">
        <v>48</v>
      </c>
      <c r="C46" s="190">
        <f>_xlfn.XLOOKUP(Table1[[#This Row],[MTP SKU Code]],'Audit Dimensions'!A:A,'Audit Dimensions'!C:C,0)</f>
        <v>160</v>
      </c>
      <c r="D46" s="190">
        <f>_xlfn.XLOOKUP(Table1[[#This Row],[MTP SKU Code]],'Audit Dimensions'!$A:$A,'Audit Dimensions'!D:D,0)</f>
        <v>34</v>
      </c>
      <c r="E46" s="190">
        <f>_xlfn.XLOOKUP(Table1[[#This Row],[MTP SKU Code]],'Audit Dimensions'!$A:$A,'Audit Dimensions'!E:E,0)</f>
        <v>10</v>
      </c>
      <c r="F46" s="190">
        <v>24500</v>
      </c>
      <c r="G46" s="190">
        <f>_xlfn.XLOOKUP(Table1[[#This Row],[MTP SKU Code]],'Audit Dimensions'!$A:$A,'Audit Dimensions'!G:G,0)</f>
        <v>0</v>
      </c>
      <c r="H46" s="190">
        <f>_xlfn.XLOOKUP(Table1[[#This Row],[MTP SKU Code]],'Audit Dimensions'!$A:$A,'Audit Dimensions'!H:H,0)</f>
        <v>0</v>
      </c>
      <c r="I46" s="190">
        <f>_xlfn.XLOOKUP(Table1[[#This Row],[MTP SKU Code]],'Audit Dimensions'!$A:$A,'Audit Dimensions'!I:I,0)</f>
        <v>0</v>
      </c>
      <c r="J46" s="190">
        <f>_xlfn.XLOOKUP(Table1[[#This Row],[MTP SKU Code]],'Audit Dimensions'!$A:$A,'Audit Dimensions'!J:J,0)</f>
        <v>0</v>
      </c>
      <c r="K46" s="190">
        <f>_xlfn.XLOOKUP(Table1[[#This Row],[MTP SKU Code]],'Audit Dimensions'!$A:$A,'Audit Dimensions'!K:K,0)</f>
        <v>0</v>
      </c>
      <c r="L46" s="190">
        <f>_xlfn.XLOOKUP(Table1[[#This Row],[MTP SKU Code]],'Audit Dimensions'!$A:$A,'Audit Dimensions'!L:L,0)</f>
        <v>0</v>
      </c>
      <c r="M46" s="190">
        <f>_xlfn.XLOOKUP(Table1[[#This Row],[MTP SKU Code]],'Audit Dimensions'!$A:$A,'Audit Dimensions'!M:M,0)</f>
        <v>0</v>
      </c>
      <c r="N46" s="190">
        <f>_xlfn.XLOOKUP(Table1[[#This Row],[MTP SKU Code]],'Audit Dimensions'!$A:$A,'Audit Dimensions'!N:N,0)</f>
        <v>0</v>
      </c>
      <c r="O46" s="118">
        <f>((IFERROR((C46*D46*E46),0)+IFERROR((G46*H46*I46),0)+IFERROR((K46*L46*M46),0))/1000000)*35.32</f>
        <v>1.921408</v>
      </c>
      <c r="P46" s="125">
        <f>Table1[[#This Row],[Column15]]*$P$2*1000</f>
        <v>11528.448</v>
      </c>
      <c r="Q46" s="87">
        <f>F46+J46+N46</f>
        <v>24500</v>
      </c>
      <c r="R46" s="86">
        <f>MAX(Q46,O46)</f>
        <v>24500</v>
      </c>
      <c r="S46" s="86">
        <f>MAX(R46,P46)</f>
        <v>24500</v>
      </c>
      <c r="T46" s="156" t="str">
        <f>VLOOKUP(A46,'[1]MTP SKUs - Master Data'!$A:$B,2,FALSE)</f>
        <v>Y</v>
      </c>
      <c r="U46" s="162">
        <f>_xlfn.IFNA(VLOOKUP(Table1[[#This Row],[MTP SKU Code]],'Audit Dimensions'!A:N,6,FALSE),"ARC")</f>
        <v>26000</v>
      </c>
      <c r="V46" s="162">
        <f>IFERROR(Table1[[#This Row],[B1.Aud]]-Table1[[#This Row],[PW(gm)]],"ERR")</f>
        <v>1500</v>
      </c>
      <c r="W46" s="165">
        <f>IFERROR(Table1[[#This Row],[B1.Diff]]/Table1[[#This Row],[B1.Aud]],"ERR")</f>
        <v>5.7692307692307696E-2</v>
      </c>
      <c r="X46" s="162">
        <f>_xlfn.IFNA(VLOOKUP(Table1[[#This Row],[MTP SKU Code]],'Audit Dimensions'!A:N,10,FALSE),"ARC")</f>
        <v>0</v>
      </c>
      <c r="Y46" s="163">
        <f>IFERROR(Table1[[#This Row],[B2.Aud]]-Table1[[#This Row],[PW(gm)5]],"ERR")</f>
        <v>0</v>
      </c>
      <c r="Z46" s="165" t="str">
        <f>IFERROR(Table1[[#This Row],[B2.Diff]]/Table1[[#This Row],[B2.Aud]],"NA")</f>
        <v>NA</v>
      </c>
      <c r="AA46" s="162">
        <f>_xlfn.IFNA(VLOOKUP(Table1[[#This Row],[MTP SKU Code]],'Audit Dimensions'!A:N,14,FALSE),"ARC")</f>
        <v>0</v>
      </c>
      <c r="AB46" s="161">
        <f>IFERROR(Table1[[#This Row],[B3.Aud]]-Table1[[#This Row],[PW(gm)9]],"ERR")</f>
        <v>0</v>
      </c>
      <c r="AC46" s="168">
        <f>IFERROR(Table1[[#This Row],[B3.Diff]]/Table1[[#This Row],[BaLL.Aud]],"ERR")</f>
        <v>0</v>
      </c>
      <c r="AD46" s="189">
        <f>_xlfn.IFNA(VLOOKUP(Table1[[#This Row],[MTP SKU Code]],'Audit Dimensions'!A:U,16,FALSE),"ARC")</f>
        <v>26000</v>
      </c>
      <c r="AE46" s="165">
        <f>IFERROR(1-Table1[[#This Row],[Gms]]/Table1[[#This Row],[BaLL.Aud]],"ERR")</f>
        <v>5.7692307692307709E-2</v>
      </c>
    </row>
    <row r="47" spans="1:31" hidden="1">
      <c r="A47" s="91" t="s">
        <v>92</v>
      </c>
      <c r="B47" s="84" t="s">
        <v>48</v>
      </c>
      <c r="C47" s="190">
        <f>_xlfn.XLOOKUP(Table1[[#This Row],[MTP SKU Code]],'Audit Dimensions'!A:A,'Audit Dimensions'!C:C,0)</f>
        <v>126</v>
      </c>
      <c r="D47" s="190">
        <f>_xlfn.XLOOKUP(Table1[[#This Row],[MTP SKU Code]],'Audit Dimensions'!$A:$A,'Audit Dimensions'!D:D,0)</f>
        <v>68</v>
      </c>
      <c r="E47" s="190">
        <f>_xlfn.XLOOKUP(Table1[[#This Row],[MTP SKU Code]],'Audit Dimensions'!$A:$A,'Audit Dimensions'!E:E,0)</f>
        <v>11</v>
      </c>
      <c r="F47" s="190">
        <v>46400</v>
      </c>
      <c r="G47" s="190">
        <f>_xlfn.XLOOKUP(Table1[[#This Row],[MTP SKU Code]],'Audit Dimensions'!$A:$A,'Audit Dimensions'!G:G,0)</f>
        <v>0</v>
      </c>
      <c r="H47" s="190">
        <f>_xlfn.XLOOKUP(Table1[[#This Row],[MTP SKU Code]],'Audit Dimensions'!$A:$A,'Audit Dimensions'!H:H,0)</f>
        <v>0</v>
      </c>
      <c r="I47" s="190">
        <f>_xlfn.XLOOKUP(Table1[[#This Row],[MTP SKU Code]],'Audit Dimensions'!$A:$A,'Audit Dimensions'!I:I,0)</f>
        <v>0</v>
      </c>
      <c r="J47" s="190">
        <f>_xlfn.XLOOKUP(Table1[[#This Row],[MTP SKU Code]],'Audit Dimensions'!$A:$A,'Audit Dimensions'!J:J,0)</f>
        <v>0</v>
      </c>
      <c r="K47" s="190">
        <f>_xlfn.XLOOKUP(Table1[[#This Row],[MTP SKU Code]],'Audit Dimensions'!$A:$A,'Audit Dimensions'!K:K,0)</f>
        <v>0</v>
      </c>
      <c r="L47" s="190">
        <f>_xlfn.XLOOKUP(Table1[[#This Row],[MTP SKU Code]],'Audit Dimensions'!$A:$A,'Audit Dimensions'!L:L,0)</f>
        <v>0</v>
      </c>
      <c r="M47" s="190">
        <f>_xlfn.XLOOKUP(Table1[[#This Row],[MTP SKU Code]],'Audit Dimensions'!$A:$A,'Audit Dimensions'!M:M,0)</f>
        <v>0</v>
      </c>
      <c r="N47" s="190">
        <f>_xlfn.XLOOKUP(Table1[[#This Row],[MTP SKU Code]],'Audit Dimensions'!$A:$A,'Audit Dimensions'!N:N,0)</f>
        <v>0</v>
      </c>
      <c r="O47" s="118">
        <f>((IFERROR((C47*D47*E47),0)+IFERROR((G47*H47*I47),0)+IFERROR((K47*L47*M47),0))/1000000)*35.32</f>
        <v>3.3288393599999999</v>
      </c>
      <c r="P47" s="125">
        <f>Table1[[#This Row],[Column15]]*$P$2*1000</f>
        <v>19973.03616</v>
      </c>
      <c r="Q47" s="87">
        <f>F47+J47+N47</f>
        <v>46400</v>
      </c>
      <c r="R47" s="86">
        <f>MAX(Q47,O47)</f>
        <v>46400</v>
      </c>
      <c r="S47" s="86">
        <f>MAX(R47,P47)</f>
        <v>46400</v>
      </c>
      <c r="T47" s="156" t="str">
        <f>VLOOKUP(A47,'[1]MTP SKUs - Master Data'!$A:$B,2,FALSE)</f>
        <v>RL</v>
      </c>
      <c r="U47" s="162">
        <f>_xlfn.IFNA(VLOOKUP(Table1[[#This Row],[MTP SKU Code]],'Audit Dimensions'!A:N,6,FALSE),"ARC")</f>
        <v>49600</v>
      </c>
      <c r="V47" s="162">
        <f>IFERROR(Table1[[#This Row],[B1.Aud]]-Table1[[#This Row],[PW(gm)]],"ERR")</f>
        <v>3200</v>
      </c>
      <c r="W47" s="165">
        <f>IFERROR(Table1[[#This Row],[B1.Diff]]/Table1[[#This Row],[B1.Aud]],"ERR")</f>
        <v>6.4516129032258063E-2</v>
      </c>
      <c r="X47" s="162">
        <f>_xlfn.IFNA(VLOOKUP(Table1[[#This Row],[MTP SKU Code]],'Audit Dimensions'!A:N,10,FALSE),"ARC")</f>
        <v>0</v>
      </c>
      <c r="Y47" s="163">
        <f>IFERROR(Table1[[#This Row],[B2.Aud]]-Table1[[#This Row],[PW(gm)5]],"ERR")</f>
        <v>0</v>
      </c>
      <c r="Z47" s="165" t="str">
        <f>IFERROR(Table1[[#This Row],[B2.Diff]]/Table1[[#This Row],[B2.Aud]],"NA")</f>
        <v>NA</v>
      </c>
      <c r="AA47" s="162">
        <f>_xlfn.IFNA(VLOOKUP(Table1[[#This Row],[MTP SKU Code]],'Audit Dimensions'!A:N,14,FALSE),"ARC")</f>
        <v>0</v>
      </c>
      <c r="AB47" s="161">
        <f>IFERROR(Table1[[#This Row],[B3.Aud]]-Table1[[#This Row],[PW(gm)9]],"ERR")</f>
        <v>0</v>
      </c>
      <c r="AC47" s="168">
        <f>IFERROR(Table1[[#This Row],[B3.Diff]]/Table1[[#This Row],[BaLL.Aud]],"ERR")</f>
        <v>0</v>
      </c>
      <c r="AD47" s="189">
        <f>_xlfn.IFNA(VLOOKUP(Table1[[#This Row],[MTP SKU Code]],'Audit Dimensions'!A:U,16,FALSE),"ARC")</f>
        <v>49600</v>
      </c>
      <c r="AE47" s="165">
        <f>IFERROR(1-Table1[[#This Row],[Gms]]/Table1[[#This Row],[BaLL.Aud]],"ERR")</f>
        <v>6.4516129032258118E-2</v>
      </c>
    </row>
    <row r="48" spans="1:31">
      <c r="A48" s="68" t="s">
        <v>93</v>
      </c>
      <c r="B48" s="84" t="s">
        <v>74</v>
      </c>
      <c r="C48" s="190">
        <f>_xlfn.XLOOKUP(Table1[[#This Row],[MTP SKU Code]],'Audit Dimensions'!A:A,'Audit Dimensions'!C:C,0)</f>
        <v>206</v>
      </c>
      <c r="D48" s="190">
        <f>_xlfn.XLOOKUP(Table1[[#This Row],[MTP SKU Code]],'Audit Dimensions'!$A:$A,'Audit Dimensions'!D:D,0)</f>
        <v>44</v>
      </c>
      <c r="E48" s="190">
        <f>_xlfn.XLOOKUP(Table1[[#This Row],[MTP SKU Code]],'Audit Dimensions'!$A:$A,'Audit Dimensions'!E:E,0)</f>
        <v>7</v>
      </c>
      <c r="F48" s="190">
        <v>32800</v>
      </c>
      <c r="G48" s="190">
        <f>_xlfn.XLOOKUP(Table1[[#This Row],[MTP SKU Code]],'Audit Dimensions'!$A:$A,'Audit Dimensions'!G:G,0)</f>
        <v>167</v>
      </c>
      <c r="H48" s="190">
        <f>_xlfn.XLOOKUP(Table1[[#This Row],[MTP SKU Code]],'Audit Dimensions'!$A:$A,'Audit Dimensions'!H:H,0)</f>
        <v>40</v>
      </c>
      <c r="I48" s="190">
        <f>_xlfn.XLOOKUP(Table1[[#This Row],[MTP SKU Code]],'Audit Dimensions'!$A:$A,'Audit Dimensions'!I:I,0)</f>
        <v>8</v>
      </c>
      <c r="J48" s="190">
        <v>19100</v>
      </c>
      <c r="K48" s="190">
        <f>_xlfn.XLOOKUP(Table1[[#This Row],[MTP SKU Code]],'Audit Dimensions'!$A:$A,'Audit Dimensions'!K:K,0)</f>
        <v>103</v>
      </c>
      <c r="L48" s="190">
        <f>_xlfn.XLOOKUP(Table1[[#This Row],[MTP SKU Code]],'Audit Dimensions'!$A:$A,'Audit Dimensions'!L:L,0)</f>
        <v>80</v>
      </c>
      <c r="M48" s="190">
        <f>_xlfn.XLOOKUP(Table1[[#This Row],[MTP SKU Code]],'Audit Dimensions'!$A:$A,'Audit Dimensions'!M:M,0)</f>
        <v>6</v>
      </c>
      <c r="N48" s="190">
        <v>33500</v>
      </c>
      <c r="O48" s="118">
        <f>((IFERROR((C48*D48*E48),0)+IFERROR((G48*H48*I48),0)+IFERROR((K48*L48*M48),0))/1000000)*35.32</f>
        <v>5.8747049599999999</v>
      </c>
      <c r="P48" s="125">
        <f>Table1[[#This Row],[Column15]]*$P$2*1000</f>
        <v>35248.229760000002</v>
      </c>
      <c r="Q48" s="87">
        <f>F48+J48+N48</f>
        <v>85400</v>
      </c>
      <c r="R48" s="86">
        <f>MAX(Q48,O48)</f>
        <v>85400</v>
      </c>
      <c r="S48" s="86">
        <f>MAX(R48,P48)</f>
        <v>85400</v>
      </c>
      <c r="T48" s="156" t="str">
        <f>VLOOKUP(A48,'[1]MTP SKUs - Master Data'!$A:$B,2,FALSE)</f>
        <v>Y</v>
      </c>
      <c r="U48" s="162">
        <f>_xlfn.IFNA(VLOOKUP(Table1[[#This Row],[MTP SKU Code]],'Audit Dimensions'!A:N,6,FALSE),"ARC")</f>
        <v>34200</v>
      </c>
      <c r="V48" s="162">
        <f>IFERROR(Table1[[#This Row],[B1.Aud]]-Table1[[#This Row],[PW(gm)]],"ERR")</f>
        <v>1400</v>
      </c>
      <c r="W48" s="165">
        <f>IFERROR(Table1[[#This Row],[B1.Diff]]/Table1[[#This Row],[B1.Aud]],"ERR")</f>
        <v>4.0935672514619881E-2</v>
      </c>
      <c r="X48" s="162">
        <f>_xlfn.IFNA(VLOOKUP(Table1[[#This Row],[MTP SKU Code]],'Audit Dimensions'!A:N,10,FALSE),"ARC")</f>
        <v>21650</v>
      </c>
      <c r="Y48" s="163">
        <f>IFERROR(Table1[[#This Row],[B2.Aud]]-Table1[[#This Row],[PW(gm)5]],"ERR")</f>
        <v>2550</v>
      </c>
      <c r="Z48" s="165">
        <f>IFERROR(Table1[[#This Row],[B2.Diff]]/Table1[[#This Row],[B2.Aud]],"NA")</f>
        <v>0.11778290993071594</v>
      </c>
      <c r="AA48" s="162">
        <f>_xlfn.IFNA(VLOOKUP(Table1[[#This Row],[MTP SKU Code]],'Audit Dimensions'!A:N,14,FALSE),"ARC")</f>
        <v>34300</v>
      </c>
      <c r="AB48" s="161">
        <f>IFERROR(Table1[[#This Row],[B3.Aud]]-Table1[[#This Row],[PW(gm)9]],"ERR")</f>
        <v>800</v>
      </c>
      <c r="AC48" s="168">
        <f>IFERROR(Table1[[#This Row],[B3.Diff]]/Table1[[#This Row],[BaLL.Aud]],"ERR")</f>
        <v>8.8740987243483092E-3</v>
      </c>
      <c r="AD48" s="189">
        <f>_xlfn.IFNA(VLOOKUP(Table1[[#This Row],[MTP SKU Code]],'Audit Dimensions'!A:U,16,FALSE),"ARC")</f>
        <v>90150</v>
      </c>
      <c r="AE48" s="165">
        <f>IFERROR(1-Table1[[#This Row],[Gms]]/Table1[[#This Row],[BaLL.Aud]],"ERR")</f>
        <v>5.2689961175818034E-2</v>
      </c>
    </row>
    <row r="49" spans="1:31">
      <c r="A49" s="68" t="s">
        <v>94</v>
      </c>
      <c r="B49" s="84" t="s">
        <v>74</v>
      </c>
      <c r="C49" s="190">
        <f>_xlfn.XLOOKUP(Table1[[#This Row],[MTP SKU Code]],'Audit Dimensions'!A:A,'Audit Dimensions'!C:C,0)</f>
        <v>127</v>
      </c>
      <c r="D49" s="190">
        <f>_xlfn.XLOOKUP(Table1[[#This Row],[MTP SKU Code]],'Audit Dimensions'!$A:$A,'Audit Dimensions'!D:D,0)</f>
        <v>53</v>
      </c>
      <c r="E49" s="190">
        <f>_xlfn.XLOOKUP(Table1[[#This Row],[MTP SKU Code]],'Audit Dimensions'!$A:$A,'Audit Dimensions'!E:E,0)</f>
        <v>9</v>
      </c>
      <c r="F49" s="190">
        <v>27400</v>
      </c>
      <c r="G49" s="190">
        <f>_xlfn.XLOOKUP(Table1[[#This Row],[MTP SKU Code]],'Audit Dimensions'!$A:$A,'Audit Dimensions'!G:G,0)</f>
        <v>180</v>
      </c>
      <c r="H49" s="190">
        <f>_xlfn.XLOOKUP(Table1[[#This Row],[MTP SKU Code]],'Audit Dimensions'!$A:$A,'Audit Dimensions'!H:H,0)</f>
        <v>47</v>
      </c>
      <c r="I49" s="190">
        <f>_xlfn.XLOOKUP(Table1[[#This Row],[MTP SKU Code]],'Audit Dimensions'!$A:$A,'Audit Dimensions'!I:I,0)</f>
        <v>11</v>
      </c>
      <c r="J49" s="190">
        <v>37600</v>
      </c>
      <c r="K49" s="190">
        <f>_xlfn.XLOOKUP(Table1[[#This Row],[MTP SKU Code]],'Audit Dimensions'!$A:$A,'Audit Dimensions'!K:K,0)</f>
        <v>187</v>
      </c>
      <c r="L49" s="190">
        <f>_xlfn.XLOOKUP(Table1[[#This Row],[MTP SKU Code]],'Audit Dimensions'!$A:$A,'Audit Dimensions'!L:L,0)</f>
        <v>51</v>
      </c>
      <c r="M49" s="190">
        <f>_xlfn.XLOOKUP(Table1[[#This Row],[MTP SKU Code]],'Audit Dimensions'!$A:$A,'Audit Dimensions'!M:M,0)</f>
        <v>10</v>
      </c>
      <c r="N49" s="190">
        <v>34750</v>
      </c>
      <c r="O49" s="118">
        <f>((IFERROR((C49*D49*E49),0)+IFERROR((G49*H49*I49),0)+IFERROR((K49*L49*M49),0))/1000000)*35.32</f>
        <v>8.7949978800000004</v>
      </c>
      <c r="P49" s="125">
        <f>Table1[[#This Row],[Column15]]*$P$2*1000</f>
        <v>52769.987280000001</v>
      </c>
      <c r="Q49" s="87">
        <f>F49+J49+N49</f>
        <v>99750</v>
      </c>
      <c r="R49" s="86">
        <f>MAX(Q49,O49)</f>
        <v>99750</v>
      </c>
      <c r="S49" s="86">
        <f>MAX(R49,P49)</f>
        <v>99750</v>
      </c>
      <c r="T49" s="156" t="str">
        <f>VLOOKUP(A49,'[1]MTP SKUs - Master Data'!$A:$B,2,FALSE)</f>
        <v>Y</v>
      </c>
      <c r="U49" s="162">
        <f>_xlfn.IFNA(VLOOKUP(Table1[[#This Row],[MTP SKU Code]],'Audit Dimensions'!A:N,6,FALSE),"ARC")</f>
        <v>29170</v>
      </c>
      <c r="V49" s="162">
        <f>IFERROR(Table1[[#This Row],[B1.Aud]]-Table1[[#This Row],[PW(gm)]],"ERR")</f>
        <v>1770</v>
      </c>
      <c r="W49" s="165">
        <f>IFERROR(Table1[[#This Row],[B1.Diff]]/Table1[[#This Row],[B1.Aud]],"ERR")</f>
        <v>6.0678779568049367E-2</v>
      </c>
      <c r="X49" s="162">
        <f>_xlfn.IFNA(VLOOKUP(Table1[[#This Row],[MTP SKU Code]],'Audit Dimensions'!A:N,10,FALSE),"ARC")</f>
        <v>39000</v>
      </c>
      <c r="Y49" s="163">
        <f>IFERROR(Table1[[#This Row],[B2.Aud]]-Table1[[#This Row],[PW(gm)5]],"ERR")</f>
        <v>1400</v>
      </c>
      <c r="Z49" s="165">
        <f>IFERROR(Table1[[#This Row],[B2.Diff]]/Table1[[#This Row],[B2.Aud]],"NA")</f>
        <v>3.5897435897435895E-2</v>
      </c>
      <c r="AA49" s="162">
        <f>_xlfn.IFNA(VLOOKUP(Table1[[#This Row],[MTP SKU Code]],'Audit Dimensions'!A:N,14,FALSE),"ARC")</f>
        <v>37600</v>
      </c>
      <c r="AB49" s="161">
        <f>IFERROR(Table1[[#This Row],[B3.Aud]]-Table1[[#This Row],[PW(gm)9]],"ERR")</f>
        <v>2850</v>
      </c>
      <c r="AC49" s="168">
        <f>IFERROR(Table1[[#This Row],[B3.Diff]]/Table1[[#This Row],[BaLL.Aud]],"ERR")</f>
        <v>2.6945258579937601E-2</v>
      </c>
      <c r="AD49" s="189">
        <f>_xlfn.IFNA(VLOOKUP(Table1[[#This Row],[MTP SKU Code]],'Audit Dimensions'!A:U,16,FALSE),"ARC")</f>
        <v>105770</v>
      </c>
      <c r="AE49" s="165">
        <f>IFERROR(1-Table1[[#This Row],[Gms]]/Table1[[#This Row],[BaLL.Aud]],"ERR")</f>
        <v>5.6915949702183943E-2</v>
      </c>
    </row>
    <row r="50" spans="1:31" s="49" customFormat="1">
      <c r="A50" s="68" t="s">
        <v>95</v>
      </c>
      <c r="B50" s="84" t="s">
        <v>48</v>
      </c>
      <c r="C50" s="190">
        <f>_xlfn.XLOOKUP(Table1[[#This Row],[MTP SKU Code]],'Audit Dimensions'!A:A,'Audit Dimensions'!C:C,0)</f>
        <v>126</v>
      </c>
      <c r="D50" s="190">
        <f>_xlfn.XLOOKUP(Table1[[#This Row],[MTP SKU Code]],'Audit Dimensions'!$A:$A,'Audit Dimensions'!D:D,0)</f>
        <v>41</v>
      </c>
      <c r="E50" s="190">
        <f>_xlfn.XLOOKUP(Table1[[#This Row],[MTP SKU Code]],'Audit Dimensions'!$A:$A,'Audit Dimensions'!E:E,0)</f>
        <v>20</v>
      </c>
      <c r="F50" s="190">
        <v>37500</v>
      </c>
      <c r="G50" s="190">
        <f>_xlfn.XLOOKUP(Table1[[#This Row],[MTP SKU Code]],'Audit Dimensions'!$A:$A,'Audit Dimensions'!G:G,0)</f>
        <v>0</v>
      </c>
      <c r="H50" s="190">
        <f>_xlfn.XLOOKUP(Table1[[#This Row],[MTP SKU Code]],'Audit Dimensions'!$A:$A,'Audit Dimensions'!H:H,0)</f>
        <v>0</v>
      </c>
      <c r="I50" s="190">
        <f>_xlfn.XLOOKUP(Table1[[#This Row],[MTP SKU Code]],'Audit Dimensions'!$A:$A,'Audit Dimensions'!I:I,0)</f>
        <v>0</v>
      </c>
      <c r="J50" s="190">
        <f>_xlfn.XLOOKUP(Table1[[#This Row],[MTP SKU Code]],'Audit Dimensions'!$A:$A,'Audit Dimensions'!J:J,0)</f>
        <v>0</v>
      </c>
      <c r="K50" s="190">
        <f>_xlfn.XLOOKUP(Table1[[#This Row],[MTP SKU Code]],'Audit Dimensions'!$A:$A,'Audit Dimensions'!K:K,0)</f>
        <v>0</v>
      </c>
      <c r="L50" s="190">
        <f>_xlfn.XLOOKUP(Table1[[#This Row],[MTP SKU Code]],'Audit Dimensions'!$A:$A,'Audit Dimensions'!L:L,0)</f>
        <v>0</v>
      </c>
      <c r="M50" s="190">
        <f>_xlfn.XLOOKUP(Table1[[#This Row],[MTP SKU Code]],'Audit Dimensions'!$A:$A,'Audit Dimensions'!M:M,0)</f>
        <v>0</v>
      </c>
      <c r="N50" s="190">
        <f>_xlfn.XLOOKUP(Table1[[#This Row],[MTP SKU Code]],'Audit Dimensions'!$A:$A,'Audit Dimensions'!N:N,0)</f>
        <v>0</v>
      </c>
      <c r="O50" s="118">
        <f>((IFERROR((C50*D50*E50),0)+IFERROR((G50*H50*I50),0)+IFERROR((K50*L50*M50),0))/1000000)*35.32</f>
        <v>3.6492624</v>
      </c>
      <c r="P50" s="125">
        <f>Table1[[#This Row],[Column15]]*$P$2*1000</f>
        <v>21895.574400000001</v>
      </c>
      <c r="Q50" s="87">
        <f>F50+J50+N50</f>
        <v>37500</v>
      </c>
      <c r="R50" s="88">
        <f>MAX(Q50,O50)</f>
        <v>37500</v>
      </c>
      <c r="S50" s="86">
        <f>MAX(R50,P50)</f>
        <v>37500</v>
      </c>
      <c r="T50" s="156" t="str">
        <f>VLOOKUP(A50,'[1]MTP SKUs - Master Data'!$A:$B,2,FALSE)</f>
        <v>Y</v>
      </c>
      <c r="U50" s="162">
        <f>_xlfn.IFNA(VLOOKUP(Table1[[#This Row],[MTP SKU Code]],'Audit Dimensions'!A:N,6,FALSE),"ARC")</f>
        <v>39050</v>
      </c>
      <c r="V50" s="162">
        <f>IFERROR(Table1[[#This Row],[B1.Aud]]-Table1[[#This Row],[PW(gm)]],"ERR")</f>
        <v>1550</v>
      </c>
      <c r="W50" s="165">
        <f>IFERROR(Table1[[#This Row],[B1.Diff]]/Table1[[#This Row],[B1.Aud]],"ERR")</f>
        <v>3.9692701664532648E-2</v>
      </c>
      <c r="X50" s="162">
        <f>_xlfn.IFNA(VLOOKUP(Table1[[#This Row],[MTP SKU Code]],'Audit Dimensions'!A:N,10,FALSE),"ARC")</f>
        <v>0</v>
      </c>
      <c r="Y50" s="163">
        <f>IFERROR(Table1[[#This Row],[B2.Aud]]-Table1[[#This Row],[PW(gm)5]],"ERR")</f>
        <v>0</v>
      </c>
      <c r="Z50" s="165" t="str">
        <f>IFERROR(Table1[[#This Row],[B2.Diff]]/Table1[[#This Row],[B2.Aud]],"NA")</f>
        <v>NA</v>
      </c>
      <c r="AA50" s="162">
        <f>_xlfn.IFNA(VLOOKUP(Table1[[#This Row],[MTP SKU Code]],'Audit Dimensions'!A:N,14,FALSE),"ARC")</f>
        <v>0</v>
      </c>
      <c r="AB50" s="161">
        <f>IFERROR(Table1[[#This Row],[B3.Aud]]-Table1[[#This Row],[PW(gm)9]],"ERR")</f>
        <v>0</v>
      </c>
      <c r="AC50" s="168">
        <f>IFERROR(Table1[[#This Row],[B3.Diff]]/Table1[[#This Row],[BaLL.Aud]],"ERR")</f>
        <v>0</v>
      </c>
      <c r="AD50" s="189">
        <f>_xlfn.IFNA(VLOOKUP(Table1[[#This Row],[MTP SKU Code]],'Audit Dimensions'!A:U,16,FALSE),"ARC")</f>
        <v>39050</v>
      </c>
      <c r="AE50" s="165">
        <f>IFERROR(1-Table1[[#This Row],[Gms]]/Table1[[#This Row],[BaLL.Aud]],"ERR")</f>
        <v>3.9692701664532648E-2</v>
      </c>
    </row>
    <row r="51" spans="1:31" s="49" customFormat="1" hidden="1">
      <c r="A51" s="98" t="s">
        <v>96</v>
      </c>
      <c r="B51" s="84" t="s">
        <v>74</v>
      </c>
      <c r="C51" s="190">
        <f>_xlfn.XLOOKUP(Table1[[#This Row],[MTP SKU Code]],'Audit Dimensions'!A:A,'Audit Dimensions'!C:C,0)</f>
        <v>146</v>
      </c>
      <c r="D51" s="190">
        <f>_xlfn.XLOOKUP(Table1[[#This Row],[MTP SKU Code]],'Audit Dimensions'!$A:$A,'Audit Dimensions'!D:D,0)</f>
        <v>48</v>
      </c>
      <c r="E51" s="190">
        <f>_xlfn.XLOOKUP(Table1[[#This Row],[MTP SKU Code]],'Audit Dimensions'!$A:$A,'Audit Dimensions'!E:E,0)</f>
        <v>9</v>
      </c>
      <c r="F51" s="190">
        <v>26000</v>
      </c>
      <c r="G51" s="190">
        <f>_xlfn.XLOOKUP(Table1[[#This Row],[MTP SKU Code]],'Audit Dimensions'!$A:$A,'Audit Dimensions'!G:G,0)</f>
        <v>179</v>
      </c>
      <c r="H51" s="190">
        <f>_xlfn.XLOOKUP(Table1[[#This Row],[MTP SKU Code]],'Audit Dimensions'!$A:$A,'Audit Dimensions'!H:H,0)</f>
        <v>40</v>
      </c>
      <c r="I51" s="190">
        <f>_xlfn.XLOOKUP(Table1[[#This Row],[MTP SKU Code]],'Audit Dimensions'!$A:$A,'Audit Dimensions'!I:I,0)</f>
        <v>9</v>
      </c>
      <c r="J51" s="190">
        <v>36500</v>
      </c>
      <c r="K51" s="190">
        <f>_xlfn.XLOOKUP(Table1[[#This Row],[MTP SKU Code]],'Audit Dimensions'!$A:$A,'Audit Dimensions'!K:K,0)</f>
        <v>185</v>
      </c>
      <c r="L51" s="190">
        <f>_xlfn.XLOOKUP(Table1[[#This Row],[MTP SKU Code]],'Audit Dimensions'!$A:$A,'Audit Dimensions'!L:L,0)</f>
        <v>48</v>
      </c>
      <c r="M51" s="190">
        <f>_xlfn.XLOOKUP(Table1[[#This Row],[MTP SKU Code]],'Audit Dimensions'!$A:$A,'Audit Dimensions'!M:M,0)</f>
        <v>10</v>
      </c>
      <c r="N51" s="190">
        <v>39000</v>
      </c>
      <c r="O51" s="118">
        <f>((IFERROR((C51*D51*E51),0)+IFERROR((G51*H51*I51),0)+IFERROR((K51*L51*M51),0))/1000000)*35.32</f>
        <v>7.6401398399999998</v>
      </c>
      <c r="P51" s="125">
        <f>Table1[[#This Row],[Column15]]*$P$2*1000</f>
        <v>45840.839039999999</v>
      </c>
      <c r="Q51" s="87">
        <f>F51+J51+N51</f>
        <v>101500</v>
      </c>
      <c r="R51" s="86">
        <f>MAX(Q51,O51)</f>
        <v>101500</v>
      </c>
      <c r="S51" s="86">
        <f>MAX(R51,P51)</f>
        <v>101500</v>
      </c>
      <c r="T51" s="156" t="str">
        <f>VLOOKUP(A51,'[1]MTP SKUs - Master Data'!$A:$B,2,FALSE)</f>
        <v>RL</v>
      </c>
      <c r="U51" s="162">
        <f>_xlfn.IFNA(VLOOKUP(Table1[[#This Row],[MTP SKU Code]],'Audit Dimensions'!A:N,6,FALSE),"ARC")</f>
        <v>27350</v>
      </c>
      <c r="V51" s="162">
        <f>IFERROR(Table1[[#This Row],[B1.Aud]]-Table1[[#This Row],[PW(gm)]],"ERR")</f>
        <v>1350</v>
      </c>
      <c r="W51" s="165">
        <f>IFERROR(Table1[[#This Row],[B1.Diff]]/Table1[[#This Row],[B1.Aud]],"ERR")</f>
        <v>4.9360146252285193E-2</v>
      </c>
      <c r="X51" s="162">
        <f>_xlfn.IFNA(VLOOKUP(Table1[[#This Row],[MTP SKU Code]],'Audit Dimensions'!A:N,10,FALSE),"ARC")</f>
        <v>38300</v>
      </c>
      <c r="Y51" s="163">
        <f>IFERROR(Table1[[#This Row],[B2.Aud]]-Table1[[#This Row],[PW(gm)5]],"ERR")</f>
        <v>1800</v>
      </c>
      <c r="Z51" s="165">
        <f>IFERROR(Table1[[#This Row],[B2.Diff]]/Table1[[#This Row],[B2.Aud]],"NA")</f>
        <v>4.6997389033942558E-2</v>
      </c>
      <c r="AA51" s="162">
        <f>_xlfn.IFNA(VLOOKUP(Table1[[#This Row],[MTP SKU Code]],'Audit Dimensions'!A:N,14,FALSE),"ARC")</f>
        <v>41050</v>
      </c>
      <c r="AB51" s="161">
        <f>IFERROR(Table1[[#This Row],[B3.Aud]]-Table1[[#This Row],[PW(gm)9]],"ERR")</f>
        <v>2050</v>
      </c>
      <c r="AC51" s="168">
        <f>IFERROR(Table1[[#This Row],[B3.Diff]]/Table1[[#This Row],[BaLL.Aud]],"ERR")</f>
        <v>1.9212746016869727E-2</v>
      </c>
      <c r="AD51" s="189">
        <f>_xlfn.IFNA(VLOOKUP(Table1[[#This Row],[MTP SKU Code]],'Audit Dimensions'!A:U,16,FALSE),"ARC")</f>
        <v>106700</v>
      </c>
      <c r="AE51" s="165">
        <f>IFERROR(1-Table1[[#This Row],[Gms]]/Table1[[#This Row],[BaLL.Aud]],"ERR")</f>
        <v>4.8734770384254888E-2</v>
      </c>
    </row>
    <row r="52" spans="1:31">
      <c r="A52" s="91" t="s">
        <v>97</v>
      </c>
      <c r="B52" s="84" t="s">
        <v>48</v>
      </c>
      <c r="C52" s="190">
        <f>_xlfn.XLOOKUP(Table1[[#This Row],[MTP SKU Code]],'Audit Dimensions'!A:A,'Audit Dimensions'!C:C,0)</f>
        <v>147</v>
      </c>
      <c r="D52" s="190">
        <f>_xlfn.XLOOKUP(Table1[[#This Row],[MTP SKU Code]],'Audit Dimensions'!$A:$A,'Audit Dimensions'!D:D,0)</f>
        <v>40</v>
      </c>
      <c r="E52" s="190">
        <f>_xlfn.XLOOKUP(Table1[[#This Row],[MTP SKU Code]],'Audit Dimensions'!$A:$A,'Audit Dimensions'!E:E,0)</f>
        <v>12</v>
      </c>
      <c r="F52" s="190">
        <v>34400</v>
      </c>
      <c r="G52" s="190">
        <f>_xlfn.XLOOKUP(Table1[[#This Row],[MTP SKU Code]],'Audit Dimensions'!$A:$A,'Audit Dimensions'!G:G,0)</f>
        <v>0</v>
      </c>
      <c r="H52" s="190">
        <f>_xlfn.XLOOKUP(Table1[[#This Row],[MTP SKU Code]],'Audit Dimensions'!$A:$A,'Audit Dimensions'!H:H,0)</f>
        <v>0</v>
      </c>
      <c r="I52" s="190">
        <f>_xlfn.XLOOKUP(Table1[[#This Row],[MTP SKU Code]],'Audit Dimensions'!$A:$A,'Audit Dimensions'!I:I,0)</f>
        <v>0</v>
      </c>
      <c r="J52" s="190">
        <f>_xlfn.XLOOKUP(Table1[[#This Row],[MTP SKU Code]],'Audit Dimensions'!$A:$A,'Audit Dimensions'!J:J,0)</f>
        <v>0</v>
      </c>
      <c r="K52" s="190">
        <f>_xlfn.XLOOKUP(Table1[[#This Row],[MTP SKU Code]],'Audit Dimensions'!$A:$A,'Audit Dimensions'!K:K,0)</f>
        <v>0</v>
      </c>
      <c r="L52" s="190">
        <f>_xlfn.XLOOKUP(Table1[[#This Row],[MTP SKU Code]],'Audit Dimensions'!$A:$A,'Audit Dimensions'!L:L,0)</f>
        <v>0</v>
      </c>
      <c r="M52" s="190">
        <f>_xlfn.XLOOKUP(Table1[[#This Row],[MTP SKU Code]],'Audit Dimensions'!$A:$A,'Audit Dimensions'!M:M,0)</f>
        <v>0</v>
      </c>
      <c r="N52" s="190">
        <f>_xlfn.XLOOKUP(Table1[[#This Row],[MTP SKU Code]],'Audit Dimensions'!$A:$A,'Audit Dimensions'!N:N,0)</f>
        <v>0</v>
      </c>
      <c r="O52" s="118">
        <f>((IFERROR((C52*D52*E52),0)+IFERROR((G52*H52*I52),0)+IFERROR((K52*L52*M52),0))/1000000)*35.32</f>
        <v>2.4921791999999998</v>
      </c>
      <c r="P52" s="125">
        <f>Table1[[#This Row],[Column15]]*$P$2*1000</f>
        <v>14953.075199999999</v>
      </c>
      <c r="Q52" s="87">
        <f>F52+J52+N52</f>
        <v>34400</v>
      </c>
      <c r="R52" s="86">
        <f>MAX(Q52,O52)</f>
        <v>34400</v>
      </c>
      <c r="S52" s="86">
        <f>MAX(R52,P52)</f>
        <v>34400</v>
      </c>
      <c r="T52" s="156" t="str">
        <f>VLOOKUP(A52,'[1]MTP SKUs - Master Data'!$A:$B,2,FALSE)</f>
        <v>Y</v>
      </c>
      <c r="U52" s="162">
        <f>_xlfn.IFNA(VLOOKUP(Table1[[#This Row],[MTP SKU Code]],'Audit Dimensions'!A:N,6,FALSE),"ARC")</f>
        <v>35800</v>
      </c>
      <c r="V52" s="162">
        <f>IFERROR(Table1[[#This Row],[B1.Aud]]-Table1[[#This Row],[PW(gm)]],"ERR")</f>
        <v>1400</v>
      </c>
      <c r="W52" s="165">
        <f>IFERROR(Table1[[#This Row],[B1.Diff]]/Table1[[#This Row],[B1.Aud]],"ERR")</f>
        <v>3.9106145251396648E-2</v>
      </c>
      <c r="X52" s="162">
        <f>_xlfn.IFNA(VLOOKUP(Table1[[#This Row],[MTP SKU Code]],'Audit Dimensions'!A:N,10,FALSE),"ARC")</f>
        <v>0</v>
      </c>
      <c r="Y52" s="163">
        <f>IFERROR(Table1[[#This Row],[B2.Aud]]-Table1[[#This Row],[PW(gm)5]],"ERR")</f>
        <v>0</v>
      </c>
      <c r="Z52" s="165" t="str">
        <f>IFERROR(Table1[[#This Row],[B2.Diff]]/Table1[[#This Row],[B2.Aud]],"NA")</f>
        <v>NA</v>
      </c>
      <c r="AA52" s="162">
        <f>_xlfn.IFNA(VLOOKUP(Table1[[#This Row],[MTP SKU Code]],'Audit Dimensions'!A:N,14,FALSE),"ARC")</f>
        <v>0</v>
      </c>
      <c r="AB52" s="161">
        <f>IFERROR(Table1[[#This Row],[B3.Aud]]-Table1[[#This Row],[PW(gm)9]],"ERR")</f>
        <v>0</v>
      </c>
      <c r="AC52" s="168">
        <f>IFERROR(Table1[[#This Row],[B3.Diff]]/Table1[[#This Row],[BaLL.Aud]],"ERR")</f>
        <v>0</v>
      </c>
      <c r="AD52" s="189">
        <f>_xlfn.IFNA(VLOOKUP(Table1[[#This Row],[MTP SKU Code]],'Audit Dimensions'!A:U,16,FALSE),"ARC")</f>
        <v>35800</v>
      </c>
      <c r="AE52" s="165">
        <f>IFERROR(1-Table1[[#This Row],[Gms]]/Table1[[#This Row],[BaLL.Aud]],"ERR")</f>
        <v>3.9106145251396662E-2</v>
      </c>
    </row>
    <row r="53" spans="1:31">
      <c r="A53" s="68" t="s">
        <v>98</v>
      </c>
      <c r="B53" s="84" t="s">
        <v>48</v>
      </c>
      <c r="C53" s="190">
        <f>_xlfn.XLOOKUP(Table1[[#This Row],[MTP SKU Code]],'Audit Dimensions'!A:A,'Audit Dimensions'!C:C,0)</f>
        <v>196</v>
      </c>
      <c r="D53" s="190">
        <f>_xlfn.XLOOKUP(Table1[[#This Row],[MTP SKU Code]],'Audit Dimensions'!$A:$A,'Audit Dimensions'!D:D,0)</f>
        <v>40</v>
      </c>
      <c r="E53" s="190">
        <f>_xlfn.XLOOKUP(Table1[[#This Row],[MTP SKU Code]],'Audit Dimensions'!$A:$A,'Audit Dimensions'!E:E,0)</f>
        <v>19</v>
      </c>
      <c r="F53" s="190">
        <v>31000</v>
      </c>
      <c r="G53" s="190">
        <f>_xlfn.XLOOKUP(Table1[[#This Row],[MTP SKU Code]],'Audit Dimensions'!$A:$A,'Audit Dimensions'!G:G,0)</f>
        <v>142</v>
      </c>
      <c r="H53" s="190">
        <f>_xlfn.XLOOKUP(Table1[[#This Row],[MTP SKU Code]],'Audit Dimensions'!$A:$A,'Audit Dimensions'!H:H,0)</f>
        <v>24</v>
      </c>
      <c r="I53" s="190">
        <f>_xlfn.XLOOKUP(Table1[[#This Row],[MTP SKU Code]],'Audit Dimensions'!$A:$A,'Audit Dimensions'!I:I,0)</f>
        <v>10</v>
      </c>
      <c r="J53" s="190">
        <v>16200</v>
      </c>
      <c r="K53" s="190">
        <f>_xlfn.XLOOKUP(Table1[[#This Row],[MTP SKU Code]],'Audit Dimensions'!$A:$A,'Audit Dimensions'!K:K,0)</f>
        <v>0</v>
      </c>
      <c r="L53" s="190">
        <f>_xlfn.XLOOKUP(Table1[[#This Row],[MTP SKU Code]],'Audit Dimensions'!$A:$A,'Audit Dimensions'!L:L,0)</f>
        <v>0</v>
      </c>
      <c r="M53" s="190">
        <f>_xlfn.XLOOKUP(Table1[[#This Row],[MTP SKU Code]],'Audit Dimensions'!$A:$A,'Audit Dimensions'!M:M,0)</f>
        <v>0</v>
      </c>
      <c r="N53" s="190">
        <f>_xlfn.XLOOKUP(Table1[[#This Row],[MTP SKU Code]],'Audit Dimensions'!$A:$A,'Audit Dimensions'!N:N,0)</f>
        <v>0</v>
      </c>
      <c r="O53" s="118">
        <f>((IFERROR((C53*D53*E53),0)+IFERROR((G53*H53*I53),0)+IFERROR((K53*L53*M53),0))/1000000)*35.32</f>
        <v>6.4649728</v>
      </c>
      <c r="P53" s="125">
        <f>Table1[[#This Row],[Column15]]*$P$2*1000</f>
        <v>38789.836800000005</v>
      </c>
      <c r="Q53" s="87">
        <f>F53+J53+N53</f>
        <v>47200</v>
      </c>
      <c r="R53" s="86">
        <f>MAX(Q53,O53)</f>
        <v>47200</v>
      </c>
      <c r="S53" s="86">
        <f>MAX(R53,P53)</f>
        <v>47200</v>
      </c>
      <c r="T53" s="156" t="str">
        <f>VLOOKUP(A53,'[1]MTP SKUs - Master Data'!$A:$B,2,FALSE)</f>
        <v>Y</v>
      </c>
      <c r="U53" s="162">
        <f>_xlfn.IFNA(VLOOKUP(Table1[[#This Row],[MTP SKU Code]],'Audit Dimensions'!A:N,6,FALSE),"ARC")</f>
        <v>32650</v>
      </c>
      <c r="V53" s="162">
        <f>IFERROR(Table1[[#This Row],[B1.Aud]]-Table1[[#This Row],[PW(gm)]],"ERR")</f>
        <v>1650</v>
      </c>
      <c r="W53" s="165">
        <f>IFERROR(Table1[[#This Row],[B1.Diff]]/Table1[[#This Row],[B1.Aud]],"ERR")</f>
        <v>5.0535987748851458E-2</v>
      </c>
      <c r="X53" s="162">
        <f>_xlfn.IFNA(VLOOKUP(Table1[[#This Row],[MTP SKU Code]],'Audit Dimensions'!A:N,10,FALSE),"ARC")</f>
        <v>17500</v>
      </c>
      <c r="Y53" s="163">
        <f>IFERROR(Table1[[#This Row],[B2.Aud]]-Table1[[#This Row],[PW(gm)5]],"ERR")</f>
        <v>1300</v>
      </c>
      <c r="Z53" s="165">
        <f>IFERROR(Table1[[#This Row],[B2.Diff]]/Table1[[#This Row],[B2.Aud]],"NA")</f>
        <v>7.4285714285714288E-2</v>
      </c>
      <c r="AA53" s="162">
        <f>_xlfn.IFNA(VLOOKUP(Table1[[#This Row],[MTP SKU Code]],'Audit Dimensions'!A:N,14,FALSE),"ARC")</f>
        <v>0</v>
      </c>
      <c r="AB53" s="161">
        <f>IFERROR(Table1[[#This Row],[B3.Aud]]-Table1[[#This Row],[PW(gm)9]],"ERR")</f>
        <v>0</v>
      </c>
      <c r="AC53" s="168">
        <f>IFERROR(Table1[[#This Row],[B3.Diff]]/Table1[[#This Row],[BaLL.Aud]],"ERR")</f>
        <v>0</v>
      </c>
      <c r="AD53" s="189">
        <f>_xlfn.IFNA(VLOOKUP(Table1[[#This Row],[MTP SKU Code]],'Audit Dimensions'!A:U,16,FALSE),"ARC")</f>
        <v>50150</v>
      </c>
      <c r="AE53" s="165">
        <f>IFERROR(1-Table1[[#This Row],[Gms]]/Table1[[#This Row],[BaLL.Aud]],"ERR")</f>
        <v>5.8823529411764719E-2</v>
      </c>
    </row>
    <row r="54" spans="1:31">
      <c r="A54" s="68" t="s">
        <v>99</v>
      </c>
      <c r="B54" s="84" t="s">
        <v>48</v>
      </c>
      <c r="C54" s="190">
        <f>_xlfn.XLOOKUP(Table1[[#This Row],[MTP SKU Code]],'Audit Dimensions'!A:A,'Audit Dimensions'!C:C,0)</f>
        <v>87</v>
      </c>
      <c r="D54" s="190">
        <f>_xlfn.XLOOKUP(Table1[[#This Row],[MTP SKU Code]],'Audit Dimensions'!$A:$A,'Audit Dimensions'!D:D,0)</f>
        <v>35</v>
      </c>
      <c r="E54" s="190">
        <f>_xlfn.XLOOKUP(Table1[[#This Row],[MTP SKU Code]],'Audit Dimensions'!$A:$A,'Audit Dimensions'!E:E,0)</f>
        <v>14</v>
      </c>
      <c r="F54" s="190">
        <v>34800</v>
      </c>
      <c r="G54" s="190">
        <f>_xlfn.XLOOKUP(Table1[[#This Row],[MTP SKU Code]],'Audit Dimensions'!$A:$A,'Audit Dimensions'!G:G,0)</f>
        <v>0</v>
      </c>
      <c r="H54" s="190">
        <f>_xlfn.XLOOKUP(Table1[[#This Row],[MTP SKU Code]],'Audit Dimensions'!$A:$A,'Audit Dimensions'!H:H,0)</f>
        <v>0</v>
      </c>
      <c r="I54" s="190">
        <f>_xlfn.XLOOKUP(Table1[[#This Row],[MTP SKU Code]],'Audit Dimensions'!$A:$A,'Audit Dimensions'!I:I,0)</f>
        <v>0</v>
      </c>
      <c r="J54" s="190">
        <f>_xlfn.XLOOKUP(Table1[[#This Row],[MTP SKU Code]],'Audit Dimensions'!$A:$A,'Audit Dimensions'!J:J,0)</f>
        <v>0</v>
      </c>
      <c r="K54" s="190">
        <f>_xlfn.XLOOKUP(Table1[[#This Row],[MTP SKU Code]],'Audit Dimensions'!$A:$A,'Audit Dimensions'!K:K,0)</f>
        <v>0</v>
      </c>
      <c r="L54" s="190">
        <f>_xlfn.XLOOKUP(Table1[[#This Row],[MTP SKU Code]],'Audit Dimensions'!$A:$A,'Audit Dimensions'!L:L,0)</f>
        <v>0</v>
      </c>
      <c r="M54" s="190">
        <f>_xlfn.XLOOKUP(Table1[[#This Row],[MTP SKU Code]],'Audit Dimensions'!$A:$A,'Audit Dimensions'!M:M,0)</f>
        <v>0</v>
      </c>
      <c r="N54" s="190">
        <f>_xlfn.XLOOKUP(Table1[[#This Row],[MTP SKU Code]],'Audit Dimensions'!$A:$A,'Audit Dimensions'!N:N,0)</f>
        <v>0</v>
      </c>
      <c r="O54" s="118">
        <f>((IFERROR((C54*D54*E54),0)+IFERROR((G54*H54*I54),0)+IFERROR((K54*L54*M54),0))/1000000)*35.32</f>
        <v>1.5056916</v>
      </c>
      <c r="P54" s="125">
        <f>Table1[[#This Row],[Column15]]*$P$2*1000</f>
        <v>9034.1495999999988</v>
      </c>
      <c r="Q54" s="87">
        <f>F54+J54+N54</f>
        <v>34800</v>
      </c>
      <c r="R54" s="88">
        <f>MAX(Q54,O54)</f>
        <v>34800</v>
      </c>
      <c r="S54" s="86">
        <f>MAX(R54,P54)</f>
        <v>34800</v>
      </c>
      <c r="T54" s="156" t="str">
        <f>VLOOKUP(A54,'[1]MTP SKUs - Master Data'!$A:$B,2,FALSE)</f>
        <v>Y</v>
      </c>
      <c r="U54" s="162">
        <f>_xlfn.IFNA(VLOOKUP(Table1[[#This Row],[MTP SKU Code]],'Audit Dimensions'!A:N,6,FALSE),"ARC")</f>
        <v>36800</v>
      </c>
      <c r="V54" s="162">
        <f>IFERROR(Table1[[#This Row],[B1.Aud]]-Table1[[#This Row],[PW(gm)]],"ERR")</f>
        <v>2000</v>
      </c>
      <c r="W54" s="165">
        <f>IFERROR(Table1[[#This Row],[B1.Diff]]/Table1[[#This Row],[B1.Aud]],"ERR")</f>
        <v>5.434782608695652E-2</v>
      </c>
      <c r="X54" s="162">
        <f>_xlfn.IFNA(VLOOKUP(Table1[[#This Row],[MTP SKU Code]],'Audit Dimensions'!A:N,10,FALSE),"ARC")</f>
        <v>0</v>
      </c>
      <c r="Y54" s="163">
        <f>IFERROR(Table1[[#This Row],[B2.Aud]]-Table1[[#This Row],[PW(gm)5]],"ERR")</f>
        <v>0</v>
      </c>
      <c r="Z54" s="165" t="str">
        <f>IFERROR(Table1[[#This Row],[B2.Diff]]/Table1[[#This Row],[B2.Aud]],"NA")</f>
        <v>NA</v>
      </c>
      <c r="AA54" s="162">
        <f>_xlfn.IFNA(VLOOKUP(Table1[[#This Row],[MTP SKU Code]],'Audit Dimensions'!A:N,14,FALSE),"ARC")</f>
        <v>0</v>
      </c>
      <c r="AB54" s="161">
        <f>IFERROR(Table1[[#This Row],[B3.Aud]]-Table1[[#This Row],[PW(gm)9]],"ERR")</f>
        <v>0</v>
      </c>
      <c r="AC54" s="168">
        <f>IFERROR(Table1[[#This Row],[B3.Diff]]/Table1[[#This Row],[BaLL.Aud]],"ERR")</f>
        <v>0</v>
      </c>
      <c r="AD54" s="189">
        <f>_xlfn.IFNA(VLOOKUP(Table1[[#This Row],[MTP SKU Code]],'Audit Dimensions'!A:U,16,FALSE),"ARC")</f>
        <v>36800</v>
      </c>
      <c r="AE54" s="165">
        <f>IFERROR(1-Table1[[#This Row],[Gms]]/Table1[[#This Row],[BaLL.Aud]],"ERR")</f>
        <v>5.4347826086956541E-2</v>
      </c>
    </row>
    <row r="55" spans="1:31" ht="12.4" customHeight="1">
      <c r="A55" s="68" t="s">
        <v>100</v>
      </c>
      <c r="B55" s="84" t="s">
        <v>48</v>
      </c>
      <c r="C55" s="190">
        <f>_xlfn.XLOOKUP(Table1[[#This Row],[MTP SKU Code]],'Audit Dimensions'!A:A,'Audit Dimensions'!C:C,0)</f>
        <v>97</v>
      </c>
      <c r="D55" s="190">
        <f>_xlfn.XLOOKUP(Table1[[#This Row],[MTP SKU Code]],'Audit Dimensions'!$A:$A,'Audit Dimensions'!D:D,0)</f>
        <v>26</v>
      </c>
      <c r="E55" s="190">
        <f>_xlfn.XLOOKUP(Table1[[#This Row],[MTP SKU Code]],'Audit Dimensions'!$A:$A,'Audit Dimensions'!E:E,0)</f>
        <v>10</v>
      </c>
      <c r="F55" s="190">
        <v>7800</v>
      </c>
      <c r="G55" s="190">
        <f>_xlfn.XLOOKUP(Table1[[#This Row],[MTP SKU Code]],'Audit Dimensions'!$A:$A,'Audit Dimensions'!G:G,0)</f>
        <v>0</v>
      </c>
      <c r="H55" s="190">
        <f>_xlfn.XLOOKUP(Table1[[#This Row],[MTP SKU Code]],'Audit Dimensions'!$A:$A,'Audit Dimensions'!H:H,0)</f>
        <v>0</v>
      </c>
      <c r="I55" s="190">
        <f>_xlfn.XLOOKUP(Table1[[#This Row],[MTP SKU Code]],'Audit Dimensions'!$A:$A,'Audit Dimensions'!I:I,0)</f>
        <v>0</v>
      </c>
      <c r="J55" s="190">
        <f>_xlfn.XLOOKUP(Table1[[#This Row],[MTP SKU Code]],'Audit Dimensions'!$A:$A,'Audit Dimensions'!J:J,0)</f>
        <v>0</v>
      </c>
      <c r="K55" s="190">
        <f>_xlfn.XLOOKUP(Table1[[#This Row],[MTP SKU Code]],'Audit Dimensions'!$A:$A,'Audit Dimensions'!K:K,0)</f>
        <v>0</v>
      </c>
      <c r="L55" s="190">
        <f>_xlfn.XLOOKUP(Table1[[#This Row],[MTP SKU Code]],'Audit Dimensions'!$A:$A,'Audit Dimensions'!L:L,0)</f>
        <v>0</v>
      </c>
      <c r="M55" s="190">
        <f>_xlfn.XLOOKUP(Table1[[#This Row],[MTP SKU Code]],'Audit Dimensions'!$A:$A,'Audit Dimensions'!M:M,0)</f>
        <v>0</v>
      </c>
      <c r="N55" s="190">
        <f>_xlfn.XLOOKUP(Table1[[#This Row],[MTP SKU Code]],'Audit Dimensions'!$A:$A,'Audit Dimensions'!N:N,0)</f>
        <v>0</v>
      </c>
      <c r="O55" s="118">
        <f>((IFERROR((C55*D55*E55),0)+IFERROR((G55*H55*I55),0)+IFERROR((K55*L55*M55),0))/1000000)*35.32</f>
        <v>0.89077039999999996</v>
      </c>
      <c r="P55" s="125">
        <f>Table1[[#This Row],[Column15]]*$P$2*1000</f>
        <v>5344.6223999999993</v>
      </c>
      <c r="Q55" s="87">
        <f>F55+J55+N55</f>
        <v>7800</v>
      </c>
      <c r="R55" s="86">
        <f>MAX(Q55,O55)</f>
        <v>7800</v>
      </c>
      <c r="S55" s="86">
        <f>MAX(R55,P55)</f>
        <v>7800</v>
      </c>
      <c r="T55" s="156" t="str">
        <f>VLOOKUP(A55,'[1]MTP SKUs - Master Data'!$A:$B,2,FALSE)</f>
        <v>Y</v>
      </c>
      <c r="U55" s="162">
        <f>_xlfn.IFNA(VLOOKUP(Table1[[#This Row],[MTP SKU Code]],'Audit Dimensions'!A:N,6,FALSE),"ARC")</f>
        <v>8550</v>
      </c>
      <c r="V55" s="162">
        <f>IFERROR(Table1[[#This Row],[B1.Aud]]-Table1[[#This Row],[PW(gm)]],"ERR")</f>
        <v>750</v>
      </c>
      <c r="W55" s="165">
        <f>IFERROR(Table1[[#This Row],[B1.Diff]]/Table1[[#This Row],[B1.Aud]],"ERR")</f>
        <v>8.771929824561403E-2</v>
      </c>
      <c r="X55" s="162">
        <f>_xlfn.IFNA(VLOOKUP(Table1[[#This Row],[MTP SKU Code]],'Audit Dimensions'!A:N,10,FALSE),"ARC")</f>
        <v>0</v>
      </c>
      <c r="Y55" s="163">
        <f>IFERROR(Table1[[#This Row],[B2.Aud]]-Table1[[#This Row],[PW(gm)5]],"ERR")</f>
        <v>0</v>
      </c>
      <c r="Z55" s="165" t="str">
        <f>IFERROR(Table1[[#This Row],[B2.Diff]]/Table1[[#This Row],[B2.Aud]],"NA")</f>
        <v>NA</v>
      </c>
      <c r="AA55" s="162">
        <f>_xlfn.IFNA(VLOOKUP(Table1[[#This Row],[MTP SKU Code]],'Audit Dimensions'!A:N,14,FALSE),"ARC")</f>
        <v>0</v>
      </c>
      <c r="AB55" s="161">
        <f>IFERROR(Table1[[#This Row],[B3.Aud]]-Table1[[#This Row],[PW(gm)9]],"ERR")</f>
        <v>0</v>
      </c>
      <c r="AC55" s="168">
        <f>IFERROR(Table1[[#This Row],[B3.Diff]]/Table1[[#This Row],[BaLL.Aud]],"ERR")</f>
        <v>0</v>
      </c>
      <c r="AD55" s="189">
        <f>_xlfn.IFNA(VLOOKUP(Table1[[#This Row],[MTP SKU Code]],'Audit Dimensions'!A:U,16,FALSE),"ARC")</f>
        <v>8550</v>
      </c>
      <c r="AE55" s="165">
        <f>IFERROR(1-Table1[[#This Row],[Gms]]/Table1[[#This Row],[BaLL.Aud]],"ERR")</f>
        <v>8.7719298245614086E-2</v>
      </c>
    </row>
    <row r="56" spans="1:31">
      <c r="A56" s="98" t="s">
        <v>101</v>
      </c>
      <c r="B56" s="84" t="s">
        <v>74</v>
      </c>
      <c r="C56" s="190">
        <f>_xlfn.XLOOKUP(Table1[[#This Row],[MTP SKU Code]],'Audit Dimensions'!A:A,'Audit Dimensions'!C:C,0)</f>
        <v>192</v>
      </c>
      <c r="D56" s="190">
        <f>_xlfn.XLOOKUP(Table1[[#This Row],[MTP SKU Code]],'Audit Dimensions'!$A:$A,'Audit Dimensions'!D:D,0)</f>
        <v>46</v>
      </c>
      <c r="E56" s="190">
        <f>_xlfn.XLOOKUP(Table1[[#This Row],[MTP SKU Code]],'Audit Dimensions'!$A:$A,'Audit Dimensions'!E:E,0)</f>
        <v>11</v>
      </c>
      <c r="F56" s="190">
        <v>47600</v>
      </c>
      <c r="G56" s="190">
        <f>_xlfn.XLOOKUP(Table1[[#This Row],[MTP SKU Code]],'Audit Dimensions'!$A:$A,'Audit Dimensions'!G:G,0)</f>
        <v>180</v>
      </c>
      <c r="H56" s="190">
        <f>_xlfn.XLOOKUP(Table1[[#This Row],[MTP SKU Code]],'Audit Dimensions'!$A:$A,'Audit Dimensions'!H:H,0)</f>
        <v>45</v>
      </c>
      <c r="I56" s="190">
        <f>_xlfn.XLOOKUP(Table1[[#This Row],[MTP SKU Code]],'Audit Dimensions'!$A:$A,'Audit Dimensions'!I:I,0)</f>
        <v>8</v>
      </c>
      <c r="J56" s="190">
        <v>27400</v>
      </c>
      <c r="K56" s="190">
        <f>_xlfn.XLOOKUP(Table1[[#This Row],[MTP SKU Code]],'Audit Dimensions'!$A:$A,'Audit Dimensions'!K:K,0)</f>
        <v>0</v>
      </c>
      <c r="L56" s="190">
        <f>_xlfn.XLOOKUP(Table1[[#This Row],[MTP SKU Code]],'Audit Dimensions'!$A:$A,'Audit Dimensions'!L:L,0)</f>
        <v>0</v>
      </c>
      <c r="M56" s="190">
        <f>_xlfn.XLOOKUP(Table1[[#This Row],[MTP SKU Code]],'Audit Dimensions'!$A:$A,'Audit Dimensions'!M:M,0)</f>
        <v>0</v>
      </c>
      <c r="N56" s="190">
        <f>_xlfn.XLOOKUP(Table1[[#This Row],[MTP SKU Code]],'Audit Dimensions'!$A:$A,'Audit Dimensions'!N:N,0)</f>
        <v>0</v>
      </c>
      <c r="O56" s="118">
        <f>((IFERROR((C56*D56*E56),0)+IFERROR((G56*H56*I56),0)+IFERROR((K56*L56*M56),0))/1000000)*35.32</f>
        <v>5.7201446400000009</v>
      </c>
      <c r="P56" s="125">
        <f>Table1[[#This Row],[Column15]]*$P$2*1000</f>
        <v>34320.867840000006</v>
      </c>
      <c r="Q56" s="87">
        <f>F56+J56+N56</f>
        <v>75000</v>
      </c>
      <c r="R56" s="86">
        <f>MAX(Q56,O56)</f>
        <v>75000</v>
      </c>
      <c r="S56" s="86">
        <f>MAX(R56,P56)</f>
        <v>75000</v>
      </c>
      <c r="T56" s="156" t="str">
        <f>VLOOKUP(A56,'[1]MTP SKUs - Master Data'!$A:$B,2,FALSE)</f>
        <v>Y</v>
      </c>
      <c r="U56" s="162">
        <f>_xlfn.IFNA(VLOOKUP(Table1[[#This Row],[MTP SKU Code]],'Audit Dimensions'!A:N,6,FALSE),"ARC")</f>
        <v>49000</v>
      </c>
      <c r="V56" s="162">
        <f>IFERROR(Table1[[#This Row],[B1.Aud]]-Table1[[#This Row],[PW(gm)]],"ERR")</f>
        <v>1400</v>
      </c>
      <c r="W56" s="165">
        <f>IFERROR(Table1[[#This Row],[B1.Diff]]/Table1[[#This Row],[B1.Aud]],"ERR")</f>
        <v>2.8571428571428571E-2</v>
      </c>
      <c r="X56" s="162">
        <f>_xlfn.IFNA(VLOOKUP(Table1[[#This Row],[MTP SKU Code]],'Audit Dimensions'!A:N,10,FALSE),"ARC")</f>
        <v>28900</v>
      </c>
      <c r="Y56" s="163">
        <f>IFERROR(Table1[[#This Row],[B2.Aud]]-Table1[[#This Row],[PW(gm)5]],"ERR")</f>
        <v>1500</v>
      </c>
      <c r="Z56" s="165">
        <f>IFERROR(Table1[[#This Row],[B2.Diff]]/Table1[[#This Row],[B2.Aud]],"NA")</f>
        <v>5.1903114186851208E-2</v>
      </c>
      <c r="AA56" s="162">
        <f>_xlfn.IFNA(VLOOKUP(Table1[[#This Row],[MTP SKU Code]],'Audit Dimensions'!A:N,14,FALSE),"ARC")</f>
        <v>0</v>
      </c>
      <c r="AB56" s="161">
        <f>IFERROR(Table1[[#This Row],[B3.Aud]]-Table1[[#This Row],[PW(gm)9]],"ERR")</f>
        <v>0</v>
      </c>
      <c r="AC56" s="168">
        <f>IFERROR(Table1[[#This Row],[B3.Diff]]/Table1[[#This Row],[BaLL.Aud]],"ERR")</f>
        <v>0</v>
      </c>
      <c r="AD56" s="189">
        <f>_xlfn.IFNA(VLOOKUP(Table1[[#This Row],[MTP SKU Code]],'Audit Dimensions'!A:U,16,FALSE),"ARC")</f>
        <v>77900</v>
      </c>
      <c r="AE56" s="165">
        <f>IFERROR(1-Table1[[#This Row],[Gms]]/Table1[[#This Row],[BaLL.Aud]],"ERR")</f>
        <v>3.7227214377406947E-2</v>
      </c>
    </row>
    <row r="57" spans="1:31">
      <c r="A57" s="68" t="s">
        <v>102</v>
      </c>
      <c r="B57" s="84" t="s">
        <v>48</v>
      </c>
      <c r="C57" s="190">
        <f>_xlfn.XLOOKUP(Table1[[#This Row],[MTP SKU Code]],'Audit Dimensions'!A:A,'Audit Dimensions'!C:C,0)</f>
        <v>128</v>
      </c>
      <c r="D57" s="190">
        <f>_xlfn.XLOOKUP(Table1[[#This Row],[MTP SKU Code]],'Audit Dimensions'!$A:$A,'Audit Dimensions'!D:D,0)</f>
        <v>65</v>
      </c>
      <c r="E57" s="190">
        <f>_xlfn.XLOOKUP(Table1[[#This Row],[MTP SKU Code]],'Audit Dimensions'!$A:$A,'Audit Dimensions'!E:E,0)</f>
        <v>8</v>
      </c>
      <c r="F57" s="190">
        <v>27700</v>
      </c>
      <c r="G57" s="190">
        <f>_xlfn.XLOOKUP(Table1[[#This Row],[MTP SKU Code]],'Audit Dimensions'!$A:$A,'Audit Dimensions'!G:G,0)</f>
        <v>0</v>
      </c>
      <c r="H57" s="190">
        <f>_xlfn.XLOOKUP(Table1[[#This Row],[MTP SKU Code]],'Audit Dimensions'!$A:$A,'Audit Dimensions'!H:H,0)</f>
        <v>0</v>
      </c>
      <c r="I57" s="190">
        <f>_xlfn.XLOOKUP(Table1[[#This Row],[MTP SKU Code]],'Audit Dimensions'!$A:$A,'Audit Dimensions'!I:I,0)</f>
        <v>0</v>
      </c>
      <c r="J57" s="190">
        <f>_xlfn.XLOOKUP(Table1[[#This Row],[MTP SKU Code]],'Audit Dimensions'!$A:$A,'Audit Dimensions'!J:J,0)</f>
        <v>0</v>
      </c>
      <c r="K57" s="190">
        <f>_xlfn.XLOOKUP(Table1[[#This Row],[MTP SKU Code]],'Audit Dimensions'!$A:$A,'Audit Dimensions'!K:K,0)</f>
        <v>0</v>
      </c>
      <c r="L57" s="190">
        <f>_xlfn.XLOOKUP(Table1[[#This Row],[MTP SKU Code]],'Audit Dimensions'!$A:$A,'Audit Dimensions'!L:L,0)</f>
        <v>0</v>
      </c>
      <c r="M57" s="190">
        <f>_xlfn.XLOOKUP(Table1[[#This Row],[MTP SKU Code]],'Audit Dimensions'!$A:$A,'Audit Dimensions'!M:M,0)</f>
        <v>0</v>
      </c>
      <c r="N57" s="190">
        <f>_xlfn.XLOOKUP(Table1[[#This Row],[MTP SKU Code]],'Audit Dimensions'!$A:$A,'Audit Dimensions'!N:N,0)</f>
        <v>0</v>
      </c>
      <c r="O57" s="118">
        <f>((IFERROR((C57*D57*E57),0)+IFERROR((G57*H57*I57),0)+IFERROR((K57*L57*M57),0))/1000000)*35.32</f>
        <v>2.3508991999999997</v>
      </c>
      <c r="P57" s="125">
        <f>Table1[[#This Row],[Column15]]*$P$2*1000</f>
        <v>14105.395199999999</v>
      </c>
      <c r="Q57" s="87">
        <f>F57+J57+N57</f>
        <v>27700</v>
      </c>
      <c r="R57" s="86">
        <f>MAX(Q57,O57)</f>
        <v>27700</v>
      </c>
      <c r="S57" s="86">
        <f>MAX(R57,P57)</f>
        <v>27700</v>
      </c>
      <c r="T57" s="156" t="str">
        <f>VLOOKUP(A57,'[1]MTP SKUs - Master Data'!$A:$B,2,FALSE)</f>
        <v>Y</v>
      </c>
      <c r="U57" s="162">
        <f>_xlfn.IFNA(VLOOKUP(Table1[[#This Row],[MTP SKU Code]],'Audit Dimensions'!A:N,6,FALSE),"ARC")</f>
        <v>29300</v>
      </c>
      <c r="V57" s="162">
        <f>IFERROR(Table1[[#This Row],[B1.Aud]]-Table1[[#This Row],[PW(gm)]],"ERR")</f>
        <v>1600</v>
      </c>
      <c r="W57" s="165">
        <f>IFERROR(Table1[[#This Row],[B1.Diff]]/Table1[[#This Row],[B1.Aud]],"ERR")</f>
        <v>5.4607508532423209E-2</v>
      </c>
      <c r="X57" s="162">
        <f>_xlfn.IFNA(VLOOKUP(Table1[[#This Row],[MTP SKU Code]],'Audit Dimensions'!A:N,10,FALSE),"ARC")</f>
        <v>0</v>
      </c>
      <c r="Y57" s="163">
        <f>IFERROR(Table1[[#This Row],[B2.Aud]]-Table1[[#This Row],[PW(gm)5]],"ERR")</f>
        <v>0</v>
      </c>
      <c r="Z57" s="165" t="str">
        <f>IFERROR(Table1[[#This Row],[B2.Diff]]/Table1[[#This Row],[B2.Aud]],"NA")</f>
        <v>NA</v>
      </c>
      <c r="AA57" s="162">
        <f>_xlfn.IFNA(VLOOKUP(Table1[[#This Row],[MTP SKU Code]],'Audit Dimensions'!A:N,14,FALSE),"ARC")</f>
        <v>0</v>
      </c>
      <c r="AB57" s="161">
        <f>IFERROR(Table1[[#This Row],[B3.Aud]]-Table1[[#This Row],[PW(gm)9]],"ERR")</f>
        <v>0</v>
      </c>
      <c r="AC57" s="168">
        <f>IFERROR(Table1[[#This Row],[B3.Diff]]/Table1[[#This Row],[BaLL.Aud]],"ERR")</f>
        <v>0</v>
      </c>
      <c r="AD57" s="189">
        <f>_xlfn.IFNA(VLOOKUP(Table1[[#This Row],[MTP SKU Code]],'Audit Dimensions'!A:U,16,FALSE),"ARC")</f>
        <v>29300</v>
      </c>
      <c r="AE57" s="165">
        <f>IFERROR(1-Table1[[#This Row],[Gms]]/Table1[[#This Row],[BaLL.Aud]],"ERR")</f>
        <v>5.4607508532423243E-2</v>
      </c>
    </row>
    <row r="58" spans="1:31">
      <c r="A58" s="68" t="s">
        <v>103</v>
      </c>
      <c r="B58" s="84" t="s">
        <v>48</v>
      </c>
      <c r="C58" s="190">
        <f>_xlfn.XLOOKUP(Table1[[#This Row],[MTP SKU Code]],'Audit Dimensions'!A:A,'Audit Dimensions'!C:C,0)</f>
        <v>149</v>
      </c>
      <c r="D58" s="190">
        <f>_xlfn.XLOOKUP(Table1[[#This Row],[MTP SKU Code]],'Audit Dimensions'!$A:$A,'Audit Dimensions'!D:D,0)</f>
        <v>36</v>
      </c>
      <c r="E58" s="190">
        <f>_xlfn.XLOOKUP(Table1[[#This Row],[MTP SKU Code]],'Audit Dimensions'!$A:$A,'Audit Dimensions'!E:E,0)</f>
        <v>6</v>
      </c>
      <c r="F58" s="190">
        <v>12800</v>
      </c>
      <c r="G58" s="190">
        <f>_xlfn.XLOOKUP(Table1[[#This Row],[MTP SKU Code]],'Audit Dimensions'!$A:$A,'Audit Dimensions'!G:G,0)</f>
        <v>0</v>
      </c>
      <c r="H58" s="190">
        <f>_xlfn.XLOOKUP(Table1[[#This Row],[MTP SKU Code]],'Audit Dimensions'!$A:$A,'Audit Dimensions'!H:H,0)</f>
        <v>0</v>
      </c>
      <c r="I58" s="190">
        <f>_xlfn.XLOOKUP(Table1[[#This Row],[MTP SKU Code]],'Audit Dimensions'!$A:$A,'Audit Dimensions'!I:I,0)</f>
        <v>0</v>
      </c>
      <c r="J58" s="190">
        <f>_xlfn.XLOOKUP(Table1[[#This Row],[MTP SKU Code]],'Audit Dimensions'!$A:$A,'Audit Dimensions'!J:J,0)</f>
        <v>0</v>
      </c>
      <c r="K58" s="190">
        <f>_xlfn.XLOOKUP(Table1[[#This Row],[MTP SKU Code]],'Audit Dimensions'!$A:$A,'Audit Dimensions'!K:K,0)</f>
        <v>0</v>
      </c>
      <c r="L58" s="190">
        <f>_xlfn.XLOOKUP(Table1[[#This Row],[MTP SKU Code]],'Audit Dimensions'!$A:$A,'Audit Dimensions'!L:L,0)</f>
        <v>0</v>
      </c>
      <c r="M58" s="190">
        <f>_xlfn.XLOOKUP(Table1[[#This Row],[MTP SKU Code]],'Audit Dimensions'!$A:$A,'Audit Dimensions'!M:M,0)</f>
        <v>0</v>
      </c>
      <c r="N58" s="190">
        <f>_xlfn.XLOOKUP(Table1[[#This Row],[MTP SKU Code]],'Audit Dimensions'!$A:$A,'Audit Dimensions'!N:N,0)</f>
        <v>0</v>
      </c>
      <c r="O58" s="118">
        <f>((IFERROR((C58*D58*E58),0)+IFERROR((G58*H58*I58),0)+IFERROR((K58*L58*M58),0))/1000000)*35.32</f>
        <v>1.13673888</v>
      </c>
      <c r="P58" s="125">
        <f>Table1[[#This Row],[Column15]]*$P$2*1000</f>
        <v>6820.4332799999993</v>
      </c>
      <c r="Q58" s="87">
        <f>F58+J58+N58</f>
        <v>12800</v>
      </c>
      <c r="R58" s="86">
        <f>MAX(Q58,O58)</f>
        <v>12800</v>
      </c>
      <c r="S58" s="86">
        <f>MAX(R58,P58)</f>
        <v>12800</v>
      </c>
      <c r="T58" s="156" t="str">
        <f>VLOOKUP(A58,'[1]MTP SKUs - Master Data'!$A:$B,2,FALSE)</f>
        <v>Y</v>
      </c>
      <c r="U58" s="162">
        <f>_xlfn.IFNA(VLOOKUP(Table1[[#This Row],[MTP SKU Code]],'Audit Dimensions'!A:N,6,FALSE),"ARC")</f>
        <v>14050</v>
      </c>
      <c r="V58" s="162">
        <f>IFERROR(Table1[[#This Row],[B1.Aud]]-Table1[[#This Row],[PW(gm)]],"ERR")</f>
        <v>1250</v>
      </c>
      <c r="W58" s="165">
        <f>IFERROR(Table1[[#This Row],[B1.Diff]]/Table1[[#This Row],[B1.Aud]],"ERR")</f>
        <v>8.8967971530249115E-2</v>
      </c>
      <c r="X58" s="162">
        <f>_xlfn.IFNA(VLOOKUP(Table1[[#This Row],[MTP SKU Code]],'Audit Dimensions'!A:N,10,FALSE),"ARC")</f>
        <v>0</v>
      </c>
      <c r="Y58" s="163">
        <f>IFERROR(Table1[[#This Row],[B2.Aud]]-Table1[[#This Row],[PW(gm)5]],"ERR")</f>
        <v>0</v>
      </c>
      <c r="Z58" s="165" t="str">
        <f>IFERROR(Table1[[#This Row],[B2.Diff]]/Table1[[#This Row],[B2.Aud]],"NA")</f>
        <v>NA</v>
      </c>
      <c r="AA58" s="162">
        <f>_xlfn.IFNA(VLOOKUP(Table1[[#This Row],[MTP SKU Code]],'Audit Dimensions'!A:N,14,FALSE),"ARC")</f>
        <v>0</v>
      </c>
      <c r="AB58" s="161">
        <f>IFERROR(Table1[[#This Row],[B3.Aud]]-Table1[[#This Row],[PW(gm)9]],"ERR")</f>
        <v>0</v>
      </c>
      <c r="AC58" s="168">
        <f>IFERROR(Table1[[#This Row],[B3.Diff]]/Table1[[#This Row],[BaLL.Aud]],"ERR")</f>
        <v>0</v>
      </c>
      <c r="AD58" s="189">
        <f>_xlfn.IFNA(VLOOKUP(Table1[[#This Row],[MTP SKU Code]],'Audit Dimensions'!A:U,16,FALSE),"ARC")</f>
        <v>14050</v>
      </c>
      <c r="AE58" s="165">
        <f>IFERROR(1-Table1[[#This Row],[Gms]]/Table1[[#This Row],[BaLL.Aud]],"ERR")</f>
        <v>8.8967971530249157E-2</v>
      </c>
    </row>
    <row r="59" spans="1:31" hidden="1">
      <c r="A59" s="68" t="s">
        <v>104</v>
      </c>
      <c r="B59" s="84" t="s">
        <v>48</v>
      </c>
      <c r="C59" s="85">
        <v>123</v>
      </c>
      <c r="D59" s="85">
        <v>56</v>
      </c>
      <c r="E59" s="85">
        <v>5</v>
      </c>
      <c r="F59" s="89">
        <v>24490</v>
      </c>
      <c r="G59" s="85"/>
      <c r="H59" s="85"/>
      <c r="I59" s="85"/>
      <c r="J59" s="85"/>
      <c r="K59" s="85"/>
      <c r="L59" s="85"/>
      <c r="M59" s="85"/>
      <c r="N59" s="85"/>
      <c r="O59" s="118">
        <f>((IFERROR((C59*D59*E59),0)+IFERROR((G59*H59*I59),0)+IFERROR((K59*L59*M59),0))/1000000)*35.32</f>
        <v>1.2164207999999999</v>
      </c>
      <c r="P59" s="125">
        <f>Table1[[#This Row],[Column15]]*$P$2*1000</f>
        <v>7298.5247999999992</v>
      </c>
      <c r="Q59" s="87">
        <f>F59+J59+N59</f>
        <v>24490</v>
      </c>
      <c r="R59" s="86">
        <f>MAX(Q59,O59)</f>
        <v>24490</v>
      </c>
      <c r="S59" s="86">
        <f>MAX(R59,P59)</f>
        <v>24490</v>
      </c>
      <c r="T59" s="156" t="str">
        <f>VLOOKUP(A59,'[1]MTP SKUs - Master Data'!$A:$B,2,FALSE)</f>
        <v>DI</v>
      </c>
      <c r="U59" s="162">
        <f>_xlfn.IFNA(VLOOKUP(Table1[[#This Row],[MTP SKU Code]],'Audit Dimensions'!A:N,6,FALSE),"ARC")</f>
        <v>24490</v>
      </c>
      <c r="V59" s="162">
        <f>IFERROR(Table1[[#This Row],[B1.Aud]]-Table1[[#This Row],[PW(gm)]],"ERR")</f>
        <v>0</v>
      </c>
      <c r="W59" s="165">
        <f>IFERROR(Table1[[#This Row],[B1.Diff]]/Table1[[#This Row],[B1.Aud]],"ERR")</f>
        <v>0</v>
      </c>
      <c r="X59" s="162">
        <f>_xlfn.IFNA(VLOOKUP(Table1[[#This Row],[MTP SKU Code]],'Audit Dimensions'!A:N,10,FALSE),"ARC")</f>
        <v>0</v>
      </c>
      <c r="Y59" s="163">
        <f>IFERROR(Table1[[#This Row],[B2.Aud]]-Table1[[#This Row],[PW(gm)5]],"ERR")</f>
        <v>0</v>
      </c>
      <c r="Z59" s="165" t="str">
        <f>IFERROR(Table1[[#This Row],[B2.Diff]]/Table1[[#This Row],[B2.Aud]],"NA")</f>
        <v>NA</v>
      </c>
      <c r="AA59" s="162">
        <f>_xlfn.IFNA(VLOOKUP(Table1[[#This Row],[MTP SKU Code]],'Audit Dimensions'!A:N,14,FALSE),"ARC")</f>
        <v>0</v>
      </c>
      <c r="AB59" s="161">
        <f>IFERROR(Table1[[#This Row],[B3.Aud]]-Table1[[#This Row],[PW(gm)9]],"ERR")</f>
        <v>0</v>
      </c>
      <c r="AC59" s="168">
        <f>IFERROR(Table1[[#This Row],[B3.Diff]]/Table1[[#This Row],[BaLL.Aud]],"ERR")</f>
        <v>0</v>
      </c>
      <c r="AD59" s="162">
        <f>_xlfn.IFNA(VLOOKUP(Table1[[#This Row],[MTP SKU Code]],'Audit Dimensions'!A:U,16,FALSE),"ARC")</f>
        <v>24490</v>
      </c>
      <c r="AE59" s="165">
        <f>IFERROR(1-Table1[[#This Row],[Gms]]/Table1[[#This Row],[BaLL.Aud]],"ERR")</f>
        <v>0</v>
      </c>
    </row>
    <row r="60" spans="1:31" hidden="1">
      <c r="A60" s="68" t="s">
        <v>105</v>
      </c>
      <c r="B60" s="84" t="s">
        <v>48</v>
      </c>
      <c r="C60" s="85">
        <v>67</v>
      </c>
      <c r="D60" s="85">
        <v>19</v>
      </c>
      <c r="E60" s="85">
        <v>10</v>
      </c>
      <c r="F60" s="89">
        <v>4300</v>
      </c>
      <c r="G60" s="85"/>
      <c r="H60" s="85"/>
      <c r="I60" s="85"/>
      <c r="J60" s="85"/>
      <c r="K60" s="85"/>
      <c r="L60" s="85"/>
      <c r="M60" s="85"/>
      <c r="N60" s="85"/>
      <c r="O60" s="118">
        <f>((IFERROR((C60*D60*E60),0)+IFERROR((G60*H60*I60),0)+IFERROR((K60*L60*M60),0))/1000000)*35.32</f>
        <v>0.44962360000000001</v>
      </c>
      <c r="P60" s="125">
        <f>Table1[[#This Row],[Column15]]*$P$2*1000</f>
        <v>2697.7416000000003</v>
      </c>
      <c r="Q60" s="87">
        <f>F60+J60+N60</f>
        <v>4300</v>
      </c>
      <c r="R60" s="86">
        <f>MAX(Q60,O60)</f>
        <v>4300</v>
      </c>
      <c r="S60" s="86">
        <f>MAX(R60,P60)</f>
        <v>4300</v>
      </c>
      <c r="T60" s="156" t="str">
        <f>VLOOKUP(A60,'[1]MTP SKUs - Master Data'!$A:$B,2,FALSE)</f>
        <v>DI</v>
      </c>
      <c r="U60" s="162">
        <f>_xlfn.IFNA(VLOOKUP(Table1[[#This Row],[MTP SKU Code]],'Audit Dimensions'!A:N,6,FALSE),"ARC")</f>
        <v>4300</v>
      </c>
      <c r="V60" s="162">
        <f>IFERROR(Table1[[#This Row],[B1.Aud]]-Table1[[#This Row],[PW(gm)]],"ERR")</f>
        <v>0</v>
      </c>
      <c r="W60" s="165">
        <f>IFERROR(Table1[[#This Row],[B1.Diff]]/Table1[[#This Row],[B1.Aud]],"ERR")</f>
        <v>0</v>
      </c>
      <c r="X60" s="162">
        <f>_xlfn.IFNA(VLOOKUP(Table1[[#This Row],[MTP SKU Code]],'Audit Dimensions'!A:N,10,FALSE),"ARC")</f>
        <v>0</v>
      </c>
      <c r="Y60" s="163">
        <f>IFERROR(Table1[[#This Row],[B2.Aud]]-Table1[[#This Row],[PW(gm)5]],"ERR")</f>
        <v>0</v>
      </c>
      <c r="Z60" s="165" t="str">
        <f>IFERROR(Table1[[#This Row],[B2.Diff]]/Table1[[#This Row],[B2.Aud]],"NA")</f>
        <v>NA</v>
      </c>
      <c r="AA60" s="162">
        <f>_xlfn.IFNA(VLOOKUP(Table1[[#This Row],[MTP SKU Code]],'Audit Dimensions'!A:N,14,FALSE),"ARC")</f>
        <v>0</v>
      </c>
      <c r="AB60" s="161">
        <f>IFERROR(Table1[[#This Row],[B3.Aud]]-Table1[[#This Row],[PW(gm)9]],"ERR")</f>
        <v>0</v>
      </c>
      <c r="AC60" s="168">
        <f>IFERROR(Table1[[#This Row],[B3.Diff]]/Table1[[#This Row],[BaLL.Aud]],"ERR")</f>
        <v>0</v>
      </c>
      <c r="AD60" s="162">
        <f>_xlfn.IFNA(VLOOKUP(Table1[[#This Row],[MTP SKU Code]],'Audit Dimensions'!A:U,16,FALSE),"ARC")</f>
        <v>4300</v>
      </c>
      <c r="AE60" s="165">
        <f>IFERROR(1-Table1[[#This Row],[Gms]]/Table1[[#This Row],[BaLL.Aud]],"ERR")</f>
        <v>0</v>
      </c>
    </row>
    <row r="61" spans="1:31" hidden="1">
      <c r="A61" s="68" t="s">
        <v>106</v>
      </c>
      <c r="B61" s="84" t="s">
        <v>48</v>
      </c>
      <c r="C61" s="85">
        <v>75</v>
      </c>
      <c r="D61" s="85">
        <v>36</v>
      </c>
      <c r="E61" s="85">
        <v>5</v>
      </c>
      <c r="F61" s="89">
        <v>3725</v>
      </c>
      <c r="G61" s="85"/>
      <c r="H61" s="85"/>
      <c r="I61" s="85"/>
      <c r="J61" s="85"/>
      <c r="K61" s="85"/>
      <c r="L61" s="85"/>
      <c r="M61" s="85"/>
      <c r="N61" s="85"/>
      <c r="O61" s="118">
        <f>((IFERROR((C61*D61*E61),0)+IFERROR((G61*H61*I61),0)+IFERROR((K61*L61*M61),0))/1000000)*35.32</f>
        <v>0.47682000000000002</v>
      </c>
      <c r="P61" s="125">
        <f>Table1[[#This Row],[Column15]]*$P$2*1000</f>
        <v>2860.92</v>
      </c>
      <c r="Q61" s="87">
        <f>F61+J61+N61</f>
        <v>3725</v>
      </c>
      <c r="R61" s="86">
        <f>MAX(Q61,O61)</f>
        <v>3725</v>
      </c>
      <c r="S61" s="86">
        <f>MAX(R61,P61)</f>
        <v>3725</v>
      </c>
      <c r="T61" s="156" t="str">
        <f>VLOOKUP(A61,'[1]MTP SKUs - Master Data'!$A:$B,2,FALSE)</f>
        <v>DI</v>
      </c>
      <c r="U61" s="162">
        <f>_xlfn.IFNA(VLOOKUP(Table1[[#This Row],[MTP SKU Code]],'Audit Dimensions'!A:N,6,FALSE),"ARC")</f>
        <v>3725</v>
      </c>
      <c r="V61" s="162">
        <f>IFERROR(Table1[[#This Row],[B1.Aud]]-Table1[[#This Row],[PW(gm)]],"ERR")</f>
        <v>0</v>
      </c>
      <c r="W61" s="165">
        <f>IFERROR(Table1[[#This Row],[B1.Diff]]/Table1[[#This Row],[B1.Aud]],"ERR")</f>
        <v>0</v>
      </c>
      <c r="X61" s="162">
        <f>_xlfn.IFNA(VLOOKUP(Table1[[#This Row],[MTP SKU Code]],'Audit Dimensions'!A:N,10,FALSE),"ARC")</f>
        <v>0</v>
      </c>
      <c r="Y61" s="163">
        <f>IFERROR(Table1[[#This Row],[B2.Aud]]-Table1[[#This Row],[PW(gm)5]],"ERR")</f>
        <v>0</v>
      </c>
      <c r="Z61" s="165" t="str">
        <f>IFERROR(Table1[[#This Row],[B2.Diff]]/Table1[[#This Row],[B2.Aud]],"NA")</f>
        <v>NA</v>
      </c>
      <c r="AA61" s="162">
        <f>_xlfn.IFNA(VLOOKUP(Table1[[#This Row],[MTP SKU Code]],'Audit Dimensions'!A:N,14,FALSE),"ARC")</f>
        <v>0</v>
      </c>
      <c r="AB61" s="161">
        <f>IFERROR(Table1[[#This Row],[B3.Aud]]-Table1[[#This Row],[PW(gm)9]],"ERR")</f>
        <v>0</v>
      </c>
      <c r="AC61" s="168">
        <f>IFERROR(Table1[[#This Row],[B3.Diff]]/Table1[[#This Row],[BaLL.Aud]],"ERR")</f>
        <v>0</v>
      </c>
      <c r="AD61" s="162">
        <f>_xlfn.IFNA(VLOOKUP(Table1[[#This Row],[MTP SKU Code]],'Audit Dimensions'!A:U,16,FALSE),"ARC")</f>
        <v>3725</v>
      </c>
      <c r="AE61" s="165">
        <f>IFERROR(1-Table1[[#This Row],[Gms]]/Table1[[#This Row],[BaLL.Aud]],"ERR")</f>
        <v>0</v>
      </c>
    </row>
    <row r="62" spans="1:31">
      <c r="A62" s="91" t="s">
        <v>107</v>
      </c>
      <c r="B62" s="84" t="s">
        <v>48</v>
      </c>
      <c r="C62" s="190">
        <f>_xlfn.XLOOKUP(Table1[[#This Row],[MTP SKU Code]],'Audit Dimensions'!A:A,'Audit Dimensions'!C:C,0)</f>
        <v>165</v>
      </c>
      <c r="D62" s="190">
        <f>_xlfn.XLOOKUP(Table1[[#This Row],[MTP SKU Code]],'Audit Dimensions'!$A:$A,'Audit Dimensions'!D:D,0)</f>
        <v>30</v>
      </c>
      <c r="E62" s="190">
        <f>_xlfn.XLOOKUP(Table1[[#This Row],[MTP SKU Code]],'Audit Dimensions'!$A:$A,'Audit Dimensions'!E:E,0)</f>
        <v>8</v>
      </c>
      <c r="F62" s="190">
        <v>14890</v>
      </c>
      <c r="G62" s="190">
        <f>_xlfn.XLOOKUP(Table1[[#This Row],[MTP SKU Code]],'Audit Dimensions'!$A:$A,'Audit Dimensions'!G:G,0)</f>
        <v>0</v>
      </c>
      <c r="H62" s="190">
        <f>_xlfn.XLOOKUP(Table1[[#This Row],[MTP SKU Code]],'Audit Dimensions'!$A:$A,'Audit Dimensions'!H:H,0)</f>
        <v>0</v>
      </c>
      <c r="I62" s="190">
        <f>_xlfn.XLOOKUP(Table1[[#This Row],[MTP SKU Code]],'Audit Dimensions'!$A:$A,'Audit Dimensions'!I:I,0)</f>
        <v>0</v>
      </c>
      <c r="J62" s="190">
        <f>_xlfn.XLOOKUP(Table1[[#This Row],[MTP SKU Code]],'Audit Dimensions'!$A:$A,'Audit Dimensions'!J:J,0)</f>
        <v>0</v>
      </c>
      <c r="K62" s="190">
        <f>_xlfn.XLOOKUP(Table1[[#This Row],[MTP SKU Code]],'Audit Dimensions'!$A:$A,'Audit Dimensions'!K:K,0)</f>
        <v>0</v>
      </c>
      <c r="L62" s="190">
        <f>_xlfn.XLOOKUP(Table1[[#This Row],[MTP SKU Code]],'Audit Dimensions'!$A:$A,'Audit Dimensions'!L:L,0)</f>
        <v>0</v>
      </c>
      <c r="M62" s="190">
        <f>_xlfn.XLOOKUP(Table1[[#This Row],[MTP SKU Code]],'Audit Dimensions'!$A:$A,'Audit Dimensions'!M:M,0)</f>
        <v>0</v>
      </c>
      <c r="N62" s="190">
        <f>_xlfn.XLOOKUP(Table1[[#This Row],[MTP SKU Code]],'Audit Dimensions'!$A:$A,'Audit Dimensions'!N:N,0)</f>
        <v>0</v>
      </c>
      <c r="O62" s="118">
        <f>((IFERROR((C62*D62*E62),0)+IFERROR((G62*H62*I62),0)+IFERROR((K62*L62*M62),0))/1000000)*35.32</f>
        <v>1.3986720000000001</v>
      </c>
      <c r="P62" s="125">
        <f>Table1[[#This Row],[Column15]]*$P$2*1000</f>
        <v>8392.0320000000011</v>
      </c>
      <c r="Q62" s="87">
        <f>F62+J62+N62</f>
        <v>14890</v>
      </c>
      <c r="R62" s="86">
        <f>MAX(Q62,O62)</f>
        <v>14890</v>
      </c>
      <c r="S62" s="86">
        <f>MAX(R62,P62)</f>
        <v>14890</v>
      </c>
      <c r="T62" s="156" t="str">
        <f>VLOOKUP(A62,'[1]MTP SKUs - Master Data'!$A:$B,2,FALSE)</f>
        <v>Y</v>
      </c>
      <c r="U62" s="162">
        <f>_xlfn.IFNA(VLOOKUP(Table1[[#This Row],[MTP SKU Code]],'Audit Dimensions'!A:N,6,FALSE),"ARC")</f>
        <v>15150</v>
      </c>
      <c r="V62" s="162">
        <f>IFERROR(Table1[[#This Row],[B1.Aud]]-Table1[[#This Row],[PW(gm)]],"ERR")</f>
        <v>260</v>
      </c>
      <c r="W62" s="165">
        <f>IFERROR(Table1[[#This Row],[B1.Diff]]/Table1[[#This Row],[B1.Aud]],"ERR")</f>
        <v>1.7161716171617162E-2</v>
      </c>
      <c r="X62" s="162">
        <f>_xlfn.IFNA(VLOOKUP(Table1[[#This Row],[MTP SKU Code]],'Audit Dimensions'!A:N,10,FALSE),"ARC")</f>
        <v>0</v>
      </c>
      <c r="Y62" s="163">
        <f>IFERROR(Table1[[#This Row],[B2.Aud]]-Table1[[#This Row],[PW(gm)5]],"ERR")</f>
        <v>0</v>
      </c>
      <c r="Z62" s="165" t="str">
        <f>IFERROR(Table1[[#This Row],[B2.Diff]]/Table1[[#This Row],[B2.Aud]],"NA")</f>
        <v>NA</v>
      </c>
      <c r="AA62" s="162">
        <f>_xlfn.IFNA(VLOOKUP(Table1[[#This Row],[MTP SKU Code]],'Audit Dimensions'!A:N,14,FALSE),"ARC")</f>
        <v>0</v>
      </c>
      <c r="AB62" s="161">
        <f>IFERROR(Table1[[#This Row],[B3.Aud]]-Table1[[#This Row],[PW(gm)9]],"ERR")</f>
        <v>0</v>
      </c>
      <c r="AC62" s="168">
        <f>IFERROR(Table1[[#This Row],[B3.Diff]]/Table1[[#This Row],[BaLL.Aud]],"ERR")</f>
        <v>0</v>
      </c>
      <c r="AD62" s="189">
        <f>_xlfn.IFNA(VLOOKUP(Table1[[#This Row],[MTP SKU Code]],'Audit Dimensions'!A:U,16,FALSE),"ARC")</f>
        <v>15150</v>
      </c>
      <c r="AE62" s="165">
        <f>IFERROR(1-Table1[[#This Row],[Gms]]/Table1[[#This Row],[BaLL.Aud]],"ERR")</f>
        <v>1.7161716171617214E-2</v>
      </c>
    </row>
    <row r="63" spans="1:31">
      <c r="A63" s="68" t="s">
        <v>108</v>
      </c>
      <c r="B63" s="84" t="s">
        <v>48</v>
      </c>
      <c r="C63" s="190">
        <f>_xlfn.XLOOKUP(Table1[[#This Row],[MTP SKU Code]],'Audit Dimensions'!A:A,'Audit Dimensions'!C:C,0)</f>
        <v>102</v>
      </c>
      <c r="D63" s="190">
        <f>_xlfn.XLOOKUP(Table1[[#This Row],[MTP SKU Code]],'Audit Dimensions'!$A:$A,'Audit Dimensions'!D:D,0)</f>
        <v>56</v>
      </c>
      <c r="E63" s="190">
        <f>_xlfn.XLOOKUP(Table1[[#This Row],[MTP SKU Code]],'Audit Dimensions'!$A:$A,'Audit Dimensions'!E:E,0)</f>
        <v>5</v>
      </c>
      <c r="F63" s="190">
        <v>9800</v>
      </c>
      <c r="G63" s="190">
        <f>_xlfn.XLOOKUP(Table1[[#This Row],[MTP SKU Code]],'Audit Dimensions'!$A:$A,'Audit Dimensions'!G:G,0)</f>
        <v>0</v>
      </c>
      <c r="H63" s="190">
        <f>_xlfn.XLOOKUP(Table1[[#This Row],[MTP SKU Code]],'Audit Dimensions'!$A:$A,'Audit Dimensions'!H:H,0)</f>
        <v>0</v>
      </c>
      <c r="I63" s="190">
        <f>_xlfn.XLOOKUP(Table1[[#This Row],[MTP SKU Code]],'Audit Dimensions'!$A:$A,'Audit Dimensions'!I:I,0)</f>
        <v>0</v>
      </c>
      <c r="J63" s="190">
        <f>_xlfn.XLOOKUP(Table1[[#This Row],[MTP SKU Code]],'Audit Dimensions'!$A:$A,'Audit Dimensions'!J:J,0)</f>
        <v>0</v>
      </c>
      <c r="K63" s="190">
        <f>_xlfn.XLOOKUP(Table1[[#This Row],[MTP SKU Code]],'Audit Dimensions'!$A:$A,'Audit Dimensions'!K:K,0)</f>
        <v>0</v>
      </c>
      <c r="L63" s="190">
        <f>_xlfn.XLOOKUP(Table1[[#This Row],[MTP SKU Code]],'Audit Dimensions'!$A:$A,'Audit Dimensions'!L:L,0)</f>
        <v>0</v>
      </c>
      <c r="M63" s="190">
        <f>_xlfn.XLOOKUP(Table1[[#This Row],[MTP SKU Code]],'Audit Dimensions'!$A:$A,'Audit Dimensions'!M:M,0)</f>
        <v>0</v>
      </c>
      <c r="N63" s="190">
        <f>_xlfn.XLOOKUP(Table1[[#This Row],[MTP SKU Code]],'Audit Dimensions'!$A:$A,'Audit Dimensions'!N:N,0)</f>
        <v>0</v>
      </c>
      <c r="O63" s="118">
        <f>((IFERROR((C63*D63*E63),0)+IFERROR((G63*H63*I63),0)+IFERROR((K63*L63*M63),0))/1000000)*35.32</f>
        <v>1.0087391999999999</v>
      </c>
      <c r="P63" s="125">
        <f>Table1[[#This Row],[Column15]]*$P$2*1000</f>
        <v>6052.4351999999999</v>
      </c>
      <c r="Q63" s="87">
        <f>F63+J63+N63</f>
        <v>9800</v>
      </c>
      <c r="R63" s="86">
        <f>MAX(Q63,O63)</f>
        <v>9800</v>
      </c>
      <c r="S63" s="86">
        <f>MAX(R63,P63)</f>
        <v>9800</v>
      </c>
      <c r="T63" s="156" t="str">
        <f>VLOOKUP(A63,'[1]MTP SKUs - Master Data'!$A:$B,2,FALSE)</f>
        <v>Y</v>
      </c>
      <c r="U63" s="162">
        <f>_xlfn.IFNA(VLOOKUP(Table1[[#This Row],[MTP SKU Code]],'Audit Dimensions'!A:N,6,FALSE),"ARC")</f>
        <v>10650</v>
      </c>
      <c r="V63" s="162">
        <f>IFERROR(Table1[[#This Row],[B1.Aud]]-Table1[[#This Row],[PW(gm)]],"ERR")</f>
        <v>850</v>
      </c>
      <c r="W63" s="165">
        <f>IFERROR(Table1[[#This Row],[B1.Diff]]/Table1[[#This Row],[B1.Aud]],"ERR")</f>
        <v>7.9812206572769953E-2</v>
      </c>
      <c r="X63" s="162">
        <f>_xlfn.IFNA(VLOOKUP(Table1[[#This Row],[MTP SKU Code]],'Audit Dimensions'!A:N,10,FALSE),"ARC")</f>
        <v>0</v>
      </c>
      <c r="Y63" s="163">
        <f>IFERROR(Table1[[#This Row],[B2.Aud]]-Table1[[#This Row],[PW(gm)5]],"ERR")</f>
        <v>0</v>
      </c>
      <c r="Z63" s="165" t="str">
        <f>IFERROR(Table1[[#This Row],[B2.Diff]]/Table1[[#This Row],[B2.Aud]],"NA")</f>
        <v>NA</v>
      </c>
      <c r="AA63" s="162">
        <f>_xlfn.IFNA(VLOOKUP(Table1[[#This Row],[MTP SKU Code]],'Audit Dimensions'!A:N,14,FALSE),"ARC")</f>
        <v>0</v>
      </c>
      <c r="AB63" s="161">
        <f>IFERROR(Table1[[#This Row],[B3.Aud]]-Table1[[#This Row],[PW(gm)9]],"ERR")</f>
        <v>0</v>
      </c>
      <c r="AC63" s="168">
        <f>IFERROR(Table1[[#This Row],[B3.Diff]]/Table1[[#This Row],[BaLL.Aud]],"ERR")</f>
        <v>0</v>
      </c>
      <c r="AD63" s="189">
        <f>_xlfn.IFNA(VLOOKUP(Table1[[#This Row],[MTP SKU Code]],'Audit Dimensions'!A:U,16,FALSE),"ARC")</f>
        <v>10650</v>
      </c>
      <c r="AE63" s="165">
        <f>IFERROR(1-Table1[[#This Row],[Gms]]/Table1[[#This Row],[BaLL.Aud]],"ERR")</f>
        <v>7.9812206572769995E-2</v>
      </c>
    </row>
    <row r="64" spans="1:31" ht="12.4" customHeight="1">
      <c r="A64" s="68" t="s">
        <v>109</v>
      </c>
      <c r="B64" s="84" t="s">
        <v>74</v>
      </c>
      <c r="C64" s="190">
        <f>_xlfn.XLOOKUP(Table1[[#This Row],[MTP SKU Code]],'Audit Dimensions'!A:A,'Audit Dimensions'!C:C,0)</f>
        <v>122</v>
      </c>
      <c r="D64" s="190">
        <f>_xlfn.XLOOKUP(Table1[[#This Row],[MTP SKU Code]],'Audit Dimensions'!$A:$A,'Audit Dimensions'!D:D,0)</f>
        <v>51</v>
      </c>
      <c r="E64" s="190">
        <f>_xlfn.XLOOKUP(Table1[[#This Row],[MTP SKU Code]],'Audit Dimensions'!$A:$A,'Audit Dimensions'!E:E,0)</f>
        <v>12</v>
      </c>
      <c r="F64" s="190">
        <v>32000</v>
      </c>
      <c r="G64" s="190">
        <f>_xlfn.XLOOKUP(Table1[[#This Row],[MTP SKU Code]],'Audit Dimensions'!$A:$A,'Audit Dimensions'!G:G,0)</f>
        <v>184</v>
      </c>
      <c r="H64" s="190">
        <f>_xlfn.XLOOKUP(Table1[[#This Row],[MTP SKU Code]],'Audit Dimensions'!$A:$A,'Audit Dimensions'!H:H,0)</f>
        <v>53</v>
      </c>
      <c r="I64" s="190">
        <f>_xlfn.XLOOKUP(Table1[[#This Row],[MTP SKU Code]],'Audit Dimensions'!$A:$A,'Audit Dimensions'!I:I,0)</f>
        <v>10</v>
      </c>
      <c r="J64" s="190">
        <v>41000</v>
      </c>
      <c r="K64" s="190">
        <f>_xlfn.XLOOKUP(Table1[[#This Row],[MTP SKU Code]],'Audit Dimensions'!$A:$A,'Audit Dimensions'!K:K,0)</f>
        <v>0</v>
      </c>
      <c r="L64" s="190">
        <f>_xlfn.XLOOKUP(Table1[[#This Row],[MTP SKU Code]],'Audit Dimensions'!$A:$A,'Audit Dimensions'!L:L,0)</f>
        <v>0</v>
      </c>
      <c r="M64" s="190">
        <f>_xlfn.XLOOKUP(Table1[[#This Row],[MTP SKU Code]],'Audit Dimensions'!$A:$A,'Audit Dimensions'!M:M,0)</f>
        <v>0</v>
      </c>
      <c r="N64" s="190">
        <f>_xlfn.XLOOKUP(Table1[[#This Row],[MTP SKU Code]],'Audit Dimensions'!$A:$A,'Audit Dimensions'!N:N,0)</f>
        <v>0</v>
      </c>
      <c r="O64" s="118">
        <f>((IFERROR((C64*D64*E64),0)+IFERROR((G64*H64*I64),0)+IFERROR((K64*L64*M64),0))/1000000)*35.32</f>
        <v>6.0815388800000001</v>
      </c>
      <c r="P64" s="125">
        <f>Table1[[#This Row],[Column15]]*$P$2*1000</f>
        <v>36489.23328</v>
      </c>
      <c r="Q64" s="87">
        <f>F64+J64+N64</f>
        <v>73000</v>
      </c>
      <c r="R64" s="86">
        <f>MAX(Q64,O64)</f>
        <v>73000</v>
      </c>
      <c r="S64" s="86">
        <f>MAX(R64,P64)</f>
        <v>73000</v>
      </c>
      <c r="T64" s="156" t="str">
        <f>VLOOKUP(A64,'[1]MTP SKUs - Master Data'!$A:$B,2,FALSE)</f>
        <v>Y</v>
      </c>
      <c r="U64" s="162">
        <f>_xlfn.IFNA(VLOOKUP(Table1[[#This Row],[MTP SKU Code]],'Audit Dimensions'!A:N,6,FALSE),"ARC")</f>
        <v>34650</v>
      </c>
      <c r="V64" s="162">
        <f>IFERROR(Table1[[#This Row],[B1.Aud]]-Table1[[#This Row],[PW(gm)]],"ERR")</f>
        <v>2650</v>
      </c>
      <c r="W64" s="165">
        <f>IFERROR(Table1[[#This Row],[B1.Diff]]/Table1[[#This Row],[B1.Aud]],"ERR")</f>
        <v>7.647907647907648E-2</v>
      </c>
      <c r="X64" s="162">
        <f>_xlfn.IFNA(VLOOKUP(Table1[[#This Row],[MTP SKU Code]],'Audit Dimensions'!A:N,10,FALSE),"ARC")</f>
        <v>43310</v>
      </c>
      <c r="Y64" s="163">
        <f>IFERROR(Table1[[#This Row],[B2.Aud]]-Table1[[#This Row],[PW(gm)5]],"ERR")</f>
        <v>2310</v>
      </c>
      <c r="Z64" s="165">
        <f>IFERROR(Table1[[#This Row],[B2.Diff]]/Table1[[#This Row],[B2.Aud]],"NA")</f>
        <v>5.3336411914107595E-2</v>
      </c>
      <c r="AA64" s="162">
        <f>_xlfn.IFNA(VLOOKUP(Table1[[#This Row],[MTP SKU Code]],'Audit Dimensions'!A:N,14,FALSE),"ARC")</f>
        <v>0</v>
      </c>
      <c r="AB64" s="161">
        <f>IFERROR(Table1[[#This Row],[B3.Aud]]-Table1[[#This Row],[PW(gm)9]],"ERR")</f>
        <v>0</v>
      </c>
      <c r="AC64" s="168">
        <f>IFERROR(Table1[[#This Row],[B3.Diff]]/Table1[[#This Row],[BaLL.Aud]],"ERR")</f>
        <v>0</v>
      </c>
      <c r="AD64" s="189">
        <f>_xlfn.IFNA(VLOOKUP(Table1[[#This Row],[MTP SKU Code]],'Audit Dimensions'!A:U,16,FALSE),"ARC")</f>
        <v>77960</v>
      </c>
      <c r="AE64" s="165">
        <f>IFERROR(1-Table1[[#This Row],[Gms]]/Table1[[#This Row],[BaLL.Aud]],"ERR")</f>
        <v>6.3622370446382748E-2</v>
      </c>
    </row>
    <row r="65" spans="1:31">
      <c r="A65" s="68" t="s">
        <v>110</v>
      </c>
      <c r="B65" s="84" t="s">
        <v>48</v>
      </c>
      <c r="C65" s="190">
        <f>_xlfn.XLOOKUP(Table1[[#This Row],[MTP SKU Code]],'Audit Dimensions'!A:A,'Audit Dimensions'!C:C,0)</f>
        <v>134</v>
      </c>
      <c r="D65" s="190">
        <f>_xlfn.XLOOKUP(Table1[[#This Row],[MTP SKU Code]],'Audit Dimensions'!$A:$A,'Audit Dimensions'!D:D,0)</f>
        <v>30</v>
      </c>
      <c r="E65" s="190">
        <f>_xlfn.XLOOKUP(Table1[[#This Row],[MTP SKU Code]],'Audit Dimensions'!$A:$A,'Audit Dimensions'!E:E,0)</f>
        <v>6</v>
      </c>
      <c r="F65" s="190">
        <v>7800</v>
      </c>
      <c r="G65" s="190">
        <f>_xlfn.XLOOKUP(Table1[[#This Row],[MTP SKU Code]],'Audit Dimensions'!$A:$A,'Audit Dimensions'!G:G,0)</f>
        <v>0</v>
      </c>
      <c r="H65" s="190">
        <f>_xlfn.XLOOKUP(Table1[[#This Row],[MTP SKU Code]],'Audit Dimensions'!$A:$A,'Audit Dimensions'!H:H,0)</f>
        <v>0</v>
      </c>
      <c r="I65" s="190">
        <f>_xlfn.XLOOKUP(Table1[[#This Row],[MTP SKU Code]],'Audit Dimensions'!$A:$A,'Audit Dimensions'!I:I,0)</f>
        <v>0</v>
      </c>
      <c r="J65" s="190">
        <f>_xlfn.XLOOKUP(Table1[[#This Row],[MTP SKU Code]],'Audit Dimensions'!$A:$A,'Audit Dimensions'!J:J,0)</f>
        <v>0</v>
      </c>
      <c r="K65" s="190">
        <f>_xlfn.XLOOKUP(Table1[[#This Row],[MTP SKU Code]],'Audit Dimensions'!$A:$A,'Audit Dimensions'!K:K,0)</f>
        <v>0</v>
      </c>
      <c r="L65" s="190">
        <f>_xlfn.XLOOKUP(Table1[[#This Row],[MTP SKU Code]],'Audit Dimensions'!$A:$A,'Audit Dimensions'!L:L,0)</f>
        <v>0</v>
      </c>
      <c r="M65" s="190">
        <f>_xlfn.XLOOKUP(Table1[[#This Row],[MTP SKU Code]],'Audit Dimensions'!$A:$A,'Audit Dimensions'!M:M,0)</f>
        <v>0</v>
      </c>
      <c r="N65" s="190">
        <f>_xlfn.XLOOKUP(Table1[[#This Row],[MTP SKU Code]],'Audit Dimensions'!$A:$A,'Audit Dimensions'!N:N,0)</f>
        <v>0</v>
      </c>
      <c r="O65" s="118">
        <f>((IFERROR((C65*D65*E65),0)+IFERROR((G65*H65*I65),0)+IFERROR((K65*L65*M65),0))/1000000)*35.32</f>
        <v>0.85191839999999996</v>
      </c>
      <c r="P65" s="125">
        <f>Table1[[#This Row],[Column15]]*$P$2*1000</f>
        <v>5111.5104000000001</v>
      </c>
      <c r="Q65" s="87">
        <f>F65+J65+N65</f>
        <v>7800</v>
      </c>
      <c r="R65" s="86">
        <f>MAX(Q65,O65)</f>
        <v>7800</v>
      </c>
      <c r="S65" s="86">
        <f>MAX(R65,P65)</f>
        <v>7800</v>
      </c>
      <c r="T65" s="156" t="str">
        <f>VLOOKUP(A65,'[1]MTP SKUs - Master Data'!$A:$B,2,FALSE)</f>
        <v>Y</v>
      </c>
      <c r="U65" s="162">
        <f>_xlfn.IFNA(VLOOKUP(Table1[[#This Row],[MTP SKU Code]],'Audit Dimensions'!A:N,6,FALSE),"ARC")</f>
        <v>8460</v>
      </c>
      <c r="V65" s="162">
        <f>IFERROR(Table1[[#This Row],[B1.Aud]]-Table1[[#This Row],[PW(gm)]],"ERR")</f>
        <v>660</v>
      </c>
      <c r="W65" s="165">
        <f>IFERROR(Table1[[#This Row],[B1.Diff]]/Table1[[#This Row],[B1.Aud]],"ERR")</f>
        <v>7.8014184397163122E-2</v>
      </c>
      <c r="X65" s="162">
        <f>_xlfn.IFNA(VLOOKUP(Table1[[#This Row],[MTP SKU Code]],'Audit Dimensions'!A:N,10,FALSE),"ARC")</f>
        <v>0</v>
      </c>
      <c r="Y65" s="163">
        <f>IFERROR(Table1[[#This Row],[B2.Aud]]-Table1[[#This Row],[PW(gm)5]],"ERR")</f>
        <v>0</v>
      </c>
      <c r="Z65" s="165" t="str">
        <f>IFERROR(Table1[[#This Row],[B2.Diff]]/Table1[[#This Row],[B2.Aud]],"NA")</f>
        <v>NA</v>
      </c>
      <c r="AA65" s="162">
        <f>_xlfn.IFNA(VLOOKUP(Table1[[#This Row],[MTP SKU Code]],'Audit Dimensions'!A:N,14,FALSE),"ARC")</f>
        <v>0</v>
      </c>
      <c r="AB65" s="161">
        <f>IFERROR(Table1[[#This Row],[B3.Aud]]-Table1[[#This Row],[PW(gm)9]],"ERR")</f>
        <v>0</v>
      </c>
      <c r="AC65" s="168">
        <f>IFERROR(Table1[[#This Row],[B3.Diff]]/Table1[[#This Row],[BaLL.Aud]],"ERR")</f>
        <v>0</v>
      </c>
      <c r="AD65" s="189">
        <f>_xlfn.IFNA(VLOOKUP(Table1[[#This Row],[MTP SKU Code]],'Audit Dimensions'!A:U,16,FALSE),"ARC")</f>
        <v>8460</v>
      </c>
      <c r="AE65" s="165">
        <f>IFERROR(1-Table1[[#This Row],[Gms]]/Table1[[#This Row],[BaLL.Aud]],"ERR")</f>
        <v>7.8014184397163122E-2</v>
      </c>
    </row>
    <row r="66" spans="1:31" hidden="1">
      <c r="A66" s="68" t="s">
        <v>111</v>
      </c>
      <c r="B66" s="84" t="s">
        <v>48</v>
      </c>
      <c r="C66" s="190">
        <f>_xlfn.XLOOKUP(Table1[[#This Row],[MTP SKU Code]],'Audit Dimensions'!A:A,'Audit Dimensions'!C:C,0)</f>
        <v>110</v>
      </c>
      <c r="D66" s="190">
        <f>_xlfn.XLOOKUP(Table1[[#This Row],[MTP SKU Code]],'Audit Dimensions'!$A:$A,'Audit Dimensions'!D:D,0)</f>
        <v>54</v>
      </c>
      <c r="E66" s="190">
        <f>_xlfn.XLOOKUP(Table1[[#This Row],[MTP SKU Code]],'Audit Dimensions'!$A:$A,'Audit Dimensions'!E:E,0)</f>
        <v>8</v>
      </c>
      <c r="F66" s="190">
        <v>22450</v>
      </c>
      <c r="G66" s="190">
        <f>_xlfn.XLOOKUP(Table1[[#This Row],[MTP SKU Code]],'Audit Dimensions'!$A:$A,'Audit Dimensions'!G:G,0)</f>
        <v>0</v>
      </c>
      <c r="H66" s="190">
        <f>_xlfn.XLOOKUP(Table1[[#This Row],[MTP SKU Code]],'Audit Dimensions'!$A:$A,'Audit Dimensions'!H:H,0)</f>
        <v>0</v>
      </c>
      <c r="I66" s="190">
        <f>_xlfn.XLOOKUP(Table1[[#This Row],[MTP SKU Code]],'Audit Dimensions'!$A:$A,'Audit Dimensions'!I:I,0)</f>
        <v>0</v>
      </c>
      <c r="J66" s="190">
        <f>_xlfn.XLOOKUP(Table1[[#This Row],[MTP SKU Code]],'Audit Dimensions'!$A:$A,'Audit Dimensions'!J:J,0)</f>
        <v>0</v>
      </c>
      <c r="K66" s="190">
        <f>_xlfn.XLOOKUP(Table1[[#This Row],[MTP SKU Code]],'Audit Dimensions'!$A:$A,'Audit Dimensions'!K:K,0)</f>
        <v>0</v>
      </c>
      <c r="L66" s="190">
        <f>_xlfn.XLOOKUP(Table1[[#This Row],[MTP SKU Code]],'Audit Dimensions'!$A:$A,'Audit Dimensions'!L:L,0)</f>
        <v>0</v>
      </c>
      <c r="M66" s="190">
        <f>_xlfn.XLOOKUP(Table1[[#This Row],[MTP SKU Code]],'Audit Dimensions'!$A:$A,'Audit Dimensions'!M:M,0)</f>
        <v>0</v>
      </c>
      <c r="N66" s="190">
        <f>_xlfn.XLOOKUP(Table1[[#This Row],[MTP SKU Code]],'Audit Dimensions'!$A:$A,'Audit Dimensions'!N:N,0)</f>
        <v>0</v>
      </c>
      <c r="O66" s="118">
        <f>((IFERROR((C66*D66*E66),0)+IFERROR((G66*H66*I66),0)+IFERROR((K66*L66*M66),0))/1000000)*35.32</f>
        <v>1.6784064000000001</v>
      </c>
      <c r="P66" s="125">
        <f>Table1[[#This Row],[Column15]]*$P$2*1000</f>
        <v>10070.438400000001</v>
      </c>
      <c r="Q66" s="87">
        <f>F66+J66+N66</f>
        <v>22450</v>
      </c>
      <c r="R66" s="86">
        <f>MAX(Q66,O66)</f>
        <v>22450</v>
      </c>
      <c r="S66" s="86">
        <f>MAX(R66,P66)</f>
        <v>22450</v>
      </c>
      <c r="T66" s="156" t="str">
        <f>VLOOKUP(A66,'[1]MTP SKUs - Master Data'!$A:$B,2,FALSE)</f>
        <v>RL</v>
      </c>
      <c r="U66" s="162">
        <f>_xlfn.IFNA(VLOOKUP(Table1[[#This Row],[MTP SKU Code]],'Audit Dimensions'!A:N,6,FALSE),"ARC")</f>
        <v>23900</v>
      </c>
      <c r="V66" s="162">
        <f>IFERROR(Table1[[#This Row],[B1.Aud]]-Table1[[#This Row],[PW(gm)]],"ERR")</f>
        <v>1450</v>
      </c>
      <c r="W66" s="165">
        <f>IFERROR(Table1[[#This Row],[B1.Diff]]/Table1[[#This Row],[B1.Aud]],"ERR")</f>
        <v>6.0669456066945605E-2</v>
      </c>
      <c r="X66" s="162">
        <f>_xlfn.IFNA(VLOOKUP(Table1[[#This Row],[MTP SKU Code]],'Audit Dimensions'!A:N,10,FALSE),"ARC")</f>
        <v>0</v>
      </c>
      <c r="Y66" s="163">
        <f>IFERROR(Table1[[#This Row],[B2.Aud]]-Table1[[#This Row],[PW(gm)5]],"ERR")</f>
        <v>0</v>
      </c>
      <c r="Z66" s="165" t="str">
        <f>IFERROR(Table1[[#This Row],[B2.Diff]]/Table1[[#This Row],[B2.Aud]],"NA")</f>
        <v>NA</v>
      </c>
      <c r="AA66" s="162">
        <f>_xlfn.IFNA(VLOOKUP(Table1[[#This Row],[MTP SKU Code]],'Audit Dimensions'!A:N,14,FALSE),"ARC")</f>
        <v>0</v>
      </c>
      <c r="AB66" s="161">
        <f>IFERROR(Table1[[#This Row],[B3.Aud]]-Table1[[#This Row],[PW(gm)9]],"ERR")</f>
        <v>0</v>
      </c>
      <c r="AC66" s="168">
        <f>IFERROR(Table1[[#This Row],[B3.Diff]]/Table1[[#This Row],[BaLL.Aud]],"ERR")</f>
        <v>0</v>
      </c>
      <c r="AD66" s="189">
        <f>_xlfn.IFNA(VLOOKUP(Table1[[#This Row],[MTP SKU Code]],'Audit Dimensions'!A:U,16,FALSE),"ARC")</f>
        <v>23900</v>
      </c>
      <c r="AE66" s="165">
        <f>IFERROR(1-Table1[[#This Row],[Gms]]/Table1[[#This Row],[BaLL.Aud]],"ERR")</f>
        <v>6.0669456066945626E-2</v>
      </c>
    </row>
    <row r="67" spans="1:31">
      <c r="A67" s="91" t="s">
        <v>112</v>
      </c>
      <c r="B67" s="84" t="s">
        <v>48</v>
      </c>
      <c r="C67" s="190">
        <f>_xlfn.XLOOKUP(Table1[[#This Row],[MTP SKU Code]],'Audit Dimensions'!A:A,'Audit Dimensions'!C:C,0)</f>
        <v>165</v>
      </c>
      <c r="D67" s="190">
        <f>_xlfn.XLOOKUP(Table1[[#This Row],[MTP SKU Code]],'Audit Dimensions'!$A:$A,'Audit Dimensions'!D:D,0)</f>
        <v>37</v>
      </c>
      <c r="E67" s="190">
        <f>_xlfn.XLOOKUP(Table1[[#This Row],[MTP SKU Code]],'Audit Dimensions'!$A:$A,'Audit Dimensions'!E:E,0)</f>
        <v>12</v>
      </c>
      <c r="F67" s="190">
        <v>45500</v>
      </c>
      <c r="G67" s="190">
        <f>_xlfn.XLOOKUP(Table1[[#This Row],[MTP SKU Code]],'Audit Dimensions'!$A:$A,'Audit Dimensions'!G:G,0)</f>
        <v>0</v>
      </c>
      <c r="H67" s="190">
        <f>_xlfn.XLOOKUP(Table1[[#This Row],[MTP SKU Code]],'Audit Dimensions'!$A:$A,'Audit Dimensions'!H:H,0)</f>
        <v>0</v>
      </c>
      <c r="I67" s="190">
        <f>_xlfn.XLOOKUP(Table1[[#This Row],[MTP SKU Code]],'Audit Dimensions'!$A:$A,'Audit Dimensions'!I:I,0)</f>
        <v>0</v>
      </c>
      <c r="J67" s="190">
        <f>_xlfn.XLOOKUP(Table1[[#This Row],[MTP SKU Code]],'Audit Dimensions'!$A:$A,'Audit Dimensions'!J:J,0)</f>
        <v>0</v>
      </c>
      <c r="K67" s="190">
        <f>_xlfn.XLOOKUP(Table1[[#This Row],[MTP SKU Code]],'Audit Dimensions'!$A:$A,'Audit Dimensions'!K:K,0)</f>
        <v>0</v>
      </c>
      <c r="L67" s="190">
        <f>_xlfn.XLOOKUP(Table1[[#This Row],[MTP SKU Code]],'Audit Dimensions'!$A:$A,'Audit Dimensions'!L:L,0)</f>
        <v>0</v>
      </c>
      <c r="M67" s="190">
        <f>_xlfn.XLOOKUP(Table1[[#This Row],[MTP SKU Code]],'Audit Dimensions'!$A:$A,'Audit Dimensions'!M:M,0)</f>
        <v>0</v>
      </c>
      <c r="N67" s="190">
        <f>_xlfn.XLOOKUP(Table1[[#This Row],[MTP SKU Code]],'Audit Dimensions'!$A:$A,'Audit Dimensions'!N:N,0)</f>
        <v>0</v>
      </c>
      <c r="O67" s="118">
        <f>((IFERROR((C67*D67*E67),0)+IFERROR((G67*H67*I67),0)+IFERROR((K67*L67*M67),0))/1000000)*35.32</f>
        <v>2.5875432000000003</v>
      </c>
      <c r="P67" s="125">
        <f>Table1[[#This Row],[Column15]]*$P$2*1000</f>
        <v>15525.2592</v>
      </c>
      <c r="Q67" s="87">
        <f>F67+J67+N67</f>
        <v>45500</v>
      </c>
      <c r="R67" s="86">
        <f>MAX(Q67,O67)</f>
        <v>45500</v>
      </c>
      <c r="S67" s="86">
        <f>MAX(R67,P67)</f>
        <v>45500</v>
      </c>
      <c r="T67" s="156" t="str">
        <f>VLOOKUP(A67,'[1]MTP SKUs - Master Data'!$A:$B,2,FALSE)</f>
        <v>Y</v>
      </c>
      <c r="U67" s="162">
        <f>_xlfn.IFNA(VLOOKUP(Table1[[#This Row],[MTP SKU Code]],'Audit Dimensions'!A:N,6,FALSE),"ARC")</f>
        <v>47930</v>
      </c>
      <c r="V67" s="162">
        <f>IFERROR(Table1[[#This Row],[B1.Aud]]-Table1[[#This Row],[PW(gm)]],"ERR")</f>
        <v>2430</v>
      </c>
      <c r="W67" s="165">
        <f>IFERROR(Table1[[#This Row],[B1.Diff]]/Table1[[#This Row],[B1.Aud]],"ERR")</f>
        <v>5.0698935948257876E-2</v>
      </c>
      <c r="X67" s="162">
        <f>_xlfn.IFNA(VLOOKUP(Table1[[#This Row],[MTP SKU Code]],'Audit Dimensions'!A:N,10,FALSE),"ARC")</f>
        <v>0</v>
      </c>
      <c r="Y67" s="163">
        <f>IFERROR(Table1[[#This Row],[B2.Aud]]-Table1[[#This Row],[PW(gm)5]],"ERR")</f>
        <v>0</v>
      </c>
      <c r="Z67" s="165" t="str">
        <f>IFERROR(Table1[[#This Row],[B2.Diff]]/Table1[[#This Row],[B2.Aud]],"NA")</f>
        <v>NA</v>
      </c>
      <c r="AA67" s="162">
        <f>_xlfn.IFNA(VLOOKUP(Table1[[#This Row],[MTP SKU Code]],'Audit Dimensions'!A:N,14,FALSE),"ARC")</f>
        <v>0</v>
      </c>
      <c r="AB67" s="161">
        <f>IFERROR(Table1[[#This Row],[B3.Aud]]-Table1[[#This Row],[PW(gm)9]],"ERR")</f>
        <v>0</v>
      </c>
      <c r="AC67" s="168">
        <f>IFERROR(Table1[[#This Row],[B3.Diff]]/Table1[[#This Row],[BaLL.Aud]],"ERR")</f>
        <v>0</v>
      </c>
      <c r="AD67" s="189">
        <f>_xlfn.IFNA(VLOOKUP(Table1[[#This Row],[MTP SKU Code]],'Audit Dimensions'!A:U,16,FALSE),"ARC")</f>
        <v>47930</v>
      </c>
      <c r="AE67" s="165">
        <f>IFERROR(1-Table1[[#This Row],[Gms]]/Table1[[#This Row],[BaLL.Aud]],"ERR")</f>
        <v>5.0698935948257917E-2</v>
      </c>
    </row>
    <row r="68" spans="1:31">
      <c r="A68" s="68" t="s">
        <v>113</v>
      </c>
      <c r="B68" s="84" t="s">
        <v>48</v>
      </c>
      <c r="C68" s="190">
        <f>_xlfn.XLOOKUP(Table1[[#This Row],[MTP SKU Code]],'Audit Dimensions'!A:A,'Audit Dimensions'!C:C,0)</f>
        <v>167</v>
      </c>
      <c r="D68" s="190">
        <f>_xlfn.XLOOKUP(Table1[[#This Row],[MTP SKU Code]],'Audit Dimensions'!$A:$A,'Audit Dimensions'!D:D,0)</f>
        <v>35</v>
      </c>
      <c r="E68" s="190">
        <f>_xlfn.XLOOKUP(Table1[[#This Row],[MTP SKU Code]],'Audit Dimensions'!$A:$A,'Audit Dimensions'!E:E,0)</f>
        <v>10</v>
      </c>
      <c r="F68" s="190">
        <v>27300</v>
      </c>
      <c r="G68" s="190">
        <f>_xlfn.XLOOKUP(Table1[[#This Row],[MTP SKU Code]],'Audit Dimensions'!$A:$A,'Audit Dimensions'!G:G,0)</f>
        <v>0</v>
      </c>
      <c r="H68" s="190">
        <f>_xlfn.XLOOKUP(Table1[[#This Row],[MTP SKU Code]],'Audit Dimensions'!$A:$A,'Audit Dimensions'!H:H,0)</f>
        <v>0</v>
      </c>
      <c r="I68" s="190">
        <f>_xlfn.XLOOKUP(Table1[[#This Row],[MTP SKU Code]],'Audit Dimensions'!$A:$A,'Audit Dimensions'!I:I,0)</f>
        <v>0</v>
      </c>
      <c r="J68" s="190">
        <f>_xlfn.XLOOKUP(Table1[[#This Row],[MTP SKU Code]],'Audit Dimensions'!$A:$A,'Audit Dimensions'!J:J,0)</f>
        <v>0</v>
      </c>
      <c r="K68" s="190">
        <f>_xlfn.XLOOKUP(Table1[[#This Row],[MTP SKU Code]],'Audit Dimensions'!$A:$A,'Audit Dimensions'!K:K,0)</f>
        <v>0</v>
      </c>
      <c r="L68" s="190">
        <f>_xlfn.XLOOKUP(Table1[[#This Row],[MTP SKU Code]],'Audit Dimensions'!$A:$A,'Audit Dimensions'!L:L,0)</f>
        <v>0</v>
      </c>
      <c r="M68" s="190">
        <f>_xlfn.XLOOKUP(Table1[[#This Row],[MTP SKU Code]],'Audit Dimensions'!$A:$A,'Audit Dimensions'!M:M,0)</f>
        <v>0</v>
      </c>
      <c r="N68" s="190">
        <f>_xlfn.XLOOKUP(Table1[[#This Row],[MTP SKU Code]],'Audit Dimensions'!$A:$A,'Audit Dimensions'!N:N,0)</f>
        <v>0</v>
      </c>
      <c r="O68" s="118">
        <f>((IFERROR((C68*D68*E68),0)+IFERROR((G68*H68*I68),0)+IFERROR((K68*L68*M68),0))/1000000)*35.32</f>
        <v>2.064454</v>
      </c>
      <c r="P68" s="125">
        <f>Table1[[#This Row],[Column15]]*$P$2*1000</f>
        <v>12386.724</v>
      </c>
      <c r="Q68" s="87">
        <f>F68+J68+N68</f>
        <v>27300</v>
      </c>
      <c r="R68" s="86">
        <f>MAX(Q68,O68)</f>
        <v>27300</v>
      </c>
      <c r="S68" s="86">
        <f>MAX(R68,P68)</f>
        <v>27300</v>
      </c>
      <c r="T68" s="156" t="str">
        <f>VLOOKUP(A68,'[1]MTP SKUs - Master Data'!$A:$B,2,FALSE)</f>
        <v>Y</v>
      </c>
      <c r="U68" s="162">
        <f>_xlfn.IFNA(VLOOKUP(Table1[[#This Row],[MTP SKU Code]],'Audit Dimensions'!A:N,6,FALSE),"ARC")</f>
        <v>29370</v>
      </c>
      <c r="V68" s="162">
        <f>IFERROR(Table1[[#This Row],[B1.Aud]]-Table1[[#This Row],[PW(gm)]],"ERR")</f>
        <v>2070</v>
      </c>
      <c r="W68" s="165">
        <f>IFERROR(Table1[[#This Row],[B1.Diff]]/Table1[[#This Row],[B1.Aud]],"ERR")</f>
        <v>7.0480081716036772E-2</v>
      </c>
      <c r="X68" s="162">
        <f>_xlfn.IFNA(VLOOKUP(Table1[[#This Row],[MTP SKU Code]],'Audit Dimensions'!A:N,10,FALSE),"ARC")</f>
        <v>0</v>
      </c>
      <c r="Y68" s="163">
        <f>IFERROR(Table1[[#This Row],[B2.Aud]]-Table1[[#This Row],[PW(gm)5]],"ERR")</f>
        <v>0</v>
      </c>
      <c r="Z68" s="165" t="str">
        <f>IFERROR(Table1[[#This Row],[B2.Diff]]/Table1[[#This Row],[B2.Aud]],"NA")</f>
        <v>NA</v>
      </c>
      <c r="AA68" s="162">
        <f>_xlfn.IFNA(VLOOKUP(Table1[[#This Row],[MTP SKU Code]],'Audit Dimensions'!A:N,14,FALSE),"ARC")</f>
        <v>0</v>
      </c>
      <c r="AB68" s="161">
        <f>IFERROR(Table1[[#This Row],[B3.Aud]]-Table1[[#This Row],[PW(gm)9]],"ERR")</f>
        <v>0</v>
      </c>
      <c r="AC68" s="168">
        <f>IFERROR(Table1[[#This Row],[B3.Diff]]/Table1[[#This Row],[BaLL.Aud]],"ERR")</f>
        <v>0</v>
      </c>
      <c r="AD68" s="189">
        <f>_xlfn.IFNA(VLOOKUP(Table1[[#This Row],[MTP SKU Code]],'Audit Dimensions'!A:U,16,FALSE),"ARC")</f>
        <v>29370</v>
      </c>
      <c r="AE68" s="165">
        <f>IFERROR(1-Table1[[#This Row],[Gms]]/Table1[[#This Row],[BaLL.Aud]],"ERR")</f>
        <v>7.0480081716036813E-2</v>
      </c>
    </row>
    <row r="69" spans="1:31">
      <c r="A69" s="91" t="s">
        <v>114</v>
      </c>
      <c r="B69" s="84" t="s">
        <v>48</v>
      </c>
      <c r="C69" s="190">
        <f>_xlfn.XLOOKUP(Table1[[#This Row],[MTP SKU Code]],'Audit Dimensions'!A:A,'Audit Dimensions'!C:C,0)</f>
        <v>85</v>
      </c>
      <c r="D69" s="190">
        <f>_xlfn.XLOOKUP(Table1[[#This Row],[MTP SKU Code]],'Audit Dimensions'!$A:$A,'Audit Dimensions'!D:D,0)</f>
        <v>50</v>
      </c>
      <c r="E69" s="190">
        <f>_xlfn.XLOOKUP(Table1[[#This Row],[MTP SKU Code]],'Audit Dimensions'!$A:$A,'Audit Dimensions'!E:E,0)</f>
        <v>16</v>
      </c>
      <c r="F69" s="190">
        <v>37500</v>
      </c>
      <c r="G69" s="190">
        <f>_xlfn.XLOOKUP(Table1[[#This Row],[MTP SKU Code]],'Audit Dimensions'!$A:$A,'Audit Dimensions'!G:G,0)</f>
        <v>0</v>
      </c>
      <c r="H69" s="190">
        <f>_xlfn.XLOOKUP(Table1[[#This Row],[MTP SKU Code]],'Audit Dimensions'!$A:$A,'Audit Dimensions'!H:H,0)</f>
        <v>0</v>
      </c>
      <c r="I69" s="190">
        <f>_xlfn.XLOOKUP(Table1[[#This Row],[MTP SKU Code]],'Audit Dimensions'!$A:$A,'Audit Dimensions'!I:I,0)</f>
        <v>0</v>
      </c>
      <c r="J69" s="190">
        <f>_xlfn.XLOOKUP(Table1[[#This Row],[MTP SKU Code]],'Audit Dimensions'!$A:$A,'Audit Dimensions'!J:J,0)</f>
        <v>0</v>
      </c>
      <c r="K69" s="190">
        <f>_xlfn.XLOOKUP(Table1[[#This Row],[MTP SKU Code]],'Audit Dimensions'!$A:$A,'Audit Dimensions'!K:K,0)</f>
        <v>0</v>
      </c>
      <c r="L69" s="190">
        <f>_xlfn.XLOOKUP(Table1[[#This Row],[MTP SKU Code]],'Audit Dimensions'!$A:$A,'Audit Dimensions'!L:L,0)</f>
        <v>0</v>
      </c>
      <c r="M69" s="190">
        <f>_xlfn.XLOOKUP(Table1[[#This Row],[MTP SKU Code]],'Audit Dimensions'!$A:$A,'Audit Dimensions'!M:M,0)</f>
        <v>0</v>
      </c>
      <c r="N69" s="190">
        <f>_xlfn.XLOOKUP(Table1[[#This Row],[MTP SKU Code]],'Audit Dimensions'!$A:$A,'Audit Dimensions'!N:N,0)</f>
        <v>0</v>
      </c>
      <c r="O69" s="118">
        <f>((IFERROR((C69*D69*E69),0)+IFERROR((G69*H69*I69),0)+IFERROR((K69*L69*M69),0))/1000000)*35.32</f>
        <v>2.4017600000000003</v>
      </c>
      <c r="P69" s="125">
        <f>Table1[[#This Row],[Column15]]*$P$2*1000</f>
        <v>14410.560000000001</v>
      </c>
      <c r="Q69" s="87">
        <f>F69+J69+N69</f>
        <v>37500</v>
      </c>
      <c r="R69" s="86">
        <f>MAX(Q69,O69)</f>
        <v>37500</v>
      </c>
      <c r="S69" s="86">
        <f>MAX(R69,P69)</f>
        <v>37500</v>
      </c>
      <c r="T69" s="156" t="str">
        <f>VLOOKUP(A69,'[1]MTP SKUs - Master Data'!$A:$B,2,FALSE)</f>
        <v>Y</v>
      </c>
      <c r="U69" s="162">
        <f>_xlfn.IFNA(VLOOKUP(Table1[[#This Row],[MTP SKU Code]],'Audit Dimensions'!A:N,6,FALSE),"ARC")</f>
        <v>39200</v>
      </c>
      <c r="V69" s="162">
        <f>IFERROR(Table1[[#This Row],[B1.Aud]]-Table1[[#This Row],[PW(gm)]],"ERR")</f>
        <v>1700</v>
      </c>
      <c r="W69" s="165">
        <f>IFERROR(Table1[[#This Row],[B1.Diff]]/Table1[[#This Row],[B1.Aud]],"ERR")</f>
        <v>4.336734693877551E-2</v>
      </c>
      <c r="X69" s="162">
        <f>_xlfn.IFNA(VLOOKUP(Table1[[#This Row],[MTP SKU Code]],'Audit Dimensions'!A:N,10,FALSE),"ARC")</f>
        <v>0</v>
      </c>
      <c r="Y69" s="163">
        <f>IFERROR(Table1[[#This Row],[B2.Aud]]-Table1[[#This Row],[PW(gm)5]],"ERR")</f>
        <v>0</v>
      </c>
      <c r="Z69" s="165" t="str">
        <f>IFERROR(Table1[[#This Row],[B2.Diff]]/Table1[[#This Row],[B2.Aud]],"NA")</f>
        <v>NA</v>
      </c>
      <c r="AA69" s="162">
        <f>_xlfn.IFNA(VLOOKUP(Table1[[#This Row],[MTP SKU Code]],'Audit Dimensions'!A:N,14,FALSE),"ARC")</f>
        <v>0</v>
      </c>
      <c r="AB69" s="161">
        <f>IFERROR(Table1[[#This Row],[B3.Aud]]-Table1[[#This Row],[PW(gm)9]],"ERR")</f>
        <v>0</v>
      </c>
      <c r="AC69" s="168">
        <f>IFERROR(Table1[[#This Row],[B3.Diff]]/Table1[[#This Row],[BaLL.Aud]],"ERR")</f>
        <v>0</v>
      </c>
      <c r="AD69" s="189">
        <f>_xlfn.IFNA(VLOOKUP(Table1[[#This Row],[MTP SKU Code]],'Audit Dimensions'!A:U,16,FALSE),"ARC")</f>
        <v>39200</v>
      </c>
      <c r="AE69" s="165">
        <f>IFERROR(1-Table1[[#This Row],[Gms]]/Table1[[#This Row],[BaLL.Aud]],"ERR")</f>
        <v>4.3367346938775531E-2</v>
      </c>
    </row>
    <row r="70" spans="1:31">
      <c r="A70" s="68" t="s">
        <v>115</v>
      </c>
      <c r="B70" s="84" t="s">
        <v>48</v>
      </c>
      <c r="C70" s="190">
        <f>_xlfn.XLOOKUP(Table1[[#This Row],[MTP SKU Code]],'Audit Dimensions'!A:A,'Audit Dimensions'!C:C,0)</f>
        <v>121</v>
      </c>
      <c r="D70" s="190">
        <f>_xlfn.XLOOKUP(Table1[[#This Row],[MTP SKU Code]],'Audit Dimensions'!$A:$A,'Audit Dimensions'!D:D,0)</f>
        <v>50</v>
      </c>
      <c r="E70" s="190">
        <f>_xlfn.XLOOKUP(Table1[[#This Row],[MTP SKU Code]],'Audit Dimensions'!$A:$A,'Audit Dimensions'!E:E,0)</f>
        <v>18</v>
      </c>
      <c r="F70" s="190">
        <v>42500</v>
      </c>
      <c r="G70" s="190">
        <f>_xlfn.XLOOKUP(Table1[[#This Row],[MTP SKU Code]],'Audit Dimensions'!$A:$A,'Audit Dimensions'!G:G,0)</f>
        <v>0</v>
      </c>
      <c r="H70" s="190">
        <f>_xlfn.XLOOKUP(Table1[[#This Row],[MTP SKU Code]],'Audit Dimensions'!$A:$A,'Audit Dimensions'!H:H,0)</f>
        <v>0</v>
      </c>
      <c r="I70" s="190">
        <f>_xlfn.XLOOKUP(Table1[[#This Row],[MTP SKU Code]],'Audit Dimensions'!$A:$A,'Audit Dimensions'!I:I,0)</f>
        <v>0</v>
      </c>
      <c r="J70" s="190">
        <f>_xlfn.XLOOKUP(Table1[[#This Row],[MTP SKU Code]],'Audit Dimensions'!$A:$A,'Audit Dimensions'!J:J,0)</f>
        <v>0</v>
      </c>
      <c r="K70" s="190">
        <f>_xlfn.XLOOKUP(Table1[[#This Row],[MTP SKU Code]],'Audit Dimensions'!$A:$A,'Audit Dimensions'!K:K,0)</f>
        <v>0</v>
      </c>
      <c r="L70" s="190">
        <f>_xlfn.XLOOKUP(Table1[[#This Row],[MTP SKU Code]],'Audit Dimensions'!$A:$A,'Audit Dimensions'!L:L,0)</f>
        <v>0</v>
      </c>
      <c r="M70" s="190">
        <f>_xlfn.XLOOKUP(Table1[[#This Row],[MTP SKU Code]],'Audit Dimensions'!$A:$A,'Audit Dimensions'!M:M,0)</f>
        <v>0</v>
      </c>
      <c r="N70" s="190">
        <f>_xlfn.XLOOKUP(Table1[[#This Row],[MTP SKU Code]],'Audit Dimensions'!$A:$A,'Audit Dimensions'!N:N,0)</f>
        <v>0</v>
      </c>
      <c r="O70" s="118">
        <f>((IFERROR((C70*D70*E70),0)+IFERROR((G70*H70*I70),0)+IFERROR((K70*L70*M70),0))/1000000)*35.32</f>
        <v>3.8463479999999999</v>
      </c>
      <c r="P70" s="125">
        <f>Table1[[#This Row],[Column15]]*$P$2*1000</f>
        <v>23078.088</v>
      </c>
      <c r="Q70" s="87">
        <f>F70+J70+N70</f>
        <v>42500</v>
      </c>
      <c r="R70" s="88">
        <f>MAX(Q70,O70)</f>
        <v>42500</v>
      </c>
      <c r="S70" s="86">
        <f>MAX(R70,P70)</f>
        <v>42500</v>
      </c>
      <c r="T70" s="156" t="str">
        <f>VLOOKUP(A70,'[1]MTP SKUs - Master Data'!$A:$B,2,FALSE)</f>
        <v>Y</v>
      </c>
      <c r="U70" s="162">
        <f>_xlfn.IFNA(VLOOKUP(Table1[[#This Row],[MTP SKU Code]],'Audit Dimensions'!A:N,6,FALSE),"ARC")</f>
        <v>45720</v>
      </c>
      <c r="V70" s="162">
        <f>IFERROR(Table1[[#This Row],[B1.Aud]]-Table1[[#This Row],[PW(gm)]],"ERR")</f>
        <v>3220</v>
      </c>
      <c r="W70" s="165">
        <f>IFERROR(Table1[[#This Row],[B1.Diff]]/Table1[[#This Row],[B1.Aud]],"ERR")</f>
        <v>7.0428696412948383E-2</v>
      </c>
      <c r="X70" s="162">
        <f>_xlfn.IFNA(VLOOKUP(Table1[[#This Row],[MTP SKU Code]],'Audit Dimensions'!A:N,10,FALSE),"ARC")</f>
        <v>0</v>
      </c>
      <c r="Y70" s="163">
        <f>IFERROR(Table1[[#This Row],[B2.Aud]]-Table1[[#This Row],[PW(gm)5]],"ERR")</f>
        <v>0</v>
      </c>
      <c r="Z70" s="165" t="str">
        <f>IFERROR(Table1[[#This Row],[B2.Diff]]/Table1[[#This Row],[B2.Aud]],"NA")</f>
        <v>NA</v>
      </c>
      <c r="AA70" s="162">
        <f>_xlfn.IFNA(VLOOKUP(Table1[[#This Row],[MTP SKU Code]],'Audit Dimensions'!A:N,14,FALSE),"ARC")</f>
        <v>0</v>
      </c>
      <c r="AB70" s="161">
        <f>IFERROR(Table1[[#This Row],[B3.Aud]]-Table1[[#This Row],[PW(gm)9]],"ERR")</f>
        <v>0</v>
      </c>
      <c r="AC70" s="168">
        <f>IFERROR(Table1[[#This Row],[B3.Diff]]/Table1[[#This Row],[BaLL.Aud]],"ERR")</f>
        <v>0</v>
      </c>
      <c r="AD70" s="189">
        <f>_xlfn.IFNA(VLOOKUP(Table1[[#This Row],[MTP SKU Code]],'Audit Dimensions'!A:U,16,FALSE),"ARC")</f>
        <v>45720</v>
      </c>
      <c r="AE70" s="165">
        <f>IFERROR(1-Table1[[#This Row],[Gms]]/Table1[[#This Row],[BaLL.Aud]],"ERR")</f>
        <v>7.0428696412948355E-2</v>
      </c>
    </row>
    <row r="71" spans="1:31">
      <c r="A71" s="68" t="s">
        <v>116</v>
      </c>
      <c r="B71" s="84" t="s">
        <v>48</v>
      </c>
      <c r="C71" s="190">
        <f>_xlfn.XLOOKUP(Table1[[#This Row],[MTP SKU Code]],'Audit Dimensions'!A:A,'Audit Dimensions'!C:C,0)</f>
        <v>97</v>
      </c>
      <c r="D71" s="190">
        <f>_xlfn.XLOOKUP(Table1[[#This Row],[MTP SKU Code]],'Audit Dimensions'!$A:$A,'Audit Dimensions'!D:D,0)</f>
        <v>20</v>
      </c>
      <c r="E71" s="190">
        <f>_xlfn.XLOOKUP(Table1[[#This Row],[MTP SKU Code]],'Audit Dimensions'!$A:$A,'Audit Dimensions'!E:E,0)</f>
        <v>3</v>
      </c>
      <c r="F71" s="190">
        <v>8800</v>
      </c>
      <c r="G71" s="190">
        <f>_xlfn.XLOOKUP(Table1[[#This Row],[MTP SKU Code]],'Audit Dimensions'!$A:$A,'Audit Dimensions'!G:G,0)</f>
        <v>0</v>
      </c>
      <c r="H71" s="190">
        <f>_xlfn.XLOOKUP(Table1[[#This Row],[MTP SKU Code]],'Audit Dimensions'!$A:$A,'Audit Dimensions'!H:H,0)</f>
        <v>0</v>
      </c>
      <c r="I71" s="190">
        <f>_xlfn.XLOOKUP(Table1[[#This Row],[MTP SKU Code]],'Audit Dimensions'!$A:$A,'Audit Dimensions'!I:I,0)</f>
        <v>0</v>
      </c>
      <c r="J71" s="190">
        <f>_xlfn.XLOOKUP(Table1[[#This Row],[MTP SKU Code]],'Audit Dimensions'!$A:$A,'Audit Dimensions'!J:J,0)</f>
        <v>0</v>
      </c>
      <c r="K71" s="190">
        <f>_xlfn.XLOOKUP(Table1[[#This Row],[MTP SKU Code]],'Audit Dimensions'!$A:$A,'Audit Dimensions'!K:K,0)</f>
        <v>0</v>
      </c>
      <c r="L71" s="190">
        <f>_xlfn.XLOOKUP(Table1[[#This Row],[MTP SKU Code]],'Audit Dimensions'!$A:$A,'Audit Dimensions'!L:L,0)</f>
        <v>0</v>
      </c>
      <c r="M71" s="190">
        <f>_xlfn.XLOOKUP(Table1[[#This Row],[MTP SKU Code]],'Audit Dimensions'!$A:$A,'Audit Dimensions'!M:M,0)</f>
        <v>0</v>
      </c>
      <c r="N71" s="190">
        <f>_xlfn.XLOOKUP(Table1[[#This Row],[MTP SKU Code]],'Audit Dimensions'!$A:$A,'Audit Dimensions'!N:N,0)</f>
        <v>0</v>
      </c>
      <c r="O71" s="118">
        <f>((IFERROR((C71*D71*E71),0)+IFERROR((G71*H71*I71),0)+IFERROR((K71*L71*M71),0))/1000000)*35.32</f>
        <v>0.20556239999999998</v>
      </c>
      <c r="P71" s="125">
        <f>Table1[[#This Row],[Column15]]*$P$2*1000</f>
        <v>1233.3743999999997</v>
      </c>
      <c r="Q71" s="87">
        <f>F71+J71+N71</f>
        <v>8800</v>
      </c>
      <c r="R71" s="86">
        <f>MAX(Q71,O71)</f>
        <v>8800</v>
      </c>
      <c r="S71" s="86">
        <f>MAX(R71,P71)</f>
        <v>8800</v>
      </c>
      <c r="T71" s="156" t="str">
        <f>VLOOKUP(A71,'[1]MTP SKUs - Master Data'!$A:$B,2,FALSE)</f>
        <v>Y</v>
      </c>
      <c r="U71" s="162">
        <f>_xlfn.IFNA(VLOOKUP(Table1[[#This Row],[MTP SKU Code]],'Audit Dimensions'!A:N,6,FALSE),"ARC")</f>
        <v>9700</v>
      </c>
      <c r="V71" s="162">
        <f>IFERROR(Table1[[#This Row],[B1.Aud]]-Table1[[#This Row],[PW(gm)]],"ERR")</f>
        <v>900</v>
      </c>
      <c r="W71" s="165">
        <f>IFERROR(Table1[[#This Row],[B1.Diff]]/Table1[[#This Row],[B1.Aud]],"ERR")</f>
        <v>9.2783505154639179E-2</v>
      </c>
      <c r="X71" s="162">
        <f>_xlfn.IFNA(VLOOKUP(Table1[[#This Row],[MTP SKU Code]],'Audit Dimensions'!A:N,10,FALSE),"ARC")</f>
        <v>0</v>
      </c>
      <c r="Y71" s="163">
        <f>IFERROR(Table1[[#This Row],[B2.Aud]]-Table1[[#This Row],[PW(gm)5]],"ERR")</f>
        <v>0</v>
      </c>
      <c r="Z71" s="165" t="str">
        <f>IFERROR(Table1[[#This Row],[B2.Diff]]/Table1[[#This Row],[B2.Aud]],"NA")</f>
        <v>NA</v>
      </c>
      <c r="AA71" s="162">
        <f>_xlfn.IFNA(VLOOKUP(Table1[[#This Row],[MTP SKU Code]],'Audit Dimensions'!A:N,14,FALSE),"ARC")</f>
        <v>0</v>
      </c>
      <c r="AB71" s="161">
        <f>IFERROR(Table1[[#This Row],[B3.Aud]]-Table1[[#This Row],[PW(gm)9]],"ERR")</f>
        <v>0</v>
      </c>
      <c r="AC71" s="168">
        <f>IFERROR(Table1[[#This Row],[B3.Diff]]/Table1[[#This Row],[BaLL.Aud]],"ERR")</f>
        <v>0</v>
      </c>
      <c r="AD71" s="189">
        <f>_xlfn.IFNA(VLOOKUP(Table1[[#This Row],[MTP SKU Code]],'Audit Dimensions'!A:U,16,FALSE),"ARC")</f>
        <v>9700</v>
      </c>
      <c r="AE71" s="165">
        <f>IFERROR(1-Table1[[#This Row],[Gms]]/Table1[[#This Row],[BaLL.Aud]],"ERR")</f>
        <v>9.2783505154639179E-2</v>
      </c>
    </row>
    <row r="72" spans="1:31">
      <c r="A72" s="91" t="s">
        <v>117</v>
      </c>
      <c r="B72" s="84" t="s">
        <v>48</v>
      </c>
      <c r="C72" s="190">
        <f>_xlfn.XLOOKUP(Table1[[#This Row],[MTP SKU Code]],'Audit Dimensions'!A:A,'Audit Dimensions'!C:C,0)</f>
        <v>196</v>
      </c>
      <c r="D72" s="190">
        <f>_xlfn.XLOOKUP(Table1[[#This Row],[MTP SKU Code]],'Audit Dimensions'!$A:$A,'Audit Dimensions'!D:D,0)</f>
        <v>43</v>
      </c>
      <c r="E72" s="190">
        <f>_xlfn.XLOOKUP(Table1[[#This Row],[MTP SKU Code]],'Audit Dimensions'!$A:$A,'Audit Dimensions'!E:E,0)</f>
        <v>8</v>
      </c>
      <c r="F72" s="190">
        <v>30500</v>
      </c>
      <c r="G72" s="190">
        <f>_xlfn.XLOOKUP(Table1[[#This Row],[MTP SKU Code]],'Audit Dimensions'!$A:$A,'Audit Dimensions'!G:G,0)</f>
        <v>0</v>
      </c>
      <c r="H72" s="190">
        <f>_xlfn.XLOOKUP(Table1[[#This Row],[MTP SKU Code]],'Audit Dimensions'!$A:$A,'Audit Dimensions'!H:H,0)</f>
        <v>0</v>
      </c>
      <c r="I72" s="190">
        <f>_xlfn.XLOOKUP(Table1[[#This Row],[MTP SKU Code]],'Audit Dimensions'!$A:$A,'Audit Dimensions'!I:I,0)</f>
        <v>0</v>
      </c>
      <c r="J72" s="190">
        <f>_xlfn.XLOOKUP(Table1[[#This Row],[MTP SKU Code]],'Audit Dimensions'!$A:$A,'Audit Dimensions'!J:J,0)</f>
        <v>0</v>
      </c>
      <c r="K72" s="190">
        <f>_xlfn.XLOOKUP(Table1[[#This Row],[MTP SKU Code]],'Audit Dimensions'!$A:$A,'Audit Dimensions'!K:K,0)</f>
        <v>0</v>
      </c>
      <c r="L72" s="190">
        <f>_xlfn.XLOOKUP(Table1[[#This Row],[MTP SKU Code]],'Audit Dimensions'!$A:$A,'Audit Dimensions'!L:L,0)</f>
        <v>0</v>
      </c>
      <c r="M72" s="190">
        <f>_xlfn.XLOOKUP(Table1[[#This Row],[MTP SKU Code]],'Audit Dimensions'!$A:$A,'Audit Dimensions'!M:M,0)</f>
        <v>0</v>
      </c>
      <c r="N72" s="190">
        <f>_xlfn.XLOOKUP(Table1[[#This Row],[MTP SKU Code]],'Audit Dimensions'!$A:$A,'Audit Dimensions'!N:N,0)</f>
        <v>0</v>
      </c>
      <c r="O72" s="118">
        <f>((IFERROR((C72*D72*E72),0)+IFERROR((G72*H72*I72),0)+IFERROR((K72*L72*M72),0))/1000000)*35.32</f>
        <v>2.3814156799999999</v>
      </c>
      <c r="P72" s="125">
        <f>Table1[[#This Row],[Column15]]*$P$2*1000</f>
        <v>14288.49408</v>
      </c>
      <c r="Q72" s="87">
        <f>F72+J72+N72</f>
        <v>30500</v>
      </c>
      <c r="R72" s="86">
        <f>MAX(Q72,O72)</f>
        <v>30500</v>
      </c>
      <c r="S72" s="86">
        <f>MAX(R72,P72)</f>
        <v>30500</v>
      </c>
      <c r="T72" s="156" t="str">
        <f>VLOOKUP(A72,'[1]MTP SKUs - Master Data'!$A:$B,2,FALSE)</f>
        <v>Y</v>
      </c>
      <c r="U72" s="162">
        <f>_xlfn.IFNA(VLOOKUP(Table1[[#This Row],[MTP SKU Code]],'Audit Dimensions'!A:N,6,FALSE),"ARC")</f>
        <v>32740</v>
      </c>
      <c r="V72" s="162">
        <f>IFERROR(Table1[[#This Row],[B1.Aud]]-Table1[[#This Row],[PW(gm)]],"ERR")</f>
        <v>2240</v>
      </c>
      <c r="W72" s="165">
        <f>IFERROR(Table1[[#This Row],[B1.Diff]]/Table1[[#This Row],[B1.Aud]],"ERR")</f>
        <v>6.8417837507635915E-2</v>
      </c>
      <c r="X72" s="162">
        <f>_xlfn.IFNA(VLOOKUP(Table1[[#This Row],[MTP SKU Code]],'Audit Dimensions'!A:N,10,FALSE),"ARC")</f>
        <v>0</v>
      </c>
      <c r="Y72" s="163">
        <f>IFERROR(Table1[[#This Row],[B2.Aud]]-Table1[[#This Row],[PW(gm)5]],"ERR")</f>
        <v>0</v>
      </c>
      <c r="Z72" s="165" t="str">
        <f>IFERROR(Table1[[#This Row],[B2.Diff]]/Table1[[#This Row],[B2.Aud]],"NA")</f>
        <v>NA</v>
      </c>
      <c r="AA72" s="162">
        <f>_xlfn.IFNA(VLOOKUP(Table1[[#This Row],[MTP SKU Code]],'Audit Dimensions'!A:N,14,FALSE),"ARC")</f>
        <v>0</v>
      </c>
      <c r="AB72" s="161">
        <f>IFERROR(Table1[[#This Row],[B3.Aud]]-Table1[[#This Row],[PW(gm)9]],"ERR")</f>
        <v>0</v>
      </c>
      <c r="AC72" s="168">
        <f>IFERROR(Table1[[#This Row],[B3.Diff]]/Table1[[#This Row],[BaLL.Aud]],"ERR")</f>
        <v>0</v>
      </c>
      <c r="AD72" s="189">
        <f>_xlfn.IFNA(VLOOKUP(Table1[[#This Row],[MTP SKU Code]],'Audit Dimensions'!A:U,16,FALSE),"ARC")</f>
        <v>32740</v>
      </c>
      <c r="AE72" s="165">
        <f>IFERROR(1-Table1[[#This Row],[Gms]]/Table1[[#This Row],[BaLL.Aud]],"ERR")</f>
        <v>6.841783750763597E-2</v>
      </c>
    </row>
    <row r="73" spans="1:31" ht="12.75" customHeight="1">
      <c r="A73" s="68" t="s">
        <v>118</v>
      </c>
      <c r="B73" s="84" t="s">
        <v>48</v>
      </c>
      <c r="C73" s="190">
        <f>_xlfn.XLOOKUP(Table1[[#This Row],[MTP SKU Code]],'Audit Dimensions'!A:A,'Audit Dimensions'!C:C,0)</f>
        <v>192</v>
      </c>
      <c r="D73" s="190">
        <f>_xlfn.XLOOKUP(Table1[[#This Row],[MTP SKU Code]],'Audit Dimensions'!$A:$A,'Audit Dimensions'!D:D,0)</f>
        <v>45</v>
      </c>
      <c r="E73" s="190">
        <f>_xlfn.XLOOKUP(Table1[[#This Row],[MTP SKU Code]],'Audit Dimensions'!$A:$A,'Audit Dimensions'!E:E,0)</f>
        <v>13</v>
      </c>
      <c r="F73" s="190">
        <v>48300</v>
      </c>
      <c r="G73" s="190">
        <f>_xlfn.XLOOKUP(Table1[[#This Row],[MTP SKU Code]],'Audit Dimensions'!$A:$A,'Audit Dimensions'!G:G,0)</f>
        <v>0</v>
      </c>
      <c r="H73" s="190">
        <f>_xlfn.XLOOKUP(Table1[[#This Row],[MTP SKU Code]],'Audit Dimensions'!$A:$A,'Audit Dimensions'!H:H,0)</f>
        <v>0</v>
      </c>
      <c r="I73" s="190">
        <f>_xlfn.XLOOKUP(Table1[[#This Row],[MTP SKU Code]],'Audit Dimensions'!$A:$A,'Audit Dimensions'!I:I,0)</f>
        <v>0</v>
      </c>
      <c r="J73" s="190">
        <f>_xlfn.XLOOKUP(Table1[[#This Row],[MTP SKU Code]],'Audit Dimensions'!$A:$A,'Audit Dimensions'!J:J,0)</f>
        <v>0</v>
      </c>
      <c r="K73" s="190">
        <f>_xlfn.XLOOKUP(Table1[[#This Row],[MTP SKU Code]],'Audit Dimensions'!$A:$A,'Audit Dimensions'!K:K,0)</f>
        <v>0</v>
      </c>
      <c r="L73" s="190">
        <f>_xlfn.XLOOKUP(Table1[[#This Row],[MTP SKU Code]],'Audit Dimensions'!$A:$A,'Audit Dimensions'!L:L,0)</f>
        <v>0</v>
      </c>
      <c r="M73" s="190">
        <f>_xlfn.XLOOKUP(Table1[[#This Row],[MTP SKU Code]],'Audit Dimensions'!$A:$A,'Audit Dimensions'!M:M,0)</f>
        <v>0</v>
      </c>
      <c r="N73" s="190">
        <f>_xlfn.XLOOKUP(Table1[[#This Row],[MTP SKU Code]],'Audit Dimensions'!$A:$A,'Audit Dimensions'!N:N,0)</f>
        <v>0</v>
      </c>
      <c r="O73" s="118">
        <f>((IFERROR((C73*D73*E73),0)+IFERROR((G73*H73*I73),0)+IFERROR((K73*L73*M73),0))/1000000)*35.32</f>
        <v>3.9671424000000002</v>
      </c>
      <c r="P73" s="125">
        <f>Table1[[#This Row],[Column15]]*$P$2*1000</f>
        <v>23802.8544</v>
      </c>
      <c r="Q73" s="87">
        <f>F73+J73+N73</f>
        <v>48300</v>
      </c>
      <c r="R73" s="88">
        <f>MAX(Q73,O73)</f>
        <v>48300</v>
      </c>
      <c r="S73" s="86">
        <f>MAX(R73,P73)</f>
        <v>48300</v>
      </c>
      <c r="T73" s="156" t="str">
        <f>VLOOKUP(A73,'[1]MTP SKUs - Master Data'!$A:$B,2,FALSE)</f>
        <v>Y</v>
      </c>
      <c r="U73" s="162">
        <f>_xlfn.IFNA(VLOOKUP(Table1[[#This Row],[MTP SKU Code]],'Audit Dimensions'!A:N,6,FALSE),"ARC")</f>
        <v>51550</v>
      </c>
      <c r="V73" s="162">
        <f>IFERROR(Table1[[#This Row],[B1.Aud]]-Table1[[#This Row],[PW(gm)]],"ERR")</f>
        <v>3250</v>
      </c>
      <c r="W73" s="165">
        <f>IFERROR(Table1[[#This Row],[B1.Diff]]/Table1[[#This Row],[B1.Aud]],"ERR")</f>
        <v>6.3045586808923373E-2</v>
      </c>
      <c r="X73" s="162">
        <f>_xlfn.IFNA(VLOOKUP(Table1[[#This Row],[MTP SKU Code]],'Audit Dimensions'!A:N,10,FALSE),"ARC")</f>
        <v>0</v>
      </c>
      <c r="Y73" s="163">
        <f>IFERROR(Table1[[#This Row],[B2.Aud]]-Table1[[#This Row],[PW(gm)5]],"ERR")</f>
        <v>0</v>
      </c>
      <c r="Z73" s="165" t="str">
        <f>IFERROR(Table1[[#This Row],[B2.Diff]]/Table1[[#This Row],[B2.Aud]],"NA")</f>
        <v>NA</v>
      </c>
      <c r="AA73" s="162">
        <f>_xlfn.IFNA(VLOOKUP(Table1[[#This Row],[MTP SKU Code]],'Audit Dimensions'!A:N,14,FALSE),"ARC")</f>
        <v>0</v>
      </c>
      <c r="AB73" s="161">
        <f>IFERROR(Table1[[#This Row],[B3.Aud]]-Table1[[#This Row],[PW(gm)9]],"ERR")</f>
        <v>0</v>
      </c>
      <c r="AC73" s="168">
        <f>IFERROR(Table1[[#This Row],[B3.Diff]]/Table1[[#This Row],[BaLL.Aud]],"ERR")</f>
        <v>0</v>
      </c>
      <c r="AD73" s="189">
        <f>_xlfn.IFNA(VLOOKUP(Table1[[#This Row],[MTP SKU Code]],'Audit Dimensions'!A:U,16,FALSE),"ARC")</f>
        <v>51550</v>
      </c>
      <c r="AE73" s="165">
        <f>IFERROR(1-Table1[[#This Row],[Gms]]/Table1[[#This Row],[BaLL.Aud]],"ERR")</f>
        <v>6.304558680892336E-2</v>
      </c>
    </row>
    <row r="74" spans="1:31">
      <c r="A74" s="68" t="s">
        <v>119</v>
      </c>
      <c r="B74" s="84" t="s">
        <v>48</v>
      </c>
      <c r="C74" s="190">
        <f>_xlfn.XLOOKUP(Table1[[#This Row],[MTP SKU Code]],'Audit Dimensions'!A:A,'Audit Dimensions'!C:C,0)</f>
        <v>118</v>
      </c>
      <c r="D74" s="190">
        <f>_xlfn.XLOOKUP(Table1[[#This Row],[MTP SKU Code]],'Audit Dimensions'!$A:$A,'Audit Dimensions'!D:D,0)</f>
        <v>42</v>
      </c>
      <c r="E74" s="190">
        <f>_xlfn.XLOOKUP(Table1[[#This Row],[MTP SKU Code]],'Audit Dimensions'!$A:$A,'Audit Dimensions'!E:E,0)</f>
        <v>17</v>
      </c>
      <c r="F74" s="190">
        <v>27500</v>
      </c>
      <c r="G74" s="190">
        <f>_xlfn.XLOOKUP(Table1[[#This Row],[MTP SKU Code]],'Audit Dimensions'!$A:$A,'Audit Dimensions'!G:G,0)</f>
        <v>0</v>
      </c>
      <c r="H74" s="190">
        <f>_xlfn.XLOOKUP(Table1[[#This Row],[MTP SKU Code]],'Audit Dimensions'!$A:$A,'Audit Dimensions'!H:H,0)</f>
        <v>0</v>
      </c>
      <c r="I74" s="190">
        <f>_xlfn.XLOOKUP(Table1[[#This Row],[MTP SKU Code]],'Audit Dimensions'!$A:$A,'Audit Dimensions'!I:I,0)</f>
        <v>0</v>
      </c>
      <c r="J74" s="190">
        <f>_xlfn.XLOOKUP(Table1[[#This Row],[MTP SKU Code]],'Audit Dimensions'!$A:$A,'Audit Dimensions'!J:J,0)</f>
        <v>0</v>
      </c>
      <c r="K74" s="190">
        <f>_xlfn.XLOOKUP(Table1[[#This Row],[MTP SKU Code]],'Audit Dimensions'!$A:$A,'Audit Dimensions'!K:K,0)</f>
        <v>0</v>
      </c>
      <c r="L74" s="190">
        <f>_xlfn.XLOOKUP(Table1[[#This Row],[MTP SKU Code]],'Audit Dimensions'!$A:$A,'Audit Dimensions'!L:L,0)</f>
        <v>0</v>
      </c>
      <c r="M74" s="190">
        <f>_xlfn.XLOOKUP(Table1[[#This Row],[MTP SKU Code]],'Audit Dimensions'!$A:$A,'Audit Dimensions'!M:M,0)</f>
        <v>0</v>
      </c>
      <c r="N74" s="190">
        <f>_xlfn.XLOOKUP(Table1[[#This Row],[MTP SKU Code]],'Audit Dimensions'!$A:$A,'Audit Dimensions'!N:N,0)</f>
        <v>0</v>
      </c>
      <c r="O74" s="118">
        <f>((IFERROR((C74*D74*E74),0)+IFERROR((G74*H74*I74),0)+IFERROR((K74*L74*M74),0))/1000000)*35.32</f>
        <v>2.97578064</v>
      </c>
      <c r="P74" s="125">
        <f>Table1[[#This Row],[Column15]]*$P$2*1000</f>
        <v>17854.683840000002</v>
      </c>
      <c r="Q74" s="87">
        <f>F74+J74+N74</f>
        <v>27500</v>
      </c>
      <c r="R74" s="86">
        <f>MAX(Q74,O74)</f>
        <v>27500</v>
      </c>
      <c r="S74" s="86">
        <f>MAX(R74,P74)</f>
        <v>27500</v>
      </c>
      <c r="T74" s="156" t="str">
        <f>VLOOKUP(A74,'[1]MTP SKUs - Master Data'!$A:$B,2,FALSE)</f>
        <v>Y</v>
      </c>
      <c r="U74" s="162">
        <f>_xlfn.IFNA(VLOOKUP(Table1[[#This Row],[MTP SKU Code]],'Audit Dimensions'!A:N,6,FALSE),"ARC")</f>
        <v>29360</v>
      </c>
      <c r="V74" s="162">
        <f>IFERROR(Table1[[#This Row],[B1.Aud]]-Table1[[#This Row],[PW(gm)]],"ERR")</f>
        <v>1860</v>
      </c>
      <c r="W74" s="165">
        <f>IFERROR(Table1[[#This Row],[B1.Diff]]/Table1[[#This Row],[B1.Aud]],"ERR")</f>
        <v>6.3351498637602185E-2</v>
      </c>
      <c r="X74" s="162">
        <f>_xlfn.IFNA(VLOOKUP(Table1[[#This Row],[MTP SKU Code]],'Audit Dimensions'!A:N,10,FALSE),"ARC")</f>
        <v>0</v>
      </c>
      <c r="Y74" s="163">
        <f>IFERROR(Table1[[#This Row],[B2.Aud]]-Table1[[#This Row],[PW(gm)5]],"ERR")</f>
        <v>0</v>
      </c>
      <c r="Z74" s="165" t="str">
        <f>IFERROR(Table1[[#This Row],[B2.Diff]]/Table1[[#This Row],[B2.Aud]],"NA")</f>
        <v>NA</v>
      </c>
      <c r="AA74" s="162">
        <f>_xlfn.IFNA(VLOOKUP(Table1[[#This Row],[MTP SKU Code]],'Audit Dimensions'!A:N,14,FALSE),"ARC")</f>
        <v>0</v>
      </c>
      <c r="AB74" s="161">
        <f>IFERROR(Table1[[#This Row],[B3.Aud]]-Table1[[#This Row],[PW(gm)9]],"ERR")</f>
        <v>0</v>
      </c>
      <c r="AC74" s="168">
        <f>IFERROR(Table1[[#This Row],[B3.Diff]]/Table1[[#This Row],[BaLL.Aud]],"ERR")</f>
        <v>0</v>
      </c>
      <c r="AD74" s="189">
        <f>_xlfn.IFNA(VLOOKUP(Table1[[#This Row],[MTP SKU Code]],'Audit Dimensions'!A:U,16,FALSE),"ARC")</f>
        <v>29360</v>
      </c>
      <c r="AE74" s="165">
        <f>IFERROR(1-Table1[[#This Row],[Gms]]/Table1[[#This Row],[BaLL.Aud]],"ERR")</f>
        <v>6.3351498637602144E-2</v>
      </c>
    </row>
    <row r="75" spans="1:31">
      <c r="A75" s="91" t="s">
        <v>120</v>
      </c>
      <c r="B75" s="84" t="s">
        <v>48</v>
      </c>
      <c r="C75" s="190">
        <f>_xlfn.XLOOKUP(Table1[[#This Row],[MTP SKU Code]],'Audit Dimensions'!A:A,'Audit Dimensions'!C:C,0)</f>
        <v>85</v>
      </c>
      <c r="D75" s="190">
        <f>_xlfn.XLOOKUP(Table1[[#This Row],[MTP SKU Code]],'Audit Dimensions'!$A:$A,'Audit Dimensions'!D:D,0)</f>
        <v>50</v>
      </c>
      <c r="E75" s="190">
        <f>_xlfn.XLOOKUP(Table1[[#This Row],[MTP SKU Code]],'Audit Dimensions'!$A:$A,'Audit Dimensions'!E:E,0)</f>
        <v>18</v>
      </c>
      <c r="F75" s="190">
        <v>36500</v>
      </c>
      <c r="G75" s="190">
        <f>_xlfn.XLOOKUP(Table1[[#This Row],[MTP SKU Code]],'Audit Dimensions'!$A:$A,'Audit Dimensions'!G:G,0)</f>
        <v>0</v>
      </c>
      <c r="H75" s="190">
        <f>_xlfn.XLOOKUP(Table1[[#This Row],[MTP SKU Code]],'Audit Dimensions'!$A:$A,'Audit Dimensions'!H:H,0)</f>
        <v>0</v>
      </c>
      <c r="I75" s="190">
        <f>_xlfn.XLOOKUP(Table1[[#This Row],[MTP SKU Code]],'Audit Dimensions'!$A:$A,'Audit Dimensions'!I:I,0)</f>
        <v>0</v>
      </c>
      <c r="J75" s="190">
        <f>_xlfn.XLOOKUP(Table1[[#This Row],[MTP SKU Code]],'Audit Dimensions'!$A:$A,'Audit Dimensions'!J:J,0)</f>
        <v>0</v>
      </c>
      <c r="K75" s="190">
        <f>_xlfn.XLOOKUP(Table1[[#This Row],[MTP SKU Code]],'Audit Dimensions'!$A:$A,'Audit Dimensions'!K:K,0)</f>
        <v>0</v>
      </c>
      <c r="L75" s="190">
        <f>_xlfn.XLOOKUP(Table1[[#This Row],[MTP SKU Code]],'Audit Dimensions'!$A:$A,'Audit Dimensions'!L:L,0)</f>
        <v>0</v>
      </c>
      <c r="M75" s="190">
        <f>_xlfn.XLOOKUP(Table1[[#This Row],[MTP SKU Code]],'Audit Dimensions'!$A:$A,'Audit Dimensions'!M:M,0)</f>
        <v>0</v>
      </c>
      <c r="N75" s="190">
        <f>_xlfn.XLOOKUP(Table1[[#This Row],[MTP SKU Code]],'Audit Dimensions'!$A:$A,'Audit Dimensions'!N:N,0)</f>
        <v>0</v>
      </c>
      <c r="O75" s="118">
        <f>((IFERROR((C75*D75*E75),0)+IFERROR((G75*H75*I75),0)+IFERROR((K75*L75*M75),0))/1000000)*35.32</f>
        <v>2.7019799999999998</v>
      </c>
      <c r="P75" s="125">
        <f>Table1[[#This Row],[Column15]]*$P$2*1000</f>
        <v>16211.880000000001</v>
      </c>
      <c r="Q75" s="87">
        <f>F75+J75+N75</f>
        <v>36500</v>
      </c>
      <c r="R75" s="86">
        <f>MAX(Q75,O75)</f>
        <v>36500</v>
      </c>
      <c r="S75" s="86">
        <f>MAX(R75,P75)</f>
        <v>36500</v>
      </c>
      <c r="T75" s="156" t="str">
        <f>VLOOKUP(A75,'[1]MTP SKUs - Master Data'!$A:$B,2,FALSE)</f>
        <v>Y</v>
      </c>
      <c r="U75" s="162">
        <f>_xlfn.IFNA(VLOOKUP(Table1[[#This Row],[MTP SKU Code]],'Audit Dimensions'!A:N,6,FALSE),"ARC")</f>
        <v>39520</v>
      </c>
      <c r="V75" s="162">
        <f>IFERROR(Table1[[#This Row],[B1.Aud]]-Table1[[#This Row],[PW(gm)]],"ERR")</f>
        <v>3020</v>
      </c>
      <c r="W75" s="165">
        <f>IFERROR(Table1[[#This Row],[B1.Diff]]/Table1[[#This Row],[B1.Aud]],"ERR")</f>
        <v>7.6417004048582995E-2</v>
      </c>
      <c r="X75" s="162">
        <f>_xlfn.IFNA(VLOOKUP(Table1[[#This Row],[MTP SKU Code]],'Audit Dimensions'!A:N,10,FALSE),"ARC")</f>
        <v>0</v>
      </c>
      <c r="Y75" s="163">
        <f>IFERROR(Table1[[#This Row],[B2.Aud]]-Table1[[#This Row],[PW(gm)5]],"ERR")</f>
        <v>0</v>
      </c>
      <c r="Z75" s="165" t="str">
        <f>IFERROR(Table1[[#This Row],[B2.Diff]]/Table1[[#This Row],[B2.Aud]],"NA")</f>
        <v>NA</v>
      </c>
      <c r="AA75" s="162">
        <f>_xlfn.IFNA(VLOOKUP(Table1[[#This Row],[MTP SKU Code]],'Audit Dimensions'!A:N,14,FALSE),"ARC")</f>
        <v>0</v>
      </c>
      <c r="AB75" s="161">
        <f>IFERROR(Table1[[#This Row],[B3.Aud]]-Table1[[#This Row],[PW(gm)9]],"ERR")</f>
        <v>0</v>
      </c>
      <c r="AC75" s="168">
        <f>IFERROR(Table1[[#This Row],[B3.Diff]]/Table1[[#This Row],[BaLL.Aud]],"ERR")</f>
        <v>0</v>
      </c>
      <c r="AD75" s="189">
        <f>_xlfn.IFNA(VLOOKUP(Table1[[#This Row],[MTP SKU Code]],'Audit Dimensions'!A:U,16,FALSE),"ARC")</f>
        <v>39520</v>
      </c>
      <c r="AE75" s="165">
        <f>IFERROR(1-Table1[[#This Row],[Gms]]/Table1[[#This Row],[BaLL.Aud]],"ERR")</f>
        <v>7.6417004048582982E-2</v>
      </c>
    </row>
    <row r="76" spans="1:31" ht="12.75" customHeight="1">
      <c r="A76" s="68" t="s">
        <v>121</v>
      </c>
      <c r="B76" s="84" t="s">
        <v>48</v>
      </c>
      <c r="C76" s="190">
        <f>_xlfn.XLOOKUP(Table1[[#This Row],[MTP SKU Code]],'Audit Dimensions'!A:A,'Audit Dimensions'!C:C,0)</f>
        <v>136</v>
      </c>
      <c r="D76" s="190">
        <f>_xlfn.XLOOKUP(Table1[[#This Row],[MTP SKU Code]],'Audit Dimensions'!$A:$A,'Audit Dimensions'!D:D,0)</f>
        <v>70</v>
      </c>
      <c r="E76" s="190">
        <f>_xlfn.XLOOKUP(Table1[[#This Row],[MTP SKU Code]],'Audit Dimensions'!$A:$A,'Audit Dimensions'!E:E,0)</f>
        <v>9</v>
      </c>
      <c r="F76" s="190">
        <v>38500</v>
      </c>
      <c r="G76" s="190">
        <f>_xlfn.XLOOKUP(Table1[[#This Row],[MTP SKU Code]],'Audit Dimensions'!$A:$A,'Audit Dimensions'!G:G,0)</f>
        <v>0</v>
      </c>
      <c r="H76" s="190">
        <f>_xlfn.XLOOKUP(Table1[[#This Row],[MTP SKU Code]],'Audit Dimensions'!$A:$A,'Audit Dimensions'!H:H,0)</f>
        <v>0</v>
      </c>
      <c r="I76" s="190">
        <f>_xlfn.XLOOKUP(Table1[[#This Row],[MTP SKU Code]],'Audit Dimensions'!$A:$A,'Audit Dimensions'!I:I,0)</f>
        <v>0</v>
      </c>
      <c r="J76" s="190">
        <f>_xlfn.XLOOKUP(Table1[[#This Row],[MTP SKU Code]],'Audit Dimensions'!$A:$A,'Audit Dimensions'!J:J,0)</f>
        <v>0</v>
      </c>
      <c r="K76" s="190">
        <f>_xlfn.XLOOKUP(Table1[[#This Row],[MTP SKU Code]],'Audit Dimensions'!$A:$A,'Audit Dimensions'!K:K,0)</f>
        <v>0</v>
      </c>
      <c r="L76" s="190">
        <f>_xlfn.XLOOKUP(Table1[[#This Row],[MTP SKU Code]],'Audit Dimensions'!$A:$A,'Audit Dimensions'!L:L,0)</f>
        <v>0</v>
      </c>
      <c r="M76" s="190">
        <f>_xlfn.XLOOKUP(Table1[[#This Row],[MTP SKU Code]],'Audit Dimensions'!$A:$A,'Audit Dimensions'!M:M,0)</f>
        <v>0</v>
      </c>
      <c r="N76" s="190">
        <f>_xlfn.XLOOKUP(Table1[[#This Row],[MTP SKU Code]],'Audit Dimensions'!$A:$A,'Audit Dimensions'!N:N,0)</f>
        <v>0</v>
      </c>
      <c r="O76" s="118">
        <f>((IFERROR((C76*D76*E76),0)+IFERROR((G76*H76*I76),0)+IFERROR((K76*L76*M76),0))/1000000)*35.32</f>
        <v>3.0262176000000003</v>
      </c>
      <c r="P76" s="125">
        <f>Table1[[#This Row],[Column15]]*$P$2*1000</f>
        <v>18157.3056</v>
      </c>
      <c r="Q76" s="87">
        <f>F76+J76+N76</f>
        <v>38500</v>
      </c>
      <c r="R76" s="86">
        <f>MAX(Q76,O76)</f>
        <v>38500</v>
      </c>
      <c r="S76" s="86">
        <f>MAX(R76,P76)</f>
        <v>38500</v>
      </c>
      <c r="T76" s="156" t="str">
        <f>VLOOKUP(A76,'[1]MTP SKUs - Master Data'!$A:$B,2,FALSE)</f>
        <v>Y</v>
      </c>
      <c r="U76" s="162">
        <f>_xlfn.IFNA(VLOOKUP(Table1[[#This Row],[MTP SKU Code]],'Audit Dimensions'!A:N,6,FALSE),"ARC")</f>
        <v>40570</v>
      </c>
      <c r="V76" s="162">
        <f>IFERROR(Table1[[#This Row],[B1.Aud]]-Table1[[#This Row],[PW(gm)]],"ERR")</f>
        <v>2070</v>
      </c>
      <c r="W76" s="165">
        <f>IFERROR(Table1[[#This Row],[B1.Diff]]/Table1[[#This Row],[B1.Aud]],"ERR")</f>
        <v>5.1022923342371213E-2</v>
      </c>
      <c r="X76" s="162">
        <f>_xlfn.IFNA(VLOOKUP(Table1[[#This Row],[MTP SKU Code]],'Audit Dimensions'!A:N,10,FALSE),"ARC")</f>
        <v>0</v>
      </c>
      <c r="Y76" s="163">
        <f>IFERROR(Table1[[#This Row],[B2.Aud]]-Table1[[#This Row],[PW(gm)5]],"ERR")</f>
        <v>0</v>
      </c>
      <c r="Z76" s="165" t="str">
        <f>IFERROR(Table1[[#This Row],[B2.Diff]]/Table1[[#This Row],[B2.Aud]],"NA")</f>
        <v>NA</v>
      </c>
      <c r="AA76" s="162">
        <f>_xlfn.IFNA(VLOOKUP(Table1[[#This Row],[MTP SKU Code]],'Audit Dimensions'!A:N,14,FALSE),"ARC")</f>
        <v>0</v>
      </c>
      <c r="AB76" s="161">
        <f>IFERROR(Table1[[#This Row],[B3.Aud]]-Table1[[#This Row],[PW(gm)9]],"ERR")</f>
        <v>0</v>
      </c>
      <c r="AC76" s="168">
        <f>IFERROR(Table1[[#This Row],[B3.Diff]]/Table1[[#This Row],[BaLL.Aud]],"ERR")</f>
        <v>0</v>
      </c>
      <c r="AD76" s="189">
        <f>_xlfn.IFNA(VLOOKUP(Table1[[#This Row],[MTP SKU Code]],'Audit Dimensions'!A:U,16,FALSE),"ARC")</f>
        <v>40570</v>
      </c>
      <c r="AE76" s="165">
        <f>IFERROR(1-Table1[[#This Row],[Gms]]/Table1[[#This Row],[BaLL.Aud]],"ERR")</f>
        <v>5.102292334237124E-2</v>
      </c>
    </row>
    <row r="77" spans="1:31" ht="12.75" customHeight="1">
      <c r="A77" s="68" t="s">
        <v>122</v>
      </c>
      <c r="B77" s="84" t="s">
        <v>48</v>
      </c>
      <c r="C77" s="190">
        <f>_xlfn.XLOOKUP(Table1[[#This Row],[MTP SKU Code]],'Audit Dimensions'!A:A,'Audit Dimensions'!C:C,0)</f>
        <v>137</v>
      </c>
      <c r="D77" s="190">
        <f>_xlfn.XLOOKUP(Table1[[#This Row],[MTP SKU Code]],'Audit Dimensions'!$A:$A,'Audit Dimensions'!D:D,0)</f>
        <v>34</v>
      </c>
      <c r="E77" s="190">
        <f>_xlfn.XLOOKUP(Table1[[#This Row],[MTP SKU Code]],'Audit Dimensions'!$A:$A,'Audit Dimensions'!E:E,0)</f>
        <v>10</v>
      </c>
      <c r="F77" s="190">
        <v>29500</v>
      </c>
      <c r="G77" s="190">
        <f>_xlfn.XLOOKUP(Table1[[#This Row],[MTP SKU Code]],'Audit Dimensions'!$A:$A,'Audit Dimensions'!G:G,0)</f>
        <v>0</v>
      </c>
      <c r="H77" s="190">
        <f>_xlfn.XLOOKUP(Table1[[#This Row],[MTP SKU Code]],'Audit Dimensions'!$A:$A,'Audit Dimensions'!H:H,0)</f>
        <v>0</v>
      </c>
      <c r="I77" s="190">
        <f>_xlfn.XLOOKUP(Table1[[#This Row],[MTP SKU Code]],'Audit Dimensions'!$A:$A,'Audit Dimensions'!I:I,0)</f>
        <v>0</v>
      </c>
      <c r="J77" s="190">
        <f>_xlfn.XLOOKUP(Table1[[#This Row],[MTP SKU Code]],'Audit Dimensions'!$A:$A,'Audit Dimensions'!J:J,0)</f>
        <v>0</v>
      </c>
      <c r="K77" s="190">
        <f>_xlfn.XLOOKUP(Table1[[#This Row],[MTP SKU Code]],'Audit Dimensions'!$A:$A,'Audit Dimensions'!K:K,0)</f>
        <v>0</v>
      </c>
      <c r="L77" s="190">
        <f>_xlfn.XLOOKUP(Table1[[#This Row],[MTP SKU Code]],'Audit Dimensions'!$A:$A,'Audit Dimensions'!L:L,0)</f>
        <v>0</v>
      </c>
      <c r="M77" s="190">
        <f>_xlfn.XLOOKUP(Table1[[#This Row],[MTP SKU Code]],'Audit Dimensions'!$A:$A,'Audit Dimensions'!M:M,0)</f>
        <v>0</v>
      </c>
      <c r="N77" s="190">
        <f>_xlfn.XLOOKUP(Table1[[#This Row],[MTP SKU Code]],'Audit Dimensions'!$A:$A,'Audit Dimensions'!N:N,0)</f>
        <v>0</v>
      </c>
      <c r="O77" s="118">
        <f>((IFERROR((C77*D77*E77),0)+IFERROR((G77*H77*I77),0)+IFERROR((K77*L77*M77),0))/1000000)*35.32</f>
        <v>1.6452056000000002</v>
      </c>
      <c r="P77" s="125">
        <f>Table1[[#This Row],[Column15]]*$P$2*1000</f>
        <v>9871.2335999999996</v>
      </c>
      <c r="Q77" s="87">
        <f>F77+J77+N77</f>
        <v>29500</v>
      </c>
      <c r="R77" s="86">
        <f>MAX(Q77,O77)</f>
        <v>29500</v>
      </c>
      <c r="S77" s="86">
        <f>MAX(R77,P77)</f>
        <v>29500</v>
      </c>
      <c r="T77" s="156" t="str">
        <f>VLOOKUP(A77,'[1]MTP SKUs - Master Data'!$A:$B,2,FALSE)</f>
        <v>Y</v>
      </c>
      <c r="U77" s="162">
        <f>_xlfn.IFNA(VLOOKUP(Table1[[#This Row],[MTP SKU Code]],'Audit Dimensions'!A:N,6,FALSE),"ARC")</f>
        <v>31470</v>
      </c>
      <c r="V77" s="162">
        <f>IFERROR(Table1[[#This Row],[B1.Aud]]-Table1[[#This Row],[PW(gm)]],"ERR")</f>
        <v>1970</v>
      </c>
      <c r="W77" s="165">
        <f>IFERROR(Table1[[#This Row],[B1.Diff]]/Table1[[#This Row],[B1.Aud]],"ERR")</f>
        <v>6.2599300921512557E-2</v>
      </c>
      <c r="X77" s="162">
        <f>_xlfn.IFNA(VLOOKUP(Table1[[#This Row],[MTP SKU Code]],'Audit Dimensions'!A:N,10,FALSE),"ARC")</f>
        <v>0</v>
      </c>
      <c r="Y77" s="163">
        <f>IFERROR(Table1[[#This Row],[B2.Aud]]-Table1[[#This Row],[PW(gm)5]],"ERR")</f>
        <v>0</v>
      </c>
      <c r="Z77" s="165" t="str">
        <f>IFERROR(Table1[[#This Row],[B2.Diff]]/Table1[[#This Row],[B2.Aud]],"NA")</f>
        <v>NA</v>
      </c>
      <c r="AA77" s="162">
        <f>_xlfn.IFNA(VLOOKUP(Table1[[#This Row],[MTP SKU Code]],'Audit Dimensions'!A:N,14,FALSE),"ARC")</f>
        <v>0</v>
      </c>
      <c r="AB77" s="161">
        <f>IFERROR(Table1[[#This Row],[B3.Aud]]-Table1[[#This Row],[PW(gm)9]],"ERR")</f>
        <v>0</v>
      </c>
      <c r="AC77" s="168">
        <f>IFERROR(Table1[[#This Row],[B3.Diff]]/Table1[[#This Row],[BaLL.Aud]],"ERR")</f>
        <v>0</v>
      </c>
      <c r="AD77" s="189">
        <f>_xlfn.IFNA(VLOOKUP(Table1[[#This Row],[MTP SKU Code]],'Audit Dimensions'!A:U,16,FALSE),"ARC")</f>
        <v>31470</v>
      </c>
      <c r="AE77" s="165">
        <f>IFERROR(1-Table1[[#This Row],[Gms]]/Table1[[#This Row],[BaLL.Aud]],"ERR")</f>
        <v>6.2599300921512557E-2</v>
      </c>
    </row>
    <row r="78" spans="1:31" ht="13.5" customHeight="1">
      <c r="A78" s="69" t="s">
        <v>123</v>
      </c>
      <c r="B78" s="84" t="s">
        <v>74</v>
      </c>
      <c r="C78" s="190">
        <f>_xlfn.XLOOKUP(Table1[[#This Row],[MTP SKU Code]],'Audit Dimensions'!A:A,'Audit Dimensions'!C:C,0)</f>
        <v>86</v>
      </c>
      <c r="D78" s="190">
        <f>_xlfn.XLOOKUP(Table1[[#This Row],[MTP SKU Code]],'Audit Dimensions'!$A:$A,'Audit Dimensions'!D:D,0)</f>
        <v>47</v>
      </c>
      <c r="E78" s="190">
        <f>_xlfn.XLOOKUP(Table1[[#This Row],[MTP SKU Code]],'Audit Dimensions'!$A:$A,'Audit Dimensions'!E:E,0)</f>
        <v>3</v>
      </c>
      <c r="F78" s="190">
        <v>4600</v>
      </c>
      <c r="G78" s="190">
        <v>45</v>
      </c>
      <c r="H78" s="190">
        <v>12</v>
      </c>
      <c r="I78" s="190">
        <f>_xlfn.XLOOKUP(Table1[[#This Row],[MTP SKU Code]],'Audit Dimensions'!$A:$A,'Audit Dimensions'!I:I,0)</f>
        <v>12</v>
      </c>
      <c r="J78" s="190">
        <v>1400</v>
      </c>
      <c r="K78" s="190">
        <f>_xlfn.XLOOKUP(Table1[[#This Row],[MTP SKU Code]],'Audit Dimensions'!$A:$A,'Audit Dimensions'!K:K,0)</f>
        <v>0</v>
      </c>
      <c r="L78" s="190">
        <f>_xlfn.XLOOKUP(Table1[[#This Row],[MTP SKU Code]],'Audit Dimensions'!$A:$A,'Audit Dimensions'!L:L,0)</f>
        <v>0</v>
      </c>
      <c r="M78" s="190">
        <f>_xlfn.XLOOKUP(Table1[[#This Row],[MTP SKU Code]],'Audit Dimensions'!$A:$A,'Audit Dimensions'!M:M,0)</f>
        <v>0</v>
      </c>
      <c r="N78" s="190">
        <f>_xlfn.XLOOKUP(Table1[[#This Row],[MTP SKU Code]],'Audit Dimensions'!$A:$A,'Audit Dimensions'!N:N,0)</f>
        <v>0</v>
      </c>
      <c r="O78" s="118">
        <f>((IFERROR((C78*D78*E78),0)+IFERROR((G78*H78*I78),0)+IFERROR((K78*L78*M78),0))/1000000)*35.32</f>
        <v>0.65716392000000001</v>
      </c>
      <c r="P78" s="125">
        <f>Table1[[#This Row],[Column15]]*$P$2*1000</f>
        <v>3942.9835200000002</v>
      </c>
      <c r="Q78" s="87">
        <f>F78+J78+N78</f>
        <v>6000</v>
      </c>
      <c r="R78" s="86">
        <f>MAX(Q78,O78)</f>
        <v>6000</v>
      </c>
      <c r="S78" s="86">
        <f>MAX(R78,P78)</f>
        <v>6000</v>
      </c>
      <c r="T78" s="156" t="str">
        <f>VLOOKUP(A78,'[1]MTP SKUs - Master Data'!$A:$B,2,FALSE)</f>
        <v>Y</v>
      </c>
      <c r="U78" s="162">
        <f>_xlfn.IFNA(VLOOKUP(Table1[[#This Row],[MTP SKU Code]],'Audit Dimensions'!A:N,6,FALSE),"ARC")</f>
        <v>4850</v>
      </c>
      <c r="V78" s="162">
        <f>IFERROR(Table1[[#This Row],[B1.Aud]]-Table1[[#This Row],[PW(gm)]],"ERR")</f>
        <v>250</v>
      </c>
      <c r="W78" s="165">
        <f>IFERROR(Table1[[#This Row],[B1.Diff]]/Table1[[#This Row],[B1.Aud]],"ERR")</f>
        <v>5.1546391752577317E-2</v>
      </c>
      <c r="X78" s="162">
        <f>_xlfn.IFNA(VLOOKUP(Table1[[#This Row],[MTP SKU Code]],'Audit Dimensions'!A:N,10,FALSE),"ARC")</f>
        <v>1670</v>
      </c>
      <c r="Y78" s="163">
        <f>IFERROR(Table1[[#This Row],[B2.Aud]]-Table1[[#This Row],[PW(gm)5]],"ERR")</f>
        <v>270</v>
      </c>
      <c r="Z78" s="165">
        <f>IFERROR(Table1[[#This Row],[B2.Diff]]/Table1[[#This Row],[B2.Aud]],"NA")</f>
        <v>0.16167664670658682</v>
      </c>
      <c r="AA78" s="162">
        <f>_xlfn.IFNA(VLOOKUP(Table1[[#This Row],[MTP SKU Code]],'Audit Dimensions'!A:N,14,FALSE),"ARC")</f>
        <v>0</v>
      </c>
      <c r="AB78" s="161">
        <f>IFERROR(Table1[[#This Row],[B3.Aud]]-Table1[[#This Row],[PW(gm)9]],"ERR")</f>
        <v>0</v>
      </c>
      <c r="AC78" s="168">
        <f>IFERROR(Table1[[#This Row],[B3.Diff]]/Table1[[#This Row],[BaLL.Aud]],"ERR")</f>
        <v>0</v>
      </c>
      <c r="AD78" s="189">
        <f>_xlfn.IFNA(VLOOKUP(Table1[[#This Row],[MTP SKU Code]],'Audit Dimensions'!A:U,16,FALSE),"ARC")</f>
        <v>6520</v>
      </c>
      <c r="AE78" s="165">
        <f>IFERROR(1-Table1[[#This Row],[Gms]]/Table1[[#This Row],[BaLL.Aud]],"ERR")</f>
        <v>7.9754601226993849E-2</v>
      </c>
    </row>
    <row r="79" spans="1:31" ht="12.75" customHeight="1">
      <c r="A79" s="68" t="s">
        <v>124</v>
      </c>
      <c r="B79" s="84" t="s">
        <v>48</v>
      </c>
      <c r="C79" s="190">
        <f>_xlfn.XLOOKUP(Table1[[#This Row],[MTP SKU Code]],'Audit Dimensions'!A:A,'Audit Dimensions'!C:C,0)</f>
        <v>163</v>
      </c>
      <c r="D79" s="190">
        <f>_xlfn.XLOOKUP(Table1[[#This Row],[MTP SKU Code]],'Audit Dimensions'!$A:$A,'Audit Dimensions'!D:D,0)</f>
        <v>32</v>
      </c>
      <c r="E79" s="190">
        <f>_xlfn.XLOOKUP(Table1[[#This Row],[MTP SKU Code]],'Audit Dimensions'!$A:$A,'Audit Dimensions'!E:E,0)</f>
        <v>8</v>
      </c>
      <c r="F79" s="190">
        <v>15800</v>
      </c>
      <c r="G79" s="190">
        <f>_xlfn.XLOOKUP(Table1[[#This Row],[MTP SKU Code]],'Audit Dimensions'!$A:$A,'Audit Dimensions'!G:G,0)</f>
        <v>0</v>
      </c>
      <c r="H79" s="190">
        <f>_xlfn.XLOOKUP(Table1[[#This Row],[MTP SKU Code]],'Audit Dimensions'!$A:$A,'Audit Dimensions'!H:H,0)</f>
        <v>0</v>
      </c>
      <c r="I79" s="190">
        <f>_xlfn.XLOOKUP(Table1[[#This Row],[MTP SKU Code]],'Audit Dimensions'!$A:$A,'Audit Dimensions'!I:I,0)</f>
        <v>0</v>
      </c>
      <c r="J79" s="190">
        <f>_xlfn.XLOOKUP(Table1[[#This Row],[MTP SKU Code]],'Audit Dimensions'!$A:$A,'Audit Dimensions'!J:J,0)</f>
        <v>0</v>
      </c>
      <c r="K79" s="190">
        <f>_xlfn.XLOOKUP(Table1[[#This Row],[MTP SKU Code]],'Audit Dimensions'!$A:$A,'Audit Dimensions'!K:K,0)</f>
        <v>0</v>
      </c>
      <c r="L79" s="190">
        <f>_xlfn.XLOOKUP(Table1[[#This Row],[MTP SKU Code]],'Audit Dimensions'!$A:$A,'Audit Dimensions'!L:L,0)</f>
        <v>0</v>
      </c>
      <c r="M79" s="190">
        <f>_xlfn.XLOOKUP(Table1[[#This Row],[MTP SKU Code]],'Audit Dimensions'!$A:$A,'Audit Dimensions'!M:M,0)</f>
        <v>0</v>
      </c>
      <c r="N79" s="190">
        <f>_xlfn.XLOOKUP(Table1[[#This Row],[MTP SKU Code]],'Audit Dimensions'!$A:$A,'Audit Dimensions'!N:N,0)</f>
        <v>0</v>
      </c>
      <c r="O79" s="118">
        <f>((IFERROR((C79*D79*E79),0)+IFERROR((G79*H79*I79),0)+IFERROR((K79*L79*M79),0))/1000000)*35.32</f>
        <v>1.47383296</v>
      </c>
      <c r="P79" s="125">
        <f>Table1[[#This Row],[Column15]]*$P$2*1000</f>
        <v>8842.9977600000002</v>
      </c>
      <c r="Q79" s="87">
        <f>F79+J79+N79</f>
        <v>15800</v>
      </c>
      <c r="R79" s="86">
        <f>MAX(Q79,O79)</f>
        <v>15800</v>
      </c>
      <c r="S79" s="86">
        <f>MAX(R79,P79)</f>
        <v>15800</v>
      </c>
      <c r="T79" s="156" t="str">
        <f>VLOOKUP(A79,'[1]MTP SKUs - Master Data'!$A:$B,2,FALSE)</f>
        <v>Y</v>
      </c>
      <c r="U79" s="162">
        <f>_xlfn.IFNA(VLOOKUP(Table1[[#This Row],[MTP SKU Code]],'Audit Dimensions'!A:N,6,FALSE),"ARC")</f>
        <v>16260</v>
      </c>
      <c r="V79" s="162">
        <f>IFERROR(Table1[[#This Row],[B1.Aud]]-Table1[[#This Row],[PW(gm)]],"ERR")</f>
        <v>460</v>
      </c>
      <c r="W79" s="165">
        <f>IFERROR(Table1[[#This Row],[B1.Diff]]/Table1[[#This Row],[B1.Aud]],"ERR")</f>
        <v>2.8290282902829027E-2</v>
      </c>
      <c r="X79" s="162">
        <f>_xlfn.IFNA(VLOOKUP(Table1[[#This Row],[MTP SKU Code]],'Audit Dimensions'!A:N,10,FALSE),"ARC")</f>
        <v>0</v>
      </c>
      <c r="Y79" s="163">
        <f>IFERROR(Table1[[#This Row],[B2.Aud]]-Table1[[#This Row],[PW(gm)5]],"ERR")</f>
        <v>0</v>
      </c>
      <c r="Z79" s="165" t="str">
        <f>IFERROR(Table1[[#This Row],[B2.Diff]]/Table1[[#This Row],[B2.Aud]],"NA")</f>
        <v>NA</v>
      </c>
      <c r="AA79" s="162">
        <f>_xlfn.IFNA(VLOOKUP(Table1[[#This Row],[MTP SKU Code]],'Audit Dimensions'!A:N,14,FALSE),"ARC")</f>
        <v>0</v>
      </c>
      <c r="AB79" s="161">
        <f>IFERROR(Table1[[#This Row],[B3.Aud]]-Table1[[#This Row],[PW(gm)9]],"ERR")</f>
        <v>0</v>
      </c>
      <c r="AC79" s="168">
        <f>IFERROR(Table1[[#This Row],[B3.Diff]]/Table1[[#This Row],[BaLL.Aud]],"ERR")</f>
        <v>0</v>
      </c>
      <c r="AD79" s="189">
        <f>_xlfn.IFNA(VLOOKUP(Table1[[#This Row],[MTP SKU Code]],'Audit Dimensions'!A:U,16,FALSE),"ARC")</f>
        <v>16260</v>
      </c>
      <c r="AE79" s="165">
        <f>IFERROR(1-Table1[[#This Row],[Gms]]/Table1[[#This Row],[BaLL.Aud]],"ERR")</f>
        <v>2.8290282902828978E-2</v>
      </c>
    </row>
    <row r="80" spans="1:31">
      <c r="A80" s="98" t="s">
        <v>125</v>
      </c>
      <c r="B80" s="84" t="s">
        <v>74</v>
      </c>
      <c r="C80" s="190">
        <f>_xlfn.XLOOKUP(Table1[[#This Row],[MTP SKU Code]],'Audit Dimensions'!A:A,'Audit Dimensions'!C:C,0)</f>
        <v>193</v>
      </c>
      <c r="D80" s="190">
        <f>_xlfn.XLOOKUP(Table1[[#This Row],[MTP SKU Code]],'Audit Dimensions'!$A:$A,'Audit Dimensions'!D:D,0)</f>
        <v>46</v>
      </c>
      <c r="E80" s="190">
        <f>_xlfn.XLOOKUP(Table1[[#This Row],[MTP SKU Code]],'Audit Dimensions'!$A:$A,'Audit Dimensions'!E:E,0)</f>
        <v>13</v>
      </c>
      <c r="F80" s="190">
        <v>49800</v>
      </c>
      <c r="G80" s="190">
        <f>_xlfn.XLOOKUP(Table1[[#This Row],[MTP SKU Code]],'Audit Dimensions'!$A:$A,'Audit Dimensions'!G:G,0)</f>
        <v>0</v>
      </c>
      <c r="H80" s="190">
        <f>_xlfn.XLOOKUP(Table1[[#This Row],[MTP SKU Code]],'Audit Dimensions'!$A:$A,'Audit Dimensions'!H:H,0)</f>
        <v>0</v>
      </c>
      <c r="I80" s="190">
        <f>_xlfn.XLOOKUP(Table1[[#This Row],[MTP SKU Code]],'Audit Dimensions'!$A:$A,'Audit Dimensions'!I:I,0)</f>
        <v>0</v>
      </c>
      <c r="J80" s="190">
        <f>_xlfn.XLOOKUP(Table1[[#This Row],[MTP SKU Code]],'Audit Dimensions'!$A:$A,'Audit Dimensions'!J:J,0)</f>
        <v>0</v>
      </c>
      <c r="K80" s="190">
        <f>_xlfn.XLOOKUP(Table1[[#This Row],[MTP SKU Code]],'Audit Dimensions'!$A:$A,'Audit Dimensions'!K:K,0)</f>
        <v>0</v>
      </c>
      <c r="L80" s="190">
        <f>_xlfn.XLOOKUP(Table1[[#This Row],[MTP SKU Code]],'Audit Dimensions'!$A:$A,'Audit Dimensions'!L:L,0)</f>
        <v>0</v>
      </c>
      <c r="M80" s="190">
        <f>_xlfn.XLOOKUP(Table1[[#This Row],[MTP SKU Code]],'Audit Dimensions'!$A:$A,'Audit Dimensions'!M:M,0)</f>
        <v>0</v>
      </c>
      <c r="N80" s="190">
        <f>_xlfn.XLOOKUP(Table1[[#This Row],[MTP SKU Code]],'Audit Dimensions'!$A:$A,'Audit Dimensions'!N:N,0)</f>
        <v>0</v>
      </c>
      <c r="O80" s="118">
        <f>((IFERROR((C80*D80*E80),0)+IFERROR((G80*H80*I80),0)+IFERROR((K80*L80*M80),0))/1000000)*35.32</f>
        <v>4.0764224799999997</v>
      </c>
      <c r="P80" s="125">
        <f>Table1[[#This Row],[Column15]]*$P$2*1000</f>
        <v>24458.534879999999</v>
      </c>
      <c r="Q80" s="87">
        <f>F80+J80+N80</f>
        <v>49800</v>
      </c>
      <c r="R80" s="86">
        <f>MAX(Q80,O80)</f>
        <v>49800</v>
      </c>
      <c r="S80" s="86">
        <f>MAX(R80,P80)</f>
        <v>49800</v>
      </c>
      <c r="T80" s="156" t="str">
        <f>VLOOKUP(A80,'[1]MTP SKUs - Master Data'!$A:$B,2,FALSE)</f>
        <v>Y</v>
      </c>
      <c r="U80" s="162">
        <f>_xlfn.IFNA(VLOOKUP(Table1[[#This Row],[MTP SKU Code]],'Audit Dimensions'!A:N,6,FALSE),"ARC")</f>
        <v>52880</v>
      </c>
      <c r="V80" s="162">
        <f>IFERROR(Table1[[#This Row],[B1.Aud]]-Table1[[#This Row],[PW(gm)]],"ERR")</f>
        <v>3080</v>
      </c>
      <c r="W80" s="165">
        <f>IFERROR(Table1[[#This Row],[B1.Diff]]/Table1[[#This Row],[B1.Aud]],"ERR")</f>
        <v>5.8245083207261725E-2</v>
      </c>
      <c r="X80" s="162">
        <f>_xlfn.IFNA(VLOOKUP(Table1[[#This Row],[MTP SKU Code]],'Audit Dimensions'!A:N,10,FALSE),"ARC")</f>
        <v>0</v>
      </c>
      <c r="Y80" s="163">
        <f>IFERROR(Table1[[#This Row],[B2.Aud]]-Table1[[#This Row],[PW(gm)5]],"ERR")</f>
        <v>0</v>
      </c>
      <c r="Z80" s="165" t="str">
        <f>IFERROR(Table1[[#This Row],[B2.Diff]]/Table1[[#This Row],[B2.Aud]],"NA")</f>
        <v>NA</v>
      </c>
      <c r="AA80" s="162">
        <f>_xlfn.IFNA(VLOOKUP(Table1[[#This Row],[MTP SKU Code]],'Audit Dimensions'!A:N,14,FALSE),"ARC")</f>
        <v>0</v>
      </c>
      <c r="AB80" s="161">
        <f>IFERROR(Table1[[#This Row],[B3.Aud]]-Table1[[#This Row],[PW(gm)9]],"ERR")</f>
        <v>0</v>
      </c>
      <c r="AC80" s="168">
        <f>IFERROR(Table1[[#This Row],[B3.Diff]]/Table1[[#This Row],[BaLL.Aud]],"ERR")</f>
        <v>0</v>
      </c>
      <c r="AD80" s="189">
        <f>_xlfn.IFNA(VLOOKUP(Table1[[#This Row],[MTP SKU Code]],'Audit Dimensions'!A:U,16,FALSE),"ARC")</f>
        <v>52880</v>
      </c>
      <c r="AE80" s="165">
        <f>IFERROR(1-Table1[[#This Row],[Gms]]/Table1[[#This Row],[BaLL.Aud]],"ERR")</f>
        <v>5.8245083207261739E-2</v>
      </c>
    </row>
    <row r="81" spans="1:31" ht="12.4" customHeight="1">
      <c r="A81" s="91" t="s">
        <v>126</v>
      </c>
      <c r="B81" s="84" t="s">
        <v>48</v>
      </c>
      <c r="C81" s="190">
        <f>_xlfn.XLOOKUP(Table1[[#This Row],[MTP SKU Code]],'Audit Dimensions'!A:A,'Audit Dimensions'!C:C,0)</f>
        <v>97</v>
      </c>
      <c r="D81" s="190">
        <f>_xlfn.XLOOKUP(Table1[[#This Row],[MTP SKU Code]],'Audit Dimensions'!$A:$A,'Audit Dimensions'!D:D,0)</f>
        <v>40</v>
      </c>
      <c r="E81" s="190">
        <f>_xlfn.XLOOKUP(Table1[[#This Row],[MTP SKU Code]],'Audit Dimensions'!$A:$A,'Audit Dimensions'!E:E,0)</f>
        <v>18</v>
      </c>
      <c r="F81" s="190">
        <v>30200</v>
      </c>
      <c r="G81" s="190">
        <f>_xlfn.XLOOKUP(Table1[[#This Row],[MTP SKU Code]],'Audit Dimensions'!$A:$A,'Audit Dimensions'!G:G,0)</f>
        <v>0</v>
      </c>
      <c r="H81" s="190">
        <f>_xlfn.XLOOKUP(Table1[[#This Row],[MTP SKU Code]],'Audit Dimensions'!$A:$A,'Audit Dimensions'!H:H,0)</f>
        <v>0</v>
      </c>
      <c r="I81" s="190">
        <f>_xlfn.XLOOKUP(Table1[[#This Row],[MTP SKU Code]],'Audit Dimensions'!$A:$A,'Audit Dimensions'!I:I,0)</f>
        <v>0</v>
      </c>
      <c r="J81" s="190">
        <f>_xlfn.XLOOKUP(Table1[[#This Row],[MTP SKU Code]],'Audit Dimensions'!$A:$A,'Audit Dimensions'!J:J,0)</f>
        <v>0</v>
      </c>
      <c r="K81" s="190">
        <f>_xlfn.XLOOKUP(Table1[[#This Row],[MTP SKU Code]],'Audit Dimensions'!$A:$A,'Audit Dimensions'!K:K,0)</f>
        <v>0</v>
      </c>
      <c r="L81" s="190">
        <f>_xlfn.XLOOKUP(Table1[[#This Row],[MTP SKU Code]],'Audit Dimensions'!$A:$A,'Audit Dimensions'!L:L,0)</f>
        <v>0</v>
      </c>
      <c r="M81" s="190">
        <f>_xlfn.XLOOKUP(Table1[[#This Row],[MTP SKU Code]],'Audit Dimensions'!$A:$A,'Audit Dimensions'!M:M,0)</f>
        <v>0</v>
      </c>
      <c r="N81" s="190">
        <f>_xlfn.XLOOKUP(Table1[[#This Row],[MTP SKU Code]],'Audit Dimensions'!$A:$A,'Audit Dimensions'!N:N,0)</f>
        <v>0</v>
      </c>
      <c r="O81" s="118">
        <f>((IFERROR((C81*D81*E81),0)+IFERROR((G81*H81*I81),0)+IFERROR((K81*L81*M81),0))/1000000)*35.32</f>
        <v>2.4667488</v>
      </c>
      <c r="P81" s="125">
        <f>Table1[[#This Row],[Column15]]*$P$2*1000</f>
        <v>14800.4928</v>
      </c>
      <c r="Q81" s="87">
        <f>F81+J81+N81</f>
        <v>30200</v>
      </c>
      <c r="R81" s="86">
        <f>MAX(Q81,O81)</f>
        <v>30200</v>
      </c>
      <c r="S81" s="86">
        <f>MAX(R81,P81)</f>
        <v>30200</v>
      </c>
      <c r="T81" s="156" t="str">
        <f>VLOOKUP(A81,'[1]MTP SKUs - Master Data'!$A:$B,2,FALSE)</f>
        <v>Y</v>
      </c>
      <c r="U81" s="162">
        <f>_xlfn.IFNA(VLOOKUP(Table1[[#This Row],[MTP SKU Code]],'Audit Dimensions'!A:N,6,FALSE),"ARC")</f>
        <v>31640</v>
      </c>
      <c r="V81" s="162">
        <f>IFERROR(Table1[[#This Row],[B1.Aud]]-Table1[[#This Row],[PW(gm)]],"ERR")</f>
        <v>1440</v>
      </c>
      <c r="W81" s="165">
        <f>IFERROR(Table1[[#This Row],[B1.Diff]]/Table1[[#This Row],[B1.Aud]],"ERR")</f>
        <v>4.5512010113780026E-2</v>
      </c>
      <c r="X81" s="162">
        <f>_xlfn.IFNA(VLOOKUP(Table1[[#This Row],[MTP SKU Code]],'Audit Dimensions'!A:N,10,FALSE),"ARC")</f>
        <v>0</v>
      </c>
      <c r="Y81" s="163">
        <f>IFERROR(Table1[[#This Row],[B2.Aud]]-Table1[[#This Row],[PW(gm)5]],"ERR")</f>
        <v>0</v>
      </c>
      <c r="Z81" s="165" t="str">
        <f>IFERROR(Table1[[#This Row],[B2.Diff]]/Table1[[#This Row],[B2.Aud]],"NA")</f>
        <v>NA</v>
      </c>
      <c r="AA81" s="162">
        <f>_xlfn.IFNA(VLOOKUP(Table1[[#This Row],[MTP SKU Code]],'Audit Dimensions'!A:N,14,FALSE),"ARC")</f>
        <v>0</v>
      </c>
      <c r="AB81" s="161">
        <f>IFERROR(Table1[[#This Row],[B3.Aud]]-Table1[[#This Row],[PW(gm)9]],"ERR")</f>
        <v>0</v>
      </c>
      <c r="AC81" s="168">
        <f>IFERROR(Table1[[#This Row],[B3.Diff]]/Table1[[#This Row],[BaLL.Aud]],"ERR")</f>
        <v>0</v>
      </c>
      <c r="AD81" s="189">
        <f>_xlfn.IFNA(VLOOKUP(Table1[[#This Row],[MTP SKU Code]],'Audit Dimensions'!A:U,16,FALSE),"ARC")</f>
        <v>31640</v>
      </c>
      <c r="AE81" s="165">
        <f>IFERROR(1-Table1[[#This Row],[Gms]]/Table1[[#This Row],[BaLL.Aud]],"ERR")</f>
        <v>4.5512010113780033E-2</v>
      </c>
    </row>
    <row r="82" spans="1:31" hidden="1">
      <c r="A82" s="68" t="s">
        <v>127</v>
      </c>
      <c r="B82" s="84" t="s">
        <v>48</v>
      </c>
      <c r="C82" s="85">
        <v>76</v>
      </c>
      <c r="D82" s="85">
        <v>76</v>
      </c>
      <c r="E82" s="85">
        <v>4</v>
      </c>
      <c r="F82" s="89">
        <v>12200</v>
      </c>
      <c r="G82" s="85"/>
      <c r="H82" s="85"/>
      <c r="I82" s="85"/>
      <c r="J82" s="85"/>
      <c r="K82" s="85"/>
      <c r="L82" s="85"/>
      <c r="M82" s="85"/>
      <c r="N82" s="85"/>
      <c r="O82" s="118">
        <f>((IFERROR((C82*D82*E82),0)+IFERROR((G82*H82*I82),0)+IFERROR((K82*L82*M82),0))/1000000)*35.32</f>
        <v>0.81603327999999997</v>
      </c>
      <c r="P82" s="125">
        <f>Table1[[#This Row],[Column15]]*$P$2*1000</f>
        <v>4896.1996799999997</v>
      </c>
      <c r="Q82" s="87">
        <f>F82+J82+N82</f>
        <v>12200</v>
      </c>
      <c r="R82" s="86">
        <f>MAX(Q82,O82)</f>
        <v>12200</v>
      </c>
      <c r="S82" s="86">
        <f>MAX(R82,P82)</f>
        <v>12200</v>
      </c>
      <c r="T82" s="156" t="str">
        <f>VLOOKUP(A82,'[1]MTP SKUs - Master Data'!$A:$B,2,FALSE)</f>
        <v>DI</v>
      </c>
      <c r="U82" s="162">
        <f>_xlfn.IFNA(VLOOKUP(Table1[[#This Row],[MTP SKU Code]],'Audit Dimensions'!A:N,6,FALSE),"ARC")</f>
        <v>12400</v>
      </c>
      <c r="V82" s="162">
        <f>IFERROR(Table1[[#This Row],[B1.Aud]]-Table1[[#This Row],[PW(gm)]],"ERR")</f>
        <v>200</v>
      </c>
      <c r="W82" s="165">
        <f>IFERROR(Table1[[#This Row],[B1.Diff]]/Table1[[#This Row],[B1.Aud]],"ERR")</f>
        <v>1.6129032258064516E-2</v>
      </c>
      <c r="X82" s="162">
        <f>_xlfn.IFNA(VLOOKUP(Table1[[#This Row],[MTP SKU Code]],'Audit Dimensions'!A:N,10,FALSE),"ARC")</f>
        <v>0</v>
      </c>
      <c r="Y82" s="163">
        <f>IFERROR(Table1[[#This Row],[B2.Aud]]-Table1[[#This Row],[PW(gm)5]],"ERR")</f>
        <v>0</v>
      </c>
      <c r="Z82" s="165" t="str">
        <f>IFERROR(Table1[[#This Row],[B2.Diff]]/Table1[[#This Row],[B2.Aud]],"NA")</f>
        <v>NA</v>
      </c>
      <c r="AA82" s="162">
        <f>_xlfn.IFNA(VLOOKUP(Table1[[#This Row],[MTP SKU Code]],'Audit Dimensions'!A:N,14,FALSE),"ARC")</f>
        <v>0</v>
      </c>
      <c r="AB82" s="161">
        <f>IFERROR(Table1[[#This Row],[B3.Aud]]-Table1[[#This Row],[PW(gm)9]],"ERR")</f>
        <v>0</v>
      </c>
      <c r="AC82" s="168">
        <f>IFERROR(Table1[[#This Row],[B3.Diff]]/Table1[[#This Row],[BaLL.Aud]],"ERR")</f>
        <v>0</v>
      </c>
      <c r="AD82" s="162">
        <f>_xlfn.IFNA(VLOOKUP(Table1[[#This Row],[MTP SKU Code]],'Audit Dimensions'!A:U,16,FALSE),"ARC")</f>
        <v>12400</v>
      </c>
      <c r="AE82" s="165">
        <f>IFERROR(1-Table1[[#This Row],[Gms]]/Table1[[#This Row],[BaLL.Aud]],"ERR")</f>
        <v>1.6129032258064502E-2</v>
      </c>
    </row>
    <row r="83" spans="1:31">
      <c r="A83" s="68" t="s">
        <v>128</v>
      </c>
      <c r="B83" s="84" t="s">
        <v>48</v>
      </c>
      <c r="C83" s="190">
        <f>_xlfn.XLOOKUP(Table1[[#This Row],[MTP SKU Code]],'Audit Dimensions'!A:A,'Audit Dimensions'!C:C,0)</f>
        <v>1</v>
      </c>
      <c r="D83" s="190">
        <f>_xlfn.XLOOKUP(Table1[[#This Row],[MTP SKU Code]],'Audit Dimensions'!$A:$A,'Audit Dimensions'!D:D,0)</f>
        <v>1</v>
      </c>
      <c r="E83" s="190">
        <f>_xlfn.XLOOKUP(Table1[[#This Row],[MTP SKU Code]],'Audit Dimensions'!$A:$A,'Audit Dimensions'!E:E,0)</f>
        <v>1</v>
      </c>
      <c r="F83" s="190">
        <v>53600</v>
      </c>
      <c r="G83" s="190">
        <f>_xlfn.XLOOKUP(Table1[[#This Row],[MTP SKU Code]],'Audit Dimensions'!$A:$A,'Audit Dimensions'!G:G,0)</f>
        <v>0</v>
      </c>
      <c r="H83" s="190">
        <f>_xlfn.XLOOKUP(Table1[[#This Row],[MTP SKU Code]],'Audit Dimensions'!$A:$A,'Audit Dimensions'!H:H,0)</f>
        <v>0</v>
      </c>
      <c r="I83" s="190">
        <f>_xlfn.XLOOKUP(Table1[[#This Row],[MTP SKU Code]],'Audit Dimensions'!$A:$A,'Audit Dimensions'!I:I,0)</f>
        <v>0</v>
      </c>
      <c r="J83" s="190">
        <f>_xlfn.XLOOKUP(Table1[[#This Row],[MTP SKU Code]],'Audit Dimensions'!$A:$A,'Audit Dimensions'!J:J,0)</f>
        <v>0</v>
      </c>
      <c r="K83" s="190">
        <f>_xlfn.XLOOKUP(Table1[[#This Row],[MTP SKU Code]],'Audit Dimensions'!$A:$A,'Audit Dimensions'!K:K,0)</f>
        <v>0</v>
      </c>
      <c r="L83" s="190">
        <f>_xlfn.XLOOKUP(Table1[[#This Row],[MTP SKU Code]],'Audit Dimensions'!$A:$A,'Audit Dimensions'!L:L,0)</f>
        <v>0</v>
      </c>
      <c r="M83" s="190">
        <f>_xlfn.XLOOKUP(Table1[[#This Row],[MTP SKU Code]],'Audit Dimensions'!$A:$A,'Audit Dimensions'!M:M,0)</f>
        <v>0</v>
      </c>
      <c r="N83" s="190">
        <f>_xlfn.XLOOKUP(Table1[[#This Row],[MTP SKU Code]],'Audit Dimensions'!$A:$A,'Audit Dimensions'!N:N,0)</f>
        <v>0</v>
      </c>
      <c r="O83" s="118">
        <f>((IFERROR((C83*D83*E83),0)+IFERROR((G83*H83*I83),0)+IFERROR((K83*L83*M83),0))/1000000)*35.32</f>
        <v>3.5320000000000001E-5</v>
      </c>
      <c r="P83" s="125">
        <f>Table1[[#This Row],[Column15]]*$P$2*1000</f>
        <v>0.21192</v>
      </c>
      <c r="Q83" s="87">
        <f>F83+J83+N83</f>
        <v>53600</v>
      </c>
      <c r="R83" s="88">
        <f>MAX(Q83,O83)</f>
        <v>53600</v>
      </c>
      <c r="S83" s="86">
        <f>MAX(R83,P83)</f>
        <v>53600</v>
      </c>
      <c r="T83" s="156" t="str">
        <f>VLOOKUP(A83,'[1]MTP SKUs - Master Data'!$A:$B,2,FALSE)</f>
        <v>Y</v>
      </c>
      <c r="U83" s="162">
        <f>_xlfn.IFNA(VLOOKUP(Table1[[#This Row],[MTP SKU Code]],'Audit Dimensions'!A:N,6,FALSE),"ARC")</f>
        <v>56000</v>
      </c>
      <c r="V83" s="162">
        <f>IFERROR(Table1[[#This Row],[B1.Aud]]-Table1[[#This Row],[PW(gm)]],"ERR")</f>
        <v>2400</v>
      </c>
      <c r="W83" s="165">
        <f>IFERROR(Table1[[#This Row],[B1.Diff]]/Table1[[#This Row],[B1.Aud]],"ERR")</f>
        <v>4.2857142857142858E-2</v>
      </c>
      <c r="X83" s="162">
        <f>_xlfn.IFNA(VLOOKUP(Table1[[#This Row],[MTP SKU Code]],'Audit Dimensions'!A:N,10,FALSE),"ARC")</f>
        <v>0</v>
      </c>
      <c r="Y83" s="163">
        <f>IFERROR(Table1[[#This Row],[B2.Aud]]-Table1[[#This Row],[PW(gm)5]],"ERR")</f>
        <v>0</v>
      </c>
      <c r="Z83" s="165" t="str">
        <f>IFERROR(Table1[[#This Row],[B2.Diff]]/Table1[[#This Row],[B2.Aud]],"NA")</f>
        <v>NA</v>
      </c>
      <c r="AA83" s="162">
        <f>_xlfn.IFNA(VLOOKUP(Table1[[#This Row],[MTP SKU Code]],'Audit Dimensions'!A:N,14,FALSE),"ARC")</f>
        <v>0</v>
      </c>
      <c r="AB83" s="161">
        <f>IFERROR(Table1[[#This Row],[B3.Aud]]-Table1[[#This Row],[PW(gm)9]],"ERR")</f>
        <v>0</v>
      </c>
      <c r="AC83" s="168">
        <f>IFERROR(Table1[[#This Row],[B3.Diff]]/Table1[[#This Row],[BaLL.Aud]],"ERR")</f>
        <v>0</v>
      </c>
      <c r="AD83" s="189">
        <f>_xlfn.IFNA(VLOOKUP(Table1[[#This Row],[MTP SKU Code]],'Audit Dimensions'!A:U,16,FALSE),"ARC")</f>
        <v>56000</v>
      </c>
      <c r="AE83" s="165">
        <f>IFERROR(1-Table1[[#This Row],[Gms]]/Table1[[#This Row],[BaLL.Aud]],"ERR")</f>
        <v>4.2857142857142816E-2</v>
      </c>
    </row>
    <row r="84" spans="1:31" hidden="1">
      <c r="A84" s="68" t="s">
        <v>129</v>
      </c>
      <c r="B84" s="84" t="s">
        <v>48</v>
      </c>
      <c r="C84" s="85">
        <v>75</v>
      </c>
      <c r="D84" s="85">
        <v>75</v>
      </c>
      <c r="E84" s="85">
        <v>4</v>
      </c>
      <c r="F84" s="89">
        <v>8200</v>
      </c>
      <c r="G84" s="85"/>
      <c r="H84" s="85"/>
      <c r="I84" s="85"/>
      <c r="J84" s="85"/>
      <c r="K84" s="85"/>
      <c r="L84" s="85"/>
      <c r="M84" s="85"/>
      <c r="N84" s="85"/>
      <c r="O84" s="118">
        <f>((IFERROR((C84*D84*E84),0)+IFERROR((G84*H84*I84),0)+IFERROR((K84*L84*M84),0))/1000000)*35.32</f>
        <v>0.79469999999999996</v>
      </c>
      <c r="P84" s="125">
        <f>Table1[[#This Row],[Column15]]*$P$2*1000</f>
        <v>4768.2</v>
      </c>
      <c r="Q84" s="87">
        <f>F84+J84+N84</f>
        <v>8200</v>
      </c>
      <c r="R84" s="86">
        <f>MAX(Q84,O84)</f>
        <v>8200</v>
      </c>
      <c r="S84" s="86">
        <f>MAX(R84,P84)</f>
        <v>8200</v>
      </c>
      <c r="T84" s="156" t="str">
        <f>VLOOKUP(A84,'[1]MTP SKUs - Master Data'!$A:$B,2,FALSE)</f>
        <v>DI</v>
      </c>
      <c r="U84" s="162">
        <f>_xlfn.IFNA(VLOOKUP(Table1[[#This Row],[MTP SKU Code]],'Audit Dimensions'!A:N,6,FALSE),"ARC")</f>
        <v>8350</v>
      </c>
      <c r="V84" s="162">
        <f>IFERROR(Table1[[#This Row],[B1.Aud]]-Table1[[#This Row],[PW(gm)]],"ERR")</f>
        <v>150</v>
      </c>
      <c r="W84" s="165">
        <f>IFERROR(Table1[[#This Row],[B1.Diff]]/Table1[[#This Row],[B1.Aud]],"ERR")</f>
        <v>1.7964071856287425E-2</v>
      </c>
      <c r="X84" s="162">
        <f>_xlfn.IFNA(VLOOKUP(Table1[[#This Row],[MTP SKU Code]],'Audit Dimensions'!A:N,10,FALSE),"ARC")</f>
        <v>0</v>
      </c>
      <c r="Y84" s="163">
        <f>IFERROR(Table1[[#This Row],[B2.Aud]]-Table1[[#This Row],[PW(gm)5]],"ERR")</f>
        <v>0</v>
      </c>
      <c r="Z84" s="165" t="str">
        <f>IFERROR(Table1[[#This Row],[B2.Diff]]/Table1[[#This Row],[B2.Aud]],"NA")</f>
        <v>NA</v>
      </c>
      <c r="AA84" s="162">
        <f>_xlfn.IFNA(VLOOKUP(Table1[[#This Row],[MTP SKU Code]],'Audit Dimensions'!A:N,14,FALSE),"ARC")</f>
        <v>0</v>
      </c>
      <c r="AB84" s="161">
        <f>IFERROR(Table1[[#This Row],[B3.Aud]]-Table1[[#This Row],[PW(gm)9]],"ERR")</f>
        <v>0</v>
      </c>
      <c r="AC84" s="168">
        <f>IFERROR(Table1[[#This Row],[B3.Diff]]/Table1[[#This Row],[BaLL.Aud]],"ERR")</f>
        <v>0</v>
      </c>
      <c r="AD84" s="162">
        <f>_xlfn.IFNA(VLOOKUP(Table1[[#This Row],[MTP SKU Code]],'Audit Dimensions'!A:U,16,FALSE),"ARC")</f>
        <v>8350</v>
      </c>
      <c r="AE84" s="165">
        <f>IFERROR(1-Table1[[#This Row],[Gms]]/Table1[[#This Row],[BaLL.Aud]],"ERR")</f>
        <v>1.7964071856287456E-2</v>
      </c>
    </row>
    <row r="85" spans="1:31">
      <c r="A85" s="91" t="s">
        <v>130</v>
      </c>
      <c r="B85" s="84" t="s">
        <v>48</v>
      </c>
      <c r="C85" s="190">
        <f>_xlfn.XLOOKUP(Table1[[#This Row],[MTP SKU Code]],'Audit Dimensions'!A:A,'Audit Dimensions'!C:C,0)</f>
        <v>152</v>
      </c>
      <c r="D85" s="190">
        <f>_xlfn.XLOOKUP(Table1[[#This Row],[MTP SKU Code]],'Audit Dimensions'!$A:$A,'Audit Dimensions'!D:D,0)</f>
        <v>39</v>
      </c>
      <c r="E85" s="190">
        <f>_xlfn.XLOOKUP(Table1[[#This Row],[MTP SKU Code]],'Audit Dimensions'!$A:$A,'Audit Dimensions'!E:E,0)</f>
        <v>11</v>
      </c>
      <c r="F85" s="190">
        <v>28800</v>
      </c>
      <c r="G85" s="190">
        <f>_xlfn.XLOOKUP(Table1[[#This Row],[MTP SKU Code]],'Audit Dimensions'!$A:$A,'Audit Dimensions'!G:G,0)</f>
        <v>0</v>
      </c>
      <c r="H85" s="190">
        <f>_xlfn.XLOOKUP(Table1[[#This Row],[MTP SKU Code]],'Audit Dimensions'!$A:$A,'Audit Dimensions'!H:H,0)</f>
        <v>0</v>
      </c>
      <c r="I85" s="190">
        <f>_xlfn.XLOOKUP(Table1[[#This Row],[MTP SKU Code]],'Audit Dimensions'!$A:$A,'Audit Dimensions'!I:I,0)</f>
        <v>0</v>
      </c>
      <c r="J85" s="190">
        <f>_xlfn.XLOOKUP(Table1[[#This Row],[MTP SKU Code]],'Audit Dimensions'!$A:$A,'Audit Dimensions'!J:J,0)</f>
        <v>0</v>
      </c>
      <c r="K85" s="190">
        <f>_xlfn.XLOOKUP(Table1[[#This Row],[MTP SKU Code]],'Audit Dimensions'!$A:$A,'Audit Dimensions'!K:K,0)</f>
        <v>0</v>
      </c>
      <c r="L85" s="190">
        <f>_xlfn.XLOOKUP(Table1[[#This Row],[MTP SKU Code]],'Audit Dimensions'!$A:$A,'Audit Dimensions'!L:L,0)</f>
        <v>0</v>
      </c>
      <c r="M85" s="190">
        <f>_xlfn.XLOOKUP(Table1[[#This Row],[MTP SKU Code]],'Audit Dimensions'!$A:$A,'Audit Dimensions'!M:M,0)</f>
        <v>0</v>
      </c>
      <c r="N85" s="190">
        <f>_xlfn.XLOOKUP(Table1[[#This Row],[MTP SKU Code]],'Audit Dimensions'!$A:$A,'Audit Dimensions'!N:N,0)</f>
        <v>0</v>
      </c>
      <c r="O85" s="118">
        <f>((IFERROR((C85*D85*E85),0)+IFERROR((G85*H85*I85),0)+IFERROR((K85*L85*M85),0))/1000000)*35.32</f>
        <v>2.3031465600000001</v>
      </c>
      <c r="P85" s="125">
        <f>Table1[[#This Row],[Column15]]*$P$2*1000</f>
        <v>13818.879360000001</v>
      </c>
      <c r="Q85" s="87">
        <f>F85+J85+N85</f>
        <v>28800</v>
      </c>
      <c r="R85" s="86">
        <f>MAX(Q85,O85)</f>
        <v>28800</v>
      </c>
      <c r="S85" s="86">
        <f>MAX(R85,P85)</f>
        <v>28800</v>
      </c>
      <c r="T85" s="156" t="str">
        <f>VLOOKUP(A85,'[1]MTP SKUs - Master Data'!$A:$B,2,FALSE)</f>
        <v>Y</v>
      </c>
      <c r="U85" s="162">
        <f>_xlfn.IFNA(VLOOKUP(Table1[[#This Row],[MTP SKU Code]],'Audit Dimensions'!A:N,6,FALSE),"ARC")</f>
        <v>30770</v>
      </c>
      <c r="V85" s="162">
        <f>IFERROR(Table1[[#This Row],[B1.Aud]]-Table1[[#This Row],[PW(gm)]],"ERR")</f>
        <v>1970</v>
      </c>
      <c r="W85" s="165">
        <f>IFERROR(Table1[[#This Row],[B1.Diff]]/Table1[[#This Row],[B1.Aud]],"ERR")</f>
        <v>6.4023399415014628E-2</v>
      </c>
      <c r="X85" s="162">
        <f>_xlfn.IFNA(VLOOKUP(Table1[[#This Row],[MTP SKU Code]],'Audit Dimensions'!A:N,10,FALSE),"ARC")</f>
        <v>0</v>
      </c>
      <c r="Y85" s="163">
        <f>IFERROR(Table1[[#This Row],[B2.Aud]]-Table1[[#This Row],[PW(gm)5]],"ERR")</f>
        <v>0</v>
      </c>
      <c r="Z85" s="165" t="str">
        <f>IFERROR(Table1[[#This Row],[B2.Diff]]/Table1[[#This Row],[B2.Aud]],"NA")</f>
        <v>NA</v>
      </c>
      <c r="AA85" s="162">
        <f>_xlfn.IFNA(VLOOKUP(Table1[[#This Row],[MTP SKU Code]],'Audit Dimensions'!A:N,14,FALSE),"ARC")</f>
        <v>0</v>
      </c>
      <c r="AB85" s="161">
        <f>IFERROR(Table1[[#This Row],[B3.Aud]]-Table1[[#This Row],[PW(gm)9]],"ERR")</f>
        <v>0</v>
      </c>
      <c r="AC85" s="168">
        <f>IFERROR(Table1[[#This Row],[B3.Diff]]/Table1[[#This Row],[BaLL.Aud]],"ERR")</f>
        <v>0</v>
      </c>
      <c r="AD85" s="189">
        <f>_xlfn.IFNA(VLOOKUP(Table1[[#This Row],[MTP SKU Code]],'Audit Dimensions'!A:U,16,FALSE),"ARC")</f>
        <v>30770</v>
      </c>
      <c r="AE85" s="165">
        <f>IFERROR(1-Table1[[#This Row],[Gms]]/Table1[[#This Row],[BaLL.Aud]],"ERR")</f>
        <v>6.402339941501467E-2</v>
      </c>
    </row>
    <row r="86" spans="1:31">
      <c r="A86" s="68" t="s">
        <v>131</v>
      </c>
      <c r="B86" s="84" t="s">
        <v>48</v>
      </c>
      <c r="C86" s="190">
        <f>_xlfn.XLOOKUP(Table1[[#This Row],[MTP SKU Code]],'Audit Dimensions'!A:A,'Audit Dimensions'!C:C,0)</f>
        <v>96</v>
      </c>
      <c r="D86" s="190">
        <f>_xlfn.XLOOKUP(Table1[[#This Row],[MTP SKU Code]],'Audit Dimensions'!$A:$A,'Audit Dimensions'!D:D,0)</f>
        <v>20</v>
      </c>
      <c r="E86" s="190">
        <f>_xlfn.XLOOKUP(Table1[[#This Row],[MTP SKU Code]],'Audit Dimensions'!$A:$A,'Audit Dimensions'!E:E,0)</f>
        <v>10</v>
      </c>
      <c r="F86" s="190">
        <v>8900</v>
      </c>
      <c r="G86" s="190">
        <f>_xlfn.XLOOKUP(Table1[[#This Row],[MTP SKU Code]],'Audit Dimensions'!$A:$A,'Audit Dimensions'!G:G,0)</f>
        <v>0</v>
      </c>
      <c r="H86" s="190">
        <f>_xlfn.XLOOKUP(Table1[[#This Row],[MTP SKU Code]],'Audit Dimensions'!$A:$A,'Audit Dimensions'!H:H,0)</f>
        <v>0</v>
      </c>
      <c r="I86" s="190">
        <f>_xlfn.XLOOKUP(Table1[[#This Row],[MTP SKU Code]],'Audit Dimensions'!$A:$A,'Audit Dimensions'!I:I,0)</f>
        <v>0</v>
      </c>
      <c r="J86" s="190">
        <f>_xlfn.XLOOKUP(Table1[[#This Row],[MTP SKU Code]],'Audit Dimensions'!$A:$A,'Audit Dimensions'!J:J,0)</f>
        <v>0</v>
      </c>
      <c r="K86" s="190">
        <f>_xlfn.XLOOKUP(Table1[[#This Row],[MTP SKU Code]],'Audit Dimensions'!$A:$A,'Audit Dimensions'!K:K,0)</f>
        <v>0</v>
      </c>
      <c r="L86" s="190">
        <f>_xlfn.XLOOKUP(Table1[[#This Row],[MTP SKU Code]],'Audit Dimensions'!$A:$A,'Audit Dimensions'!L:L,0)</f>
        <v>0</v>
      </c>
      <c r="M86" s="190">
        <f>_xlfn.XLOOKUP(Table1[[#This Row],[MTP SKU Code]],'Audit Dimensions'!$A:$A,'Audit Dimensions'!M:M,0)</f>
        <v>0</v>
      </c>
      <c r="N86" s="190">
        <f>_xlfn.XLOOKUP(Table1[[#This Row],[MTP SKU Code]],'Audit Dimensions'!$A:$A,'Audit Dimensions'!N:N,0)</f>
        <v>0</v>
      </c>
      <c r="O86" s="118">
        <f>((IFERROR((C86*D86*E86),0)+IFERROR((G86*H86*I86),0)+IFERROR((K86*L86*M86),0))/1000000)*35.32</f>
        <v>0.67814399999999997</v>
      </c>
      <c r="P86" s="125">
        <f>Table1[[#This Row],[Column15]]*$P$2*1000</f>
        <v>4068.8639999999996</v>
      </c>
      <c r="Q86" s="87">
        <f>F86+J86+N86</f>
        <v>8900</v>
      </c>
      <c r="R86" s="86">
        <f>MAX(Q86,O86)</f>
        <v>8900</v>
      </c>
      <c r="S86" s="86">
        <f>MAX(R86,P86)</f>
        <v>8900</v>
      </c>
      <c r="T86" s="156" t="str">
        <f>VLOOKUP(A86,'[1]MTP SKUs - Master Data'!$A:$B,2,FALSE)</f>
        <v>Y</v>
      </c>
      <c r="U86" s="162">
        <f>_xlfn.IFNA(VLOOKUP(Table1[[#This Row],[MTP SKU Code]],'Audit Dimensions'!A:N,6,FALSE),"ARC")</f>
        <v>9520</v>
      </c>
      <c r="V86" s="162">
        <f>IFERROR(Table1[[#This Row],[B1.Aud]]-Table1[[#This Row],[PW(gm)]],"ERR")</f>
        <v>620</v>
      </c>
      <c r="W86" s="165">
        <f>IFERROR(Table1[[#This Row],[B1.Diff]]/Table1[[#This Row],[B1.Aud]],"ERR")</f>
        <v>6.5126050420168072E-2</v>
      </c>
      <c r="X86" s="162">
        <f>_xlfn.IFNA(VLOOKUP(Table1[[#This Row],[MTP SKU Code]],'Audit Dimensions'!A:N,10,FALSE),"ARC")</f>
        <v>0</v>
      </c>
      <c r="Y86" s="163">
        <f>IFERROR(Table1[[#This Row],[B2.Aud]]-Table1[[#This Row],[PW(gm)5]],"ERR")</f>
        <v>0</v>
      </c>
      <c r="Z86" s="165" t="str">
        <f>IFERROR(Table1[[#This Row],[B2.Diff]]/Table1[[#This Row],[B2.Aud]],"NA")</f>
        <v>NA</v>
      </c>
      <c r="AA86" s="162">
        <f>_xlfn.IFNA(VLOOKUP(Table1[[#This Row],[MTP SKU Code]],'Audit Dimensions'!A:N,14,FALSE),"ARC")</f>
        <v>0</v>
      </c>
      <c r="AB86" s="161">
        <f>IFERROR(Table1[[#This Row],[B3.Aud]]-Table1[[#This Row],[PW(gm)9]],"ERR")</f>
        <v>0</v>
      </c>
      <c r="AC86" s="168">
        <f>IFERROR(Table1[[#This Row],[B3.Diff]]/Table1[[#This Row],[BaLL.Aud]],"ERR")</f>
        <v>0</v>
      </c>
      <c r="AD86" s="189">
        <f>_xlfn.IFNA(VLOOKUP(Table1[[#This Row],[MTP SKU Code]],'Audit Dimensions'!A:U,16,FALSE),"ARC")</f>
        <v>9520</v>
      </c>
      <c r="AE86" s="165">
        <f>IFERROR(1-Table1[[#This Row],[Gms]]/Table1[[#This Row],[BaLL.Aud]],"ERR")</f>
        <v>6.5126050420168058E-2</v>
      </c>
    </row>
    <row r="87" spans="1:31">
      <c r="A87" s="68" t="s">
        <v>132</v>
      </c>
      <c r="B87" s="84" t="s">
        <v>74</v>
      </c>
      <c r="C87" s="190">
        <f>_xlfn.XLOOKUP(Table1[[#This Row],[MTP SKU Code]],'Audit Dimensions'!A:A,'Audit Dimensions'!C:C,0)</f>
        <v>202</v>
      </c>
      <c r="D87" s="190">
        <f>_xlfn.XLOOKUP(Table1[[#This Row],[MTP SKU Code]],'Audit Dimensions'!$A:$A,'Audit Dimensions'!D:D,0)</f>
        <v>38</v>
      </c>
      <c r="E87" s="190">
        <f>_xlfn.XLOOKUP(Table1[[#This Row],[MTP SKU Code]],'Audit Dimensions'!$A:$A,'Audit Dimensions'!E:E,0)</f>
        <v>7</v>
      </c>
      <c r="F87" s="190">
        <v>24750</v>
      </c>
      <c r="G87" s="190">
        <f>_xlfn.XLOOKUP(Table1[[#This Row],[MTP SKU Code]],'Audit Dimensions'!$A:$A,'Audit Dimensions'!G:G,0)</f>
        <v>194</v>
      </c>
      <c r="H87" s="190">
        <f>_xlfn.XLOOKUP(Table1[[#This Row],[MTP SKU Code]],'Audit Dimensions'!$A:$A,'Audit Dimensions'!H:H,0)</f>
        <v>80</v>
      </c>
      <c r="I87" s="190">
        <f>_xlfn.XLOOKUP(Table1[[#This Row],[MTP SKU Code]],'Audit Dimensions'!$A:$A,'Audit Dimensions'!I:I,0)</f>
        <v>6</v>
      </c>
      <c r="J87" s="190">
        <v>31500</v>
      </c>
      <c r="K87" s="190">
        <f>_xlfn.XLOOKUP(Table1[[#This Row],[MTP SKU Code]],'Audit Dimensions'!$A:$A,'Audit Dimensions'!K:K,0)</f>
        <v>105</v>
      </c>
      <c r="L87" s="190">
        <f>_xlfn.XLOOKUP(Table1[[#This Row],[MTP SKU Code]],'Audit Dimensions'!$A:$A,'Audit Dimensions'!L:L,0)</f>
        <v>81</v>
      </c>
      <c r="M87" s="190">
        <f>_xlfn.XLOOKUP(Table1[[#This Row],[MTP SKU Code]],'Audit Dimensions'!$A:$A,'Audit Dimensions'!M:M,0)</f>
        <v>7</v>
      </c>
      <c r="N87" s="190">
        <v>37200</v>
      </c>
      <c r="O87" s="118">
        <f>((IFERROR((C87*D87*E87),0)+IFERROR((G87*H87*I87),0)+IFERROR((K87*L87*M87),0))/1000000)*35.32</f>
        <v>7.2895888399999995</v>
      </c>
      <c r="P87" s="125">
        <f>Table1[[#This Row],[Column15]]*$P$2*1000</f>
        <v>43737.533039999995</v>
      </c>
      <c r="Q87" s="87">
        <f>F87+J87+N87</f>
        <v>93450</v>
      </c>
      <c r="R87" s="86">
        <f>MAX(Q87,O87)</f>
        <v>93450</v>
      </c>
      <c r="S87" s="86">
        <f>MAX(R87,P87)</f>
        <v>93450</v>
      </c>
      <c r="T87" s="156" t="str">
        <f>VLOOKUP(A87,'[1]MTP SKUs - Master Data'!$A:$B,2,FALSE)</f>
        <v>Y</v>
      </c>
      <c r="U87" s="162">
        <f>_xlfn.IFNA(VLOOKUP(Table1[[#This Row],[MTP SKU Code]],'Audit Dimensions'!A:N,6,FALSE),"ARC")</f>
        <v>27480</v>
      </c>
      <c r="V87" s="162">
        <f>IFERROR(Table1[[#This Row],[B1.Aud]]-Table1[[#This Row],[PW(gm)]],"ERR")</f>
        <v>2730</v>
      </c>
      <c r="W87" s="165">
        <f>IFERROR(Table1[[#This Row],[B1.Diff]]/Table1[[#This Row],[B1.Aud]],"ERR")</f>
        <v>9.934497816593886E-2</v>
      </c>
      <c r="X87" s="162">
        <f>_xlfn.IFNA(VLOOKUP(Table1[[#This Row],[MTP SKU Code]],'Audit Dimensions'!A:N,10,FALSE),"ARC")</f>
        <v>33500</v>
      </c>
      <c r="Y87" s="163">
        <f>IFERROR(Table1[[#This Row],[B2.Aud]]-Table1[[#This Row],[PW(gm)5]],"ERR")</f>
        <v>2000</v>
      </c>
      <c r="Z87" s="165">
        <f>IFERROR(Table1[[#This Row],[B2.Diff]]/Table1[[#This Row],[B2.Aud]],"NA")</f>
        <v>5.9701492537313432E-2</v>
      </c>
      <c r="AA87" s="162">
        <f>_xlfn.IFNA(VLOOKUP(Table1[[#This Row],[MTP SKU Code]],'Audit Dimensions'!A:N,14,FALSE),"ARC")</f>
        <v>38600</v>
      </c>
      <c r="AB87" s="161">
        <f>IFERROR(Table1[[#This Row],[B3.Aud]]-Table1[[#This Row],[PW(gm)9]],"ERR")</f>
        <v>1400</v>
      </c>
      <c r="AC87" s="168">
        <f>IFERROR(Table1[[#This Row],[B3.Diff]]/Table1[[#This Row],[BaLL.Aud]],"ERR")</f>
        <v>1.4059048001606749E-2</v>
      </c>
      <c r="AD87" s="189">
        <f>_xlfn.IFNA(VLOOKUP(Table1[[#This Row],[MTP SKU Code]],'Audit Dimensions'!A:U,16,FALSE),"ARC")</f>
        <v>99580</v>
      </c>
      <c r="AE87" s="165">
        <f>IFERROR(1-Table1[[#This Row],[Gms]]/Table1[[#This Row],[BaLL.Aud]],"ERR")</f>
        <v>6.1558545892749561E-2</v>
      </c>
    </row>
    <row r="88" spans="1:31">
      <c r="A88" s="91" t="s">
        <v>133</v>
      </c>
      <c r="B88" s="84" t="s">
        <v>48</v>
      </c>
      <c r="C88" s="190">
        <f>_xlfn.XLOOKUP(Table1[[#This Row],[MTP SKU Code]],'Audit Dimensions'!A:A,'Audit Dimensions'!C:C,0)</f>
        <v>142</v>
      </c>
      <c r="D88" s="190">
        <f>_xlfn.XLOOKUP(Table1[[#This Row],[MTP SKU Code]],'Audit Dimensions'!$A:$A,'Audit Dimensions'!D:D,0)</f>
        <v>24</v>
      </c>
      <c r="E88" s="190">
        <f>_xlfn.XLOOKUP(Table1[[#This Row],[MTP SKU Code]],'Audit Dimensions'!$A:$A,'Audit Dimensions'!E:E,0)</f>
        <v>10</v>
      </c>
      <c r="F88" s="190">
        <v>16800</v>
      </c>
      <c r="G88" s="190">
        <f>_xlfn.XLOOKUP(Table1[[#This Row],[MTP SKU Code]],'Audit Dimensions'!$A:$A,'Audit Dimensions'!G:G,0)</f>
        <v>0</v>
      </c>
      <c r="H88" s="190">
        <f>_xlfn.XLOOKUP(Table1[[#This Row],[MTP SKU Code]],'Audit Dimensions'!$A:$A,'Audit Dimensions'!H:H,0)</f>
        <v>0</v>
      </c>
      <c r="I88" s="190">
        <f>_xlfn.XLOOKUP(Table1[[#This Row],[MTP SKU Code]],'Audit Dimensions'!$A:$A,'Audit Dimensions'!I:I,0)</f>
        <v>0</v>
      </c>
      <c r="J88" s="190">
        <f>_xlfn.XLOOKUP(Table1[[#This Row],[MTP SKU Code]],'Audit Dimensions'!$A:$A,'Audit Dimensions'!J:J,0)</f>
        <v>0</v>
      </c>
      <c r="K88" s="190">
        <f>_xlfn.XLOOKUP(Table1[[#This Row],[MTP SKU Code]],'Audit Dimensions'!$A:$A,'Audit Dimensions'!K:K,0)</f>
        <v>0</v>
      </c>
      <c r="L88" s="190">
        <f>_xlfn.XLOOKUP(Table1[[#This Row],[MTP SKU Code]],'Audit Dimensions'!$A:$A,'Audit Dimensions'!L:L,0)</f>
        <v>0</v>
      </c>
      <c r="M88" s="190">
        <f>_xlfn.XLOOKUP(Table1[[#This Row],[MTP SKU Code]],'Audit Dimensions'!$A:$A,'Audit Dimensions'!M:M,0)</f>
        <v>0</v>
      </c>
      <c r="N88" s="190">
        <f>_xlfn.XLOOKUP(Table1[[#This Row],[MTP SKU Code]],'Audit Dimensions'!$A:$A,'Audit Dimensions'!N:N,0)</f>
        <v>0</v>
      </c>
      <c r="O88" s="118">
        <f>((IFERROR((C88*D88*E88),0)+IFERROR((G88*H88*I88),0)+IFERROR((K88*L88*M88),0))/1000000)*35.32</f>
        <v>1.2037055999999999</v>
      </c>
      <c r="P88" s="125">
        <f>Table1[[#This Row],[Column15]]*$P$2*1000</f>
        <v>7222.2335999999996</v>
      </c>
      <c r="Q88" s="87">
        <f>F88+J88+N88</f>
        <v>16800</v>
      </c>
      <c r="R88" s="86">
        <f>MAX(Q88,O88)</f>
        <v>16800</v>
      </c>
      <c r="S88" s="86">
        <f>MAX(R88,P88)</f>
        <v>16800</v>
      </c>
      <c r="T88" s="156" t="str">
        <f>VLOOKUP(A88,'[1]MTP SKUs - Master Data'!$A:$B,2,FALSE)</f>
        <v>Y</v>
      </c>
      <c r="U88" s="162">
        <f>_xlfn.IFNA(VLOOKUP(Table1[[#This Row],[MTP SKU Code]],'Audit Dimensions'!A:N,6,FALSE),"ARC")</f>
        <v>17500</v>
      </c>
      <c r="V88" s="162">
        <f>IFERROR(Table1[[#This Row],[B1.Aud]]-Table1[[#This Row],[PW(gm)]],"ERR")</f>
        <v>700</v>
      </c>
      <c r="W88" s="165">
        <f>IFERROR(Table1[[#This Row],[B1.Diff]]/Table1[[#This Row],[B1.Aud]],"ERR")</f>
        <v>0.04</v>
      </c>
      <c r="X88" s="162">
        <f>_xlfn.IFNA(VLOOKUP(Table1[[#This Row],[MTP SKU Code]],'Audit Dimensions'!A:N,10,FALSE),"ARC")</f>
        <v>0</v>
      </c>
      <c r="Y88" s="163">
        <f>IFERROR(Table1[[#This Row],[B2.Aud]]-Table1[[#This Row],[PW(gm)5]],"ERR")</f>
        <v>0</v>
      </c>
      <c r="Z88" s="165" t="str">
        <f>IFERROR(Table1[[#This Row],[B2.Diff]]/Table1[[#This Row],[B2.Aud]],"NA")</f>
        <v>NA</v>
      </c>
      <c r="AA88" s="162">
        <f>_xlfn.IFNA(VLOOKUP(Table1[[#This Row],[MTP SKU Code]],'Audit Dimensions'!A:N,14,FALSE),"ARC")</f>
        <v>0</v>
      </c>
      <c r="AB88" s="161">
        <f>IFERROR(Table1[[#This Row],[B3.Aud]]-Table1[[#This Row],[PW(gm)9]],"ERR")</f>
        <v>0</v>
      </c>
      <c r="AC88" s="168">
        <f>IFERROR(Table1[[#This Row],[B3.Diff]]/Table1[[#This Row],[BaLL.Aud]],"ERR")</f>
        <v>0</v>
      </c>
      <c r="AD88" s="189">
        <f>_xlfn.IFNA(VLOOKUP(Table1[[#This Row],[MTP SKU Code]],'Audit Dimensions'!A:U,16,FALSE),"ARC")</f>
        <v>17500</v>
      </c>
      <c r="AE88" s="165">
        <f>IFERROR(1-Table1[[#This Row],[Gms]]/Table1[[#This Row],[BaLL.Aud]],"ERR")</f>
        <v>4.0000000000000036E-2</v>
      </c>
    </row>
    <row r="89" spans="1:31">
      <c r="A89" s="68" t="s">
        <v>134</v>
      </c>
      <c r="B89" s="84" t="s">
        <v>48</v>
      </c>
      <c r="C89" s="190">
        <f>_xlfn.XLOOKUP(Table1[[#This Row],[MTP SKU Code]],'Audit Dimensions'!A:A,'Audit Dimensions'!C:C,0)</f>
        <v>78</v>
      </c>
      <c r="D89" s="190">
        <f>_xlfn.XLOOKUP(Table1[[#This Row],[MTP SKU Code]],'Audit Dimensions'!$A:$A,'Audit Dimensions'!D:D,0)</f>
        <v>45</v>
      </c>
      <c r="E89" s="190">
        <f>_xlfn.XLOOKUP(Table1[[#This Row],[MTP SKU Code]],'Audit Dimensions'!$A:$A,'Audit Dimensions'!E:E,0)</f>
        <v>12</v>
      </c>
      <c r="F89" s="190">
        <v>29700</v>
      </c>
      <c r="G89" s="190">
        <f>_xlfn.XLOOKUP(Table1[[#This Row],[MTP SKU Code]],'Audit Dimensions'!$A:$A,'Audit Dimensions'!G:G,0)</f>
        <v>0</v>
      </c>
      <c r="H89" s="190">
        <f>_xlfn.XLOOKUP(Table1[[#This Row],[MTP SKU Code]],'Audit Dimensions'!$A:$A,'Audit Dimensions'!H:H,0)</f>
        <v>0</v>
      </c>
      <c r="I89" s="190">
        <f>_xlfn.XLOOKUP(Table1[[#This Row],[MTP SKU Code]],'Audit Dimensions'!$A:$A,'Audit Dimensions'!I:I,0)</f>
        <v>0</v>
      </c>
      <c r="J89" s="190">
        <f>_xlfn.XLOOKUP(Table1[[#This Row],[MTP SKU Code]],'Audit Dimensions'!$A:$A,'Audit Dimensions'!J:J,0)</f>
        <v>0</v>
      </c>
      <c r="K89" s="190">
        <f>_xlfn.XLOOKUP(Table1[[#This Row],[MTP SKU Code]],'Audit Dimensions'!$A:$A,'Audit Dimensions'!K:K,0)</f>
        <v>0</v>
      </c>
      <c r="L89" s="190">
        <f>_xlfn.XLOOKUP(Table1[[#This Row],[MTP SKU Code]],'Audit Dimensions'!$A:$A,'Audit Dimensions'!L:L,0)</f>
        <v>0</v>
      </c>
      <c r="M89" s="190">
        <f>_xlfn.XLOOKUP(Table1[[#This Row],[MTP SKU Code]],'Audit Dimensions'!$A:$A,'Audit Dimensions'!M:M,0)</f>
        <v>0</v>
      </c>
      <c r="N89" s="190">
        <f>_xlfn.XLOOKUP(Table1[[#This Row],[MTP SKU Code]],'Audit Dimensions'!$A:$A,'Audit Dimensions'!N:N,0)</f>
        <v>0</v>
      </c>
      <c r="O89" s="118">
        <f>((IFERROR((C89*D89*E89),0)+IFERROR((G89*H89*I89),0)+IFERROR((K89*L89*M89),0))/1000000)*35.32</f>
        <v>1.4876783999999998</v>
      </c>
      <c r="P89" s="125">
        <f>Table1[[#This Row],[Column15]]*$P$2*1000</f>
        <v>8926.0703999999987</v>
      </c>
      <c r="Q89" s="87">
        <f>F89+J89+N89</f>
        <v>29700</v>
      </c>
      <c r="R89" s="88">
        <f>MAX(Q89,O89)</f>
        <v>29700</v>
      </c>
      <c r="S89" s="86">
        <f>MAX(R89,P89)</f>
        <v>29700</v>
      </c>
      <c r="T89" s="156" t="str">
        <f>VLOOKUP(A89,'[1]MTP SKUs - Master Data'!$A:$B,2,FALSE)</f>
        <v>Y</v>
      </c>
      <c r="U89" s="162">
        <f>_xlfn.IFNA(VLOOKUP(Table1[[#This Row],[MTP SKU Code]],'Audit Dimensions'!A:N,6,FALSE),"ARC")</f>
        <v>31800</v>
      </c>
      <c r="V89" s="162">
        <f>IFERROR(Table1[[#This Row],[B1.Aud]]-Table1[[#This Row],[PW(gm)]],"ERR")</f>
        <v>2100</v>
      </c>
      <c r="W89" s="165">
        <f>IFERROR(Table1[[#This Row],[B1.Diff]]/Table1[[#This Row],[B1.Aud]],"ERR")</f>
        <v>6.6037735849056603E-2</v>
      </c>
      <c r="X89" s="162">
        <f>_xlfn.IFNA(VLOOKUP(Table1[[#This Row],[MTP SKU Code]],'Audit Dimensions'!A:N,10,FALSE),"ARC")</f>
        <v>0</v>
      </c>
      <c r="Y89" s="163">
        <f>IFERROR(Table1[[#This Row],[B2.Aud]]-Table1[[#This Row],[PW(gm)5]],"ERR")</f>
        <v>0</v>
      </c>
      <c r="Z89" s="165" t="str">
        <f>IFERROR(Table1[[#This Row],[B2.Diff]]/Table1[[#This Row],[B2.Aud]],"NA")</f>
        <v>NA</v>
      </c>
      <c r="AA89" s="162">
        <f>_xlfn.IFNA(VLOOKUP(Table1[[#This Row],[MTP SKU Code]],'Audit Dimensions'!A:N,14,FALSE),"ARC")</f>
        <v>0</v>
      </c>
      <c r="AB89" s="161">
        <f>IFERROR(Table1[[#This Row],[B3.Aud]]-Table1[[#This Row],[PW(gm)9]],"ERR")</f>
        <v>0</v>
      </c>
      <c r="AC89" s="168">
        <f>IFERROR(Table1[[#This Row],[B3.Diff]]/Table1[[#This Row],[BaLL.Aud]],"ERR")</f>
        <v>0</v>
      </c>
      <c r="AD89" s="189">
        <f>_xlfn.IFNA(VLOOKUP(Table1[[#This Row],[MTP SKU Code]],'Audit Dimensions'!A:U,16,FALSE),"ARC")</f>
        <v>31800</v>
      </c>
      <c r="AE89" s="165">
        <f>IFERROR(1-Table1[[#This Row],[Gms]]/Table1[[#This Row],[BaLL.Aud]],"ERR")</f>
        <v>6.6037735849056589E-2</v>
      </c>
    </row>
    <row r="90" spans="1:31">
      <c r="A90" s="68" t="s">
        <v>135</v>
      </c>
      <c r="B90" s="84" t="s">
        <v>48</v>
      </c>
      <c r="C90" s="190">
        <f>_xlfn.XLOOKUP(Table1[[#This Row],[MTP SKU Code]],'Audit Dimensions'!A:A,'Audit Dimensions'!C:C,0)</f>
        <v>97</v>
      </c>
      <c r="D90" s="190">
        <f>_xlfn.XLOOKUP(Table1[[#This Row],[MTP SKU Code]],'Audit Dimensions'!$A:$A,'Audit Dimensions'!D:D,0)</f>
        <v>29</v>
      </c>
      <c r="E90" s="190">
        <f>_xlfn.XLOOKUP(Table1[[#This Row],[MTP SKU Code]],'Audit Dimensions'!$A:$A,'Audit Dimensions'!E:E,0)</f>
        <v>8</v>
      </c>
      <c r="F90" s="190">
        <v>9800</v>
      </c>
      <c r="G90" s="190">
        <f>_xlfn.XLOOKUP(Table1[[#This Row],[MTP SKU Code]],'Audit Dimensions'!$A:$A,'Audit Dimensions'!G:G,0)</f>
        <v>0</v>
      </c>
      <c r="H90" s="190">
        <f>_xlfn.XLOOKUP(Table1[[#This Row],[MTP SKU Code]],'Audit Dimensions'!$A:$A,'Audit Dimensions'!H:H,0)</f>
        <v>0</v>
      </c>
      <c r="I90" s="190">
        <f>_xlfn.XLOOKUP(Table1[[#This Row],[MTP SKU Code]],'Audit Dimensions'!$A:$A,'Audit Dimensions'!I:I,0)</f>
        <v>0</v>
      </c>
      <c r="J90" s="190">
        <f>_xlfn.XLOOKUP(Table1[[#This Row],[MTP SKU Code]],'Audit Dimensions'!$A:$A,'Audit Dimensions'!J:J,0)</f>
        <v>0</v>
      </c>
      <c r="K90" s="190">
        <f>_xlfn.XLOOKUP(Table1[[#This Row],[MTP SKU Code]],'Audit Dimensions'!$A:$A,'Audit Dimensions'!K:K,0)</f>
        <v>0</v>
      </c>
      <c r="L90" s="190">
        <f>_xlfn.XLOOKUP(Table1[[#This Row],[MTP SKU Code]],'Audit Dimensions'!$A:$A,'Audit Dimensions'!L:L,0)</f>
        <v>0</v>
      </c>
      <c r="M90" s="190">
        <f>_xlfn.XLOOKUP(Table1[[#This Row],[MTP SKU Code]],'Audit Dimensions'!$A:$A,'Audit Dimensions'!M:M,0)</f>
        <v>0</v>
      </c>
      <c r="N90" s="190">
        <f>_xlfn.XLOOKUP(Table1[[#This Row],[MTP SKU Code]],'Audit Dimensions'!$A:$A,'Audit Dimensions'!N:N,0)</f>
        <v>0</v>
      </c>
      <c r="O90" s="118">
        <f>((IFERROR((C90*D90*E90),0)+IFERROR((G90*H90*I90),0)+IFERROR((K90*L90*M90),0))/1000000)*35.32</f>
        <v>0.79484127999999998</v>
      </c>
      <c r="P90" s="125">
        <f>Table1[[#This Row],[Column15]]*$P$2*1000</f>
        <v>4769.0476799999997</v>
      </c>
      <c r="Q90" s="87">
        <f>F90+J90+N90</f>
        <v>9800</v>
      </c>
      <c r="R90" s="86">
        <f>MAX(Q90,O90)</f>
        <v>9800</v>
      </c>
      <c r="S90" s="86">
        <f>MAX(R90,P90)</f>
        <v>9800</v>
      </c>
      <c r="T90" s="156" t="str">
        <f>VLOOKUP(A90,'[1]MTP SKUs - Master Data'!$A:$B,2,FALSE)</f>
        <v>Y</v>
      </c>
      <c r="U90" s="162">
        <f>_xlfn.IFNA(VLOOKUP(Table1[[#This Row],[MTP SKU Code]],'Audit Dimensions'!A:N,6,FALSE),"ARC")</f>
        <v>10870</v>
      </c>
      <c r="V90" s="162">
        <f>IFERROR(Table1[[#This Row],[B1.Aud]]-Table1[[#This Row],[PW(gm)]],"ERR")</f>
        <v>1070</v>
      </c>
      <c r="W90" s="165">
        <f>IFERROR(Table1[[#This Row],[B1.Diff]]/Table1[[#This Row],[B1.Aud]],"ERR")</f>
        <v>9.8436062557497706E-2</v>
      </c>
      <c r="X90" s="162">
        <f>_xlfn.IFNA(VLOOKUP(Table1[[#This Row],[MTP SKU Code]],'Audit Dimensions'!A:N,10,FALSE),"ARC")</f>
        <v>0</v>
      </c>
      <c r="Y90" s="163">
        <f>IFERROR(Table1[[#This Row],[B2.Aud]]-Table1[[#This Row],[PW(gm)5]],"ERR")</f>
        <v>0</v>
      </c>
      <c r="Z90" s="165" t="str">
        <f>IFERROR(Table1[[#This Row],[B2.Diff]]/Table1[[#This Row],[B2.Aud]],"NA")</f>
        <v>NA</v>
      </c>
      <c r="AA90" s="162">
        <f>_xlfn.IFNA(VLOOKUP(Table1[[#This Row],[MTP SKU Code]],'Audit Dimensions'!A:N,14,FALSE),"ARC")</f>
        <v>0</v>
      </c>
      <c r="AB90" s="161">
        <f>IFERROR(Table1[[#This Row],[B3.Aud]]-Table1[[#This Row],[PW(gm)9]],"ERR")</f>
        <v>0</v>
      </c>
      <c r="AC90" s="168">
        <f>IFERROR(Table1[[#This Row],[B3.Diff]]/Table1[[#This Row],[BaLL.Aud]],"ERR")</f>
        <v>0</v>
      </c>
      <c r="AD90" s="189">
        <f>_xlfn.IFNA(VLOOKUP(Table1[[#This Row],[MTP SKU Code]],'Audit Dimensions'!A:U,16,FALSE),"ARC")</f>
        <v>10870</v>
      </c>
      <c r="AE90" s="165">
        <f>IFERROR(1-Table1[[#This Row],[Gms]]/Table1[[#This Row],[BaLL.Aud]],"ERR")</f>
        <v>9.8436062557497706E-2</v>
      </c>
    </row>
    <row r="91" spans="1:31">
      <c r="A91" s="90" t="s">
        <v>136</v>
      </c>
      <c r="B91" s="84" t="s">
        <v>48</v>
      </c>
      <c r="C91" s="190">
        <f>_xlfn.XLOOKUP(Table1[[#This Row],[MTP SKU Code]],'Audit Dimensions'!A:A,'Audit Dimensions'!C:C,0)</f>
        <v>187</v>
      </c>
      <c r="D91" s="190">
        <f>_xlfn.XLOOKUP(Table1[[#This Row],[MTP SKU Code]],'Audit Dimensions'!$A:$A,'Audit Dimensions'!D:D,0)</f>
        <v>50</v>
      </c>
      <c r="E91" s="190">
        <f>_xlfn.XLOOKUP(Table1[[#This Row],[MTP SKU Code]],'Audit Dimensions'!$A:$A,'Audit Dimensions'!E:E,0)</f>
        <v>10</v>
      </c>
      <c r="F91" s="190">
        <v>48400</v>
      </c>
      <c r="G91" s="190">
        <f>_xlfn.XLOOKUP(Table1[[#This Row],[MTP SKU Code]],'Audit Dimensions'!$A:$A,'Audit Dimensions'!G:G,0)</f>
        <v>0</v>
      </c>
      <c r="H91" s="190">
        <f>_xlfn.XLOOKUP(Table1[[#This Row],[MTP SKU Code]],'Audit Dimensions'!$A:$A,'Audit Dimensions'!H:H,0)</f>
        <v>0</v>
      </c>
      <c r="I91" s="190">
        <f>_xlfn.XLOOKUP(Table1[[#This Row],[MTP SKU Code]],'Audit Dimensions'!$A:$A,'Audit Dimensions'!I:I,0)</f>
        <v>0</v>
      </c>
      <c r="J91" s="190">
        <f>_xlfn.XLOOKUP(Table1[[#This Row],[MTP SKU Code]],'Audit Dimensions'!$A:$A,'Audit Dimensions'!J:J,0)</f>
        <v>0</v>
      </c>
      <c r="K91" s="190">
        <f>_xlfn.XLOOKUP(Table1[[#This Row],[MTP SKU Code]],'Audit Dimensions'!$A:$A,'Audit Dimensions'!K:K,0)</f>
        <v>0</v>
      </c>
      <c r="L91" s="190">
        <f>_xlfn.XLOOKUP(Table1[[#This Row],[MTP SKU Code]],'Audit Dimensions'!$A:$A,'Audit Dimensions'!L:L,0)</f>
        <v>0</v>
      </c>
      <c r="M91" s="190">
        <f>_xlfn.XLOOKUP(Table1[[#This Row],[MTP SKU Code]],'Audit Dimensions'!$A:$A,'Audit Dimensions'!M:M,0)</f>
        <v>0</v>
      </c>
      <c r="N91" s="190">
        <f>_xlfn.XLOOKUP(Table1[[#This Row],[MTP SKU Code]],'Audit Dimensions'!$A:$A,'Audit Dimensions'!N:N,0)</f>
        <v>0</v>
      </c>
      <c r="O91" s="118">
        <f>((IFERROR((C91*D91*E91),0)+IFERROR((G91*H91*I91),0)+IFERROR((K91*L91*M91),0))/1000000)*35.32</f>
        <v>3.3024200000000001</v>
      </c>
      <c r="P91" s="125">
        <f>Table1[[#This Row],[Column15]]*$P$2*1000</f>
        <v>19814.52</v>
      </c>
      <c r="Q91" s="87">
        <f>F91+J91+N91</f>
        <v>48400</v>
      </c>
      <c r="R91" s="86">
        <f>MAX(Q91,O91)</f>
        <v>48400</v>
      </c>
      <c r="S91" s="86">
        <f>MAX(R91,P91)</f>
        <v>48400</v>
      </c>
      <c r="T91" s="156" t="str">
        <f>VLOOKUP(A91,'[1]MTP SKUs - Master Data'!$A:$B,2,FALSE)</f>
        <v>Y</v>
      </c>
      <c r="U91" s="162">
        <f>_xlfn.IFNA(VLOOKUP(Table1[[#This Row],[MTP SKU Code]],'Audit Dimensions'!A:N,6,FALSE),"ARC")</f>
        <v>51500</v>
      </c>
      <c r="V91" s="162">
        <f>IFERROR(Table1[[#This Row],[B1.Aud]]-Table1[[#This Row],[PW(gm)]],"ERR")</f>
        <v>3100</v>
      </c>
      <c r="W91" s="165">
        <f>IFERROR(Table1[[#This Row],[B1.Diff]]/Table1[[#This Row],[B1.Aud]],"ERR")</f>
        <v>6.0194174757281553E-2</v>
      </c>
      <c r="X91" s="162">
        <f>_xlfn.IFNA(VLOOKUP(Table1[[#This Row],[MTP SKU Code]],'Audit Dimensions'!A:N,10,FALSE),"ARC")</f>
        <v>0</v>
      </c>
      <c r="Y91" s="163">
        <f>IFERROR(Table1[[#This Row],[B2.Aud]]-Table1[[#This Row],[PW(gm)5]],"ERR")</f>
        <v>0</v>
      </c>
      <c r="Z91" s="165" t="str">
        <f>IFERROR(Table1[[#This Row],[B2.Diff]]/Table1[[#This Row],[B2.Aud]],"NA")</f>
        <v>NA</v>
      </c>
      <c r="AA91" s="162">
        <f>_xlfn.IFNA(VLOOKUP(Table1[[#This Row],[MTP SKU Code]],'Audit Dimensions'!A:N,14,FALSE),"ARC")</f>
        <v>0</v>
      </c>
      <c r="AB91" s="161">
        <f>IFERROR(Table1[[#This Row],[B3.Aud]]-Table1[[#This Row],[PW(gm)9]],"ERR")</f>
        <v>0</v>
      </c>
      <c r="AC91" s="168">
        <f>IFERROR(Table1[[#This Row],[B3.Diff]]/Table1[[#This Row],[BaLL.Aud]],"ERR")</f>
        <v>0</v>
      </c>
      <c r="AD91" s="189">
        <f>_xlfn.IFNA(VLOOKUP(Table1[[#This Row],[MTP SKU Code]],'Audit Dimensions'!A:U,16,FALSE),"ARC")</f>
        <v>51500</v>
      </c>
      <c r="AE91" s="165">
        <f>IFERROR(1-Table1[[#This Row],[Gms]]/Table1[[#This Row],[BaLL.Aud]],"ERR")</f>
        <v>6.0194174757281504E-2</v>
      </c>
    </row>
    <row r="92" spans="1:31">
      <c r="A92" s="68" t="s">
        <v>137</v>
      </c>
      <c r="B92" s="84" t="s">
        <v>48</v>
      </c>
      <c r="C92" s="190">
        <f>_xlfn.XLOOKUP(Table1[[#This Row],[MTP SKU Code]],'Audit Dimensions'!A:A,'Audit Dimensions'!C:C,0)</f>
        <v>86</v>
      </c>
      <c r="D92" s="190">
        <f>_xlfn.XLOOKUP(Table1[[#This Row],[MTP SKU Code]],'Audit Dimensions'!$A:$A,'Audit Dimensions'!D:D,0)</f>
        <v>38</v>
      </c>
      <c r="E92" s="190">
        <f>_xlfn.XLOOKUP(Table1[[#This Row],[MTP SKU Code]],'Audit Dimensions'!$A:$A,'Audit Dimensions'!E:E,0)</f>
        <v>13</v>
      </c>
      <c r="F92" s="190">
        <v>16870</v>
      </c>
      <c r="G92" s="190">
        <f>_xlfn.XLOOKUP(Table1[[#This Row],[MTP SKU Code]],'Audit Dimensions'!$A:$A,'Audit Dimensions'!G:G,0)</f>
        <v>0</v>
      </c>
      <c r="H92" s="190">
        <f>_xlfn.XLOOKUP(Table1[[#This Row],[MTP SKU Code]],'Audit Dimensions'!$A:$A,'Audit Dimensions'!H:H,0)</f>
        <v>0</v>
      </c>
      <c r="I92" s="190">
        <f>_xlfn.XLOOKUP(Table1[[#This Row],[MTP SKU Code]],'Audit Dimensions'!$A:$A,'Audit Dimensions'!I:I,0)</f>
        <v>0</v>
      </c>
      <c r="J92" s="190">
        <f>_xlfn.XLOOKUP(Table1[[#This Row],[MTP SKU Code]],'Audit Dimensions'!$A:$A,'Audit Dimensions'!J:J,0)</f>
        <v>0</v>
      </c>
      <c r="K92" s="190">
        <f>_xlfn.XLOOKUP(Table1[[#This Row],[MTP SKU Code]],'Audit Dimensions'!$A:$A,'Audit Dimensions'!K:K,0)</f>
        <v>0</v>
      </c>
      <c r="L92" s="190">
        <f>_xlfn.XLOOKUP(Table1[[#This Row],[MTP SKU Code]],'Audit Dimensions'!$A:$A,'Audit Dimensions'!L:L,0)</f>
        <v>0</v>
      </c>
      <c r="M92" s="190">
        <f>_xlfn.XLOOKUP(Table1[[#This Row],[MTP SKU Code]],'Audit Dimensions'!$A:$A,'Audit Dimensions'!M:M,0)</f>
        <v>0</v>
      </c>
      <c r="N92" s="190">
        <f>_xlfn.XLOOKUP(Table1[[#This Row],[MTP SKU Code]],'Audit Dimensions'!$A:$A,'Audit Dimensions'!N:N,0)</f>
        <v>0</v>
      </c>
      <c r="O92" s="118">
        <f>((IFERROR((C92*D92*E92),0)+IFERROR((G92*H92*I92),0)+IFERROR((K92*L92*M92),0))/1000000)*35.32</f>
        <v>1.50053488</v>
      </c>
      <c r="P92" s="125">
        <f>Table1[[#This Row],[Column15]]*$P$2*1000</f>
        <v>9003.2092800000009</v>
      </c>
      <c r="Q92" s="87">
        <f>F92+J92+N92</f>
        <v>16870</v>
      </c>
      <c r="R92" s="88">
        <f>MAX(Q92,O92)</f>
        <v>16870</v>
      </c>
      <c r="S92" s="86">
        <f>MAX(R92,P92)</f>
        <v>16870</v>
      </c>
      <c r="T92" s="156" t="str">
        <f>VLOOKUP(A92,'[1]MTP SKUs - Master Data'!$A:$B,2,FALSE)</f>
        <v>Y</v>
      </c>
      <c r="U92" s="162">
        <f>_xlfn.IFNA(VLOOKUP(Table1[[#This Row],[MTP SKU Code]],'Audit Dimensions'!A:N,6,FALSE),"ARC")</f>
        <v>17430</v>
      </c>
      <c r="V92" s="162">
        <f>IFERROR(Table1[[#This Row],[B1.Aud]]-Table1[[#This Row],[PW(gm)]],"ERR")</f>
        <v>560</v>
      </c>
      <c r="W92" s="165">
        <f>IFERROR(Table1[[#This Row],[B1.Diff]]/Table1[[#This Row],[B1.Aud]],"ERR")</f>
        <v>3.2128514056224897E-2</v>
      </c>
      <c r="X92" s="162">
        <f>_xlfn.IFNA(VLOOKUP(Table1[[#This Row],[MTP SKU Code]],'Audit Dimensions'!A:N,10,FALSE),"ARC")</f>
        <v>0</v>
      </c>
      <c r="Y92" s="163">
        <f>IFERROR(Table1[[#This Row],[B2.Aud]]-Table1[[#This Row],[PW(gm)5]],"ERR")</f>
        <v>0</v>
      </c>
      <c r="Z92" s="165" t="str">
        <f>IFERROR(Table1[[#This Row],[B2.Diff]]/Table1[[#This Row],[B2.Aud]],"NA")</f>
        <v>NA</v>
      </c>
      <c r="AA92" s="162">
        <f>_xlfn.IFNA(VLOOKUP(Table1[[#This Row],[MTP SKU Code]],'Audit Dimensions'!A:N,14,FALSE),"ARC")</f>
        <v>0</v>
      </c>
      <c r="AB92" s="161">
        <f>IFERROR(Table1[[#This Row],[B3.Aud]]-Table1[[#This Row],[PW(gm)9]],"ERR")</f>
        <v>0</v>
      </c>
      <c r="AC92" s="168">
        <f>IFERROR(Table1[[#This Row],[B3.Diff]]/Table1[[#This Row],[BaLL.Aud]],"ERR")</f>
        <v>0</v>
      </c>
      <c r="AD92" s="189">
        <f>_xlfn.IFNA(VLOOKUP(Table1[[#This Row],[MTP SKU Code]],'Audit Dimensions'!A:U,16,FALSE),"ARC")</f>
        <v>17430</v>
      </c>
      <c r="AE92" s="165">
        <f>IFERROR(1-Table1[[#This Row],[Gms]]/Table1[[#This Row],[BaLL.Aud]],"ERR")</f>
        <v>3.2128514056224855E-2</v>
      </c>
    </row>
    <row r="93" spans="1:31">
      <c r="A93" s="68" t="s">
        <v>138</v>
      </c>
      <c r="B93" s="84" t="s">
        <v>48</v>
      </c>
      <c r="C93" s="190">
        <f>_xlfn.XLOOKUP(Table1[[#This Row],[MTP SKU Code]],'Audit Dimensions'!A:A,'Audit Dimensions'!C:C,0)</f>
        <v>180</v>
      </c>
      <c r="D93" s="190">
        <f>_xlfn.XLOOKUP(Table1[[#This Row],[MTP SKU Code]],'Audit Dimensions'!$A:$A,'Audit Dimensions'!D:D,0)</f>
        <v>35</v>
      </c>
      <c r="E93" s="190">
        <f>_xlfn.XLOOKUP(Table1[[#This Row],[MTP SKU Code]],'Audit Dimensions'!$A:$A,'Audit Dimensions'!E:E,0)</f>
        <v>9</v>
      </c>
      <c r="F93" s="190">
        <v>29500</v>
      </c>
      <c r="G93" s="190">
        <f>_xlfn.XLOOKUP(Table1[[#This Row],[MTP SKU Code]],'Audit Dimensions'!$A:$A,'Audit Dimensions'!G:G,0)</f>
        <v>0</v>
      </c>
      <c r="H93" s="190">
        <f>_xlfn.XLOOKUP(Table1[[#This Row],[MTP SKU Code]],'Audit Dimensions'!$A:$A,'Audit Dimensions'!H:H,0)</f>
        <v>0</v>
      </c>
      <c r="I93" s="190">
        <f>_xlfn.XLOOKUP(Table1[[#This Row],[MTP SKU Code]],'Audit Dimensions'!$A:$A,'Audit Dimensions'!I:I,0)</f>
        <v>0</v>
      </c>
      <c r="J93" s="190">
        <f>_xlfn.XLOOKUP(Table1[[#This Row],[MTP SKU Code]],'Audit Dimensions'!$A:$A,'Audit Dimensions'!J:J,0)</f>
        <v>0</v>
      </c>
      <c r="K93" s="190">
        <f>_xlfn.XLOOKUP(Table1[[#This Row],[MTP SKU Code]],'Audit Dimensions'!$A:$A,'Audit Dimensions'!K:K,0)</f>
        <v>0</v>
      </c>
      <c r="L93" s="190">
        <f>_xlfn.XLOOKUP(Table1[[#This Row],[MTP SKU Code]],'Audit Dimensions'!$A:$A,'Audit Dimensions'!L:L,0)</f>
        <v>0</v>
      </c>
      <c r="M93" s="190">
        <f>_xlfn.XLOOKUP(Table1[[#This Row],[MTP SKU Code]],'Audit Dimensions'!$A:$A,'Audit Dimensions'!M:M,0)</f>
        <v>0</v>
      </c>
      <c r="N93" s="190">
        <f>_xlfn.XLOOKUP(Table1[[#This Row],[MTP SKU Code]],'Audit Dimensions'!$A:$A,'Audit Dimensions'!N:N,0)</f>
        <v>0</v>
      </c>
      <c r="O93" s="118">
        <f>((IFERROR((C93*D93*E93),0)+IFERROR((G93*H93*I93),0)+IFERROR((K93*L93*M93),0))/1000000)*35.32</f>
        <v>2.0026440000000001</v>
      </c>
      <c r="P93" s="125">
        <f>Table1[[#This Row],[Column15]]*$P$2*1000</f>
        <v>12015.864000000001</v>
      </c>
      <c r="Q93" s="87">
        <f>F93+J93+N93</f>
        <v>29500</v>
      </c>
      <c r="R93" s="86">
        <f>MAX(Q93,O93)</f>
        <v>29500</v>
      </c>
      <c r="S93" s="86">
        <f>MAX(R93,P93)</f>
        <v>29500</v>
      </c>
      <c r="T93" s="156" t="str">
        <f>VLOOKUP(A93,'[1]MTP SKUs - Master Data'!$A:$B,2,FALSE)</f>
        <v>Y</v>
      </c>
      <c r="U93" s="162">
        <f>_xlfn.IFNA(VLOOKUP(Table1[[#This Row],[MTP SKU Code]],'Audit Dimensions'!A:N,6,FALSE),"ARC")</f>
        <v>31650</v>
      </c>
      <c r="V93" s="162">
        <f>IFERROR(Table1[[#This Row],[B1.Aud]]-Table1[[#This Row],[PW(gm)]],"ERR")</f>
        <v>2150</v>
      </c>
      <c r="W93" s="165">
        <f>IFERROR(Table1[[#This Row],[B1.Diff]]/Table1[[#This Row],[B1.Aud]],"ERR")</f>
        <v>6.7930489731437602E-2</v>
      </c>
      <c r="X93" s="162">
        <f>_xlfn.IFNA(VLOOKUP(Table1[[#This Row],[MTP SKU Code]],'Audit Dimensions'!A:N,10,FALSE),"ARC")</f>
        <v>0</v>
      </c>
      <c r="Y93" s="163">
        <f>IFERROR(Table1[[#This Row],[B2.Aud]]-Table1[[#This Row],[PW(gm)5]],"ERR")</f>
        <v>0</v>
      </c>
      <c r="Z93" s="165" t="str">
        <f>IFERROR(Table1[[#This Row],[B2.Diff]]/Table1[[#This Row],[B2.Aud]],"NA")</f>
        <v>NA</v>
      </c>
      <c r="AA93" s="162">
        <f>_xlfn.IFNA(VLOOKUP(Table1[[#This Row],[MTP SKU Code]],'Audit Dimensions'!A:N,14,FALSE),"ARC")</f>
        <v>0</v>
      </c>
      <c r="AB93" s="161">
        <f>IFERROR(Table1[[#This Row],[B3.Aud]]-Table1[[#This Row],[PW(gm)9]],"ERR")</f>
        <v>0</v>
      </c>
      <c r="AC93" s="168">
        <f>IFERROR(Table1[[#This Row],[B3.Diff]]/Table1[[#This Row],[BaLL.Aud]],"ERR")</f>
        <v>0</v>
      </c>
      <c r="AD93" s="189">
        <f>_xlfn.IFNA(VLOOKUP(Table1[[#This Row],[MTP SKU Code]],'Audit Dimensions'!A:U,16,FALSE),"ARC")</f>
        <v>31650</v>
      </c>
      <c r="AE93" s="165">
        <f>IFERROR(1-Table1[[#This Row],[Gms]]/Table1[[#This Row],[BaLL.Aud]],"ERR")</f>
        <v>6.793048973143756E-2</v>
      </c>
    </row>
    <row r="94" spans="1:31" hidden="1">
      <c r="A94" s="68" t="s">
        <v>139</v>
      </c>
      <c r="B94" s="84" t="s">
        <v>48</v>
      </c>
      <c r="C94" s="85">
        <v>25</v>
      </c>
      <c r="D94" s="85">
        <v>20</v>
      </c>
      <c r="E94" s="85">
        <v>5</v>
      </c>
      <c r="F94" s="89">
        <v>430</v>
      </c>
      <c r="G94" s="85"/>
      <c r="H94" s="85"/>
      <c r="I94" s="85"/>
      <c r="J94" s="85"/>
      <c r="K94" s="85"/>
      <c r="L94" s="85"/>
      <c r="M94" s="85"/>
      <c r="N94" s="85"/>
      <c r="O94" s="118">
        <f>((IFERROR((C94*D94*E94),0)+IFERROR((G94*H94*I94),0)+IFERROR((K94*L94*M94),0))/1000000)*35.32</f>
        <v>8.8300000000000003E-2</v>
      </c>
      <c r="P94" s="125">
        <f>Table1[[#This Row],[Column15]]*$P$2*1000</f>
        <v>529.80000000000007</v>
      </c>
      <c r="Q94" s="87">
        <f>F94+J94+N94</f>
        <v>430</v>
      </c>
      <c r="R94" s="86">
        <f>MAX(Q94,O94)</f>
        <v>430</v>
      </c>
      <c r="S94" s="86">
        <f>MAX(R94,P94)</f>
        <v>529.80000000000007</v>
      </c>
      <c r="T94" s="156" t="str">
        <f>VLOOKUP(A94,'[1]MTP SKUs - Master Data'!$A:$B,2,FALSE)</f>
        <v>DI</v>
      </c>
      <c r="U94" s="162">
        <f>_xlfn.IFNA(VLOOKUP(Table1[[#This Row],[MTP SKU Code]],'Audit Dimensions'!A:N,6,FALSE),"ARC")</f>
        <v>440</v>
      </c>
      <c r="V94" s="162">
        <f>IFERROR(Table1[[#This Row],[B1.Aud]]-Table1[[#This Row],[PW(gm)]],"ERR")</f>
        <v>10</v>
      </c>
      <c r="W94" s="165">
        <f>IFERROR(Table1[[#This Row],[B1.Diff]]/Table1[[#This Row],[B1.Aud]],"ERR")</f>
        <v>2.2727272727272728E-2</v>
      </c>
      <c r="X94" s="162">
        <f>_xlfn.IFNA(VLOOKUP(Table1[[#This Row],[MTP SKU Code]],'Audit Dimensions'!A:N,10,FALSE),"ARC")</f>
        <v>0</v>
      </c>
      <c r="Y94" s="163">
        <f>IFERROR(Table1[[#This Row],[B2.Aud]]-Table1[[#This Row],[PW(gm)5]],"ERR")</f>
        <v>0</v>
      </c>
      <c r="Z94" s="165" t="str">
        <f>IFERROR(Table1[[#This Row],[B2.Diff]]/Table1[[#This Row],[B2.Aud]],"NA")</f>
        <v>NA</v>
      </c>
      <c r="AA94" s="162">
        <f>_xlfn.IFNA(VLOOKUP(Table1[[#This Row],[MTP SKU Code]],'Audit Dimensions'!A:N,14,FALSE),"ARC")</f>
        <v>0</v>
      </c>
      <c r="AB94" s="161">
        <f>IFERROR(Table1[[#This Row],[B3.Aud]]-Table1[[#This Row],[PW(gm)9]],"ERR")</f>
        <v>0</v>
      </c>
      <c r="AC94" s="168">
        <f>IFERROR(Table1[[#This Row],[B3.Diff]]/Table1[[#This Row],[BaLL.Aud]],"ERR")</f>
        <v>0</v>
      </c>
      <c r="AD94" s="162">
        <f>_xlfn.IFNA(VLOOKUP(Table1[[#This Row],[MTP SKU Code]],'Audit Dimensions'!A:U,16,FALSE),"ARC")</f>
        <v>440</v>
      </c>
      <c r="AE94" s="165">
        <f>IFERROR(1-Table1[[#This Row],[Gms]]/Table1[[#This Row],[BaLL.Aud]],"ERR")</f>
        <v>2.2727272727272707E-2</v>
      </c>
    </row>
    <row r="95" spans="1:31" ht="12.4" customHeight="1">
      <c r="A95" s="68" t="s">
        <v>140</v>
      </c>
      <c r="B95" s="84" t="s">
        <v>48</v>
      </c>
      <c r="C95" s="190">
        <f>_xlfn.XLOOKUP(Table1[[#This Row],[MTP SKU Code]],'Audit Dimensions'!A:A,'Audit Dimensions'!C:C,0)</f>
        <v>157</v>
      </c>
      <c r="D95" s="190">
        <f>_xlfn.XLOOKUP(Table1[[#This Row],[MTP SKU Code]],'Audit Dimensions'!$A:$A,'Audit Dimensions'!D:D,0)</f>
        <v>41</v>
      </c>
      <c r="E95" s="190">
        <f>_xlfn.XLOOKUP(Table1[[#This Row],[MTP SKU Code]],'Audit Dimensions'!$A:$A,'Audit Dimensions'!E:E,0)</f>
        <v>9</v>
      </c>
      <c r="F95" s="190">
        <v>25800</v>
      </c>
      <c r="G95" s="190">
        <f>_xlfn.XLOOKUP(Table1[[#This Row],[MTP SKU Code]],'Audit Dimensions'!$A:$A,'Audit Dimensions'!G:G,0)</f>
        <v>0</v>
      </c>
      <c r="H95" s="190">
        <f>_xlfn.XLOOKUP(Table1[[#This Row],[MTP SKU Code]],'Audit Dimensions'!$A:$A,'Audit Dimensions'!H:H,0)</f>
        <v>0</v>
      </c>
      <c r="I95" s="190">
        <f>_xlfn.XLOOKUP(Table1[[#This Row],[MTP SKU Code]],'Audit Dimensions'!$A:$A,'Audit Dimensions'!I:I,0)</f>
        <v>0</v>
      </c>
      <c r="J95" s="190">
        <f>_xlfn.XLOOKUP(Table1[[#This Row],[MTP SKU Code]],'Audit Dimensions'!$A:$A,'Audit Dimensions'!J:J,0)</f>
        <v>0</v>
      </c>
      <c r="K95" s="190">
        <f>_xlfn.XLOOKUP(Table1[[#This Row],[MTP SKU Code]],'Audit Dimensions'!$A:$A,'Audit Dimensions'!K:K,0)</f>
        <v>0</v>
      </c>
      <c r="L95" s="190">
        <f>_xlfn.XLOOKUP(Table1[[#This Row],[MTP SKU Code]],'Audit Dimensions'!$A:$A,'Audit Dimensions'!L:L,0)</f>
        <v>0</v>
      </c>
      <c r="M95" s="190">
        <f>_xlfn.XLOOKUP(Table1[[#This Row],[MTP SKU Code]],'Audit Dimensions'!$A:$A,'Audit Dimensions'!M:M,0)</f>
        <v>0</v>
      </c>
      <c r="N95" s="190">
        <f>_xlfn.XLOOKUP(Table1[[#This Row],[MTP SKU Code]],'Audit Dimensions'!$A:$A,'Audit Dimensions'!N:N,0)</f>
        <v>0</v>
      </c>
      <c r="O95" s="118">
        <f>((IFERROR((C95*D95*E95),0)+IFERROR((G95*H95*I95),0)+IFERROR((K95*L95*M95),0))/1000000)*35.32</f>
        <v>2.0461935599999999</v>
      </c>
      <c r="P95" s="125">
        <f>Table1[[#This Row],[Column15]]*$P$2*1000</f>
        <v>12277.161359999998</v>
      </c>
      <c r="Q95" s="87">
        <f>F95+J95+N95</f>
        <v>25800</v>
      </c>
      <c r="R95" s="86">
        <f>MAX(Q95,O95)</f>
        <v>25800</v>
      </c>
      <c r="S95" s="86">
        <f>MAX(R95,P95)</f>
        <v>25800</v>
      </c>
      <c r="T95" s="156" t="str">
        <f>VLOOKUP(A95,'[1]MTP SKUs - Master Data'!$A:$B,2,FALSE)</f>
        <v>Y</v>
      </c>
      <c r="U95" s="162">
        <f>_xlfn.IFNA(VLOOKUP(Table1[[#This Row],[MTP SKU Code]],'Audit Dimensions'!A:N,6,FALSE),"ARC")</f>
        <v>27550</v>
      </c>
      <c r="V95" s="162">
        <f>IFERROR(Table1[[#This Row],[B1.Aud]]-Table1[[#This Row],[PW(gm)]],"ERR")</f>
        <v>1750</v>
      </c>
      <c r="W95" s="165">
        <f>IFERROR(Table1[[#This Row],[B1.Diff]]/Table1[[#This Row],[B1.Aud]],"ERR")</f>
        <v>6.3520871143375679E-2</v>
      </c>
      <c r="X95" s="162">
        <f>_xlfn.IFNA(VLOOKUP(Table1[[#This Row],[MTP SKU Code]],'Audit Dimensions'!A:N,10,FALSE),"ARC")</f>
        <v>0</v>
      </c>
      <c r="Y95" s="163">
        <f>IFERROR(Table1[[#This Row],[B2.Aud]]-Table1[[#This Row],[PW(gm)5]],"ERR")</f>
        <v>0</v>
      </c>
      <c r="Z95" s="165" t="str">
        <f>IFERROR(Table1[[#This Row],[B2.Diff]]/Table1[[#This Row],[B2.Aud]],"NA")</f>
        <v>NA</v>
      </c>
      <c r="AA95" s="162">
        <f>_xlfn.IFNA(VLOOKUP(Table1[[#This Row],[MTP SKU Code]],'Audit Dimensions'!A:N,14,FALSE),"ARC")</f>
        <v>0</v>
      </c>
      <c r="AB95" s="161">
        <f>IFERROR(Table1[[#This Row],[B3.Aud]]-Table1[[#This Row],[PW(gm)9]],"ERR")</f>
        <v>0</v>
      </c>
      <c r="AC95" s="168">
        <f>IFERROR(Table1[[#This Row],[B3.Diff]]/Table1[[#This Row],[BaLL.Aud]],"ERR")</f>
        <v>0</v>
      </c>
      <c r="AD95" s="189">
        <f>_xlfn.IFNA(VLOOKUP(Table1[[#This Row],[MTP SKU Code]],'Audit Dimensions'!A:U,16,FALSE),"ARC")</f>
        <v>27550</v>
      </c>
      <c r="AE95" s="165">
        <f>IFERROR(1-Table1[[#This Row],[Gms]]/Table1[[#This Row],[BaLL.Aud]],"ERR")</f>
        <v>6.3520871143375679E-2</v>
      </c>
    </row>
    <row r="96" spans="1:31" ht="14.45" customHeight="1">
      <c r="A96" s="68" t="s">
        <v>141</v>
      </c>
      <c r="B96" s="84" t="s">
        <v>48</v>
      </c>
      <c r="C96" s="190">
        <f>_xlfn.XLOOKUP(Table1[[#This Row],[MTP SKU Code]],'Audit Dimensions'!A:A,'Audit Dimensions'!C:C,0)</f>
        <v>192</v>
      </c>
      <c r="D96" s="190">
        <f>_xlfn.XLOOKUP(Table1[[#This Row],[MTP SKU Code]],'Audit Dimensions'!$A:$A,'Audit Dimensions'!D:D,0)</f>
        <v>41</v>
      </c>
      <c r="E96" s="190">
        <f>_xlfn.XLOOKUP(Table1[[#This Row],[MTP SKU Code]],'Audit Dimensions'!$A:$A,'Audit Dimensions'!E:E,0)</f>
        <v>9</v>
      </c>
      <c r="F96" s="190">
        <v>34500</v>
      </c>
      <c r="G96" s="190">
        <f>_xlfn.XLOOKUP(Table1[[#This Row],[MTP SKU Code]],'Audit Dimensions'!$A:$A,'Audit Dimensions'!G:G,0)</f>
        <v>0</v>
      </c>
      <c r="H96" s="190">
        <f>_xlfn.XLOOKUP(Table1[[#This Row],[MTP SKU Code]],'Audit Dimensions'!$A:$A,'Audit Dimensions'!H:H,0)</f>
        <v>0</v>
      </c>
      <c r="I96" s="190">
        <f>_xlfn.XLOOKUP(Table1[[#This Row],[MTP SKU Code]],'Audit Dimensions'!$A:$A,'Audit Dimensions'!I:I,0)</f>
        <v>0</v>
      </c>
      <c r="J96" s="190">
        <f>_xlfn.XLOOKUP(Table1[[#This Row],[MTP SKU Code]],'Audit Dimensions'!$A:$A,'Audit Dimensions'!J:J,0)</f>
        <v>0</v>
      </c>
      <c r="K96" s="190">
        <f>_xlfn.XLOOKUP(Table1[[#This Row],[MTP SKU Code]],'Audit Dimensions'!$A:$A,'Audit Dimensions'!K:K,0)</f>
        <v>0</v>
      </c>
      <c r="L96" s="190">
        <f>_xlfn.XLOOKUP(Table1[[#This Row],[MTP SKU Code]],'Audit Dimensions'!$A:$A,'Audit Dimensions'!L:L,0)</f>
        <v>0</v>
      </c>
      <c r="M96" s="190">
        <f>_xlfn.XLOOKUP(Table1[[#This Row],[MTP SKU Code]],'Audit Dimensions'!$A:$A,'Audit Dimensions'!M:M,0)</f>
        <v>0</v>
      </c>
      <c r="N96" s="190">
        <f>_xlfn.XLOOKUP(Table1[[#This Row],[MTP SKU Code]],'Audit Dimensions'!$A:$A,'Audit Dimensions'!N:N,0)</f>
        <v>0</v>
      </c>
      <c r="O96" s="118">
        <f>((IFERROR((C96*D96*E96),0)+IFERROR((G96*H96*I96),0)+IFERROR((K96*L96*M96),0))/1000000)*35.32</f>
        <v>2.50235136</v>
      </c>
      <c r="P96" s="125">
        <f>Table1[[#This Row],[Column15]]*$P$2*1000</f>
        <v>15014.10816</v>
      </c>
      <c r="Q96" s="87">
        <f>F96+J96+N96</f>
        <v>34500</v>
      </c>
      <c r="R96" s="86">
        <f>MAX(Q96,O96)</f>
        <v>34500</v>
      </c>
      <c r="S96" s="86">
        <f>MAX(R96,P96)</f>
        <v>34500</v>
      </c>
      <c r="T96" s="156" t="str">
        <f>VLOOKUP(A96,'[1]MTP SKUs - Master Data'!$A:$B,2,FALSE)</f>
        <v>Y</v>
      </c>
      <c r="U96" s="162">
        <f>_xlfn.IFNA(VLOOKUP(Table1[[#This Row],[MTP SKU Code]],'Audit Dimensions'!A:N,6,FALSE),"ARC")</f>
        <v>37560</v>
      </c>
      <c r="V96" s="162">
        <f>IFERROR(Table1[[#This Row],[B1.Aud]]-Table1[[#This Row],[PW(gm)]],"ERR")</f>
        <v>3060</v>
      </c>
      <c r="W96" s="165">
        <f>IFERROR(Table1[[#This Row],[B1.Diff]]/Table1[[#This Row],[B1.Aud]],"ERR")</f>
        <v>8.1469648562300323E-2</v>
      </c>
      <c r="X96" s="162">
        <f>_xlfn.IFNA(VLOOKUP(Table1[[#This Row],[MTP SKU Code]],'Audit Dimensions'!A:N,10,FALSE),"ARC")</f>
        <v>0</v>
      </c>
      <c r="Y96" s="163">
        <f>IFERROR(Table1[[#This Row],[B2.Aud]]-Table1[[#This Row],[PW(gm)5]],"ERR")</f>
        <v>0</v>
      </c>
      <c r="Z96" s="165" t="str">
        <f>IFERROR(Table1[[#This Row],[B2.Diff]]/Table1[[#This Row],[B2.Aud]],"NA")</f>
        <v>NA</v>
      </c>
      <c r="AA96" s="162">
        <f>_xlfn.IFNA(VLOOKUP(Table1[[#This Row],[MTP SKU Code]],'Audit Dimensions'!A:N,14,FALSE),"ARC")</f>
        <v>0</v>
      </c>
      <c r="AB96" s="161">
        <f>IFERROR(Table1[[#This Row],[B3.Aud]]-Table1[[#This Row],[PW(gm)9]],"ERR")</f>
        <v>0</v>
      </c>
      <c r="AC96" s="168">
        <f>IFERROR(Table1[[#This Row],[B3.Diff]]/Table1[[#This Row],[BaLL.Aud]],"ERR")</f>
        <v>0</v>
      </c>
      <c r="AD96" s="189">
        <f>_xlfn.IFNA(VLOOKUP(Table1[[#This Row],[MTP SKU Code]],'Audit Dimensions'!A:U,16,FALSE),"ARC")</f>
        <v>37560</v>
      </c>
      <c r="AE96" s="165">
        <f>IFERROR(1-Table1[[#This Row],[Gms]]/Table1[[#This Row],[BaLL.Aud]],"ERR")</f>
        <v>8.1469648562300323E-2</v>
      </c>
    </row>
    <row r="97" spans="1:31">
      <c r="A97" s="68" t="s">
        <v>142</v>
      </c>
      <c r="B97" s="84" t="s">
        <v>48</v>
      </c>
      <c r="C97" s="190">
        <f>_xlfn.XLOOKUP(Table1[[#This Row],[MTP SKU Code]],'Audit Dimensions'!A:A,'Audit Dimensions'!C:C,0)</f>
        <v>106</v>
      </c>
      <c r="D97" s="190">
        <f>_xlfn.XLOOKUP(Table1[[#This Row],[MTP SKU Code]],'Audit Dimensions'!$A:$A,'Audit Dimensions'!D:D,0)</f>
        <v>62</v>
      </c>
      <c r="E97" s="190">
        <f>_xlfn.XLOOKUP(Table1[[#This Row],[MTP SKU Code]],'Audit Dimensions'!$A:$A,'Audit Dimensions'!E:E,0)</f>
        <v>9</v>
      </c>
      <c r="F97" s="190">
        <v>15800</v>
      </c>
      <c r="G97" s="190">
        <f>_xlfn.XLOOKUP(Table1[[#This Row],[MTP SKU Code]],'Audit Dimensions'!$A:$A,'Audit Dimensions'!G:G,0)</f>
        <v>0</v>
      </c>
      <c r="H97" s="190">
        <f>_xlfn.XLOOKUP(Table1[[#This Row],[MTP SKU Code]],'Audit Dimensions'!$A:$A,'Audit Dimensions'!H:H,0)</f>
        <v>0</v>
      </c>
      <c r="I97" s="190">
        <f>_xlfn.XLOOKUP(Table1[[#This Row],[MTP SKU Code]],'Audit Dimensions'!$A:$A,'Audit Dimensions'!I:I,0)</f>
        <v>0</v>
      </c>
      <c r="J97" s="190">
        <f>_xlfn.XLOOKUP(Table1[[#This Row],[MTP SKU Code]],'Audit Dimensions'!$A:$A,'Audit Dimensions'!J:J,0)</f>
        <v>0</v>
      </c>
      <c r="K97" s="190">
        <f>_xlfn.XLOOKUP(Table1[[#This Row],[MTP SKU Code]],'Audit Dimensions'!$A:$A,'Audit Dimensions'!K:K,0)</f>
        <v>0</v>
      </c>
      <c r="L97" s="190">
        <f>_xlfn.XLOOKUP(Table1[[#This Row],[MTP SKU Code]],'Audit Dimensions'!$A:$A,'Audit Dimensions'!L:L,0)</f>
        <v>0</v>
      </c>
      <c r="M97" s="190">
        <f>_xlfn.XLOOKUP(Table1[[#This Row],[MTP SKU Code]],'Audit Dimensions'!$A:$A,'Audit Dimensions'!M:M,0)</f>
        <v>0</v>
      </c>
      <c r="N97" s="190">
        <f>_xlfn.XLOOKUP(Table1[[#This Row],[MTP SKU Code]],'Audit Dimensions'!$A:$A,'Audit Dimensions'!N:N,0)</f>
        <v>0</v>
      </c>
      <c r="O97" s="118">
        <f>((IFERROR((C97*D97*E97),0)+IFERROR((G97*H97*I97),0)+IFERROR((K97*L97*M97),0))/1000000)*35.32</f>
        <v>2.0891073599999999</v>
      </c>
      <c r="P97" s="125">
        <f>Table1[[#This Row],[Column15]]*$P$2*1000</f>
        <v>12534.64416</v>
      </c>
      <c r="Q97" s="87">
        <f>F97+J97+N97</f>
        <v>15800</v>
      </c>
      <c r="R97" s="86">
        <f>MAX(Q97,O97)</f>
        <v>15800</v>
      </c>
      <c r="S97" s="86">
        <f>MAX(R97,P97)</f>
        <v>15800</v>
      </c>
      <c r="T97" s="156" t="str">
        <f>VLOOKUP(A97,'[1]MTP SKUs - Master Data'!$A:$B,2,FALSE)</f>
        <v>Y</v>
      </c>
      <c r="U97" s="162">
        <f>_xlfn.IFNA(VLOOKUP(Table1[[#This Row],[MTP SKU Code]],'Audit Dimensions'!A:N,6,FALSE),"ARC")</f>
        <v>16510</v>
      </c>
      <c r="V97" s="162">
        <f>IFERROR(Table1[[#This Row],[B1.Aud]]-Table1[[#This Row],[PW(gm)]],"ERR")</f>
        <v>710</v>
      </c>
      <c r="W97" s="165">
        <f>IFERROR(Table1[[#This Row],[B1.Diff]]/Table1[[#This Row],[B1.Aud]],"ERR")</f>
        <v>4.3004239854633558E-2</v>
      </c>
      <c r="X97" s="162">
        <f>_xlfn.IFNA(VLOOKUP(Table1[[#This Row],[MTP SKU Code]],'Audit Dimensions'!A:N,10,FALSE),"ARC")</f>
        <v>0</v>
      </c>
      <c r="Y97" s="163">
        <f>IFERROR(Table1[[#This Row],[B2.Aud]]-Table1[[#This Row],[PW(gm)5]],"ERR")</f>
        <v>0</v>
      </c>
      <c r="Z97" s="165" t="str">
        <f>IFERROR(Table1[[#This Row],[B2.Diff]]/Table1[[#This Row],[B2.Aud]],"NA")</f>
        <v>NA</v>
      </c>
      <c r="AA97" s="162">
        <f>_xlfn.IFNA(VLOOKUP(Table1[[#This Row],[MTP SKU Code]],'Audit Dimensions'!A:N,14,FALSE),"ARC")</f>
        <v>0</v>
      </c>
      <c r="AB97" s="161">
        <f>IFERROR(Table1[[#This Row],[B3.Aud]]-Table1[[#This Row],[PW(gm)9]],"ERR")</f>
        <v>0</v>
      </c>
      <c r="AC97" s="168">
        <f>IFERROR(Table1[[#This Row],[B3.Diff]]/Table1[[#This Row],[BaLL.Aud]],"ERR")</f>
        <v>0</v>
      </c>
      <c r="AD97" s="189">
        <f>_xlfn.IFNA(VLOOKUP(Table1[[#This Row],[MTP SKU Code]],'Audit Dimensions'!A:U,16,FALSE),"ARC")</f>
        <v>16510</v>
      </c>
      <c r="AE97" s="165">
        <f>IFERROR(1-Table1[[#This Row],[Gms]]/Table1[[#This Row],[BaLL.Aud]],"ERR")</f>
        <v>4.300423985463353E-2</v>
      </c>
    </row>
    <row r="98" spans="1:31">
      <c r="A98" s="68" t="s">
        <v>143</v>
      </c>
      <c r="B98" s="84" t="s">
        <v>48</v>
      </c>
      <c r="C98" s="190">
        <f>_xlfn.XLOOKUP(Table1[[#This Row],[MTP SKU Code]],'Audit Dimensions'!A:A,'Audit Dimensions'!C:C,0)</f>
        <v>147</v>
      </c>
      <c r="D98" s="190">
        <f>_xlfn.XLOOKUP(Table1[[#This Row],[MTP SKU Code]],'Audit Dimensions'!$A:$A,'Audit Dimensions'!D:D,0)</f>
        <v>28</v>
      </c>
      <c r="E98" s="190">
        <f>_xlfn.XLOOKUP(Table1[[#This Row],[MTP SKU Code]],'Audit Dimensions'!$A:$A,'Audit Dimensions'!E:E,0)</f>
        <v>7</v>
      </c>
      <c r="F98" s="190">
        <v>13700</v>
      </c>
      <c r="G98" s="190">
        <f>_xlfn.XLOOKUP(Table1[[#This Row],[MTP SKU Code]],'Audit Dimensions'!$A:$A,'Audit Dimensions'!G:G,0)</f>
        <v>0</v>
      </c>
      <c r="H98" s="190">
        <f>_xlfn.XLOOKUP(Table1[[#This Row],[MTP SKU Code]],'Audit Dimensions'!$A:$A,'Audit Dimensions'!H:H,0)</f>
        <v>0</v>
      </c>
      <c r="I98" s="190">
        <f>_xlfn.XLOOKUP(Table1[[#This Row],[MTP SKU Code]],'Audit Dimensions'!$A:$A,'Audit Dimensions'!I:I,0)</f>
        <v>0</v>
      </c>
      <c r="J98" s="190">
        <f>_xlfn.XLOOKUP(Table1[[#This Row],[MTP SKU Code]],'Audit Dimensions'!$A:$A,'Audit Dimensions'!J:J,0)</f>
        <v>0</v>
      </c>
      <c r="K98" s="190">
        <f>_xlfn.XLOOKUP(Table1[[#This Row],[MTP SKU Code]],'Audit Dimensions'!$A:$A,'Audit Dimensions'!K:K,0)</f>
        <v>0</v>
      </c>
      <c r="L98" s="190">
        <f>_xlfn.XLOOKUP(Table1[[#This Row],[MTP SKU Code]],'Audit Dimensions'!$A:$A,'Audit Dimensions'!L:L,0)</f>
        <v>0</v>
      </c>
      <c r="M98" s="190">
        <f>_xlfn.XLOOKUP(Table1[[#This Row],[MTP SKU Code]],'Audit Dimensions'!$A:$A,'Audit Dimensions'!M:M,0)</f>
        <v>0</v>
      </c>
      <c r="N98" s="190">
        <f>_xlfn.XLOOKUP(Table1[[#This Row],[MTP SKU Code]],'Audit Dimensions'!$A:$A,'Audit Dimensions'!N:N,0)</f>
        <v>0</v>
      </c>
      <c r="O98" s="118">
        <f>((IFERROR((C98*D98*E98),0)+IFERROR((G98*H98*I98),0)+IFERROR((K98*L98*M98),0))/1000000)*35.32</f>
        <v>1.01763984</v>
      </c>
      <c r="P98" s="125">
        <f>Table1[[#This Row],[Column15]]*$P$2*1000</f>
        <v>6105.8390399999989</v>
      </c>
      <c r="Q98" s="87">
        <f>F98+J98+N98</f>
        <v>13700</v>
      </c>
      <c r="R98" s="86">
        <f>MAX(Q98,O98)</f>
        <v>13700</v>
      </c>
      <c r="S98" s="86">
        <f>MAX(R98,P98)</f>
        <v>13700</v>
      </c>
      <c r="T98" s="156" t="str">
        <f>VLOOKUP(A98,'[1]MTP SKUs - Master Data'!$A:$B,2,FALSE)</f>
        <v>Y</v>
      </c>
      <c r="U98" s="162">
        <f>_xlfn.IFNA(VLOOKUP(Table1[[#This Row],[MTP SKU Code]],'Audit Dimensions'!A:N,6,FALSE),"ARC")</f>
        <v>14900</v>
      </c>
      <c r="V98" s="162">
        <f>IFERROR(Table1[[#This Row],[B1.Aud]]-Table1[[#This Row],[PW(gm)]],"ERR")</f>
        <v>1200</v>
      </c>
      <c r="W98" s="165">
        <f>IFERROR(Table1[[#This Row],[B1.Diff]]/Table1[[#This Row],[B1.Aud]],"ERR")</f>
        <v>8.0536912751677847E-2</v>
      </c>
      <c r="X98" s="162">
        <f>_xlfn.IFNA(VLOOKUP(Table1[[#This Row],[MTP SKU Code]],'Audit Dimensions'!A:N,10,FALSE),"ARC")</f>
        <v>0</v>
      </c>
      <c r="Y98" s="163">
        <f>IFERROR(Table1[[#This Row],[B2.Aud]]-Table1[[#This Row],[PW(gm)5]],"ERR")</f>
        <v>0</v>
      </c>
      <c r="Z98" s="165" t="str">
        <f>IFERROR(Table1[[#This Row],[B2.Diff]]/Table1[[#This Row],[B2.Aud]],"NA")</f>
        <v>NA</v>
      </c>
      <c r="AA98" s="162">
        <f>_xlfn.IFNA(VLOOKUP(Table1[[#This Row],[MTP SKU Code]],'Audit Dimensions'!A:N,14,FALSE),"ARC")</f>
        <v>0</v>
      </c>
      <c r="AB98" s="161">
        <f>IFERROR(Table1[[#This Row],[B3.Aud]]-Table1[[#This Row],[PW(gm)9]],"ERR")</f>
        <v>0</v>
      </c>
      <c r="AC98" s="168">
        <f>IFERROR(Table1[[#This Row],[B3.Diff]]/Table1[[#This Row],[BaLL.Aud]],"ERR")</f>
        <v>0</v>
      </c>
      <c r="AD98" s="189">
        <f>_xlfn.IFNA(VLOOKUP(Table1[[#This Row],[MTP SKU Code]],'Audit Dimensions'!A:U,16,FALSE),"ARC")</f>
        <v>14900</v>
      </c>
      <c r="AE98" s="165">
        <f>IFERROR(1-Table1[[#This Row],[Gms]]/Table1[[#This Row],[BaLL.Aud]],"ERR")</f>
        <v>8.0536912751677847E-2</v>
      </c>
    </row>
    <row r="99" spans="1:31" ht="14.45" customHeight="1">
      <c r="A99" s="68" t="s">
        <v>144</v>
      </c>
      <c r="B99" s="84" t="s">
        <v>48</v>
      </c>
      <c r="C99" s="190">
        <f>_xlfn.XLOOKUP(Table1[[#This Row],[MTP SKU Code]],'Audit Dimensions'!A:A,'Audit Dimensions'!C:C,0)</f>
        <v>103</v>
      </c>
      <c r="D99" s="190">
        <f>_xlfn.XLOOKUP(Table1[[#This Row],[MTP SKU Code]],'Audit Dimensions'!$A:$A,'Audit Dimensions'!D:D,0)</f>
        <v>40</v>
      </c>
      <c r="E99" s="190">
        <f>_xlfn.XLOOKUP(Table1[[#This Row],[MTP SKU Code]],'Audit Dimensions'!$A:$A,'Audit Dimensions'!E:E,0)</f>
        <v>16</v>
      </c>
      <c r="F99" s="190">
        <v>22400</v>
      </c>
      <c r="G99" s="190">
        <f>_xlfn.XLOOKUP(Table1[[#This Row],[MTP SKU Code]],'Audit Dimensions'!$A:$A,'Audit Dimensions'!G:G,0)</f>
        <v>0</v>
      </c>
      <c r="H99" s="190">
        <f>_xlfn.XLOOKUP(Table1[[#This Row],[MTP SKU Code]],'Audit Dimensions'!$A:$A,'Audit Dimensions'!H:H,0)</f>
        <v>0</v>
      </c>
      <c r="I99" s="190">
        <f>_xlfn.XLOOKUP(Table1[[#This Row],[MTP SKU Code]],'Audit Dimensions'!$A:$A,'Audit Dimensions'!I:I,0)</f>
        <v>0</v>
      </c>
      <c r="J99" s="190">
        <f>_xlfn.XLOOKUP(Table1[[#This Row],[MTP SKU Code]],'Audit Dimensions'!$A:$A,'Audit Dimensions'!J:J,0)</f>
        <v>0</v>
      </c>
      <c r="K99" s="190">
        <f>_xlfn.XLOOKUP(Table1[[#This Row],[MTP SKU Code]],'Audit Dimensions'!$A:$A,'Audit Dimensions'!K:K,0)</f>
        <v>0</v>
      </c>
      <c r="L99" s="190">
        <f>_xlfn.XLOOKUP(Table1[[#This Row],[MTP SKU Code]],'Audit Dimensions'!$A:$A,'Audit Dimensions'!L:L,0)</f>
        <v>0</v>
      </c>
      <c r="M99" s="190">
        <f>_xlfn.XLOOKUP(Table1[[#This Row],[MTP SKU Code]],'Audit Dimensions'!$A:$A,'Audit Dimensions'!M:M,0)</f>
        <v>0</v>
      </c>
      <c r="N99" s="190">
        <f>_xlfn.XLOOKUP(Table1[[#This Row],[MTP SKU Code]],'Audit Dimensions'!$A:$A,'Audit Dimensions'!N:N,0)</f>
        <v>0</v>
      </c>
      <c r="O99" s="118">
        <f>((IFERROR((C99*D99*E99),0)+IFERROR((G99*H99*I99),0)+IFERROR((K99*L99*M99),0))/1000000)*35.32</f>
        <v>2.3282944000000003</v>
      </c>
      <c r="P99" s="125">
        <f>Table1[[#This Row],[Column15]]*$P$2*1000</f>
        <v>13969.7664</v>
      </c>
      <c r="Q99" s="87">
        <f>F99+J99+N99</f>
        <v>22400</v>
      </c>
      <c r="R99" s="88">
        <f>MAX(Q99,O99)</f>
        <v>22400</v>
      </c>
      <c r="S99" s="86">
        <f>MAX(R99,P99)</f>
        <v>22400</v>
      </c>
      <c r="T99" s="156" t="str">
        <f>VLOOKUP(A99,'[1]MTP SKUs - Master Data'!$A:$B,2,FALSE)</f>
        <v>Y</v>
      </c>
      <c r="U99" s="162">
        <f>_xlfn.IFNA(VLOOKUP(Table1[[#This Row],[MTP SKU Code]],'Audit Dimensions'!A:N,6,FALSE),"ARC")</f>
        <v>23800</v>
      </c>
      <c r="V99" s="162">
        <f>IFERROR(Table1[[#This Row],[B1.Aud]]-Table1[[#This Row],[PW(gm)]],"ERR")</f>
        <v>1400</v>
      </c>
      <c r="W99" s="165">
        <f>IFERROR(Table1[[#This Row],[B1.Diff]]/Table1[[#This Row],[B1.Aud]],"ERR")</f>
        <v>5.8823529411764705E-2</v>
      </c>
      <c r="X99" s="162">
        <f>_xlfn.IFNA(VLOOKUP(Table1[[#This Row],[MTP SKU Code]],'Audit Dimensions'!A:N,10,FALSE),"ARC")</f>
        <v>0</v>
      </c>
      <c r="Y99" s="163">
        <f>IFERROR(Table1[[#This Row],[B2.Aud]]-Table1[[#This Row],[PW(gm)5]],"ERR")</f>
        <v>0</v>
      </c>
      <c r="Z99" s="165" t="str">
        <f>IFERROR(Table1[[#This Row],[B2.Diff]]/Table1[[#This Row],[B2.Aud]],"NA")</f>
        <v>NA</v>
      </c>
      <c r="AA99" s="162">
        <f>_xlfn.IFNA(VLOOKUP(Table1[[#This Row],[MTP SKU Code]],'Audit Dimensions'!A:N,14,FALSE),"ARC")</f>
        <v>0</v>
      </c>
      <c r="AB99" s="161">
        <f>IFERROR(Table1[[#This Row],[B3.Aud]]-Table1[[#This Row],[PW(gm)9]],"ERR")</f>
        <v>0</v>
      </c>
      <c r="AC99" s="168">
        <f>IFERROR(Table1[[#This Row],[B3.Diff]]/Table1[[#This Row],[BaLL.Aud]],"ERR")</f>
        <v>0</v>
      </c>
      <c r="AD99" s="189">
        <f>_xlfn.IFNA(VLOOKUP(Table1[[#This Row],[MTP SKU Code]],'Audit Dimensions'!A:U,16,FALSE),"ARC")</f>
        <v>23800</v>
      </c>
      <c r="AE99" s="165">
        <f>IFERROR(1-Table1[[#This Row],[Gms]]/Table1[[#This Row],[BaLL.Aud]],"ERR")</f>
        <v>5.8823529411764719E-2</v>
      </c>
    </row>
    <row r="100" spans="1:31">
      <c r="A100" s="90" t="s">
        <v>145</v>
      </c>
      <c r="B100" s="84" t="s">
        <v>74</v>
      </c>
      <c r="C100" s="190">
        <f>_xlfn.XLOOKUP(Table1[[#This Row],[MTP SKU Code]],'Audit Dimensions'!A:A,'Audit Dimensions'!C:C,0)</f>
        <v>206</v>
      </c>
      <c r="D100" s="190">
        <f>_xlfn.XLOOKUP(Table1[[#This Row],[MTP SKU Code]],'Audit Dimensions'!$A:$A,'Audit Dimensions'!D:D,0)</f>
        <v>48</v>
      </c>
      <c r="E100" s="190">
        <f>_xlfn.XLOOKUP(Table1[[#This Row],[MTP SKU Code]],'Audit Dimensions'!$A:$A,'Audit Dimensions'!E:E,0)</f>
        <v>6</v>
      </c>
      <c r="F100" s="190">
        <v>30000</v>
      </c>
      <c r="G100" s="190">
        <f>_xlfn.XLOOKUP(Table1[[#This Row],[MTP SKU Code]],'Audit Dimensions'!$A:$A,'Audit Dimensions'!G:G,0)</f>
        <v>107</v>
      </c>
      <c r="H100" s="190">
        <f>_xlfn.XLOOKUP(Table1[[#This Row],[MTP SKU Code]],'Audit Dimensions'!$A:$A,'Audit Dimensions'!H:H,0)</f>
        <v>38</v>
      </c>
      <c r="I100" s="190">
        <f>_xlfn.XLOOKUP(Table1[[#This Row],[MTP SKU Code]],'Audit Dimensions'!$A:$A,'Audit Dimensions'!I:I,0)</f>
        <v>5</v>
      </c>
      <c r="J100" s="190">
        <v>14000</v>
      </c>
      <c r="K100" s="190">
        <f>_xlfn.XLOOKUP(Table1[[#This Row],[MTP SKU Code]],'Audit Dimensions'!$A:$A,'Audit Dimensions'!K:K,0)</f>
        <v>0</v>
      </c>
      <c r="L100" s="190">
        <f>_xlfn.XLOOKUP(Table1[[#This Row],[MTP SKU Code]],'Audit Dimensions'!$A:$A,'Audit Dimensions'!L:L,0)</f>
        <v>0</v>
      </c>
      <c r="M100" s="190">
        <f>_xlfn.XLOOKUP(Table1[[#This Row],[MTP SKU Code]],'Audit Dimensions'!$A:$A,'Audit Dimensions'!M:M,0)</f>
        <v>0</v>
      </c>
      <c r="N100" s="190">
        <f>_xlfn.XLOOKUP(Table1[[#This Row],[MTP SKU Code]],'Audit Dimensions'!$A:$A,'Audit Dimensions'!N:N,0)</f>
        <v>0</v>
      </c>
      <c r="O100" s="118">
        <f>((IFERROR((C100*D100*E100),0)+IFERROR((G100*H100*I100),0)+IFERROR((K100*L100*M100),0))/1000000)*35.32</f>
        <v>2.8135205600000002</v>
      </c>
      <c r="P100" s="125">
        <f>Table1[[#This Row],[Column15]]*$P$2*1000</f>
        <v>16881.123360000001</v>
      </c>
      <c r="Q100" s="87">
        <f>F100+J100+N100</f>
        <v>44000</v>
      </c>
      <c r="R100" s="86">
        <f>MAX(Q100,O100)</f>
        <v>44000</v>
      </c>
      <c r="S100" s="86">
        <f>MAX(R100,P100)</f>
        <v>44000</v>
      </c>
      <c r="T100" s="156" t="str">
        <f>VLOOKUP(A100,'[1]MTP SKUs - Master Data'!$A:$B,2,FALSE)</f>
        <v>Y</v>
      </c>
      <c r="U100" s="162">
        <f>_xlfn.IFNA(VLOOKUP(Table1[[#This Row],[MTP SKU Code]],'Audit Dimensions'!A:N,6,FALSE),"ARC")</f>
        <v>31460</v>
      </c>
      <c r="V100" s="162">
        <f>IFERROR(Table1[[#This Row],[B1.Aud]]-Table1[[#This Row],[PW(gm)]],"ERR")</f>
        <v>1460</v>
      </c>
      <c r="W100" s="165">
        <f>IFERROR(Table1[[#This Row],[B1.Diff]]/Table1[[#This Row],[B1.Aud]],"ERR")</f>
        <v>4.6408137317228225E-2</v>
      </c>
      <c r="X100" s="162">
        <f>_xlfn.IFNA(VLOOKUP(Table1[[#This Row],[MTP SKU Code]],'Audit Dimensions'!A:N,10,FALSE),"ARC")</f>
        <v>15050</v>
      </c>
      <c r="Y100" s="163">
        <f>IFERROR(Table1[[#This Row],[B2.Aud]]-Table1[[#This Row],[PW(gm)5]],"ERR")</f>
        <v>1050</v>
      </c>
      <c r="Z100" s="165">
        <f>IFERROR(Table1[[#This Row],[B2.Diff]]/Table1[[#This Row],[B2.Aud]],"NA")</f>
        <v>6.9767441860465115E-2</v>
      </c>
      <c r="AA100" s="162">
        <f>_xlfn.IFNA(VLOOKUP(Table1[[#This Row],[MTP SKU Code]],'Audit Dimensions'!A:N,14,FALSE),"ARC")</f>
        <v>0</v>
      </c>
      <c r="AB100" s="161">
        <f>IFERROR(Table1[[#This Row],[B3.Aud]]-Table1[[#This Row],[PW(gm)9]],"ERR")</f>
        <v>0</v>
      </c>
      <c r="AC100" s="168">
        <f>IFERROR(Table1[[#This Row],[B3.Diff]]/Table1[[#This Row],[BaLL.Aud]],"ERR")</f>
        <v>0</v>
      </c>
      <c r="AD100" s="189">
        <f>_xlfn.IFNA(VLOOKUP(Table1[[#This Row],[MTP SKU Code]],'Audit Dimensions'!A:U,16,FALSE),"ARC")</f>
        <v>46510</v>
      </c>
      <c r="AE100" s="165">
        <f>IFERROR(1-Table1[[#This Row],[Gms]]/Table1[[#This Row],[BaLL.Aud]],"ERR")</f>
        <v>5.3966888841109451E-2</v>
      </c>
    </row>
    <row r="101" spans="1:31" ht="14.45" customHeight="1">
      <c r="A101" s="68" t="s">
        <v>146</v>
      </c>
      <c r="B101" s="84" t="s">
        <v>48</v>
      </c>
      <c r="C101" s="190">
        <f>_xlfn.XLOOKUP(Table1[[#This Row],[MTP SKU Code]],'Audit Dimensions'!A:A,'Audit Dimensions'!C:C,0)</f>
        <v>145</v>
      </c>
      <c r="D101" s="190">
        <f>_xlfn.XLOOKUP(Table1[[#This Row],[MTP SKU Code]],'Audit Dimensions'!$A:$A,'Audit Dimensions'!D:D,0)</f>
        <v>48</v>
      </c>
      <c r="E101" s="190">
        <f>_xlfn.XLOOKUP(Table1[[#This Row],[MTP SKU Code]],'Audit Dimensions'!$A:$A,'Audit Dimensions'!E:E,0)</f>
        <v>10</v>
      </c>
      <c r="F101" s="190">
        <v>27500</v>
      </c>
      <c r="G101" s="190">
        <f>_xlfn.XLOOKUP(Table1[[#This Row],[MTP SKU Code]],'Audit Dimensions'!$A:$A,'Audit Dimensions'!G:G,0)</f>
        <v>0</v>
      </c>
      <c r="H101" s="190">
        <f>_xlfn.XLOOKUP(Table1[[#This Row],[MTP SKU Code]],'Audit Dimensions'!$A:$A,'Audit Dimensions'!H:H,0)</f>
        <v>0</v>
      </c>
      <c r="I101" s="190">
        <f>_xlfn.XLOOKUP(Table1[[#This Row],[MTP SKU Code]],'Audit Dimensions'!$A:$A,'Audit Dimensions'!I:I,0)</f>
        <v>0</v>
      </c>
      <c r="J101" s="190">
        <f>_xlfn.XLOOKUP(Table1[[#This Row],[MTP SKU Code]],'Audit Dimensions'!$A:$A,'Audit Dimensions'!J:J,0)</f>
        <v>0</v>
      </c>
      <c r="K101" s="190">
        <f>_xlfn.XLOOKUP(Table1[[#This Row],[MTP SKU Code]],'Audit Dimensions'!$A:$A,'Audit Dimensions'!K:K,0)</f>
        <v>0</v>
      </c>
      <c r="L101" s="190">
        <f>_xlfn.XLOOKUP(Table1[[#This Row],[MTP SKU Code]],'Audit Dimensions'!$A:$A,'Audit Dimensions'!L:L,0)</f>
        <v>0</v>
      </c>
      <c r="M101" s="190">
        <f>_xlfn.XLOOKUP(Table1[[#This Row],[MTP SKU Code]],'Audit Dimensions'!$A:$A,'Audit Dimensions'!M:M,0)</f>
        <v>0</v>
      </c>
      <c r="N101" s="190">
        <f>_xlfn.XLOOKUP(Table1[[#This Row],[MTP SKU Code]],'Audit Dimensions'!$A:$A,'Audit Dimensions'!N:N,0)</f>
        <v>0</v>
      </c>
      <c r="O101" s="118">
        <f>((IFERROR((C101*D101*E101),0)+IFERROR((G101*H101*I101),0)+IFERROR((K101*L101*M101),0))/1000000)*35.32</f>
        <v>2.458272</v>
      </c>
      <c r="P101" s="125">
        <f>Table1[[#This Row],[Column15]]*$P$2*1000</f>
        <v>14749.632</v>
      </c>
      <c r="Q101" s="87">
        <f>F101+J101+N101</f>
        <v>27500</v>
      </c>
      <c r="R101" s="88">
        <f>MAX(Q101,O101)</f>
        <v>27500</v>
      </c>
      <c r="S101" s="86">
        <f>MAX(R101,P101)</f>
        <v>27500</v>
      </c>
      <c r="T101" s="156" t="str">
        <f>VLOOKUP(A101,'[1]MTP SKUs - Master Data'!$A:$B,2,FALSE)</f>
        <v>Y</v>
      </c>
      <c r="U101" s="162">
        <f>_xlfn.IFNA(VLOOKUP(Table1[[#This Row],[MTP SKU Code]],'Audit Dimensions'!A:N,6,FALSE),"ARC")</f>
        <v>29600</v>
      </c>
      <c r="V101" s="162">
        <f>IFERROR(Table1[[#This Row],[B1.Aud]]-Table1[[#This Row],[PW(gm)]],"ERR")</f>
        <v>2100</v>
      </c>
      <c r="W101" s="165">
        <f>IFERROR(Table1[[#This Row],[B1.Diff]]/Table1[[#This Row],[B1.Aud]],"ERR")</f>
        <v>7.0945945945945943E-2</v>
      </c>
      <c r="X101" s="162">
        <f>_xlfn.IFNA(VLOOKUP(Table1[[#This Row],[MTP SKU Code]],'Audit Dimensions'!A:N,10,FALSE),"ARC")</f>
        <v>0</v>
      </c>
      <c r="Y101" s="163">
        <f>IFERROR(Table1[[#This Row],[B2.Aud]]-Table1[[#This Row],[PW(gm)5]],"ERR")</f>
        <v>0</v>
      </c>
      <c r="Z101" s="165" t="str">
        <f>IFERROR(Table1[[#This Row],[B2.Diff]]/Table1[[#This Row],[B2.Aud]],"NA")</f>
        <v>NA</v>
      </c>
      <c r="AA101" s="162">
        <f>_xlfn.IFNA(VLOOKUP(Table1[[#This Row],[MTP SKU Code]],'Audit Dimensions'!A:N,14,FALSE),"ARC")</f>
        <v>0</v>
      </c>
      <c r="AB101" s="161">
        <f>IFERROR(Table1[[#This Row],[B3.Aud]]-Table1[[#This Row],[PW(gm)9]],"ERR")</f>
        <v>0</v>
      </c>
      <c r="AC101" s="168">
        <f>IFERROR(Table1[[#This Row],[B3.Diff]]/Table1[[#This Row],[BaLL.Aud]],"ERR")</f>
        <v>0</v>
      </c>
      <c r="AD101" s="189">
        <f>_xlfn.IFNA(VLOOKUP(Table1[[#This Row],[MTP SKU Code]],'Audit Dimensions'!A:U,16,FALSE),"ARC")</f>
        <v>29600</v>
      </c>
      <c r="AE101" s="165">
        <f>IFERROR(1-Table1[[#This Row],[Gms]]/Table1[[#This Row],[BaLL.Aud]],"ERR")</f>
        <v>7.0945945945945943E-2</v>
      </c>
    </row>
    <row r="102" spans="1:31" ht="14.45" customHeight="1">
      <c r="A102" s="91" t="s">
        <v>147</v>
      </c>
      <c r="B102" s="84" t="s">
        <v>48</v>
      </c>
      <c r="C102" s="190">
        <f>_xlfn.XLOOKUP(Table1[[#This Row],[MTP SKU Code]],'Audit Dimensions'!A:A,'Audit Dimensions'!C:C,0)</f>
        <v>49</v>
      </c>
      <c r="D102" s="190">
        <f>_xlfn.XLOOKUP(Table1[[#This Row],[MTP SKU Code]],'Audit Dimensions'!$A:$A,'Audit Dimensions'!D:D,0)</f>
        <v>43</v>
      </c>
      <c r="E102" s="190">
        <f>_xlfn.XLOOKUP(Table1[[#This Row],[MTP SKU Code]],'Audit Dimensions'!$A:$A,'Audit Dimensions'!E:E,0)</f>
        <v>12</v>
      </c>
      <c r="F102" s="190">
        <v>9800</v>
      </c>
      <c r="G102" s="190">
        <f>_xlfn.XLOOKUP(Table1[[#This Row],[MTP SKU Code]],'Audit Dimensions'!$A:$A,'Audit Dimensions'!G:G,0)</f>
        <v>0</v>
      </c>
      <c r="H102" s="190">
        <f>_xlfn.XLOOKUP(Table1[[#This Row],[MTP SKU Code]],'Audit Dimensions'!$A:$A,'Audit Dimensions'!H:H,0)</f>
        <v>0</v>
      </c>
      <c r="I102" s="190">
        <f>_xlfn.XLOOKUP(Table1[[#This Row],[MTP SKU Code]],'Audit Dimensions'!$A:$A,'Audit Dimensions'!I:I,0)</f>
        <v>0</v>
      </c>
      <c r="J102" s="190">
        <f>_xlfn.XLOOKUP(Table1[[#This Row],[MTP SKU Code]],'Audit Dimensions'!$A:$A,'Audit Dimensions'!J:J,0)</f>
        <v>0</v>
      </c>
      <c r="K102" s="190">
        <f>_xlfn.XLOOKUP(Table1[[#This Row],[MTP SKU Code]],'Audit Dimensions'!$A:$A,'Audit Dimensions'!K:K,0)</f>
        <v>0</v>
      </c>
      <c r="L102" s="190">
        <f>_xlfn.XLOOKUP(Table1[[#This Row],[MTP SKU Code]],'Audit Dimensions'!$A:$A,'Audit Dimensions'!L:L,0)</f>
        <v>0</v>
      </c>
      <c r="M102" s="190">
        <f>_xlfn.XLOOKUP(Table1[[#This Row],[MTP SKU Code]],'Audit Dimensions'!$A:$A,'Audit Dimensions'!M:M,0)</f>
        <v>0</v>
      </c>
      <c r="N102" s="190">
        <f>_xlfn.XLOOKUP(Table1[[#This Row],[MTP SKU Code]],'Audit Dimensions'!$A:$A,'Audit Dimensions'!N:N,0)</f>
        <v>0</v>
      </c>
      <c r="O102" s="118">
        <f>((IFERROR((C102*D102*E102),0)+IFERROR((G102*H102*I102),0)+IFERROR((K102*L102*M102),0))/1000000)*35.32</f>
        <v>0.89303088000000008</v>
      </c>
      <c r="P102" s="125">
        <f>Table1[[#This Row],[Column15]]*$P$2*1000</f>
        <v>5358.1852800000006</v>
      </c>
      <c r="Q102" s="87">
        <f>F102+J102+N102</f>
        <v>9800</v>
      </c>
      <c r="R102" s="86">
        <f>MAX(Q102,O102)</f>
        <v>9800</v>
      </c>
      <c r="S102" s="86">
        <f>MAX(R102,P102)</f>
        <v>9800</v>
      </c>
      <c r="T102" s="156" t="str">
        <f>VLOOKUP(A102,'[1]MTP SKUs - Master Data'!$A:$B,2,FALSE)</f>
        <v>Y</v>
      </c>
      <c r="U102" s="162">
        <f>_xlfn.IFNA(VLOOKUP(Table1[[#This Row],[MTP SKU Code]],'Audit Dimensions'!A:N,6,FALSE),"ARC")</f>
        <v>10350</v>
      </c>
      <c r="V102" s="162">
        <f>IFERROR(Table1[[#This Row],[B1.Aud]]-Table1[[#This Row],[PW(gm)]],"ERR")</f>
        <v>550</v>
      </c>
      <c r="W102" s="165">
        <f>IFERROR(Table1[[#This Row],[B1.Diff]]/Table1[[#This Row],[B1.Aud]],"ERR")</f>
        <v>5.3140096618357488E-2</v>
      </c>
      <c r="X102" s="162">
        <f>_xlfn.IFNA(VLOOKUP(Table1[[#This Row],[MTP SKU Code]],'Audit Dimensions'!A:N,10,FALSE),"ARC")</f>
        <v>0</v>
      </c>
      <c r="Y102" s="163">
        <f>IFERROR(Table1[[#This Row],[B2.Aud]]-Table1[[#This Row],[PW(gm)5]],"ERR")</f>
        <v>0</v>
      </c>
      <c r="Z102" s="165" t="str">
        <f>IFERROR(Table1[[#This Row],[B2.Diff]]/Table1[[#This Row],[B2.Aud]],"NA")</f>
        <v>NA</v>
      </c>
      <c r="AA102" s="162">
        <f>_xlfn.IFNA(VLOOKUP(Table1[[#This Row],[MTP SKU Code]],'Audit Dimensions'!A:N,14,FALSE),"ARC")</f>
        <v>0</v>
      </c>
      <c r="AB102" s="161">
        <f>IFERROR(Table1[[#This Row],[B3.Aud]]-Table1[[#This Row],[PW(gm)9]],"ERR")</f>
        <v>0</v>
      </c>
      <c r="AC102" s="168">
        <f>IFERROR(Table1[[#This Row],[B3.Diff]]/Table1[[#This Row],[BaLL.Aud]],"ERR")</f>
        <v>0</v>
      </c>
      <c r="AD102" s="189">
        <f>_xlfn.IFNA(VLOOKUP(Table1[[#This Row],[MTP SKU Code]],'Audit Dimensions'!A:U,16,FALSE),"ARC")</f>
        <v>10350</v>
      </c>
      <c r="AE102" s="165">
        <f>IFERROR(1-Table1[[#This Row],[Gms]]/Table1[[#This Row],[BaLL.Aud]],"ERR")</f>
        <v>5.3140096618357502E-2</v>
      </c>
    </row>
    <row r="103" spans="1:31" ht="14.45" customHeight="1">
      <c r="A103" s="70" t="s">
        <v>148</v>
      </c>
      <c r="B103" s="84" t="s">
        <v>48</v>
      </c>
      <c r="C103" s="190">
        <f>_xlfn.XLOOKUP(Table1[[#This Row],[MTP SKU Code]],'Audit Dimensions'!A:A,'Audit Dimensions'!C:C,0)</f>
        <v>107</v>
      </c>
      <c r="D103" s="190">
        <f>_xlfn.XLOOKUP(Table1[[#This Row],[MTP SKU Code]],'Audit Dimensions'!$A:$A,'Audit Dimensions'!D:D,0)</f>
        <v>42</v>
      </c>
      <c r="E103" s="190">
        <f>_xlfn.XLOOKUP(Table1[[#This Row],[MTP SKU Code]],'Audit Dimensions'!$A:$A,'Audit Dimensions'!E:E,0)</f>
        <v>9</v>
      </c>
      <c r="F103" s="190">
        <v>19000</v>
      </c>
      <c r="G103" s="190">
        <f>_xlfn.XLOOKUP(Table1[[#This Row],[MTP SKU Code]],'Audit Dimensions'!$A:$A,'Audit Dimensions'!G:G,0)</f>
        <v>139</v>
      </c>
      <c r="H103" s="190">
        <f>_xlfn.XLOOKUP(Table1[[#This Row],[MTP SKU Code]],'Audit Dimensions'!$A:$A,'Audit Dimensions'!H:H,0)</f>
        <v>42</v>
      </c>
      <c r="I103" s="190">
        <f>_xlfn.XLOOKUP(Table1[[#This Row],[MTP SKU Code]],'Audit Dimensions'!$A:$A,'Audit Dimensions'!I:I,0)</f>
        <v>9</v>
      </c>
      <c r="J103" s="190">
        <v>25600</v>
      </c>
      <c r="K103" s="190">
        <f>_xlfn.XLOOKUP(Table1[[#This Row],[MTP SKU Code]],'Audit Dimensions'!$A:$A,'Audit Dimensions'!K:K,0)</f>
        <v>169</v>
      </c>
      <c r="L103" s="190">
        <f>_xlfn.XLOOKUP(Table1[[#This Row],[MTP SKU Code]],'Audit Dimensions'!$A:$A,'Audit Dimensions'!L:L,0)</f>
        <v>36</v>
      </c>
      <c r="M103" s="190">
        <f>_xlfn.XLOOKUP(Table1[[#This Row],[MTP SKU Code]],'Audit Dimensions'!$A:$A,'Audit Dimensions'!M:M,0)</f>
        <v>9</v>
      </c>
      <c r="N103" s="190">
        <v>29000</v>
      </c>
      <c r="O103" s="118">
        <f>((IFERROR((C103*D103*E103),0)+IFERROR((G103*H103*I103),0)+IFERROR((K103*L103*M103),0))/1000000)*35.32</f>
        <v>5.2183180799999995</v>
      </c>
      <c r="P103" s="125">
        <f>Table1[[#This Row],[Column15]]*$P$2*1000</f>
        <v>31309.908479999998</v>
      </c>
      <c r="Q103" s="87">
        <f>F103+J103+N103</f>
        <v>73600</v>
      </c>
      <c r="R103" s="86">
        <f>MAX(Q103,O103)</f>
        <v>73600</v>
      </c>
      <c r="S103" s="86">
        <f>MAX(R103,P103)</f>
        <v>73600</v>
      </c>
      <c r="T103" s="156" t="str">
        <f>VLOOKUP(A103,'[1]MTP SKUs - Master Data'!$A:$B,2,FALSE)</f>
        <v>Y</v>
      </c>
      <c r="U103" s="162">
        <f>_xlfn.IFNA(VLOOKUP(Table1[[#This Row],[MTP SKU Code]],'Audit Dimensions'!A:N,6,FALSE),"ARC")</f>
        <v>18900</v>
      </c>
      <c r="V103" s="162">
        <f>IFERROR(Table1[[#This Row],[B1.Aud]]-Table1[[#This Row],[PW(gm)]],"ERR")</f>
        <v>-100</v>
      </c>
      <c r="W103" s="165">
        <f>IFERROR(Table1[[#This Row],[B1.Diff]]/Table1[[#This Row],[B1.Aud]],"ERR")</f>
        <v>-5.2910052910052907E-3</v>
      </c>
      <c r="X103" s="162">
        <f>_xlfn.IFNA(VLOOKUP(Table1[[#This Row],[MTP SKU Code]],'Audit Dimensions'!A:N,10,FALSE),"ARC")</f>
        <v>26350</v>
      </c>
      <c r="Y103" s="163">
        <f>IFERROR(Table1[[#This Row],[B2.Aud]]-Table1[[#This Row],[PW(gm)5]],"ERR")</f>
        <v>750</v>
      </c>
      <c r="Z103" s="165">
        <f>IFERROR(Table1[[#This Row],[B2.Diff]]/Table1[[#This Row],[B2.Aud]],"NA")</f>
        <v>2.8462998102466792E-2</v>
      </c>
      <c r="AA103" s="162">
        <f>_xlfn.IFNA(VLOOKUP(Table1[[#This Row],[MTP SKU Code]],'Audit Dimensions'!A:N,14,FALSE),"ARC")</f>
        <v>32270</v>
      </c>
      <c r="AB103" s="161">
        <f>IFERROR(Table1[[#This Row],[B3.Aud]]-Table1[[#This Row],[PW(gm)9]],"ERR")</f>
        <v>3270</v>
      </c>
      <c r="AC103" s="168">
        <f>IFERROR(Table1[[#This Row],[B3.Diff]]/Table1[[#This Row],[BaLL.Aud]],"ERR")</f>
        <v>4.2182662538699692E-2</v>
      </c>
      <c r="AD103" s="189">
        <f>_xlfn.IFNA(VLOOKUP(Table1[[#This Row],[MTP SKU Code]],'Audit Dimensions'!A:U,16,FALSE),"ARC")</f>
        <v>77520</v>
      </c>
      <c r="AE103" s="165">
        <f>IFERROR(1-Table1[[#This Row],[Gms]]/Table1[[#This Row],[BaLL.Aud]],"ERR")</f>
        <v>5.0567595459236281E-2</v>
      </c>
    </row>
    <row r="104" spans="1:31" ht="14.45" customHeight="1">
      <c r="A104" s="68" t="s">
        <v>149</v>
      </c>
      <c r="B104" s="84" t="s">
        <v>48</v>
      </c>
      <c r="C104" s="190">
        <f>_xlfn.XLOOKUP(Table1[[#This Row],[MTP SKU Code]],'Audit Dimensions'!A:A,'Audit Dimensions'!C:C,0)</f>
        <v>165</v>
      </c>
      <c r="D104" s="190">
        <f>_xlfn.XLOOKUP(Table1[[#This Row],[MTP SKU Code]],'Audit Dimensions'!$A:$A,'Audit Dimensions'!D:D,0)</f>
        <v>43</v>
      </c>
      <c r="E104" s="190">
        <f>_xlfn.XLOOKUP(Table1[[#This Row],[MTP SKU Code]],'Audit Dimensions'!$A:$A,'Audit Dimensions'!E:E,0)</f>
        <v>10</v>
      </c>
      <c r="F104" s="190">
        <v>33500</v>
      </c>
      <c r="G104" s="190">
        <f>_xlfn.XLOOKUP(Table1[[#This Row],[MTP SKU Code]],'Audit Dimensions'!$A:$A,'Audit Dimensions'!G:G,0)</f>
        <v>0</v>
      </c>
      <c r="H104" s="190">
        <f>_xlfn.XLOOKUP(Table1[[#This Row],[MTP SKU Code]],'Audit Dimensions'!$A:$A,'Audit Dimensions'!H:H,0)</f>
        <v>0</v>
      </c>
      <c r="I104" s="190">
        <f>_xlfn.XLOOKUP(Table1[[#This Row],[MTP SKU Code]],'Audit Dimensions'!$A:$A,'Audit Dimensions'!I:I,0)</f>
        <v>0</v>
      </c>
      <c r="J104" s="190">
        <f>_xlfn.XLOOKUP(Table1[[#This Row],[MTP SKU Code]],'Audit Dimensions'!$A:$A,'Audit Dimensions'!J:J,0)</f>
        <v>0</v>
      </c>
      <c r="K104" s="190">
        <f>_xlfn.XLOOKUP(Table1[[#This Row],[MTP SKU Code]],'Audit Dimensions'!$A:$A,'Audit Dimensions'!K:K,0)</f>
        <v>0</v>
      </c>
      <c r="L104" s="190">
        <f>_xlfn.XLOOKUP(Table1[[#This Row],[MTP SKU Code]],'Audit Dimensions'!$A:$A,'Audit Dimensions'!L:L,0)</f>
        <v>0</v>
      </c>
      <c r="M104" s="190">
        <f>_xlfn.XLOOKUP(Table1[[#This Row],[MTP SKU Code]],'Audit Dimensions'!$A:$A,'Audit Dimensions'!M:M,0)</f>
        <v>0</v>
      </c>
      <c r="N104" s="190">
        <f>_xlfn.XLOOKUP(Table1[[#This Row],[MTP SKU Code]],'Audit Dimensions'!$A:$A,'Audit Dimensions'!N:N,0)</f>
        <v>0</v>
      </c>
      <c r="O104" s="118">
        <f>((IFERROR((C104*D104*E104),0)+IFERROR((G104*H104*I104),0)+IFERROR((K104*L104*M104),0))/1000000)*35.32</f>
        <v>2.505954</v>
      </c>
      <c r="P104" s="125">
        <f>Table1[[#This Row],[Column15]]*$P$2*1000</f>
        <v>15035.724</v>
      </c>
      <c r="Q104" s="87">
        <f>F104+J104+N104</f>
        <v>33500</v>
      </c>
      <c r="R104" s="88">
        <f>MAX(Q104,O104)</f>
        <v>33500</v>
      </c>
      <c r="S104" s="86">
        <f>MAX(R104,P104)</f>
        <v>33500</v>
      </c>
      <c r="T104" s="156" t="str">
        <f>VLOOKUP(A104,'[1]MTP SKUs - Master Data'!$A:$B,2,FALSE)</f>
        <v>Y</v>
      </c>
      <c r="U104" s="162">
        <f>_xlfn.IFNA(VLOOKUP(Table1[[#This Row],[MTP SKU Code]],'Audit Dimensions'!A:N,6,FALSE),"ARC")</f>
        <v>35200</v>
      </c>
      <c r="V104" s="162">
        <f>IFERROR(Table1[[#This Row],[B1.Aud]]-Table1[[#This Row],[PW(gm)]],"ERR")</f>
        <v>1700</v>
      </c>
      <c r="W104" s="165">
        <f>IFERROR(Table1[[#This Row],[B1.Diff]]/Table1[[#This Row],[B1.Aud]],"ERR")</f>
        <v>4.8295454545454544E-2</v>
      </c>
      <c r="X104" s="162">
        <f>_xlfn.IFNA(VLOOKUP(Table1[[#This Row],[MTP SKU Code]],'Audit Dimensions'!A:N,10,FALSE),"ARC")</f>
        <v>0</v>
      </c>
      <c r="Y104" s="163">
        <f>IFERROR(Table1[[#This Row],[B2.Aud]]-Table1[[#This Row],[PW(gm)5]],"ERR")</f>
        <v>0</v>
      </c>
      <c r="Z104" s="165" t="str">
        <f>IFERROR(Table1[[#This Row],[B2.Diff]]/Table1[[#This Row],[B2.Aud]],"NA")</f>
        <v>NA</v>
      </c>
      <c r="AA104" s="162">
        <f>_xlfn.IFNA(VLOOKUP(Table1[[#This Row],[MTP SKU Code]],'Audit Dimensions'!A:N,14,FALSE),"ARC")</f>
        <v>0</v>
      </c>
      <c r="AB104" s="161">
        <f>IFERROR(Table1[[#This Row],[B3.Aud]]-Table1[[#This Row],[PW(gm)9]],"ERR")</f>
        <v>0</v>
      </c>
      <c r="AC104" s="168">
        <f>IFERROR(Table1[[#This Row],[B3.Diff]]/Table1[[#This Row],[BaLL.Aud]],"ERR")</f>
        <v>0</v>
      </c>
      <c r="AD104" s="189">
        <f>_xlfn.IFNA(VLOOKUP(Table1[[#This Row],[MTP SKU Code]],'Audit Dimensions'!A:U,16,FALSE),"ARC")</f>
        <v>35200</v>
      </c>
      <c r="AE104" s="165">
        <f>IFERROR(1-Table1[[#This Row],[Gms]]/Table1[[#This Row],[BaLL.Aud]],"ERR")</f>
        <v>4.8295454545454586E-2</v>
      </c>
    </row>
    <row r="105" spans="1:31" ht="14.45" customHeight="1">
      <c r="A105" s="90" t="s">
        <v>150</v>
      </c>
      <c r="B105" s="84" t="s">
        <v>48</v>
      </c>
      <c r="C105" s="190">
        <f>_xlfn.XLOOKUP(Table1[[#This Row],[MTP SKU Code]],'Audit Dimensions'!A:A,'Audit Dimensions'!C:C,0)</f>
        <v>157</v>
      </c>
      <c r="D105" s="190">
        <f>_xlfn.XLOOKUP(Table1[[#This Row],[MTP SKU Code]],'Audit Dimensions'!$A:$A,'Audit Dimensions'!D:D,0)</f>
        <v>42</v>
      </c>
      <c r="E105" s="190">
        <f>_xlfn.XLOOKUP(Table1[[#This Row],[MTP SKU Code]],'Audit Dimensions'!$A:$A,'Audit Dimensions'!E:E,0)</f>
        <v>9</v>
      </c>
      <c r="F105" s="190">
        <v>28500</v>
      </c>
      <c r="G105" s="190">
        <f>_xlfn.XLOOKUP(Table1[[#This Row],[MTP SKU Code]],'Audit Dimensions'!$A:$A,'Audit Dimensions'!G:G,0)</f>
        <v>0</v>
      </c>
      <c r="H105" s="190">
        <f>_xlfn.XLOOKUP(Table1[[#This Row],[MTP SKU Code]],'Audit Dimensions'!$A:$A,'Audit Dimensions'!H:H,0)</f>
        <v>0</v>
      </c>
      <c r="I105" s="190">
        <f>_xlfn.XLOOKUP(Table1[[#This Row],[MTP SKU Code]],'Audit Dimensions'!$A:$A,'Audit Dimensions'!I:I,0)</f>
        <v>0</v>
      </c>
      <c r="J105" s="190">
        <f>_xlfn.XLOOKUP(Table1[[#This Row],[MTP SKU Code]],'Audit Dimensions'!$A:$A,'Audit Dimensions'!J:J,0)</f>
        <v>0</v>
      </c>
      <c r="K105" s="190">
        <f>_xlfn.XLOOKUP(Table1[[#This Row],[MTP SKU Code]],'Audit Dimensions'!$A:$A,'Audit Dimensions'!K:K,0)</f>
        <v>0</v>
      </c>
      <c r="L105" s="190">
        <f>_xlfn.XLOOKUP(Table1[[#This Row],[MTP SKU Code]],'Audit Dimensions'!$A:$A,'Audit Dimensions'!L:L,0)</f>
        <v>0</v>
      </c>
      <c r="M105" s="190">
        <f>_xlfn.XLOOKUP(Table1[[#This Row],[MTP SKU Code]],'Audit Dimensions'!$A:$A,'Audit Dimensions'!M:M,0)</f>
        <v>0</v>
      </c>
      <c r="N105" s="190">
        <f>_xlfn.XLOOKUP(Table1[[#This Row],[MTP SKU Code]],'Audit Dimensions'!$A:$A,'Audit Dimensions'!N:N,0)</f>
        <v>0</v>
      </c>
      <c r="O105" s="118">
        <f>((IFERROR((C105*D105*E105),0)+IFERROR((G105*H105*I105),0)+IFERROR((K105*L105*M105),0))/1000000)*35.32</f>
        <v>2.0961007199999999</v>
      </c>
      <c r="P105" s="125">
        <f>Table1[[#This Row],[Column15]]*$P$2*1000</f>
        <v>12576.60432</v>
      </c>
      <c r="Q105" s="87">
        <f>F105+J105+N105</f>
        <v>28500</v>
      </c>
      <c r="R105" s="86">
        <f>MAX(Q105,O105)</f>
        <v>28500</v>
      </c>
      <c r="S105" s="86">
        <f>MAX(R105,P105)</f>
        <v>28500</v>
      </c>
      <c r="T105" s="156" t="str">
        <f>VLOOKUP(A105,'[1]MTP SKUs - Master Data'!$A:$B,2,FALSE)</f>
        <v>Y</v>
      </c>
      <c r="U105" s="162">
        <f>_xlfn.IFNA(VLOOKUP(Table1[[#This Row],[MTP SKU Code]],'Audit Dimensions'!A:N,6,FALSE),"ARC")</f>
        <v>29750</v>
      </c>
      <c r="V105" s="162">
        <f>IFERROR(Table1[[#This Row],[B1.Aud]]-Table1[[#This Row],[PW(gm)]],"ERR")</f>
        <v>1250</v>
      </c>
      <c r="W105" s="165">
        <f>IFERROR(Table1[[#This Row],[B1.Diff]]/Table1[[#This Row],[B1.Aud]],"ERR")</f>
        <v>4.2016806722689079E-2</v>
      </c>
      <c r="X105" s="162">
        <f>_xlfn.IFNA(VLOOKUP(Table1[[#This Row],[MTP SKU Code]],'Audit Dimensions'!A:N,10,FALSE),"ARC")</f>
        <v>0</v>
      </c>
      <c r="Y105" s="163">
        <f>IFERROR(Table1[[#This Row],[B2.Aud]]-Table1[[#This Row],[PW(gm)5]],"ERR")</f>
        <v>0</v>
      </c>
      <c r="Z105" s="165" t="str">
        <f>IFERROR(Table1[[#This Row],[B2.Diff]]/Table1[[#This Row],[B2.Aud]],"NA")</f>
        <v>NA</v>
      </c>
      <c r="AA105" s="162">
        <f>_xlfn.IFNA(VLOOKUP(Table1[[#This Row],[MTP SKU Code]],'Audit Dimensions'!A:N,14,FALSE),"ARC")</f>
        <v>0</v>
      </c>
      <c r="AB105" s="161">
        <f>IFERROR(Table1[[#This Row],[B3.Aud]]-Table1[[#This Row],[PW(gm)9]],"ERR")</f>
        <v>0</v>
      </c>
      <c r="AC105" s="168">
        <f>IFERROR(Table1[[#This Row],[B3.Diff]]/Table1[[#This Row],[BaLL.Aud]],"ERR")</f>
        <v>0</v>
      </c>
      <c r="AD105" s="189">
        <f>_xlfn.IFNA(VLOOKUP(Table1[[#This Row],[MTP SKU Code]],'Audit Dimensions'!A:U,16,FALSE),"ARC")</f>
        <v>29750</v>
      </c>
      <c r="AE105" s="165">
        <f>IFERROR(1-Table1[[#This Row],[Gms]]/Table1[[#This Row],[BaLL.Aud]],"ERR")</f>
        <v>4.2016806722689037E-2</v>
      </c>
    </row>
    <row r="106" spans="1:31" ht="14.45" customHeight="1">
      <c r="A106" s="68" t="s">
        <v>151</v>
      </c>
      <c r="B106" s="84" t="s">
        <v>48</v>
      </c>
      <c r="C106" s="190">
        <f>_xlfn.XLOOKUP(Table1[[#This Row],[MTP SKU Code]],'Audit Dimensions'!A:A,'Audit Dimensions'!C:C,0)</f>
        <v>55</v>
      </c>
      <c r="D106" s="190">
        <f>_xlfn.XLOOKUP(Table1[[#This Row],[MTP SKU Code]],'Audit Dimensions'!$A:$A,'Audit Dimensions'!D:D,0)</f>
        <v>27</v>
      </c>
      <c r="E106" s="190">
        <f>_xlfn.XLOOKUP(Table1[[#This Row],[MTP SKU Code]],'Audit Dimensions'!$A:$A,'Audit Dimensions'!E:E,0)</f>
        <v>9</v>
      </c>
      <c r="F106" s="190">
        <v>5800</v>
      </c>
      <c r="G106" s="190">
        <f>_xlfn.XLOOKUP(Table1[[#This Row],[MTP SKU Code]],'Audit Dimensions'!$A:$A,'Audit Dimensions'!G:G,0)</f>
        <v>0</v>
      </c>
      <c r="H106" s="190">
        <f>_xlfn.XLOOKUP(Table1[[#This Row],[MTP SKU Code]],'Audit Dimensions'!$A:$A,'Audit Dimensions'!H:H,0)</f>
        <v>0</v>
      </c>
      <c r="I106" s="190">
        <f>_xlfn.XLOOKUP(Table1[[#This Row],[MTP SKU Code]],'Audit Dimensions'!$A:$A,'Audit Dimensions'!I:I,0)</f>
        <v>0</v>
      </c>
      <c r="J106" s="190">
        <f>_xlfn.XLOOKUP(Table1[[#This Row],[MTP SKU Code]],'Audit Dimensions'!$A:$A,'Audit Dimensions'!J:J,0)</f>
        <v>0</v>
      </c>
      <c r="K106" s="190">
        <f>_xlfn.XLOOKUP(Table1[[#This Row],[MTP SKU Code]],'Audit Dimensions'!$A:$A,'Audit Dimensions'!K:K,0)</f>
        <v>0</v>
      </c>
      <c r="L106" s="190">
        <f>_xlfn.XLOOKUP(Table1[[#This Row],[MTP SKU Code]],'Audit Dimensions'!$A:$A,'Audit Dimensions'!L:L,0)</f>
        <v>0</v>
      </c>
      <c r="M106" s="190">
        <f>_xlfn.XLOOKUP(Table1[[#This Row],[MTP SKU Code]],'Audit Dimensions'!$A:$A,'Audit Dimensions'!M:M,0)</f>
        <v>0</v>
      </c>
      <c r="N106" s="190">
        <f>_xlfn.XLOOKUP(Table1[[#This Row],[MTP SKU Code]],'Audit Dimensions'!$A:$A,'Audit Dimensions'!N:N,0)</f>
        <v>0</v>
      </c>
      <c r="O106" s="118">
        <f>((IFERROR((C106*D106*E106),0)+IFERROR((G106*H106*I106),0)+IFERROR((K106*L106*M106),0))/1000000)*35.32</f>
        <v>0.47205180000000002</v>
      </c>
      <c r="P106" s="125">
        <f>Table1[[#This Row],[Column15]]*$P$2*1000</f>
        <v>2832.3108000000002</v>
      </c>
      <c r="Q106" s="87">
        <f>F106+J106+N106</f>
        <v>5800</v>
      </c>
      <c r="R106" s="86">
        <f>MAX(Q106,O106)</f>
        <v>5800</v>
      </c>
      <c r="S106" s="86">
        <f>MAX(R106,P106)</f>
        <v>5800</v>
      </c>
      <c r="T106" s="156" t="str">
        <f>VLOOKUP(A106,'[1]MTP SKUs - Master Data'!$A:$B,2,FALSE)</f>
        <v>Y</v>
      </c>
      <c r="U106" s="162">
        <f>_xlfn.IFNA(VLOOKUP(Table1[[#This Row],[MTP SKU Code]],'Audit Dimensions'!A:N,6,FALSE),"ARC")</f>
        <v>6130</v>
      </c>
      <c r="V106" s="162">
        <f>IFERROR(Table1[[#This Row],[B1.Aud]]-Table1[[#This Row],[PW(gm)]],"ERR")</f>
        <v>330</v>
      </c>
      <c r="W106" s="165">
        <f>IFERROR(Table1[[#This Row],[B1.Diff]]/Table1[[#This Row],[B1.Aud]],"ERR")</f>
        <v>5.3833605220228384E-2</v>
      </c>
      <c r="X106" s="162">
        <f>_xlfn.IFNA(VLOOKUP(Table1[[#This Row],[MTP SKU Code]],'Audit Dimensions'!A:N,10,FALSE),"ARC")</f>
        <v>0</v>
      </c>
      <c r="Y106" s="163">
        <f>IFERROR(Table1[[#This Row],[B2.Aud]]-Table1[[#This Row],[PW(gm)5]],"ERR")</f>
        <v>0</v>
      </c>
      <c r="Z106" s="165" t="str">
        <f>IFERROR(Table1[[#This Row],[B2.Diff]]/Table1[[#This Row],[B2.Aud]],"NA")</f>
        <v>NA</v>
      </c>
      <c r="AA106" s="162">
        <f>_xlfn.IFNA(VLOOKUP(Table1[[#This Row],[MTP SKU Code]],'Audit Dimensions'!A:N,14,FALSE),"ARC")</f>
        <v>0</v>
      </c>
      <c r="AB106" s="161">
        <f>IFERROR(Table1[[#This Row],[B3.Aud]]-Table1[[#This Row],[PW(gm)9]],"ERR")</f>
        <v>0</v>
      </c>
      <c r="AC106" s="168">
        <f>IFERROR(Table1[[#This Row],[B3.Diff]]/Table1[[#This Row],[BaLL.Aud]],"ERR")</f>
        <v>0</v>
      </c>
      <c r="AD106" s="189">
        <f>_xlfn.IFNA(VLOOKUP(Table1[[#This Row],[MTP SKU Code]],'Audit Dimensions'!A:U,16,FALSE),"ARC")</f>
        <v>6130</v>
      </c>
      <c r="AE106" s="165">
        <f>IFERROR(1-Table1[[#This Row],[Gms]]/Table1[[#This Row],[BaLL.Aud]],"ERR")</f>
        <v>5.3833605220228398E-2</v>
      </c>
    </row>
    <row r="107" spans="1:31" ht="14.45" customHeight="1">
      <c r="A107" s="68" t="s">
        <v>152</v>
      </c>
      <c r="B107" s="84" t="s">
        <v>48</v>
      </c>
      <c r="C107" s="190">
        <f>_xlfn.XLOOKUP(Table1[[#This Row],[MTP SKU Code]],'Audit Dimensions'!A:A,'Audit Dimensions'!C:C,0)</f>
        <v>68</v>
      </c>
      <c r="D107" s="190">
        <f>_xlfn.XLOOKUP(Table1[[#This Row],[MTP SKU Code]],'Audit Dimensions'!$A:$A,'Audit Dimensions'!D:D,0)</f>
        <v>30</v>
      </c>
      <c r="E107" s="190">
        <f>_xlfn.XLOOKUP(Table1[[#This Row],[MTP SKU Code]],'Audit Dimensions'!$A:$A,'Audit Dimensions'!E:E,0)</f>
        <v>23</v>
      </c>
      <c r="F107" s="190">
        <v>21500</v>
      </c>
      <c r="G107" s="190">
        <f>_xlfn.XLOOKUP(Table1[[#This Row],[MTP SKU Code]],'Audit Dimensions'!$A:$A,'Audit Dimensions'!G:G,0)</f>
        <v>0</v>
      </c>
      <c r="H107" s="190">
        <f>_xlfn.XLOOKUP(Table1[[#This Row],[MTP SKU Code]],'Audit Dimensions'!$A:$A,'Audit Dimensions'!H:H,0)</f>
        <v>0</v>
      </c>
      <c r="I107" s="190">
        <f>_xlfn.XLOOKUP(Table1[[#This Row],[MTP SKU Code]],'Audit Dimensions'!$A:$A,'Audit Dimensions'!I:I,0)</f>
        <v>0</v>
      </c>
      <c r="J107" s="190">
        <f>_xlfn.XLOOKUP(Table1[[#This Row],[MTP SKU Code]],'Audit Dimensions'!$A:$A,'Audit Dimensions'!J:J,0)</f>
        <v>0</v>
      </c>
      <c r="K107" s="190">
        <f>_xlfn.XLOOKUP(Table1[[#This Row],[MTP SKU Code]],'Audit Dimensions'!$A:$A,'Audit Dimensions'!K:K,0)</f>
        <v>0</v>
      </c>
      <c r="L107" s="190">
        <f>_xlfn.XLOOKUP(Table1[[#This Row],[MTP SKU Code]],'Audit Dimensions'!$A:$A,'Audit Dimensions'!L:L,0)</f>
        <v>0</v>
      </c>
      <c r="M107" s="190">
        <f>_xlfn.XLOOKUP(Table1[[#This Row],[MTP SKU Code]],'Audit Dimensions'!$A:$A,'Audit Dimensions'!M:M,0)</f>
        <v>0</v>
      </c>
      <c r="N107" s="190">
        <f>_xlfn.XLOOKUP(Table1[[#This Row],[MTP SKU Code]],'Audit Dimensions'!$A:$A,'Audit Dimensions'!N:N,0)</f>
        <v>0</v>
      </c>
      <c r="O107" s="118">
        <f>((IFERROR((C107*D107*E107),0)+IFERROR((G107*H107*I107),0)+IFERROR((K107*L107*M107),0))/1000000)*35.32</f>
        <v>1.6572144000000002</v>
      </c>
      <c r="P107" s="125">
        <f>Table1[[#This Row],[Column15]]*$P$2*1000</f>
        <v>9943.2864000000009</v>
      </c>
      <c r="Q107" s="87">
        <f>F107+J107+N107</f>
        <v>21500</v>
      </c>
      <c r="R107" s="86">
        <f>MAX(Q107,O107)</f>
        <v>21500</v>
      </c>
      <c r="S107" s="86">
        <f>MAX(R107,P107)</f>
        <v>21500</v>
      </c>
      <c r="T107" s="156" t="str">
        <f>VLOOKUP(A107,'[1]MTP SKUs - Master Data'!$A:$B,2,FALSE)</f>
        <v>Y</v>
      </c>
      <c r="U107" s="162">
        <f>_xlfn.IFNA(VLOOKUP(Table1[[#This Row],[MTP SKU Code]],'Audit Dimensions'!A:N,6,FALSE),"ARC")</f>
        <v>22850</v>
      </c>
      <c r="V107" s="162">
        <f>IFERROR(Table1[[#This Row],[B1.Aud]]-Table1[[#This Row],[PW(gm)]],"ERR")</f>
        <v>1350</v>
      </c>
      <c r="W107" s="165">
        <f>IFERROR(Table1[[#This Row],[B1.Diff]]/Table1[[#This Row],[B1.Aud]],"ERR")</f>
        <v>5.9080962800875277E-2</v>
      </c>
      <c r="X107" s="162">
        <f>_xlfn.IFNA(VLOOKUP(Table1[[#This Row],[MTP SKU Code]],'Audit Dimensions'!A:N,10,FALSE),"ARC")</f>
        <v>0</v>
      </c>
      <c r="Y107" s="163">
        <f>IFERROR(Table1[[#This Row],[B2.Aud]]-Table1[[#This Row],[PW(gm)5]],"ERR")</f>
        <v>0</v>
      </c>
      <c r="Z107" s="165" t="str">
        <f>IFERROR(Table1[[#This Row],[B2.Diff]]/Table1[[#This Row],[B2.Aud]],"NA")</f>
        <v>NA</v>
      </c>
      <c r="AA107" s="162">
        <f>_xlfn.IFNA(VLOOKUP(Table1[[#This Row],[MTP SKU Code]],'Audit Dimensions'!A:N,14,FALSE),"ARC")</f>
        <v>0</v>
      </c>
      <c r="AB107" s="161">
        <f>IFERROR(Table1[[#This Row],[B3.Aud]]-Table1[[#This Row],[PW(gm)9]],"ERR")</f>
        <v>0</v>
      </c>
      <c r="AC107" s="168">
        <f>IFERROR(Table1[[#This Row],[B3.Diff]]/Table1[[#This Row],[BaLL.Aud]],"ERR")</f>
        <v>0</v>
      </c>
      <c r="AD107" s="189">
        <f>_xlfn.IFNA(VLOOKUP(Table1[[#This Row],[MTP SKU Code]],'Audit Dimensions'!A:U,16,FALSE),"ARC")</f>
        <v>22850</v>
      </c>
      <c r="AE107" s="165">
        <f>IFERROR(1-Table1[[#This Row],[Gms]]/Table1[[#This Row],[BaLL.Aud]],"ERR")</f>
        <v>5.908096280087527E-2</v>
      </c>
    </row>
    <row r="108" spans="1:31">
      <c r="A108" s="91" t="s">
        <v>153</v>
      </c>
      <c r="B108" s="84" t="s">
        <v>48</v>
      </c>
      <c r="C108" s="190">
        <f>_xlfn.XLOOKUP(Table1[[#This Row],[MTP SKU Code]],'Audit Dimensions'!A:A,'Audit Dimensions'!C:C,0)</f>
        <v>155</v>
      </c>
      <c r="D108" s="190">
        <f>_xlfn.XLOOKUP(Table1[[#This Row],[MTP SKU Code]],'Audit Dimensions'!$A:$A,'Audit Dimensions'!D:D,0)</f>
        <v>41</v>
      </c>
      <c r="E108" s="190">
        <f>_xlfn.XLOOKUP(Table1[[#This Row],[MTP SKU Code]],'Audit Dimensions'!$A:$A,'Audit Dimensions'!E:E,0)</f>
        <v>6</v>
      </c>
      <c r="F108" s="190">
        <v>16800</v>
      </c>
      <c r="G108" s="190">
        <f>_xlfn.XLOOKUP(Table1[[#This Row],[MTP SKU Code]],'Audit Dimensions'!$A:$A,'Audit Dimensions'!G:G,0)</f>
        <v>0</v>
      </c>
      <c r="H108" s="190">
        <f>_xlfn.XLOOKUP(Table1[[#This Row],[MTP SKU Code]],'Audit Dimensions'!$A:$A,'Audit Dimensions'!H:H,0)</f>
        <v>0</v>
      </c>
      <c r="I108" s="190">
        <f>_xlfn.XLOOKUP(Table1[[#This Row],[MTP SKU Code]],'Audit Dimensions'!$A:$A,'Audit Dimensions'!I:I,0)</f>
        <v>0</v>
      </c>
      <c r="J108" s="190">
        <f>_xlfn.XLOOKUP(Table1[[#This Row],[MTP SKU Code]],'Audit Dimensions'!$A:$A,'Audit Dimensions'!J:J,0)</f>
        <v>0</v>
      </c>
      <c r="K108" s="190">
        <f>_xlfn.XLOOKUP(Table1[[#This Row],[MTP SKU Code]],'Audit Dimensions'!$A:$A,'Audit Dimensions'!K:K,0)</f>
        <v>0</v>
      </c>
      <c r="L108" s="190">
        <f>_xlfn.XLOOKUP(Table1[[#This Row],[MTP SKU Code]],'Audit Dimensions'!$A:$A,'Audit Dimensions'!L:L,0)</f>
        <v>0</v>
      </c>
      <c r="M108" s="190">
        <f>_xlfn.XLOOKUP(Table1[[#This Row],[MTP SKU Code]],'Audit Dimensions'!$A:$A,'Audit Dimensions'!M:M,0)</f>
        <v>0</v>
      </c>
      <c r="N108" s="190">
        <f>_xlfn.XLOOKUP(Table1[[#This Row],[MTP SKU Code]],'Audit Dimensions'!$A:$A,'Audit Dimensions'!N:N,0)</f>
        <v>0</v>
      </c>
      <c r="O108" s="118">
        <f>((IFERROR((C108*D108*E108),0)+IFERROR((G108*H108*I108),0)+IFERROR((K108*L108*M108),0))/1000000)*35.32</f>
        <v>1.3467515999999999</v>
      </c>
      <c r="P108" s="125">
        <f>Table1[[#This Row],[Column15]]*$P$2*1000</f>
        <v>8080.5095999999994</v>
      </c>
      <c r="Q108" s="87">
        <f>F108+J108+N108</f>
        <v>16800</v>
      </c>
      <c r="R108" s="86">
        <f>MAX(Q108,O108)</f>
        <v>16800</v>
      </c>
      <c r="S108" s="86">
        <f>MAX(R108,P108)</f>
        <v>16800</v>
      </c>
      <c r="T108" s="156" t="str">
        <f>VLOOKUP(A108,'[1]MTP SKUs - Master Data'!$A:$B,2,FALSE)</f>
        <v>Y</v>
      </c>
      <c r="U108" s="162">
        <f>_xlfn.IFNA(VLOOKUP(Table1[[#This Row],[MTP SKU Code]],'Audit Dimensions'!A:N,6,FALSE),"ARC")</f>
        <v>17390</v>
      </c>
      <c r="V108" s="162">
        <f>IFERROR(Table1[[#This Row],[B1.Aud]]-Table1[[#This Row],[PW(gm)]],"ERR")</f>
        <v>590</v>
      </c>
      <c r="W108" s="165">
        <f>IFERROR(Table1[[#This Row],[B1.Diff]]/Table1[[#This Row],[B1.Aud]],"ERR")</f>
        <v>3.3927544565842439E-2</v>
      </c>
      <c r="X108" s="162">
        <f>_xlfn.IFNA(VLOOKUP(Table1[[#This Row],[MTP SKU Code]],'Audit Dimensions'!A:N,10,FALSE),"ARC")</f>
        <v>0</v>
      </c>
      <c r="Y108" s="163">
        <f>IFERROR(Table1[[#This Row],[B2.Aud]]-Table1[[#This Row],[PW(gm)5]],"ERR")</f>
        <v>0</v>
      </c>
      <c r="Z108" s="165" t="str">
        <f>IFERROR(Table1[[#This Row],[B2.Diff]]/Table1[[#This Row],[B2.Aud]],"NA")</f>
        <v>NA</v>
      </c>
      <c r="AA108" s="162">
        <f>_xlfn.IFNA(VLOOKUP(Table1[[#This Row],[MTP SKU Code]],'Audit Dimensions'!A:N,14,FALSE),"ARC")</f>
        <v>0</v>
      </c>
      <c r="AB108" s="161">
        <f>IFERROR(Table1[[#This Row],[B3.Aud]]-Table1[[#This Row],[PW(gm)9]],"ERR")</f>
        <v>0</v>
      </c>
      <c r="AC108" s="168">
        <f>IFERROR(Table1[[#This Row],[B3.Diff]]/Table1[[#This Row],[BaLL.Aud]],"ERR")</f>
        <v>0</v>
      </c>
      <c r="AD108" s="189">
        <f>_xlfn.IFNA(VLOOKUP(Table1[[#This Row],[MTP SKU Code]],'Audit Dimensions'!A:U,16,FALSE),"ARC")</f>
        <v>17390</v>
      </c>
      <c r="AE108" s="165">
        <f>IFERROR(1-Table1[[#This Row],[Gms]]/Table1[[#This Row],[BaLL.Aud]],"ERR")</f>
        <v>3.392754456584246E-2</v>
      </c>
    </row>
    <row r="109" spans="1:31" ht="14.45" customHeight="1">
      <c r="A109" s="68" t="s">
        <v>154</v>
      </c>
      <c r="B109" s="84" t="s">
        <v>48</v>
      </c>
      <c r="C109" s="190">
        <f>_xlfn.XLOOKUP(Table1[[#This Row],[MTP SKU Code]],'Audit Dimensions'!A:A,'Audit Dimensions'!C:C,0)</f>
        <v>168</v>
      </c>
      <c r="D109" s="190">
        <f>_xlfn.XLOOKUP(Table1[[#This Row],[MTP SKU Code]],'Audit Dimensions'!$A:$A,'Audit Dimensions'!D:D,0)</f>
        <v>34</v>
      </c>
      <c r="E109" s="190">
        <f>_xlfn.XLOOKUP(Table1[[#This Row],[MTP SKU Code]],'Audit Dimensions'!$A:$A,'Audit Dimensions'!E:E,0)</f>
        <v>13</v>
      </c>
      <c r="F109" s="190">
        <v>35300</v>
      </c>
      <c r="G109" s="190">
        <f>_xlfn.XLOOKUP(Table1[[#This Row],[MTP SKU Code]],'Audit Dimensions'!$A:$A,'Audit Dimensions'!G:G,0)</f>
        <v>0</v>
      </c>
      <c r="H109" s="190">
        <f>_xlfn.XLOOKUP(Table1[[#This Row],[MTP SKU Code]],'Audit Dimensions'!$A:$A,'Audit Dimensions'!H:H,0)</f>
        <v>0</v>
      </c>
      <c r="I109" s="190">
        <f>_xlfn.XLOOKUP(Table1[[#This Row],[MTP SKU Code]],'Audit Dimensions'!$A:$A,'Audit Dimensions'!I:I,0)</f>
        <v>0</v>
      </c>
      <c r="J109" s="190">
        <f>_xlfn.XLOOKUP(Table1[[#This Row],[MTP SKU Code]],'Audit Dimensions'!$A:$A,'Audit Dimensions'!J:J,0)</f>
        <v>0</v>
      </c>
      <c r="K109" s="190">
        <f>_xlfn.XLOOKUP(Table1[[#This Row],[MTP SKU Code]],'Audit Dimensions'!$A:$A,'Audit Dimensions'!K:K,0)</f>
        <v>0</v>
      </c>
      <c r="L109" s="190">
        <f>_xlfn.XLOOKUP(Table1[[#This Row],[MTP SKU Code]],'Audit Dimensions'!$A:$A,'Audit Dimensions'!L:L,0)</f>
        <v>0</v>
      </c>
      <c r="M109" s="190">
        <f>_xlfn.XLOOKUP(Table1[[#This Row],[MTP SKU Code]],'Audit Dimensions'!$A:$A,'Audit Dimensions'!M:M,0)</f>
        <v>0</v>
      </c>
      <c r="N109" s="190">
        <f>_xlfn.XLOOKUP(Table1[[#This Row],[MTP SKU Code]],'Audit Dimensions'!$A:$A,'Audit Dimensions'!N:N,0)</f>
        <v>0</v>
      </c>
      <c r="O109" s="118">
        <f>((IFERROR((C109*D109*E109),0)+IFERROR((G109*H109*I109),0)+IFERROR((K109*L109*M109),0))/1000000)*35.32</f>
        <v>2.62272192</v>
      </c>
      <c r="P109" s="125">
        <f>Table1[[#This Row],[Column15]]*$P$2*1000</f>
        <v>15736.33152</v>
      </c>
      <c r="Q109" s="87">
        <f>F109+J109+N109</f>
        <v>35300</v>
      </c>
      <c r="R109" s="88">
        <f>MAX(Q109,O109)</f>
        <v>35300</v>
      </c>
      <c r="S109" s="86">
        <f>MAX(R109,P109)</f>
        <v>35300</v>
      </c>
      <c r="T109" s="156" t="str">
        <f>VLOOKUP(A109,'[1]MTP SKUs - Master Data'!$A:$B,2,FALSE)</f>
        <v>Y</v>
      </c>
      <c r="U109" s="162">
        <f>_xlfn.IFNA(VLOOKUP(Table1[[#This Row],[MTP SKU Code]],'Audit Dimensions'!A:N,6,FALSE),"ARC")</f>
        <v>37570</v>
      </c>
      <c r="V109" s="162">
        <f>IFERROR(Table1[[#This Row],[B1.Aud]]-Table1[[#This Row],[PW(gm)]],"ERR")</f>
        <v>2270</v>
      </c>
      <c r="W109" s="165">
        <f>IFERROR(Table1[[#This Row],[B1.Diff]]/Table1[[#This Row],[B1.Aud]],"ERR")</f>
        <v>6.0420548309821666E-2</v>
      </c>
      <c r="X109" s="162">
        <f>_xlfn.IFNA(VLOOKUP(Table1[[#This Row],[MTP SKU Code]],'Audit Dimensions'!A:N,10,FALSE),"ARC")</f>
        <v>0</v>
      </c>
      <c r="Y109" s="163">
        <f>IFERROR(Table1[[#This Row],[B2.Aud]]-Table1[[#This Row],[PW(gm)5]],"ERR")</f>
        <v>0</v>
      </c>
      <c r="Z109" s="165" t="str">
        <f>IFERROR(Table1[[#This Row],[B2.Diff]]/Table1[[#This Row],[B2.Aud]],"NA")</f>
        <v>NA</v>
      </c>
      <c r="AA109" s="162">
        <f>_xlfn.IFNA(VLOOKUP(Table1[[#This Row],[MTP SKU Code]],'Audit Dimensions'!A:N,14,FALSE),"ARC")</f>
        <v>0</v>
      </c>
      <c r="AB109" s="161">
        <f>IFERROR(Table1[[#This Row],[B3.Aud]]-Table1[[#This Row],[PW(gm)9]],"ERR")</f>
        <v>0</v>
      </c>
      <c r="AC109" s="168">
        <f>IFERROR(Table1[[#This Row],[B3.Diff]]/Table1[[#This Row],[BaLL.Aud]],"ERR")</f>
        <v>0</v>
      </c>
      <c r="AD109" s="189">
        <f>_xlfn.IFNA(VLOOKUP(Table1[[#This Row],[MTP SKU Code]],'Audit Dimensions'!A:U,16,FALSE),"ARC")</f>
        <v>37570</v>
      </c>
      <c r="AE109" s="165">
        <f>IFERROR(1-Table1[[#This Row],[Gms]]/Table1[[#This Row],[BaLL.Aud]],"ERR")</f>
        <v>6.0420548309821687E-2</v>
      </c>
    </row>
    <row r="110" spans="1:31">
      <c r="A110" s="68" t="s">
        <v>155</v>
      </c>
      <c r="B110" s="84" t="s">
        <v>48</v>
      </c>
      <c r="C110" s="190">
        <f>_xlfn.XLOOKUP(Table1[[#This Row],[MTP SKU Code]],'Audit Dimensions'!A:A,'Audit Dimensions'!C:C,0)</f>
        <v>147</v>
      </c>
      <c r="D110" s="190">
        <f>_xlfn.XLOOKUP(Table1[[#This Row],[MTP SKU Code]],'Audit Dimensions'!$A:$A,'Audit Dimensions'!D:D,0)</f>
        <v>34</v>
      </c>
      <c r="E110" s="190">
        <f>_xlfn.XLOOKUP(Table1[[#This Row],[MTP SKU Code]],'Audit Dimensions'!$A:$A,'Audit Dimensions'!E:E,0)</f>
        <v>13</v>
      </c>
      <c r="F110" s="190">
        <v>32500</v>
      </c>
      <c r="G110" s="190">
        <f>_xlfn.XLOOKUP(Table1[[#This Row],[MTP SKU Code]],'Audit Dimensions'!$A:$A,'Audit Dimensions'!G:G,0)</f>
        <v>0</v>
      </c>
      <c r="H110" s="190">
        <f>_xlfn.XLOOKUP(Table1[[#This Row],[MTP SKU Code]],'Audit Dimensions'!$A:$A,'Audit Dimensions'!H:H,0)</f>
        <v>0</v>
      </c>
      <c r="I110" s="190">
        <f>_xlfn.XLOOKUP(Table1[[#This Row],[MTP SKU Code]],'Audit Dimensions'!$A:$A,'Audit Dimensions'!I:I,0)</f>
        <v>0</v>
      </c>
      <c r="J110" s="190">
        <f>_xlfn.XLOOKUP(Table1[[#This Row],[MTP SKU Code]],'Audit Dimensions'!$A:$A,'Audit Dimensions'!J:J,0)</f>
        <v>0</v>
      </c>
      <c r="K110" s="190">
        <f>_xlfn.XLOOKUP(Table1[[#This Row],[MTP SKU Code]],'Audit Dimensions'!$A:$A,'Audit Dimensions'!K:K,0)</f>
        <v>0</v>
      </c>
      <c r="L110" s="190">
        <f>_xlfn.XLOOKUP(Table1[[#This Row],[MTP SKU Code]],'Audit Dimensions'!$A:$A,'Audit Dimensions'!L:L,0)</f>
        <v>0</v>
      </c>
      <c r="M110" s="190">
        <f>_xlfn.XLOOKUP(Table1[[#This Row],[MTP SKU Code]],'Audit Dimensions'!$A:$A,'Audit Dimensions'!M:M,0)</f>
        <v>0</v>
      </c>
      <c r="N110" s="190">
        <f>_xlfn.XLOOKUP(Table1[[#This Row],[MTP SKU Code]],'Audit Dimensions'!$A:$A,'Audit Dimensions'!N:N,0)</f>
        <v>0</v>
      </c>
      <c r="O110" s="118">
        <f>((IFERROR((C110*D110*E110),0)+IFERROR((G110*H110*I110),0)+IFERROR((K110*L110*M110),0))/1000000)*35.32</f>
        <v>2.29488168</v>
      </c>
      <c r="P110" s="125">
        <f>Table1[[#This Row],[Column15]]*$P$2*1000</f>
        <v>13769.290080000001</v>
      </c>
      <c r="Q110" s="87">
        <f>F110+J110+N110</f>
        <v>32500</v>
      </c>
      <c r="R110" s="88">
        <f>MAX(Q110,O110)</f>
        <v>32500</v>
      </c>
      <c r="S110" s="86">
        <f>MAX(R110,P110)</f>
        <v>32500</v>
      </c>
      <c r="T110" s="156" t="str">
        <f>VLOOKUP(A110,'[1]MTP SKUs - Master Data'!$A:$B,2,FALSE)</f>
        <v>Y</v>
      </c>
      <c r="U110" s="162">
        <f>_xlfn.IFNA(VLOOKUP(Table1[[#This Row],[MTP SKU Code]],'Audit Dimensions'!A:N,6,FALSE),"ARC")</f>
        <v>34800</v>
      </c>
      <c r="V110" s="162">
        <f>IFERROR(Table1[[#This Row],[B1.Aud]]-Table1[[#This Row],[PW(gm)]],"ERR")</f>
        <v>2300</v>
      </c>
      <c r="W110" s="165">
        <f>IFERROR(Table1[[#This Row],[B1.Diff]]/Table1[[#This Row],[B1.Aud]],"ERR")</f>
        <v>6.6091954022988508E-2</v>
      </c>
      <c r="X110" s="162">
        <f>_xlfn.IFNA(VLOOKUP(Table1[[#This Row],[MTP SKU Code]],'Audit Dimensions'!A:N,10,FALSE),"ARC")</f>
        <v>0</v>
      </c>
      <c r="Y110" s="163">
        <f>IFERROR(Table1[[#This Row],[B2.Aud]]-Table1[[#This Row],[PW(gm)5]],"ERR")</f>
        <v>0</v>
      </c>
      <c r="Z110" s="165" t="str">
        <f>IFERROR(Table1[[#This Row],[B2.Diff]]/Table1[[#This Row],[B2.Aud]],"NA")</f>
        <v>NA</v>
      </c>
      <c r="AA110" s="162">
        <f>_xlfn.IFNA(VLOOKUP(Table1[[#This Row],[MTP SKU Code]],'Audit Dimensions'!A:N,14,FALSE),"ARC")</f>
        <v>0</v>
      </c>
      <c r="AB110" s="161">
        <f>IFERROR(Table1[[#This Row],[B3.Aud]]-Table1[[#This Row],[PW(gm)9]],"ERR")</f>
        <v>0</v>
      </c>
      <c r="AC110" s="168">
        <f>IFERROR(Table1[[#This Row],[B3.Diff]]/Table1[[#This Row],[BaLL.Aud]],"ERR")</f>
        <v>0</v>
      </c>
      <c r="AD110" s="189">
        <f>_xlfn.IFNA(VLOOKUP(Table1[[#This Row],[MTP SKU Code]],'Audit Dimensions'!A:U,16,FALSE),"ARC")</f>
        <v>34800</v>
      </c>
      <c r="AE110" s="165">
        <f>IFERROR(1-Table1[[#This Row],[Gms]]/Table1[[#This Row],[BaLL.Aud]],"ERR")</f>
        <v>6.6091954022988508E-2</v>
      </c>
    </row>
    <row r="111" spans="1:31">
      <c r="A111" s="68" t="s">
        <v>156</v>
      </c>
      <c r="B111" s="84" t="s">
        <v>48</v>
      </c>
      <c r="C111" s="190">
        <f>_xlfn.XLOOKUP(Table1[[#This Row],[MTP SKU Code]],'Audit Dimensions'!A:A,'Audit Dimensions'!C:C,0)</f>
        <v>159</v>
      </c>
      <c r="D111" s="190">
        <f>_xlfn.XLOOKUP(Table1[[#This Row],[MTP SKU Code]],'Audit Dimensions'!$A:$A,'Audit Dimensions'!D:D,0)</f>
        <v>37</v>
      </c>
      <c r="E111" s="190">
        <f>_xlfn.XLOOKUP(Table1[[#This Row],[MTP SKU Code]],'Audit Dimensions'!$A:$A,'Audit Dimensions'!E:E,0)</f>
        <v>14</v>
      </c>
      <c r="F111" s="190">
        <v>39500</v>
      </c>
      <c r="G111" s="190">
        <f>_xlfn.XLOOKUP(Table1[[#This Row],[MTP SKU Code]],'Audit Dimensions'!$A:$A,'Audit Dimensions'!G:G,0)</f>
        <v>0</v>
      </c>
      <c r="H111" s="190">
        <f>_xlfn.XLOOKUP(Table1[[#This Row],[MTP SKU Code]],'Audit Dimensions'!$A:$A,'Audit Dimensions'!H:H,0)</f>
        <v>0</v>
      </c>
      <c r="I111" s="190">
        <f>_xlfn.XLOOKUP(Table1[[#This Row],[MTP SKU Code]],'Audit Dimensions'!$A:$A,'Audit Dimensions'!I:I,0)</f>
        <v>0</v>
      </c>
      <c r="J111" s="190">
        <f>_xlfn.XLOOKUP(Table1[[#This Row],[MTP SKU Code]],'Audit Dimensions'!$A:$A,'Audit Dimensions'!J:J,0)</f>
        <v>0</v>
      </c>
      <c r="K111" s="190">
        <f>_xlfn.XLOOKUP(Table1[[#This Row],[MTP SKU Code]],'Audit Dimensions'!$A:$A,'Audit Dimensions'!K:K,0)</f>
        <v>0</v>
      </c>
      <c r="L111" s="190">
        <f>_xlfn.XLOOKUP(Table1[[#This Row],[MTP SKU Code]],'Audit Dimensions'!$A:$A,'Audit Dimensions'!L:L,0)</f>
        <v>0</v>
      </c>
      <c r="M111" s="190">
        <f>_xlfn.XLOOKUP(Table1[[#This Row],[MTP SKU Code]],'Audit Dimensions'!$A:$A,'Audit Dimensions'!M:M,0)</f>
        <v>0</v>
      </c>
      <c r="N111" s="190">
        <f>_xlfn.XLOOKUP(Table1[[#This Row],[MTP SKU Code]],'Audit Dimensions'!$A:$A,'Audit Dimensions'!N:N,0)</f>
        <v>0</v>
      </c>
      <c r="O111" s="118">
        <f>((IFERROR((C111*D111*E111),0)+IFERROR((G111*H111*I111),0)+IFERROR((K111*L111*M111),0))/1000000)*35.32</f>
        <v>2.90902584</v>
      </c>
      <c r="P111" s="125">
        <f>Table1[[#This Row],[Column15]]*$P$2*1000</f>
        <v>17454.155040000001</v>
      </c>
      <c r="Q111" s="87">
        <f>F111+J111+N111</f>
        <v>39500</v>
      </c>
      <c r="R111" s="86">
        <f>MAX(Q111,O111)</f>
        <v>39500</v>
      </c>
      <c r="S111" s="86">
        <f>MAX(R111,P111)</f>
        <v>39500</v>
      </c>
      <c r="T111" s="156" t="str">
        <f>VLOOKUP(A111,'[1]MTP SKUs - Master Data'!$A:$B,2,FALSE)</f>
        <v>Y</v>
      </c>
      <c r="U111" s="162">
        <f>_xlfn.IFNA(VLOOKUP(Table1[[#This Row],[MTP SKU Code]],'Audit Dimensions'!A:N,6,FALSE),"ARC")</f>
        <v>42950</v>
      </c>
      <c r="V111" s="162">
        <f>IFERROR(Table1[[#This Row],[B1.Aud]]-Table1[[#This Row],[PW(gm)]],"ERR")</f>
        <v>3450</v>
      </c>
      <c r="W111" s="165">
        <f>IFERROR(Table1[[#This Row],[B1.Diff]]/Table1[[#This Row],[B1.Aud]],"ERR")</f>
        <v>8.0325960419091971E-2</v>
      </c>
      <c r="X111" s="162">
        <f>_xlfn.IFNA(VLOOKUP(Table1[[#This Row],[MTP SKU Code]],'Audit Dimensions'!A:N,10,FALSE),"ARC")</f>
        <v>0</v>
      </c>
      <c r="Y111" s="163">
        <f>IFERROR(Table1[[#This Row],[B2.Aud]]-Table1[[#This Row],[PW(gm)5]],"ERR")</f>
        <v>0</v>
      </c>
      <c r="Z111" s="165" t="str">
        <f>IFERROR(Table1[[#This Row],[B2.Diff]]/Table1[[#This Row],[B2.Aud]],"NA")</f>
        <v>NA</v>
      </c>
      <c r="AA111" s="162">
        <f>_xlfn.IFNA(VLOOKUP(Table1[[#This Row],[MTP SKU Code]],'Audit Dimensions'!A:N,14,FALSE),"ARC")</f>
        <v>0</v>
      </c>
      <c r="AB111" s="161">
        <f>IFERROR(Table1[[#This Row],[B3.Aud]]-Table1[[#This Row],[PW(gm)9]],"ERR")</f>
        <v>0</v>
      </c>
      <c r="AC111" s="168">
        <f>IFERROR(Table1[[#This Row],[B3.Diff]]/Table1[[#This Row],[BaLL.Aud]],"ERR")</f>
        <v>0</v>
      </c>
      <c r="AD111" s="189">
        <f>_xlfn.IFNA(VLOOKUP(Table1[[#This Row],[MTP SKU Code]],'Audit Dimensions'!A:U,16,FALSE),"ARC")</f>
        <v>42950</v>
      </c>
      <c r="AE111" s="165">
        <f>IFERROR(1-Table1[[#This Row],[Gms]]/Table1[[#This Row],[BaLL.Aud]],"ERR")</f>
        <v>8.0325960419092013E-2</v>
      </c>
    </row>
    <row r="112" spans="1:31">
      <c r="A112" s="68" t="s">
        <v>157</v>
      </c>
      <c r="B112" s="84" t="s">
        <v>48</v>
      </c>
      <c r="C112" s="190">
        <f>_xlfn.XLOOKUP(Table1[[#This Row],[MTP SKU Code]],'Audit Dimensions'!A:A,'Audit Dimensions'!C:C,0)</f>
        <v>90</v>
      </c>
      <c r="D112" s="190">
        <f>_xlfn.XLOOKUP(Table1[[#This Row],[MTP SKU Code]],'Audit Dimensions'!$A:$A,'Audit Dimensions'!D:D,0)</f>
        <v>36</v>
      </c>
      <c r="E112" s="190">
        <f>_xlfn.XLOOKUP(Table1[[#This Row],[MTP SKU Code]],'Audit Dimensions'!$A:$A,'Audit Dimensions'!E:E,0)</f>
        <v>12</v>
      </c>
      <c r="F112" s="190">
        <v>17800</v>
      </c>
      <c r="G112" s="190">
        <f>_xlfn.XLOOKUP(Table1[[#This Row],[MTP SKU Code]],'Audit Dimensions'!$A:$A,'Audit Dimensions'!G:G,0)</f>
        <v>0</v>
      </c>
      <c r="H112" s="190">
        <f>_xlfn.XLOOKUP(Table1[[#This Row],[MTP SKU Code]],'Audit Dimensions'!$A:$A,'Audit Dimensions'!H:H,0)</f>
        <v>0</v>
      </c>
      <c r="I112" s="190">
        <f>_xlfn.XLOOKUP(Table1[[#This Row],[MTP SKU Code]],'Audit Dimensions'!$A:$A,'Audit Dimensions'!I:I,0)</f>
        <v>0</v>
      </c>
      <c r="J112" s="190">
        <f>_xlfn.XLOOKUP(Table1[[#This Row],[MTP SKU Code]],'Audit Dimensions'!$A:$A,'Audit Dimensions'!J:J,0)</f>
        <v>0</v>
      </c>
      <c r="K112" s="190">
        <f>_xlfn.XLOOKUP(Table1[[#This Row],[MTP SKU Code]],'Audit Dimensions'!$A:$A,'Audit Dimensions'!K:K,0)</f>
        <v>0</v>
      </c>
      <c r="L112" s="190">
        <f>_xlfn.XLOOKUP(Table1[[#This Row],[MTP SKU Code]],'Audit Dimensions'!$A:$A,'Audit Dimensions'!L:L,0)</f>
        <v>0</v>
      </c>
      <c r="M112" s="190">
        <f>_xlfn.XLOOKUP(Table1[[#This Row],[MTP SKU Code]],'Audit Dimensions'!$A:$A,'Audit Dimensions'!M:M,0)</f>
        <v>0</v>
      </c>
      <c r="N112" s="190">
        <f>_xlfn.XLOOKUP(Table1[[#This Row],[MTP SKU Code]],'Audit Dimensions'!$A:$A,'Audit Dimensions'!N:N,0)</f>
        <v>0</v>
      </c>
      <c r="O112" s="118">
        <f>((IFERROR((C112*D112*E112),0)+IFERROR((G112*H112*I112),0)+IFERROR((K112*L112*M112),0))/1000000)*35.32</f>
        <v>1.3732415999999998</v>
      </c>
      <c r="P112" s="125">
        <f>Table1[[#This Row],[Column15]]*$P$2*1000</f>
        <v>8239.4495999999981</v>
      </c>
      <c r="Q112" s="87">
        <f>F112+J112+N112</f>
        <v>17800</v>
      </c>
      <c r="R112" s="88">
        <f>MAX(Q112,O112)</f>
        <v>17800</v>
      </c>
      <c r="S112" s="86">
        <f>MAX(R112,P112)</f>
        <v>17800</v>
      </c>
      <c r="T112" s="156" t="str">
        <f>VLOOKUP(A112,'[1]MTP SKUs - Master Data'!$A:$B,2,FALSE)</f>
        <v>Y</v>
      </c>
      <c r="U112" s="162">
        <f>_xlfn.IFNA(VLOOKUP(Table1[[#This Row],[MTP SKU Code]],'Audit Dimensions'!A:N,6,FALSE),"ARC")</f>
        <v>18750</v>
      </c>
      <c r="V112" s="162">
        <f>IFERROR(Table1[[#This Row],[B1.Aud]]-Table1[[#This Row],[PW(gm)]],"ERR")</f>
        <v>950</v>
      </c>
      <c r="W112" s="165">
        <f>IFERROR(Table1[[#This Row],[B1.Diff]]/Table1[[#This Row],[B1.Aud]],"ERR")</f>
        <v>5.0666666666666665E-2</v>
      </c>
      <c r="X112" s="162">
        <f>_xlfn.IFNA(VLOOKUP(Table1[[#This Row],[MTP SKU Code]],'Audit Dimensions'!A:N,10,FALSE),"ARC")</f>
        <v>0</v>
      </c>
      <c r="Y112" s="163">
        <f>IFERROR(Table1[[#This Row],[B2.Aud]]-Table1[[#This Row],[PW(gm)5]],"ERR")</f>
        <v>0</v>
      </c>
      <c r="Z112" s="165" t="str">
        <f>IFERROR(Table1[[#This Row],[B2.Diff]]/Table1[[#This Row],[B2.Aud]],"NA")</f>
        <v>NA</v>
      </c>
      <c r="AA112" s="162">
        <f>_xlfn.IFNA(VLOOKUP(Table1[[#This Row],[MTP SKU Code]],'Audit Dimensions'!A:N,14,FALSE),"ARC")</f>
        <v>0</v>
      </c>
      <c r="AB112" s="161">
        <f>IFERROR(Table1[[#This Row],[B3.Aud]]-Table1[[#This Row],[PW(gm)9]],"ERR")</f>
        <v>0</v>
      </c>
      <c r="AC112" s="168">
        <f>IFERROR(Table1[[#This Row],[B3.Diff]]/Table1[[#This Row],[BaLL.Aud]],"ERR")</f>
        <v>0</v>
      </c>
      <c r="AD112" s="189">
        <f>_xlfn.IFNA(VLOOKUP(Table1[[#This Row],[MTP SKU Code]],'Audit Dimensions'!A:U,16,FALSE),"ARC")</f>
        <v>18750</v>
      </c>
      <c r="AE112" s="165">
        <f>IFERROR(1-Table1[[#This Row],[Gms]]/Table1[[#This Row],[BaLL.Aud]],"ERR")</f>
        <v>5.0666666666666638E-2</v>
      </c>
    </row>
    <row r="113" spans="1:31" ht="14.45" customHeight="1">
      <c r="A113" s="68" t="s">
        <v>158</v>
      </c>
      <c r="B113" s="84" t="s">
        <v>48</v>
      </c>
      <c r="C113" s="190">
        <f>_xlfn.XLOOKUP(Table1[[#This Row],[MTP SKU Code]],'Audit Dimensions'!A:A,'Audit Dimensions'!C:C,0)</f>
        <v>87</v>
      </c>
      <c r="D113" s="190">
        <f>_xlfn.XLOOKUP(Table1[[#This Row],[MTP SKU Code]],'Audit Dimensions'!$A:$A,'Audit Dimensions'!D:D,0)</f>
        <v>58</v>
      </c>
      <c r="E113" s="190">
        <f>_xlfn.XLOOKUP(Table1[[#This Row],[MTP SKU Code]],'Audit Dimensions'!$A:$A,'Audit Dimensions'!E:E,0)</f>
        <v>2</v>
      </c>
      <c r="F113" s="190">
        <v>6890</v>
      </c>
      <c r="G113" s="190">
        <f>_xlfn.XLOOKUP(Table1[[#This Row],[MTP SKU Code]],'Audit Dimensions'!$A:$A,'Audit Dimensions'!G:G,0)</f>
        <v>0</v>
      </c>
      <c r="H113" s="190">
        <f>_xlfn.XLOOKUP(Table1[[#This Row],[MTP SKU Code]],'Audit Dimensions'!$A:$A,'Audit Dimensions'!H:H,0)</f>
        <v>0</v>
      </c>
      <c r="I113" s="190">
        <f>_xlfn.XLOOKUP(Table1[[#This Row],[MTP SKU Code]],'Audit Dimensions'!$A:$A,'Audit Dimensions'!I:I,0)</f>
        <v>0</v>
      </c>
      <c r="J113" s="190">
        <f>_xlfn.XLOOKUP(Table1[[#This Row],[MTP SKU Code]],'Audit Dimensions'!$A:$A,'Audit Dimensions'!J:J,0)</f>
        <v>0</v>
      </c>
      <c r="K113" s="190">
        <f>_xlfn.XLOOKUP(Table1[[#This Row],[MTP SKU Code]],'Audit Dimensions'!$A:$A,'Audit Dimensions'!K:K,0)</f>
        <v>0</v>
      </c>
      <c r="L113" s="190">
        <f>_xlfn.XLOOKUP(Table1[[#This Row],[MTP SKU Code]],'Audit Dimensions'!$A:$A,'Audit Dimensions'!L:L,0)</f>
        <v>0</v>
      </c>
      <c r="M113" s="190">
        <f>_xlfn.XLOOKUP(Table1[[#This Row],[MTP SKU Code]],'Audit Dimensions'!$A:$A,'Audit Dimensions'!M:M,0)</f>
        <v>0</v>
      </c>
      <c r="N113" s="190">
        <f>_xlfn.XLOOKUP(Table1[[#This Row],[MTP SKU Code]],'Audit Dimensions'!$A:$A,'Audit Dimensions'!N:N,0)</f>
        <v>0</v>
      </c>
      <c r="O113" s="118">
        <f>((IFERROR((C113*D113*E113),0)+IFERROR((G113*H113*I113),0)+IFERROR((K113*L113*M113),0))/1000000)*35.32</f>
        <v>0.35644944000000001</v>
      </c>
      <c r="P113" s="125">
        <f>Table1[[#This Row],[Column15]]*$P$2*1000</f>
        <v>2138.6966400000001</v>
      </c>
      <c r="Q113" s="87">
        <f>F113+J113+N113</f>
        <v>6890</v>
      </c>
      <c r="R113" s="86">
        <f>MAX(Q113,O113)</f>
        <v>6890</v>
      </c>
      <c r="S113" s="86">
        <f>MAX(R113,P113)</f>
        <v>6890</v>
      </c>
      <c r="T113" s="156" t="str">
        <f>VLOOKUP(A113,'[1]MTP SKUs - Master Data'!$A:$B,2,FALSE)</f>
        <v>Y</v>
      </c>
      <c r="U113" s="162">
        <f>_xlfn.IFNA(VLOOKUP(Table1[[#This Row],[MTP SKU Code]],'Audit Dimensions'!A:N,6,FALSE),"ARC")</f>
        <v>7590</v>
      </c>
      <c r="V113" s="162">
        <f>IFERROR(Table1[[#This Row],[B1.Aud]]-Table1[[#This Row],[PW(gm)]],"ERR")</f>
        <v>700</v>
      </c>
      <c r="W113" s="165">
        <f>IFERROR(Table1[[#This Row],[B1.Diff]]/Table1[[#This Row],[B1.Aud]],"ERR")</f>
        <v>9.22266139657444E-2</v>
      </c>
      <c r="X113" s="162">
        <f>_xlfn.IFNA(VLOOKUP(Table1[[#This Row],[MTP SKU Code]],'Audit Dimensions'!A:N,10,FALSE),"ARC")</f>
        <v>0</v>
      </c>
      <c r="Y113" s="163">
        <f>IFERROR(Table1[[#This Row],[B2.Aud]]-Table1[[#This Row],[PW(gm)5]],"ERR")</f>
        <v>0</v>
      </c>
      <c r="Z113" s="165" t="str">
        <f>IFERROR(Table1[[#This Row],[B2.Diff]]/Table1[[#This Row],[B2.Aud]],"NA")</f>
        <v>NA</v>
      </c>
      <c r="AA113" s="162">
        <f>_xlfn.IFNA(VLOOKUP(Table1[[#This Row],[MTP SKU Code]],'Audit Dimensions'!A:N,14,FALSE),"ARC")</f>
        <v>0</v>
      </c>
      <c r="AB113" s="161">
        <f>IFERROR(Table1[[#This Row],[B3.Aud]]-Table1[[#This Row],[PW(gm)9]],"ERR")</f>
        <v>0</v>
      </c>
      <c r="AC113" s="168">
        <f>IFERROR(Table1[[#This Row],[B3.Diff]]/Table1[[#This Row],[BaLL.Aud]],"ERR")</f>
        <v>0</v>
      </c>
      <c r="AD113" s="189">
        <f>_xlfn.IFNA(VLOOKUP(Table1[[#This Row],[MTP SKU Code]],'Audit Dimensions'!A:U,16,FALSE),"ARC")</f>
        <v>7590</v>
      </c>
      <c r="AE113" s="165">
        <f>IFERROR(1-Table1[[#This Row],[Gms]]/Table1[[#This Row],[BaLL.Aud]],"ERR")</f>
        <v>9.2226613965744386E-2</v>
      </c>
    </row>
    <row r="114" spans="1:31">
      <c r="A114" s="68" t="s">
        <v>159</v>
      </c>
      <c r="B114" s="84" t="s">
        <v>48</v>
      </c>
      <c r="C114" s="190">
        <f>_xlfn.XLOOKUP(Table1[[#This Row],[MTP SKU Code]],'Audit Dimensions'!A:A,'Audit Dimensions'!C:C,0)</f>
        <v>152</v>
      </c>
      <c r="D114" s="190">
        <f>_xlfn.XLOOKUP(Table1[[#This Row],[MTP SKU Code]],'Audit Dimensions'!$A:$A,'Audit Dimensions'!D:D,0)</f>
        <v>42</v>
      </c>
      <c r="E114" s="190">
        <f>_xlfn.XLOOKUP(Table1[[#This Row],[MTP SKU Code]],'Audit Dimensions'!$A:$A,'Audit Dimensions'!E:E,0)</f>
        <v>13</v>
      </c>
      <c r="F114" s="190">
        <v>37500</v>
      </c>
      <c r="G114" s="190">
        <f>_xlfn.XLOOKUP(Table1[[#This Row],[MTP SKU Code]],'Audit Dimensions'!$A:$A,'Audit Dimensions'!G:G,0)</f>
        <v>0</v>
      </c>
      <c r="H114" s="190">
        <f>_xlfn.XLOOKUP(Table1[[#This Row],[MTP SKU Code]],'Audit Dimensions'!$A:$A,'Audit Dimensions'!H:H,0)</f>
        <v>0</v>
      </c>
      <c r="I114" s="190">
        <f>_xlfn.XLOOKUP(Table1[[#This Row],[MTP SKU Code]],'Audit Dimensions'!$A:$A,'Audit Dimensions'!I:I,0)</f>
        <v>0</v>
      </c>
      <c r="J114" s="190">
        <f>_xlfn.XLOOKUP(Table1[[#This Row],[MTP SKU Code]],'Audit Dimensions'!$A:$A,'Audit Dimensions'!J:J,0)</f>
        <v>0</v>
      </c>
      <c r="K114" s="190">
        <f>_xlfn.XLOOKUP(Table1[[#This Row],[MTP SKU Code]],'Audit Dimensions'!$A:$A,'Audit Dimensions'!K:K,0)</f>
        <v>0</v>
      </c>
      <c r="L114" s="190">
        <f>_xlfn.XLOOKUP(Table1[[#This Row],[MTP SKU Code]],'Audit Dimensions'!$A:$A,'Audit Dimensions'!L:L,0)</f>
        <v>0</v>
      </c>
      <c r="M114" s="190">
        <f>_xlfn.XLOOKUP(Table1[[#This Row],[MTP SKU Code]],'Audit Dimensions'!$A:$A,'Audit Dimensions'!M:M,0)</f>
        <v>0</v>
      </c>
      <c r="N114" s="190">
        <f>_xlfn.XLOOKUP(Table1[[#This Row],[MTP SKU Code]],'Audit Dimensions'!$A:$A,'Audit Dimensions'!N:N,0)</f>
        <v>0</v>
      </c>
      <c r="O114" s="118">
        <f>((IFERROR((C114*D114*E114),0)+IFERROR((G114*H114*I114),0)+IFERROR((K114*L114*M114),0))/1000000)*35.32</f>
        <v>2.9312774399999997</v>
      </c>
      <c r="P114" s="125">
        <f>Table1[[#This Row],[Column15]]*$P$2*1000</f>
        <v>17587.664639999999</v>
      </c>
      <c r="Q114" s="87">
        <f>F114+J114+N114</f>
        <v>37500</v>
      </c>
      <c r="R114" s="86">
        <f>MAX(Q114,O114)</f>
        <v>37500</v>
      </c>
      <c r="S114" s="86">
        <f>MAX(R114,P114)</f>
        <v>37500</v>
      </c>
      <c r="T114" s="156" t="str">
        <f>VLOOKUP(A114,'[1]MTP SKUs - Master Data'!$A:$B,2,FALSE)</f>
        <v>Y</v>
      </c>
      <c r="U114" s="162">
        <f>_xlfn.IFNA(VLOOKUP(Table1[[#This Row],[MTP SKU Code]],'Audit Dimensions'!A:N,6,FALSE),"ARC")</f>
        <v>39630</v>
      </c>
      <c r="V114" s="162">
        <f>IFERROR(Table1[[#This Row],[B1.Aud]]-Table1[[#This Row],[PW(gm)]],"ERR")</f>
        <v>2130</v>
      </c>
      <c r="W114" s="165">
        <f>IFERROR(Table1[[#This Row],[B1.Diff]]/Table1[[#This Row],[B1.Aud]],"ERR")</f>
        <v>5.3747161241483724E-2</v>
      </c>
      <c r="X114" s="162">
        <f>_xlfn.IFNA(VLOOKUP(Table1[[#This Row],[MTP SKU Code]],'Audit Dimensions'!A:N,10,FALSE),"ARC")</f>
        <v>0</v>
      </c>
      <c r="Y114" s="163">
        <f>IFERROR(Table1[[#This Row],[B2.Aud]]-Table1[[#This Row],[PW(gm)5]],"ERR")</f>
        <v>0</v>
      </c>
      <c r="Z114" s="165" t="str">
        <f>IFERROR(Table1[[#This Row],[B2.Diff]]/Table1[[#This Row],[B2.Aud]],"NA")</f>
        <v>NA</v>
      </c>
      <c r="AA114" s="162">
        <f>_xlfn.IFNA(VLOOKUP(Table1[[#This Row],[MTP SKU Code]],'Audit Dimensions'!A:N,14,FALSE),"ARC")</f>
        <v>0</v>
      </c>
      <c r="AB114" s="161">
        <f>IFERROR(Table1[[#This Row],[B3.Aud]]-Table1[[#This Row],[PW(gm)9]],"ERR")</f>
        <v>0</v>
      </c>
      <c r="AC114" s="168">
        <f>IFERROR(Table1[[#This Row],[B3.Diff]]/Table1[[#This Row],[BaLL.Aud]],"ERR")</f>
        <v>0</v>
      </c>
      <c r="AD114" s="189">
        <f>_xlfn.IFNA(VLOOKUP(Table1[[#This Row],[MTP SKU Code]],'Audit Dimensions'!A:U,16,FALSE),"ARC")</f>
        <v>39630</v>
      </c>
      <c r="AE114" s="165">
        <f>IFERROR(1-Table1[[#This Row],[Gms]]/Table1[[#This Row],[BaLL.Aud]],"ERR")</f>
        <v>5.374716124148371E-2</v>
      </c>
    </row>
    <row r="115" spans="1:31" ht="14.45" customHeight="1">
      <c r="A115" s="68" t="s">
        <v>160</v>
      </c>
      <c r="B115" s="84" t="s">
        <v>48</v>
      </c>
      <c r="C115" s="190">
        <f>_xlfn.XLOOKUP(Table1[[#This Row],[MTP SKU Code]],'Audit Dimensions'!A:A,'Audit Dimensions'!C:C,0)</f>
        <v>178</v>
      </c>
      <c r="D115" s="190">
        <f>_xlfn.XLOOKUP(Table1[[#This Row],[MTP SKU Code]],'Audit Dimensions'!$A:$A,'Audit Dimensions'!D:D,0)</f>
        <v>43</v>
      </c>
      <c r="E115" s="190">
        <f>_xlfn.XLOOKUP(Table1[[#This Row],[MTP SKU Code]],'Audit Dimensions'!$A:$A,'Audit Dimensions'!E:E,0)</f>
        <v>6</v>
      </c>
      <c r="F115" s="190">
        <v>21500</v>
      </c>
      <c r="G115" s="190">
        <f>_xlfn.XLOOKUP(Table1[[#This Row],[MTP SKU Code]],'Audit Dimensions'!$A:$A,'Audit Dimensions'!G:G,0)</f>
        <v>0</v>
      </c>
      <c r="H115" s="190">
        <f>_xlfn.XLOOKUP(Table1[[#This Row],[MTP SKU Code]],'Audit Dimensions'!$A:$A,'Audit Dimensions'!H:H,0)</f>
        <v>0</v>
      </c>
      <c r="I115" s="190">
        <f>_xlfn.XLOOKUP(Table1[[#This Row],[MTP SKU Code]],'Audit Dimensions'!$A:$A,'Audit Dimensions'!I:I,0)</f>
        <v>0</v>
      </c>
      <c r="J115" s="190">
        <f>_xlfn.XLOOKUP(Table1[[#This Row],[MTP SKU Code]],'Audit Dimensions'!$A:$A,'Audit Dimensions'!J:J,0)</f>
        <v>0</v>
      </c>
      <c r="K115" s="190">
        <f>_xlfn.XLOOKUP(Table1[[#This Row],[MTP SKU Code]],'Audit Dimensions'!$A:$A,'Audit Dimensions'!K:K,0)</f>
        <v>0</v>
      </c>
      <c r="L115" s="190">
        <f>_xlfn.XLOOKUP(Table1[[#This Row],[MTP SKU Code]],'Audit Dimensions'!$A:$A,'Audit Dimensions'!L:L,0)</f>
        <v>0</v>
      </c>
      <c r="M115" s="190">
        <f>_xlfn.XLOOKUP(Table1[[#This Row],[MTP SKU Code]],'Audit Dimensions'!$A:$A,'Audit Dimensions'!M:M,0)</f>
        <v>0</v>
      </c>
      <c r="N115" s="190">
        <f>_xlfn.XLOOKUP(Table1[[#This Row],[MTP SKU Code]],'Audit Dimensions'!$A:$A,'Audit Dimensions'!N:N,0)</f>
        <v>0</v>
      </c>
      <c r="O115" s="118">
        <f>((IFERROR((C115*D115*E115),0)+IFERROR((G115*H115*I115),0)+IFERROR((K115*L115*M115),0))/1000000)*35.32</f>
        <v>1.62203568</v>
      </c>
      <c r="P115" s="125">
        <f>Table1[[#This Row],[Column15]]*$P$2*1000</f>
        <v>9732.2140799999997</v>
      </c>
      <c r="Q115" s="87">
        <f>F115+J115+N115</f>
        <v>21500</v>
      </c>
      <c r="R115" s="86">
        <f>MAX(Q115,O115)</f>
        <v>21500</v>
      </c>
      <c r="S115" s="86">
        <f>MAX(R115,P115)</f>
        <v>21500</v>
      </c>
      <c r="T115" s="156" t="str">
        <f>VLOOKUP(A115,'[1]MTP SKUs - Master Data'!$A:$B,2,FALSE)</f>
        <v>Y</v>
      </c>
      <c r="U115" s="162">
        <f>_xlfn.IFNA(VLOOKUP(Table1[[#This Row],[MTP SKU Code]],'Audit Dimensions'!A:N,6,FALSE),"ARC")</f>
        <v>23000</v>
      </c>
      <c r="V115" s="162">
        <f>IFERROR(Table1[[#This Row],[B1.Aud]]-Table1[[#This Row],[PW(gm)]],"ERR")</f>
        <v>1500</v>
      </c>
      <c r="W115" s="165">
        <f>IFERROR(Table1[[#This Row],[B1.Diff]]/Table1[[#This Row],[B1.Aud]],"ERR")</f>
        <v>6.5217391304347824E-2</v>
      </c>
      <c r="X115" s="162">
        <f>_xlfn.IFNA(VLOOKUP(Table1[[#This Row],[MTP SKU Code]],'Audit Dimensions'!A:N,10,FALSE),"ARC")</f>
        <v>0</v>
      </c>
      <c r="Y115" s="163">
        <f>IFERROR(Table1[[#This Row],[B2.Aud]]-Table1[[#This Row],[PW(gm)5]],"ERR")</f>
        <v>0</v>
      </c>
      <c r="Z115" s="165" t="str">
        <f>IFERROR(Table1[[#This Row],[B2.Diff]]/Table1[[#This Row],[B2.Aud]],"NA")</f>
        <v>NA</v>
      </c>
      <c r="AA115" s="162">
        <f>_xlfn.IFNA(VLOOKUP(Table1[[#This Row],[MTP SKU Code]],'Audit Dimensions'!A:N,14,FALSE),"ARC")</f>
        <v>0</v>
      </c>
      <c r="AB115" s="161">
        <f>IFERROR(Table1[[#This Row],[B3.Aud]]-Table1[[#This Row],[PW(gm)9]],"ERR")</f>
        <v>0</v>
      </c>
      <c r="AC115" s="168">
        <f>IFERROR(Table1[[#This Row],[B3.Diff]]/Table1[[#This Row],[BaLL.Aud]],"ERR")</f>
        <v>0</v>
      </c>
      <c r="AD115" s="189">
        <f>_xlfn.IFNA(VLOOKUP(Table1[[#This Row],[MTP SKU Code]],'Audit Dimensions'!A:U,16,FALSE),"ARC")</f>
        <v>23000</v>
      </c>
      <c r="AE115" s="165">
        <f>IFERROR(1-Table1[[#This Row],[Gms]]/Table1[[#This Row],[BaLL.Aud]],"ERR")</f>
        <v>6.5217391304347783E-2</v>
      </c>
    </row>
    <row r="116" spans="1:31" ht="14.45" customHeight="1">
      <c r="A116" s="68" t="s">
        <v>161</v>
      </c>
      <c r="B116" s="84" t="s">
        <v>48</v>
      </c>
      <c r="C116" s="190">
        <f>_xlfn.XLOOKUP(Table1[[#This Row],[MTP SKU Code]],'Audit Dimensions'!A:A,'Audit Dimensions'!C:C,0)</f>
        <v>125</v>
      </c>
      <c r="D116" s="190">
        <f>_xlfn.XLOOKUP(Table1[[#This Row],[MTP SKU Code]],'Audit Dimensions'!$A:$A,'Audit Dimensions'!D:D,0)</f>
        <v>40</v>
      </c>
      <c r="E116" s="190">
        <f>_xlfn.XLOOKUP(Table1[[#This Row],[MTP SKU Code]],'Audit Dimensions'!$A:$A,'Audit Dimensions'!E:E,0)</f>
        <v>8</v>
      </c>
      <c r="F116" s="190">
        <v>15890</v>
      </c>
      <c r="G116" s="190">
        <f>_xlfn.XLOOKUP(Table1[[#This Row],[MTP SKU Code]],'Audit Dimensions'!$A:$A,'Audit Dimensions'!G:G,0)</f>
        <v>0</v>
      </c>
      <c r="H116" s="190">
        <f>_xlfn.XLOOKUP(Table1[[#This Row],[MTP SKU Code]],'Audit Dimensions'!$A:$A,'Audit Dimensions'!H:H,0)</f>
        <v>0</v>
      </c>
      <c r="I116" s="190">
        <f>_xlfn.XLOOKUP(Table1[[#This Row],[MTP SKU Code]],'Audit Dimensions'!$A:$A,'Audit Dimensions'!I:I,0)</f>
        <v>0</v>
      </c>
      <c r="J116" s="190">
        <f>_xlfn.XLOOKUP(Table1[[#This Row],[MTP SKU Code]],'Audit Dimensions'!$A:$A,'Audit Dimensions'!J:J,0)</f>
        <v>0</v>
      </c>
      <c r="K116" s="190">
        <f>_xlfn.XLOOKUP(Table1[[#This Row],[MTP SKU Code]],'Audit Dimensions'!$A:$A,'Audit Dimensions'!K:K,0)</f>
        <v>0</v>
      </c>
      <c r="L116" s="190">
        <f>_xlfn.XLOOKUP(Table1[[#This Row],[MTP SKU Code]],'Audit Dimensions'!$A:$A,'Audit Dimensions'!L:L,0)</f>
        <v>0</v>
      </c>
      <c r="M116" s="190">
        <f>_xlfn.XLOOKUP(Table1[[#This Row],[MTP SKU Code]],'Audit Dimensions'!$A:$A,'Audit Dimensions'!M:M,0)</f>
        <v>0</v>
      </c>
      <c r="N116" s="190">
        <f>_xlfn.XLOOKUP(Table1[[#This Row],[MTP SKU Code]],'Audit Dimensions'!$A:$A,'Audit Dimensions'!N:N,0)</f>
        <v>0</v>
      </c>
      <c r="O116" s="118">
        <f>((IFERROR((C116*D116*E116),0)+IFERROR((G116*H116*I116),0)+IFERROR((K116*L116*M116),0))/1000000)*35.32</f>
        <v>1.4128000000000001</v>
      </c>
      <c r="P116" s="125">
        <f>Table1[[#This Row],[Column15]]*$P$2*1000</f>
        <v>8476.8000000000011</v>
      </c>
      <c r="Q116" s="87">
        <f>F116+J116+N116</f>
        <v>15890</v>
      </c>
      <c r="R116" s="86">
        <f>MAX(Q116,O116)</f>
        <v>15890</v>
      </c>
      <c r="S116" s="86">
        <f>MAX(R116,P116)</f>
        <v>15890</v>
      </c>
      <c r="T116" s="156" t="str">
        <f>VLOOKUP(A116,'[1]MTP SKUs - Master Data'!$A:$B,2,FALSE)</f>
        <v>Y</v>
      </c>
      <c r="U116" s="162">
        <f>_xlfn.IFNA(VLOOKUP(Table1[[#This Row],[MTP SKU Code]],'Audit Dimensions'!A:N,6,FALSE),"ARC")</f>
        <v>17200</v>
      </c>
      <c r="V116" s="162">
        <f>IFERROR(Table1[[#This Row],[B1.Aud]]-Table1[[#This Row],[PW(gm)]],"ERR")</f>
        <v>1310</v>
      </c>
      <c r="W116" s="165">
        <f>IFERROR(Table1[[#This Row],[B1.Diff]]/Table1[[#This Row],[B1.Aud]],"ERR")</f>
        <v>7.6162790697674412E-2</v>
      </c>
      <c r="X116" s="162">
        <f>_xlfn.IFNA(VLOOKUP(Table1[[#This Row],[MTP SKU Code]],'Audit Dimensions'!A:N,10,FALSE),"ARC")</f>
        <v>0</v>
      </c>
      <c r="Y116" s="163">
        <f>IFERROR(Table1[[#This Row],[B2.Aud]]-Table1[[#This Row],[PW(gm)5]],"ERR")</f>
        <v>0</v>
      </c>
      <c r="Z116" s="165" t="str">
        <f>IFERROR(Table1[[#This Row],[B2.Diff]]/Table1[[#This Row],[B2.Aud]],"NA")</f>
        <v>NA</v>
      </c>
      <c r="AA116" s="162">
        <f>_xlfn.IFNA(VLOOKUP(Table1[[#This Row],[MTP SKU Code]],'Audit Dimensions'!A:N,14,FALSE),"ARC")</f>
        <v>0</v>
      </c>
      <c r="AB116" s="161">
        <f>IFERROR(Table1[[#This Row],[B3.Aud]]-Table1[[#This Row],[PW(gm)9]],"ERR")</f>
        <v>0</v>
      </c>
      <c r="AC116" s="168">
        <f>IFERROR(Table1[[#This Row],[B3.Diff]]/Table1[[#This Row],[BaLL.Aud]],"ERR")</f>
        <v>0</v>
      </c>
      <c r="AD116" s="189">
        <f>_xlfn.IFNA(VLOOKUP(Table1[[#This Row],[MTP SKU Code]],'Audit Dimensions'!A:U,16,FALSE),"ARC")</f>
        <v>17200</v>
      </c>
      <c r="AE116" s="165">
        <f>IFERROR(1-Table1[[#This Row],[Gms]]/Table1[[#This Row],[BaLL.Aud]],"ERR")</f>
        <v>7.6162790697674398E-2</v>
      </c>
    </row>
    <row r="117" spans="1:31" ht="14.45" customHeight="1">
      <c r="A117" s="70" t="s">
        <v>162</v>
      </c>
      <c r="B117" s="84" t="s">
        <v>48</v>
      </c>
      <c r="C117" s="190">
        <f>_xlfn.XLOOKUP(Table1[[#This Row],[MTP SKU Code]],'Audit Dimensions'!A:A,'Audit Dimensions'!C:C,0)</f>
        <v>145</v>
      </c>
      <c r="D117" s="190">
        <f>_xlfn.XLOOKUP(Table1[[#This Row],[MTP SKU Code]],'Audit Dimensions'!$A:$A,'Audit Dimensions'!D:D,0)</f>
        <v>48</v>
      </c>
      <c r="E117" s="190">
        <f>_xlfn.XLOOKUP(Table1[[#This Row],[MTP SKU Code]],'Audit Dimensions'!$A:$A,'Audit Dimensions'!E:E,0)</f>
        <v>10</v>
      </c>
      <c r="F117" s="190">
        <v>28200</v>
      </c>
      <c r="G117" s="190">
        <f>_xlfn.XLOOKUP(Table1[[#This Row],[MTP SKU Code]],'Audit Dimensions'!$A:$A,'Audit Dimensions'!G:G,0)</f>
        <v>103</v>
      </c>
      <c r="H117" s="190">
        <f>_xlfn.XLOOKUP(Table1[[#This Row],[MTP SKU Code]],'Audit Dimensions'!$A:$A,'Audit Dimensions'!H:H,0)</f>
        <v>40</v>
      </c>
      <c r="I117" s="190">
        <f>_xlfn.XLOOKUP(Table1[[#This Row],[MTP SKU Code]],'Audit Dimensions'!$A:$A,'Audit Dimensions'!I:I,0)</f>
        <v>16</v>
      </c>
      <c r="J117" s="190">
        <v>22000</v>
      </c>
      <c r="K117" s="190">
        <f>_xlfn.XLOOKUP(Table1[[#This Row],[MTP SKU Code]],'Audit Dimensions'!$A:$A,'Audit Dimensions'!K:K,0)</f>
        <v>0</v>
      </c>
      <c r="L117" s="190">
        <f>_xlfn.XLOOKUP(Table1[[#This Row],[MTP SKU Code]],'Audit Dimensions'!$A:$A,'Audit Dimensions'!L:L,0)</f>
        <v>0</v>
      </c>
      <c r="M117" s="190">
        <f>_xlfn.XLOOKUP(Table1[[#This Row],[MTP SKU Code]],'Audit Dimensions'!$A:$A,'Audit Dimensions'!M:M,0)</f>
        <v>0</v>
      </c>
      <c r="N117" s="190">
        <f>_xlfn.XLOOKUP(Table1[[#This Row],[MTP SKU Code]],'Audit Dimensions'!$A:$A,'Audit Dimensions'!N:N,0)</f>
        <v>0</v>
      </c>
      <c r="O117" s="118">
        <f>((IFERROR((C117*D117*E117),0)+IFERROR((G117*H117*I117),0)+IFERROR((K117*L117*M117),0))/1000000)*35.32</f>
        <v>4.7865663999999999</v>
      </c>
      <c r="P117" s="125">
        <f>Table1[[#This Row],[Column15]]*$P$2*1000</f>
        <v>28719.398399999998</v>
      </c>
      <c r="Q117" s="87">
        <f>F117+J117+N117</f>
        <v>50200</v>
      </c>
      <c r="R117" s="86">
        <f>MAX(Q117,O117)</f>
        <v>50200</v>
      </c>
      <c r="S117" s="86">
        <f>MAX(R117,P117)</f>
        <v>50200</v>
      </c>
      <c r="T117" s="156" t="str">
        <f>VLOOKUP(A117,'[1]MTP SKUs - Master Data'!$A:$B,2,FALSE)</f>
        <v>Y</v>
      </c>
      <c r="U117" s="162">
        <f>_xlfn.IFNA(VLOOKUP(Table1[[#This Row],[MTP SKU Code]],'Audit Dimensions'!A:N,6,FALSE),"ARC")</f>
        <v>29600</v>
      </c>
      <c r="V117" s="162">
        <f>IFERROR(Table1[[#This Row],[B1.Aud]]-Table1[[#This Row],[PW(gm)]],"ERR")</f>
        <v>1400</v>
      </c>
      <c r="W117" s="165">
        <f>IFERROR(Table1[[#This Row],[B1.Diff]]/Table1[[#This Row],[B1.Aud]],"ERR")</f>
        <v>4.72972972972973E-2</v>
      </c>
      <c r="X117" s="162">
        <f>_xlfn.IFNA(VLOOKUP(Table1[[#This Row],[MTP SKU Code]],'Audit Dimensions'!A:N,10,FALSE),"ARC")</f>
        <v>23800</v>
      </c>
      <c r="Y117" s="163">
        <f>IFERROR(Table1[[#This Row],[B2.Aud]]-Table1[[#This Row],[PW(gm)5]],"ERR")</f>
        <v>1800</v>
      </c>
      <c r="Z117" s="165">
        <f>IFERROR(Table1[[#This Row],[B2.Diff]]/Table1[[#This Row],[B2.Aud]],"NA")</f>
        <v>7.5630252100840331E-2</v>
      </c>
      <c r="AA117" s="162">
        <f>_xlfn.IFNA(VLOOKUP(Table1[[#This Row],[MTP SKU Code]],'Audit Dimensions'!A:N,14,FALSE),"ARC")</f>
        <v>0</v>
      </c>
      <c r="AB117" s="161">
        <f>IFERROR(Table1[[#This Row],[B3.Aud]]-Table1[[#This Row],[PW(gm)9]],"ERR")</f>
        <v>0</v>
      </c>
      <c r="AC117" s="168">
        <f>IFERROR(Table1[[#This Row],[B3.Diff]]/Table1[[#This Row],[BaLL.Aud]],"ERR")</f>
        <v>0</v>
      </c>
      <c r="AD117" s="189">
        <f>_xlfn.IFNA(VLOOKUP(Table1[[#This Row],[MTP SKU Code]],'Audit Dimensions'!A:U,16,FALSE),"ARC")</f>
        <v>53400</v>
      </c>
      <c r="AE117" s="165">
        <f>IFERROR(1-Table1[[#This Row],[Gms]]/Table1[[#This Row],[BaLL.Aud]],"ERR")</f>
        <v>5.9925093632958837E-2</v>
      </c>
    </row>
    <row r="118" spans="1:31" ht="14.45" customHeight="1">
      <c r="A118" s="68" t="s">
        <v>163</v>
      </c>
      <c r="B118" s="84" t="s">
        <v>74</v>
      </c>
      <c r="C118" s="190">
        <f>_xlfn.XLOOKUP(Table1[[#This Row],[MTP SKU Code]],'Audit Dimensions'!A:A,'Audit Dimensions'!C:C,0)</f>
        <v>188</v>
      </c>
      <c r="D118" s="190">
        <f>_xlfn.XLOOKUP(Table1[[#This Row],[MTP SKU Code]],'Audit Dimensions'!$A:$A,'Audit Dimensions'!D:D,0)</f>
        <v>48</v>
      </c>
      <c r="E118" s="190">
        <f>_xlfn.XLOOKUP(Table1[[#This Row],[MTP SKU Code]],'Audit Dimensions'!$A:$A,'Audit Dimensions'!E:E,0)</f>
        <v>9</v>
      </c>
      <c r="F118" s="190">
        <v>38500</v>
      </c>
      <c r="G118" s="190">
        <f>_xlfn.XLOOKUP(Table1[[#This Row],[MTP SKU Code]],'Audit Dimensions'!$A:$A,'Audit Dimensions'!G:G,0)</f>
        <v>148</v>
      </c>
      <c r="H118" s="190">
        <f>_xlfn.XLOOKUP(Table1[[#This Row],[MTP SKU Code]],'Audit Dimensions'!$A:$A,'Audit Dimensions'!H:H,0)</f>
        <v>62</v>
      </c>
      <c r="I118" s="190">
        <f>_xlfn.XLOOKUP(Table1[[#This Row],[MTP SKU Code]],'Audit Dimensions'!$A:$A,'Audit Dimensions'!I:I,0)</f>
        <v>9</v>
      </c>
      <c r="J118" s="190">
        <v>28000</v>
      </c>
      <c r="K118" s="190">
        <f>_xlfn.XLOOKUP(Table1[[#This Row],[MTP SKU Code]],'Audit Dimensions'!$A:$A,'Audit Dimensions'!K:K,0)</f>
        <v>0</v>
      </c>
      <c r="L118" s="190">
        <f>_xlfn.XLOOKUP(Table1[[#This Row],[MTP SKU Code]],'Audit Dimensions'!$A:$A,'Audit Dimensions'!L:L,0)</f>
        <v>0</v>
      </c>
      <c r="M118" s="190">
        <f>_xlfn.XLOOKUP(Table1[[#This Row],[MTP SKU Code]],'Audit Dimensions'!$A:$A,'Audit Dimensions'!M:M,0)</f>
        <v>0</v>
      </c>
      <c r="N118" s="190">
        <f>_xlfn.XLOOKUP(Table1[[#This Row],[MTP SKU Code]],'Audit Dimensions'!$A:$A,'Audit Dimensions'!N:N,0)</f>
        <v>0</v>
      </c>
      <c r="O118" s="118">
        <f>((IFERROR((C118*D118*E118),0)+IFERROR((G118*H118*I118),0)+IFERROR((K118*L118*M118),0))/1000000)*35.32</f>
        <v>5.7854159999999997</v>
      </c>
      <c r="P118" s="125">
        <f>Table1[[#This Row],[Column15]]*$P$2*1000</f>
        <v>34712.495999999999</v>
      </c>
      <c r="Q118" s="87">
        <f>F118+J118+N118</f>
        <v>66500</v>
      </c>
      <c r="R118" s="86">
        <f>MAX(Q118,O118)</f>
        <v>66500</v>
      </c>
      <c r="S118" s="86">
        <f>MAX(R118,P118)</f>
        <v>66500</v>
      </c>
      <c r="T118" s="156" t="str">
        <f>VLOOKUP(A118,'[1]MTP SKUs - Master Data'!$A:$B,2,FALSE)</f>
        <v>Y</v>
      </c>
      <c r="U118" s="162">
        <f>_xlfn.IFNA(VLOOKUP(Table1[[#This Row],[MTP SKU Code]],'Audit Dimensions'!A:N,6,FALSE),"ARC")</f>
        <v>40300</v>
      </c>
      <c r="V118" s="162">
        <f>IFERROR(Table1[[#This Row],[B1.Aud]]-Table1[[#This Row],[PW(gm)]],"ERR")</f>
        <v>1800</v>
      </c>
      <c r="W118" s="165">
        <f>IFERROR(Table1[[#This Row],[B1.Diff]]/Table1[[#This Row],[B1.Aud]],"ERR")</f>
        <v>4.4665012406947889E-2</v>
      </c>
      <c r="X118" s="162">
        <f>_xlfn.IFNA(VLOOKUP(Table1[[#This Row],[MTP SKU Code]],'Audit Dimensions'!A:N,10,FALSE),"ARC")</f>
        <v>30110</v>
      </c>
      <c r="Y118" s="163">
        <f>IFERROR(Table1[[#This Row],[B2.Aud]]-Table1[[#This Row],[PW(gm)5]],"ERR")</f>
        <v>2110</v>
      </c>
      <c r="Z118" s="165">
        <f>IFERROR(Table1[[#This Row],[B2.Diff]]/Table1[[#This Row],[B2.Aud]],"NA")</f>
        <v>7.0076386582530723E-2</v>
      </c>
      <c r="AA118" s="162">
        <f>_xlfn.IFNA(VLOOKUP(Table1[[#This Row],[MTP SKU Code]],'Audit Dimensions'!A:N,14,FALSE),"ARC")</f>
        <v>0</v>
      </c>
      <c r="AB118" s="161">
        <f>IFERROR(Table1[[#This Row],[B3.Aud]]-Table1[[#This Row],[PW(gm)9]],"ERR")</f>
        <v>0</v>
      </c>
      <c r="AC118" s="168">
        <f>IFERROR(Table1[[#This Row],[B3.Diff]]/Table1[[#This Row],[BaLL.Aud]],"ERR")</f>
        <v>0</v>
      </c>
      <c r="AD118" s="189">
        <f>_xlfn.IFNA(VLOOKUP(Table1[[#This Row],[MTP SKU Code]],'Audit Dimensions'!A:U,16,FALSE),"ARC")</f>
        <v>70410</v>
      </c>
      <c r="AE118" s="165">
        <f>IFERROR(1-Table1[[#This Row],[Gms]]/Table1[[#This Row],[BaLL.Aud]],"ERR")</f>
        <v>5.553188467547221E-2</v>
      </c>
    </row>
    <row r="119" spans="1:31" ht="14.45" customHeight="1">
      <c r="A119" s="68" t="s">
        <v>164</v>
      </c>
      <c r="B119" s="84" t="s">
        <v>48</v>
      </c>
      <c r="C119" s="190">
        <f>_xlfn.XLOOKUP(Table1[[#This Row],[MTP SKU Code]],'Audit Dimensions'!A:A,'Audit Dimensions'!C:C,0)</f>
        <v>121</v>
      </c>
      <c r="D119" s="190">
        <f>_xlfn.XLOOKUP(Table1[[#This Row],[MTP SKU Code]],'Audit Dimensions'!$A:$A,'Audit Dimensions'!D:D,0)</f>
        <v>43</v>
      </c>
      <c r="E119" s="190">
        <f>_xlfn.XLOOKUP(Table1[[#This Row],[MTP SKU Code]],'Audit Dimensions'!$A:$A,'Audit Dimensions'!E:E,0)</f>
        <v>17</v>
      </c>
      <c r="F119" s="190">
        <v>34400</v>
      </c>
      <c r="G119" s="190">
        <f>_xlfn.XLOOKUP(Table1[[#This Row],[MTP SKU Code]],'Audit Dimensions'!$A:$A,'Audit Dimensions'!G:G,0)</f>
        <v>0</v>
      </c>
      <c r="H119" s="190">
        <f>_xlfn.XLOOKUP(Table1[[#This Row],[MTP SKU Code]],'Audit Dimensions'!$A:$A,'Audit Dimensions'!H:H,0)</f>
        <v>0</v>
      </c>
      <c r="I119" s="190">
        <f>_xlfn.XLOOKUP(Table1[[#This Row],[MTP SKU Code]],'Audit Dimensions'!$A:$A,'Audit Dimensions'!I:I,0)</f>
        <v>0</v>
      </c>
      <c r="J119" s="190">
        <f>_xlfn.XLOOKUP(Table1[[#This Row],[MTP SKU Code]],'Audit Dimensions'!$A:$A,'Audit Dimensions'!J:J,0)</f>
        <v>0</v>
      </c>
      <c r="K119" s="190">
        <f>_xlfn.XLOOKUP(Table1[[#This Row],[MTP SKU Code]],'Audit Dimensions'!$A:$A,'Audit Dimensions'!K:K,0)</f>
        <v>0</v>
      </c>
      <c r="L119" s="190">
        <f>_xlfn.XLOOKUP(Table1[[#This Row],[MTP SKU Code]],'Audit Dimensions'!$A:$A,'Audit Dimensions'!L:L,0)</f>
        <v>0</v>
      </c>
      <c r="M119" s="190">
        <f>_xlfn.XLOOKUP(Table1[[#This Row],[MTP SKU Code]],'Audit Dimensions'!$A:$A,'Audit Dimensions'!M:M,0)</f>
        <v>0</v>
      </c>
      <c r="N119" s="190">
        <f>_xlfn.XLOOKUP(Table1[[#This Row],[MTP SKU Code]],'Audit Dimensions'!$A:$A,'Audit Dimensions'!N:N,0)</f>
        <v>0</v>
      </c>
      <c r="O119" s="118">
        <f>((IFERROR((C119*D119*E119),0)+IFERROR((G119*H119*I119),0)+IFERROR((K119*L119*M119),0))/1000000)*35.32</f>
        <v>3.1240893199999999</v>
      </c>
      <c r="P119" s="125">
        <f>Table1[[#This Row],[Column15]]*$P$2*1000</f>
        <v>18744.535920000002</v>
      </c>
      <c r="Q119" s="87">
        <f>F119+J119+N119</f>
        <v>34400</v>
      </c>
      <c r="R119" s="86">
        <f>MAX(Q119,O119)</f>
        <v>34400</v>
      </c>
      <c r="S119" s="86">
        <f>MAX(R119,P119)</f>
        <v>34400</v>
      </c>
      <c r="T119" s="156" t="str">
        <f>VLOOKUP(A119,'[1]MTP SKUs - Master Data'!$A:$B,2,FALSE)</f>
        <v>Y</v>
      </c>
      <c r="U119" s="162">
        <f>_xlfn.IFNA(VLOOKUP(Table1[[#This Row],[MTP SKU Code]],'Audit Dimensions'!A:N,6,FALSE),"ARC")</f>
        <v>36220</v>
      </c>
      <c r="V119" s="162">
        <f>IFERROR(Table1[[#This Row],[B1.Aud]]-Table1[[#This Row],[PW(gm)]],"ERR")</f>
        <v>1820</v>
      </c>
      <c r="W119" s="165">
        <f>IFERROR(Table1[[#This Row],[B1.Diff]]/Table1[[#This Row],[B1.Aud]],"ERR")</f>
        <v>5.0248481501932632E-2</v>
      </c>
      <c r="X119" s="162">
        <f>_xlfn.IFNA(VLOOKUP(Table1[[#This Row],[MTP SKU Code]],'Audit Dimensions'!A:N,10,FALSE),"ARC")</f>
        <v>0</v>
      </c>
      <c r="Y119" s="163">
        <f>IFERROR(Table1[[#This Row],[B2.Aud]]-Table1[[#This Row],[PW(gm)5]],"ERR")</f>
        <v>0</v>
      </c>
      <c r="Z119" s="165" t="str">
        <f>IFERROR(Table1[[#This Row],[B2.Diff]]/Table1[[#This Row],[B2.Aud]],"NA")</f>
        <v>NA</v>
      </c>
      <c r="AA119" s="162">
        <f>_xlfn.IFNA(VLOOKUP(Table1[[#This Row],[MTP SKU Code]],'Audit Dimensions'!A:N,14,FALSE),"ARC")</f>
        <v>0</v>
      </c>
      <c r="AB119" s="161">
        <f>IFERROR(Table1[[#This Row],[B3.Aud]]-Table1[[#This Row],[PW(gm)9]],"ERR")</f>
        <v>0</v>
      </c>
      <c r="AC119" s="168">
        <f>IFERROR(Table1[[#This Row],[B3.Diff]]/Table1[[#This Row],[BaLL.Aud]],"ERR")</f>
        <v>0</v>
      </c>
      <c r="AD119" s="189">
        <f>_xlfn.IFNA(VLOOKUP(Table1[[#This Row],[MTP SKU Code]],'Audit Dimensions'!A:U,16,FALSE),"ARC")</f>
        <v>36220</v>
      </c>
      <c r="AE119" s="165">
        <f>IFERROR(1-Table1[[#This Row],[Gms]]/Table1[[#This Row],[BaLL.Aud]],"ERR")</f>
        <v>5.0248481501932618E-2</v>
      </c>
    </row>
    <row r="120" spans="1:31" ht="14.45" customHeight="1">
      <c r="A120" s="70" t="s">
        <v>165</v>
      </c>
      <c r="B120" s="84" t="s">
        <v>48</v>
      </c>
      <c r="C120" s="190">
        <f>_xlfn.XLOOKUP(Table1[[#This Row],[MTP SKU Code]],'Audit Dimensions'!A:A,'Audit Dimensions'!C:C,0)</f>
        <v>138</v>
      </c>
      <c r="D120" s="190">
        <f>_xlfn.XLOOKUP(Table1[[#This Row],[MTP SKU Code]],'Audit Dimensions'!$A:$A,'Audit Dimensions'!D:D,0)</f>
        <v>45</v>
      </c>
      <c r="E120" s="190">
        <f>_xlfn.XLOOKUP(Table1[[#This Row],[MTP SKU Code]],'Audit Dimensions'!$A:$A,'Audit Dimensions'!E:E,0)</f>
        <v>14</v>
      </c>
      <c r="F120" s="190">
        <v>38200</v>
      </c>
      <c r="G120" s="190">
        <f>_xlfn.XLOOKUP(Table1[[#This Row],[MTP SKU Code]],'Audit Dimensions'!$A:$A,'Audit Dimensions'!G:G,0)</f>
        <v>0</v>
      </c>
      <c r="H120" s="190">
        <f>_xlfn.XLOOKUP(Table1[[#This Row],[MTP SKU Code]],'Audit Dimensions'!$A:$A,'Audit Dimensions'!H:H,0)</f>
        <v>0</v>
      </c>
      <c r="I120" s="190">
        <f>_xlfn.XLOOKUP(Table1[[#This Row],[MTP SKU Code]],'Audit Dimensions'!$A:$A,'Audit Dimensions'!I:I,0)</f>
        <v>0</v>
      </c>
      <c r="J120" s="190">
        <f>_xlfn.XLOOKUP(Table1[[#This Row],[MTP SKU Code]],'Audit Dimensions'!$A:$A,'Audit Dimensions'!J:J,0)</f>
        <v>0</v>
      </c>
      <c r="K120" s="190">
        <f>_xlfn.XLOOKUP(Table1[[#This Row],[MTP SKU Code]],'Audit Dimensions'!$A:$A,'Audit Dimensions'!K:K,0)</f>
        <v>0</v>
      </c>
      <c r="L120" s="190">
        <f>_xlfn.XLOOKUP(Table1[[#This Row],[MTP SKU Code]],'Audit Dimensions'!$A:$A,'Audit Dimensions'!L:L,0)</f>
        <v>0</v>
      </c>
      <c r="M120" s="190">
        <f>_xlfn.XLOOKUP(Table1[[#This Row],[MTP SKU Code]],'Audit Dimensions'!$A:$A,'Audit Dimensions'!M:M,0)</f>
        <v>0</v>
      </c>
      <c r="N120" s="190">
        <f>_xlfn.XLOOKUP(Table1[[#This Row],[MTP SKU Code]],'Audit Dimensions'!$A:$A,'Audit Dimensions'!N:N,0)</f>
        <v>0</v>
      </c>
      <c r="O120" s="118">
        <f>((IFERROR((C120*D120*E120),0)+IFERROR((G120*H120*I120),0)+IFERROR((K120*L120*M120),0))/1000000)*35.32</f>
        <v>3.0707208000000001</v>
      </c>
      <c r="P120" s="125">
        <f>Table1[[#This Row],[Column15]]*$P$2*1000</f>
        <v>18424.324800000002</v>
      </c>
      <c r="Q120" s="87">
        <f>F120+J120+N120</f>
        <v>38200</v>
      </c>
      <c r="R120" s="86">
        <f>MAX(Q120,O120)</f>
        <v>38200</v>
      </c>
      <c r="S120" s="86">
        <f>MAX(R120,P120)</f>
        <v>38200</v>
      </c>
      <c r="T120" s="156" t="str">
        <f>VLOOKUP(A120,'[1]MTP SKUs - Master Data'!$A:$B,2,FALSE)</f>
        <v>Y</v>
      </c>
      <c r="U120" s="162">
        <f>_xlfn.IFNA(VLOOKUP(Table1[[#This Row],[MTP SKU Code]],'Audit Dimensions'!A:N,6,FALSE),"ARC")</f>
        <v>40470</v>
      </c>
      <c r="V120" s="162">
        <f>IFERROR(Table1[[#This Row],[B1.Aud]]-Table1[[#This Row],[PW(gm)]],"ERR")</f>
        <v>2270</v>
      </c>
      <c r="W120" s="165">
        <f>IFERROR(Table1[[#This Row],[B1.Diff]]/Table1[[#This Row],[B1.Aud]],"ERR")</f>
        <v>5.6090931554237708E-2</v>
      </c>
      <c r="X120" s="162">
        <f>_xlfn.IFNA(VLOOKUP(Table1[[#This Row],[MTP SKU Code]],'Audit Dimensions'!A:N,10,FALSE),"ARC")</f>
        <v>0</v>
      </c>
      <c r="Y120" s="163">
        <f>IFERROR(Table1[[#This Row],[B2.Aud]]-Table1[[#This Row],[PW(gm)5]],"ERR")</f>
        <v>0</v>
      </c>
      <c r="Z120" s="165" t="str">
        <f>IFERROR(Table1[[#This Row],[B2.Diff]]/Table1[[#This Row],[B2.Aud]],"NA")</f>
        <v>NA</v>
      </c>
      <c r="AA120" s="162">
        <f>_xlfn.IFNA(VLOOKUP(Table1[[#This Row],[MTP SKU Code]],'Audit Dimensions'!A:N,14,FALSE),"ARC")</f>
        <v>0</v>
      </c>
      <c r="AB120" s="161">
        <f>IFERROR(Table1[[#This Row],[B3.Aud]]-Table1[[#This Row],[PW(gm)9]],"ERR")</f>
        <v>0</v>
      </c>
      <c r="AC120" s="168">
        <f>IFERROR(Table1[[#This Row],[B3.Diff]]/Table1[[#This Row],[BaLL.Aud]],"ERR")</f>
        <v>0</v>
      </c>
      <c r="AD120" s="189">
        <f>_xlfn.IFNA(VLOOKUP(Table1[[#This Row],[MTP SKU Code]],'Audit Dimensions'!A:U,16,FALSE),"ARC")</f>
        <v>40470</v>
      </c>
      <c r="AE120" s="165">
        <f>IFERROR(1-Table1[[#This Row],[Gms]]/Table1[[#This Row],[BaLL.Aud]],"ERR")</f>
        <v>5.6090931554237722E-2</v>
      </c>
    </row>
    <row r="121" spans="1:31" ht="14.45" customHeight="1">
      <c r="A121" s="68" t="s">
        <v>166</v>
      </c>
      <c r="B121" s="84" t="s">
        <v>48</v>
      </c>
      <c r="C121" s="190">
        <f>_xlfn.XLOOKUP(Table1[[#This Row],[MTP SKU Code]],'Audit Dimensions'!A:A,'Audit Dimensions'!C:C,0)</f>
        <v>96</v>
      </c>
      <c r="D121" s="190">
        <f>_xlfn.XLOOKUP(Table1[[#This Row],[MTP SKU Code]],'Audit Dimensions'!$A:$A,'Audit Dimensions'!D:D,0)</f>
        <v>50</v>
      </c>
      <c r="E121" s="190">
        <f>_xlfn.XLOOKUP(Table1[[#This Row],[MTP SKU Code]],'Audit Dimensions'!$A:$A,'Audit Dimensions'!E:E,0)</f>
        <v>6</v>
      </c>
      <c r="F121" s="190">
        <v>9700</v>
      </c>
      <c r="G121" s="190">
        <f>_xlfn.XLOOKUP(Table1[[#This Row],[MTP SKU Code]],'Audit Dimensions'!$A:$A,'Audit Dimensions'!G:G,0)</f>
        <v>0</v>
      </c>
      <c r="H121" s="190">
        <f>_xlfn.XLOOKUP(Table1[[#This Row],[MTP SKU Code]],'Audit Dimensions'!$A:$A,'Audit Dimensions'!H:H,0)</f>
        <v>0</v>
      </c>
      <c r="I121" s="190">
        <f>_xlfn.XLOOKUP(Table1[[#This Row],[MTP SKU Code]],'Audit Dimensions'!$A:$A,'Audit Dimensions'!I:I,0)</f>
        <v>0</v>
      </c>
      <c r="J121" s="190">
        <f>_xlfn.XLOOKUP(Table1[[#This Row],[MTP SKU Code]],'Audit Dimensions'!$A:$A,'Audit Dimensions'!J:J,0)</f>
        <v>0</v>
      </c>
      <c r="K121" s="190">
        <f>_xlfn.XLOOKUP(Table1[[#This Row],[MTP SKU Code]],'Audit Dimensions'!$A:$A,'Audit Dimensions'!K:K,0)</f>
        <v>0</v>
      </c>
      <c r="L121" s="190">
        <f>_xlfn.XLOOKUP(Table1[[#This Row],[MTP SKU Code]],'Audit Dimensions'!$A:$A,'Audit Dimensions'!L:L,0)</f>
        <v>0</v>
      </c>
      <c r="M121" s="190">
        <f>_xlfn.XLOOKUP(Table1[[#This Row],[MTP SKU Code]],'Audit Dimensions'!$A:$A,'Audit Dimensions'!M:M,0)</f>
        <v>0</v>
      </c>
      <c r="N121" s="190">
        <f>_xlfn.XLOOKUP(Table1[[#This Row],[MTP SKU Code]],'Audit Dimensions'!$A:$A,'Audit Dimensions'!N:N,0)</f>
        <v>0</v>
      </c>
      <c r="O121" s="118">
        <f>((IFERROR((C121*D121*E121),0)+IFERROR((G121*H121*I121),0)+IFERROR((K121*L121*M121),0))/1000000)*35.32</f>
        <v>1.0172159999999999</v>
      </c>
      <c r="P121" s="125">
        <f>Table1[[#This Row],[Column15]]*$P$2*1000</f>
        <v>6103.2959999999994</v>
      </c>
      <c r="Q121" s="87">
        <f>F121+J121+N121</f>
        <v>9700</v>
      </c>
      <c r="R121" s="86">
        <f>MAX(Q121,O121)</f>
        <v>9700</v>
      </c>
      <c r="S121" s="86">
        <f>MAX(R121,P121)</f>
        <v>9700</v>
      </c>
      <c r="T121" s="156" t="str">
        <f>VLOOKUP(A121,'[1]MTP SKUs - Master Data'!$A:$B,2,FALSE)</f>
        <v>Y</v>
      </c>
      <c r="U121" s="162">
        <f>_xlfn.IFNA(VLOOKUP(Table1[[#This Row],[MTP SKU Code]],'Audit Dimensions'!A:N,6,FALSE),"ARC")</f>
        <v>10400</v>
      </c>
      <c r="V121" s="162">
        <f>IFERROR(Table1[[#This Row],[B1.Aud]]-Table1[[#This Row],[PW(gm)]],"ERR")</f>
        <v>700</v>
      </c>
      <c r="W121" s="165">
        <f>IFERROR(Table1[[#This Row],[B1.Diff]]/Table1[[#This Row],[B1.Aud]],"ERR")</f>
        <v>6.7307692307692304E-2</v>
      </c>
      <c r="X121" s="162">
        <f>_xlfn.IFNA(VLOOKUP(Table1[[#This Row],[MTP SKU Code]],'Audit Dimensions'!A:N,10,FALSE),"ARC")</f>
        <v>0</v>
      </c>
      <c r="Y121" s="163">
        <f>IFERROR(Table1[[#This Row],[B2.Aud]]-Table1[[#This Row],[PW(gm)5]],"ERR")</f>
        <v>0</v>
      </c>
      <c r="Z121" s="165" t="str">
        <f>IFERROR(Table1[[#This Row],[B2.Diff]]/Table1[[#This Row],[B2.Aud]],"NA")</f>
        <v>NA</v>
      </c>
      <c r="AA121" s="162">
        <f>_xlfn.IFNA(VLOOKUP(Table1[[#This Row],[MTP SKU Code]],'Audit Dimensions'!A:N,14,FALSE),"ARC")</f>
        <v>0</v>
      </c>
      <c r="AB121" s="161">
        <f>IFERROR(Table1[[#This Row],[B3.Aud]]-Table1[[#This Row],[PW(gm)9]],"ERR")</f>
        <v>0</v>
      </c>
      <c r="AC121" s="168">
        <f>IFERROR(Table1[[#This Row],[B3.Diff]]/Table1[[#This Row],[BaLL.Aud]],"ERR")</f>
        <v>0</v>
      </c>
      <c r="AD121" s="189">
        <f>_xlfn.IFNA(VLOOKUP(Table1[[#This Row],[MTP SKU Code]],'Audit Dimensions'!A:U,16,FALSE),"ARC")</f>
        <v>10400</v>
      </c>
      <c r="AE121" s="165">
        <f>IFERROR(1-Table1[[#This Row],[Gms]]/Table1[[#This Row],[BaLL.Aud]],"ERR")</f>
        <v>6.7307692307692291E-2</v>
      </c>
    </row>
    <row r="122" spans="1:31" ht="14.45" customHeight="1">
      <c r="A122" s="68" t="s">
        <v>167</v>
      </c>
      <c r="B122" s="84" t="s">
        <v>48</v>
      </c>
      <c r="C122" s="190">
        <f>_xlfn.XLOOKUP(Table1[[#This Row],[MTP SKU Code]],'Audit Dimensions'!A:A,'Audit Dimensions'!C:C,0)</f>
        <v>118</v>
      </c>
      <c r="D122" s="190">
        <f>_xlfn.XLOOKUP(Table1[[#This Row],[MTP SKU Code]],'Audit Dimensions'!$A:$A,'Audit Dimensions'!D:D,0)</f>
        <v>37</v>
      </c>
      <c r="E122" s="190">
        <f>_xlfn.XLOOKUP(Table1[[#This Row],[MTP SKU Code]],'Audit Dimensions'!$A:$A,'Audit Dimensions'!E:E,0)</f>
        <v>14</v>
      </c>
      <c r="F122" s="190">
        <v>25500</v>
      </c>
      <c r="G122" s="190">
        <f>_xlfn.XLOOKUP(Table1[[#This Row],[MTP SKU Code]],'Audit Dimensions'!$A:$A,'Audit Dimensions'!G:G,0)</f>
        <v>0</v>
      </c>
      <c r="H122" s="190">
        <f>_xlfn.XLOOKUP(Table1[[#This Row],[MTP SKU Code]],'Audit Dimensions'!$A:$A,'Audit Dimensions'!H:H,0)</f>
        <v>0</v>
      </c>
      <c r="I122" s="190">
        <f>_xlfn.XLOOKUP(Table1[[#This Row],[MTP SKU Code]],'Audit Dimensions'!$A:$A,'Audit Dimensions'!I:I,0)</f>
        <v>0</v>
      </c>
      <c r="J122" s="190">
        <f>_xlfn.XLOOKUP(Table1[[#This Row],[MTP SKU Code]],'Audit Dimensions'!$A:$A,'Audit Dimensions'!J:J,0)</f>
        <v>0</v>
      </c>
      <c r="K122" s="190">
        <f>_xlfn.XLOOKUP(Table1[[#This Row],[MTP SKU Code]],'Audit Dimensions'!$A:$A,'Audit Dimensions'!K:K,0)</f>
        <v>0</v>
      </c>
      <c r="L122" s="190">
        <f>_xlfn.XLOOKUP(Table1[[#This Row],[MTP SKU Code]],'Audit Dimensions'!$A:$A,'Audit Dimensions'!L:L,0)</f>
        <v>0</v>
      </c>
      <c r="M122" s="190">
        <f>_xlfn.XLOOKUP(Table1[[#This Row],[MTP SKU Code]],'Audit Dimensions'!$A:$A,'Audit Dimensions'!M:M,0)</f>
        <v>0</v>
      </c>
      <c r="N122" s="190">
        <f>_xlfn.XLOOKUP(Table1[[#This Row],[MTP SKU Code]],'Audit Dimensions'!$A:$A,'Audit Dimensions'!N:N,0)</f>
        <v>0</v>
      </c>
      <c r="O122" s="118">
        <f>((IFERROR((C122*D122*E122),0)+IFERROR((G122*H122*I122),0)+IFERROR((K122*L122*M122),0))/1000000)*35.32</f>
        <v>2.1588996799999998</v>
      </c>
      <c r="P122" s="125">
        <f>Table1[[#This Row],[Column15]]*$P$2*1000</f>
        <v>12953.398079999999</v>
      </c>
      <c r="Q122" s="87">
        <f>F122+J122+N122</f>
        <v>25500</v>
      </c>
      <c r="R122" s="88">
        <f>MAX(Q122,O122)</f>
        <v>25500</v>
      </c>
      <c r="S122" s="86">
        <f>MAX(R122,P122)</f>
        <v>25500</v>
      </c>
      <c r="T122" s="156" t="str">
        <f>VLOOKUP(A122,'[1]MTP SKUs - Master Data'!$A:$B,2,FALSE)</f>
        <v>Y</v>
      </c>
      <c r="U122" s="162">
        <f>_xlfn.IFNA(VLOOKUP(Table1[[#This Row],[MTP SKU Code]],'Audit Dimensions'!A:N,6,FALSE),"ARC")</f>
        <v>27640</v>
      </c>
      <c r="V122" s="162">
        <f>IFERROR(Table1[[#This Row],[B1.Aud]]-Table1[[#This Row],[PW(gm)]],"ERR")</f>
        <v>2140</v>
      </c>
      <c r="W122" s="165">
        <f>IFERROR(Table1[[#This Row],[B1.Diff]]/Table1[[#This Row],[B1.Aud]],"ERR")</f>
        <v>7.7424023154848046E-2</v>
      </c>
      <c r="X122" s="162">
        <f>_xlfn.IFNA(VLOOKUP(Table1[[#This Row],[MTP SKU Code]],'Audit Dimensions'!A:N,10,FALSE),"ARC")</f>
        <v>0</v>
      </c>
      <c r="Y122" s="163">
        <f>IFERROR(Table1[[#This Row],[B2.Aud]]-Table1[[#This Row],[PW(gm)5]],"ERR")</f>
        <v>0</v>
      </c>
      <c r="Z122" s="165" t="str">
        <f>IFERROR(Table1[[#This Row],[B2.Diff]]/Table1[[#This Row],[B2.Aud]],"NA")</f>
        <v>NA</v>
      </c>
      <c r="AA122" s="162">
        <f>_xlfn.IFNA(VLOOKUP(Table1[[#This Row],[MTP SKU Code]],'Audit Dimensions'!A:N,14,FALSE),"ARC")</f>
        <v>0</v>
      </c>
      <c r="AB122" s="161">
        <f>IFERROR(Table1[[#This Row],[B3.Aud]]-Table1[[#This Row],[PW(gm)9]],"ERR")</f>
        <v>0</v>
      </c>
      <c r="AC122" s="168">
        <f>IFERROR(Table1[[#This Row],[B3.Diff]]/Table1[[#This Row],[BaLL.Aud]],"ERR")</f>
        <v>0</v>
      </c>
      <c r="AD122" s="189">
        <f>_xlfn.IFNA(VLOOKUP(Table1[[#This Row],[MTP SKU Code]],'Audit Dimensions'!A:U,16,FALSE),"ARC")</f>
        <v>27640</v>
      </c>
      <c r="AE122" s="165">
        <f>IFERROR(1-Table1[[#This Row],[Gms]]/Table1[[#This Row],[BaLL.Aud]],"ERR")</f>
        <v>7.7424023154848087E-2</v>
      </c>
    </row>
    <row r="123" spans="1:31" ht="14.45" customHeight="1">
      <c r="A123" s="70" t="s">
        <v>168</v>
      </c>
      <c r="B123" s="84" t="s">
        <v>48</v>
      </c>
      <c r="C123" s="190">
        <f>_xlfn.XLOOKUP(Table1[[#This Row],[MTP SKU Code]],'Audit Dimensions'!A:A,'Audit Dimensions'!C:C,0)</f>
        <v>60</v>
      </c>
      <c r="D123" s="190">
        <f>_xlfn.XLOOKUP(Table1[[#This Row],[MTP SKU Code]],'Audit Dimensions'!$A:$A,'Audit Dimensions'!D:D,0)</f>
        <v>36</v>
      </c>
      <c r="E123" s="190">
        <f>_xlfn.XLOOKUP(Table1[[#This Row],[MTP SKU Code]],'Audit Dimensions'!$A:$A,'Audit Dimensions'!E:E,0)</f>
        <v>10</v>
      </c>
      <c r="F123" s="190">
        <f>_xlfn.XLOOKUP(Table1[[#This Row],[MTP SKU Code]],'Audit Dimensions'!$A:$A,'Audit Dimensions'!F:F,0)</f>
        <v>5820</v>
      </c>
      <c r="G123" s="190">
        <f>_xlfn.XLOOKUP(Table1[[#This Row],[MTP SKU Code]],'Audit Dimensions'!$A:$A,'Audit Dimensions'!G:G,0)</f>
        <v>0</v>
      </c>
      <c r="H123" s="190">
        <f>_xlfn.XLOOKUP(Table1[[#This Row],[MTP SKU Code]],'Audit Dimensions'!$A:$A,'Audit Dimensions'!H:H,0)</f>
        <v>0</v>
      </c>
      <c r="I123" s="190">
        <f>_xlfn.XLOOKUP(Table1[[#This Row],[MTP SKU Code]],'Audit Dimensions'!$A:$A,'Audit Dimensions'!I:I,0)</f>
        <v>0</v>
      </c>
      <c r="J123" s="190">
        <f>_xlfn.XLOOKUP(Table1[[#This Row],[MTP SKU Code]],'Audit Dimensions'!$A:$A,'Audit Dimensions'!J:J,0)</f>
        <v>0</v>
      </c>
      <c r="K123" s="190">
        <f>_xlfn.XLOOKUP(Table1[[#This Row],[MTP SKU Code]],'Audit Dimensions'!$A:$A,'Audit Dimensions'!K:K,0)</f>
        <v>0</v>
      </c>
      <c r="L123" s="190">
        <f>_xlfn.XLOOKUP(Table1[[#This Row],[MTP SKU Code]],'Audit Dimensions'!$A:$A,'Audit Dimensions'!L:L,0)</f>
        <v>0</v>
      </c>
      <c r="M123" s="190">
        <f>_xlfn.XLOOKUP(Table1[[#This Row],[MTP SKU Code]],'Audit Dimensions'!$A:$A,'Audit Dimensions'!M:M,0)</f>
        <v>0</v>
      </c>
      <c r="N123" s="190">
        <f>_xlfn.XLOOKUP(Table1[[#This Row],[MTP SKU Code]],'Audit Dimensions'!$A:$A,'Audit Dimensions'!N:N,0)</f>
        <v>0</v>
      </c>
      <c r="O123" s="118">
        <f>((IFERROR((C123*D123*E123),0)+IFERROR((G123*H123*I123),0)+IFERROR((K123*L123*M123),0))/1000000)*35.32</f>
        <v>0.76291200000000003</v>
      </c>
      <c r="P123" s="125">
        <f>Table1[[#This Row],[Column15]]*$P$2*1000</f>
        <v>4577.4719999999998</v>
      </c>
      <c r="Q123" s="87">
        <f>F123+J123+N123</f>
        <v>5820</v>
      </c>
      <c r="R123" s="86">
        <f>MAX(Q123,O123)</f>
        <v>5820</v>
      </c>
      <c r="S123" s="86">
        <f>MAX(R123,P123)</f>
        <v>5820</v>
      </c>
      <c r="T123" s="156" t="str">
        <f>VLOOKUP(A123,'[1]MTP SKUs - Master Data'!$A:$B,2,FALSE)</f>
        <v>Y</v>
      </c>
      <c r="U123" s="162">
        <f>_xlfn.IFNA(VLOOKUP(Table1[[#This Row],[MTP SKU Code]],'Audit Dimensions'!A:N,6,FALSE),"ARC")</f>
        <v>5820</v>
      </c>
      <c r="V123" s="162">
        <f>IFERROR(Table1[[#This Row],[B1.Aud]]-Table1[[#This Row],[PW(gm)]],"ERR")</f>
        <v>0</v>
      </c>
      <c r="W123" s="165">
        <f>IFERROR(Table1[[#This Row],[B1.Diff]]/Table1[[#This Row],[B1.Aud]],"ERR")</f>
        <v>0</v>
      </c>
      <c r="X123" s="162">
        <f>_xlfn.IFNA(VLOOKUP(Table1[[#This Row],[MTP SKU Code]],'Audit Dimensions'!A:N,10,FALSE),"ARC")</f>
        <v>0</v>
      </c>
      <c r="Y123" s="163">
        <f>IFERROR(Table1[[#This Row],[B2.Aud]]-Table1[[#This Row],[PW(gm)5]],"ERR")</f>
        <v>0</v>
      </c>
      <c r="Z123" s="165" t="str">
        <f>IFERROR(Table1[[#This Row],[B2.Diff]]/Table1[[#This Row],[B2.Aud]],"NA")</f>
        <v>NA</v>
      </c>
      <c r="AA123" s="162">
        <f>_xlfn.IFNA(VLOOKUP(Table1[[#This Row],[MTP SKU Code]],'Audit Dimensions'!A:N,14,FALSE),"ARC")</f>
        <v>0</v>
      </c>
      <c r="AB123" s="161">
        <f>IFERROR(Table1[[#This Row],[B3.Aud]]-Table1[[#This Row],[PW(gm)9]],"ERR")</f>
        <v>0</v>
      </c>
      <c r="AC123" s="168">
        <f>IFERROR(Table1[[#This Row],[B3.Diff]]/Table1[[#This Row],[BaLL.Aud]],"ERR")</f>
        <v>0</v>
      </c>
      <c r="AD123" s="189">
        <f>_xlfn.IFNA(VLOOKUP(Table1[[#This Row],[MTP SKU Code]],'Audit Dimensions'!A:U,16,FALSE),"ARC")</f>
        <v>5820</v>
      </c>
      <c r="AE123" s="165">
        <f>IFERROR(1-Table1[[#This Row],[Gms]]/Table1[[#This Row],[BaLL.Aud]],"ERR")</f>
        <v>0</v>
      </c>
    </row>
    <row r="124" spans="1:31" ht="14.45" hidden="1" customHeight="1">
      <c r="A124" s="68" t="s">
        <v>169</v>
      </c>
      <c r="B124" s="84" t="s">
        <v>48</v>
      </c>
      <c r="C124" s="85">
        <v>98</v>
      </c>
      <c r="D124" s="85">
        <v>51</v>
      </c>
      <c r="E124" s="85">
        <v>4</v>
      </c>
      <c r="F124" s="89">
        <v>11390</v>
      </c>
      <c r="G124" s="85"/>
      <c r="H124" s="85"/>
      <c r="I124" s="85"/>
      <c r="J124" s="85"/>
      <c r="K124" s="85"/>
      <c r="L124" s="85"/>
      <c r="M124" s="85"/>
      <c r="N124" s="85"/>
      <c r="O124" s="118">
        <f>((IFERROR((C124*D124*E124),0)+IFERROR((G124*H124*I124),0)+IFERROR((K124*L124*M124),0))/1000000)*35.32</f>
        <v>0.70611743999999999</v>
      </c>
      <c r="P124" s="125">
        <f>Table1[[#This Row],[Column15]]*$P$2*1000</f>
        <v>4236.7046399999999</v>
      </c>
      <c r="Q124" s="87">
        <f>F124+J124+N124</f>
        <v>11390</v>
      </c>
      <c r="R124" s="86">
        <f>MAX(Q124,O124)</f>
        <v>11390</v>
      </c>
      <c r="S124" s="86">
        <f>MAX(R124,P124)</f>
        <v>11390</v>
      </c>
      <c r="T124" s="156" t="str">
        <f>VLOOKUP(A124,'[1]MTP SKUs - Master Data'!$A:$B,2,FALSE)</f>
        <v>DI</v>
      </c>
      <c r="U124" s="162">
        <f>_xlfn.IFNA(VLOOKUP(Table1[[#This Row],[MTP SKU Code]],'Audit Dimensions'!A:N,6,FALSE),"ARC")</f>
        <v>11820</v>
      </c>
      <c r="V124" s="162">
        <f>IFERROR(Table1[[#This Row],[B1.Aud]]-Table1[[#This Row],[PW(gm)]],"ERR")</f>
        <v>430</v>
      </c>
      <c r="W124" s="165">
        <f>IFERROR(Table1[[#This Row],[B1.Diff]]/Table1[[#This Row],[B1.Aud]],"ERR")</f>
        <v>3.6379018612521151E-2</v>
      </c>
      <c r="X124" s="162">
        <f>_xlfn.IFNA(VLOOKUP(Table1[[#This Row],[MTP SKU Code]],'Audit Dimensions'!A:N,10,FALSE),"ARC")</f>
        <v>0</v>
      </c>
      <c r="Y124" s="163">
        <f>IFERROR(Table1[[#This Row],[B2.Aud]]-Table1[[#This Row],[PW(gm)5]],"ERR")</f>
        <v>0</v>
      </c>
      <c r="Z124" s="165" t="str">
        <f>IFERROR(Table1[[#This Row],[B2.Diff]]/Table1[[#This Row],[B2.Aud]],"NA")</f>
        <v>NA</v>
      </c>
      <c r="AA124" s="162">
        <f>_xlfn.IFNA(VLOOKUP(Table1[[#This Row],[MTP SKU Code]],'Audit Dimensions'!A:N,14,FALSE),"ARC")</f>
        <v>0</v>
      </c>
      <c r="AB124" s="161">
        <f>IFERROR(Table1[[#This Row],[B3.Aud]]-Table1[[#This Row],[PW(gm)9]],"ERR")</f>
        <v>0</v>
      </c>
      <c r="AC124" s="168">
        <f>IFERROR(Table1[[#This Row],[B3.Diff]]/Table1[[#This Row],[BaLL.Aud]],"ERR")</f>
        <v>0</v>
      </c>
      <c r="AD124" s="162">
        <f>_xlfn.IFNA(VLOOKUP(Table1[[#This Row],[MTP SKU Code]],'Audit Dimensions'!A:U,16,FALSE),"ARC")</f>
        <v>11820</v>
      </c>
      <c r="AE124" s="165">
        <f>IFERROR(1-Table1[[#This Row],[Gms]]/Table1[[#This Row],[BaLL.Aud]],"ERR")</f>
        <v>3.637901861252113E-2</v>
      </c>
    </row>
    <row r="125" spans="1:31" ht="14.45" customHeight="1">
      <c r="A125" s="68" t="s">
        <v>170</v>
      </c>
      <c r="B125" s="84" t="s">
        <v>48</v>
      </c>
      <c r="C125" s="190">
        <f>_xlfn.XLOOKUP(Table1[[#This Row],[MTP SKU Code]],'Audit Dimensions'!A:A,'Audit Dimensions'!C:C,0)</f>
        <v>158</v>
      </c>
      <c r="D125" s="190">
        <f>_xlfn.XLOOKUP(Table1[[#This Row],[MTP SKU Code]],'Audit Dimensions'!$A:$A,'Audit Dimensions'!D:D,0)</f>
        <v>29</v>
      </c>
      <c r="E125" s="190">
        <f>_xlfn.XLOOKUP(Table1[[#This Row],[MTP SKU Code]],'Audit Dimensions'!$A:$A,'Audit Dimensions'!E:E,0)</f>
        <v>9</v>
      </c>
      <c r="F125" s="190">
        <v>18700</v>
      </c>
      <c r="G125" s="190">
        <f>_xlfn.XLOOKUP(Table1[[#This Row],[MTP SKU Code]],'Audit Dimensions'!$A:$A,'Audit Dimensions'!G:G,0)</f>
        <v>0</v>
      </c>
      <c r="H125" s="190">
        <f>_xlfn.XLOOKUP(Table1[[#This Row],[MTP SKU Code]],'Audit Dimensions'!$A:$A,'Audit Dimensions'!H:H,0)</f>
        <v>0</v>
      </c>
      <c r="I125" s="190">
        <f>_xlfn.XLOOKUP(Table1[[#This Row],[MTP SKU Code]],'Audit Dimensions'!$A:$A,'Audit Dimensions'!I:I,0)</f>
        <v>0</v>
      </c>
      <c r="J125" s="190">
        <f>_xlfn.XLOOKUP(Table1[[#This Row],[MTP SKU Code]],'Audit Dimensions'!$A:$A,'Audit Dimensions'!J:J,0)</f>
        <v>0</v>
      </c>
      <c r="K125" s="190">
        <f>_xlfn.XLOOKUP(Table1[[#This Row],[MTP SKU Code]],'Audit Dimensions'!$A:$A,'Audit Dimensions'!K:K,0)</f>
        <v>0</v>
      </c>
      <c r="L125" s="190">
        <f>_xlfn.XLOOKUP(Table1[[#This Row],[MTP SKU Code]],'Audit Dimensions'!$A:$A,'Audit Dimensions'!L:L,0)</f>
        <v>0</v>
      </c>
      <c r="M125" s="190">
        <f>_xlfn.XLOOKUP(Table1[[#This Row],[MTP SKU Code]],'Audit Dimensions'!$A:$A,'Audit Dimensions'!M:M,0)</f>
        <v>0</v>
      </c>
      <c r="N125" s="190">
        <f>_xlfn.XLOOKUP(Table1[[#This Row],[MTP SKU Code]],'Audit Dimensions'!$A:$A,'Audit Dimensions'!N:N,0)</f>
        <v>0</v>
      </c>
      <c r="O125" s="118">
        <f>((IFERROR((C125*D125*E125),0)+IFERROR((G125*H125*I125),0)+IFERROR((K125*L125*M125),0))/1000000)*35.32</f>
        <v>1.4565261599999999</v>
      </c>
      <c r="P125" s="125">
        <f>Table1[[#This Row],[Column15]]*$P$2*1000</f>
        <v>8739.1569599999984</v>
      </c>
      <c r="Q125" s="87">
        <f>F125+J125+N125</f>
        <v>18700</v>
      </c>
      <c r="R125" s="86">
        <f>MAX(Q125,O125)</f>
        <v>18700</v>
      </c>
      <c r="S125" s="86">
        <f>MAX(R125,P125)</f>
        <v>18700</v>
      </c>
      <c r="T125" s="156" t="str">
        <f>VLOOKUP(A125,'[1]MTP SKUs - Master Data'!$A:$B,2,FALSE)</f>
        <v>Y</v>
      </c>
      <c r="U125" s="162">
        <f>_xlfn.IFNA(VLOOKUP(Table1[[#This Row],[MTP SKU Code]],'Audit Dimensions'!A:N,6,FALSE),"ARC")</f>
        <v>19700</v>
      </c>
      <c r="V125" s="162">
        <f>IFERROR(Table1[[#This Row],[B1.Aud]]-Table1[[#This Row],[PW(gm)]],"ERR")</f>
        <v>1000</v>
      </c>
      <c r="W125" s="165">
        <f>IFERROR(Table1[[#This Row],[B1.Diff]]/Table1[[#This Row],[B1.Aud]],"ERR")</f>
        <v>5.0761421319796954E-2</v>
      </c>
      <c r="X125" s="162">
        <f>_xlfn.IFNA(VLOOKUP(Table1[[#This Row],[MTP SKU Code]],'Audit Dimensions'!A:N,10,FALSE),"ARC")</f>
        <v>0</v>
      </c>
      <c r="Y125" s="163">
        <f>IFERROR(Table1[[#This Row],[B2.Aud]]-Table1[[#This Row],[PW(gm)5]],"ERR")</f>
        <v>0</v>
      </c>
      <c r="Z125" s="165" t="str">
        <f>IFERROR(Table1[[#This Row],[B2.Diff]]/Table1[[#This Row],[B2.Aud]],"NA")</f>
        <v>NA</v>
      </c>
      <c r="AA125" s="162">
        <f>_xlfn.IFNA(VLOOKUP(Table1[[#This Row],[MTP SKU Code]],'Audit Dimensions'!A:N,14,FALSE),"ARC")</f>
        <v>0</v>
      </c>
      <c r="AB125" s="161">
        <f>IFERROR(Table1[[#This Row],[B3.Aud]]-Table1[[#This Row],[PW(gm)9]],"ERR")</f>
        <v>0</v>
      </c>
      <c r="AC125" s="168">
        <f>IFERROR(Table1[[#This Row],[B3.Diff]]/Table1[[#This Row],[BaLL.Aud]],"ERR")</f>
        <v>0</v>
      </c>
      <c r="AD125" s="189">
        <f>_xlfn.IFNA(VLOOKUP(Table1[[#This Row],[MTP SKU Code]],'Audit Dimensions'!A:U,16,FALSE),"ARC")</f>
        <v>19700</v>
      </c>
      <c r="AE125" s="165">
        <f>IFERROR(1-Table1[[#This Row],[Gms]]/Table1[[#This Row],[BaLL.Aud]],"ERR")</f>
        <v>5.0761421319796995E-2</v>
      </c>
    </row>
    <row r="126" spans="1:31" ht="14.45" customHeight="1">
      <c r="A126" s="68" t="s">
        <v>171</v>
      </c>
      <c r="B126" s="84" t="s">
        <v>48</v>
      </c>
      <c r="C126" s="190">
        <f>_xlfn.XLOOKUP(Table1[[#This Row],[MTP SKU Code]],'Audit Dimensions'!A:A,'Audit Dimensions'!C:C,0)</f>
        <v>127</v>
      </c>
      <c r="D126" s="190">
        <f>_xlfn.XLOOKUP(Table1[[#This Row],[MTP SKU Code]],'Audit Dimensions'!$A:$A,'Audit Dimensions'!D:D,0)</f>
        <v>30</v>
      </c>
      <c r="E126" s="190">
        <f>_xlfn.XLOOKUP(Table1[[#This Row],[MTP SKU Code]],'Audit Dimensions'!$A:$A,'Audit Dimensions'!E:E,0)</f>
        <v>9</v>
      </c>
      <c r="F126" s="190">
        <v>12700</v>
      </c>
      <c r="G126" s="190">
        <f>_xlfn.XLOOKUP(Table1[[#This Row],[MTP SKU Code]],'Audit Dimensions'!$A:$A,'Audit Dimensions'!G:G,0)</f>
        <v>0</v>
      </c>
      <c r="H126" s="190">
        <f>_xlfn.XLOOKUP(Table1[[#This Row],[MTP SKU Code]],'Audit Dimensions'!$A:$A,'Audit Dimensions'!H:H,0)</f>
        <v>0</v>
      </c>
      <c r="I126" s="190">
        <f>_xlfn.XLOOKUP(Table1[[#This Row],[MTP SKU Code]],'Audit Dimensions'!$A:$A,'Audit Dimensions'!I:I,0)</f>
        <v>0</v>
      </c>
      <c r="J126" s="190">
        <f>_xlfn.XLOOKUP(Table1[[#This Row],[MTP SKU Code]],'Audit Dimensions'!$A:$A,'Audit Dimensions'!J:J,0)</f>
        <v>0</v>
      </c>
      <c r="K126" s="190">
        <f>_xlfn.XLOOKUP(Table1[[#This Row],[MTP SKU Code]],'Audit Dimensions'!$A:$A,'Audit Dimensions'!K:K,0)</f>
        <v>0</v>
      </c>
      <c r="L126" s="190">
        <f>_xlfn.XLOOKUP(Table1[[#This Row],[MTP SKU Code]],'Audit Dimensions'!$A:$A,'Audit Dimensions'!L:L,0)</f>
        <v>0</v>
      </c>
      <c r="M126" s="190">
        <f>_xlfn.XLOOKUP(Table1[[#This Row],[MTP SKU Code]],'Audit Dimensions'!$A:$A,'Audit Dimensions'!M:M,0)</f>
        <v>0</v>
      </c>
      <c r="N126" s="190">
        <f>_xlfn.XLOOKUP(Table1[[#This Row],[MTP SKU Code]],'Audit Dimensions'!$A:$A,'Audit Dimensions'!N:N,0)</f>
        <v>0</v>
      </c>
      <c r="O126" s="118">
        <f>((IFERROR((C126*D126*E126),0)+IFERROR((G126*H126*I126),0)+IFERROR((K126*L126*M126),0))/1000000)*35.32</f>
        <v>1.2111228000000001</v>
      </c>
      <c r="P126" s="125">
        <f>Table1[[#This Row],[Column15]]*$P$2*1000</f>
        <v>7266.7368000000006</v>
      </c>
      <c r="Q126" s="87">
        <f>F126+J126+N126</f>
        <v>12700</v>
      </c>
      <c r="R126" s="86">
        <f>MAX(Q126,O126)</f>
        <v>12700</v>
      </c>
      <c r="S126" s="86">
        <f>MAX(R126,P126)</f>
        <v>12700</v>
      </c>
      <c r="T126" s="156" t="str">
        <f>VLOOKUP(A126,'[1]MTP SKUs - Master Data'!$A:$B,2,FALSE)</f>
        <v>Y</v>
      </c>
      <c r="U126" s="162">
        <f>_xlfn.IFNA(VLOOKUP(Table1[[#This Row],[MTP SKU Code]],'Audit Dimensions'!A:N,6,FALSE),"ARC")</f>
        <v>13880</v>
      </c>
      <c r="V126" s="162">
        <f>IFERROR(Table1[[#This Row],[B1.Aud]]-Table1[[#This Row],[PW(gm)]],"ERR")</f>
        <v>1180</v>
      </c>
      <c r="W126" s="165">
        <f>IFERROR(Table1[[#This Row],[B1.Diff]]/Table1[[#This Row],[B1.Aud]],"ERR")</f>
        <v>8.5014409221902024E-2</v>
      </c>
      <c r="X126" s="162">
        <f>_xlfn.IFNA(VLOOKUP(Table1[[#This Row],[MTP SKU Code]],'Audit Dimensions'!A:N,10,FALSE),"ARC")</f>
        <v>0</v>
      </c>
      <c r="Y126" s="163">
        <f>IFERROR(Table1[[#This Row],[B2.Aud]]-Table1[[#This Row],[PW(gm)5]],"ERR")</f>
        <v>0</v>
      </c>
      <c r="Z126" s="165" t="str">
        <f>IFERROR(Table1[[#This Row],[B2.Diff]]/Table1[[#This Row],[B2.Aud]],"NA")</f>
        <v>NA</v>
      </c>
      <c r="AA126" s="162">
        <f>_xlfn.IFNA(VLOOKUP(Table1[[#This Row],[MTP SKU Code]],'Audit Dimensions'!A:N,14,FALSE),"ARC")</f>
        <v>0</v>
      </c>
      <c r="AB126" s="161">
        <f>IFERROR(Table1[[#This Row],[B3.Aud]]-Table1[[#This Row],[PW(gm)9]],"ERR")</f>
        <v>0</v>
      </c>
      <c r="AC126" s="168">
        <f>IFERROR(Table1[[#This Row],[B3.Diff]]/Table1[[#This Row],[BaLL.Aud]],"ERR")</f>
        <v>0</v>
      </c>
      <c r="AD126" s="189">
        <f>_xlfn.IFNA(VLOOKUP(Table1[[#This Row],[MTP SKU Code]],'Audit Dimensions'!A:U,16,FALSE),"ARC")</f>
        <v>13880</v>
      </c>
      <c r="AE126" s="165">
        <f>IFERROR(1-Table1[[#This Row],[Gms]]/Table1[[#This Row],[BaLL.Aud]],"ERR")</f>
        <v>8.5014409221902065E-2</v>
      </c>
    </row>
    <row r="127" spans="1:31" ht="14.45" customHeight="1">
      <c r="A127" s="68" t="s">
        <v>172</v>
      </c>
      <c r="B127" s="84" t="s">
        <v>48</v>
      </c>
      <c r="C127" s="190">
        <f>_xlfn.XLOOKUP(Table1[[#This Row],[MTP SKU Code]],'Audit Dimensions'!A:A,'Audit Dimensions'!C:C,0)</f>
        <v>136</v>
      </c>
      <c r="D127" s="190">
        <f>_xlfn.XLOOKUP(Table1[[#This Row],[MTP SKU Code]],'Audit Dimensions'!$A:$A,'Audit Dimensions'!D:D,0)</f>
        <v>31</v>
      </c>
      <c r="E127" s="190">
        <f>_xlfn.XLOOKUP(Table1[[#This Row],[MTP SKU Code]],'Audit Dimensions'!$A:$A,'Audit Dimensions'!E:E,0)</f>
        <v>10</v>
      </c>
      <c r="F127" s="190">
        <v>19800</v>
      </c>
      <c r="G127" s="190">
        <f>_xlfn.XLOOKUP(Table1[[#This Row],[MTP SKU Code]],'Audit Dimensions'!$A:$A,'Audit Dimensions'!G:G,0)</f>
        <v>0</v>
      </c>
      <c r="H127" s="190">
        <f>_xlfn.XLOOKUP(Table1[[#This Row],[MTP SKU Code]],'Audit Dimensions'!$A:$A,'Audit Dimensions'!H:H,0)</f>
        <v>0</v>
      </c>
      <c r="I127" s="190">
        <f>_xlfn.XLOOKUP(Table1[[#This Row],[MTP SKU Code]],'Audit Dimensions'!$A:$A,'Audit Dimensions'!I:I,0)</f>
        <v>0</v>
      </c>
      <c r="J127" s="190">
        <f>_xlfn.XLOOKUP(Table1[[#This Row],[MTP SKU Code]],'Audit Dimensions'!$A:$A,'Audit Dimensions'!J:J,0)</f>
        <v>0</v>
      </c>
      <c r="K127" s="190">
        <f>_xlfn.XLOOKUP(Table1[[#This Row],[MTP SKU Code]],'Audit Dimensions'!$A:$A,'Audit Dimensions'!K:K,0)</f>
        <v>0</v>
      </c>
      <c r="L127" s="190">
        <f>_xlfn.XLOOKUP(Table1[[#This Row],[MTP SKU Code]],'Audit Dimensions'!$A:$A,'Audit Dimensions'!L:L,0)</f>
        <v>0</v>
      </c>
      <c r="M127" s="190">
        <f>_xlfn.XLOOKUP(Table1[[#This Row],[MTP SKU Code]],'Audit Dimensions'!$A:$A,'Audit Dimensions'!M:M,0)</f>
        <v>0</v>
      </c>
      <c r="N127" s="190">
        <f>_xlfn.XLOOKUP(Table1[[#This Row],[MTP SKU Code]],'Audit Dimensions'!$A:$A,'Audit Dimensions'!N:N,0)</f>
        <v>0</v>
      </c>
      <c r="O127" s="118">
        <f>((IFERROR((C127*D127*E127),0)+IFERROR((G127*H127*I127),0)+IFERROR((K127*L127*M127),0))/1000000)*35.32</f>
        <v>1.4890912000000001</v>
      </c>
      <c r="P127" s="125">
        <f>Table1[[#This Row],[Column15]]*$P$2*1000</f>
        <v>8934.5472000000009</v>
      </c>
      <c r="Q127" s="87">
        <f>F127+J127+N127</f>
        <v>19800</v>
      </c>
      <c r="R127" s="86">
        <f>MAX(Q127,O127)</f>
        <v>19800</v>
      </c>
      <c r="S127" s="86">
        <f>MAX(R127,P127)</f>
        <v>19800</v>
      </c>
      <c r="T127" s="156" t="str">
        <f>VLOOKUP(A127,'[1]MTP SKUs - Master Data'!$A:$B,2,FALSE)</f>
        <v>Y</v>
      </c>
      <c r="U127" s="162">
        <f>_xlfn.IFNA(VLOOKUP(Table1[[#This Row],[MTP SKU Code]],'Audit Dimensions'!A:N,6,FALSE),"ARC")</f>
        <v>20990</v>
      </c>
      <c r="V127" s="162">
        <f>IFERROR(Table1[[#This Row],[B1.Aud]]-Table1[[#This Row],[PW(gm)]],"ERR")</f>
        <v>1190</v>
      </c>
      <c r="W127" s="165">
        <f>IFERROR(Table1[[#This Row],[B1.Diff]]/Table1[[#This Row],[B1.Aud]],"ERR")</f>
        <v>5.6693663649356837E-2</v>
      </c>
      <c r="X127" s="162">
        <f>_xlfn.IFNA(VLOOKUP(Table1[[#This Row],[MTP SKU Code]],'Audit Dimensions'!A:N,10,FALSE),"ARC")</f>
        <v>0</v>
      </c>
      <c r="Y127" s="163">
        <f>IFERROR(Table1[[#This Row],[B2.Aud]]-Table1[[#This Row],[PW(gm)5]],"ERR")</f>
        <v>0</v>
      </c>
      <c r="Z127" s="165" t="str">
        <f>IFERROR(Table1[[#This Row],[B2.Diff]]/Table1[[#This Row],[B2.Aud]],"NA")</f>
        <v>NA</v>
      </c>
      <c r="AA127" s="162">
        <f>_xlfn.IFNA(VLOOKUP(Table1[[#This Row],[MTP SKU Code]],'Audit Dimensions'!A:N,14,FALSE),"ARC")</f>
        <v>0</v>
      </c>
      <c r="AB127" s="161">
        <f>IFERROR(Table1[[#This Row],[B3.Aud]]-Table1[[#This Row],[PW(gm)9]],"ERR")</f>
        <v>0</v>
      </c>
      <c r="AC127" s="168">
        <f>IFERROR(Table1[[#This Row],[B3.Diff]]/Table1[[#This Row],[BaLL.Aud]],"ERR")</f>
        <v>0</v>
      </c>
      <c r="AD127" s="189">
        <f>_xlfn.IFNA(VLOOKUP(Table1[[#This Row],[MTP SKU Code]],'Audit Dimensions'!A:U,16,FALSE),"ARC")</f>
        <v>20990</v>
      </c>
      <c r="AE127" s="165">
        <f>IFERROR(1-Table1[[#This Row],[Gms]]/Table1[[#This Row],[BaLL.Aud]],"ERR")</f>
        <v>5.6693663649356796E-2</v>
      </c>
    </row>
    <row r="128" spans="1:31" ht="14.45" customHeight="1">
      <c r="A128" s="103" t="s">
        <v>173</v>
      </c>
      <c r="B128" s="93" t="s">
        <v>48</v>
      </c>
      <c r="C128" s="190">
        <f>_xlfn.XLOOKUP(Table1[[#This Row],[MTP SKU Code]],'Audit Dimensions'!A:A,'Audit Dimensions'!C:C,0)</f>
        <v>90</v>
      </c>
      <c r="D128" s="190">
        <f>_xlfn.XLOOKUP(Table1[[#This Row],[MTP SKU Code]],'Audit Dimensions'!$A:$A,'Audit Dimensions'!D:D,0)</f>
        <v>49</v>
      </c>
      <c r="E128" s="190">
        <f>_xlfn.XLOOKUP(Table1[[#This Row],[MTP SKU Code]],'Audit Dimensions'!$A:$A,'Audit Dimensions'!E:E,0)</f>
        <v>6</v>
      </c>
      <c r="F128" s="190">
        <v>8800</v>
      </c>
      <c r="G128" s="190">
        <f>_xlfn.XLOOKUP(Table1[[#This Row],[MTP SKU Code]],'Audit Dimensions'!$A:$A,'Audit Dimensions'!G:G,0)</f>
        <v>0</v>
      </c>
      <c r="H128" s="190">
        <f>_xlfn.XLOOKUP(Table1[[#This Row],[MTP SKU Code]],'Audit Dimensions'!$A:$A,'Audit Dimensions'!H:H,0)</f>
        <v>0</v>
      </c>
      <c r="I128" s="190">
        <f>_xlfn.XLOOKUP(Table1[[#This Row],[MTP SKU Code]],'Audit Dimensions'!$A:$A,'Audit Dimensions'!I:I,0)</f>
        <v>0</v>
      </c>
      <c r="J128" s="190">
        <f>_xlfn.XLOOKUP(Table1[[#This Row],[MTP SKU Code]],'Audit Dimensions'!$A:$A,'Audit Dimensions'!J:J,0)</f>
        <v>0</v>
      </c>
      <c r="K128" s="190">
        <f>_xlfn.XLOOKUP(Table1[[#This Row],[MTP SKU Code]],'Audit Dimensions'!$A:$A,'Audit Dimensions'!K:K,0)</f>
        <v>0</v>
      </c>
      <c r="L128" s="190">
        <f>_xlfn.XLOOKUP(Table1[[#This Row],[MTP SKU Code]],'Audit Dimensions'!$A:$A,'Audit Dimensions'!L:L,0)</f>
        <v>0</v>
      </c>
      <c r="M128" s="190">
        <f>_xlfn.XLOOKUP(Table1[[#This Row],[MTP SKU Code]],'Audit Dimensions'!$A:$A,'Audit Dimensions'!M:M,0)</f>
        <v>0</v>
      </c>
      <c r="N128" s="190">
        <f>_xlfn.XLOOKUP(Table1[[#This Row],[MTP SKU Code]],'Audit Dimensions'!$A:$A,'Audit Dimensions'!N:N,0)</f>
        <v>0</v>
      </c>
      <c r="O128" s="119">
        <f>((IFERROR((C128*D128*E128),0)+IFERROR((G128*H128*I128),0)+IFERROR((K128*L128*M128),0))/1000000)*35.32</f>
        <v>0.93456720000000004</v>
      </c>
      <c r="P128" s="125">
        <f>Table1[[#This Row],[Column15]]*$P$2*1000</f>
        <v>5607.4032000000007</v>
      </c>
      <c r="Q128" s="96">
        <f>F128+J128+N128</f>
        <v>8800</v>
      </c>
      <c r="R128" s="97">
        <f>MAX(Q128,O128)</f>
        <v>8800</v>
      </c>
      <c r="S128" s="97">
        <f>MAX(R128,P128)</f>
        <v>8800</v>
      </c>
      <c r="T128" s="156" t="str">
        <f>VLOOKUP(A128,'[1]MTP SKUs - Master Data'!$A:$B,2,FALSE)</f>
        <v>Y</v>
      </c>
      <c r="U128" s="162">
        <f>_xlfn.IFNA(VLOOKUP(Table1[[#This Row],[MTP SKU Code]],'Audit Dimensions'!A:N,6,FALSE),"ARC")</f>
        <v>9740</v>
      </c>
      <c r="V128" s="162">
        <f>IFERROR(Table1[[#This Row],[B1.Aud]]-Table1[[#This Row],[PW(gm)]],"ERR")</f>
        <v>940</v>
      </c>
      <c r="W128" s="165">
        <f>IFERROR(Table1[[#This Row],[B1.Diff]]/Table1[[#This Row],[B1.Aud]],"ERR")</f>
        <v>9.6509240246406572E-2</v>
      </c>
      <c r="X128" s="162">
        <f>_xlfn.IFNA(VLOOKUP(Table1[[#This Row],[MTP SKU Code]],'Audit Dimensions'!A:N,10,FALSE),"ARC")</f>
        <v>0</v>
      </c>
      <c r="Y128" s="163">
        <f>IFERROR(Table1[[#This Row],[B2.Aud]]-Table1[[#This Row],[PW(gm)5]],"ERR")</f>
        <v>0</v>
      </c>
      <c r="Z128" s="165" t="str">
        <f>IFERROR(Table1[[#This Row],[B2.Diff]]/Table1[[#This Row],[B2.Aud]],"NA")</f>
        <v>NA</v>
      </c>
      <c r="AA128" s="162">
        <f>_xlfn.IFNA(VLOOKUP(Table1[[#This Row],[MTP SKU Code]],'Audit Dimensions'!A:N,14,FALSE),"ARC")</f>
        <v>0</v>
      </c>
      <c r="AB128" s="161">
        <f>IFERROR(Table1[[#This Row],[B3.Aud]]-Table1[[#This Row],[PW(gm)9]],"ERR")</f>
        <v>0</v>
      </c>
      <c r="AC128" s="168">
        <f>IFERROR(Table1[[#This Row],[B3.Diff]]/Table1[[#This Row],[BaLL.Aud]],"ERR")</f>
        <v>0</v>
      </c>
      <c r="AD128" s="189">
        <f>_xlfn.IFNA(VLOOKUP(Table1[[#This Row],[MTP SKU Code]],'Audit Dimensions'!A:U,16,FALSE),"ARC")</f>
        <v>9740</v>
      </c>
      <c r="AE128" s="165">
        <f>IFERROR(1-Table1[[#This Row],[Gms]]/Table1[[#This Row],[BaLL.Aud]],"ERR")</f>
        <v>9.6509240246406613E-2</v>
      </c>
    </row>
    <row r="129" spans="1:31" ht="14.45" customHeight="1">
      <c r="A129" s="68" t="s">
        <v>174</v>
      </c>
      <c r="B129" s="84" t="s">
        <v>48</v>
      </c>
      <c r="C129" s="190">
        <f>_xlfn.XLOOKUP(Table1[[#This Row],[MTP SKU Code]],'Audit Dimensions'!A:A,'Audit Dimensions'!C:C,0)</f>
        <v>47</v>
      </c>
      <c r="D129" s="190">
        <f>_xlfn.XLOOKUP(Table1[[#This Row],[MTP SKU Code]],'Audit Dimensions'!$A:$A,'Audit Dimensions'!D:D,0)</f>
        <v>29</v>
      </c>
      <c r="E129" s="190">
        <f>_xlfn.XLOOKUP(Table1[[#This Row],[MTP SKU Code]],'Audit Dimensions'!$A:$A,'Audit Dimensions'!E:E,0)</f>
        <v>9</v>
      </c>
      <c r="F129" s="190">
        <v>4850</v>
      </c>
      <c r="G129" s="190">
        <f>_xlfn.XLOOKUP(Table1[[#This Row],[MTP SKU Code]],'Audit Dimensions'!$A:$A,'Audit Dimensions'!G:G,0)</f>
        <v>0</v>
      </c>
      <c r="H129" s="190">
        <f>_xlfn.XLOOKUP(Table1[[#This Row],[MTP SKU Code]],'Audit Dimensions'!$A:$A,'Audit Dimensions'!H:H,0)</f>
        <v>0</v>
      </c>
      <c r="I129" s="190">
        <f>_xlfn.XLOOKUP(Table1[[#This Row],[MTP SKU Code]],'Audit Dimensions'!$A:$A,'Audit Dimensions'!I:I,0)</f>
        <v>0</v>
      </c>
      <c r="J129" s="190">
        <f>_xlfn.XLOOKUP(Table1[[#This Row],[MTP SKU Code]],'Audit Dimensions'!$A:$A,'Audit Dimensions'!J:J,0)</f>
        <v>0</v>
      </c>
      <c r="K129" s="190">
        <f>_xlfn.XLOOKUP(Table1[[#This Row],[MTP SKU Code]],'Audit Dimensions'!$A:$A,'Audit Dimensions'!K:K,0)</f>
        <v>0</v>
      </c>
      <c r="L129" s="190">
        <f>_xlfn.XLOOKUP(Table1[[#This Row],[MTP SKU Code]],'Audit Dimensions'!$A:$A,'Audit Dimensions'!L:L,0)</f>
        <v>0</v>
      </c>
      <c r="M129" s="190">
        <f>_xlfn.XLOOKUP(Table1[[#This Row],[MTP SKU Code]],'Audit Dimensions'!$A:$A,'Audit Dimensions'!M:M,0)</f>
        <v>0</v>
      </c>
      <c r="N129" s="190">
        <f>_xlfn.XLOOKUP(Table1[[#This Row],[MTP SKU Code]],'Audit Dimensions'!$A:$A,'Audit Dimensions'!N:N,0)</f>
        <v>0</v>
      </c>
      <c r="O129" s="118">
        <f>((IFERROR((C129*D129*E129),0)+IFERROR((G129*H129*I129),0)+IFERROR((K129*L129*M129),0))/1000000)*35.32</f>
        <v>0.43327044000000003</v>
      </c>
      <c r="P129" s="125">
        <f>Table1[[#This Row],[Column15]]*$P$2*1000</f>
        <v>2599.62264</v>
      </c>
      <c r="Q129" s="87">
        <f>F129+J129+N129</f>
        <v>4850</v>
      </c>
      <c r="R129" s="88">
        <f>MAX(Q129,O129)</f>
        <v>4850</v>
      </c>
      <c r="S129" s="86">
        <f>MAX(R129,P129)</f>
        <v>4850</v>
      </c>
      <c r="T129" s="156" t="str">
        <f>VLOOKUP(A129,'[1]MTP SKUs - Master Data'!$A:$B,2,FALSE)</f>
        <v>Y</v>
      </c>
      <c r="U129" s="162">
        <f>_xlfn.IFNA(VLOOKUP(Table1[[#This Row],[MTP SKU Code]],'Audit Dimensions'!A:N,6,FALSE),"ARC")</f>
        <v>4930</v>
      </c>
      <c r="V129" s="162">
        <f>IFERROR(Table1[[#This Row],[B1.Aud]]-Table1[[#This Row],[PW(gm)]],"ERR")</f>
        <v>80</v>
      </c>
      <c r="W129" s="165">
        <f>IFERROR(Table1[[#This Row],[B1.Diff]]/Table1[[#This Row],[B1.Aud]],"ERR")</f>
        <v>1.6227180527383367E-2</v>
      </c>
      <c r="X129" s="162">
        <f>_xlfn.IFNA(VLOOKUP(Table1[[#This Row],[MTP SKU Code]],'Audit Dimensions'!A:N,10,FALSE),"ARC")</f>
        <v>0</v>
      </c>
      <c r="Y129" s="163">
        <f>IFERROR(Table1[[#This Row],[B2.Aud]]-Table1[[#This Row],[PW(gm)5]],"ERR")</f>
        <v>0</v>
      </c>
      <c r="Z129" s="165" t="str">
        <f>IFERROR(Table1[[#This Row],[B2.Diff]]/Table1[[#This Row],[B2.Aud]],"NA")</f>
        <v>NA</v>
      </c>
      <c r="AA129" s="162">
        <f>_xlfn.IFNA(VLOOKUP(Table1[[#This Row],[MTP SKU Code]],'Audit Dimensions'!A:N,14,FALSE),"ARC")</f>
        <v>0</v>
      </c>
      <c r="AB129" s="161">
        <f>IFERROR(Table1[[#This Row],[B3.Aud]]-Table1[[#This Row],[PW(gm)9]],"ERR")</f>
        <v>0</v>
      </c>
      <c r="AC129" s="168">
        <f>IFERROR(Table1[[#This Row],[B3.Diff]]/Table1[[#This Row],[BaLL.Aud]],"ERR")</f>
        <v>0</v>
      </c>
      <c r="AD129" s="189">
        <f>_xlfn.IFNA(VLOOKUP(Table1[[#This Row],[MTP SKU Code]],'Audit Dimensions'!A:U,16,FALSE),"ARC")</f>
        <v>4930</v>
      </c>
      <c r="AE129" s="165">
        <f>IFERROR(1-Table1[[#This Row],[Gms]]/Table1[[#This Row],[BaLL.Aud]],"ERR")</f>
        <v>1.6227180527383367E-2</v>
      </c>
    </row>
    <row r="130" spans="1:31" ht="14.45" customHeight="1">
      <c r="A130" s="68" t="s">
        <v>175</v>
      </c>
      <c r="B130" s="84" t="s">
        <v>48</v>
      </c>
      <c r="C130" s="190">
        <f>_xlfn.XLOOKUP(Table1[[#This Row],[MTP SKU Code]],'Audit Dimensions'!A:A,'Audit Dimensions'!C:C,0)</f>
        <v>80</v>
      </c>
      <c r="D130" s="190">
        <f>_xlfn.XLOOKUP(Table1[[#This Row],[MTP SKU Code]],'Audit Dimensions'!$A:$A,'Audit Dimensions'!D:D,0)</f>
        <v>43</v>
      </c>
      <c r="E130" s="190">
        <f>_xlfn.XLOOKUP(Table1[[#This Row],[MTP SKU Code]],'Audit Dimensions'!$A:$A,'Audit Dimensions'!E:E,0)</f>
        <v>14</v>
      </c>
      <c r="F130" s="190">
        <v>20700</v>
      </c>
      <c r="G130" s="190">
        <f>_xlfn.XLOOKUP(Table1[[#This Row],[MTP SKU Code]],'Audit Dimensions'!$A:$A,'Audit Dimensions'!G:G,0)</f>
        <v>0</v>
      </c>
      <c r="H130" s="190">
        <f>_xlfn.XLOOKUP(Table1[[#This Row],[MTP SKU Code]],'Audit Dimensions'!$A:$A,'Audit Dimensions'!H:H,0)</f>
        <v>0</v>
      </c>
      <c r="I130" s="190">
        <f>_xlfn.XLOOKUP(Table1[[#This Row],[MTP SKU Code]],'Audit Dimensions'!$A:$A,'Audit Dimensions'!I:I,0)</f>
        <v>0</v>
      </c>
      <c r="J130" s="190">
        <f>_xlfn.XLOOKUP(Table1[[#This Row],[MTP SKU Code]],'Audit Dimensions'!$A:$A,'Audit Dimensions'!J:J,0)</f>
        <v>0</v>
      </c>
      <c r="K130" s="190">
        <f>_xlfn.XLOOKUP(Table1[[#This Row],[MTP SKU Code]],'Audit Dimensions'!$A:$A,'Audit Dimensions'!K:K,0)</f>
        <v>0</v>
      </c>
      <c r="L130" s="190">
        <f>_xlfn.XLOOKUP(Table1[[#This Row],[MTP SKU Code]],'Audit Dimensions'!$A:$A,'Audit Dimensions'!L:L,0)</f>
        <v>0</v>
      </c>
      <c r="M130" s="190">
        <f>_xlfn.XLOOKUP(Table1[[#This Row],[MTP SKU Code]],'Audit Dimensions'!$A:$A,'Audit Dimensions'!M:M,0)</f>
        <v>0</v>
      </c>
      <c r="N130" s="190">
        <f>_xlfn.XLOOKUP(Table1[[#This Row],[MTP SKU Code]],'Audit Dimensions'!$A:$A,'Audit Dimensions'!N:N,0)</f>
        <v>0</v>
      </c>
      <c r="O130" s="118">
        <f>((IFERROR((C130*D130*E130),0)+IFERROR((G130*H130*I130),0)+IFERROR((K130*L130*M130),0))/1000000)*35.32</f>
        <v>1.7010112000000002</v>
      </c>
      <c r="P130" s="125">
        <f>Table1[[#This Row],[Column15]]*$P$2*1000</f>
        <v>10206.067200000001</v>
      </c>
      <c r="Q130" s="87">
        <f>F130+J130+N130</f>
        <v>20700</v>
      </c>
      <c r="R130" s="86">
        <f>MAX(Q130,O130)</f>
        <v>20700</v>
      </c>
      <c r="S130" s="86">
        <f>MAX(R130,P130)</f>
        <v>20700</v>
      </c>
      <c r="T130" s="156" t="str">
        <f>VLOOKUP(A130,'[1]MTP SKUs - Master Data'!$A:$B,2,FALSE)</f>
        <v>Y</v>
      </c>
      <c r="U130" s="162">
        <f>_xlfn.IFNA(VLOOKUP(Table1[[#This Row],[MTP SKU Code]],'Audit Dimensions'!A:N,6,FALSE),"ARC")</f>
        <v>22080</v>
      </c>
      <c r="V130" s="162">
        <f>IFERROR(Table1[[#This Row],[B1.Aud]]-Table1[[#This Row],[PW(gm)]],"ERR")</f>
        <v>1380</v>
      </c>
      <c r="W130" s="165">
        <f>IFERROR(Table1[[#This Row],[B1.Diff]]/Table1[[#This Row],[B1.Aud]],"ERR")</f>
        <v>6.25E-2</v>
      </c>
      <c r="X130" s="162">
        <f>_xlfn.IFNA(VLOOKUP(Table1[[#This Row],[MTP SKU Code]],'Audit Dimensions'!A:N,10,FALSE),"ARC")</f>
        <v>0</v>
      </c>
      <c r="Y130" s="163">
        <f>IFERROR(Table1[[#This Row],[B2.Aud]]-Table1[[#This Row],[PW(gm)5]],"ERR")</f>
        <v>0</v>
      </c>
      <c r="Z130" s="165" t="str">
        <f>IFERROR(Table1[[#This Row],[B2.Diff]]/Table1[[#This Row],[B2.Aud]],"NA")</f>
        <v>NA</v>
      </c>
      <c r="AA130" s="162">
        <f>_xlfn.IFNA(VLOOKUP(Table1[[#This Row],[MTP SKU Code]],'Audit Dimensions'!A:N,14,FALSE),"ARC")</f>
        <v>0</v>
      </c>
      <c r="AB130" s="161">
        <f>IFERROR(Table1[[#This Row],[B3.Aud]]-Table1[[#This Row],[PW(gm)9]],"ERR")</f>
        <v>0</v>
      </c>
      <c r="AC130" s="168">
        <f>IFERROR(Table1[[#This Row],[B3.Diff]]/Table1[[#This Row],[BaLL.Aud]],"ERR")</f>
        <v>0</v>
      </c>
      <c r="AD130" s="189">
        <f>_xlfn.IFNA(VLOOKUP(Table1[[#This Row],[MTP SKU Code]],'Audit Dimensions'!A:U,16,FALSE),"ARC")</f>
        <v>22080</v>
      </c>
      <c r="AE130" s="165">
        <f>IFERROR(1-Table1[[#This Row],[Gms]]/Table1[[#This Row],[BaLL.Aud]],"ERR")</f>
        <v>6.25E-2</v>
      </c>
    </row>
    <row r="131" spans="1:31" ht="14.45" customHeight="1">
      <c r="A131" s="68" t="s">
        <v>176</v>
      </c>
      <c r="B131" s="84" t="s">
        <v>48</v>
      </c>
      <c r="C131" s="190">
        <f>_xlfn.XLOOKUP(Table1[[#This Row],[MTP SKU Code]],'Audit Dimensions'!A:A,'Audit Dimensions'!C:C,0)</f>
        <v>107</v>
      </c>
      <c r="D131" s="190">
        <f>_xlfn.XLOOKUP(Table1[[#This Row],[MTP SKU Code]],'Audit Dimensions'!$A:$A,'Audit Dimensions'!D:D,0)</f>
        <v>34</v>
      </c>
      <c r="E131" s="190">
        <f>_xlfn.XLOOKUP(Table1[[#This Row],[MTP SKU Code]],'Audit Dimensions'!$A:$A,'Audit Dimensions'!E:E,0)</f>
        <v>12</v>
      </c>
      <c r="F131" s="190">
        <v>20450</v>
      </c>
      <c r="G131" s="190">
        <f>_xlfn.XLOOKUP(Table1[[#This Row],[MTP SKU Code]],'Audit Dimensions'!$A:$A,'Audit Dimensions'!G:G,0)</f>
        <v>0</v>
      </c>
      <c r="H131" s="190">
        <f>_xlfn.XLOOKUP(Table1[[#This Row],[MTP SKU Code]],'Audit Dimensions'!$A:$A,'Audit Dimensions'!H:H,0)</f>
        <v>0</v>
      </c>
      <c r="I131" s="190">
        <f>_xlfn.XLOOKUP(Table1[[#This Row],[MTP SKU Code]],'Audit Dimensions'!$A:$A,'Audit Dimensions'!I:I,0)</f>
        <v>0</v>
      </c>
      <c r="J131" s="190">
        <f>_xlfn.XLOOKUP(Table1[[#This Row],[MTP SKU Code]],'Audit Dimensions'!$A:$A,'Audit Dimensions'!J:J,0)</f>
        <v>0</v>
      </c>
      <c r="K131" s="190">
        <f>_xlfn.XLOOKUP(Table1[[#This Row],[MTP SKU Code]],'Audit Dimensions'!$A:$A,'Audit Dimensions'!K:K,0)</f>
        <v>0</v>
      </c>
      <c r="L131" s="190">
        <f>_xlfn.XLOOKUP(Table1[[#This Row],[MTP SKU Code]],'Audit Dimensions'!$A:$A,'Audit Dimensions'!L:L,0)</f>
        <v>0</v>
      </c>
      <c r="M131" s="190">
        <f>_xlfn.XLOOKUP(Table1[[#This Row],[MTP SKU Code]],'Audit Dimensions'!$A:$A,'Audit Dimensions'!M:M,0)</f>
        <v>0</v>
      </c>
      <c r="N131" s="190">
        <f>_xlfn.XLOOKUP(Table1[[#This Row],[MTP SKU Code]],'Audit Dimensions'!$A:$A,'Audit Dimensions'!N:N,0)</f>
        <v>0</v>
      </c>
      <c r="O131" s="118">
        <f>((IFERROR((C131*D131*E131),0)+IFERROR((G131*H131*I131),0)+IFERROR((K131*L131*M131),0))/1000000)*35.32</f>
        <v>1.5419299200000001</v>
      </c>
      <c r="P131" s="125">
        <f>Table1[[#This Row],[Column15]]*$P$2*1000</f>
        <v>9251.5795199999993</v>
      </c>
      <c r="Q131" s="87">
        <f>F131+J131+N131</f>
        <v>20450</v>
      </c>
      <c r="R131" s="86">
        <f>MAX(Q131,O131)</f>
        <v>20450</v>
      </c>
      <c r="S131" s="86">
        <f>MAX(R131,P131)</f>
        <v>20450</v>
      </c>
      <c r="T131" s="156" t="str">
        <f>VLOOKUP(A131,'[1]MTP SKUs - Master Data'!$A:$B,2,FALSE)</f>
        <v>Y</v>
      </c>
      <c r="U131" s="162">
        <f>_xlfn.IFNA(VLOOKUP(Table1[[#This Row],[MTP SKU Code]],'Audit Dimensions'!A:N,6,FALSE),"ARC")</f>
        <v>22200</v>
      </c>
      <c r="V131" s="162">
        <f>IFERROR(Table1[[#This Row],[B1.Aud]]-Table1[[#This Row],[PW(gm)]],"ERR")</f>
        <v>1750</v>
      </c>
      <c r="W131" s="165">
        <f>IFERROR(Table1[[#This Row],[B1.Diff]]/Table1[[#This Row],[B1.Aud]],"ERR")</f>
        <v>7.8828828828828829E-2</v>
      </c>
      <c r="X131" s="162">
        <f>_xlfn.IFNA(VLOOKUP(Table1[[#This Row],[MTP SKU Code]],'Audit Dimensions'!A:N,10,FALSE),"ARC")</f>
        <v>0</v>
      </c>
      <c r="Y131" s="163">
        <f>IFERROR(Table1[[#This Row],[B2.Aud]]-Table1[[#This Row],[PW(gm)5]],"ERR")</f>
        <v>0</v>
      </c>
      <c r="Z131" s="165" t="str">
        <f>IFERROR(Table1[[#This Row],[B2.Diff]]/Table1[[#This Row],[B2.Aud]],"NA")</f>
        <v>NA</v>
      </c>
      <c r="AA131" s="162">
        <f>_xlfn.IFNA(VLOOKUP(Table1[[#This Row],[MTP SKU Code]],'Audit Dimensions'!A:N,14,FALSE),"ARC")</f>
        <v>0</v>
      </c>
      <c r="AB131" s="161">
        <f>IFERROR(Table1[[#This Row],[B3.Aud]]-Table1[[#This Row],[PW(gm)9]],"ERR")</f>
        <v>0</v>
      </c>
      <c r="AC131" s="168">
        <f>IFERROR(Table1[[#This Row],[B3.Diff]]/Table1[[#This Row],[BaLL.Aud]],"ERR")</f>
        <v>0</v>
      </c>
      <c r="AD131" s="189">
        <f>_xlfn.IFNA(VLOOKUP(Table1[[#This Row],[MTP SKU Code]],'Audit Dimensions'!A:U,16,FALSE),"ARC")</f>
        <v>22200</v>
      </c>
      <c r="AE131" s="165">
        <f>IFERROR(1-Table1[[#This Row],[Gms]]/Table1[[#This Row],[BaLL.Aud]],"ERR")</f>
        <v>7.8828828828828801E-2</v>
      </c>
    </row>
    <row r="132" spans="1:31" ht="14.45" hidden="1" customHeight="1">
      <c r="A132" s="68" t="s">
        <v>177</v>
      </c>
      <c r="B132" s="84" t="s">
        <v>48</v>
      </c>
      <c r="C132" s="85">
        <v>159</v>
      </c>
      <c r="D132" s="85">
        <v>30</v>
      </c>
      <c r="E132" s="85">
        <v>10</v>
      </c>
      <c r="F132" s="89">
        <v>24450</v>
      </c>
      <c r="G132" s="85"/>
      <c r="H132" s="85"/>
      <c r="I132" s="85"/>
      <c r="J132" s="85"/>
      <c r="K132" s="85"/>
      <c r="L132" s="85"/>
      <c r="M132" s="85"/>
      <c r="N132" s="85"/>
      <c r="O132" s="118">
        <f>((IFERROR((C132*D132*E132),0)+IFERROR((G132*H132*I132),0)+IFERROR((K132*L132*M132),0))/1000000)*35.32</f>
        <v>1.6847639999999999</v>
      </c>
      <c r="P132" s="125">
        <f>Table1[[#This Row],[Column15]]*$P$2*1000</f>
        <v>10108.584000000001</v>
      </c>
      <c r="Q132" s="87">
        <f>F132+J132+N132</f>
        <v>24450</v>
      </c>
      <c r="R132" s="86">
        <f>MAX(Q132,O132)</f>
        <v>24450</v>
      </c>
      <c r="S132" s="86">
        <f>MAX(R132,P132)</f>
        <v>24450</v>
      </c>
      <c r="T132" s="156" t="str">
        <f>VLOOKUP(A132,'[1]MTP SKUs - Master Data'!$A:$B,2,FALSE)</f>
        <v>DI</v>
      </c>
      <c r="U132" s="162">
        <f>_xlfn.IFNA(VLOOKUP(Table1[[#This Row],[MTP SKU Code]],'Audit Dimensions'!A:N,6,FALSE),"ARC")</f>
        <v>25500</v>
      </c>
      <c r="V132" s="162">
        <f>IFERROR(Table1[[#This Row],[B1.Aud]]-Table1[[#This Row],[PW(gm)]],"ERR")</f>
        <v>1050</v>
      </c>
      <c r="W132" s="165">
        <f>IFERROR(Table1[[#This Row],[B1.Diff]]/Table1[[#This Row],[B1.Aud]],"ERR")</f>
        <v>4.1176470588235294E-2</v>
      </c>
      <c r="X132" s="162">
        <f>_xlfn.IFNA(VLOOKUP(Table1[[#This Row],[MTP SKU Code]],'Audit Dimensions'!A:N,10,FALSE),"ARC")</f>
        <v>0</v>
      </c>
      <c r="Y132" s="163">
        <f>IFERROR(Table1[[#This Row],[B2.Aud]]-Table1[[#This Row],[PW(gm)5]],"ERR")</f>
        <v>0</v>
      </c>
      <c r="Z132" s="165" t="str">
        <f>IFERROR(Table1[[#This Row],[B2.Diff]]/Table1[[#This Row],[B2.Aud]],"NA")</f>
        <v>NA</v>
      </c>
      <c r="AA132" s="162">
        <f>_xlfn.IFNA(VLOOKUP(Table1[[#This Row],[MTP SKU Code]],'Audit Dimensions'!A:N,14,FALSE),"ARC")</f>
        <v>0</v>
      </c>
      <c r="AB132" s="161">
        <f>IFERROR(Table1[[#This Row],[B3.Aud]]-Table1[[#This Row],[PW(gm)9]],"ERR")</f>
        <v>0</v>
      </c>
      <c r="AC132" s="168">
        <f>IFERROR(Table1[[#This Row],[B3.Diff]]/Table1[[#This Row],[BaLL.Aud]],"ERR")</f>
        <v>0</v>
      </c>
      <c r="AD132" s="162">
        <f>_xlfn.IFNA(VLOOKUP(Table1[[#This Row],[MTP SKU Code]],'Audit Dimensions'!A:U,16,FALSE),"ARC")</f>
        <v>25500</v>
      </c>
      <c r="AE132" s="165">
        <f>IFERROR(1-Table1[[#This Row],[Gms]]/Table1[[#This Row],[BaLL.Aud]],"ERR")</f>
        <v>4.1176470588235259E-2</v>
      </c>
    </row>
    <row r="133" spans="1:31" ht="14.45" customHeight="1">
      <c r="A133" s="68" t="s">
        <v>178</v>
      </c>
      <c r="B133" s="84" t="s">
        <v>48</v>
      </c>
      <c r="C133" s="190">
        <f>_xlfn.XLOOKUP(Table1[[#This Row],[MTP SKU Code]],'Audit Dimensions'!A:A,'Audit Dimensions'!C:C,0)</f>
        <v>144</v>
      </c>
      <c r="D133" s="190">
        <f>_xlfn.XLOOKUP(Table1[[#This Row],[MTP SKU Code]],'Audit Dimensions'!$A:$A,'Audit Dimensions'!D:D,0)</f>
        <v>41</v>
      </c>
      <c r="E133" s="190">
        <f>_xlfn.XLOOKUP(Table1[[#This Row],[MTP SKU Code]],'Audit Dimensions'!$A:$A,'Audit Dimensions'!E:E,0)</f>
        <v>10</v>
      </c>
      <c r="F133" s="190">
        <v>28450</v>
      </c>
      <c r="G133" s="190">
        <f>_xlfn.XLOOKUP(Table1[[#This Row],[MTP SKU Code]],'Audit Dimensions'!$A:$A,'Audit Dimensions'!G:G,0)</f>
        <v>0</v>
      </c>
      <c r="H133" s="190">
        <f>_xlfn.XLOOKUP(Table1[[#This Row],[MTP SKU Code]],'Audit Dimensions'!$A:$A,'Audit Dimensions'!H:H,0)</f>
        <v>0</v>
      </c>
      <c r="I133" s="190">
        <f>_xlfn.XLOOKUP(Table1[[#This Row],[MTP SKU Code]],'Audit Dimensions'!$A:$A,'Audit Dimensions'!I:I,0)</f>
        <v>0</v>
      </c>
      <c r="J133" s="190">
        <f>_xlfn.XLOOKUP(Table1[[#This Row],[MTP SKU Code]],'Audit Dimensions'!$A:$A,'Audit Dimensions'!J:J,0)</f>
        <v>0</v>
      </c>
      <c r="K133" s="190">
        <f>_xlfn.XLOOKUP(Table1[[#This Row],[MTP SKU Code]],'Audit Dimensions'!$A:$A,'Audit Dimensions'!K:K,0)</f>
        <v>0</v>
      </c>
      <c r="L133" s="190">
        <f>_xlfn.XLOOKUP(Table1[[#This Row],[MTP SKU Code]],'Audit Dimensions'!$A:$A,'Audit Dimensions'!L:L,0)</f>
        <v>0</v>
      </c>
      <c r="M133" s="190">
        <f>_xlfn.XLOOKUP(Table1[[#This Row],[MTP SKU Code]],'Audit Dimensions'!$A:$A,'Audit Dimensions'!M:M,0)</f>
        <v>0</v>
      </c>
      <c r="N133" s="190">
        <f>_xlfn.XLOOKUP(Table1[[#This Row],[MTP SKU Code]],'Audit Dimensions'!$A:$A,'Audit Dimensions'!N:N,0)</f>
        <v>0</v>
      </c>
      <c r="O133" s="118">
        <f>((IFERROR((C133*D133*E133),0)+IFERROR((G133*H133*I133),0)+IFERROR((K133*L133*M133),0))/1000000)*35.32</f>
        <v>2.0852927999999999</v>
      </c>
      <c r="P133" s="125">
        <f>Table1[[#This Row],[Column15]]*$P$2*1000</f>
        <v>12511.756800000001</v>
      </c>
      <c r="Q133" s="87">
        <f>F133+J133+N133</f>
        <v>28450</v>
      </c>
      <c r="R133" s="86">
        <f>MAX(Q133,O133)</f>
        <v>28450</v>
      </c>
      <c r="S133" s="86">
        <f>MAX(R133,P133)</f>
        <v>28450</v>
      </c>
      <c r="T133" s="156" t="str">
        <f>VLOOKUP(A133,'[1]MTP SKUs - Master Data'!$A:$B,2,FALSE)</f>
        <v>Y</v>
      </c>
      <c r="U133" s="162">
        <f>_xlfn.IFNA(VLOOKUP(Table1[[#This Row],[MTP SKU Code]],'Audit Dimensions'!A:N,6,FALSE),"ARC")</f>
        <v>29940</v>
      </c>
      <c r="V133" s="162">
        <f>IFERROR(Table1[[#This Row],[B1.Aud]]-Table1[[#This Row],[PW(gm)]],"ERR")</f>
        <v>1490</v>
      </c>
      <c r="W133" s="165">
        <f>IFERROR(Table1[[#This Row],[B1.Diff]]/Table1[[#This Row],[B1.Aud]],"ERR")</f>
        <v>4.9766199064796263E-2</v>
      </c>
      <c r="X133" s="162">
        <f>_xlfn.IFNA(VLOOKUP(Table1[[#This Row],[MTP SKU Code]],'Audit Dimensions'!A:N,10,FALSE),"ARC")</f>
        <v>0</v>
      </c>
      <c r="Y133" s="163">
        <f>IFERROR(Table1[[#This Row],[B2.Aud]]-Table1[[#This Row],[PW(gm)5]],"ERR")</f>
        <v>0</v>
      </c>
      <c r="Z133" s="165" t="str">
        <f>IFERROR(Table1[[#This Row],[B2.Diff]]/Table1[[#This Row],[B2.Aud]],"NA")</f>
        <v>NA</v>
      </c>
      <c r="AA133" s="162">
        <f>_xlfn.IFNA(VLOOKUP(Table1[[#This Row],[MTP SKU Code]],'Audit Dimensions'!A:N,14,FALSE),"ARC")</f>
        <v>0</v>
      </c>
      <c r="AB133" s="161">
        <f>IFERROR(Table1[[#This Row],[B3.Aud]]-Table1[[#This Row],[PW(gm)9]],"ERR")</f>
        <v>0</v>
      </c>
      <c r="AC133" s="168">
        <f>IFERROR(Table1[[#This Row],[B3.Diff]]/Table1[[#This Row],[BaLL.Aud]],"ERR")</f>
        <v>0</v>
      </c>
      <c r="AD133" s="189">
        <f>_xlfn.IFNA(VLOOKUP(Table1[[#This Row],[MTP SKU Code]],'Audit Dimensions'!A:U,16,FALSE),"ARC")</f>
        <v>29940</v>
      </c>
      <c r="AE133" s="165">
        <f>IFERROR(1-Table1[[#This Row],[Gms]]/Table1[[#This Row],[BaLL.Aud]],"ERR")</f>
        <v>4.976619906479629E-2</v>
      </c>
    </row>
    <row r="134" spans="1:31" ht="14.45" customHeight="1">
      <c r="A134" s="68" t="s">
        <v>179</v>
      </c>
      <c r="B134" s="84" t="s">
        <v>48</v>
      </c>
      <c r="C134" s="190">
        <f>_xlfn.XLOOKUP(Table1[[#This Row],[MTP SKU Code]],'Audit Dimensions'!A:A,'Audit Dimensions'!C:C,0)</f>
        <v>137</v>
      </c>
      <c r="D134" s="190">
        <f>_xlfn.XLOOKUP(Table1[[#This Row],[MTP SKU Code]],'Audit Dimensions'!$A:$A,'Audit Dimensions'!D:D,0)</f>
        <v>29</v>
      </c>
      <c r="E134" s="190">
        <f>_xlfn.XLOOKUP(Table1[[#This Row],[MTP SKU Code]],'Audit Dimensions'!$A:$A,'Audit Dimensions'!E:E,0)</f>
        <v>8</v>
      </c>
      <c r="F134" s="190">
        <v>15800</v>
      </c>
      <c r="G134" s="190">
        <f>_xlfn.XLOOKUP(Table1[[#This Row],[MTP SKU Code]],'Audit Dimensions'!$A:$A,'Audit Dimensions'!G:G,0)</f>
        <v>0</v>
      </c>
      <c r="H134" s="190">
        <f>_xlfn.XLOOKUP(Table1[[#This Row],[MTP SKU Code]],'Audit Dimensions'!$A:$A,'Audit Dimensions'!H:H,0)</f>
        <v>0</v>
      </c>
      <c r="I134" s="190">
        <f>_xlfn.XLOOKUP(Table1[[#This Row],[MTP SKU Code]],'Audit Dimensions'!$A:$A,'Audit Dimensions'!I:I,0)</f>
        <v>0</v>
      </c>
      <c r="J134" s="190">
        <f>_xlfn.XLOOKUP(Table1[[#This Row],[MTP SKU Code]],'Audit Dimensions'!$A:$A,'Audit Dimensions'!J:J,0)</f>
        <v>0</v>
      </c>
      <c r="K134" s="190">
        <f>_xlfn.XLOOKUP(Table1[[#This Row],[MTP SKU Code]],'Audit Dimensions'!$A:$A,'Audit Dimensions'!K:K,0)</f>
        <v>0</v>
      </c>
      <c r="L134" s="190">
        <f>_xlfn.XLOOKUP(Table1[[#This Row],[MTP SKU Code]],'Audit Dimensions'!$A:$A,'Audit Dimensions'!L:L,0)</f>
        <v>0</v>
      </c>
      <c r="M134" s="190">
        <f>_xlfn.XLOOKUP(Table1[[#This Row],[MTP SKU Code]],'Audit Dimensions'!$A:$A,'Audit Dimensions'!M:M,0)</f>
        <v>0</v>
      </c>
      <c r="N134" s="190">
        <f>_xlfn.XLOOKUP(Table1[[#This Row],[MTP SKU Code]],'Audit Dimensions'!$A:$A,'Audit Dimensions'!N:N,0)</f>
        <v>0</v>
      </c>
      <c r="O134" s="118">
        <f>((IFERROR((C134*D134*E134),0)+IFERROR((G134*H134*I134),0)+IFERROR((K134*L134*M134),0))/1000000)*35.32</f>
        <v>1.1226108800000001</v>
      </c>
      <c r="P134" s="125">
        <f>Table1[[#This Row],[Column15]]*$P$2*1000</f>
        <v>6735.6652800000011</v>
      </c>
      <c r="Q134" s="87">
        <f>F134+J134+N134</f>
        <v>15800</v>
      </c>
      <c r="R134" s="86">
        <f>MAX(Q134,O134)</f>
        <v>15800</v>
      </c>
      <c r="S134" s="86">
        <f>MAX(R134,P134)</f>
        <v>15800</v>
      </c>
      <c r="T134" s="156" t="str">
        <f>VLOOKUP(A134,'[1]MTP SKUs - Master Data'!$A:$B,2,FALSE)</f>
        <v>Y</v>
      </c>
      <c r="U134" s="162">
        <f>_xlfn.IFNA(VLOOKUP(Table1[[#This Row],[MTP SKU Code]],'Audit Dimensions'!A:N,6,FALSE),"ARC")</f>
        <v>16500</v>
      </c>
      <c r="V134" s="162">
        <f>IFERROR(Table1[[#This Row],[B1.Aud]]-Table1[[#This Row],[PW(gm)]],"ERR")</f>
        <v>700</v>
      </c>
      <c r="W134" s="165">
        <f>IFERROR(Table1[[#This Row],[B1.Diff]]/Table1[[#This Row],[B1.Aud]],"ERR")</f>
        <v>4.2424242424242427E-2</v>
      </c>
      <c r="X134" s="162">
        <f>_xlfn.IFNA(VLOOKUP(Table1[[#This Row],[MTP SKU Code]],'Audit Dimensions'!A:N,10,FALSE),"ARC")</f>
        <v>0</v>
      </c>
      <c r="Y134" s="163">
        <f>IFERROR(Table1[[#This Row],[B2.Aud]]-Table1[[#This Row],[PW(gm)5]],"ERR")</f>
        <v>0</v>
      </c>
      <c r="Z134" s="165" t="str">
        <f>IFERROR(Table1[[#This Row],[B2.Diff]]/Table1[[#This Row],[B2.Aud]],"NA")</f>
        <v>NA</v>
      </c>
      <c r="AA134" s="162">
        <f>_xlfn.IFNA(VLOOKUP(Table1[[#This Row],[MTP SKU Code]],'Audit Dimensions'!A:N,14,FALSE),"ARC")</f>
        <v>0</v>
      </c>
      <c r="AB134" s="161">
        <f>IFERROR(Table1[[#This Row],[B3.Aud]]-Table1[[#This Row],[PW(gm)9]],"ERR")</f>
        <v>0</v>
      </c>
      <c r="AC134" s="168">
        <f>IFERROR(Table1[[#This Row],[B3.Diff]]/Table1[[#This Row],[BaLL.Aud]],"ERR")</f>
        <v>0</v>
      </c>
      <c r="AD134" s="189">
        <f>_xlfn.IFNA(VLOOKUP(Table1[[#This Row],[MTP SKU Code]],'Audit Dimensions'!A:U,16,FALSE),"ARC")</f>
        <v>16500</v>
      </c>
      <c r="AE134" s="165">
        <f>IFERROR(1-Table1[[#This Row],[Gms]]/Table1[[#This Row],[BaLL.Aud]],"ERR")</f>
        <v>4.2424242424242475E-2</v>
      </c>
    </row>
    <row r="135" spans="1:31" ht="14.45" hidden="1" customHeight="1">
      <c r="A135" s="91" t="s">
        <v>180</v>
      </c>
      <c r="B135" s="84" t="s">
        <v>48</v>
      </c>
      <c r="C135" s="85">
        <v>26</v>
      </c>
      <c r="D135" s="85">
        <v>25</v>
      </c>
      <c r="E135" s="85">
        <v>5</v>
      </c>
      <c r="F135" s="89">
        <v>800</v>
      </c>
      <c r="G135" s="85"/>
      <c r="H135" s="85"/>
      <c r="I135" s="85"/>
      <c r="J135" s="85"/>
      <c r="K135" s="85"/>
      <c r="L135" s="85"/>
      <c r="M135" s="85"/>
      <c r="N135" s="85"/>
      <c r="O135" s="118">
        <f>((IFERROR((C135*D135*E135),0)+IFERROR((G135*H135*I135),0)+IFERROR((K135*L135*M135),0))/1000000)*35.32</f>
        <v>0.11478999999999999</v>
      </c>
      <c r="P135" s="125">
        <f>Table1[[#This Row],[Column15]]*$P$2*1000</f>
        <v>688.7399999999999</v>
      </c>
      <c r="Q135" s="87">
        <f>F135+J135+N135</f>
        <v>800</v>
      </c>
      <c r="R135" s="86">
        <f>MAX(Q135,O135)</f>
        <v>800</v>
      </c>
      <c r="S135" s="86">
        <f>MAX(R135,P135)</f>
        <v>800</v>
      </c>
      <c r="T135" s="156" t="str">
        <f>VLOOKUP(A135,'[1]MTP SKUs - Master Data'!$A:$B,2,FALSE)</f>
        <v>DI</v>
      </c>
      <c r="U135" s="162">
        <f>_xlfn.IFNA(VLOOKUP(Table1[[#This Row],[MTP SKU Code]],'Audit Dimensions'!A:N,6,FALSE),"ARC")</f>
        <v>840</v>
      </c>
      <c r="V135" s="162">
        <f>IFERROR(Table1[[#This Row],[B1.Aud]]-Table1[[#This Row],[PW(gm)]],"ERR")</f>
        <v>40</v>
      </c>
      <c r="W135" s="165">
        <f>IFERROR(Table1[[#This Row],[B1.Diff]]/Table1[[#This Row],[B1.Aud]],"ERR")</f>
        <v>4.7619047619047616E-2</v>
      </c>
      <c r="X135" s="162">
        <f>_xlfn.IFNA(VLOOKUP(Table1[[#This Row],[MTP SKU Code]],'Audit Dimensions'!A:N,10,FALSE),"ARC")</f>
        <v>0</v>
      </c>
      <c r="Y135" s="163">
        <f>IFERROR(Table1[[#This Row],[B2.Aud]]-Table1[[#This Row],[PW(gm)5]],"ERR")</f>
        <v>0</v>
      </c>
      <c r="Z135" s="165" t="str">
        <f>IFERROR(Table1[[#This Row],[B2.Diff]]/Table1[[#This Row],[B2.Aud]],"NA")</f>
        <v>NA</v>
      </c>
      <c r="AA135" s="162">
        <f>_xlfn.IFNA(VLOOKUP(Table1[[#This Row],[MTP SKU Code]],'Audit Dimensions'!A:N,14,FALSE),"ARC")</f>
        <v>0</v>
      </c>
      <c r="AB135" s="161">
        <f>IFERROR(Table1[[#This Row],[B3.Aud]]-Table1[[#This Row],[PW(gm)9]],"ERR")</f>
        <v>0</v>
      </c>
      <c r="AC135" s="168">
        <f>IFERROR(Table1[[#This Row],[B3.Diff]]/Table1[[#This Row],[BaLL.Aud]],"ERR")</f>
        <v>0</v>
      </c>
      <c r="AD135" s="162">
        <f>_xlfn.IFNA(VLOOKUP(Table1[[#This Row],[MTP SKU Code]],'Audit Dimensions'!A:U,16,FALSE),"ARC")</f>
        <v>840</v>
      </c>
      <c r="AE135" s="165">
        <f>IFERROR(1-Table1[[#This Row],[Gms]]/Table1[[#This Row],[BaLL.Aud]],"ERR")</f>
        <v>4.7619047619047672E-2</v>
      </c>
    </row>
    <row r="136" spans="1:31" ht="14.45" customHeight="1">
      <c r="A136" s="68" t="s">
        <v>181</v>
      </c>
      <c r="B136" s="84" t="s">
        <v>48</v>
      </c>
      <c r="C136" s="190">
        <f>_xlfn.XLOOKUP(Table1[[#This Row],[MTP SKU Code]],'Audit Dimensions'!A:A,'Audit Dimensions'!C:C,0)</f>
        <v>96</v>
      </c>
      <c r="D136" s="190">
        <f>_xlfn.XLOOKUP(Table1[[#This Row],[MTP SKU Code]],'Audit Dimensions'!$A:$A,'Audit Dimensions'!D:D,0)</f>
        <v>36</v>
      </c>
      <c r="E136" s="190">
        <f>_xlfn.XLOOKUP(Table1[[#This Row],[MTP SKU Code]],'Audit Dimensions'!$A:$A,'Audit Dimensions'!E:E,0)</f>
        <v>5</v>
      </c>
      <c r="F136" s="190">
        <v>5800</v>
      </c>
      <c r="G136" s="190">
        <f>_xlfn.XLOOKUP(Table1[[#This Row],[MTP SKU Code]],'Audit Dimensions'!$A:$A,'Audit Dimensions'!G:G,0)</f>
        <v>0</v>
      </c>
      <c r="H136" s="190">
        <f>_xlfn.XLOOKUP(Table1[[#This Row],[MTP SKU Code]],'Audit Dimensions'!$A:$A,'Audit Dimensions'!H:H,0)</f>
        <v>0</v>
      </c>
      <c r="I136" s="190">
        <f>_xlfn.XLOOKUP(Table1[[#This Row],[MTP SKU Code]],'Audit Dimensions'!$A:$A,'Audit Dimensions'!I:I,0)</f>
        <v>0</v>
      </c>
      <c r="J136" s="190">
        <f>_xlfn.XLOOKUP(Table1[[#This Row],[MTP SKU Code]],'Audit Dimensions'!$A:$A,'Audit Dimensions'!J:J,0)</f>
        <v>0</v>
      </c>
      <c r="K136" s="190">
        <f>_xlfn.XLOOKUP(Table1[[#This Row],[MTP SKU Code]],'Audit Dimensions'!$A:$A,'Audit Dimensions'!K:K,0)</f>
        <v>0</v>
      </c>
      <c r="L136" s="190">
        <f>_xlfn.XLOOKUP(Table1[[#This Row],[MTP SKU Code]],'Audit Dimensions'!$A:$A,'Audit Dimensions'!L:L,0)</f>
        <v>0</v>
      </c>
      <c r="M136" s="190">
        <f>_xlfn.XLOOKUP(Table1[[#This Row],[MTP SKU Code]],'Audit Dimensions'!$A:$A,'Audit Dimensions'!M:M,0)</f>
        <v>0</v>
      </c>
      <c r="N136" s="190">
        <f>_xlfn.XLOOKUP(Table1[[#This Row],[MTP SKU Code]],'Audit Dimensions'!$A:$A,'Audit Dimensions'!N:N,0)</f>
        <v>0</v>
      </c>
      <c r="O136" s="118">
        <f>((IFERROR((C136*D136*E136),0)+IFERROR((G136*H136*I136),0)+IFERROR((K136*L136*M136),0))/1000000)*35.32</f>
        <v>0.61032960000000003</v>
      </c>
      <c r="P136" s="125">
        <f>Table1[[#This Row],[Column15]]*$P$2*1000</f>
        <v>3661.9776000000002</v>
      </c>
      <c r="Q136" s="87">
        <f>F136+J136+N136</f>
        <v>5800</v>
      </c>
      <c r="R136" s="86">
        <f>MAX(Q136,O136)</f>
        <v>5800</v>
      </c>
      <c r="S136" s="86">
        <f>MAX(R136,P136)</f>
        <v>5800</v>
      </c>
      <c r="T136" s="156" t="str">
        <f>VLOOKUP(A136,'[1]MTP SKUs - Master Data'!$A:$B,2,FALSE)</f>
        <v>Y</v>
      </c>
      <c r="U136" s="162">
        <f>_xlfn.IFNA(VLOOKUP(Table1[[#This Row],[MTP SKU Code]],'Audit Dimensions'!A:N,6,FALSE),"ARC")</f>
        <v>6400</v>
      </c>
      <c r="V136" s="162">
        <f>IFERROR(Table1[[#This Row],[B1.Aud]]-Table1[[#This Row],[PW(gm)]],"ERR")</f>
        <v>600</v>
      </c>
      <c r="W136" s="165">
        <f>IFERROR(Table1[[#This Row],[B1.Diff]]/Table1[[#This Row],[B1.Aud]],"ERR")</f>
        <v>9.375E-2</v>
      </c>
      <c r="X136" s="162">
        <f>_xlfn.IFNA(VLOOKUP(Table1[[#This Row],[MTP SKU Code]],'Audit Dimensions'!A:N,10,FALSE),"ARC")</f>
        <v>0</v>
      </c>
      <c r="Y136" s="163">
        <f>IFERROR(Table1[[#This Row],[B2.Aud]]-Table1[[#This Row],[PW(gm)5]],"ERR")</f>
        <v>0</v>
      </c>
      <c r="Z136" s="165" t="str">
        <f>IFERROR(Table1[[#This Row],[B2.Diff]]/Table1[[#This Row],[B2.Aud]],"NA")</f>
        <v>NA</v>
      </c>
      <c r="AA136" s="162">
        <f>_xlfn.IFNA(VLOOKUP(Table1[[#This Row],[MTP SKU Code]],'Audit Dimensions'!A:N,14,FALSE),"ARC")</f>
        <v>0</v>
      </c>
      <c r="AB136" s="161">
        <f>IFERROR(Table1[[#This Row],[B3.Aud]]-Table1[[#This Row],[PW(gm)9]],"ERR")</f>
        <v>0</v>
      </c>
      <c r="AC136" s="168">
        <f>IFERROR(Table1[[#This Row],[B3.Diff]]/Table1[[#This Row],[BaLL.Aud]],"ERR")</f>
        <v>0</v>
      </c>
      <c r="AD136" s="189">
        <f>_xlfn.IFNA(VLOOKUP(Table1[[#This Row],[MTP SKU Code]],'Audit Dimensions'!A:U,16,FALSE),"ARC")</f>
        <v>6400</v>
      </c>
      <c r="AE136" s="165">
        <f>IFERROR(1-Table1[[#This Row],[Gms]]/Table1[[#This Row],[BaLL.Aud]],"ERR")</f>
        <v>9.375E-2</v>
      </c>
    </row>
    <row r="137" spans="1:31" hidden="1">
      <c r="A137" s="91" t="s">
        <v>182</v>
      </c>
      <c r="B137" s="84" t="s">
        <v>48</v>
      </c>
      <c r="C137" s="85">
        <v>69</v>
      </c>
      <c r="D137" s="85">
        <v>35</v>
      </c>
      <c r="E137" s="85">
        <v>8</v>
      </c>
      <c r="F137" s="89">
        <v>9890</v>
      </c>
      <c r="G137" s="85"/>
      <c r="H137" s="85"/>
      <c r="I137" s="85"/>
      <c r="J137" s="85"/>
      <c r="K137" s="85"/>
      <c r="L137" s="85"/>
      <c r="M137" s="85"/>
      <c r="N137" s="85"/>
      <c r="O137" s="118">
        <f>((IFERROR((C137*D137*E137),0)+IFERROR((G137*H137*I137),0)+IFERROR((K137*L137*M137),0))/1000000)*35.32</f>
        <v>0.68238240000000006</v>
      </c>
      <c r="P137" s="125">
        <f>Table1[[#This Row],[Column15]]*$P$2*1000</f>
        <v>4094.2944000000007</v>
      </c>
      <c r="Q137" s="87">
        <f>F137+J137+N137</f>
        <v>9890</v>
      </c>
      <c r="R137" s="86">
        <f>MAX(Q137,O137)</f>
        <v>9890</v>
      </c>
      <c r="S137" s="86">
        <f>MAX(R137,P137)</f>
        <v>9890</v>
      </c>
      <c r="T137" s="156" t="str">
        <f>VLOOKUP(A137,'[1]MTP SKUs - Master Data'!$A:$B,2,FALSE)</f>
        <v>DI</v>
      </c>
      <c r="U137" s="162">
        <f>_xlfn.IFNA(VLOOKUP(Table1[[#This Row],[MTP SKU Code]],'Audit Dimensions'!A:N,6,FALSE),"ARC")</f>
        <v>10400</v>
      </c>
      <c r="V137" s="162">
        <f>IFERROR(Table1[[#This Row],[B1.Aud]]-Table1[[#This Row],[PW(gm)]],"ERR")</f>
        <v>510</v>
      </c>
      <c r="W137" s="165">
        <f>IFERROR(Table1[[#This Row],[B1.Diff]]/Table1[[#This Row],[B1.Aud]],"ERR")</f>
        <v>4.9038461538461538E-2</v>
      </c>
      <c r="X137" s="162">
        <f>_xlfn.IFNA(VLOOKUP(Table1[[#This Row],[MTP SKU Code]],'Audit Dimensions'!A:N,10,FALSE),"ARC")</f>
        <v>0</v>
      </c>
      <c r="Y137" s="163">
        <f>IFERROR(Table1[[#This Row],[B2.Aud]]-Table1[[#This Row],[PW(gm)5]],"ERR")</f>
        <v>0</v>
      </c>
      <c r="Z137" s="165" t="str">
        <f>IFERROR(Table1[[#This Row],[B2.Diff]]/Table1[[#This Row],[B2.Aud]],"NA")</f>
        <v>NA</v>
      </c>
      <c r="AA137" s="162">
        <f>_xlfn.IFNA(VLOOKUP(Table1[[#This Row],[MTP SKU Code]],'Audit Dimensions'!A:N,14,FALSE),"ARC")</f>
        <v>0</v>
      </c>
      <c r="AB137" s="161">
        <f>IFERROR(Table1[[#This Row],[B3.Aud]]-Table1[[#This Row],[PW(gm)9]],"ERR")</f>
        <v>0</v>
      </c>
      <c r="AC137" s="168">
        <f>IFERROR(Table1[[#This Row],[B3.Diff]]/Table1[[#This Row],[BaLL.Aud]],"ERR")</f>
        <v>0</v>
      </c>
      <c r="AD137" s="162">
        <f>_xlfn.IFNA(VLOOKUP(Table1[[#This Row],[MTP SKU Code]],'Audit Dimensions'!A:U,16,FALSE),"ARC")</f>
        <v>10400</v>
      </c>
      <c r="AE137" s="165">
        <f>IFERROR(1-Table1[[#This Row],[Gms]]/Table1[[#This Row],[BaLL.Aud]],"ERR")</f>
        <v>4.9038461538461586E-2</v>
      </c>
    </row>
    <row r="138" spans="1:31" ht="12.4" hidden="1" customHeight="1">
      <c r="A138" s="68" t="s">
        <v>183</v>
      </c>
      <c r="B138" s="84" t="s">
        <v>48</v>
      </c>
      <c r="C138" s="85">
        <v>71.5</v>
      </c>
      <c r="D138" s="85">
        <v>16</v>
      </c>
      <c r="E138" s="85">
        <v>6</v>
      </c>
      <c r="F138" s="89">
        <v>2850</v>
      </c>
      <c r="G138" s="85"/>
      <c r="H138" s="85"/>
      <c r="I138" s="85"/>
      <c r="J138" s="85"/>
      <c r="K138" s="85"/>
      <c r="L138" s="85"/>
      <c r="M138" s="85"/>
      <c r="N138" s="85"/>
      <c r="O138" s="118">
        <f>((IFERROR((C138*D138*E138),0)+IFERROR((G138*H138*I138),0)+IFERROR((K138*L138*M138),0))/1000000)*35.32</f>
        <v>0.24243648000000001</v>
      </c>
      <c r="P138" s="125">
        <f>Table1[[#This Row],[Column15]]*$P$2*1000</f>
        <v>1454.61888</v>
      </c>
      <c r="Q138" s="87">
        <f>F138+J138+N138</f>
        <v>2850</v>
      </c>
      <c r="R138" s="86">
        <f>MAX(Q138,O138)</f>
        <v>2850</v>
      </c>
      <c r="S138" s="86">
        <f>MAX(R138,P138)</f>
        <v>2850</v>
      </c>
      <c r="T138" s="156" t="str">
        <f>VLOOKUP(A138,'[1]MTP SKUs - Master Data'!$A:$B,2,FALSE)</f>
        <v>DI</v>
      </c>
      <c r="U138" s="162">
        <f>_xlfn.IFNA(VLOOKUP(Table1[[#This Row],[MTP SKU Code]],'Audit Dimensions'!A:N,6,FALSE),"ARC")</f>
        <v>3000</v>
      </c>
      <c r="V138" s="162">
        <f>IFERROR(Table1[[#This Row],[B1.Aud]]-Table1[[#This Row],[PW(gm)]],"ERR")</f>
        <v>150</v>
      </c>
      <c r="W138" s="165">
        <f>IFERROR(Table1[[#This Row],[B1.Diff]]/Table1[[#This Row],[B1.Aud]],"ERR")</f>
        <v>0.05</v>
      </c>
      <c r="X138" s="162">
        <f>_xlfn.IFNA(VLOOKUP(Table1[[#This Row],[MTP SKU Code]],'Audit Dimensions'!A:N,10,FALSE),"ARC")</f>
        <v>0</v>
      </c>
      <c r="Y138" s="163">
        <f>IFERROR(Table1[[#This Row],[B2.Aud]]-Table1[[#This Row],[PW(gm)5]],"ERR")</f>
        <v>0</v>
      </c>
      <c r="Z138" s="165" t="str">
        <f>IFERROR(Table1[[#This Row],[B2.Diff]]/Table1[[#This Row],[B2.Aud]],"NA")</f>
        <v>NA</v>
      </c>
      <c r="AA138" s="162">
        <f>_xlfn.IFNA(VLOOKUP(Table1[[#This Row],[MTP SKU Code]],'Audit Dimensions'!A:N,14,FALSE),"ARC")</f>
        <v>0</v>
      </c>
      <c r="AB138" s="161">
        <f>IFERROR(Table1[[#This Row],[B3.Aud]]-Table1[[#This Row],[PW(gm)9]],"ERR")</f>
        <v>0</v>
      </c>
      <c r="AC138" s="168">
        <f>IFERROR(Table1[[#This Row],[B3.Diff]]/Table1[[#This Row],[BaLL.Aud]],"ERR")</f>
        <v>0</v>
      </c>
      <c r="AD138" s="162">
        <f>_xlfn.IFNA(VLOOKUP(Table1[[#This Row],[MTP SKU Code]],'Audit Dimensions'!A:U,16,FALSE),"ARC")</f>
        <v>3000</v>
      </c>
      <c r="AE138" s="165">
        <f>IFERROR(1-Table1[[#This Row],[Gms]]/Table1[[#This Row],[BaLL.Aud]],"ERR")</f>
        <v>5.0000000000000044E-2</v>
      </c>
    </row>
    <row r="139" spans="1:31">
      <c r="A139" s="68" t="s">
        <v>184</v>
      </c>
      <c r="B139" s="84" t="s">
        <v>48</v>
      </c>
      <c r="C139" s="190">
        <f>_xlfn.XLOOKUP(Table1[[#This Row],[MTP SKU Code]],'Audit Dimensions'!A:A,'Audit Dimensions'!C:C,0)</f>
        <v>116</v>
      </c>
      <c r="D139" s="190">
        <f>_xlfn.XLOOKUP(Table1[[#This Row],[MTP SKU Code]],'Audit Dimensions'!$A:$A,'Audit Dimensions'!D:D,0)</f>
        <v>62</v>
      </c>
      <c r="E139" s="190">
        <f>_xlfn.XLOOKUP(Table1[[#This Row],[MTP SKU Code]],'Audit Dimensions'!$A:$A,'Audit Dimensions'!E:E,0)</f>
        <v>6</v>
      </c>
      <c r="F139" s="190">
        <v>15800</v>
      </c>
      <c r="G139" s="190">
        <f>_xlfn.XLOOKUP(Table1[[#This Row],[MTP SKU Code]],'Audit Dimensions'!$A:$A,'Audit Dimensions'!G:G,0)</f>
        <v>0</v>
      </c>
      <c r="H139" s="190">
        <f>_xlfn.XLOOKUP(Table1[[#This Row],[MTP SKU Code]],'Audit Dimensions'!$A:$A,'Audit Dimensions'!H:H,0)</f>
        <v>0</v>
      </c>
      <c r="I139" s="190">
        <f>_xlfn.XLOOKUP(Table1[[#This Row],[MTP SKU Code]],'Audit Dimensions'!$A:$A,'Audit Dimensions'!I:I,0)</f>
        <v>0</v>
      </c>
      <c r="J139" s="190">
        <f>_xlfn.XLOOKUP(Table1[[#This Row],[MTP SKU Code]],'Audit Dimensions'!$A:$A,'Audit Dimensions'!J:J,0)</f>
        <v>0</v>
      </c>
      <c r="K139" s="190">
        <f>_xlfn.XLOOKUP(Table1[[#This Row],[MTP SKU Code]],'Audit Dimensions'!$A:$A,'Audit Dimensions'!K:K,0)</f>
        <v>0</v>
      </c>
      <c r="L139" s="190">
        <f>_xlfn.XLOOKUP(Table1[[#This Row],[MTP SKU Code]],'Audit Dimensions'!$A:$A,'Audit Dimensions'!L:L,0)</f>
        <v>0</v>
      </c>
      <c r="M139" s="190">
        <f>_xlfn.XLOOKUP(Table1[[#This Row],[MTP SKU Code]],'Audit Dimensions'!$A:$A,'Audit Dimensions'!M:M,0)</f>
        <v>0</v>
      </c>
      <c r="N139" s="190">
        <f>_xlfn.XLOOKUP(Table1[[#This Row],[MTP SKU Code]],'Audit Dimensions'!$A:$A,'Audit Dimensions'!N:N,0)</f>
        <v>0</v>
      </c>
      <c r="O139" s="118">
        <f>((IFERROR((C139*D139*E139),0)+IFERROR((G139*H139*I139),0)+IFERROR((K139*L139*M139),0))/1000000)*35.32</f>
        <v>1.52412864</v>
      </c>
      <c r="P139" s="125">
        <f>Table1[[#This Row],[Column15]]*$P$2*1000</f>
        <v>9144.7718400000012</v>
      </c>
      <c r="Q139" s="87">
        <f>F139+J139+N139</f>
        <v>15800</v>
      </c>
      <c r="R139" s="86">
        <f>MAX(Q139,O139)</f>
        <v>15800</v>
      </c>
      <c r="S139" s="86">
        <f>MAX(R139,P139)</f>
        <v>15800</v>
      </c>
      <c r="T139" s="156" t="str">
        <f>VLOOKUP(A139,'[1]MTP SKUs - Master Data'!$A:$B,2,FALSE)</f>
        <v>Y</v>
      </c>
      <c r="U139" s="162">
        <f>_xlfn.IFNA(VLOOKUP(Table1[[#This Row],[MTP SKU Code]],'Audit Dimensions'!A:N,6,FALSE),"ARC")</f>
        <v>16520</v>
      </c>
      <c r="V139" s="162">
        <f>IFERROR(Table1[[#This Row],[B1.Aud]]-Table1[[#This Row],[PW(gm)]],"ERR")</f>
        <v>720</v>
      </c>
      <c r="W139" s="165">
        <f>IFERROR(Table1[[#This Row],[B1.Diff]]/Table1[[#This Row],[B1.Aud]],"ERR")</f>
        <v>4.3583535108958835E-2</v>
      </c>
      <c r="X139" s="162">
        <f>_xlfn.IFNA(VLOOKUP(Table1[[#This Row],[MTP SKU Code]],'Audit Dimensions'!A:N,10,FALSE),"ARC")</f>
        <v>0</v>
      </c>
      <c r="Y139" s="163">
        <f>IFERROR(Table1[[#This Row],[B2.Aud]]-Table1[[#This Row],[PW(gm)5]],"ERR")</f>
        <v>0</v>
      </c>
      <c r="Z139" s="165" t="str">
        <f>IFERROR(Table1[[#This Row],[B2.Diff]]/Table1[[#This Row],[B2.Aud]],"NA")</f>
        <v>NA</v>
      </c>
      <c r="AA139" s="162">
        <f>_xlfn.IFNA(VLOOKUP(Table1[[#This Row],[MTP SKU Code]],'Audit Dimensions'!A:N,14,FALSE),"ARC")</f>
        <v>0</v>
      </c>
      <c r="AB139" s="161">
        <f>IFERROR(Table1[[#This Row],[B3.Aud]]-Table1[[#This Row],[PW(gm)9]],"ERR")</f>
        <v>0</v>
      </c>
      <c r="AC139" s="168">
        <f>IFERROR(Table1[[#This Row],[B3.Diff]]/Table1[[#This Row],[BaLL.Aud]],"ERR")</f>
        <v>0</v>
      </c>
      <c r="AD139" s="189">
        <f>_xlfn.IFNA(VLOOKUP(Table1[[#This Row],[MTP SKU Code]],'Audit Dimensions'!A:U,16,FALSE),"ARC")</f>
        <v>16520</v>
      </c>
      <c r="AE139" s="165">
        <f>IFERROR(1-Table1[[#This Row],[Gms]]/Table1[[#This Row],[BaLL.Aud]],"ERR")</f>
        <v>4.3583535108958849E-2</v>
      </c>
    </row>
    <row r="140" spans="1:31">
      <c r="A140" s="68" t="s">
        <v>185</v>
      </c>
      <c r="B140" s="84" t="s">
        <v>48</v>
      </c>
      <c r="C140" s="190">
        <f>_xlfn.XLOOKUP(Table1[[#This Row],[MTP SKU Code]],'Audit Dimensions'!A:A,'Audit Dimensions'!C:C,0)</f>
        <v>84</v>
      </c>
      <c r="D140" s="190">
        <f>_xlfn.XLOOKUP(Table1[[#This Row],[MTP SKU Code]],'Audit Dimensions'!$A:$A,'Audit Dimensions'!D:D,0)</f>
        <v>20</v>
      </c>
      <c r="E140" s="190">
        <f>_xlfn.XLOOKUP(Table1[[#This Row],[MTP SKU Code]],'Audit Dimensions'!$A:$A,'Audit Dimensions'!E:E,0)</f>
        <v>10</v>
      </c>
      <c r="F140" s="190">
        <v>6800</v>
      </c>
      <c r="G140" s="190">
        <f>_xlfn.XLOOKUP(Table1[[#This Row],[MTP SKU Code]],'Audit Dimensions'!$A:$A,'Audit Dimensions'!G:G,0)</f>
        <v>0</v>
      </c>
      <c r="H140" s="190">
        <f>_xlfn.XLOOKUP(Table1[[#This Row],[MTP SKU Code]],'Audit Dimensions'!$A:$A,'Audit Dimensions'!H:H,0)</f>
        <v>0</v>
      </c>
      <c r="I140" s="190">
        <f>_xlfn.XLOOKUP(Table1[[#This Row],[MTP SKU Code]],'Audit Dimensions'!$A:$A,'Audit Dimensions'!I:I,0)</f>
        <v>0</v>
      </c>
      <c r="J140" s="190">
        <f>_xlfn.XLOOKUP(Table1[[#This Row],[MTP SKU Code]],'Audit Dimensions'!$A:$A,'Audit Dimensions'!J:J,0)</f>
        <v>0</v>
      </c>
      <c r="K140" s="190">
        <f>_xlfn.XLOOKUP(Table1[[#This Row],[MTP SKU Code]],'Audit Dimensions'!$A:$A,'Audit Dimensions'!K:K,0)</f>
        <v>0</v>
      </c>
      <c r="L140" s="190">
        <f>_xlfn.XLOOKUP(Table1[[#This Row],[MTP SKU Code]],'Audit Dimensions'!$A:$A,'Audit Dimensions'!L:L,0)</f>
        <v>0</v>
      </c>
      <c r="M140" s="190">
        <f>_xlfn.XLOOKUP(Table1[[#This Row],[MTP SKU Code]],'Audit Dimensions'!$A:$A,'Audit Dimensions'!M:M,0)</f>
        <v>0</v>
      </c>
      <c r="N140" s="190">
        <f>_xlfn.XLOOKUP(Table1[[#This Row],[MTP SKU Code]],'Audit Dimensions'!$A:$A,'Audit Dimensions'!N:N,0)</f>
        <v>0</v>
      </c>
      <c r="O140" s="118">
        <f>((IFERROR((C140*D140*E140),0)+IFERROR((G140*H140*I140),0)+IFERROR((K140*L140*M140),0))/1000000)*35.32</f>
        <v>0.59337600000000001</v>
      </c>
      <c r="P140" s="125">
        <f>Table1[[#This Row],[Column15]]*$P$2*1000</f>
        <v>3560.2559999999999</v>
      </c>
      <c r="Q140" s="87">
        <f>F140+J140+N140</f>
        <v>6800</v>
      </c>
      <c r="R140" s="86">
        <f>MAX(Q140,O140)</f>
        <v>6800</v>
      </c>
      <c r="S140" s="86">
        <f>MAX(R140,P140)</f>
        <v>6800</v>
      </c>
      <c r="T140" s="156" t="str">
        <f>VLOOKUP(A140,'[1]MTP SKUs - Master Data'!$A:$B,2,FALSE)</f>
        <v>Y</v>
      </c>
      <c r="U140" s="162">
        <f>_xlfn.IFNA(VLOOKUP(Table1[[#This Row],[MTP SKU Code]],'Audit Dimensions'!A:N,6,FALSE),"ARC")</f>
        <v>7420</v>
      </c>
      <c r="V140" s="162">
        <f>IFERROR(Table1[[#This Row],[B1.Aud]]-Table1[[#This Row],[PW(gm)]],"ERR")</f>
        <v>620</v>
      </c>
      <c r="W140" s="165">
        <f>IFERROR(Table1[[#This Row],[B1.Diff]]/Table1[[#This Row],[B1.Aud]],"ERR")</f>
        <v>8.3557951482479784E-2</v>
      </c>
      <c r="X140" s="162">
        <f>_xlfn.IFNA(VLOOKUP(Table1[[#This Row],[MTP SKU Code]],'Audit Dimensions'!A:N,10,FALSE),"ARC")</f>
        <v>0</v>
      </c>
      <c r="Y140" s="163">
        <f>IFERROR(Table1[[#This Row],[B2.Aud]]-Table1[[#This Row],[PW(gm)5]],"ERR")</f>
        <v>0</v>
      </c>
      <c r="Z140" s="165" t="str">
        <f>IFERROR(Table1[[#This Row],[B2.Diff]]/Table1[[#This Row],[B2.Aud]],"NA")</f>
        <v>NA</v>
      </c>
      <c r="AA140" s="162">
        <f>_xlfn.IFNA(VLOOKUP(Table1[[#This Row],[MTP SKU Code]],'Audit Dimensions'!A:N,14,FALSE),"ARC")</f>
        <v>0</v>
      </c>
      <c r="AB140" s="161">
        <f>IFERROR(Table1[[#This Row],[B3.Aud]]-Table1[[#This Row],[PW(gm)9]],"ERR")</f>
        <v>0</v>
      </c>
      <c r="AC140" s="168">
        <f>IFERROR(Table1[[#This Row],[B3.Diff]]/Table1[[#This Row],[BaLL.Aud]],"ERR")</f>
        <v>0</v>
      </c>
      <c r="AD140" s="189">
        <f>_xlfn.IFNA(VLOOKUP(Table1[[#This Row],[MTP SKU Code]],'Audit Dimensions'!A:U,16,FALSE),"ARC")</f>
        <v>7420</v>
      </c>
      <c r="AE140" s="165">
        <f>IFERROR(1-Table1[[#This Row],[Gms]]/Table1[[#This Row],[BaLL.Aud]],"ERR")</f>
        <v>8.3557951482479798E-2</v>
      </c>
    </row>
    <row r="141" spans="1:31" hidden="1">
      <c r="A141" s="68" t="s">
        <v>186</v>
      </c>
      <c r="B141" s="84" t="s">
        <v>48</v>
      </c>
      <c r="C141" s="85">
        <v>66</v>
      </c>
      <c r="D141" s="85">
        <v>29</v>
      </c>
      <c r="E141" s="85">
        <v>5</v>
      </c>
      <c r="F141" s="89">
        <v>3310</v>
      </c>
      <c r="G141" s="85"/>
      <c r="H141" s="85"/>
      <c r="I141" s="85"/>
      <c r="J141" s="85"/>
      <c r="K141" s="85"/>
      <c r="L141" s="85"/>
      <c r="M141" s="85"/>
      <c r="N141" s="85"/>
      <c r="O141" s="118">
        <f>((IFERROR((C141*D141*E141),0)+IFERROR((G141*H141*I141),0)+IFERROR((K141*L141*M141),0))/1000000)*35.32</f>
        <v>0.33801239999999999</v>
      </c>
      <c r="P141" s="125">
        <f>Table1[[#This Row],[Column15]]*$P$2*1000</f>
        <v>2028.0744</v>
      </c>
      <c r="Q141" s="87">
        <f>F141+J141+N141</f>
        <v>3310</v>
      </c>
      <c r="R141" s="86">
        <f>MAX(Q141,O141)</f>
        <v>3310</v>
      </c>
      <c r="S141" s="86">
        <f>MAX(R141,P141)</f>
        <v>3310</v>
      </c>
      <c r="T141" s="156" t="str">
        <f>VLOOKUP(A141,'[1]MTP SKUs - Master Data'!$A:$B,2,FALSE)</f>
        <v>DI</v>
      </c>
      <c r="U141" s="162">
        <f>_xlfn.IFNA(VLOOKUP(Table1[[#This Row],[MTP SKU Code]],'Audit Dimensions'!A:N,6,FALSE),"ARC")</f>
        <v>3500</v>
      </c>
      <c r="V141" s="162">
        <f>IFERROR(Table1[[#This Row],[B1.Aud]]-Table1[[#This Row],[PW(gm)]],"ERR")</f>
        <v>190</v>
      </c>
      <c r="W141" s="165">
        <f>IFERROR(Table1[[#This Row],[B1.Diff]]/Table1[[#This Row],[B1.Aud]],"ERR")</f>
        <v>5.4285714285714284E-2</v>
      </c>
      <c r="X141" s="162">
        <f>_xlfn.IFNA(VLOOKUP(Table1[[#This Row],[MTP SKU Code]],'Audit Dimensions'!A:N,10,FALSE),"ARC")</f>
        <v>0</v>
      </c>
      <c r="Y141" s="163">
        <f>IFERROR(Table1[[#This Row],[B2.Aud]]-Table1[[#This Row],[PW(gm)5]],"ERR")</f>
        <v>0</v>
      </c>
      <c r="Z141" s="165" t="str">
        <f>IFERROR(Table1[[#This Row],[B2.Diff]]/Table1[[#This Row],[B2.Aud]],"NA")</f>
        <v>NA</v>
      </c>
      <c r="AA141" s="162">
        <f>_xlfn.IFNA(VLOOKUP(Table1[[#This Row],[MTP SKU Code]],'Audit Dimensions'!A:N,14,FALSE),"ARC")</f>
        <v>0</v>
      </c>
      <c r="AB141" s="161">
        <f>IFERROR(Table1[[#This Row],[B3.Aud]]-Table1[[#This Row],[PW(gm)9]],"ERR")</f>
        <v>0</v>
      </c>
      <c r="AC141" s="168">
        <f>IFERROR(Table1[[#This Row],[B3.Diff]]/Table1[[#This Row],[BaLL.Aud]],"ERR")</f>
        <v>0</v>
      </c>
      <c r="AD141" s="162">
        <f>_xlfn.IFNA(VLOOKUP(Table1[[#This Row],[MTP SKU Code]],'Audit Dimensions'!A:U,16,FALSE),"ARC")</f>
        <v>3500</v>
      </c>
      <c r="AE141" s="165">
        <f>IFERROR(1-Table1[[#This Row],[Gms]]/Table1[[#This Row],[BaLL.Aud]],"ERR")</f>
        <v>5.428571428571427E-2</v>
      </c>
    </row>
    <row r="142" spans="1:31">
      <c r="A142" s="68" t="s">
        <v>187</v>
      </c>
      <c r="B142" s="84" t="s">
        <v>48</v>
      </c>
      <c r="C142" s="190">
        <f>_xlfn.XLOOKUP(Table1[[#This Row],[MTP SKU Code]],'Audit Dimensions'!A:A,'Audit Dimensions'!C:C,0)</f>
        <v>169</v>
      </c>
      <c r="D142" s="190">
        <f>_xlfn.XLOOKUP(Table1[[#This Row],[MTP SKU Code]],'Audit Dimensions'!$A:$A,'Audit Dimensions'!D:D,0)</f>
        <v>36</v>
      </c>
      <c r="E142" s="190">
        <f>_xlfn.XLOOKUP(Table1[[#This Row],[MTP SKU Code]],'Audit Dimensions'!$A:$A,'Audit Dimensions'!E:E,0)</f>
        <v>9</v>
      </c>
      <c r="F142" s="190">
        <v>29500</v>
      </c>
      <c r="G142" s="190">
        <f>_xlfn.XLOOKUP(Table1[[#This Row],[MTP SKU Code]],'Audit Dimensions'!$A:$A,'Audit Dimensions'!G:G,0)</f>
        <v>0</v>
      </c>
      <c r="H142" s="190">
        <f>_xlfn.XLOOKUP(Table1[[#This Row],[MTP SKU Code]],'Audit Dimensions'!$A:$A,'Audit Dimensions'!H:H,0)</f>
        <v>0</v>
      </c>
      <c r="I142" s="190">
        <f>_xlfn.XLOOKUP(Table1[[#This Row],[MTP SKU Code]],'Audit Dimensions'!$A:$A,'Audit Dimensions'!I:I,0)</f>
        <v>0</v>
      </c>
      <c r="J142" s="190">
        <f>_xlfn.XLOOKUP(Table1[[#This Row],[MTP SKU Code]],'Audit Dimensions'!$A:$A,'Audit Dimensions'!J:J,0)</f>
        <v>0</v>
      </c>
      <c r="K142" s="190">
        <f>_xlfn.XLOOKUP(Table1[[#This Row],[MTP SKU Code]],'Audit Dimensions'!$A:$A,'Audit Dimensions'!K:K,0)</f>
        <v>0</v>
      </c>
      <c r="L142" s="190">
        <f>_xlfn.XLOOKUP(Table1[[#This Row],[MTP SKU Code]],'Audit Dimensions'!$A:$A,'Audit Dimensions'!L:L,0)</f>
        <v>0</v>
      </c>
      <c r="M142" s="190">
        <f>_xlfn.XLOOKUP(Table1[[#This Row],[MTP SKU Code]],'Audit Dimensions'!$A:$A,'Audit Dimensions'!M:M,0)</f>
        <v>0</v>
      </c>
      <c r="N142" s="190">
        <f>_xlfn.XLOOKUP(Table1[[#This Row],[MTP SKU Code]],'Audit Dimensions'!$A:$A,'Audit Dimensions'!N:N,0)</f>
        <v>0</v>
      </c>
      <c r="O142" s="118">
        <f>((IFERROR((C142*D142*E142),0)+IFERROR((G142*H142*I142),0)+IFERROR((K142*L142*M142),0))/1000000)*35.32</f>
        <v>1.9339819199999999</v>
      </c>
      <c r="P142" s="125">
        <f>Table1[[#This Row],[Column15]]*$P$2*1000</f>
        <v>11603.891519999999</v>
      </c>
      <c r="Q142" s="87">
        <f>F142+J142+N142</f>
        <v>29500</v>
      </c>
      <c r="R142" s="86">
        <f>MAX(Q142,O142)</f>
        <v>29500</v>
      </c>
      <c r="S142" s="86">
        <f>MAX(R142,P142)</f>
        <v>29500</v>
      </c>
      <c r="T142" s="156" t="str">
        <f>VLOOKUP(A142,'[1]MTP SKUs - Master Data'!$A:$B,2,FALSE)</f>
        <v>Y</v>
      </c>
      <c r="U142" s="162">
        <f>_xlfn.IFNA(VLOOKUP(Table1[[#This Row],[MTP SKU Code]],'Audit Dimensions'!A:N,6,FALSE),"ARC")</f>
        <v>32270</v>
      </c>
      <c r="V142" s="162">
        <f>IFERROR(Table1[[#This Row],[B1.Aud]]-Table1[[#This Row],[PW(gm)]],"ERR")</f>
        <v>2770</v>
      </c>
      <c r="W142" s="165">
        <f>IFERROR(Table1[[#This Row],[B1.Diff]]/Table1[[#This Row],[B1.Aud]],"ERR")</f>
        <v>8.5838239851255035E-2</v>
      </c>
      <c r="X142" s="162">
        <f>_xlfn.IFNA(VLOOKUP(Table1[[#This Row],[MTP SKU Code]],'Audit Dimensions'!A:N,10,FALSE),"ARC")</f>
        <v>0</v>
      </c>
      <c r="Y142" s="163">
        <f>IFERROR(Table1[[#This Row],[B2.Aud]]-Table1[[#This Row],[PW(gm)5]],"ERR")</f>
        <v>0</v>
      </c>
      <c r="Z142" s="165" t="str">
        <f>IFERROR(Table1[[#This Row],[B2.Diff]]/Table1[[#This Row],[B2.Aud]],"NA")</f>
        <v>NA</v>
      </c>
      <c r="AA142" s="162">
        <f>_xlfn.IFNA(VLOOKUP(Table1[[#This Row],[MTP SKU Code]],'Audit Dimensions'!A:N,14,FALSE),"ARC")</f>
        <v>0</v>
      </c>
      <c r="AB142" s="161">
        <f>IFERROR(Table1[[#This Row],[B3.Aud]]-Table1[[#This Row],[PW(gm)9]],"ERR")</f>
        <v>0</v>
      </c>
      <c r="AC142" s="168">
        <f>IFERROR(Table1[[#This Row],[B3.Diff]]/Table1[[#This Row],[BaLL.Aud]],"ERR")</f>
        <v>0</v>
      </c>
      <c r="AD142" s="189">
        <f>_xlfn.IFNA(VLOOKUP(Table1[[#This Row],[MTP SKU Code]],'Audit Dimensions'!A:U,16,FALSE),"ARC")</f>
        <v>32270</v>
      </c>
      <c r="AE142" s="165">
        <f>IFERROR(1-Table1[[#This Row],[Gms]]/Table1[[#This Row],[BaLL.Aud]],"ERR")</f>
        <v>8.5838239851255049E-2</v>
      </c>
    </row>
    <row r="143" spans="1:31">
      <c r="A143" s="68" t="s">
        <v>188</v>
      </c>
      <c r="B143" s="84" t="s">
        <v>48</v>
      </c>
      <c r="C143" s="190">
        <f>_xlfn.XLOOKUP(Table1[[#This Row],[MTP SKU Code]],'Audit Dimensions'!A:A,'Audit Dimensions'!C:C,0)</f>
        <v>132</v>
      </c>
      <c r="D143" s="190">
        <f>_xlfn.XLOOKUP(Table1[[#This Row],[MTP SKU Code]],'Audit Dimensions'!$A:$A,'Audit Dimensions'!D:D,0)</f>
        <v>51</v>
      </c>
      <c r="E143" s="190">
        <f>_xlfn.XLOOKUP(Table1[[#This Row],[MTP SKU Code]],'Audit Dimensions'!$A:$A,'Audit Dimensions'!E:E,0)</f>
        <v>10</v>
      </c>
      <c r="F143" s="190">
        <v>24490</v>
      </c>
      <c r="G143" s="190">
        <f>_xlfn.XLOOKUP(Table1[[#This Row],[MTP SKU Code]],'Audit Dimensions'!$A:$A,'Audit Dimensions'!G:G,0)</f>
        <v>0</v>
      </c>
      <c r="H143" s="190">
        <f>_xlfn.XLOOKUP(Table1[[#This Row],[MTP SKU Code]],'Audit Dimensions'!$A:$A,'Audit Dimensions'!H:H,0)</f>
        <v>0</v>
      </c>
      <c r="I143" s="190">
        <f>_xlfn.XLOOKUP(Table1[[#This Row],[MTP SKU Code]],'Audit Dimensions'!$A:$A,'Audit Dimensions'!I:I,0)</f>
        <v>0</v>
      </c>
      <c r="J143" s="190">
        <f>_xlfn.XLOOKUP(Table1[[#This Row],[MTP SKU Code]],'Audit Dimensions'!$A:$A,'Audit Dimensions'!J:J,0)</f>
        <v>0</v>
      </c>
      <c r="K143" s="190">
        <f>_xlfn.XLOOKUP(Table1[[#This Row],[MTP SKU Code]],'Audit Dimensions'!$A:$A,'Audit Dimensions'!K:K,0)</f>
        <v>0</v>
      </c>
      <c r="L143" s="190">
        <f>_xlfn.XLOOKUP(Table1[[#This Row],[MTP SKU Code]],'Audit Dimensions'!$A:$A,'Audit Dimensions'!L:L,0)</f>
        <v>0</v>
      </c>
      <c r="M143" s="190">
        <f>_xlfn.XLOOKUP(Table1[[#This Row],[MTP SKU Code]],'Audit Dimensions'!$A:$A,'Audit Dimensions'!M:M,0)</f>
        <v>0</v>
      </c>
      <c r="N143" s="190">
        <f>_xlfn.XLOOKUP(Table1[[#This Row],[MTP SKU Code]],'Audit Dimensions'!$A:$A,'Audit Dimensions'!N:N,0)</f>
        <v>0</v>
      </c>
      <c r="O143" s="118">
        <f>((IFERROR((C143*D143*E143),0)+IFERROR((G143*H143*I143),0)+IFERROR((K143*L143*M143),0))/1000000)*35.32</f>
        <v>2.3777424000000003</v>
      </c>
      <c r="P143" s="125">
        <f>Table1[[#This Row],[Column15]]*$P$2*1000</f>
        <v>14266.454400000001</v>
      </c>
      <c r="Q143" s="87">
        <f>F143+J143+N143</f>
        <v>24490</v>
      </c>
      <c r="R143" s="86">
        <f>MAX(Q143,O143)</f>
        <v>24490</v>
      </c>
      <c r="S143" s="86">
        <f>MAX(R143,P143)</f>
        <v>24490</v>
      </c>
      <c r="T143" s="156" t="str">
        <f>VLOOKUP(A143,'[1]MTP SKUs - Master Data'!$A:$B,2,FALSE)</f>
        <v>Y</v>
      </c>
      <c r="U143" s="162">
        <f>_xlfn.IFNA(VLOOKUP(Table1[[#This Row],[MTP SKU Code]],'Audit Dimensions'!A:N,6,FALSE),"ARC")</f>
        <v>26650</v>
      </c>
      <c r="V143" s="162">
        <f>IFERROR(Table1[[#This Row],[B1.Aud]]-Table1[[#This Row],[PW(gm)]],"ERR")</f>
        <v>2160</v>
      </c>
      <c r="W143" s="165">
        <f>IFERROR(Table1[[#This Row],[B1.Diff]]/Table1[[#This Row],[B1.Aud]],"ERR")</f>
        <v>8.1050656660412765E-2</v>
      </c>
      <c r="X143" s="162">
        <f>_xlfn.IFNA(VLOOKUP(Table1[[#This Row],[MTP SKU Code]],'Audit Dimensions'!A:N,10,FALSE),"ARC")</f>
        <v>0</v>
      </c>
      <c r="Y143" s="163">
        <f>IFERROR(Table1[[#This Row],[B2.Aud]]-Table1[[#This Row],[PW(gm)5]],"ERR")</f>
        <v>0</v>
      </c>
      <c r="Z143" s="165" t="str">
        <f>IFERROR(Table1[[#This Row],[B2.Diff]]/Table1[[#This Row],[B2.Aud]],"NA")</f>
        <v>NA</v>
      </c>
      <c r="AA143" s="162">
        <f>_xlfn.IFNA(VLOOKUP(Table1[[#This Row],[MTP SKU Code]],'Audit Dimensions'!A:N,14,FALSE),"ARC")</f>
        <v>0</v>
      </c>
      <c r="AB143" s="161">
        <f>IFERROR(Table1[[#This Row],[B3.Aud]]-Table1[[#This Row],[PW(gm)9]],"ERR")</f>
        <v>0</v>
      </c>
      <c r="AC143" s="168">
        <f>IFERROR(Table1[[#This Row],[B3.Diff]]/Table1[[#This Row],[BaLL.Aud]],"ERR")</f>
        <v>0</v>
      </c>
      <c r="AD143" s="189">
        <f>_xlfn.IFNA(VLOOKUP(Table1[[#This Row],[MTP SKU Code]],'Audit Dimensions'!A:U,16,FALSE),"ARC")</f>
        <v>26650</v>
      </c>
      <c r="AE143" s="165">
        <f>IFERROR(1-Table1[[#This Row],[Gms]]/Table1[[#This Row],[BaLL.Aud]],"ERR")</f>
        <v>8.1050656660412779E-2</v>
      </c>
    </row>
    <row r="144" spans="1:31">
      <c r="A144" s="68" t="s">
        <v>189</v>
      </c>
      <c r="B144" s="84" t="s">
        <v>48</v>
      </c>
      <c r="C144" s="190">
        <f>_xlfn.XLOOKUP(Table1[[#This Row],[MTP SKU Code]],'Audit Dimensions'!A:A,'Audit Dimensions'!C:C,0)</f>
        <v>156</v>
      </c>
      <c r="D144" s="190">
        <f>_xlfn.XLOOKUP(Table1[[#This Row],[MTP SKU Code]],'Audit Dimensions'!$A:$A,'Audit Dimensions'!D:D,0)</f>
        <v>31</v>
      </c>
      <c r="E144" s="190">
        <f>_xlfn.XLOOKUP(Table1[[#This Row],[MTP SKU Code]],'Audit Dimensions'!$A:$A,'Audit Dimensions'!E:E,0)</f>
        <v>10</v>
      </c>
      <c r="F144" s="190">
        <v>22400</v>
      </c>
      <c r="G144" s="190">
        <f>_xlfn.XLOOKUP(Table1[[#This Row],[MTP SKU Code]],'Audit Dimensions'!$A:$A,'Audit Dimensions'!G:G,0)</f>
        <v>0</v>
      </c>
      <c r="H144" s="190">
        <f>_xlfn.XLOOKUP(Table1[[#This Row],[MTP SKU Code]],'Audit Dimensions'!$A:$A,'Audit Dimensions'!H:H,0)</f>
        <v>0</v>
      </c>
      <c r="I144" s="190">
        <f>_xlfn.XLOOKUP(Table1[[#This Row],[MTP SKU Code]],'Audit Dimensions'!$A:$A,'Audit Dimensions'!I:I,0)</f>
        <v>0</v>
      </c>
      <c r="J144" s="190">
        <f>_xlfn.XLOOKUP(Table1[[#This Row],[MTP SKU Code]],'Audit Dimensions'!$A:$A,'Audit Dimensions'!J:J,0)</f>
        <v>0</v>
      </c>
      <c r="K144" s="190">
        <f>_xlfn.XLOOKUP(Table1[[#This Row],[MTP SKU Code]],'Audit Dimensions'!$A:$A,'Audit Dimensions'!K:K,0)</f>
        <v>0</v>
      </c>
      <c r="L144" s="190">
        <f>_xlfn.XLOOKUP(Table1[[#This Row],[MTP SKU Code]],'Audit Dimensions'!$A:$A,'Audit Dimensions'!L:L,0)</f>
        <v>0</v>
      </c>
      <c r="M144" s="190">
        <f>_xlfn.XLOOKUP(Table1[[#This Row],[MTP SKU Code]],'Audit Dimensions'!$A:$A,'Audit Dimensions'!M:M,0)</f>
        <v>0</v>
      </c>
      <c r="N144" s="190">
        <f>_xlfn.XLOOKUP(Table1[[#This Row],[MTP SKU Code]],'Audit Dimensions'!$A:$A,'Audit Dimensions'!N:N,0)</f>
        <v>0</v>
      </c>
      <c r="O144" s="118">
        <f>((IFERROR((C144*D144*E144),0)+IFERROR((G144*H144*I144),0)+IFERROR((K144*L144*M144),0))/1000000)*35.32</f>
        <v>1.7080752000000001</v>
      </c>
      <c r="P144" s="125">
        <f>Table1[[#This Row],[Column15]]*$P$2*1000</f>
        <v>10248.451200000001</v>
      </c>
      <c r="Q144" s="87">
        <f>F144+J144+N144</f>
        <v>22400</v>
      </c>
      <c r="R144" s="88">
        <f>MAX(Q144,O144)</f>
        <v>22400</v>
      </c>
      <c r="S144" s="86">
        <f>MAX(R144,P144)</f>
        <v>22400</v>
      </c>
      <c r="T144" s="156" t="str">
        <f>VLOOKUP(A144,'[1]MTP SKUs - Master Data'!$A:$B,2,FALSE)</f>
        <v>Y</v>
      </c>
      <c r="U144" s="162">
        <f>_xlfn.IFNA(VLOOKUP(Table1[[#This Row],[MTP SKU Code]],'Audit Dimensions'!A:N,6,FALSE),"ARC")</f>
        <v>23340</v>
      </c>
      <c r="V144" s="162">
        <f>IFERROR(Table1[[#This Row],[B1.Aud]]-Table1[[#This Row],[PW(gm)]],"ERR")</f>
        <v>940</v>
      </c>
      <c r="W144" s="165">
        <f>IFERROR(Table1[[#This Row],[B1.Diff]]/Table1[[#This Row],[B1.Aud]],"ERR")</f>
        <v>4.0274207369323051E-2</v>
      </c>
      <c r="X144" s="162">
        <f>_xlfn.IFNA(VLOOKUP(Table1[[#This Row],[MTP SKU Code]],'Audit Dimensions'!A:N,10,FALSE),"ARC")</f>
        <v>0</v>
      </c>
      <c r="Y144" s="163">
        <f>IFERROR(Table1[[#This Row],[B2.Aud]]-Table1[[#This Row],[PW(gm)5]],"ERR")</f>
        <v>0</v>
      </c>
      <c r="Z144" s="165" t="str">
        <f>IFERROR(Table1[[#This Row],[B2.Diff]]/Table1[[#This Row],[B2.Aud]],"NA")</f>
        <v>NA</v>
      </c>
      <c r="AA144" s="162">
        <f>_xlfn.IFNA(VLOOKUP(Table1[[#This Row],[MTP SKU Code]],'Audit Dimensions'!A:N,14,FALSE),"ARC")</f>
        <v>0</v>
      </c>
      <c r="AB144" s="161">
        <f>IFERROR(Table1[[#This Row],[B3.Aud]]-Table1[[#This Row],[PW(gm)9]],"ERR")</f>
        <v>0</v>
      </c>
      <c r="AC144" s="168">
        <f>IFERROR(Table1[[#This Row],[B3.Diff]]/Table1[[#This Row],[BaLL.Aud]],"ERR")</f>
        <v>0</v>
      </c>
      <c r="AD144" s="189">
        <f>_xlfn.IFNA(VLOOKUP(Table1[[#This Row],[MTP SKU Code]],'Audit Dimensions'!A:U,16,FALSE),"ARC")</f>
        <v>23340</v>
      </c>
      <c r="AE144" s="165">
        <f>IFERROR(1-Table1[[#This Row],[Gms]]/Table1[[#This Row],[BaLL.Aud]],"ERR")</f>
        <v>4.0274207369323078E-2</v>
      </c>
    </row>
    <row r="145" spans="1:31" ht="12.95" customHeight="1">
      <c r="A145" s="68" t="s">
        <v>190</v>
      </c>
      <c r="B145" s="84" t="s">
        <v>48</v>
      </c>
      <c r="C145" s="190">
        <f>_xlfn.XLOOKUP(Table1[[#This Row],[MTP SKU Code]],'Audit Dimensions'!A:A,'Audit Dimensions'!C:C,0)</f>
        <v>138</v>
      </c>
      <c r="D145" s="190">
        <f>_xlfn.XLOOKUP(Table1[[#This Row],[MTP SKU Code]],'Audit Dimensions'!$A:$A,'Audit Dimensions'!D:D,0)</f>
        <v>43</v>
      </c>
      <c r="E145" s="190">
        <f>_xlfn.XLOOKUP(Table1[[#This Row],[MTP SKU Code]],'Audit Dimensions'!$A:$A,'Audit Dimensions'!E:E,0)</f>
        <v>7</v>
      </c>
      <c r="F145" s="190">
        <v>15800</v>
      </c>
      <c r="G145" s="190">
        <f>_xlfn.XLOOKUP(Table1[[#This Row],[MTP SKU Code]],'Audit Dimensions'!$A:$A,'Audit Dimensions'!G:G,0)</f>
        <v>0</v>
      </c>
      <c r="H145" s="190">
        <f>_xlfn.XLOOKUP(Table1[[#This Row],[MTP SKU Code]],'Audit Dimensions'!$A:$A,'Audit Dimensions'!H:H,0)</f>
        <v>0</v>
      </c>
      <c r="I145" s="190">
        <f>_xlfn.XLOOKUP(Table1[[#This Row],[MTP SKU Code]],'Audit Dimensions'!$A:$A,'Audit Dimensions'!I:I,0)</f>
        <v>0</v>
      </c>
      <c r="J145" s="190">
        <f>_xlfn.XLOOKUP(Table1[[#This Row],[MTP SKU Code]],'Audit Dimensions'!$A:$A,'Audit Dimensions'!J:J,0)</f>
        <v>0</v>
      </c>
      <c r="K145" s="190">
        <f>_xlfn.XLOOKUP(Table1[[#This Row],[MTP SKU Code]],'Audit Dimensions'!$A:$A,'Audit Dimensions'!K:K,0)</f>
        <v>0</v>
      </c>
      <c r="L145" s="190">
        <f>_xlfn.XLOOKUP(Table1[[#This Row],[MTP SKU Code]],'Audit Dimensions'!$A:$A,'Audit Dimensions'!L:L,0)</f>
        <v>0</v>
      </c>
      <c r="M145" s="190">
        <f>_xlfn.XLOOKUP(Table1[[#This Row],[MTP SKU Code]],'Audit Dimensions'!$A:$A,'Audit Dimensions'!M:M,0)</f>
        <v>0</v>
      </c>
      <c r="N145" s="190">
        <f>_xlfn.XLOOKUP(Table1[[#This Row],[MTP SKU Code]],'Audit Dimensions'!$A:$A,'Audit Dimensions'!N:N,0)</f>
        <v>0</v>
      </c>
      <c r="O145" s="118">
        <f>((IFERROR((C145*D145*E145),0)+IFERROR((G145*H145*I145),0)+IFERROR((K145*L145*M145),0))/1000000)*35.32</f>
        <v>1.46712216</v>
      </c>
      <c r="P145" s="125">
        <f>Table1[[#This Row],[Column15]]*$P$2*1000</f>
        <v>8802.7329599999994</v>
      </c>
      <c r="Q145" s="87">
        <f>F145+J145+N145</f>
        <v>15800</v>
      </c>
      <c r="R145" s="86">
        <f>MAX(Q145,O145)</f>
        <v>15800</v>
      </c>
      <c r="S145" s="86">
        <f>MAX(R145,P145)</f>
        <v>15800</v>
      </c>
      <c r="T145" s="156" t="str">
        <f>VLOOKUP(A145,'[1]MTP SKUs - Master Data'!$A:$B,2,FALSE)</f>
        <v>Y</v>
      </c>
      <c r="U145" s="162">
        <f>_xlfn.IFNA(VLOOKUP(Table1[[#This Row],[MTP SKU Code]],'Audit Dimensions'!A:N,6,FALSE),"ARC")</f>
        <v>16650</v>
      </c>
      <c r="V145" s="162">
        <f>IFERROR(Table1[[#This Row],[B1.Aud]]-Table1[[#This Row],[PW(gm)]],"ERR")</f>
        <v>850</v>
      </c>
      <c r="W145" s="165">
        <f>IFERROR(Table1[[#This Row],[B1.Diff]]/Table1[[#This Row],[B1.Aud]],"ERR")</f>
        <v>5.1051051051051052E-2</v>
      </c>
      <c r="X145" s="162">
        <f>_xlfn.IFNA(VLOOKUP(Table1[[#This Row],[MTP SKU Code]],'Audit Dimensions'!A:N,10,FALSE),"ARC")</f>
        <v>0</v>
      </c>
      <c r="Y145" s="163">
        <f>IFERROR(Table1[[#This Row],[B2.Aud]]-Table1[[#This Row],[PW(gm)5]],"ERR")</f>
        <v>0</v>
      </c>
      <c r="Z145" s="165" t="str">
        <f>IFERROR(Table1[[#This Row],[B2.Diff]]/Table1[[#This Row],[B2.Aud]],"NA")</f>
        <v>NA</v>
      </c>
      <c r="AA145" s="162">
        <f>_xlfn.IFNA(VLOOKUP(Table1[[#This Row],[MTP SKU Code]],'Audit Dimensions'!A:N,14,FALSE),"ARC")</f>
        <v>0</v>
      </c>
      <c r="AB145" s="161">
        <f>IFERROR(Table1[[#This Row],[B3.Aud]]-Table1[[#This Row],[PW(gm)9]],"ERR")</f>
        <v>0</v>
      </c>
      <c r="AC145" s="168">
        <f>IFERROR(Table1[[#This Row],[B3.Diff]]/Table1[[#This Row],[BaLL.Aud]],"ERR")</f>
        <v>0</v>
      </c>
      <c r="AD145" s="189">
        <f>_xlfn.IFNA(VLOOKUP(Table1[[#This Row],[MTP SKU Code]],'Audit Dimensions'!A:U,16,FALSE),"ARC")</f>
        <v>16650</v>
      </c>
      <c r="AE145" s="165">
        <f>IFERROR(1-Table1[[#This Row],[Gms]]/Table1[[#This Row],[BaLL.Aud]],"ERR")</f>
        <v>5.1051051051051011E-2</v>
      </c>
    </row>
    <row r="146" spans="1:31">
      <c r="A146" s="68" t="s">
        <v>191</v>
      </c>
      <c r="B146" s="84" t="s">
        <v>48</v>
      </c>
      <c r="C146" s="190">
        <f>_xlfn.XLOOKUP(Table1[[#This Row],[MTP SKU Code]],'Audit Dimensions'!A:A,'Audit Dimensions'!C:C,0)</f>
        <v>124</v>
      </c>
      <c r="D146" s="190">
        <f>_xlfn.XLOOKUP(Table1[[#This Row],[MTP SKU Code]],'Audit Dimensions'!$A:$A,'Audit Dimensions'!D:D,0)</f>
        <v>41</v>
      </c>
      <c r="E146" s="190">
        <f>_xlfn.XLOOKUP(Table1[[#This Row],[MTP SKU Code]],'Audit Dimensions'!$A:$A,'Audit Dimensions'!E:E,0)</f>
        <v>12</v>
      </c>
      <c r="F146" s="190">
        <v>27750</v>
      </c>
      <c r="G146" s="190">
        <f>_xlfn.XLOOKUP(Table1[[#This Row],[MTP SKU Code]],'Audit Dimensions'!$A:$A,'Audit Dimensions'!G:G,0)</f>
        <v>0</v>
      </c>
      <c r="H146" s="190">
        <f>_xlfn.XLOOKUP(Table1[[#This Row],[MTP SKU Code]],'Audit Dimensions'!$A:$A,'Audit Dimensions'!H:H,0)</f>
        <v>0</v>
      </c>
      <c r="I146" s="190">
        <f>_xlfn.XLOOKUP(Table1[[#This Row],[MTP SKU Code]],'Audit Dimensions'!$A:$A,'Audit Dimensions'!I:I,0)</f>
        <v>0</v>
      </c>
      <c r="J146" s="190">
        <f>_xlfn.XLOOKUP(Table1[[#This Row],[MTP SKU Code]],'Audit Dimensions'!$A:$A,'Audit Dimensions'!J:J,0)</f>
        <v>0</v>
      </c>
      <c r="K146" s="190">
        <f>_xlfn.XLOOKUP(Table1[[#This Row],[MTP SKU Code]],'Audit Dimensions'!$A:$A,'Audit Dimensions'!K:K,0)</f>
        <v>0</v>
      </c>
      <c r="L146" s="190">
        <f>_xlfn.XLOOKUP(Table1[[#This Row],[MTP SKU Code]],'Audit Dimensions'!$A:$A,'Audit Dimensions'!L:L,0)</f>
        <v>0</v>
      </c>
      <c r="M146" s="190">
        <f>_xlfn.XLOOKUP(Table1[[#This Row],[MTP SKU Code]],'Audit Dimensions'!$A:$A,'Audit Dimensions'!M:M,0)</f>
        <v>0</v>
      </c>
      <c r="N146" s="190">
        <f>_xlfn.XLOOKUP(Table1[[#This Row],[MTP SKU Code]],'Audit Dimensions'!$A:$A,'Audit Dimensions'!N:N,0)</f>
        <v>0</v>
      </c>
      <c r="O146" s="118">
        <f>((IFERROR((C146*D146*E146),0)+IFERROR((G146*H146*I146),0)+IFERROR((K146*L146*M146),0))/1000000)*35.32</f>
        <v>2.1548025599999998</v>
      </c>
      <c r="P146" s="125">
        <f>Table1[[#This Row],[Column15]]*$P$2*1000</f>
        <v>12928.815359999999</v>
      </c>
      <c r="Q146" s="87">
        <f>F146+J146+N146</f>
        <v>27750</v>
      </c>
      <c r="R146" s="86">
        <f>MAX(Q146,O146)</f>
        <v>27750</v>
      </c>
      <c r="S146" s="86">
        <f>MAX(R146,P146)</f>
        <v>27750</v>
      </c>
      <c r="T146" s="156" t="str">
        <f>VLOOKUP(A146,'[1]MTP SKUs - Master Data'!$A:$B,2,FALSE)</f>
        <v>Y</v>
      </c>
      <c r="U146" s="162">
        <f>_xlfn.IFNA(VLOOKUP(Table1[[#This Row],[MTP SKU Code]],'Audit Dimensions'!A:N,6,FALSE),"ARC")</f>
        <v>30100</v>
      </c>
      <c r="V146" s="162">
        <f>IFERROR(Table1[[#This Row],[B1.Aud]]-Table1[[#This Row],[PW(gm)]],"ERR")</f>
        <v>2350</v>
      </c>
      <c r="W146" s="165">
        <f>IFERROR(Table1[[#This Row],[B1.Diff]]/Table1[[#This Row],[B1.Aud]],"ERR")</f>
        <v>7.8073089700996676E-2</v>
      </c>
      <c r="X146" s="162">
        <f>_xlfn.IFNA(VLOOKUP(Table1[[#This Row],[MTP SKU Code]],'Audit Dimensions'!A:N,10,FALSE),"ARC")</f>
        <v>0</v>
      </c>
      <c r="Y146" s="163">
        <f>IFERROR(Table1[[#This Row],[B2.Aud]]-Table1[[#This Row],[PW(gm)5]],"ERR")</f>
        <v>0</v>
      </c>
      <c r="Z146" s="165" t="str">
        <f>IFERROR(Table1[[#This Row],[B2.Diff]]/Table1[[#This Row],[B2.Aud]],"NA")</f>
        <v>NA</v>
      </c>
      <c r="AA146" s="162">
        <f>_xlfn.IFNA(VLOOKUP(Table1[[#This Row],[MTP SKU Code]],'Audit Dimensions'!A:N,14,FALSE),"ARC")</f>
        <v>0</v>
      </c>
      <c r="AB146" s="161">
        <f>IFERROR(Table1[[#This Row],[B3.Aud]]-Table1[[#This Row],[PW(gm)9]],"ERR")</f>
        <v>0</v>
      </c>
      <c r="AC146" s="168">
        <f>IFERROR(Table1[[#This Row],[B3.Diff]]/Table1[[#This Row],[BaLL.Aud]],"ERR")</f>
        <v>0</v>
      </c>
      <c r="AD146" s="189">
        <f>_xlfn.IFNA(VLOOKUP(Table1[[#This Row],[MTP SKU Code]],'Audit Dimensions'!A:U,16,FALSE),"ARC")</f>
        <v>30100</v>
      </c>
      <c r="AE146" s="165">
        <f>IFERROR(1-Table1[[#This Row],[Gms]]/Table1[[#This Row],[BaLL.Aud]],"ERR")</f>
        <v>7.807308970099669E-2</v>
      </c>
    </row>
    <row r="147" spans="1:31" ht="14.45" customHeight="1">
      <c r="A147" s="68" t="s">
        <v>192</v>
      </c>
      <c r="B147" s="84" t="s">
        <v>48</v>
      </c>
      <c r="C147" s="190">
        <f>_xlfn.XLOOKUP(Table1[[#This Row],[MTP SKU Code]],'Audit Dimensions'!A:A,'Audit Dimensions'!C:C,0)</f>
        <v>65</v>
      </c>
      <c r="D147" s="190">
        <f>_xlfn.XLOOKUP(Table1[[#This Row],[MTP SKU Code]],'Audit Dimensions'!$A:$A,'Audit Dimensions'!D:D,0)</f>
        <v>26</v>
      </c>
      <c r="E147" s="190">
        <f>_xlfn.XLOOKUP(Table1[[#This Row],[MTP SKU Code]],'Audit Dimensions'!$A:$A,'Audit Dimensions'!E:E,0)</f>
        <v>4</v>
      </c>
      <c r="F147" s="190">
        <v>1890</v>
      </c>
      <c r="G147" s="190">
        <f>_xlfn.XLOOKUP(Table1[[#This Row],[MTP SKU Code]],'Audit Dimensions'!$A:$A,'Audit Dimensions'!G:G,0)</f>
        <v>0</v>
      </c>
      <c r="H147" s="190">
        <f>_xlfn.XLOOKUP(Table1[[#This Row],[MTP SKU Code]],'Audit Dimensions'!$A:$A,'Audit Dimensions'!H:H,0)</f>
        <v>0</v>
      </c>
      <c r="I147" s="190">
        <f>_xlfn.XLOOKUP(Table1[[#This Row],[MTP SKU Code]],'Audit Dimensions'!$A:$A,'Audit Dimensions'!I:I,0)</f>
        <v>0</v>
      </c>
      <c r="J147" s="190">
        <f>_xlfn.XLOOKUP(Table1[[#This Row],[MTP SKU Code]],'Audit Dimensions'!$A:$A,'Audit Dimensions'!J:J,0)</f>
        <v>0</v>
      </c>
      <c r="K147" s="190">
        <f>_xlfn.XLOOKUP(Table1[[#This Row],[MTP SKU Code]],'Audit Dimensions'!$A:$A,'Audit Dimensions'!K:K,0)</f>
        <v>0</v>
      </c>
      <c r="L147" s="190">
        <f>_xlfn.XLOOKUP(Table1[[#This Row],[MTP SKU Code]],'Audit Dimensions'!$A:$A,'Audit Dimensions'!L:L,0)</f>
        <v>0</v>
      </c>
      <c r="M147" s="190">
        <f>_xlfn.XLOOKUP(Table1[[#This Row],[MTP SKU Code]],'Audit Dimensions'!$A:$A,'Audit Dimensions'!M:M,0)</f>
        <v>0</v>
      </c>
      <c r="N147" s="190">
        <f>_xlfn.XLOOKUP(Table1[[#This Row],[MTP SKU Code]],'Audit Dimensions'!$A:$A,'Audit Dimensions'!N:N,0)</f>
        <v>0</v>
      </c>
      <c r="O147" s="118">
        <f>((IFERROR((C147*D147*E147),0)+IFERROR((G147*H147*I147),0)+IFERROR((K147*L147*M147),0))/1000000)*35.32</f>
        <v>0.23876320000000001</v>
      </c>
      <c r="P147" s="125">
        <f>Table1[[#This Row],[Column15]]*$P$2*1000</f>
        <v>1432.5792000000001</v>
      </c>
      <c r="Q147" s="87">
        <f>F147+J147+N147</f>
        <v>1890</v>
      </c>
      <c r="R147" s="86">
        <f>MAX(Q147,O147)</f>
        <v>1890</v>
      </c>
      <c r="S147" s="86">
        <f>MAX(R147,P147)</f>
        <v>1890</v>
      </c>
      <c r="T147" s="156" t="str">
        <f>VLOOKUP(A147,'[1]MTP SKUs - Master Data'!$A:$B,2,FALSE)</f>
        <v>Y</v>
      </c>
      <c r="U147" s="162">
        <f>_xlfn.IFNA(VLOOKUP(Table1[[#This Row],[MTP SKU Code]],'Audit Dimensions'!A:N,6,FALSE),"ARC")</f>
        <v>2127</v>
      </c>
      <c r="V147" s="162">
        <f>IFERROR(Table1[[#This Row],[B1.Aud]]-Table1[[#This Row],[PW(gm)]],"ERR")</f>
        <v>237</v>
      </c>
      <c r="W147" s="165">
        <f>IFERROR(Table1[[#This Row],[B1.Diff]]/Table1[[#This Row],[B1.Aud]],"ERR")</f>
        <v>0.11142454160789844</v>
      </c>
      <c r="X147" s="162">
        <f>_xlfn.IFNA(VLOOKUP(Table1[[#This Row],[MTP SKU Code]],'Audit Dimensions'!A:N,10,FALSE),"ARC")</f>
        <v>0</v>
      </c>
      <c r="Y147" s="163">
        <f>IFERROR(Table1[[#This Row],[B2.Aud]]-Table1[[#This Row],[PW(gm)5]],"ERR")</f>
        <v>0</v>
      </c>
      <c r="Z147" s="165" t="str">
        <f>IFERROR(Table1[[#This Row],[B2.Diff]]/Table1[[#This Row],[B2.Aud]],"NA")</f>
        <v>NA</v>
      </c>
      <c r="AA147" s="162">
        <f>_xlfn.IFNA(VLOOKUP(Table1[[#This Row],[MTP SKU Code]],'Audit Dimensions'!A:N,14,FALSE),"ARC")</f>
        <v>0</v>
      </c>
      <c r="AB147" s="161">
        <f>IFERROR(Table1[[#This Row],[B3.Aud]]-Table1[[#This Row],[PW(gm)9]],"ERR")</f>
        <v>0</v>
      </c>
      <c r="AC147" s="168">
        <f>IFERROR(Table1[[#This Row],[B3.Diff]]/Table1[[#This Row],[BaLL.Aud]],"ERR")</f>
        <v>0</v>
      </c>
      <c r="AD147" s="189">
        <f>_xlfn.IFNA(VLOOKUP(Table1[[#This Row],[MTP SKU Code]],'Audit Dimensions'!A:U,16,FALSE),"ARC")</f>
        <v>2127</v>
      </c>
      <c r="AE147" s="165">
        <f>IFERROR(1-Table1[[#This Row],[Gms]]/Table1[[#This Row],[BaLL.Aud]],"ERR")</f>
        <v>0.1114245416078985</v>
      </c>
    </row>
    <row r="148" spans="1:31" ht="12.75" customHeight="1">
      <c r="A148" s="68" t="s">
        <v>193</v>
      </c>
      <c r="B148" s="84" t="s">
        <v>48</v>
      </c>
      <c r="C148" s="190">
        <f>_xlfn.XLOOKUP(Table1[[#This Row],[MTP SKU Code]],'Audit Dimensions'!A:A,'Audit Dimensions'!C:C,0)</f>
        <v>98</v>
      </c>
      <c r="D148" s="190">
        <f>_xlfn.XLOOKUP(Table1[[#This Row],[MTP SKU Code]],'Audit Dimensions'!$A:$A,'Audit Dimensions'!D:D,0)</f>
        <v>29</v>
      </c>
      <c r="E148" s="190">
        <f>_xlfn.XLOOKUP(Table1[[#This Row],[MTP SKU Code]],'Audit Dimensions'!$A:$A,'Audit Dimensions'!E:E,0)</f>
        <v>12</v>
      </c>
      <c r="F148" s="190">
        <v>15800</v>
      </c>
      <c r="G148" s="190">
        <f>_xlfn.XLOOKUP(Table1[[#This Row],[MTP SKU Code]],'Audit Dimensions'!$A:$A,'Audit Dimensions'!G:G,0)</f>
        <v>0</v>
      </c>
      <c r="H148" s="190">
        <f>_xlfn.XLOOKUP(Table1[[#This Row],[MTP SKU Code]],'Audit Dimensions'!$A:$A,'Audit Dimensions'!H:H,0)</f>
        <v>0</v>
      </c>
      <c r="I148" s="190">
        <f>_xlfn.XLOOKUP(Table1[[#This Row],[MTP SKU Code]],'Audit Dimensions'!$A:$A,'Audit Dimensions'!I:I,0)</f>
        <v>0</v>
      </c>
      <c r="J148" s="190">
        <f>_xlfn.XLOOKUP(Table1[[#This Row],[MTP SKU Code]],'Audit Dimensions'!$A:$A,'Audit Dimensions'!J:J,0)</f>
        <v>0</v>
      </c>
      <c r="K148" s="190">
        <f>_xlfn.XLOOKUP(Table1[[#This Row],[MTP SKU Code]],'Audit Dimensions'!$A:$A,'Audit Dimensions'!K:K,0)</f>
        <v>0</v>
      </c>
      <c r="L148" s="190">
        <f>_xlfn.XLOOKUP(Table1[[#This Row],[MTP SKU Code]],'Audit Dimensions'!$A:$A,'Audit Dimensions'!L:L,0)</f>
        <v>0</v>
      </c>
      <c r="M148" s="190">
        <f>_xlfn.XLOOKUP(Table1[[#This Row],[MTP SKU Code]],'Audit Dimensions'!$A:$A,'Audit Dimensions'!M:M,0)</f>
        <v>0</v>
      </c>
      <c r="N148" s="190">
        <f>_xlfn.XLOOKUP(Table1[[#This Row],[MTP SKU Code]],'Audit Dimensions'!$A:$A,'Audit Dimensions'!N:N,0)</f>
        <v>0</v>
      </c>
      <c r="O148" s="118">
        <f>((IFERROR((C148*D148*E148),0)+IFERROR((G148*H148*I148),0)+IFERROR((K148*L148*M148),0))/1000000)*35.32</f>
        <v>1.2045532800000001</v>
      </c>
      <c r="P148" s="125">
        <f>Table1[[#This Row],[Column15]]*$P$2*1000</f>
        <v>7227.3196800000005</v>
      </c>
      <c r="Q148" s="87">
        <f>F148+J148+N148</f>
        <v>15800</v>
      </c>
      <c r="R148" s="86">
        <f>MAX(Q148,O148)</f>
        <v>15800</v>
      </c>
      <c r="S148" s="86">
        <f>MAX(R148,P148)</f>
        <v>15800</v>
      </c>
      <c r="T148" s="156" t="str">
        <f>VLOOKUP(A148,'[1]MTP SKUs - Master Data'!$A:$B,2,FALSE)</f>
        <v>Y</v>
      </c>
      <c r="U148" s="162">
        <f>_xlfn.IFNA(VLOOKUP(Table1[[#This Row],[MTP SKU Code]],'Audit Dimensions'!A:N,6,FALSE),"ARC")</f>
        <v>16680</v>
      </c>
      <c r="V148" s="162">
        <f>IFERROR(Table1[[#This Row],[B1.Aud]]-Table1[[#This Row],[PW(gm)]],"ERR")</f>
        <v>880</v>
      </c>
      <c r="W148" s="165">
        <f>IFERROR(Table1[[#This Row],[B1.Diff]]/Table1[[#This Row],[B1.Aud]],"ERR")</f>
        <v>5.2757793764988008E-2</v>
      </c>
      <c r="X148" s="162">
        <f>_xlfn.IFNA(VLOOKUP(Table1[[#This Row],[MTP SKU Code]],'Audit Dimensions'!A:N,10,FALSE),"ARC")</f>
        <v>0</v>
      </c>
      <c r="Y148" s="163">
        <f>IFERROR(Table1[[#This Row],[B2.Aud]]-Table1[[#This Row],[PW(gm)5]],"ERR")</f>
        <v>0</v>
      </c>
      <c r="Z148" s="165" t="str">
        <f>IFERROR(Table1[[#This Row],[B2.Diff]]/Table1[[#This Row],[B2.Aud]],"NA")</f>
        <v>NA</v>
      </c>
      <c r="AA148" s="162">
        <f>_xlfn.IFNA(VLOOKUP(Table1[[#This Row],[MTP SKU Code]],'Audit Dimensions'!A:N,14,FALSE),"ARC")</f>
        <v>0</v>
      </c>
      <c r="AB148" s="161">
        <f>IFERROR(Table1[[#This Row],[B3.Aud]]-Table1[[#This Row],[PW(gm)9]],"ERR")</f>
        <v>0</v>
      </c>
      <c r="AC148" s="168">
        <f>IFERROR(Table1[[#This Row],[B3.Diff]]/Table1[[#This Row],[BaLL.Aud]],"ERR")</f>
        <v>0</v>
      </c>
      <c r="AD148" s="189">
        <f>_xlfn.IFNA(VLOOKUP(Table1[[#This Row],[MTP SKU Code]],'Audit Dimensions'!A:U,16,FALSE),"ARC")</f>
        <v>16680</v>
      </c>
      <c r="AE148" s="165">
        <f>IFERROR(1-Table1[[#This Row],[Gms]]/Table1[[#This Row],[BaLL.Aud]],"ERR")</f>
        <v>5.2757793764988015E-2</v>
      </c>
    </row>
    <row r="149" spans="1:31" ht="14.45" customHeight="1">
      <c r="A149" s="68" t="s">
        <v>194</v>
      </c>
      <c r="B149" s="84" t="s">
        <v>48</v>
      </c>
      <c r="C149" s="190">
        <f>_xlfn.XLOOKUP(Table1[[#This Row],[MTP SKU Code]],'Audit Dimensions'!A:A,'Audit Dimensions'!C:C,0)</f>
        <v>86</v>
      </c>
      <c r="D149" s="190">
        <f>_xlfn.XLOOKUP(Table1[[#This Row],[MTP SKU Code]],'Audit Dimensions'!$A:$A,'Audit Dimensions'!D:D,0)</f>
        <v>54</v>
      </c>
      <c r="E149" s="190">
        <f>_xlfn.XLOOKUP(Table1[[#This Row],[MTP SKU Code]],'Audit Dimensions'!$A:$A,'Audit Dimensions'!E:E,0)</f>
        <v>10</v>
      </c>
      <c r="F149" s="190">
        <v>24500</v>
      </c>
      <c r="G149" s="190">
        <f>_xlfn.XLOOKUP(Table1[[#This Row],[MTP SKU Code]],'Audit Dimensions'!$A:$A,'Audit Dimensions'!G:G,0)</f>
        <v>0</v>
      </c>
      <c r="H149" s="190">
        <f>_xlfn.XLOOKUP(Table1[[#This Row],[MTP SKU Code]],'Audit Dimensions'!$A:$A,'Audit Dimensions'!H:H,0)</f>
        <v>0</v>
      </c>
      <c r="I149" s="190">
        <f>_xlfn.XLOOKUP(Table1[[#This Row],[MTP SKU Code]],'Audit Dimensions'!$A:$A,'Audit Dimensions'!I:I,0)</f>
        <v>0</v>
      </c>
      <c r="J149" s="190">
        <f>_xlfn.XLOOKUP(Table1[[#This Row],[MTP SKU Code]],'Audit Dimensions'!$A:$A,'Audit Dimensions'!J:J,0)</f>
        <v>0</v>
      </c>
      <c r="K149" s="190">
        <f>_xlfn.XLOOKUP(Table1[[#This Row],[MTP SKU Code]],'Audit Dimensions'!$A:$A,'Audit Dimensions'!K:K,0)</f>
        <v>0</v>
      </c>
      <c r="L149" s="190">
        <f>_xlfn.XLOOKUP(Table1[[#This Row],[MTP SKU Code]],'Audit Dimensions'!$A:$A,'Audit Dimensions'!L:L,0)</f>
        <v>0</v>
      </c>
      <c r="M149" s="190">
        <f>_xlfn.XLOOKUP(Table1[[#This Row],[MTP SKU Code]],'Audit Dimensions'!$A:$A,'Audit Dimensions'!M:M,0)</f>
        <v>0</v>
      </c>
      <c r="N149" s="190">
        <f>_xlfn.XLOOKUP(Table1[[#This Row],[MTP SKU Code]],'Audit Dimensions'!$A:$A,'Audit Dimensions'!N:N,0)</f>
        <v>0</v>
      </c>
      <c r="O149" s="118">
        <f>((IFERROR((C149*D149*E149),0)+IFERROR((G149*H149*I149),0)+IFERROR((K149*L149*M149),0))/1000000)*35.32</f>
        <v>1.6402608000000001</v>
      </c>
      <c r="P149" s="125">
        <f>Table1[[#This Row],[Column15]]*$P$2*1000</f>
        <v>9841.5648000000001</v>
      </c>
      <c r="Q149" s="87">
        <f>F149+J149+N149</f>
        <v>24500</v>
      </c>
      <c r="R149" s="86">
        <f>MAX(Q149,O149)</f>
        <v>24500</v>
      </c>
      <c r="S149" s="86">
        <f>MAX(R149,P149)</f>
        <v>24500</v>
      </c>
      <c r="T149" s="156" t="str">
        <f>VLOOKUP(A149,'[1]MTP SKUs - Master Data'!$A:$B,2,FALSE)</f>
        <v>Y</v>
      </c>
      <c r="U149" s="162">
        <f>_xlfn.IFNA(VLOOKUP(Table1[[#This Row],[MTP SKU Code]],'Audit Dimensions'!A:N,6,FALSE),"ARC")</f>
        <v>26300</v>
      </c>
      <c r="V149" s="162">
        <f>IFERROR(Table1[[#This Row],[B1.Aud]]-Table1[[#This Row],[PW(gm)]],"ERR")</f>
        <v>1800</v>
      </c>
      <c r="W149" s="165">
        <f>IFERROR(Table1[[#This Row],[B1.Diff]]/Table1[[#This Row],[B1.Aud]],"ERR")</f>
        <v>6.8441064638783272E-2</v>
      </c>
      <c r="X149" s="162">
        <f>_xlfn.IFNA(VLOOKUP(Table1[[#This Row],[MTP SKU Code]],'Audit Dimensions'!A:N,10,FALSE),"ARC")</f>
        <v>0</v>
      </c>
      <c r="Y149" s="163">
        <f>IFERROR(Table1[[#This Row],[B2.Aud]]-Table1[[#This Row],[PW(gm)5]],"ERR")</f>
        <v>0</v>
      </c>
      <c r="Z149" s="165" t="str">
        <f>IFERROR(Table1[[#This Row],[B2.Diff]]/Table1[[#This Row],[B2.Aud]],"NA")</f>
        <v>NA</v>
      </c>
      <c r="AA149" s="162">
        <f>_xlfn.IFNA(VLOOKUP(Table1[[#This Row],[MTP SKU Code]],'Audit Dimensions'!A:N,14,FALSE),"ARC")</f>
        <v>0</v>
      </c>
      <c r="AB149" s="161">
        <f>IFERROR(Table1[[#This Row],[B3.Aud]]-Table1[[#This Row],[PW(gm)9]],"ERR")</f>
        <v>0</v>
      </c>
      <c r="AC149" s="168">
        <f>IFERROR(Table1[[#This Row],[B3.Diff]]/Table1[[#This Row],[BaLL.Aud]],"ERR")</f>
        <v>0</v>
      </c>
      <c r="AD149" s="189">
        <f>_xlfn.IFNA(VLOOKUP(Table1[[#This Row],[MTP SKU Code]],'Audit Dimensions'!A:U,16,FALSE),"ARC")</f>
        <v>26300</v>
      </c>
      <c r="AE149" s="165">
        <f>IFERROR(1-Table1[[#This Row],[Gms]]/Table1[[#This Row],[BaLL.Aud]],"ERR")</f>
        <v>6.84410646387833E-2</v>
      </c>
    </row>
    <row r="150" spans="1:31">
      <c r="A150" s="68" t="s">
        <v>195</v>
      </c>
      <c r="B150" s="84" t="s">
        <v>74</v>
      </c>
      <c r="C150" s="190">
        <f>_xlfn.XLOOKUP(Table1[[#This Row],[MTP SKU Code]],'Audit Dimensions'!A:A,'Audit Dimensions'!C:C,0)</f>
        <v>229</v>
      </c>
      <c r="D150" s="190">
        <f>_xlfn.XLOOKUP(Table1[[#This Row],[MTP SKU Code]],'Audit Dimensions'!$A:$A,'Audit Dimensions'!D:D,0)</f>
        <v>44</v>
      </c>
      <c r="E150" s="190">
        <f>_xlfn.XLOOKUP(Table1[[#This Row],[MTP SKU Code]],'Audit Dimensions'!$A:$A,'Audit Dimensions'!E:E,0)</f>
        <v>9</v>
      </c>
      <c r="F150" s="190">
        <v>46000</v>
      </c>
      <c r="G150" s="190">
        <f>_xlfn.XLOOKUP(Table1[[#This Row],[MTP SKU Code]],'Audit Dimensions'!$A:$A,'Audit Dimensions'!G:G,0)</f>
        <v>147</v>
      </c>
      <c r="H150" s="190">
        <f>_xlfn.XLOOKUP(Table1[[#This Row],[MTP SKU Code]],'Audit Dimensions'!$A:$A,'Audit Dimensions'!H:H,0)</f>
        <v>27</v>
      </c>
      <c r="I150" s="190">
        <f>_xlfn.XLOOKUP(Table1[[#This Row],[MTP SKU Code]],'Audit Dimensions'!$A:$A,'Audit Dimensions'!I:I,0)</f>
        <v>10</v>
      </c>
      <c r="J150" s="190">
        <v>19500</v>
      </c>
      <c r="K150" s="190">
        <f>_xlfn.XLOOKUP(Table1[[#This Row],[MTP SKU Code]],'Audit Dimensions'!$A:$A,'Audit Dimensions'!K:K,0)</f>
        <v>157</v>
      </c>
      <c r="L150" s="190">
        <f>_xlfn.XLOOKUP(Table1[[#This Row],[MTP SKU Code]],'Audit Dimensions'!$A:$A,'Audit Dimensions'!L:L,0)</f>
        <v>27</v>
      </c>
      <c r="M150" s="190">
        <f>_xlfn.XLOOKUP(Table1[[#This Row],[MTP SKU Code]],'Audit Dimensions'!$A:$A,'Audit Dimensions'!M:M,0)</f>
        <v>8</v>
      </c>
      <c r="N150" s="190">
        <v>16000</v>
      </c>
      <c r="O150" s="118">
        <f>((IFERROR((C150*D150*E150),0)+IFERROR((G150*H150*I150),0)+IFERROR((K150*L150*M150),0))/1000000)*35.32</f>
        <v>5.8025815199999995</v>
      </c>
      <c r="P150" s="125">
        <f>Table1[[#This Row],[Column15]]*$P$2*1000</f>
        <v>34815.489119999998</v>
      </c>
      <c r="Q150" s="87">
        <f>F150+J150+N150</f>
        <v>81500</v>
      </c>
      <c r="R150" s="86">
        <f>MAX(Q150,O150)</f>
        <v>81500</v>
      </c>
      <c r="S150" s="86">
        <f>MAX(R150,P150)</f>
        <v>81500</v>
      </c>
      <c r="T150" s="156" t="str">
        <f>VLOOKUP(A150,'[1]MTP SKUs - Master Data'!$A:$B,2,FALSE)</f>
        <v>Y</v>
      </c>
      <c r="U150" s="162">
        <f>_xlfn.IFNA(VLOOKUP(Table1[[#This Row],[MTP SKU Code]],'Audit Dimensions'!A:N,6,FALSE),"ARC")</f>
        <v>47910</v>
      </c>
      <c r="V150" s="162">
        <f>IFERROR(Table1[[#This Row],[B1.Aud]]-Table1[[#This Row],[PW(gm)]],"ERR")</f>
        <v>1910</v>
      </c>
      <c r="W150" s="165">
        <f>IFERROR(Table1[[#This Row],[B1.Diff]]/Table1[[#This Row],[B1.Aud]],"ERR")</f>
        <v>3.9866416197036111E-2</v>
      </c>
      <c r="X150" s="162">
        <f>_xlfn.IFNA(VLOOKUP(Table1[[#This Row],[MTP SKU Code]],'Audit Dimensions'!A:N,10,FALSE),"ARC")</f>
        <v>21820</v>
      </c>
      <c r="Y150" s="163">
        <f>IFERROR(Table1[[#This Row],[B2.Aud]]-Table1[[#This Row],[PW(gm)5]],"ERR")</f>
        <v>2320</v>
      </c>
      <c r="Z150" s="165">
        <f>IFERROR(Table1[[#This Row],[B2.Diff]]/Table1[[#This Row],[B2.Aud]],"NA")</f>
        <v>0.10632447296058661</v>
      </c>
      <c r="AA150" s="162">
        <f>_xlfn.IFNA(VLOOKUP(Table1[[#This Row],[MTP SKU Code]],'Audit Dimensions'!A:N,14,FALSE),"ARC")</f>
        <v>17080</v>
      </c>
      <c r="AB150" s="161">
        <f>IFERROR(Table1[[#This Row],[B3.Aud]]-Table1[[#This Row],[PW(gm)9]],"ERR")</f>
        <v>1080</v>
      </c>
      <c r="AC150" s="168">
        <f>IFERROR(Table1[[#This Row],[B3.Diff]]/Table1[[#This Row],[BaLL.Aud]],"ERR")</f>
        <v>1.2440963022693237E-2</v>
      </c>
      <c r="AD150" s="189">
        <f>_xlfn.IFNA(VLOOKUP(Table1[[#This Row],[MTP SKU Code]],'Audit Dimensions'!A:U,16,FALSE),"ARC")</f>
        <v>86810</v>
      </c>
      <c r="AE150" s="165">
        <f>IFERROR(1-Table1[[#This Row],[Gms]]/Table1[[#This Row],[BaLL.Aud]],"ERR")</f>
        <v>6.1168068194908387E-2</v>
      </c>
    </row>
    <row r="151" spans="1:31" ht="14.45" customHeight="1">
      <c r="A151" s="68" t="s">
        <v>196</v>
      </c>
      <c r="B151" s="84" t="s">
        <v>48</v>
      </c>
      <c r="C151" s="190">
        <f>_xlfn.XLOOKUP(Table1[[#This Row],[MTP SKU Code]],'Audit Dimensions'!A:A,'Audit Dimensions'!C:C,0)</f>
        <v>165</v>
      </c>
      <c r="D151" s="190">
        <f>_xlfn.XLOOKUP(Table1[[#This Row],[MTP SKU Code]],'Audit Dimensions'!$A:$A,'Audit Dimensions'!D:D,0)</f>
        <v>34</v>
      </c>
      <c r="E151" s="190">
        <f>_xlfn.XLOOKUP(Table1[[#This Row],[MTP SKU Code]],'Audit Dimensions'!$A:$A,'Audit Dimensions'!E:E,0)</f>
        <v>10</v>
      </c>
      <c r="F151" s="190">
        <v>24400</v>
      </c>
      <c r="G151" s="190">
        <f>_xlfn.XLOOKUP(Table1[[#This Row],[MTP SKU Code]],'Audit Dimensions'!$A:$A,'Audit Dimensions'!G:G,0)</f>
        <v>0</v>
      </c>
      <c r="H151" s="190">
        <f>_xlfn.XLOOKUP(Table1[[#This Row],[MTP SKU Code]],'Audit Dimensions'!$A:$A,'Audit Dimensions'!H:H,0)</f>
        <v>0</v>
      </c>
      <c r="I151" s="190">
        <f>_xlfn.XLOOKUP(Table1[[#This Row],[MTP SKU Code]],'Audit Dimensions'!$A:$A,'Audit Dimensions'!I:I,0)</f>
        <v>0</v>
      </c>
      <c r="J151" s="190">
        <f>_xlfn.XLOOKUP(Table1[[#This Row],[MTP SKU Code]],'Audit Dimensions'!$A:$A,'Audit Dimensions'!J:J,0)</f>
        <v>0</v>
      </c>
      <c r="K151" s="190">
        <f>_xlfn.XLOOKUP(Table1[[#This Row],[MTP SKU Code]],'Audit Dimensions'!$A:$A,'Audit Dimensions'!K:K,0)</f>
        <v>0</v>
      </c>
      <c r="L151" s="190">
        <f>_xlfn.XLOOKUP(Table1[[#This Row],[MTP SKU Code]],'Audit Dimensions'!$A:$A,'Audit Dimensions'!L:L,0)</f>
        <v>0</v>
      </c>
      <c r="M151" s="190">
        <f>_xlfn.XLOOKUP(Table1[[#This Row],[MTP SKU Code]],'Audit Dimensions'!$A:$A,'Audit Dimensions'!M:M,0)</f>
        <v>0</v>
      </c>
      <c r="N151" s="190">
        <f>_xlfn.XLOOKUP(Table1[[#This Row],[MTP SKU Code]],'Audit Dimensions'!$A:$A,'Audit Dimensions'!N:N,0)</f>
        <v>0</v>
      </c>
      <c r="O151" s="118">
        <f>((IFERROR((C151*D151*E151),0)+IFERROR((G151*H151*I151),0)+IFERROR((K151*L151*M151),0))/1000000)*35.32</f>
        <v>1.981452</v>
      </c>
      <c r="P151" s="125">
        <f>Table1[[#This Row],[Column15]]*$P$2*1000</f>
        <v>11888.712</v>
      </c>
      <c r="Q151" s="87">
        <f>F151+J151+N151</f>
        <v>24400</v>
      </c>
      <c r="R151" s="86">
        <f>MAX(Q151,O151)</f>
        <v>24400</v>
      </c>
      <c r="S151" s="86">
        <f>MAX(R151,P151)</f>
        <v>24400</v>
      </c>
      <c r="T151" s="156" t="str">
        <f>VLOOKUP(A151,'[1]MTP SKUs - Master Data'!$A:$B,2,FALSE)</f>
        <v>Y</v>
      </c>
      <c r="U151" s="162">
        <f>_xlfn.IFNA(VLOOKUP(Table1[[#This Row],[MTP SKU Code]],'Audit Dimensions'!A:N,6,FALSE),"ARC")</f>
        <v>25600</v>
      </c>
      <c r="V151" s="162">
        <f>IFERROR(Table1[[#This Row],[B1.Aud]]-Table1[[#This Row],[PW(gm)]],"ERR")</f>
        <v>1200</v>
      </c>
      <c r="W151" s="165">
        <f>IFERROR(Table1[[#This Row],[B1.Diff]]/Table1[[#This Row],[B1.Aud]],"ERR")</f>
        <v>4.6875E-2</v>
      </c>
      <c r="X151" s="162">
        <f>_xlfn.IFNA(VLOOKUP(Table1[[#This Row],[MTP SKU Code]],'Audit Dimensions'!A:N,10,FALSE),"ARC")</f>
        <v>0</v>
      </c>
      <c r="Y151" s="163">
        <f>IFERROR(Table1[[#This Row],[B2.Aud]]-Table1[[#This Row],[PW(gm)5]],"ERR")</f>
        <v>0</v>
      </c>
      <c r="Z151" s="165" t="str">
        <f>IFERROR(Table1[[#This Row],[B2.Diff]]/Table1[[#This Row],[B2.Aud]],"NA")</f>
        <v>NA</v>
      </c>
      <c r="AA151" s="162">
        <f>_xlfn.IFNA(VLOOKUP(Table1[[#This Row],[MTP SKU Code]],'Audit Dimensions'!A:N,14,FALSE),"ARC")</f>
        <v>0</v>
      </c>
      <c r="AB151" s="161">
        <f>IFERROR(Table1[[#This Row],[B3.Aud]]-Table1[[#This Row],[PW(gm)9]],"ERR")</f>
        <v>0</v>
      </c>
      <c r="AC151" s="168">
        <f>IFERROR(Table1[[#This Row],[B3.Diff]]/Table1[[#This Row],[BaLL.Aud]],"ERR")</f>
        <v>0</v>
      </c>
      <c r="AD151" s="189">
        <f>_xlfn.IFNA(VLOOKUP(Table1[[#This Row],[MTP SKU Code]],'Audit Dimensions'!A:U,16,FALSE),"ARC")</f>
        <v>25600</v>
      </c>
      <c r="AE151" s="165">
        <f>IFERROR(1-Table1[[#This Row],[Gms]]/Table1[[#This Row],[BaLL.Aud]],"ERR")</f>
        <v>4.6875E-2</v>
      </c>
    </row>
    <row r="152" spans="1:31">
      <c r="A152" s="68" t="s">
        <v>197</v>
      </c>
      <c r="B152" s="84" t="s">
        <v>48</v>
      </c>
      <c r="C152" s="190">
        <f>_xlfn.XLOOKUP(Table1[[#This Row],[MTP SKU Code]],'Audit Dimensions'!A:A,'Audit Dimensions'!C:C,0)</f>
        <v>86</v>
      </c>
      <c r="D152" s="190">
        <f>_xlfn.XLOOKUP(Table1[[#This Row],[MTP SKU Code]],'Audit Dimensions'!$A:$A,'Audit Dimensions'!D:D,0)</f>
        <v>44</v>
      </c>
      <c r="E152" s="190">
        <f>_xlfn.XLOOKUP(Table1[[#This Row],[MTP SKU Code]],'Audit Dimensions'!$A:$A,'Audit Dimensions'!E:E,0)</f>
        <v>6</v>
      </c>
      <c r="F152" s="190">
        <v>10860</v>
      </c>
      <c r="G152" s="190">
        <f>_xlfn.XLOOKUP(Table1[[#This Row],[MTP SKU Code]],'Audit Dimensions'!$A:$A,'Audit Dimensions'!G:G,0)</f>
        <v>0</v>
      </c>
      <c r="H152" s="190">
        <f>_xlfn.XLOOKUP(Table1[[#This Row],[MTP SKU Code]],'Audit Dimensions'!$A:$A,'Audit Dimensions'!H:H,0)</f>
        <v>0</v>
      </c>
      <c r="I152" s="190">
        <f>_xlfn.XLOOKUP(Table1[[#This Row],[MTP SKU Code]],'Audit Dimensions'!$A:$A,'Audit Dimensions'!I:I,0)</f>
        <v>0</v>
      </c>
      <c r="J152" s="190">
        <f>_xlfn.XLOOKUP(Table1[[#This Row],[MTP SKU Code]],'Audit Dimensions'!$A:$A,'Audit Dimensions'!J:J,0)</f>
        <v>0</v>
      </c>
      <c r="K152" s="190">
        <f>_xlfn.XLOOKUP(Table1[[#This Row],[MTP SKU Code]],'Audit Dimensions'!$A:$A,'Audit Dimensions'!K:K,0)</f>
        <v>0</v>
      </c>
      <c r="L152" s="190">
        <f>_xlfn.XLOOKUP(Table1[[#This Row],[MTP SKU Code]],'Audit Dimensions'!$A:$A,'Audit Dimensions'!L:L,0)</f>
        <v>0</v>
      </c>
      <c r="M152" s="190">
        <f>_xlfn.XLOOKUP(Table1[[#This Row],[MTP SKU Code]],'Audit Dimensions'!$A:$A,'Audit Dimensions'!M:M,0)</f>
        <v>0</v>
      </c>
      <c r="N152" s="190">
        <f>_xlfn.XLOOKUP(Table1[[#This Row],[MTP SKU Code]],'Audit Dimensions'!$A:$A,'Audit Dimensions'!N:N,0)</f>
        <v>0</v>
      </c>
      <c r="O152" s="118">
        <f>((IFERROR((C152*D152*E152),0)+IFERROR((G152*H152*I152),0)+IFERROR((K152*L152*M152),0))/1000000)*35.32</f>
        <v>0.80190527999999994</v>
      </c>
      <c r="P152" s="125">
        <f>Table1[[#This Row],[Column15]]*$P$2*1000</f>
        <v>4811.4316799999997</v>
      </c>
      <c r="Q152" s="87">
        <f>F152+J152+N152</f>
        <v>10860</v>
      </c>
      <c r="R152" s="86">
        <f>MAX(Q152,O152)</f>
        <v>10860</v>
      </c>
      <c r="S152" s="86">
        <f>MAX(R152,P152)</f>
        <v>10860</v>
      </c>
      <c r="T152" s="157" t="str">
        <f>VLOOKUP(A152,'[1]MTP SKUs - Master Data'!$A:$B,2,FALSE)</f>
        <v>Y</v>
      </c>
      <c r="U152" s="162">
        <f>_xlfn.IFNA(VLOOKUP(Table1[[#This Row],[MTP SKU Code]],'Audit Dimensions'!A:N,6,FALSE),"ARC")</f>
        <v>11000</v>
      </c>
      <c r="V152" s="162">
        <f>IFERROR(Table1[[#This Row],[B1.Aud]]-Table1[[#This Row],[PW(gm)]],"ERR")</f>
        <v>140</v>
      </c>
      <c r="W152" s="165">
        <f>IFERROR(Table1[[#This Row],[B1.Diff]]/Table1[[#This Row],[B1.Aud]],"ERR")</f>
        <v>1.2727272727272728E-2</v>
      </c>
      <c r="X152" s="162">
        <f>_xlfn.IFNA(VLOOKUP(Table1[[#This Row],[MTP SKU Code]],'Audit Dimensions'!A:N,10,FALSE),"ARC")</f>
        <v>0</v>
      </c>
      <c r="Y152" s="163">
        <f>IFERROR(Table1[[#This Row],[B2.Aud]]-Table1[[#This Row],[PW(gm)5]],"ERR")</f>
        <v>0</v>
      </c>
      <c r="Z152" s="165" t="str">
        <f>IFERROR(Table1[[#This Row],[B2.Diff]]/Table1[[#This Row],[B2.Aud]],"NA")</f>
        <v>NA</v>
      </c>
      <c r="AA152" s="162">
        <f>_xlfn.IFNA(VLOOKUP(Table1[[#This Row],[MTP SKU Code]],'Audit Dimensions'!A:N,14,FALSE),"ARC")</f>
        <v>0</v>
      </c>
      <c r="AB152" s="161">
        <f>IFERROR(Table1[[#This Row],[B3.Aud]]-Table1[[#This Row],[PW(gm)9]],"ERR")</f>
        <v>0</v>
      </c>
      <c r="AC152" s="169">
        <f>IFERROR(Table1[[#This Row],[B3.Diff]]/Table1[[#This Row],[BaLL.Aud]],"ERR")</f>
        <v>0</v>
      </c>
      <c r="AD152" s="189">
        <f>_xlfn.IFNA(VLOOKUP(Table1[[#This Row],[MTP SKU Code]],'Audit Dimensions'!A:U,16,FALSE),"ARC")</f>
        <v>11000</v>
      </c>
      <c r="AE152" s="170">
        <f>IFERROR(1-Table1[[#This Row],[Gms]]/Table1[[#This Row],[BaLL.Aud]],"ERR")</f>
        <v>1.2727272727272698E-2</v>
      </c>
    </row>
    <row r="153" spans="1:31" ht="14.45" customHeight="1">
      <c r="A153" s="68" t="s">
        <v>198</v>
      </c>
      <c r="B153" s="84" t="s">
        <v>48</v>
      </c>
      <c r="C153" s="190">
        <f>_xlfn.XLOOKUP(Table1[[#This Row],[MTP SKU Code]],'Audit Dimensions'!A:A,'Audit Dimensions'!C:C,0)</f>
        <v>96</v>
      </c>
      <c r="D153" s="190">
        <f>_xlfn.XLOOKUP(Table1[[#This Row],[MTP SKU Code]],'Audit Dimensions'!$A:$A,'Audit Dimensions'!D:D,0)</f>
        <v>49</v>
      </c>
      <c r="E153" s="190">
        <f>_xlfn.XLOOKUP(Table1[[#This Row],[MTP SKU Code]],'Audit Dimensions'!$A:$A,'Audit Dimensions'!E:E,0)</f>
        <v>8</v>
      </c>
      <c r="F153" s="190">
        <v>13900</v>
      </c>
      <c r="G153" s="190">
        <f>_xlfn.XLOOKUP(Table1[[#This Row],[MTP SKU Code]],'Audit Dimensions'!$A:$A,'Audit Dimensions'!G:G,0)</f>
        <v>0</v>
      </c>
      <c r="H153" s="190">
        <f>_xlfn.XLOOKUP(Table1[[#This Row],[MTP SKU Code]],'Audit Dimensions'!$A:$A,'Audit Dimensions'!H:H,0)</f>
        <v>0</v>
      </c>
      <c r="I153" s="190">
        <f>_xlfn.XLOOKUP(Table1[[#This Row],[MTP SKU Code]],'Audit Dimensions'!$A:$A,'Audit Dimensions'!I:I,0)</f>
        <v>0</v>
      </c>
      <c r="J153" s="190">
        <f>_xlfn.XLOOKUP(Table1[[#This Row],[MTP SKU Code]],'Audit Dimensions'!$A:$A,'Audit Dimensions'!J:J,0)</f>
        <v>0</v>
      </c>
      <c r="K153" s="190">
        <f>_xlfn.XLOOKUP(Table1[[#This Row],[MTP SKU Code]],'Audit Dimensions'!$A:$A,'Audit Dimensions'!K:K,0)</f>
        <v>0</v>
      </c>
      <c r="L153" s="190">
        <f>_xlfn.XLOOKUP(Table1[[#This Row],[MTP SKU Code]],'Audit Dimensions'!$A:$A,'Audit Dimensions'!L:L,0)</f>
        <v>0</v>
      </c>
      <c r="M153" s="190">
        <f>_xlfn.XLOOKUP(Table1[[#This Row],[MTP SKU Code]],'Audit Dimensions'!$A:$A,'Audit Dimensions'!M:M,0)</f>
        <v>0</v>
      </c>
      <c r="N153" s="190">
        <f>_xlfn.XLOOKUP(Table1[[#This Row],[MTP SKU Code]],'Audit Dimensions'!$A:$A,'Audit Dimensions'!N:N,0)</f>
        <v>0</v>
      </c>
      <c r="O153" s="118">
        <f>((IFERROR((C153*D153*E153),0)+IFERROR((G153*H153*I153),0)+IFERROR((K153*L153*M153),0))/1000000)*35.32</f>
        <v>1.3291622400000001</v>
      </c>
      <c r="P153" s="125">
        <f>Table1[[#This Row],[Column15]]*$P$2*1000</f>
        <v>7974.9734400000007</v>
      </c>
      <c r="Q153" s="87">
        <f>F153+J153+N153</f>
        <v>13900</v>
      </c>
      <c r="R153" s="86">
        <f>MAX(Q153,O153)</f>
        <v>13900</v>
      </c>
      <c r="S153" s="86">
        <f>MAX(R153,P153)</f>
        <v>13900</v>
      </c>
      <c r="T153" s="156" t="str">
        <f>VLOOKUP(A153,'[1]MTP SKUs - Master Data'!$A:$B,2,FALSE)</f>
        <v>Y</v>
      </c>
      <c r="U153" s="162">
        <f>_xlfn.IFNA(VLOOKUP(Table1[[#This Row],[MTP SKU Code]],'Audit Dimensions'!A:N,6,FALSE),"ARC")</f>
        <v>14330</v>
      </c>
      <c r="V153" s="162">
        <f>IFERROR(Table1[[#This Row],[B1.Aud]]-Table1[[#This Row],[PW(gm)]],"ERR")</f>
        <v>430</v>
      </c>
      <c r="W153" s="165">
        <f>IFERROR(Table1[[#This Row],[B1.Diff]]/Table1[[#This Row],[B1.Aud]],"ERR")</f>
        <v>3.0006978367062107E-2</v>
      </c>
      <c r="X153" s="162">
        <f>_xlfn.IFNA(VLOOKUP(Table1[[#This Row],[MTP SKU Code]],'Audit Dimensions'!A:N,10,FALSE),"ARC")</f>
        <v>0</v>
      </c>
      <c r="Y153" s="163">
        <f>IFERROR(Table1[[#This Row],[B2.Aud]]-Table1[[#This Row],[PW(gm)5]],"ERR")</f>
        <v>0</v>
      </c>
      <c r="Z153" s="165" t="str">
        <f>IFERROR(Table1[[#This Row],[B2.Diff]]/Table1[[#This Row],[B2.Aud]],"NA")</f>
        <v>NA</v>
      </c>
      <c r="AA153" s="162">
        <f>_xlfn.IFNA(VLOOKUP(Table1[[#This Row],[MTP SKU Code]],'Audit Dimensions'!A:N,14,FALSE),"ARC")</f>
        <v>0</v>
      </c>
      <c r="AB153" s="161">
        <f>IFERROR(Table1[[#This Row],[B3.Aud]]-Table1[[#This Row],[PW(gm)9]],"ERR")</f>
        <v>0</v>
      </c>
      <c r="AC153" s="168">
        <f>IFERROR(Table1[[#This Row],[B3.Diff]]/Table1[[#This Row],[BaLL.Aud]],"ERR")</f>
        <v>0</v>
      </c>
      <c r="AD153" s="189">
        <f>_xlfn.IFNA(VLOOKUP(Table1[[#This Row],[MTP SKU Code]],'Audit Dimensions'!A:U,16,FALSE),"ARC")</f>
        <v>14330</v>
      </c>
      <c r="AE153" s="165">
        <f>IFERROR(1-Table1[[#This Row],[Gms]]/Table1[[#This Row],[BaLL.Aud]],"ERR")</f>
        <v>3.000697836706212E-2</v>
      </c>
    </row>
    <row r="154" spans="1:31" ht="14.45" customHeight="1">
      <c r="A154" s="68" t="s">
        <v>199</v>
      </c>
      <c r="B154" s="84" t="s">
        <v>48</v>
      </c>
      <c r="C154" s="190">
        <f>_xlfn.XLOOKUP(Table1[[#This Row],[MTP SKU Code]],'Audit Dimensions'!A:A,'Audit Dimensions'!C:C,0)</f>
        <v>160</v>
      </c>
      <c r="D154" s="190">
        <f>_xlfn.XLOOKUP(Table1[[#This Row],[MTP SKU Code]],'Audit Dimensions'!$A:$A,'Audit Dimensions'!D:D,0)</f>
        <v>82</v>
      </c>
      <c r="E154" s="190">
        <f>_xlfn.XLOOKUP(Table1[[#This Row],[MTP SKU Code]],'Audit Dimensions'!$A:$A,'Audit Dimensions'!E:E,0)</f>
        <v>5</v>
      </c>
      <c r="F154" s="190">
        <v>16800</v>
      </c>
      <c r="G154" s="190">
        <f>_xlfn.XLOOKUP(Table1[[#This Row],[MTP SKU Code]],'Audit Dimensions'!$A:$A,'Audit Dimensions'!G:G,0)</f>
        <v>0</v>
      </c>
      <c r="H154" s="190">
        <f>_xlfn.XLOOKUP(Table1[[#This Row],[MTP SKU Code]],'Audit Dimensions'!$A:$A,'Audit Dimensions'!H:H,0)</f>
        <v>0</v>
      </c>
      <c r="I154" s="190">
        <f>_xlfn.XLOOKUP(Table1[[#This Row],[MTP SKU Code]],'Audit Dimensions'!$A:$A,'Audit Dimensions'!I:I,0)</f>
        <v>0</v>
      </c>
      <c r="J154" s="190">
        <f>_xlfn.XLOOKUP(Table1[[#This Row],[MTP SKU Code]],'Audit Dimensions'!$A:$A,'Audit Dimensions'!J:J,0)</f>
        <v>0</v>
      </c>
      <c r="K154" s="190">
        <f>_xlfn.XLOOKUP(Table1[[#This Row],[MTP SKU Code]],'Audit Dimensions'!$A:$A,'Audit Dimensions'!K:K,0)</f>
        <v>0</v>
      </c>
      <c r="L154" s="190">
        <f>_xlfn.XLOOKUP(Table1[[#This Row],[MTP SKU Code]],'Audit Dimensions'!$A:$A,'Audit Dimensions'!L:L,0)</f>
        <v>0</v>
      </c>
      <c r="M154" s="190">
        <f>_xlfn.XLOOKUP(Table1[[#This Row],[MTP SKU Code]],'Audit Dimensions'!$A:$A,'Audit Dimensions'!M:M,0)</f>
        <v>0</v>
      </c>
      <c r="N154" s="190">
        <f>_xlfn.XLOOKUP(Table1[[#This Row],[MTP SKU Code]],'Audit Dimensions'!$A:$A,'Audit Dimensions'!N:N,0)</f>
        <v>0</v>
      </c>
      <c r="O154" s="118">
        <f>((IFERROR((C154*D154*E154),0)+IFERROR((G154*H154*I154),0)+IFERROR((K154*L154*M154),0))/1000000)*35.32</f>
        <v>2.3169920000000004</v>
      </c>
      <c r="P154" s="125">
        <f>Table1[[#This Row],[Column15]]*$P$2*1000</f>
        <v>13901.952000000001</v>
      </c>
      <c r="Q154" s="87">
        <f>F154+J154+N154</f>
        <v>16800</v>
      </c>
      <c r="R154" s="86">
        <f>MAX(Q154,O154)</f>
        <v>16800</v>
      </c>
      <c r="S154" s="86">
        <f>MAX(R154,P154)</f>
        <v>16800</v>
      </c>
      <c r="T154" s="156" t="str">
        <f>VLOOKUP(A154,'[1]MTP SKUs - Master Data'!$A:$B,2,FALSE)</f>
        <v>Y</v>
      </c>
      <c r="U154" s="162">
        <f>_xlfn.IFNA(VLOOKUP(Table1[[#This Row],[MTP SKU Code]],'Audit Dimensions'!A:N,6,FALSE),"ARC")</f>
        <v>17720</v>
      </c>
      <c r="V154" s="162">
        <f>IFERROR(Table1[[#This Row],[B1.Aud]]-Table1[[#This Row],[PW(gm)]],"ERR")</f>
        <v>920</v>
      </c>
      <c r="W154" s="165">
        <f>IFERROR(Table1[[#This Row],[B1.Diff]]/Table1[[#This Row],[B1.Aud]],"ERR")</f>
        <v>5.1918735891647853E-2</v>
      </c>
      <c r="X154" s="162">
        <f>_xlfn.IFNA(VLOOKUP(Table1[[#This Row],[MTP SKU Code]],'Audit Dimensions'!A:N,10,FALSE),"ARC")</f>
        <v>0</v>
      </c>
      <c r="Y154" s="163">
        <f>IFERROR(Table1[[#This Row],[B2.Aud]]-Table1[[#This Row],[PW(gm)5]],"ERR")</f>
        <v>0</v>
      </c>
      <c r="Z154" s="165" t="str">
        <f>IFERROR(Table1[[#This Row],[B2.Diff]]/Table1[[#This Row],[B2.Aud]],"NA")</f>
        <v>NA</v>
      </c>
      <c r="AA154" s="162">
        <f>_xlfn.IFNA(VLOOKUP(Table1[[#This Row],[MTP SKU Code]],'Audit Dimensions'!A:N,14,FALSE),"ARC")</f>
        <v>0</v>
      </c>
      <c r="AB154" s="161">
        <f>IFERROR(Table1[[#This Row],[B3.Aud]]-Table1[[#This Row],[PW(gm)9]],"ERR")</f>
        <v>0</v>
      </c>
      <c r="AC154" s="168">
        <f>IFERROR(Table1[[#This Row],[B3.Diff]]/Table1[[#This Row],[BaLL.Aud]],"ERR")</f>
        <v>0</v>
      </c>
      <c r="AD154" s="189">
        <f>_xlfn.IFNA(VLOOKUP(Table1[[#This Row],[MTP SKU Code]],'Audit Dimensions'!A:U,16,FALSE),"ARC")</f>
        <v>17720</v>
      </c>
      <c r="AE154" s="165">
        <f>IFERROR(1-Table1[[#This Row],[Gms]]/Table1[[#This Row],[BaLL.Aud]],"ERR")</f>
        <v>5.191873589164786E-2</v>
      </c>
    </row>
    <row r="155" spans="1:31" ht="14.45" customHeight="1">
      <c r="A155" s="68" t="s">
        <v>200</v>
      </c>
      <c r="B155" s="84" t="s">
        <v>48</v>
      </c>
      <c r="C155" s="190">
        <f>_xlfn.XLOOKUP(Table1[[#This Row],[MTP SKU Code]],'Audit Dimensions'!A:A,'Audit Dimensions'!C:C,0)</f>
        <v>72</v>
      </c>
      <c r="D155" s="190">
        <f>_xlfn.XLOOKUP(Table1[[#This Row],[MTP SKU Code]],'Audit Dimensions'!$A:$A,'Audit Dimensions'!D:D,0)</f>
        <v>37</v>
      </c>
      <c r="E155" s="190">
        <f>_xlfn.XLOOKUP(Table1[[#This Row],[MTP SKU Code]],'Audit Dimensions'!$A:$A,'Audit Dimensions'!E:E,0)</f>
        <v>7</v>
      </c>
      <c r="F155" s="190">
        <v>6800</v>
      </c>
      <c r="G155" s="190">
        <f>_xlfn.XLOOKUP(Table1[[#This Row],[MTP SKU Code]],'Audit Dimensions'!$A:$A,'Audit Dimensions'!G:G,0)</f>
        <v>0</v>
      </c>
      <c r="H155" s="190">
        <f>_xlfn.XLOOKUP(Table1[[#This Row],[MTP SKU Code]],'Audit Dimensions'!$A:$A,'Audit Dimensions'!H:H,0)</f>
        <v>0</v>
      </c>
      <c r="I155" s="190">
        <f>_xlfn.XLOOKUP(Table1[[#This Row],[MTP SKU Code]],'Audit Dimensions'!$A:$A,'Audit Dimensions'!I:I,0)</f>
        <v>0</v>
      </c>
      <c r="J155" s="190">
        <f>_xlfn.XLOOKUP(Table1[[#This Row],[MTP SKU Code]],'Audit Dimensions'!$A:$A,'Audit Dimensions'!J:J,0)</f>
        <v>0</v>
      </c>
      <c r="K155" s="190">
        <f>_xlfn.XLOOKUP(Table1[[#This Row],[MTP SKU Code]],'Audit Dimensions'!$A:$A,'Audit Dimensions'!K:K,0)</f>
        <v>0</v>
      </c>
      <c r="L155" s="190">
        <f>_xlfn.XLOOKUP(Table1[[#This Row],[MTP SKU Code]],'Audit Dimensions'!$A:$A,'Audit Dimensions'!L:L,0)</f>
        <v>0</v>
      </c>
      <c r="M155" s="190">
        <f>_xlfn.XLOOKUP(Table1[[#This Row],[MTP SKU Code]],'Audit Dimensions'!$A:$A,'Audit Dimensions'!M:M,0)</f>
        <v>0</v>
      </c>
      <c r="N155" s="190">
        <f>_xlfn.XLOOKUP(Table1[[#This Row],[MTP SKU Code]],'Audit Dimensions'!$A:$A,'Audit Dimensions'!N:N,0)</f>
        <v>0</v>
      </c>
      <c r="O155" s="118">
        <f>((IFERROR((C155*D155*E155),0)+IFERROR((G155*H155*I155),0)+IFERROR((K155*L155*M155),0))/1000000)*35.32</f>
        <v>0.65864736000000002</v>
      </c>
      <c r="P155" s="125">
        <f>Table1[[#This Row],[Column15]]*$P$2*1000</f>
        <v>3951.8841600000001</v>
      </c>
      <c r="Q155" s="87">
        <f>F155+J155+N155</f>
        <v>6800</v>
      </c>
      <c r="R155" s="86">
        <f>MAX(Q155,O155)</f>
        <v>6800</v>
      </c>
      <c r="S155" s="86">
        <f>MAX(R155,P155)</f>
        <v>6800</v>
      </c>
      <c r="T155" s="156" t="str">
        <f>VLOOKUP(A155,'[1]MTP SKUs - Master Data'!$A:$B,2,FALSE)</f>
        <v>Y</v>
      </c>
      <c r="U155" s="162">
        <f>_xlfn.IFNA(VLOOKUP(Table1[[#This Row],[MTP SKU Code]],'Audit Dimensions'!A:N,6,FALSE),"ARC")</f>
        <v>7000</v>
      </c>
      <c r="V155" s="162">
        <f>IFERROR(Table1[[#This Row],[B1.Aud]]-Table1[[#This Row],[PW(gm)]],"ERR")</f>
        <v>200</v>
      </c>
      <c r="W155" s="165">
        <f>IFERROR(Table1[[#This Row],[B1.Diff]]/Table1[[#This Row],[B1.Aud]],"ERR")</f>
        <v>2.8571428571428571E-2</v>
      </c>
      <c r="X155" s="162">
        <f>_xlfn.IFNA(VLOOKUP(Table1[[#This Row],[MTP SKU Code]],'Audit Dimensions'!A:N,10,FALSE),"ARC")</f>
        <v>0</v>
      </c>
      <c r="Y155" s="163">
        <f>IFERROR(Table1[[#This Row],[B2.Aud]]-Table1[[#This Row],[PW(gm)5]],"ERR")</f>
        <v>0</v>
      </c>
      <c r="Z155" s="165" t="str">
        <f>IFERROR(Table1[[#This Row],[B2.Diff]]/Table1[[#This Row],[B2.Aud]],"NA")</f>
        <v>NA</v>
      </c>
      <c r="AA155" s="162">
        <f>_xlfn.IFNA(VLOOKUP(Table1[[#This Row],[MTP SKU Code]],'Audit Dimensions'!A:N,14,FALSE),"ARC")</f>
        <v>0</v>
      </c>
      <c r="AB155" s="161">
        <f>IFERROR(Table1[[#This Row],[B3.Aud]]-Table1[[#This Row],[PW(gm)9]],"ERR")</f>
        <v>0</v>
      </c>
      <c r="AC155" s="168">
        <f>IFERROR(Table1[[#This Row],[B3.Diff]]/Table1[[#This Row],[BaLL.Aud]],"ERR")</f>
        <v>0</v>
      </c>
      <c r="AD155" s="189">
        <f>_xlfn.IFNA(VLOOKUP(Table1[[#This Row],[MTP SKU Code]],'Audit Dimensions'!A:U,16,FALSE),"ARC")</f>
        <v>7000</v>
      </c>
      <c r="AE155" s="165">
        <f>IFERROR(1-Table1[[#This Row],[Gms]]/Table1[[#This Row],[BaLL.Aud]],"ERR")</f>
        <v>2.8571428571428581E-2</v>
      </c>
    </row>
    <row r="156" spans="1:31" ht="14.45" customHeight="1">
      <c r="A156" s="68" t="s">
        <v>201</v>
      </c>
      <c r="B156" s="84" t="s">
        <v>48</v>
      </c>
      <c r="C156" s="190">
        <f>_xlfn.XLOOKUP(Table1[[#This Row],[MTP SKU Code]],'Audit Dimensions'!A:A,'Audit Dimensions'!C:C,0)</f>
        <v>83</v>
      </c>
      <c r="D156" s="190">
        <f>_xlfn.XLOOKUP(Table1[[#This Row],[MTP SKU Code]],'Audit Dimensions'!$A:$A,'Audit Dimensions'!D:D,0)</f>
        <v>41</v>
      </c>
      <c r="E156" s="190">
        <f>_xlfn.XLOOKUP(Table1[[#This Row],[MTP SKU Code]],'Audit Dimensions'!$A:$A,'Audit Dimensions'!E:E,0)</f>
        <v>9</v>
      </c>
      <c r="F156" s="190">
        <v>12800</v>
      </c>
      <c r="G156" s="190">
        <f>_xlfn.XLOOKUP(Table1[[#This Row],[MTP SKU Code]],'Audit Dimensions'!$A:$A,'Audit Dimensions'!G:G,0)</f>
        <v>0</v>
      </c>
      <c r="H156" s="190">
        <f>_xlfn.XLOOKUP(Table1[[#This Row],[MTP SKU Code]],'Audit Dimensions'!$A:$A,'Audit Dimensions'!H:H,0)</f>
        <v>0</v>
      </c>
      <c r="I156" s="190">
        <f>_xlfn.XLOOKUP(Table1[[#This Row],[MTP SKU Code]],'Audit Dimensions'!$A:$A,'Audit Dimensions'!I:I,0)</f>
        <v>0</v>
      </c>
      <c r="J156" s="190">
        <f>_xlfn.XLOOKUP(Table1[[#This Row],[MTP SKU Code]],'Audit Dimensions'!$A:$A,'Audit Dimensions'!J:J,0)</f>
        <v>0</v>
      </c>
      <c r="K156" s="190">
        <f>_xlfn.XLOOKUP(Table1[[#This Row],[MTP SKU Code]],'Audit Dimensions'!$A:$A,'Audit Dimensions'!K:K,0)</f>
        <v>0</v>
      </c>
      <c r="L156" s="190">
        <f>_xlfn.XLOOKUP(Table1[[#This Row],[MTP SKU Code]],'Audit Dimensions'!$A:$A,'Audit Dimensions'!L:L,0)</f>
        <v>0</v>
      </c>
      <c r="M156" s="190">
        <f>_xlfn.XLOOKUP(Table1[[#This Row],[MTP SKU Code]],'Audit Dimensions'!$A:$A,'Audit Dimensions'!M:M,0)</f>
        <v>0</v>
      </c>
      <c r="N156" s="190">
        <f>_xlfn.XLOOKUP(Table1[[#This Row],[MTP SKU Code]],'Audit Dimensions'!$A:$A,'Audit Dimensions'!N:N,0)</f>
        <v>0</v>
      </c>
      <c r="O156" s="118">
        <f>((IFERROR((C156*D156*E156),0)+IFERROR((G156*H156*I156),0)+IFERROR((K156*L156*M156),0))/1000000)*35.32</f>
        <v>1.0817456400000001</v>
      </c>
      <c r="P156" s="125">
        <f>Table1[[#This Row],[Column15]]*$P$2*1000</f>
        <v>6490.4738399999997</v>
      </c>
      <c r="Q156" s="87">
        <f>F156+J156+N156</f>
        <v>12800</v>
      </c>
      <c r="R156" s="88">
        <f>MAX(Q156,O156)</f>
        <v>12800</v>
      </c>
      <c r="S156" s="86">
        <f>MAX(R156,P156)</f>
        <v>12800</v>
      </c>
      <c r="T156" s="156" t="str">
        <f>VLOOKUP(A156,'[1]MTP SKUs - Master Data'!$A:$B,2,FALSE)</f>
        <v>Y</v>
      </c>
      <c r="U156" s="162">
        <f>_xlfn.IFNA(VLOOKUP(Table1[[#This Row],[MTP SKU Code]],'Audit Dimensions'!A:N,6,FALSE),"ARC")</f>
        <v>13270</v>
      </c>
      <c r="V156" s="162">
        <f>IFERROR(Table1[[#This Row],[B1.Aud]]-Table1[[#This Row],[PW(gm)]],"ERR")</f>
        <v>470</v>
      </c>
      <c r="W156" s="165">
        <f>IFERROR(Table1[[#This Row],[B1.Diff]]/Table1[[#This Row],[B1.Aud]],"ERR")</f>
        <v>3.5418236623963831E-2</v>
      </c>
      <c r="X156" s="162">
        <f>_xlfn.IFNA(VLOOKUP(Table1[[#This Row],[MTP SKU Code]],'Audit Dimensions'!A:N,10,FALSE),"ARC")</f>
        <v>0</v>
      </c>
      <c r="Y156" s="163">
        <f>IFERROR(Table1[[#This Row],[B2.Aud]]-Table1[[#This Row],[PW(gm)5]],"ERR")</f>
        <v>0</v>
      </c>
      <c r="Z156" s="165" t="str">
        <f>IFERROR(Table1[[#This Row],[B2.Diff]]/Table1[[#This Row],[B2.Aud]],"NA")</f>
        <v>NA</v>
      </c>
      <c r="AA156" s="162">
        <f>_xlfn.IFNA(VLOOKUP(Table1[[#This Row],[MTP SKU Code]],'Audit Dimensions'!A:N,14,FALSE),"ARC")</f>
        <v>0</v>
      </c>
      <c r="AB156" s="161">
        <f>IFERROR(Table1[[#This Row],[B3.Aud]]-Table1[[#This Row],[PW(gm)9]],"ERR")</f>
        <v>0</v>
      </c>
      <c r="AC156" s="168">
        <f>IFERROR(Table1[[#This Row],[B3.Diff]]/Table1[[#This Row],[BaLL.Aud]],"ERR")</f>
        <v>0</v>
      </c>
      <c r="AD156" s="189">
        <f>_xlfn.IFNA(VLOOKUP(Table1[[#This Row],[MTP SKU Code]],'Audit Dimensions'!A:U,16,FALSE),"ARC")</f>
        <v>13270</v>
      </c>
      <c r="AE156" s="165">
        <f>IFERROR(1-Table1[[#This Row],[Gms]]/Table1[[#This Row],[BaLL.Aud]],"ERR")</f>
        <v>3.5418236623963817E-2</v>
      </c>
    </row>
    <row r="157" spans="1:31" ht="15" customHeight="1">
      <c r="A157" s="68" t="s">
        <v>202</v>
      </c>
      <c r="B157" s="84" t="s">
        <v>48</v>
      </c>
      <c r="C157" s="190">
        <f>_xlfn.XLOOKUP(Table1[[#This Row],[MTP SKU Code]],'Audit Dimensions'!A:A,'Audit Dimensions'!C:C,0)</f>
        <v>96</v>
      </c>
      <c r="D157" s="190">
        <f>_xlfn.XLOOKUP(Table1[[#This Row],[MTP SKU Code]],'Audit Dimensions'!$A:$A,'Audit Dimensions'!D:D,0)</f>
        <v>28</v>
      </c>
      <c r="E157" s="190">
        <f>_xlfn.XLOOKUP(Table1[[#This Row],[MTP SKU Code]],'Audit Dimensions'!$A:$A,'Audit Dimensions'!E:E,0)</f>
        <v>6</v>
      </c>
      <c r="F157" s="190">
        <v>4850</v>
      </c>
      <c r="G157" s="190">
        <f>_xlfn.XLOOKUP(Table1[[#This Row],[MTP SKU Code]],'Audit Dimensions'!$A:$A,'Audit Dimensions'!G:G,0)</f>
        <v>0</v>
      </c>
      <c r="H157" s="190">
        <f>_xlfn.XLOOKUP(Table1[[#This Row],[MTP SKU Code]],'Audit Dimensions'!$A:$A,'Audit Dimensions'!H:H,0)</f>
        <v>0</v>
      </c>
      <c r="I157" s="190">
        <f>_xlfn.XLOOKUP(Table1[[#This Row],[MTP SKU Code]],'Audit Dimensions'!$A:$A,'Audit Dimensions'!I:I,0)</f>
        <v>0</v>
      </c>
      <c r="J157" s="190">
        <f>_xlfn.XLOOKUP(Table1[[#This Row],[MTP SKU Code]],'Audit Dimensions'!$A:$A,'Audit Dimensions'!J:J,0)</f>
        <v>0</v>
      </c>
      <c r="K157" s="190">
        <f>_xlfn.XLOOKUP(Table1[[#This Row],[MTP SKU Code]],'Audit Dimensions'!$A:$A,'Audit Dimensions'!K:K,0)</f>
        <v>0</v>
      </c>
      <c r="L157" s="190">
        <f>_xlfn.XLOOKUP(Table1[[#This Row],[MTP SKU Code]],'Audit Dimensions'!$A:$A,'Audit Dimensions'!L:L,0)</f>
        <v>0</v>
      </c>
      <c r="M157" s="190">
        <f>_xlfn.XLOOKUP(Table1[[#This Row],[MTP SKU Code]],'Audit Dimensions'!$A:$A,'Audit Dimensions'!M:M,0)</f>
        <v>0</v>
      </c>
      <c r="N157" s="190">
        <f>_xlfn.XLOOKUP(Table1[[#This Row],[MTP SKU Code]],'Audit Dimensions'!$A:$A,'Audit Dimensions'!N:N,0)</f>
        <v>0</v>
      </c>
      <c r="O157" s="118">
        <f>((IFERROR((C157*D157*E157),0)+IFERROR((G157*H157*I157),0)+IFERROR((K157*L157*M157),0))/1000000)*35.32</f>
        <v>0.56964095999999997</v>
      </c>
      <c r="P157" s="125">
        <f>Table1[[#This Row],[Column15]]*$P$2*1000</f>
        <v>3417.8457599999997</v>
      </c>
      <c r="Q157" s="87">
        <f>F157+J157+N157</f>
        <v>4850</v>
      </c>
      <c r="R157" s="86">
        <f>MAX(Q157,O157)</f>
        <v>4850</v>
      </c>
      <c r="S157" s="86">
        <f>MAX(R157,P157)</f>
        <v>4850</v>
      </c>
      <c r="T157" s="156" t="str">
        <f>VLOOKUP(A157,'[1]MTP SKUs - Master Data'!$A:$B,2,FALSE)</f>
        <v>Y</v>
      </c>
      <c r="U157" s="162">
        <f>_xlfn.IFNA(VLOOKUP(Table1[[#This Row],[MTP SKU Code]],'Audit Dimensions'!A:N,6,FALSE),"ARC")</f>
        <v>5200</v>
      </c>
      <c r="V157" s="162">
        <f>IFERROR(Table1[[#This Row],[B1.Aud]]-Table1[[#This Row],[PW(gm)]],"ERR")</f>
        <v>350</v>
      </c>
      <c r="W157" s="165">
        <f>IFERROR(Table1[[#This Row],[B1.Diff]]/Table1[[#This Row],[B1.Aud]],"ERR")</f>
        <v>6.7307692307692304E-2</v>
      </c>
      <c r="X157" s="162">
        <f>_xlfn.IFNA(VLOOKUP(Table1[[#This Row],[MTP SKU Code]],'Audit Dimensions'!A:N,10,FALSE),"ARC")</f>
        <v>0</v>
      </c>
      <c r="Y157" s="163">
        <f>IFERROR(Table1[[#This Row],[B2.Aud]]-Table1[[#This Row],[PW(gm)5]],"ERR")</f>
        <v>0</v>
      </c>
      <c r="Z157" s="165" t="str">
        <f>IFERROR(Table1[[#This Row],[B2.Diff]]/Table1[[#This Row],[B2.Aud]],"NA")</f>
        <v>NA</v>
      </c>
      <c r="AA157" s="162">
        <f>_xlfn.IFNA(VLOOKUP(Table1[[#This Row],[MTP SKU Code]],'Audit Dimensions'!A:N,14,FALSE),"ARC")</f>
        <v>0</v>
      </c>
      <c r="AB157" s="161">
        <f>IFERROR(Table1[[#This Row],[B3.Aud]]-Table1[[#This Row],[PW(gm)9]],"ERR")</f>
        <v>0</v>
      </c>
      <c r="AC157" s="168">
        <f>IFERROR(Table1[[#This Row],[B3.Diff]]/Table1[[#This Row],[BaLL.Aud]],"ERR")</f>
        <v>0</v>
      </c>
      <c r="AD157" s="189">
        <f>_xlfn.IFNA(VLOOKUP(Table1[[#This Row],[MTP SKU Code]],'Audit Dimensions'!A:U,16,FALSE),"ARC")</f>
        <v>5200</v>
      </c>
      <c r="AE157" s="165">
        <f>IFERROR(1-Table1[[#This Row],[Gms]]/Table1[[#This Row],[BaLL.Aud]],"ERR")</f>
        <v>6.7307692307692291E-2</v>
      </c>
    </row>
    <row r="158" spans="1:31" ht="14.45" customHeight="1">
      <c r="A158" s="68" t="s">
        <v>203</v>
      </c>
      <c r="B158" s="84" t="s">
        <v>48</v>
      </c>
      <c r="C158" s="190">
        <f>_xlfn.XLOOKUP(Table1[[#This Row],[MTP SKU Code]],'Audit Dimensions'!A:A,'Audit Dimensions'!C:C,0)</f>
        <v>188</v>
      </c>
      <c r="D158" s="190">
        <f>_xlfn.XLOOKUP(Table1[[#This Row],[MTP SKU Code]],'Audit Dimensions'!$A:$A,'Audit Dimensions'!D:D,0)</f>
        <v>42</v>
      </c>
      <c r="E158" s="190">
        <f>_xlfn.XLOOKUP(Table1[[#This Row],[MTP SKU Code]],'Audit Dimensions'!$A:$A,'Audit Dimensions'!E:E,0)</f>
        <v>8</v>
      </c>
      <c r="F158" s="190">
        <v>29000</v>
      </c>
      <c r="G158" s="190">
        <f>_xlfn.XLOOKUP(Table1[[#This Row],[MTP SKU Code]],'Audit Dimensions'!$A:$A,'Audit Dimensions'!G:G,0)</f>
        <v>97</v>
      </c>
      <c r="H158" s="190">
        <f>_xlfn.XLOOKUP(Table1[[#This Row],[MTP SKU Code]],'Audit Dimensions'!$A:$A,'Audit Dimensions'!H:H,0)</f>
        <v>82</v>
      </c>
      <c r="I158" s="190">
        <f>_xlfn.XLOOKUP(Table1[[#This Row],[MTP SKU Code]],'Audit Dimensions'!$A:$A,'Audit Dimensions'!I:I,0)</f>
        <v>4</v>
      </c>
      <c r="J158" s="190">
        <v>14750</v>
      </c>
      <c r="K158" s="190">
        <f>_xlfn.XLOOKUP(Table1[[#This Row],[MTP SKU Code]],'Audit Dimensions'!$A:$A,'Audit Dimensions'!K:K,0)</f>
        <v>0</v>
      </c>
      <c r="L158" s="190">
        <f>_xlfn.XLOOKUP(Table1[[#This Row],[MTP SKU Code]],'Audit Dimensions'!$A:$A,'Audit Dimensions'!L:L,0)</f>
        <v>0</v>
      </c>
      <c r="M158" s="190">
        <f>_xlfn.XLOOKUP(Table1[[#This Row],[MTP SKU Code]],'Audit Dimensions'!$A:$A,'Audit Dimensions'!M:M,0)</f>
        <v>0</v>
      </c>
      <c r="N158" s="190">
        <f>_xlfn.XLOOKUP(Table1[[#This Row],[MTP SKU Code]],'Audit Dimensions'!$A:$A,'Audit Dimensions'!N:N,0)</f>
        <v>0</v>
      </c>
      <c r="O158" s="118">
        <f>((IFERROR((C158*D158*E158),0)+IFERROR((G158*H158*I158),0)+IFERROR((K158*L158*M158),0))/1000000)*35.32</f>
        <v>3.3548348799999999</v>
      </c>
      <c r="P158" s="125">
        <f>Table1[[#This Row],[Column15]]*$P$2*1000</f>
        <v>20129.009279999998</v>
      </c>
      <c r="Q158" s="87">
        <f>F158+J158+N158</f>
        <v>43750</v>
      </c>
      <c r="R158" s="88">
        <f>MAX(Q158,O158)</f>
        <v>43750</v>
      </c>
      <c r="S158" s="86">
        <f>MAX(R158,P158)</f>
        <v>43750</v>
      </c>
      <c r="T158" s="156" t="str">
        <f>VLOOKUP(A158,'[1]MTP SKUs - Master Data'!$A:$B,2,FALSE)</f>
        <v>Y</v>
      </c>
      <c r="U158" s="162">
        <f>_xlfn.IFNA(VLOOKUP(Table1[[#This Row],[MTP SKU Code]],'Audit Dimensions'!A:N,6,FALSE),"ARC")</f>
        <v>30950</v>
      </c>
      <c r="V158" s="162">
        <f>IFERROR(Table1[[#This Row],[B1.Aud]]-Table1[[#This Row],[PW(gm)]],"ERR")</f>
        <v>1950</v>
      </c>
      <c r="W158" s="165">
        <f>IFERROR(Table1[[#This Row],[B1.Diff]]/Table1[[#This Row],[B1.Aud]],"ERR")</f>
        <v>6.3004846526655903E-2</v>
      </c>
      <c r="X158" s="162">
        <f>_xlfn.IFNA(VLOOKUP(Table1[[#This Row],[MTP SKU Code]],'Audit Dimensions'!A:N,10,FALSE),"ARC")</f>
        <v>15130</v>
      </c>
      <c r="Y158" s="163">
        <f>IFERROR(Table1[[#This Row],[B2.Aud]]-Table1[[#This Row],[PW(gm)5]],"ERR")</f>
        <v>380</v>
      </c>
      <c r="Z158" s="166">
        <f>IFERROR(Table1[[#This Row],[B2.Diff]]/Table1[[#This Row],[B2.Aud]],"NA")</f>
        <v>2.511566424322538E-2</v>
      </c>
      <c r="AA158" s="162">
        <f>_xlfn.IFNA(VLOOKUP(Table1[[#This Row],[MTP SKU Code]],'Audit Dimensions'!A:N,14,FALSE),"ARC")</f>
        <v>0</v>
      </c>
      <c r="AB158" s="161">
        <f>IFERROR(Table1[[#This Row],[B3.Aud]]-Table1[[#This Row],[PW(gm)9]],"ERR")</f>
        <v>0</v>
      </c>
      <c r="AC158" s="168">
        <f>IFERROR(Table1[[#This Row],[B3.Diff]]/Table1[[#This Row],[BaLL.Aud]],"ERR")</f>
        <v>0</v>
      </c>
      <c r="AD158" s="189">
        <f>_xlfn.IFNA(VLOOKUP(Table1[[#This Row],[MTP SKU Code]],'Audit Dimensions'!A:U,16,FALSE),"ARC")</f>
        <v>46080</v>
      </c>
      <c r="AE158" s="165">
        <f>IFERROR(1-Table1[[#This Row],[Gms]]/Table1[[#This Row],[BaLL.Aud]],"ERR")</f>
        <v>5.056423611111116E-2</v>
      </c>
    </row>
    <row r="159" spans="1:31" ht="14.45" customHeight="1">
      <c r="A159" s="68" t="s">
        <v>204</v>
      </c>
      <c r="B159" s="84" t="s">
        <v>48</v>
      </c>
      <c r="C159" s="190">
        <f>_xlfn.XLOOKUP(Table1[[#This Row],[MTP SKU Code]],'Audit Dimensions'!A:A,'Audit Dimensions'!C:C,0)</f>
        <v>129</v>
      </c>
      <c r="D159" s="190">
        <f>_xlfn.XLOOKUP(Table1[[#This Row],[MTP SKU Code]],'Audit Dimensions'!$A:$A,'Audit Dimensions'!D:D,0)</f>
        <v>41</v>
      </c>
      <c r="E159" s="190">
        <f>_xlfn.XLOOKUP(Table1[[#This Row],[MTP SKU Code]],'Audit Dimensions'!$A:$A,'Audit Dimensions'!E:E,0)</f>
        <v>8</v>
      </c>
      <c r="F159" s="190">
        <v>16800</v>
      </c>
      <c r="G159" s="190">
        <f>_xlfn.XLOOKUP(Table1[[#This Row],[MTP SKU Code]],'Audit Dimensions'!$A:$A,'Audit Dimensions'!G:G,0)</f>
        <v>0</v>
      </c>
      <c r="H159" s="190">
        <f>_xlfn.XLOOKUP(Table1[[#This Row],[MTP SKU Code]],'Audit Dimensions'!$A:$A,'Audit Dimensions'!H:H,0)</f>
        <v>0</v>
      </c>
      <c r="I159" s="190">
        <f>_xlfn.XLOOKUP(Table1[[#This Row],[MTP SKU Code]],'Audit Dimensions'!$A:$A,'Audit Dimensions'!I:I,0)</f>
        <v>0</v>
      </c>
      <c r="J159" s="190">
        <f>_xlfn.XLOOKUP(Table1[[#This Row],[MTP SKU Code]],'Audit Dimensions'!$A:$A,'Audit Dimensions'!J:J,0)</f>
        <v>0</v>
      </c>
      <c r="K159" s="190">
        <f>_xlfn.XLOOKUP(Table1[[#This Row],[MTP SKU Code]],'Audit Dimensions'!$A:$A,'Audit Dimensions'!K:K,0)</f>
        <v>0</v>
      </c>
      <c r="L159" s="190">
        <f>_xlfn.XLOOKUP(Table1[[#This Row],[MTP SKU Code]],'Audit Dimensions'!$A:$A,'Audit Dimensions'!L:L,0)</f>
        <v>0</v>
      </c>
      <c r="M159" s="190">
        <f>_xlfn.XLOOKUP(Table1[[#This Row],[MTP SKU Code]],'Audit Dimensions'!$A:$A,'Audit Dimensions'!M:M,0)</f>
        <v>0</v>
      </c>
      <c r="N159" s="190">
        <f>_xlfn.XLOOKUP(Table1[[#This Row],[MTP SKU Code]],'Audit Dimensions'!$A:$A,'Audit Dimensions'!N:N,0)</f>
        <v>0</v>
      </c>
      <c r="O159" s="118">
        <f>((IFERROR((C159*D159*E159),0)+IFERROR((G159*H159*I159),0)+IFERROR((K159*L159*M159),0))/1000000)*35.32</f>
        <v>1.4944598400000002</v>
      </c>
      <c r="P159" s="125">
        <f>Table1[[#This Row],[Column15]]*$P$2*1000</f>
        <v>8966.7590400000008</v>
      </c>
      <c r="Q159" s="87">
        <f>F159+J159+N159</f>
        <v>16800</v>
      </c>
      <c r="R159" s="86">
        <f>MAX(Q159,O159)</f>
        <v>16800</v>
      </c>
      <c r="S159" s="86">
        <f>MAX(R159,P159)</f>
        <v>16800</v>
      </c>
      <c r="T159" s="156" t="str">
        <f>VLOOKUP(A159,'[1]MTP SKUs - Master Data'!$A:$B,2,FALSE)</f>
        <v>Y</v>
      </c>
      <c r="U159" s="162">
        <f>_xlfn.IFNA(VLOOKUP(Table1[[#This Row],[MTP SKU Code]],'Audit Dimensions'!A:N,6,FALSE),"ARC")</f>
        <v>17830</v>
      </c>
      <c r="V159" s="162">
        <f>IFERROR(Table1[[#This Row],[B1.Aud]]-Table1[[#This Row],[PW(gm)]],"ERR")</f>
        <v>1030</v>
      </c>
      <c r="W159" s="165">
        <f>IFERROR(Table1[[#This Row],[B1.Diff]]/Table1[[#This Row],[B1.Aud]],"ERR")</f>
        <v>5.776780706674145E-2</v>
      </c>
      <c r="X159" s="162">
        <f>_xlfn.IFNA(VLOOKUP(Table1[[#This Row],[MTP SKU Code]],'Audit Dimensions'!A:N,10,FALSE),"ARC")</f>
        <v>0</v>
      </c>
      <c r="Y159" s="163">
        <f>IFERROR(Table1[[#This Row],[B2.Aud]]-Table1[[#This Row],[PW(gm)5]],"ERR")</f>
        <v>0</v>
      </c>
      <c r="Z159" s="165" t="str">
        <f>IFERROR(Table1[[#This Row],[B2.Diff]]/Table1[[#This Row],[B2.Aud]],"NA")</f>
        <v>NA</v>
      </c>
      <c r="AA159" s="162">
        <f>_xlfn.IFNA(VLOOKUP(Table1[[#This Row],[MTP SKU Code]],'Audit Dimensions'!A:N,14,FALSE),"ARC")</f>
        <v>0</v>
      </c>
      <c r="AB159" s="161">
        <f>IFERROR(Table1[[#This Row],[B3.Aud]]-Table1[[#This Row],[PW(gm)9]],"ERR")</f>
        <v>0</v>
      </c>
      <c r="AC159" s="168">
        <f>IFERROR(Table1[[#This Row],[B3.Diff]]/Table1[[#This Row],[BaLL.Aud]],"ERR")</f>
        <v>0</v>
      </c>
      <c r="AD159" s="189">
        <f>_xlfn.IFNA(VLOOKUP(Table1[[#This Row],[MTP SKU Code]],'Audit Dimensions'!A:U,16,FALSE),"ARC")</f>
        <v>17830</v>
      </c>
      <c r="AE159" s="165">
        <f>IFERROR(1-Table1[[#This Row],[Gms]]/Table1[[#This Row],[BaLL.Aud]],"ERR")</f>
        <v>5.776780706674145E-2</v>
      </c>
    </row>
    <row r="160" spans="1:31">
      <c r="A160" s="70" t="s">
        <v>205</v>
      </c>
      <c r="B160" s="84" t="s">
        <v>48</v>
      </c>
      <c r="C160" s="190">
        <f>_xlfn.XLOOKUP(Table1[[#This Row],[MTP SKU Code]],'Audit Dimensions'!A:A,'Audit Dimensions'!C:C,0)</f>
        <v>107</v>
      </c>
      <c r="D160" s="190">
        <f>_xlfn.XLOOKUP(Table1[[#This Row],[MTP SKU Code]],'Audit Dimensions'!$A:$A,'Audit Dimensions'!D:D,0)</f>
        <v>42</v>
      </c>
      <c r="E160" s="190">
        <f>_xlfn.XLOOKUP(Table1[[#This Row],[MTP SKU Code]],'Audit Dimensions'!$A:$A,'Audit Dimensions'!E:E,0)</f>
        <v>9</v>
      </c>
      <c r="F160" s="190">
        <v>17700</v>
      </c>
      <c r="G160" s="190">
        <f>_xlfn.XLOOKUP(Table1[[#This Row],[MTP SKU Code]],'Audit Dimensions'!$A:$A,'Audit Dimensions'!G:G,0)</f>
        <v>0</v>
      </c>
      <c r="H160" s="190">
        <f>_xlfn.XLOOKUP(Table1[[#This Row],[MTP SKU Code]],'Audit Dimensions'!$A:$A,'Audit Dimensions'!H:H,0)</f>
        <v>0</v>
      </c>
      <c r="I160" s="190">
        <f>_xlfn.XLOOKUP(Table1[[#This Row],[MTP SKU Code]],'Audit Dimensions'!$A:$A,'Audit Dimensions'!I:I,0)</f>
        <v>0</v>
      </c>
      <c r="J160" s="190">
        <f>_xlfn.XLOOKUP(Table1[[#This Row],[MTP SKU Code]],'Audit Dimensions'!$A:$A,'Audit Dimensions'!J:J,0)</f>
        <v>0</v>
      </c>
      <c r="K160" s="190">
        <f>_xlfn.XLOOKUP(Table1[[#This Row],[MTP SKU Code]],'Audit Dimensions'!$A:$A,'Audit Dimensions'!K:K,0)</f>
        <v>0</v>
      </c>
      <c r="L160" s="190">
        <f>_xlfn.XLOOKUP(Table1[[#This Row],[MTP SKU Code]],'Audit Dimensions'!$A:$A,'Audit Dimensions'!L:L,0)</f>
        <v>0</v>
      </c>
      <c r="M160" s="190">
        <f>_xlfn.XLOOKUP(Table1[[#This Row],[MTP SKU Code]],'Audit Dimensions'!$A:$A,'Audit Dimensions'!M:M,0)</f>
        <v>0</v>
      </c>
      <c r="N160" s="190">
        <f>_xlfn.XLOOKUP(Table1[[#This Row],[MTP SKU Code]],'Audit Dimensions'!$A:$A,'Audit Dimensions'!N:N,0)</f>
        <v>0</v>
      </c>
      <c r="O160" s="118">
        <f>((IFERROR((C160*D160*E160),0)+IFERROR((G160*H160*I160),0)+IFERROR((K160*L160*M160),0))/1000000)*35.32</f>
        <v>1.4285527200000001</v>
      </c>
      <c r="P160" s="125">
        <f>Table1[[#This Row],[Column15]]*$P$2*1000</f>
        <v>8571.3163200000017</v>
      </c>
      <c r="Q160" s="87">
        <f>F160+J160+N160</f>
        <v>17700</v>
      </c>
      <c r="R160" s="86">
        <f>MAX(Q160,O160)</f>
        <v>17700</v>
      </c>
      <c r="S160" s="86">
        <f>MAX(R160,P160)</f>
        <v>17700</v>
      </c>
      <c r="T160" s="156" t="str">
        <f>VLOOKUP(A160,'[1]MTP SKUs - Master Data'!$A:$B,2,FALSE)</f>
        <v>Y</v>
      </c>
      <c r="U160" s="162">
        <f>_xlfn.IFNA(VLOOKUP(Table1[[#This Row],[MTP SKU Code]],'Audit Dimensions'!A:N,6,FALSE),"ARC")</f>
        <v>18900</v>
      </c>
      <c r="V160" s="162">
        <f>IFERROR(Table1[[#This Row],[B1.Aud]]-Table1[[#This Row],[PW(gm)]],"ERR")</f>
        <v>1200</v>
      </c>
      <c r="W160" s="165">
        <f>IFERROR(Table1[[#This Row],[B1.Diff]]/Table1[[#This Row],[B1.Aud]],"ERR")</f>
        <v>6.3492063492063489E-2</v>
      </c>
      <c r="X160" s="162">
        <f>_xlfn.IFNA(VLOOKUP(Table1[[#This Row],[MTP SKU Code]],'Audit Dimensions'!A:N,10,FALSE),"ARC")</f>
        <v>0</v>
      </c>
      <c r="Y160" s="163">
        <f>IFERROR(Table1[[#This Row],[B2.Aud]]-Table1[[#This Row],[PW(gm)5]],"ERR")</f>
        <v>0</v>
      </c>
      <c r="Z160" s="165" t="str">
        <f>IFERROR(Table1[[#This Row],[B2.Diff]]/Table1[[#This Row],[B2.Aud]],"NA")</f>
        <v>NA</v>
      </c>
      <c r="AA160" s="162">
        <f>_xlfn.IFNA(VLOOKUP(Table1[[#This Row],[MTP SKU Code]],'Audit Dimensions'!A:N,14,FALSE),"ARC")</f>
        <v>0</v>
      </c>
      <c r="AB160" s="161">
        <f>IFERROR(Table1[[#This Row],[B3.Aud]]-Table1[[#This Row],[PW(gm)9]],"ERR")</f>
        <v>0</v>
      </c>
      <c r="AC160" s="168">
        <f>IFERROR(Table1[[#This Row],[B3.Diff]]/Table1[[#This Row],[BaLL.Aud]],"ERR")</f>
        <v>0</v>
      </c>
      <c r="AD160" s="189">
        <f>_xlfn.IFNA(VLOOKUP(Table1[[#This Row],[MTP SKU Code]],'Audit Dimensions'!A:U,16,FALSE),"ARC")</f>
        <v>18900</v>
      </c>
      <c r="AE160" s="165">
        <f>IFERROR(1-Table1[[#This Row],[Gms]]/Table1[[#This Row],[BaLL.Aud]],"ERR")</f>
        <v>6.3492063492063489E-2</v>
      </c>
    </row>
    <row r="161" spans="1:31" ht="14.45" customHeight="1">
      <c r="A161" s="68" t="s">
        <v>206</v>
      </c>
      <c r="B161" s="84" t="s">
        <v>74</v>
      </c>
      <c r="C161" s="190">
        <f>_xlfn.XLOOKUP(Table1[[#This Row],[MTP SKU Code]],'Audit Dimensions'!A:A,'Audit Dimensions'!C:C,0)</f>
        <v>204</v>
      </c>
      <c r="D161" s="190">
        <f>_xlfn.XLOOKUP(Table1[[#This Row],[MTP SKU Code]],'Audit Dimensions'!$A:$A,'Audit Dimensions'!D:D,0)</f>
        <v>51</v>
      </c>
      <c r="E161" s="190">
        <f>_xlfn.XLOOKUP(Table1[[#This Row],[MTP SKU Code]],'Audit Dimensions'!$A:$A,'Audit Dimensions'!E:E,0)</f>
        <v>9</v>
      </c>
      <c r="F161" s="190">
        <v>44000</v>
      </c>
      <c r="G161" s="190">
        <f>_xlfn.XLOOKUP(Table1[[#This Row],[MTP SKU Code]],'Audit Dimensions'!$A:$A,'Audit Dimensions'!G:G,0)</f>
        <v>107</v>
      </c>
      <c r="H161" s="190">
        <f>_xlfn.XLOOKUP(Table1[[#This Row],[MTP SKU Code]],'Audit Dimensions'!$A:$A,'Audit Dimensions'!H:H,0)</f>
        <v>38</v>
      </c>
      <c r="I161" s="190">
        <f>_xlfn.XLOOKUP(Table1[[#This Row],[MTP SKU Code]],'Audit Dimensions'!$A:$A,'Audit Dimensions'!I:I,0)</f>
        <v>5</v>
      </c>
      <c r="J161" s="190">
        <v>28300</v>
      </c>
      <c r="K161" s="190">
        <f>_xlfn.XLOOKUP(Table1[[#This Row],[MTP SKU Code]],'Audit Dimensions'!$A:$A,'Audit Dimensions'!K:K,0)</f>
        <v>0</v>
      </c>
      <c r="L161" s="190">
        <f>_xlfn.XLOOKUP(Table1[[#This Row],[MTP SKU Code]],'Audit Dimensions'!$A:$A,'Audit Dimensions'!L:L,0)</f>
        <v>0</v>
      </c>
      <c r="M161" s="190">
        <f>_xlfn.XLOOKUP(Table1[[#This Row],[MTP SKU Code]],'Audit Dimensions'!$A:$A,'Audit Dimensions'!M:M,0)</f>
        <v>0</v>
      </c>
      <c r="N161" s="190">
        <f>_xlfn.XLOOKUP(Table1[[#This Row],[MTP SKU Code]],'Audit Dimensions'!$A:$A,'Audit Dimensions'!N:N,0)</f>
        <v>0</v>
      </c>
      <c r="O161" s="118">
        <f>((IFERROR((C161*D161*E161),0)+IFERROR((G161*H161*I161),0)+IFERROR((K161*L161*M161),0))/1000000)*35.32</f>
        <v>4.0252791199999995</v>
      </c>
      <c r="P161" s="125">
        <f>Table1[[#This Row],[Column15]]*$P$2*1000</f>
        <v>24151.674719999995</v>
      </c>
      <c r="Q161" s="87">
        <f>F161+J161+N161</f>
        <v>72300</v>
      </c>
      <c r="R161" s="86">
        <f>MAX(Q161,O161)</f>
        <v>72300</v>
      </c>
      <c r="S161" s="86">
        <f>MAX(R161,P161)</f>
        <v>72300</v>
      </c>
      <c r="T161" s="156" t="str">
        <f>VLOOKUP(A161,'[1]MTP SKUs - Master Data'!$A:$B,2,FALSE)</f>
        <v>Y</v>
      </c>
      <c r="U161" s="162">
        <f>_xlfn.IFNA(VLOOKUP(Table1[[#This Row],[MTP SKU Code]],'Audit Dimensions'!A:N,6,FALSE),"ARC")</f>
        <v>45800</v>
      </c>
      <c r="V161" s="162">
        <f>IFERROR(Table1[[#This Row],[B1.Aud]]-Table1[[#This Row],[PW(gm)]],"ERR")</f>
        <v>1800</v>
      </c>
      <c r="W161" s="165">
        <f>IFERROR(Table1[[#This Row],[B1.Diff]]/Table1[[#This Row],[B1.Aud]],"ERR")</f>
        <v>3.9301310043668124E-2</v>
      </c>
      <c r="X161" s="162">
        <f>_xlfn.IFNA(VLOOKUP(Table1[[#This Row],[MTP SKU Code]],'Audit Dimensions'!A:N,10,FALSE),"ARC")</f>
        <v>30500</v>
      </c>
      <c r="Y161" s="163">
        <f>IFERROR(Table1[[#This Row],[B2.Aud]]-Table1[[#This Row],[PW(gm)5]],"ERR")</f>
        <v>2200</v>
      </c>
      <c r="Z161" s="165">
        <f>IFERROR(Table1[[#This Row],[B2.Diff]]/Table1[[#This Row],[B2.Aud]],"NA")</f>
        <v>7.2131147540983612E-2</v>
      </c>
      <c r="AA161" s="162">
        <f>_xlfn.IFNA(VLOOKUP(Table1[[#This Row],[MTP SKU Code]],'Audit Dimensions'!A:N,14,FALSE),"ARC")</f>
        <v>0</v>
      </c>
      <c r="AB161" s="161">
        <f>IFERROR(Table1[[#This Row],[B3.Aud]]-Table1[[#This Row],[PW(gm)9]],"ERR")</f>
        <v>0</v>
      </c>
      <c r="AC161" s="168">
        <f>IFERROR(Table1[[#This Row],[B3.Diff]]/Table1[[#This Row],[BaLL.Aud]],"ERR")</f>
        <v>0</v>
      </c>
      <c r="AD161" s="189">
        <f>_xlfn.IFNA(VLOOKUP(Table1[[#This Row],[MTP SKU Code]],'Audit Dimensions'!A:U,16,FALSE),"ARC")</f>
        <v>76300</v>
      </c>
      <c r="AE161" s="165">
        <f>IFERROR(1-Table1[[#This Row],[Gms]]/Table1[[#This Row],[BaLL.Aud]],"ERR")</f>
        <v>5.2424639580602839E-2</v>
      </c>
    </row>
    <row r="162" spans="1:31" ht="14.45" customHeight="1">
      <c r="A162" s="68" t="s">
        <v>207</v>
      </c>
      <c r="B162" s="84" t="s">
        <v>48</v>
      </c>
      <c r="C162" s="190">
        <f>_xlfn.XLOOKUP(Table1[[#This Row],[MTP SKU Code]],'Audit Dimensions'!A:A,'Audit Dimensions'!C:C,0)</f>
        <v>107</v>
      </c>
      <c r="D162" s="190">
        <f>_xlfn.XLOOKUP(Table1[[#This Row],[MTP SKU Code]],'Audit Dimensions'!$A:$A,'Audit Dimensions'!D:D,0)</f>
        <v>27</v>
      </c>
      <c r="E162" s="190">
        <f>_xlfn.XLOOKUP(Table1[[#This Row],[MTP SKU Code]],'Audit Dimensions'!$A:$A,'Audit Dimensions'!E:E,0)</f>
        <v>4</v>
      </c>
      <c r="F162" s="190">
        <f>_xlfn.XLOOKUP(Table1[[#This Row],[MTP SKU Code]],'Audit Dimensions'!$A:$A,'Audit Dimensions'!F:F,0)</f>
        <v>3850</v>
      </c>
      <c r="G162" s="190">
        <f>_xlfn.XLOOKUP(Table1[[#This Row],[MTP SKU Code]],'Audit Dimensions'!$A:$A,'Audit Dimensions'!G:G,0)</f>
        <v>0</v>
      </c>
      <c r="H162" s="190">
        <f>_xlfn.XLOOKUP(Table1[[#This Row],[MTP SKU Code]],'Audit Dimensions'!$A:$A,'Audit Dimensions'!H:H,0)</f>
        <v>0</v>
      </c>
      <c r="I162" s="190">
        <f>_xlfn.XLOOKUP(Table1[[#This Row],[MTP SKU Code]],'Audit Dimensions'!$A:$A,'Audit Dimensions'!I:I,0)</f>
        <v>0</v>
      </c>
      <c r="J162" s="190">
        <f>_xlfn.XLOOKUP(Table1[[#This Row],[MTP SKU Code]],'Audit Dimensions'!$A:$A,'Audit Dimensions'!J:J,0)</f>
        <v>0</v>
      </c>
      <c r="K162" s="190">
        <f>_xlfn.XLOOKUP(Table1[[#This Row],[MTP SKU Code]],'Audit Dimensions'!$A:$A,'Audit Dimensions'!K:K,0)</f>
        <v>0</v>
      </c>
      <c r="L162" s="190">
        <f>_xlfn.XLOOKUP(Table1[[#This Row],[MTP SKU Code]],'Audit Dimensions'!$A:$A,'Audit Dimensions'!L:L,0)</f>
        <v>0</v>
      </c>
      <c r="M162" s="190">
        <f>_xlfn.XLOOKUP(Table1[[#This Row],[MTP SKU Code]],'Audit Dimensions'!$A:$A,'Audit Dimensions'!M:M,0)</f>
        <v>0</v>
      </c>
      <c r="N162" s="190">
        <f>_xlfn.XLOOKUP(Table1[[#This Row],[MTP SKU Code]],'Audit Dimensions'!$A:$A,'Audit Dimensions'!N:N,0)</f>
        <v>0</v>
      </c>
      <c r="O162" s="118">
        <f>((IFERROR((C162*D162*E162),0)+IFERROR((G162*H162*I162),0)+IFERROR((K162*L162*M162),0))/1000000)*35.32</f>
        <v>0.40815792000000001</v>
      </c>
      <c r="P162" s="125">
        <f>Table1[[#This Row],[Column15]]*$P$2*1000</f>
        <v>2448.9475199999997</v>
      </c>
      <c r="Q162" s="87">
        <f>F162+J162+N162</f>
        <v>3850</v>
      </c>
      <c r="R162" s="86">
        <f>MAX(Q162,O162)</f>
        <v>3850</v>
      </c>
      <c r="S162" s="86">
        <f>MAX(R162,P162)</f>
        <v>3850</v>
      </c>
      <c r="T162" s="156" t="str">
        <f>VLOOKUP(A162,'[1]MTP SKUs - Master Data'!$A:$B,2,FALSE)</f>
        <v>Y</v>
      </c>
      <c r="U162" s="162">
        <f>_xlfn.IFNA(VLOOKUP(Table1[[#This Row],[MTP SKU Code]],'Audit Dimensions'!A:N,6,FALSE),"ARC")</f>
        <v>3850</v>
      </c>
      <c r="V162" s="162">
        <f>IFERROR(Table1[[#This Row],[B1.Aud]]-Table1[[#This Row],[PW(gm)]],"ERR")</f>
        <v>0</v>
      </c>
      <c r="W162" s="165">
        <f>IFERROR(Table1[[#This Row],[B1.Diff]]/Table1[[#This Row],[B1.Aud]],"ERR")</f>
        <v>0</v>
      </c>
      <c r="X162" s="162">
        <f>_xlfn.IFNA(VLOOKUP(Table1[[#This Row],[MTP SKU Code]],'Audit Dimensions'!A:N,10,FALSE),"ARC")</f>
        <v>0</v>
      </c>
      <c r="Y162" s="163">
        <f>IFERROR(Table1[[#This Row],[B2.Aud]]-Table1[[#This Row],[PW(gm)5]],"ERR")</f>
        <v>0</v>
      </c>
      <c r="Z162" s="165" t="str">
        <f>IFERROR(Table1[[#This Row],[B2.Diff]]/Table1[[#This Row],[B2.Aud]],"NA")</f>
        <v>NA</v>
      </c>
      <c r="AA162" s="162">
        <f>_xlfn.IFNA(VLOOKUP(Table1[[#This Row],[MTP SKU Code]],'Audit Dimensions'!A:N,14,FALSE),"ARC")</f>
        <v>0</v>
      </c>
      <c r="AB162" s="161">
        <f>IFERROR(Table1[[#This Row],[B3.Aud]]-Table1[[#This Row],[PW(gm)9]],"ERR")</f>
        <v>0</v>
      </c>
      <c r="AC162" s="168">
        <f>IFERROR(Table1[[#This Row],[B3.Diff]]/Table1[[#This Row],[BaLL.Aud]],"ERR")</f>
        <v>0</v>
      </c>
      <c r="AD162" s="189">
        <f>_xlfn.IFNA(VLOOKUP(Table1[[#This Row],[MTP SKU Code]],'Audit Dimensions'!A:U,16,FALSE),"ARC")</f>
        <v>3850</v>
      </c>
      <c r="AE162" s="165">
        <f>IFERROR(1-Table1[[#This Row],[Gms]]/Table1[[#This Row],[BaLL.Aud]],"ERR")</f>
        <v>0</v>
      </c>
    </row>
    <row r="163" spans="1:31" ht="14.45" customHeight="1">
      <c r="A163" s="68" t="s">
        <v>208</v>
      </c>
      <c r="B163" s="84" t="s">
        <v>48</v>
      </c>
      <c r="C163" s="190">
        <f>_xlfn.XLOOKUP(Table1[[#This Row],[MTP SKU Code]],'Audit Dimensions'!A:A,'Audit Dimensions'!C:C,0)</f>
        <v>46</v>
      </c>
      <c r="D163" s="190">
        <f>_xlfn.XLOOKUP(Table1[[#This Row],[MTP SKU Code]],'Audit Dimensions'!$A:$A,'Audit Dimensions'!D:D,0)</f>
        <v>45</v>
      </c>
      <c r="E163" s="190">
        <f>_xlfn.XLOOKUP(Table1[[#This Row],[MTP SKU Code]],'Audit Dimensions'!$A:$A,'Audit Dimensions'!E:E,0)</f>
        <v>8</v>
      </c>
      <c r="F163" s="190">
        <v>6900</v>
      </c>
      <c r="G163" s="190">
        <f>_xlfn.XLOOKUP(Table1[[#This Row],[MTP SKU Code]],'Audit Dimensions'!$A:$A,'Audit Dimensions'!G:G,0)</f>
        <v>0</v>
      </c>
      <c r="H163" s="190">
        <f>_xlfn.XLOOKUP(Table1[[#This Row],[MTP SKU Code]],'Audit Dimensions'!$A:$A,'Audit Dimensions'!H:H,0)</f>
        <v>0</v>
      </c>
      <c r="I163" s="190">
        <f>_xlfn.XLOOKUP(Table1[[#This Row],[MTP SKU Code]],'Audit Dimensions'!$A:$A,'Audit Dimensions'!I:I,0)</f>
        <v>0</v>
      </c>
      <c r="J163" s="190">
        <f>_xlfn.XLOOKUP(Table1[[#This Row],[MTP SKU Code]],'Audit Dimensions'!$A:$A,'Audit Dimensions'!J:J,0)</f>
        <v>0</v>
      </c>
      <c r="K163" s="190">
        <f>_xlfn.XLOOKUP(Table1[[#This Row],[MTP SKU Code]],'Audit Dimensions'!$A:$A,'Audit Dimensions'!K:K,0)</f>
        <v>0</v>
      </c>
      <c r="L163" s="190">
        <f>_xlfn.XLOOKUP(Table1[[#This Row],[MTP SKU Code]],'Audit Dimensions'!$A:$A,'Audit Dimensions'!L:L,0)</f>
        <v>0</v>
      </c>
      <c r="M163" s="190">
        <f>_xlfn.XLOOKUP(Table1[[#This Row],[MTP SKU Code]],'Audit Dimensions'!$A:$A,'Audit Dimensions'!M:M,0)</f>
        <v>0</v>
      </c>
      <c r="N163" s="190">
        <f>_xlfn.XLOOKUP(Table1[[#This Row],[MTP SKU Code]],'Audit Dimensions'!$A:$A,'Audit Dimensions'!N:N,0)</f>
        <v>0</v>
      </c>
      <c r="O163" s="118">
        <f>((IFERROR((C163*D163*E163),0)+IFERROR((G163*H163*I163),0)+IFERROR((K163*L163*M163),0))/1000000)*35.32</f>
        <v>0.58489919999999995</v>
      </c>
      <c r="P163" s="125">
        <f>Table1[[#This Row],[Column15]]*$P$2*1000</f>
        <v>3509.3951999999999</v>
      </c>
      <c r="Q163" s="87">
        <f>F163+J163+N163</f>
        <v>6900</v>
      </c>
      <c r="R163" s="86">
        <f>MAX(Q163,O163)</f>
        <v>6900</v>
      </c>
      <c r="S163" s="86">
        <f>MAX(R163,P163)</f>
        <v>6900</v>
      </c>
      <c r="T163" s="156" t="str">
        <f>VLOOKUP(A163,'[1]MTP SKUs - Master Data'!$A:$B,2,FALSE)</f>
        <v>Y</v>
      </c>
      <c r="U163" s="162">
        <f>_xlfn.IFNA(VLOOKUP(Table1[[#This Row],[MTP SKU Code]],'Audit Dimensions'!A:N,6,FALSE),"ARC")</f>
        <v>7700</v>
      </c>
      <c r="V163" s="162">
        <f>IFERROR(Table1[[#This Row],[B1.Aud]]-Table1[[#This Row],[PW(gm)]],"ERR")</f>
        <v>800</v>
      </c>
      <c r="W163" s="165">
        <f>IFERROR(Table1[[#This Row],[B1.Diff]]/Table1[[#This Row],[B1.Aud]],"ERR")</f>
        <v>0.1038961038961039</v>
      </c>
      <c r="X163" s="162">
        <f>_xlfn.IFNA(VLOOKUP(Table1[[#This Row],[MTP SKU Code]],'Audit Dimensions'!A:N,10,FALSE),"ARC")</f>
        <v>0</v>
      </c>
      <c r="Y163" s="163">
        <f>IFERROR(Table1[[#This Row],[B2.Aud]]-Table1[[#This Row],[PW(gm)5]],"ERR")</f>
        <v>0</v>
      </c>
      <c r="Z163" s="165" t="str">
        <f>IFERROR(Table1[[#This Row],[B2.Diff]]/Table1[[#This Row],[B2.Aud]],"NA")</f>
        <v>NA</v>
      </c>
      <c r="AA163" s="162">
        <f>_xlfn.IFNA(VLOOKUP(Table1[[#This Row],[MTP SKU Code]],'Audit Dimensions'!A:N,14,FALSE),"ARC")</f>
        <v>0</v>
      </c>
      <c r="AB163" s="161">
        <f>IFERROR(Table1[[#This Row],[B3.Aud]]-Table1[[#This Row],[PW(gm)9]],"ERR")</f>
        <v>0</v>
      </c>
      <c r="AC163" s="168">
        <f>IFERROR(Table1[[#This Row],[B3.Diff]]/Table1[[#This Row],[BaLL.Aud]],"ERR")</f>
        <v>0</v>
      </c>
      <c r="AD163" s="189">
        <f>_xlfn.IFNA(VLOOKUP(Table1[[#This Row],[MTP SKU Code]],'Audit Dimensions'!A:U,16,FALSE),"ARC")</f>
        <v>7700</v>
      </c>
      <c r="AE163" s="165">
        <f>IFERROR(1-Table1[[#This Row],[Gms]]/Table1[[#This Row],[BaLL.Aud]],"ERR")</f>
        <v>0.10389610389610393</v>
      </c>
    </row>
    <row r="164" spans="1:31">
      <c r="A164" s="68" t="s">
        <v>209</v>
      </c>
      <c r="B164" s="84" t="s">
        <v>48</v>
      </c>
      <c r="C164" s="190">
        <f>_xlfn.XLOOKUP(Table1[[#This Row],[MTP SKU Code]],'Audit Dimensions'!A:A,'Audit Dimensions'!C:C,0)</f>
        <v>51</v>
      </c>
      <c r="D164" s="190">
        <f>_xlfn.XLOOKUP(Table1[[#This Row],[MTP SKU Code]],'Audit Dimensions'!$A:$A,'Audit Dimensions'!D:D,0)</f>
        <v>30</v>
      </c>
      <c r="E164" s="190">
        <v>9</v>
      </c>
      <c r="F164" s="190">
        <f>_xlfn.XLOOKUP(Table1[[#This Row],[MTP SKU Code]],'Audit Dimensions'!$A:$A,'Audit Dimensions'!F:F,0)</f>
        <v>3630</v>
      </c>
      <c r="G164" s="190">
        <f>_xlfn.XLOOKUP(Table1[[#This Row],[MTP SKU Code]],'Audit Dimensions'!$A:$A,'Audit Dimensions'!G:G,0)</f>
        <v>0</v>
      </c>
      <c r="H164" s="190">
        <f>_xlfn.XLOOKUP(Table1[[#This Row],[MTP SKU Code]],'Audit Dimensions'!$A:$A,'Audit Dimensions'!H:H,0)</f>
        <v>0</v>
      </c>
      <c r="I164" s="190">
        <f>_xlfn.XLOOKUP(Table1[[#This Row],[MTP SKU Code]],'Audit Dimensions'!$A:$A,'Audit Dimensions'!I:I,0)</f>
        <v>0</v>
      </c>
      <c r="J164" s="190">
        <f>_xlfn.XLOOKUP(Table1[[#This Row],[MTP SKU Code]],'Audit Dimensions'!$A:$A,'Audit Dimensions'!J:J,0)</f>
        <v>0</v>
      </c>
      <c r="K164" s="190">
        <f>_xlfn.XLOOKUP(Table1[[#This Row],[MTP SKU Code]],'Audit Dimensions'!$A:$A,'Audit Dimensions'!K:K,0)</f>
        <v>0</v>
      </c>
      <c r="L164" s="190">
        <f>_xlfn.XLOOKUP(Table1[[#This Row],[MTP SKU Code]],'Audit Dimensions'!$A:$A,'Audit Dimensions'!L:L,0)</f>
        <v>0</v>
      </c>
      <c r="M164" s="190">
        <f>_xlfn.XLOOKUP(Table1[[#This Row],[MTP SKU Code]],'Audit Dimensions'!$A:$A,'Audit Dimensions'!M:M,0)</f>
        <v>0</v>
      </c>
      <c r="N164" s="190">
        <f>_xlfn.XLOOKUP(Table1[[#This Row],[MTP SKU Code]],'Audit Dimensions'!$A:$A,'Audit Dimensions'!N:N,0)</f>
        <v>0</v>
      </c>
      <c r="O164" s="118">
        <f>((IFERROR((C164*D164*E164),0)+IFERROR((G164*H164*I164),0)+IFERROR((K164*L164*M164),0))/1000000)*35.32</f>
        <v>0.48635639999999997</v>
      </c>
      <c r="P164" s="125">
        <f>Table1[[#This Row],[Column15]]*$P$2*1000</f>
        <v>2918.1383999999998</v>
      </c>
      <c r="Q164" s="87">
        <f>F164+J164+N164</f>
        <v>3630</v>
      </c>
      <c r="R164" s="88">
        <f>MAX(Q164,O164)</f>
        <v>3630</v>
      </c>
      <c r="S164" s="86">
        <f>MAX(R164,P164)</f>
        <v>3630</v>
      </c>
      <c r="T164" s="156" t="str">
        <f>VLOOKUP(A164,'[1]MTP SKUs - Master Data'!$A:$B,2,FALSE)</f>
        <v>Y</v>
      </c>
      <c r="U164" s="162">
        <f>_xlfn.IFNA(VLOOKUP(Table1[[#This Row],[MTP SKU Code]],'Audit Dimensions'!A:N,6,FALSE),"ARC")</f>
        <v>3630</v>
      </c>
      <c r="V164" s="162">
        <f>IFERROR(Table1[[#This Row],[B1.Aud]]-Table1[[#This Row],[PW(gm)]],"ERR")</f>
        <v>0</v>
      </c>
      <c r="W164" s="165">
        <f>IFERROR(Table1[[#This Row],[B1.Diff]]/Table1[[#This Row],[B1.Aud]],"ERR")</f>
        <v>0</v>
      </c>
      <c r="X164" s="162">
        <f>_xlfn.IFNA(VLOOKUP(Table1[[#This Row],[MTP SKU Code]],'Audit Dimensions'!A:N,10,FALSE),"ARC")</f>
        <v>0</v>
      </c>
      <c r="Y164" s="163">
        <f>IFERROR(Table1[[#This Row],[B2.Aud]]-Table1[[#This Row],[PW(gm)5]],"ERR")</f>
        <v>0</v>
      </c>
      <c r="Z164" s="165" t="str">
        <f>IFERROR(Table1[[#This Row],[B2.Diff]]/Table1[[#This Row],[B2.Aud]],"NA")</f>
        <v>NA</v>
      </c>
      <c r="AA164" s="162">
        <f>_xlfn.IFNA(VLOOKUP(Table1[[#This Row],[MTP SKU Code]],'Audit Dimensions'!A:N,14,FALSE),"ARC")</f>
        <v>0</v>
      </c>
      <c r="AB164" s="161">
        <f>IFERROR(Table1[[#This Row],[B3.Aud]]-Table1[[#This Row],[PW(gm)9]],"ERR")</f>
        <v>0</v>
      </c>
      <c r="AC164" s="168">
        <f>IFERROR(Table1[[#This Row],[B3.Diff]]/Table1[[#This Row],[BaLL.Aud]],"ERR")</f>
        <v>0</v>
      </c>
      <c r="AD164" s="189">
        <f>_xlfn.IFNA(VLOOKUP(Table1[[#This Row],[MTP SKU Code]],'Audit Dimensions'!A:U,16,FALSE),"ARC")</f>
        <v>3630</v>
      </c>
      <c r="AE164" s="165">
        <f>IFERROR(1-Table1[[#This Row],[Gms]]/Table1[[#This Row],[BaLL.Aud]],"ERR")</f>
        <v>0</v>
      </c>
    </row>
    <row r="165" spans="1:31" ht="14.45" customHeight="1">
      <c r="A165" s="68" t="s">
        <v>210</v>
      </c>
      <c r="B165" s="84" t="s">
        <v>48</v>
      </c>
      <c r="C165" s="190">
        <f>_xlfn.XLOOKUP(Table1[[#This Row],[MTP SKU Code]],'Audit Dimensions'!A:A,'Audit Dimensions'!C:C,0)</f>
        <v>134</v>
      </c>
      <c r="D165" s="190">
        <f>_xlfn.XLOOKUP(Table1[[#This Row],[MTP SKU Code]],'Audit Dimensions'!$A:$A,'Audit Dimensions'!D:D,0)</f>
        <v>28</v>
      </c>
      <c r="E165" s="190">
        <f>_xlfn.XLOOKUP(Table1[[#This Row],[MTP SKU Code]],'Audit Dimensions'!$A:$A,'Audit Dimensions'!E:E,0)</f>
        <v>8</v>
      </c>
      <c r="F165" s="190">
        <v>11890</v>
      </c>
      <c r="G165" s="190">
        <f>_xlfn.XLOOKUP(Table1[[#This Row],[MTP SKU Code]],'Audit Dimensions'!$A:$A,'Audit Dimensions'!G:G,0)</f>
        <v>0</v>
      </c>
      <c r="H165" s="190">
        <f>_xlfn.XLOOKUP(Table1[[#This Row],[MTP SKU Code]],'Audit Dimensions'!$A:$A,'Audit Dimensions'!H:H,0)</f>
        <v>0</v>
      </c>
      <c r="I165" s="190">
        <f>_xlfn.XLOOKUP(Table1[[#This Row],[MTP SKU Code]],'Audit Dimensions'!$A:$A,'Audit Dimensions'!I:I,0)</f>
        <v>0</v>
      </c>
      <c r="J165" s="190">
        <f>_xlfn.XLOOKUP(Table1[[#This Row],[MTP SKU Code]],'Audit Dimensions'!$A:$A,'Audit Dimensions'!J:J,0)</f>
        <v>0</v>
      </c>
      <c r="K165" s="190">
        <f>_xlfn.XLOOKUP(Table1[[#This Row],[MTP SKU Code]],'Audit Dimensions'!$A:$A,'Audit Dimensions'!K:K,0)</f>
        <v>0</v>
      </c>
      <c r="L165" s="190">
        <f>_xlfn.XLOOKUP(Table1[[#This Row],[MTP SKU Code]],'Audit Dimensions'!$A:$A,'Audit Dimensions'!L:L,0)</f>
        <v>0</v>
      </c>
      <c r="M165" s="190">
        <f>_xlfn.XLOOKUP(Table1[[#This Row],[MTP SKU Code]],'Audit Dimensions'!$A:$A,'Audit Dimensions'!M:M,0)</f>
        <v>0</v>
      </c>
      <c r="N165" s="190">
        <f>_xlfn.XLOOKUP(Table1[[#This Row],[MTP SKU Code]],'Audit Dimensions'!$A:$A,'Audit Dimensions'!N:N,0)</f>
        <v>0</v>
      </c>
      <c r="O165" s="118">
        <f>((IFERROR((C165*D165*E165),0)+IFERROR((G165*H165*I165),0)+IFERROR((K165*L165*M165),0))/1000000)*35.32</f>
        <v>1.06016512</v>
      </c>
      <c r="P165" s="125">
        <f>Table1[[#This Row],[Column15]]*$P$2*1000</f>
        <v>6360.9907199999998</v>
      </c>
      <c r="Q165" s="87">
        <f>F165+J165+N165</f>
        <v>11890</v>
      </c>
      <c r="R165" s="86">
        <f>MAX(Q165,O165)</f>
        <v>11890</v>
      </c>
      <c r="S165" s="86">
        <f>MAX(R165,P165)</f>
        <v>11890</v>
      </c>
      <c r="T165" s="156" t="str">
        <f>VLOOKUP(A165,'[1]MTP SKUs - Master Data'!$A:$B,2,FALSE)</f>
        <v>Y</v>
      </c>
      <c r="U165" s="162">
        <f>_xlfn.IFNA(VLOOKUP(Table1[[#This Row],[MTP SKU Code]],'Audit Dimensions'!A:N,6,FALSE),"ARC")</f>
        <v>12200</v>
      </c>
      <c r="V165" s="162">
        <f>IFERROR(Table1[[#This Row],[B1.Aud]]-Table1[[#This Row],[PW(gm)]],"ERR")</f>
        <v>310</v>
      </c>
      <c r="W165" s="165">
        <f>IFERROR(Table1[[#This Row],[B1.Diff]]/Table1[[#This Row],[B1.Aud]],"ERR")</f>
        <v>2.540983606557377E-2</v>
      </c>
      <c r="X165" s="162">
        <f>_xlfn.IFNA(VLOOKUP(Table1[[#This Row],[MTP SKU Code]],'Audit Dimensions'!A:N,10,FALSE),"ARC")</f>
        <v>0</v>
      </c>
      <c r="Y165" s="163">
        <f>IFERROR(Table1[[#This Row],[B2.Aud]]-Table1[[#This Row],[PW(gm)5]],"ERR")</f>
        <v>0</v>
      </c>
      <c r="Z165" s="165" t="str">
        <f>IFERROR(Table1[[#This Row],[B2.Diff]]/Table1[[#This Row],[B2.Aud]],"NA")</f>
        <v>NA</v>
      </c>
      <c r="AA165" s="162">
        <f>_xlfn.IFNA(VLOOKUP(Table1[[#This Row],[MTP SKU Code]],'Audit Dimensions'!A:N,14,FALSE),"ARC")</f>
        <v>0</v>
      </c>
      <c r="AB165" s="161">
        <f>IFERROR(Table1[[#This Row],[B3.Aud]]-Table1[[#This Row],[PW(gm)9]],"ERR")</f>
        <v>0</v>
      </c>
      <c r="AC165" s="168">
        <f>IFERROR(Table1[[#This Row],[B3.Diff]]/Table1[[#This Row],[BaLL.Aud]],"ERR")</f>
        <v>0</v>
      </c>
      <c r="AD165" s="189">
        <f>_xlfn.IFNA(VLOOKUP(Table1[[#This Row],[MTP SKU Code]],'Audit Dimensions'!A:U,16,FALSE),"ARC")</f>
        <v>12200</v>
      </c>
      <c r="AE165" s="165">
        <f>IFERROR(1-Table1[[#This Row],[Gms]]/Table1[[#This Row],[BaLL.Aud]],"ERR")</f>
        <v>2.5409836065573788E-2</v>
      </c>
    </row>
    <row r="166" spans="1:31">
      <c r="A166" s="68" t="s">
        <v>211</v>
      </c>
      <c r="B166" s="84" t="s">
        <v>48</v>
      </c>
      <c r="C166" s="190">
        <f>_xlfn.XLOOKUP(Table1[[#This Row],[MTP SKU Code]],'Audit Dimensions'!A:A,'Audit Dimensions'!C:C,0)</f>
        <v>155</v>
      </c>
      <c r="D166" s="190">
        <f>_xlfn.XLOOKUP(Table1[[#This Row],[MTP SKU Code]],'Audit Dimensions'!$A:$A,'Audit Dimensions'!D:D,0)</f>
        <v>45</v>
      </c>
      <c r="E166" s="190">
        <f>_xlfn.XLOOKUP(Table1[[#This Row],[MTP SKU Code]],'Audit Dimensions'!$A:$A,'Audit Dimensions'!E:E,0)</f>
        <v>9</v>
      </c>
      <c r="F166" s="190">
        <v>28700</v>
      </c>
      <c r="G166" s="190">
        <f>_xlfn.XLOOKUP(Table1[[#This Row],[MTP SKU Code]],'Audit Dimensions'!$A:$A,'Audit Dimensions'!G:G,0)</f>
        <v>0</v>
      </c>
      <c r="H166" s="190">
        <f>_xlfn.XLOOKUP(Table1[[#This Row],[MTP SKU Code]],'Audit Dimensions'!$A:$A,'Audit Dimensions'!H:H,0)</f>
        <v>0</v>
      </c>
      <c r="I166" s="190">
        <f>_xlfn.XLOOKUP(Table1[[#This Row],[MTP SKU Code]],'Audit Dimensions'!$A:$A,'Audit Dimensions'!I:I,0)</f>
        <v>0</v>
      </c>
      <c r="J166" s="190">
        <f>_xlfn.XLOOKUP(Table1[[#This Row],[MTP SKU Code]],'Audit Dimensions'!$A:$A,'Audit Dimensions'!J:J,0)</f>
        <v>0</v>
      </c>
      <c r="K166" s="190">
        <f>_xlfn.XLOOKUP(Table1[[#This Row],[MTP SKU Code]],'Audit Dimensions'!$A:$A,'Audit Dimensions'!K:K,0)</f>
        <v>0</v>
      </c>
      <c r="L166" s="190">
        <f>_xlfn.XLOOKUP(Table1[[#This Row],[MTP SKU Code]],'Audit Dimensions'!$A:$A,'Audit Dimensions'!L:L,0)</f>
        <v>0</v>
      </c>
      <c r="M166" s="190">
        <f>_xlfn.XLOOKUP(Table1[[#This Row],[MTP SKU Code]],'Audit Dimensions'!$A:$A,'Audit Dimensions'!M:M,0)</f>
        <v>0</v>
      </c>
      <c r="N166" s="190">
        <f>_xlfn.XLOOKUP(Table1[[#This Row],[MTP SKU Code]],'Audit Dimensions'!$A:$A,'Audit Dimensions'!N:N,0)</f>
        <v>0</v>
      </c>
      <c r="O166" s="118">
        <f>((IFERROR((C166*D166*E166),0)+IFERROR((G166*H166*I166),0)+IFERROR((K166*L166*M166),0))/1000000)*35.32</f>
        <v>2.2172130000000001</v>
      </c>
      <c r="P166" s="125">
        <f>Table1[[#This Row],[Column15]]*$P$2*1000</f>
        <v>13303.278</v>
      </c>
      <c r="Q166" s="87">
        <f>F166+J166+N166</f>
        <v>28700</v>
      </c>
      <c r="R166" s="86">
        <f>MAX(Q166,O166)</f>
        <v>28700</v>
      </c>
      <c r="S166" s="86">
        <f>MAX(R166,P166)</f>
        <v>28700</v>
      </c>
      <c r="T166" s="156" t="str">
        <f>VLOOKUP(A166,'[1]MTP SKUs - Master Data'!$A:$B,2,FALSE)</f>
        <v>Y</v>
      </c>
      <c r="U166" s="162">
        <f>_xlfn.IFNA(VLOOKUP(Table1[[#This Row],[MTP SKU Code]],'Audit Dimensions'!A:N,6,FALSE),"ARC")</f>
        <v>30310</v>
      </c>
      <c r="V166" s="162">
        <f>IFERROR(Table1[[#This Row],[B1.Aud]]-Table1[[#This Row],[PW(gm)]],"ERR")</f>
        <v>1610</v>
      </c>
      <c r="W166" s="165">
        <f>IFERROR(Table1[[#This Row],[B1.Diff]]/Table1[[#This Row],[B1.Aud]],"ERR")</f>
        <v>5.3117782909930716E-2</v>
      </c>
      <c r="X166" s="162">
        <f>_xlfn.IFNA(VLOOKUP(Table1[[#This Row],[MTP SKU Code]],'Audit Dimensions'!A:N,10,FALSE),"ARC")</f>
        <v>0</v>
      </c>
      <c r="Y166" s="163">
        <f>IFERROR(Table1[[#This Row],[B2.Aud]]-Table1[[#This Row],[PW(gm)5]],"ERR")</f>
        <v>0</v>
      </c>
      <c r="Z166" s="165" t="str">
        <f>IFERROR(Table1[[#This Row],[B2.Diff]]/Table1[[#This Row],[B2.Aud]],"NA")</f>
        <v>NA</v>
      </c>
      <c r="AA166" s="162">
        <f>_xlfn.IFNA(VLOOKUP(Table1[[#This Row],[MTP SKU Code]],'Audit Dimensions'!A:N,14,FALSE),"ARC")</f>
        <v>0</v>
      </c>
      <c r="AB166" s="161">
        <f>IFERROR(Table1[[#This Row],[B3.Aud]]-Table1[[#This Row],[PW(gm)9]],"ERR")</f>
        <v>0</v>
      </c>
      <c r="AC166" s="168">
        <f>IFERROR(Table1[[#This Row],[B3.Diff]]/Table1[[#This Row],[BaLL.Aud]],"ERR")</f>
        <v>0</v>
      </c>
      <c r="AD166" s="189">
        <f>_xlfn.IFNA(VLOOKUP(Table1[[#This Row],[MTP SKU Code]],'Audit Dimensions'!A:U,16,FALSE),"ARC")</f>
        <v>30310</v>
      </c>
      <c r="AE166" s="165">
        <f>IFERROR(1-Table1[[#This Row],[Gms]]/Table1[[#This Row],[BaLL.Aud]],"ERR")</f>
        <v>5.3117782909930744E-2</v>
      </c>
    </row>
    <row r="167" spans="1:31" ht="14.45" customHeight="1">
      <c r="A167" s="68" t="s">
        <v>212</v>
      </c>
      <c r="B167" s="84" t="s">
        <v>48</v>
      </c>
      <c r="C167" s="190">
        <f>_xlfn.XLOOKUP(Table1[[#This Row],[MTP SKU Code]],'Audit Dimensions'!A:A,'Audit Dimensions'!C:C,0)</f>
        <v>74</v>
      </c>
      <c r="D167" s="190">
        <f>_xlfn.XLOOKUP(Table1[[#This Row],[MTP SKU Code]],'Audit Dimensions'!$A:$A,'Audit Dimensions'!D:D,0)</f>
        <v>52</v>
      </c>
      <c r="E167" s="190">
        <f>_xlfn.XLOOKUP(Table1[[#This Row],[MTP SKU Code]],'Audit Dimensions'!$A:$A,'Audit Dimensions'!E:E,0)</f>
        <v>7</v>
      </c>
      <c r="F167" s="190">
        <f>_xlfn.XLOOKUP(Table1[[#This Row],[MTP SKU Code]],'Audit Dimensions'!$A:$A,'Audit Dimensions'!F:F,0)</f>
        <v>8860</v>
      </c>
      <c r="G167" s="190">
        <f>_xlfn.XLOOKUP(Table1[[#This Row],[MTP SKU Code]],'Audit Dimensions'!$A:$A,'Audit Dimensions'!G:G,0)</f>
        <v>0</v>
      </c>
      <c r="H167" s="190">
        <f>_xlfn.XLOOKUP(Table1[[#This Row],[MTP SKU Code]],'Audit Dimensions'!$A:$A,'Audit Dimensions'!H:H,0)</f>
        <v>0</v>
      </c>
      <c r="I167" s="190">
        <f>_xlfn.XLOOKUP(Table1[[#This Row],[MTP SKU Code]],'Audit Dimensions'!$A:$A,'Audit Dimensions'!I:I,0)</f>
        <v>0</v>
      </c>
      <c r="J167" s="190">
        <f>_xlfn.XLOOKUP(Table1[[#This Row],[MTP SKU Code]],'Audit Dimensions'!$A:$A,'Audit Dimensions'!J:J,0)</f>
        <v>0</v>
      </c>
      <c r="K167" s="190">
        <f>_xlfn.XLOOKUP(Table1[[#This Row],[MTP SKU Code]],'Audit Dimensions'!$A:$A,'Audit Dimensions'!K:K,0)</f>
        <v>0</v>
      </c>
      <c r="L167" s="190">
        <f>_xlfn.XLOOKUP(Table1[[#This Row],[MTP SKU Code]],'Audit Dimensions'!$A:$A,'Audit Dimensions'!L:L,0)</f>
        <v>0</v>
      </c>
      <c r="M167" s="190">
        <f>_xlfn.XLOOKUP(Table1[[#This Row],[MTP SKU Code]],'Audit Dimensions'!$A:$A,'Audit Dimensions'!M:M,0)</f>
        <v>0</v>
      </c>
      <c r="N167" s="190">
        <f>_xlfn.XLOOKUP(Table1[[#This Row],[MTP SKU Code]],'Audit Dimensions'!$A:$A,'Audit Dimensions'!N:N,0)</f>
        <v>0</v>
      </c>
      <c r="O167" s="118">
        <f>((IFERROR((C167*D167*E167),0)+IFERROR((G167*H167*I167),0)+IFERROR((K167*L167*M167),0))/1000000)*35.32</f>
        <v>0.95137952000000003</v>
      </c>
      <c r="P167" s="125">
        <f>Table1[[#This Row],[Column15]]*$P$2*1000</f>
        <v>5708.2771199999997</v>
      </c>
      <c r="Q167" s="87">
        <f>F167+J167+N167</f>
        <v>8860</v>
      </c>
      <c r="R167" s="86">
        <f>MAX(Q167,O167)</f>
        <v>8860</v>
      </c>
      <c r="S167" s="86">
        <f>MAX(R167,P167)</f>
        <v>8860</v>
      </c>
      <c r="T167" s="156" t="str">
        <f>VLOOKUP(A167,'[1]MTP SKUs - Master Data'!$A:$B,2,FALSE)</f>
        <v>Y</v>
      </c>
      <c r="U167" s="162">
        <f>_xlfn.IFNA(VLOOKUP(Table1[[#This Row],[MTP SKU Code]],'Audit Dimensions'!A:N,6,FALSE),"ARC")</f>
        <v>8860</v>
      </c>
      <c r="V167" s="162">
        <f>IFERROR(Table1[[#This Row],[B1.Aud]]-Table1[[#This Row],[PW(gm)]],"ERR")</f>
        <v>0</v>
      </c>
      <c r="W167" s="165">
        <f>IFERROR(Table1[[#This Row],[B1.Diff]]/Table1[[#This Row],[B1.Aud]],"ERR")</f>
        <v>0</v>
      </c>
      <c r="X167" s="162">
        <f>_xlfn.IFNA(VLOOKUP(Table1[[#This Row],[MTP SKU Code]],'Audit Dimensions'!A:N,10,FALSE),"ARC")</f>
        <v>0</v>
      </c>
      <c r="Y167" s="163">
        <f>IFERROR(Table1[[#This Row],[B2.Aud]]-Table1[[#This Row],[PW(gm)5]],"ERR")</f>
        <v>0</v>
      </c>
      <c r="Z167" s="165" t="str">
        <f>IFERROR(Table1[[#This Row],[B2.Diff]]/Table1[[#This Row],[B2.Aud]],"NA")</f>
        <v>NA</v>
      </c>
      <c r="AA167" s="162">
        <f>_xlfn.IFNA(VLOOKUP(Table1[[#This Row],[MTP SKU Code]],'Audit Dimensions'!A:N,14,FALSE),"ARC")</f>
        <v>0</v>
      </c>
      <c r="AB167" s="161">
        <f>IFERROR(Table1[[#This Row],[B3.Aud]]-Table1[[#This Row],[PW(gm)9]],"ERR")</f>
        <v>0</v>
      </c>
      <c r="AC167" s="168">
        <f>IFERROR(Table1[[#This Row],[B3.Diff]]/Table1[[#This Row],[BaLL.Aud]],"ERR")</f>
        <v>0</v>
      </c>
      <c r="AD167" s="189">
        <f>_xlfn.IFNA(VLOOKUP(Table1[[#This Row],[MTP SKU Code]],'Audit Dimensions'!A:U,16,FALSE),"ARC")</f>
        <v>8860</v>
      </c>
      <c r="AE167" s="165">
        <f>IFERROR(1-Table1[[#This Row],[Gms]]/Table1[[#This Row],[BaLL.Aud]],"ERR")</f>
        <v>0</v>
      </c>
    </row>
    <row r="168" spans="1:31">
      <c r="A168" s="91" t="s">
        <v>213</v>
      </c>
      <c r="B168" s="84" t="s">
        <v>48</v>
      </c>
      <c r="C168" s="190">
        <f>_xlfn.XLOOKUP(Table1[[#This Row],[MTP SKU Code]],'Audit Dimensions'!A:A,'Audit Dimensions'!C:C,0)</f>
        <v>83</v>
      </c>
      <c r="D168" s="190">
        <f>_xlfn.XLOOKUP(Table1[[#This Row],[MTP SKU Code]],'Audit Dimensions'!$A:$A,'Audit Dimensions'!D:D,0)</f>
        <v>41</v>
      </c>
      <c r="E168" s="190">
        <f>_xlfn.XLOOKUP(Table1[[#This Row],[MTP SKU Code]],'Audit Dimensions'!$A:$A,'Audit Dimensions'!E:E,0)</f>
        <v>14</v>
      </c>
      <c r="F168" s="190">
        <v>19750</v>
      </c>
      <c r="G168" s="190">
        <f>_xlfn.XLOOKUP(Table1[[#This Row],[MTP SKU Code]],'Audit Dimensions'!$A:$A,'Audit Dimensions'!G:G,0)</f>
        <v>0</v>
      </c>
      <c r="H168" s="190">
        <f>_xlfn.XLOOKUP(Table1[[#This Row],[MTP SKU Code]],'Audit Dimensions'!$A:$A,'Audit Dimensions'!H:H,0)</f>
        <v>0</v>
      </c>
      <c r="I168" s="190">
        <f>_xlfn.XLOOKUP(Table1[[#This Row],[MTP SKU Code]],'Audit Dimensions'!$A:$A,'Audit Dimensions'!I:I,0)</f>
        <v>0</v>
      </c>
      <c r="J168" s="190">
        <f>_xlfn.XLOOKUP(Table1[[#This Row],[MTP SKU Code]],'Audit Dimensions'!$A:$A,'Audit Dimensions'!J:J,0)</f>
        <v>0</v>
      </c>
      <c r="K168" s="190">
        <f>_xlfn.XLOOKUP(Table1[[#This Row],[MTP SKU Code]],'Audit Dimensions'!$A:$A,'Audit Dimensions'!K:K,0)</f>
        <v>0</v>
      </c>
      <c r="L168" s="190">
        <f>_xlfn.XLOOKUP(Table1[[#This Row],[MTP SKU Code]],'Audit Dimensions'!$A:$A,'Audit Dimensions'!L:L,0)</f>
        <v>0</v>
      </c>
      <c r="M168" s="190">
        <f>_xlfn.XLOOKUP(Table1[[#This Row],[MTP SKU Code]],'Audit Dimensions'!$A:$A,'Audit Dimensions'!M:M,0)</f>
        <v>0</v>
      </c>
      <c r="N168" s="190">
        <f>_xlfn.XLOOKUP(Table1[[#This Row],[MTP SKU Code]],'Audit Dimensions'!$A:$A,'Audit Dimensions'!N:N,0)</f>
        <v>0</v>
      </c>
      <c r="O168" s="118">
        <f>((IFERROR((C168*D168*E168),0)+IFERROR((G168*H168*I168),0)+IFERROR((K168*L168*M168),0))/1000000)*35.32</f>
        <v>1.68271544</v>
      </c>
      <c r="P168" s="125">
        <f>Table1[[#This Row],[Column15]]*$P$2*1000</f>
        <v>10096.29264</v>
      </c>
      <c r="Q168" s="87">
        <f>F168+J168+N168</f>
        <v>19750</v>
      </c>
      <c r="R168" s="86">
        <f>MAX(Q168,O168)</f>
        <v>19750</v>
      </c>
      <c r="S168" s="86">
        <f>MAX(R168,P168)</f>
        <v>19750</v>
      </c>
      <c r="T168" s="156" t="str">
        <f>VLOOKUP(A168,'[1]MTP SKUs - Master Data'!$A:$B,2,FALSE)</f>
        <v>Y</v>
      </c>
      <c r="U168" s="162">
        <f>_xlfn.IFNA(VLOOKUP(Table1[[#This Row],[MTP SKU Code]],'Audit Dimensions'!A:N,6,FALSE),"ARC")</f>
        <v>21300</v>
      </c>
      <c r="V168" s="162">
        <f>IFERROR(Table1[[#This Row],[B1.Aud]]-Table1[[#This Row],[PW(gm)]],"ERR")</f>
        <v>1550</v>
      </c>
      <c r="W168" s="165">
        <f>IFERROR(Table1[[#This Row],[B1.Diff]]/Table1[[#This Row],[B1.Aud]],"ERR")</f>
        <v>7.2769953051643188E-2</v>
      </c>
      <c r="X168" s="162">
        <f>_xlfn.IFNA(VLOOKUP(Table1[[#This Row],[MTP SKU Code]],'Audit Dimensions'!A:N,10,FALSE),"ARC")</f>
        <v>0</v>
      </c>
      <c r="Y168" s="163">
        <f>IFERROR(Table1[[#This Row],[B2.Aud]]-Table1[[#This Row],[PW(gm)5]],"ERR")</f>
        <v>0</v>
      </c>
      <c r="Z168" s="165" t="str">
        <f>IFERROR(Table1[[#This Row],[B2.Diff]]/Table1[[#This Row],[B2.Aud]],"NA")</f>
        <v>NA</v>
      </c>
      <c r="AA168" s="162">
        <f>_xlfn.IFNA(VLOOKUP(Table1[[#This Row],[MTP SKU Code]],'Audit Dimensions'!A:N,14,FALSE),"ARC")</f>
        <v>0</v>
      </c>
      <c r="AB168" s="161">
        <f>IFERROR(Table1[[#This Row],[B3.Aud]]-Table1[[#This Row],[PW(gm)9]],"ERR")</f>
        <v>0</v>
      </c>
      <c r="AC168" s="168">
        <f>IFERROR(Table1[[#This Row],[B3.Diff]]/Table1[[#This Row],[BaLL.Aud]],"ERR")</f>
        <v>0</v>
      </c>
      <c r="AD168" s="189">
        <f>_xlfn.IFNA(VLOOKUP(Table1[[#This Row],[MTP SKU Code]],'Audit Dimensions'!A:U,16,FALSE),"ARC")</f>
        <v>21300</v>
      </c>
      <c r="AE168" s="165">
        <f>IFERROR(1-Table1[[#This Row],[Gms]]/Table1[[#This Row],[BaLL.Aud]],"ERR")</f>
        <v>7.2769953051643244E-2</v>
      </c>
    </row>
    <row r="169" spans="1:31" ht="14.45" customHeight="1">
      <c r="A169" s="68" t="s">
        <v>214</v>
      </c>
      <c r="B169" s="84" t="s">
        <v>48</v>
      </c>
      <c r="C169" s="190">
        <f>_xlfn.XLOOKUP(Table1[[#This Row],[MTP SKU Code]],'Audit Dimensions'!A:A,'Audit Dimensions'!C:C,0)</f>
        <v>115</v>
      </c>
      <c r="D169" s="190">
        <f>_xlfn.XLOOKUP(Table1[[#This Row],[MTP SKU Code]],'Audit Dimensions'!$A:$A,'Audit Dimensions'!D:D,0)</f>
        <v>38</v>
      </c>
      <c r="E169" s="190">
        <f>_xlfn.XLOOKUP(Table1[[#This Row],[MTP SKU Code]],'Audit Dimensions'!$A:$A,'Audit Dimensions'!E:E,0)</f>
        <v>8</v>
      </c>
      <c r="F169" s="190">
        <v>11800</v>
      </c>
      <c r="G169" s="190">
        <f>_xlfn.XLOOKUP(Table1[[#This Row],[MTP SKU Code]],'Audit Dimensions'!$A:$A,'Audit Dimensions'!G:G,0)</f>
        <v>0</v>
      </c>
      <c r="H169" s="190">
        <f>_xlfn.XLOOKUP(Table1[[#This Row],[MTP SKU Code]],'Audit Dimensions'!$A:$A,'Audit Dimensions'!H:H,0)</f>
        <v>0</v>
      </c>
      <c r="I169" s="190">
        <f>_xlfn.XLOOKUP(Table1[[#This Row],[MTP SKU Code]],'Audit Dimensions'!$A:$A,'Audit Dimensions'!I:I,0)</f>
        <v>0</v>
      </c>
      <c r="J169" s="190">
        <f>_xlfn.XLOOKUP(Table1[[#This Row],[MTP SKU Code]],'Audit Dimensions'!$A:$A,'Audit Dimensions'!J:J,0)</f>
        <v>0</v>
      </c>
      <c r="K169" s="190">
        <f>_xlfn.XLOOKUP(Table1[[#This Row],[MTP SKU Code]],'Audit Dimensions'!$A:$A,'Audit Dimensions'!K:K,0)</f>
        <v>0</v>
      </c>
      <c r="L169" s="190">
        <f>_xlfn.XLOOKUP(Table1[[#This Row],[MTP SKU Code]],'Audit Dimensions'!$A:$A,'Audit Dimensions'!L:L,0)</f>
        <v>0</v>
      </c>
      <c r="M169" s="190">
        <f>_xlfn.XLOOKUP(Table1[[#This Row],[MTP SKU Code]],'Audit Dimensions'!$A:$A,'Audit Dimensions'!M:M,0)</f>
        <v>0</v>
      </c>
      <c r="N169" s="190">
        <f>_xlfn.XLOOKUP(Table1[[#This Row],[MTP SKU Code]],'Audit Dimensions'!$A:$A,'Audit Dimensions'!N:N,0)</f>
        <v>0</v>
      </c>
      <c r="O169" s="118">
        <f>((IFERROR((C169*D169*E169),0)+IFERROR((G169*H169*I169),0)+IFERROR((K169*L169*M169),0))/1000000)*35.32</f>
        <v>1.2347872</v>
      </c>
      <c r="P169" s="125">
        <f>Table1[[#This Row],[Column15]]*$P$2*1000</f>
        <v>7408.7231999999995</v>
      </c>
      <c r="Q169" s="87">
        <f>F169+J169+N169</f>
        <v>11800</v>
      </c>
      <c r="R169" s="86">
        <f>MAX(Q169,O169)</f>
        <v>11800</v>
      </c>
      <c r="S169" s="86">
        <f>MAX(R169,P169)</f>
        <v>11800</v>
      </c>
      <c r="T169" s="156" t="str">
        <f>VLOOKUP(A169,'[1]MTP SKUs - Master Data'!$A:$B,2,FALSE)</f>
        <v>Y</v>
      </c>
      <c r="U169" s="162">
        <f>_xlfn.IFNA(VLOOKUP(Table1[[#This Row],[MTP SKU Code]],'Audit Dimensions'!A:N,6,FALSE),"ARC")</f>
        <v>12270</v>
      </c>
      <c r="V169" s="162">
        <f>IFERROR(Table1[[#This Row],[B1.Aud]]-Table1[[#This Row],[PW(gm)]],"ERR")</f>
        <v>470</v>
      </c>
      <c r="W169" s="165">
        <f>IFERROR(Table1[[#This Row],[B1.Diff]]/Table1[[#This Row],[B1.Aud]],"ERR")</f>
        <v>3.8304808475957623E-2</v>
      </c>
      <c r="X169" s="162">
        <f>_xlfn.IFNA(VLOOKUP(Table1[[#This Row],[MTP SKU Code]],'Audit Dimensions'!A:N,10,FALSE),"ARC")</f>
        <v>0</v>
      </c>
      <c r="Y169" s="163">
        <f>IFERROR(Table1[[#This Row],[B2.Aud]]-Table1[[#This Row],[PW(gm)5]],"ERR")</f>
        <v>0</v>
      </c>
      <c r="Z169" s="165" t="str">
        <f>IFERROR(Table1[[#This Row],[B2.Diff]]/Table1[[#This Row],[B2.Aud]],"NA")</f>
        <v>NA</v>
      </c>
      <c r="AA169" s="162">
        <f>_xlfn.IFNA(VLOOKUP(Table1[[#This Row],[MTP SKU Code]],'Audit Dimensions'!A:N,14,FALSE),"ARC")</f>
        <v>0</v>
      </c>
      <c r="AB169" s="161">
        <f>IFERROR(Table1[[#This Row],[B3.Aud]]-Table1[[#This Row],[PW(gm)9]],"ERR")</f>
        <v>0</v>
      </c>
      <c r="AC169" s="168">
        <f>IFERROR(Table1[[#This Row],[B3.Diff]]/Table1[[#This Row],[BaLL.Aud]],"ERR")</f>
        <v>0</v>
      </c>
      <c r="AD169" s="189">
        <f>_xlfn.IFNA(VLOOKUP(Table1[[#This Row],[MTP SKU Code]],'Audit Dimensions'!A:U,16,FALSE),"ARC")</f>
        <v>12270</v>
      </c>
      <c r="AE169" s="165">
        <f>IFERROR(1-Table1[[#This Row],[Gms]]/Table1[[#This Row],[BaLL.Aud]],"ERR")</f>
        <v>3.830480847595763E-2</v>
      </c>
    </row>
    <row r="170" spans="1:31" ht="12.95" customHeight="1">
      <c r="A170" s="68" t="s">
        <v>215</v>
      </c>
      <c r="B170" s="84" t="s">
        <v>74</v>
      </c>
      <c r="C170" s="190">
        <f>_xlfn.XLOOKUP(Table1[[#This Row],[MTP SKU Code]],'Audit Dimensions'!A:A,'Audit Dimensions'!C:C,0)</f>
        <v>185</v>
      </c>
      <c r="D170" s="190">
        <f>_xlfn.XLOOKUP(Table1[[#This Row],[MTP SKU Code]],'Audit Dimensions'!$A:$A,'Audit Dimensions'!D:D,0)</f>
        <v>49</v>
      </c>
      <c r="E170" s="190">
        <f>_xlfn.XLOOKUP(Table1[[#This Row],[MTP SKU Code]],'Audit Dimensions'!$A:$A,'Audit Dimensions'!E:E,0)</f>
        <v>9</v>
      </c>
      <c r="F170" s="190">
        <v>43800</v>
      </c>
      <c r="G170" s="190">
        <f>_xlfn.XLOOKUP(Table1[[#This Row],[MTP SKU Code]],'Audit Dimensions'!$A:$A,'Audit Dimensions'!G:G,0)</f>
        <v>165</v>
      </c>
      <c r="H170" s="190">
        <f>_xlfn.XLOOKUP(Table1[[#This Row],[MTP SKU Code]],'Audit Dimensions'!$A:$A,'Audit Dimensions'!H:H,0)</f>
        <v>51</v>
      </c>
      <c r="I170" s="190">
        <f>_xlfn.XLOOKUP(Table1[[#This Row],[MTP SKU Code]],'Audit Dimensions'!$A:$A,'Audit Dimensions'!I:I,0)</f>
        <v>13</v>
      </c>
      <c r="J170" s="190">
        <v>45200</v>
      </c>
      <c r="K170" s="190">
        <f>_xlfn.XLOOKUP(Table1[[#This Row],[MTP SKU Code]],'Audit Dimensions'!$A:$A,'Audit Dimensions'!K:K,0)</f>
        <v>188</v>
      </c>
      <c r="L170" s="190">
        <f>_xlfn.XLOOKUP(Table1[[#This Row],[MTP SKU Code]],'Audit Dimensions'!$A:$A,'Audit Dimensions'!L:L,0)</f>
        <v>48</v>
      </c>
      <c r="M170" s="190">
        <f>_xlfn.XLOOKUP(Table1[[#This Row],[MTP SKU Code]],'Audit Dimensions'!$A:$A,'Audit Dimensions'!M:M,0)</f>
        <v>12</v>
      </c>
      <c r="N170" s="190">
        <v>44700</v>
      </c>
      <c r="O170" s="118">
        <f>((IFERROR((C170*D170*E170),0)+IFERROR((G170*H170*I170),0)+IFERROR((K170*L170*M170),0))/1000000)*35.32</f>
        <v>10.570145759999999</v>
      </c>
      <c r="P170" s="125">
        <f>Table1[[#This Row],[Column15]]*$P$2*1000</f>
        <v>63420.874559999997</v>
      </c>
      <c r="Q170" s="87">
        <f>F170+J170+N170</f>
        <v>133700</v>
      </c>
      <c r="R170" s="86">
        <f>MAX(Q170,O170)</f>
        <v>133700</v>
      </c>
      <c r="S170" s="86">
        <f>MAX(R170,P170)</f>
        <v>133700</v>
      </c>
      <c r="T170" s="156" t="str">
        <f>VLOOKUP(A170,'[1]MTP SKUs - Master Data'!$A:$B,2,FALSE)</f>
        <v>Y</v>
      </c>
      <c r="U170" s="162">
        <f>_xlfn.IFNA(VLOOKUP(Table1[[#This Row],[MTP SKU Code]],'Audit Dimensions'!A:N,6,FALSE),"ARC")</f>
        <v>45210</v>
      </c>
      <c r="V170" s="162">
        <f>IFERROR(Table1[[#This Row],[B1.Aud]]-Table1[[#This Row],[PW(gm)]],"ERR")</f>
        <v>1410</v>
      </c>
      <c r="W170" s="165">
        <f>IFERROR(Table1[[#This Row],[B1.Diff]]/Table1[[#This Row],[B1.Aud]],"ERR")</f>
        <v>3.1187790311877902E-2</v>
      </c>
      <c r="X170" s="162">
        <f>_xlfn.IFNA(VLOOKUP(Table1[[#This Row],[MTP SKU Code]],'Audit Dimensions'!A:N,10,FALSE),"ARC")</f>
        <v>47290</v>
      </c>
      <c r="Y170" s="163">
        <f>IFERROR(Table1[[#This Row],[B2.Aud]]-Table1[[#This Row],[PW(gm)5]],"ERR")</f>
        <v>2090</v>
      </c>
      <c r="Z170" s="165">
        <f>IFERROR(Table1[[#This Row],[B2.Diff]]/Table1[[#This Row],[B2.Aud]],"NA")</f>
        <v>4.4195390145908224E-2</v>
      </c>
      <c r="AA170" s="162">
        <f>_xlfn.IFNA(VLOOKUP(Table1[[#This Row],[MTP SKU Code]],'Audit Dimensions'!A:N,14,FALSE),"ARC")</f>
        <v>46180</v>
      </c>
      <c r="AB170" s="161">
        <f>IFERROR(Table1[[#This Row],[B3.Aud]]-Table1[[#This Row],[PW(gm)9]],"ERR")</f>
        <v>1480</v>
      </c>
      <c r="AC170" s="168">
        <f>IFERROR(Table1[[#This Row],[B3.Diff]]/Table1[[#This Row],[BaLL.Aud]],"ERR")</f>
        <v>1.0672050764349583E-2</v>
      </c>
      <c r="AD170" s="189">
        <f>_xlfn.IFNA(VLOOKUP(Table1[[#This Row],[MTP SKU Code]],'Audit Dimensions'!A:U,16,FALSE),"ARC")</f>
        <v>138680</v>
      </c>
      <c r="AE170" s="165">
        <f>IFERROR(1-Table1[[#This Row],[Gms]]/Table1[[#This Row],[BaLL.Aud]],"ERR")</f>
        <v>3.5910008653014081E-2</v>
      </c>
    </row>
    <row r="171" spans="1:31" ht="12.95" customHeight="1">
      <c r="A171" s="91" t="s">
        <v>216</v>
      </c>
      <c r="B171" s="84" t="s">
        <v>48</v>
      </c>
      <c r="C171" s="190">
        <f>_xlfn.XLOOKUP(Table1[[#This Row],[MTP SKU Code]],'Audit Dimensions'!A:A,'Audit Dimensions'!C:C,0)</f>
        <v>165</v>
      </c>
      <c r="D171" s="190">
        <f>_xlfn.XLOOKUP(Table1[[#This Row],[MTP SKU Code]],'Audit Dimensions'!$A:$A,'Audit Dimensions'!D:D,0)</f>
        <v>29</v>
      </c>
      <c r="E171" s="190">
        <f>_xlfn.XLOOKUP(Table1[[#This Row],[MTP SKU Code]],'Audit Dimensions'!$A:$A,'Audit Dimensions'!E:E,0)</f>
        <v>7</v>
      </c>
      <c r="F171" s="190">
        <v>16750</v>
      </c>
      <c r="G171" s="190">
        <f>_xlfn.XLOOKUP(Table1[[#This Row],[MTP SKU Code]],'Audit Dimensions'!$A:$A,'Audit Dimensions'!G:G,0)</f>
        <v>0</v>
      </c>
      <c r="H171" s="190">
        <f>_xlfn.XLOOKUP(Table1[[#This Row],[MTP SKU Code]],'Audit Dimensions'!$A:$A,'Audit Dimensions'!H:H,0)</f>
        <v>0</v>
      </c>
      <c r="I171" s="190">
        <f>_xlfn.XLOOKUP(Table1[[#This Row],[MTP SKU Code]],'Audit Dimensions'!$A:$A,'Audit Dimensions'!I:I,0)</f>
        <v>0</v>
      </c>
      <c r="J171" s="190">
        <f>_xlfn.XLOOKUP(Table1[[#This Row],[MTP SKU Code]],'Audit Dimensions'!$A:$A,'Audit Dimensions'!J:J,0)</f>
        <v>0</v>
      </c>
      <c r="K171" s="190">
        <f>_xlfn.XLOOKUP(Table1[[#This Row],[MTP SKU Code]],'Audit Dimensions'!$A:$A,'Audit Dimensions'!K:K,0)</f>
        <v>0</v>
      </c>
      <c r="L171" s="190">
        <f>_xlfn.XLOOKUP(Table1[[#This Row],[MTP SKU Code]],'Audit Dimensions'!$A:$A,'Audit Dimensions'!L:L,0)</f>
        <v>0</v>
      </c>
      <c r="M171" s="190">
        <f>_xlfn.XLOOKUP(Table1[[#This Row],[MTP SKU Code]],'Audit Dimensions'!$A:$A,'Audit Dimensions'!M:M,0)</f>
        <v>0</v>
      </c>
      <c r="N171" s="190">
        <f>_xlfn.XLOOKUP(Table1[[#This Row],[MTP SKU Code]],'Audit Dimensions'!$A:$A,'Audit Dimensions'!N:N,0)</f>
        <v>0</v>
      </c>
      <c r="O171" s="118">
        <f>((IFERROR((C171*D171*E171),0)+IFERROR((G171*H171*I171),0)+IFERROR((K171*L171*M171),0))/1000000)*35.32</f>
        <v>1.1830433999999999</v>
      </c>
      <c r="P171" s="125">
        <f>Table1[[#This Row],[Column15]]*$P$2*1000</f>
        <v>7098.2603999999992</v>
      </c>
      <c r="Q171" s="87">
        <f>F171+J171+N171</f>
        <v>16750</v>
      </c>
      <c r="R171" s="86">
        <f>MAX(Q171,O171)</f>
        <v>16750</v>
      </c>
      <c r="S171" s="86">
        <f>MAX(R171,P171)</f>
        <v>16750</v>
      </c>
      <c r="T171" s="156" t="str">
        <f>VLOOKUP(A171,'[1]MTP SKUs - Master Data'!$A:$B,2,FALSE)</f>
        <v>Y</v>
      </c>
      <c r="U171" s="162">
        <f>_xlfn.IFNA(VLOOKUP(Table1[[#This Row],[MTP SKU Code]],'Audit Dimensions'!A:N,6,FALSE),"ARC")</f>
        <v>17900</v>
      </c>
      <c r="V171" s="162">
        <f>IFERROR(Table1[[#This Row],[B1.Aud]]-Table1[[#This Row],[PW(gm)]],"ERR")</f>
        <v>1150</v>
      </c>
      <c r="W171" s="165">
        <f>IFERROR(Table1[[#This Row],[B1.Diff]]/Table1[[#This Row],[B1.Aud]],"ERR")</f>
        <v>6.4245810055865923E-2</v>
      </c>
      <c r="X171" s="162">
        <f>_xlfn.IFNA(VLOOKUP(Table1[[#This Row],[MTP SKU Code]],'Audit Dimensions'!A:N,10,FALSE),"ARC")</f>
        <v>0</v>
      </c>
      <c r="Y171" s="163">
        <f>IFERROR(Table1[[#This Row],[B2.Aud]]-Table1[[#This Row],[PW(gm)5]],"ERR")</f>
        <v>0</v>
      </c>
      <c r="Z171" s="165" t="str">
        <f>IFERROR(Table1[[#This Row],[B2.Diff]]/Table1[[#This Row],[B2.Aud]],"NA")</f>
        <v>NA</v>
      </c>
      <c r="AA171" s="162">
        <f>_xlfn.IFNA(VLOOKUP(Table1[[#This Row],[MTP SKU Code]],'Audit Dimensions'!A:N,14,FALSE),"ARC")</f>
        <v>0</v>
      </c>
      <c r="AB171" s="161">
        <f>IFERROR(Table1[[#This Row],[B3.Aud]]-Table1[[#This Row],[PW(gm)9]],"ERR")</f>
        <v>0</v>
      </c>
      <c r="AC171" s="168">
        <f>IFERROR(Table1[[#This Row],[B3.Diff]]/Table1[[#This Row],[BaLL.Aud]],"ERR")</f>
        <v>0</v>
      </c>
      <c r="AD171" s="189">
        <f>_xlfn.IFNA(VLOOKUP(Table1[[#This Row],[MTP SKU Code]],'Audit Dimensions'!A:U,16,FALSE),"ARC")</f>
        <v>17900</v>
      </c>
      <c r="AE171" s="165">
        <f>IFERROR(1-Table1[[#This Row],[Gms]]/Table1[[#This Row],[BaLL.Aud]],"ERR")</f>
        <v>6.4245810055865937E-2</v>
      </c>
    </row>
    <row r="172" spans="1:31" ht="12.95" customHeight="1">
      <c r="A172" s="91" t="s">
        <v>217</v>
      </c>
      <c r="B172" s="84" t="s">
        <v>48</v>
      </c>
      <c r="C172" s="190">
        <f>_xlfn.XLOOKUP(Table1[[#This Row],[MTP SKU Code]],'Audit Dimensions'!A:A,'Audit Dimensions'!C:C,0)</f>
        <v>165</v>
      </c>
      <c r="D172" s="190">
        <f>_xlfn.XLOOKUP(Table1[[#This Row],[MTP SKU Code]],'Audit Dimensions'!$A:$A,'Audit Dimensions'!D:D,0)</f>
        <v>57</v>
      </c>
      <c r="E172" s="190">
        <f>_xlfn.XLOOKUP(Table1[[#This Row],[MTP SKU Code]],'Audit Dimensions'!$A:$A,'Audit Dimensions'!E:E,0)</f>
        <v>8</v>
      </c>
      <c r="F172" s="190">
        <v>31750</v>
      </c>
      <c r="G172" s="190">
        <f>_xlfn.XLOOKUP(Table1[[#This Row],[MTP SKU Code]],'Audit Dimensions'!$A:$A,'Audit Dimensions'!G:G,0)</f>
        <v>0</v>
      </c>
      <c r="H172" s="190">
        <f>_xlfn.XLOOKUP(Table1[[#This Row],[MTP SKU Code]],'Audit Dimensions'!$A:$A,'Audit Dimensions'!H:H,0)</f>
        <v>0</v>
      </c>
      <c r="I172" s="190">
        <f>_xlfn.XLOOKUP(Table1[[#This Row],[MTP SKU Code]],'Audit Dimensions'!$A:$A,'Audit Dimensions'!I:I,0)</f>
        <v>0</v>
      </c>
      <c r="J172" s="190">
        <f>_xlfn.XLOOKUP(Table1[[#This Row],[MTP SKU Code]],'Audit Dimensions'!$A:$A,'Audit Dimensions'!J:J,0)</f>
        <v>0</v>
      </c>
      <c r="K172" s="190">
        <f>_xlfn.XLOOKUP(Table1[[#This Row],[MTP SKU Code]],'Audit Dimensions'!$A:$A,'Audit Dimensions'!K:K,0)</f>
        <v>0</v>
      </c>
      <c r="L172" s="190">
        <f>_xlfn.XLOOKUP(Table1[[#This Row],[MTP SKU Code]],'Audit Dimensions'!$A:$A,'Audit Dimensions'!L:L,0)</f>
        <v>0</v>
      </c>
      <c r="M172" s="190">
        <f>_xlfn.XLOOKUP(Table1[[#This Row],[MTP SKU Code]],'Audit Dimensions'!$A:$A,'Audit Dimensions'!M:M,0)</f>
        <v>0</v>
      </c>
      <c r="N172" s="190">
        <f>_xlfn.XLOOKUP(Table1[[#This Row],[MTP SKU Code]],'Audit Dimensions'!$A:$A,'Audit Dimensions'!N:N,0)</f>
        <v>0</v>
      </c>
      <c r="O172" s="118">
        <f>((IFERROR((C172*D172*E172),0)+IFERROR((G172*H172*I172),0)+IFERROR((K172*L172*M172),0))/1000000)*35.32</f>
        <v>2.6574768</v>
      </c>
      <c r="P172" s="125">
        <f>Table1[[#This Row],[Column15]]*$P$2*1000</f>
        <v>15944.8608</v>
      </c>
      <c r="Q172" s="87">
        <f>F172+J172+N172</f>
        <v>31750</v>
      </c>
      <c r="R172" s="86">
        <f>MAX(Q172,O172)</f>
        <v>31750</v>
      </c>
      <c r="S172" s="86">
        <f>MAX(R172,P172)</f>
        <v>31750</v>
      </c>
      <c r="T172" s="156" t="str">
        <f>VLOOKUP(A172,'[1]MTP SKUs - Master Data'!$A:$B,2,FALSE)</f>
        <v>Y</v>
      </c>
      <c r="U172" s="162">
        <f>_xlfn.IFNA(VLOOKUP(Table1[[#This Row],[MTP SKU Code]],'Audit Dimensions'!A:N,6,FALSE),"ARC")</f>
        <v>33820</v>
      </c>
      <c r="V172" s="162">
        <f>IFERROR(Table1[[#This Row],[B1.Aud]]-Table1[[#This Row],[PW(gm)]],"ERR")</f>
        <v>2070</v>
      </c>
      <c r="W172" s="165">
        <f>IFERROR(Table1[[#This Row],[B1.Diff]]/Table1[[#This Row],[B1.Aud]],"ERR")</f>
        <v>6.1206386753400358E-2</v>
      </c>
      <c r="X172" s="162">
        <f>_xlfn.IFNA(VLOOKUP(Table1[[#This Row],[MTP SKU Code]],'Audit Dimensions'!A:N,10,FALSE),"ARC")</f>
        <v>0</v>
      </c>
      <c r="Y172" s="163">
        <f>IFERROR(Table1[[#This Row],[B2.Aud]]-Table1[[#This Row],[PW(gm)5]],"ERR")</f>
        <v>0</v>
      </c>
      <c r="Z172" s="165" t="str">
        <f>IFERROR(Table1[[#This Row],[B2.Diff]]/Table1[[#This Row],[B2.Aud]],"NA")</f>
        <v>NA</v>
      </c>
      <c r="AA172" s="162">
        <f>_xlfn.IFNA(VLOOKUP(Table1[[#This Row],[MTP SKU Code]],'Audit Dimensions'!A:N,14,FALSE),"ARC")</f>
        <v>0</v>
      </c>
      <c r="AB172" s="161">
        <f>IFERROR(Table1[[#This Row],[B3.Aud]]-Table1[[#This Row],[PW(gm)9]],"ERR")</f>
        <v>0</v>
      </c>
      <c r="AC172" s="168">
        <f>IFERROR(Table1[[#This Row],[B3.Diff]]/Table1[[#This Row],[BaLL.Aud]],"ERR")</f>
        <v>0</v>
      </c>
      <c r="AD172" s="189">
        <f>_xlfn.IFNA(VLOOKUP(Table1[[#This Row],[MTP SKU Code]],'Audit Dimensions'!A:U,16,FALSE),"ARC")</f>
        <v>33820</v>
      </c>
      <c r="AE172" s="165">
        <f>IFERROR(1-Table1[[#This Row],[Gms]]/Table1[[#This Row],[BaLL.Aud]],"ERR")</f>
        <v>6.1206386753400399E-2</v>
      </c>
    </row>
    <row r="173" spans="1:31" hidden="1">
      <c r="A173" s="91" t="s">
        <v>218</v>
      </c>
      <c r="B173" s="84" t="s">
        <v>48</v>
      </c>
      <c r="C173" s="190">
        <f>_xlfn.XLOOKUP(Table1[[#This Row],[MTP SKU Code]],'Audit Dimensions'!A:A,'Audit Dimensions'!C:C,0)</f>
        <v>98</v>
      </c>
      <c r="D173" s="190">
        <f>_xlfn.XLOOKUP(Table1[[#This Row],[MTP SKU Code]],'Audit Dimensions'!$A:$A,'Audit Dimensions'!D:D,0)</f>
        <v>49</v>
      </c>
      <c r="E173" s="190">
        <f>_xlfn.XLOOKUP(Table1[[#This Row],[MTP SKU Code]],'Audit Dimensions'!$A:$A,'Audit Dimensions'!E:E,0)</f>
        <v>9</v>
      </c>
      <c r="F173" s="190">
        <v>10800</v>
      </c>
      <c r="G173" s="190">
        <f>_xlfn.XLOOKUP(Table1[[#This Row],[MTP SKU Code]],'Audit Dimensions'!$A:$A,'Audit Dimensions'!G:G,0)</f>
        <v>0</v>
      </c>
      <c r="H173" s="190">
        <f>_xlfn.XLOOKUP(Table1[[#This Row],[MTP SKU Code]],'Audit Dimensions'!$A:$A,'Audit Dimensions'!H:H,0)</f>
        <v>0</v>
      </c>
      <c r="I173" s="190">
        <f>_xlfn.XLOOKUP(Table1[[#This Row],[MTP SKU Code]],'Audit Dimensions'!$A:$A,'Audit Dimensions'!I:I,0)</f>
        <v>0</v>
      </c>
      <c r="J173" s="190">
        <f>_xlfn.XLOOKUP(Table1[[#This Row],[MTP SKU Code]],'Audit Dimensions'!$A:$A,'Audit Dimensions'!J:J,0)</f>
        <v>0</v>
      </c>
      <c r="K173" s="190">
        <f>_xlfn.XLOOKUP(Table1[[#This Row],[MTP SKU Code]],'Audit Dimensions'!$A:$A,'Audit Dimensions'!K:K,0)</f>
        <v>0</v>
      </c>
      <c r="L173" s="190">
        <f>_xlfn.XLOOKUP(Table1[[#This Row],[MTP SKU Code]],'Audit Dimensions'!$A:$A,'Audit Dimensions'!L:L,0)</f>
        <v>0</v>
      </c>
      <c r="M173" s="190">
        <f>_xlfn.XLOOKUP(Table1[[#This Row],[MTP SKU Code]],'Audit Dimensions'!$A:$A,'Audit Dimensions'!M:M,0)</f>
        <v>0</v>
      </c>
      <c r="N173" s="190">
        <f>_xlfn.XLOOKUP(Table1[[#This Row],[MTP SKU Code]],'Audit Dimensions'!$A:$A,'Audit Dimensions'!N:N,0)</f>
        <v>0</v>
      </c>
      <c r="O173" s="118">
        <f>((IFERROR((C173*D173*E173),0)+IFERROR((G173*H173*I173),0)+IFERROR((K173*L173*M173),0))/1000000)*35.32</f>
        <v>1.5264597600000001</v>
      </c>
      <c r="P173" s="125">
        <f>Table1[[#This Row],[Column15]]*$P$2*1000</f>
        <v>9158.7585600000002</v>
      </c>
      <c r="Q173" s="87">
        <f>F173+J173+N173</f>
        <v>10800</v>
      </c>
      <c r="R173" s="86">
        <f>MAX(Q173,O173)</f>
        <v>10800</v>
      </c>
      <c r="S173" s="86">
        <f>MAX(R173,P173)</f>
        <v>10800</v>
      </c>
      <c r="T173" s="156" t="str">
        <f>VLOOKUP(A173,'[1]MTP SKUs - Master Data'!$A:$B,2,FALSE)</f>
        <v>RL</v>
      </c>
      <c r="U173" s="162">
        <f>_xlfn.IFNA(VLOOKUP(Table1[[#This Row],[MTP SKU Code]],'Audit Dimensions'!A:N,6,FALSE),"ARC")</f>
        <v>11150</v>
      </c>
      <c r="V173" s="162">
        <f>IFERROR(Table1[[#This Row],[B1.Aud]]-Table1[[#This Row],[PW(gm)]],"ERR")</f>
        <v>350</v>
      </c>
      <c r="W173" s="165">
        <f>IFERROR(Table1[[#This Row],[B1.Diff]]/Table1[[#This Row],[B1.Aud]],"ERR")</f>
        <v>3.1390134529147982E-2</v>
      </c>
      <c r="X173" s="162">
        <f>_xlfn.IFNA(VLOOKUP(Table1[[#This Row],[MTP SKU Code]],'Audit Dimensions'!A:N,10,FALSE),"ARC")</f>
        <v>0</v>
      </c>
      <c r="Y173" s="163">
        <f>IFERROR(Table1[[#This Row],[B2.Aud]]-Table1[[#This Row],[PW(gm)5]],"ERR")</f>
        <v>0</v>
      </c>
      <c r="Z173" s="165" t="str">
        <f>IFERROR(Table1[[#This Row],[B2.Diff]]/Table1[[#This Row],[B2.Aud]],"NA")</f>
        <v>NA</v>
      </c>
      <c r="AA173" s="162">
        <f>_xlfn.IFNA(VLOOKUP(Table1[[#This Row],[MTP SKU Code]],'Audit Dimensions'!A:N,14,FALSE),"ARC")</f>
        <v>0</v>
      </c>
      <c r="AB173" s="161">
        <f>IFERROR(Table1[[#This Row],[B3.Aud]]-Table1[[#This Row],[PW(gm)9]],"ERR")</f>
        <v>0</v>
      </c>
      <c r="AC173" s="168">
        <f>IFERROR(Table1[[#This Row],[B3.Diff]]/Table1[[#This Row],[BaLL.Aud]],"ERR")</f>
        <v>0</v>
      </c>
      <c r="AD173" s="189">
        <f>_xlfn.IFNA(VLOOKUP(Table1[[#This Row],[MTP SKU Code]],'Audit Dimensions'!A:U,16,FALSE),"ARC")</f>
        <v>11150</v>
      </c>
      <c r="AE173" s="165">
        <f>IFERROR(1-Table1[[#This Row],[Gms]]/Table1[[#This Row],[BaLL.Aud]],"ERR")</f>
        <v>3.1390134529147962E-2</v>
      </c>
    </row>
    <row r="174" spans="1:31" ht="14.45" customHeight="1">
      <c r="A174" s="68" t="s">
        <v>219</v>
      </c>
      <c r="B174" s="84" t="s">
        <v>48</v>
      </c>
      <c r="C174" s="190">
        <f>_xlfn.XLOOKUP(Table1[[#This Row],[MTP SKU Code]],'Audit Dimensions'!A:A,'Audit Dimensions'!C:C,0)</f>
        <v>156</v>
      </c>
      <c r="D174" s="190">
        <f>_xlfn.XLOOKUP(Table1[[#This Row],[MTP SKU Code]],'Audit Dimensions'!$A:$A,'Audit Dimensions'!D:D,0)</f>
        <v>43</v>
      </c>
      <c r="E174" s="190">
        <f>_xlfn.XLOOKUP(Table1[[#This Row],[MTP SKU Code]],'Audit Dimensions'!$A:$A,'Audit Dimensions'!E:E,0)</f>
        <v>7</v>
      </c>
      <c r="F174" s="190">
        <v>24460</v>
      </c>
      <c r="G174" s="190">
        <f>_xlfn.XLOOKUP(Table1[[#This Row],[MTP SKU Code]],'Audit Dimensions'!$A:$A,'Audit Dimensions'!G:G,0)</f>
        <v>0</v>
      </c>
      <c r="H174" s="190">
        <f>_xlfn.XLOOKUP(Table1[[#This Row],[MTP SKU Code]],'Audit Dimensions'!$A:$A,'Audit Dimensions'!H:H,0)</f>
        <v>0</v>
      </c>
      <c r="I174" s="190">
        <f>_xlfn.XLOOKUP(Table1[[#This Row],[MTP SKU Code]],'Audit Dimensions'!$A:$A,'Audit Dimensions'!I:I,0)</f>
        <v>0</v>
      </c>
      <c r="J174" s="190">
        <f>_xlfn.XLOOKUP(Table1[[#This Row],[MTP SKU Code]],'Audit Dimensions'!$A:$A,'Audit Dimensions'!J:J,0)</f>
        <v>0</v>
      </c>
      <c r="K174" s="190">
        <f>_xlfn.XLOOKUP(Table1[[#This Row],[MTP SKU Code]],'Audit Dimensions'!$A:$A,'Audit Dimensions'!K:K,0)</f>
        <v>0</v>
      </c>
      <c r="L174" s="190">
        <f>_xlfn.XLOOKUP(Table1[[#This Row],[MTP SKU Code]],'Audit Dimensions'!$A:$A,'Audit Dimensions'!L:L,0)</f>
        <v>0</v>
      </c>
      <c r="M174" s="190">
        <f>_xlfn.XLOOKUP(Table1[[#This Row],[MTP SKU Code]],'Audit Dimensions'!$A:$A,'Audit Dimensions'!M:M,0)</f>
        <v>0</v>
      </c>
      <c r="N174" s="190">
        <f>_xlfn.XLOOKUP(Table1[[#This Row],[MTP SKU Code]],'Audit Dimensions'!$A:$A,'Audit Dimensions'!N:N,0)</f>
        <v>0</v>
      </c>
      <c r="O174" s="118">
        <f>((IFERROR((C174*D174*E174),0)+IFERROR((G174*H174*I174),0)+IFERROR((K174*L174*M174),0))/1000000)*35.32</f>
        <v>1.6584859199999999</v>
      </c>
      <c r="P174" s="125">
        <f>Table1[[#This Row],[Column15]]*$P$2*1000</f>
        <v>9950.9155199999987</v>
      </c>
      <c r="Q174" s="87">
        <f>F174+J174+N174</f>
        <v>24460</v>
      </c>
      <c r="R174" s="86">
        <f>MAX(Q174,O174)</f>
        <v>24460</v>
      </c>
      <c r="S174" s="86">
        <f>MAX(R174,P174)</f>
        <v>24460</v>
      </c>
      <c r="T174" s="156" t="str">
        <f>VLOOKUP(A174,'[1]MTP SKUs - Master Data'!$A:$B,2,FALSE)</f>
        <v>Y</v>
      </c>
      <c r="U174" s="162">
        <f>_xlfn.IFNA(VLOOKUP(Table1[[#This Row],[MTP SKU Code]],'Audit Dimensions'!A:N,6,FALSE),"ARC")</f>
        <v>25740</v>
      </c>
      <c r="V174" s="162">
        <f>IFERROR(Table1[[#This Row],[B1.Aud]]-Table1[[#This Row],[PW(gm)]],"ERR")</f>
        <v>1280</v>
      </c>
      <c r="W174" s="165">
        <f>IFERROR(Table1[[#This Row],[B1.Diff]]/Table1[[#This Row],[B1.Aud]],"ERR")</f>
        <v>4.9728049728049728E-2</v>
      </c>
      <c r="X174" s="162">
        <f>_xlfn.IFNA(VLOOKUP(Table1[[#This Row],[MTP SKU Code]],'Audit Dimensions'!A:N,10,FALSE),"ARC")</f>
        <v>0</v>
      </c>
      <c r="Y174" s="163">
        <f>IFERROR(Table1[[#This Row],[B2.Aud]]-Table1[[#This Row],[PW(gm)5]],"ERR")</f>
        <v>0</v>
      </c>
      <c r="Z174" s="165" t="str">
        <f>IFERROR(Table1[[#This Row],[B2.Diff]]/Table1[[#This Row],[B2.Aud]],"NA")</f>
        <v>NA</v>
      </c>
      <c r="AA174" s="162">
        <f>_xlfn.IFNA(VLOOKUP(Table1[[#This Row],[MTP SKU Code]],'Audit Dimensions'!A:N,14,FALSE),"ARC")</f>
        <v>0</v>
      </c>
      <c r="AB174" s="161">
        <f>IFERROR(Table1[[#This Row],[B3.Aud]]-Table1[[#This Row],[PW(gm)9]],"ERR")</f>
        <v>0</v>
      </c>
      <c r="AC174" s="168">
        <f>IFERROR(Table1[[#This Row],[B3.Diff]]/Table1[[#This Row],[BaLL.Aud]],"ERR")</f>
        <v>0</v>
      </c>
      <c r="AD174" s="189">
        <f>_xlfn.IFNA(VLOOKUP(Table1[[#This Row],[MTP SKU Code]],'Audit Dimensions'!A:U,16,FALSE),"ARC")</f>
        <v>25740</v>
      </c>
      <c r="AE174" s="165">
        <f>IFERROR(1-Table1[[#This Row],[Gms]]/Table1[[#This Row],[BaLL.Aud]],"ERR")</f>
        <v>4.9728049728049784E-2</v>
      </c>
    </row>
    <row r="175" spans="1:31" ht="14.45" customHeight="1">
      <c r="A175" s="68" t="s">
        <v>220</v>
      </c>
      <c r="B175" s="84" t="s">
        <v>48</v>
      </c>
      <c r="C175" s="190">
        <f>_xlfn.XLOOKUP(Table1[[#This Row],[MTP SKU Code]],'Audit Dimensions'!A:A,'Audit Dimensions'!C:C,0)</f>
        <v>95</v>
      </c>
      <c r="D175" s="190">
        <f>_xlfn.XLOOKUP(Table1[[#This Row],[MTP SKU Code]],'Audit Dimensions'!$A:$A,'Audit Dimensions'!D:D,0)</f>
        <v>27</v>
      </c>
      <c r="E175" s="190">
        <f>_xlfn.XLOOKUP(Table1[[#This Row],[MTP SKU Code]],'Audit Dimensions'!$A:$A,'Audit Dimensions'!E:E,0)</f>
        <v>5</v>
      </c>
      <c r="F175" s="190">
        <v>5900</v>
      </c>
      <c r="G175" s="190">
        <f>_xlfn.XLOOKUP(Table1[[#This Row],[MTP SKU Code]],'Audit Dimensions'!$A:$A,'Audit Dimensions'!G:G,0)</f>
        <v>0</v>
      </c>
      <c r="H175" s="190">
        <f>_xlfn.XLOOKUP(Table1[[#This Row],[MTP SKU Code]],'Audit Dimensions'!$A:$A,'Audit Dimensions'!H:H,0)</f>
        <v>0</v>
      </c>
      <c r="I175" s="190">
        <f>_xlfn.XLOOKUP(Table1[[#This Row],[MTP SKU Code]],'Audit Dimensions'!$A:$A,'Audit Dimensions'!I:I,0)</f>
        <v>0</v>
      </c>
      <c r="J175" s="190">
        <f>_xlfn.XLOOKUP(Table1[[#This Row],[MTP SKU Code]],'Audit Dimensions'!$A:$A,'Audit Dimensions'!J:J,0)</f>
        <v>0</v>
      </c>
      <c r="K175" s="190">
        <f>_xlfn.XLOOKUP(Table1[[#This Row],[MTP SKU Code]],'Audit Dimensions'!$A:$A,'Audit Dimensions'!K:K,0)</f>
        <v>0</v>
      </c>
      <c r="L175" s="190">
        <f>_xlfn.XLOOKUP(Table1[[#This Row],[MTP SKU Code]],'Audit Dimensions'!$A:$A,'Audit Dimensions'!L:L,0)</f>
        <v>0</v>
      </c>
      <c r="M175" s="190">
        <f>_xlfn.XLOOKUP(Table1[[#This Row],[MTP SKU Code]],'Audit Dimensions'!$A:$A,'Audit Dimensions'!M:M,0)</f>
        <v>0</v>
      </c>
      <c r="N175" s="190">
        <f>_xlfn.XLOOKUP(Table1[[#This Row],[MTP SKU Code]],'Audit Dimensions'!$A:$A,'Audit Dimensions'!N:N,0)</f>
        <v>0</v>
      </c>
      <c r="O175" s="118">
        <f>((IFERROR((C175*D175*E175),0)+IFERROR((G175*H175*I175),0)+IFERROR((K175*L175*M175),0))/1000000)*35.32</f>
        <v>0.45297899999999997</v>
      </c>
      <c r="P175" s="125">
        <f>Table1[[#This Row],[Column15]]*$P$2*1000</f>
        <v>2717.8739999999998</v>
      </c>
      <c r="Q175" s="87">
        <f>F175+J175+N175</f>
        <v>5900</v>
      </c>
      <c r="R175" s="86">
        <f>MAX(Q175,O175)</f>
        <v>5900</v>
      </c>
      <c r="S175" s="86">
        <f>MAX(R175,P175)</f>
        <v>5900</v>
      </c>
      <c r="T175" s="156" t="str">
        <f>VLOOKUP(A175,'[1]MTP SKUs - Master Data'!$A:$B,2,FALSE)</f>
        <v>Y</v>
      </c>
      <c r="U175" s="162">
        <f>_xlfn.IFNA(VLOOKUP(Table1[[#This Row],[MTP SKU Code]],'Audit Dimensions'!A:N,6,FALSE),"ARC")</f>
        <v>6500</v>
      </c>
      <c r="V175" s="162">
        <f>IFERROR(Table1[[#This Row],[B1.Aud]]-Table1[[#This Row],[PW(gm)]],"ERR")</f>
        <v>600</v>
      </c>
      <c r="W175" s="165">
        <f>IFERROR(Table1[[#This Row],[B1.Diff]]/Table1[[#This Row],[B1.Aud]],"ERR")</f>
        <v>9.2307692307692313E-2</v>
      </c>
      <c r="X175" s="162">
        <f>_xlfn.IFNA(VLOOKUP(Table1[[#This Row],[MTP SKU Code]],'Audit Dimensions'!A:N,10,FALSE),"ARC")</f>
        <v>0</v>
      </c>
      <c r="Y175" s="163">
        <f>IFERROR(Table1[[#This Row],[B2.Aud]]-Table1[[#This Row],[PW(gm)5]],"ERR")</f>
        <v>0</v>
      </c>
      <c r="Z175" s="165" t="str">
        <f>IFERROR(Table1[[#This Row],[B2.Diff]]/Table1[[#This Row],[B2.Aud]],"NA")</f>
        <v>NA</v>
      </c>
      <c r="AA175" s="162">
        <f>_xlfn.IFNA(VLOOKUP(Table1[[#This Row],[MTP SKU Code]],'Audit Dimensions'!A:N,14,FALSE),"ARC")</f>
        <v>0</v>
      </c>
      <c r="AB175" s="161">
        <f>IFERROR(Table1[[#This Row],[B3.Aud]]-Table1[[#This Row],[PW(gm)9]],"ERR")</f>
        <v>0</v>
      </c>
      <c r="AC175" s="168">
        <f>IFERROR(Table1[[#This Row],[B3.Diff]]/Table1[[#This Row],[BaLL.Aud]],"ERR")</f>
        <v>0</v>
      </c>
      <c r="AD175" s="189">
        <f>_xlfn.IFNA(VLOOKUP(Table1[[#This Row],[MTP SKU Code]],'Audit Dimensions'!A:U,16,FALSE),"ARC")</f>
        <v>6500</v>
      </c>
      <c r="AE175" s="165">
        <f>IFERROR(1-Table1[[#This Row],[Gms]]/Table1[[#This Row],[BaLL.Aud]],"ERR")</f>
        <v>9.2307692307692313E-2</v>
      </c>
    </row>
    <row r="176" spans="1:31" ht="12.75" customHeight="1">
      <c r="A176" s="68" t="s">
        <v>221</v>
      </c>
      <c r="B176" s="84" t="s">
        <v>48</v>
      </c>
      <c r="C176" s="190">
        <f>_xlfn.XLOOKUP(Table1[[#This Row],[MTP SKU Code]],'Audit Dimensions'!A:A,'Audit Dimensions'!C:C,0)</f>
        <v>105</v>
      </c>
      <c r="D176" s="190">
        <f>_xlfn.XLOOKUP(Table1[[#This Row],[MTP SKU Code]],'Audit Dimensions'!$A:$A,'Audit Dimensions'!D:D,0)</f>
        <v>36</v>
      </c>
      <c r="E176" s="190">
        <f>_xlfn.XLOOKUP(Table1[[#This Row],[MTP SKU Code]],'Audit Dimensions'!$A:$A,'Audit Dimensions'!E:E,0)</f>
        <v>7</v>
      </c>
      <c r="F176" s="190">
        <v>12800</v>
      </c>
      <c r="G176" s="190">
        <f>_xlfn.XLOOKUP(Table1[[#This Row],[MTP SKU Code]],'Audit Dimensions'!$A:$A,'Audit Dimensions'!G:G,0)</f>
        <v>0</v>
      </c>
      <c r="H176" s="190">
        <f>_xlfn.XLOOKUP(Table1[[#This Row],[MTP SKU Code]],'Audit Dimensions'!$A:$A,'Audit Dimensions'!H:H,0)</f>
        <v>0</v>
      </c>
      <c r="I176" s="190">
        <f>_xlfn.XLOOKUP(Table1[[#This Row],[MTP SKU Code]],'Audit Dimensions'!$A:$A,'Audit Dimensions'!I:I,0)</f>
        <v>0</v>
      </c>
      <c r="J176" s="190">
        <f>_xlfn.XLOOKUP(Table1[[#This Row],[MTP SKU Code]],'Audit Dimensions'!$A:$A,'Audit Dimensions'!J:J,0)</f>
        <v>0</v>
      </c>
      <c r="K176" s="190">
        <f>_xlfn.XLOOKUP(Table1[[#This Row],[MTP SKU Code]],'Audit Dimensions'!$A:$A,'Audit Dimensions'!K:K,0)</f>
        <v>0</v>
      </c>
      <c r="L176" s="190">
        <f>_xlfn.XLOOKUP(Table1[[#This Row],[MTP SKU Code]],'Audit Dimensions'!$A:$A,'Audit Dimensions'!L:L,0)</f>
        <v>0</v>
      </c>
      <c r="M176" s="190">
        <f>_xlfn.XLOOKUP(Table1[[#This Row],[MTP SKU Code]],'Audit Dimensions'!$A:$A,'Audit Dimensions'!M:M,0)</f>
        <v>0</v>
      </c>
      <c r="N176" s="190">
        <f>_xlfn.XLOOKUP(Table1[[#This Row],[MTP SKU Code]],'Audit Dimensions'!$A:$A,'Audit Dimensions'!N:N,0)</f>
        <v>0</v>
      </c>
      <c r="O176" s="118">
        <f>((IFERROR((C176*D176*E176),0)+IFERROR((G176*H176*I176),0)+IFERROR((K176*L176*M176),0))/1000000)*35.32</f>
        <v>0.93456720000000004</v>
      </c>
      <c r="P176" s="125">
        <f>Table1[[#This Row],[Column15]]*$P$2*1000</f>
        <v>5607.4032000000007</v>
      </c>
      <c r="Q176" s="87">
        <f>F176+J176+N176</f>
        <v>12800</v>
      </c>
      <c r="R176" s="86">
        <f>MAX(Q176,O176)</f>
        <v>12800</v>
      </c>
      <c r="S176" s="86">
        <f>MAX(R176,P176)</f>
        <v>12800</v>
      </c>
      <c r="T176" s="156" t="str">
        <f>VLOOKUP(A176,'[1]MTP SKUs - Master Data'!$A:$B,2,FALSE)</f>
        <v>Y</v>
      </c>
      <c r="U176" s="162">
        <f>_xlfn.IFNA(VLOOKUP(Table1[[#This Row],[MTP SKU Code]],'Audit Dimensions'!A:N,6,FALSE),"ARC")</f>
        <v>13230</v>
      </c>
      <c r="V176" s="162">
        <f>IFERROR(Table1[[#This Row],[B1.Aud]]-Table1[[#This Row],[PW(gm)]],"ERR")</f>
        <v>430</v>
      </c>
      <c r="W176" s="165">
        <f>IFERROR(Table1[[#This Row],[B1.Diff]]/Table1[[#This Row],[B1.Aud]],"ERR")</f>
        <v>3.250188964474679E-2</v>
      </c>
      <c r="X176" s="162">
        <f>_xlfn.IFNA(VLOOKUP(Table1[[#This Row],[MTP SKU Code]],'Audit Dimensions'!A:N,10,FALSE),"ARC")</f>
        <v>0</v>
      </c>
      <c r="Y176" s="163">
        <f>IFERROR(Table1[[#This Row],[B2.Aud]]-Table1[[#This Row],[PW(gm)5]],"ERR")</f>
        <v>0</v>
      </c>
      <c r="Z176" s="165" t="str">
        <f>IFERROR(Table1[[#This Row],[B2.Diff]]/Table1[[#This Row],[B2.Aud]],"NA")</f>
        <v>NA</v>
      </c>
      <c r="AA176" s="162">
        <f>_xlfn.IFNA(VLOOKUP(Table1[[#This Row],[MTP SKU Code]],'Audit Dimensions'!A:N,14,FALSE),"ARC")</f>
        <v>0</v>
      </c>
      <c r="AB176" s="161">
        <f>IFERROR(Table1[[#This Row],[B3.Aud]]-Table1[[#This Row],[PW(gm)9]],"ERR")</f>
        <v>0</v>
      </c>
      <c r="AC176" s="168">
        <f>IFERROR(Table1[[#This Row],[B3.Diff]]/Table1[[#This Row],[BaLL.Aud]],"ERR")</f>
        <v>0</v>
      </c>
      <c r="AD176" s="189">
        <f>_xlfn.IFNA(VLOOKUP(Table1[[#This Row],[MTP SKU Code]],'Audit Dimensions'!A:U,16,FALSE),"ARC")</f>
        <v>13230</v>
      </c>
      <c r="AE176" s="165">
        <f>IFERROR(1-Table1[[#This Row],[Gms]]/Table1[[#This Row],[BaLL.Aud]],"ERR")</f>
        <v>3.2501889644746762E-2</v>
      </c>
    </row>
    <row r="177" spans="1:31" ht="14.45" customHeight="1">
      <c r="A177" s="68" t="s">
        <v>222</v>
      </c>
      <c r="B177" s="84" t="s">
        <v>48</v>
      </c>
      <c r="C177" s="190">
        <f>_xlfn.XLOOKUP(Table1[[#This Row],[MTP SKU Code]],'Audit Dimensions'!A:A,'Audit Dimensions'!C:C,0)</f>
        <v>143</v>
      </c>
      <c r="D177" s="190">
        <f>_xlfn.XLOOKUP(Table1[[#This Row],[MTP SKU Code]],'Audit Dimensions'!$A:$A,'Audit Dimensions'!D:D,0)</f>
        <v>36</v>
      </c>
      <c r="E177" s="190">
        <f>_xlfn.XLOOKUP(Table1[[#This Row],[MTP SKU Code]],'Audit Dimensions'!$A:$A,'Audit Dimensions'!E:E,0)</f>
        <v>12</v>
      </c>
      <c r="F177" s="190">
        <v>28450</v>
      </c>
      <c r="G177" s="190">
        <f>_xlfn.XLOOKUP(Table1[[#This Row],[MTP SKU Code]],'Audit Dimensions'!$A:$A,'Audit Dimensions'!G:G,0)</f>
        <v>0</v>
      </c>
      <c r="H177" s="190">
        <f>_xlfn.XLOOKUP(Table1[[#This Row],[MTP SKU Code]],'Audit Dimensions'!$A:$A,'Audit Dimensions'!H:H,0)</f>
        <v>0</v>
      </c>
      <c r="I177" s="190">
        <f>_xlfn.XLOOKUP(Table1[[#This Row],[MTP SKU Code]],'Audit Dimensions'!$A:$A,'Audit Dimensions'!I:I,0)</f>
        <v>0</v>
      </c>
      <c r="J177" s="190">
        <f>_xlfn.XLOOKUP(Table1[[#This Row],[MTP SKU Code]],'Audit Dimensions'!$A:$A,'Audit Dimensions'!J:J,0)</f>
        <v>0</v>
      </c>
      <c r="K177" s="190">
        <f>_xlfn.XLOOKUP(Table1[[#This Row],[MTP SKU Code]],'Audit Dimensions'!$A:$A,'Audit Dimensions'!K:K,0)</f>
        <v>0</v>
      </c>
      <c r="L177" s="190">
        <f>_xlfn.XLOOKUP(Table1[[#This Row],[MTP SKU Code]],'Audit Dimensions'!$A:$A,'Audit Dimensions'!L:L,0)</f>
        <v>0</v>
      </c>
      <c r="M177" s="190">
        <f>_xlfn.XLOOKUP(Table1[[#This Row],[MTP SKU Code]],'Audit Dimensions'!$A:$A,'Audit Dimensions'!M:M,0)</f>
        <v>0</v>
      </c>
      <c r="N177" s="190">
        <f>_xlfn.XLOOKUP(Table1[[#This Row],[MTP SKU Code]],'Audit Dimensions'!$A:$A,'Audit Dimensions'!N:N,0)</f>
        <v>0</v>
      </c>
      <c r="O177" s="118">
        <f>((IFERROR((C177*D177*E177),0)+IFERROR((G177*H177*I177),0)+IFERROR((K177*L177*M177),0))/1000000)*35.32</f>
        <v>2.1819283199999999</v>
      </c>
      <c r="P177" s="125">
        <f>Table1[[#This Row],[Column15]]*$P$2*1000</f>
        <v>13091.56992</v>
      </c>
      <c r="Q177" s="87">
        <f>F177+J177+N177</f>
        <v>28450</v>
      </c>
      <c r="R177" s="86">
        <f>MAX(Q177,O177)</f>
        <v>28450</v>
      </c>
      <c r="S177" s="86">
        <f>MAX(R177,P177)</f>
        <v>28450</v>
      </c>
      <c r="T177" s="156" t="str">
        <f>VLOOKUP(A177,'[1]MTP SKUs - Master Data'!$A:$B,2,FALSE)</f>
        <v>Y</v>
      </c>
      <c r="U177" s="162">
        <f>_xlfn.IFNA(VLOOKUP(Table1[[#This Row],[MTP SKU Code]],'Audit Dimensions'!A:N,6,FALSE),"ARC")</f>
        <v>30460</v>
      </c>
      <c r="V177" s="162">
        <f>IFERROR(Table1[[#This Row],[B1.Aud]]-Table1[[#This Row],[PW(gm)]],"ERR")</f>
        <v>2010</v>
      </c>
      <c r="W177" s="165">
        <f>IFERROR(Table1[[#This Row],[B1.Diff]]/Table1[[#This Row],[B1.Aud]],"ERR")</f>
        <v>6.5988181221273798E-2</v>
      </c>
      <c r="X177" s="162">
        <f>_xlfn.IFNA(VLOOKUP(Table1[[#This Row],[MTP SKU Code]],'Audit Dimensions'!A:N,10,FALSE),"ARC")</f>
        <v>0</v>
      </c>
      <c r="Y177" s="163">
        <f>IFERROR(Table1[[#This Row],[B2.Aud]]-Table1[[#This Row],[PW(gm)5]],"ERR")</f>
        <v>0</v>
      </c>
      <c r="Z177" s="165" t="str">
        <f>IFERROR(Table1[[#This Row],[B2.Diff]]/Table1[[#This Row],[B2.Aud]],"NA")</f>
        <v>NA</v>
      </c>
      <c r="AA177" s="162">
        <f>_xlfn.IFNA(VLOOKUP(Table1[[#This Row],[MTP SKU Code]],'Audit Dimensions'!A:N,14,FALSE),"ARC")</f>
        <v>0</v>
      </c>
      <c r="AB177" s="161">
        <f>IFERROR(Table1[[#This Row],[B3.Aud]]-Table1[[#This Row],[PW(gm)9]],"ERR")</f>
        <v>0</v>
      </c>
      <c r="AC177" s="168">
        <f>IFERROR(Table1[[#This Row],[B3.Diff]]/Table1[[#This Row],[BaLL.Aud]],"ERR")</f>
        <v>0</v>
      </c>
      <c r="AD177" s="189">
        <f>_xlfn.IFNA(VLOOKUP(Table1[[#This Row],[MTP SKU Code]],'Audit Dimensions'!A:U,16,FALSE),"ARC")</f>
        <v>30460</v>
      </c>
      <c r="AE177" s="165">
        <f>IFERROR(1-Table1[[#This Row],[Gms]]/Table1[[#This Row],[BaLL.Aud]],"ERR")</f>
        <v>6.5988181221273812E-2</v>
      </c>
    </row>
    <row r="178" spans="1:31" ht="14.45" customHeight="1">
      <c r="A178" s="91" t="s">
        <v>223</v>
      </c>
      <c r="B178" s="84" t="s">
        <v>48</v>
      </c>
      <c r="C178" s="190">
        <f>_xlfn.XLOOKUP(Table1[[#This Row],[MTP SKU Code]],'Audit Dimensions'!A:A,'Audit Dimensions'!C:C,0)</f>
        <v>67</v>
      </c>
      <c r="D178" s="190">
        <f>_xlfn.XLOOKUP(Table1[[#This Row],[MTP SKU Code]],'Audit Dimensions'!$A:$A,'Audit Dimensions'!D:D,0)</f>
        <v>45</v>
      </c>
      <c r="E178" s="190">
        <f>_xlfn.XLOOKUP(Table1[[#This Row],[MTP SKU Code]],'Audit Dimensions'!$A:$A,'Audit Dimensions'!E:E,0)</f>
        <v>7</v>
      </c>
      <c r="F178" s="190">
        <v>8850</v>
      </c>
      <c r="G178" s="190">
        <f>_xlfn.XLOOKUP(Table1[[#This Row],[MTP SKU Code]],'Audit Dimensions'!$A:$A,'Audit Dimensions'!G:G,0)</f>
        <v>0</v>
      </c>
      <c r="H178" s="190">
        <f>_xlfn.XLOOKUP(Table1[[#This Row],[MTP SKU Code]],'Audit Dimensions'!$A:$A,'Audit Dimensions'!H:H,0)</f>
        <v>0</v>
      </c>
      <c r="I178" s="190">
        <f>_xlfn.XLOOKUP(Table1[[#This Row],[MTP SKU Code]],'Audit Dimensions'!$A:$A,'Audit Dimensions'!I:I,0)</f>
        <v>0</v>
      </c>
      <c r="J178" s="190">
        <f>_xlfn.XLOOKUP(Table1[[#This Row],[MTP SKU Code]],'Audit Dimensions'!$A:$A,'Audit Dimensions'!J:J,0)</f>
        <v>0</v>
      </c>
      <c r="K178" s="190">
        <f>_xlfn.XLOOKUP(Table1[[#This Row],[MTP SKU Code]],'Audit Dimensions'!$A:$A,'Audit Dimensions'!K:K,0)</f>
        <v>0</v>
      </c>
      <c r="L178" s="190">
        <f>_xlfn.XLOOKUP(Table1[[#This Row],[MTP SKU Code]],'Audit Dimensions'!$A:$A,'Audit Dimensions'!L:L,0)</f>
        <v>0</v>
      </c>
      <c r="M178" s="190">
        <f>_xlfn.XLOOKUP(Table1[[#This Row],[MTP SKU Code]],'Audit Dimensions'!$A:$A,'Audit Dimensions'!M:M,0)</f>
        <v>0</v>
      </c>
      <c r="N178" s="190">
        <f>_xlfn.XLOOKUP(Table1[[#This Row],[MTP SKU Code]],'Audit Dimensions'!$A:$A,'Audit Dimensions'!N:N,0)</f>
        <v>0</v>
      </c>
      <c r="O178" s="118">
        <f>((IFERROR((C178*D178*E178),0)+IFERROR((G178*H178*I178),0)+IFERROR((K178*L178*M178),0))/1000000)*35.32</f>
        <v>0.7454286</v>
      </c>
      <c r="P178" s="125">
        <f>Table1[[#This Row],[Column15]]*$P$2*1000</f>
        <v>4472.5716000000002</v>
      </c>
      <c r="Q178" s="87">
        <f>F178+J178+N178</f>
        <v>8850</v>
      </c>
      <c r="R178" s="86">
        <f>MAX(Q178,O178)</f>
        <v>8850</v>
      </c>
      <c r="S178" s="86">
        <f>MAX(R178,P178)</f>
        <v>8850</v>
      </c>
      <c r="T178" s="156" t="str">
        <f>VLOOKUP(A178,'[1]MTP SKUs - Master Data'!$A:$B,2,FALSE)</f>
        <v>Y</v>
      </c>
      <c r="U178" s="162">
        <f>_xlfn.IFNA(VLOOKUP(Table1[[#This Row],[MTP SKU Code]],'Audit Dimensions'!A:N,6,FALSE),"ARC")</f>
        <v>8900</v>
      </c>
      <c r="V178" s="162">
        <f>IFERROR(Table1[[#This Row],[B1.Aud]]-Table1[[#This Row],[PW(gm)]],"ERR")</f>
        <v>50</v>
      </c>
      <c r="W178" s="165">
        <f>IFERROR(Table1[[#This Row],[B1.Diff]]/Table1[[#This Row],[B1.Aud]],"ERR")</f>
        <v>5.6179775280898875E-3</v>
      </c>
      <c r="X178" s="162">
        <f>_xlfn.IFNA(VLOOKUP(Table1[[#This Row],[MTP SKU Code]],'Audit Dimensions'!A:N,10,FALSE),"ARC")</f>
        <v>0</v>
      </c>
      <c r="Y178" s="163">
        <f>IFERROR(Table1[[#This Row],[B2.Aud]]-Table1[[#This Row],[PW(gm)5]],"ERR")</f>
        <v>0</v>
      </c>
      <c r="Z178" s="165" t="str">
        <f>IFERROR(Table1[[#This Row],[B2.Diff]]/Table1[[#This Row],[B2.Aud]],"NA")</f>
        <v>NA</v>
      </c>
      <c r="AA178" s="162">
        <f>_xlfn.IFNA(VLOOKUP(Table1[[#This Row],[MTP SKU Code]],'Audit Dimensions'!A:N,14,FALSE),"ARC")</f>
        <v>0</v>
      </c>
      <c r="AB178" s="161">
        <f>IFERROR(Table1[[#This Row],[B3.Aud]]-Table1[[#This Row],[PW(gm)9]],"ERR")</f>
        <v>0</v>
      </c>
      <c r="AC178" s="168">
        <f>IFERROR(Table1[[#This Row],[B3.Diff]]/Table1[[#This Row],[BaLL.Aud]],"ERR")</f>
        <v>0</v>
      </c>
      <c r="AD178" s="189">
        <f>_xlfn.IFNA(VLOOKUP(Table1[[#This Row],[MTP SKU Code]],'Audit Dimensions'!A:U,16,FALSE),"ARC")</f>
        <v>8900</v>
      </c>
      <c r="AE178" s="165">
        <f>IFERROR(1-Table1[[#This Row],[Gms]]/Table1[[#This Row],[BaLL.Aud]],"ERR")</f>
        <v>5.6179775280899014E-3</v>
      </c>
    </row>
    <row r="179" spans="1:31" ht="14.45" hidden="1" customHeight="1">
      <c r="A179" s="91" t="s">
        <v>224</v>
      </c>
      <c r="B179" s="84" t="s">
        <v>48</v>
      </c>
      <c r="C179" s="85"/>
      <c r="D179" s="85"/>
      <c r="E179" s="85"/>
      <c r="F179" s="89">
        <v>1260</v>
      </c>
      <c r="G179" s="85"/>
      <c r="H179" s="85"/>
      <c r="I179" s="85"/>
      <c r="J179" s="85"/>
      <c r="K179" s="85"/>
      <c r="L179" s="85"/>
      <c r="M179" s="85"/>
      <c r="N179" s="85"/>
      <c r="O179" s="118">
        <f>((IFERROR((C179*D179*E179),0)+IFERROR((G179*H179*I179),0)+IFERROR((K179*L179*M179),0))/1000000)*35.32</f>
        <v>0</v>
      </c>
      <c r="P179" s="125">
        <f>Table1[[#This Row],[Column15]]*$P$2*1000</f>
        <v>0</v>
      </c>
      <c r="Q179" s="87">
        <f>F179+J179+N179</f>
        <v>1260</v>
      </c>
      <c r="R179" s="86">
        <f>MAX(Q179,O179)</f>
        <v>1260</v>
      </c>
      <c r="S179" s="86">
        <f>MAX(R179,P179)</f>
        <v>1260</v>
      </c>
      <c r="T179" s="156" t="str">
        <f>VLOOKUP(A179,'[1]MTP SKUs - Master Data'!$A:$B,2,FALSE)</f>
        <v>DI</v>
      </c>
      <c r="U179" s="162">
        <f>_xlfn.IFNA(VLOOKUP(Table1[[#This Row],[MTP SKU Code]],'Audit Dimensions'!A:N,6,FALSE),"ARC")</f>
        <v>1390</v>
      </c>
      <c r="V179" s="162">
        <f>IFERROR(Table1[[#This Row],[B1.Aud]]-Table1[[#This Row],[PW(gm)]],"ERR")</f>
        <v>130</v>
      </c>
      <c r="W179" s="165">
        <f>IFERROR(Table1[[#This Row],[B1.Diff]]/Table1[[#This Row],[B1.Aud]],"ERR")</f>
        <v>9.3525179856115109E-2</v>
      </c>
      <c r="X179" s="162">
        <f>_xlfn.IFNA(VLOOKUP(Table1[[#This Row],[MTP SKU Code]],'Audit Dimensions'!A:N,10,FALSE),"ARC")</f>
        <v>0</v>
      </c>
      <c r="Y179" s="163">
        <f>IFERROR(Table1[[#This Row],[B2.Aud]]-Table1[[#This Row],[PW(gm)5]],"ERR")</f>
        <v>0</v>
      </c>
      <c r="Z179" s="165" t="str">
        <f>IFERROR(Table1[[#This Row],[B2.Diff]]/Table1[[#This Row],[B2.Aud]],"NA")</f>
        <v>NA</v>
      </c>
      <c r="AA179" s="162">
        <f>_xlfn.IFNA(VLOOKUP(Table1[[#This Row],[MTP SKU Code]],'Audit Dimensions'!A:N,14,FALSE),"ARC")</f>
        <v>0</v>
      </c>
      <c r="AB179" s="161">
        <f>IFERROR(Table1[[#This Row],[B3.Aud]]-Table1[[#This Row],[PW(gm)9]],"ERR")</f>
        <v>0</v>
      </c>
      <c r="AC179" s="168">
        <f>IFERROR(Table1[[#This Row],[B3.Diff]]/Table1[[#This Row],[BaLL.Aud]],"ERR")</f>
        <v>0</v>
      </c>
      <c r="AD179" s="162">
        <f>_xlfn.IFNA(VLOOKUP(Table1[[#This Row],[MTP SKU Code]],'Audit Dimensions'!A:U,16,FALSE),"ARC")</f>
        <v>1390</v>
      </c>
      <c r="AE179" s="165">
        <f>IFERROR(1-Table1[[#This Row],[Gms]]/Table1[[#This Row],[BaLL.Aud]],"ERR")</f>
        <v>9.3525179856115082E-2</v>
      </c>
    </row>
    <row r="180" spans="1:31" ht="14.45" customHeight="1">
      <c r="A180" s="68" t="s">
        <v>225</v>
      </c>
      <c r="B180" s="84" t="s">
        <v>48</v>
      </c>
      <c r="C180" s="190">
        <f>_xlfn.XLOOKUP(Table1[[#This Row],[MTP SKU Code]],'Audit Dimensions'!A:A,'Audit Dimensions'!C:C,0)</f>
        <v>144</v>
      </c>
      <c r="D180" s="190">
        <f>_xlfn.XLOOKUP(Table1[[#This Row],[MTP SKU Code]],'Audit Dimensions'!$A:$A,'Audit Dimensions'!D:D,0)</f>
        <v>40</v>
      </c>
      <c r="E180" s="190">
        <f>_xlfn.XLOOKUP(Table1[[#This Row],[MTP SKU Code]],'Audit Dimensions'!$A:$A,'Audit Dimensions'!E:E,0)</f>
        <v>13</v>
      </c>
      <c r="F180" s="190">
        <v>34500</v>
      </c>
      <c r="G180" s="190">
        <f>_xlfn.XLOOKUP(Table1[[#This Row],[MTP SKU Code]],'Audit Dimensions'!$A:$A,'Audit Dimensions'!G:G,0)</f>
        <v>0</v>
      </c>
      <c r="H180" s="190">
        <f>_xlfn.XLOOKUP(Table1[[#This Row],[MTP SKU Code]],'Audit Dimensions'!$A:$A,'Audit Dimensions'!H:H,0)</f>
        <v>0</v>
      </c>
      <c r="I180" s="190">
        <f>_xlfn.XLOOKUP(Table1[[#This Row],[MTP SKU Code]],'Audit Dimensions'!$A:$A,'Audit Dimensions'!I:I,0)</f>
        <v>0</v>
      </c>
      <c r="J180" s="190">
        <f>_xlfn.XLOOKUP(Table1[[#This Row],[MTP SKU Code]],'Audit Dimensions'!$A:$A,'Audit Dimensions'!J:J,0)</f>
        <v>0</v>
      </c>
      <c r="K180" s="190">
        <f>_xlfn.XLOOKUP(Table1[[#This Row],[MTP SKU Code]],'Audit Dimensions'!$A:$A,'Audit Dimensions'!K:K,0)</f>
        <v>0</v>
      </c>
      <c r="L180" s="190">
        <f>_xlfn.XLOOKUP(Table1[[#This Row],[MTP SKU Code]],'Audit Dimensions'!$A:$A,'Audit Dimensions'!L:L,0)</f>
        <v>0</v>
      </c>
      <c r="M180" s="190">
        <f>_xlfn.XLOOKUP(Table1[[#This Row],[MTP SKU Code]],'Audit Dimensions'!$A:$A,'Audit Dimensions'!M:M,0)</f>
        <v>0</v>
      </c>
      <c r="N180" s="190">
        <f>_xlfn.XLOOKUP(Table1[[#This Row],[MTP SKU Code]],'Audit Dimensions'!$A:$A,'Audit Dimensions'!N:N,0)</f>
        <v>0</v>
      </c>
      <c r="O180" s="118">
        <f>((IFERROR((C180*D180*E180),0)+IFERROR((G180*H180*I180),0)+IFERROR((K180*L180*M180),0))/1000000)*35.32</f>
        <v>2.6447616000000003</v>
      </c>
      <c r="P180" s="125">
        <f>Table1[[#This Row],[Column15]]*$P$2*1000</f>
        <v>15868.569600000001</v>
      </c>
      <c r="Q180" s="87">
        <f>F180+J180+N180</f>
        <v>34500</v>
      </c>
      <c r="R180" s="86">
        <f>MAX(Q180,O180)</f>
        <v>34500</v>
      </c>
      <c r="S180" s="86">
        <f>MAX(R180,P180)</f>
        <v>34500</v>
      </c>
      <c r="T180" s="156" t="str">
        <f>VLOOKUP(A180,'[1]MTP SKUs - Master Data'!$A:$B,2,FALSE)</f>
        <v>Y</v>
      </c>
      <c r="U180" s="162">
        <f>_xlfn.IFNA(VLOOKUP(Table1[[#This Row],[MTP SKU Code]],'Audit Dimensions'!A:N,6,FALSE),"ARC")</f>
        <v>36200</v>
      </c>
      <c r="V180" s="162">
        <f>IFERROR(Table1[[#This Row],[B1.Aud]]-Table1[[#This Row],[PW(gm)]],"ERR")</f>
        <v>1700</v>
      </c>
      <c r="W180" s="165">
        <f>IFERROR(Table1[[#This Row],[B1.Diff]]/Table1[[#This Row],[B1.Aud]],"ERR")</f>
        <v>4.6961325966850827E-2</v>
      </c>
      <c r="X180" s="162">
        <f>_xlfn.IFNA(VLOOKUP(Table1[[#This Row],[MTP SKU Code]],'Audit Dimensions'!A:N,10,FALSE),"ARC")</f>
        <v>0</v>
      </c>
      <c r="Y180" s="163">
        <f>IFERROR(Table1[[#This Row],[B2.Aud]]-Table1[[#This Row],[PW(gm)5]],"ERR")</f>
        <v>0</v>
      </c>
      <c r="Z180" s="165" t="str">
        <f>IFERROR(Table1[[#This Row],[B2.Diff]]/Table1[[#This Row],[B2.Aud]],"NA")</f>
        <v>NA</v>
      </c>
      <c r="AA180" s="162">
        <f>_xlfn.IFNA(VLOOKUP(Table1[[#This Row],[MTP SKU Code]],'Audit Dimensions'!A:N,14,FALSE),"ARC")</f>
        <v>0</v>
      </c>
      <c r="AB180" s="161">
        <f>IFERROR(Table1[[#This Row],[B3.Aud]]-Table1[[#This Row],[PW(gm)9]],"ERR")</f>
        <v>0</v>
      </c>
      <c r="AC180" s="168">
        <f>IFERROR(Table1[[#This Row],[B3.Diff]]/Table1[[#This Row],[BaLL.Aud]],"ERR")</f>
        <v>0</v>
      </c>
      <c r="AD180" s="189">
        <f>_xlfn.IFNA(VLOOKUP(Table1[[#This Row],[MTP SKU Code]],'Audit Dimensions'!A:U,16,FALSE),"ARC")</f>
        <v>36200</v>
      </c>
      <c r="AE180" s="165">
        <f>IFERROR(1-Table1[[#This Row],[Gms]]/Table1[[#This Row],[BaLL.Aud]],"ERR")</f>
        <v>4.6961325966850875E-2</v>
      </c>
    </row>
    <row r="181" spans="1:31">
      <c r="A181" s="91" t="s">
        <v>226</v>
      </c>
      <c r="B181" s="84" t="s">
        <v>48</v>
      </c>
      <c r="C181" s="190">
        <f>_xlfn.XLOOKUP(Table1[[#This Row],[MTP SKU Code]],'Audit Dimensions'!A:A,'Audit Dimensions'!C:C,0)</f>
        <v>107</v>
      </c>
      <c r="D181" s="190">
        <f>_xlfn.XLOOKUP(Table1[[#This Row],[MTP SKU Code]],'Audit Dimensions'!$A:$A,'Audit Dimensions'!D:D,0)</f>
        <v>50</v>
      </c>
      <c r="E181" s="190">
        <f>_xlfn.XLOOKUP(Table1[[#This Row],[MTP SKU Code]],'Audit Dimensions'!$A:$A,'Audit Dimensions'!E:E,0)</f>
        <v>5</v>
      </c>
      <c r="F181" s="190">
        <v>11900</v>
      </c>
      <c r="G181" s="190">
        <f>_xlfn.XLOOKUP(Table1[[#This Row],[MTP SKU Code]],'Audit Dimensions'!$A:$A,'Audit Dimensions'!G:G,0)</f>
        <v>0</v>
      </c>
      <c r="H181" s="190">
        <f>_xlfn.XLOOKUP(Table1[[#This Row],[MTP SKU Code]],'Audit Dimensions'!$A:$A,'Audit Dimensions'!H:H,0)</f>
        <v>0</v>
      </c>
      <c r="I181" s="190">
        <f>_xlfn.XLOOKUP(Table1[[#This Row],[MTP SKU Code]],'Audit Dimensions'!$A:$A,'Audit Dimensions'!I:I,0)</f>
        <v>0</v>
      </c>
      <c r="J181" s="190">
        <f>_xlfn.XLOOKUP(Table1[[#This Row],[MTP SKU Code]],'Audit Dimensions'!$A:$A,'Audit Dimensions'!J:J,0)</f>
        <v>0</v>
      </c>
      <c r="K181" s="190">
        <f>_xlfn.XLOOKUP(Table1[[#This Row],[MTP SKU Code]],'Audit Dimensions'!$A:$A,'Audit Dimensions'!K:K,0)</f>
        <v>0</v>
      </c>
      <c r="L181" s="190">
        <f>_xlfn.XLOOKUP(Table1[[#This Row],[MTP SKU Code]],'Audit Dimensions'!$A:$A,'Audit Dimensions'!L:L,0)</f>
        <v>0</v>
      </c>
      <c r="M181" s="190">
        <f>_xlfn.XLOOKUP(Table1[[#This Row],[MTP SKU Code]],'Audit Dimensions'!$A:$A,'Audit Dimensions'!M:M,0)</f>
        <v>0</v>
      </c>
      <c r="N181" s="190">
        <f>_xlfn.XLOOKUP(Table1[[#This Row],[MTP SKU Code]],'Audit Dimensions'!$A:$A,'Audit Dimensions'!N:N,0)</f>
        <v>0</v>
      </c>
      <c r="O181" s="118">
        <f>((IFERROR((C181*D181*E181),0)+IFERROR((G181*H181*I181),0)+IFERROR((K181*L181*M181),0))/1000000)*35.32</f>
        <v>0.94481000000000004</v>
      </c>
      <c r="P181" s="125">
        <f>Table1[[#This Row],[Column15]]*$P$2*1000</f>
        <v>5668.8600000000006</v>
      </c>
      <c r="Q181" s="87">
        <f>F181+J181+N181</f>
        <v>11900</v>
      </c>
      <c r="R181" s="86">
        <f>MAX(Q181,O181)</f>
        <v>11900</v>
      </c>
      <c r="S181" s="86">
        <f>MAX(R181,P181)</f>
        <v>11900</v>
      </c>
      <c r="T181" s="156" t="str">
        <f>VLOOKUP(A181,'[1]MTP SKUs - Master Data'!$A:$B,2,FALSE)</f>
        <v>Y</v>
      </c>
      <c r="U181" s="162">
        <f>_xlfn.IFNA(VLOOKUP(Table1[[#This Row],[MTP SKU Code]],'Audit Dimensions'!A:N,6,FALSE),"ARC")</f>
        <v>13250</v>
      </c>
      <c r="V181" s="162">
        <f>IFERROR(Table1[[#This Row],[B1.Aud]]-Table1[[#This Row],[PW(gm)]],"ERR")</f>
        <v>1350</v>
      </c>
      <c r="W181" s="165">
        <f>IFERROR(Table1[[#This Row],[B1.Diff]]/Table1[[#This Row],[B1.Aud]],"ERR")</f>
        <v>0.10188679245283019</v>
      </c>
      <c r="X181" s="162">
        <f>_xlfn.IFNA(VLOOKUP(Table1[[#This Row],[MTP SKU Code]],'Audit Dimensions'!A:N,10,FALSE),"ARC")</f>
        <v>0</v>
      </c>
      <c r="Y181" s="163">
        <f>IFERROR(Table1[[#This Row],[B2.Aud]]-Table1[[#This Row],[PW(gm)5]],"ERR")</f>
        <v>0</v>
      </c>
      <c r="Z181" s="165" t="str">
        <f>IFERROR(Table1[[#This Row],[B2.Diff]]/Table1[[#This Row],[B2.Aud]],"NA")</f>
        <v>NA</v>
      </c>
      <c r="AA181" s="162">
        <f>_xlfn.IFNA(VLOOKUP(Table1[[#This Row],[MTP SKU Code]],'Audit Dimensions'!A:N,14,FALSE),"ARC")</f>
        <v>0</v>
      </c>
      <c r="AB181" s="161">
        <f>IFERROR(Table1[[#This Row],[B3.Aud]]-Table1[[#This Row],[PW(gm)9]],"ERR")</f>
        <v>0</v>
      </c>
      <c r="AC181" s="168">
        <f>IFERROR(Table1[[#This Row],[B3.Diff]]/Table1[[#This Row],[BaLL.Aud]],"ERR")</f>
        <v>0</v>
      </c>
      <c r="AD181" s="189">
        <f>_xlfn.IFNA(VLOOKUP(Table1[[#This Row],[MTP SKU Code]],'Audit Dimensions'!A:U,16,FALSE),"ARC")</f>
        <v>13250</v>
      </c>
      <c r="AE181" s="165">
        <f>IFERROR(1-Table1[[#This Row],[Gms]]/Table1[[#This Row],[BaLL.Aud]],"ERR")</f>
        <v>0.10188679245283017</v>
      </c>
    </row>
    <row r="182" spans="1:31" ht="14.45" customHeight="1">
      <c r="A182" s="69" t="s">
        <v>227</v>
      </c>
      <c r="B182" s="84" t="s">
        <v>48</v>
      </c>
      <c r="C182" s="190">
        <f>_xlfn.XLOOKUP(Table1[[#This Row],[MTP SKU Code]],'Audit Dimensions'!A:A,'Audit Dimensions'!C:C,0)</f>
        <v>95</v>
      </c>
      <c r="D182" s="190">
        <f>_xlfn.XLOOKUP(Table1[[#This Row],[MTP SKU Code]],'Audit Dimensions'!$A:$A,'Audit Dimensions'!D:D,0)</f>
        <v>45</v>
      </c>
      <c r="E182" s="190">
        <f>_xlfn.XLOOKUP(Table1[[#This Row],[MTP SKU Code]],'Audit Dimensions'!$A:$A,'Audit Dimensions'!E:E,0)</f>
        <v>8</v>
      </c>
      <c r="F182" s="190">
        <v>10800</v>
      </c>
      <c r="G182" s="190">
        <f>_xlfn.XLOOKUP(Table1[[#This Row],[MTP SKU Code]],'Audit Dimensions'!$A:$A,'Audit Dimensions'!G:G,0)</f>
        <v>0</v>
      </c>
      <c r="H182" s="190">
        <f>_xlfn.XLOOKUP(Table1[[#This Row],[MTP SKU Code]],'Audit Dimensions'!$A:$A,'Audit Dimensions'!H:H,0)</f>
        <v>0</v>
      </c>
      <c r="I182" s="190">
        <f>_xlfn.XLOOKUP(Table1[[#This Row],[MTP SKU Code]],'Audit Dimensions'!$A:$A,'Audit Dimensions'!I:I,0)</f>
        <v>0</v>
      </c>
      <c r="J182" s="190">
        <f>_xlfn.XLOOKUP(Table1[[#This Row],[MTP SKU Code]],'Audit Dimensions'!$A:$A,'Audit Dimensions'!J:J,0)</f>
        <v>0</v>
      </c>
      <c r="K182" s="190">
        <f>_xlfn.XLOOKUP(Table1[[#This Row],[MTP SKU Code]],'Audit Dimensions'!$A:$A,'Audit Dimensions'!K:K,0)</f>
        <v>0</v>
      </c>
      <c r="L182" s="190">
        <f>_xlfn.XLOOKUP(Table1[[#This Row],[MTP SKU Code]],'Audit Dimensions'!$A:$A,'Audit Dimensions'!L:L,0)</f>
        <v>0</v>
      </c>
      <c r="M182" s="190">
        <f>_xlfn.XLOOKUP(Table1[[#This Row],[MTP SKU Code]],'Audit Dimensions'!$A:$A,'Audit Dimensions'!M:M,0)</f>
        <v>0</v>
      </c>
      <c r="N182" s="190">
        <f>_xlfn.XLOOKUP(Table1[[#This Row],[MTP SKU Code]],'Audit Dimensions'!$A:$A,'Audit Dimensions'!N:N,0)</f>
        <v>0</v>
      </c>
      <c r="O182" s="118">
        <f>((IFERROR((C182*D182*E182),0)+IFERROR((G182*H182*I182),0)+IFERROR((K182*L182*M182),0))/1000000)*35.32</f>
        <v>1.2079440000000001</v>
      </c>
      <c r="P182" s="125">
        <f>Table1[[#This Row],[Column15]]*$P$2*1000</f>
        <v>7247.6640000000007</v>
      </c>
      <c r="Q182" s="87">
        <f>F182+J182+N182</f>
        <v>10800</v>
      </c>
      <c r="R182" s="86">
        <f>MAX(Q182,O182)</f>
        <v>10800</v>
      </c>
      <c r="S182" s="86">
        <f>MAX(R182,P182)</f>
        <v>10800</v>
      </c>
      <c r="T182" s="156" t="str">
        <f>VLOOKUP(A182,'[1]MTP SKUs - Master Data'!$A:$B,2,FALSE)</f>
        <v>Y</v>
      </c>
      <c r="U182" s="162">
        <f>_xlfn.IFNA(VLOOKUP(Table1[[#This Row],[MTP SKU Code]],'Audit Dimensions'!A:N,6,FALSE),"ARC")</f>
        <v>11200</v>
      </c>
      <c r="V182" s="162">
        <f>IFERROR(Table1[[#This Row],[B1.Aud]]-Table1[[#This Row],[PW(gm)]],"ERR")</f>
        <v>400</v>
      </c>
      <c r="W182" s="165">
        <f>IFERROR(Table1[[#This Row],[B1.Diff]]/Table1[[#This Row],[B1.Aud]],"ERR")</f>
        <v>3.5714285714285712E-2</v>
      </c>
      <c r="X182" s="162">
        <f>_xlfn.IFNA(VLOOKUP(Table1[[#This Row],[MTP SKU Code]],'Audit Dimensions'!A:N,10,FALSE),"ARC")</f>
        <v>0</v>
      </c>
      <c r="Y182" s="163">
        <f>IFERROR(Table1[[#This Row],[B2.Aud]]-Table1[[#This Row],[PW(gm)5]],"ERR")</f>
        <v>0</v>
      </c>
      <c r="Z182" s="165" t="str">
        <f>IFERROR(Table1[[#This Row],[B2.Diff]]/Table1[[#This Row],[B2.Aud]],"NA")</f>
        <v>NA</v>
      </c>
      <c r="AA182" s="162">
        <f>_xlfn.IFNA(VLOOKUP(Table1[[#This Row],[MTP SKU Code]],'Audit Dimensions'!A:N,14,FALSE),"ARC")</f>
        <v>0</v>
      </c>
      <c r="AB182" s="161">
        <f>IFERROR(Table1[[#This Row],[B3.Aud]]-Table1[[#This Row],[PW(gm)9]],"ERR")</f>
        <v>0</v>
      </c>
      <c r="AC182" s="168">
        <f>IFERROR(Table1[[#This Row],[B3.Diff]]/Table1[[#This Row],[BaLL.Aud]],"ERR")</f>
        <v>0</v>
      </c>
      <c r="AD182" s="189">
        <f>_xlfn.IFNA(VLOOKUP(Table1[[#This Row],[MTP SKU Code]],'Audit Dimensions'!A:U,16,FALSE),"ARC")</f>
        <v>11200</v>
      </c>
      <c r="AE182" s="165">
        <f>IFERROR(1-Table1[[#This Row],[Gms]]/Table1[[#This Row],[BaLL.Aud]],"ERR")</f>
        <v>3.5714285714285698E-2</v>
      </c>
    </row>
    <row r="183" spans="1:31" ht="14.45" customHeight="1">
      <c r="A183" s="68" t="s">
        <v>228</v>
      </c>
      <c r="B183" s="84" t="s">
        <v>48</v>
      </c>
      <c r="C183" s="190">
        <f>_xlfn.XLOOKUP(Table1[[#This Row],[MTP SKU Code]],'Audit Dimensions'!A:A,'Audit Dimensions'!C:C,0)</f>
        <v>96</v>
      </c>
      <c r="D183" s="190">
        <f>_xlfn.XLOOKUP(Table1[[#This Row],[MTP SKU Code]],'Audit Dimensions'!$A:$A,'Audit Dimensions'!D:D,0)</f>
        <v>45</v>
      </c>
      <c r="E183" s="190">
        <f>_xlfn.XLOOKUP(Table1[[#This Row],[MTP SKU Code]],'Audit Dimensions'!$A:$A,'Audit Dimensions'!E:E,0)</f>
        <v>8</v>
      </c>
      <c r="F183" s="190">
        <v>10900</v>
      </c>
      <c r="G183" s="190">
        <f>_xlfn.XLOOKUP(Table1[[#This Row],[MTP SKU Code]],'Audit Dimensions'!$A:$A,'Audit Dimensions'!G:G,0)</f>
        <v>0</v>
      </c>
      <c r="H183" s="190">
        <f>_xlfn.XLOOKUP(Table1[[#This Row],[MTP SKU Code]],'Audit Dimensions'!$A:$A,'Audit Dimensions'!H:H,0)</f>
        <v>0</v>
      </c>
      <c r="I183" s="190">
        <f>_xlfn.XLOOKUP(Table1[[#This Row],[MTP SKU Code]],'Audit Dimensions'!$A:$A,'Audit Dimensions'!I:I,0)</f>
        <v>0</v>
      </c>
      <c r="J183" s="190">
        <f>_xlfn.XLOOKUP(Table1[[#This Row],[MTP SKU Code]],'Audit Dimensions'!$A:$A,'Audit Dimensions'!J:J,0)</f>
        <v>0</v>
      </c>
      <c r="K183" s="190">
        <f>_xlfn.XLOOKUP(Table1[[#This Row],[MTP SKU Code]],'Audit Dimensions'!$A:$A,'Audit Dimensions'!K:K,0)</f>
        <v>0</v>
      </c>
      <c r="L183" s="190">
        <f>_xlfn.XLOOKUP(Table1[[#This Row],[MTP SKU Code]],'Audit Dimensions'!$A:$A,'Audit Dimensions'!L:L,0)</f>
        <v>0</v>
      </c>
      <c r="M183" s="190">
        <f>_xlfn.XLOOKUP(Table1[[#This Row],[MTP SKU Code]],'Audit Dimensions'!$A:$A,'Audit Dimensions'!M:M,0)</f>
        <v>0</v>
      </c>
      <c r="N183" s="190">
        <f>_xlfn.XLOOKUP(Table1[[#This Row],[MTP SKU Code]],'Audit Dimensions'!$A:$A,'Audit Dimensions'!N:N,0)</f>
        <v>0</v>
      </c>
      <c r="O183" s="118">
        <f>((IFERROR((C183*D183*E183),0)+IFERROR((G183*H183*I183),0)+IFERROR((K183*L183*M183),0))/1000000)*35.32</f>
        <v>1.2206592000000001</v>
      </c>
      <c r="P183" s="125">
        <f>Table1[[#This Row],[Column15]]*$P$2*1000</f>
        <v>7323.9552000000003</v>
      </c>
      <c r="Q183" s="87">
        <f>F183+J183+N183</f>
        <v>10900</v>
      </c>
      <c r="R183" s="86">
        <f>MAX(Q183,O183)</f>
        <v>10900</v>
      </c>
      <c r="S183" s="86">
        <f>MAX(R183,P183)</f>
        <v>10900</v>
      </c>
      <c r="T183" s="156" t="str">
        <f>VLOOKUP(A183,'[1]MTP SKUs - Master Data'!$A:$B,2,FALSE)</f>
        <v>Y</v>
      </c>
      <c r="U183" s="162">
        <f>_xlfn.IFNA(VLOOKUP(Table1[[#This Row],[MTP SKU Code]],'Audit Dimensions'!A:N,6,FALSE),"ARC")</f>
        <v>12000</v>
      </c>
      <c r="V183" s="162">
        <f>IFERROR(Table1[[#This Row],[B1.Aud]]-Table1[[#This Row],[PW(gm)]],"ERR")</f>
        <v>1100</v>
      </c>
      <c r="W183" s="165">
        <f>IFERROR(Table1[[#This Row],[B1.Diff]]/Table1[[#This Row],[B1.Aud]],"ERR")</f>
        <v>9.166666666666666E-2</v>
      </c>
      <c r="X183" s="162">
        <f>_xlfn.IFNA(VLOOKUP(Table1[[#This Row],[MTP SKU Code]],'Audit Dimensions'!A:N,10,FALSE),"ARC")</f>
        <v>0</v>
      </c>
      <c r="Y183" s="163">
        <f>IFERROR(Table1[[#This Row],[B2.Aud]]-Table1[[#This Row],[PW(gm)5]],"ERR")</f>
        <v>0</v>
      </c>
      <c r="Z183" s="165" t="str">
        <f>IFERROR(Table1[[#This Row],[B2.Diff]]/Table1[[#This Row],[B2.Aud]],"NA")</f>
        <v>NA</v>
      </c>
      <c r="AA183" s="162">
        <f>_xlfn.IFNA(VLOOKUP(Table1[[#This Row],[MTP SKU Code]],'Audit Dimensions'!A:N,14,FALSE),"ARC")</f>
        <v>0</v>
      </c>
      <c r="AB183" s="161">
        <f>IFERROR(Table1[[#This Row],[B3.Aud]]-Table1[[#This Row],[PW(gm)9]],"ERR")</f>
        <v>0</v>
      </c>
      <c r="AC183" s="168">
        <f>IFERROR(Table1[[#This Row],[B3.Diff]]/Table1[[#This Row],[BaLL.Aud]],"ERR")</f>
        <v>0</v>
      </c>
      <c r="AD183" s="189">
        <f>_xlfn.IFNA(VLOOKUP(Table1[[#This Row],[MTP SKU Code]],'Audit Dimensions'!A:U,16,FALSE),"ARC")</f>
        <v>12000</v>
      </c>
      <c r="AE183" s="165">
        <f>IFERROR(1-Table1[[#This Row],[Gms]]/Table1[[#This Row],[BaLL.Aud]],"ERR")</f>
        <v>9.1666666666666674E-2</v>
      </c>
    </row>
    <row r="184" spans="1:31" ht="14.45" customHeight="1">
      <c r="A184" s="68" t="s">
        <v>229</v>
      </c>
      <c r="B184" s="84" t="s">
        <v>48</v>
      </c>
      <c r="C184" s="190">
        <f>_xlfn.XLOOKUP(Table1[[#This Row],[MTP SKU Code]],'Audit Dimensions'!A:A,'Audit Dimensions'!C:C,0)</f>
        <v>84</v>
      </c>
      <c r="D184" s="190">
        <f>_xlfn.XLOOKUP(Table1[[#This Row],[MTP SKU Code]],'Audit Dimensions'!$A:$A,'Audit Dimensions'!D:D,0)</f>
        <v>41</v>
      </c>
      <c r="E184" s="190">
        <f>_xlfn.XLOOKUP(Table1[[#This Row],[MTP SKU Code]],'Audit Dimensions'!$A:$A,'Audit Dimensions'!E:E,0)</f>
        <v>19</v>
      </c>
      <c r="F184" s="190">
        <v>24450</v>
      </c>
      <c r="G184" s="190">
        <f>_xlfn.XLOOKUP(Table1[[#This Row],[MTP SKU Code]],'Audit Dimensions'!$A:$A,'Audit Dimensions'!G:G,0)</f>
        <v>0</v>
      </c>
      <c r="H184" s="190">
        <f>_xlfn.XLOOKUP(Table1[[#This Row],[MTP SKU Code]],'Audit Dimensions'!$A:$A,'Audit Dimensions'!H:H,0)</f>
        <v>0</v>
      </c>
      <c r="I184" s="190">
        <f>_xlfn.XLOOKUP(Table1[[#This Row],[MTP SKU Code]],'Audit Dimensions'!$A:$A,'Audit Dimensions'!I:I,0)</f>
        <v>0</v>
      </c>
      <c r="J184" s="190">
        <f>_xlfn.XLOOKUP(Table1[[#This Row],[MTP SKU Code]],'Audit Dimensions'!$A:$A,'Audit Dimensions'!J:J,0)</f>
        <v>0</v>
      </c>
      <c r="K184" s="190">
        <f>_xlfn.XLOOKUP(Table1[[#This Row],[MTP SKU Code]],'Audit Dimensions'!$A:$A,'Audit Dimensions'!K:K,0)</f>
        <v>0</v>
      </c>
      <c r="L184" s="190">
        <f>_xlfn.XLOOKUP(Table1[[#This Row],[MTP SKU Code]],'Audit Dimensions'!$A:$A,'Audit Dimensions'!L:L,0)</f>
        <v>0</v>
      </c>
      <c r="M184" s="190">
        <f>_xlfn.XLOOKUP(Table1[[#This Row],[MTP SKU Code]],'Audit Dimensions'!$A:$A,'Audit Dimensions'!M:M,0)</f>
        <v>0</v>
      </c>
      <c r="N184" s="190">
        <f>_xlfn.XLOOKUP(Table1[[#This Row],[MTP SKU Code]],'Audit Dimensions'!$A:$A,'Audit Dimensions'!N:N,0)</f>
        <v>0</v>
      </c>
      <c r="O184" s="118">
        <f>((IFERROR((C184*D184*E184),0)+IFERROR((G184*H184*I184),0)+IFERROR((K184*L184*M184),0))/1000000)*35.32</f>
        <v>2.3111995199999997</v>
      </c>
      <c r="P184" s="125">
        <f>Table1[[#This Row],[Column15]]*$P$2*1000</f>
        <v>13867.197119999999</v>
      </c>
      <c r="Q184" s="87">
        <f>F184+J184+N184</f>
        <v>24450</v>
      </c>
      <c r="R184" s="88">
        <f>MAX(Q184,O184)</f>
        <v>24450</v>
      </c>
      <c r="S184" s="86">
        <f>MAX(R184,P184)</f>
        <v>24450</v>
      </c>
      <c r="T184" s="156" t="str">
        <f>VLOOKUP(A184,'[1]MTP SKUs - Master Data'!$A:$B,2,FALSE)</f>
        <v>Y</v>
      </c>
      <c r="U184" s="162">
        <f>_xlfn.IFNA(VLOOKUP(Table1[[#This Row],[MTP SKU Code]],'Audit Dimensions'!A:N,6,FALSE),"ARC")</f>
        <v>25970</v>
      </c>
      <c r="V184" s="162">
        <f>IFERROR(Table1[[#This Row],[B1.Aud]]-Table1[[#This Row],[PW(gm)]],"ERR")</f>
        <v>1520</v>
      </c>
      <c r="W184" s="165">
        <f>IFERROR(Table1[[#This Row],[B1.Diff]]/Table1[[#This Row],[B1.Aud]],"ERR")</f>
        <v>5.8529072006160955E-2</v>
      </c>
      <c r="X184" s="162">
        <f>_xlfn.IFNA(VLOOKUP(Table1[[#This Row],[MTP SKU Code]],'Audit Dimensions'!A:N,10,FALSE),"ARC")</f>
        <v>0</v>
      </c>
      <c r="Y184" s="163">
        <f>IFERROR(Table1[[#This Row],[B2.Aud]]-Table1[[#This Row],[PW(gm)5]],"ERR")</f>
        <v>0</v>
      </c>
      <c r="Z184" s="165" t="str">
        <f>IFERROR(Table1[[#This Row],[B2.Diff]]/Table1[[#This Row],[B2.Aud]],"NA")</f>
        <v>NA</v>
      </c>
      <c r="AA184" s="162">
        <f>_xlfn.IFNA(VLOOKUP(Table1[[#This Row],[MTP SKU Code]],'Audit Dimensions'!A:N,14,FALSE),"ARC")</f>
        <v>0</v>
      </c>
      <c r="AB184" s="161">
        <f>IFERROR(Table1[[#This Row],[B3.Aud]]-Table1[[#This Row],[PW(gm)9]],"ERR")</f>
        <v>0</v>
      </c>
      <c r="AC184" s="168">
        <f>IFERROR(Table1[[#This Row],[B3.Diff]]/Table1[[#This Row],[BaLL.Aud]],"ERR")</f>
        <v>0</v>
      </c>
      <c r="AD184" s="189">
        <f>_xlfn.IFNA(VLOOKUP(Table1[[#This Row],[MTP SKU Code]],'Audit Dimensions'!A:U,16,FALSE),"ARC")</f>
        <v>25970</v>
      </c>
      <c r="AE184" s="165">
        <f>IFERROR(1-Table1[[#This Row],[Gms]]/Table1[[#This Row],[BaLL.Aud]],"ERR")</f>
        <v>5.8529072006160976E-2</v>
      </c>
    </row>
    <row r="185" spans="1:31" ht="14.45" hidden="1" customHeight="1">
      <c r="A185" s="68" t="s">
        <v>230</v>
      </c>
      <c r="B185" s="84" t="s">
        <v>48</v>
      </c>
      <c r="C185" s="85">
        <v>42</v>
      </c>
      <c r="D185" s="85">
        <v>41</v>
      </c>
      <c r="E185" s="85">
        <v>6</v>
      </c>
      <c r="F185" s="89">
        <v>4300</v>
      </c>
      <c r="G185" s="85"/>
      <c r="H185" s="85"/>
      <c r="I185" s="85"/>
      <c r="J185" s="85"/>
      <c r="K185" s="85"/>
      <c r="L185" s="85"/>
      <c r="M185" s="85"/>
      <c r="N185" s="85"/>
      <c r="O185" s="118">
        <f>((IFERROR((C185*D185*E185),0)+IFERROR((G185*H185*I185),0)+IFERROR((K185*L185*M185),0))/1000000)*35.32</f>
        <v>0.36492623999999996</v>
      </c>
      <c r="P185" s="125">
        <f>Table1[[#This Row],[Column15]]*$P$2*1000</f>
        <v>2189.5574399999996</v>
      </c>
      <c r="Q185" s="87">
        <f>F185+J185+N185</f>
        <v>4300</v>
      </c>
      <c r="R185" s="86">
        <f>MAX(Q185,O185)</f>
        <v>4300</v>
      </c>
      <c r="S185" s="86">
        <f>MAX(R185,P185)</f>
        <v>4300</v>
      </c>
      <c r="T185" s="156" t="str">
        <f>VLOOKUP(A185,'[1]MTP SKUs - Master Data'!$A:$B,2,FALSE)</f>
        <v>DI</v>
      </c>
      <c r="U185" s="162">
        <f>_xlfn.IFNA(VLOOKUP(Table1[[#This Row],[MTP SKU Code]],'Audit Dimensions'!A:N,6,FALSE),"ARC")</f>
        <v>4780</v>
      </c>
      <c r="V185" s="162">
        <f>IFERROR(Table1[[#This Row],[B1.Aud]]-Table1[[#This Row],[PW(gm)]],"ERR")</f>
        <v>480</v>
      </c>
      <c r="W185" s="165">
        <f>IFERROR(Table1[[#This Row],[B1.Diff]]/Table1[[#This Row],[B1.Aud]],"ERR")</f>
        <v>0.100418410041841</v>
      </c>
      <c r="X185" s="162">
        <f>_xlfn.IFNA(VLOOKUP(Table1[[#This Row],[MTP SKU Code]],'Audit Dimensions'!A:N,10,FALSE),"ARC")</f>
        <v>0</v>
      </c>
      <c r="Y185" s="163">
        <f>IFERROR(Table1[[#This Row],[B2.Aud]]-Table1[[#This Row],[PW(gm)5]],"ERR")</f>
        <v>0</v>
      </c>
      <c r="Z185" s="165" t="str">
        <f>IFERROR(Table1[[#This Row],[B2.Diff]]/Table1[[#This Row],[B2.Aud]],"NA")</f>
        <v>NA</v>
      </c>
      <c r="AA185" s="162">
        <f>_xlfn.IFNA(VLOOKUP(Table1[[#This Row],[MTP SKU Code]],'Audit Dimensions'!A:N,14,FALSE),"ARC")</f>
        <v>0</v>
      </c>
      <c r="AB185" s="161">
        <f>IFERROR(Table1[[#This Row],[B3.Aud]]-Table1[[#This Row],[PW(gm)9]],"ERR")</f>
        <v>0</v>
      </c>
      <c r="AC185" s="168">
        <f>IFERROR(Table1[[#This Row],[B3.Diff]]/Table1[[#This Row],[BaLL.Aud]],"ERR")</f>
        <v>0</v>
      </c>
      <c r="AD185" s="162">
        <f>_xlfn.IFNA(VLOOKUP(Table1[[#This Row],[MTP SKU Code]],'Audit Dimensions'!A:U,16,FALSE),"ARC")</f>
        <v>4780</v>
      </c>
      <c r="AE185" s="165">
        <f>IFERROR(1-Table1[[#This Row],[Gms]]/Table1[[#This Row],[BaLL.Aud]],"ERR")</f>
        <v>0.10041841004184104</v>
      </c>
    </row>
    <row r="186" spans="1:31" ht="14.45" customHeight="1">
      <c r="A186" s="69" t="s">
        <v>231</v>
      </c>
      <c r="B186" s="84" t="s">
        <v>74</v>
      </c>
      <c r="C186" s="190">
        <v>70</v>
      </c>
      <c r="D186" s="190">
        <f>_xlfn.XLOOKUP(Table1[[#This Row],[MTP SKU Code]],'Audit Dimensions'!$A:$A,'Audit Dimensions'!D:D,0)</f>
        <v>79</v>
      </c>
      <c r="E186" s="190">
        <v>3</v>
      </c>
      <c r="F186" s="190">
        <v>3800</v>
      </c>
      <c r="G186" s="190">
        <v>45</v>
      </c>
      <c r="H186" s="190">
        <v>12</v>
      </c>
      <c r="I186" s="190">
        <v>10</v>
      </c>
      <c r="J186" s="190">
        <v>1150</v>
      </c>
      <c r="K186" s="190">
        <f>_xlfn.XLOOKUP(Table1[[#This Row],[MTP SKU Code]],'Audit Dimensions'!$A:$A,'Audit Dimensions'!K:K,0)</f>
        <v>0</v>
      </c>
      <c r="L186" s="190">
        <f>_xlfn.XLOOKUP(Table1[[#This Row],[MTP SKU Code]],'Audit Dimensions'!$A:$A,'Audit Dimensions'!L:L,0)</f>
        <v>0</v>
      </c>
      <c r="M186" s="190">
        <f>_xlfn.XLOOKUP(Table1[[#This Row],[MTP SKU Code]],'Audit Dimensions'!$A:$A,'Audit Dimensions'!M:M,0)</f>
        <v>0</v>
      </c>
      <c r="N186" s="190">
        <f>_xlfn.XLOOKUP(Table1[[#This Row],[MTP SKU Code]],'Audit Dimensions'!$A:$A,'Audit Dimensions'!N:N,0)</f>
        <v>0</v>
      </c>
      <c r="O186" s="118">
        <f>((IFERROR((C186*D186*E186),0)+IFERROR((G186*H186*I186),0)+IFERROR((K186*L186*M186),0))/1000000)*35.32</f>
        <v>0.77668680000000001</v>
      </c>
      <c r="P186" s="125">
        <f>Table1[[#This Row],[Column15]]*$P$2*1000</f>
        <v>4660.1207999999997</v>
      </c>
      <c r="Q186" s="87">
        <f>F186+J186+N186</f>
        <v>4950</v>
      </c>
      <c r="R186" s="86">
        <f>MAX(Q186,O186)</f>
        <v>4950</v>
      </c>
      <c r="S186" s="86">
        <f>MAX(R186,P186)</f>
        <v>4950</v>
      </c>
      <c r="T186" s="156" t="str">
        <f>VLOOKUP(A186,'[1]MTP SKUs - Master Data'!$A:$B,2,FALSE)</f>
        <v>Y</v>
      </c>
      <c r="U186" s="162">
        <f>_xlfn.IFNA(VLOOKUP(Table1[[#This Row],[MTP SKU Code]],'Audit Dimensions'!A:N,6,FALSE),"ARC")</f>
        <v>4200</v>
      </c>
      <c r="V186" s="162">
        <f>IFERROR(Table1[[#This Row],[B1.Aud]]-Table1[[#This Row],[PW(gm)]],"ERR")</f>
        <v>400</v>
      </c>
      <c r="W186" s="165">
        <f>IFERROR(Table1[[#This Row],[B1.Diff]]/Table1[[#This Row],[B1.Aud]],"ERR")</f>
        <v>9.5238095238095233E-2</v>
      </c>
      <c r="X186" s="162">
        <f>_xlfn.IFNA(VLOOKUP(Table1[[#This Row],[MTP SKU Code]],'Audit Dimensions'!A:N,10,FALSE),"ARC")</f>
        <v>1350</v>
      </c>
      <c r="Y186" s="163">
        <f>IFERROR(Table1[[#This Row],[B2.Aud]]-Table1[[#This Row],[PW(gm)5]],"ERR")</f>
        <v>200</v>
      </c>
      <c r="Z186" s="165">
        <f>IFERROR(Table1[[#This Row],[B2.Diff]]/Table1[[#This Row],[B2.Aud]],"NA")</f>
        <v>0.14814814814814814</v>
      </c>
      <c r="AA186" s="162">
        <f>_xlfn.IFNA(VLOOKUP(Table1[[#This Row],[MTP SKU Code]],'Audit Dimensions'!A:N,14,FALSE),"ARC")</f>
        <v>0</v>
      </c>
      <c r="AB186" s="161">
        <f>IFERROR(Table1[[#This Row],[B3.Aud]]-Table1[[#This Row],[PW(gm)9]],"ERR")</f>
        <v>0</v>
      </c>
      <c r="AC186" s="168">
        <f>IFERROR(Table1[[#This Row],[B3.Diff]]/Table1[[#This Row],[BaLL.Aud]],"ERR")</f>
        <v>0</v>
      </c>
      <c r="AD186" s="189">
        <f>_xlfn.IFNA(VLOOKUP(Table1[[#This Row],[MTP SKU Code]],'Audit Dimensions'!A:U,16,FALSE),"ARC")</f>
        <v>5550</v>
      </c>
      <c r="AE186" s="165">
        <f>IFERROR(1-Table1[[#This Row],[Gms]]/Table1[[#This Row],[BaLL.Aud]],"ERR")</f>
        <v>0.10810810810810811</v>
      </c>
    </row>
    <row r="187" spans="1:31" ht="14.45" customHeight="1">
      <c r="A187" s="68" t="s">
        <v>232</v>
      </c>
      <c r="B187" s="84" t="s">
        <v>48</v>
      </c>
      <c r="C187" s="190">
        <f>_xlfn.XLOOKUP(Table1[[#This Row],[MTP SKU Code]],'Audit Dimensions'!A:A,'Audit Dimensions'!C:C,0)</f>
        <v>97</v>
      </c>
      <c r="D187" s="190">
        <f>_xlfn.XLOOKUP(Table1[[#This Row],[MTP SKU Code]],'Audit Dimensions'!$A:$A,'Audit Dimensions'!D:D,0)</f>
        <v>52</v>
      </c>
      <c r="E187" s="190">
        <f>_xlfn.XLOOKUP(Table1[[#This Row],[MTP SKU Code]],'Audit Dimensions'!$A:$A,'Audit Dimensions'!E:E,0)</f>
        <v>9</v>
      </c>
      <c r="F187" s="190">
        <v>18890</v>
      </c>
      <c r="G187" s="190">
        <f>_xlfn.XLOOKUP(Table1[[#This Row],[MTP SKU Code]],'Audit Dimensions'!$A:$A,'Audit Dimensions'!G:G,0)</f>
        <v>0</v>
      </c>
      <c r="H187" s="190">
        <f>_xlfn.XLOOKUP(Table1[[#This Row],[MTP SKU Code]],'Audit Dimensions'!$A:$A,'Audit Dimensions'!H:H,0)</f>
        <v>0</v>
      </c>
      <c r="I187" s="190">
        <f>_xlfn.XLOOKUP(Table1[[#This Row],[MTP SKU Code]],'Audit Dimensions'!$A:$A,'Audit Dimensions'!I:I,0)</f>
        <v>0</v>
      </c>
      <c r="J187" s="190">
        <f>_xlfn.XLOOKUP(Table1[[#This Row],[MTP SKU Code]],'Audit Dimensions'!$A:$A,'Audit Dimensions'!J:J,0)</f>
        <v>0</v>
      </c>
      <c r="K187" s="190">
        <f>_xlfn.XLOOKUP(Table1[[#This Row],[MTP SKU Code]],'Audit Dimensions'!$A:$A,'Audit Dimensions'!K:K,0)</f>
        <v>0</v>
      </c>
      <c r="L187" s="190">
        <f>_xlfn.XLOOKUP(Table1[[#This Row],[MTP SKU Code]],'Audit Dimensions'!$A:$A,'Audit Dimensions'!L:L,0)</f>
        <v>0</v>
      </c>
      <c r="M187" s="190">
        <f>_xlfn.XLOOKUP(Table1[[#This Row],[MTP SKU Code]],'Audit Dimensions'!$A:$A,'Audit Dimensions'!M:M,0)</f>
        <v>0</v>
      </c>
      <c r="N187" s="190">
        <f>_xlfn.XLOOKUP(Table1[[#This Row],[MTP SKU Code]],'Audit Dimensions'!$A:$A,'Audit Dimensions'!N:N,0)</f>
        <v>0</v>
      </c>
      <c r="O187" s="118">
        <f>((IFERROR((C187*D187*E187),0)+IFERROR((G187*H187*I187),0)+IFERROR((K187*L187*M187),0))/1000000)*35.32</f>
        <v>1.60338672</v>
      </c>
      <c r="P187" s="125">
        <f>Table1[[#This Row],[Column15]]*$P$2*1000</f>
        <v>9620.3203200000007</v>
      </c>
      <c r="Q187" s="87">
        <f>F187+J187+N187</f>
        <v>18890</v>
      </c>
      <c r="R187" s="86">
        <f>MAX(Q187,O187)</f>
        <v>18890</v>
      </c>
      <c r="S187" s="86">
        <f>MAX(R187,P187)</f>
        <v>18890</v>
      </c>
      <c r="T187" s="156" t="str">
        <f>VLOOKUP(A187,'[1]MTP SKUs - Master Data'!$A:$B,2,FALSE)</f>
        <v>Y</v>
      </c>
      <c r="U187" s="162">
        <f>_xlfn.IFNA(VLOOKUP(Table1[[#This Row],[MTP SKU Code]],'Audit Dimensions'!A:N,6,FALSE),"ARC")</f>
        <v>20270</v>
      </c>
      <c r="V187" s="162">
        <f>IFERROR(Table1[[#This Row],[B1.Aud]]-Table1[[#This Row],[PW(gm)]],"ERR")</f>
        <v>1380</v>
      </c>
      <c r="W187" s="165">
        <f>IFERROR(Table1[[#This Row],[B1.Diff]]/Table1[[#This Row],[B1.Aud]],"ERR")</f>
        <v>6.8080907745436611E-2</v>
      </c>
      <c r="X187" s="162">
        <f>_xlfn.IFNA(VLOOKUP(Table1[[#This Row],[MTP SKU Code]],'Audit Dimensions'!A:N,10,FALSE),"ARC")</f>
        <v>0</v>
      </c>
      <c r="Y187" s="163">
        <f>IFERROR(Table1[[#This Row],[B2.Aud]]-Table1[[#This Row],[PW(gm)5]],"ERR")</f>
        <v>0</v>
      </c>
      <c r="Z187" s="165" t="str">
        <f>IFERROR(Table1[[#This Row],[B2.Diff]]/Table1[[#This Row],[B2.Aud]],"NA")</f>
        <v>NA</v>
      </c>
      <c r="AA187" s="162">
        <f>_xlfn.IFNA(VLOOKUP(Table1[[#This Row],[MTP SKU Code]],'Audit Dimensions'!A:N,14,FALSE),"ARC")</f>
        <v>0</v>
      </c>
      <c r="AB187" s="161">
        <f>IFERROR(Table1[[#This Row],[B3.Aud]]-Table1[[#This Row],[PW(gm)9]],"ERR")</f>
        <v>0</v>
      </c>
      <c r="AC187" s="168">
        <f>IFERROR(Table1[[#This Row],[B3.Diff]]/Table1[[#This Row],[BaLL.Aud]],"ERR")</f>
        <v>0</v>
      </c>
      <c r="AD187" s="189">
        <f>_xlfn.IFNA(VLOOKUP(Table1[[#This Row],[MTP SKU Code]],'Audit Dimensions'!A:U,16,FALSE),"ARC")</f>
        <v>20270</v>
      </c>
      <c r="AE187" s="165">
        <f>IFERROR(1-Table1[[#This Row],[Gms]]/Table1[[#This Row],[BaLL.Aud]],"ERR")</f>
        <v>6.8080907745436625E-2</v>
      </c>
    </row>
    <row r="188" spans="1:31" ht="14.45" customHeight="1">
      <c r="A188" s="68" t="s">
        <v>233</v>
      </c>
      <c r="B188" s="84" t="s">
        <v>48</v>
      </c>
      <c r="C188" s="190">
        <f>_xlfn.XLOOKUP(Table1[[#This Row],[MTP SKU Code]],'Audit Dimensions'!A:A,'Audit Dimensions'!C:C,0)</f>
        <v>67</v>
      </c>
      <c r="D188" s="190">
        <f>_xlfn.XLOOKUP(Table1[[#This Row],[MTP SKU Code]],'Audit Dimensions'!$A:$A,'Audit Dimensions'!D:D,0)</f>
        <v>35</v>
      </c>
      <c r="E188" s="190">
        <f>_xlfn.XLOOKUP(Table1[[#This Row],[MTP SKU Code]],'Audit Dimensions'!$A:$A,'Audit Dimensions'!E:E,0)</f>
        <v>6</v>
      </c>
      <c r="F188" s="190">
        <v>4900</v>
      </c>
      <c r="G188" s="190">
        <f>_xlfn.XLOOKUP(Table1[[#This Row],[MTP SKU Code]],'Audit Dimensions'!$A:$A,'Audit Dimensions'!G:G,0)</f>
        <v>0</v>
      </c>
      <c r="H188" s="190">
        <f>_xlfn.XLOOKUP(Table1[[#This Row],[MTP SKU Code]],'Audit Dimensions'!$A:$A,'Audit Dimensions'!H:H,0)</f>
        <v>0</v>
      </c>
      <c r="I188" s="190">
        <f>_xlfn.XLOOKUP(Table1[[#This Row],[MTP SKU Code]],'Audit Dimensions'!$A:$A,'Audit Dimensions'!I:I,0)</f>
        <v>0</v>
      </c>
      <c r="J188" s="190">
        <f>_xlfn.XLOOKUP(Table1[[#This Row],[MTP SKU Code]],'Audit Dimensions'!$A:$A,'Audit Dimensions'!J:J,0)</f>
        <v>0</v>
      </c>
      <c r="K188" s="190">
        <f>_xlfn.XLOOKUP(Table1[[#This Row],[MTP SKU Code]],'Audit Dimensions'!$A:$A,'Audit Dimensions'!K:K,0)</f>
        <v>0</v>
      </c>
      <c r="L188" s="190">
        <f>_xlfn.XLOOKUP(Table1[[#This Row],[MTP SKU Code]],'Audit Dimensions'!$A:$A,'Audit Dimensions'!L:L,0)</f>
        <v>0</v>
      </c>
      <c r="M188" s="190">
        <f>_xlfn.XLOOKUP(Table1[[#This Row],[MTP SKU Code]],'Audit Dimensions'!$A:$A,'Audit Dimensions'!M:M,0)</f>
        <v>0</v>
      </c>
      <c r="N188" s="190">
        <f>_xlfn.XLOOKUP(Table1[[#This Row],[MTP SKU Code]],'Audit Dimensions'!$A:$A,'Audit Dimensions'!N:N,0)</f>
        <v>0</v>
      </c>
      <c r="O188" s="118">
        <f>((IFERROR((C188*D188*E188),0)+IFERROR((G188*H188*I188),0)+IFERROR((K188*L188*M188),0))/1000000)*35.32</f>
        <v>0.49695239999999996</v>
      </c>
      <c r="P188" s="125">
        <f>Table1[[#This Row],[Column15]]*$P$2*1000</f>
        <v>2981.7143999999994</v>
      </c>
      <c r="Q188" s="87">
        <f>F188+J188+N188</f>
        <v>4900</v>
      </c>
      <c r="R188" s="86">
        <f>MAX(Q188,O188)</f>
        <v>4900</v>
      </c>
      <c r="S188" s="86">
        <f>MAX(R188,P188)</f>
        <v>4900</v>
      </c>
      <c r="T188" s="156" t="str">
        <f>VLOOKUP(A188,'[1]MTP SKUs - Master Data'!$A:$B,2,FALSE)</f>
        <v>Y</v>
      </c>
      <c r="U188" s="162">
        <f>_xlfn.IFNA(VLOOKUP(Table1[[#This Row],[MTP SKU Code]],'Audit Dimensions'!A:N,6,FALSE),"ARC")</f>
        <v>5500</v>
      </c>
      <c r="V188" s="162">
        <f>IFERROR(Table1[[#This Row],[B1.Aud]]-Table1[[#This Row],[PW(gm)]],"ERR")</f>
        <v>600</v>
      </c>
      <c r="W188" s="165">
        <f>IFERROR(Table1[[#This Row],[B1.Diff]]/Table1[[#This Row],[B1.Aud]],"ERR")</f>
        <v>0.10909090909090909</v>
      </c>
      <c r="X188" s="162">
        <f>_xlfn.IFNA(VLOOKUP(Table1[[#This Row],[MTP SKU Code]],'Audit Dimensions'!A:N,10,FALSE),"ARC")</f>
        <v>0</v>
      </c>
      <c r="Y188" s="163">
        <f>IFERROR(Table1[[#This Row],[B2.Aud]]-Table1[[#This Row],[PW(gm)5]],"ERR")</f>
        <v>0</v>
      </c>
      <c r="Z188" s="165" t="str">
        <f>IFERROR(Table1[[#This Row],[B2.Diff]]/Table1[[#This Row],[B2.Aud]],"NA")</f>
        <v>NA</v>
      </c>
      <c r="AA188" s="162">
        <f>_xlfn.IFNA(VLOOKUP(Table1[[#This Row],[MTP SKU Code]],'Audit Dimensions'!A:N,14,FALSE),"ARC")</f>
        <v>0</v>
      </c>
      <c r="AB188" s="161">
        <f>IFERROR(Table1[[#This Row],[B3.Aud]]-Table1[[#This Row],[PW(gm)9]],"ERR")</f>
        <v>0</v>
      </c>
      <c r="AC188" s="168">
        <f>IFERROR(Table1[[#This Row],[B3.Diff]]/Table1[[#This Row],[BaLL.Aud]],"ERR")</f>
        <v>0</v>
      </c>
      <c r="AD188" s="189">
        <f>_xlfn.IFNA(VLOOKUP(Table1[[#This Row],[MTP SKU Code]],'Audit Dimensions'!A:U,16,FALSE),"ARC")</f>
        <v>5500</v>
      </c>
      <c r="AE188" s="165">
        <f>IFERROR(1-Table1[[#This Row],[Gms]]/Table1[[#This Row],[BaLL.Aud]],"ERR")</f>
        <v>0.10909090909090913</v>
      </c>
    </row>
    <row r="189" spans="1:31" ht="14.45" customHeight="1">
      <c r="A189" s="68" t="s">
        <v>234</v>
      </c>
      <c r="B189" s="84" t="s">
        <v>48</v>
      </c>
      <c r="C189" s="190">
        <f>_xlfn.XLOOKUP(Table1[[#This Row],[MTP SKU Code]],'Audit Dimensions'!A:A,'Audit Dimensions'!C:C,0)</f>
        <v>68</v>
      </c>
      <c r="D189" s="190">
        <f>_xlfn.XLOOKUP(Table1[[#This Row],[MTP SKU Code]],'Audit Dimensions'!$A:$A,'Audit Dimensions'!D:D,0)</f>
        <v>48</v>
      </c>
      <c r="E189" s="190">
        <f>_xlfn.XLOOKUP(Table1[[#This Row],[MTP SKU Code]],'Audit Dimensions'!$A:$A,'Audit Dimensions'!E:E,0)</f>
        <v>9</v>
      </c>
      <c r="F189" s="190">
        <v>8800</v>
      </c>
      <c r="G189" s="190">
        <f>_xlfn.XLOOKUP(Table1[[#This Row],[MTP SKU Code]],'Audit Dimensions'!$A:$A,'Audit Dimensions'!G:G,0)</f>
        <v>0</v>
      </c>
      <c r="H189" s="190">
        <f>_xlfn.XLOOKUP(Table1[[#This Row],[MTP SKU Code]],'Audit Dimensions'!$A:$A,'Audit Dimensions'!H:H,0)</f>
        <v>0</v>
      </c>
      <c r="I189" s="190">
        <f>_xlfn.XLOOKUP(Table1[[#This Row],[MTP SKU Code]],'Audit Dimensions'!$A:$A,'Audit Dimensions'!I:I,0)</f>
        <v>0</v>
      </c>
      <c r="J189" s="190">
        <f>_xlfn.XLOOKUP(Table1[[#This Row],[MTP SKU Code]],'Audit Dimensions'!$A:$A,'Audit Dimensions'!J:J,0)</f>
        <v>0</v>
      </c>
      <c r="K189" s="190">
        <f>_xlfn.XLOOKUP(Table1[[#This Row],[MTP SKU Code]],'Audit Dimensions'!$A:$A,'Audit Dimensions'!K:K,0)</f>
        <v>0</v>
      </c>
      <c r="L189" s="190">
        <f>_xlfn.XLOOKUP(Table1[[#This Row],[MTP SKU Code]],'Audit Dimensions'!$A:$A,'Audit Dimensions'!L:L,0)</f>
        <v>0</v>
      </c>
      <c r="M189" s="190">
        <f>_xlfn.XLOOKUP(Table1[[#This Row],[MTP SKU Code]],'Audit Dimensions'!$A:$A,'Audit Dimensions'!M:M,0)</f>
        <v>0</v>
      </c>
      <c r="N189" s="190">
        <f>_xlfn.XLOOKUP(Table1[[#This Row],[MTP SKU Code]],'Audit Dimensions'!$A:$A,'Audit Dimensions'!N:N,0)</f>
        <v>0</v>
      </c>
      <c r="O189" s="118">
        <f>((IFERROR((C189*D189*E189),0)+IFERROR((G189*H189*I189),0)+IFERROR((K189*L189*M189),0))/1000000)*35.32</f>
        <v>1.0375603200000001</v>
      </c>
      <c r="P189" s="125">
        <f>Table1[[#This Row],[Column15]]*$P$2*1000</f>
        <v>6225.3619200000012</v>
      </c>
      <c r="Q189" s="87">
        <f>F189+J189+N189</f>
        <v>8800</v>
      </c>
      <c r="R189" s="86">
        <f>MAX(Q189,O189)</f>
        <v>8800</v>
      </c>
      <c r="S189" s="86">
        <f>MAX(R189,P189)</f>
        <v>8800</v>
      </c>
      <c r="T189" s="156" t="str">
        <f>VLOOKUP(A189,'[1]MTP SKUs - Master Data'!$A:$B,2,FALSE)</f>
        <v>Y</v>
      </c>
      <c r="U189" s="162">
        <f>_xlfn.IFNA(VLOOKUP(Table1[[#This Row],[MTP SKU Code]],'Audit Dimensions'!A:N,6,FALSE),"ARC")</f>
        <v>8950</v>
      </c>
      <c r="V189" s="162">
        <f>IFERROR(Table1[[#This Row],[B1.Aud]]-Table1[[#This Row],[PW(gm)]],"ERR")</f>
        <v>150</v>
      </c>
      <c r="W189" s="165">
        <f>IFERROR(Table1[[#This Row],[B1.Diff]]/Table1[[#This Row],[B1.Aud]],"ERR")</f>
        <v>1.6759776536312849E-2</v>
      </c>
      <c r="X189" s="162">
        <f>_xlfn.IFNA(VLOOKUP(Table1[[#This Row],[MTP SKU Code]],'Audit Dimensions'!A:N,10,FALSE),"ARC")</f>
        <v>0</v>
      </c>
      <c r="Y189" s="163">
        <f>IFERROR(Table1[[#This Row],[B2.Aud]]-Table1[[#This Row],[PW(gm)5]],"ERR")</f>
        <v>0</v>
      </c>
      <c r="Z189" s="165" t="str">
        <f>IFERROR(Table1[[#This Row],[B2.Diff]]/Table1[[#This Row],[B2.Aud]],"NA")</f>
        <v>NA</v>
      </c>
      <c r="AA189" s="162">
        <f>_xlfn.IFNA(VLOOKUP(Table1[[#This Row],[MTP SKU Code]],'Audit Dimensions'!A:N,14,FALSE),"ARC")</f>
        <v>0</v>
      </c>
      <c r="AB189" s="161">
        <f>IFERROR(Table1[[#This Row],[B3.Aud]]-Table1[[#This Row],[PW(gm)9]],"ERR")</f>
        <v>0</v>
      </c>
      <c r="AC189" s="168">
        <f>IFERROR(Table1[[#This Row],[B3.Diff]]/Table1[[#This Row],[BaLL.Aud]],"ERR")</f>
        <v>0</v>
      </c>
      <c r="AD189" s="189">
        <f>_xlfn.IFNA(VLOOKUP(Table1[[#This Row],[MTP SKU Code]],'Audit Dimensions'!A:U,16,FALSE),"ARC")</f>
        <v>8950</v>
      </c>
      <c r="AE189" s="165">
        <f>IFERROR(1-Table1[[#This Row],[Gms]]/Table1[[#This Row],[BaLL.Aud]],"ERR")</f>
        <v>1.6759776536312887E-2</v>
      </c>
    </row>
    <row r="190" spans="1:31" ht="14.45" customHeight="1">
      <c r="A190" s="91" t="s">
        <v>235</v>
      </c>
      <c r="B190" s="84" t="s">
        <v>48</v>
      </c>
      <c r="C190" s="190">
        <f>_xlfn.XLOOKUP(Table1[[#This Row],[MTP SKU Code]],'Audit Dimensions'!A:A,'Audit Dimensions'!C:C,0)</f>
        <v>145</v>
      </c>
      <c r="D190" s="190">
        <f>_xlfn.XLOOKUP(Table1[[#This Row],[MTP SKU Code]],'Audit Dimensions'!$A:$A,'Audit Dimensions'!D:D,0)</f>
        <v>25</v>
      </c>
      <c r="E190" s="190">
        <f>_xlfn.XLOOKUP(Table1[[#This Row],[MTP SKU Code]],'Audit Dimensions'!$A:$A,'Audit Dimensions'!E:E,0)</f>
        <v>7</v>
      </c>
      <c r="F190" s="190">
        <v>12700</v>
      </c>
      <c r="G190" s="190">
        <f>_xlfn.XLOOKUP(Table1[[#This Row],[MTP SKU Code]],'Audit Dimensions'!$A:$A,'Audit Dimensions'!G:G,0)</f>
        <v>0</v>
      </c>
      <c r="H190" s="190">
        <f>_xlfn.XLOOKUP(Table1[[#This Row],[MTP SKU Code]],'Audit Dimensions'!$A:$A,'Audit Dimensions'!H:H,0)</f>
        <v>0</v>
      </c>
      <c r="I190" s="190">
        <f>_xlfn.XLOOKUP(Table1[[#This Row],[MTP SKU Code]],'Audit Dimensions'!$A:$A,'Audit Dimensions'!I:I,0)</f>
        <v>0</v>
      </c>
      <c r="J190" s="190">
        <f>_xlfn.XLOOKUP(Table1[[#This Row],[MTP SKU Code]],'Audit Dimensions'!$A:$A,'Audit Dimensions'!J:J,0)</f>
        <v>0</v>
      </c>
      <c r="K190" s="190">
        <f>_xlfn.XLOOKUP(Table1[[#This Row],[MTP SKU Code]],'Audit Dimensions'!$A:$A,'Audit Dimensions'!K:K,0)</f>
        <v>0</v>
      </c>
      <c r="L190" s="190">
        <f>_xlfn.XLOOKUP(Table1[[#This Row],[MTP SKU Code]],'Audit Dimensions'!$A:$A,'Audit Dimensions'!L:L,0)</f>
        <v>0</v>
      </c>
      <c r="M190" s="190">
        <f>_xlfn.XLOOKUP(Table1[[#This Row],[MTP SKU Code]],'Audit Dimensions'!$A:$A,'Audit Dimensions'!M:M,0)</f>
        <v>0</v>
      </c>
      <c r="N190" s="190">
        <f>_xlfn.XLOOKUP(Table1[[#This Row],[MTP SKU Code]],'Audit Dimensions'!$A:$A,'Audit Dimensions'!N:N,0)</f>
        <v>0</v>
      </c>
      <c r="O190" s="118">
        <f>((IFERROR((C190*D190*E190),0)+IFERROR((G190*H190*I190),0)+IFERROR((K190*L190*M190),0))/1000000)*35.32</f>
        <v>0.89624500000000007</v>
      </c>
      <c r="P190" s="125">
        <f>Table1[[#This Row],[Column15]]*$P$2*1000</f>
        <v>5377.47</v>
      </c>
      <c r="Q190" s="87">
        <f>F190+J190+N190</f>
        <v>12700</v>
      </c>
      <c r="R190" s="86">
        <f>MAX(Q190,O190)</f>
        <v>12700</v>
      </c>
      <c r="S190" s="86">
        <f>MAX(R190,P190)</f>
        <v>12700</v>
      </c>
      <c r="T190" s="156" t="str">
        <f>VLOOKUP(A190,'[1]MTP SKUs - Master Data'!$A:$B,2,FALSE)</f>
        <v>Y</v>
      </c>
      <c r="U190" s="162">
        <f>_xlfn.IFNA(VLOOKUP(Table1[[#This Row],[MTP SKU Code]],'Audit Dimensions'!A:N,6,FALSE),"ARC")</f>
        <v>13540</v>
      </c>
      <c r="V190" s="162">
        <f>IFERROR(Table1[[#This Row],[B1.Aud]]-Table1[[#This Row],[PW(gm)]],"ERR")</f>
        <v>840</v>
      </c>
      <c r="W190" s="165">
        <f>IFERROR(Table1[[#This Row],[B1.Diff]]/Table1[[#This Row],[B1.Aud]],"ERR")</f>
        <v>6.2038404726735601E-2</v>
      </c>
      <c r="X190" s="162">
        <f>_xlfn.IFNA(VLOOKUP(Table1[[#This Row],[MTP SKU Code]],'Audit Dimensions'!A:N,10,FALSE),"ARC")</f>
        <v>0</v>
      </c>
      <c r="Y190" s="163">
        <f>IFERROR(Table1[[#This Row],[B2.Aud]]-Table1[[#This Row],[PW(gm)5]],"ERR")</f>
        <v>0</v>
      </c>
      <c r="Z190" s="165" t="str">
        <f>IFERROR(Table1[[#This Row],[B2.Diff]]/Table1[[#This Row],[B2.Aud]],"NA")</f>
        <v>NA</v>
      </c>
      <c r="AA190" s="162">
        <f>_xlfn.IFNA(VLOOKUP(Table1[[#This Row],[MTP SKU Code]],'Audit Dimensions'!A:N,14,FALSE),"ARC")</f>
        <v>0</v>
      </c>
      <c r="AB190" s="161">
        <f>IFERROR(Table1[[#This Row],[B3.Aud]]-Table1[[#This Row],[PW(gm)9]],"ERR")</f>
        <v>0</v>
      </c>
      <c r="AC190" s="168">
        <f>IFERROR(Table1[[#This Row],[B3.Diff]]/Table1[[#This Row],[BaLL.Aud]],"ERR")</f>
        <v>0</v>
      </c>
      <c r="AD190" s="189">
        <f>_xlfn.IFNA(VLOOKUP(Table1[[#This Row],[MTP SKU Code]],'Audit Dimensions'!A:U,16,FALSE),"ARC")</f>
        <v>13540</v>
      </c>
      <c r="AE190" s="165">
        <f>IFERROR(1-Table1[[#This Row],[Gms]]/Table1[[#This Row],[BaLL.Aud]],"ERR")</f>
        <v>6.2038404726735608E-2</v>
      </c>
    </row>
    <row r="191" spans="1:31">
      <c r="A191" s="68" t="s">
        <v>236</v>
      </c>
      <c r="B191" s="84" t="s">
        <v>48</v>
      </c>
      <c r="C191" s="190">
        <f>_xlfn.XLOOKUP(Table1[[#This Row],[MTP SKU Code]],'Audit Dimensions'!A:A,'Audit Dimensions'!C:C,0)</f>
        <v>135</v>
      </c>
      <c r="D191" s="190">
        <f>_xlfn.XLOOKUP(Table1[[#This Row],[MTP SKU Code]],'Audit Dimensions'!$A:$A,'Audit Dimensions'!D:D,0)</f>
        <v>28</v>
      </c>
      <c r="E191" s="190">
        <f>_xlfn.XLOOKUP(Table1[[#This Row],[MTP SKU Code]],'Audit Dimensions'!$A:$A,'Audit Dimensions'!E:E,0)</f>
        <v>5</v>
      </c>
      <c r="F191" s="190">
        <v>8800</v>
      </c>
      <c r="G191" s="190">
        <f>_xlfn.XLOOKUP(Table1[[#This Row],[MTP SKU Code]],'Audit Dimensions'!$A:$A,'Audit Dimensions'!G:G,0)</f>
        <v>0</v>
      </c>
      <c r="H191" s="190">
        <f>_xlfn.XLOOKUP(Table1[[#This Row],[MTP SKU Code]],'Audit Dimensions'!$A:$A,'Audit Dimensions'!H:H,0)</f>
        <v>0</v>
      </c>
      <c r="I191" s="190">
        <f>_xlfn.XLOOKUP(Table1[[#This Row],[MTP SKU Code]],'Audit Dimensions'!$A:$A,'Audit Dimensions'!I:I,0)</f>
        <v>0</v>
      </c>
      <c r="J191" s="190">
        <f>_xlfn.XLOOKUP(Table1[[#This Row],[MTP SKU Code]],'Audit Dimensions'!$A:$A,'Audit Dimensions'!J:J,0)</f>
        <v>0</v>
      </c>
      <c r="K191" s="190">
        <f>_xlfn.XLOOKUP(Table1[[#This Row],[MTP SKU Code]],'Audit Dimensions'!$A:$A,'Audit Dimensions'!K:K,0)</f>
        <v>0</v>
      </c>
      <c r="L191" s="190">
        <f>_xlfn.XLOOKUP(Table1[[#This Row],[MTP SKU Code]],'Audit Dimensions'!$A:$A,'Audit Dimensions'!L:L,0)</f>
        <v>0</v>
      </c>
      <c r="M191" s="190">
        <f>_xlfn.XLOOKUP(Table1[[#This Row],[MTP SKU Code]],'Audit Dimensions'!$A:$A,'Audit Dimensions'!M:M,0)</f>
        <v>0</v>
      </c>
      <c r="N191" s="190">
        <f>_xlfn.XLOOKUP(Table1[[#This Row],[MTP SKU Code]],'Audit Dimensions'!$A:$A,'Audit Dimensions'!N:N,0)</f>
        <v>0</v>
      </c>
      <c r="O191" s="118">
        <f>((IFERROR((C191*D191*E191),0)+IFERROR((G191*H191*I191),0)+IFERROR((K191*L191*M191),0))/1000000)*35.32</f>
        <v>0.66754800000000003</v>
      </c>
      <c r="P191" s="125">
        <f>Table1[[#This Row],[Column15]]*$P$2*1000</f>
        <v>4005.288</v>
      </c>
      <c r="Q191" s="87">
        <f>F191+J191+N191</f>
        <v>8800</v>
      </c>
      <c r="R191" s="86">
        <f>MAX(Q191,O191)</f>
        <v>8800</v>
      </c>
      <c r="S191" s="86">
        <f>MAX(R191,P191)</f>
        <v>8800</v>
      </c>
      <c r="T191" s="156" t="str">
        <f>VLOOKUP(A191,'[1]MTP SKUs - Master Data'!$A:$B,2,FALSE)</f>
        <v>Y</v>
      </c>
      <c r="U191" s="162">
        <f>_xlfn.IFNA(VLOOKUP(Table1[[#This Row],[MTP SKU Code]],'Audit Dimensions'!A:N,6,FALSE),"ARC")</f>
        <v>8900</v>
      </c>
      <c r="V191" s="162">
        <f>IFERROR(Table1[[#This Row],[B1.Aud]]-Table1[[#This Row],[PW(gm)]],"ERR")</f>
        <v>100</v>
      </c>
      <c r="W191" s="165">
        <f>IFERROR(Table1[[#This Row],[B1.Diff]]/Table1[[#This Row],[B1.Aud]],"ERR")</f>
        <v>1.1235955056179775E-2</v>
      </c>
      <c r="X191" s="162">
        <f>_xlfn.IFNA(VLOOKUP(Table1[[#This Row],[MTP SKU Code]],'Audit Dimensions'!A:N,10,FALSE),"ARC")</f>
        <v>0</v>
      </c>
      <c r="Y191" s="163">
        <f>IFERROR(Table1[[#This Row],[B2.Aud]]-Table1[[#This Row],[PW(gm)5]],"ERR")</f>
        <v>0</v>
      </c>
      <c r="Z191" s="165" t="str">
        <f>IFERROR(Table1[[#This Row],[B2.Diff]]/Table1[[#This Row],[B2.Aud]],"NA")</f>
        <v>NA</v>
      </c>
      <c r="AA191" s="162">
        <f>_xlfn.IFNA(VLOOKUP(Table1[[#This Row],[MTP SKU Code]],'Audit Dimensions'!A:N,14,FALSE),"ARC")</f>
        <v>0</v>
      </c>
      <c r="AB191" s="161">
        <f>IFERROR(Table1[[#This Row],[B3.Aud]]-Table1[[#This Row],[PW(gm)9]],"ERR")</f>
        <v>0</v>
      </c>
      <c r="AC191" s="168">
        <f>IFERROR(Table1[[#This Row],[B3.Diff]]/Table1[[#This Row],[BaLL.Aud]],"ERR")</f>
        <v>0</v>
      </c>
      <c r="AD191" s="189">
        <f>_xlfn.IFNA(VLOOKUP(Table1[[#This Row],[MTP SKU Code]],'Audit Dimensions'!A:U,16,FALSE),"ARC")</f>
        <v>8900</v>
      </c>
      <c r="AE191" s="165">
        <f>IFERROR(1-Table1[[#This Row],[Gms]]/Table1[[#This Row],[BaLL.Aud]],"ERR")</f>
        <v>1.1235955056179803E-2</v>
      </c>
    </row>
    <row r="192" spans="1:31" ht="14.45" customHeight="1">
      <c r="A192" s="91" t="s">
        <v>237</v>
      </c>
      <c r="B192" s="84" t="s">
        <v>48</v>
      </c>
      <c r="C192" s="190">
        <f>_xlfn.XLOOKUP(Table1[[#This Row],[MTP SKU Code]],'Audit Dimensions'!A:A,'Audit Dimensions'!C:C,0)</f>
        <v>127</v>
      </c>
      <c r="D192" s="190">
        <f>_xlfn.XLOOKUP(Table1[[#This Row],[MTP SKU Code]],'Audit Dimensions'!$A:$A,'Audit Dimensions'!D:D,0)</f>
        <v>50</v>
      </c>
      <c r="E192" s="190">
        <f>_xlfn.XLOOKUP(Table1[[#This Row],[MTP SKU Code]],'Audit Dimensions'!$A:$A,'Audit Dimensions'!E:E,0)</f>
        <v>13</v>
      </c>
      <c r="F192" s="190">
        <v>20400</v>
      </c>
      <c r="G192" s="190">
        <f>_xlfn.XLOOKUP(Table1[[#This Row],[MTP SKU Code]],'Audit Dimensions'!$A:$A,'Audit Dimensions'!G:G,0)</f>
        <v>0</v>
      </c>
      <c r="H192" s="190">
        <f>_xlfn.XLOOKUP(Table1[[#This Row],[MTP SKU Code]],'Audit Dimensions'!$A:$A,'Audit Dimensions'!H:H,0)</f>
        <v>0</v>
      </c>
      <c r="I192" s="190">
        <f>_xlfn.XLOOKUP(Table1[[#This Row],[MTP SKU Code]],'Audit Dimensions'!$A:$A,'Audit Dimensions'!I:I,0)</f>
        <v>0</v>
      </c>
      <c r="J192" s="190">
        <f>_xlfn.XLOOKUP(Table1[[#This Row],[MTP SKU Code]],'Audit Dimensions'!$A:$A,'Audit Dimensions'!J:J,0)</f>
        <v>0</v>
      </c>
      <c r="K192" s="190">
        <f>_xlfn.XLOOKUP(Table1[[#This Row],[MTP SKU Code]],'Audit Dimensions'!$A:$A,'Audit Dimensions'!K:K,0)</f>
        <v>0</v>
      </c>
      <c r="L192" s="190">
        <f>_xlfn.XLOOKUP(Table1[[#This Row],[MTP SKU Code]],'Audit Dimensions'!$A:$A,'Audit Dimensions'!L:L,0)</f>
        <v>0</v>
      </c>
      <c r="M192" s="190">
        <f>_xlfn.XLOOKUP(Table1[[#This Row],[MTP SKU Code]],'Audit Dimensions'!$A:$A,'Audit Dimensions'!M:M,0)</f>
        <v>0</v>
      </c>
      <c r="N192" s="190">
        <f>_xlfn.XLOOKUP(Table1[[#This Row],[MTP SKU Code]],'Audit Dimensions'!$A:$A,'Audit Dimensions'!N:N,0)</f>
        <v>0</v>
      </c>
      <c r="O192" s="118">
        <f>((IFERROR((C192*D192*E192),0)+IFERROR((G192*H192*I192),0)+IFERROR((K192*L192*M192),0))/1000000)*35.32</f>
        <v>2.9156659999999999</v>
      </c>
      <c r="P192" s="125">
        <f>Table1[[#This Row],[Column15]]*$P$2*1000</f>
        <v>17493.995999999999</v>
      </c>
      <c r="Q192" s="87">
        <f>F192+J192+N192</f>
        <v>20400</v>
      </c>
      <c r="R192" s="86">
        <f>MAX(Q192,O192)</f>
        <v>20400</v>
      </c>
      <c r="S192" s="86">
        <f>MAX(R192,P192)</f>
        <v>20400</v>
      </c>
      <c r="T192" s="156" t="str">
        <f>VLOOKUP(A192,'[1]MTP SKUs - Master Data'!$A:$B,2,FALSE)</f>
        <v>Y</v>
      </c>
      <c r="U192" s="162">
        <f>_xlfn.IFNA(VLOOKUP(Table1[[#This Row],[MTP SKU Code]],'Audit Dimensions'!A:N,6,FALSE),"ARC")</f>
        <v>21600</v>
      </c>
      <c r="V192" s="162">
        <f>IFERROR(Table1[[#This Row],[B1.Aud]]-Table1[[#This Row],[PW(gm)]],"ERR")</f>
        <v>1200</v>
      </c>
      <c r="W192" s="165">
        <f>IFERROR(Table1[[#This Row],[B1.Diff]]/Table1[[#This Row],[B1.Aud]],"ERR")</f>
        <v>5.5555555555555552E-2</v>
      </c>
      <c r="X192" s="162">
        <f>_xlfn.IFNA(VLOOKUP(Table1[[#This Row],[MTP SKU Code]],'Audit Dimensions'!A:N,10,FALSE),"ARC")</f>
        <v>0</v>
      </c>
      <c r="Y192" s="163">
        <f>IFERROR(Table1[[#This Row],[B2.Aud]]-Table1[[#This Row],[PW(gm)5]],"ERR")</f>
        <v>0</v>
      </c>
      <c r="Z192" s="165" t="str">
        <f>IFERROR(Table1[[#This Row],[B2.Diff]]/Table1[[#This Row],[B2.Aud]],"NA")</f>
        <v>NA</v>
      </c>
      <c r="AA192" s="162">
        <f>_xlfn.IFNA(VLOOKUP(Table1[[#This Row],[MTP SKU Code]],'Audit Dimensions'!A:N,14,FALSE),"ARC")</f>
        <v>0</v>
      </c>
      <c r="AB192" s="161">
        <f>IFERROR(Table1[[#This Row],[B3.Aud]]-Table1[[#This Row],[PW(gm)9]],"ERR")</f>
        <v>0</v>
      </c>
      <c r="AC192" s="168">
        <f>IFERROR(Table1[[#This Row],[B3.Diff]]/Table1[[#This Row],[BaLL.Aud]],"ERR")</f>
        <v>0</v>
      </c>
      <c r="AD192" s="189">
        <f>_xlfn.IFNA(VLOOKUP(Table1[[#This Row],[MTP SKU Code]],'Audit Dimensions'!A:U,16,FALSE),"ARC")</f>
        <v>21600</v>
      </c>
      <c r="AE192" s="165">
        <f>IFERROR(1-Table1[[#This Row],[Gms]]/Table1[[#This Row],[BaLL.Aud]],"ERR")</f>
        <v>5.555555555555558E-2</v>
      </c>
    </row>
    <row r="193" spans="1:31">
      <c r="A193" s="68" t="s">
        <v>238</v>
      </c>
      <c r="B193" s="84" t="s">
        <v>48</v>
      </c>
      <c r="C193" s="190">
        <f>_xlfn.XLOOKUP(Table1[[#This Row],[MTP SKU Code]],'Audit Dimensions'!A:A,'Audit Dimensions'!C:C,0)</f>
        <v>97</v>
      </c>
      <c r="D193" s="190">
        <f>_xlfn.XLOOKUP(Table1[[#This Row],[MTP SKU Code]],'Audit Dimensions'!$A:$A,'Audit Dimensions'!D:D,0)</f>
        <v>45</v>
      </c>
      <c r="E193" s="190">
        <f>_xlfn.XLOOKUP(Table1[[#This Row],[MTP SKU Code]],'Audit Dimensions'!$A:$A,'Audit Dimensions'!E:E,0)</f>
        <v>7</v>
      </c>
      <c r="F193" s="190">
        <v>11800</v>
      </c>
      <c r="G193" s="190">
        <f>_xlfn.XLOOKUP(Table1[[#This Row],[MTP SKU Code]],'Audit Dimensions'!$A:$A,'Audit Dimensions'!G:G,0)</f>
        <v>0</v>
      </c>
      <c r="H193" s="190">
        <f>_xlfn.XLOOKUP(Table1[[#This Row],[MTP SKU Code]],'Audit Dimensions'!$A:$A,'Audit Dimensions'!H:H,0)</f>
        <v>0</v>
      </c>
      <c r="I193" s="190">
        <f>_xlfn.XLOOKUP(Table1[[#This Row],[MTP SKU Code]],'Audit Dimensions'!$A:$A,'Audit Dimensions'!I:I,0)</f>
        <v>0</v>
      </c>
      <c r="J193" s="190">
        <f>_xlfn.XLOOKUP(Table1[[#This Row],[MTP SKU Code]],'Audit Dimensions'!$A:$A,'Audit Dimensions'!J:J,0)</f>
        <v>0</v>
      </c>
      <c r="K193" s="190">
        <f>_xlfn.XLOOKUP(Table1[[#This Row],[MTP SKU Code]],'Audit Dimensions'!$A:$A,'Audit Dimensions'!K:K,0)</f>
        <v>0</v>
      </c>
      <c r="L193" s="190">
        <f>_xlfn.XLOOKUP(Table1[[#This Row],[MTP SKU Code]],'Audit Dimensions'!$A:$A,'Audit Dimensions'!L:L,0)</f>
        <v>0</v>
      </c>
      <c r="M193" s="190">
        <f>_xlfn.XLOOKUP(Table1[[#This Row],[MTP SKU Code]],'Audit Dimensions'!$A:$A,'Audit Dimensions'!M:M,0)</f>
        <v>0</v>
      </c>
      <c r="N193" s="190">
        <f>_xlfn.XLOOKUP(Table1[[#This Row],[MTP SKU Code]],'Audit Dimensions'!$A:$A,'Audit Dimensions'!N:N,0)</f>
        <v>0</v>
      </c>
      <c r="O193" s="118">
        <f>((IFERROR((C193*D193*E193),0)+IFERROR((G193*H193*I193),0)+IFERROR((K193*L193*M193),0))/1000000)*35.32</f>
        <v>1.0792025999999999</v>
      </c>
      <c r="P193" s="125">
        <f>Table1[[#This Row],[Column15]]*$P$2*1000</f>
        <v>6475.2155999999995</v>
      </c>
      <c r="Q193" s="87">
        <f>F193+J193+N193</f>
        <v>11800</v>
      </c>
      <c r="R193" s="86">
        <f>MAX(Q193,O193)</f>
        <v>11800</v>
      </c>
      <c r="S193" s="86">
        <f>MAX(R193,P193)</f>
        <v>11800</v>
      </c>
      <c r="T193" s="156" t="str">
        <f>VLOOKUP(A193,'[1]MTP SKUs - Master Data'!$A:$B,2,FALSE)</f>
        <v>Y</v>
      </c>
      <c r="U193" s="162">
        <f>_xlfn.IFNA(VLOOKUP(Table1[[#This Row],[MTP SKU Code]],'Audit Dimensions'!A:N,6,FALSE),"ARC")</f>
        <v>12370</v>
      </c>
      <c r="V193" s="162">
        <f>IFERROR(Table1[[#This Row],[B1.Aud]]-Table1[[#This Row],[PW(gm)]],"ERR")</f>
        <v>570</v>
      </c>
      <c r="W193" s="165">
        <f>IFERROR(Table1[[#This Row],[B1.Diff]]/Table1[[#This Row],[B1.Aud]],"ERR")</f>
        <v>4.6079223928860144E-2</v>
      </c>
      <c r="X193" s="162">
        <f>_xlfn.IFNA(VLOOKUP(Table1[[#This Row],[MTP SKU Code]],'Audit Dimensions'!A:N,10,FALSE),"ARC")</f>
        <v>0</v>
      </c>
      <c r="Y193" s="163">
        <f>IFERROR(Table1[[#This Row],[B2.Aud]]-Table1[[#This Row],[PW(gm)5]],"ERR")</f>
        <v>0</v>
      </c>
      <c r="Z193" s="165" t="str">
        <f>IFERROR(Table1[[#This Row],[B2.Diff]]/Table1[[#This Row],[B2.Aud]],"NA")</f>
        <v>NA</v>
      </c>
      <c r="AA193" s="162">
        <f>_xlfn.IFNA(VLOOKUP(Table1[[#This Row],[MTP SKU Code]],'Audit Dimensions'!A:N,14,FALSE),"ARC")</f>
        <v>0</v>
      </c>
      <c r="AB193" s="161">
        <f>IFERROR(Table1[[#This Row],[B3.Aud]]-Table1[[#This Row],[PW(gm)9]],"ERR")</f>
        <v>0</v>
      </c>
      <c r="AC193" s="168">
        <f>IFERROR(Table1[[#This Row],[B3.Diff]]/Table1[[#This Row],[BaLL.Aud]],"ERR")</f>
        <v>0</v>
      </c>
      <c r="AD193" s="189">
        <f>_xlfn.IFNA(VLOOKUP(Table1[[#This Row],[MTP SKU Code]],'Audit Dimensions'!A:U,16,FALSE),"ARC")</f>
        <v>12370</v>
      </c>
      <c r="AE193" s="165">
        <f>IFERROR(1-Table1[[#This Row],[Gms]]/Table1[[#This Row],[BaLL.Aud]],"ERR")</f>
        <v>4.6079223928860102E-2</v>
      </c>
    </row>
    <row r="194" spans="1:31" ht="12.75" customHeight="1">
      <c r="A194" s="68" t="s">
        <v>239</v>
      </c>
      <c r="B194" s="84" t="s">
        <v>48</v>
      </c>
      <c r="C194" s="190">
        <f>_xlfn.XLOOKUP(Table1[[#This Row],[MTP SKU Code]],'Audit Dimensions'!A:A,'Audit Dimensions'!C:C,0)</f>
        <v>157</v>
      </c>
      <c r="D194" s="190">
        <f>_xlfn.XLOOKUP(Table1[[#This Row],[MTP SKU Code]],'Audit Dimensions'!$A:$A,'Audit Dimensions'!D:D,0)</f>
        <v>35</v>
      </c>
      <c r="E194" s="190">
        <f>_xlfn.XLOOKUP(Table1[[#This Row],[MTP SKU Code]],'Audit Dimensions'!$A:$A,'Audit Dimensions'!E:E,0)</f>
        <v>10</v>
      </c>
      <c r="F194" s="190">
        <v>21450</v>
      </c>
      <c r="G194" s="190">
        <f>_xlfn.XLOOKUP(Table1[[#This Row],[MTP SKU Code]],'Audit Dimensions'!$A:$A,'Audit Dimensions'!G:G,0)</f>
        <v>0</v>
      </c>
      <c r="H194" s="190">
        <f>_xlfn.XLOOKUP(Table1[[#This Row],[MTP SKU Code]],'Audit Dimensions'!$A:$A,'Audit Dimensions'!H:H,0)</f>
        <v>0</v>
      </c>
      <c r="I194" s="190">
        <f>_xlfn.XLOOKUP(Table1[[#This Row],[MTP SKU Code]],'Audit Dimensions'!$A:$A,'Audit Dimensions'!I:I,0)</f>
        <v>0</v>
      </c>
      <c r="J194" s="190">
        <f>_xlfn.XLOOKUP(Table1[[#This Row],[MTP SKU Code]],'Audit Dimensions'!$A:$A,'Audit Dimensions'!J:J,0)</f>
        <v>0</v>
      </c>
      <c r="K194" s="190">
        <f>_xlfn.XLOOKUP(Table1[[#This Row],[MTP SKU Code]],'Audit Dimensions'!$A:$A,'Audit Dimensions'!K:K,0)</f>
        <v>0</v>
      </c>
      <c r="L194" s="190">
        <f>_xlfn.XLOOKUP(Table1[[#This Row],[MTP SKU Code]],'Audit Dimensions'!$A:$A,'Audit Dimensions'!L:L,0)</f>
        <v>0</v>
      </c>
      <c r="M194" s="190">
        <f>_xlfn.XLOOKUP(Table1[[#This Row],[MTP SKU Code]],'Audit Dimensions'!$A:$A,'Audit Dimensions'!M:M,0)</f>
        <v>0</v>
      </c>
      <c r="N194" s="190">
        <f>_xlfn.XLOOKUP(Table1[[#This Row],[MTP SKU Code]],'Audit Dimensions'!$A:$A,'Audit Dimensions'!N:N,0)</f>
        <v>0</v>
      </c>
      <c r="O194" s="118">
        <f>((IFERROR((C194*D194*E194),0)+IFERROR((G194*H194*I194),0)+IFERROR((K194*L194*M194),0))/1000000)*35.32</f>
        <v>1.9408339999999999</v>
      </c>
      <c r="P194" s="125">
        <f>Table1[[#This Row],[Column15]]*$P$2*1000</f>
        <v>11645.004000000001</v>
      </c>
      <c r="Q194" s="87">
        <f>F194+J194+N194</f>
        <v>21450</v>
      </c>
      <c r="R194" s="86">
        <f>MAX(Q194,O194)</f>
        <v>21450</v>
      </c>
      <c r="S194" s="86">
        <f>MAX(R194,P194)</f>
        <v>21450</v>
      </c>
      <c r="T194" s="156" t="str">
        <f>VLOOKUP(A194,'[1]MTP SKUs - Master Data'!$A:$B,2,FALSE)</f>
        <v>Y</v>
      </c>
      <c r="U194" s="162">
        <f>_xlfn.IFNA(VLOOKUP(Table1[[#This Row],[MTP SKU Code]],'Audit Dimensions'!A:N,6,FALSE),"ARC")</f>
        <v>22700</v>
      </c>
      <c r="V194" s="162">
        <f>IFERROR(Table1[[#This Row],[B1.Aud]]-Table1[[#This Row],[PW(gm)]],"ERR")</f>
        <v>1250</v>
      </c>
      <c r="W194" s="165">
        <f>IFERROR(Table1[[#This Row],[B1.Diff]]/Table1[[#This Row],[B1.Aud]],"ERR")</f>
        <v>5.5066079295154183E-2</v>
      </c>
      <c r="X194" s="162">
        <f>_xlfn.IFNA(VLOOKUP(Table1[[#This Row],[MTP SKU Code]],'Audit Dimensions'!A:N,10,FALSE),"ARC")</f>
        <v>0</v>
      </c>
      <c r="Y194" s="163">
        <f>IFERROR(Table1[[#This Row],[B2.Aud]]-Table1[[#This Row],[PW(gm)5]],"ERR")</f>
        <v>0</v>
      </c>
      <c r="Z194" s="165" t="str">
        <f>IFERROR(Table1[[#This Row],[B2.Diff]]/Table1[[#This Row],[B2.Aud]],"NA")</f>
        <v>NA</v>
      </c>
      <c r="AA194" s="162">
        <f>_xlfn.IFNA(VLOOKUP(Table1[[#This Row],[MTP SKU Code]],'Audit Dimensions'!A:N,14,FALSE),"ARC")</f>
        <v>0</v>
      </c>
      <c r="AB194" s="161">
        <f>IFERROR(Table1[[#This Row],[B3.Aud]]-Table1[[#This Row],[PW(gm)9]],"ERR")</f>
        <v>0</v>
      </c>
      <c r="AC194" s="168">
        <f>IFERROR(Table1[[#This Row],[B3.Diff]]/Table1[[#This Row],[BaLL.Aud]],"ERR")</f>
        <v>0</v>
      </c>
      <c r="AD194" s="189">
        <f>_xlfn.IFNA(VLOOKUP(Table1[[#This Row],[MTP SKU Code]],'Audit Dimensions'!A:U,16,FALSE),"ARC")</f>
        <v>22700</v>
      </c>
      <c r="AE194" s="165">
        <f>IFERROR(1-Table1[[#This Row],[Gms]]/Table1[[#This Row],[BaLL.Aud]],"ERR")</f>
        <v>5.5066079295154169E-2</v>
      </c>
    </row>
    <row r="195" spans="1:31">
      <c r="A195" s="68" t="s">
        <v>240</v>
      </c>
      <c r="B195" s="84" t="s">
        <v>74</v>
      </c>
      <c r="C195" s="190">
        <f>_xlfn.XLOOKUP(Table1[[#This Row],[MTP SKU Code]],'Audit Dimensions'!A:A,'Audit Dimensions'!C:C,0)</f>
        <v>199</v>
      </c>
      <c r="D195" s="190">
        <f>_xlfn.XLOOKUP(Table1[[#This Row],[MTP SKU Code]],'Audit Dimensions'!$A:$A,'Audit Dimensions'!D:D,0)</f>
        <v>38</v>
      </c>
      <c r="E195" s="190">
        <f>_xlfn.XLOOKUP(Table1[[#This Row],[MTP SKU Code]],'Audit Dimensions'!$A:$A,'Audit Dimensions'!E:E,0)</f>
        <v>8</v>
      </c>
      <c r="F195" s="190">
        <v>31200</v>
      </c>
      <c r="G195" s="190">
        <f>_xlfn.XLOOKUP(Table1[[#This Row],[MTP SKU Code]],'Audit Dimensions'!$A:$A,'Audit Dimensions'!G:G,0)</f>
        <v>95</v>
      </c>
      <c r="H195" s="190">
        <f>_xlfn.XLOOKUP(Table1[[#This Row],[MTP SKU Code]],'Audit Dimensions'!$A:$A,'Audit Dimensions'!H:H,0)</f>
        <v>55</v>
      </c>
      <c r="I195" s="190">
        <f>_xlfn.XLOOKUP(Table1[[#This Row],[MTP SKU Code]],'Audit Dimensions'!$A:$A,'Audit Dimensions'!I:I,0)</f>
        <v>6</v>
      </c>
      <c r="J195" s="190">
        <v>13400</v>
      </c>
      <c r="K195" s="190">
        <f>_xlfn.XLOOKUP(Table1[[#This Row],[MTP SKU Code]],'Audit Dimensions'!$A:$A,'Audit Dimensions'!K:K,0)</f>
        <v>0</v>
      </c>
      <c r="L195" s="190">
        <f>_xlfn.XLOOKUP(Table1[[#This Row],[MTP SKU Code]],'Audit Dimensions'!$A:$A,'Audit Dimensions'!L:L,0)</f>
        <v>0</v>
      </c>
      <c r="M195" s="190">
        <f>_xlfn.XLOOKUP(Table1[[#This Row],[MTP SKU Code]],'Audit Dimensions'!$A:$A,'Audit Dimensions'!M:M,0)</f>
        <v>0</v>
      </c>
      <c r="N195" s="190">
        <f>_xlfn.XLOOKUP(Table1[[#This Row],[MTP SKU Code]],'Audit Dimensions'!$A:$A,'Audit Dimensions'!N:N,0)</f>
        <v>0</v>
      </c>
      <c r="O195" s="118">
        <f>((IFERROR((C195*D195*E195),0)+IFERROR((G195*H195*I195),0)+IFERROR((K195*L195*M195),0))/1000000)*35.32</f>
        <v>3.2440007199999998</v>
      </c>
      <c r="P195" s="125">
        <f>Table1[[#This Row],[Column15]]*$P$2*1000</f>
        <v>19464.00432</v>
      </c>
      <c r="Q195" s="87">
        <f>F195+J195+N195</f>
        <v>44600</v>
      </c>
      <c r="R195" s="86">
        <f>MAX(Q195,O195)</f>
        <v>44600</v>
      </c>
      <c r="S195" s="86">
        <f>MAX(R195,P195)</f>
        <v>44600</v>
      </c>
      <c r="T195" s="156" t="str">
        <f>VLOOKUP(A195,'[1]MTP SKUs - Master Data'!$A:$B,2,FALSE)</f>
        <v>Y</v>
      </c>
      <c r="U195" s="162">
        <f>_xlfn.IFNA(VLOOKUP(Table1[[#This Row],[MTP SKU Code]],'Audit Dimensions'!A:N,6,FALSE),"ARC")</f>
        <v>32970</v>
      </c>
      <c r="V195" s="162">
        <f>IFERROR(Table1[[#This Row],[B1.Aud]]-Table1[[#This Row],[PW(gm)]],"ERR")</f>
        <v>1770</v>
      </c>
      <c r="W195" s="165">
        <f>IFERROR(Table1[[#This Row],[B1.Diff]]/Table1[[#This Row],[B1.Aud]],"ERR")</f>
        <v>5.3685168334849862E-2</v>
      </c>
      <c r="X195" s="162">
        <f>_xlfn.IFNA(VLOOKUP(Table1[[#This Row],[MTP SKU Code]],'Audit Dimensions'!A:N,10,FALSE),"ARC")</f>
        <v>14620</v>
      </c>
      <c r="Y195" s="163">
        <f>IFERROR(Table1[[#This Row],[B2.Aud]]-Table1[[#This Row],[PW(gm)5]],"ERR")</f>
        <v>1220</v>
      </c>
      <c r="Z195" s="165">
        <f>IFERROR(Table1[[#This Row],[B2.Diff]]/Table1[[#This Row],[B2.Aud]],"NA")</f>
        <v>8.3447332421340628E-2</v>
      </c>
      <c r="AA195" s="162">
        <f>_xlfn.IFNA(VLOOKUP(Table1[[#This Row],[MTP SKU Code]],'Audit Dimensions'!A:N,14,FALSE),"ARC")</f>
        <v>0</v>
      </c>
      <c r="AB195" s="161">
        <f>IFERROR(Table1[[#This Row],[B3.Aud]]-Table1[[#This Row],[PW(gm)9]],"ERR")</f>
        <v>0</v>
      </c>
      <c r="AC195" s="168">
        <f>IFERROR(Table1[[#This Row],[B3.Diff]]/Table1[[#This Row],[BaLL.Aud]],"ERR")</f>
        <v>0</v>
      </c>
      <c r="AD195" s="189">
        <f>_xlfn.IFNA(VLOOKUP(Table1[[#This Row],[MTP SKU Code]],'Audit Dimensions'!A:U,16,FALSE),"ARC")</f>
        <v>47590</v>
      </c>
      <c r="AE195" s="165">
        <f>IFERROR(1-Table1[[#This Row],[Gms]]/Table1[[#This Row],[BaLL.Aud]],"ERR")</f>
        <v>6.2828325278419861E-2</v>
      </c>
    </row>
    <row r="196" spans="1:31">
      <c r="A196" s="68" t="s">
        <v>241</v>
      </c>
      <c r="B196" s="84" t="s">
        <v>48</v>
      </c>
      <c r="C196" s="190">
        <f>_xlfn.XLOOKUP(Table1[[#This Row],[MTP SKU Code]],'Audit Dimensions'!A:A,'Audit Dimensions'!C:C,0)</f>
        <v>131</v>
      </c>
      <c r="D196" s="190">
        <f>_xlfn.XLOOKUP(Table1[[#This Row],[MTP SKU Code]],'Audit Dimensions'!$A:$A,'Audit Dimensions'!D:D,0)</f>
        <v>19</v>
      </c>
      <c r="E196" s="190">
        <f>_xlfn.XLOOKUP(Table1[[#This Row],[MTP SKU Code]],'Audit Dimensions'!$A:$A,'Audit Dimensions'!E:E,0)</f>
        <v>5</v>
      </c>
      <c r="F196" s="190">
        <v>3870</v>
      </c>
      <c r="G196" s="190">
        <f>_xlfn.XLOOKUP(Table1[[#This Row],[MTP SKU Code]],'Audit Dimensions'!$A:$A,'Audit Dimensions'!G:G,0)</f>
        <v>0</v>
      </c>
      <c r="H196" s="190">
        <f>_xlfn.XLOOKUP(Table1[[#This Row],[MTP SKU Code]],'Audit Dimensions'!$A:$A,'Audit Dimensions'!H:H,0)</f>
        <v>0</v>
      </c>
      <c r="I196" s="190">
        <f>_xlfn.XLOOKUP(Table1[[#This Row],[MTP SKU Code]],'Audit Dimensions'!$A:$A,'Audit Dimensions'!I:I,0)</f>
        <v>0</v>
      </c>
      <c r="J196" s="190">
        <f>_xlfn.XLOOKUP(Table1[[#This Row],[MTP SKU Code]],'Audit Dimensions'!$A:$A,'Audit Dimensions'!J:J,0)</f>
        <v>0</v>
      </c>
      <c r="K196" s="190">
        <f>_xlfn.XLOOKUP(Table1[[#This Row],[MTP SKU Code]],'Audit Dimensions'!$A:$A,'Audit Dimensions'!K:K,0)</f>
        <v>0</v>
      </c>
      <c r="L196" s="190">
        <f>_xlfn.XLOOKUP(Table1[[#This Row],[MTP SKU Code]],'Audit Dimensions'!$A:$A,'Audit Dimensions'!L:L,0)</f>
        <v>0</v>
      </c>
      <c r="M196" s="190">
        <f>_xlfn.XLOOKUP(Table1[[#This Row],[MTP SKU Code]],'Audit Dimensions'!$A:$A,'Audit Dimensions'!M:M,0)</f>
        <v>0</v>
      </c>
      <c r="N196" s="190">
        <f>_xlfn.XLOOKUP(Table1[[#This Row],[MTP SKU Code]],'Audit Dimensions'!$A:$A,'Audit Dimensions'!N:N,0)</f>
        <v>0</v>
      </c>
      <c r="O196" s="118">
        <f>((IFERROR((C196*D196*E196),0)+IFERROR((G196*H196*I196),0)+IFERROR((K196*L196*M196),0))/1000000)*35.32</f>
        <v>0.43955739999999999</v>
      </c>
      <c r="P196" s="125">
        <f>Table1[[#This Row],[Column15]]*$P$2*1000</f>
        <v>2637.3444</v>
      </c>
      <c r="Q196" s="87">
        <f>F196+J196+N196</f>
        <v>3870</v>
      </c>
      <c r="R196" s="86">
        <f>MAX(Q196,O196)</f>
        <v>3870</v>
      </c>
      <c r="S196" s="86">
        <f>MAX(R196,P196)</f>
        <v>3870</v>
      </c>
      <c r="T196" s="156" t="str">
        <f>VLOOKUP(A196,'[1]MTP SKUs - Master Data'!$A:$B,2,FALSE)</f>
        <v>Y</v>
      </c>
      <c r="U196" s="162">
        <f>_xlfn.IFNA(VLOOKUP(Table1[[#This Row],[MTP SKU Code]],'Audit Dimensions'!A:N,6,FALSE),"ARC")</f>
        <v>4150</v>
      </c>
      <c r="V196" s="162">
        <f>IFERROR(Table1[[#This Row],[B1.Aud]]-Table1[[#This Row],[PW(gm)]],"ERR")</f>
        <v>280</v>
      </c>
      <c r="W196" s="165">
        <f>IFERROR(Table1[[#This Row],[B1.Diff]]/Table1[[#This Row],[B1.Aud]],"ERR")</f>
        <v>6.746987951807229E-2</v>
      </c>
      <c r="X196" s="162">
        <f>_xlfn.IFNA(VLOOKUP(Table1[[#This Row],[MTP SKU Code]],'Audit Dimensions'!A:N,10,FALSE),"ARC")</f>
        <v>0</v>
      </c>
      <c r="Y196" s="163">
        <f>IFERROR(Table1[[#This Row],[B2.Aud]]-Table1[[#This Row],[PW(gm)5]],"ERR")</f>
        <v>0</v>
      </c>
      <c r="Z196" s="165" t="str">
        <f>IFERROR(Table1[[#This Row],[B2.Diff]]/Table1[[#This Row],[B2.Aud]],"NA")</f>
        <v>NA</v>
      </c>
      <c r="AA196" s="162">
        <f>_xlfn.IFNA(VLOOKUP(Table1[[#This Row],[MTP SKU Code]],'Audit Dimensions'!A:N,14,FALSE),"ARC")</f>
        <v>0</v>
      </c>
      <c r="AB196" s="161">
        <f>IFERROR(Table1[[#This Row],[B3.Aud]]-Table1[[#This Row],[PW(gm)9]],"ERR")</f>
        <v>0</v>
      </c>
      <c r="AC196" s="168">
        <f>IFERROR(Table1[[#This Row],[B3.Diff]]/Table1[[#This Row],[BaLL.Aud]],"ERR")</f>
        <v>0</v>
      </c>
      <c r="AD196" s="189">
        <f>_xlfn.IFNA(VLOOKUP(Table1[[#This Row],[MTP SKU Code]],'Audit Dimensions'!A:U,16,FALSE),"ARC")</f>
        <v>4150</v>
      </c>
      <c r="AE196" s="165">
        <f>IFERROR(1-Table1[[#This Row],[Gms]]/Table1[[#This Row],[BaLL.Aud]],"ERR")</f>
        <v>6.7469879518072262E-2</v>
      </c>
    </row>
    <row r="197" spans="1:31">
      <c r="A197" s="68" t="s">
        <v>242</v>
      </c>
      <c r="B197" s="84" t="s">
        <v>48</v>
      </c>
      <c r="C197" s="190">
        <f>_xlfn.XLOOKUP(Table1[[#This Row],[MTP SKU Code]],'Audit Dimensions'!A:A,'Audit Dimensions'!C:C,0)</f>
        <v>103</v>
      </c>
      <c r="D197" s="190">
        <f>_xlfn.XLOOKUP(Table1[[#This Row],[MTP SKU Code]],'Audit Dimensions'!$A:$A,'Audit Dimensions'!D:D,0)</f>
        <v>40</v>
      </c>
      <c r="E197" s="190">
        <f>_xlfn.XLOOKUP(Table1[[#This Row],[MTP SKU Code]],'Audit Dimensions'!$A:$A,'Audit Dimensions'!E:E,0)</f>
        <v>7</v>
      </c>
      <c r="F197" s="190">
        <v>13700</v>
      </c>
      <c r="G197" s="190">
        <f>_xlfn.XLOOKUP(Table1[[#This Row],[MTP SKU Code]],'Audit Dimensions'!$A:$A,'Audit Dimensions'!G:G,0)</f>
        <v>0</v>
      </c>
      <c r="H197" s="190">
        <f>_xlfn.XLOOKUP(Table1[[#This Row],[MTP SKU Code]],'Audit Dimensions'!$A:$A,'Audit Dimensions'!H:H,0)</f>
        <v>0</v>
      </c>
      <c r="I197" s="190">
        <f>_xlfn.XLOOKUP(Table1[[#This Row],[MTP SKU Code]],'Audit Dimensions'!$A:$A,'Audit Dimensions'!I:I,0)</f>
        <v>0</v>
      </c>
      <c r="J197" s="190">
        <f>_xlfn.XLOOKUP(Table1[[#This Row],[MTP SKU Code]],'Audit Dimensions'!$A:$A,'Audit Dimensions'!J:J,0)</f>
        <v>0</v>
      </c>
      <c r="K197" s="190">
        <f>_xlfn.XLOOKUP(Table1[[#This Row],[MTP SKU Code]],'Audit Dimensions'!$A:$A,'Audit Dimensions'!K:K,0)</f>
        <v>0</v>
      </c>
      <c r="L197" s="190">
        <f>_xlfn.XLOOKUP(Table1[[#This Row],[MTP SKU Code]],'Audit Dimensions'!$A:$A,'Audit Dimensions'!L:L,0)</f>
        <v>0</v>
      </c>
      <c r="M197" s="190">
        <f>_xlfn.XLOOKUP(Table1[[#This Row],[MTP SKU Code]],'Audit Dimensions'!$A:$A,'Audit Dimensions'!M:M,0)</f>
        <v>0</v>
      </c>
      <c r="N197" s="190">
        <f>_xlfn.XLOOKUP(Table1[[#This Row],[MTP SKU Code]],'Audit Dimensions'!$A:$A,'Audit Dimensions'!N:N,0)</f>
        <v>0</v>
      </c>
      <c r="O197" s="118">
        <f>((IFERROR((C197*D197*E197),0)+IFERROR((G197*H197*I197),0)+IFERROR((K197*L197*M197),0))/1000000)*35.32</f>
        <v>1.0186288000000001</v>
      </c>
      <c r="P197" s="125">
        <f>Table1[[#This Row],[Column15]]*$P$2*1000</f>
        <v>6111.7728000000006</v>
      </c>
      <c r="Q197" s="87">
        <f>F197+J197+N197</f>
        <v>13700</v>
      </c>
      <c r="R197" s="86">
        <f>MAX(Q197,O197)</f>
        <v>13700</v>
      </c>
      <c r="S197" s="86">
        <f>MAX(R197,P197)</f>
        <v>13700</v>
      </c>
      <c r="T197" s="156" t="str">
        <f>VLOOKUP(A197,'[1]MTP SKUs - Master Data'!$A:$B,2,FALSE)</f>
        <v>Y</v>
      </c>
      <c r="U197" s="162">
        <f>_xlfn.IFNA(VLOOKUP(Table1[[#This Row],[MTP SKU Code]],'Audit Dimensions'!A:N,6,FALSE),"ARC")</f>
        <v>14650</v>
      </c>
      <c r="V197" s="162">
        <f>IFERROR(Table1[[#This Row],[B1.Aud]]-Table1[[#This Row],[PW(gm)]],"ERR")</f>
        <v>950</v>
      </c>
      <c r="W197" s="165">
        <f>IFERROR(Table1[[#This Row],[B1.Diff]]/Table1[[#This Row],[B1.Aud]],"ERR")</f>
        <v>6.4846416382252553E-2</v>
      </c>
      <c r="X197" s="162">
        <f>_xlfn.IFNA(VLOOKUP(Table1[[#This Row],[MTP SKU Code]],'Audit Dimensions'!A:N,10,FALSE),"ARC")</f>
        <v>0</v>
      </c>
      <c r="Y197" s="163">
        <f>IFERROR(Table1[[#This Row],[B2.Aud]]-Table1[[#This Row],[PW(gm)5]],"ERR")</f>
        <v>0</v>
      </c>
      <c r="Z197" s="165" t="str">
        <f>IFERROR(Table1[[#This Row],[B2.Diff]]/Table1[[#This Row],[B2.Aud]],"NA")</f>
        <v>NA</v>
      </c>
      <c r="AA197" s="162">
        <f>_xlfn.IFNA(VLOOKUP(Table1[[#This Row],[MTP SKU Code]],'Audit Dimensions'!A:N,14,FALSE),"ARC")</f>
        <v>0</v>
      </c>
      <c r="AB197" s="161">
        <f>IFERROR(Table1[[#This Row],[B3.Aud]]-Table1[[#This Row],[PW(gm)9]],"ERR")</f>
        <v>0</v>
      </c>
      <c r="AC197" s="168">
        <f>IFERROR(Table1[[#This Row],[B3.Diff]]/Table1[[#This Row],[BaLL.Aud]],"ERR")</f>
        <v>0</v>
      </c>
      <c r="AD197" s="189">
        <f>_xlfn.IFNA(VLOOKUP(Table1[[#This Row],[MTP SKU Code]],'Audit Dimensions'!A:U,16,FALSE),"ARC")</f>
        <v>14650</v>
      </c>
      <c r="AE197" s="165">
        <f>IFERROR(1-Table1[[#This Row],[Gms]]/Table1[[#This Row],[BaLL.Aud]],"ERR")</f>
        <v>6.4846416382252525E-2</v>
      </c>
    </row>
    <row r="198" spans="1:31" hidden="1">
      <c r="A198" s="68" t="s">
        <v>243</v>
      </c>
      <c r="B198" s="84" t="s">
        <v>48</v>
      </c>
      <c r="C198" s="85">
        <v>97</v>
      </c>
      <c r="D198" s="85">
        <v>56</v>
      </c>
      <c r="E198" s="85">
        <v>4</v>
      </c>
      <c r="F198" s="89">
        <v>9550</v>
      </c>
      <c r="G198" s="85"/>
      <c r="H198" s="85"/>
      <c r="I198" s="85"/>
      <c r="J198" s="85"/>
      <c r="K198" s="85"/>
      <c r="L198" s="85"/>
      <c r="M198" s="85"/>
      <c r="N198" s="85"/>
      <c r="O198" s="118">
        <f>((IFERROR((C198*D198*E198),0)+IFERROR((G198*H198*I198),0)+IFERROR((K198*L198*M198),0))/1000000)*35.32</f>
        <v>0.76743296000000005</v>
      </c>
      <c r="P198" s="125">
        <f>Table1[[#This Row],[Column15]]*$P$2*1000</f>
        <v>4604.5977600000006</v>
      </c>
      <c r="Q198" s="87">
        <f>F198+J198+N198</f>
        <v>9550</v>
      </c>
      <c r="R198" s="86">
        <f>MAX(Q198,O198)</f>
        <v>9550</v>
      </c>
      <c r="S198" s="86">
        <f>MAX(R198,P198)</f>
        <v>9550</v>
      </c>
      <c r="T198" s="156" t="str">
        <f>VLOOKUP(A198,'[1]MTP SKUs - Master Data'!$A:$B,2,FALSE)</f>
        <v>DI</v>
      </c>
      <c r="U198" s="162">
        <f>_xlfn.IFNA(VLOOKUP(Table1[[#This Row],[MTP SKU Code]],'Audit Dimensions'!A:N,6,FALSE),"ARC")</f>
        <v>10805</v>
      </c>
      <c r="V198" s="162">
        <f>IFERROR(Table1[[#This Row],[B1.Aud]]-Table1[[#This Row],[PW(gm)]],"ERR")</f>
        <v>1255</v>
      </c>
      <c r="W198" s="165">
        <f>IFERROR(Table1[[#This Row],[B1.Diff]]/Table1[[#This Row],[B1.Aud]],"ERR")</f>
        <v>0.11614993058769088</v>
      </c>
      <c r="X198" s="162">
        <f>_xlfn.IFNA(VLOOKUP(Table1[[#This Row],[MTP SKU Code]],'Audit Dimensions'!A:N,10,FALSE),"ARC")</f>
        <v>0</v>
      </c>
      <c r="Y198" s="163">
        <f>IFERROR(Table1[[#This Row],[B2.Aud]]-Table1[[#This Row],[PW(gm)5]],"ERR")</f>
        <v>0</v>
      </c>
      <c r="Z198" s="165" t="str">
        <f>IFERROR(Table1[[#This Row],[B2.Diff]]/Table1[[#This Row],[B2.Aud]],"NA")</f>
        <v>NA</v>
      </c>
      <c r="AA198" s="162">
        <f>_xlfn.IFNA(VLOOKUP(Table1[[#This Row],[MTP SKU Code]],'Audit Dimensions'!A:N,14,FALSE),"ARC")</f>
        <v>0</v>
      </c>
      <c r="AB198" s="161">
        <f>IFERROR(Table1[[#This Row],[B3.Aud]]-Table1[[#This Row],[PW(gm)9]],"ERR")</f>
        <v>0</v>
      </c>
      <c r="AC198" s="168">
        <f>IFERROR(Table1[[#This Row],[B3.Diff]]/Table1[[#This Row],[BaLL.Aud]],"ERR")</f>
        <v>0</v>
      </c>
      <c r="AD198" s="162">
        <f>_xlfn.IFNA(VLOOKUP(Table1[[#This Row],[MTP SKU Code]],'Audit Dimensions'!A:U,16,FALSE),"ARC")</f>
        <v>10805</v>
      </c>
      <c r="AE198" s="165">
        <f>IFERROR(1-Table1[[#This Row],[Gms]]/Table1[[#This Row],[BaLL.Aud]],"ERR")</f>
        <v>0.11614993058769085</v>
      </c>
    </row>
    <row r="199" spans="1:31">
      <c r="A199" s="68" t="s">
        <v>244</v>
      </c>
      <c r="B199" s="84" t="s">
        <v>48</v>
      </c>
      <c r="C199" s="190">
        <f>_xlfn.XLOOKUP(Table1[[#This Row],[MTP SKU Code]],'Audit Dimensions'!A:A,'Audit Dimensions'!C:C,0)</f>
        <v>173</v>
      </c>
      <c r="D199" s="190">
        <f>_xlfn.XLOOKUP(Table1[[#This Row],[MTP SKU Code]],'Audit Dimensions'!$A:$A,'Audit Dimensions'!D:D,0)</f>
        <v>32</v>
      </c>
      <c r="E199" s="190">
        <f>_xlfn.XLOOKUP(Table1[[#This Row],[MTP SKU Code]],'Audit Dimensions'!$A:$A,'Audit Dimensions'!E:E,0)</f>
        <v>9</v>
      </c>
      <c r="F199" s="190">
        <v>20500</v>
      </c>
      <c r="G199" s="190">
        <f>_xlfn.XLOOKUP(Table1[[#This Row],[MTP SKU Code]],'Audit Dimensions'!$A:$A,'Audit Dimensions'!G:G,0)</f>
        <v>0</v>
      </c>
      <c r="H199" s="190">
        <f>_xlfn.XLOOKUP(Table1[[#This Row],[MTP SKU Code]],'Audit Dimensions'!$A:$A,'Audit Dimensions'!H:H,0)</f>
        <v>0</v>
      </c>
      <c r="I199" s="190">
        <f>_xlfn.XLOOKUP(Table1[[#This Row],[MTP SKU Code]],'Audit Dimensions'!$A:$A,'Audit Dimensions'!I:I,0)</f>
        <v>0</v>
      </c>
      <c r="J199" s="190">
        <f>_xlfn.XLOOKUP(Table1[[#This Row],[MTP SKU Code]],'Audit Dimensions'!$A:$A,'Audit Dimensions'!J:J,0)</f>
        <v>0</v>
      </c>
      <c r="K199" s="190">
        <f>_xlfn.XLOOKUP(Table1[[#This Row],[MTP SKU Code]],'Audit Dimensions'!$A:$A,'Audit Dimensions'!K:K,0)</f>
        <v>0</v>
      </c>
      <c r="L199" s="190">
        <f>_xlfn.XLOOKUP(Table1[[#This Row],[MTP SKU Code]],'Audit Dimensions'!$A:$A,'Audit Dimensions'!L:L,0)</f>
        <v>0</v>
      </c>
      <c r="M199" s="190">
        <f>_xlfn.XLOOKUP(Table1[[#This Row],[MTP SKU Code]],'Audit Dimensions'!$A:$A,'Audit Dimensions'!M:M,0)</f>
        <v>0</v>
      </c>
      <c r="N199" s="190">
        <f>_xlfn.XLOOKUP(Table1[[#This Row],[MTP SKU Code]],'Audit Dimensions'!$A:$A,'Audit Dimensions'!N:N,0)</f>
        <v>0</v>
      </c>
      <c r="O199" s="118">
        <f>((IFERROR((C199*D199*E199),0)+IFERROR((G199*H199*I199),0)+IFERROR((K199*L199*M199),0))/1000000)*35.32</f>
        <v>1.75978368</v>
      </c>
      <c r="P199" s="125">
        <f>Table1[[#This Row],[Column15]]*$P$2*1000</f>
        <v>10558.702079999999</v>
      </c>
      <c r="Q199" s="87">
        <f>F199+J199+N199</f>
        <v>20500</v>
      </c>
      <c r="R199" s="86">
        <f>MAX(Q199,O199)</f>
        <v>20500</v>
      </c>
      <c r="S199" s="86">
        <f>MAX(R199,P199)</f>
        <v>20500</v>
      </c>
      <c r="T199" s="156" t="str">
        <f>VLOOKUP(A199,'[1]MTP SKUs - Master Data'!$A:$B,2,FALSE)</f>
        <v>Y</v>
      </c>
      <c r="U199" s="162">
        <f>_xlfn.IFNA(VLOOKUP(Table1[[#This Row],[MTP SKU Code]],'Audit Dimensions'!A:N,6,FALSE),"ARC")</f>
        <v>21700</v>
      </c>
      <c r="V199" s="162">
        <f>IFERROR(Table1[[#This Row],[B1.Aud]]-Table1[[#This Row],[PW(gm)]],"ERR")</f>
        <v>1200</v>
      </c>
      <c r="W199" s="165">
        <f>IFERROR(Table1[[#This Row],[B1.Diff]]/Table1[[#This Row],[B1.Aud]],"ERR")</f>
        <v>5.5299539170506916E-2</v>
      </c>
      <c r="X199" s="162">
        <f>_xlfn.IFNA(VLOOKUP(Table1[[#This Row],[MTP SKU Code]],'Audit Dimensions'!A:N,10,FALSE),"ARC")</f>
        <v>0</v>
      </c>
      <c r="Y199" s="163">
        <f>IFERROR(Table1[[#This Row],[B2.Aud]]-Table1[[#This Row],[PW(gm)5]],"ERR")</f>
        <v>0</v>
      </c>
      <c r="Z199" s="165" t="str">
        <f>IFERROR(Table1[[#This Row],[B2.Diff]]/Table1[[#This Row],[B2.Aud]],"NA")</f>
        <v>NA</v>
      </c>
      <c r="AA199" s="162">
        <f>_xlfn.IFNA(VLOOKUP(Table1[[#This Row],[MTP SKU Code]],'Audit Dimensions'!A:N,14,FALSE),"ARC")</f>
        <v>0</v>
      </c>
      <c r="AB199" s="161">
        <f>IFERROR(Table1[[#This Row],[B3.Aud]]-Table1[[#This Row],[PW(gm)9]],"ERR")</f>
        <v>0</v>
      </c>
      <c r="AC199" s="168">
        <f>IFERROR(Table1[[#This Row],[B3.Diff]]/Table1[[#This Row],[BaLL.Aud]],"ERR")</f>
        <v>0</v>
      </c>
      <c r="AD199" s="189">
        <f>_xlfn.IFNA(VLOOKUP(Table1[[#This Row],[MTP SKU Code]],'Audit Dimensions'!A:U,16,FALSE),"ARC")</f>
        <v>21700</v>
      </c>
      <c r="AE199" s="165">
        <f>IFERROR(1-Table1[[#This Row],[Gms]]/Table1[[#This Row],[BaLL.Aud]],"ERR")</f>
        <v>5.5299539170506895E-2</v>
      </c>
    </row>
    <row r="200" spans="1:31">
      <c r="A200" s="68" t="s">
        <v>245</v>
      </c>
      <c r="B200" s="84" t="s">
        <v>48</v>
      </c>
      <c r="C200" s="190">
        <v>32</v>
      </c>
      <c r="D200" s="190">
        <v>32</v>
      </c>
      <c r="E200" s="190">
        <v>23</v>
      </c>
      <c r="F200" s="190">
        <v>2500</v>
      </c>
      <c r="G200" s="190">
        <f>_xlfn.XLOOKUP(Table1[[#This Row],[MTP SKU Code]],'Audit Dimensions'!$A:$A,'Audit Dimensions'!G:G,0)</f>
        <v>0</v>
      </c>
      <c r="H200" s="190">
        <f>_xlfn.XLOOKUP(Table1[[#This Row],[MTP SKU Code]],'Audit Dimensions'!$A:$A,'Audit Dimensions'!H:H,0)</f>
        <v>0</v>
      </c>
      <c r="I200" s="190">
        <f>_xlfn.XLOOKUP(Table1[[#This Row],[MTP SKU Code]],'Audit Dimensions'!$A:$A,'Audit Dimensions'!I:I,0)</f>
        <v>0</v>
      </c>
      <c r="J200" s="190">
        <f>_xlfn.XLOOKUP(Table1[[#This Row],[MTP SKU Code]],'Audit Dimensions'!$A:$A,'Audit Dimensions'!J:J,0)</f>
        <v>0</v>
      </c>
      <c r="K200" s="190">
        <f>_xlfn.XLOOKUP(Table1[[#This Row],[MTP SKU Code]],'Audit Dimensions'!$A:$A,'Audit Dimensions'!K:K,0)</f>
        <v>0</v>
      </c>
      <c r="L200" s="190">
        <f>_xlfn.XLOOKUP(Table1[[#This Row],[MTP SKU Code]],'Audit Dimensions'!$A:$A,'Audit Dimensions'!L:L,0)</f>
        <v>0</v>
      </c>
      <c r="M200" s="190">
        <f>_xlfn.XLOOKUP(Table1[[#This Row],[MTP SKU Code]],'Audit Dimensions'!$A:$A,'Audit Dimensions'!M:M,0)</f>
        <v>0</v>
      </c>
      <c r="N200" s="190">
        <f>_xlfn.XLOOKUP(Table1[[#This Row],[MTP SKU Code]],'Audit Dimensions'!$A:$A,'Audit Dimensions'!N:N,0)</f>
        <v>0</v>
      </c>
      <c r="O200" s="118">
        <f>((IFERROR((C200*D200*E200),0)+IFERROR((G200*H200*I200),0)+IFERROR((K200*L200*M200),0))/1000000)*35.32</f>
        <v>0.83185664000000004</v>
      </c>
      <c r="P200" s="125">
        <f>((IFERROR((C200*D200*E200),0)+IFERROR((G200*H200*I200),0)+IFERROR((K200*L200*M200),0))/28373)*$P$2*1000</f>
        <v>4980.5096394459515</v>
      </c>
      <c r="Q200" s="87">
        <f>F200+J200+N200</f>
        <v>2500</v>
      </c>
      <c r="R200" s="86">
        <f>MAX(Q200,O200)</f>
        <v>2500</v>
      </c>
      <c r="S200" s="86">
        <f>MAX(R200,P200)</f>
        <v>4980.5096394459515</v>
      </c>
      <c r="T200" s="156" t="str">
        <f>VLOOKUP(A200,'[1]MTP SKUs - Master Data'!$A:$B,2,FALSE)</f>
        <v>Y</v>
      </c>
      <c r="U200" s="162">
        <f>_xlfn.IFNA(VLOOKUP(Table1[[#This Row],[MTP SKU Code]],'Audit Dimensions'!A:N,6,FALSE),"ARC")</f>
        <v>2540</v>
      </c>
      <c r="V200" s="162">
        <f>IFERROR(Table1[[#This Row],[B1.Aud]]-Table1[[#This Row],[PW(gm)]],"ERR")</f>
        <v>40</v>
      </c>
      <c r="W200" s="165">
        <f>IFERROR(Table1[[#This Row],[B1.Diff]]/Table1[[#This Row],[B1.Aud]],"ERR")</f>
        <v>1.5748031496062992E-2</v>
      </c>
      <c r="X200" s="162">
        <f>_xlfn.IFNA(VLOOKUP(Table1[[#This Row],[MTP SKU Code]],'Audit Dimensions'!A:N,10,FALSE),"ARC")</f>
        <v>0</v>
      </c>
      <c r="Y200" s="163">
        <f>IFERROR(Table1[[#This Row],[B2.Aud]]-Table1[[#This Row],[PW(gm)5]],"ERR")</f>
        <v>0</v>
      </c>
      <c r="Z200" s="165" t="str">
        <f>IFERROR(Table1[[#This Row],[B2.Diff]]/Table1[[#This Row],[B2.Aud]],"NA")</f>
        <v>NA</v>
      </c>
      <c r="AA200" s="162">
        <f>_xlfn.IFNA(VLOOKUP(Table1[[#This Row],[MTP SKU Code]],'Audit Dimensions'!A:N,14,FALSE),"ARC")</f>
        <v>0</v>
      </c>
      <c r="AB200" s="161">
        <f>IFERROR(Table1[[#This Row],[B3.Aud]]-Table1[[#This Row],[PW(gm)9]],"ERR")</f>
        <v>0</v>
      </c>
      <c r="AC200" s="168">
        <f>IFERROR(Table1[[#This Row],[B3.Diff]]/Table1[[#This Row],[BaLL.Aud]],"ERR")</f>
        <v>0</v>
      </c>
      <c r="AD200" s="189">
        <f>_xlfn.IFNA(VLOOKUP(Table1[[#This Row],[MTP SKU Code]],'Audit Dimensions'!A:U,16,FALSE),"ARC")</f>
        <v>2540</v>
      </c>
      <c r="AE200" s="165">
        <f>IFERROR(1-Table1[[#This Row],[Gms]]/Table1[[#This Row],[BaLL.Aud]],"ERR")</f>
        <v>1.5748031496062964E-2</v>
      </c>
    </row>
    <row r="201" spans="1:31">
      <c r="A201" s="68" t="s">
        <v>246</v>
      </c>
      <c r="B201" s="84" t="s">
        <v>48</v>
      </c>
      <c r="C201" s="190">
        <f>_xlfn.XLOOKUP(Table1[[#This Row],[MTP SKU Code]],'Audit Dimensions'!A:A,'Audit Dimensions'!C:C,0)</f>
        <v>72</v>
      </c>
      <c r="D201" s="190">
        <f>_xlfn.XLOOKUP(Table1[[#This Row],[MTP SKU Code]],'Audit Dimensions'!$A:$A,'Audit Dimensions'!D:D,0)</f>
        <v>19</v>
      </c>
      <c r="E201" s="190">
        <f>_xlfn.XLOOKUP(Table1[[#This Row],[MTP SKU Code]],'Audit Dimensions'!$A:$A,'Audit Dimensions'!E:E,0)</f>
        <v>8</v>
      </c>
      <c r="F201" s="190">
        <f>_xlfn.XLOOKUP(Table1[[#This Row],[MTP SKU Code]],'Audit Dimensions'!$A:$A,'Audit Dimensions'!F:F,0)</f>
        <v>4850</v>
      </c>
      <c r="G201" s="190">
        <f>_xlfn.XLOOKUP(Table1[[#This Row],[MTP SKU Code]],'Audit Dimensions'!$A:$A,'Audit Dimensions'!G:G,0)</f>
        <v>0</v>
      </c>
      <c r="H201" s="190">
        <f>_xlfn.XLOOKUP(Table1[[#This Row],[MTP SKU Code]],'Audit Dimensions'!$A:$A,'Audit Dimensions'!H:H,0)</f>
        <v>0</v>
      </c>
      <c r="I201" s="190">
        <f>_xlfn.XLOOKUP(Table1[[#This Row],[MTP SKU Code]],'Audit Dimensions'!$A:$A,'Audit Dimensions'!I:I,0)</f>
        <v>0</v>
      </c>
      <c r="J201" s="190">
        <f>_xlfn.XLOOKUP(Table1[[#This Row],[MTP SKU Code]],'Audit Dimensions'!$A:$A,'Audit Dimensions'!J:J,0)</f>
        <v>0</v>
      </c>
      <c r="K201" s="190">
        <f>_xlfn.XLOOKUP(Table1[[#This Row],[MTP SKU Code]],'Audit Dimensions'!$A:$A,'Audit Dimensions'!K:K,0)</f>
        <v>0</v>
      </c>
      <c r="L201" s="190">
        <f>_xlfn.XLOOKUP(Table1[[#This Row],[MTP SKU Code]],'Audit Dimensions'!$A:$A,'Audit Dimensions'!L:L,0)</f>
        <v>0</v>
      </c>
      <c r="M201" s="190">
        <f>_xlfn.XLOOKUP(Table1[[#This Row],[MTP SKU Code]],'Audit Dimensions'!$A:$A,'Audit Dimensions'!M:M,0)</f>
        <v>0</v>
      </c>
      <c r="N201" s="190">
        <f>_xlfn.XLOOKUP(Table1[[#This Row],[MTP SKU Code]],'Audit Dimensions'!$A:$A,'Audit Dimensions'!N:N,0)</f>
        <v>0</v>
      </c>
      <c r="O201" s="118">
        <f>((IFERROR((C201*D201*E201),0)+IFERROR((G201*H201*I201),0)+IFERROR((K201*L201*M201),0))/1000000)*35.32</f>
        <v>0.38654208000000001</v>
      </c>
      <c r="P201" s="125">
        <f>Table1[[#This Row],[Column15]]*$P$2*1000</f>
        <v>2319.2524800000001</v>
      </c>
      <c r="Q201" s="87">
        <f>F201+J201+N201</f>
        <v>4850</v>
      </c>
      <c r="R201" s="86">
        <f>MAX(Q201,O201)</f>
        <v>4850</v>
      </c>
      <c r="S201" s="86">
        <f>MAX(R201,P201)</f>
        <v>4850</v>
      </c>
      <c r="T201" s="156" t="str">
        <f>VLOOKUP(A201,'[1]MTP SKUs - Master Data'!$A:$B,2,FALSE)</f>
        <v>Y</v>
      </c>
      <c r="U201" s="162">
        <f>_xlfn.IFNA(VLOOKUP(Table1[[#This Row],[MTP SKU Code]],'Audit Dimensions'!A:N,6,FALSE),"ARC")</f>
        <v>4850</v>
      </c>
      <c r="V201" s="162">
        <f>IFERROR(Table1[[#This Row],[B1.Aud]]-Table1[[#This Row],[PW(gm)]],"ERR")</f>
        <v>0</v>
      </c>
      <c r="W201" s="165">
        <f>IFERROR(Table1[[#This Row],[B1.Diff]]/Table1[[#This Row],[B1.Aud]],"ERR")</f>
        <v>0</v>
      </c>
      <c r="X201" s="162">
        <f>_xlfn.IFNA(VLOOKUP(Table1[[#This Row],[MTP SKU Code]],'Audit Dimensions'!A:N,10,FALSE),"ARC")</f>
        <v>0</v>
      </c>
      <c r="Y201" s="163">
        <f>IFERROR(Table1[[#This Row],[B2.Aud]]-Table1[[#This Row],[PW(gm)5]],"ERR")</f>
        <v>0</v>
      </c>
      <c r="Z201" s="165" t="str">
        <f>IFERROR(Table1[[#This Row],[B2.Diff]]/Table1[[#This Row],[B2.Aud]],"NA")</f>
        <v>NA</v>
      </c>
      <c r="AA201" s="162">
        <f>_xlfn.IFNA(VLOOKUP(Table1[[#This Row],[MTP SKU Code]],'Audit Dimensions'!A:N,14,FALSE),"ARC")</f>
        <v>0</v>
      </c>
      <c r="AB201" s="161">
        <f>IFERROR(Table1[[#This Row],[B3.Aud]]-Table1[[#This Row],[PW(gm)9]],"ERR")</f>
        <v>0</v>
      </c>
      <c r="AC201" s="168">
        <f>IFERROR(Table1[[#This Row],[B3.Diff]]/Table1[[#This Row],[BaLL.Aud]],"ERR")</f>
        <v>0</v>
      </c>
      <c r="AD201" s="189">
        <f>_xlfn.IFNA(VLOOKUP(Table1[[#This Row],[MTP SKU Code]],'Audit Dimensions'!A:U,16,FALSE),"ARC")</f>
        <v>4850</v>
      </c>
      <c r="AE201" s="165">
        <f>IFERROR(1-Table1[[#This Row],[Gms]]/Table1[[#This Row],[BaLL.Aud]],"ERR")</f>
        <v>0</v>
      </c>
    </row>
    <row r="202" spans="1:31">
      <c r="A202" s="68" t="s">
        <v>247</v>
      </c>
      <c r="B202" s="84" t="s">
        <v>48</v>
      </c>
      <c r="C202" s="190">
        <f>_xlfn.XLOOKUP(Table1[[#This Row],[MTP SKU Code]],'Audit Dimensions'!A:A,'Audit Dimensions'!C:C,0)</f>
        <v>112</v>
      </c>
      <c r="D202" s="190">
        <f>_xlfn.XLOOKUP(Table1[[#This Row],[MTP SKU Code]],'Audit Dimensions'!$A:$A,'Audit Dimensions'!D:D,0)</f>
        <v>47</v>
      </c>
      <c r="E202" s="190">
        <f>_xlfn.XLOOKUP(Table1[[#This Row],[MTP SKU Code]],'Audit Dimensions'!$A:$A,'Audit Dimensions'!E:E,0)</f>
        <v>8</v>
      </c>
      <c r="F202" s="190">
        <v>16800</v>
      </c>
      <c r="G202" s="190">
        <f>_xlfn.XLOOKUP(Table1[[#This Row],[MTP SKU Code]],'Audit Dimensions'!$A:$A,'Audit Dimensions'!G:G,0)</f>
        <v>0</v>
      </c>
      <c r="H202" s="190">
        <f>_xlfn.XLOOKUP(Table1[[#This Row],[MTP SKU Code]],'Audit Dimensions'!$A:$A,'Audit Dimensions'!H:H,0)</f>
        <v>0</v>
      </c>
      <c r="I202" s="190">
        <f>_xlfn.XLOOKUP(Table1[[#This Row],[MTP SKU Code]],'Audit Dimensions'!$A:$A,'Audit Dimensions'!I:I,0)</f>
        <v>0</v>
      </c>
      <c r="J202" s="190">
        <f>_xlfn.XLOOKUP(Table1[[#This Row],[MTP SKU Code]],'Audit Dimensions'!$A:$A,'Audit Dimensions'!J:J,0)</f>
        <v>0</v>
      </c>
      <c r="K202" s="190">
        <f>_xlfn.XLOOKUP(Table1[[#This Row],[MTP SKU Code]],'Audit Dimensions'!$A:$A,'Audit Dimensions'!K:K,0)</f>
        <v>0</v>
      </c>
      <c r="L202" s="190">
        <f>_xlfn.XLOOKUP(Table1[[#This Row],[MTP SKU Code]],'Audit Dimensions'!$A:$A,'Audit Dimensions'!L:L,0)</f>
        <v>0</v>
      </c>
      <c r="M202" s="190">
        <f>_xlfn.XLOOKUP(Table1[[#This Row],[MTP SKU Code]],'Audit Dimensions'!$A:$A,'Audit Dimensions'!M:M,0)</f>
        <v>0</v>
      </c>
      <c r="N202" s="190">
        <f>_xlfn.XLOOKUP(Table1[[#This Row],[MTP SKU Code]],'Audit Dimensions'!$A:$A,'Audit Dimensions'!N:N,0)</f>
        <v>0</v>
      </c>
      <c r="O202" s="118">
        <f>((IFERROR((C202*D202*E202),0)+IFERROR((G202*H202*I202),0)+IFERROR((K202*L202*M202),0))/1000000)*35.32</f>
        <v>1.4873958399999998</v>
      </c>
      <c r="P202" s="125">
        <f>Table1[[#This Row],[Column15]]*$P$2*1000</f>
        <v>8924.375039999999</v>
      </c>
      <c r="Q202" s="87">
        <f>F202+J202+N202</f>
        <v>16800</v>
      </c>
      <c r="R202" s="86">
        <f>MAX(Q202,O202)</f>
        <v>16800</v>
      </c>
      <c r="S202" s="86">
        <f>MAX(R202,P202)</f>
        <v>16800</v>
      </c>
      <c r="T202" s="156" t="str">
        <f>VLOOKUP(A202,'[1]MTP SKUs - Master Data'!$A:$B,2,FALSE)</f>
        <v>Y</v>
      </c>
      <c r="U202" s="162">
        <f>_xlfn.IFNA(VLOOKUP(Table1[[#This Row],[MTP SKU Code]],'Audit Dimensions'!A:N,6,FALSE),"ARC")</f>
        <v>18130</v>
      </c>
      <c r="V202" s="162">
        <f>IFERROR(Table1[[#This Row],[B1.Aud]]-Table1[[#This Row],[PW(gm)]],"ERR")</f>
        <v>1330</v>
      </c>
      <c r="W202" s="165">
        <f>IFERROR(Table1[[#This Row],[B1.Diff]]/Table1[[#This Row],[B1.Aud]],"ERR")</f>
        <v>7.3359073359073365E-2</v>
      </c>
      <c r="X202" s="162">
        <f>_xlfn.IFNA(VLOOKUP(Table1[[#This Row],[MTP SKU Code]],'Audit Dimensions'!A:N,10,FALSE),"ARC")</f>
        <v>0</v>
      </c>
      <c r="Y202" s="163">
        <f>IFERROR(Table1[[#This Row],[B2.Aud]]-Table1[[#This Row],[PW(gm)5]],"ERR")</f>
        <v>0</v>
      </c>
      <c r="Z202" s="165" t="str">
        <f>IFERROR(Table1[[#This Row],[B2.Diff]]/Table1[[#This Row],[B2.Aud]],"NA")</f>
        <v>NA</v>
      </c>
      <c r="AA202" s="162">
        <f>_xlfn.IFNA(VLOOKUP(Table1[[#This Row],[MTP SKU Code]],'Audit Dimensions'!A:N,14,FALSE),"ARC")</f>
        <v>0</v>
      </c>
      <c r="AB202" s="161">
        <f>IFERROR(Table1[[#This Row],[B3.Aud]]-Table1[[#This Row],[PW(gm)9]],"ERR")</f>
        <v>0</v>
      </c>
      <c r="AC202" s="168">
        <f>IFERROR(Table1[[#This Row],[B3.Diff]]/Table1[[#This Row],[BaLL.Aud]],"ERR")</f>
        <v>0</v>
      </c>
      <c r="AD202" s="189">
        <f>_xlfn.IFNA(VLOOKUP(Table1[[#This Row],[MTP SKU Code]],'Audit Dimensions'!A:U,16,FALSE),"ARC")</f>
        <v>18130</v>
      </c>
      <c r="AE202" s="165">
        <f>IFERROR(1-Table1[[#This Row],[Gms]]/Table1[[#This Row],[BaLL.Aud]],"ERR")</f>
        <v>7.3359073359073323E-2</v>
      </c>
    </row>
    <row r="203" spans="1:31">
      <c r="A203" s="68" t="s">
        <v>248</v>
      </c>
      <c r="B203" s="84" t="s">
        <v>48</v>
      </c>
      <c r="C203" s="190">
        <f>_xlfn.XLOOKUP(Table1[[#This Row],[MTP SKU Code]],'Audit Dimensions'!A:A,'Audit Dimensions'!C:C,0)</f>
        <v>88</v>
      </c>
      <c r="D203" s="190">
        <f>_xlfn.XLOOKUP(Table1[[#This Row],[MTP SKU Code]],'Audit Dimensions'!$A:$A,'Audit Dimensions'!D:D,0)</f>
        <v>21</v>
      </c>
      <c r="E203" s="190">
        <f>_xlfn.XLOOKUP(Table1[[#This Row],[MTP SKU Code]],'Audit Dimensions'!$A:$A,'Audit Dimensions'!E:E,0)</f>
        <v>8</v>
      </c>
      <c r="F203" s="190">
        <v>5900</v>
      </c>
      <c r="G203" s="190">
        <f>_xlfn.XLOOKUP(Table1[[#This Row],[MTP SKU Code]],'Audit Dimensions'!$A:$A,'Audit Dimensions'!G:G,0)</f>
        <v>0</v>
      </c>
      <c r="H203" s="190">
        <f>_xlfn.XLOOKUP(Table1[[#This Row],[MTP SKU Code]],'Audit Dimensions'!$A:$A,'Audit Dimensions'!H:H,0)</f>
        <v>0</v>
      </c>
      <c r="I203" s="190">
        <f>_xlfn.XLOOKUP(Table1[[#This Row],[MTP SKU Code]],'Audit Dimensions'!$A:$A,'Audit Dimensions'!I:I,0)</f>
        <v>0</v>
      </c>
      <c r="J203" s="190">
        <f>_xlfn.XLOOKUP(Table1[[#This Row],[MTP SKU Code]],'Audit Dimensions'!$A:$A,'Audit Dimensions'!J:J,0)</f>
        <v>0</v>
      </c>
      <c r="K203" s="190">
        <f>_xlfn.XLOOKUP(Table1[[#This Row],[MTP SKU Code]],'Audit Dimensions'!$A:$A,'Audit Dimensions'!K:K,0)</f>
        <v>0</v>
      </c>
      <c r="L203" s="190">
        <f>_xlfn.XLOOKUP(Table1[[#This Row],[MTP SKU Code]],'Audit Dimensions'!$A:$A,'Audit Dimensions'!L:L,0)</f>
        <v>0</v>
      </c>
      <c r="M203" s="190">
        <f>_xlfn.XLOOKUP(Table1[[#This Row],[MTP SKU Code]],'Audit Dimensions'!$A:$A,'Audit Dimensions'!M:M,0)</f>
        <v>0</v>
      </c>
      <c r="N203" s="190">
        <f>_xlfn.XLOOKUP(Table1[[#This Row],[MTP SKU Code]],'Audit Dimensions'!$A:$A,'Audit Dimensions'!N:N,0)</f>
        <v>0</v>
      </c>
      <c r="O203" s="118">
        <f>((IFERROR((C203*D203*E203),0)+IFERROR((G203*H203*I203),0)+IFERROR((K203*L203*M203),0))/1000000)*35.32</f>
        <v>0.52217088</v>
      </c>
      <c r="P203" s="125">
        <f>Table1[[#This Row],[Column15]]*$P$2*1000</f>
        <v>3133.0252799999998</v>
      </c>
      <c r="Q203" s="87">
        <f>F203+J203+N203</f>
        <v>5900</v>
      </c>
      <c r="R203" s="86">
        <f>MAX(Q203,O203)</f>
        <v>5900</v>
      </c>
      <c r="S203" s="86">
        <f>MAX(R203,P203)</f>
        <v>5900</v>
      </c>
      <c r="T203" s="156" t="str">
        <f>VLOOKUP(A203,'[1]MTP SKUs - Master Data'!$A:$B,2,FALSE)</f>
        <v>Y</v>
      </c>
      <c r="U203" s="162">
        <f>_xlfn.IFNA(VLOOKUP(Table1[[#This Row],[MTP SKU Code]],'Audit Dimensions'!A:N,6,FALSE),"ARC")</f>
        <v>6640</v>
      </c>
      <c r="V203" s="162">
        <f>IFERROR(Table1[[#This Row],[B1.Aud]]-Table1[[#This Row],[PW(gm)]],"ERR")</f>
        <v>740</v>
      </c>
      <c r="W203" s="165">
        <f>IFERROR(Table1[[#This Row],[B1.Diff]]/Table1[[#This Row],[B1.Aud]],"ERR")</f>
        <v>0.11144578313253012</v>
      </c>
      <c r="X203" s="162">
        <f>_xlfn.IFNA(VLOOKUP(Table1[[#This Row],[MTP SKU Code]],'Audit Dimensions'!A:N,10,FALSE),"ARC")</f>
        <v>0</v>
      </c>
      <c r="Y203" s="163">
        <f>IFERROR(Table1[[#This Row],[B2.Aud]]-Table1[[#This Row],[PW(gm)5]],"ERR")</f>
        <v>0</v>
      </c>
      <c r="Z203" s="165" t="str">
        <f>IFERROR(Table1[[#This Row],[B2.Diff]]/Table1[[#This Row],[B2.Aud]],"NA")</f>
        <v>NA</v>
      </c>
      <c r="AA203" s="162">
        <f>_xlfn.IFNA(VLOOKUP(Table1[[#This Row],[MTP SKU Code]],'Audit Dimensions'!A:N,14,FALSE),"ARC")</f>
        <v>0</v>
      </c>
      <c r="AB203" s="161">
        <f>IFERROR(Table1[[#This Row],[B3.Aud]]-Table1[[#This Row],[PW(gm)9]],"ERR")</f>
        <v>0</v>
      </c>
      <c r="AC203" s="168">
        <f>IFERROR(Table1[[#This Row],[B3.Diff]]/Table1[[#This Row],[BaLL.Aud]],"ERR")</f>
        <v>0</v>
      </c>
      <c r="AD203" s="189">
        <f>_xlfn.IFNA(VLOOKUP(Table1[[#This Row],[MTP SKU Code]],'Audit Dimensions'!A:U,16,FALSE),"ARC")</f>
        <v>6640</v>
      </c>
      <c r="AE203" s="165">
        <f>IFERROR(1-Table1[[#This Row],[Gms]]/Table1[[#This Row],[BaLL.Aud]],"ERR")</f>
        <v>0.11144578313253017</v>
      </c>
    </row>
    <row r="204" spans="1:31">
      <c r="A204" s="92" t="s">
        <v>249</v>
      </c>
      <c r="B204" s="93" t="s">
        <v>48</v>
      </c>
      <c r="C204" s="190">
        <f>_xlfn.XLOOKUP(Table1[[#This Row],[MTP SKU Code]],'Audit Dimensions'!A:A,'Audit Dimensions'!C:C,0)</f>
        <v>85</v>
      </c>
      <c r="D204" s="190">
        <f>_xlfn.XLOOKUP(Table1[[#This Row],[MTP SKU Code]],'Audit Dimensions'!$A:$A,'Audit Dimensions'!D:D,0)</f>
        <v>45</v>
      </c>
      <c r="E204" s="190">
        <f>_xlfn.XLOOKUP(Table1[[#This Row],[MTP SKU Code]],'Audit Dimensions'!$A:$A,'Audit Dimensions'!E:E,0)</f>
        <v>9</v>
      </c>
      <c r="F204" s="190">
        <v>14800</v>
      </c>
      <c r="G204" s="190">
        <f>_xlfn.XLOOKUP(Table1[[#This Row],[MTP SKU Code]],'Audit Dimensions'!$A:$A,'Audit Dimensions'!G:G,0)</f>
        <v>0</v>
      </c>
      <c r="H204" s="190">
        <f>_xlfn.XLOOKUP(Table1[[#This Row],[MTP SKU Code]],'Audit Dimensions'!$A:$A,'Audit Dimensions'!H:H,0)</f>
        <v>0</v>
      </c>
      <c r="I204" s="190">
        <f>_xlfn.XLOOKUP(Table1[[#This Row],[MTP SKU Code]],'Audit Dimensions'!$A:$A,'Audit Dimensions'!I:I,0)</f>
        <v>0</v>
      </c>
      <c r="J204" s="190">
        <f>_xlfn.XLOOKUP(Table1[[#This Row],[MTP SKU Code]],'Audit Dimensions'!$A:$A,'Audit Dimensions'!J:J,0)</f>
        <v>0</v>
      </c>
      <c r="K204" s="190">
        <f>_xlfn.XLOOKUP(Table1[[#This Row],[MTP SKU Code]],'Audit Dimensions'!$A:$A,'Audit Dimensions'!K:K,0)</f>
        <v>0</v>
      </c>
      <c r="L204" s="190">
        <f>_xlfn.XLOOKUP(Table1[[#This Row],[MTP SKU Code]],'Audit Dimensions'!$A:$A,'Audit Dimensions'!L:L,0)</f>
        <v>0</v>
      </c>
      <c r="M204" s="190">
        <f>_xlfn.XLOOKUP(Table1[[#This Row],[MTP SKU Code]],'Audit Dimensions'!$A:$A,'Audit Dimensions'!M:M,0)</f>
        <v>0</v>
      </c>
      <c r="N204" s="190">
        <f>_xlfn.XLOOKUP(Table1[[#This Row],[MTP SKU Code]],'Audit Dimensions'!$A:$A,'Audit Dimensions'!N:N,0)</f>
        <v>0</v>
      </c>
      <c r="O204" s="119">
        <f>((IFERROR((C204*D204*E204),0)+IFERROR((G204*H204*I204),0)+IFERROR((K204*L204*M204),0))/1000000)*35.32</f>
        <v>1.2158909999999998</v>
      </c>
      <c r="P204" s="125">
        <f>Table1[[#This Row],[Column15]]*$P$2*1000</f>
        <v>7295.3459999999986</v>
      </c>
      <c r="Q204" s="96">
        <f>F204+J204+N204</f>
        <v>14800</v>
      </c>
      <c r="R204" s="97">
        <f>MAX(Q204,O204)</f>
        <v>14800</v>
      </c>
      <c r="S204" s="97">
        <f>MAX(R204,P204)</f>
        <v>14800</v>
      </c>
      <c r="T204" s="156" t="str">
        <f>VLOOKUP(A204,'[1]MTP SKUs - Master Data'!$A:$B,2,FALSE)</f>
        <v>Y</v>
      </c>
      <c r="U204" s="162">
        <f>_xlfn.IFNA(VLOOKUP(Table1[[#This Row],[MTP SKU Code]],'Audit Dimensions'!A:N,6,FALSE),"ARC")</f>
        <v>15710</v>
      </c>
      <c r="V204" s="162">
        <f>IFERROR(Table1[[#This Row],[B1.Aud]]-Table1[[#This Row],[PW(gm)]],"ERR")</f>
        <v>910</v>
      </c>
      <c r="W204" s="165">
        <f>IFERROR(Table1[[#This Row],[B1.Diff]]/Table1[[#This Row],[B1.Aud]],"ERR")</f>
        <v>5.7924888605983452E-2</v>
      </c>
      <c r="X204" s="162">
        <f>_xlfn.IFNA(VLOOKUP(Table1[[#This Row],[MTP SKU Code]],'Audit Dimensions'!A:N,10,FALSE),"ARC")</f>
        <v>0</v>
      </c>
      <c r="Y204" s="163">
        <f>IFERROR(Table1[[#This Row],[B2.Aud]]-Table1[[#This Row],[PW(gm)5]],"ERR")</f>
        <v>0</v>
      </c>
      <c r="Z204" s="165" t="str">
        <f>IFERROR(Table1[[#This Row],[B2.Diff]]/Table1[[#This Row],[B2.Aud]],"NA")</f>
        <v>NA</v>
      </c>
      <c r="AA204" s="162">
        <f>_xlfn.IFNA(VLOOKUP(Table1[[#This Row],[MTP SKU Code]],'Audit Dimensions'!A:N,14,FALSE),"ARC")</f>
        <v>0</v>
      </c>
      <c r="AB204" s="161">
        <f>IFERROR(Table1[[#This Row],[B3.Aud]]-Table1[[#This Row],[PW(gm)9]],"ERR")</f>
        <v>0</v>
      </c>
      <c r="AC204" s="168">
        <f>IFERROR(Table1[[#This Row],[B3.Diff]]/Table1[[#This Row],[BaLL.Aud]],"ERR")</f>
        <v>0</v>
      </c>
      <c r="AD204" s="189">
        <f>_xlfn.IFNA(VLOOKUP(Table1[[#This Row],[MTP SKU Code]],'Audit Dimensions'!A:U,16,FALSE),"ARC")</f>
        <v>15710</v>
      </c>
      <c r="AE204" s="165">
        <f>IFERROR(1-Table1[[#This Row],[Gms]]/Table1[[#This Row],[BaLL.Aud]],"ERR")</f>
        <v>5.7924888605983438E-2</v>
      </c>
    </row>
    <row r="205" spans="1:31">
      <c r="A205" s="68" t="s">
        <v>250</v>
      </c>
      <c r="B205" s="84" t="s">
        <v>48</v>
      </c>
      <c r="C205" s="190">
        <f>_xlfn.XLOOKUP(Table1[[#This Row],[MTP SKU Code]],'Audit Dimensions'!A:A,'Audit Dimensions'!C:C,0)</f>
        <v>0</v>
      </c>
      <c r="D205" s="190">
        <f>_xlfn.XLOOKUP(Table1[[#This Row],[MTP SKU Code]],'Audit Dimensions'!$A:$A,'Audit Dimensions'!D:D,0)</f>
        <v>0</v>
      </c>
      <c r="E205" s="190">
        <f>_xlfn.XLOOKUP(Table1[[#This Row],[MTP SKU Code]],'Audit Dimensions'!$A:$A,'Audit Dimensions'!E:E,0)</f>
        <v>0</v>
      </c>
      <c r="F205" s="190">
        <v>27500</v>
      </c>
      <c r="G205" s="190">
        <f>_xlfn.XLOOKUP(Table1[[#This Row],[MTP SKU Code]],'Audit Dimensions'!$A:$A,'Audit Dimensions'!G:G,0)</f>
        <v>0</v>
      </c>
      <c r="H205" s="190">
        <f>_xlfn.XLOOKUP(Table1[[#This Row],[MTP SKU Code]],'Audit Dimensions'!$A:$A,'Audit Dimensions'!H:H,0)</f>
        <v>0</v>
      </c>
      <c r="I205" s="190">
        <f>_xlfn.XLOOKUP(Table1[[#This Row],[MTP SKU Code]],'Audit Dimensions'!$A:$A,'Audit Dimensions'!I:I,0)</f>
        <v>0</v>
      </c>
      <c r="J205" s="190">
        <f>_xlfn.XLOOKUP(Table1[[#This Row],[MTP SKU Code]],'Audit Dimensions'!$A:$A,'Audit Dimensions'!J:J,0)</f>
        <v>0</v>
      </c>
      <c r="K205" s="190">
        <f>_xlfn.XLOOKUP(Table1[[#This Row],[MTP SKU Code]],'Audit Dimensions'!$A:$A,'Audit Dimensions'!K:K,0)</f>
        <v>0</v>
      </c>
      <c r="L205" s="190">
        <f>_xlfn.XLOOKUP(Table1[[#This Row],[MTP SKU Code]],'Audit Dimensions'!$A:$A,'Audit Dimensions'!L:L,0)</f>
        <v>0</v>
      </c>
      <c r="M205" s="190">
        <f>_xlfn.XLOOKUP(Table1[[#This Row],[MTP SKU Code]],'Audit Dimensions'!$A:$A,'Audit Dimensions'!M:M,0)</f>
        <v>0</v>
      </c>
      <c r="N205" s="190">
        <f>_xlfn.XLOOKUP(Table1[[#This Row],[MTP SKU Code]],'Audit Dimensions'!$A:$A,'Audit Dimensions'!N:N,0)</f>
        <v>0</v>
      </c>
      <c r="O205" s="118">
        <f>((IFERROR((C205*D205*E205),0)+IFERROR((G205*H205*I205),0)+IFERROR((K205*L205*M205),0))/1000000)*35.32</f>
        <v>0</v>
      </c>
      <c r="P205" s="125">
        <f>Table1[[#This Row],[Column15]]*$P$2*1000</f>
        <v>0</v>
      </c>
      <c r="Q205" s="87">
        <f>F205+J205+N205</f>
        <v>27500</v>
      </c>
      <c r="R205" s="88">
        <f>MAX(Q205,O205)</f>
        <v>27500</v>
      </c>
      <c r="S205" s="86">
        <f>MAX(R205,P205)</f>
        <v>27500</v>
      </c>
      <c r="T205" s="156" t="str">
        <f>VLOOKUP(A205,'[1]MTP SKUs - Master Data'!$A:$B,2,FALSE)</f>
        <v>Y</v>
      </c>
      <c r="U205" s="162">
        <f>_xlfn.IFNA(VLOOKUP(Table1[[#This Row],[MTP SKU Code]],'Audit Dimensions'!A:N,6,FALSE),"ARC")</f>
        <v>29750</v>
      </c>
      <c r="V205" s="162">
        <f>IFERROR(Table1[[#This Row],[B1.Aud]]-Table1[[#This Row],[PW(gm)]],"ERR")</f>
        <v>2250</v>
      </c>
      <c r="W205" s="165">
        <f>IFERROR(Table1[[#This Row],[B1.Diff]]/Table1[[#This Row],[B1.Aud]],"ERR")</f>
        <v>7.5630252100840331E-2</v>
      </c>
      <c r="X205" s="162">
        <f>_xlfn.IFNA(VLOOKUP(Table1[[#This Row],[MTP SKU Code]],'Audit Dimensions'!A:N,10,FALSE),"ARC")</f>
        <v>0</v>
      </c>
      <c r="Y205" s="163">
        <f>IFERROR(Table1[[#This Row],[B2.Aud]]-Table1[[#This Row],[PW(gm)5]],"ERR")</f>
        <v>0</v>
      </c>
      <c r="Z205" s="165" t="str">
        <f>IFERROR(Table1[[#This Row],[B2.Diff]]/Table1[[#This Row],[B2.Aud]],"NA")</f>
        <v>NA</v>
      </c>
      <c r="AA205" s="162">
        <f>_xlfn.IFNA(VLOOKUP(Table1[[#This Row],[MTP SKU Code]],'Audit Dimensions'!A:N,14,FALSE),"ARC")</f>
        <v>0</v>
      </c>
      <c r="AB205" s="161">
        <f>IFERROR(Table1[[#This Row],[B3.Aud]]-Table1[[#This Row],[PW(gm)9]],"ERR")</f>
        <v>0</v>
      </c>
      <c r="AC205" s="168">
        <f>IFERROR(Table1[[#This Row],[B3.Diff]]/Table1[[#This Row],[BaLL.Aud]],"ERR")</f>
        <v>0</v>
      </c>
      <c r="AD205" s="189">
        <f>_xlfn.IFNA(VLOOKUP(Table1[[#This Row],[MTP SKU Code]],'Audit Dimensions'!A:U,16,FALSE),"ARC")</f>
        <v>29750</v>
      </c>
      <c r="AE205" s="165">
        <f>IFERROR(1-Table1[[#This Row],[Gms]]/Table1[[#This Row],[BaLL.Aud]],"ERR")</f>
        <v>7.5630252100840289E-2</v>
      </c>
    </row>
    <row r="206" spans="1:31">
      <c r="A206" s="68" t="s">
        <v>251</v>
      </c>
      <c r="B206" s="84" t="s">
        <v>48</v>
      </c>
      <c r="C206" s="190">
        <f>_xlfn.XLOOKUP(Table1[[#This Row],[MTP SKU Code]],'Audit Dimensions'!A:A,'Audit Dimensions'!C:C,0)</f>
        <v>163</v>
      </c>
      <c r="D206" s="190">
        <f>_xlfn.XLOOKUP(Table1[[#This Row],[MTP SKU Code]],'Audit Dimensions'!$A:$A,'Audit Dimensions'!D:D,0)</f>
        <v>30</v>
      </c>
      <c r="E206" s="190">
        <f>_xlfn.XLOOKUP(Table1[[#This Row],[MTP SKU Code]],'Audit Dimensions'!$A:$A,'Audit Dimensions'!E:E,0)</f>
        <v>9</v>
      </c>
      <c r="F206" s="190">
        <v>19800</v>
      </c>
      <c r="G206" s="190">
        <f>_xlfn.XLOOKUP(Table1[[#This Row],[MTP SKU Code]],'Audit Dimensions'!$A:$A,'Audit Dimensions'!G:G,0)</f>
        <v>0</v>
      </c>
      <c r="H206" s="190">
        <f>_xlfn.XLOOKUP(Table1[[#This Row],[MTP SKU Code]],'Audit Dimensions'!$A:$A,'Audit Dimensions'!H:H,0)</f>
        <v>0</v>
      </c>
      <c r="I206" s="190">
        <f>_xlfn.XLOOKUP(Table1[[#This Row],[MTP SKU Code]],'Audit Dimensions'!$A:$A,'Audit Dimensions'!I:I,0)</f>
        <v>0</v>
      </c>
      <c r="J206" s="190">
        <f>_xlfn.XLOOKUP(Table1[[#This Row],[MTP SKU Code]],'Audit Dimensions'!$A:$A,'Audit Dimensions'!J:J,0)</f>
        <v>0</v>
      </c>
      <c r="K206" s="190">
        <f>_xlfn.XLOOKUP(Table1[[#This Row],[MTP SKU Code]],'Audit Dimensions'!$A:$A,'Audit Dimensions'!K:K,0)</f>
        <v>0</v>
      </c>
      <c r="L206" s="190">
        <f>_xlfn.XLOOKUP(Table1[[#This Row],[MTP SKU Code]],'Audit Dimensions'!$A:$A,'Audit Dimensions'!L:L,0)</f>
        <v>0</v>
      </c>
      <c r="M206" s="190">
        <f>_xlfn.XLOOKUP(Table1[[#This Row],[MTP SKU Code]],'Audit Dimensions'!$A:$A,'Audit Dimensions'!M:M,0)</f>
        <v>0</v>
      </c>
      <c r="N206" s="190">
        <f>_xlfn.XLOOKUP(Table1[[#This Row],[MTP SKU Code]],'Audit Dimensions'!$A:$A,'Audit Dimensions'!N:N,0)</f>
        <v>0</v>
      </c>
      <c r="O206" s="118">
        <f>((IFERROR((C206*D206*E206),0)+IFERROR((G206*H206*I206),0)+IFERROR((K206*L206*M206),0))/1000000)*35.32</f>
        <v>1.5544332000000001</v>
      </c>
      <c r="P206" s="125">
        <f>Table1[[#This Row],[Column15]]*$P$2*1000</f>
        <v>9326.5992000000006</v>
      </c>
      <c r="Q206" s="87">
        <f>F206+J206+N206</f>
        <v>19800</v>
      </c>
      <c r="R206" s="86">
        <f>MAX(Q206,O206)</f>
        <v>19800</v>
      </c>
      <c r="S206" s="86">
        <f>MAX(R206,P206)</f>
        <v>19800</v>
      </c>
      <c r="T206" s="156" t="str">
        <f>VLOOKUP(A206,'[1]MTP SKUs - Master Data'!$A:$B,2,FALSE)</f>
        <v>Y</v>
      </c>
      <c r="U206" s="162">
        <f>_xlfn.IFNA(VLOOKUP(Table1[[#This Row],[MTP SKU Code]],'Audit Dimensions'!A:N,6,FALSE),"ARC")</f>
        <v>20510</v>
      </c>
      <c r="V206" s="162">
        <f>IFERROR(Table1[[#This Row],[B1.Aud]]-Table1[[#This Row],[PW(gm)]],"ERR")</f>
        <v>710</v>
      </c>
      <c r="W206" s="165">
        <f>IFERROR(Table1[[#This Row],[B1.Diff]]/Table1[[#This Row],[B1.Aud]],"ERR")</f>
        <v>3.4617259873232567E-2</v>
      </c>
      <c r="X206" s="162">
        <f>_xlfn.IFNA(VLOOKUP(Table1[[#This Row],[MTP SKU Code]],'Audit Dimensions'!A:N,10,FALSE),"ARC")</f>
        <v>0</v>
      </c>
      <c r="Y206" s="163">
        <f>IFERROR(Table1[[#This Row],[B2.Aud]]-Table1[[#This Row],[PW(gm)5]],"ERR")</f>
        <v>0</v>
      </c>
      <c r="Z206" s="165" t="str">
        <f>IFERROR(Table1[[#This Row],[B2.Diff]]/Table1[[#This Row],[B2.Aud]],"NA")</f>
        <v>NA</v>
      </c>
      <c r="AA206" s="162">
        <f>_xlfn.IFNA(VLOOKUP(Table1[[#This Row],[MTP SKU Code]],'Audit Dimensions'!A:N,14,FALSE),"ARC")</f>
        <v>0</v>
      </c>
      <c r="AB206" s="161">
        <f>IFERROR(Table1[[#This Row],[B3.Aud]]-Table1[[#This Row],[PW(gm)9]],"ERR")</f>
        <v>0</v>
      </c>
      <c r="AC206" s="168">
        <f>IFERROR(Table1[[#This Row],[B3.Diff]]/Table1[[#This Row],[BaLL.Aud]],"ERR")</f>
        <v>0</v>
      </c>
      <c r="AD206" s="189">
        <f>_xlfn.IFNA(VLOOKUP(Table1[[#This Row],[MTP SKU Code]],'Audit Dimensions'!A:U,16,FALSE),"ARC")</f>
        <v>20510</v>
      </c>
      <c r="AE206" s="165">
        <f>IFERROR(1-Table1[[#This Row],[Gms]]/Table1[[#This Row],[BaLL.Aud]],"ERR")</f>
        <v>3.4617259873232609E-2</v>
      </c>
    </row>
    <row r="207" spans="1:31">
      <c r="A207" s="68" t="s">
        <v>252</v>
      </c>
      <c r="B207" s="84" t="s">
        <v>48</v>
      </c>
      <c r="C207" s="190">
        <f>_xlfn.XLOOKUP(Table1[[#This Row],[MTP SKU Code]],'Audit Dimensions'!A:A,'Audit Dimensions'!C:C,0)</f>
        <v>88</v>
      </c>
      <c r="D207" s="190">
        <f>_xlfn.XLOOKUP(Table1[[#This Row],[MTP SKU Code]],'Audit Dimensions'!$A:$A,'Audit Dimensions'!D:D,0)</f>
        <v>44</v>
      </c>
      <c r="E207" s="190">
        <f>_xlfn.XLOOKUP(Table1[[#This Row],[MTP SKU Code]],'Audit Dimensions'!$A:$A,'Audit Dimensions'!E:E,0)</f>
        <v>6</v>
      </c>
      <c r="F207" s="190">
        <v>10870</v>
      </c>
      <c r="G207" s="190">
        <f>_xlfn.XLOOKUP(Table1[[#This Row],[MTP SKU Code]],'Audit Dimensions'!$A:$A,'Audit Dimensions'!G:G,0)</f>
        <v>0</v>
      </c>
      <c r="H207" s="190">
        <f>_xlfn.XLOOKUP(Table1[[#This Row],[MTP SKU Code]],'Audit Dimensions'!$A:$A,'Audit Dimensions'!H:H,0)</f>
        <v>0</v>
      </c>
      <c r="I207" s="190">
        <f>_xlfn.XLOOKUP(Table1[[#This Row],[MTP SKU Code]],'Audit Dimensions'!$A:$A,'Audit Dimensions'!I:I,0)</f>
        <v>0</v>
      </c>
      <c r="J207" s="190">
        <f>_xlfn.XLOOKUP(Table1[[#This Row],[MTP SKU Code]],'Audit Dimensions'!$A:$A,'Audit Dimensions'!J:J,0)</f>
        <v>0</v>
      </c>
      <c r="K207" s="190">
        <f>_xlfn.XLOOKUP(Table1[[#This Row],[MTP SKU Code]],'Audit Dimensions'!$A:$A,'Audit Dimensions'!K:K,0)</f>
        <v>0</v>
      </c>
      <c r="L207" s="190">
        <f>_xlfn.XLOOKUP(Table1[[#This Row],[MTP SKU Code]],'Audit Dimensions'!$A:$A,'Audit Dimensions'!L:L,0)</f>
        <v>0</v>
      </c>
      <c r="M207" s="190">
        <f>_xlfn.XLOOKUP(Table1[[#This Row],[MTP SKU Code]],'Audit Dimensions'!$A:$A,'Audit Dimensions'!M:M,0)</f>
        <v>0</v>
      </c>
      <c r="N207" s="190">
        <f>_xlfn.XLOOKUP(Table1[[#This Row],[MTP SKU Code]],'Audit Dimensions'!$A:$A,'Audit Dimensions'!N:N,0)</f>
        <v>0</v>
      </c>
      <c r="O207" s="118">
        <f>((IFERROR((C207*D207*E207),0)+IFERROR((G207*H207*I207),0)+IFERROR((K207*L207*M207),0))/1000000)*35.32</f>
        <v>0.82055423999999999</v>
      </c>
      <c r="P207" s="125">
        <f>Table1[[#This Row],[Column15]]*$P$2*1000</f>
        <v>4923.3254400000005</v>
      </c>
      <c r="Q207" s="87">
        <f>F207+J207+N207</f>
        <v>10870</v>
      </c>
      <c r="R207" s="86">
        <f>MAX(Q207,O207)</f>
        <v>10870</v>
      </c>
      <c r="S207" s="86">
        <f>MAX(R207,P207)</f>
        <v>10870</v>
      </c>
      <c r="T207" s="156" t="str">
        <f>VLOOKUP(A207,'[1]MTP SKUs - Master Data'!$A:$B,2,FALSE)</f>
        <v>Y</v>
      </c>
      <c r="U207" s="162">
        <f>_xlfn.IFNA(VLOOKUP(Table1[[#This Row],[MTP SKU Code]],'Audit Dimensions'!A:N,6,FALSE),"ARC")</f>
        <v>11400</v>
      </c>
      <c r="V207" s="162">
        <f>IFERROR(Table1[[#This Row],[B1.Aud]]-Table1[[#This Row],[PW(gm)]],"ERR")</f>
        <v>530</v>
      </c>
      <c r="W207" s="165">
        <f>IFERROR(Table1[[#This Row],[B1.Diff]]/Table1[[#This Row],[B1.Aud]],"ERR")</f>
        <v>4.6491228070175437E-2</v>
      </c>
      <c r="X207" s="162">
        <f>_xlfn.IFNA(VLOOKUP(Table1[[#This Row],[MTP SKU Code]],'Audit Dimensions'!A:N,10,FALSE),"ARC")</f>
        <v>0</v>
      </c>
      <c r="Y207" s="163">
        <f>IFERROR(Table1[[#This Row],[B2.Aud]]-Table1[[#This Row],[PW(gm)5]],"ERR")</f>
        <v>0</v>
      </c>
      <c r="Z207" s="165" t="str">
        <f>IFERROR(Table1[[#This Row],[B2.Diff]]/Table1[[#This Row],[B2.Aud]],"NA")</f>
        <v>NA</v>
      </c>
      <c r="AA207" s="162">
        <f>_xlfn.IFNA(VLOOKUP(Table1[[#This Row],[MTP SKU Code]],'Audit Dimensions'!A:N,14,FALSE),"ARC")</f>
        <v>0</v>
      </c>
      <c r="AB207" s="161">
        <f>IFERROR(Table1[[#This Row],[B3.Aud]]-Table1[[#This Row],[PW(gm)9]],"ERR")</f>
        <v>0</v>
      </c>
      <c r="AC207" s="168">
        <f>IFERROR(Table1[[#This Row],[B3.Diff]]/Table1[[#This Row],[BaLL.Aud]],"ERR")</f>
        <v>0</v>
      </c>
      <c r="AD207" s="189">
        <f>_xlfn.IFNA(VLOOKUP(Table1[[#This Row],[MTP SKU Code]],'Audit Dimensions'!A:U,16,FALSE),"ARC")</f>
        <v>11400</v>
      </c>
      <c r="AE207" s="165">
        <f>IFERROR(1-Table1[[#This Row],[Gms]]/Table1[[#This Row],[BaLL.Aud]],"ERR")</f>
        <v>4.6491228070175472E-2</v>
      </c>
    </row>
    <row r="208" spans="1:31">
      <c r="A208" s="68" t="s">
        <v>253</v>
      </c>
      <c r="B208" s="84" t="s">
        <v>48</v>
      </c>
      <c r="C208" s="190">
        <f>_xlfn.XLOOKUP(Table1[[#This Row],[MTP SKU Code]],'Audit Dimensions'!A:A,'Audit Dimensions'!C:C,0)</f>
        <v>56</v>
      </c>
      <c r="D208" s="190">
        <f>_xlfn.XLOOKUP(Table1[[#This Row],[MTP SKU Code]],'Audit Dimensions'!$A:$A,'Audit Dimensions'!D:D,0)</f>
        <v>28</v>
      </c>
      <c r="E208" s="190">
        <f>_xlfn.XLOOKUP(Table1[[#This Row],[MTP SKU Code]],'Audit Dimensions'!$A:$A,'Audit Dimensions'!E:E,0)</f>
        <v>10</v>
      </c>
      <c r="F208" s="190">
        <f>_xlfn.XLOOKUP(Table1[[#This Row],[MTP SKU Code]],'Audit Dimensions'!$A:$A,'Audit Dimensions'!F:F,0)</f>
        <v>6750</v>
      </c>
      <c r="G208" s="190">
        <f>_xlfn.XLOOKUP(Table1[[#This Row],[MTP SKU Code]],'Audit Dimensions'!$A:$A,'Audit Dimensions'!G:G,0)</f>
        <v>0</v>
      </c>
      <c r="H208" s="190">
        <f>_xlfn.XLOOKUP(Table1[[#This Row],[MTP SKU Code]],'Audit Dimensions'!$A:$A,'Audit Dimensions'!H:H,0)</f>
        <v>0</v>
      </c>
      <c r="I208" s="190">
        <f>_xlfn.XLOOKUP(Table1[[#This Row],[MTP SKU Code]],'Audit Dimensions'!$A:$A,'Audit Dimensions'!I:I,0)</f>
        <v>0</v>
      </c>
      <c r="J208" s="190">
        <f>_xlfn.XLOOKUP(Table1[[#This Row],[MTP SKU Code]],'Audit Dimensions'!$A:$A,'Audit Dimensions'!J:J,0)</f>
        <v>0</v>
      </c>
      <c r="K208" s="190">
        <f>_xlfn.XLOOKUP(Table1[[#This Row],[MTP SKU Code]],'Audit Dimensions'!$A:$A,'Audit Dimensions'!K:K,0)</f>
        <v>0</v>
      </c>
      <c r="L208" s="190">
        <f>_xlfn.XLOOKUP(Table1[[#This Row],[MTP SKU Code]],'Audit Dimensions'!$A:$A,'Audit Dimensions'!L:L,0)</f>
        <v>0</v>
      </c>
      <c r="M208" s="190">
        <f>_xlfn.XLOOKUP(Table1[[#This Row],[MTP SKU Code]],'Audit Dimensions'!$A:$A,'Audit Dimensions'!M:M,0)</f>
        <v>0</v>
      </c>
      <c r="N208" s="190">
        <f>_xlfn.XLOOKUP(Table1[[#This Row],[MTP SKU Code]],'Audit Dimensions'!$A:$A,'Audit Dimensions'!N:N,0)</f>
        <v>0</v>
      </c>
      <c r="O208" s="118">
        <f>((IFERROR((C208*D208*E208),0)+IFERROR((G208*H208*I208),0)+IFERROR((K208*L208*M208),0))/1000000)*35.32</f>
        <v>0.55381760000000002</v>
      </c>
      <c r="P208" s="125">
        <f>Table1[[#This Row],[Column15]]*$P$2*1000</f>
        <v>3322.9056000000005</v>
      </c>
      <c r="Q208" s="87">
        <f>F208+J208+N208</f>
        <v>6750</v>
      </c>
      <c r="R208" s="86">
        <f>MAX(Q208,O208)</f>
        <v>6750</v>
      </c>
      <c r="S208" s="86">
        <f>MAX(R208,P208)</f>
        <v>6750</v>
      </c>
      <c r="T208" s="156" t="str">
        <f>VLOOKUP(A208,'[1]MTP SKUs - Master Data'!$A:$B,2,FALSE)</f>
        <v>Y</v>
      </c>
      <c r="U208" s="162">
        <f>_xlfn.IFNA(VLOOKUP(Table1[[#This Row],[MTP SKU Code]],'Audit Dimensions'!A:N,6,FALSE),"ARC")</f>
        <v>6750</v>
      </c>
      <c r="V208" s="162">
        <f>IFERROR(Table1[[#This Row],[B1.Aud]]-Table1[[#This Row],[PW(gm)]],"ERR")</f>
        <v>0</v>
      </c>
      <c r="W208" s="165">
        <f>IFERROR(Table1[[#This Row],[B1.Diff]]/Table1[[#This Row],[B1.Aud]],"ERR")</f>
        <v>0</v>
      </c>
      <c r="X208" s="162">
        <f>_xlfn.IFNA(VLOOKUP(Table1[[#This Row],[MTP SKU Code]],'Audit Dimensions'!A:N,10,FALSE),"ARC")</f>
        <v>0</v>
      </c>
      <c r="Y208" s="163">
        <f>IFERROR(Table1[[#This Row],[B2.Aud]]-Table1[[#This Row],[PW(gm)5]],"ERR")</f>
        <v>0</v>
      </c>
      <c r="Z208" s="165" t="str">
        <f>IFERROR(Table1[[#This Row],[B2.Diff]]/Table1[[#This Row],[B2.Aud]],"NA")</f>
        <v>NA</v>
      </c>
      <c r="AA208" s="162">
        <f>_xlfn.IFNA(VLOOKUP(Table1[[#This Row],[MTP SKU Code]],'Audit Dimensions'!A:N,14,FALSE),"ARC")</f>
        <v>0</v>
      </c>
      <c r="AB208" s="161">
        <f>IFERROR(Table1[[#This Row],[B3.Aud]]-Table1[[#This Row],[PW(gm)9]],"ERR")</f>
        <v>0</v>
      </c>
      <c r="AC208" s="168">
        <f>IFERROR(Table1[[#This Row],[B3.Diff]]/Table1[[#This Row],[BaLL.Aud]],"ERR")</f>
        <v>0</v>
      </c>
      <c r="AD208" s="189">
        <f>_xlfn.IFNA(VLOOKUP(Table1[[#This Row],[MTP SKU Code]],'Audit Dimensions'!A:U,16,FALSE),"ARC")</f>
        <v>6750</v>
      </c>
      <c r="AE208" s="165">
        <f>IFERROR(1-Table1[[#This Row],[Gms]]/Table1[[#This Row],[BaLL.Aud]],"ERR")</f>
        <v>0</v>
      </c>
    </row>
    <row r="209" spans="1:31">
      <c r="A209" s="68" t="s">
        <v>254</v>
      </c>
      <c r="B209" s="84" t="s">
        <v>48</v>
      </c>
      <c r="C209" s="190">
        <f>_xlfn.XLOOKUP(Table1[[#This Row],[MTP SKU Code]],'Audit Dimensions'!A:A,'Audit Dimensions'!C:C,0)</f>
        <v>108</v>
      </c>
      <c r="D209" s="190">
        <f>_xlfn.XLOOKUP(Table1[[#This Row],[MTP SKU Code]],'Audit Dimensions'!$A:$A,'Audit Dimensions'!D:D,0)</f>
        <v>45</v>
      </c>
      <c r="E209" s="190">
        <f>_xlfn.XLOOKUP(Table1[[#This Row],[MTP SKU Code]],'Audit Dimensions'!$A:$A,'Audit Dimensions'!E:E,0)</f>
        <v>10</v>
      </c>
      <c r="F209" s="190">
        <v>19500</v>
      </c>
      <c r="G209" s="190">
        <f>_xlfn.XLOOKUP(Table1[[#This Row],[MTP SKU Code]],'Audit Dimensions'!$A:$A,'Audit Dimensions'!G:G,0)</f>
        <v>0</v>
      </c>
      <c r="H209" s="190">
        <f>_xlfn.XLOOKUP(Table1[[#This Row],[MTP SKU Code]],'Audit Dimensions'!$A:$A,'Audit Dimensions'!H:H,0)</f>
        <v>0</v>
      </c>
      <c r="I209" s="190">
        <f>_xlfn.XLOOKUP(Table1[[#This Row],[MTP SKU Code]],'Audit Dimensions'!$A:$A,'Audit Dimensions'!I:I,0)</f>
        <v>0</v>
      </c>
      <c r="J209" s="190">
        <f>_xlfn.XLOOKUP(Table1[[#This Row],[MTP SKU Code]],'Audit Dimensions'!$A:$A,'Audit Dimensions'!J:J,0)</f>
        <v>0</v>
      </c>
      <c r="K209" s="190">
        <f>_xlfn.XLOOKUP(Table1[[#This Row],[MTP SKU Code]],'Audit Dimensions'!$A:$A,'Audit Dimensions'!K:K,0)</f>
        <v>0</v>
      </c>
      <c r="L209" s="190">
        <f>_xlfn.XLOOKUP(Table1[[#This Row],[MTP SKU Code]],'Audit Dimensions'!$A:$A,'Audit Dimensions'!L:L,0)</f>
        <v>0</v>
      </c>
      <c r="M209" s="190">
        <f>_xlfn.XLOOKUP(Table1[[#This Row],[MTP SKU Code]],'Audit Dimensions'!$A:$A,'Audit Dimensions'!M:M,0)</f>
        <v>0</v>
      </c>
      <c r="N209" s="190">
        <f>_xlfn.XLOOKUP(Table1[[#This Row],[MTP SKU Code]],'Audit Dimensions'!$A:$A,'Audit Dimensions'!N:N,0)</f>
        <v>0</v>
      </c>
      <c r="O209" s="118">
        <f>((IFERROR((C209*D209*E209),0)+IFERROR((G209*H209*I209),0)+IFERROR((K209*L209*M209),0))/1000000)*35.32</f>
        <v>1.7165519999999999</v>
      </c>
      <c r="P209" s="125">
        <f>Table1[[#This Row],[Column15]]*$P$2*1000</f>
        <v>10299.311999999998</v>
      </c>
      <c r="Q209" s="87">
        <f>F209+J209+N209</f>
        <v>19500</v>
      </c>
      <c r="R209" s="86">
        <f>MAX(Q209,O209)</f>
        <v>19500</v>
      </c>
      <c r="S209" s="86">
        <f>MAX(R209,P209)</f>
        <v>19500</v>
      </c>
      <c r="T209" s="156" t="str">
        <f>VLOOKUP(A209,'[1]MTP SKUs - Master Data'!$A:$B,2,FALSE)</f>
        <v>Y</v>
      </c>
      <c r="U209" s="162">
        <f>_xlfn.IFNA(VLOOKUP(Table1[[#This Row],[MTP SKU Code]],'Audit Dimensions'!A:N,6,FALSE),"ARC")</f>
        <v>20580</v>
      </c>
      <c r="V209" s="162">
        <f>IFERROR(Table1[[#This Row],[B1.Aud]]-Table1[[#This Row],[PW(gm)]],"ERR")</f>
        <v>1080</v>
      </c>
      <c r="W209" s="165">
        <f>IFERROR(Table1[[#This Row],[B1.Diff]]/Table1[[#This Row],[B1.Aud]],"ERR")</f>
        <v>5.2478134110787174E-2</v>
      </c>
      <c r="X209" s="162">
        <f>_xlfn.IFNA(VLOOKUP(Table1[[#This Row],[MTP SKU Code]],'Audit Dimensions'!A:N,10,FALSE),"ARC")</f>
        <v>0</v>
      </c>
      <c r="Y209" s="163">
        <f>IFERROR(Table1[[#This Row],[B2.Aud]]-Table1[[#This Row],[PW(gm)5]],"ERR")</f>
        <v>0</v>
      </c>
      <c r="Z209" s="165" t="str">
        <f>IFERROR(Table1[[#This Row],[B2.Diff]]/Table1[[#This Row],[B2.Aud]],"NA")</f>
        <v>NA</v>
      </c>
      <c r="AA209" s="162">
        <f>_xlfn.IFNA(VLOOKUP(Table1[[#This Row],[MTP SKU Code]],'Audit Dimensions'!A:N,14,FALSE),"ARC")</f>
        <v>0</v>
      </c>
      <c r="AB209" s="161">
        <f>IFERROR(Table1[[#This Row],[B3.Aud]]-Table1[[#This Row],[PW(gm)9]],"ERR")</f>
        <v>0</v>
      </c>
      <c r="AC209" s="168">
        <f>IFERROR(Table1[[#This Row],[B3.Diff]]/Table1[[#This Row],[BaLL.Aud]],"ERR")</f>
        <v>0</v>
      </c>
      <c r="AD209" s="189">
        <f>_xlfn.IFNA(VLOOKUP(Table1[[#This Row],[MTP SKU Code]],'Audit Dimensions'!A:U,16,FALSE),"ARC")</f>
        <v>20580</v>
      </c>
      <c r="AE209" s="165">
        <f>IFERROR(1-Table1[[#This Row],[Gms]]/Table1[[#This Row],[BaLL.Aud]],"ERR")</f>
        <v>5.2478134110787167E-2</v>
      </c>
    </row>
    <row r="210" spans="1:31">
      <c r="A210" s="68" t="s">
        <v>255</v>
      </c>
      <c r="B210" s="84" t="s">
        <v>48</v>
      </c>
      <c r="C210" s="190">
        <f>_xlfn.XLOOKUP(Table1[[#This Row],[MTP SKU Code]],'Audit Dimensions'!A:A,'Audit Dimensions'!C:C,0)</f>
        <v>162</v>
      </c>
      <c r="D210" s="190">
        <f>_xlfn.XLOOKUP(Table1[[#This Row],[MTP SKU Code]],'Audit Dimensions'!$A:$A,'Audit Dimensions'!D:D,0)</f>
        <v>32</v>
      </c>
      <c r="E210" s="190">
        <f>_xlfn.XLOOKUP(Table1[[#This Row],[MTP SKU Code]],'Audit Dimensions'!$A:$A,'Audit Dimensions'!E:E,0)</f>
        <v>6</v>
      </c>
      <c r="F210" s="190">
        <v>11800</v>
      </c>
      <c r="G210" s="190">
        <f>_xlfn.XLOOKUP(Table1[[#This Row],[MTP SKU Code]],'Audit Dimensions'!$A:$A,'Audit Dimensions'!G:G,0)</f>
        <v>0</v>
      </c>
      <c r="H210" s="190">
        <f>_xlfn.XLOOKUP(Table1[[#This Row],[MTP SKU Code]],'Audit Dimensions'!$A:$A,'Audit Dimensions'!H:H,0)</f>
        <v>0</v>
      </c>
      <c r="I210" s="190">
        <f>_xlfn.XLOOKUP(Table1[[#This Row],[MTP SKU Code]],'Audit Dimensions'!$A:$A,'Audit Dimensions'!I:I,0)</f>
        <v>0</v>
      </c>
      <c r="J210" s="190">
        <f>_xlfn.XLOOKUP(Table1[[#This Row],[MTP SKU Code]],'Audit Dimensions'!$A:$A,'Audit Dimensions'!J:J,0)</f>
        <v>0</v>
      </c>
      <c r="K210" s="190">
        <f>_xlfn.XLOOKUP(Table1[[#This Row],[MTP SKU Code]],'Audit Dimensions'!$A:$A,'Audit Dimensions'!K:K,0)</f>
        <v>0</v>
      </c>
      <c r="L210" s="190">
        <f>_xlfn.XLOOKUP(Table1[[#This Row],[MTP SKU Code]],'Audit Dimensions'!$A:$A,'Audit Dimensions'!L:L,0)</f>
        <v>0</v>
      </c>
      <c r="M210" s="190">
        <f>_xlfn.XLOOKUP(Table1[[#This Row],[MTP SKU Code]],'Audit Dimensions'!$A:$A,'Audit Dimensions'!M:M,0)</f>
        <v>0</v>
      </c>
      <c r="N210" s="190">
        <f>_xlfn.XLOOKUP(Table1[[#This Row],[MTP SKU Code]],'Audit Dimensions'!$A:$A,'Audit Dimensions'!N:N,0)</f>
        <v>0</v>
      </c>
      <c r="O210" s="118">
        <f>((IFERROR((C210*D210*E210),0)+IFERROR((G210*H210*I210),0)+IFERROR((K210*L210*M210),0))/1000000)*35.32</f>
        <v>1.09859328</v>
      </c>
      <c r="P210" s="125">
        <f>Table1[[#This Row],[Column15]]*$P$2*1000</f>
        <v>6591.5596799999994</v>
      </c>
      <c r="Q210" s="87">
        <f>F210+J210+N210</f>
        <v>11800</v>
      </c>
      <c r="R210" s="86">
        <f>MAX(Q210,O210)</f>
        <v>11800</v>
      </c>
      <c r="S210" s="86">
        <f>MAX(R210,P210)</f>
        <v>11800</v>
      </c>
      <c r="T210" s="156" t="str">
        <f>VLOOKUP(A210,'[1]MTP SKUs - Master Data'!$A:$B,2,FALSE)</f>
        <v>Y</v>
      </c>
      <c r="U210" s="162">
        <f>_xlfn.IFNA(VLOOKUP(Table1[[#This Row],[MTP SKU Code]],'Audit Dimensions'!A:N,6,FALSE),"ARC")</f>
        <v>12130</v>
      </c>
      <c r="V210" s="162">
        <f>IFERROR(Table1[[#This Row],[B1.Aud]]-Table1[[#This Row],[PW(gm)]],"ERR")</f>
        <v>330</v>
      </c>
      <c r="W210" s="165">
        <f>IFERROR(Table1[[#This Row],[B1.Diff]]/Table1[[#This Row],[B1.Aud]],"ERR")</f>
        <v>2.720527617477329E-2</v>
      </c>
      <c r="X210" s="162">
        <f>_xlfn.IFNA(VLOOKUP(Table1[[#This Row],[MTP SKU Code]],'Audit Dimensions'!A:N,10,FALSE),"ARC")</f>
        <v>0</v>
      </c>
      <c r="Y210" s="163">
        <f>IFERROR(Table1[[#This Row],[B2.Aud]]-Table1[[#This Row],[PW(gm)5]],"ERR")</f>
        <v>0</v>
      </c>
      <c r="Z210" s="165" t="str">
        <f>IFERROR(Table1[[#This Row],[B2.Diff]]/Table1[[#This Row],[B2.Aud]],"NA")</f>
        <v>NA</v>
      </c>
      <c r="AA210" s="162">
        <f>_xlfn.IFNA(VLOOKUP(Table1[[#This Row],[MTP SKU Code]],'Audit Dimensions'!A:N,14,FALSE),"ARC")</f>
        <v>0</v>
      </c>
      <c r="AB210" s="161">
        <f>IFERROR(Table1[[#This Row],[B3.Aud]]-Table1[[#This Row],[PW(gm)9]],"ERR")</f>
        <v>0</v>
      </c>
      <c r="AC210" s="168">
        <f>IFERROR(Table1[[#This Row],[B3.Diff]]/Table1[[#This Row],[BaLL.Aud]],"ERR")</f>
        <v>0</v>
      </c>
      <c r="AD210" s="189">
        <f>_xlfn.IFNA(VLOOKUP(Table1[[#This Row],[MTP SKU Code]],'Audit Dimensions'!A:U,16,FALSE),"ARC")</f>
        <v>12130</v>
      </c>
      <c r="AE210" s="165">
        <f>IFERROR(1-Table1[[#This Row],[Gms]]/Table1[[#This Row],[BaLL.Aud]],"ERR")</f>
        <v>2.7205276174773307E-2</v>
      </c>
    </row>
    <row r="211" spans="1:31">
      <c r="A211" s="68" t="s">
        <v>256</v>
      </c>
      <c r="B211" s="84" t="s">
        <v>48</v>
      </c>
      <c r="C211" s="190">
        <f>_xlfn.XLOOKUP(Table1[[#This Row],[MTP SKU Code]],'Audit Dimensions'!A:A,'Audit Dimensions'!C:C,0)</f>
        <v>40</v>
      </c>
      <c r="D211" s="190">
        <f>_xlfn.XLOOKUP(Table1[[#This Row],[MTP SKU Code]],'Audit Dimensions'!$A:$A,'Audit Dimensions'!D:D,0)</f>
        <v>20</v>
      </c>
      <c r="E211" s="190">
        <f>_xlfn.XLOOKUP(Table1[[#This Row],[MTP SKU Code]],'Audit Dimensions'!$A:$A,'Audit Dimensions'!E:E,0)</f>
        <v>4</v>
      </c>
      <c r="F211" s="190">
        <v>900</v>
      </c>
      <c r="G211" s="190">
        <f>_xlfn.XLOOKUP(Table1[[#This Row],[MTP SKU Code]],'Audit Dimensions'!$A:$A,'Audit Dimensions'!G:G,0)</f>
        <v>0</v>
      </c>
      <c r="H211" s="190">
        <f>_xlfn.XLOOKUP(Table1[[#This Row],[MTP SKU Code]],'Audit Dimensions'!$A:$A,'Audit Dimensions'!H:H,0)</f>
        <v>0</v>
      </c>
      <c r="I211" s="190">
        <f>_xlfn.XLOOKUP(Table1[[#This Row],[MTP SKU Code]],'Audit Dimensions'!$A:$A,'Audit Dimensions'!I:I,0)</f>
        <v>0</v>
      </c>
      <c r="J211" s="190">
        <f>_xlfn.XLOOKUP(Table1[[#This Row],[MTP SKU Code]],'Audit Dimensions'!$A:$A,'Audit Dimensions'!J:J,0)</f>
        <v>0</v>
      </c>
      <c r="K211" s="190">
        <f>_xlfn.XLOOKUP(Table1[[#This Row],[MTP SKU Code]],'Audit Dimensions'!$A:$A,'Audit Dimensions'!K:K,0)</f>
        <v>0</v>
      </c>
      <c r="L211" s="190">
        <f>_xlfn.XLOOKUP(Table1[[#This Row],[MTP SKU Code]],'Audit Dimensions'!$A:$A,'Audit Dimensions'!L:L,0)</f>
        <v>0</v>
      </c>
      <c r="M211" s="190">
        <f>_xlfn.XLOOKUP(Table1[[#This Row],[MTP SKU Code]],'Audit Dimensions'!$A:$A,'Audit Dimensions'!M:M,0)</f>
        <v>0</v>
      </c>
      <c r="N211" s="190">
        <f>_xlfn.XLOOKUP(Table1[[#This Row],[MTP SKU Code]],'Audit Dimensions'!$A:$A,'Audit Dimensions'!N:N,0)</f>
        <v>0</v>
      </c>
      <c r="O211" s="118">
        <f>((IFERROR((C211*D211*E211),0)+IFERROR((G211*H211*I211),0)+IFERROR((K211*L211*M211),0))/1000000)*35.32</f>
        <v>0.113024</v>
      </c>
      <c r="P211" s="125">
        <f>Table1[[#This Row],[Column15]]*$P$2*1000</f>
        <v>678.14400000000001</v>
      </c>
      <c r="Q211" s="87">
        <f>F211+J211+N211</f>
        <v>900</v>
      </c>
      <c r="R211" s="86">
        <f>MAX(Q211,O211)</f>
        <v>900</v>
      </c>
      <c r="S211" s="86">
        <f>MAX(R211,P211)</f>
        <v>900</v>
      </c>
      <c r="T211" s="156" t="str">
        <f>VLOOKUP(A211,'[1]MTP SKUs - Master Data'!$A:$B,2,FALSE)</f>
        <v>Y</v>
      </c>
      <c r="U211" s="162">
        <f>_xlfn.IFNA(VLOOKUP(Table1[[#This Row],[MTP SKU Code]],'Audit Dimensions'!A:N,6,FALSE),"ARC")</f>
        <v>1050</v>
      </c>
      <c r="V211" s="162">
        <f>IFERROR(Table1[[#This Row],[B1.Aud]]-Table1[[#This Row],[PW(gm)]],"ERR")</f>
        <v>150</v>
      </c>
      <c r="W211" s="165">
        <f>IFERROR(Table1[[#This Row],[B1.Diff]]/Table1[[#This Row],[B1.Aud]],"ERR")</f>
        <v>0.14285714285714285</v>
      </c>
      <c r="X211" s="162">
        <f>_xlfn.IFNA(VLOOKUP(Table1[[#This Row],[MTP SKU Code]],'Audit Dimensions'!A:N,10,FALSE),"ARC")</f>
        <v>0</v>
      </c>
      <c r="Y211" s="163">
        <f>IFERROR(Table1[[#This Row],[B2.Aud]]-Table1[[#This Row],[PW(gm)5]],"ERR")</f>
        <v>0</v>
      </c>
      <c r="Z211" s="165" t="str">
        <f>IFERROR(Table1[[#This Row],[B2.Diff]]/Table1[[#This Row],[B2.Aud]],"NA")</f>
        <v>NA</v>
      </c>
      <c r="AA211" s="162">
        <f>_xlfn.IFNA(VLOOKUP(Table1[[#This Row],[MTP SKU Code]],'Audit Dimensions'!A:N,14,FALSE),"ARC")</f>
        <v>0</v>
      </c>
      <c r="AB211" s="161">
        <f>IFERROR(Table1[[#This Row],[B3.Aud]]-Table1[[#This Row],[PW(gm)9]],"ERR")</f>
        <v>0</v>
      </c>
      <c r="AC211" s="168">
        <f>IFERROR(Table1[[#This Row],[B3.Diff]]/Table1[[#This Row],[BaLL.Aud]],"ERR")</f>
        <v>0</v>
      </c>
      <c r="AD211" s="189">
        <f>_xlfn.IFNA(VLOOKUP(Table1[[#This Row],[MTP SKU Code]],'Audit Dimensions'!A:U,16,FALSE),"ARC")</f>
        <v>1050</v>
      </c>
      <c r="AE211" s="165">
        <f>IFERROR(1-Table1[[#This Row],[Gms]]/Table1[[#This Row],[BaLL.Aud]],"ERR")</f>
        <v>0.1428571428571429</v>
      </c>
    </row>
    <row r="212" spans="1:31">
      <c r="A212" s="68" t="s">
        <v>257</v>
      </c>
      <c r="B212" s="84" t="s">
        <v>48</v>
      </c>
      <c r="C212" s="190">
        <f>_xlfn.XLOOKUP(Table1[[#This Row],[MTP SKU Code]],'Audit Dimensions'!A:A,'Audit Dimensions'!C:C,0)</f>
        <v>164</v>
      </c>
      <c r="D212" s="190">
        <f>_xlfn.XLOOKUP(Table1[[#This Row],[MTP SKU Code]],'Audit Dimensions'!$A:$A,'Audit Dimensions'!D:D,0)</f>
        <v>29</v>
      </c>
      <c r="E212" s="190">
        <f>_xlfn.XLOOKUP(Table1[[#This Row],[MTP SKU Code]],'Audit Dimensions'!$A:$A,'Audit Dimensions'!E:E,0)</f>
        <v>9</v>
      </c>
      <c r="F212" s="190">
        <v>19600</v>
      </c>
      <c r="G212" s="190">
        <f>_xlfn.XLOOKUP(Table1[[#This Row],[MTP SKU Code]],'Audit Dimensions'!$A:$A,'Audit Dimensions'!G:G,0)</f>
        <v>0</v>
      </c>
      <c r="H212" s="190">
        <f>_xlfn.XLOOKUP(Table1[[#This Row],[MTP SKU Code]],'Audit Dimensions'!$A:$A,'Audit Dimensions'!H:H,0)</f>
        <v>0</v>
      </c>
      <c r="I212" s="190">
        <f>_xlfn.XLOOKUP(Table1[[#This Row],[MTP SKU Code]],'Audit Dimensions'!$A:$A,'Audit Dimensions'!I:I,0)</f>
        <v>0</v>
      </c>
      <c r="J212" s="190">
        <f>_xlfn.XLOOKUP(Table1[[#This Row],[MTP SKU Code]],'Audit Dimensions'!$A:$A,'Audit Dimensions'!J:J,0)</f>
        <v>0</v>
      </c>
      <c r="K212" s="190">
        <f>_xlfn.XLOOKUP(Table1[[#This Row],[MTP SKU Code]],'Audit Dimensions'!$A:$A,'Audit Dimensions'!K:K,0)</f>
        <v>0</v>
      </c>
      <c r="L212" s="190">
        <f>_xlfn.XLOOKUP(Table1[[#This Row],[MTP SKU Code]],'Audit Dimensions'!$A:$A,'Audit Dimensions'!L:L,0)</f>
        <v>0</v>
      </c>
      <c r="M212" s="190">
        <f>_xlfn.XLOOKUP(Table1[[#This Row],[MTP SKU Code]],'Audit Dimensions'!$A:$A,'Audit Dimensions'!M:M,0)</f>
        <v>0</v>
      </c>
      <c r="N212" s="190">
        <f>_xlfn.XLOOKUP(Table1[[#This Row],[MTP SKU Code]],'Audit Dimensions'!$A:$A,'Audit Dimensions'!N:N,0)</f>
        <v>0</v>
      </c>
      <c r="O212" s="118">
        <f>((IFERROR((C212*D212*E212),0)+IFERROR((G212*H212*I212),0)+IFERROR((K212*L212*M212),0))/1000000)*35.32</f>
        <v>1.5118372800000002</v>
      </c>
      <c r="P212" s="125">
        <f>Table1[[#This Row],[Column15]]*$P$2*1000</f>
        <v>9071.0236800000021</v>
      </c>
      <c r="Q212" s="87">
        <f>F212+J212+N212</f>
        <v>19600</v>
      </c>
      <c r="R212" s="86">
        <f>MAX(Q212,O212)</f>
        <v>19600</v>
      </c>
      <c r="S212" s="86">
        <f>MAX(R212,P212)</f>
        <v>19600</v>
      </c>
      <c r="T212" s="156" t="str">
        <f>VLOOKUP(A212,'[1]MTP SKUs - Master Data'!$A:$B,2,FALSE)</f>
        <v>Y</v>
      </c>
      <c r="U212" s="162">
        <f>_xlfn.IFNA(VLOOKUP(Table1[[#This Row],[MTP SKU Code]],'Audit Dimensions'!A:N,6,FALSE),"ARC")</f>
        <v>21700</v>
      </c>
      <c r="V212" s="162">
        <f>IFERROR(Table1[[#This Row],[B1.Aud]]-Table1[[#This Row],[PW(gm)]],"ERR")</f>
        <v>2100</v>
      </c>
      <c r="W212" s="165">
        <f>IFERROR(Table1[[#This Row],[B1.Diff]]/Table1[[#This Row],[B1.Aud]],"ERR")</f>
        <v>9.6774193548387094E-2</v>
      </c>
      <c r="X212" s="162">
        <f>_xlfn.IFNA(VLOOKUP(Table1[[#This Row],[MTP SKU Code]],'Audit Dimensions'!A:N,10,FALSE),"ARC")</f>
        <v>0</v>
      </c>
      <c r="Y212" s="163">
        <f>IFERROR(Table1[[#This Row],[B2.Aud]]-Table1[[#This Row],[PW(gm)5]],"ERR")</f>
        <v>0</v>
      </c>
      <c r="Z212" s="165" t="str">
        <f>IFERROR(Table1[[#This Row],[B2.Diff]]/Table1[[#This Row],[B2.Aud]],"NA")</f>
        <v>NA</v>
      </c>
      <c r="AA212" s="162">
        <f>_xlfn.IFNA(VLOOKUP(Table1[[#This Row],[MTP SKU Code]],'Audit Dimensions'!A:N,14,FALSE),"ARC")</f>
        <v>0</v>
      </c>
      <c r="AB212" s="161">
        <f>IFERROR(Table1[[#This Row],[B3.Aud]]-Table1[[#This Row],[PW(gm)9]],"ERR")</f>
        <v>0</v>
      </c>
      <c r="AC212" s="168">
        <f>IFERROR(Table1[[#This Row],[B3.Diff]]/Table1[[#This Row],[BaLL.Aud]],"ERR")</f>
        <v>0</v>
      </c>
      <c r="AD212" s="189">
        <f>_xlfn.IFNA(VLOOKUP(Table1[[#This Row],[MTP SKU Code]],'Audit Dimensions'!A:U,16,FALSE),"ARC")</f>
        <v>21700</v>
      </c>
      <c r="AE212" s="165">
        <f>IFERROR(1-Table1[[#This Row],[Gms]]/Table1[[#This Row],[BaLL.Aud]],"ERR")</f>
        <v>9.6774193548387122E-2</v>
      </c>
    </row>
    <row r="213" spans="1:31">
      <c r="A213" s="68" t="s">
        <v>258</v>
      </c>
      <c r="B213" s="84" t="s">
        <v>48</v>
      </c>
      <c r="C213" s="190">
        <f>_xlfn.XLOOKUP(Table1[[#This Row],[MTP SKU Code]],'Audit Dimensions'!A:A,'Audit Dimensions'!C:C,0)</f>
        <v>35</v>
      </c>
      <c r="D213" s="190">
        <f>_xlfn.XLOOKUP(Table1[[#This Row],[MTP SKU Code]],'Audit Dimensions'!$A:$A,'Audit Dimensions'!D:D,0)</f>
        <v>32</v>
      </c>
      <c r="E213" s="190">
        <v>5</v>
      </c>
      <c r="F213" s="190">
        <f>_xlfn.XLOOKUP(Table1[[#This Row],[MTP SKU Code]],'Audit Dimensions'!$A:$A,'Audit Dimensions'!F:F,0)</f>
        <v>1400</v>
      </c>
      <c r="G213" s="190">
        <f>_xlfn.XLOOKUP(Table1[[#This Row],[MTP SKU Code]],'Audit Dimensions'!$A:$A,'Audit Dimensions'!G:G,0)</f>
        <v>0</v>
      </c>
      <c r="H213" s="190">
        <f>_xlfn.XLOOKUP(Table1[[#This Row],[MTP SKU Code]],'Audit Dimensions'!$A:$A,'Audit Dimensions'!H:H,0)</f>
        <v>0</v>
      </c>
      <c r="I213" s="190">
        <f>_xlfn.XLOOKUP(Table1[[#This Row],[MTP SKU Code]],'Audit Dimensions'!$A:$A,'Audit Dimensions'!I:I,0)</f>
        <v>0</v>
      </c>
      <c r="J213" s="190">
        <f>_xlfn.XLOOKUP(Table1[[#This Row],[MTP SKU Code]],'Audit Dimensions'!$A:$A,'Audit Dimensions'!J:J,0)</f>
        <v>0</v>
      </c>
      <c r="K213" s="190">
        <f>_xlfn.XLOOKUP(Table1[[#This Row],[MTP SKU Code]],'Audit Dimensions'!$A:$A,'Audit Dimensions'!K:K,0)</f>
        <v>0</v>
      </c>
      <c r="L213" s="190">
        <f>_xlfn.XLOOKUP(Table1[[#This Row],[MTP SKU Code]],'Audit Dimensions'!$A:$A,'Audit Dimensions'!L:L,0)</f>
        <v>0</v>
      </c>
      <c r="M213" s="190">
        <f>_xlfn.XLOOKUP(Table1[[#This Row],[MTP SKU Code]],'Audit Dimensions'!$A:$A,'Audit Dimensions'!M:M,0)</f>
        <v>0</v>
      </c>
      <c r="N213" s="190">
        <f>_xlfn.XLOOKUP(Table1[[#This Row],[MTP SKU Code]],'Audit Dimensions'!$A:$A,'Audit Dimensions'!N:N,0)</f>
        <v>0</v>
      </c>
      <c r="O213" s="118">
        <f>((IFERROR((C213*D213*E213),0)+IFERROR((G213*H213*I213),0)+IFERROR((K213*L213*M213),0))/1000000)*35.32</f>
        <v>0.197792</v>
      </c>
      <c r="P213" s="125">
        <f>Table1[[#This Row],[Column15]]*$P$2*1000</f>
        <v>1186.752</v>
      </c>
      <c r="Q213" s="87">
        <f>F213+J213+N213</f>
        <v>1400</v>
      </c>
      <c r="R213" s="86">
        <f>MAX(Q213,O213)</f>
        <v>1400</v>
      </c>
      <c r="S213" s="86">
        <f>MAX(R213,P213)</f>
        <v>1400</v>
      </c>
      <c r="T213" s="156" t="str">
        <f>VLOOKUP(A213,'[1]MTP SKUs - Master Data'!$A:$B,2,FALSE)</f>
        <v>Y</v>
      </c>
      <c r="U213" s="162">
        <f>_xlfn.IFNA(VLOOKUP(Table1[[#This Row],[MTP SKU Code]],'Audit Dimensions'!A:N,6,FALSE),"ARC")</f>
        <v>1400</v>
      </c>
      <c r="V213" s="162">
        <f>IFERROR(Table1[[#This Row],[B1.Aud]]-Table1[[#This Row],[PW(gm)]],"ERR")</f>
        <v>0</v>
      </c>
      <c r="W213" s="165">
        <f>IFERROR(Table1[[#This Row],[B1.Diff]]/Table1[[#This Row],[B1.Aud]],"ERR")</f>
        <v>0</v>
      </c>
      <c r="X213" s="162">
        <f>_xlfn.IFNA(VLOOKUP(Table1[[#This Row],[MTP SKU Code]],'Audit Dimensions'!A:N,10,FALSE),"ARC")</f>
        <v>0</v>
      </c>
      <c r="Y213" s="163">
        <f>IFERROR(Table1[[#This Row],[B2.Aud]]-Table1[[#This Row],[PW(gm)5]],"ERR")</f>
        <v>0</v>
      </c>
      <c r="Z213" s="165" t="str">
        <f>IFERROR(Table1[[#This Row],[B2.Diff]]/Table1[[#This Row],[B2.Aud]],"NA")</f>
        <v>NA</v>
      </c>
      <c r="AA213" s="162">
        <f>_xlfn.IFNA(VLOOKUP(Table1[[#This Row],[MTP SKU Code]],'Audit Dimensions'!A:N,14,FALSE),"ARC")</f>
        <v>0</v>
      </c>
      <c r="AB213" s="161">
        <f>IFERROR(Table1[[#This Row],[B3.Aud]]-Table1[[#This Row],[PW(gm)9]],"ERR")</f>
        <v>0</v>
      </c>
      <c r="AC213" s="168">
        <f>IFERROR(Table1[[#This Row],[B3.Diff]]/Table1[[#This Row],[BaLL.Aud]],"ERR")</f>
        <v>0</v>
      </c>
      <c r="AD213" s="189">
        <f>_xlfn.IFNA(VLOOKUP(Table1[[#This Row],[MTP SKU Code]],'Audit Dimensions'!A:U,16,FALSE),"ARC")</f>
        <v>1400</v>
      </c>
      <c r="AE213" s="165">
        <f>IFERROR(1-Table1[[#This Row],[Gms]]/Table1[[#This Row],[BaLL.Aud]],"ERR")</f>
        <v>0</v>
      </c>
    </row>
    <row r="214" spans="1:31">
      <c r="A214" s="68" t="s">
        <v>259</v>
      </c>
      <c r="B214" s="84" t="s">
        <v>48</v>
      </c>
      <c r="C214" s="190">
        <v>44</v>
      </c>
      <c r="D214" s="190">
        <v>25</v>
      </c>
      <c r="E214" s="190">
        <v>12</v>
      </c>
      <c r="F214" s="190">
        <v>1800</v>
      </c>
      <c r="G214" s="190">
        <f>_xlfn.XLOOKUP(Table1[[#This Row],[MTP SKU Code]],'Audit Dimensions'!$A:$A,'Audit Dimensions'!G:G,0)</f>
        <v>0</v>
      </c>
      <c r="H214" s="190">
        <f>_xlfn.XLOOKUP(Table1[[#This Row],[MTP SKU Code]],'Audit Dimensions'!$A:$A,'Audit Dimensions'!H:H,0)</f>
        <v>0</v>
      </c>
      <c r="I214" s="190">
        <f>_xlfn.XLOOKUP(Table1[[#This Row],[MTP SKU Code]],'Audit Dimensions'!$A:$A,'Audit Dimensions'!I:I,0)</f>
        <v>0</v>
      </c>
      <c r="J214" s="190">
        <f>_xlfn.XLOOKUP(Table1[[#This Row],[MTP SKU Code]],'Audit Dimensions'!$A:$A,'Audit Dimensions'!J:J,0)</f>
        <v>0</v>
      </c>
      <c r="K214" s="190">
        <f>_xlfn.XLOOKUP(Table1[[#This Row],[MTP SKU Code]],'Audit Dimensions'!$A:$A,'Audit Dimensions'!K:K,0)</f>
        <v>0</v>
      </c>
      <c r="L214" s="190">
        <f>_xlfn.XLOOKUP(Table1[[#This Row],[MTP SKU Code]],'Audit Dimensions'!$A:$A,'Audit Dimensions'!L:L,0)</f>
        <v>0</v>
      </c>
      <c r="M214" s="190">
        <f>_xlfn.XLOOKUP(Table1[[#This Row],[MTP SKU Code]],'Audit Dimensions'!$A:$A,'Audit Dimensions'!M:M,0)</f>
        <v>0</v>
      </c>
      <c r="N214" s="190">
        <f>_xlfn.XLOOKUP(Table1[[#This Row],[MTP SKU Code]],'Audit Dimensions'!$A:$A,'Audit Dimensions'!N:N,0)</f>
        <v>0</v>
      </c>
      <c r="O214" s="118">
        <f>((IFERROR((C214*D214*E214),0)+IFERROR((G214*H214*I214),0)+IFERROR((K214*L214*M214),0))/1000000)*35.32</f>
        <v>0.46622400000000003</v>
      </c>
      <c r="P214" s="125">
        <f>Table1[[#This Row],[Column15]]*$P$2*1000</f>
        <v>2797.3440000000001</v>
      </c>
      <c r="Q214" s="87">
        <f>F214+J214+N214</f>
        <v>1800</v>
      </c>
      <c r="R214" s="86">
        <f>MAX(Q214,O214)</f>
        <v>1800</v>
      </c>
      <c r="S214" s="86">
        <f>MAX(R214,P214)</f>
        <v>2797.3440000000001</v>
      </c>
      <c r="T214" s="156" t="str">
        <f>VLOOKUP(A214,'[1]MTP SKUs - Master Data'!$A:$B,2,FALSE)</f>
        <v>Y</v>
      </c>
      <c r="U214" s="162">
        <f>_xlfn.IFNA(VLOOKUP(Table1[[#This Row],[MTP SKU Code]],'Audit Dimensions'!A:N,6,FALSE),"ARC")</f>
        <v>2100</v>
      </c>
      <c r="V214" s="162">
        <f>IFERROR(Table1[[#This Row],[B1.Aud]]-Table1[[#This Row],[PW(gm)]],"ERR")</f>
        <v>300</v>
      </c>
      <c r="W214" s="165">
        <f>IFERROR(Table1[[#This Row],[B1.Diff]]/Table1[[#This Row],[B1.Aud]],"ERR")</f>
        <v>0.14285714285714285</v>
      </c>
      <c r="X214" s="162">
        <f>_xlfn.IFNA(VLOOKUP(Table1[[#This Row],[MTP SKU Code]],'Audit Dimensions'!A:N,10,FALSE),"ARC")</f>
        <v>0</v>
      </c>
      <c r="Y214" s="163">
        <f>IFERROR(Table1[[#This Row],[B2.Aud]]-Table1[[#This Row],[PW(gm)5]],"ERR")</f>
        <v>0</v>
      </c>
      <c r="Z214" s="165" t="str">
        <f>IFERROR(Table1[[#This Row],[B2.Diff]]/Table1[[#This Row],[B2.Aud]],"NA")</f>
        <v>NA</v>
      </c>
      <c r="AA214" s="162">
        <f>_xlfn.IFNA(VLOOKUP(Table1[[#This Row],[MTP SKU Code]],'Audit Dimensions'!A:N,14,FALSE),"ARC")</f>
        <v>0</v>
      </c>
      <c r="AB214" s="161">
        <f>IFERROR(Table1[[#This Row],[B3.Aud]]-Table1[[#This Row],[PW(gm)9]],"ERR")</f>
        <v>0</v>
      </c>
      <c r="AC214" s="168">
        <f>IFERROR(Table1[[#This Row],[B3.Diff]]/Table1[[#This Row],[BaLL.Aud]],"ERR")</f>
        <v>0</v>
      </c>
      <c r="AD214" s="189">
        <f>_xlfn.IFNA(VLOOKUP(Table1[[#This Row],[MTP SKU Code]],'Audit Dimensions'!A:U,16,FALSE),"ARC")</f>
        <v>2100</v>
      </c>
      <c r="AE214" s="165">
        <f>IFERROR(1-Table1[[#This Row],[Gms]]/Table1[[#This Row],[BaLL.Aud]],"ERR")</f>
        <v>0.1428571428571429</v>
      </c>
    </row>
    <row r="215" spans="1:31">
      <c r="A215" s="68" t="s">
        <v>260</v>
      </c>
      <c r="B215" s="84" t="s">
        <v>48</v>
      </c>
      <c r="C215" s="190">
        <f>_xlfn.XLOOKUP(Table1[[#This Row],[MTP SKU Code]],'Audit Dimensions'!A:A,'Audit Dimensions'!C:C,0)</f>
        <v>81</v>
      </c>
      <c r="D215" s="190">
        <f>_xlfn.XLOOKUP(Table1[[#This Row],[MTP SKU Code]],'Audit Dimensions'!$A:$A,'Audit Dimensions'!D:D,0)</f>
        <v>42</v>
      </c>
      <c r="E215" s="190">
        <f>_xlfn.XLOOKUP(Table1[[#This Row],[MTP SKU Code]],'Audit Dimensions'!$A:$A,'Audit Dimensions'!E:E,0)</f>
        <v>14</v>
      </c>
      <c r="F215" s="190">
        <v>17800</v>
      </c>
      <c r="G215" s="190">
        <f>_xlfn.XLOOKUP(Table1[[#This Row],[MTP SKU Code]],'Audit Dimensions'!$A:$A,'Audit Dimensions'!G:G,0)</f>
        <v>0</v>
      </c>
      <c r="H215" s="190">
        <f>_xlfn.XLOOKUP(Table1[[#This Row],[MTP SKU Code]],'Audit Dimensions'!$A:$A,'Audit Dimensions'!H:H,0)</f>
        <v>0</v>
      </c>
      <c r="I215" s="190">
        <f>_xlfn.XLOOKUP(Table1[[#This Row],[MTP SKU Code]],'Audit Dimensions'!$A:$A,'Audit Dimensions'!I:I,0)</f>
        <v>0</v>
      </c>
      <c r="J215" s="190">
        <f>_xlfn.XLOOKUP(Table1[[#This Row],[MTP SKU Code]],'Audit Dimensions'!$A:$A,'Audit Dimensions'!J:J,0)</f>
        <v>0</v>
      </c>
      <c r="K215" s="190">
        <f>_xlfn.XLOOKUP(Table1[[#This Row],[MTP SKU Code]],'Audit Dimensions'!$A:$A,'Audit Dimensions'!K:K,0)</f>
        <v>0</v>
      </c>
      <c r="L215" s="190">
        <f>_xlfn.XLOOKUP(Table1[[#This Row],[MTP SKU Code]],'Audit Dimensions'!$A:$A,'Audit Dimensions'!L:L,0)</f>
        <v>0</v>
      </c>
      <c r="M215" s="190">
        <f>_xlfn.XLOOKUP(Table1[[#This Row],[MTP SKU Code]],'Audit Dimensions'!$A:$A,'Audit Dimensions'!M:M,0)</f>
        <v>0</v>
      </c>
      <c r="N215" s="190">
        <f>_xlfn.XLOOKUP(Table1[[#This Row],[MTP SKU Code]],'Audit Dimensions'!$A:$A,'Audit Dimensions'!N:N,0)</f>
        <v>0</v>
      </c>
      <c r="O215" s="118">
        <f>((IFERROR((C215*D215*E215),0)+IFERROR((G215*H215*I215),0)+IFERROR((K215*L215*M215),0))/1000000)*35.32</f>
        <v>1.68222096</v>
      </c>
      <c r="P215" s="125">
        <f>Table1[[#This Row],[Column15]]*$P$2*1000</f>
        <v>10093.32576</v>
      </c>
      <c r="Q215" s="87">
        <f>F215+J215+N215</f>
        <v>17800</v>
      </c>
      <c r="R215" s="86">
        <f>MAX(Q215,O215)</f>
        <v>17800</v>
      </c>
      <c r="S215" s="86">
        <f>MAX(R215,P215)</f>
        <v>17800</v>
      </c>
      <c r="T215" s="156" t="str">
        <f>VLOOKUP(A215,'[1]MTP SKUs - Master Data'!$A:$B,2,FALSE)</f>
        <v>Y</v>
      </c>
      <c r="U215" s="162">
        <f>_xlfn.IFNA(VLOOKUP(Table1[[#This Row],[MTP SKU Code]],'Audit Dimensions'!A:N,6,FALSE),"ARC")</f>
        <v>18350</v>
      </c>
      <c r="V215" s="162">
        <f>IFERROR(Table1[[#This Row],[B1.Aud]]-Table1[[#This Row],[PW(gm)]],"ERR")</f>
        <v>550</v>
      </c>
      <c r="W215" s="165">
        <f>IFERROR(Table1[[#This Row],[B1.Diff]]/Table1[[#This Row],[B1.Aud]],"ERR")</f>
        <v>2.9972752043596729E-2</v>
      </c>
      <c r="X215" s="162">
        <f>_xlfn.IFNA(VLOOKUP(Table1[[#This Row],[MTP SKU Code]],'Audit Dimensions'!A:N,10,FALSE),"ARC")</f>
        <v>0</v>
      </c>
      <c r="Y215" s="163">
        <f>IFERROR(Table1[[#This Row],[B2.Aud]]-Table1[[#This Row],[PW(gm)5]],"ERR")</f>
        <v>0</v>
      </c>
      <c r="Z215" s="165" t="str">
        <f>IFERROR(Table1[[#This Row],[B2.Diff]]/Table1[[#This Row],[B2.Aud]],"NA")</f>
        <v>NA</v>
      </c>
      <c r="AA215" s="162">
        <f>_xlfn.IFNA(VLOOKUP(Table1[[#This Row],[MTP SKU Code]],'Audit Dimensions'!A:N,14,FALSE),"ARC")</f>
        <v>0</v>
      </c>
      <c r="AB215" s="161">
        <f>IFERROR(Table1[[#This Row],[B3.Aud]]-Table1[[#This Row],[PW(gm)9]],"ERR")</f>
        <v>0</v>
      </c>
      <c r="AC215" s="168">
        <f>IFERROR(Table1[[#This Row],[B3.Diff]]/Table1[[#This Row],[BaLL.Aud]],"ERR")</f>
        <v>0</v>
      </c>
      <c r="AD215" s="189">
        <f>_xlfn.IFNA(VLOOKUP(Table1[[#This Row],[MTP SKU Code]],'Audit Dimensions'!A:U,16,FALSE),"ARC")</f>
        <v>18350</v>
      </c>
      <c r="AE215" s="165">
        <f>IFERROR(1-Table1[[#This Row],[Gms]]/Table1[[#This Row],[BaLL.Aud]],"ERR")</f>
        <v>2.9972752043596729E-2</v>
      </c>
    </row>
    <row r="216" spans="1:31">
      <c r="A216" s="68" t="s">
        <v>261</v>
      </c>
      <c r="B216" s="84" t="s">
        <v>48</v>
      </c>
      <c r="C216" s="190">
        <f>_xlfn.XLOOKUP(Table1[[#This Row],[MTP SKU Code]],'Audit Dimensions'!A:A,'Audit Dimensions'!C:C,0)</f>
        <v>79</v>
      </c>
      <c r="D216" s="190">
        <f>_xlfn.XLOOKUP(Table1[[#This Row],[MTP SKU Code]],'Audit Dimensions'!$A:$A,'Audit Dimensions'!D:D,0)</f>
        <v>63</v>
      </c>
      <c r="E216" s="190">
        <v>6</v>
      </c>
      <c r="F216" s="190">
        <v>7850</v>
      </c>
      <c r="G216" s="190">
        <f>_xlfn.XLOOKUP(Table1[[#This Row],[MTP SKU Code]],'Audit Dimensions'!$A:$A,'Audit Dimensions'!G:G,0)</f>
        <v>0</v>
      </c>
      <c r="H216" s="190">
        <f>_xlfn.XLOOKUP(Table1[[#This Row],[MTP SKU Code]],'Audit Dimensions'!$A:$A,'Audit Dimensions'!H:H,0)</f>
        <v>0</v>
      </c>
      <c r="I216" s="190">
        <f>_xlfn.XLOOKUP(Table1[[#This Row],[MTP SKU Code]],'Audit Dimensions'!$A:$A,'Audit Dimensions'!I:I,0)</f>
        <v>0</v>
      </c>
      <c r="J216" s="190">
        <f>_xlfn.XLOOKUP(Table1[[#This Row],[MTP SKU Code]],'Audit Dimensions'!$A:$A,'Audit Dimensions'!J:J,0)</f>
        <v>0</v>
      </c>
      <c r="K216" s="190">
        <f>_xlfn.XLOOKUP(Table1[[#This Row],[MTP SKU Code]],'Audit Dimensions'!$A:$A,'Audit Dimensions'!K:K,0)</f>
        <v>0</v>
      </c>
      <c r="L216" s="190">
        <f>_xlfn.XLOOKUP(Table1[[#This Row],[MTP SKU Code]],'Audit Dimensions'!$A:$A,'Audit Dimensions'!L:L,0)</f>
        <v>0</v>
      </c>
      <c r="M216" s="190">
        <f>_xlfn.XLOOKUP(Table1[[#This Row],[MTP SKU Code]],'Audit Dimensions'!$A:$A,'Audit Dimensions'!M:M,0)</f>
        <v>0</v>
      </c>
      <c r="N216" s="190">
        <f>_xlfn.XLOOKUP(Table1[[#This Row],[MTP SKU Code]],'Audit Dimensions'!$A:$A,'Audit Dimensions'!N:N,0)</f>
        <v>0</v>
      </c>
      <c r="O216" s="118">
        <f>((IFERROR((C216*D216*E216),0)+IFERROR((G216*H216*I216),0)+IFERROR((K216*L216*M216),0))/1000000)*35.32</f>
        <v>1.0547258399999999</v>
      </c>
      <c r="P216" s="125">
        <f>Table1[[#This Row],[Column15]]*$P$2*1000</f>
        <v>6328.3550400000004</v>
      </c>
      <c r="Q216" s="87">
        <f>F216+J216+N216</f>
        <v>7850</v>
      </c>
      <c r="R216" s="86">
        <f>MAX(Q216,O216)</f>
        <v>7850</v>
      </c>
      <c r="S216" s="86">
        <f>MAX(R216,P216)</f>
        <v>7850</v>
      </c>
      <c r="T216" s="156" t="str">
        <f>VLOOKUP(A216,'[1]MTP SKUs - Master Data'!$A:$B,2,FALSE)</f>
        <v>Y</v>
      </c>
      <c r="U216" s="162">
        <f>_xlfn.IFNA(VLOOKUP(Table1[[#This Row],[MTP SKU Code]],'Audit Dimensions'!A:N,6,FALSE),"ARC")</f>
        <v>7950</v>
      </c>
      <c r="V216" s="162">
        <f>IFERROR(Table1[[#This Row],[B1.Aud]]-Table1[[#This Row],[PW(gm)]],"ERR")</f>
        <v>100</v>
      </c>
      <c r="W216" s="165">
        <f>IFERROR(Table1[[#This Row],[B1.Diff]]/Table1[[#This Row],[B1.Aud]],"ERR")</f>
        <v>1.2578616352201259E-2</v>
      </c>
      <c r="X216" s="162">
        <f>_xlfn.IFNA(VLOOKUP(Table1[[#This Row],[MTP SKU Code]],'Audit Dimensions'!A:N,10,FALSE),"ARC")</f>
        <v>0</v>
      </c>
      <c r="Y216" s="163">
        <f>IFERROR(Table1[[#This Row],[B2.Aud]]-Table1[[#This Row],[PW(gm)5]],"ERR")</f>
        <v>0</v>
      </c>
      <c r="Z216" s="165" t="str">
        <f>IFERROR(Table1[[#This Row],[B2.Diff]]/Table1[[#This Row],[B2.Aud]],"NA")</f>
        <v>NA</v>
      </c>
      <c r="AA216" s="162">
        <f>_xlfn.IFNA(VLOOKUP(Table1[[#This Row],[MTP SKU Code]],'Audit Dimensions'!A:N,14,FALSE),"ARC")</f>
        <v>0</v>
      </c>
      <c r="AB216" s="161">
        <f>IFERROR(Table1[[#This Row],[B3.Aud]]-Table1[[#This Row],[PW(gm)9]],"ERR")</f>
        <v>0</v>
      </c>
      <c r="AC216" s="168">
        <f>IFERROR(Table1[[#This Row],[B3.Diff]]/Table1[[#This Row],[BaLL.Aud]],"ERR")</f>
        <v>0</v>
      </c>
      <c r="AD216" s="189">
        <f>_xlfn.IFNA(VLOOKUP(Table1[[#This Row],[MTP SKU Code]],'Audit Dimensions'!A:U,16,FALSE),"ARC")</f>
        <v>7950</v>
      </c>
      <c r="AE216" s="165">
        <f>IFERROR(1-Table1[[#This Row],[Gms]]/Table1[[#This Row],[BaLL.Aud]],"ERR")</f>
        <v>1.2578616352201255E-2</v>
      </c>
    </row>
    <row r="217" spans="1:31">
      <c r="A217" s="68" t="s">
        <v>262</v>
      </c>
      <c r="B217" s="84" t="s">
        <v>48</v>
      </c>
      <c r="C217" s="190">
        <f>_xlfn.XLOOKUP(Table1[[#This Row],[MTP SKU Code]],'Audit Dimensions'!A:A,'Audit Dimensions'!C:C,0)</f>
        <v>86</v>
      </c>
      <c r="D217" s="190">
        <f>_xlfn.XLOOKUP(Table1[[#This Row],[MTP SKU Code]],'Audit Dimensions'!$A:$A,'Audit Dimensions'!D:D,0)</f>
        <v>29</v>
      </c>
      <c r="E217" s="190">
        <f>_xlfn.XLOOKUP(Table1[[#This Row],[MTP SKU Code]],'Audit Dimensions'!$A:$A,'Audit Dimensions'!E:E,0)</f>
        <v>19</v>
      </c>
      <c r="F217" s="190">
        <v>21500</v>
      </c>
      <c r="G217" s="190">
        <f>_xlfn.XLOOKUP(Table1[[#This Row],[MTP SKU Code]],'Audit Dimensions'!$A:$A,'Audit Dimensions'!G:G,0)</f>
        <v>0</v>
      </c>
      <c r="H217" s="190">
        <f>_xlfn.XLOOKUP(Table1[[#This Row],[MTP SKU Code]],'Audit Dimensions'!$A:$A,'Audit Dimensions'!H:H,0)</f>
        <v>0</v>
      </c>
      <c r="I217" s="190">
        <f>_xlfn.XLOOKUP(Table1[[#This Row],[MTP SKU Code]],'Audit Dimensions'!$A:$A,'Audit Dimensions'!I:I,0)</f>
        <v>0</v>
      </c>
      <c r="J217" s="190">
        <f>_xlfn.XLOOKUP(Table1[[#This Row],[MTP SKU Code]],'Audit Dimensions'!$A:$A,'Audit Dimensions'!J:J,0)</f>
        <v>0</v>
      </c>
      <c r="K217" s="190">
        <f>_xlfn.XLOOKUP(Table1[[#This Row],[MTP SKU Code]],'Audit Dimensions'!$A:$A,'Audit Dimensions'!K:K,0)</f>
        <v>0</v>
      </c>
      <c r="L217" s="190">
        <f>_xlfn.XLOOKUP(Table1[[#This Row],[MTP SKU Code]],'Audit Dimensions'!$A:$A,'Audit Dimensions'!L:L,0)</f>
        <v>0</v>
      </c>
      <c r="M217" s="190">
        <f>_xlfn.XLOOKUP(Table1[[#This Row],[MTP SKU Code]],'Audit Dimensions'!$A:$A,'Audit Dimensions'!M:M,0)</f>
        <v>0</v>
      </c>
      <c r="N217" s="190">
        <f>_xlfn.XLOOKUP(Table1[[#This Row],[MTP SKU Code]],'Audit Dimensions'!$A:$A,'Audit Dimensions'!N:N,0)</f>
        <v>0</v>
      </c>
      <c r="O217" s="118">
        <f>((IFERROR((C217*D217*E217),0)+IFERROR((G217*H217*I217),0)+IFERROR((K217*L217*M217),0))/1000000)*35.32</f>
        <v>1.6736735199999999</v>
      </c>
      <c r="P217" s="125">
        <f>Table1[[#This Row],[Column15]]*$P$2*1000</f>
        <v>10042.04112</v>
      </c>
      <c r="Q217" s="87">
        <f>F217+J217+N217</f>
        <v>21500</v>
      </c>
      <c r="R217" s="86">
        <f>MAX(Q217,O217)</f>
        <v>21500</v>
      </c>
      <c r="S217" s="86">
        <f>MAX(R217,P217)</f>
        <v>21500</v>
      </c>
      <c r="T217" s="156" t="str">
        <f>VLOOKUP(A217,'[1]MTP SKUs - Master Data'!$A:$B,2,FALSE)</f>
        <v>Y</v>
      </c>
      <c r="U217" s="162">
        <f>_xlfn.IFNA(VLOOKUP(Table1[[#This Row],[MTP SKU Code]],'Audit Dimensions'!A:N,6,FALSE),"ARC")</f>
        <v>22950</v>
      </c>
      <c r="V217" s="162">
        <f>IFERROR(Table1[[#This Row],[B1.Aud]]-Table1[[#This Row],[PW(gm)]],"ERR")</f>
        <v>1450</v>
      </c>
      <c r="W217" s="165">
        <f>IFERROR(Table1[[#This Row],[B1.Diff]]/Table1[[#This Row],[B1.Aud]],"ERR")</f>
        <v>6.3180827886710242E-2</v>
      </c>
      <c r="X217" s="162">
        <f>_xlfn.IFNA(VLOOKUP(Table1[[#This Row],[MTP SKU Code]],'Audit Dimensions'!A:N,10,FALSE),"ARC")</f>
        <v>0</v>
      </c>
      <c r="Y217" s="163">
        <f>IFERROR(Table1[[#This Row],[B2.Aud]]-Table1[[#This Row],[PW(gm)5]],"ERR")</f>
        <v>0</v>
      </c>
      <c r="Z217" s="165" t="str">
        <f>IFERROR(Table1[[#This Row],[B2.Diff]]/Table1[[#This Row],[B2.Aud]],"NA")</f>
        <v>NA</v>
      </c>
      <c r="AA217" s="162">
        <f>_xlfn.IFNA(VLOOKUP(Table1[[#This Row],[MTP SKU Code]],'Audit Dimensions'!A:N,14,FALSE),"ARC")</f>
        <v>0</v>
      </c>
      <c r="AB217" s="161">
        <f>IFERROR(Table1[[#This Row],[B3.Aud]]-Table1[[#This Row],[PW(gm)9]],"ERR")</f>
        <v>0</v>
      </c>
      <c r="AC217" s="168">
        <f>IFERROR(Table1[[#This Row],[B3.Diff]]/Table1[[#This Row],[BaLL.Aud]],"ERR")</f>
        <v>0</v>
      </c>
      <c r="AD217" s="189">
        <f>_xlfn.IFNA(VLOOKUP(Table1[[#This Row],[MTP SKU Code]],'Audit Dimensions'!A:U,16,FALSE),"ARC")</f>
        <v>22950</v>
      </c>
      <c r="AE217" s="165">
        <f>IFERROR(1-Table1[[#This Row],[Gms]]/Table1[[#This Row],[BaLL.Aud]],"ERR")</f>
        <v>6.31808278867102E-2</v>
      </c>
    </row>
    <row r="218" spans="1:31">
      <c r="A218" s="68" t="s">
        <v>263</v>
      </c>
      <c r="B218" s="84" t="s">
        <v>48</v>
      </c>
      <c r="C218" s="190">
        <f>_xlfn.XLOOKUP(Table1[[#This Row],[MTP SKU Code]],'Audit Dimensions'!A:A,'Audit Dimensions'!C:C,0)</f>
        <v>75</v>
      </c>
      <c r="D218" s="190">
        <f>_xlfn.XLOOKUP(Table1[[#This Row],[MTP SKU Code]],'Audit Dimensions'!$A:$A,'Audit Dimensions'!D:D,0)</f>
        <v>18</v>
      </c>
      <c r="E218" s="190">
        <f>_xlfn.XLOOKUP(Table1[[#This Row],[MTP SKU Code]],'Audit Dimensions'!$A:$A,'Audit Dimensions'!E:E,0)</f>
        <v>9</v>
      </c>
      <c r="F218" s="190">
        <v>3800</v>
      </c>
      <c r="G218" s="190">
        <f>_xlfn.XLOOKUP(Table1[[#This Row],[MTP SKU Code]],'Audit Dimensions'!$A:$A,'Audit Dimensions'!G:G,0)</f>
        <v>0</v>
      </c>
      <c r="H218" s="190">
        <f>_xlfn.XLOOKUP(Table1[[#This Row],[MTP SKU Code]],'Audit Dimensions'!$A:$A,'Audit Dimensions'!H:H,0)</f>
        <v>0</v>
      </c>
      <c r="I218" s="190">
        <f>_xlfn.XLOOKUP(Table1[[#This Row],[MTP SKU Code]],'Audit Dimensions'!$A:$A,'Audit Dimensions'!I:I,0)</f>
        <v>0</v>
      </c>
      <c r="J218" s="190">
        <f>_xlfn.XLOOKUP(Table1[[#This Row],[MTP SKU Code]],'Audit Dimensions'!$A:$A,'Audit Dimensions'!J:J,0)</f>
        <v>0</v>
      </c>
      <c r="K218" s="190">
        <f>_xlfn.XLOOKUP(Table1[[#This Row],[MTP SKU Code]],'Audit Dimensions'!$A:$A,'Audit Dimensions'!K:K,0)</f>
        <v>0</v>
      </c>
      <c r="L218" s="190">
        <f>_xlfn.XLOOKUP(Table1[[#This Row],[MTP SKU Code]],'Audit Dimensions'!$A:$A,'Audit Dimensions'!L:L,0)</f>
        <v>0</v>
      </c>
      <c r="M218" s="190">
        <f>_xlfn.XLOOKUP(Table1[[#This Row],[MTP SKU Code]],'Audit Dimensions'!$A:$A,'Audit Dimensions'!M:M,0)</f>
        <v>0</v>
      </c>
      <c r="N218" s="190">
        <f>_xlfn.XLOOKUP(Table1[[#This Row],[MTP SKU Code]],'Audit Dimensions'!$A:$A,'Audit Dimensions'!N:N,0)</f>
        <v>0</v>
      </c>
      <c r="O218" s="118">
        <f>((IFERROR((C218*D218*E218),0)+IFERROR((G218*H218*I218),0)+IFERROR((K218*L218*M218),0))/1000000)*35.32</f>
        <v>0.42913799999999996</v>
      </c>
      <c r="P218" s="125">
        <f>Table1[[#This Row],[Column15]]*$P$2*1000</f>
        <v>2574.8279999999995</v>
      </c>
      <c r="Q218" s="87">
        <f>F218+J218+N218</f>
        <v>3800</v>
      </c>
      <c r="R218" s="86">
        <f>MAX(Q218,O218)</f>
        <v>3800</v>
      </c>
      <c r="S218" s="86">
        <f>MAX(R218,P218)</f>
        <v>3800</v>
      </c>
      <c r="T218" s="156" t="str">
        <f>VLOOKUP(A218,'[1]MTP SKUs - Master Data'!$A:$B,2,FALSE)</f>
        <v>Y</v>
      </c>
      <c r="U218" s="162">
        <f>_xlfn.IFNA(VLOOKUP(Table1[[#This Row],[MTP SKU Code]],'Audit Dimensions'!A:N,6,FALSE),"ARC")</f>
        <v>4450</v>
      </c>
      <c r="V218" s="162">
        <f>IFERROR(Table1[[#This Row],[B1.Aud]]-Table1[[#This Row],[PW(gm)]],"ERR")</f>
        <v>650</v>
      </c>
      <c r="W218" s="165">
        <f>IFERROR(Table1[[#This Row],[B1.Diff]]/Table1[[#This Row],[B1.Aud]],"ERR")</f>
        <v>0.14606741573033707</v>
      </c>
      <c r="X218" s="162">
        <f>_xlfn.IFNA(VLOOKUP(Table1[[#This Row],[MTP SKU Code]],'Audit Dimensions'!A:N,10,FALSE),"ARC")</f>
        <v>0</v>
      </c>
      <c r="Y218" s="163">
        <f>IFERROR(Table1[[#This Row],[B2.Aud]]-Table1[[#This Row],[PW(gm)5]],"ERR")</f>
        <v>0</v>
      </c>
      <c r="Z218" s="165" t="str">
        <f>IFERROR(Table1[[#This Row],[B2.Diff]]/Table1[[#This Row],[B2.Aud]],"NA")</f>
        <v>NA</v>
      </c>
      <c r="AA218" s="162">
        <f>_xlfn.IFNA(VLOOKUP(Table1[[#This Row],[MTP SKU Code]],'Audit Dimensions'!A:N,14,FALSE),"ARC")</f>
        <v>0</v>
      </c>
      <c r="AB218" s="161">
        <f>IFERROR(Table1[[#This Row],[B3.Aud]]-Table1[[#This Row],[PW(gm)9]],"ERR")</f>
        <v>0</v>
      </c>
      <c r="AC218" s="168">
        <f>IFERROR(Table1[[#This Row],[B3.Diff]]/Table1[[#This Row],[BaLL.Aud]],"ERR")</f>
        <v>0</v>
      </c>
      <c r="AD218" s="189">
        <f>_xlfn.IFNA(VLOOKUP(Table1[[#This Row],[MTP SKU Code]],'Audit Dimensions'!A:U,16,FALSE),"ARC")</f>
        <v>4450</v>
      </c>
      <c r="AE218" s="165">
        <f>IFERROR(1-Table1[[#This Row],[Gms]]/Table1[[#This Row],[BaLL.Aud]],"ERR")</f>
        <v>0.1460674157303371</v>
      </c>
    </row>
    <row r="219" spans="1:31">
      <c r="A219" s="70" t="s">
        <v>264</v>
      </c>
      <c r="B219" s="84" t="s">
        <v>48</v>
      </c>
      <c r="C219" s="190">
        <f>_xlfn.XLOOKUP(Table1[[#This Row],[MTP SKU Code]],'Audit Dimensions'!A:A,'Audit Dimensions'!C:C,0)</f>
        <v>87</v>
      </c>
      <c r="D219" s="190">
        <f>_xlfn.XLOOKUP(Table1[[#This Row],[MTP SKU Code]],'Audit Dimensions'!$A:$A,'Audit Dimensions'!D:D,0)</f>
        <v>35</v>
      </c>
      <c r="E219" s="190">
        <f>_xlfn.XLOOKUP(Table1[[#This Row],[MTP SKU Code]],'Audit Dimensions'!$A:$A,'Audit Dimensions'!E:E,0)</f>
        <v>14</v>
      </c>
      <c r="F219" s="190">
        <v>17500</v>
      </c>
      <c r="G219" s="190">
        <f>_xlfn.XLOOKUP(Table1[[#This Row],[MTP SKU Code]],'Audit Dimensions'!$A:$A,'Audit Dimensions'!G:G,0)</f>
        <v>0</v>
      </c>
      <c r="H219" s="190">
        <f>_xlfn.XLOOKUP(Table1[[#This Row],[MTP SKU Code]],'Audit Dimensions'!$A:$A,'Audit Dimensions'!H:H,0)</f>
        <v>0</v>
      </c>
      <c r="I219" s="190">
        <f>_xlfn.XLOOKUP(Table1[[#This Row],[MTP SKU Code]],'Audit Dimensions'!$A:$A,'Audit Dimensions'!I:I,0)</f>
        <v>0</v>
      </c>
      <c r="J219" s="190">
        <f>_xlfn.XLOOKUP(Table1[[#This Row],[MTP SKU Code]],'Audit Dimensions'!$A:$A,'Audit Dimensions'!J:J,0)</f>
        <v>0</v>
      </c>
      <c r="K219" s="190">
        <f>_xlfn.XLOOKUP(Table1[[#This Row],[MTP SKU Code]],'Audit Dimensions'!$A:$A,'Audit Dimensions'!K:K,0)</f>
        <v>0</v>
      </c>
      <c r="L219" s="190">
        <f>_xlfn.XLOOKUP(Table1[[#This Row],[MTP SKU Code]],'Audit Dimensions'!$A:$A,'Audit Dimensions'!L:L,0)</f>
        <v>0</v>
      </c>
      <c r="M219" s="190">
        <f>_xlfn.XLOOKUP(Table1[[#This Row],[MTP SKU Code]],'Audit Dimensions'!$A:$A,'Audit Dimensions'!M:M,0)</f>
        <v>0</v>
      </c>
      <c r="N219" s="190">
        <f>_xlfn.XLOOKUP(Table1[[#This Row],[MTP SKU Code]],'Audit Dimensions'!$A:$A,'Audit Dimensions'!N:N,0)</f>
        <v>0</v>
      </c>
      <c r="O219" s="118">
        <f>((IFERROR((C219*D219*E219),0)+IFERROR((G219*H219*I219),0)+IFERROR((K219*L219*M219),0))/1000000)*35.32</f>
        <v>1.5056916</v>
      </c>
      <c r="P219" s="125">
        <f>Table1[[#This Row],[Column15]]*$P$2*1000</f>
        <v>9034.1495999999988</v>
      </c>
      <c r="Q219" s="87">
        <f>F219+J219+N219</f>
        <v>17500</v>
      </c>
      <c r="R219" s="86">
        <f>MAX(Q219,O219)</f>
        <v>17500</v>
      </c>
      <c r="S219" s="86">
        <f>MAX(R219,P219)</f>
        <v>17500</v>
      </c>
      <c r="T219" s="156" t="str">
        <f>VLOOKUP(A219,'[1]MTP SKUs - Master Data'!$A:$B,2,FALSE)</f>
        <v>Y</v>
      </c>
      <c r="U219" s="162">
        <f>_xlfn.IFNA(VLOOKUP(Table1[[#This Row],[MTP SKU Code]],'Audit Dimensions'!A:N,6,FALSE),"ARC")</f>
        <v>18400</v>
      </c>
      <c r="V219" s="162">
        <f>IFERROR(Table1[[#This Row],[B1.Aud]]-Table1[[#This Row],[PW(gm)]],"ERR")</f>
        <v>900</v>
      </c>
      <c r="W219" s="165">
        <f>IFERROR(Table1[[#This Row],[B1.Diff]]/Table1[[#This Row],[B1.Aud]],"ERR")</f>
        <v>4.8913043478260872E-2</v>
      </c>
      <c r="X219" s="162">
        <f>_xlfn.IFNA(VLOOKUP(Table1[[#This Row],[MTP SKU Code]],'Audit Dimensions'!A:N,10,FALSE),"ARC")</f>
        <v>0</v>
      </c>
      <c r="Y219" s="163">
        <f>IFERROR(Table1[[#This Row],[B2.Aud]]-Table1[[#This Row],[PW(gm)5]],"ERR")</f>
        <v>0</v>
      </c>
      <c r="Z219" s="165" t="str">
        <f>IFERROR(Table1[[#This Row],[B2.Diff]]/Table1[[#This Row],[B2.Aud]],"NA")</f>
        <v>NA</v>
      </c>
      <c r="AA219" s="162">
        <f>_xlfn.IFNA(VLOOKUP(Table1[[#This Row],[MTP SKU Code]],'Audit Dimensions'!A:N,14,FALSE),"ARC")</f>
        <v>0</v>
      </c>
      <c r="AB219" s="161">
        <f>IFERROR(Table1[[#This Row],[B3.Aud]]-Table1[[#This Row],[PW(gm)9]],"ERR")</f>
        <v>0</v>
      </c>
      <c r="AC219" s="168">
        <f>IFERROR(Table1[[#This Row],[B3.Diff]]/Table1[[#This Row],[BaLL.Aud]],"ERR")</f>
        <v>0</v>
      </c>
      <c r="AD219" s="189">
        <f>_xlfn.IFNA(VLOOKUP(Table1[[#This Row],[MTP SKU Code]],'Audit Dimensions'!A:U,16,FALSE),"ARC")</f>
        <v>18400</v>
      </c>
      <c r="AE219" s="165">
        <f>IFERROR(1-Table1[[#This Row],[Gms]]/Table1[[#This Row],[BaLL.Aud]],"ERR")</f>
        <v>4.8913043478260865E-2</v>
      </c>
    </row>
    <row r="220" spans="1:31">
      <c r="A220" s="68" t="s">
        <v>265</v>
      </c>
      <c r="B220" s="84" t="s">
        <v>48</v>
      </c>
      <c r="C220" s="190">
        <f>_xlfn.XLOOKUP(Table1[[#This Row],[MTP SKU Code]],'Audit Dimensions'!A:A,'Audit Dimensions'!C:C,0)</f>
        <v>143</v>
      </c>
      <c r="D220" s="190">
        <f>_xlfn.XLOOKUP(Table1[[#This Row],[MTP SKU Code]],'Audit Dimensions'!$A:$A,'Audit Dimensions'!D:D,0)</f>
        <v>33</v>
      </c>
      <c r="E220" s="190">
        <f>_xlfn.XLOOKUP(Table1[[#This Row],[MTP SKU Code]],'Audit Dimensions'!$A:$A,'Audit Dimensions'!E:E,0)</f>
        <v>4</v>
      </c>
      <c r="F220" s="190">
        <v>7800</v>
      </c>
      <c r="G220" s="190">
        <f>_xlfn.XLOOKUP(Table1[[#This Row],[MTP SKU Code]],'Audit Dimensions'!$A:$A,'Audit Dimensions'!G:G,0)</f>
        <v>0</v>
      </c>
      <c r="H220" s="190">
        <f>_xlfn.XLOOKUP(Table1[[#This Row],[MTP SKU Code]],'Audit Dimensions'!$A:$A,'Audit Dimensions'!H:H,0)</f>
        <v>0</v>
      </c>
      <c r="I220" s="190">
        <f>_xlfn.XLOOKUP(Table1[[#This Row],[MTP SKU Code]],'Audit Dimensions'!$A:$A,'Audit Dimensions'!I:I,0)</f>
        <v>0</v>
      </c>
      <c r="J220" s="190">
        <f>_xlfn.XLOOKUP(Table1[[#This Row],[MTP SKU Code]],'Audit Dimensions'!$A:$A,'Audit Dimensions'!J:J,0)</f>
        <v>0</v>
      </c>
      <c r="K220" s="190">
        <f>_xlfn.XLOOKUP(Table1[[#This Row],[MTP SKU Code]],'Audit Dimensions'!$A:$A,'Audit Dimensions'!K:K,0)</f>
        <v>0</v>
      </c>
      <c r="L220" s="190">
        <f>_xlfn.XLOOKUP(Table1[[#This Row],[MTP SKU Code]],'Audit Dimensions'!$A:$A,'Audit Dimensions'!L:L,0)</f>
        <v>0</v>
      </c>
      <c r="M220" s="190">
        <f>_xlfn.XLOOKUP(Table1[[#This Row],[MTP SKU Code]],'Audit Dimensions'!$A:$A,'Audit Dimensions'!M:M,0)</f>
        <v>0</v>
      </c>
      <c r="N220" s="190">
        <f>_xlfn.XLOOKUP(Table1[[#This Row],[MTP SKU Code]],'Audit Dimensions'!$A:$A,'Audit Dimensions'!N:N,0)</f>
        <v>0</v>
      </c>
      <c r="O220" s="118">
        <f>((IFERROR((C220*D220*E220),0)+IFERROR((G220*H220*I220),0)+IFERROR((K220*L220*M220),0))/1000000)*35.32</f>
        <v>0.66670032000000001</v>
      </c>
      <c r="P220" s="125">
        <f>Table1[[#This Row],[Column15]]*$P$2*1000</f>
        <v>4000.2019200000004</v>
      </c>
      <c r="Q220" s="87">
        <f>F220+J220+N220</f>
        <v>7800</v>
      </c>
      <c r="R220" s="86">
        <f>MAX(Q220,O220)</f>
        <v>7800</v>
      </c>
      <c r="S220" s="86">
        <f>MAX(R220,P220)</f>
        <v>7800</v>
      </c>
      <c r="T220" s="156" t="str">
        <f>VLOOKUP(A220,'[1]MTP SKUs - Master Data'!$A:$B,2,FALSE)</f>
        <v>Y</v>
      </c>
      <c r="U220" s="162">
        <f>_xlfn.IFNA(VLOOKUP(Table1[[#This Row],[MTP SKU Code]],'Audit Dimensions'!A:N,6,FALSE),"ARC")</f>
        <v>7920</v>
      </c>
      <c r="V220" s="162">
        <f>IFERROR(Table1[[#This Row],[B1.Aud]]-Table1[[#This Row],[PW(gm)]],"ERR")</f>
        <v>120</v>
      </c>
      <c r="W220" s="165">
        <f>IFERROR(Table1[[#This Row],[B1.Diff]]/Table1[[#This Row],[B1.Aud]],"ERR")</f>
        <v>1.5151515151515152E-2</v>
      </c>
      <c r="X220" s="162">
        <f>_xlfn.IFNA(VLOOKUP(Table1[[#This Row],[MTP SKU Code]],'Audit Dimensions'!A:N,10,FALSE),"ARC")</f>
        <v>0</v>
      </c>
      <c r="Y220" s="163">
        <f>IFERROR(Table1[[#This Row],[B2.Aud]]-Table1[[#This Row],[PW(gm)5]],"ERR")</f>
        <v>0</v>
      </c>
      <c r="Z220" s="165" t="str">
        <f>IFERROR(Table1[[#This Row],[B2.Diff]]/Table1[[#This Row],[B2.Aud]],"NA")</f>
        <v>NA</v>
      </c>
      <c r="AA220" s="162">
        <f>_xlfn.IFNA(VLOOKUP(Table1[[#This Row],[MTP SKU Code]],'Audit Dimensions'!A:N,14,FALSE),"ARC")</f>
        <v>0</v>
      </c>
      <c r="AB220" s="161">
        <f>IFERROR(Table1[[#This Row],[B3.Aud]]-Table1[[#This Row],[PW(gm)9]],"ERR")</f>
        <v>0</v>
      </c>
      <c r="AC220" s="168">
        <f>IFERROR(Table1[[#This Row],[B3.Diff]]/Table1[[#This Row],[BaLL.Aud]],"ERR")</f>
        <v>0</v>
      </c>
      <c r="AD220" s="189">
        <f>_xlfn.IFNA(VLOOKUP(Table1[[#This Row],[MTP SKU Code]],'Audit Dimensions'!A:U,16,FALSE),"ARC")</f>
        <v>7920</v>
      </c>
      <c r="AE220" s="165">
        <f>IFERROR(1-Table1[[#This Row],[Gms]]/Table1[[#This Row],[BaLL.Aud]],"ERR")</f>
        <v>1.5151515151515138E-2</v>
      </c>
    </row>
    <row r="221" spans="1:31">
      <c r="A221" s="91" t="s">
        <v>266</v>
      </c>
      <c r="B221" s="84" t="s">
        <v>48</v>
      </c>
      <c r="C221" s="190">
        <f>_xlfn.XLOOKUP(Table1[[#This Row],[MTP SKU Code]],'Audit Dimensions'!A:A,'Audit Dimensions'!C:C,0)</f>
        <v>84</v>
      </c>
      <c r="D221" s="190">
        <f>_xlfn.XLOOKUP(Table1[[#This Row],[MTP SKU Code]],'Audit Dimensions'!$A:$A,'Audit Dimensions'!D:D,0)</f>
        <v>28</v>
      </c>
      <c r="E221" s="190">
        <f>_xlfn.XLOOKUP(Table1[[#This Row],[MTP SKU Code]],'Audit Dimensions'!$A:$A,'Audit Dimensions'!E:E,0)</f>
        <v>8</v>
      </c>
      <c r="F221" s="190">
        <v>7800</v>
      </c>
      <c r="G221" s="190">
        <f>_xlfn.XLOOKUP(Table1[[#This Row],[MTP SKU Code]],'Audit Dimensions'!$A:$A,'Audit Dimensions'!G:G,0)</f>
        <v>0</v>
      </c>
      <c r="H221" s="190">
        <f>_xlfn.XLOOKUP(Table1[[#This Row],[MTP SKU Code]],'Audit Dimensions'!$A:$A,'Audit Dimensions'!H:H,0)</f>
        <v>0</v>
      </c>
      <c r="I221" s="190">
        <f>_xlfn.XLOOKUP(Table1[[#This Row],[MTP SKU Code]],'Audit Dimensions'!$A:$A,'Audit Dimensions'!I:I,0)</f>
        <v>0</v>
      </c>
      <c r="J221" s="190">
        <f>_xlfn.XLOOKUP(Table1[[#This Row],[MTP SKU Code]],'Audit Dimensions'!$A:$A,'Audit Dimensions'!J:J,0)</f>
        <v>0</v>
      </c>
      <c r="K221" s="190">
        <f>_xlfn.XLOOKUP(Table1[[#This Row],[MTP SKU Code]],'Audit Dimensions'!$A:$A,'Audit Dimensions'!K:K,0)</f>
        <v>0</v>
      </c>
      <c r="L221" s="190">
        <f>_xlfn.XLOOKUP(Table1[[#This Row],[MTP SKU Code]],'Audit Dimensions'!$A:$A,'Audit Dimensions'!L:L,0)</f>
        <v>0</v>
      </c>
      <c r="M221" s="190">
        <f>_xlfn.XLOOKUP(Table1[[#This Row],[MTP SKU Code]],'Audit Dimensions'!$A:$A,'Audit Dimensions'!M:M,0)</f>
        <v>0</v>
      </c>
      <c r="N221" s="190">
        <f>_xlfn.XLOOKUP(Table1[[#This Row],[MTP SKU Code]],'Audit Dimensions'!$A:$A,'Audit Dimensions'!N:N,0)</f>
        <v>0</v>
      </c>
      <c r="O221" s="118">
        <f>((IFERROR((C221*D221*E221),0)+IFERROR((G221*H221*I221),0)+IFERROR((K221*L221*M221),0))/1000000)*35.32</f>
        <v>0.66458112000000003</v>
      </c>
      <c r="P221" s="125">
        <f>Table1[[#This Row],[Column15]]*$P$2*1000</f>
        <v>3987.4867200000003</v>
      </c>
      <c r="Q221" s="87">
        <f>F221+J221+N221</f>
        <v>7800</v>
      </c>
      <c r="R221" s="86">
        <f>MAX(Q221,O221)</f>
        <v>7800</v>
      </c>
      <c r="S221" s="86">
        <f>MAX(R221,P221)</f>
        <v>7800</v>
      </c>
      <c r="T221" s="156" t="str">
        <f>VLOOKUP(A221,'[1]MTP SKUs - Master Data'!$A:$B,2,FALSE)</f>
        <v>Y</v>
      </c>
      <c r="U221" s="162">
        <f>_xlfn.IFNA(VLOOKUP(Table1[[#This Row],[MTP SKU Code]],'Audit Dimensions'!A:N,6,FALSE),"ARC")</f>
        <v>7990</v>
      </c>
      <c r="V221" s="162">
        <f>IFERROR(Table1[[#This Row],[B1.Aud]]-Table1[[#This Row],[PW(gm)]],"ERR")</f>
        <v>190</v>
      </c>
      <c r="W221" s="165">
        <f>IFERROR(Table1[[#This Row],[B1.Diff]]/Table1[[#This Row],[B1.Aud]],"ERR")</f>
        <v>2.3779724655819776E-2</v>
      </c>
      <c r="X221" s="162">
        <f>_xlfn.IFNA(VLOOKUP(Table1[[#This Row],[MTP SKU Code]],'Audit Dimensions'!A:N,10,FALSE),"ARC")</f>
        <v>0</v>
      </c>
      <c r="Y221" s="163">
        <f>IFERROR(Table1[[#This Row],[B2.Aud]]-Table1[[#This Row],[PW(gm)5]],"ERR")</f>
        <v>0</v>
      </c>
      <c r="Z221" s="165" t="str">
        <f>IFERROR(Table1[[#This Row],[B2.Diff]]/Table1[[#This Row],[B2.Aud]],"NA")</f>
        <v>NA</v>
      </c>
      <c r="AA221" s="162">
        <f>_xlfn.IFNA(VLOOKUP(Table1[[#This Row],[MTP SKU Code]],'Audit Dimensions'!A:N,14,FALSE),"ARC")</f>
        <v>0</v>
      </c>
      <c r="AB221" s="161">
        <f>IFERROR(Table1[[#This Row],[B3.Aud]]-Table1[[#This Row],[PW(gm)9]],"ERR")</f>
        <v>0</v>
      </c>
      <c r="AC221" s="168">
        <f>IFERROR(Table1[[#This Row],[B3.Diff]]/Table1[[#This Row],[BaLL.Aud]],"ERR")</f>
        <v>0</v>
      </c>
      <c r="AD221" s="189">
        <f>_xlfn.IFNA(VLOOKUP(Table1[[#This Row],[MTP SKU Code]],'Audit Dimensions'!A:U,16,FALSE),"ARC")</f>
        <v>7990</v>
      </c>
      <c r="AE221" s="165">
        <f>IFERROR(1-Table1[[#This Row],[Gms]]/Table1[[#This Row],[BaLL.Aud]],"ERR")</f>
        <v>2.3779724655819789E-2</v>
      </c>
    </row>
    <row r="222" spans="1:31">
      <c r="A222" s="68" t="s">
        <v>267</v>
      </c>
      <c r="B222" s="84" t="s">
        <v>48</v>
      </c>
      <c r="C222" s="190">
        <f>_xlfn.XLOOKUP(Table1[[#This Row],[MTP SKU Code]],'Audit Dimensions'!A:A,'Audit Dimensions'!C:C,0)</f>
        <v>117</v>
      </c>
      <c r="D222" s="190">
        <f>_xlfn.XLOOKUP(Table1[[#This Row],[MTP SKU Code]],'Audit Dimensions'!$A:$A,'Audit Dimensions'!D:D,0)</f>
        <v>29</v>
      </c>
      <c r="E222" s="190">
        <f>_xlfn.XLOOKUP(Table1[[#This Row],[MTP SKU Code]],'Audit Dimensions'!$A:$A,'Audit Dimensions'!E:E,0)</f>
        <v>6</v>
      </c>
      <c r="F222" s="190">
        <f>_xlfn.XLOOKUP(Table1[[#This Row],[MTP SKU Code]],'Audit Dimensions'!$A:$A,'Audit Dimensions'!F:F,0)</f>
        <v>6700</v>
      </c>
      <c r="G222" s="190">
        <f>_xlfn.XLOOKUP(Table1[[#This Row],[MTP SKU Code]],'Audit Dimensions'!$A:$A,'Audit Dimensions'!G:G,0)</f>
        <v>0</v>
      </c>
      <c r="H222" s="190">
        <f>_xlfn.XLOOKUP(Table1[[#This Row],[MTP SKU Code]],'Audit Dimensions'!$A:$A,'Audit Dimensions'!H:H,0)</f>
        <v>0</v>
      </c>
      <c r="I222" s="190">
        <f>_xlfn.XLOOKUP(Table1[[#This Row],[MTP SKU Code]],'Audit Dimensions'!$A:$A,'Audit Dimensions'!I:I,0)</f>
        <v>0</v>
      </c>
      <c r="J222" s="190">
        <f>_xlfn.XLOOKUP(Table1[[#This Row],[MTP SKU Code]],'Audit Dimensions'!$A:$A,'Audit Dimensions'!J:J,0)</f>
        <v>0</v>
      </c>
      <c r="K222" s="190">
        <f>_xlfn.XLOOKUP(Table1[[#This Row],[MTP SKU Code]],'Audit Dimensions'!$A:$A,'Audit Dimensions'!K:K,0)</f>
        <v>0</v>
      </c>
      <c r="L222" s="190">
        <f>_xlfn.XLOOKUP(Table1[[#This Row],[MTP SKU Code]],'Audit Dimensions'!$A:$A,'Audit Dimensions'!L:L,0)</f>
        <v>0</v>
      </c>
      <c r="M222" s="190">
        <f>_xlfn.XLOOKUP(Table1[[#This Row],[MTP SKU Code]],'Audit Dimensions'!$A:$A,'Audit Dimensions'!M:M,0)</f>
        <v>0</v>
      </c>
      <c r="N222" s="190">
        <f>_xlfn.XLOOKUP(Table1[[#This Row],[MTP SKU Code]],'Audit Dimensions'!$A:$A,'Audit Dimensions'!N:N,0)</f>
        <v>0</v>
      </c>
      <c r="O222" s="118">
        <f>((IFERROR((C222*D222*E222),0)+IFERROR((G222*H222*I222),0)+IFERROR((K222*L222*M222),0))/1000000)*35.32</f>
        <v>0.71904456000000005</v>
      </c>
      <c r="P222" s="125">
        <f>Table1[[#This Row],[Column15]]*$P$2*1000</f>
        <v>4314.2673600000007</v>
      </c>
      <c r="Q222" s="87">
        <f>F222+J222+N222</f>
        <v>6700</v>
      </c>
      <c r="R222" s="86">
        <f>MAX(Q222,O222)</f>
        <v>6700</v>
      </c>
      <c r="S222" s="86">
        <f>MAX(R222,P222)</f>
        <v>6700</v>
      </c>
      <c r="T222" s="156" t="str">
        <f>VLOOKUP(A222,'[1]MTP SKUs - Master Data'!$A:$B,2,FALSE)</f>
        <v>Y</v>
      </c>
      <c r="U222" s="162">
        <f>_xlfn.IFNA(VLOOKUP(Table1[[#This Row],[MTP SKU Code]],'Audit Dimensions'!A:N,6,FALSE),"ARC")</f>
        <v>6700</v>
      </c>
      <c r="V222" s="162">
        <f>IFERROR(Table1[[#This Row],[B1.Aud]]-Table1[[#This Row],[PW(gm)]],"ERR")</f>
        <v>0</v>
      </c>
      <c r="W222" s="165">
        <f>IFERROR(Table1[[#This Row],[B1.Diff]]/Table1[[#This Row],[B1.Aud]],"ERR")</f>
        <v>0</v>
      </c>
      <c r="X222" s="162">
        <f>_xlfn.IFNA(VLOOKUP(Table1[[#This Row],[MTP SKU Code]],'Audit Dimensions'!A:N,10,FALSE),"ARC")</f>
        <v>0</v>
      </c>
      <c r="Y222" s="163">
        <f>IFERROR(Table1[[#This Row],[B2.Aud]]-Table1[[#This Row],[PW(gm)5]],"ERR")</f>
        <v>0</v>
      </c>
      <c r="Z222" s="165" t="str">
        <f>IFERROR(Table1[[#This Row],[B2.Diff]]/Table1[[#This Row],[B2.Aud]],"NA")</f>
        <v>NA</v>
      </c>
      <c r="AA222" s="162">
        <f>_xlfn.IFNA(VLOOKUP(Table1[[#This Row],[MTP SKU Code]],'Audit Dimensions'!A:N,14,FALSE),"ARC")</f>
        <v>0</v>
      </c>
      <c r="AB222" s="161">
        <f>IFERROR(Table1[[#This Row],[B3.Aud]]-Table1[[#This Row],[PW(gm)9]],"ERR")</f>
        <v>0</v>
      </c>
      <c r="AC222" s="168">
        <f>IFERROR(Table1[[#This Row],[B3.Diff]]/Table1[[#This Row],[BaLL.Aud]],"ERR")</f>
        <v>0</v>
      </c>
      <c r="AD222" s="189">
        <f>_xlfn.IFNA(VLOOKUP(Table1[[#This Row],[MTP SKU Code]],'Audit Dimensions'!A:U,16,FALSE),"ARC")</f>
        <v>6700</v>
      </c>
      <c r="AE222" s="165">
        <f>IFERROR(1-Table1[[#This Row],[Gms]]/Table1[[#This Row],[BaLL.Aud]],"ERR")</f>
        <v>0</v>
      </c>
    </row>
    <row r="223" spans="1:31">
      <c r="A223" s="68" t="s">
        <v>268</v>
      </c>
      <c r="B223" s="84" t="s">
        <v>48</v>
      </c>
      <c r="C223" s="190">
        <f>_xlfn.XLOOKUP(Table1[[#This Row],[MTP SKU Code]],'Audit Dimensions'!A:A,'Audit Dimensions'!C:C,0)</f>
        <v>123</v>
      </c>
      <c r="D223" s="190">
        <f>_xlfn.XLOOKUP(Table1[[#This Row],[MTP SKU Code]],'Audit Dimensions'!$A:$A,'Audit Dimensions'!D:D,0)</f>
        <v>63</v>
      </c>
      <c r="E223" s="190">
        <f>_xlfn.XLOOKUP(Table1[[#This Row],[MTP SKU Code]],'Audit Dimensions'!$A:$A,'Audit Dimensions'!E:E,0)</f>
        <v>8</v>
      </c>
      <c r="F223" s="190">
        <v>20700</v>
      </c>
      <c r="G223" s="190">
        <f>_xlfn.XLOOKUP(Table1[[#This Row],[MTP SKU Code]],'Audit Dimensions'!$A:$A,'Audit Dimensions'!G:G,0)</f>
        <v>0</v>
      </c>
      <c r="H223" s="190">
        <f>_xlfn.XLOOKUP(Table1[[#This Row],[MTP SKU Code]],'Audit Dimensions'!$A:$A,'Audit Dimensions'!H:H,0)</f>
        <v>0</v>
      </c>
      <c r="I223" s="190">
        <f>_xlfn.XLOOKUP(Table1[[#This Row],[MTP SKU Code]],'Audit Dimensions'!$A:$A,'Audit Dimensions'!I:I,0)</f>
        <v>0</v>
      </c>
      <c r="J223" s="190">
        <f>_xlfn.XLOOKUP(Table1[[#This Row],[MTP SKU Code]],'Audit Dimensions'!$A:$A,'Audit Dimensions'!J:J,0)</f>
        <v>0</v>
      </c>
      <c r="K223" s="190">
        <f>_xlfn.XLOOKUP(Table1[[#This Row],[MTP SKU Code]],'Audit Dimensions'!$A:$A,'Audit Dimensions'!K:K,0)</f>
        <v>0</v>
      </c>
      <c r="L223" s="190">
        <f>_xlfn.XLOOKUP(Table1[[#This Row],[MTP SKU Code]],'Audit Dimensions'!$A:$A,'Audit Dimensions'!L:L,0)</f>
        <v>0</v>
      </c>
      <c r="M223" s="190">
        <f>_xlfn.XLOOKUP(Table1[[#This Row],[MTP SKU Code]],'Audit Dimensions'!$A:$A,'Audit Dimensions'!M:M,0)</f>
        <v>0</v>
      </c>
      <c r="N223" s="190">
        <f>_xlfn.XLOOKUP(Table1[[#This Row],[MTP SKU Code]],'Audit Dimensions'!$A:$A,'Audit Dimensions'!N:N,0)</f>
        <v>0</v>
      </c>
      <c r="O223" s="118">
        <f>((IFERROR((C223*D223*E223),0)+IFERROR((G223*H223*I223),0)+IFERROR((K223*L223*M223),0))/1000000)*35.32</f>
        <v>2.1895574399999997</v>
      </c>
      <c r="P223" s="125">
        <f>Table1[[#This Row],[Column15]]*$P$2*1000</f>
        <v>13137.344639999999</v>
      </c>
      <c r="Q223" s="87">
        <f>F223+J223+N223</f>
        <v>20700</v>
      </c>
      <c r="R223" s="86">
        <f>MAX(Q223,O223)</f>
        <v>20700</v>
      </c>
      <c r="S223" s="86">
        <f>MAX(R223,P223)</f>
        <v>20700</v>
      </c>
      <c r="T223" s="156" t="str">
        <f>VLOOKUP(A223,'[1]MTP SKUs - Master Data'!$A:$B,2,FALSE)</f>
        <v>Y</v>
      </c>
      <c r="U223" s="162">
        <f>_xlfn.IFNA(VLOOKUP(Table1[[#This Row],[MTP SKU Code]],'Audit Dimensions'!A:N,6,FALSE),"ARC")</f>
        <v>22100</v>
      </c>
      <c r="V223" s="162">
        <f>IFERROR(Table1[[#This Row],[B1.Aud]]-Table1[[#This Row],[PW(gm)]],"ERR")</f>
        <v>1400</v>
      </c>
      <c r="W223" s="165">
        <f>IFERROR(Table1[[#This Row],[B1.Diff]]/Table1[[#This Row],[B1.Aud]],"ERR")</f>
        <v>6.3348416289592757E-2</v>
      </c>
      <c r="X223" s="162">
        <f>_xlfn.IFNA(VLOOKUP(Table1[[#This Row],[MTP SKU Code]],'Audit Dimensions'!A:N,10,FALSE),"ARC")</f>
        <v>0</v>
      </c>
      <c r="Y223" s="163">
        <f>IFERROR(Table1[[#This Row],[B2.Aud]]-Table1[[#This Row],[PW(gm)5]],"ERR")</f>
        <v>0</v>
      </c>
      <c r="Z223" s="165" t="str">
        <f>IFERROR(Table1[[#This Row],[B2.Diff]]/Table1[[#This Row],[B2.Aud]],"NA")</f>
        <v>NA</v>
      </c>
      <c r="AA223" s="162">
        <f>_xlfn.IFNA(VLOOKUP(Table1[[#This Row],[MTP SKU Code]],'Audit Dimensions'!A:N,14,FALSE),"ARC")</f>
        <v>0</v>
      </c>
      <c r="AB223" s="161">
        <f>IFERROR(Table1[[#This Row],[B3.Aud]]-Table1[[#This Row],[PW(gm)9]],"ERR")</f>
        <v>0</v>
      </c>
      <c r="AC223" s="168">
        <f>IFERROR(Table1[[#This Row],[B3.Diff]]/Table1[[#This Row],[BaLL.Aud]],"ERR")</f>
        <v>0</v>
      </c>
      <c r="AD223" s="189">
        <f>_xlfn.IFNA(VLOOKUP(Table1[[#This Row],[MTP SKU Code]],'Audit Dimensions'!A:U,16,FALSE),"ARC")</f>
        <v>22100</v>
      </c>
      <c r="AE223" s="165">
        <f>IFERROR(1-Table1[[#This Row],[Gms]]/Table1[[#This Row],[BaLL.Aud]],"ERR")</f>
        <v>6.3348416289592757E-2</v>
      </c>
    </row>
    <row r="224" spans="1:31">
      <c r="A224" s="68" t="s">
        <v>269</v>
      </c>
      <c r="B224" s="84" t="s">
        <v>48</v>
      </c>
      <c r="C224" s="190">
        <f>_xlfn.XLOOKUP(Table1[[#This Row],[MTP SKU Code]],'Audit Dimensions'!A:A,'Audit Dimensions'!C:C,0)</f>
        <v>71</v>
      </c>
      <c r="D224" s="190">
        <f>_xlfn.XLOOKUP(Table1[[#This Row],[MTP SKU Code]],'Audit Dimensions'!$A:$A,'Audit Dimensions'!D:D,0)</f>
        <v>65</v>
      </c>
      <c r="E224" s="190">
        <f>_xlfn.XLOOKUP(Table1[[#This Row],[MTP SKU Code]],'Audit Dimensions'!$A:$A,'Audit Dimensions'!E:E,0)</f>
        <v>8</v>
      </c>
      <c r="F224" s="190">
        <v>10870</v>
      </c>
      <c r="G224" s="190">
        <f>_xlfn.XLOOKUP(Table1[[#This Row],[MTP SKU Code]],'Audit Dimensions'!$A:$A,'Audit Dimensions'!G:G,0)</f>
        <v>0</v>
      </c>
      <c r="H224" s="190">
        <f>_xlfn.XLOOKUP(Table1[[#This Row],[MTP SKU Code]],'Audit Dimensions'!$A:$A,'Audit Dimensions'!H:H,0)</f>
        <v>0</v>
      </c>
      <c r="I224" s="190">
        <f>_xlfn.XLOOKUP(Table1[[#This Row],[MTP SKU Code]],'Audit Dimensions'!$A:$A,'Audit Dimensions'!I:I,0)</f>
        <v>0</v>
      </c>
      <c r="J224" s="190">
        <f>_xlfn.XLOOKUP(Table1[[#This Row],[MTP SKU Code]],'Audit Dimensions'!$A:$A,'Audit Dimensions'!J:J,0)</f>
        <v>0</v>
      </c>
      <c r="K224" s="190">
        <f>_xlfn.XLOOKUP(Table1[[#This Row],[MTP SKU Code]],'Audit Dimensions'!$A:$A,'Audit Dimensions'!K:K,0)</f>
        <v>0</v>
      </c>
      <c r="L224" s="190">
        <f>_xlfn.XLOOKUP(Table1[[#This Row],[MTP SKU Code]],'Audit Dimensions'!$A:$A,'Audit Dimensions'!L:L,0)</f>
        <v>0</v>
      </c>
      <c r="M224" s="190">
        <f>_xlfn.XLOOKUP(Table1[[#This Row],[MTP SKU Code]],'Audit Dimensions'!$A:$A,'Audit Dimensions'!M:M,0)</f>
        <v>0</v>
      </c>
      <c r="N224" s="190">
        <f>_xlfn.XLOOKUP(Table1[[#This Row],[MTP SKU Code]],'Audit Dimensions'!$A:$A,'Audit Dimensions'!N:N,0)</f>
        <v>0</v>
      </c>
      <c r="O224" s="118">
        <f>((IFERROR((C224*D224*E224),0)+IFERROR((G224*H224*I224),0)+IFERROR((K224*L224*M224),0))/1000000)*35.32</f>
        <v>1.3040144</v>
      </c>
      <c r="P224" s="125">
        <f>Table1[[#This Row],[Column15]]*$P$2*1000</f>
        <v>7824.0864000000001</v>
      </c>
      <c r="Q224" s="87">
        <f>F224+J224+N224</f>
        <v>10870</v>
      </c>
      <c r="R224" s="86">
        <f>MAX(Q224,O224)</f>
        <v>10870</v>
      </c>
      <c r="S224" s="86">
        <f>MAX(R224,P224)</f>
        <v>10870</v>
      </c>
      <c r="T224" s="157" t="str">
        <f>VLOOKUP(A224,'[1]MTP SKUs - Master Data'!$A:$B,2,FALSE)</f>
        <v>Y</v>
      </c>
      <c r="U224" s="162">
        <f>_xlfn.IFNA(VLOOKUP(Table1[[#This Row],[MTP SKU Code]],'Audit Dimensions'!A:N,6,FALSE),"ARC")</f>
        <v>11540</v>
      </c>
      <c r="V224" s="162">
        <f>IFERROR(Table1[[#This Row],[B1.Aud]]-Table1[[#This Row],[PW(gm)]],"ERR")</f>
        <v>670</v>
      </c>
      <c r="W224" s="165">
        <f>IFERROR(Table1[[#This Row],[B1.Diff]]/Table1[[#This Row],[B1.Aud]],"ERR")</f>
        <v>5.8058925476603122E-2</v>
      </c>
      <c r="X224" s="162">
        <f>_xlfn.IFNA(VLOOKUP(Table1[[#This Row],[MTP SKU Code]],'Audit Dimensions'!A:N,10,FALSE),"ARC")</f>
        <v>0</v>
      </c>
      <c r="Y224" s="163">
        <f>IFERROR(Table1[[#This Row],[B2.Aud]]-Table1[[#This Row],[PW(gm)5]],"ERR")</f>
        <v>0</v>
      </c>
      <c r="Z224" s="165" t="str">
        <f>IFERROR(Table1[[#This Row],[B2.Diff]]/Table1[[#This Row],[B2.Aud]],"NA")</f>
        <v>NA</v>
      </c>
      <c r="AA224" s="162">
        <f>_xlfn.IFNA(VLOOKUP(Table1[[#This Row],[MTP SKU Code]],'Audit Dimensions'!A:N,14,FALSE),"ARC")</f>
        <v>0</v>
      </c>
      <c r="AB224" s="161">
        <f>IFERROR(Table1[[#This Row],[B3.Aud]]-Table1[[#This Row],[PW(gm)9]],"ERR")</f>
        <v>0</v>
      </c>
      <c r="AC224" s="169">
        <f>IFERROR(Table1[[#This Row],[B3.Diff]]/Table1[[#This Row],[BaLL.Aud]],"ERR")</f>
        <v>0</v>
      </c>
      <c r="AD224" s="189">
        <f>_xlfn.IFNA(VLOOKUP(Table1[[#This Row],[MTP SKU Code]],'Audit Dimensions'!A:U,16,FALSE),"ARC")</f>
        <v>11540</v>
      </c>
      <c r="AE224" s="170">
        <f>IFERROR(1-Table1[[#This Row],[Gms]]/Table1[[#This Row],[BaLL.Aud]],"ERR")</f>
        <v>5.8058925476603074E-2</v>
      </c>
    </row>
    <row r="225" spans="1:31">
      <c r="A225" s="68" t="s">
        <v>270</v>
      </c>
      <c r="B225" s="84" t="s">
        <v>48</v>
      </c>
      <c r="C225" s="190">
        <f>_xlfn.XLOOKUP(Table1[[#This Row],[MTP SKU Code]],'Audit Dimensions'!A:A,'Audit Dimensions'!C:C,0)</f>
        <v>85</v>
      </c>
      <c r="D225" s="190">
        <f>_xlfn.XLOOKUP(Table1[[#This Row],[MTP SKU Code]],'Audit Dimensions'!$A:$A,'Audit Dimensions'!D:D,0)</f>
        <v>45</v>
      </c>
      <c r="E225" s="190">
        <f>_xlfn.XLOOKUP(Table1[[#This Row],[MTP SKU Code]],'Audit Dimensions'!$A:$A,'Audit Dimensions'!E:E,0)</f>
        <v>8</v>
      </c>
      <c r="F225" s="190">
        <v>12900</v>
      </c>
      <c r="G225" s="190">
        <f>_xlfn.XLOOKUP(Table1[[#This Row],[MTP SKU Code]],'Audit Dimensions'!$A:$A,'Audit Dimensions'!G:G,0)</f>
        <v>0</v>
      </c>
      <c r="H225" s="190">
        <f>_xlfn.XLOOKUP(Table1[[#This Row],[MTP SKU Code]],'Audit Dimensions'!$A:$A,'Audit Dimensions'!H:H,0)</f>
        <v>0</v>
      </c>
      <c r="I225" s="190">
        <f>_xlfn.XLOOKUP(Table1[[#This Row],[MTP SKU Code]],'Audit Dimensions'!$A:$A,'Audit Dimensions'!I:I,0)</f>
        <v>0</v>
      </c>
      <c r="J225" s="190">
        <f>_xlfn.XLOOKUP(Table1[[#This Row],[MTP SKU Code]],'Audit Dimensions'!$A:$A,'Audit Dimensions'!J:J,0)</f>
        <v>0</v>
      </c>
      <c r="K225" s="190">
        <f>_xlfn.XLOOKUP(Table1[[#This Row],[MTP SKU Code]],'Audit Dimensions'!$A:$A,'Audit Dimensions'!K:K,0)</f>
        <v>0</v>
      </c>
      <c r="L225" s="190">
        <f>_xlfn.XLOOKUP(Table1[[#This Row],[MTP SKU Code]],'Audit Dimensions'!$A:$A,'Audit Dimensions'!L:L,0)</f>
        <v>0</v>
      </c>
      <c r="M225" s="190">
        <f>_xlfn.XLOOKUP(Table1[[#This Row],[MTP SKU Code]],'Audit Dimensions'!$A:$A,'Audit Dimensions'!M:M,0)</f>
        <v>0</v>
      </c>
      <c r="N225" s="190">
        <f>_xlfn.XLOOKUP(Table1[[#This Row],[MTP SKU Code]],'Audit Dimensions'!$A:$A,'Audit Dimensions'!N:N,0)</f>
        <v>0</v>
      </c>
      <c r="O225" s="118">
        <f>((IFERROR((C225*D225*E225),0)+IFERROR((G225*H225*I225),0)+IFERROR((K225*L225*M225),0))/1000000)*35.32</f>
        <v>1.080792</v>
      </c>
      <c r="P225" s="125">
        <f>Table1[[#This Row],[Column15]]*$P$2*1000</f>
        <v>6484.7520000000004</v>
      </c>
      <c r="Q225" s="87">
        <f>F225+J225+N225</f>
        <v>12900</v>
      </c>
      <c r="R225" s="86">
        <f>MAX(Q225,O225)</f>
        <v>12900</v>
      </c>
      <c r="S225" s="86">
        <f>MAX(R225,P225)</f>
        <v>12900</v>
      </c>
      <c r="T225" s="156" t="str">
        <f>VLOOKUP(A225,'[1]MTP SKUs - Master Data'!$A:$B,2,FALSE)</f>
        <v>Y</v>
      </c>
      <c r="U225" s="162">
        <f>_xlfn.IFNA(VLOOKUP(Table1[[#This Row],[MTP SKU Code]],'Audit Dimensions'!A:N,6,FALSE),"ARC")</f>
        <v>13900</v>
      </c>
      <c r="V225" s="162">
        <f>IFERROR(Table1[[#This Row],[B1.Aud]]-Table1[[#This Row],[PW(gm)]],"ERR")</f>
        <v>1000</v>
      </c>
      <c r="W225" s="165">
        <f>IFERROR(Table1[[#This Row],[B1.Diff]]/Table1[[#This Row],[B1.Aud]],"ERR")</f>
        <v>7.1942446043165464E-2</v>
      </c>
      <c r="X225" s="162">
        <f>_xlfn.IFNA(VLOOKUP(Table1[[#This Row],[MTP SKU Code]],'Audit Dimensions'!A:N,10,FALSE),"ARC")</f>
        <v>0</v>
      </c>
      <c r="Y225" s="163">
        <f>IFERROR(Table1[[#This Row],[B2.Aud]]-Table1[[#This Row],[PW(gm)5]],"ERR")</f>
        <v>0</v>
      </c>
      <c r="Z225" s="165" t="str">
        <f>IFERROR(Table1[[#This Row],[B2.Diff]]/Table1[[#This Row],[B2.Aud]],"NA")</f>
        <v>NA</v>
      </c>
      <c r="AA225" s="162">
        <f>_xlfn.IFNA(VLOOKUP(Table1[[#This Row],[MTP SKU Code]],'Audit Dimensions'!A:N,14,FALSE),"ARC")</f>
        <v>0</v>
      </c>
      <c r="AB225" s="161">
        <f>IFERROR(Table1[[#This Row],[B3.Aud]]-Table1[[#This Row],[PW(gm)9]],"ERR")</f>
        <v>0</v>
      </c>
      <c r="AC225" s="168">
        <f>IFERROR(Table1[[#This Row],[B3.Diff]]/Table1[[#This Row],[BaLL.Aud]],"ERR")</f>
        <v>0</v>
      </c>
      <c r="AD225" s="189">
        <f>_xlfn.IFNA(VLOOKUP(Table1[[#This Row],[MTP SKU Code]],'Audit Dimensions'!A:U,16,FALSE),"ARC")</f>
        <v>13900</v>
      </c>
      <c r="AE225" s="165">
        <f>IFERROR(1-Table1[[#This Row],[Gms]]/Table1[[#This Row],[BaLL.Aud]],"ERR")</f>
        <v>7.1942446043165464E-2</v>
      </c>
    </row>
    <row r="226" spans="1:31">
      <c r="A226" s="68" t="s">
        <v>271</v>
      </c>
      <c r="B226" s="84" t="s">
        <v>48</v>
      </c>
      <c r="C226" s="190">
        <f>_xlfn.XLOOKUP(Table1[[#This Row],[MTP SKU Code]],'Audit Dimensions'!A:A,'Audit Dimensions'!C:C,0)</f>
        <v>88</v>
      </c>
      <c r="D226" s="190">
        <f>_xlfn.XLOOKUP(Table1[[#This Row],[MTP SKU Code]],'Audit Dimensions'!$A:$A,'Audit Dimensions'!D:D,0)</f>
        <v>19</v>
      </c>
      <c r="E226" s="190">
        <f>_xlfn.XLOOKUP(Table1[[#This Row],[MTP SKU Code]],'Audit Dimensions'!$A:$A,'Audit Dimensions'!E:E,0)</f>
        <v>7</v>
      </c>
      <c r="F226" s="190">
        <v>4860</v>
      </c>
      <c r="G226" s="190">
        <f>_xlfn.XLOOKUP(Table1[[#This Row],[MTP SKU Code]],'Audit Dimensions'!$A:$A,'Audit Dimensions'!G:G,0)</f>
        <v>0</v>
      </c>
      <c r="H226" s="190">
        <f>_xlfn.XLOOKUP(Table1[[#This Row],[MTP SKU Code]],'Audit Dimensions'!$A:$A,'Audit Dimensions'!H:H,0)</f>
        <v>0</v>
      </c>
      <c r="I226" s="190">
        <f>_xlfn.XLOOKUP(Table1[[#This Row],[MTP SKU Code]],'Audit Dimensions'!$A:$A,'Audit Dimensions'!I:I,0)</f>
        <v>0</v>
      </c>
      <c r="J226" s="190">
        <f>_xlfn.XLOOKUP(Table1[[#This Row],[MTP SKU Code]],'Audit Dimensions'!$A:$A,'Audit Dimensions'!J:J,0)</f>
        <v>0</v>
      </c>
      <c r="K226" s="190">
        <f>_xlfn.XLOOKUP(Table1[[#This Row],[MTP SKU Code]],'Audit Dimensions'!$A:$A,'Audit Dimensions'!K:K,0)</f>
        <v>0</v>
      </c>
      <c r="L226" s="190">
        <f>_xlfn.XLOOKUP(Table1[[#This Row],[MTP SKU Code]],'Audit Dimensions'!$A:$A,'Audit Dimensions'!L:L,0)</f>
        <v>0</v>
      </c>
      <c r="M226" s="190">
        <f>_xlfn.XLOOKUP(Table1[[#This Row],[MTP SKU Code]],'Audit Dimensions'!$A:$A,'Audit Dimensions'!M:M,0)</f>
        <v>0</v>
      </c>
      <c r="N226" s="190">
        <f>_xlfn.XLOOKUP(Table1[[#This Row],[MTP SKU Code]],'Audit Dimensions'!$A:$A,'Audit Dimensions'!N:N,0)</f>
        <v>0</v>
      </c>
      <c r="O226" s="118">
        <f>((IFERROR((C226*D226*E226),0)+IFERROR((G226*H226*I226),0)+IFERROR((K226*L226*M226),0))/1000000)*35.32</f>
        <v>0.41338528000000002</v>
      </c>
      <c r="P226" s="125">
        <f>Table1[[#This Row],[Column15]]*$P$2*1000</f>
        <v>2480.3116800000003</v>
      </c>
      <c r="Q226" s="87">
        <f>F226+J226+N226</f>
        <v>4860</v>
      </c>
      <c r="R226" s="86">
        <f>MAX(Q226,O226)</f>
        <v>4860</v>
      </c>
      <c r="S226" s="86">
        <f>MAX(R226,P226)</f>
        <v>4860</v>
      </c>
      <c r="T226" s="156" t="str">
        <f>VLOOKUP(A226,'[1]MTP SKUs - Master Data'!$A:$B,2,FALSE)</f>
        <v>Y</v>
      </c>
      <c r="U226" s="162">
        <f>_xlfn.IFNA(VLOOKUP(Table1[[#This Row],[MTP SKU Code]],'Audit Dimensions'!A:N,6,FALSE),"ARC")</f>
        <v>4950</v>
      </c>
      <c r="V226" s="162">
        <f>IFERROR(Table1[[#This Row],[B1.Aud]]-Table1[[#This Row],[PW(gm)]],"ERR")</f>
        <v>90</v>
      </c>
      <c r="W226" s="165">
        <f>IFERROR(Table1[[#This Row],[B1.Diff]]/Table1[[#This Row],[B1.Aud]],"ERR")</f>
        <v>1.8181818181818181E-2</v>
      </c>
      <c r="X226" s="162">
        <f>_xlfn.IFNA(VLOOKUP(Table1[[#This Row],[MTP SKU Code]],'Audit Dimensions'!A:N,10,FALSE),"ARC")</f>
        <v>0</v>
      </c>
      <c r="Y226" s="163">
        <f>IFERROR(Table1[[#This Row],[B2.Aud]]-Table1[[#This Row],[PW(gm)5]],"ERR")</f>
        <v>0</v>
      </c>
      <c r="Z226" s="165" t="str">
        <f>IFERROR(Table1[[#This Row],[B2.Diff]]/Table1[[#This Row],[B2.Aud]],"NA")</f>
        <v>NA</v>
      </c>
      <c r="AA226" s="162">
        <f>_xlfn.IFNA(VLOOKUP(Table1[[#This Row],[MTP SKU Code]],'Audit Dimensions'!A:N,14,FALSE),"ARC")</f>
        <v>0</v>
      </c>
      <c r="AB226" s="161">
        <f>IFERROR(Table1[[#This Row],[B3.Aud]]-Table1[[#This Row],[PW(gm)9]],"ERR")</f>
        <v>0</v>
      </c>
      <c r="AC226" s="168">
        <f>IFERROR(Table1[[#This Row],[B3.Diff]]/Table1[[#This Row],[BaLL.Aud]],"ERR")</f>
        <v>0</v>
      </c>
      <c r="AD226" s="189">
        <f>_xlfn.IFNA(VLOOKUP(Table1[[#This Row],[MTP SKU Code]],'Audit Dimensions'!A:U,16,FALSE),"ARC")</f>
        <v>4950</v>
      </c>
      <c r="AE226" s="165">
        <f>IFERROR(1-Table1[[#This Row],[Gms]]/Table1[[#This Row],[BaLL.Aud]],"ERR")</f>
        <v>1.8181818181818188E-2</v>
      </c>
    </row>
    <row r="227" spans="1:31">
      <c r="A227" s="91" t="s">
        <v>272</v>
      </c>
      <c r="B227" s="84" t="s">
        <v>48</v>
      </c>
      <c r="C227" s="190">
        <f>_xlfn.XLOOKUP(Table1[[#This Row],[MTP SKU Code]],'Audit Dimensions'!A:A,'Audit Dimensions'!C:C,0)</f>
        <v>196</v>
      </c>
      <c r="D227" s="190">
        <f>_xlfn.XLOOKUP(Table1[[#This Row],[MTP SKU Code]],'Audit Dimensions'!$A:$A,'Audit Dimensions'!D:D,0)</f>
        <v>40</v>
      </c>
      <c r="E227" s="190">
        <f>_xlfn.XLOOKUP(Table1[[#This Row],[MTP SKU Code]],'Audit Dimensions'!$A:$A,'Audit Dimensions'!E:E,0)</f>
        <v>8</v>
      </c>
      <c r="F227" s="190">
        <v>30600</v>
      </c>
      <c r="G227" s="190">
        <f>_xlfn.XLOOKUP(Table1[[#This Row],[MTP SKU Code]],'Audit Dimensions'!$A:$A,'Audit Dimensions'!G:G,0)</f>
        <v>0</v>
      </c>
      <c r="H227" s="190">
        <f>_xlfn.XLOOKUP(Table1[[#This Row],[MTP SKU Code]],'Audit Dimensions'!$A:$A,'Audit Dimensions'!H:H,0)</f>
        <v>0</v>
      </c>
      <c r="I227" s="190">
        <f>_xlfn.XLOOKUP(Table1[[#This Row],[MTP SKU Code]],'Audit Dimensions'!$A:$A,'Audit Dimensions'!I:I,0)</f>
        <v>0</v>
      </c>
      <c r="J227" s="190">
        <f>_xlfn.XLOOKUP(Table1[[#This Row],[MTP SKU Code]],'Audit Dimensions'!$A:$A,'Audit Dimensions'!J:J,0)</f>
        <v>0</v>
      </c>
      <c r="K227" s="190">
        <f>_xlfn.XLOOKUP(Table1[[#This Row],[MTP SKU Code]],'Audit Dimensions'!$A:$A,'Audit Dimensions'!K:K,0)</f>
        <v>0</v>
      </c>
      <c r="L227" s="190">
        <f>_xlfn.XLOOKUP(Table1[[#This Row],[MTP SKU Code]],'Audit Dimensions'!$A:$A,'Audit Dimensions'!L:L,0)</f>
        <v>0</v>
      </c>
      <c r="M227" s="190">
        <f>_xlfn.XLOOKUP(Table1[[#This Row],[MTP SKU Code]],'Audit Dimensions'!$A:$A,'Audit Dimensions'!M:M,0)</f>
        <v>0</v>
      </c>
      <c r="N227" s="190">
        <f>_xlfn.XLOOKUP(Table1[[#This Row],[MTP SKU Code]],'Audit Dimensions'!$A:$A,'Audit Dimensions'!N:N,0)</f>
        <v>0</v>
      </c>
      <c r="O227" s="118">
        <f>((IFERROR((C227*D227*E227),0)+IFERROR((G227*H227*I227),0)+IFERROR((K227*L227*M227),0))/1000000)*35.32</f>
        <v>2.2152704000000001</v>
      </c>
      <c r="P227" s="125">
        <f>Table1[[#This Row],[Column15]]*$P$2*1000</f>
        <v>13291.622400000002</v>
      </c>
      <c r="Q227" s="87">
        <f>F227+J227+N227</f>
        <v>30600</v>
      </c>
      <c r="R227" s="86">
        <f>MAX(Q227,O227)</f>
        <v>30600</v>
      </c>
      <c r="S227" s="86">
        <f>MAX(R227,P227)</f>
        <v>30600</v>
      </c>
      <c r="T227" s="156" t="str">
        <f>VLOOKUP(A227,'[1]MTP SKUs - Master Data'!$A:$B,2,FALSE)</f>
        <v>Y</v>
      </c>
      <c r="U227" s="162">
        <f>_xlfn.IFNA(VLOOKUP(Table1[[#This Row],[MTP SKU Code]],'Audit Dimensions'!A:N,6,FALSE),"ARC")</f>
        <v>32650</v>
      </c>
      <c r="V227" s="162">
        <f>IFERROR(Table1[[#This Row],[B1.Aud]]-Table1[[#This Row],[PW(gm)]],"ERR")</f>
        <v>2050</v>
      </c>
      <c r="W227" s="165">
        <f>IFERROR(Table1[[#This Row],[B1.Diff]]/Table1[[#This Row],[B1.Aud]],"ERR")</f>
        <v>6.278713629402756E-2</v>
      </c>
      <c r="X227" s="162">
        <f>_xlfn.IFNA(VLOOKUP(Table1[[#This Row],[MTP SKU Code]],'Audit Dimensions'!A:N,10,FALSE),"ARC")</f>
        <v>0</v>
      </c>
      <c r="Y227" s="163">
        <f>IFERROR(Table1[[#This Row],[B2.Aud]]-Table1[[#This Row],[PW(gm)5]],"ERR")</f>
        <v>0</v>
      </c>
      <c r="Z227" s="165" t="str">
        <f>IFERROR(Table1[[#This Row],[B2.Diff]]/Table1[[#This Row],[B2.Aud]],"NA")</f>
        <v>NA</v>
      </c>
      <c r="AA227" s="162">
        <f>_xlfn.IFNA(VLOOKUP(Table1[[#This Row],[MTP SKU Code]],'Audit Dimensions'!A:N,14,FALSE),"ARC")</f>
        <v>0</v>
      </c>
      <c r="AB227" s="161">
        <f>IFERROR(Table1[[#This Row],[B3.Aud]]-Table1[[#This Row],[PW(gm)9]],"ERR")</f>
        <v>0</v>
      </c>
      <c r="AC227" s="168">
        <f>IFERROR(Table1[[#This Row],[B3.Diff]]/Table1[[#This Row],[BaLL.Aud]],"ERR")</f>
        <v>0</v>
      </c>
      <c r="AD227" s="189">
        <f>_xlfn.IFNA(VLOOKUP(Table1[[#This Row],[MTP SKU Code]],'Audit Dimensions'!A:U,16,FALSE),"ARC")</f>
        <v>32650</v>
      </c>
      <c r="AE227" s="165">
        <f>IFERROR(1-Table1[[#This Row],[Gms]]/Table1[[#This Row],[BaLL.Aud]],"ERR")</f>
        <v>6.2787136294027546E-2</v>
      </c>
    </row>
    <row r="228" spans="1:31" ht="15" hidden="1" customHeight="1">
      <c r="A228" s="68" t="s">
        <v>273</v>
      </c>
      <c r="B228" s="84" t="s">
        <v>48</v>
      </c>
      <c r="C228" s="190">
        <f>_xlfn.XLOOKUP(Table1[[#This Row],[MTP SKU Code]],'Audit Dimensions'!A:A,'Audit Dimensions'!C:C,0)</f>
        <v>94</v>
      </c>
      <c r="D228" s="190">
        <f>_xlfn.XLOOKUP(Table1[[#This Row],[MTP SKU Code]],'Audit Dimensions'!$A:$A,'Audit Dimensions'!D:D,0)</f>
        <v>45</v>
      </c>
      <c r="E228" s="190">
        <f>_xlfn.XLOOKUP(Table1[[#This Row],[MTP SKU Code]],'Audit Dimensions'!$A:$A,'Audit Dimensions'!E:E,0)</f>
        <v>8</v>
      </c>
      <c r="F228" s="190">
        <v>12830</v>
      </c>
      <c r="G228" s="190">
        <f>_xlfn.XLOOKUP(Table1[[#This Row],[MTP SKU Code]],'Audit Dimensions'!$A:$A,'Audit Dimensions'!G:G,0)</f>
        <v>0</v>
      </c>
      <c r="H228" s="190">
        <f>_xlfn.XLOOKUP(Table1[[#This Row],[MTP SKU Code]],'Audit Dimensions'!$A:$A,'Audit Dimensions'!H:H,0)</f>
        <v>0</v>
      </c>
      <c r="I228" s="190">
        <f>_xlfn.XLOOKUP(Table1[[#This Row],[MTP SKU Code]],'Audit Dimensions'!$A:$A,'Audit Dimensions'!I:I,0)</f>
        <v>0</v>
      </c>
      <c r="J228" s="190">
        <f>_xlfn.XLOOKUP(Table1[[#This Row],[MTP SKU Code]],'Audit Dimensions'!$A:$A,'Audit Dimensions'!J:J,0)</f>
        <v>0</v>
      </c>
      <c r="K228" s="190">
        <f>_xlfn.XLOOKUP(Table1[[#This Row],[MTP SKU Code]],'Audit Dimensions'!$A:$A,'Audit Dimensions'!K:K,0)</f>
        <v>0</v>
      </c>
      <c r="L228" s="190">
        <f>_xlfn.XLOOKUP(Table1[[#This Row],[MTP SKU Code]],'Audit Dimensions'!$A:$A,'Audit Dimensions'!L:L,0)</f>
        <v>0</v>
      </c>
      <c r="M228" s="190">
        <f>_xlfn.XLOOKUP(Table1[[#This Row],[MTP SKU Code]],'Audit Dimensions'!$A:$A,'Audit Dimensions'!M:M,0)</f>
        <v>0</v>
      </c>
      <c r="N228" s="190">
        <f>_xlfn.XLOOKUP(Table1[[#This Row],[MTP SKU Code]],'Audit Dimensions'!$A:$A,'Audit Dimensions'!N:N,0)</f>
        <v>0</v>
      </c>
      <c r="O228" s="118">
        <f>((IFERROR((C228*D228*E228),0)+IFERROR((G228*H228*I228),0)+IFERROR((K228*L228*M228),0))/1000000)*35.32</f>
        <v>1.1952288</v>
      </c>
      <c r="P228" s="125">
        <f>Table1[[#This Row],[Column15]]*$P$2*1000</f>
        <v>7171.3728000000001</v>
      </c>
      <c r="Q228" s="87">
        <f>F228+J228+N228</f>
        <v>12830</v>
      </c>
      <c r="R228" s="86">
        <f>MAX(Q228,O228)</f>
        <v>12830</v>
      </c>
      <c r="S228" s="86">
        <f>MAX(R228,P228)</f>
        <v>12830</v>
      </c>
      <c r="T228" s="156" t="str">
        <f>VLOOKUP(A228,'[1]MTP SKUs - Master Data'!$A:$B,2,FALSE)</f>
        <v>RL</v>
      </c>
      <c r="U228" s="162">
        <f>_xlfn.IFNA(VLOOKUP(Table1[[#This Row],[MTP SKU Code]],'Audit Dimensions'!A:N,6,FALSE),"ARC")</f>
        <v>14000</v>
      </c>
      <c r="V228" s="162">
        <f>IFERROR(Table1[[#This Row],[B1.Aud]]-Table1[[#This Row],[PW(gm)]],"ERR")</f>
        <v>1170</v>
      </c>
      <c r="W228" s="165">
        <f>IFERROR(Table1[[#This Row],[B1.Diff]]/Table1[[#This Row],[B1.Aud]],"ERR")</f>
        <v>8.3571428571428574E-2</v>
      </c>
      <c r="X228" s="162">
        <f>_xlfn.IFNA(VLOOKUP(Table1[[#This Row],[MTP SKU Code]],'Audit Dimensions'!A:N,10,FALSE),"ARC")</f>
        <v>0</v>
      </c>
      <c r="Y228" s="163">
        <f>IFERROR(Table1[[#This Row],[B2.Aud]]-Table1[[#This Row],[PW(gm)5]],"ERR")</f>
        <v>0</v>
      </c>
      <c r="Z228" s="165" t="str">
        <f>IFERROR(Table1[[#This Row],[B2.Diff]]/Table1[[#This Row],[B2.Aud]],"NA")</f>
        <v>NA</v>
      </c>
      <c r="AA228" s="162">
        <f>_xlfn.IFNA(VLOOKUP(Table1[[#This Row],[MTP SKU Code]],'Audit Dimensions'!A:N,14,FALSE),"ARC")</f>
        <v>0</v>
      </c>
      <c r="AB228" s="161">
        <f>IFERROR(Table1[[#This Row],[B3.Aud]]-Table1[[#This Row],[PW(gm)9]],"ERR")</f>
        <v>0</v>
      </c>
      <c r="AC228" s="168">
        <f>IFERROR(Table1[[#This Row],[B3.Diff]]/Table1[[#This Row],[BaLL.Aud]],"ERR")</f>
        <v>0</v>
      </c>
      <c r="AD228" s="189">
        <f>_xlfn.IFNA(VLOOKUP(Table1[[#This Row],[MTP SKU Code]],'Audit Dimensions'!A:U,16,FALSE),"ARC")</f>
        <v>14000</v>
      </c>
      <c r="AE228" s="165">
        <f>IFERROR(1-Table1[[#This Row],[Gms]]/Table1[[#This Row],[BaLL.Aud]],"ERR")</f>
        <v>8.3571428571428519E-2</v>
      </c>
    </row>
    <row r="229" spans="1:31">
      <c r="A229" s="68" t="s">
        <v>274</v>
      </c>
      <c r="B229" s="84" t="s">
        <v>48</v>
      </c>
      <c r="C229" s="190">
        <f>_xlfn.XLOOKUP(Table1[[#This Row],[MTP SKU Code]],'Audit Dimensions'!A:A,'Audit Dimensions'!C:C,0)</f>
        <v>146</v>
      </c>
      <c r="D229" s="190">
        <f>_xlfn.XLOOKUP(Table1[[#This Row],[MTP SKU Code]],'Audit Dimensions'!$A:$A,'Audit Dimensions'!D:D,0)</f>
        <v>20</v>
      </c>
      <c r="E229" s="190">
        <f>_xlfn.XLOOKUP(Table1[[#This Row],[MTP SKU Code]],'Audit Dimensions'!$A:$A,'Audit Dimensions'!E:E,0)</f>
        <v>8</v>
      </c>
      <c r="F229" s="190">
        <v>12800</v>
      </c>
      <c r="G229" s="190">
        <f>_xlfn.XLOOKUP(Table1[[#This Row],[MTP SKU Code]],'Audit Dimensions'!$A:$A,'Audit Dimensions'!G:G,0)</f>
        <v>0</v>
      </c>
      <c r="H229" s="190">
        <f>_xlfn.XLOOKUP(Table1[[#This Row],[MTP SKU Code]],'Audit Dimensions'!$A:$A,'Audit Dimensions'!H:H,0)</f>
        <v>0</v>
      </c>
      <c r="I229" s="190">
        <f>_xlfn.XLOOKUP(Table1[[#This Row],[MTP SKU Code]],'Audit Dimensions'!$A:$A,'Audit Dimensions'!I:I,0)</f>
        <v>0</v>
      </c>
      <c r="J229" s="190">
        <f>_xlfn.XLOOKUP(Table1[[#This Row],[MTP SKU Code]],'Audit Dimensions'!$A:$A,'Audit Dimensions'!J:J,0)</f>
        <v>0</v>
      </c>
      <c r="K229" s="190">
        <f>_xlfn.XLOOKUP(Table1[[#This Row],[MTP SKU Code]],'Audit Dimensions'!$A:$A,'Audit Dimensions'!K:K,0)</f>
        <v>0</v>
      </c>
      <c r="L229" s="190">
        <f>_xlfn.XLOOKUP(Table1[[#This Row],[MTP SKU Code]],'Audit Dimensions'!$A:$A,'Audit Dimensions'!L:L,0)</f>
        <v>0</v>
      </c>
      <c r="M229" s="190">
        <f>_xlfn.XLOOKUP(Table1[[#This Row],[MTP SKU Code]],'Audit Dimensions'!$A:$A,'Audit Dimensions'!M:M,0)</f>
        <v>0</v>
      </c>
      <c r="N229" s="190">
        <f>_xlfn.XLOOKUP(Table1[[#This Row],[MTP SKU Code]],'Audit Dimensions'!$A:$A,'Audit Dimensions'!N:N,0)</f>
        <v>0</v>
      </c>
      <c r="O229" s="118">
        <f>((IFERROR((C229*D229*E229),0)+IFERROR((G229*H229*I229),0)+IFERROR((K229*L229*M229),0))/1000000)*35.32</f>
        <v>0.82507520000000001</v>
      </c>
      <c r="P229" s="125">
        <f>Table1[[#This Row],[Column15]]*$P$2*1000</f>
        <v>4950.4511999999995</v>
      </c>
      <c r="Q229" s="87">
        <f>F229+J229+N229</f>
        <v>12800</v>
      </c>
      <c r="R229" s="86">
        <f>MAX(Q229,O229)</f>
        <v>12800</v>
      </c>
      <c r="S229" s="86">
        <f>MAX(R229,P229)</f>
        <v>12800</v>
      </c>
      <c r="T229" s="156" t="str">
        <f>VLOOKUP(A229,'[1]MTP SKUs - Master Data'!$A:$B,2,FALSE)</f>
        <v>Y</v>
      </c>
      <c r="U229" s="162">
        <f>_xlfn.IFNA(VLOOKUP(Table1[[#This Row],[MTP SKU Code]],'Audit Dimensions'!A:N,6,FALSE),"ARC")</f>
        <v>14000</v>
      </c>
      <c r="V229" s="162">
        <f>IFERROR(Table1[[#This Row],[B1.Aud]]-Table1[[#This Row],[PW(gm)]],"ERR")</f>
        <v>1200</v>
      </c>
      <c r="W229" s="165">
        <f>IFERROR(Table1[[#This Row],[B1.Diff]]/Table1[[#This Row],[B1.Aud]],"ERR")</f>
        <v>8.5714285714285715E-2</v>
      </c>
      <c r="X229" s="162">
        <f>_xlfn.IFNA(VLOOKUP(Table1[[#This Row],[MTP SKU Code]],'Audit Dimensions'!A:N,10,FALSE),"ARC")</f>
        <v>0</v>
      </c>
      <c r="Y229" s="163">
        <f>IFERROR(Table1[[#This Row],[B2.Aud]]-Table1[[#This Row],[PW(gm)5]],"ERR")</f>
        <v>0</v>
      </c>
      <c r="Z229" s="165" t="str">
        <f>IFERROR(Table1[[#This Row],[B2.Diff]]/Table1[[#This Row],[B2.Aud]],"NA")</f>
        <v>NA</v>
      </c>
      <c r="AA229" s="162">
        <f>_xlfn.IFNA(VLOOKUP(Table1[[#This Row],[MTP SKU Code]],'Audit Dimensions'!A:N,14,FALSE),"ARC")</f>
        <v>0</v>
      </c>
      <c r="AB229" s="161">
        <f>IFERROR(Table1[[#This Row],[B3.Aud]]-Table1[[#This Row],[PW(gm)9]],"ERR")</f>
        <v>0</v>
      </c>
      <c r="AC229" s="168">
        <f>IFERROR(Table1[[#This Row],[B3.Diff]]/Table1[[#This Row],[BaLL.Aud]],"ERR")</f>
        <v>0</v>
      </c>
      <c r="AD229" s="189">
        <f>_xlfn.IFNA(VLOOKUP(Table1[[#This Row],[MTP SKU Code]],'Audit Dimensions'!A:U,16,FALSE),"ARC")</f>
        <v>14000</v>
      </c>
      <c r="AE229" s="165">
        <f>IFERROR(1-Table1[[#This Row],[Gms]]/Table1[[#This Row],[BaLL.Aud]],"ERR")</f>
        <v>8.5714285714285743E-2</v>
      </c>
    </row>
    <row r="230" spans="1:31">
      <c r="A230" s="91" t="s">
        <v>275</v>
      </c>
      <c r="B230" s="84" t="s">
        <v>48</v>
      </c>
      <c r="C230" s="190">
        <f>_xlfn.XLOOKUP(Table1[[#This Row],[MTP SKU Code]],'Audit Dimensions'!A:A,'Audit Dimensions'!C:C,0)</f>
        <v>66</v>
      </c>
      <c r="D230" s="190">
        <f>_xlfn.XLOOKUP(Table1[[#This Row],[MTP SKU Code]],'Audit Dimensions'!$A:$A,'Audit Dimensions'!D:D,0)</f>
        <v>30</v>
      </c>
      <c r="E230" s="190">
        <f>_xlfn.XLOOKUP(Table1[[#This Row],[MTP SKU Code]],'Audit Dimensions'!$A:$A,'Audit Dimensions'!E:E,0)</f>
        <v>5</v>
      </c>
      <c r="F230" s="190">
        <v>2850</v>
      </c>
      <c r="G230" s="190">
        <f>_xlfn.XLOOKUP(Table1[[#This Row],[MTP SKU Code]],'Audit Dimensions'!$A:$A,'Audit Dimensions'!G:G,0)</f>
        <v>0</v>
      </c>
      <c r="H230" s="190">
        <f>_xlfn.XLOOKUP(Table1[[#This Row],[MTP SKU Code]],'Audit Dimensions'!$A:$A,'Audit Dimensions'!H:H,0)</f>
        <v>0</v>
      </c>
      <c r="I230" s="190">
        <f>_xlfn.XLOOKUP(Table1[[#This Row],[MTP SKU Code]],'Audit Dimensions'!$A:$A,'Audit Dimensions'!I:I,0)</f>
        <v>0</v>
      </c>
      <c r="J230" s="190">
        <f>_xlfn.XLOOKUP(Table1[[#This Row],[MTP SKU Code]],'Audit Dimensions'!$A:$A,'Audit Dimensions'!J:J,0)</f>
        <v>0</v>
      </c>
      <c r="K230" s="190">
        <f>_xlfn.XLOOKUP(Table1[[#This Row],[MTP SKU Code]],'Audit Dimensions'!$A:$A,'Audit Dimensions'!K:K,0)</f>
        <v>0</v>
      </c>
      <c r="L230" s="190">
        <f>_xlfn.XLOOKUP(Table1[[#This Row],[MTP SKU Code]],'Audit Dimensions'!$A:$A,'Audit Dimensions'!L:L,0)</f>
        <v>0</v>
      </c>
      <c r="M230" s="190">
        <f>_xlfn.XLOOKUP(Table1[[#This Row],[MTP SKU Code]],'Audit Dimensions'!$A:$A,'Audit Dimensions'!M:M,0)</f>
        <v>0</v>
      </c>
      <c r="N230" s="190">
        <f>_xlfn.XLOOKUP(Table1[[#This Row],[MTP SKU Code]],'Audit Dimensions'!$A:$A,'Audit Dimensions'!N:N,0)</f>
        <v>0</v>
      </c>
      <c r="O230" s="118">
        <f>((IFERROR((C230*D230*E230),0)+IFERROR((G230*H230*I230),0)+IFERROR((K230*L230*M230),0))/1000000)*35.32</f>
        <v>0.34966800000000003</v>
      </c>
      <c r="P230" s="125">
        <f>Table1[[#This Row],[Column15]]*$P$2*1000</f>
        <v>2098.0080000000003</v>
      </c>
      <c r="Q230" s="87">
        <f>F230+J230+N230</f>
        <v>2850</v>
      </c>
      <c r="R230" s="86">
        <f>MAX(Q230,O230)</f>
        <v>2850</v>
      </c>
      <c r="S230" s="86">
        <f>MAX(R230,P230)</f>
        <v>2850</v>
      </c>
      <c r="T230" s="156" t="str">
        <f>VLOOKUP(A230,'[1]MTP SKUs - Master Data'!$A:$B,2,FALSE)</f>
        <v>Y</v>
      </c>
      <c r="U230" s="162">
        <f>_xlfn.IFNA(VLOOKUP(Table1[[#This Row],[MTP SKU Code]],'Audit Dimensions'!A:N,6,FALSE),"ARC")</f>
        <v>3335</v>
      </c>
      <c r="V230" s="162">
        <f>IFERROR(Table1[[#This Row],[B1.Aud]]-Table1[[#This Row],[PW(gm)]],"ERR")</f>
        <v>485</v>
      </c>
      <c r="W230" s="165">
        <f>IFERROR(Table1[[#This Row],[B1.Diff]]/Table1[[#This Row],[B1.Aud]],"ERR")</f>
        <v>0.14542728635682159</v>
      </c>
      <c r="X230" s="162">
        <f>_xlfn.IFNA(VLOOKUP(Table1[[#This Row],[MTP SKU Code]],'Audit Dimensions'!A:N,10,FALSE),"ARC")</f>
        <v>0</v>
      </c>
      <c r="Y230" s="163">
        <f>IFERROR(Table1[[#This Row],[B2.Aud]]-Table1[[#This Row],[PW(gm)5]],"ERR")</f>
        <v>0</v>
      </c>
      <c r="Z230" s="165" t="str">
        <f>IFERROR(Table1[[#This Row],[B2.Diff]]/Table1[[#This Row],[B2.Aud]],"NA")</f>
        <v>NA</v>
      </c>
      <c r="AA230" s="162">
        <f>_xlfn.IFNA(VLOOKUP(Table1[[#This Row],[MTP SKU Code]],'Audit Dimensions'!A:N,14,FALSE),"ARC")</f>
        <v>0</v>
      </c>
      <c r="AB230" s="161">
        <f>IFERROR(Table1[[#This Row],[B3.Aud]]-Table1[[#This Row],[PW(gm)9]],"ERR")</f>
        <v>0</v>
      </c>
      <c r="AC230" s="168">
        <f>IFERROR(Table1[[#This Row],[B3.Diff]]/Table1[[#This Row],[BaLL.Aud]],"ERR")</f>
        <v>0</v>
      </c>
      <c r="AD230" s="189">
        <f>_xlfn.IFNA(VLOOKUP(Table1[[#This Row],[MTP SKU Code]],'Audit Dimensions'!A:U,16,FALSE),"ARC")</f>
        <v>3335</v>
      </c>
      <c r="AE230" s="165">
        <f>IFERROR(1-Table1[[#This Row],[Gms]]/Table1[[#This Row],[BaLL.Aud]],"ERR")</f>
        <v>0.14542728635682156</v>
      </c>
    </row>
    <row r="231" spans="1:31">
      <c r="A231" s="68" t="s">
        <v>276</v>
      </c>
      <c r="B231" s="84" t="s">
        <v>48</v>
      </c>
      <c r="C231" s="190">
        <f>_xlfn.XLOOKUP(Table1[[#This Row],[MTP SKU Code]],'Audit Dimensions'!A:A,'Audit Dimensions'!C:C,0)</f>
        <v>127</v>
      </c>
      <c r="D231" s="190">
        <f>_xlfn.XLOOKUP(Table1[[#This Row],[MTP SKU Code]],'Audit Dimensions'!$A:$A,'Audit Dimensions'!D:D,0)</f>
        <v>44</v>
      </c>
      <c r="E231" s="190">
        <f>_xlfn.XLOOKUP(Table1[[#This Row],[MTP SKU Code]],'Audit Dimensions'!$A:$A,'Audit Dimensions'!E:E,0)</f>
        <v>9</v>
      </c>
      <c r="F231" s="190">
        <v>12800</v>
      </c>
      <c r="G231" s="190">
        <f>_xlfn.XLOOKUP(Table1[[#This Row],[MTP SKU Code]],'Audit Dimensions'!$A:$A,'Audit Dimensions'!G:G,0)</f>
        <v>0</v>
      </c>
      <c r="H231" s="190">
        <f>_xlfn.XLOOKUP(Table1[[#This Row],[MTP SKU Code]],'Audit Dimensions'!$A:$A,'Audit Dimensions'!H:H,0)</f>
        <v>0</v>
      </c>
      <c r="I231" s="190">
        <f>_xlfn.XLOOKUP(Table1[[#This Row],[MTP SKU Code]],'Audit Dimensions'!$A:$A,'Audit Dimensions'!I:I,0)</f>
        <v>0</v>
      </c>
      <c r="J231" s="190">
        <f>_xlfn.XLOOKUP(Table1[[#This Row],[MTP SKU Code]],'Audit Dimensions'!$A:$A,'Audit Dimensions'!J:J,0)</f>
        <v>0</v>
      </c>
      <c r="K231" s="190">
        <f>_xlfn.XLOOKUP(Table1[[#This Row],[MTP SKU Code]],'Audit Dimensions'!$A:$A,'Audit Dimensions'!K:K,0)</f>
        <v>0</v>
      </c>
      <c r="L231" s="190">
        <f>_xlfn.XLOOKUP(Table1[[#This Row],[MTP SKU Code]],'Audit Dimensions'!$A:$A,'Audit Dimensions'!L:L,0)</f>
        <v>0</v>
      </c>
      <c r="M231" s="190">
        <f>_xlfn.XLOOKUP(Table1[[#This Row],[MTP SKU Code]],'Audit Dimensions'!$A:$A,'Audit Dimensions'!M:M,0)</f>
        <v>0</v>
      </c>
      <c r="N231" s="190">
        <f>_xlfn.XLOOKUP(Table1[[#This Row],[MTP SKU Code]],'Audit Dimensions'!$A:$A,'Audit Dimensions'!N:N,0)</f>
        <v>0</v>
      </c>
      <c r="O231" s="118">
        <f>((IFERROR((C231*D231*E231),0)+IFERROR((G231*H231*I231),0)+IFERROR((K231*L231*M231),0))/1000000)*35.32</f>
        <v>1.7763134400000002</v>
      </c>
      <c r="P231" s="125">
        <f>Table1[[#This Row],[Column15]]*$P$2*1000</f>
        <v>10657.880640000001</v>
      </c>
      <c r="Q231" s="87">
        <f>F231+J231+N231</f>
        <v>12800</v>
      </c>
      <c r="R231" s="86">
        <f>MAX(Q231,O231)</f>
        <v>12800</v>
      </c>
      <c r="S231" s="86">
        <f>MAX(R231,P231)</f>
        <v>12800</v>
      </c>
      <c r="T231" s="156" t="str">
        <f>VLOOKUP(A231,'[1]MTP SKUs - Master Data'!$A:$B,2,FALSE)</f>
        <v>Y</v>
      </c>
      <c r="U231" s="162">
        <f>_xlfn.IFNA(VLOOKUP(Table1[[#This Row],[MTP SKU Code]],'Audit Dimensions'!A:N,6,FALSE),"ARC")</f>
        <v>14000</v>
      </c>
      <c r="V231" s="162">
        <f>IFERROR(Table1[[#This Row],[B1.Aud]]-Table1[[#This Row],[PW(gm)]],"ERR")</f>
        <v>1200</v>
      </c>
      <c r="W231" s="165">
        <f>IFERROR(Table1[[#This Row],[B1.Diff]]/Table1[[#This Row],[B1.Aud]],"ERR")</f>
        <v>8.5714285714285715E-2</v>
      </c>
      <c r="X231" s="162">
        <f>_xlfn.IFNA(VLOOKUP(Table1[[#This Row],[MTP SKU Code]],'Audit Dimensions'!A:N,10,FALSE),"ARC")</f>
        <v>0</v>
      </c>
      <c r="Y231" s="163">
        <f>IFERROR(Table1[[#This Row],[B2.Aud]]-Table1[[#This Row],[PW(gm)5]],"ERR")</f>
        <v>0</v>
      </c>
      <c r="Z231" s="165" t="str">
        <f>IFERROR(Table1[[#This Row],[B2.Diff]]/Table1[[#This Row],[B2.Aud]],"NA")</f>
        <v>NA</v>
      </c>
      <c r="AA231" s="162">
        <f>_xlfn.IFNA(VLOOKUP(Table1[[#This Row],[MTP SKU Code]],'Audit Dimensions'!A:N,14,FALSE),"ARC")</f>
        <v>0</v>
      </c>
      <c r="AB231" s="161">
        <f>IFERROR(Table1[[#This Row],[B3.Aud]]-Table1[[#This Row],[PW(gm)9]],"ERR")</f>
        <v>0</v>
      </c>
      <c r="AC231" s="168">
        <f>IFERROR(Table1[[#This Row],[B3.Diff]]/Table1[[#This Row],[BaLL.Aud]],"ERR")</f>
        <v>0</v>
      </c>
      <c r="AD231" s="189">
        <f>_xlfn.IFNA(VLOOKUP(Table1[[#This Row],[MTP SKU Code]],'Audit Dimensions'!A:U,16,FALSE),"ARC")</f>
        <v>14000</v>
      </c>
      <c r="AE231" s="165">
        <f>IFERROR(1-Table1[[#This Row],[Gms]]/Table1[[#This Row],[BaLL.Aud]],"ERR")</f>
        <v>8.5714285714285743E-2</v>
      </c>
    </row>
    <row r="232" spans="1:31">
      <c r="A232" s="68" t="s">
        <v>277</v>
      </c>
      <c r="B232" s="84" t="s">
        <v>48</v>
      </c>
      <c r="C232" s="190">
        <f>_xlfn.XLOOKUP(Table1[[#This Row],[MTP SKU Code]],'Audit Dimensions'!A:A,'Audit Dimensions'!C:C,0)</f>
        <v>52</v>
      </c>
      <c r="D232" s="190">
        <f>_xlfn.XLOOKUP(Table1[[#This Row],[MTP SKU Code]],'Audit Dimensions'!$A:$A,'Audit Dimensions'!D:D,0)</f>
        <v>29</v>
      </c>
      <c r="E232" s="190">
        <f>_xlfn.XLOOKUP(Table1[[#This Row],[MTP SKU Code]],'Audit Dimensions'!$A:$A,'Audit Dimensions'!E:E,0)</f>
        <v>10</v>
      </c>
      <c r="F232" s="190">
        <v>6830</v>
      </c>
      <c r="G232" s="190">
        <f>_xlfn.XLOOKUP(Table1[[#This Row],[MTP SKU Code]],'Audit Dimensions'!$A:$A,'Audit Dimensions'!G:G,0)</f>
        <v>0</v>
      </c>
      <c r="H232" s="190">
        <f>_xlfn.XLOOKUP(Table1[[#This Row],[MTP SKU Code]],'Audit Dimensions'!$A:$A,'Audit Dimensions'!H:H,0)</f>
        <v>0</v>
      </c>
      <c r="I232" s="190">
        <f>_xlfn.XLOOKUP(Table1[[#This Row],[MTP SKU Code]],'Audit Dimensions'!$A:$A,'Audit Dimensions'!I:I,0)</f>
        <v>0</v>
      </c>
      <c r="J232" s="190">
        <f>_xlfn.XLOOKUP(Table1[[#This Row],[MTP SKU Code]],'Audit Dimensions'!$A:$A,'Audit Dimensions'!J:J,0)</f>
        <v>0</v>
      </c>
      <c r="K232" s="190">
        <f>_xlfn.XLOOKUP(Table1[[#This Row],[MTP SKU Code]],'Audit Dimensions'!$A:$A,'Audit Dimensions'!K:K,0)</f>
        <v>0</v>
      </c>
      <c r="L232" s="190">
        <f>_xlfn.XLOOKUP(Table1[[#This Row],[MTP SKU Code]],'Audit Dimensions'!$A:$A,'Audit Dimensions'!L:L,0)</f>
        <v>0</v>
      </c>
      <c r="M232" s="190">
        <f>_xlfn.XLOOKUP(Table1[[#This Row],[MTP SKU Code]],'Audit Dimensions'!$A:$A,'Audit Dimensions'!M:M,0)</f>
        <v>0</v>
      </c>
      <c r="N232" s="190">
        <f>_xlfn.XLOOKUP(Table1[[#This Row],[MTP SKU Code]],'Audit Dimensions'!$A:$A,'Audit Dimensions'!N:N,0)</f>
        <v>0</v>
      </c>
      <c r="O232" s="118">
        <f>((IFERROR((C232*D232*E232),0)+IFERROR((G232*H232*I232),0)+IFERROR((K232*L232*M232),0))/1000000)*35.32</f>
        <v>0.53262560000000003</v>
      </c>
      <c r="P232" s="125">
        <f>Table1[[#This Row],[Column15]]*$P$2*1000</f>
        <v>3195.7536</v>
      </c>
      <c r="Q232" s="87">
        <f>F232+J232+N232</f>
        <v>6830</v>
      </c>
      <c r="R232" s="86">
        <f>MAX(Q232,O232)</f>
        <v>6830</v>
      </c>
      <c r="S232" s="86">
        <f>MAX(R232,P232)</f>
        <v>6830</v>
      </c>
      <c r="T232" s="156" t="str">
        <f>VLOOKUP(A232,'[1]MTP SKUs - Master Data'!$A:$B,2,FALSE)</f>
        <v>Y</v>
      </c>
      <c r="U232" s="162">
        <f>_xlfn.IFNA(VLOOKUP(Table1[[#This Row],[MTP SKU Code]],'Audit Dimensions'!A:N,6,FALSE),"ARC")</f>
        <v>6920</v>
      </c>
      <c r="V232" s="162">
        <f>IFERROR(Table1[[#This Row],[B1.Aud]]-Table1[[#This Row],[PW(gm)]],"ERR")</f>
        <v>90</v>
      </c>
      <c r="W232" s="165">
        <f>IFERROR(Table1[[#This Row],[B1.Diff]]/Table1[[#This Row],[B1.Aud]],"ERR")</f>
        <v>1.300578034682081E-2</v>
      </c>
      <c r="X232" s="162">
        <f>_xlfn.IFNA(VLOOKUP(Table1[[#This Row],[MTP SKU Code]],'Audit Dimensions'!A:N,10,FALSE),"ARC")</f>
        <v>0</v>
      </c>
      <c r="Y232" s="163">
        <f>IFERROR(Table1[[#This Row],[B2.Aud]]-Table1[[#This Row],[PW(gm)5]],"ERR")</f>
        <v>0</v>
      </c>
      <c r="Z232" s="165" t="str">
        <f>IFERROR(Table1[[#This Row],[B2.Diff]]/Table1[[#This Row],[B2.Aud]],"NA")</f>
        <v>NA</v>
      </c>
      <c r="AA232" s="162">
        <f>_xlfn.IFNA(VLOOKUP(Table1[[#This Row],[MTP SKU Code]],'Audit Dimensions'!A:N,14,FALSE),"ARC")</f>
        <v>0</v>
      </c>
      <c r="AB232" s="161">
        <f>IFERROR(Table1[[#This Row],[B3.Aud]]-Table1[[#This Row],[PW(gm)9]],"ERR")</f>
        <v>0</v>
      </c>
      <c r="AC232" s="168">
        <f>IFERROR(Table1[[#This Row],[B3.Diff]]/Table1[[#This Row],[BaLL.Aud]],"ERR")</f>
        <v>0</v>
      </c>
      <c r="AD232" s="189">
        <f>_xlfn.IFNA(VLOOKUP(Table1[[#This Row],[MTP SKU Code]],'Audit Dimensions'!A:U,16,FALSE),"ARC")</f>
        <v>6920</v>
      </c>
      <c r="AE232" s="165">
        <f>IFERROR(1-Table1[[#This Row],[Gms]]/Table1[[#This Row],[BaLL.Aud]],"ERR")</f>
        <v>1.3005780346820761E-2</v>
      </c>
    </row>
    <row r="233" spans="1:31">
      <c r="A233" s="68" t="s">
        <v>278</v>
      </c>
      <c r="B233" s="84" t="s">
        <v>48</v>
      </c>
      <c r="C233" s="190">
        <f>_xlfn.XLOOKUP(Table1[[#This Row],[MTP SKU Code]],'Audit Dimensions'!A:A,'Audit Dimensions'!C:C,0)</f>
        <v>97</v>
      </c>
      <c r="D233" s="190">
        <f>_xlfn.XLOOKUP(Table1[[#This Row],[MTP SKU Code]],'Audit Dimensions'!$A:$A,'Audit Dimensions'!D:D,0)</f>
        <v>51</v>
      </c>
      <c r="E233" s="190">
        <f>_xlfn.XLOOKUP(Table1[[#This Row],[MTP SKU Code]],'Audit Dimensions'!$A:$A,'Audit Dimensions'!E:E,0)</f>
        <v>8</v>
      </c>
      <c r="F233" s="190">
        <v>16830</v>
      </c>
      <c r="G233" s="190">
        <f>_xlfn.XLOOKUP(Table1[[#This Row],[MTP SKU Code]],'Audit Dimensions'!$A:$A,'Audit Dimensions'!G:G,0)</f>
        <v>0</v>
      </c>
      <c r="H233" s="190">
        <f>_xlfn.XLOOKUP(Table1[[#This Row],[MTP SKU Code]],'Audit Dimensions'!$A:$A,'Audit Dimensions'!H:H,0)</f>
        <v>0</v>
      </c>
      <c r="I233" s="190">
        <f>_xlfn.XLOOKUP(Table1[[#This Row],[MTP SKU Code]],'Audit Dimensions'!$A:$A,'Audit Dimensions'!I:I,0)</f>
        <v>0</v>
      </c>
      <c r="J233" s="190">
        <f>_xlfn.XLOOKUP(Table1[[#This Row],[MTP SKU Code]],'Audit Dimensions'!$A:$A,'Audit Dimensions'!J:J,0)</f>
        <v>0</v>
      </c>
      <c r="K233" s="190">
        <f>_xlfn.XLOOKUP(Table1[[#This Row],[MTP SKU Code]],'Audit Dimensions'!$A:$A,'Audit Dimensions'!K:K,0)</f>
        <v>0</v>
      </c>
      <c r="L233" s="190">
        <f>_xlfn.XLOOKUP(Table1[[#This Row],[MTP SKU Code]],'Audit Dimensions'!$A:$A,'Audit Dimensions'!L:L,0)</f>
        <v>0</v>
      </c>
      <c r="M233" s="190">
        <f>_xlfn.XLOOKUP(Table1[[#This Row],[MTP SKU Code]],'Audit Dimensions'!$A:$A,'Audit Dimensions'!M:M,0)</f>
        <v>0</v>
      </c>
      <c r="N233" s="190">
        <f>_xlfn.XLOOKUP(Table1[[#This Row],[MTP SKU Code]],'Audit Dimensions'!$A:$A,'Audit Dimensions'!N:N,0)</f>
        <v>0</v>
      </c>
      <c r="O233" s="118">
        <f>((IFERROR((C233*D233*E233),0)+IFERROR((G233*H233*I233),0)+IFERROR((K233*L233*M233),0))/1000000)*35.32</f>
        <v>1.39782432</v>
      </c>
      <c r="P233" s="125">
        <f>Table1[[#This Row],[Column15]]*$P$2*1000</f>
        <v>8386.9459200000001</v>
      </c>
      <c r="Q233" s="87">
        <f>F233+J233+N233</f>
        <v>16830</v>
      </c>
      <c r="R233" s="86">
        <f>MAX(Q233,O233)</f>
        <v>16830</v>
      </c>
      <c r="S233" s="86">
        <f>MAX(R233,P233)</f>
        <v>16830</v>
      </c>
      <c r="T233" s="156" t="str">
        <f>VLOOKUP(A233,'[1]MTP SKUs - Master Data'!$A:$B,2,FALSE)</f>
        <v>Y</v>
      </c>
      <c r="U233" s="162">
        <f>_xlfn.IFNA(VLOOKUP(Table1[[#This Row],[MTP SKU Code]],'Audit Dimensions'!A:N,6,FALSE),"ARC")</f>
        <v>17640</v>
      </c>
      <c r="V233" s="162">
        <f>IFERROR(Table1[[#This Row],[B1.Aud]]-Table1[[#This Row],[PW(gm)]],"ERR")</f>
        <v>810</v>
      </c>
      <c r="W233" s="165">
        <f>IFERROR(Table1[[#This Row],[B1.Diff]]/Table1[[#This Row],[B1.Aud]],"ERR")</f>
        <v>4.5918367346938778E-2</v>
      </c>
      <c r="X233" s="162">
        <f>_xlfn.IFNA(VLOOKUP(Table1[[#This Row],[MTP SKU Code]],'Audit Dimensions'!A:N,10,FALSE),"ARC")</f>
        <v>0</v>
      </c>
      <c r="Y233" s="163">
        <f>IFERROR(Table1[[#This Row],[B2.Aud]]-Table1[[#This Row],[PW(gm)5]],"ERR")</f>
        <v>0</v>
      </c>
      <c r="Z233" s="165" t="str">
        <f>IFERROR(Table1[[#This Row],[B2.Diff]]/Table1[[#This Row],[B2.Aud]],"NA")</f>
        <v>NA</v>
      </c>
      <c r="AA233" s="162">
        <f>_xlfn.IFNA(VLOOKUP(Table1[[#This Row],[MTP SKU Code]],'Audit Dimensions'!A:N,14,FALSE),"ARC")</f>
        <v>0</v>
      </c>
      <c r="AB233" s="161">
        <f>IFERROR(Table1[[#This Row],[B3.Aud]]-Table1[[#This Row],[PW(gm)9]],"ERR")</f>
        <v>0</v>
      </c>
      <c r="AC233" s="168">
        <f>IFERROR(Table1[[#This Row],[B3.Diff]]/Table1[[#This Row],[BaLL.Aud]],"ERR")</f>
        <v>0</v>
      </c>
      <c r="AD233" s="189">
        <f>_xlfn.IFNA(VLOOKUP(Table1[[#This Row],[MTP SKU Code]],'Audit Dimensions'!A:U,16,FALSE),"ARC")</f>
        <v>17640</v>
      </c>
      <c r="AE233" s="165">
        <f>IFERROR(1-Table1[[#This Row],[Gms]]/Table1[[#This Row],[BaLL.Aud]],"ERR")</f>
        <v>4.5918367346938771E-2</v>
      </c>
    </row>
    <row r="234" spans="1:31">
      <c r="A234" s="68" t="s">
        <v>279</v>
      </c>
      <c r="B234" s="84" t="s">
        <v>48</v>
      </c>
      <c r="C234" s="190">
        <f>_xlfn.XLOOKUP(Table1[[#This Row],[MTP SKU Code]],'Audit Dimensions'!A:A,'Audit Dimensions'!C:C,0)</f>
        <v>143</v>
      </c>
      <c r="D234" s="190">
        <f>_xlfn.XLOOKUP(Table1[[#This Row],[MTP SKU Code]],'Audit Dimensions'!$A:$A,'Audit Dimensions'!D:D,0)</f>
        <v>20</v>
      </c>
      <c r="E234" s="190">
        <f>_xlfn.XLOOKUP(Table1[[#This Row],[MTP SKU Code]],'Audit Dimensions'!$A:$A,'Audit Dimensions'!E:E,0)</f>
        <v>7</v>
      </c>
      <c r="F234" s="190">
        <v>7800</v>
      </c>
      <c r="G234" s="190">
        <f>_xlfn.XLOOKUP(Table1[[#This Row],[MTP SKU Code]],'Audit Dimensions'!$A:$A,'Audit Dimensions'!G:G,0)</f>
        <v>0</v>
      </c>
      <c r="H234" s="190">
        <f>_xlfn.XLOOKUP(Table1[[#This Row],[MTP SKU Code]],'Audit Dimensions'!$A:$A,'Audit Dimensions'!H:H,0)</f>
        <v>0</v>
      </c>
      <c r="I234" s="190">
        <f>_xlfn.XLOOKUP(Table1[[#This Row],[MTP SKU Code]],'Audit Dimensions'!$A:$A,'Audit Dimensions'!I:I,0)</f>
        <v>0</v>
      </c>
      <c r="J234" s="190">
        <f>_xlfn.XLOOKUP(Table1[[#This Row],[MTP SKU Code]],'Audit Dimensions'!$A:$A,'Audit Dimensions'!J:J,0)</f>
        <v>0</v>
      </c>
      <c r="K234" s="190">
        <f>_xlfn.XLOOKUP(Table1[[#This Row],[MTP SKU Code]],'Audit Dimensions'!$A:$A,'Audit Dimensions'!K:K,0)</f>
        <v>0</v>
      </c>
      <c r="L234" s="190">
        <f>_xlfn.XLOOKUP(Table1[[#This Row],[MTP SKU Code]],'Audit Dimensions'!$A:$A,'Audit Dimensions'!L:L,0)</f>
        <v>0</v>
      </c>
      <c r="M234" s="190">
        <f>_xlfn.XLOOKUP(Table1[[#This Row],[MTP SKU Code]],'Audit Dimensions'!$A:$A,'Audit Dimensions'!M:M,0)</f>
        <v>0</v>
      </c>
      <c r="N234" s="190">
        <f>_xlfn.XLOOKUP(Table1[[#This Row],[MTP SKU Code]],'Audit Dimensions'!$A:$A,'Audit Dimensions'!N:N,0)</f>
        <v>0</v>
      </c>
      <c r="O234" s="118">
        <f>((IFERROR((C234*D234*E234),0)+IFERROR((G234*H234*I234),0)+IFERROR((K234*L234*M234),0))/1000000)*35.32</f>
        <v>0.70710640000000002</v>
      </c>
      <c r="P234" s="125">
        <f>Table1[[#This Row],[Column15]]*$P$2*1000</f>
        <v>4242.6384000000007</v>
      </c>
      <c r="Q234" s="87">
        <f>F234+J234+N234</f>
        <v>7800</v>
      </c>
      <c r="R234" s="86">
        <f>MAX(Q234,O234)</f>
        <v>7800</v>
      </c>
      <c r="S234" s="86">
        <f>MAX(R234,P234)</f>
        <v>7800</v>
      </c>
      <c r="T234" s="156" t="str">
        <f>VLOOKUP(A234,'[1]MTP SKUs - Master Data'!$A:$B,2,FALSE)</f>
        <v>Y</v>
      </c>
      <c r="U234" s="162">
        <f>_xlfn.IFNA(VLOOKUP(Table1[[#This Row],[MTP SKU Code]],'Audit Dimensions'!A:N,6,FALSE),"ARC")</f>
        <v>8200</v>
      </c>
      <c r="V234" s="162">
        <f>IFERROR(Table1[[#This Row],[B1.Aud]]-Table1[[#This Row],[PW(gm)]],"ERR")</f>
        <v>400</v>
      </c>
      <c r="W234" s="165">
        <f>IFERROR(Table1[[#This Row],[B1.Diff]]/Table1[[#This Row],[B1.Aud]],"ERR")</f>
        <v>4.878048780487805E-2</v>
      </c>
      <c r="X234" s="162">
        <f>_xlfn.IFNA(VLOOKUP(Table1[[#This Row],[MTP SKU Code]],'Audit Dimensions'!A:N,10,FALSE),"ARC")</f>
        <v>0</v>
      </c>
      <c r="Y234" s="163">
        <f>IFERROR(Table1[[#This Row],[B2.Aud]]-Table1[[#This Row],[PW(gm)5]],"ERR")</f>
        <v>0</v>
      </c>
      <c r="Z234" s="165" t="str">
        <f>IFERROR(Table1[[#This Row],[B2.Diff]]/Table1[[#This Row],[B2.Aud]],"NA")</f>
        <v>NA</v>
      </c>
      <c r="AA234" s="162">
        <f>_xlfn.IFNA(VLOOKUP(Table1[[#This Row],[MTP SKU Code]],'Audit Dimensions'!A:N,14,FALSE),"ARC")</f>
        <v>0</v>
      </c>
      <c r="AB234" s="161">
        <f>IFERROR(Table1[[#This Row],[B3.Aud]]-Table1[[#This Row],[PW(gm)9]],"ERR")</f>
        <v>0</v>
      </c>
      <c r="AC234" s="168">
        <f>IFERROR(Table1[[#This Row],[B3.Diff]]/Table1[[#This Row],[BaLL.Aud]],"ERR")</f>
        <v>0</v>
      </c>
      <c r="AD234" s="189">
        <f>_xlfn.IFNA(VLOOKUP(Table1[[#This Row],[MTP SKU Code]],'Audit Dimensions'!A:U,16,FALSE),"ARC")</f>
        <v>8200</v>
      </c>
      <c r="AE234" s="165">
        <f>IFERROR(1-Table1[[#This Row],[Gms]]/Table1[[#This Row],[BaLL.Aud]],"ERR")</f>
        <v>4.8780487804878092E-2</v>
      </c>
    </row>
    <row r="235" spans="1:31">
      <c r="A235" s="68" t="s">
        <v>280</v>
      </c>
      <c r="B235" s="84" t="s">
        <v>48</v>
      </c>
      <c r="C235" s="190">
        <f>_xlfn.XLOOKUP(Table1[[#This Row],[MTP SKU Code]],'Audit Dimensions'!A:A,'Audit Dimensions'!C:C,0)</f>
        <v>96</v>
      </c>
      <c r="D235" s="190">
        <f>_xlfn.XLOOKUP(Table1[[#This Row],[MTP SKU Code]],'Audit Dimensions'!$A:$A,'Audit Dimensions'!D:D,0)</f>
        <v>25</v>
      </c>
      <c r="E235" s="190">
        <f>_xlfn.XLOOKUP(Table1[[#This Row],[MTP SKU Code]],'Audit Dimensions'!$A:$A,'Audit Dimensions'!E:E,0)</f>
        <v>8</v>
      </c>
      <c r="F235" s="190">
        <f>_xlfn.XLOOKUP(Table1[[#This Row],[MTP SKU Code]],'Audit Dimensions'!$A:$A,'Audit Dimensions'!F:F,0)</f>
        <v>6770</v>
      </c>
      <c r="G235" s="190">
        <f>_xlfn.XLOOKUP(Table1[[#This Row],[MTP SKU Code]],'Audit Dimensions'!$A:$A,'Audit Dimensions'!G:G,0)</f>
        <v>0</v>
      </c>
      <c r="H235" s="190">
        <f>_xlfn.XLOOKUP(Table1[[#This Row],[MTP SKU Code]],'Audit Dimensions'!$A:$A,'Audit Dimensions'!H:H,0)</f>
        <v>0</v>
      </c>
      <c r="I235" s="190">
        <f>_xlfn.XLOOKUP(Table1[[#This Row],[MTP SKU Code]],'Audit Dimensions'!$A:$A,'Audit Dimensions'!I:I,0)</f>
        <v>0</v>
      </c>
      <c r="J235" s="190">
        <f>_xlfn.XLOOKUP(Table1[[#This Row],[MTP SKU Code]],'Audit Dimensions'!$A:$A,'Audit Dimensions'!J:J,0)</f>
        <v>0</v>
      </c>
      <c r="K235" s="190">
        <f>_xlfn.XLOOKUP(Table1[[#This Row],[MTP SKU Code]],'Audit Dimensions'!$A:$A,'Audit Dimensions'!K:K,0)</f>
        <v>0</v>
      </c>
      <c r="L235" s="190">
        <f>_xlfn.XLOOKUP(Table1[[#This Row],[MTP SKU Code]],'Audit Dimensions'!$A:$A,'Audit Dimensions'!L:L,0)</f>
        <v>0</v>
      </c>
      <c r="M235" s="190">
        <f>_xlfn.XLOOKUP(Table1[[#This Row],[MTP SKU Code]],'Audit Dimensions'!$A:$A,'Audit Dimensions'!M:M,0)</f>
        <v>0</v>
      </c>
      <c r="N235" s="190">
        <f>_xlfn.XLOOKUP(Table1[[#This Row],[MTP SKU Code]],'Audit Dimensions'!$A:$A,'Audit Dimensions'!N:N,0)</f>
        <v>0</v>
      </c>
      <c r="O235" s="118">
        <f>((IFERROR((C235*D235*E235),0)+IFERROR((G235*H235*I235),0)+IFERROR((K235*L235*M235),0))/1000000)*35.32</f>
        <v>0.67814399999999997</v>
      </c>
      <c r="P235" s="125">
        <f>Table1[[#This Row],[Column15]]*$P$2*1000</f>
        <v>4068.8639999999996</v>
      </c>
      <c r="Q235" s="87">
        <f>F235+J235+N235</f>
        <v>6770</v>
      </c>
      <c r="R235" s="86">
        <f>MAX(Q235,O235)</f>
        <v>6770</v>
      </c>
      <c r="S235" s="86">
        <f>MAX(R235,P235)</f>
        <v>6770</v>
      </c>
      <c r="T235" s="156" t="str">
        <f>VLOOKUP(A235,'[1]MTP SKUs - Master Data'!$A:$B,2,FALSE)</f>
        <v>Y</v>
      </c>
      <c r="U235" s="162">
        <f>_xlfn.IFNA(VLOOKUP(Table1[[#This Row],[MTP SKU Code]],'Audit Dimensions'!A:N,6,FALSE),"ARC")</f>
        <v>6770</v>
      </c>
      <c r="V235" s="162">
        <f>IFERROR(Table1[[#This Row],[B1.Aud]]-Table1[[#This Row],[PW(gm)]],"ERR")</f>
        <v>0</v>
      </c>
      <c r="W235" s="165">
        <f>IFERROR(Table1[[#This Row],[B1.Diff]]/Table1[[#This Row],[B1.Aud]],"ERR")</f>
        <v>0</v>
      </c>
      <c r="X235" s="162">
        <f>_xlfn.IFNA(VLOOKUP(Table1[[#This Row],[MTP SKU Code]],'Audit Dimensions'!A:N,10,FALSE),"ARC")</f>
        <v>0</v>
      </c>
      <c r="Y235" s="163">
        <f>IFERROR(Table1[[#This Row],[B2.Aud]]-Table1[[#This Row],[PW(gm)5]],"ERR")</f>
        <v>0</v>
      </c>
      <c r="Z235" s="165" t="str">
        <f>IFERROR(Table1[[#This Row],[B2.Diff]]/Table1[[#This Row],[B2.Aud]],"NA")</f>
        <v>NA</v>
      </c>
      <c r="AA235" s="162">
        <f>_xlfn.IFNA(VLOOKUP(Table1[[#This Row],[MTP SKU Code]],'Audit Dimensions'!A:N,14,FALSE),"ARC")</f>
        <v>0</v>
      </c>
      <c r="AB235" s="161">
        <f>IFERROR(Table1[[#This Row],[B3.Aud]]-Table1[[#This Row],[PW(gm)9]],"ERR")</f>
        <v>0</v>
      </c>
      <c r="AC235" s="168">
        <f>IFERROR(Table1[[#This Row],[B3.Diff]]/Table1[[#This Row],[BaLL.Aud]],"ERR")</f>
        <v>0</v>
      </c>
      <c r="AD235" s="189">
        <f>_xlfn.IFNA(VLOOKUP(Table1[[#This Row],[MTP SKU Code]],'Audit Dimensions'!A:U,16,FALSE),"ARC")</f>
        <v>6770</v>
      </c>
      <c r="AE235" s="165">
        <f>IFERROR(1-Table1[[#This Row],[Gms]]/Table1[[#This Row],[BaLL.Aud]],"ERR")</f>
        <v>0</v>
      </c>
    </row>
    <row r="236" spans="1:31">
      <c r="A236" s="68" t="s">
        <v>281</v>
      </c>
      <c r="B236" s="84" t="s">
        <v>48</v>
      </c>
      <c r="C236" s="190">
        <f>_xlfn.XLOOKUP(Table1[[#This Row],[MTP SKU Code]],'Audit Dimensions'!A:A,'Audit Dimensions'!C:C,0)</f>
        <v>86</v>
      </c>
      <c r="D236" s="190">
        <f>_xlfn.XLOOKUP(Table1[[#This Row],[MTP SKU Code]],'Audit Dimensions'!$A:$A,'Audit Dimensions'!D:D,0)</f>
        <v>44</v>
      </c>
      <c r="E236" s="190">
        <f>_xlfn.XLOOKUP(Table1[[#This Row],[MTP SKU Code]],'Audit Dimensions'!$A:$A,'Audit Dimensions'!E:E,0)</f>
        <v>7</v>
      </c>
      <c r="F236" s="190">
        <v>10850</v>
      </c>
      <c r="G236" s="190">
        <f>_xlfn.XLOOKUP(Table1[[#This Row],[MTP SKU Code]],'Audit Dimensions'!$A:$A,'Audit Dimensions'!G:G,0)</f>
        <v>0</v>
      </c>
      <c r="H236" s="190">
        <f>_xlfn.XLOOKUP(Table1[[#This Row],[MTP SKU Code]],'Audit Dimensions'!$A:$A,'Audit Dimensions'!H:H,0)</f>
        <v>0</v>
      </c>
      <c r="I236" s="190">
        <f>_xlfn.XLOOKUP(Table1[[#This Row],[MTP SKU Code]],'Audit Dimensions'!$A:$A,'Audit Dimensions'!I:I,0)</f>
        <v>0</v>
      </c>
      <c r="J236" s="190">
        <f>_xlfn.XLOOKUP(Table1[[#This Row],[MTP SKU Code]],'Audit Dimensions'!$A:$A,'Audit Dimensions'!J:J,0)</f>
        <v>0</v>
      </c>
      <c r="K236" s="190">
        <f>_xlfn.XLOOKUP(Table1[[#This Row],[MTP SKU Code]],'Audit Dimensions'!$A:$A,'Audit Dimensions'!K:K,0)</f>
        <v>0</v>
      </c>
      <c r="L236" s="190">
        <f>_xlfn.XLOOKUP(Table1[[#This Row],[MTP SKU Code]],'Audit Dimensions'!$A:$A,'Audit Dimensions'!L:L,0)</f>
        <v>0</v>
      </c>
      <c r="M236" s="190">
        <f>_xlfn.XLOOKUP(Table1[[#This Row],[MTP SKU Code]],'Audit Dimensions'!$A:$A,'Audit Dimensions'!M:M,0)</f>
        <v>0</v>
      </c>
      <c r="N236" s="190">
        <f>_xlfn.XLOOKUP(Table1[[#This Row],[MTP SKU Code]],'Audit Dimensions'!$A:$A,'Audit Dimensions'!N:N,0)</f>
        <v>0</v>
      </c>
      <c r="O236" s="118">
        <f>((IFERROR((C236*D236*E236),0)+IFERROR((G236*H236*I236),0)+IFERROR((K236*L236*M236),0))/1000000)*35.32</f>
        <v>0.93555616000000008</v>
      </c>
      <c r="P236" s="125">
        <f>Table1[[#This Row],[Column15]]*$P$2*1000</f>
        <v>5613.3369600000005</v>
      </c>
      <c r="Q236" s="87">
        <f>F236+J236+N236</f>
        <v>10850</v>
      </c>
      <c r="R236" s="86">
        <f>MAX(Q236,O236)</f>
        <v>10850</v>
      </c>
      <c r="S236" s="86">
        <f>MAX(R236,P236)</f>
        <v>10850</v>
      </c>
      <c r="T236" s="157" t="str">
        <f>VLOOKUP(A236,'[1]MTP SKUs - Master Data'!$A:$B,2,FALSE)</f>
        <v>Y</v>
      </c>
      <c r="U236" s="162">
        <f>_xlfn.IFNA(VLOOKUP(Table1[[#This Row],[MTP SKU Code]],'Audit Dimensions'!A:N,6,FALSE),"ARC")</f>
        <v>11850</v>
      </c>
      <c r="V236" s="162">
        <f>IFERROR(Table1[[#This Row],[B1.Aud]]-Table1[[#This Row],[PW(gm)]],"ERR")</f>
        <v>1000</v>
      </c>
      <c r="W236" s="165">
        <f>IFERROR(Table1[[#This Row],[B1.Diff]]/Table1[[#This Row],[B1.Aud]],"ERR")</f>
        <v>8.4388185654008435E-2</v>
      </c>
      <c r="X236" s="162">
        <f>_xlfn.IFNA(VLOOKUP(Table1[[#This Row],[MTP SKU Code]],'Audit Dimensions'!A:N,10,FALSE),"ARC")</f>
        <v>0</v>
      </c>
      <c r="Y236" s="163">
        <f>IFERROR(Table1[[#This Row],[B2.Aud]]-Table1[[#This Row],[PW(gm)5]],"ERR")</f>
        <v>0</v>
      </c>
      <c r="Z236" s="165" t="str">
        <f>IFERROR(Table1[[#This Row],[B2.Diff]]/Table1[[#This Row],[B2.Aud]],"NA")</f>
        <v>NA</v>
      </c>
      <c r="AA236" s="162">
        <f>_xlfn.IFNA(VLOOKUP(Table1[[#This Row],[MTP SKU Code]],'Audit Dimensions'!A:N,14,FALSE),"ARC")</f>
        <v>0</v>
      </c>
      <c r="AB236" s="161">
        <f>IFERROR(Table1[[#This Row],[B3.Aud]]-Table1[[#This Row],[PW(gm)9]],"ERR")</f>
        <v>0</v>
      </c>
      <c r="AC236" s="169">
        <f>IFERROR(Table1[[#This Row],[B3.Diff]]/Table1[[#This Row],[BaLL.Aud]],"ERR")</f>
        <v>0</v>
      </c>
      <c r="AD236" s="189">
        <f>_xlfn.IFNA(VLOOKUP(Table1[[#This Row],[MTP SKU Code]],'Audit Dimensions'!A:U,16,FALSE),"ARC")</f>
        <v>11850</v>
      </c>
      <c r="AE236" s="170">
        <f>IFERROR(1-Table1[[#This Row],[Gms]]/Table1[[#This Row],[BaLL.Aud]],"ERR")</f>
        <v>8.4388185654008407E-2</v>
      </c>
    </row>
    <row r="237" spans="1:31" hidden="1">
      <c r="A237" s="69" t="s">
        <v>282</v>
      </c>
      <c r="B237" s="84" t="s">
        <v>74</v>
      </c>
      <c r="C237" s="85">
        <v>80</v>
      </c>
      <c r="D237" s="85">
        <v>80</v>
      </c>
      <c r="E237" s="85">
        <v>4</v>
      </c>
      <c r="F237" s="89">
        <v>6195</v>
      </c>
      <c r="G237" s="85">
        <v>52</v>
      </c>
      <c r="H237" s="85">
        <v>10</v>
      </c>
      <c r="I237" s="85">
        <v>10</v>
      </c>
      <c r="J237" s="85">
        <v>1200</v>
      </c>
      <c r="K237" s="85"/>
      <c r="L237" s="85"/>
      <c r="M237" s="85"/>
      <c r="N237" s="85"/>
      <c r="O237" s="118">
        <f>((IFERROR((C237*D237*E237),0)+IFERROR((G237*H237*I237),0)+IFERROR((K237*L237*M237),0))/1000000)*35.32</f>
        <v>1.0878559999999999</v>
      </c>
      <c r="P237" s="125">
        <f>Table1[[#This Row],[Column15]]*$P$2*1000</f>
        <v>6527.1359999999995</v>
      </c>
      <c r="Q237" s="87">
        <f>F237+J237+N237</f>
        <v>7395</v>
      </c>
      <c r="R237" s="86">
        <f>MAX(Q237,O237)</f>
        <v>7395</v>
      </c>
      <c r="S237" s="86">
        <f>MAX(R237,P237)</f>
        <v>7395</v>
      </c>
      <c r="T237" s="156" t="str">
        <f>VLOOKUP(A237,'[1]MTP SKUs - Master Data'!$A:$B,2,FALSE)</f>
        <v>DI</v>
      </c>
      <c r="U237" s="162">
        <f>_xlfn.IFNA(VLOOKUP(Table1[[#This Row],[MTP SKU Code]],'Audit Dimensions'!A:N,6,FALSE),"ARC")</f>
        <v>8900</v>
      </c>
      <c r="V237" s="162">
        <f>IFERROR(Table1[[#This Row],[B1.Aud]]-Table1[[#This Row],[PW(gm)]],"ERR")</f>
        <v>2705</v>
      </c>
      <c r="W237" s="165">
        <f>IFERROR(Table1[[#This Row],[B1.Diff]]/Table1[[#This Row],[B1.Aud]],"ERR")</f>
        <v>0.30393258426966291</v>
      </c>
      <c r="X237" s="162">
        <f>_xlfn.IFNA(VLOOKUP(Table1[[#This Row],[MTP SKU Code]],'Audit Dimensions'!A:N,10,FALSE),"ARC")</f>
        <v>1500</v>
      </c>
      <c r="Y237" s="163">
        <f>IFERROR(Table1[[#This Row],[B2.Aud]]-Table1[[#This Row],[PW(gm)5]],"ERR")</f>
        <v>300</v>
      </c>
      <c r="Z237" s="165">
        <f>IFERROR(Table1[[#This Row],[B2.Diff]]/Table1[[#This Row],[B2.Aud]],"NA")</f>
        <v>0.2</v>
      </c>
      <c r="AA237" s="162">
        <f>_xlfn.IFNA(VLOOKUP(Table1[[#This Row],[MTP SKU Code]],'Audit Dimensions'!A:N,14,FALSE),"ARC")</f>
        <v>0</v>
      </c>
      <c r="AB237" s="161">
        <f>IFERROR(Table1[[#This Row],[B3.Aud]]-Table1[[#This Row],[PW(gm)9]],"ERR")</f>
        <v>0</v>
      </c>
      <c r="AC237" s="168">
        <f>IFERROR(Table1[[#This Row],[B3.Diff]]/Table1[[#This Row],[BaLL.Aud]],"ERR")</f>
        <v>0</v>
      </c>
      <c r="AD237" s="162">
        <f>_xlfn.IFNA(VLOOKUP(Table1[[#This Row],[MTP SKU Code]],'Audit Dimensions'!A:U,16,FALSE),"ARC")</f>
        <v>10400</v>
      </c>
      <c r="AE237" s="165">
        <f>IFERROR(1-Table1[[#This Row],[Gms]]/Table1[[#This Row],[BaLL.Aud]],"ERR")</f>
        <v>0.28894230769230766</v>
      </c>
    </row>
    <row r="238" spans="1:31">
      <c r="A238" s="68" t="s">
        <v>283</v>
      </c>
      <c r="B238" s="84" t="s">
        <v>48</v>
      </c>
      <c r="C238" s="190">
        <f>_xlfn.XLOOKUP(Table1[[#This Row],[MTP SKU Code]],'Audit Dimensions'!A:A,'Audit Dimensions'!C:C,0)</f>
        <v>75</v>
      </c>
      <c r="D238" s="190">
        <f>_xlfn.XLOOKUP(Table1[[#This Row],[MTP SKU Code]],'Audit Dimensions'!$A:$A,'Audit Dimensions'!D:D,0)</f>
        <v>17</v>
      </c>
      <c r="E238" s="190">
        <f>_xlfn.XLOOKUP(Table1[[#This Row],[MTP SKU Code]],'Audit Dimensions'!$A:$A,'Audit Dimensions'!E:E,0)</f>
        <v>5</v>
      </c>
      <c r="F238" s="190">
        <v>1900</v>
      </c>
      <c r="G238" s="190">
        <f>_xlfn.XLOOKUP(Table1[[#This Row],[MTP SKU Code]],'Audit Dimensions'!$A:$A,'Audit Dimensions'!G:G,0)</f>
        <v>0</v>
      </c>
      <c r="H238" s="190">
        <f>_xlfn.XLOOKUP(Table1[[#This Row],[MTP SKU Code]],'Audit Dimensions'!$A:$A,'Audit Dimensions'!H:H,0)</f>
        <v>0</v>
      </c>
      <c r="I238" s="190">
        <f>_xlfn.XLOOKUP(Table1[[#This Row],[MTP SKU Code]],'Audit Dimensions'!$A:$A,'Audit Dimensions'!I:I,0)</f>
        <v>0</v>
      </c>
      <c r="J238" s="190">
        <f>_xlfn.XLOOKUP(Table1[[#This Row],[MTP SKU Code]],'Audit Dimensions'!$A:$A,'Audit Dimensions'!J:J,0)</f>
        <v>0</v>
      </c>
      <c r="K238" s="190">
        <f>_xlfn.XLOOKUP(Table1[[#This Row],[MTP SKU Code]],'Audit Dimensions'!$A:$A,'Audit Dimensions'!K:K,0)</f>
        <v>0</v>
      </c>
      <c r="L238" s="190">
        <f>_xlfn.XLOOKUP(Table1[[#This Row],[MTP SKU Code]],'Audit Dimensions'!$A:$A,'Audit Dimensions'!L:L,0)</f>
        <v>0</v>
      </c>
      <c r="M238" s="190">
        <f>_xlfn.XLOOKUP(Table1[[#This Row],[MTP SKU Code]],'Audit Dimensions'!$A:$A,'Audit Dimensions'!M:M,0)</f>
        <v>0</v>
      </c>
      <c r="N238" s="190">
        <f>_xlfn.XLOOKUP(Table1[[#This Row],[MTP SKU Code]],'Audit Dimensions'!$A:$A,'Audit Dimensions'!N:N,0)</f>
        <v>0</v>
      </c>
      <c r="O238" s="118">
        <f>((IFERROR((C238*D238*E238),0)+IFERROR((G238*H238*I238),0)+IFERROR((K238*L238*M238),0))/1000000)*35.32</f>
        <v>0.22516499999999998</v>
      </c>
      <c r="P238" s="125">
        <f>Table1[[#This Row],[Column15]]*$P$2*1000</f>
        <v>1350.99</v>
      </c>
      <c r="Q238" s="87">
        <f>F238+J238+N238</f>
        <v>1900</v>
      </c>
      <c r="R238" s="86">
        <f>MAX(Q238,O238)</f>
        <v>1900</v>
      </c>
      <c r="S238" s="86">
        <f>MAX(R238,P238)</f>
        <v>1900</v>
      </c>
      <c r="T238" s="156" t="str">
        <f>VLOOKUP(A238,'[1]MTP SKUs - Master Data'!$A:$B,2,FALSE)</f>
        <v>Y</v>
      </c>
      <c r="U238" s="162">
        <f>_xlfn.IFNA(VLOOKUP(Table1[[#This Row],[MTP SKU Code]],'Audit Dimensions'!A:N,6,FALSE),"ARC")</f>
        <v>2300</v>
      </c>
      <c r="V238" s="162">
        <f>IFERROR(Table1[[#This Row],[B1.Aud]]-Table1[[#This Row],[PW(gm)]],"ERR")</f>
        <v>400</v>
      </c>
      <c r="W238" s="165">
        <f>IFERROR(Table1[[#This Row],[B1.Diff]]/Table1[[#This Row],[B1.Aud]],"ERR")</f>
        <v>0.17391304347826086</v>
      </c>
      <c r="X238" s="162">
        <f>_xlfn.IFNA(VLOOKUP(Table1[[#This Row],[MTP SKU Code]],'Audit Dimensions'!A:N,10,FALSE),"ARC")</f>
        <v>0</v>
      </c>
      <c r="Y238" s="163">
        <f>IFERROR(Table1[[#This Row],[B2.Aud]]-Table1[[#This Row],[PW(gm)5]],"ERR")</f>
        <v>0</v>
      </c>
      <c r="Z238" s="165" t="str">
        <f>IFERROR(Table1[[#This Row],[B2.Diff]]/Table1[[#This Row],[B2.Aud]],"NA")</f>
        <v>NA</v>
      </c>
      <c r="AA238" s="162">
        <f>_xlfn.IFNA(VLOOKUP(Table1[[#This Row],[MTP SKU Code]],'Audit Dimensions'!A:N,14,FALSE),"ARC")</f>
        <v>0</v>
      </c>
      <c r="AB238" s="161">
        <f>IFERROR(Table1[[#This Row],[B3.Aud]]-Table1[[#This Row],[PW(gm)9]],"ERR")</f>
        <v>0</v>
      </c>
      <c r="AC238" s="168">
        <f>IFERROR(Table1[[#This Row],[B3.Diff]]/Table1[[#This Row],[BaLL.Aud]],"ERR")</f>
        <v>0</v>
      </c>
      <c r="AD238" s="189">
        <f>_xlfn.IFNA(VLOOKUP(Table1[[#This Row],[MTP SKU Code]],'Audit Dimensions'!A:U,16,FALSE),"ARC")</f>
        <v>2300</v>
      </c>
      <c r="AE238" s="165">
        <f>IFERROR(1-Table1[[#This Row],[Gms]]/Table1[[#This Row],[BaLL.Aud]],"ERR")</f>
        <v>0.17391304347826086</v>
      </c>
    </row>
    <row r="239" spans="1:31">
      <c r="A239" s="68" t="s">
        <v>284</v>
      </c>
      <c r="B239" s="84" t="s">
        <v>48</v>
      </c>
      <c r="C239" s="190">
        <f>_xlfn.XLOOKUP(Table1[[#This Row],[MTP SKU Code]],'Audit Dimensions'!A:A,'Audit Dimensions'!C:C,0)</f>
        <v>60</v>
      </c>
      <c r="D239" s="190">
        <f>_xlfn.XLOOKUP(Table1[[#This Row],[MTP SKU Code]],'Audit Dimensions'!$A:$A,'Audit Dimensions'!D:D,0)</f>
        <v>36</v>
      </c>
      <c r="E239" s="190">
        <f>_xlfn.XLOOKUP(Table1[[#This Row],[MTP SKU Code]],'Audit Dimensions'!$A:$A,'Audit Dimensions'!E:E,0)</f>
        <v>10</v>
      </c>
      <c r="F239" s="190">
        <f>_xlfn.XLOOKUP(Table1[[#This Row],[MTP SKU Code]],'Audit Dimensions'!$A:$A,'Audit Dimensions'!F:F,0)</f>
        <v>5850</v>
      </c>
      <c r="G239" s="190">
        <f>_xlfn.XLOOKUP(Table1[[#This Row],[MTP SKU Code]],'Audit Dimensions'!$A:$A,'Audit Dimensions'!G:G,0)</f>
        <v>0</v>
      </c>
      <c r="H239" s="190">
        <f>_xlfn.XLOOKUP(Table1[[#This Row],[MTP SKU Code]],'Audit Dimensions'!$A:$A,'Audit Dimensions'!H:H,0)</f>
        <v>0</v>
      </c>
      <c r="I239" s="190">
        <f>_xlfn.XLOOKUP(Table1[[#This Row],[MTP SKU Code]],'Audit Dimensions'!$A:$A,'Audit Dimensions'!I:I,0)</f>
        <v>0</v>
      </c>
      <c r="J239" s="190">
        <f>_xlfn.XLOOKUP(Table1[[#This Row],[MTP SKU Code]],'Audit Dimensions'!$A:$A,'Audit Dimensions'!J:J,0)</f>
        <v>0</v>
      </c>
      <c r="K239" s="190">
        <f>_xlfn.XLOOKUP(Table1[[#This Row],[MTP SKU Code]],'Audit Dimensions'!$A:$A,'Audit Dimensions'!K:K,0)</f>
        <v>0</v>
      </c>
      <c r="L239" s="190">
        <f>_xlfn.XLOOKUP(Table1[[#This Row],[MTP SKU Code]],'Audit Dimensions'!$A:$A,'Audit Dimensions'!L:L,0)</f>
        <v>0</v>
      </c>
      <c r="M239" s="190">
        <f>_xlfn.XLOOKUP(Table1[[#This Row],[MTP SKU Code]],'Audit Dimensions'!$A:$A,'Audit Dimensions'!M:M,0)</f>
        <v>0</v>
      </c>
      <c r="N239" s="190">
        <f>_xlfn.XLOOKUP(Table1[[#This Row],[MTP SKU Code]],'Audit Dimensions'!$A:$A,'Audit Dimensions'!N:N,0)</f>
        <v>0</v>
      </c>
      <c r="O239" s="118">
        <f>((IFERROR((C239*D239*E239),0)+IFERROR((G239*H239*I239),0)+IFERROR((K239*L239*M239),0))/1000000)*35.32</f>
        <v>0.76291200000000003</v>
      </c>
      <c r="P239" s="125">
        <f>Table1[[#This Row],[Column15]]*$P$2*1000</f>
        <v>4577.4719999999998</v>
      </c>
      <c r="Q239" s="87">
        <f>F239+J239+N239</f>
        <v>5850</v>
      </c>
      <c r="R239" s="86">
        <f>MAX(Q239,O239)</f>
        <v>5850</v>
      </c>
      <c r="S239" s="86">
        <f>MAX(R239,P239)</f>
        <v>5850</v>
      </c>
      <c r="T239" s="156" t="str">
        <f>VLOOKUP(A239,'[1]MTP SKUs - Master Data'!$A:$B,2,FALSE)</f>
        <v>Y</v>
      </c>
      <c r="U239" s="162">
        <f>_xlfn.IFNA(VLOOKUP(Table1[[#This Row],[MTP SKU Code]],'Audit Dimensions'!A:N,6,FALSE),"ARC")</f>
        <v>5850</v>
      </c>
      <c r="V239" s="162">
        <f>IFERROR(Table1[[#This Row],[B1.Aud]]-Table1[[#This Row],[PW(gm)]],"ERR")</f>
        <v>0</v>
      </c>
      <c r="W239" s="165">
        <f>IFERROR(Table1[[#This Row],[B1.Diff]]/Table1[[#This Row],[B1.Aud]],"ERR")</f>
        <v>0</v>
      </c>
      <c r="X239" s="162">
        <f>_xlfn.IFNA(VLOOKUP(Table1[[#This Row],[MTP SKU Code]],'Audit Dimensions'!A:N,10,FALSE),"ARC")</f>
        <v>0</v>
      </c>
      <c r="Y239" s="163">
        <f>IFERROR(Table1[[#This Row],[B2.Aud]]-Table1[[#This Row],[PW(gm)5]],"ERR")</f>
        <v>0</v>
      </c>
      <c r="Z239" s="165" t="str">
        <f>IFERROR(Table1[[#This Row],[B2.Diff]]/Table1[[#This Row],[B2.Aud]],"NA")</f>
        <v>NA</v>
      </c>
      <c r="AA239" s="162">
        <f>_xlfn.IFNA(VLOOKUP(Table1[[#This Row],[MTP SKU Code]],'Audit Dimensions'!A:N,14,FALSE),"ARC")</f>
        <v>0</v>
      </c>
      <c r="AB239" s="161">
        <f>IFERROR(Table1[[#This Row],[B3.Aud]]-Table1[[#This Row],[PW(gm)9]],"ERR")</f>
        <v>0</v>
      </c>
      <c r="AC239" s="168">
        <f>IFERROR(Table1[[#This Row],[B3.Diff]]/Table1[[#This Row],[BaLL.Aud]],"ERR")</f>
        <v>0</v>
      </c>
      <c r="AD239" s="189">
        <f>_xlfn.IFNA(VLOOKUP(Table1[[#This Row],[MTP SKU Code]],'Audit Dimensions'!A:U,16,FALSE),"ARC")</f>
        <v>5850</v>
      </c>
      <c r="AE239" s="165">
        <f>IFERROR(1-Table1[[#This Row],[Gms]]/Table1[[#This Row],[BaLL.Aud]],"ERR")</f>
        <v>0</v>
      </c>
    </row>
    <row r="240" spans="1:31">
      <c r="A240" s="68" t="s">
        <v>285</v>
      </c>
      <c r="B240" s="84" t="s">
        <v>48</v>
      </c>
      <c r="C240" s="190">
        <f>_xlfn.XLOOKUP(Table1[[#This Row],[MTP SKU Code]],'Audit Dimensions'!A:A,'Audit Dimensions'!C:C,0)</f>
        <v>54</v>
      </c>
      <c r="D240" s="190">
        <f>_xlfn.XLOOKUP(Table1[[#This Row],[MTP SKU Code]],'Audit Dimensions'!$A:$A,'Audit Dimensions'!D:D,0)</f>
        <v>15</v>
      </c>
      <c r="E240" s="190">
        <f>_xlfn.XLOOKUP(Table1[[#This Row],[MTP SKU Code]],'Audit Dimensions'!$A:$A,'Audit Dimensions'!E:E,0)</f>
        <v>8</v>
      </c>
      <c r="F240" s="190">
        <v>1900</v>
      </c>
      <c r="G240" s="190">
        <f>_xlfn.XLOOKUP(Table1[[#This Row],[MTP SKU Code]],'Audit Dimensions'!$A:$A,'Audit Dimensions'!G:G,0)</f>
        <v>0</v>
      </c>
      <c r="H240" s="190">
        <f>_xlfn.XLOOKUP(Table1[[#This Row],[MTP SKU Code]],'Audit Dimensions'!$A:$A,'Audit Dimensions'!H:H,0)</f>
        <v>0</v>
      </c>
      <c r="I240" s="190">
        <f>_xlfn.XLOOKUP(Table1[[#This Row],[MTP SKU Code]],'Audit Dimensions'!$A:$A,'Audit Dimensions'!I:I,0)</f>
        <v>0</v>
      </c>
      <c r="J240" s="190">
        <f>_xlfn.XLOOKUP(Table1[[#This Row],[MTP SKU Code]],'Audit Dimensions'!$A:$A,'Audit Dimensions'!J:J,0)</f>
        <v>0</v>
      </c>
      <c r="K240" s="190">
        <f>_xlfn.XLOOKUP(Table1[[#This Row],[MTP SKU Code]],'Audit Dimensions'!$A:$A,'Audit Dimensions'!K:K,0)</f>
        <v>0</v>
      </c>
      <c r="L240" s="190">
        <f>_xlfn.XLOOKUP(Table1[[#This Row],[MTP SKU Code]],'Audit Dimensions'!$A:$A,'Audit Dimensions'!L:L,0)</f>
        <v>0</v>
      </c>
      <c r="M240" s="190">
        <f>_xlfn.XLOOKUP(Table1[[#This Row],[MTP SKU Code]],'Audit Dimensions'!$A:$A,'Audit Dimensions'!M:M,0)</f>
        <v>0</v>
      </c>
      <c r="N240" s="190">
        <f>_xlfn.XLOOKUP(Table1[[#This Row],[MTP SKU Code]],'Audit Dimensions'!$A:$A,'Audit Dimensions'!N:N,0)</f>
        <v>0</v>
      </c>
      <c r="O240" s="118">
        <f>((IFERROR((C240*D240*E240),0)+IFERROR((G240*H240*I240),0)+IFERROR((K240*L240*M240),0))/1000000)*35.32</f>
        <v>0.22887359999999998</v>
      </c>
      <c r="P240" s="125">
        <f>Table1[[#This Row],[Column15]]*$P$2*1000</f>
        <v>1373.2415999999998</v>
      </c>
      <c r="Q240" s="87">
        <f>F240+J240+N240</f>
        <v>1900</v>
      </c>
      <c r="R240" s="86">
        <f>MAX(Q240,O240)</f>
        <v>1900</v>
      </c>
      <c r="S240" s="86">
        <f>MAX(R240,P240)</f>
        <v>1900</v>
      </c>
      <c r="T240" s="156" t="str">
        <f>VLOOKUP(A240,'[1]MTP SKUs - Master Data'!$A:$B,2,FALSE)</f>
        <v>Y</v>
      </c>
      <c r="U240" s="162">
        <f>_xlfn.IFNA(VLOOKUP(Table1[[#This Row],[MTP SKU Code]],'Audit Dimensions'!A:N,6,FALSE),"ARC")</f>
        <v>2300</v>
      </c>
      <c r="V240" s="162">
        <f>IFERROR(Table1[[#This Row],[B1.Aud]]-Table1[[#This Row],[PW(gm)]],"ERR")</f>
        <v>400</v>
      </c>
      <c r="W240" s="165">
        <f>IFERROR(Table1[[#This Row],[B1.Diff]]/Table1[[#This Row],[B1.Aud]],"ERR")</f>
        <v>0.17391304347826086</v>
      </c>
      <c r="X240" s="162">
        <f>_xlfn.IFNA(VLOOKUP(Table1[[#This Row],[MTP SKU Code]],'Audit Dimensions'!A:N,10,FALSE),"ARC")</f>
        <v>0</v>
      </c>
      <c r="Y240" s="163">
        <f>IFERROR(Table1[[#This Row],[B2.Aud]]-Table1[[#This Row],[PW(gm)5]],"ERR")</f>
        <v>0</v>
      </c>
      <c r="Z240" s="165" t="str">
        <f>IFERROR(Table1[[#This Row],[B2.Diff]]/Table1[[#This Row],[B2.Aud]],"NA")</f>
        <v>NA</v>
      </c>
      <c r="AA240" s="162">
        <f>_xlfn.IFNA(VLOOKUP(Table1[[#This Row],[MTP SKU Code]],'Audit Dimensions'!A:N,14,FALSE),"ARC")</f>
        <v>0</v>
      </c>
      <c r="AB240" s="161">
        <f>IFERROR(Table1[[#This Row],[B3.Aud]]-Table1[[#This Row],[PW(gm)9]],"ERR")</f>
        <v>0</v>
      </c>
      <c r="AC240" s="168">
        <f>IFERROR(Table1[[#This Row],[B3.Diff]]/Table1[[#This Row],[BaLL.Aud]],"ERR")</f>
        <v>0</v>
      </c>
      <c r="AD240" s="189">
        <f>_xlfn.IFNA(VLOOKUP(Table1[[#This Row],[MTP SKU Code]],'Audit Dimensions'!A:U,16,FALSE),"ARC")</f>
        <v>2300</v>
      </c>
      <c r="AE240" s="165">
        <f>IFERROR(1-Table1[[#This Row],[Gms]]/Table1[[#This Row],[BaLL.Aud]],"ERR")</f>
        <v>0.17391304347826086</v>
      </c>
    </row>
    <row r="241" spans="1:31">
      <c r="A241" s="68" t="s">
        <v>286</v>
      </c>
      <c r="B241" s="84" t="s">
        <v>48</v>
      </c>
      <c r="C241" s="190">
        <f>_xlfn.XLOOKUP(Table1[[#This Row],[MTP SKU Code]],'Audit Dimensions'!A:A,'Audit Dimensions'!C:C,0)</f>
        <v>82</v>
      </c>
      <c r="D241" s="190">
        <f>_xlfn.XLOOKUP(Table1[[#This Row],[MTP SKU Code]],'Audit Dimensions'!$A:$A,'Audit Dimensions'!D:D,0)</f>
        <v>20</v>
      </c>
      <c r="E241" s="190">
        <f>_xlfn.XLOOKUP(Table1[[#This Row],[MTP SKU Code]],'Audit Dimensions'!$A:$A,'Audit Dimensions'!E:E,0)</f>
        <v>10</v>
      </c>
      <c r="F241" s="190">
        <v>7800</v>
      </c>
      <c r="G241" s="190">
        <f>_xlfn.XLOOKUP(Table1[[#This Row],[MTP SKU Code]],'Audit Dimensions'!$A:$A,'Audit Dimensions'!G:G,0)</f>
        <v>0</v>
      </c>
      <c r="H241" s="190">
        <f>_xlfn.XLOOKUP(Table1[[#This Row],[MTP SKU Code]],'Audit Dimensions'!$A:$A,'Audit Dimensions'!H:H,0)</f>
        <v>0</v>
      </c>
      <c r="I241" s="190">
        <f>_xlfn.XLOOKUP(Table1[[#This Row],[MTP SKU Code]],'Audit Dimensions'!$A:$A,'Audit Dimensions'!I:I,0)</f>
        <v>0</v>
      </c>
      <c r="J241" s="190">
        <f>_xlfn.XLOOKUP(Table1[[#This Row],[MTP SKU Code]],'Audit Dimensions'!$A:$A,'Audit Dimensions'!J:J,0)</f>
        <v>0</v>
      </c>
      <c r="K241" s="190">
        <f>_xlfn.XLOOKUP(Table1[[#This Row],[MTP SKU Code]],'Audit Dimensions'!$A:$A,'Audit Dimensions'!K:K,0)</f>
        <v>0</v>
      </c>
      <c r="L241" s="190">
        <f>_xlfn.XLOOKUP(Table1[[#This Row],[MTP SKU Code]],'Audit Dimensions'!$A:$A,'Audit Dimensions'!L:L,0)</f>
        <v>0</v>
      </c>
      <c r="M241" s="190">
        <f>_xlfn.XLOOKUP(Table1[[#This Row],[MTP SKU Code]],'Audit Dimensions'!$A:$A,'Audit Dimensions'!M:M,0)</f>
        <v>0</v>
      </c>
      <c r="N241" s="190">
        <f>_xlfn.XLOOKUP(Table1[[#This Row],[MTP SKU Code]],'Audit Dimensions'!$A:$A,'Audit Dimensions'!N:N,0)</f>
        <v>0</v>
      </c>
      <c r="O241" s="118">
        <f>((IFERROR((C241*D241*E241),0)+IFERROR((G241*H241*I241),0)+IFERROR((K241*L241*M241),0))/1000000)*35.32</f>
        <v>0.5792480000000001</v>
      </c>
      <c r="P241" s="125">
        <f>Table1[[#This Row],[Column15]]*$P$2*1000</f>
        <v>3475.4880000000003</v>
      </c>
      <c r="Q241" s="87">
        <f>F241+J241+N241</f>
        <v>7800</v>
      </c>
      <c r="R241" s="86">
        <f>MAX(Q241,O241)</f>
        <v>7800</v>
      </c>
      <c r="S241" s="86">
        <f>MAX(R241,P241)</f>
        <v>7800</v>
      </c>
      <c r="T241" s="156" t="str">
        <f>VLOOKUP(A241,'[1]MTP SKUs - Master Data'!$A:$B,2,FALSE)</f>
        <v>Y</v>
      </c>
      <c r="U241" s="162">
        <f>_xlfn.IFNA(VLOOKUP(Table1[[#This Row],[MTP SKU Code]],'Audit Dimensions'!A:N,6,FALSE),"ARC")</f>
        <v>8270</v>
      </c>
      <c r="V241" s="162">
        <f>IFERROR(Table1[[#This Row],[B1.Aud]]-Table1[[#This Row],[PW(gm)]],"ERR")</f>
        <v>470</v>
      </c>
      <c r="W241" s="165">
        <f>IFERROR(Table1[[#This Row],[B1.Diff]]/Table1[[#This Row],[B1.Aud]],"ERR")</f>
        <v>5.6831922611850064E-2</v>
      </c>
      <c r="X241" s="162">
        <f>_xlfn.IFNA(VLOOKUP(Table1[[#This Row],[MTP SKU Code]],'Audit Dimensions'!A:N,10,FALSE),"ARC")</f>
        <v>0</v>
      </c>
      <c r="Y241" s="163">
        <f>IFERROR(Table1[[#This Row],[B2.Aud]]-Table1[[#This Row],[PW(gm)5]],"ERR")</f>
        <v>0</v>
      </c>
      <c r="Z241" s="165" t="str">
        <f>IFERROR(Table1[[#This Row],[B2.Diff]]/Table1[[#This Row],[B2.Aud]],"NA")</f>
        <v>NA</v>
      </c>
      <c r="AA241" s="162">
        <f>_xlfn.IFNA(VLOOKUP(Table1[[#This Row],[MTP SKU Code]],'Audit Dimensions'!A:N,14,FALSE),"ARC")</f>
        <v>0</v>
      </c>
      <c r="AB241" s="161">
        <f>IFERROR(Table1[[#This Row],[B3.Aud]]-Table1[[#This Row],[PW(gm)9]],"ERR")</f>
        <v>0</v>
      </c>
      <c r="AC241" s="168">
        <f>IFERROR(Table1[[#This Row],[B3.Diff]]/Table1[[#This Row],[BaLL.Aud]],"ERR")</f>
        <v>0</v>
      </c>
      <c r="AD241" s="189">
        <f>_xlfn.IFNA(VLOOKUP(Table1[[#This Row],[MTP SKU Code]],'Audit Dimensions'!A:U,16,FALSE),"ARC")</f>
        <v>8270</v>
      </c>
      <c r="AE241" s="165">
        <f>IFERROR(1-Table1[[#This Row],[Gms]]/Table1[[#This Row],[BaLL.Aud]],"ERR")</f>
        <v>5.6831922611850105E-2</v>
      </c>
    </row>
    <row r="242" spans="1:31">
      <c r="A242" s="68" t="s">
        <v>287</v>
      </c>
      <c r="B242" s="84" t="s">
        <v>48</v>
      </c>
      <c r="C242" s="190">
        <f>_xlfn.XLOOKUP(Table1[[#This Row],[MTP SKU Code]],'Audit Dimensions'!A:A,'Audit Dimensions'!C:C,0)</f>
        <v>25</v>
      </c>
      <c r="D242" s="190">
        <v>21</v>
      </c>
      <c r="E242" s="190">
        <v>8</v>
      </c>
      <c r="F242" s="190">
        <v>880</v>
      </c>
      <c r="G242" s="190">
        <f>_xlfn.XLOOKUP(Table1[[#This Row],[MTP SKU Code]],'Audit Dimensions'!$A:$A,'Audit Dimensions'!G:G,0)</f>
        <v>0</v>
      </c>
      <c r="H242" s="190">
        <f>_xlfn.XLOOKUP(Table1[[#This Row],[MTP SKU Code]],'Audit Dimensions'!$A:$A,'Audit Dimensions'!H:H,0)</f>
        <v>0</v>
      </c>
      <c r="I242" s="190">
        <f>_xlfn.XLOOKUP(Table1[[#This Row],[MTP SKU Code]],'Audit Dimensions'!$A:$A,'Audit Dimensions'!I:I,0)</f>
        <v>0</v>
      </c>
      <c r="J242" s="190">
        <f>_xlfn.XLOOKUP(Table1[[#This Row],[MTP SKU Code]],'Audit Dimensions'!$A:$A,'Audit Dimensions'!J:J,0)</f>
        <v>0</v>
      </c>
      <c r="K242" s="190">
        <f>_xlfn.XLOOKUP(Table1[[#This Row],[MTP SKU Code]],'Audit Dimensions'!$A:$A,'Audit Dimensions'!K:K,0)</f>
        <v>0</v>
      </c>
      <c r="L242" s="190">
        <f>_xlfn.XLOOKUP(Table1[[#This Row],[MTP SKU Code]],'Audit Dimensions'!$A:$A,'Audit Dimensions'!L:L,0)</f>
        <v>0</v>
      </c>
      <c r="M242" s="190">
        <f>_xlfn.XLOOKUP(Table1[[#This Row],[MTP SKU Code]],'Audit Dimensions'!$A:$A,'Audit Dimensions'!M:M,0)</f>
        <v>0</v>
      </c>
      <c r="N242" s="190">
        <f>_xlfn.XLOOKUP(Table1[[#This Row],[MTP SKU Code]],'Audit Dimensions'!$A:$A,'Audit Dimensions'!N:N,0)</f>
        <v>0</v>
      </c>
      <c r="O242" s="118">
        <f>((IFERROR((C242*D242*E242),0)+IFERROR((G242*H242*I242),0)+IFERROR((K242*L242*M242),0))/1000000)*35.32</f>
        <v>0.148344</v>
      </c>
      <c r="P242" s="125">
        <f>Table1[[#This Row],[Column15]]*$P$2*1000</f>
        <v>890.06399999999996</v>
      </c>
      <c r="Q242" s="87">
        <f>F242+J242+N242</f>
        <v>880</v>
      </c>
      <c r="R242" s="86">
        <f>MAX(Q242,O242)</f>
        <v>880</v>
      </c>
      <c r="S242" s="86">
        <f>MAX(R242,P242)</f>
        <v>890.06399999999996</v>
      </c>
      <c r="T242" s="156" t="str">
        <f>VLOOKUP(A242,'[1]MTP SKUs - Master Data'!$A:$B,2,FALSE)</f>
        <v>Y</v>
      </c>
      <c r="U242" s="162">
        <f>_xlfn.IFNA(VLOOKUP(Table1[[#This Row],[MTP SKU Code]],'Audit Dimensions'!A:N,6,FALSE),"ARC")</f>
        <v>960</v>
      </c>
      <c r="V242" s="162">
        <f>IFERROR(Table1[[#This Row],[B1.Aud]]-Table1[[#This Row],[PW(gm)]],"ERR")</f>
        <v>80</v>
      </c>
      <c r="W242" s="165">
        <f>IFERROR(Table1[[#This Row],[B1.Diff]]/Table1[[#This Row],[B1.Aud]],"ERR")</f>
        <v>8.3333333333333329E-2</v>
      </c>
      <c r="X242" s="162">
        <f>_xlfn.IFNA(VLOOKUP(Table1[[#This Row],[MTP SKU Code]],'Audit Dimensions'!A:N,10,FALSE),"ARC")</f>
        <v>0</v>
      </c>
      <c r="Y242" s="163">
        <f>IFERROR(Table1[[#This Row],[B2.Aud]]-Table1[[#This Row],[PW(gm)5]],"ERR")</f>
        <v>0</v>
      </c>
      <c r="Z242" s="165" t="str">
        <f>IFERROR(Table1[[#This Row],[B2.Diff]]/Table1[[#This Row],[B2.Aud]],"NA")</f>
        <v>NA</v>
      </c>
      <c r="AA242" s="162">
        <f>_xlfn.IFNA(VLOOKUP(Table1[[#This Row],[MTP SKU Code]],'Audit Dimensions'!A:N,14,FALSE),"ARC")</f>
        <v>0</v>
      </c>
      <c r="AB242" s="161">
        <f>IFERROR(Table1[[#This Row],[B3.Aud]]-Table1[[#This Row],[PW(gm)9]],"ERR")</f>
        <v>0</v>
      </c>
      <c r="AC242" s="168">
        <f>IFERROR(Table1[[#This Row],[B3.Diff]]/Table1[[#This Row],[BaLL.Aud]],"ERR")</f>
        <v>0</v>
      </c>
      <c r="AD242" s="189">
        <f>_xlfn.IFNA(VLOOKUP(Table1[[#This Row],[MTP SKU Code]],'Audit Dimensions'!A:U,16,FALSE),"ARC")</f>
        <v>960</v>
      </c>
      <c r="AE242" s="165">
        <f>IFERROR(1-Table1[[#This Row],[Gms]]/Table1[[#This Row],[BaLL.Aud]],"ERR")</f>
        <v>8.333333333333337E-2</v>
      </c>
    </row>
    <row r="243" spans="1:31">
      <c r="A243" s="91" t="s">
        <v>288</v>
      </c>
      <c r="B243" s="84" t="s">
        <v>48</v>
      </c>
      <c r="C243" s="190">
        <f>_xlfn.XLOOKUP(Table1[[#This Row],[MTP SKU Code]],'Audit Dimensions'!A:A,'Audit Dimensions'!C:C,0)</f>
        <v>96</v>
      </c>
      <c r="D243" s="190">
        <f>_xlfn.XLOOKUP(Table1[[#This Row],[MTP SKU Code]],'Audit Dimensions'!$A:$A,'Audit Dimensions'!D:D,0)</f>
        <v>29</v>
      </c>
      <c r="E243" s="190">
        <f>_xlfn.XLOOKUP(Table1[[#This Row],[MTP SKU Code]],'Audit Dimensions'!$A:$A,'Audit Dimensions'!E:E,0)</f>
        <v>5</v>
      </c>
      <c r="F243" s="190">
        <f>_xlfn.XLOOKUP(Table1[[#This Row],[MTP SKU Code]],'Audit Dimensions'!$A:$A,'Audit Dimensions'!F:F,0)</f>
        <v>4760</v>
      </c>
      <c r="G243" s="190">
        <f>_xlfn.XLOOKUP(Table1[[#This Row],[MTP SKU Code]],'Audit Dimensions'!$A:$A,'Audit Dimensions'!G:G,0)</f>
        <v>0</v>
      </c>
      <c r="H243" s="190">
        <f>_xlfn.XLOOKUP(Table1[[#This Row],[MTP SKU Code]],'Audit Dimensions'!$A:$A,'Audit Dimensions'!H:H,0)</f>
        <v>0</v>
      </c>
      <c r="I243" s="190">
        <f>_xlfn.XLOOKUP(Table1[[#This Row],[MTP SKU Code]],'Audit Dimensions'!$A:$A,'Audit Dimensions'!I:I,0)</f>
        <v>0</v>
      </c>
      <c r="J243" s="190">
        <f>_xlfn.XLOOKUP(Table1[[#This Row],[MTP SKU Code]],'Audit Dimensions'!$A:$A,'Audit Dimensions'!J:J,0)</f>
        <v>0</v>
      </c>
      <c r="K243" s="190">
        <f>_xlfn.XLOOKUP(Table1[[#This Row],[MTP SKU Code]],'Audit Dimensions'!$A:$A,'Audit Dimensions'!K:K,0)</f>
        <v>0</v>
      </c>
      <c r="L243" s="190">
        <f>_xlfn.XLOOKUP(Table1[[#This Row],[MTP SKU Code]],'Audit Dimensions'!$A:$A,'Audit Dimensions'!L:L,0)</f>
        <v>0</v>
      </c>
      <c r="M243" s="190">
        <f>_xlfn.XLOOKUP(Table1[[#This Row],[MTP SKU Code]],'Audit Dimensions'!$A:$A,'Audit Dimensions'!M:M,0)</f>
        <v>0</v>
      </c>
      <c r="N243" s="190">
        <f>_xlfn.XLOOKUP(Table1[[#This Row],[MTP SKU Code]],'Audit Dimensions'!$A:$A,'Audit Dimensions'!N:N,0)</f>
        <v>0</v>
      </c>
      <c r="O243" s="118">
        <f>((IFERROR((C243*D243*E243),0)+IFERROR((G243*H243*I243),0)+IFERROR((K243*L243*M243),0))/1000000)*35.32</f>
        <v>0.49165439999999999</v>
      </c>
      <c r="P243" s="125">
        <f>Table1[[#This Row],[Column15]]*$P$2*1000</f>
        <v>2949.9263999999998</v>
      </c>
      <c r="Q243" s="87">
        <f>F243+J243+N243</f>
        <v>4760</v>
      </c>
      <c r="R243" s="86">
        <f>MAX(Q243,O243)</f>
        <v>4760</v>
      </c>
      <c r="S243" s="86">
        <f>MAX(R243,P243)</f>
        <v>4760</v>
      </c>
      <c r="T243" s="156" t="str">
        <f>VLOOKUP(A243,'[1]MTP SKUs - Master Data'!$A:$B,2,FALSE)</f>
        <v>Y</v>
      </c>
      <c r="U243" s="162">
        <f>_xlfn.IFNA(VLOOKUP(Table1[[#This Row],[MTP SKU Code]],'Audit Dimensions'!A:N,6,FALSE),"ARC")</f>
        <v>4760</v>
      </c>
      <c r="V243" s="162">
        <f>IFERROR(Table1[[#This Row],[B1.Aud]]-Table1[[#This Row],[PW(gm)]],"ERR")</f>
        <v>0</v>
      </c>
      <c r="W243" s="165">
        <f>IFERROR(Table1[[#This Row],[B1.Diff]]/Table1[[#This Row],[B1.Aud]],"ERR")</f>
        <v>0</v>
      </c>
      <c r="X243" s="162">
        <f>_xlfn.IFNA(VLOOKUP(Table1[[#This Row],[MTP SKU Code]],'Audit Dimensions'!A:N,10,FALSE),"ARC")</f>
        <v>0</v>
      </c>
      <c r="Y243" s="163">
        <f>IFERROR(Table1[[#This Row],[B2.Aud]]-Table1[[#This Row],[PW(gm)5]],"ERR")</f>
        <v>0</v>
      </c>
      <c r="Z243" s="165" t="str">
        <f>IFERROR(Table1[[#This Row],[B2.Diff]]/Table1[[#This Row],[B2.Aud]],"NA")</f>
        <v>NA</v>
      </c>
      <c r="AA243" s="162">
        <f>_xlfn.IFNA(VLOOKUP(Table1[[#This Row],[MTP SKU Code]],'Audit Dimensions'!A:N,14,FALSE),"ARC")</f>
        <v>0</v>
      </c>
      <c r="AB243" s="161">
        <f>IFERROR(Table1[[#This Row],[B3.Aud]]-Table1[[#This Row],[PW(gm)9]],"ERR")</f>
        <v>0</v>
      </c>
      <c r="AC243" s="168">
        <f>IFERROR(Table1[[#This Row],[B3.Diff]]/Table1[[#This Row],[BaLL.Aud]],"ERR")</f>
        <v>0</v>
      </c>
      <c r="AD243" s="189">
        <f>_xlfn.IFNA(VLOOKUP(Table1[[#This Row],[MTP SKU Code]],'Audit Dimensions'!A:U,16,FALSE),"ARC")</f>
        <v>4760</v>
      </c>
      <c r="AE243" s="165">
        <f>IFERROR(1-Table1[[#This Row],[Gms]]/Table1[[#This Row],[BaLL.Aud]],"ERR")</f>
        <v>0</v>
      </c>
    </row>
    <row r="244" spans="1:31">
      <c r="A244" s="99" t="s">
        <v>289</v>
      </c>
      <c r="B244" s="84" t="s">
        <v>48</v>
      </c>
      <c r="C244" s="190">
        <f>_xlfn.XLOOKUP(Table1[[#This Row],[MTP SKU Code]],'Audit Dimensions'!A:A,'Audit Dimensions'!C:C,0)</f>
        <v>37</v>
      </c>
      <c r="D244" s="190">
        <f>_xlfn.XLOOKUP(Table1[[#This Row],[MTP SKU Code]],'Audit Dimensions'!$A:$A,'Audit Dimensions'!D:D,0)</f>
        <v>25</v>
      </c>
      <c r="E244" s="190">
        <f>_xlfn.XLOOKUP(Table1[[#This Row],[MTP SKU Code]],'Audit Dimensions'!$A:$A,'Audit Dimensions'!E:E,0)</f>
        <v>4</v>
      </c>
      <c r="F244" s="190">
        <f>_xlfn.XLOOKUP(Table1[[#This Row],[MTP SKU Code]],'Audit Dimensions'!$A:$A,'Audit Dimensions'!F:F,0)</f>
        <v>1550</v>
      </c>
      <c r="G244" s="190">
        <f>_xlfn.XLOOKUP(Table1[[#This Row],[MTP SKU Code]],'Audit Dimensions'!$A:$A,'Audit Dimensions'!G:G,0)</f>
        <v>0</v>
      </c>
      <c r="H244" s="190">
        <f>_xlfn.XLOOKUP(Table1[[#This Row],[MTP SKU Code]],'Audit Dimensions'!$A:$A,'Audit Dimensions'!H:H,0)</f>
        <v>0</v>
      </c>
      <c r="I244" s="190">
        <f>_xlfn.XLOOKUP(Table1[[#This Row],[MTP SKU Code]],'Audit Dimensions'!$A:$A,'Audit Dimensions'!I:I,0)</f>
        <v>0</v>
      </c>
      <c r="J244" s="190">
        <f>_xlfn.XLOOKUP(Table1[[#This Row],[MTP SKU Code]],'Audit Dimensions'!$A:$A,'Audit Dimensions'!J:J,0)</f>
        <v>0</v>
      </c>
      <c r="K244" s="190">
        <f>_xlfn.XLOOKUP(Table1[[#This Row],[MTP SKU Code]],'Audit Dimensions'!$A:$A,'Audit Dimensions'!K:K,0)</f>
        <v>0</v>
      </c>
      <c r="L244" s="190">
        <f>_xlfn.XLOOKUP(Table1[[#This Row],[MTP SKU Code]],'Audit Dimensions'!$A:$A,'Audit Dimensions'!L:L,0)</f>
        <v>0</v>
      </c>
      <c r="M244" s="190">
        <f>_xlfn.XLOOKUP(Table1[[#This Row],[MTP SKU Code]],'Audit Dimensions'!$A:$A,'Audit Dimensions'!M:M,0)</f>
        <v>0</v>
      </c>
      <c r="N244" s="190">
        <f>_xlfn.XLOOKUP(Table1[[#This Row],[MTP SKU Code]],'Audit Dimensions'!$A:$A,'Audit Dimensions'!N:N,0)</f>
        <v>0</v>
      </c>
      <c r="O244" s="118">
        <f>((IFERROR((C244*D244*E244),0)+IFERROR((G244*H244*I244),0)+IFERROR((K244*L244*M244),0))/1000000)*35.32</f>
        <v>0.13068399999999999</v>
      </c>
      <c r="P244" s="125">
        <f>Table1[[#This Row],[Column15]]*$P$2*1000</f>
        <v>784.10399999999993</v>
      </c>
      <c r="Q244" s="87">
        <f>F244+J244+N244</f>
        <v>1550</v>
      </c>
      <c r="R244" s="86">
        <f>MAX(Q244,O244)</f>
        <v>1550</v>
      </c>
      <c r="S244" s="86">
        <f>MAX(R244,P244)</f>
        <v>1550</v>
      </c>
      <c r="T244" s="156" t="str">
        <f>VLOOKUP(A244,'[1]MTP SKUs - Master Data'!$A:$B,2,FALSE)</f>
        <v>Y</v>
      </c>
      <c r="U244" s="162">
        <f>_xlfn.IFNA(VLOOKUP(Table1[[#This Row],[MTP SKU Code]],'Audit Dimensions'!A:N,6,FALSE),"ARC")</f>
        <v>1550</v>
      </c>
      <c r="V244" s="162">
        <f>IFERROR(Table1[[#This Row],[B1.Aud]]-Table1[[#This Row],[PW(gm)]],"ERR")</f>
        <v>0</v>
      </c>
      <c r="W244" s="165">
        <f>IFERROR(Table1[[#This Row],[B1.Diff]]/Table1[[#This Row],[B1.Aud]],"ERR")</f>
        <v>0</v>
      </c>
      <c r="X244" s="162">
        <f>_xlfn.IFNA(VLOOKUP(Table1[[#This Row],[MTP SKU Code]],'Audit Dimensions'!A:N,10,FALSE),"ARC")</f>
        <v>0</v>
      </c>
      <c r="Y244" s="163">
        <f>IFERROR(Table1[[#This Row],[B2.Aud]]-Table1[[#This Row],[PW(gm)5]],"ERR")</f>
        <v>0</v>
      </c>
      <c r="Z244" s="165" t="str">
        <f>IFERROR(Table1[[#This Row],[B2.Diff]]/Table1[[#This Row],[B2.Aud]],"NA")</f>
        <v>NA</v>
      </c>
      <c r="AA244" s="162">
        <f>_xlfn.IFNA(VLOOKUP(Table1[[#This Row],[MTP SKU Code]],'Audit Dimensions'!A:N,14,FALSE),"ARC")</f>
        <v>0</v>
      </c>
      <c r="AB244" s="161">
        <f>IFERROR(Table1[[#This Row],[B3.Aud]]-Table1[[#This Row],[PW(gm)9]],"ERR")</f>
        <v>0</v>
      </c>
      <c r="AC244" s="168">
        <f>IFERROR(Table1[[#This Row],[B3.Diff]]/Table1[[#This Row],[BaLL.Aud]],"ERR")</f>
        <v>0</v>
      </c>
      <c r="AD244" s="189">
        <f>_xlfn.IFNA(VLOOKUP(Table1[[#This Row],[MTP SKU Code]],'Audit Dimensions'!A:U,16,FALSE),"ARC")</f>
        <v>1550</v>
      </c>
      <c r="AE244" s="165">
        <f>IFERROR(1-Table1[[#This Row],[Gms]]/Table1[[#This Row],[BaLL.Aud]],"ERR")</f>
        <v>0</v>
      </c>
    </row>
    <row r="245" spans="1:31" ht="13.5" customHeight="1">
      <c r="A245" s="68" t="s">
        <v>290</v>
      </c>
      <c r="B245" s="84" t="s">
        <v>48</v>
      </c>
      <c r="C245" s="190">
        <f>_xlfn.XLOOKUP(Table1[[#This Row],[MTP SKU Code]],'Audit Dimensions'!A:A,'Audit Dimensions'!C:C,0)</f>
        <v>24</v>
      </c>
      <c r="D245" s="190">
        <f>_xlfn.XLOOKUP(Table1[[#This Row],[MTP SKU Code]],'Audit Dimensions'!$A:$A,'Audit Dimensions'!D:D,0)</f>
        <v>20</v>
      </c>
      <c r="E245" s="190">
        <f>_xlfn.XLOOKUP(Table1[[#This Row],[MTP SKU Code]],'Audit Dimensions'!$A:$A,'Audit Dimensions'!E:E,0)</f>
        <v>10</v>
      </c>
      <c r="F245" s="190">
        <f>_xlfn.XLOOKUP(Table1[[#This Row],[MTP SKU Code]],'Audit Dimensions'!$A:$A,'Audit Dimensions'!F:F,0)</f>
        <v>1690</v>
      </c>
      <c r="G245" s="190">
        <f>_xlfn.XLOOKUP(Table1[[#This Row],[MTP SKU Code]],'Audit Dimensions'!$A:$A,'Audit Dimensions'!G:G,0)</f>
        <v>0</v>
      </c>
      <c r="H245" s="190">
        <f>_xlfn.XLOOKUP(Table1[[#This Row],[MTP SKU Code]],'Audit Dimensions'!$A:$A,'Audit Dimensions'!H:H,0)</f>
        <v>0</v>
      </c>
      <c r="I245" s="190">
        <f>_xlfn.XLOOKUP(Table1[[#This Row],[MTP SKU Code]],'Audit Dimensions'!$A:$A,'Audit Dimensions'!I:I,0)</f>
        <v>0</v>
      </c>
      <c r="J245" s="190">
        <f>_xlfn.XLOOKUP(Table1[[#This Row],[MTP SKU Code]],'Audit Dimensions'!$A:$A,'Audit Dimensions'!J:J,0)</f>
        <v>0</v>
      </c>
      <c r="K245" s="190">
        <f>_xlfn.XLOOKUP(Table1[[#This Row],[MTP SKU Code]],'Audit Dimensions'!$A:$A,'Audit Dimensions'!K:K,0)</f>
        <v>0</v>
      </c>
      <c r="L245" s="190">
        <f>_xlfn.XLOOKUP(Table1[[#This Row],[MTP SKU Code]],'Audit Dimensions'!$A:$A,'Audit Dimensions'!L:L,0)</f>
        <v>0</v>
      </c>
      <c r="M245" s="190">
        <f>_xlfn.XLOOKUP(Table1[[#This Row],[MTP SKU Code]],'Audit Dimensions'!$A:$A,'Audit Dimensions'!M:M,0)</f>
        <v>0</v>
      </c>
      <c r="N245" s="190">
        <f>_xlfn.XLOOKUP(Table1[[#This Row],[MTP SKU Code]],'Audit Dimensions'!$A:$A,'Audit Dimensions'!N:N,0)</f>
        <v>0</v>
      </c>
      <c r="O245" s="118">
        <f>((IFERROR((C245*D245*E245),0)+IFERROR((G245*H245*I245),0)+IFERROR((K245*L245*M245),0))/1000000)*35.32</f>
        <v>0.16953599999999999</v>
      </c>
      <c r="P245" s="125">
        <f>Table1[[#This Row],[Column15]]*$P$2*1000</f>
        <v>1017.2159999999999</v>
      </c>
      <c r="Q245" s="87">
        <f>F245+J245+N245</f>
        <v>1690</v>
      </c>
      <c r="R245" s="86">
        <f>MAX(Q245,O245)</f>
        <v>1690</v>
      </c>
      <c r="S245" s="86">
        <f>MAX(R245,P245)</f>
        <v>1690</v>
      </c>
      <c r="T245" s="156" t="str">
        <f>VLOOKUP(A245,'[1]MTP SKUs - Master Data'!$A:$B,2,FALSE)</f>
        <v>Y</v>
      </c>
      <c r="U245" s="162">
        <f>_xlfn.IFNA(VLOOKUP(Table1[[#This Row],[MTP SKU Code]],'Audit Dimensions'!A:N,6,FALSE),"ARC")</f>
        <v>1690</v>
      </c>
      <c r="V245" s="162">
        <f>IFERROR(Table1[[#This Row],[B1.Aud]]-Table1[[#This Row],[PW(gm)]],"ERR")</f>
        <v>0</v>
      </c>
      <c r="W245" s="165">
        <f>IFERROR(Table1[[#This Row],[B1.Diff]]/Table1[[#This Row],[B1.Aud]],"ERR")</f>
        <v>0</v>
      </c>
      <c r="X245" s="162">
        <f>_xlfn.IFNA(VLOOKUP(Table1[[#This Row],[MTP SKU Code]],'Audit Dimensions'!A:N,10,FALSE),"ARC")</f>
        <v>0</v>
      </c>
      <c r="Y245" s="163">
        <f>IFERROR(Table1[[#This Row],[B2.Aud]]-Table1[[#This Row],[PW(gm)5]],"ERR")</f>
        <v>0</v>
      </c>
      <c r="Z245" s="165" t="str">
        <f>IFERROR(Table1[[#This Row],[B2.Diff]]/Table1[[#This Row],[B2.Aud]],"NA")</f>
        <v>NA</v>
      </c>
      <c r="AA245" s="162">
        <f>_xlfn.IFNA(VLOOKUP(Table1[[#This Row],[MTP SKU Code]],'Audit Dimensions'!A:N,14,FALSE),"ARC")</f>
        <v>0</v>
      </c>
      <c r="AB245" s="161">
        <f>IFERROR(Table1[[#This Row],[B3.Aud]]-Table1[[#This Row],[PW(gm)9]],"ERR")</f>
        <v>0</v>
      </c>
      <c r="AC245" s="168">
        <f>IFERROR(Table1[[#This Row],[B3.Diff]]/Table1[[#This Row],[BaLL.Aud]],"ERR")</f>
        <v>0</v>
      </c>
      <c r="AD245" s="189">
        <f>_xlfn.IFNA(VLOOKUP(Table1[[#This Row],[MTP SKU Code]],'Audit Dimensions'!A:U,16,FALSE),"ARC")</f>
        <v>1690</v>
      </c>
      <c r="AE245" s="165">
        <f>IFERROR(1-Table1[[#This Row],[Gms]]/Table1[[#This Row],[BaLL.Aud]],"ERR")</f>
        <v>0</v>
      </c>
    </row>
    <row r="246" spans="1:31" hidden="1">
      <c r="A246" s="68" t="s">
        <v>291</v>
      </c>
      <c r="B246" s="84" t="s">
        <v>74</v>
      </c>
      <c r="C246" s="85">
        <v>205</v>
      </c>
      <c r="D246" s="85">
        <v>54</v>
      </c>
      <c r="E246" s="85">
        <v>10</v>
      </c>
      <c r="F246" s="89">
        <v>35000</v>
      </c>
      <c r="G246" s="85">
        <v>105</v>
      </c>
      <c r="H246" s="85">
        <v>94</v>
      </c>
      <c r="I246" s="85">
        <v>5</v>
      </c>
      <c r="J246" s="85">
        <v>35000</v>
      </c>
      <c r="K246" s="85"/>
      <c r="L246" s="85"/>
      <c r="M246" s="85"/>
      <c r="N246" s="85"/>
      <c r="O246" s="118">
        <f>((IFERROR((C246*D246*E246),0)+IFERROR((G246*H246*I246),0)+IFERROR((K246*L246*M246),0))/1000000)*35.32</f>
        <v>5.6529660000000002</v>
      </c>
      <c r="P246" s="125">
        <f>Table1[[#This Row],[Column15]]*$P$2*1000</f>
        <v>33917.796000000002</v>
      </c>
      <c r="Q246" s="87">
        <f>F246+J246+N246</f>
        <v>70000</v>
      </c>
      <c r="R246" s="86">
        <f>MAX(Q246,O246)</f>
        <v>70000</v>
      </c>
      <c r="S246" s="86">
        <f>MAX(R246,P246)</f>
        <v>70000</v>
      </c>
      <c r="T246" s="156" t="str">
        <f>VLOOKUP(A246,'[1]MTP SKUs - Master Data'!$A:$B,2,FALSE)</f>
        <v>DI</v>
      </c>
      <c r="U246" s="162" t="str">
        <f>_xlfn.IFNA(VLOOKUP(Table1[[#This Row],[MTP SKU Code]],'Audit Dimensions'!A:N,6,FALSE),"ARC")</f>
        <v>ARC</v>
      </c>
      <c r="V246" s="162" t="str">
        <f>IFERROR(Table1[[#This Row],[B1.Aud]]-Table1[[#This Row],[PW(gm)]],"ERR")</f>
        <v>ERR</v>
      </c>
      <c r="W246" s="165" t="str">
        <f>IFERROR(Table1[[#This Row],[B1.Diff]]/Table1[[#This Row],[B1.Aud]],"ERR")</f>
        <v>ERR</v>
      </c>
      <c r="X246" s="162" t="str">
        <f>_xlfn.IFNA(VLOOKUP(Table1[[#This Row],[MTP SKU Code]],'Audit Dimensions'!A:N,10,FALSE),"ARC")</f>
        <v>ARC</v>
      </c>
      <c r="Y246" s="163" t="str">
        <f>IFERROR(Table1[[#This Row],[B2.Aud]]-Table1[[#This Row],[PW(gm)5]],"ERR")</f>
        <v>ERR</v>
      </c>
      <c r="Z246" s="165" t="str">
        <f>IFERROR(Table1[[#This Row],[B2.Diff]]/Table1[[#This Row],[B2.Aud]],"NA")</f>
        <v>NA</v>
      </c>
      <c r="AA246" s="162" t="str">
        <f>_xlfn.IFNA(VLOOKUP(Table1[[#This Row],[MTP SKU Code]],'Audit Dimensions'!A:N,14,FALSE),"ARC")</f>
        <v>ARC</v>
      </c>
      <c r="AB246" s="161" t="str">
        <f>IFERROR(Table1[[#This Row],[B3.Aud]]-Table1[[#This Row],[PW(gm)9]],"ERR")</f>
        <v>ERR</v>
      </c>
      <c r="AC246" s="168" t="str">
        <f>IFERROR(Table1[[#This Row],[B3.Diff]]/Table1[[#This Row],[BaLL.Aud]],"ERR")</f>
        <v>ERR</v>
      </c>
      <c r="AD246" s="162" t="str">
        <f>_xlfn.IFNA(VLOOKUP(Table1[[#This Row],[MTP SKU Code]],'Audit Dimensions'!A:U,16,FALSE),"ARC")</f>
        <v>ARC</v>
      </c>
      <c r="AE246" s="165" t="str">
        <f>IFERROR(1-Table1[[#This Row],[Gms]]/Table1[[#This Row],[BaLL.Aud]],"ERR")</f>
        <v>ERR</v>
      </c>
    </row>
    <row r="247" spans="1:31" ht="15" hidden="1" customHeight="1">
      <c r="A247" s="68" t="s">
        <v>292</v>
      </c>
      <c r="B247" s="84" t="s">
        <v>74</v>
      </c>
      <c r="C247" s="85">
        <v>206</v>
      </c>
      <c r="D247" s="85">
        <v>50</v>
      </c>
      <c r="E247" s="85">
        <v>10</v>
      </c>
      <c r="F247" s="89">
        <v>46000</v>
      </c>
      <c r="G247" s="85">
        <v>102</v>
      </c>
      <c r="H247" s="85">
        <v>79</v>
      </c>
      <c r="I247" s="85">
        <v>5</v>
      </c>
      <c r="J247" s="85">
        <v>24000</v>
      </c>
      <c r="K247" s="85"/>
      <c r="L247" s="85"/>
      <c r="M247" s="85"/>
      <c r="N247" s="85"/>
      <c r="O247" s="118">
        <f>((IFERROR((C247*D247*E247),0)+IFERROR((G247*H247*I247),0)+IFERROR((K247*L247*M247),0))/1000000)*35.32</f>
        <v>5.0610027999999998</v>
      </c>
      <c r="P247" s="125">
        <f>Table1[[#This Row],[Column15]]*$P$2*1000</f>
        <v>30366.016799999998</v>
      </c>
      <c r="Q247" s="87">
        <f>F247+J247+N247</f>
        <v>70000</v>
      </c>
      <c r="R247" s="86">
        <f>MAX(Q247,O247)</f>
        <v>70000</v>
      </c>
      <c r="S247" s="86">
        <f>MAX(R247,P247)</f>
        <v>70000</v>
      </c>
      <c r="T247" s="156" t="str">
        <f>VLOOKUP(A247,'[1]MTP SKUs - Master Data'!$A:$B,2,FALSE)</f>
        <v>DI</v>
      </c>
      <c r="U247" s="162" t="str">
        <f>_xlfn.IFNA(VLOOKUP(Table1[[#This Row],[MTP SKU Code]],'Audit Dimensions'!A:N,6,FALSE),"ARC")</f>
        <v>ARC</v>
      </c>
      <c r="V247" s="162" t="str">
        <f>IFERROR(Table1[[#This Row],[B1.Aud]]-Table1[[#This Row],[PW(gm)]],"ERR")</f>
        <v>ERR</v>
      </c>
      <c r="W247" s="165" t="str">
        <f>IFERROR(Table1[[#This Row],[B1.Diff]]/Table1[[#This Row],[B1.Aud]],"ERR")</f>
        <v>ERR</v>
      </c>
      <c r="X247" s="162" t="str">
        <f>_xlfn.IFNA(VLOOKUP(Table1[[#This Row],[MTP SKU Code]],'Audit Dimensions'!A:N,10,FALSE),"ARC")</f>
        <v>ARC</v>
      </c>
      <c r="Y247" s="163" t="str">
        <f>IFERROR(Table1[[#This Row],[B2.Aud]]-Table1[[#This Row],[PW(gm)5]],"ERR")</f>
        <v>ERR</v>
      </c>
      <c r="Z247" s="165" t="str">
        <f>IFERROR(Table1[[#This Row],[B2.Diff]]/Table1[[#This Row],[B2.Aud]],"NA")</f>
        <v>NA</v>
      </c>
      <c r="AA247" s="162" t="str">
        <f>_xlfn.IFNA(VLOOKUP(Table1[[#This Row],[MTP SKU Code]],'Audit Dimensions'!A:N,14,FALSE),"ARC")</f>
        <v>ARC</v>
      </c>
      <c r="AB247" s="161" t="str">
        <f>IFERROR(Table1[[#This Row],[B3.Aud]]-Table1[[#This Row],[PW(gm)9]],"ERR")</f>
        <v>ERR</v>
      </c>
      <c r="AC247" s="168" t="str">
        <f>IFERROR(Table1[[#This Row],[B3.Diff]]/Table1[[#This Row],[BaLL.Aud]],"ERR")</f>
        <v>ERR</v>
      </c>
      <c r="AD247" s="162" t="str">
        <f>_xlfn.IFNA(VLOOKUP(Table1[[#This Row],[MTP SKU Code]],'Audit Dimensions'!A:U,16,FALSE),"ARC")</f>
        <v>ARC</v>
      </c>
      <c r="AE247" s="165" t="str">
        <f>IFERROR(1-Table1[[#This Row],[Gms]]/Table1[[#This Row],[BaLL.Aud]],"ERR")</f>
        <v>ERR</v>
      </c>
    </row>
    <row r="248" spans="1:31" ht="15" customHeight="1">
      <c r="A248" s="68" t="s">
        <v>293</v>
      </c>
      <c r="B248" s="84" t="s">
        <v>48</v>
      </c>
      <c r="C248" s="190">
        <f>_xlfn.XLOOKUP(Table1[[#This Row],[MTP SKU Code]],'Audit Dimensions'!A:A,'Audit Dimensions'!C:C,0)</f>
        <v>112</v>
      </c>
      <c r="D248" s="190">
        <f>_xlfn.XLOOKUP(Table1[[#This Row],[MTP SKU Code]],'Audit Dimensions'!$A:$A,'Audit Dimensions'!D:D,0)</f>
        <v>19</v>
      </c>
      <c r="E248" s="190">
        <f>_xlfn.XLOOKUP(Table1[[#This Row],[MTP SKU Code]],'Audit Dimensions'!$A:$A,'Audit Dimensions'!E:E,0)</f>
        <v>4</v>
      </c>
      <c r="F248" s="190">
        <f>_xlfn.XLOOKUP(Table1[[#This Row],[MTP SKU Code]],'Audit Dimensions'!$A:$A,'Audit Dimensions'!F:F,0)</f>
        <v>3640</v>
      </c>
      <c r="G248" s="190">
        <f>_xlfn.XLOOKUP(Table1[[#This Row],[MTP SKU Code]],'Audit Dimensions'!$A:$A,'Audit Dimensions'!G:G,0)</f>
        <v>0</v>
      </c>
      <c r="H248" s="190">
        <f>_xlfn.XLOOKUP(Table1[[#This Row],[MTP SKU Code]],'Audit Dimensions'!$A:$A,'Audit Dimensions'!H:H,0)</f>
        <v>0</v>
      </c>
      <c r="I248" s="190">
        <f>_xlfn.XLOOKUP(Table1[[#This Row],[MTP SKU Code]],'Audit Dimensions'!$A:$A,'Audit Dimensions'!I:I,0)</f>
        <v>0</v>
      </c>
      <c r="J248" s="190">
        <f>_xlfn.XLOOKUP(Table1[[#This Row],[MTP SKU Code]],'Audit Dimensions'!$A:$A,'Audit Dimensions'!J:J,0)</f>
        <v>0</v>
      </c>
      <c r="K248" s="190">
        <f>_xlfn.XLOOKUP(Table1[[#This Row],[MTP SKU Code]],'Audit Dimensions'!$A:$A,'Audit Dimensions'!K:K,0)</f>
        <v>0</v>
      </c>
      <c r="L248" s="190">
        <f>_xlfn.XLOOKUP(Table1[[#This Row],[MTP SKU Code]],'Audit Dimensions'!$A:$A,'Audit Dimensions'!L:L,0)</f>
        <v>0</v>
      </c>
      <c r="M248" s="190">
        <f>_xlfn.XLOOKUP(Table1[[#This Row],[MTP SKU Code]],'Audit Dimensions'!$A:$A,'Audit Dimensions'!M:M,0)</f>
        <v>0</v>
      </c>
      <c r="N248" s="190">
        <f>_xlfn.XLOOKUP(Table1[[#This Row],[MTP SKU Code]],'Audit Dimensions'!$A:$A,'Audit Dimensions'!N:N,0)</f>
        <v>0</v>
      </c>
      <c r="O248" s="118">
        <f>((IFERROR((C248*D248*E248),0)+IFERROR((G248*H248*I248),0)+IFERROR((K248*L248*M248),0))/1000000)*35.32</f>
        <v>0.30064384</v>
      </c>
      <c r="P248" s="125">
        <f>Table1[[#This Row],[Column15]]*$P$2*1000</f>
        <v>1803.86304</v>
      </c>
      <c r="Q248" s="87">
        <f>F248+J248+N248</f>
        <v>3640</v>
      </c>
      <c r="R248" s="86">
        <f>MAX(Q248,O248)</f>
        <v>3640</v>
      </c>
      <c r="S248" s="86">
        <f>MAX(R248,P248)</f>
        <v>3640</v>
      </c>
      <c r="T248" s="156" t="str">
        <f>VLOOKUP(A248,'[1]MTP SKUs - Master Data'!$A:$B,2,FALSE)</f>
        <v>Y</v>
      </c>
      <c r="U248" s="162">
        <f>_xlfn.IFNA(VLOOKUP(Table1[[#This Row],[MTP SKU Code]],'Audit Dimensions'!A:N,6,FALSE),"ARC")</f>
        <v>3640</v>
      </c>
      <c r="V248" s="162">
        <f>IFERROR(Table1[[#This Row],[B1.Aud]]-Table1[[#This Row],[PW(gm)]],"ERR")</f>
        <v>0</v>
      </c>
      <c r="W248" s="165">
        <f>IFERROR(Table1[[#This Row],[B1.Diff]]/Table1[[#This Row],[B1.Aud]],"ERR")</f>
        <v>0</v>
      </c>
      <c r="X248" s="162">
        <f>_xlfn.IFNA(VLOOKUP(Table1[[#This Row],[MTP SKU Code]],'Audit Dimensions'!A:N,10,FALSE),"ARC")</f>
        <v>0</v>
      </c>
      <c r="Y248" s="163">
        <f>IFERROR(Table1[[#This Row],[B2.Aud]]-Table1[[#This Row],[PW(gm)5]],"ERR")</f>
        <v>0</v>
      </c>
      <c r="Z248" s="165" t="str">
        <f>IFERROR(Table1[[#This Row],[B2.Diff]]/Table1[[#This Row],[B2.Aud]],"NA")</f>
        <v>NA</v>
      </c>
      <c r="AA248" s="162">
        <f>_xlfn.IFNA(VLOOKUP(Table1[[#This Row],[MTP SKU Code]],'Audit Dimensions'!A:N,14,FALSE),"ARC")</f>
        <v>0</v>
      </c>
      <c r="AB248" s="161">
        <f>IFERROR(Table1[[#This Row],[B3.Aud]]-Table1[[#This Row],[PW(gm)9]],"ERR")</f>
        <v>0</v>
      </c>
      <c r="AC248" s="168">
        <f>IFERROR(Table1[[#This Row],[B3.Diff]]/Table1[[#This Row],[BaLL.Aud]],"ERR")</f>
        <v>0</v>
      </c>
      <c r="AD248" s="189">
        <f>_xlfn.IFNA(VLOOKUP(Table1[[#This Row],[MTP SKU Code]],'Audit Dimensions'!A:U,16,FALSE),"ARC")</f>
        <v>3640</v>
      </c>
      <c r="AE248" s="165">
        <f>IFERROR(1-Table1[[#This Row],[Gms]]/Table1[[#This Row],[BaLL.Aud]],"ERR")</f>
        <v>0</v>
      </c>
    </row>
    <row r="249" spans="1:31" ht="15" hidden="1" customHeight="1">
      <c r="A249" s="68" t="s">
        <v>294</v>
      </c>
      <c r="B249" s="84"/>
      <c r="C249" s="85">
        <v>64</v>
      </c>
      <c r="D249" s="85">
        <v>58</v>
      </c>
      <c r="E249" s="85">
        <v>12</v>
      </c>
      <c r="F249" s="89">
        <v>15000</v>
      </c>
      <c r="G249" s="85"/>
      <c r="H249" s="85"/>
      <c r="I249" s="85"/>
      <c r="J249" s="85"/>
      <c r="K249" s="85"/>
      <c r="L249" s="85"/>
      <c r="M249" s="85"/>
      <c r="N249" s="85"/>
      <c r="O249" s="118">
        <f>((IFERROR((C249*D249*E249),0)+IFERROR((G249*H249*I249),0)+IFERROR((K249*L249*M249),0))/1000000)*35.32</f>
        <v>1.5732940799999999</v>
      </c>
      <c r="P249" s="125">
        <f>Table1[[#This Row],[Column15]]*$P$2*1000</f>
        <v>9439.7644799999998</v>
      </c>
      <c r="Q249" s="87">
        <f>F249+J249+N249</f>
        <v>15000</v>
      </c>
      <c r="R249" s="86">
        <f>MAX(Q249,O249)</f>
        <v>15000</v>
      </c>
      <c r="S249" s="86">
        <f>MAX(R249,P249)</f>
        <v>15000</v>
      </c>
      <c r="T249" s="156" t="str">
        <f>VLOOKUP(A249,'[1]MTP SKUs - Master Data'!$A:$B,2,FALSE)</f>
        <v>DI</v>
      </c>
      <c r="U249" s="162" t="str">
        <f>_xlfn.IFNA(VLOOKUP(Table1[[#This Row],[MTP SKU Code]],'Audit Dimensions'!A:N,6,FALSE),"ARC")</f>
        <v>0</v>
      </c>
      <c r="V249" s="162">
        <f>IFERROR(Table1[[#This Row],[B1.Aud]]-Table1[[#This Row],[PW(gm)]],"ERR")</f>
        <v>-15000</v>
      </c>
      <c r="W249" s="165" t="str">
        <f>IFERROR(Table1[[#This Row],[B1.Diff]]/Table1[[#This Row],[B1.Aud]],"ERR")</f>
        <v>ERR</v>
      </c>
      <c r="X249" s="162" t="str">
        <f>_xlfn.IFNA(VLOOKUP(Table1[[#This Row],[MTP SKU Code]],'Audit Dimensions'!A:N,10,FALSE),"ARC")</f>
        <v>0</v>
      </c>
      <c r="Y249" s="163">
        <f>IFERROR(Table1[[#This Row],[B2.Aud]]-Table1[[#This Row],[PW(gm)5]],"ERR")</f>
        <v>0</v>
      </c>
      <c r="Z249" s="165" t="str">
        <f>IFERROR(Table1[[#This Row],[B2.Diff]]/Table1[[#This Row],[B2.Aud]],"NA")</f>
        <v>NA</v>
      </c>
      <c r="AA249" s="162" t="str">
        <f>_xlfn.IFNA(VLOOKUP(Table1[[#This Row],[MTP SKU Code]],'Audit Dimensions'!A:N,14,FALSE),"ARC")</f>
        <v>0</v>
      </c>
      <c r="AB249" s="161">
        <f>IFERROR(Table1[[#This Row],[B3.Aud]]-Table1[[#This Row],[PW(gm)9]],"ERR")</f>
        <v>0</v>
      </c>
      <c r="AC249" s="168" t="str">
        <f>IFERROR(Table1[[#This Row],[B3.Diff]]/Table1[[#This Row],[BaLL.Aud]],"ERR")</f>
        <v>ERR</v>
      </c>
      <c r="AD249" s="162">
        <f>_xlfn.IFNA(VLOOKUP(Table1[[#This Row],[MTP SKU Code]],'Audit Dimensions'!A:U,16,FALSE),"ARC")</f>
        <v>0</v>
      </c>
      <c r="AE249" s="165" t="str">
        <f>IFERROR(1-Table1[[#This Row],[Gms]]/Table1[[#This Row],[BaLL.Aud]],"ERR")</f>
        <v>ERR</v>
      </c>
    </row>
    <row r="250" spans="1:31" ht="15" hidden="1" customHeight="1">
      <c r="A250" s="68" t="s">
        <v>295</v>
      </c>
      <c r="B250" s="84" t="s">
        <v>296</v>
      </c>
      <c r="C250" s="85"/>
      <c r="D250" s="85"/>
      <c r="E250" s="85"/>
      <c r="F250" s="89"/>
      <c r="G250" s="85"/>
      <c r="H250" s="85"/>
      <c r="I250" s="85"/>
      <c r="J250" s="85"/>
      <c r="K250" s="85"/>
      <c r="L250" s="85"/>
      <c r="M250" s="85"/>
      <c r="N250" s="85"/>
      <c r="O250" s="118">
        <f>((IFERROR((C250*D250*E250),0)+IFERROR((G250*H250*I250),0)+IFERROR((K250*L250*M250),0))/1000000)*35.32</f>
        <v>0</v>
      </c>
      <c r="P250" s="125">
        <f>Table1[[#This Row],[Column15]]*$P$2*1000</f>
        <v>0</v>
      </c>
      <c r="Q250" s="87">
        <f>F250+J250+N250</f>
        <v>0</v>
      </c>
      <c r="R250" s="86">
        <f>MAX(Q250,O250)</f>
        <v>0</v>
      </c>
      <c r="S250" s="86">
        <f>MAX(R250,P250)</f>
        <v>0</v>
      </c>
      <c r="T250" s="156" t="str">
        <f>VLOOKUP(A250,'[1]MTP SKUs - Master Data'!$A:$B,2,FALSE)</f>
        <v>DI</v>
      </c>
      <c r="U250" s="162" t="str">
        <f>_xlfn.IFNA(VLOOKUP(Table1[[#This Row],[MTP SKU Code]],'Audit Dimensions'!A:N,6,FALSE),"ARC")</f>
        <v>ARC</v>
      </c>
      <c r="V250" s="162" t="str">
        <f>IFERROR(Table1[[#This Row],[B1.Aud]]-Table1[[#This Row],[PW(gm)]],"ERR")</f>
        <v>ERR</v>
      </c>
      <c r="W250" s="165" t="str">
        <f>IFERROR(Table1[[#This Row],[B1.Diff]]/Table1[[#This Row],[B1.Aud]],"ERR")</f>
        <v>ERR</v>
      </c>
      <c r="X250" s="162" t="str">
        <f>_xlfn.IFNA(VLOOKUP(Table1[[#This Row],[MTP SKU Code]],'Audit Dimensions'!A:N,10,FALSE),"ARC")</f>
        <v>ARC</v>
      </c>
      <c r="Y250" s="163" t="str">
        <f>IFERROR(Table1[[#This Row],[B2.Aud]]-Table1[[#This Row],[PW(gm)5]],"ERR")</f>
        <v>ERR</v>
      </c>
      <c r="Z250" s="165" t="str">
        <f>IFERROR(Table1[[#This Row],[B2.Diff]]/Table1[[#This Row],[B2.Aud]],"NA")</f>
        <v>NA</v>
      </c>
      <c r="AA250" s="162" t="str">
        <f>_xlfn.IFNA(VLOOKUP(Table1[[#This Row],[MTP SKU Code]],'Audit Dimensions'!A:N,14,FALSE),"ARC")</f>
        <v>ARC</v>
      </c>
      <c r="AB250" s="161" t="str">
        <f>IFERROR(Table1[[#This Row],[B3.Aud]]-Table1[[#This Row],[PW(gm)9]],"ERR")</f>
        <v>ERR</v>
      </c>
      <c r="AC250" s="168" t="str">
        <f>IFERROR(Table1[[#This Row],[B3.Diff]]/Table1[[#This Row],[BaLL.Aud]],"ERR")</f>
        <v>ERR</v>
      </c>
      <c r="AD250" s="162" t="str">
        <f>_xlfn.IFNA(VLOOKUP(Table1[[#This Row],[MTP SKU Code]],'Audit Dimensions'!A:U,16,FALSE),"ARC")</f>
        <v>ARC</v>
      </c>
      <c r="AE250" s="165" t="str">
        <f>IFERROR(1-Table1[[#This Row],[Gms]]/Table1[[#This Row],[BaLL.Aud]],"ERR")</f>
        <v>ERR</v>
      </c>
    </row>
    <row r="251" spans="1:31" ht="15" customHeight="1">
      <c r="A251" s="98" t="s">
        <v>297</v>
      </c>
      <c r="B251" s="84" t="s">
        <v>48</v>
      </c>
      <c r="C251" s="190">
        <f>_xlfn.XLOOKUP(Table1[[#This Row],[MTP SKU Code]],'Audit Dimensions'!A:A,'Audit Dimensions'!C:C,0)</f>
        <v>37</v>
      </c>
      <c r="D251" s="190">
        <f>_xlfn.XLOOKUP(Table1[[#This Row],[MTP SKU Code]],'Audit Dimensions'!$A:$A,'Audit Dimensions'!D:D,0)</f>
        <v>11</v>
      </c>
      <c r="E251" s="190">
        <v>4</v>
      </c>
      <c r="F251" s="190">
        <v>390</v>
      </c>
      <c r="G251" s="190">
        <f>_xlfn.XLOOKUP(Table1[[#This Row],[MTP SKU Code]],'Audit Dimensions'!$A:$A,'Audit Dimensions'!G:G,0)</f>
        <v>0</v>
      </c>
      <c r="H251" s="190">
        <f>_xlfn.XLOOKUP(Table1[[#This Row],[MTP SKU Code]],'Audit Dimensions'!$A:$A,'Audit Dimensions'!H:H,0)</f>
        <v>0</v>
      </c>
      <c r="I251" s="190">
        <f>_xlfn.XLOOKUP(Table1[[#This Row],[MTP SKU Code]],'Audit Dimensions'!$A:$A,'Audit Dimensions'!I:I,0)</f>
        <v>0</v>
      </c>
      <c r="J251" s="190">
        <f>_xlfn.XLOOKUP(Table1[[#This Row],[MTP SKU Code]],'Audit Dimensions'!$A:$A,'Audit Dimensions'!J:J,0)</f>
        <v>0</v>
      </c>
      <c r="K251" s="190">
        <f>_xlfn.XLOOKUP(Table1[[#This Row],[MTP SKU Code]],'Audit Dimensions'!$A:$A,'Audit Dimensions'!K:K,0)</f>
        <v>0</v>
      </c>
      <c r="L251" s="190">
        <f>_xlfn.XLOOKUP(Table1[[#This Row],[MTP SKU Code]],'Audit Dimensions'!$A:$A,'Audit Dimensions'!L:L,0)</f>
        <v>0</v>
      </c>
      <c r="M251" s="190">
        <f>_xlfn.XLOOKUP(Table1[[#This Row],[MTP SKU Code]],'Audit Dimensions'!$A:$A,'Audit Dimensions'!M:M,0)</f>
        <v>0</v>
      </c>
      <c r="N251" s="190">
        <f>_xlfn.XLOOKUP(Table1[[#This Row],[MTP SKU Code]],'Audit Dimensions'!$A:$A,'Audit Dimensions'!N:N,0)</f>
        <v>0</v>
      </c>
      <c r="O251" s="118">
        <f>((IFERROR((C251*D251*E251),0)+IFERROR((G251*H251*I251),0)+IFERROR((K251*L251*M251),0))/1000000)*35.32</f>
        <v>5.7500960000000004E-2</v>
      </c>
      <c r="P251" s="125">
        <f>Table1[[#This Row],[Column15]]*$P$2*1000</f>
        <v>345.00576000000007</v>
      </c>
      <c r="Q251" s="87">
        <f>F251+J251+N251</f>
        <v>390</v>
      </c>
      <c r="R251" s="88">
        <f>MAX(Q251,O251)</f>
        <v>390</v>
      </c>
      <c r="S251" s="86">
        <f>MAX(R251,P251)</f>
        <v>390</v>
      </c>
      <c r="T251" s="156" t="str">
        <f>VLOOKUP(A251,'[1]MTP SKUs - Master Data'!$A:$B,2,FALSE)</f>
        <v>Y</v>
      </c>
      <c r="U251" s="162">
        <f>_xlfn.IFNA(VLOOKUP(Table1[[#This Row],[MTP SKU Code]],'Audit Dimensions'!A:N,6,FALSE),"ARC")</f>
        <v>550</v>
      </c>
      <c r="V251" s="162">
        <f>IFERROR(Table1[[#This Row],[B1.Aud]]-Table1[[#This Row],[PW(gm)]],"ERR")</f>
        <v>160</v>
      </c>
      <c r="W251" s="165">
        <f>IFERROR(Table1[[#This Row],[B1.Diff]]/Table1[[#This Row],[B1.Aud]],"ERR")</f>
        <v>0.29090909090909089</v>
      </c>
      <c r="X251" s="162">
        <f>_xlfn.IFNA(VLOOKUP(Table1[[#This Row],[MTP SKU Code]],'Audit Dimensions'!A:N,10,FALSE),"ARC")</f>
        <v>0</v>
      </c>
      <c r="Y251" s="163">
        <f>IFERROR(Table1[[#This Row],[B2.Aud]]-Table1[[#This Row],[PW(gm)5]],"ERR")</f>
        <v>0</v>
      </c>
      <c r="Z251" s="165" t="str">
        <f>IFERROR(Table1[[#This Row],[B2.Diff]]/Table1[[#This Row],[B2.Aud]],"NA")</f>
        <v>NA</v>
      </c>
      <c r="AA251" s="162">
        <f>_xlfn.IFNA(VLOOKUP(Table1[[#This Row],[MTP SKU Code]],'Audit Dimensions'!A:N,14,FALSE),"ARC")</f>
        <v>0</v>
      </c>
      <c r="AB251" s="161">
        <f>IFERROR(Table1[[#This Row],[B3.Aud]]-Table1[[#This Row],[PW(gm)9]],"ERR")</f>
        <v>0</v>
      </c>
      <c r="AC251" s="168">
        <f>IFERROR(Table1[[#This Row],[B3.Diff]]/Table1[[#This Row],[BaLL.Aud]],"ERR")</f>
        <v>0</v>
      </c>
      <c r="AD251" s="189">
        <f>_xlfn.IFNA(VLOOKUP(Table1[[#This Row],[MTP SKU Code]],'Audit Dimensions'!A:U,16,FALSE),"ARC")</f>
        <v>550</v>
      </c>
      <c r="AE251" s="165">
        <f>IFERROR(1-Table1[[#This Row],[Gms]]/Table1[[#This Row],[BaLL.Aud]],"ERR")</f>
        <v>0.29090909090909089</v>
      </c>
    </row>
    <row r="252" spans="1:31" ht="15" customHeight="1">
      <c r="A252" s="68" t="s">
        <v>298</v>
      </c>
      <c r="B252" s="84" t="s">
        <v>48</v>
      </c>
      <c r="C252" s="190">
        <f>_xlfn.XLOOKUP(Table1[[#This Row],[MTP SKU Code]],'Audit Dimensions'!A:A,'Audit Dimensions'!C:C,0)</f>
        <v>39</v>
      </c>
      <c r="D252" s="190">
        <f>_xlfn.XLOOKUP(Table1[[#This Row],[MTP SKU Code]],'Audit Dimensions'!$A:$A,'Audit Dimensions'!D:D,0)</f>
        <v>30</v>
      </c>
      <c r="E252" s="190">
        <f>_xlfn.XLOOKUP(Table1[[#This Row],[MTP SKU Code]],'Audit Dimensions'!$A:$A,'Audit Dimensions'!E:E,0)</f>
        <v>10</v>
      </c>
      <c r="F252" s="190">
        <f>_xlfn.XLOOKUP(Table1[[#This Row],[MTP SKU Code]],'Audit Dimensions'!$A:$A,'Audit Dimensions'!F:F,0)</f>
        <v>3560</v>
      </c>
      <c r="G252" s="190">
        <f>_xlfn.XLOOKUP(Table1[[#This Row],[MTP SKU Code]],'Audit Dimensions'!$A:$A,'Audit Dimensions'!G:G,0)</f>
        <v>0</v>
      </c>
      <c r="H252" s="190">
        <f>_xlfn.XLOOKUP(Table1[[#This Row],[MTP SKU Code]],'Audit Dimensions'!$A:$A,'Audit Dimensions'!H:H,0)</f>
        <v>0</v>
      </c>
      <c r="I252" s="190">
        <f>_xlfn.XLOOKUP(Table1[[#This Row],[MTP SKU Code]],'Audit Dimensions'!$A:$A,'Audit Dimensions'!I:I,0)</f>
        <v>0</v>
      </c>
      <c r="J252" s="190">
        <f>_xlfn.XLOOKUP(Table1[[#This Row],[MTP SKU Code]],'Audit Dimensions'!$A:$A,'Audit Dimensions'!J:J,0)</f>
        <v>0</v>
      </c>
      <c r="K252" s="190">
        <f>_xlfn.XLOOKUP(Table1[[#This Row],[MTP SKU Code]],'Audit Dimensions'!$A:$A,'Audit Dimensions'!K:K,0)</f>
        <v>0</v>
      </c>
      <c r="L252" s="190">
        <f>_xlfn.XLOOKUP(Table1[[#This Row],[MTP SKU Code]],'Audit Dimensions'!$A:$A,'Audit Dimensions'!L:L,0)</f>
        <v>0</v>
      </c>
      <c r="M252" s="190">
        <f>_xlfn.XLOOKUP(Table1[[#This Row],[MTP SKU Code]],'Audit Dimensions'!$A:$A,'Audit Dimensions'!M:M,0)</f>
        <v>0</v>
      </c>
      <c r="N252" s="190">
        <f>_xlfn.XLOOKUP(Table1[[#This Row],[MTP SKU Code]],'Audit Dimensions'!$A:$A,'Audit Dimensions'!N:N,0)</f>
        <v>0</v>
      </c>
      <c r="O252" s="118">
        <f>((IFERROR((C252*D252*E252),0)+IFERROR((G252*H252*I252),0)+IFERROR((K252*L252*M252),0))/1000000)*35.32</f>
        <v>0.413244</v>
      </c>
      <c r="P252" s="125">
        <f>Table1[[#This Row],[Column15]]*$P$2*1000</f>
        <v>2479.4639999999999</v>
      </c>
      <c r="Q252" s="87">
        <f>F252+J252+N252</f>
        <v>3560</v>
      </c>
      <c r="R252" s="86">
        <f>MAX(Q252,O252)</f>
        <v>3560</v>
      </c>
      <c r="S252" s="86">
        <f>MAX(R252,P252)</f>
        <v>3560</v>
      </c>
      <c r="T252" s="156" t="str">
        <f>VLOOKUP(A252,'[1]MTP SKUs - Master Data'!$A:$B,2,FALSE)</f>
        <v>Y</v>
      </c>
      <c r="U252" s="162">
        <f>_xlfn.IFNA(VLOOKUP(Table1[[#This Row],[MTP SKU Code]],'Audit Dimensions'!A:N,6,FALSE),"ARC")</f>
        <v>3560</v>
      </c>
      <c r="V252" s="162">
        <f>IFERROR(Table1[[#This Row],[B1.Aud]]-Table1[[#This Row],[PW(gm)]],"ERR")</f>
        <v>0</v>
      </c>
      <c r="W252" s="165">
        <f>IFERROR(Table1[[#This Row],[B1.Diff]]/Table1[[#This Row],[B1.Aud]],"ERR")</f>
        <v>0</v>
      </c>
      <c r="X252" s="162">
        <f>_xlfn.IFNA(VLOOKUP(Table1[[#This Row],[MTP SKU Code]],'Audit Dimensions'!A:N,10,FALSE),"ARC")</f>
        <v>0</v>
      </c>
      <c r="Y252" s="163">
        <f>IFERROR(Table1[[#This Row],[B2.Aud]]-Table1[[#This Row],[PW(gm)5]],"ERR")</f>
        <v>0</v>
      </c>
      <c r="Z252" s="165" t="str">
        <f>IFERROR(Table1[[#This Row],[B2.Diff]]/Table1[[#This Row],[B2.Aud]],"NA")</f>
        <v>NA</v>
      </c>
      <c r="AA252" s="162">
        <f>_xlfn.IFNA(VLOOKUP(Table1[[#This Row],[MTP SKU Code]],'Audit Dimensions'!A:N,14,FALSE),"ARC")</f>
        <v>0</v>
      </c>
      <c r="AB252" s="161">
        <f>IFERROR(Table1[[#This Row],[B3.Aud]]-Table1[[#This Row],[PW(gm)9]],"ERR")</f>
        <v>0</v>
      </c>
      <c r="AC252" s="168">
        <f>IFERROR(Table1[[#This Row],[B3.Diff]]/Table1[[#This Row],[BaLL.Aud]],"ERR")</f>
        <v>0</v>
      </c>
      <c r="AD252" s="189">
        <f>_xlfn.IFNA(VLOOKUP(Table1[[#This Row],[MTP SKU Code]],'Audit Dimensions'!A:U,16,FALSE),"ARC")</f>
        <v>3560</v>
      </c>
      <c r="AE252" s="165">
        <f>IFERROR(1-Table1[[#This Row],[Gms]]/Table1[[#This Row],[BaLL.Aud]],"ERR")</f>
        <v>0</v>
      </c>
    </row>
    <row r="253" spans="1:31" ht="15" hidden="1" customHeight="1">
      <c r="A253" s="68" t="s">
        <v>299</v>
      </c>
      <c r="B253" s="84" t="s">
        <v>296</v>
      </c>
      <c r="C253" s="85"/>
      <c r="D253" s="85"/>
      <c r="E253" s="85"/>
      <c r="F253" s="89"/>
      <c r="G253" s="85"/>
      <c r="H253" s="85"/>
      <c r="I253" s="85"/>
      <c r="J253" s="85"/>
      <c r="K253" s="85"/>
      <c r="L253" s="85"/>
      <c r="M253" s="85"/>
      <c r="N253" s="85"/>
      <c r="O253" s="118">
        <f>((IFERROR((C253*D253*E253),0)+IFERROR((G253*H253*I253),0)+IFERROR((K253*L253*M253),0))/1000000)*35.32</f>
        <v>0</v>
      </c>
      <c r="P253" s="125">
        <f>Table1[[#This Row],[Column15]]*$P$2*1000</f>
        <v>0</v>
      </c>
      <c r="Q253" s="87">
        <f>F253+J253+N253</f>
        <v>0</v>
      </c>
      <c r="R253" s="86">
        <f>MAX(Q253,O253)</f>
        <v>0</v>
      </c>
      <c r="S253" s="86">
        <f>MAX(R253,P253)</f>
        <v>0</v>
      </c>
      <c r="T253" s="156" t="str">
        <f>VLOOKUP(A253,'[1]MTP SKUs - Master Data'!$A:$B,2,FALSE)</f>
        <v>DI</v>
      </c>
      <c r="U253" s="162" t="str">
        <f>_xlfn.IFNA(VLOOKUP(Table1[[#This Row],[MTP SKU Code]],'Audit Dimensions'!A:N,6,FALSE),"ARC")</f>
        <v>ARC</v>
      </c>
      <c r="V253" s="162" t="str">
        <f>IFERROR(Table1[[#This Row],[B1.Aud]]-Table1[[#This Row],[PW(gm)]],"ERR")</f>
        <v>ERR</v>
      </c>
      <c r="W253" s="165" t="str">
        <f>IFERROR(Table1[[#This Row],[B1.Diff]]/Table1[[#This Row],[B1.Aud]],"ERR")</f>
        <v>ERR</v>
      </c>
      <c r="X253" s="162" t="str">
        <f>_xlfn.IFNA(VLOOKUP(Table1[[#This Row],[MTP SKU Code]],'Audit Dimensions'!A:N,10,FALSE),"ARC")</f>
        <v>ARC</v>
      </c>
      <c r="Y253" s="163" t="str">
        <f>IFERROR(Table1[[#This Row],[B2.Aud]]-Table1[[#This Row],[PW(gm)5]],"ERR")</f>
        <v>ERR</v>
      </c>
      <c r="Z253" s="165" t="str">
        <f>IFERROR(Table1[[#This Row],[B2.Diff]]/Table1[[#This Row],[B2.Aud]],"NA")</f>
        <v>NA</v>
      </c>
      <c r="AA253" s="162" t="str">
        <f>_xlfn.IFNA(VLOOKUP(Table1[[#This Row],[MTP SKU Code]],'Audit Dimensions'!A:N,14,FALSE),"ARC")</f>
        <v>ARC</v>
      </c>
      <c r="AB253" s="161" t="str">
        <f>IFERROR(Table1[[#This Row],[B3.Aud]]-Table1[[#This Row],[PW(gm)9]],"ERR")</f>
        <v>ERR</v>
      </c>
      <c r="AC253" s="168" t="str">
        <f>IFERROR(Table1[[#This Row],[B3.Diff]]/Table1[[#This Row],[BaLL.Aud]],"ERR")</f>
        <v>ERR</v>
      </c>
      <c r="AD253" s="162" t="str">
        <f>_xlfn.IFNA(VLOOKUP(Table1[[#This Row],[MTP SKU Code]],'Audit Dimensions'!A:U,16,FALSE),"ARC")</f>
        <v>ARC</v>
      </c>
      <c r="AE253" s="165" t="str">
        <f>IFERROR(1-Table1[[#This Row],[Gms]]/Table1[[#This Row],[BaLL.Aud]],"ERR")</f>
        <v>ERR</v>
      </c>
    </row>
    <row r="254" spans="1:31" ht="15" hidden="1" customHeight="1">
      <c r="A254" s="68" t="s">
        <v>300</v>
      </c>
      <c r="B254" s="84" t="s">
        <v>48</v>
      </c>
      <c r="C254" s="85">
        <v>99</v>
      </c>
      <c r="D254" s="85">
        <v>50</v>
      </c>
      <c r="E254" s="85">
        <v>4</v>
      </c>
      <c r="F254" s="89">
        <v>6120</v>
      </c>
      <c r="G254" s="85"/>
      <c r="H254" s="85"/>
      <c r="I254" s="85"/>
      <c r="J254" s="85"/>
      <c r="K254" s="85"/>
      <c r="L254" s="85"/>
      <c r="M254" s="85"/>
      <c r="N254" s="85"/>
      <c r="O254" s="118">
        <f>((IFERROR((C254*D254*E254),0)+IFERROR((G254*H254*I254),0)+IFERROR((K254*L254*M254),0))/1000000)*35.32</f>
        <v>0.69933600000000007</v>
      </c>
      <c r="P254" s="125">
        <f>Table1[[#This Row],[Column15]]*$P$2*1000</f>
        <v>4196.0160000000005</v>
      </c>
      <c r="Q254" s="87">
        <f>F254+J254+N254</f>
        <v>6120</v>
      </c>
      <c r="R254" s="86">
        <f>MAX(Q254,O254)</f>
        <v>6120</v>
      </c>
      <c r="S254" s="86">
        <f>MAX(R254,P254)</f>
        <v>6120</v>
      </c>
      <c r="T254" s="156" t="str">
        <f>VLOOKUP(A254,'[1]MTP SKUs - Master Data'!$A:$B,2,FALSE)</f>
        <v>DI</v>
      </c>
      <c r="U254" s="162" t="str">
        <f>_xlfn.IFNA(VLOOKUP(Table1[[#This Row],[MTP SKU Code]],'Audit Dimensions'!A:N,6,FALSE),"ARC")</f>
        <v>0</v>
      </c>
      <c r="V254" s="162">
        <f>IFERROR(Table1[[#This Row],[B1.Aud]]-Table1[[#This Row],[PW(gm)]],"ERR")</f>
        <v>-6120</v>
      </c>
      <c r="W254" s="165" t="str">
        <f>IFERROR(Table1[[#This Row],[B1.Diff]]/Table1[[#This Row],[B1.Aud]],"ERR")</f>
        <v>ERR</v>
      </c>
      <c r="X254" s="162" t="str">
        <f>_xlfn.IFNA(VLOOKUP(Table1[[#This Row],[MTP SKU Code]],'Audit Dimensions'!A:N,10,FALSE),"ARC")</f>
        <v>0</v>
      </c>
      <c r="Y254" s="163">
        <f>IFERROR(Table1[[#This Row],[B2.Aud]]-Table1[[#This Row],[PW(gm)5]],"ERR")</f>
        <v>0</v>
      </c>
      <c r="Z254" s="165" t="str">
        <f>IFERROR(Table1[[#This Row],[B2.Diff]]/Table1[[#This Row],[B2.Aud]],"NA")</f>
        <v>NA</v>
      </c>
      <c r="AA254" s="162" t="str">
        <f>_xlfn.IFNA(VLOOKUP(Table1[[#This Row],[MTP SKU Code]],'Audit Dimensions'!A:N,14,FALSE),"ARC")</f>
        <v>0</v>
      </c>
      <c r="AB254" s="161">
        <f>IFERROR(Table1[[#This Row],[B3.Aud]]-Table1[[#This Row],[PW(gm)9]],"ERR")</f>
        <v>0</v>
      </c>
      <c r="AC254" s="168" t="str">
        <f>IFERROR(Table1[[#This Row],[B3.Diff]]/Table1[[#This Row],[BaLL.Aud]],"ERR")</f>
        <v>ERR</v>
      </c>
      <c r="AD254" s="162">
        <f>_xlfn.IFNA(VLOOKUP(Table1[[#This Row],[MTP SKU Code]],'Audit Dimensions'!A:U,16,FALSE),"ARC")</f>
        <v>0</v>
      </c>
      <c r="AE254" s="165" t="str">
        <f>IFERROR(1-Table1[[#This Row],[Gms]]/Table1[[#This Row],[BaLL.Aud]],"ERR")</f>
        <v>ERR</v>
      </c>
    </row>
    <row r="255" spans="1:31" ht="15" hidden="1" customHeight="1">
      <c r="A255" s="68" t="s">
        <v>301</v>
      </c>
      <c r="B255" s="84" t="s">
        <v>48</v>
      </c>
      <c r="C255" s="85">
        <v>81</v>
      </c>
      <c r="D255" s="85">
        <v>80</v>
      </c>
      <c r="E255" s="85">
        <v>7</v>
      </c>
      <c r="F255" s="89">
        <v>16900</v>
      </c>
      <c r="G255" s="85"/>
      <c r="H255" s="85"/>
      <c r="I255" s="85"/>
      <c r="J255" s="85"/>
      <c r="K255" s="85"/>
      <c r="L255" s="85"/>
      <c r="M255" s="85"/>
      <c r="N255" s="85"/>
      <c r="O255" s="118">
        <f>((IFERROR((C255*D255*E255),0)+IFERROR((G255*H255*I255),0)+IFERROR((K255*L255*M255),0))/1000000)*35.32</f>
        <v>1.6021151999999999</v>
      </c>
      <c r="P255" s="125">
        <f>Table1[[#This Row],[Column15]]*$P$2*1000</f>
        <v>9612.6911999999993</v>
      </c>
      <c r="Q255" s="87">
        <f>F255+J255+N255</f>
        <v>16900</v>
      </c>
      <c r="R255" s="86">
        <f>MAX(Q255,O255)</f>
        <v>16900</v>
      </c>
      <c r="S255" s="86">
        <f>MAX(R255,P255)</f>
        <v>16900</v>
      </c>
      <c r="T255" s="156" t="str">
        <f>VLOOKUP(A255,'[1]MTP SKUs - Master Data'!$A:$B,2,FALSE)</f>
        <v>DI</v>
      </c>
      <c r="U255" s="162" t="str">
        <f>_xlfn.IFNA(VLOOKUP(Table1[[#This Row],[MTP SKU Code]],'Audit Dimensions'!A:N,6,FALSE),"ARC")</f>
        <v>ARC</v>
      </c>
      <c r="V255" s="162" t="str">
        <f>IFERROR(Table1[[#This Row],[B1.Aud]]-Table1[[#This Row],[PW(gm)]],"ERR")</f>
        <v>ERR</v>
      </c>
      <c r="W255" s="165" t="str">
        <f>IFERROR(Table1[[#This Row],[B1.Diff]]/Table1[[#This Row],[B1.Aud]],"ERR")</f>
        <v>ERR</v>
      </c>
      <c r="X255" s="162" t="str">
        <f>_xlfn.IFNA(VLOOKUP(Table1[[#This Row],[MTP SKU Code]],'Audit Dimensions'!A:N,10,FALSE),"ARC")</f>
        <v>ARC</v>
      </c>
      <c r="Y255" s="163" t="str">
        <f>IFERROR(Table1[[#This Row],[B2.Aud]]-Table1[[#This Row],[PW(gm)5]],"ERR")</f>
        <v>ERR</v>
      </c>
      <c r="Z255" s="165" t="str">
        <f>IFERROR(Table1[[#This Row],[B2.Diff]]/Table1[[#This Row],[B2.Aud]],"NA")</f>
        <v>NA</v>
      </c>
      <c r="AA255" s="162" t="str">
        <f>_xlfn.IFNA(VLOOKUP(Table1[[#This Row],[MTP SKU Code]],'Audit Dimensions'!A:N,14,FALSE),"ARC")</f>
        <v>ARC</v>
      </c>
      <c r="AB255" s="161" t="str">
        <f>IFERROR(Table1[[#This Row],[B3.Aud]]-Table1[[#This Row],[PW(gm)9]],"ERR")</f>
        <v>ERR</v>
      </c>
      <c r="AC255" s="168" t="str">
        <f>IFERROR(Table1[[#This Row],[B3.Diff]]/Table1[[#This Row],[BaLL.Aud]],"ERR")</f>
        <v>ERR</v>
      </c>
      <c r="AD255" s="162" t="str">
        <f>_xlfn.IFNA(VLOOKUP(Table1[[#This Row],[MTP SKU Code]],'Audit Dimensions'!A:U,16,FALSE),"ARC")</f>
        <v>ARC</v>
      </c>
      <c r="AE255" s="165" t="str">
        <f>IFERROR(1-Table1[[#This Row],[Gms]]/Table1[[#This Row],[BaLL.Aud]],"ERR")</f>
        <v>ERR</v>
      </c>
    </row>
    <row r="256" spans="1:31" ht="15" hidden="1" customHeight="1">
      <c r="A256" s="68" t="s">
        <v>302</v>
      </c>
      <c r="B256" s="84" t="s">
        <v>48</v>
      </c>
      <c r="C256" s="85">
        <v>104</v>
      </c>
      <c r="D256" s="85">
        <v>60</v>
      </c>
      <c r="E256" s="85">
        <v>7</v>
      </c>
      <c r="F256" s="89">
        <v>17700</v>
      </c>
      <c r="G256" s="85"/>
      <c r="H256" s="85"/>
      <c r="I256" s="85"/>
      <c r="J256" s="85"/>
      <c r="K256" s="85"/>
      <c r="L256" s="85"/>
      <c r="M256" s="85"/>
      <c r="N256" s="85"/>
      <c r="O256" s="118">
        <f>((IFERROR((C256*D256*E256),0)+IFERROR((G256*H256*I256),0)+IFERROR((K256*L256*M256),0))/1000000)*35.32</f>
        <v>1.5427776</v>
      </c>
      <c r="P256" s="125">
        <f>Table1[[#This Row],[Column15]]*$P$2*1000</f>
        <v>9256.6656000000003</v>
      </c>
      <c r="Q256" s="87">
        <f>F256+J256+N256</f>
        <v>17700</v>
      </c>
      <c r="R256" s="86">
        <f>MAX(Q256,O256)</f>
        <v>17700</v>
      </c>
      <c r="S256" s="86">
        <f>MAX(R256,P256)</f>
        <v>17700</v>
      </c>
      <c r="T256" s="156" t="str">
        <f>VLOOKUP(A256,'[1]MTP SKUs - Master Data'!$A:$B,2,FALSE)</f>
        <v>DI</v>
      </c>
      <c r="U256" s="162" t="str">
        <f>_xlfn.IFNA(VLOOKUP(Table1[[#This Row],[MTP SKU Code]],'Audit Dimensions'!A:N,6,FALSE),"ARC")</f>
        <v>ARC</v>
      </c>
      <c r="V256" s="162" t="str">
        <f>IFERROR(Table1[[#This Row],[B1.Aud]]-Table1[[#This Row],[PW(gm)]],"ERR")</f>
        <v>ERR</v>
      </c>
      <c r="W256" s="165" t="str">
        <f>IFERROR(Table1[[#This Row],[B1.Diff]]/Table1[[#This Row],[B1.Aud]],"ERR")</f>
        <v>ERR</v>
      </c>
      <c r="X256" s="162" t="str">
        <f>_xlfn.IFNA(VLOOKUP(Table1[[#This Row],[MTP SKU Code]],'Audit Dimensions'!A:N,10,FALSE),"ARC")</f>
        <v>ARC</v>
      </c>
      <c r="Y256" s="163" t="str">
        <f>IFERROR(Table1[[#This Row],[B2.Aud]]-Table1[[#This Row],[PW(gm)5]],"ERR")</f>
        <v>ERR</v>
      </c>
      <c r="Z256" s="165" t="str">
        <f>IFERROR(Table1[[#This Row],[B2.Diff]]/Table1[[#This Row],[B2.Aud]],"NA")</f>
        <v>NA</v>
      </c>
      <c r="AA256" s="162" t="str">
        <f>_xlfn.IFNA(VLOOKUP(Table1[[#This Row],[MTP SKU Code]],'Audit Dimensions'!A:N,14,FALSE),"ARC")</f>
        <v>ARC</v>
      </c>
      <c r="AB256" s="161" t="str">
        <f>IFERROR(Table1[[#This Row],[B3.Aud]]-Table1[[#This Row],[PW(gm)9]],"ERR")</f>
        <v>ERR</v>
      </c>
      <c r="AC256" s="168" t="str">
        <f>IFERROR(Table1[[#This Row],[B3.Diff]]/Table1[[#This Row],[BaLL.Aud]],"ERR")</f>
        <v>ERR</v>
      </c>
      <c r="AD256" s="162" t="str">
        <f>_xlfn.IFNA(VLOOKUP(Table1[[#This Row],[MTP SKU Code]],'Audit Dimensions'!A:U,16,FALSE),"ARC")</f>
        <v>ARC</v>
      </c>
      <c r="AE256" s="165" t="str">
        <f>IFERROR(1-Table1[[#This Row],[Gms]]/Table1[[#This Row],[BaLL.Aud]],"ERR")</f>
        <v>ERR</v>
      </c>
    </row>
    <row r="257" spans="1:35" ht="15" hidden="1" customHeight="1">
      <c r="A257" s="68" t="s">
        <v>303</v>
      </c>
      <c r="B257" s="84" t="s">
        <v>48</v>
      </c>
      <c r="C257" s="85">
        <v>85</v>
      </c>
      <c r="D257" s="85">
        <v>84</v>
      </c>
      <c r="E257" s="85">
        <v>6</v>
      </c>
      <c r="F257" s="89">
        <v>17400</v>
      </c>
      <c r="G257" s="85"/>
      <c r="H257" s="85"/>
      <c r="I257" s="85"/>
      <c r="J257" s="85"/>
      <c r="K257" s="85"/>
      <c r="L257" s="85"/>
      <c r="M257" s="85"/>
      <c r="N257" s="85"/>
      <c r="O257" s="118">
        <f>((IFERROR((C257*D257*E257),0)+IFERROR((G257*H257*I257),0)+IFERROR((K257*L257*M257),0))/1000000)*35.32</f>
        <v>1.5131088000000001</v>
      </c>
      <c r="P257" s="125">
        <f>Table1[[#This Row],[Column15]]*$P$2*1000</f>
        <v>9078.6527999999998</v>
      </c>
      <c r="Q257" s="87">
        <f>F257+J257+N257</f>
        <v>17400</v>
      </c>
      <c r="R257" s="86">
        <f>MAX(Q257,O257)</f>
        <v>17400</v>
      </c>
      <c r="S257" s="86">
        <f>MAX(R257,P257)</f>
        <v>17400</v>
      </c>
      <c r="T257" s="156" t="str">
        <f>VLOOKUP(A257,'[1]MTP SKUs - Master Data'!$A:$B,2,FALSE)</f>
        <v>DI</v>
      </c>
      <c r="U257" s="162" t="str">
        <f>_xlfn.IFNA(VLOOKUP(Table1[[#This Row],[MTP SKU Code]],'Audit Dimensions'!A:N,6,FALSE),"ARC")</f>
        <v>ARC</v>
      </c>
      <c r="V257" s="162" t="str">
        <f>IFERROR(Table1[[#This Row],[B1.Aud]]-Table1[[#This Row],[PW(gm)]],"ERR")</f>
        <v>ERR</v>
      </c>
      <c r="W257" s="165" t="str">
        <f>IFERROR(Table1[[#This Row],[B1.Diff]]/Table1[[#This Row],[B1.Aud]],"ERR")</f>
        <v>ERR</v>
      </c>
      <c r="X257" s="162" t="str">
        <f>_xlfn.IFNA(VLOOKUP(Table1[[#This Row],[MTP SKU Code]],'Audit Dimensions'!A:N,10,FALSE),"ARC")</f>
        <v>ARC</v>
      </c>
      <c r="Y257" s="163" t="str">
        <f>IFERROR(Table1[[#This Row],[B2.Aud]]-Table1[[#This Row],[PW(gm)5]],"ERR")</f>
        <v>ERR</v>
      </c>
      <c r="Z257" s="165" t="str">
        <f>IFERROR(Table1[[#This Row],[B2.Diff]]/Table1[[#This Row],[B2.Aud]],"NA")</f>
        <v>NA</v>
      </c>
      <c r="AA257" s="162" t="str">
        <f>_xlfn.IFNA(VLOOKUP(Table1[[#This Row],[MTP SKU Code]],'Audit Dimensions'!A:N,14,FALSE),"ARC")</f>
        <v>ARC</v>
      </c>
      <c r="AB257" s="161" t="str">
        <f>IFERROR(Table1[[#This Row],[B3.Aud]]-Table1[[#This Row],[PW(gm)9]],"ERR")</f>
        <v>ERR</v>
      </c>
      <c r="AC257" s="168" t="str">
        <f>IFERROR(Table1[[#This Row],[B3.Diff]]/Table1[[#This Row],[BaLL.Aud]],"ERR")</f>
        <v>ERR</v>
      </c>
      <c r="AD257" s="162" t="str">
        <f>_xlfn.IFNA(VLOOKUP(Table1[[#This Row],[MTP SKU Code]],'Audit Dimensions'!A:U,16,FALSE),"ARC")</f>
        <v>ARC</v>
      </c>
      <c r="AE257" s="165" t="str">
        <f>IFERROR(1-Table1[[#This Row],[Gms]]/Table1[[#This Row],[BaLL.Aud]],"ERR")</f>
        <v>ERR</v>
      </c>
    </row>
    <row r="258" spans="1:35" hidden="1">
      <c r="A258" s="68" t="s">
        <v>304</v>
      </c>
      <c r="B258" s="84" t="s">
        <v>48</v>
      </c>
      <c r="C258" s="85">
        <v>76</v>
      </c>
      <c r="D258" s="85">
        <v>76</v>
      </c>
      <c r="E258" s="85">
        <v>5</v>
      </c>
      <c r="F258" s="89">
        <v>12460</v>
      </c>
      <c r="G258" s="85"/>
      <c r="H258" s="85"/>
      <c r="I258" s="85"/>
      <c r="J258" s="85"/>
      <c r="K258" s="85"/>
      <c r="L258" s="85"/>
      <c r="M258" s="85"/>
      <c r="N258" s="85"/>
      <c r="O258" s="118">
        <f>((IFERROR((C258*D258*E258),0)+IFERROR((G258*H258*I258),0)+IFERROR((K258*L258*M258),0))/1000000)*35.32</f>
        <v>1.0200415999999999</v>
      </c>
      <c r="P258" s="125">
        <f>Table1[[#This Row],[Column15]]*$P$2*1000</f>
        <v>6120.2495999999992</v>
      </c>
      <c r="Q258" s="87">
        <f>F258+J258+N258</f>
        <v>12460</v>
      </c>
      <c r="R258" s="86">
        <f>MAX(Q258,O258)</f>
        <v>12460</v>
      </c>
      <c r="S258" s="86">
        <f>MAX(R258,P258)</f>
        <v>12460</v>
      </c>
      <c r="T258" s="156" t="str">
        <f>VLOOKUP(A258,'[1]MTP SKUs - Master Data'!$A:$B,2,FALSE)</f>
        <v>DI</v>
      </c>
      <c r="U258" s="162" t="str">
        <f>_xlfn.IFNA(VLOOKUP(Table1[[#This Row],[MTP SKU Code]],'Audit Dimensions'!A:N,6,FALSE),"ARC")</f>
        <v>ARC</v>
      </c>
      <c r="V258" s="162" t="str">
        <f>IFERROR(Table1[[#This Row],[B1.Aud]]-Table1[[#This Row],[PW(gm)]],"ERR")</f>
        <v>ERR</v>
      </c>
      <c r="W258" s="165" t="str">
        <f>IFERROR(Table1[[#This Row],[B1.Diff]]/Table1[[#This Row],[B1.Aud]],"ERR")</f>
        <v>ERR</v>
      </c>
      <c r="X258" s="162" t="str">
        <f>_xlfn.IFNA(VLOOKUP(Table1[[#This Row],[MTP SKU Code]],'Audit Dimensions'!A:N,10,FALSE),"ARC")</f>
        <v>ARC</v>
      </c>
      <c r="Y258" s="163" t="str">
        <f>IFERROR(Table1[[#This Row],[B2.Aud]]-Table1[[#This Row],[PW(gm)5]],"ERR")</f>
        <v>ERR</v>
      </c>
      <c r="Z258" s="165" t="str">
        <f>IFERROR(Table1[[#This Row],[B2.Diff]]/Table1[[#This Row],[B2.Aud]],"NA")</f>
        <v>NA</v>
      </c>
      <c r="AA258" s="162" t="str">
        <f>_xlfn.IFNA(VLOOKUP(Table1[[#This Row],[MTP SKU Code]],'Audit Dimensions'!A:N,14,FALSE),"ARC")</f>
        <v>ARC</v>
      </c>
      <c r="AB258" s="161" t="str">
        <f>IFERROR(Table1[[#This Row],[B3.Aud]]-Table1[[#This Row],[PW(gm)9]],"ERR")</f>
        <v>ERR</v>
      </c>
      <c r="AC258" s="168" t="str">
        <f>IFERROR(Table1[[#This Row],[B3.Diff]]/Table1[[#This Row],[BaLL.Aud]],"ERR")</f>
        <v>ERR</v>
      </c>
      <c r="AD258" s="162" t="str">
        <f>_xlfn.IFNA(VLOOKUP(Table1[[#This Row],[MTP SKU Code]],'Audit Dimensions'!A:U,16,FALSE),"ARC")</f>
        <v>ARC</v>
      </c>
      <c r="AE258" s="165" t="str">
        <f>IFERROR(1-Table1[[#This Row],[Gms]]/Table1[[#This Row],[BaLL.Aud]],"ERR")</f>
        <v>ERR</v>
      </c>
    </row>
    <row r="259" spans="1:35" s="50" customFormat="1" hidden="1">
      <c r="A259" s="68" t="s">
        <v>305</v>
      </c>
      <c r="B259" s="84" t="s">
        <v>48</v>
      </c>
      <c r="C259" s="85">
        <v>105</v>
      </c>
      <c r="D259" s="85">
        <v>65</v>
      </c>
      <c r="E259" s="85">
        <v>4</v>
      </c>
      <c r="F259" s="89">
        <v>9640</v>
      </c>
      <c r="G259" s="85"/>
      <c r="H259" s="85"/>
      <c r="I259" s="85"/>
      <c r="J259" s="85"/>
      <c r="K259" s="85"/>
      <c r="L259" s="85"/>
      <c r="M259" s="85"/>
      <c r="N259" s="85"/>
      <c r="O259" s="118">
        <f>((IFERROR((C259*D259*E259),0)+IFERROR((G259*H259*I259),0)+IFERROR((K259*L259*M259),0))/1000000)*35.32</f>
        <v>0.96423600000000009</v>
      </c>
      <c r="P259" s="125">
        <f>Table1[[#This Row],[Column15]]*$P$2*1000</f>
        <v>5785.4160000000002</v>
      </c>
      <c r="Q259" s="87">
        <f>F259+J259+N259</f>
        <v>9640</v>
      </c>
      <c r="R259" s="86">
        <f>MAX(Q259,O259)</f>
        <v>9640</v>
      </c>
      <c r="S259" s="86">
        <f>MAX(R259,P259)</f>
        <v>9640</v>
      </c>
      <c r="T259" s="156" t="str">
        <f>VLOOKUP(A259,'[1]MTP SKUs - Master Data'!$A:$B,2,FALSE)</f>
        <v>DI</v>
      </c>
      <c r="U259" s="162" t="str">
        <f>_xlfn.IFNA(VLOOKUP(Table1[[#This Row],[MTP SKU Code]],'Audit Dimensions'!A:N,6,FALSE),"ARC")</f>
        <v>ARC</v>
      </c>
      <c r="V259" s="162" t="str">
        <f>IFERROR(Table1[[#This Row],[B1.Aud]]-Table1[[#This Row],[PW(gm)]],"ERR")</f>
        <v>ERR</v>
      </c>
      <c r="W259" s="165" t="str">
        <f>IFERROR(Table1[[#This Row],[B1.Diff]]/Table1[[#This Row],[B1.Aud]],"ERR")</f>
        <v>ERR</v>
      </c>
      <c r="X259" s="162" t="str">
        <f>_xlfn.IFNA(VLOOKUP(Table1[[#This Row],[MTP SKU Code]],'Audit Dimensions'!A:N,10,FALSE),"ARC")</f>
        <v>ARC</v>
      </c>
      <c r="Y259" s="163" t="str">
        <f>IFERROR(Table1[[#This Row],[B2.Aud]]-Table1[[#This Row],[PW(gm)5]],"ERR")</f>
        <v>ERR</v>
      </c>
      <c r="Z259" s="165" t="str">
        <f>IFERROR(Table1[[#This Row],[B2.Diff]]/Table1[[#This Row],[B2.Aud]],"NA")</f>
        <v>NA</v>
      </c>
      <c r="AA259" s="162" t="str">
        <f>_xlfn.IFNA(VLOOKUP(Table1[[#This Row],[MTP SKU Code]],'Audit Dimensions'!A:N,14,FALSE),"ARC")</f>
        <v>ARC</v>
      </c>
      <c r="AB259" s="161" t="str">
        <f>IFERROR(Table1[[#This Row],[B3.Aud]]-Table1[[#This Row],[PW(gm)9]],"ERR")</f>
        <v>ERR</v>
      </c>
      <c r="AC259" s="168" t="str">
        <f>IFERROR(Table1[[#This Row],[B3.Diff]]/Table1[[#This Row],[BaLL.Aud]],"ERR")</f>
        <v>ERR</v>
      </c>
      <c r="AD259" s="162" t="str">
        <f>_xlfn.IFNA(VLOOKUP(Table1[[#This Row],[MTP SKU Code]],'Audit Dimensions'!A:U,16,FALSE),"ARC")</f>
        <v>ARC</v>
      </c>
      <c r="AE259" s="165" t="str">
        <f>IFERROR(1-Table1[[#This Row],[Gms]]/Table1[[#This Row],[BaLL.Aud]],"ERR")</f>
        <v>ERR</v>
      </c>
      <c r="AF259" s="5"/>
      <c r="AG259" s="5"/>
      <c r="AH259" s="5"/>
      <c r="AI259" s="5"/>
    </row>
    <row r="260" spans="1:35" s="50" customFormat="1" hidden="1">
      <c r="A260" s="68" t="s">
        <v>306</v>
      </c>
      <c r="B260" s="84" t="s">
        <v>48</v>
      </c>
      <c r="C260" s="85">
        <v>110</v>
      </c>
      <c r="D260" s="85">
        <v>50</v>
      </c>
      <c r="E260" s="85">
        <v>5</v>
      </c>
      <c r="F260" s="89">
        <v>12750</v>
      </c>
      <c r="G260" s="85"/>
      <c r="H260" s="85"/>
      <c r="I260" s="85"/>
      <c r="J260" s="85"/>
      <c r="K260" s="85"/>
      <c r="L260" s="85"/>
      <c r="M260" s="85"/>
      <c r="N260" s="85"/>
      <c r="O260" s="118">
        <f>((IFERROR((C260*D260*E260),0)+IFERROR((G260*H260*I260),0)+IFERROR((K260*L260*M260),0))/1000000)*35.32</f>
        <v>0.97130000000000005</v>
      </c>
      <c r="P260" s="125">
        <f>Table1[[#This Row],[Column15]]*$P$2*1000</f>
        <v>5827.8</v>
      </c>
      <c r="Q260" s="87">
        <f>F260+J260+N260</f>
        <v>12750</v>
      </c>
      <c r="R260" s="86">
        <f>MAX(Q260,O260)</f>
        <v>12750</v>
      </c>
      <c r="S260" s="86">
        <f>MAX(R260,P260)</f>
        <v>12750</v>
      </c>
      <c r="T260" s="156" t="str">
        <f>VLOOKUP(A260,'[1]MTP SKUs - Master Data'!$A:$B,2,FALSE)</f>
        <v>DI</v>
      </c>
      <c r="U260" s="162" t="str">
        <f>_xlfn.IFNA(VLOOKUP(Table1[[#This Row],[MTP SKU Code]],'Audit Dimensions'!A:N,6,FALSE),"ARC")</f>
        <v>ARC</v>
      </c>
      <c r="V260" s="162" t="str">
        <f>IFERROR(Table1[[#This Row],[B1.Aud]]-Table1[[#This Row],[PW(gm)]],"ERR")</f>
        <v>ERR</v>
      </c>
      <c r="W260" s="165" t="str">
        <f>IFERROR(Table1[[#This Row],[B1.Diff]]/Table1[[#This Row],[B1.Aud]],"ERR")</f>
        <v>ERR</v>
      </c>
      <c r="X260" s="162" t="str">
        <f>_xlfn.IFNA(VLOOKUP(Table1[[#This Row],[MTP SKU Code]],'Audit Dimensions'!A:N,10,FALSE),"ARC")</f>
        <v>ARC</v>
      </c>
      <c r="Y260" s="163" t="str">
        <f>IFERROR(Table1[[#This Row],[B2.Aud]]-Table1[[#This Row],[PW(gm)5]],"ERR")</f>
        <v>ERR</v>
      </c>
      <c r="Z260" s="165" t="str">
        <f>IFERROR(Table1[[#This Row],[B2.Diff]]/Table1[[#This Row],[B2.Aud]],"NA")</f>
        <v>NA</v>
      </c>
      <c r="AA260" s="162" t="str">
        <f>_xlfn.IFNA(VLOOKUP(Table1[[#This Row],[MTP SKU Code]],'Audit Dimensions'!A:N,14,FALSE),"ARC")</f>
        <v>ARC</v>
      </c>
      <c r="AB260" s="161" t="str">
        <f>IFERROR(Table1[[#This Row],[B3.Aud]]-Table1[[#This Row],[PW(gm)9]],"ERR")</f>
        <v>ERR</v>
      </c>
      <c r="AC260" s="168" t="str">
        <f>IFERROR(Table1[[#This Row],[B3.Diff]]/Table1[[#This Row],[BaLL.Aud]],"ERR")</f>
        <v>ERR</v>
      </c>
      <c r="AD260" s="162" t="str">
        <f>_xlfn.IFNA(VLOOKUP(Table1[[#This Row],[MTP SKU Code]],'Audit Dimensions'!A:U,16,FALSE),"ARC")</f>
        <v>ARC</v>
      </c>
      <c r="AE260" s="165" t="str">
        <f>IFERROR(1-Table1[[#This Row],[Gms]]/Table1[[#This Row],[BaLL.Aud]],"ERR")</f>
        <v>ERR</v>
      </c>
      <c r="AF260" s="5"/>
      <c r="AG260" s="5"/>
      <c r="AH260" s="5"/>
      <c r="AI260" s="5"/>
    </row>
    <row r="261" spans="1:35" s="50" customFormat="1" hidden="1">
      <c r="A261" s="68" t="s">
        <v>307</v>
      </c>
      <c r="B261" s="84" t="s">
        <v>48</v>
      </c>
      <c r="C261" s="85">
        <v>67</v>
      </c>
      <c r="D261" s="85">
        <v>40</v>
      </c>
      <c r="E261" s="85">
        <v>4</v>
      </c>
      <c r="F261" s="89">
        <v>5350</v>
      </c>
      <c r="G261" s="85"/>
      <c r="H261" s="85"/>
      <c r="I261" s="85"/>
      <c r="J261" s="85"/>
      <c r="K261" s="85"/>
      <c r="L261" s="85"/>
      <c r="M261" s="85"/>
      <c r="N261" s="85"/>
      <c r="O261" s="118">
        <f>((IFERROR((C261*D261*E261),0)+IFERROR((G261*H261*I261),0)+IFERROR((K261*L261*M261),0))/1000000)*35.32</f>
        <v>0.37863040000000003</v>
      </c>
      <c r="P261" s="125">
        <f>Table1[[#This Row],[Column15]]*$P$2*1000</f>
        <v>2271.7824000000001</v>
      </c>
      <c r="Q261" s="87">
        <f>F261+J261+N261</f>
        <v>5350</v>
      </c>
      <c r="R261" s="86">
        <f>MAX(Q261,O261)</f>
        <v>5350</v>
      </c>
      <c r="S261" s="86">
        <f>MAX(R261,P261)</f>
        <v>5350</v>
      </c>
      <c r="T261" s="156" t="str">
        <f>VLOOKUP(A261,'[1]MTP SKUs - Master Data'!$A:$B,2,FALSE)</f>
        <v>DI</v>
      </c>
      <c r="U261" s="162" t="str">
        <f>_xlfn.IFNA(VLOOKUP(Table1[[#This Row],[MTP SKU Code]],'Audit Dimensions'!A:N,6,FALSE),"ARC")</f>
        <v>ARC</v>
      </c>
      <c r="V261" s="162" t="str">
        <f>IFERROR(Table1[[#This Row],[B1.Aud]]-Table1[[#This Row],[PW(gm)]],"ERR")</f>
        <v>ERR</v>
      </c>
      <c r="W261" s="165" t="str">
        <f>IFERROR(Table1[[#This Row],[B1.Diff]]/Table1[[#This Row],[B1.Aud]],"ERR")</f>
        <v>ERR</v>
      </c>
      <c r="X261" s="162" t="str">
        <f>_xlfn.IFNA(VLOOKUP(Table1[[#This Row],[MTP SKU Code]],'Audit Dimensions'!A:N,10,FALSE),"ARC")</f>
        <v>ARC</v>
      </c>
      <c r="Y261" s="163" t="str">
        <f>IFERROR(Table1[[#This Row],[B2.Aud]]-Table1[[#This Row],[PW(gm)5]],"ERR")</f>
        <v>ERR</v>
      </c>
      <c r="Z261" s="165" t="str">
        <f>IFERROR(Table1[[#This Row],[B2.Diff]]/Table1[[#This Row],[B2.Aud]],"NA")</f>
        <v>NA</v>
      </c>
      <c r="AA261" s="162" t="str">
        <f>_xlfn.IFNA(VLOOKUP(Table1[[#This Row],[MTP SKU Code]],'Audit Dimensions'!A:N,14,FALSE),"ARC")</f>
        <v>ARC</v>
      </c>
      <c r="AB261" s="161" t="str">
        <f>IFERROR(Table1[[#This Row],[B3.Aud]]-Table1[[#This Row],[PW(gm)9]],"ERR")</f>
        <v>ERR</v>
      </c>
      <c r="AC261" s="168" t="str">
        <f>IFERROR(Table1[[#This Row],[B3.Diff]]/Table1[[#This Row],[BaLL.Aud]],"ERR")</f>
        <v>ERR</v>
      </c>
      <c r="AD261" s="162" t="str">
        <f>_xlfn.IFNA(VLOOKUP(Table1[[#This Row],[MTP SKU Code]],'Audit Dimensions'!A:U,16,FALSE),"ARC")</f>
        <v>ARC</v>
      </c>
      <c r="AE261" s="165" t="str">
        <f>IFERROR(1-Table1[[#This Row],[Gms]]/Table1[[#This Row],[BaLL.Aud]],"ERR")</f>
        <v>ERR</v>
      </c>
      <c r="AF261" s="5"/>
      <c r="AG261" s="5"/>
      <c r="AH261" s="5"/>
      <c r="AI261" s="5"/>
    </row>
    <row r="262" spans="1:35" s="50" customFormat="1" hidden="1">
      <c r="A262" s="68" t="s">
        <v>308</v>
      </c>
      <c r="B262" s="84" t="s">
        <v>48</v>
      </c>
      <c r="C262" s="85">
        <v>85</v>
      </c>
      <c r="D262" s="85">
        <v>85</v>
      </c>
      <c r="E262" s="85">
        <v>5</v>
      </c>
      <c r="F262" s="89">
        <v>9920</v>
      </c>
      <c r="G262" s="85"/>
      <c r="H262" s="85"/>
      <c r="I262" s="85"/>
      <c r="J262" s="85"/>
      <c r="K262" s="85"/>
      <c r="L262" s="85"/>
      <c r="M262" s="85"/>
      <c r="N262" s="85"/>
      <c r="O262" s="118">
        <f>((IFERROR((C262*D262*E262),0)+IFERROR((G262*H262*I262),0)+IFERROR((K262*L262*M262),0))/1000000)*35.32</f>
        <v>1.2759349999999998</v>
      </c>
      <c r="P262" s="125">
        <f>Table1[[#This Row],[Column15]]*$P$2*1000</f>
        <v>7655.61</v>
      </c>
      <c r="Q262" s="87">
        <f>F262+J262+N262</f>
        <v>9920</v>
      </c>
      <c r="R262" s="86">
        <f>MAX(Q262,O262)</f>
        <v>9920</v>
      </c>
      <c r="S262" s="86">
        <f>MAX(R262,P262)</f>
        <v>9920</v>
      </c>
      <c r="T262" s="156" t="str">
        <f>VLOOKUP(A262,'[1]MTP SKUs - Master Data'!$A:$B,2,FALSE)</f>
        <v>DI</v>
      </c>
      <c r="U262" s="162" t="str">
        <f>_xlfn.IFNA(VLOOKUP(Table1[[#This Row],[MTP SKU Code]],'Audit Dimensions'!A:N,6,FALSE),"ARC")</f>
        <v>ARC</v>
      </c>
      <c r="V262" s="162" t="str">
        <f>IFERROR(Table1[[#This Row],[B1.Aud]]-Table1[[#This Row],[PW(gm)]],"ERR")</f>
        <v>ERR</v>
      </c>
      <c r="W262" s="165" t="str">
        <f>IFERROR(Table1[[#This Row],[B1.Diff]]/Table1[[#This Row],[B1.Aud]],"ERR")</f>
        <v>ERR</v>
      </c>
      <c r="X262" s="162" t="str">
        <f>_xlfn.IFNA(VLOOKUP(Table1[[#This Row],[MTP SKU Code]],'Audit Dimensions'!A:N,10,FALSE),"ARC")</f>
        <v>ARC</v>
      </c>
      <c r="Y262" s="163" t="str">
        <f>IFERROR(Table1[[#This Row],[B2.Aud]]-Table1[[#This Row],[PW(gm)5]],"ERR")</f>
        <v>ERR</v>
      </c>
      <c r="Z262" s="165" t="str">
        <f>IFERROR(Table1[[#This Row],[B2.Diff]]/Table1[[#This Row],[B2.Aud]],"NA")</f>
        <v>NA</v>
      </c>
      <c r="AA262" s="162" t="str">
        <f>_xlfn.IFNA(VLOOKUP(Table1[[#This Row],[MTP SKU Code]],'Audit Dimensions'!A:N,14,FALSE),"ARC")</f>
        <v>ARC</v>
      </c>
      <c r="AB262" s="161" t="str">
        <f>IFERROR(Table1[[#This Row],[B3.Aud]]-Table1[[#This Row],[PW(gm)9]],"ERR")</f>
        <v>ERR</v>
      </c>
      <c r="AC262" s="168" t="str">
        <f>IFERROR(Table1[[#This Row],[B3.Diff]]/Table1[[#This Row],[BaLL.Aud]],"ERR")</f>
        <v>ERR</v>
      </c>
      <c r="AD262" s="162" t="str">
        <f>_xlfn.IFNA(VLOOKUP(Table1[[#This Row],[MTP SKU Code]],'Audit Dimensions'!A:U,16,FALSE),"ARC")</f>
        <v>ARC</v>
      </c>
      <c r="AE262" s="165" t="str">
        <f>IFERROR(1-Table1[[#This Row],[Gms]]/Table1[[#This Row],[BaLL.Aud]],"ERR")</f>
        <v>ERR</v>
      </c>
      <c r="AF262" s="5"/>
      <c r="AG262" s="5"/>
      <c r="AH262" s="5"/>
      <c r="AI262" s="5"/>
    </row>
    <row r="263" spans="1:35" hidden="1">
      <c r="A263" s="68" t="s">
        <v>309</v>
      </c>
      <c r="B263" s="84" t="s">
        <v>48</v>
      </c>
      <c r="C263" s="85">
        <v>116</v>
      </c>
      <c r="D263" s="85">
        <v>40</v>
      </c>
      <c r="E263" s="85">
        <v>6</v>
      </c>
      <c r="F263" s="89">
        <v>6000</v>
      </c>
      <c r="G263" s="85"/>
      <c r="H263" s="85"/>
      <c r="I263" s="85"/>
      <c r="J263" s="85"/>
      <c r="K263" s="85"/>
      <c r="L263" s="85"/>
      <c r="M263" s="85"/>
      <c r="N263" s="85"/>
      <c r="O263" s="118">
        <f>((IFERROR((C263*D263*E263),0)+IFERROR((G263*H263*I263),0)+IFERROR((K263*L263*M263),0))/1000000)*35.32</f>
        <v>0.98330879999999998</v>
      </c>
      <c r="P263" s="125">
        <f>Table1[[#This Row],[Column15]]*$P$2*1000</f>
        <v>5899.8527999999997</v>
      </c>
      <c r="Q263" s="87">
        <f>F263+J263+N263</f>
        <v>6000</v>
      </c>
      <c r="R263" s="86">
        <f>MAX(Q263,O263)</f>
        <v>6000</v>
      </c>
      <c r="S263" s="86">
        <f>MAX(R263,P263)</f>
        <v>6000</v>
      </c>
      <c r="T263" s="156" t="str">
        <f>VLOOKUP(A263,'[1]MTP SKUs - Master Data'!$A:$B,2,FALSE)</f>
        <v>DI</v>
      </c>
      <c r="U263" s="162" t="str">
        <f>_xlfn.IFNA(VLOOKUP(Table1[[#This Row],[MTP SKU Code]],'Audit Dimensions'!A:N,6,FALSE),"ARC")</f>
        <v>ARC</v>
      </c>
      <c r="V263" s="162" t="str">
        <f>IFERROR(Table1[[#This Row],[B1.Aud]]-Table1[[#This Row],[PW(gm)]],"ERR")</f>
        <v>ERR</v>
      </c>
      <c r="W263" s="165" t="str">
        <f>IFERROR(Table1[[#This Row],[B1.Diff]]/Table1[[#This Row],[B1.Aud]],"ERR")</f>
        <v>ERR</v>
      </c>
      <c r="X263" s="162" t="str">
        <f>_xlfn.IFNA(VLOOKUP(Table1[[#This Row],[MTP SKU Code]],'Audit Dimensions'!A:N,10,FALSE),"ARC")</f>
        <v>ARC</v>
      </c>
      <c r="Y263" s="163" t="str">
        <f>IFERROR(Table1[[#This Row],[B2.Aud]]-Table1[[#This Row],[PW(gm)5]],"ERR")</f>
        <v>ERR</v>
      </c>
      <c r="Z263" s="165" t="str">
        <f>IFERROR(Table1[[#This Row],[B2.Diff]]/Table1[[#This Row],[B2.Aud]],"NA")</f>
        <v>NA</v>
      </c>
      <c r="AA263" s="162" t="str">
        <f>_xlfn.IFNA(VLOOKUP(Table1[[#This Row],[MTP SKU Code]],'Audit Dimensions'!A:N,14,FALSE),"ARC")</f>
        <v>ARC</v>
      </c>
      <c r="AB263" s="161" t="str">
        <f>IFERROR(Table1[[#This Row],[B3.Aud]]-Table1[[#This Row],[PW(gm)9]],"ERR")</f>
        <v>ERR</v>
      </c>
      <c r="AC263" s="168" t="str">
        <f>IFERROR(Table1[[#This Row],[B3.Diff]]/Table1[[#This Row],[BaLL.Aud]],"ERR")</f>
        <v>ERR</v>
      </c>
      <c r="AD263" s="162" t="str">
        <f>_xlfn.IFNA(VLOOKUP(Table1[[#This Row],[MTP SKU Code]],'Audit Dimensions'!A:U,16,FALSE),"ARC")</f>
        <v>ARC</v>
      </c>
      <c r="AE263" s="165" t="str">
        <f>IFERROR(1-Table1[[#This Row],[Gms]]/Table1[[#This Row],[BaLL.Aud]],"ERR")</f>
        <v>ERR</v>
      </c>
    </row>
    <row r="264" spans="1:35" hidden="1">
      <c r="A264" s="68" t="s">
        <v>310</v>
      </c>
      <c r="B264" s="84" t="s">
        <v>48</v>
      </c>
      <c r="C264" s="85">
        <v>83</v>
      </c>
      <c r="D264" s="85">
        <v>35</v>
      </c>
      <c r="E264" s="85">
        <v>6</v>
      </c>
      <c r="F264" s="89">
        <v>3700</v>
      </c>
      <c r="G264" s="85"/>
      <c r="H264" s="85"/>
      <c r="I264" s="85"/>
      <c r="J264" s="85"/>
      <c r="K264" s="85"/>
      <c r="L264" s="85"/>
      <c r="M264" s="85"/>
      <c r="N264" s="85"/>
      <c r="O264" s="118">
        <f>((IFERROR((C264*D264*E264),0)+IFERROR((G264*H264*I264),0)+IFERROR((K264*L264*M264),0))/1000000)*35.32</f>
        <v>0.61562760000000005</v>
      </c>
      <c r="P264" s="125">
        <f>Table1[[#This Row],[Column15]]*$P$2*1000</f>
        <v>3693.7656000000002</v>
      </c>
      <c r="Q264" s="87">
        <f>F264+J264+N264</f>
        <v>3700</v>
      </c>
      <c r="R264" s="86">
        <f>MAX(Q264,O264)</f>
        <v>3700</v>
      </c>
      <c r="S264" s="86">
        <f>MAX(R264,P264)</f>
        <v>3700</v>
      </c>
      <c r="T264" s="156" t="str">
        <f>VLOOKUP(A264,'[1]MTP SKUs - Master Data'!$A:$B,2,FALSE)</f>
        <v>DI</v>
      </c>
      <c r="U264" s="162" t="str">
        <f>_xlfn.IFNA(VLOOKUP(Table1[[#This Row],[MTP SKU Code]],'Audit Dimensions'!A:N,6,FALSE),"ARC")</f>
        <v>ARC</v>
      </c>
      <c r="V264" s="162" t="str">
        <f>IFERROR(Table1[[#This Row],[B1.Aud]]-Table1[[#This Row],[PW(gm)]],"ERR")</f>
        <v>ERR</v>
      </c>
      <c r="W264" s="165" t="str">
        <f>IFERROR(Table1[[#This Row],[B1.Diff]]/Table1[[#This Row],[B1.Aud]],"ERR")</f>
        <v>ERR</v>
      </c>
      <c r="X264" s="162" t="str">
        <f>_xlfn.IFNA(VLOOKUP(Table1[[#This Row],[MTP SKU Code]],'Audit Dimensions'!A:N,10,FALSE),"ARC")</f>
        <v>ARC</v>
      </c>
      <c r="Y264" s="163" t="str">
        <f>IFERROR(Table1[[#This Row],[B2.Aud]]-Table1[[#This Row],[PW(gm)5]],"ERR")</f>
        <v>ERR</v>
      </c>
      <c r="Z264" s="165" t="str">
        <f>IFERROR(Table1[[#This Row],[B2.Diff]]/Table1[[#This Row],[B2.Aud]],"NA")</f>
        <v>NA</v>
      </c>
      <c r="AA264" s="162" t="str">
        <f>_xlfn.IFNA(VLOOKUP(Table1[[#This Row],[MTP SKU Code]],'Audit Dimensions'!A:N,14,FALSE),"ARC")</f>
        <v>ARC</v>
      </c>
      <c r="AB264" s="161" t="str">
        <f>IFERROR(Table1[[#This Row],[B3.Aud]]-Table1[[#This Row],[PW(gm)9]],"ERR")</f>
        <v>ERR</v>
      </c>
      <c r="AC264" s="168" t="str">
        <f>IFERROR(Table1[[#This Row],[B3.Diff]]/Table1[[#This Row],[BaLL.Aud]],"ERR")</f>
        <v>ERR</v>
      </c>
      <c r="AD264" s="162" t="str">
        <f>_xlfn.IFNA(VLOOKUP(Table1[[#This Row],[MTP SKU Code]],'Audit Dimensions'!A:U,16,FALSE),"ARC")</f>
        <v>ARC</v>
      </c>
      <c r="AE264" s="165" t="str">
        <f>IFERROR(1-Table1[[#This Row],[Gms]]/Table1[[#This Row],[BaLL.Aud]],"ERR")</f>
        <v>ERR</v>
      </c>
    </row>
    <row r="265" spans="1:35" hidden="1">
      <c r="A265" s="68" t="s">
        <v>311</v>
      </c>
      <c r="B265" s="84" t="s">
        <v>48</v>
      </c>
      <c r="C265" s="85">
        <v>31</v>
      </c>
      <c r="D265" s="85">
        <v>27</v>
      </c>
      <c r="E265" s="85">
        <v>6</v>
      </c>
      <c r="F265" s="89">
        <v>1250</v>
      </c>
      <c r="G265" s="85"/>
      <c r="H265" s="85"/>
      <c r="I265" s="85"/>
      <c r="J265" s="85"/>
      <c r="K265" s="85"/>
      <c r="L265" s="85"/>
      <c r="M265" s="85"/>
      <c r="N265" s="85"/>
      <c r="O265" s="118">
        <f>((IFERROR((C265*D265*E265),0)+IFERROR((G265*H265*I265),0)+IFERROR((K265*L265*M265),0))/1000000)*35.32</f>
        <v>0.17737704000000001</v>
      </c>
      <c r="P265" s="125">
        <f>Table1[[#This Row],[Column15]]*$P$2*1000</f>
        <v>1064.2622400000002</v>
      </c>
      <c r="Q265" s="87">
        <f>F265+J265+N265</f>
        <v>1250</v>
      </c>
      <c r="R265" s="86">
        <f>MAX(Q265,O265)</f>
        <v>1250</v>
      </c>
      <c r="S265" s="86">
        <f>MAX(R265,P265)</f>
        <v>1250</v>
      </c>
      <c r="T265" s="156" t="str">
        <f>VLOOKUP(A265,'[1]MTP SKUs - Master Data'!$A:$B,2,FALSE)</f>
        <v>DI</v>
      </c>
      <c r="U265" s="162" t="str">
        <f>_xlfn.IFNA(VLOOKUP(Table1[[#This Row],[MTP SKU Code]],'Audit Dimensions'!A:N,6,FALSE),"ARC")</f>
        <v>ARC</v>
      </c>
      <c r="V265" s="162" t="str">
        <f>IFERROR(Table1[[#This Row],[B1.Aud]]-Table1[[#This Row],[PW(gm)]],"ERR")</f>
        <v>ERR</v>
      </c>
      <c r="W265" s="165" t="str">
        <f>IFERROR(Table1[[#This Row],[B1.Diff]]/Table1[[#This Row],[B1.Aud]],"ERR")</f>
        <v>ERR</v>
      </c>
      <c r="X265" s="162" t="str">
        <f>_xlfn.IFNA(VLOOKUP(Table1[[#This Row],[MTP SKU Code]],'Audit Dimensions'!A:N,10,FALSE),"ARC")</f>
        <v>ARC</v>
      </c>
      <c r="Y265" s="163" t="str">
        <f>IFERROR(Table1[[#This Row],[B2.Aud]]-Table1[[#This Row],[PW(gm)5]],"ERR")</f>
        <v>ERR</v>
      </c>
      <c r="Z265" s="165" t="str">
        <f>IFERROR(Table1[[#This Row],[B2.Diff]]/Table1[[#This Row],[B2.Aud]],"NA")</f>
        <v>NA</v>
      </c>
      <c r="AA265" s="162" t="str">
        <f>_xlfn.IFNA(VLOOKUP(Table1[[#This Row],[MTP SKU Code]],'Audit Dimensions'!A:N,14,FALSE),"ARC")</f>
        <v>ARC</v>
      </c>
      <c r="AB265" s="161" t="str">
        <f>IFERROR(Table1[[#This Row],[B3.Aud]]-Table1[[#This Row],[PW(gm)9]],"ERR")</f>
        <v>ERR</v>
      </c>
      <c r="AC265" s="168" t="str">
        <f>IFERROR(Table1[[#This Row],[B3.Diff]]/Table1[[#This Row],[BaLL.Aud]],"ERR")</f>
        <v>ERR</v>
      </c>
      <c r="AD265" s="162" t="str">
        <f>_xlfn.IFNA(VLOOKUP(Table1[[#This Row],[MTP SKU Code]],'Audit Dimensions'!A:U,16,FALSE),"ARC")</f>
        <v>ARC</v>
      </c>
      <c r="AE265" s="165" t="str">
        <f>IFERROR(1-Table1[[#This Row],[Gms]]/Table1[[#This Row],[BaLL.Aud]],"ERR")</f>
        <v>ERR</v>
      </c>
    </row>
    <row r="266" spans="1:35" hidden="1">
      <c r="A266" s="68" t="s">
        <v>312</v>
      </c>
      <c r="B266" s="84" t="s">
        <v>48</v>
      </c>
      <c r="C266" s="85">
        <v>32</v>
      </c>
      <c r="D266" s="85">
        <v>32</v>
      </c>
      <c r="E266" s="85">
        <v>4</v>
      </c>
      <c r="F266" s="89">
        <v>900</v>
      </c>
      <c r="G266" s="85"/>
      <c r="H266" s="85"/>
      <c r="I266" s="85"/>
      <c r="J266" s="85"/>
      <c r="K266" s="85"/>
      <c r="L266" s="85"/>
      <c r="M266" s="85"/>
      <c r="N266" s="85"/>
      <c r="O266" s="118">
        <f>((IFERROR((C266*D266*E266),0)+IFERROR((G266*H266*I266),0)+IFERROR((K266*L266*M266),0))/1000000)*35.32</f>
        <v>0.14467072</v>
      </c>
      <c r="P266" s="125">
        <f>Table1[[#This Row],[Column15]]*$P$2*1000</f>
        <v>868.02431999999999</v>
      </c>
      <c r="Q266" s="87">
        <f>F266+J266+N266</f>
        <v>900</v>
      </c>
      <c r="R266" s="86">
        <f>MAX(Q266,O266)</f>
        <v>900</v>
      </c>
      <c r="S266" s="86">
        <f>MAX(R266,P266)</f>
        <v>900</v>
      </c>
      <c r="T266" s="156" t="str">
        <f>VLOOKUP(A266,'[1]MTP SKUs - Master Data'!$A:$B,2,FALSE)</f>
        <v>DI</v>
      </c>
      <c r="U266" s="162" t="str">
        <f>_xlfn.IFNA(VLOOKUP(Table1[[#This Row],[MTP SKU Code]],'Audit Dimensions'!A:N,6,FALSE),"ARC")</f>
        <v>ARC</v>
      </c>
      <c r="V266" s="162" t="str">
        <f>IFERROR(Table1[[#This Row],[B1.Aud]]-Table1[[#This Row],[PW(gm)]],"ERR")</f>
        <v>ERR</v>
      </c>
      <c r="W266" s="165" t="str">
        <f>IFERROR(Table1[[#This Row],[B1.Diff]]/Table1[[#This Row],[B1.Aud]],"ERR")</f>
        <v>ERR</v>
      </c>
      <c r="X266" s="162" t="str">
        <f>_xlfn.IFNA(VLOOKUP(Table1[[#This Row],[MTP SKU Code]],'Audit Dimensions'!A:N,10,FALSE),"ARC")</f>
        <v>ARC</v>
      </c>
      <c r="Y266" s="163" t="str">
        <f>IFERROR(Table1[[#This Row],[B2.Aud]]-Table1[[#This Row],[PW(gm)5]],"ERR")</f>
        <v>ERR</v>
      </c>
      <c r="Z266" s="165" t="str">
        <f>IFERROR(Table1[[#This Row],[B2.Diff]]/Table1[[#This Row],[B2.Aud]],"NA")</f>
        <v>NA</v>
      </c>
      <c r="AA266" s="162" t="str">
        <f>_xlfn.IFNA(VLOOKUP(Table1[[#This Row],[MTP SKU Code]],'Audit Dimensions'!A:N,14,FALSE),"ARC")</f>
        <v>ARC</v>
      </c>
      <c r="AB266" s="161" t="str">
        <f>IFERROR(Table1[[#This Row],[B3.Aud]]-Table1[[#This Row],[PW(gm)9]],"ERR")</f>
        <v>ERR</v>
      </c>
      <c r="AC266" s="168" t="str">
        <f>IFERROR(Table1[[#This Row],[B3.Diff]]/Table1[[#This Row],[BaLL.Aud]],"ERR")</f>
        <v>ERR</v>
      </c>
      <c r="AD266" s="162" t="str">
        <f>_xlfn.IFNA(VLOOKUP(Table1[[#This Row],[MTP SKU Code]],'Audit Dimensions'!A:U,16,FALSE),"ARC")</f>
        <v>ARC</v>
      </c>
      <c r="AE266" s="165" t="str">
        <f>IFERROR(1-Table1[[#This Row],[Gms]]/Table1[[#This Row],[BaLL.Aud]],"ERR")</f>
        <v>ERR</v>
      </c>
    </row>
    <row r="267" spans="1:35" hidden="1">
      <c r="A267" s="68" t="s">
        <v>313</v>
      </c>
      <c r="B267" s="84" t="s">
        <v>48</v>
      </c>
      <c r="C267" s="85">
        <v>67</v>
      </c>
      <c r="D267" s="85">
        <v>40</v>
      </c>
      <c r="E267" s="85">
        <v>4</v>
      </c>
      <c r="F267" s="89">
        <v>3300</v>
      </c>
      <c r="G267" s="85"/>
      <c r="H267" s="85"/>
      <c r="I267" s="85"/>
      <c r="J267" s="85"/>
      <c r="K267" s="85"/>
      <c r="L267" s="85"/>
      <c r="M267" s="85"/>
      <c r="N267" s="85"/>
      <c r="O267" s="118">
        <f>((IFERROR((C267*D267*E267),0)+IFERROR((G267*H267*I267),0)+IFERROR((K267*L267*M267),0))/1000000)*35.32</f>
        <v>0.37863040000000003</v>
      </c>
      <c r="P267" s="125">
        <f>Table1[[#This Row],[Column15]]*$P$2*1000</f>
        <v>2271.7824000000001</v>
      </c>
      <c r="Q267" s="87">
        <f>F267+J267+N267</f>
        <v>3300</v>
      </c>
      <c r="R267" s="86">
        <f>MAX(Q267,O267)</f>
        <v>3300</v>
      </c>
      <c r="S267" s="86">
        <f>MAX(R267,P267)</f>
        <v>3300</v>
      </c>
      <c r="T267" s="156" t="str">
        <f>VLOOKUP(A267,'[1]MTP SKUs - Master Data'!$A:$B,2,FALSE)</f>
        <v>DI</v>
      </c>
      <c r="U267" s="162" t="str">
        <f>_xlfn.IFNA(VLOOKUP(Table1[[#This Row],[MTP SKU Code]],'Audit Dimensions'!A:N,6,FALSE),"ARC")</f>
        <v>ARC</v>
      </c>
      <c r="V267" s="162" t="str">
        <f>IFERROR(Table1[[#This Row],[B1.Aud]]-Table1[[#This Row],[PW(gm)]],"ERR")</f>
        <v>ERR</v>
      </c>
      <c r="W267" s="165" t="str">
        <f>IFERROR(Table1[[#This Row],[B1.Diff]]/Table1[[#This Row],[B1.Aud]],"ERR")</f>
        <v>ERR</v>
      </c>
      <c r="X267" s="162" t="str">
        <f>_xlfn.IFNA(VLOOKUP(Table1[[#This Row],[MTP SKU Code]],'Audit Dimensions'!A:N,10,FALSE),"ARC")</f>
        <v>ARC</v>
      </c>
      <c r="Y267" s="163" t="str">
        <f>IFERROR(Table1[[#This Row],[B2.Aud]]-Table1[[#This Row],[PW(gm)5]],"ERR")</f>
        <v>ERR</v>
      </c>
      <c r="Z267" s="165" t="str">
        <f>IFERROR(Table1[[#This Row],[B2.Diff]]/Table1[[#This Row],[B2.Aud]],"NA")</f>
        <v>NA</v>
      </c>
      <c r="AA267" s="162" t="str">
        <f>_xlfn.IFNA(VLOOKUP(Table1[[#This Row],[MTP SKU Code]],'Audit Dimensions'!A:N,14,FALSE),"ARC")</f>
        <v>ARC</v>
      </c>
      <c r="AB267" s="161" t="str">
        <f>IFERROR(Table1[[#This Row],[B3.Aud]]-Table1[[#This Row],[PW(gm)9]],"ERR")</f>
        <v>ERR</v>
      </c>
      <c r="AC267" s="168" t="str">
        <f>IFERROR(Table1[[#This Row],[B3.Diff]]/Table1[[#This Row],[BaLL.Aud]],"ERR")</f>
        <v>ERR</v>
      </c>
      <c r="AD267" s="162" t="str">
        <f>_xlfn.IFNA(VLOOKUP(Table1[[#This Row],[MTP SKU Code]],'Audit Dimensions'!A:U,16,FALSE),"ARC")</f>
        <v>ARC</v>
      </c>
      <c r="AE267" s="165" t="str">
        <f>IFERROR(1-Table1[[#This Row],[Gms]]/Table1[[#This Row],[BaLL.Aud]],"ERR")</f>
        <v>ERR</v>
      </c>
    </row>
    <row r="268" spans="1:35" hidden="1">
      <c r="A268" s="68" t="s">
        <v>314</v>
      </c>
      <c r="B268" s="84" t="s">
        <v>296</v>
      </c>
      <c r="C268" s="85"/>
      <c r="D268" s="85"/>
      <c r="E268" s="85"/>
      <c r="F268" s="89"/>
      <c r="G268" s="85"/>
      <c r="H268" s="85"/>
      <c r="I268" s="85"/>
      <c r="J268" s="85"/>
      <c r="K268" s="85"/>
      <c r="L268" s="85"/>
      <c r="M268" s="85"/>
      <c r="N268" s="85"/>
      <c r="O268" s="118">
        <f>((IFERROR((C268*D268*E268),0)+IFERROR((G268*H268*I268),0)+IFERROR((K268*L268*M268),0))/1000000)*35.32</f>
        <v>0</v>
      </c>
      <c r="P268" s="125">
        <f>Table1[[#This Row],[Column15]]*$P$2*1000</f>
        <v>0</v>
      </c>
      <c r="Q268" s="87">
        <f>F268+J268+N268</f>
        <v>0</v>
      </c>
      <c r="R268" s="86">
        <f>MAX(Q268,O268)</f>
        <v>0</v>
      </c>
      <c r="S268" s="86">
        <f>MAX(R268,P268)</f>
        <v>0</v>
      </c>
      <c r="T268" s="156" t="str">
        <f>VLOOKUP(A268,'[1]MTP SKUs - Master Data'!$A:$B,2,FALSE)</f>
        <v>DI</v>
      </c>
      <c r="U268" s="162" t="str">
        <f>_xlfn.IFNA(VLOOKUP(Table1[[#This Row],[MTP SKU Code]],'Audit Dimensions'!A:N,6,FALSE),"ARC")</f>
        <v>ARC</v>
      </c>
      <c r="V268" s="162" t="str">
        <f>IFERROR(Table1[[#This Row],[B1.Aud]]-Table1[[#This Row],[PW(gm)]],"ERR")</f>
        <v>ERR</v>
      </c>
      <c r="W268" s="165" t="str">
        <f>IFERROR(Table1[[#This Row],[B1.Diff]]/Table1[[#This Row],[B1.Aud]],"ERR")</f>
        <v>ERR</v>
      </c>
      <c r="X268" s="162" t="str">
        <f>_xlfn.IFNA(VLOOKUP(Table1[[#This Row],[MTP SKU Code]],'Audit Dimensions'!A:N,10,FALSE),"ARC")</f>
        <v>ARC</v>
      </c>
      <c r="Y268" s="163" t="str">
        <f>IFERROR(Table1[[#This Row],[B2.Aud]]-Table1[[#This Row],[PW(gm)5]],"ERR")</f>
        <v>ERR</v>
      </c>
      <c r="Z268" s="165" t="str">
        <f>IFERROR(Table1[[#This Row],[B2.Diff]]/Table1[[#This Row],[B2.Aud]],"NA")</f>
        <v>NA</v>
      </c>
      <c r="AA268" s="162" t="str">
        <f>_xlfn.IFNA(VLOOKUP(Table1[[#This Row],[MTP SKU Code]],'Audit Dimensions'!A:N,14,FALSE),"ARC")</f>
        <v>ARC</v>
      </c>
      <c r="AB268" s="161" t="str">
        <f>IFERROR(Table1[[#This Row],[B3.Aud]]-Table1[[#This Row],[PW(gm)9]],"ERR")</f>
        <v>ERR</v>
      </c>
      <c r="AC268" s="168" t="str">
        <f>IFERROR(Table1[[#This Row],[B3.Diff]]/Table1[[#This Row],[BaLL.Aud]],"ERR")</f>
        <v>ERR</v>
      </c>
      <c r="AD268" s="162" t="str">
        <f>_xlfn.IFNA(VLOOKUP(Table1[[#This Row],[MTP SKU Code]],'Audit Dimensions'!A:U,16,FALSE),"ARC")</f>
        <v>ARC</v>
      </c>
      <c r="AE268" s="165" t="str">
        <f>IFERROR(1-Table1[[#This Row],[Gms]]/Table1[[#This Row],[BaLL.Aud]],"ERR")</f>
        <v>ERR</v>
      </c>
    </row>
    <row r="269" spans="1:35" hidden="1">
      <c r="A269" s="68" t="s">
        <v>315</v>
      </c>
      <c r="B269" s="84" t="s">
        <v>48</v>
      </c>
      <c r="C269" s="85">
        <v>37</v>
      </c>
      <c r="D269" s="85">
        <v>13</v>
      </c>
      <c r="E269" s="85">
        <v>7</v>
      </c>
      <c r="F269" s="89">
        <v>1000</v>
      </c>
      <c r="G269" s="85"/>
      <c r="H269" s="85"/>
      <c r="I269" s="85"/>
      <c r="J269" s="85"/>
      <c r="K269" s="85"/>
      <c r="L269" s="85"/>
      <c r="M269" s="85"/>
      <c r="N269" s="85"/>
      <c r="O269" s="118">
        <f>((IFERROR((C269*D269*E269),0)+IFERROR((G269*H269*I269),0)+IFERROR((K269*L269*M269),0))/1000000)*35.32</f>
        <v>0.11892244</v>
      </c>
      <c r="P269" s="125">
        <f>Table1[[#This Row],[Column15]]*$P$2*1000</f>
        <v>713.53463999999997</v>
      </c>
      <c r="Q269" s="87">
        <f>F269+J269+N269</f>
        <v>1000</v>
      </c>
      <c r="R269" s="86">
        <f>MAX(Q269,O269)</f>
        <v>1000</v>
      </c>
      <c r="S269" s="86">
        <f>MAX(R269,P269)</f>
        <v>1000</v>
      </c>
      <c r="T269" s="156" t="str">
        <f>VLOOKUP(A269,'[1]MTP SKUs - Master Data'!$A:$B,2,FALSE)</f>
        <v>DI</v>
      </c>
      <c r="U269" s="162" t="str">
        <f>_xlfn.IFNA(VLOOKUP(Table1[[#This Row],[MTP SKU Code]],'Audit Dimensions'!A:N,6,FALSE),"ARC")</f>
        <v>ARC</v>
      </c>
      <c r="V269" s="162" t="str">
        <f>IFERROR(Table1[[#This Row],[B1.Aud]]-Table1[[#This Row],[PW(gm)]],"ERR")</f>
        <v>ERR</v>
      </c>
      <c r="W269" s="165" t="str">
        <f>IFERROR(Table1[[#This Row],[B1.Diff]]/Table1[[#This Row],[B1.Aud]],"ERR")</f>
        <v>ERR</v>
      </c>
      <c r="X269" s="162" t="str">
        <f>_xlfn.IFNA(VLOOKUP(Table1[[#This Row],[MTP SKU Code]],'Audit Dimensions'!A:N,10,FALSE),"ARC")</f>
        <v>ARC</v>
      </c>
      <c r="Y269" s="163" t="str">
        <f>IFERROR(Table1[[#This Row],[B2.Aud]]-Table1[[#This Row],[PW(gm)5]],"ERR")</f>
        <v>ERR</v>
      </c>
      <c r="Z269" s="165" t="str">
        <f>IFERROR(Table1[[#This Row],[B2.Diff]]/Table1[[#This Row],[B2.Aud]],"NA")</f>
        <v>NA</v>
      </c>
      <c r="AA269" s="162" t="str">
        <f>_xlfn.IFNA(VLOOKUP(Table1[[#This Row],[MTP SKU Code]],'Audit Dimensions'!A:N,14,FALSE),"ARC")</f>
        <v>ARC</v>
      </c>
      <c r="AB269" s="161" t="str">
        <f>IFERROR(Table1[[#This Row],[B3.Aud]]-Table1[[#This Row],[PW(gm)9]],"ERR")</f>
        <v>ERR</v>
      </c>
      <c r="AC269" s="168" t="str">
        <f>IFERROR(Table1[[#This Row],[B3.Diff]]/Table1[[#This Row],[BaLL.Aud]],"ERR")</f>
        <v>ERR</v>
      </c>
      <c r="AD269" s="162" t="str">
        <f>_xlfn.IFNA(VLOOKUP(Table1[[#This Row],[MTP SKU Code]],'Audit Dimensions'!A:U,16,FALSE),"ARC")</f>
        <v>ARC</v>
      </c>
      <c r="AE269" s="165" t="str">
        <f>IFERROR(1-Table1[[#This Row],[Gms]]/Table1[[#This Row],[BaLL.Aud]],"ERR")</f>
        <v>ERR</v>
      </c>
    </row>
    <row r="270" spans="1:35" hidden="1">
      <c r="A270" s="68" t="s">
        <v>316</v>
      </c>
      <c r="B270" s="84" t="s">
        <v>48</v>
      </c>
      <c r="C270" s="85">
        <v>51</v>
      </c>
      <c r="D270" s="85">
        <v>17</v>
      </c>
      <c r="E270" s="85">
        <v>4</v>
      </c>
      <c r="F270" s="89">
        <v>1100</v>
      </c>
      <c r="G270" s="85"/>
      <c r="H270" s="85"/>
      <c r="I270" s="85"/>
      <c r="J270" s="85"/>
      <c r="K270" s="85"/>
      <c r="L270" s="85"/>
      <c r="M270" s="85"/>
      <c r="N270" s="85"/>
      <c r="O270" s="118">
        <f>((IFERROR((C270*D270*E270),0)+IFERROR((G270*H270*I270),0)+IFERROR((K270*L270*M270),0))/1000000)*35.32</f>
        <v>0.12248976</v>
      </c>
      <c r="P270" s="125">
        <f>Table1[[#This Row],[Column15]]*$P$2*1000</f>
        <v>734.93856000000005</v>
      </c>
      <c r="Q270" s="87">
        <f>F270+J270+N270</f>
        <v>1100</v>
      </c>
      <c r="R270" s="86">
        <f>MAX(Q270,O270)</f>
        <v>1100</v>
      </c>
      <c r="S270" s="86">
        <f>MAX(R270,P270)</f>
        <v>1100</v>
      </c>
      <c r="T270" s="156" t="str">
        <f>VLOOKUP(A270,'[1]MTP SKUs - Master Data'!$A:$B,2,FALSE)</f>
        <v>DI</v>
      </c>
      <c r="U270" s="162" t="str">
        <f>_xlfn.IFNA(VLOOKUP(Table1[[#This Row],[MTP SKU Code]],'Audit Dimensions'!A:N,6,FALSE),"ARC")</f>
        <v>ARC</v>
      </c>
      <c r="V270" s="162" t="str">
        <f>IFERROR(Table1[[#This Row],[B1.Aud]]-Table1[[#This Row],[PW(gm)]],"ERR")</f>
        <v>ERR</v>
      </c>
      <c r="W270" s="165" t="str">
        <f>IFERROR(Table1[[#This Row],[B1.Diff]]/Table1[[#This Row],[B1.Aud]],"ERR")</f>
        <v>ERR</v>
      </c>
      <c r="X270" s="162" t="str">
        <f>_xlfn.IFNA(VLOOKUP(Table1[[#This Row],[MTP SKU Code]],'Audit Dimensions'!A:N,10,FALSE),"ARC")</f>
        <v>ARC</v>
      </c>
      <c r="Y270" s="163" t="str">
        <f>IFERROR(Table1[[#This Row],[B2.Aud]]-Table1[[#This Row],[PW(gm)5]],"ERR")</f>
        <v>ERR</v>
      </c>
      <c r="Z270" s="165" t="str">
        <f>IFERROR(Table1[[#This Row],[B2.Diff]]/Table1[[#This Row],[B2.Aud]],"NA")</f>
        <v>NA</v>
      </c>
      <c r="AA270" s="162" t="str">
        <f>_xlfn.IFNA(VLOOKUP(Table1[[#This Row],[MTP SKU Code]],'Audit Dimensions'!A:N,14,FALSE),"ARC")</f>
        <v>ARC</v>
      </c>
      <c r="AB270" s="161" t="str">
        <f>IFERROR(Table1[[#This Row],[B3.Aud]]-Table1[[#This Row],[PW(gm)9]],"ERR")</f>
        <v>ERR</v>
      </c>
      <c r="AC270" s="168" t="str">
        <f>IFERROR(Table1[[#This Row],[B3.Diff]]/Table1[[#This Row],[BaLL.Aud]],"ERR")</f>
        <v>ERR</v>
      </c>
      <c r="AD270" s="162" t="str">
        <f>_xlfn.IFNA(VLOOKUP(Table1[[#This Row],[MTP SKU Code]],'Audit Dimensions'!A:U,16,FALSE),"ARC")</f>
        <v>ARC</v>
      </c>
      <c r="AE270" s="165" t="str">
        <f>IFERROR(1-Table1[[#This Row],[Gms]]/Table1[[#This Row],[BaLL.Aud]],"ERR")</f>
        <v>ERR</v>
      </c>
    </row>
    <row r="271" spans="1:35" hidden="1">
      <c r="A271" s="68" t="s">
        <v>317</v>
      </c>
      <c r="B271" s="84" t="s">
        <v>48</v>
      </c>
      <c r="C271" s="85">
        <v>23</v>
      </c>
      <c r="D271" s="85">
        <v>19</v>
      </c>
      <c r="E271" s="85">
        <v>12</v>
      </c>
      <c r="F271" s="89">
        <v>1890</v>
      </c>
      <c r="G271" s="85"/>
      <c r="H271" s="85"/>
      <c r="I271" s="85"/>
      <c r="J271" s="85"/>
      <c r="K271" s="85"/>
      <c r="L271" s="85"/>
      <c r="M271" s="85"/>
      <c r="N271" s="85"/>
      <c r="O271" s="118">
        <f>((IFERROR((C271*D271*E271),0)+IFERROR((G271*H271*I271),0)+IFERROR((K271*L271*M271),0))/1000000)*35.32</f>
        <v>0.18521808000000001</v>
      </c>
      <c r="P271" s="125">
        <f>Table1[[#This Row],[Column15]]*$P$2*1000</f>
        <v>1111.3084799999999</v>
      </c>
      <c r="Q271" s="87">
        <f>F271+J271+N271</f>
        <v>1890</v>
      </c>
      <c r="R271" s="86">
        <f>MAX(Q271,O271)</f>
        <v>1890</v>
      </c>
      <c r="S271" s="86">
        <f>MAX(R271,P271)</f>
        <v>1890</v>
      </c>
      <c r="T271" s="156" t="str">
        <f>VLOOKUP(A271,'[1]MTP SKUs - Master Data'!$A:$B,2,FALSE)</f>
        <v>DI</v>
      </c>
      <c r="U271" s="162" t="str">
        <f>_xlfn.IFNA(VLOOKUP(Table1[[#This Row],[MTP SKU Code]],'Audit Dimensions'!A:N,6,FALSE),"ARC")</f>
        <v>ARC</v>
      </c>
      <c r="V271" s="162" t="str">
        <f>IFERROR(Table1[[#This Row],[B1.Aud]]-Table1[[#This Row],[PW(gm)]],"ERR")</f>
        <v>ERR</v>
      </c>
      <c r="W271" s="165" t="str">
        <f>IFERROR(Table1[[#This Row],[B1.Diff]]/Table1[[#This Row],[B1.Aud]],"ERR")</f>
        <v>ERR</v>
      </c>
      <c r="X271" s="162" t="str">
        <f>_xlfn.IFNA(VLOOKUP(Table1[[#This Row],[MTP SKU Code]],'Audit Dimensions'!A:N,10,FALSE),"ARC")</f>
        <v>ARC</v>
      </c>
      <c r="Y271" s="163" t="str">
        <f>IFERROR(Table1[[#This Row],[B2.Aud]]-Table1[[#This Row],[PW(gm)5]],"ERR")</f>
        <v>ERR</v>
      </c>
      <c r="Z271" s="165" t="str">
        <f>IFERROR(Table1[[#This Row],[B2.Diff]]/Table1[[#This Row],[B2.Aud]],"NA")</f>
        <v>NA</v>
      </c>
      <c r="AA271" s="162" t="str">
        <f>_xlfn.IFNA(VLOOKUP(Table1[[#This Row],[MTP SKU Code]],'Audit Dimensions'!A:N,14,FALSE),"ARC")</f>
        <v>ARC</v>
      </c>
      <c r="AB271" s="161" t="str">
        <f>IFERROR(Table1[[#This Row],[B3.Aud]]-Table1[[#This Row],[PW(gm)9]],"ERR")</f>
        <v>ERR</v>
      </c>
      <c r="AC271" s="168" t="str">
        <f>IFERROR(Table1[[#This Row],[B3.Diff]]/Table1[[#This Row],[BaLL.Aud]],"ERR")</f>
        <v>ERR</v>
      </c>
      <c r="AD271" s="162" t="str">
        <f>_xlfn.IFNA(VLOOKUP(Table1[[#This Row],[MTP SKU Code]],'Audit Dimensions'!A:U,16,FALSE),"ARC")</f>
        <v>ARC</v>
      </c>
      <c r="AE271" s="165" t="str">
        <f>IFERROR(1-Table1[[#This Row],[Gms]]/Table1[[#This Row],[BaLL.Aud]],"ERR")</f>
        <v>ERR</v>
      </c>
    </row>
    <row r="272" spans="1:35" hidden="1">
      <c r="A272" s="68" t="s">
        <v>318</v>
      </c>
      <c r="B272" s="84" t="s">
        <v>48</v>
      </c>
      <c r="C272" s="85">
        <v>23</v>
      </c>
      <c r="D272" s="85">
        <v>19</v>
      </c>
      <c r="E272" s="85">
        <v>20</v>
      </c>
      <c r="F272" s="89">
        <v>2890</v>
      </c>
      <c r="G272" s="85"/>
      <c r="H272" s="85"/>
      <c r="I272" s="85"/>
      <c r="J272" s="85"/>
      <c r="K272" s="85"/>
      <c r="L272" s="85"/>
      <c r="M272" s="85"/>
      <c r="N272" s="85"/>
      <c r="O272" s="118">
        <f>((IFERROR((C272*D272*E272),0)+IFERROR((G272*H272*I272),0)+IFERROR((K272*L272*M272),0))/1000000)*35.32</f>
        <v>0.30869679999999999</v>
      </c>
      <c r="P272" s="125">
        <f>Table1[[#This Row],[Column15]]*$P$2*1000</f>
        <v>1852.1807999999999</v>
      </c>
      <c r="Q272" s="87">
        <f>F272+J272+N272</f>
        <v>2890</v>
      </c>
      <c r="R272" s="86">
        <f>MAX(Q272,O272)</f>
        <v>2890</v>
      </c>
      <c r="S272" s="86">
        <f>MAX(R272,P272)</f>
        <v>2890</v>
      </c>
      <c r="T272" s="156" t="str">
        <f>VLOOKUP(A272,'[1]MTP SKUs - Master Data'!$A:$B,2,FALSE)</f>
        <v>DI</v>
      </c>
      <c r="U272" s="162" t="str">
        <f>_xlfn.IFNA(VLOOKUP(Table1[[#This Row],[MTP SKU Code]],'Audit Dimensions'!A:N,6,FALSE),"ARC")</f>
        <v>ARC</v>
      </c>
      <c r="V272" s="162" t="str">
        <f>IFERROR(Table1[[#This Row],[B1.Aud]]-Table1[[#This Row],[PW(gm)]],"ERR")</f>
        <v>ERR</v>
      </c>
      <c r="W272" s="165" t="str">
        <f>IFERROR(Table1[[#This Row],[B1.Diff]]/Table1[[#This Row],[B1.Aud]],"ERR")</f>
        <v>ERR</v>
      </c>
      <c r="X272" s="162" t="str">
        <f>_xlfn.IFNA(VLOOKUP(Table1[[#This Row],[MTP SKU Code]],'Audit Dimensions'!A:N,10,FALSE),"ARC")</f>
        <v>ARC</v>
      </c>
      <c r="Y272" s="163" t="str">
        <f>IFERROR(Table1[[#This Row],[B2.Aud]]-Table1[[#This Row],[PW(gm)5]],"ERR")</f>
        <v>ERR</v>
      </c>
      <c r="Z272" s="165" t="str">
        <f>IFERROR(Table1[[#This Row],[B2.Diff]]/Table1[[#This Row],[B2.Aud]],"NA")</f>
        <v>NA</v>
      </c>
      <c r="AA272" s="162" t="str">
        <f>_xlfn.IFNA(VLOOKUP(Table1[[#This Row],[MTP SKU Code]],'Audit Dimensions'!A:N,14,FALSE),"ARC")</f>
        <v>ARC</v>
      </c>
      <c r="AB272" s="161" t="str">
        <f>IFERROR(Table1[[#This Row],[B3.Aud]]-Table1[[#This Row],[PW(gm)9]],"ERR")</f>
        <v>ERR</v>
      </c>
      <c r="AC272" s="168" t="str">
        <f>IFERROR(Table1[[#This Row],[B3.Diff]]/Table1[[#This Row],[BaLL.Aud]],"ERR")</f>
        <v>ERR</v>
      </c>
      <c r="AD272" s="162" t="str">
        <f>_xlfn.IFNA(VLOOKUP(Table1[[#This Row],[MTP SKU Code]],'Audit Dimensions'!A:U,16,FALSE),"ARC")</f>
        <v>ARC</v>
      </c>
      <c r="AE272" s="165" t="str">
        <f>IFERROR(1-Table1[[#This Row],[Gms]]/Table1[[#This Row],[BaLL.Aud]],"ERR")</f>
        <v>ERR</v>
      </c>
    </row>
    <row r="273" spans="1:31" hidden="1">
      <c r="A273" s="68" t="s">
        <v>319</v>
      </c>
      <c r="B273" s="84" t="s">
        <v>48</v>
      </c>
      <c r="C273" s="85">
        <v>128</v>
      </c>
      <c r="D273" s="85">
        <v>30</v>
      </c>
      <c r="E273" s="85">
        <v>9</v>
      </c>
      <c r="F273" s="89">
        <v>24000</v>
      </c>
      <c r="G273" s="85"/>
      <c r="H273" s="85"/>
      <c r="I273" s="85"/>
      <c r="J273" s="85"/>
      <c r="K273" s="85"/>
      <c r="L273" s="85"/>
      <c r="M273" s="85"/>
      <c r="N273" s="85"/>
      <c r="O273" s="118">
        <f>((IFERROR((C273*D273*E273),0)+IFERROR((G273*H273*I273),0)+IFERROR((K273*L273*M273),0))/1000000)*35.32</f>
        <v>1.2206592000000001</v>
      </c>
      <c r="P273" s="125">
        <f>Table1[[#This Row],[Column15]]*$P$2*1000</f>
        <v>7323.9552000000003</v>
      </c>
      <c r="Q273" s="87">
        <f>F273+J273+N273</f>
        <v>24000</v>
      </c>
      <c r="R273" s="86">
        <f>MAX(Q273,O273)</f>
        <v>24000</v>
      </c>
      <c r="S273" s="86">
        <f>MAX(R273,P273)</f>
        <v>24000</v>
      </c>
      <c r="T273" s="156" t="str">
        <f>VLOOKUP(A273,'[1]MTP SKUs - Master Data'!$A:$B,2,FALSE)</f>
        <v>DI</v>
      </c>
      <c r="U273" s="162" t="str">
        <f>_xlfn.IFNA(VLOOKUP(Table1[[#This Row],[MTP SKU Code]],'Audit Dimensions'!A:N,6,FALSE),"ARC")</f>
        <v>ARC</v>
      </c>
      <c r="V273" s="162" t="str">
        <f>IFERROR(Table1[[#This Row],[B1.Aud]]-Table1[[#This Row],[PW(gm)]],"ERR")</f>
        <v>ERR</v>
      </c>
      <c r="W273" s="165" t="str">
        <f>IFERROR(Table1[[#This Row],[B1.Diff]]/Table1[[#This Row],[B1.Aud]],"ERR")</f>
        <v>ERR</v>
      </c>
      <c r="X273" s="162" t="str">
        <f>_xlfn.IFNA(VLOOKUP(Table1[[#This Row],[MTP SKU Code]],'Audit Dimensions'!A:N,10,FALSE),"ARC")</f>
        <v>ARC</v>
      </c>
      <c r="Y273" s="163" t="str">
        <f>IFERROR(Table1[[#This Row],[B2.Aud]]-Table1[[#This Row],[PW(gm)5]],"ERR")</f>
        <v>ERR</v>
      </c>
      <c r="Z273" s="165" t="str">
        <f>IFERROR(Table1[[#This Row],[B2.Diff]]/Table1[[#This Row],[B2.Aud]],"NA")</f>
        <v>NA</v>
      </c>
      <c r="AA273" s="162" t="str">
        <f>_xlfn.IFNA(VLOOKUP(Table1[[#This Row],[MTP SKU Code]],'Audit Dimensions'!A:N,14,FALSE),"ARC")</f>
        <v>ARC</v>
      </c>
      <c r="AB273" s="161" t="str">
        <f>IFERROR(Table1[[#This Row],[B3.Aud]]-Table1[[#This Row],[PW(gm)9]],"ERR")</f>
        <v>ERR</v>
      </c>
      <c r="AC273" s="168" t="str">
        <f>IFERROR(Table1[[#This Row],[B3.Diff]]/Table1[[#This Row],[BaLL.Aud]],"ERR")</f>
        <v>ERR</v>
      </c>
      <c r="AD273" s="162" t="str">
        <f>_xlfn.IFNA(VLOOKUP(Table1[[#This Row],[MTP SKU Code]],'Audit Dimensions'!A:U,16,FALSE),"ARC")</f>
        <v>ARC</v>
      </c>
      <c r="AE273" s="165" t="str">
        <f>IFERROR(1-Table1[[#This Row],[Gms]]/Table1[[#This Row],[BaLL.Aud]],"ERR")</f>
        <v>ERR</v>
      </c>
    </row>
    <row r="274" spans="1:31" hidden="1">
      <c r="A274" s="68" t="s">
        <v>320</v>
      </c>
      <c r="B274" s="84" t="s">
        <v>48</v>
      </c>
      <c r="C274" s="85">
        <v>84</v>
      </c>
      <c r="D274" s="85">
        <v>29</v>
      </c>
      <c r="E274" s="85">
        <v>10</v>
      </c>
      <c r="F274" s="89">
        <v>10850</v>
      </c>
      <c r="G274" s="85"/>
      <c r="H274" s="85"/>
      <c r="I274" s="85"/>
      <c r="J274" s="85"/>
      <c r="K274" s="85"/>
      <c r="L274" s="85"/>
      <c r="M274" s="85"/>
      <c r="N274" s="85"/>
      <c r="O274" s="118">
        <f>((IFERROR((C274*D274*E274),0)+IFERROR((G274*H274*I274),0)+IFERROR((K274*L274*M274),0))/1000000)*35.32</f>
        <v>0.86039520000000003</v>
      </c>
      <c r="P274" s="125">
        <f>Table1[[#This Row],[Column15]]*$P$2*1000</f>
        <v>5162.3711999999996</v>
      </c>
      <c r="Q274" s="87">
        <f>F274+J274+N274</f>
        <v>10850</v>
      </c>
      <c r="R274" s="86">
        <f>MAX(Q274,O274)</f>
        <v>10850</v>
      </c>
      <c r="S274" s="86">
        <f>MAX(R274,P274)</f>
        <v>10850</v>
      </c>
      <c r="T274" s="156" t="str">
        <f>VLOOKUP(A274,'[1]MTP SKUs - Master Data'!$A:$B,2,FALSE)</f>
        <v>DI</v>
      </c>
      <c r="U274" s="162" t="str">
        <f>_xlfn.IFNA(VLOOKUP(Table1[[#This Row],[MTP SKU Code]],'Audit Dimensions'!A:N,6,FALSE),"ARC")</f>
        <v>ARC</v>
      </c>
      <c r="V274" s="162" t="str">
        <f>IFERROR(Table1[[#This Row],[B1.Aud]]-Table1[[#This Row],[PW(gm)]],"ERR")</f>
        <v>ERR</v>
      </c>
      <c r="W274" s="165" t="str">
        <f>IFERROR(Table1[[#This Row],[B1.Diff]]/Table1[[#This Row],[B1.Aud]],"ERR")</f>
        <v>ERR</v>
      </c>
      <c r="X274" s="162" t="str">
        <f>_xlfn.IFNA(VLOOKUP(Table1[[#This Row],[MTP SKU Code]],'Audit Dimensions'!A:N,10,FALSE),"ARC")</f>
        <v>ARC</v>
      </c>
      <c r="Y274" s="163" t="str">
        <f>IFERROR(Table1[[#This Row],[B2.Aud]]-Table1[[#This Row],[PW(gm)5]],"ERR")</f>
        <v>ERR</v>
      </c>
      <c r="Z274" s="165" t="str">
        <f>IFERROR(Table1[[#This Row],[B2.Diff]]/Table1[[#This Row],[B2.Aud]],"NA")</f>
        <v>NA</v>
      </c>
      <c r="AA274" s="162" t="str">
        <f>_xlfn.IFNA(VLOOKUP(Table1[[#This Row],[MTP SKU Code]],'Audit Dimensions'!A:N,14,FALSE),"ARC")</f>
        <v>ARC</v>
      </c>
      <c r="AB274" s="161" t="str">
        <f>IFERROR(Table1[[#This Row],[B3.Aud]]-Table1[[#This Row],[PW(gm)9]],"ERR")</f>
        <v>ERR</v>
      </c>
      <c r="AC274" s="168" t="str">
        <f>IFERROR(Table1[[#This Row],[B3.Diff]]/Table1[[#This Row],[BaLL.Aud]],"ERR")</f>
        <v>ERR</v>
      </c>
      <c r="AD274" s="162" t="str">
        <f>_xlfn.IFNA(VLOOKUP(Table1[[#This Row],[MTP SKU Code]],'Audit Dimensions'!A:U,16,FALSE),"ARC")</f>
        <v>ARC</v>
      </c>
      <c r="AE274" s="165" t="str">
        <f>IFERROR(1-Table1[[#This Row],[Gms]]/Table1[[#This Row],[BaLL.Aud]],"ERR")</f>
        <v>ERR</v>
      </c>
    </row>
    <row r="275" spans="1:31" hidden="1">
      <c r="A275" s="68" t="s">
        <v>321</v>
      </c>
      <c r="B275" s="84" t="s">
        <v>48</v>
      </c>
      <c r="C275" s="85">
        <v>121</v>
      </c>
      <c r="D275" s="85">
        <v>45</v>
      </c>
      <c r="E275" s="85">
        <v>6</v>
      </c>
      <c r="F275" s="89">
        <v>9850</v>
      </c>
      <c r="G275" s="85"/>
      <c r="H275" s="85"/>
      <c r="I275" s="85"/>
      <c r="J275" s="85"/>
      <c r="K275" s="85"/>
      <c r="L275" s="85"/>
      <c r="M275" s="85"/>
      <c r="N275" s="85"/>
      <c r="O275" s="118">
        <f>((IFERROR((C275*D275*E275),0)+IFERROR((G275*H275*I275),0)+IFERROR((K275*L275*M275),0))/1000000)*35.32</f>
        <v>1.1539043999999998</v>
      </c>
      <c r="P275" s="125">
        <f>Table1[[#This Row],[Column15]]*$P$2*1000</f>
        <v>6923.4263999999985</v>
      </c>
      <c r="Q275" s="87">
        <f>F275+J275+N275</f>
        <v>9850</v>
      </c>
      <c r="R275" s="86">
        <f>MAX(Q275,O275)</f>
        <v>9850</v>
      </c>
      <c r="S275" s="86">
        <f>MAX(R275,P275)</f>
        <v>9850</v>
      </c>
      <c r="T275" s="156" t="str">
        <f>VLOOKUP(A275,'[1]MTP SKUs - Master Data'!$A:$B,2,FALSE)</f>
        <v>DI</v>
      </c>
      <c r="U275" s="162" t="str">
        <f>_xlfn.IFNA(VLOOKUP(Table1[[#This Row],[MTP SKU Code]],'Audit Dimensions'!A:N,6,FALSE),"ARC")</f>
        <v>ARC</v>
      </c>
      <c r="V275" s="162" t="str">
        <f>IFERROR(Table1[[#This Row],[B1.Aud]]-Table1[[#This Row],[PW(gm)]],"ERR")</f>
        <v>ERR</v>
      </c>
      <c r="W275" s="165" t="str">
        <f>IFERROR(Table1[[#This Row],[B1.Diff]]/Table1[[#This Row],[B1.Aud]],"ERR")</f>
        <v>ERR</v>
      </c>
      <c r="X275" s="162" t="str">
        <f>_xlfn.IFNA(VLOOKUP(Table1[[#This Row],[MTP SKU Code]],'Audit Dimensions'!A:N,10,FALSE),"ARC")</f>
        <v>ARC</v>
      </c>
      <c r="Y275" s="163" t="str">
        <f>IFERROR(Table1[[#This Row],[B2.Aud]]-Table1[[#This Row],[PW(gm)5]],"ERR")</f>
        <v>ERR</v>
      </c>
      <c r="Z275" s="165" t="str">
        <f>IFERROR(Table1[[#This Row],[B2.Diff]]/Table1[[#This Row],[B2.Aud]],"NA")</f>
        <v>NA</v>
      </c>
      <c r="AA275" s="162" t="str">
        <f>_xlfn.IFNA(VLOOKUP(Table1[[#This Row],[MTP SKU Code]],'Audit Dimensions'!A:N,14,FALSE),"ARC")</f>
        <v>ARC</v>
      </c>
      <c r="AB275" s="161" t="str">
        <f>IFERROR(Table1[[#This Row],[B3.Aud]]-Table1[[#This Row],[PW(gm)9]],"ERR")</f>
        <v>ERR</v>
      </c>
      <c r="AC275" s="168" t="str">
        <f>IFERROR(Table1[[#This Row],[B3.Diff]]/Table1[[#This Row],[BaLL.Aud]],"ERR")</f>
        <v>ERR</v>
      </c>
      <c r="AD275" s="162" t="str">
        <f>_xlfn.IFNA(VLOOKUP(Table1[[#This Row],[MTP SKU Code]],'Audit Dimensions'!A:U,16,FALSE),"ARC")</f>
        <v>ARC</v>
      </c>
      <c r="AE275" s="165" t="str">
        <f>IFERROR(1-Table1[[#This Row],[Gms]]/Table1[[#This Row],[BaLL.Aud]],"ERR")</f>
        <v>ERR</v>
      </c>
    </row>
    <row r="276" spans="1:31">
      <c r="A276" s="68" t="s">
        <v>322</v>
      </c>
      <c r="B276" s="84" t="s">
        <v>48</v>
      </c>
      <c r="C276" s="190">
        <v>20</v>
      </c>
      <c r="D276" s="190">
        <v>17</v>
      </c>
      <c r="E276" s="190">
        <v>12</v>
      </c>
      <c r="F276" s="190">
        <f>_xlfn.XLOOKUP(Table1[[#This Row],[MTP SKU Code]],'Audit Dimensions'!$A:$A,'Audit Dimensions'!F:F,0)</f>
        <v>700</v>
      </c>
      <c r="G276" s="190">
        <f>_xlfn.XLOOKUP(Table1[[#This Row],[MTP SKU Code]],'Audit Dimensions'!$A:$A,'Audit Dimensions'!G:G,0)</f>
        <v>0</v>
      </c>
      <c r="H276" s="190">
        <f>_xlfn.XLOOKUP(Table1[[#This Row],[MTP SKU Code]],'Audit Dimensions'!$A:$A,'Audit Dimensions'!H:H,0)</f>
        <v>0</v>
      </c>
      <c r="I276" s="190">
        <f>_xlfn.XLOOKUP(Table1[[#This Row],[MTP SKU Code]],'Audit Dimensions'!$A:$A,'Audit Dimensions'!I:I,0)</f>
        <v>0</v>
      </c>
      <c r="J276" s="190">
        <f>_xlfn.XLOOKUP(Table1[[#This Row],[MTP SKU Code]],'Audit Dimensions'!$A:$A,'Audit Dimensions'!J:J,0)</f>
        <v>0</v>
      </c>
      <c r="K276" s="190">
        <f>_xlfn.XLOOKUP(Table1[[#This Row],[MTP SKU Code]],'Audit Dimensions'!$A:$A,'Audit Dimensions'!K:K,0)</f>
        <v>0</v>
      </c>
      <c r="L276" s="190">
        <f>_xlfn.XLOOKUP(Table1[[#This Row],[MTP SKU Code]],'Audit Dimensions'!$A:$A,'Audit Dimensions'!L:L,0)</f>
        <v>0</v>
      </c>
      <c r="M276" s="190">
        <f>_xlfn.XLOOKUP(Table1[[#This Row],[MTP SKU Code]],'Audit Dimensions'!$A:$A,'Audit Dimensions'!M:M,0)</f>
        <v>0</v>
      </c>
      <c r="N276" s="190">
        <f>_xlfn.XLOOKUP(Table1[[#This Row],[MTP SKU Code]],'Audit Dimensions'!$A:$A,'Audit Dimensions'!N:N,0)</f>
        <v>0</v>
      </c>
      <c r="O276" s="118">
        <f>((IFERROR((C276*D276*E276),0)+IFERROR((G276*H276*I276),0)+IFERROR((K276*L276*M276),0))/1000000)*35.32</f>
        <v>0.1441056</v>
      </c>
      <c r="P276" s="125">
        <f>Table1[[#This Row],[Column15]]*$P$2*1000</f>
        <v>864.6336</v>
      </c>
      <c r="Q276" s="87">
        <f>F276+J276+N276</f>
        <v>700</v>
      </c>
      <c r="R276" s="86">
        <f>MAX(Q276,O276)</f>
        <v>700</v>
      </c>
      <c r="S276" s="86">
        <f>MAX(R276,P276)</f>
        <v>864.6336</v>
      </c>
      <c r="T276" s="156" t="str">
        <f>VLOOKUP(A276,'[1]MTP SKUs - Master Data'!$A:$B,2,FALSE)</f>
        <v>Y</v>
      </c>
      <c r="U276" s="162">
        <f>_xlfn.IFNA(VLOOKUP(Table1[[#This Row],[MTP SKU Code]],'Audit Dimensions'!A:N,6,FALSE),"ARC")</f>
        <v>700</v>
      </c>
      <c r="V276" s="162">
        <f>IFERROR(Table1[[#This Row],[B1.Aud]]-Table1[[#This Row],[PW(gm)]],"ERR")</f>
        <v>0</v>
      </c>
      <c r="W276" s="165">
        <f>IFERROR(Table1[[#This Row],[B1.Diff]]/Table1[[#This Row],[B1.Aud]],"ERR")</f>
        <v>0</v>
      </c>
      <c r="X276" s="162">
        <f>_xlfn.IFNA(VLOOKUP(Table1[[#This Row],[MTP SKU Code]],'Audit Dimensions'!A:N,10,FALSE),"ARC")</f>
        <v>0</v>
      </c>
      <c r="Y276" s="163">
        <f>IFERROR(Table1[[#This Row],[B2.Aud]]-Table1[[#This Row],[PW(gm)5]],"ERR")</f>
        <v>0</v>
      </c>
      <c r="Z276" s="165" t="str">
        <f>IFERROR(Table1[[#This Row],[B2.Diff]]/Table1[[#This Row],[B2.Aud]],"NA")</f>
        <v>NA</v>
      </c>
      <c r="AA276" s="162">
        <f>_xlfn.IFNA(VLOOKUP(Table1[[#This Row],[MTP SKU Code]],'Audit Dimensions'!A:N,14,FALSE),"ARC")</f>
        <v>0</v>
      </c>
      <c r="AB276" s="161">
        <f>IFERROR(Table1[[#This Row],[B3.Aud]]-Table1[[#This Row],[PW(gm)9]],"ERR")</f>
        <v>0</v>
      </c>
      <c r="AC276" s="168">
        <f>IFERROR(Table1[[#This Row],[B3.Diff]]/Table1[[#This Row],[BaLL.Aud]],"ERR")</f>
        <v>0</v>
      </c>
      <c r="AD276" s="189">
        <f>_xlfn.IFNA(VLOOKUP(Table1[[#This Row],[MTP SKU Code]],'Audit Dimensions'!A:U,16,FALSE),"ARC")</f>
        <v>700</v>
      </c>
      <c r="AE276" s="165">
        <f>IFERROR(1-Table1[[#This Row],[Gms]]/Table1[[#This Row],[BaLL.Aud]],"ERR")</f>
        <v>0</v>
      </c>
    </row>
    <row r="277" spans="1:31" hidden="1">
      <c r="A277" s="68" t="s">
        <v>323</v>
      </c>
      <c r="B277" s="84" t="s">
        <v>296</v>
      </c>
      <c r="C277" s="190">
        <f>_xlfn.XLOOKUP(Table1[[#This Row],[MTP SKU Code]],'Audit Dimensions'!A:A,'Audit Dimensions'!C:C,0)</f>
        <v>0</v>
      </c>
      <c r="D277" s="190">
        <f>_xlfn.XLOOKUP(Table1[[#This Row],[MTP SKU Code]],'Audit Dimensions'!$A:$A,'Audit Dimensions'!D:D,0)</f>
        <v>0</v>
      </c>
      <c r="E277" s="190">
        <f>_xlfn.XLOOKUP(Table1[[#This Row],[MTP SKU Code]],'Audit Dimensions'!$A:$A,'Audit Dimensions'!E:E,0)</f>
        <v>0</v>
      </c>
      <c r="F277" s="190">
        <f>_xlfn.XLOOKUP(Table1[[#This Row],[MTP SKU Code]],'Audit Dimensions'!$A:$A,'Audit Dimensions'!F:F,0)</f>
        <v>0</v>
      </c>
      <c r="G277" s="190">
        <f>_xlfn.XLOOKUP(Table1[[#This Row],[MTP SKU Code]],'Audit Dimensions'!$A:$A,'Audit Dimensions'!G:G,0)</f>
        <v>0</v>
      </c>
      <c r="H277" s="190">
        <f>_xlfn.XLOOKUP(Table1[[#This Row],[MTP SKU Code]],'Audit Dimensions'!$A:$A,'Audit Dimensions'!H:H,0)</f>
        <v>0</v>
      </c>
      <c r="I277" s="190">
        <f>_xlfn.XLOOKUP(Table1[[#This Row],[MTP SKU Code]],'Audit Dimensions'!$A:$A,'Audit Dimensions'!I:I,0)</f>
        <v>0</v>
      </c>
      <c r="J277" s="190">
        <f>_xlfn.XLOOKUP(Table1[[#This Row],[MTP SKU Code]],'Audit Dimensions'!$A:$A,'Audit Dimensions'!J:J,0)</f>
        <v>0</v>
      </c>
      <c r="K277" s="190">
        <f>_xlfn.XLOOKUP(Table1[[#This Row],[MTP SKU Code]],'Audit Dimensions'!$A:$A,'Audit Dimensions'!K:K,0)</f>
        <v>0</v>
      </c>
      <c r="L277" s="190">
        <f>_xlfn.XLOOKUP(Table1[[#This Row],[MTP SKU Code]],'Audit Dimensions'!$A:$A,'Audit Dimensions'!L:L,0)</f>
        <v>0</v>
      </c>
      <c r="M277" s="190">
        <f>_xlfn.XLOOKUP(Table1[[#This Row],[MTP SKU Code]],'Audit Dimensions'!$A:$A,'Audit Dimensions'!M:M,0)</f>
        <v>0</v>
      </c>
      <c r="N277" s="190">
        <f>_xlfn.XLOOKUP(Table1[[#This Row],[MTP SKU Code]],'Audit Dimensions'!$A:$A,'Audit Dimensions'!N:N,0)</f>
        <v>0</v>
      </c>
      <c r="O277" s="118">
        <f>((IFERROR((C277*D277*E277),0)+IFERROR((G277*H277*I277),0)+IFERROR((K277*L277*M277),0))/1000000)*35.32</f>
        <v>0</v>
      </c>
      <c r="P277" s="125">
        <f>Table1[[#This Row],[Column15]]*$P$2*1000</f>
        <v>0</v>
      </c>
      <c r="Q277" s="87">
        <f>F277+J277+N277</f>
        <v>0</v>
      </c>
      <c r="R277" s="86">
        <f>MAX(Q277,O277)</f>
        <v>0</v>
      </c>
      <c r="S277" s="86">
        <f>MAX(R277,P277)</f>
        <v>0</v>
      </c>
      <c r="T277" s="156" t="str">
        <f>VLOOKUP(A277,'[1]MTP SKUs - Master Data'!$A:$B,2,FALSE)</f>
        <v>RL</v>
      </c>
      <c r="U277" s="162">
        <f>_xlfn.IFNA(VLOOKUP(Table1[[#This Row],[MTP SKU Code]],'Audit Dimensions'!A:N,6,FALSE),"ARC")</f>
        <v>0</v>
      </c>
      <c r="V277" s="162">
        <f>IFERROR(Table1[[#This Row],[B1.Aud]]-Table1[[#This Row],[PW(gm)]],"ERR")</f>
        <v>0</v>
      </c>
      <c r="W277" s="165" t="str">
        <f>IFERROR(Table1[[#This Row],[B1.Diff]]/Table1[[#This Row],[B1.Aud]],"ERR")</f>
        <v>ERR</v>
      </c>
      <c r="X277" s="162">
        <f>_xlfn.IFNA(VLOOKUP(Table1[[#This Row],[MTP SKU Code]],'Audit Dimensions'!A:N,10,FALSE),"ARC")</f>
        <v>0</v>
      </c>
      <c r="Y277" s="163">
        <f>IFERROR(Table1[[#This Row],[B2.Aud]]-Table1[[#This Row],[PW(gm)5]],"ERR")</f>
        <v>0</v>
      </c>
      <c r="Z277" s="165" t="str">
        <f>IFERROR(Table1[[#This Row],[B2.Diff]]/Table1[[#This Row],[B2.Aud]],"NA")</f>
        <v>NA</v>
      </c>
      <c r="AA277" s="162">
        <f>_xlfn.IFNA(VLOOKUP(Table1[[#This Row],[MTP SKU Code]],'Audit Dimensions'!A:N,14,FALSE),"ARC")</f>
        <v>0</v>
      </c>
      <c r="AB277" s="161">
        <f>IFERROR(Table1[[#This Row],[B3.Aud]]-Table1[[#This Row],[PW(gm)9]],"ERR")</f>
        <v>0</v>
      </c>
      <c r="AC277" s="168" t="str">
        <f>IFERROR(Table1[[#This Row],[B3.Diff]]/Table1[[#This Row],[BaLL.Aud]],"ERR")</f>
        <v>ERR</v>
      </c>
      <c r="AD277" s="189">
        <f>_xlfn.IFNA(VLOOKUP(Table1[[#This Row],[MTP SKU Code]],'Audit Dimensions'!A:U,16,FALSE),"ARC")</f>
        <v>0</v>
      </c>
      <c r="AE277" s="165" t="str">
        <f>IFERROR(1-Table1[[#This Row],[Gms]]/Table1[[#This Row],[BaLL.Aud]],"ERR")</f>
        <v>ERR</v>
      </c>
    </row>
    <row r="278" spans="1:31" hidden="1">
      <c r="A278" s="68" t="s">
        <v>324</v>
      </c>
      <c r="B278" s="84" t="s">
        <v>296</v>
      </c>
      <c r="C278" s="85"/>
      <c r="D278" s="85"/>
      <c r="E278" s="85"/>
      <c r="F278" s="89"/>
      <c r="G278" s="85"/>
      <c r="H278" s="85"/>
      <c r="I278" s="85"/>
      <c r="J278" s="85"/>
      <c r="K278" s="85"/>
      <c r="L278" s="85"/>
      <c r="M278" s="85"/>
      <c r="N278" s="85"/>
      <c r="O278" s="118">
        <f>((IFERROR((C278*D278*E278),0)+IFERROR((G278*H278*I278),0)+IFERROR((K278*L278*M278),0))/1000000)*35.32</f>
        <v>0</v>
      </c>
      <c r="P278" s="125">
        <f>Table1[[#This Row],[Column15]]*$P$2*1000</f>
        <v>0</v>
      </c>
      <c r="Q278" s="87">
        <f>F278+J278+N278</f>
        <v>0</v>
      </c>
      <c r="R278" s="86">
        <f>MAX(Q278,O278)</f>
        <v>0</v>
      </c>
      <c r="S278" s="86">
        <f>MAX(R278,P278)</f>
        <v>0</v>
      </c>
      <c r="T278" s="156" t="str">
        <f>VLOOKUP(A278,'[1]MTP SKUs - Master Data'!$A:$B,2,FALSE)</f>
        <v>DI</v>
      </c>
      <c r="U278" s="162" t="str">
        <f>_xlfn.IFNA(VLOOKUP(Table1[[#This Row],[MTP SKU Code]],'Audit Dimensions'!A:N,6,FALSE),"ARC")</f>
        <v>ARC</v>
      </c>
      <c r="V278" s="162" t="str">
        <f>IFERROR(Table1[[#This Row],[B1.Aud]]-Table1[[#This Row],[PW(gm)]],"ERR")</f>
        <v>ERR</v>
      </c>
      <c r="W278" s="165" t="str">
        <f>IFERROR(Table1[[#This Row],[B1.Diff]]/Table1[[#This Row],[B1.Aud]],"ERR")</f>
        <v>ERR</v>
      </c>
      <c r="X278" s="162" t="str">
        <f>_xlfn.IFNA(VLOOKUP(Table1[[#This Row],[MTP SKU Code]],'Audit Dimensions'!A:N,10,FALSE),"ARC")</f>
        <v>ARC</v>
      </c>
      <c r="Y278" s="163" t="str">
        <f>IFERROR(Table1[[#This Row],[B2.Aud]]-Table1[[#This Row],[PW(gm)5]],"ERR")</f>
        <v>ERR</v>
      </c>
      <c r="Z278" s="165" t="str">
        <f>IFERROR(Table1[[#This Row],[B2.Diff]]/Table1[[#This Row],[B2.Aud]],"NA")</f>
        <v>NA</v>
      </c>
      <c r="AA278" s="162" t="str">
        <f>_xlfn.IFNA(VLOOKUP(Table1[[#This Row],[MTP SKU Code]],'Audit Dimensions'!A:N,14,FALSE),"ARC")</f>
        <v>ARC</v>
      </c>
      <c r="AB278" s="161" t="str">
        <f>IFERROR(Table1[[#This Row],[B3.Aud]]-Table1[[#This Row],[PW(gm)9]],"ERR")</f>
        <v>ERR</v>
      </c>
      <c r="AC278" s="168" t="str">
        <f>IFERROR(Table1[[#This Row],[B3.Diff]]/Table1[[#This Row],[BaLL.Aud]],"ERR")</f>
        <v>ERR</v>
      </c>
      <c r="AD278" s="162" t="str">
        <f>_xlfn.IFNA(VLOOKUP(Table1[[#This Row],[MTP SKU Code]],'Audit Dimensions'!A:U,16,FALSE),"ARC")</f>
        <v>ARC</v>
      </c>
      <c r="AE278" s="165" t="str">
        <f>IFERROR(1-Table1[[#This Row],[Gms]]/Table1[[#This Row],[BaLL.Aud]],"ERR")</f>
        <v>ERR</v>
      </c>
    </row>
    <row r="279" spans="1:31">
      <c r="A279" s="68" t="s">
        <v>325</v>
      </c>
      <c r="B279" s="84" t="s">
        <v>48</v>
      </c>
      <c r="C279" s="190">
        <v>57</v>
      </c>
      <c r="D279" s="190">
        <v>57</v>
      </c>
      <c r="E279" s="190">
        <v>27</v>
      </c>
      <c r="F279" s="190">
        <f>_xlfn.XLOOKUP(Table1[[#This Row],[MTP SKU Code]],'Audit Dimensions'!$A:$A,'Audit Dimensions'!F:F,0)</f>
        <v>11500</v>
      </c>
      <c r="G279" s="190">
        <f>_xlfn.XLOOKUP(Table1[[#This Row],[MTP SKU Code]],'Audit Dimensions'!$A:$A,'Audit Dimensions'!G:G,0)</f>
        <v>0</v>
      </c>
      <c r="H279" s="190">
        <f>_xlfn.XLOOKUP(Table1[[#This Row],[MTP SKU Code]],'Audit Dimensions'!$A:$A,'Audit Dimensions'!H:H,0)</f>
        <v>0</v>
      </c>
      <c r="I279" s="190">
        <f>_xlfn.XLOOKUP(Table1[[#This Row],[MTP SKU Code]],'Audit Dimensions'!$A:$A,'Audit Dimensions'!I:I,0)</f>
        <v>0</v>
      </c>
      <c r="J279" s="190">
        <f>_xlfn.XLOOKUP(Table1[[#This Row],[MTP SKU Code]],'Audit Dimensions'!$A:$A,'Audit Dimensions'!J:J,0)</f>
        <v>0</v>
      </c>
      <c r="K279" s="190">
        <f>_xlfn.XLOOKUP(Table1[[#This Row],[MTP SKU Code]],'Audit Dimensions'!$A:$A,'Audit Dimensions'!K:K,0)</f>
        <v>0</v>
      </c>
      <c r="L279" s="190">
        <f>_xlfn.XLOOKUP(Table1[[#This Row],[MTP SKU Code]],'Audit Dimensions'!$A:$A,'Audit Dimensions'!L:L,0)</f>
        <v>0</v>
      </c>
      <c r="M279" s="190">
        <f>_xlfn.XLOOKUP(Table1[[#This Row],[MTP SKU Code]],'Audit Dimensions'!$A:$A,'Audit Dimensions'!M:M,0)</f>
        <v>0</v>
      </c>
      <c r="N279" s="190">
        <f>_xlfn.XLOOKUP(Table1[[#This Row],[MTP SKU Code]],'Audit Dimensions'!$A:$A,'Audit Dimensions'!N:N,0)</f>
        <v>0</v>
      </c>
      <c r="O279" s="118">
        <f>((IFERROR((C279*D279*E279),0)+IFERROR((G279*H279*I279),0)+IFERROR((K279*L279*M279),0))/1000000)*35.32</f>
        <v>3.0983763600000001</v>
      </c>
      <c r="P279" s="125">
        <f>Table1[[#This Row],[Column15]]*$P$2*1000</f>
        <v>18590.258160000001</v>
      </c>
      <c r="Q279" s="87">
        <f>F279+J279+N279</f>
        <v>11500</v>
      </c>
      <c r="R279" s="88">
        <f>MAX(Q279,O279)</f>
        <v>11500</v>
      </c>
      <c r="S279" s="86">
        <f>MAX(R279,P279)</f>
        <v>18590.258160000001</v>
      </c>
      <c r="T279" s="156" t="str">
        <f>VLOOKUP(A279,'[1]MTP SKUs - Master Data'!$A:$B,2,FALSE)</f>
        <v>Y</v>
      </c>
      <c r="U279" s="162">
        <f>_xlfn.IFNA(VLOOKUP(Table1[[#This Row],[MTP SKU Code]],'Audit Dimensions'!A:N,6,FALSE),"ARC")</f>
        <v>11500</v>
      </c>
      <c r="V279" s="162">
        <f>IFERROR(Table1[[#This Row],[B1.Aud]]-Table1[[#This Row],[PW(gm)]],"ERR")</f>
        <v>0</v>
      </c>
      <c r="W279" s="165">
        <f>IFERROR(Table1[[#This Row],[B1.Diff]]/Table1[[#This Row],[B1.Aud]],"ERR")</f>
        <v>0</v>
      </c>
      <c r="X279" s="162">
        <f>_xlfn.IFNA(VLOOKUP(Table1[[#This Row],[MTP SKU Code]],'Audit Dimensions'!A:N,10,FALSE),"ARC")</f>
        <v>0</v>
      </c>
      <c r="Y279" s="163">
        <f>IFERROR(Table1[[#This Row],[B2.Aud]]-Table1[[#This Row],[PW(gm)5]],"ERR")</f>
        <v>0</v>
      </c>
      <c r="Z279" s="165" t="str">
        <f>IFERROR(Table1[[#This Row],[B2.Diff]]/Table1[[#This Row],[B2.Aud]],"NA")</f>
        <v>NA</v>
      </c>
      <c r="AA279" s="162">
        <f>_xlfn.IFNA(VLOOKUP(Table1[[#This Row],[MTP SKU Code]],'Audit Dimensions'!A:N,14,FALSE),"ARC")</f>
        <v>0</v>
      </c>
      <c r="AB279" s="161">
        <f>IFERROR(Table1[[#This Row],[B3.Aud]]-Table1[[#This Row],[PW(gm)9]],"ERR")</f>
        <v>0</v>
      </c>
      <c r="AC279" s="168">
        <f>IFERROR(Table1[[#This Row],[B3.Diff]]/Table1[[#This Row],[BaLL.Aud]],"ERR")</f>
        <v>0</v>
      </c>
      <c r="AD279" s="189">
        <f>_xlfn.IFNA(VLOOKUP(Table1[[#This Row],[MTP SKU Code]],'Audit Dimensions'!A:U,16,FALSE),"ARC")</f>
        <v>11500</v>
      </c>
      <c r="AE279" s="165">
        <f>IFERROR(1-Table1[[#This Row],[Gms]]/Table1[[#This Row],[BaLL.Aud]],"ERR")</f>
        <v>0</v>
      </c>
    </row>
    <row r="280" spans="1:31" hidden="1">
      <c r="A280" s="68" t="s">
        <v>326</v>
      </c>
      <c r="B280" s="84" t="s">
        <v>296</v>
      </c>
      <c r="C280" s="85"/>
      <c r="D280" s="85"/>
      <c r="E280" s="85"/>
      <c r="F280" s="89"/>
      <c r="G280" s="85"/>
      <c r="H280" s="85"/>
      <c r="I280" s="85"/>
      <c r="J280" s="85"/>
      <c r="K280" s="85"/>
      <c r="L280" s="85"/>
      <c r="M280" s="85"/>
      <c r="N280" s="85"/>
      <c r="O280" s="118">
        <f>((IFERROR((C280*D280*E280),0)+IFERROR((G280*H280*I280),0)+IFERROR((K280*L280*M280),0))/1000000)*35.32</f>
        <v>0</v>
      </c>
      <c r="P280" s="125">
        <f>Table1[[#This Row],[Column15]]*$P$2*1000</f>
        <v>0</v>
      </c>
      <c r="Q280" s="87">
        <f>F280+J280+N280</f>
        <v>0</v>
      </c>
      <c r="R280" s="86">
        <f>MAX(Q280,O280)</f>
        <v>0</v>
      </c>
      <c r="S280" s="86">
        <f>MAX(R280,P280)</f>
        <v>0</v>
      </c>
      <c r="T280" s="156" t="str">
        <f>VLOOKUP(A280,'[1]MTP SKUs - Master Data'!$A:$B,2,FALSE)</f>
        <v>DI</v>
      </c>
      <c r="U280" s="162" t="str">
        <f>_xlfn.IFNA(VLOOKUP(Table1[[#This Row],[MTP SKU Code]],'Audit Dimensions'!A:N,6,FALSE),"ARC")</f>
        <v>ARC</v>
      </c>
      <c r="V280" s="162" t="str">
        <f>IFERROR(Table1[[#This Row],[B1.Aud]]-Table1[[#This Row],[PW(gm)]],"ERR")</f>
        <v>ERR</v>
      </c>
      <c r="W280" s="165" t="str">
        <f>IFERROR(Table1[[#This Row],[B1.Diff]]/Table1[[#This Row],[B1.Aud]],"ERR")</f>
        <v>ERR</v>
      </c>
      <c r="X280" s="162" t="str">
        <f>_xlfn.IFNA(VLOOKUP(Table1[[#This Row],[MTP SKU Code]],'Audit Dimensions'!A:N,10,FALSE),"ARC")</f>
        <v>ARC</v>
      </c>
      <c r="Y280" s="163" t="str">
        <f>IFERROR(Table1[[#This Row],[B2.Aud]]-Table1[[#This Row],[PW(gm)5]],"ERR")</f>
        <v>ERR</v>
      </c>
      <c r="Z280" s="165" t="str">
        <f>IFERROR(Table1[[#This Row],[B2.Diff]]/Table1[[#This Row],[B2.Aud]],"NA")</f>
        <v>NA</v>
      </c>
      <c r="AA280" s="162" t="str">
        <f>_xlfn.IFNA(VLOOKUP(Table1[[#This Row],[MTP SKU Code]],'Audit Dimensions'!A:N,14,FALSE),"ARC")</f>
        <v>ARC</v>
      </c>
      <c r="AB280" s="161" t="str">
        <f>IFERROR(Table1[[#This Row],[B3.Aud]]-Table1[[#This Row],[PW(gm)9]],"ERR")</f>
        <v>ERR</v>
      </c>
      <c r="AC280" s="168" t="str">
        <f>IFERROR(Table1[[#This Row],[B3.Diff]]/Table1[[#This Row],[BaLL.Aud]],"ERR")</f>
        <v>ERR</v>
      </c>
      <c r="AD280" s="162" t="str">
        <f>_xlfn.IFNA(VLOOKUP(Table1[[#This Row],[MTP SKU Code]],'Audit Dimensions'!A:U,16,FALSE),"ARC")</f>
        <v>ARC</v>
      </c>
      <c r="AE280" s="165" t="str">
        <f>IFERROR(1-Table1[[#This Row],[Gms]]/Table1[[#This Row],[BaLL.Aud]],"ERR")</f>
        <v>ERR</v>
      </c>
    </row>
    <row r="281" spans="1:31" hidden="1">
      <c r="A281" s="68" t="s">
        <v>327</v>
      </c>
      <c r="B281" s="84" t="s">
        <v>48</v>
      </c>
      <c r="C281" s="85">
        <v>19.5</v>
      </c>
      <c r="D281" s="85">
        <v>19</v>
      </c>
      <c r="E281" s="85">
        <v>7</v>
      </c>
      <c r="F281" s="89">
        <v>900</v>
      </c>
      <c r="G281" s="85"/>
      <c r="H281" s="85"/>
      <c r="I281" s="85"/>
      <c r="J281" s="85"/>
      <c r="K281" s="85"/>
      <c r="L281" s="85"/>
      <c r="M281" s="85"/>
      <c r="N281" s="85"/>
      <c r="O281" s="118">
        <f>((IFERROR((C281*D281*E281),0)+IFERROR((G281*H281*I281),0)+IFERROR((K281*L281*M281),0))/1000000)*35.32</f>
        <v>9.160241999999999E-2</v>
      </c>
      <c r="P281" s="125">
        <f>Table1[[#This Row],[Column15]]*$P$2*1000</f>
        <v>549.61451999999997</v>
      </c>
      <c r="Q281" s="87">
        <f>F281+J281+N281</f>
        <v>900</v>
      </c>
      <c r="R281" s="86">
        <f>MAX(Q281,O281)</f>
        <v>900</v>
      </c>
      <c r="S281" s="86">
        <f>MAX(R281,P281)</f>
        <v>900</v>
      </c>
      <c r="T281" s="156" t="str">
        <f>VLOOKUP(A281,'[1]MTP SKUs - Master Data'!$A:$B,2,FALSE)</f>
        <v>DI</v>
      </c>
      <c r="U281" s="162" t="str">
        <f>_xlfn.IFNA(VLOOKUP(Table1[[#This Row],[MTP SKU Code]],'Audit Dimensions'!A:N,6,FALSE),"ARC")</f>
        <v>ARC</v>
      </c>
      <c r="V281" s="162" t="str">
        <f>IFERROR(Table1[[#This Row],[B1.Aud]]-Table1[[#This Row],[PW(gm)]],"ERR")</f>
        <v>ERR</v>
      </c>
      <c r="W281" s="165" t="str">
        <f>IFERROR(Table1[[#This Row],[B1.Diff]]/Table1[[#This Row],[B1.Aud]],"ERR")</f>
        <v>ERR</v>
      </c>
      <c r="X281" s="162" t="str">
        <f>_xlfn.IFNA(VLOOKUP(Table1[[#This Row],[MTP SKU Code]],'Audit Dimensions'!A:N,10,FALSE),"ARC")</f>
        <v>ARC</v>
      </c>
      <c r="Y281" s="163" t="str">
        <f>IFERROR(Table1[[#This Row],[B2.Aud]]-Table1[[#This Row],[PW(gm)5]],"ERR")</f>
        <v>ERR</v>
      </c>
      <c r="Z281" s="165" t="str">
        <f>IFERROR(Table1[[#This Row],[B2.Diff]]/Table1[[#This Row],[B2.Aud]],"NA")</f>
        <v>NA</v>
      </c>
      <c r="AA281" s="162" t="str">
        <f>_xlfn.IFNA(VLOOKUP(Table1[[#This Row],[MTP SKU Code]],'Audit Dimensions'!A:N,14,FALSE),"ARC")</f>
        <v>ARC</v>
      </c>
      <c r="AB281" s="161" t="str">
        <f>IFERROR(Table1[[#This Row],[B3.Aud]]-Table1[[#This Row],[PW(gm)9]],"ERR")</f>
        <v>ERR</v>
      </c>
      <c r="AC281" s="168" t="str">
        <f>IFERROR(Table1[[#This Row],[B3.Diff]]/Table1[[#This Row],[BaLL.Aud]],"ERR")</f>
        <v>ERR</v>
      </c>
      <c r="AD281" s="162" t="str">
        <f>_xlfn.IFNA(VLOOKUP(Table1[[#This Row],[MTP SKU Code]],'Audit Dimensions'!A:U,16,FALSE),"ARC")</f>
        <v>ARC</v>
      </c>
      <c r="AE281" s="165" t="str">
        <f>IFERROR(1-Table1[[#This Row],[Gms]]/Table1[[#This Row],[BaLL.Aud]],"ERR")</f>
        <v>ERR</v>
      </c>
    </row>
    <row r="282" spans="1:31" hidden="1">
      <c r="A282" s="68" t="s">
        <v>328</v>
      </c>
      <c r="B282" s="84" t="s">
        <v>48</v>
      </c>
      <c r="C282" s="85">
        <v>61</v>
      </c>
      <c r="D282" s="85">
        <v>17</v>
      </c>
      <c r="E282" s="85">
        <v>6</v>
      </c>
      <c r="F282" s="89">
        <v>1890</v>
      </c>
      <c r="G282" s="85"/>
      <c r="H282" s="85"/>
      <c r="I282" s="85"/>
      <c r="J282" s="85"/>
      <c r="K282" s="85"/>
      <c r="L282" s="85"/>
      <c r="M282" s="85"/>
      <c r="N282" s="85"/>
      <c r="O282" s="118">
        <f>((IFERROR((C282*D282*E282),0)+IFERROR((G282*H282*I282),0)+IFERROR((K282*L282*M282),0))/1000000)*35.32</f>
        <v>0.21976104000000002</v>
      </c>
      <c r="P282" s="125">
        <f>Table1[[#This Row],[Column15]]*$P$2*1000</f>
        <v>1318.5662400000001</v>
      </c>
      <c r="Q282" s="87">
        <f>F282+J282+N282</f>
        <v>1890</v>
      </c>
      <c r="R282" s="86">
        <f>MAX(Q282,O282)</f>
        <v>1890</v>
      </c>
      <c r="S282" s="86">
        <f>MAX(R282,P282)</f>
        <v>1890</v>
      </c>
      <c r="T282" s="156" t="str">
        <f>VLOOKUP(A282,'[1]MTP SKUs - Master Data'!$A:$B,2,FALSE)</f>
        <v>DI</v>
      </c>
      <c r="U282" s="162" t="str">
        <f>_xlfn.IFNA(VLOOKUP(Table1[[#This Row],[MTP SKU Code]],'Audit Dimensions'!A:N,6,FALSE),"ARC")</f>
        <v>ARC</v>
      </c>
      <c r="V282" s="162" t="str">
        <f>IFERROR(Table1[[#This Row],[B1.Aud]]-Table1[[#This Row],[PW(gm)]],"ERR")</f>
        <v>ERR</v>
      </c>
      <c r="W282" s="165" t="str">
        <f>IFERROR(Table1[[#This Row],[B1.Diff]]/Table1[[#This Row],[B1.Aud]],"ERR")</f>
        <v>ERR</v>
      </c>
      <c r="X282" s="162" t="str">
        <f>_xlfn.IFNA(VLOOKUP(Table1[[#This Row],[MTP SKU Code]],'Audit Dimensions'!A:N,10,FALSE),"ARC")</f>
        <v>ARC</v>
      </c>
      <c r="Y282" s="163" t="str">
        <f>IFERROR(Table1[[#This Row],[B2.Aud]]-Table1[[#This Row],[PW(gm)5]],"ERR")</f>
        <v>ERR</v>
      </c>
      <c r="Z282" s="165" t="str">
        <f>IFERROR(Table1[[#This Row],[B2.Diff]]/Table1[[#This Row],[B2.Aud]],"NA")</f>
        <v>NA</v>
      </c>
      <c r="AA282" s="162" t="str">
        <f>_xlfn.IFNA(VLOOKUP(Table1[[#This Row],[MTP SKU Code]],'Audit Dimensions'!A:N,14,FALSE),"ARC")</f>
        <v>ARC</v>
      </c>
      <c r="AB282" s="161" t="str">
        <f>IFERROR(Table1[[#This Row],[B3.Aud]]-Table1[[#This Row],[PW(gm)9]],"ERR")</f>
        <v>ERR</v>
      </c>
      <c r="AC282" s="168" t="str">
        <f>IFERROR(Table1[[#This Row],[B3.Diff]]/Table1[[#This Row],[BaLL.Aud]],"ERR")</f>
        <v>ERR</v>
      </c>
      <c r="AD282" s="162" t="str">
        <f>_xlfn.IFNA(VLOOKUP(Table1[[#This Row],[MTP SKU Code]],'Audit Dimensions'!A:U,16,FALSE),"ARC")</f>
        <v>ARC</v>
      </c>
      <c r="AE282" s="165" t="str">
        <f>IFERROR(1-Table1[[#This Row],[Gms]]/Table1[[#This Row],[BaLL.Aud]],"ERR")</f>
        <v>ERR</v>
      </c>
    </row>
    <row r="283" spans="1:31" hidden="1">
      <c r="A283" s="68" t="s">
        <v>329</v>
      </c>
      <c r="B283" s="84" t="s">
        <v>296</v>
      </c>
      <c r="C283" s="85"/>
      <c r="D283" s="85"/>
      <c r="E283" s="85"/>
      <c r="F283" s="89"/>
      <c r="G283" s="85"/>
      <c r="H283" s="85"/>
      <c r="I283" s="85"/>
      <c r="J283" s="85"/>
      <c r="K283" s="85"/>
      <c r="L283" s="85"/>
      <c r="M283" s="85"/>
      <c r="N283" s="85"/>
      <c r="O283" s="118">
        <f>((IFERROR((C283*D283*E283),0)+IFERROR((G283*H283*I283),0)+IFERROR((K283*L283*M283),0))/1000000)*35.32</f>
        <v>0</v>
      </c>
      <c r="P283" s="125">
        <f>Table1[[#This Row],[Column15]]*$P$2*1000</f>
        <v>0</v>
      </c>
      <c r="Q283" s="87">
        <f>F283+J283+N283</f>
        <v>0</v>
      </c>
      <c r="R283" s="86">
        <f>MAX(Q283,O283)</f>
        <v>0</v>
      </c>
      <c r="S283" s="86">
        <f>MAX(R283,P283)</f>
        <v>0</v>
      </c>
      <c r="T283" s="156" t="str">
        <f>VLOOKUP(A283,'[1]MTP SKUs - Master Data'!$A:$B,2,FALSE)</f>
        <v>DI</v>
      </c>
      <c r="U283" s="162" t="str">
        <f>_xlfn.IFNA(VLOOKUP(Table1[[#This Row],[MTP SKU Code]],'Audit Dimensions'!A:N,6,FALSE),"ARC")</f>
        <v>ARC</v>
      </c>
      <c r="V283" s="162" t="str">
        <f>IFERROR(Table1[[#This Row],[B1.Aud]]-Table1[[#This Row],[PW(gm)]],"ERR")</f>
        <v>ERR</v>
      </c>
      <c r="W283" s="165" t="str">
        <f>IFERROR(Table1[[#This Row],[B1.Diff]]/Table1[[#This Row],[B1.Aud]],"ERR")</f>
        <v>ERR</v>
      </c>
      <c r="X283" s="162" t="str">
        <f>_xlfn.IFNA(VLOOKUP(Table1[[#This Row],[MTP SKU Code]],'Audit Dimensions'!A:N,10,FALSE),"ARC")</f>
        <v>ARC</v>
      </c>
      <c r="Y283" s="163" t="str">
        <f>IFERROR(Table1[[#This Row],[B2.Aud]]-Table1[[#This Row],[PW(gm)5]],"ERR")</f>
        <v>ERR</v>
      </c>
      <c r="Z283" s="165" t="str">
        <f>IFERROR(Table1[[#This Row],[B2.Diff]]/Table1[[#This Row],[B2.Aud]],"NA")</f>
        <v>NA</v>
      </c>
      <c r="AA283" s="162" t="str">
        <f>_xlfn.IFNA(VLOOKUP(Table1[[#This Row],[MTP SKU Code]],'Audit Dimensions'!A:N,14,FALSE),"ARC")</f>
        <v>ARC</v>
      </c>
      <c r="AB283" s="161" t="str">
        <f>IFERROR(Table1[[#This Row],[B3.Aud]]-Table1[[#This Row],[PW(gm)9]],"ERR")</f>
        <v>ERR</v>
      </c>
      <c r="AC283" s="168" t="str">
        <f>IFERROR(Table1[[#This Row],[B3.Diff]]/Table1[[#This Row],[BaLL.Aud]],"ERR")</f>
        <v>ERR</v>
      </c>
      <c r="AD283" s="162" t="str">
        <f>_xlfn.IFNA(VLOOKUP(Table1[[#This Row],[MTP SKU Code]],'Audit Dimensions'!A:U,16,FALSE),"ARC")</f>
        <v>ARC</v>
      </c>
      <c r="AE283" s="165" t="str">
        <f>IFERROR(1-Table1[[#This Row],[Gms]]/Table1[[#This Row],[BaLL.Aud]],"ERR")</f>
        <v>ERR</v>
      </c>
    </row>
    <row r="284" spans="1:31" hidden="1">
      <c r="A284" s="68" t="s">
        <v>330</v>
      </c>
      <c r="B284" s="84" t="s">
        <v>48</v>
      </c>
      <c r="C284" s="85">
        <v>27.5</v>
      </c>
      <c r="D284" s="85">
        <v>27.5</v>
      </c>
      <c r="E284" s="85">
        <v>17.5</v>
      </c>
      <c r="F284" s="89">
        <v>2890</v>
      </c>
      <c r="G284" s="85"/>
      <c r="H284" s="85"/>
      <c r="I284" s="85"/>
      <c r="J284" s="85"/>
      <c r="K284" s="85"/>
      <c r="L284" s="85"/>
      <c r="M284" s="85"/>
      <c r="N284" s="85"/>
      <c r="O284" s="118">
        <f>((IFERROR((C284*D284*E284),0)+IFERROR((G284*H284*I284),0)+IFERROR((K284*L284*M284),0))/1000000)*35.32</f>
        <v>0.46743812499999998</v>
      </c>
      <c r="P284" s="125">
        <f>Table1[[#This Row],[Column15]]*$P$2*1000</f>
        <v>2804.6287499999999</v>
      </c>
      <c r="Q284" s="87">
        <f>F284+J284+N284</f>
        <v>2890</v>
      </c>
      <c r="R284" s="86">
        <f>MAX(Q284,O284)</f>
        <v>2890</v>
      </c>
      <c r="S284" s="86">
        <f>MAX(R284,P284)</f>
        <v>2890</v>
      </c>
      <c r="T284" s="156" t="str">
        <f>VLOOKUP(A284,'[1]MTP SKUs - Master Data'!$A:$B,2,FALSE)</f>
        <v>DI</v>
      </c>
      <c r="U284" s="162" t="str">
        <f>_xlfn.IFNA(VLOOKUP(Table1[[#This Row],[MTP SKU Code]],'Audit Dimensions'!A:N,6,FALSE),"ARC")</f>
        <v>ARC</v>
      </c>
      <c r="V284" s="162" t="str">
        <f>IFERROR(Table1[[#This Row],[B1.Aud]]-Table1[[#This Row],[PW(gm)]],"ERR")</f>
        <v>ERR</v>
      </c>
      <c r="W284" s="165" t="str">
        <f>IFERROR(Table1[[#This Row],[B1.Diff]]/Table1[[#This Row],[B1.Aud]],"ERR")</f>
        <v>ERR</v>
      </c>
      <c r="X284" s="162" t="str">
        <f>_xlfn.IFNA(VLOOKUP(Table1[[#This Row],[MTP SKU Code]],'Audit Dimensions'!A:N,10,FALSE),"ARC")</f>
        <v>ARC</v>
      </c>
      <c r="Y284" s="163" t="str">
        <f>IFERROR(Table1[[#This Row],[B2.Aud]]-Table1[[#This Row],[PW(gm)5]],"ERR")</f>
        <v>ERR</v>
      </c>
      <c r="Z284" s="165" t="str">
        <f>IFERROR(Table1[[#This Row],[B2.Diff]]/Table1[[#This Row],[B2.Aud]],"NA")</f>
        <v>NA</v>
      </c>
      <c r="AA284" s="162" t="str">
        <f>_xlfn.IFNA(VLOOKUP(Table1[[#This Row],[MTP SKU Code]],'Audit Dimensions'!A:N,14,FALSE),"ARC")</f>
        <v>ARC</v>
      </c>
      <c r="AB284" s="161" t="str">
        <f>IFERROR(Table1[[#This Row],[B3.Aud]]-Table1[[#This Row],[PW(gm)9]],"ERR")</f>
        <v>ERR</v>
      </c>
      <c r="AC284" s="168" t="str">
        <f>IFERROR(Table1[[#This Row],[B3.Diff]]/Table1[[#This Row],[BaLL.Aud]],"ERR")</f>
        <v>ERR</v>
      </c>
      <c r="AD284" s="162" t="str">
        <f>_xlfn.IFNA(VLOOKUP(Table1[[#This Row],[MTP SKU Code]],'Audit Dimensions'!A:U,16,FALSE),"ARC")</f>
        <v>ARC</v>
      </c>
      <c r="AE284" s="165" t="str">
        <f>IFERROR(1-Table1[[#This Row],[Gms]]/Table1[[#This Row],[BaLL.Aud]],"ERR")</f>
        <v>ERR</v>
      </c>
    </row>
    <row r="285" spans="1:31" hidden="1">
      <c r="A285" s="68" t="s">
        <v>331</v>
      </c>
      <c r="B285" s="84" t="s">
        <v>48</v>
      </c>
      <c r="C285" s="85">
        <v>26</v>
      </c>
      <c r="D285" s="85">
        <v>25</v>
      </c>
      <c r="E285" s="85">
        <v>25</v>
      </c>
      <c r="F285" s="89">
        <v>4500</v>
      </c>
      <c r="G285" s="85"/>
      <c r="H285" s="85"/>
      <c r="I285" s="85"/>
      <c r="J285" s="85"/>
      <c r="K285" s="85"/>
      <c r="L285" s="85"/>
      <c r="M285" s="85"/>
      <c r="N285" s="85"/>
      <c r="O285" s="118">
        <f>((IFERROR((C285*D285*E285),0)+IFERROR((G285*H285*I285),0)+IFERROR((K285*L285*M285),0))/1000000)*35.32</f>
        <v>0.57395000000000007</v>
      </c>
      <c r="P285" s="125">
        <f>Table1[[#This Row],[Column15]]*$P$2*1000</f>
        <v>3443.7000000000007</v>
      </c>
      <c r="Q285" s="87">
        <f>F285+J285+N285</f>
        <v>4500</v>
      </c>
      <c r="R285" s="86">
        <f>MAX(Q285,O285)</f>
        <v>4500</v>
      </c>
      <c r="S285" s="86">
        <f>MAX(R285,P285)</f>
        <v>4500</v>
      </c>
      <c r="T285" s="156" t="str">
        <f>VLOOKUP(A285,'[1]MTP SKUs - Master Data'!$A:$B,2,FALSE)</f>
        <v>DI</v>
      </c>
      <c r="U285" s="162" t="str">
        <f>_xlfn.IFNA(VLOOKUP(Table1[[#This Row],[MTP SKU Code]],'Audit Dimensions'!A:N,6,FALSE),"ARC")</f>
        <v>ARC</v>
      </c>
      <c r="V285" s="162" t="str">
        <f>IFERROR(Table1[[#This Row],[B1.Aud]]-Table1[[#This Row],[PW(gm)]],"ERR")</f>
        <v>ERR</v>
      </c>
      <c r="W285" s="165" t="str">
        <f>IFERROR(Table1[[#This Row],[B1.Diff]]/Table1[[#This Row],[B1.Aud]],"ERR")</f>
        <v>ERR</v>
      </c>
      <c r="X285" s="162" t="str">
        <f>_xlfn.IFNA(VLOOKUP(Table1[[#This Row],[MTP SKU Code]],'Audit Dimensions'!A:N,10,FALSE),"ARC")</f>
        <v>ARC</v>
      </c>
      <c r="Y285" s="163" t="str">
        <f>IFERROR(Table1[[#This Row],[B2.Aud]]-Table1[[#This Row],[PW(gm)5]],"ERR")</f>
        <v>ERR</v>
      </c>
      <c r="Z285" s="165" t="str">
        <f>IFERROR(Table1[[#This Row],[B2.Diff]]/Table1[[#This Row],[B2.Aud]],"NA")</f>
        <v>NA</v>
      </c>
      <c r="AA285" s="162" t="str">
        <f>_xlfn.IFNA(VLOOKUP(Table1[[#This Row],[MTP SKU Code]],'Audit Dimensions'!A:N,14,FALSE),"ARC")</f>
        <v>ARC</v>
      </c>
      <c r="AB285" s="161" t="str">
        <f>IFERROR(Table1[[#This Row],[B3.Aud]]-Table1[[#This Row],[PW(gm)9]],"ERR")</f>
        <v>ERR</v>
      </c>
      <c r="AC285" s="168" t="str">
        <f>IFERROR(Table1[[#This Row],[B3.Diff]]/Table1[[#This Row],[BaLL.Aud]],"ERR")</f>
        <v>ERR</v>
      </c>
      <c r="AD285" s="162" t="str">
        <f>_xlfn.IFNA(VLOOKUP(Table1[[#This Row],[MTP SKU Code]],'Audit Dimensions'!A:U,16,FALSE),"ARC")</f>
        <v>ARC</v>
      </c>
      <c r="AE285" s="165" t="str">
        <f>IFERROR(1-Table1[[#This Row],[Gms]]/Table1[[#This Row],[BaLL.Aud]],"ERR")</f>
        <v>ERR</v>
      </c>
    </row>
    <row r="286" spans="1:31" hidden="1">
      <c r="A286" s="68" t="s">
        <v>332</v>
      </c>
      <c r="B286" s="84" t="s">
        <v>48</v>
      </c>
      <c r="C286" s="85">
        <v>145</v>
      </c>
      <c r="D286" s="85">
        <v>22</v>
      </c>
      <c r="E286" s="85">
        <v>9</v>
      </c>
      <c r="F286" s="89">
        <v>11430</v>
      </c>
      <c r="G286" s="85"/>
      <c r="H286" s="85"/>
      <c r="I286" s="85"/>
      <c r="J286" s="85"/>
      <c r="K286" s="85"/>
      <c r="L286" s="85"/>
      <c r="M286" s="85"/>
      <c r="N286" s="85"/>
      <c r="O286" s="118">
        <f>((IFERROR((C286*D286*E286),0)+IFERROR((G286*H286*I286),0)+IFERROR((K286*L286*M286),0))/1000000)*35.32</f>
        <v>1.0140372</v>
      </c>
      <c r="P286" s="125">
        <f>Table1[[#This Row],[Column15]]*$P$2*1000</f>
        <v>6084.2232000000004</v>
      </c>
      <c r="Q286" s="87">
        <f>F286+J286+N286</f>
        <v>11430</v>
      </c>
      <c r="R286" s="86">
        <f>MAX(Q286,O286)</f>
        <v>11430</v>
      </c>
      <c r="S286" s="86">
        <f>MAX(R286,P286)</f>
        <v>11430</v>
      </c>
      <c r="T286" s="156" t="str">
        <f>VLOOKUP(A286,'[1]MTP SKUs - Master Data'!$A:$B,2,FALSE)</f>
        <v>DI</v>
      </c>
      <c r="U286" s="162" t="str">
        <f>_xlfn.IFNA(VLOOKUP(Table1[[#This Row],[MTP SKU Code]],'Audit Dimensions'!A:N,6,FALSE),"ARC")</f>
        <v>ARC</v>
      </c>
      <c r="V286" s="162" t="str">
        <f>IFERROR(Table1[[#This Row],[B1.Aud]]-Table1[[#This Row],[PW(gm)]],"ERR")</f>
        <v>ERR</v>
      </c>
      <c r="W286" s="165" t="str">
        <f>IFERROR(Table1[[#This Row],[B1.Diff]]/Table1[[#This Row],[B1.Aud]],"ERR")</f>
        <v>ERR</v>
      </c>
      <c r="X286" s="162" t="str">
        <f>_xlfn.IFNA(VLOOKUP(Table1[[#This Row],[MTP SKU Code]],'Audit Dimensions'!A:N,10,FALSE),"ARC")</f>
        <v>ARC</v>
      </c>
      <c r="Y286" s="163" t="str">
        <f>IFERROR(Table1[[#This Row],[B2.Aud]]-Table1[[#This Row],[PW(gm)5]],"ERR")</f>
        <v>ERR</v>
      </c>
      <c r="Z286" s="165" t="str">
        <f>IFERROR(Table1[[#This Row],[B2.Diff]]/Table1[[#This Row],[B2.Aud]],"NA")</f>
        <v>NA</v>
      </c>
      <c r="AA286" s="162" t="str">
        <f>_xlfn.IFNA(VLOOKUP(Table1[[#This Row],[MTP SKU Code]],'Audit Dimensions'!A:N,14,FALSE),"ARC")</f>
        <v>ARC</v>
      </c>
      <c r="AB286" s="161" t="str">
        <f>IFERROR(Table1[[#This Row],[B3.Aud]]-Table1[[#This Row],[PW(gm)9]],"ERR")</f>
        <v>ERR</v>
      </c>
      <c r="AC286" s="168" t="str">
        <f>IFERROR(Table1[[#This Row],[B3.Diff]]/Table1[[#This Row],[BaLL.Aud]],"ERR")</f>
        <v>ERR</v>
      </c>
      <c r="AD286" s="162" t="str">
        <f>_xlfn.IFNA(VLOOKUP(Table1[[#This Row],[MTP SKU Code]],'Audit Dimensions'!A:U,16,FALSE),"ARC")</f>
        <v>ARC</v>
      </c>
      <c r="AE286" s="165" t="str">
        <f>IFERROR(1-Table1[[#This Row],[Gms]]/Table1[[#This Row],[BaLL.Aud]],"ERR")</f>
        <v>ERR</v>
      </c>
    </row>
    <row r="287" spans="1:31" hidden="1">
      <c r="A287" s="68" t="s">
        <v>333</v>
      </c>
      <c r="B287" s="84" t="s">
        <v>48</v>
      </c>
      <c r="C287" s="85">
        <v>103</v>
      </c>
      <c r="D287" s="85">
        <v>35</v>
      </c>
      <c r="E287" s="85">
        <v>7</v>
      </c>
      <c r="F287" s="89">
        <v>12210</v>
      </c>
      <c r="G287" s="85"/>
      <c r="H287" s="85"/>
      <c r="I287" s="85"/>
      <c r="J287" s="85"/>
      <c r="K287" s="85"/>
      <c r="L287" s="85"/>
      <c r="M287" s="85"/>
      <c r="N287" s="85"/>
      <c r="O287" s="118">
        <f>((IFERROR((C287*D287*E287),0)+IFERROR((G287*H287*I287),0)+IFERROR((K287*L287*M287),0))/1000000)*35.32</f>
        <v>0.89130019999999999</v>
      </c>
      <c r="P287" s="125">
        <f>Table1[[#This Row],[Column15]]*$P$2*1000</f>
        <v>5347.8011999999999</v>
      </c>
      <c r="Q287" s="87">
        <f>F287+J287+N287</f>
        <v>12210</v>
      </c>
      <c r="R287" s="86">
        <f>MAX(Q287,O287)</f>
        <v>12210</v>
      </c>
      <c r="S287" s="86">
        <f>MAX(R287,P287)</f>
        <v>12210</v>
      </c>
      <c r="T287" s="156" t="str">
        <f>VLOOKUP(A287,'[1]MTP SKUs - Master Data'!$A:$B,2,FALSE)</f>
        <v>DI</v>
      </c>
      <c r="U287" s="162" t="str">
        <f>_xlfn.IFNA(VLOOKUP(Table1[[#This Row],[MTP SKU Code]],'Audit Dimensions'!A:N,6,FALSE),"ARC")</f>
        <v>ARC</v>
      </c>
      <c r="V287" s="162" t="str">
        <f>IFERROR(Table1[[#This Row],[B1.Aud]]-Table1[[#This Row],[PW(gm)]],"ERR")</f>
        <v>ERR</v>
      </c>
      <c r="W287" s="165" t="str">
        <f>IFERROR(Table1[[#This Row],[B1.Diff]]/Table1[[#This Row],[B1.Aud]],"ERR")</f>
        <v>ERR</v>
      </c>
      <c r="X287" s="162" t="str">
        <f>_xlfn.IFNA(VLOOKUP(Table1[[#This Row],[MTP SKU Code]],'Audit Dimensions'!A:N,10,FALSE),"ARC")</f>
        <v>ARC</v>
      </c>
      <c r="Y287" s="163" t="str">
        <f>IFERROR(Table1[[#This Row],[B2.Aud]]-Table1[[#This Row],[PW(gm)5]],"ERR")</f>
        <v>ERR</v>
      </c>
      <c r="Z287" s="165" t="str">
        <f>IFERROR(Table1[[#This Row],[B2.Diff]]/Table1[[#This Row],[B2.Aud]],"NA")</f>
        <v>NA</v>
      </c>
      <c r="AA287" s="162" t="str">
        <f>_xlfn.IFNA(VLOOKUP(Table1[[#This Row],[MTP SKU Code]],'Audit Dimensions'!A:N,14,FALSE),"ARC")</f>
        <v>ARC</v>
      </c>
      <c r="AB287" s="161" t="str">
        <f>IFERROR(Table1[[#This Row],[B3.Aud]]-Table1[[#This Row],[PW(gm)9]],"ERR")</f>
        <v>ERR</v>
      </c>
      <c r="AC287" s="168" t="str">
        <f>IFERROR(Table1[[#This Row],[B3.Diff]]/Table1[[#This Row],[BaLL.Aud]],"ERR")</f>
        <v>ERR</v>
      </c>
      <c r="AD287" s="162" t="str">
        <f>_xlfn.IFNA(VLOOKUP(Table1[[#This Row],[MTP SKU Code]],'Audit Dimensions'!A:U,16,FALSE),"ARC")</f>
        <v>ARC</v>
      </c>
      <c r="AE287" s="165" t="str">
        <f>IFERROR(1-Table1[[#This Row],[Gms]]/Table1[[#This Row],[BaLL.Aud]],"ERR")</f>
        <v>ERR</v>
      </c>
    </row>
    <row r="288" spans="1:31" hidden="1">
      <c r="A288" s="68" t="s">
        <v>334</v>
      </c>
      <c r="B288" s="84" t="s">
        <v>48</v>
      </c>
      <c r="C288" s="85">
        <v>32</v>
      </c>
      <c r="D288" s="85">
        <v>32</v>
      </c>
      <c r="E288" s="85">
        <v>12</v>
      </c>
      <c r="F288" s="89">
        <v>1890</v>
      </c>
      <c r="G288" s="85"/>
      <c r="H288" s="85"/>
      <c r="I288" s="85"/>
      <c r="J288" s="85"/>
      <c r="K288" s="85"/>
      <c r="L288" s="85"/>
      <c r="M288" s="85"/>
      <c r="N288" s="85"/>
      <c r="O288" s="118">
        <f>((IFERROR((C288*D288*E288),0)+IFERROR((G288*H288*I288),0)+IFERROR((K288*L288*M288),0))/1000000)*35.32</f>
        <v>0.43401216000000004</v>
      </c>
      <c r="P288" s="125">
        <f>Table1[[#This Row],[Column15]]*$P$2*1000</f>
        <v>2604.0729600000004</v>
      </c>
      <c r="Q288" s="87">
        <f>F288+J288+N288</f>
        <v>1890</v>
      </c>
      <c r="R288" s="86">
        <f>MAX(Q288,O288)</f>
        <v>1890</v>
      </c>
      <c r="S288" s="86">
        <f>MAX(R288,P288)</f>
        <v>2604.0729600000004</v>
      </c>
      <c r="T288" s="156" t="str">
        <f>VLOOKUP(A288,'[1]MTP SKUs - Master Data'!$A:$B,2,FALSE)</f>
        <v>DI</v>
      </c>
      <c r="U288" s="162" t="str">
        <f>_xlfn.IFNA(VLOOKUP(Table1[[#This Row],[MTP SKU Code]],'Audit Dimensions'!A:N,6,FALSE),"ARC")</f>
        <v>ARC</v>
      </c>
      <c r="V288" s="162" t="str">
        <f>IFERROR(Table1[[#This Row],[B1.Aud]]-Table1[[#This Row],[PW(gm)]],"ERR")</f>
        <v>ERR</v>
      </c>
      <c r="W288" s="165" t="str">
        <f>IFERROR(Table1[[#This Row],[B1.Diff]]/Table1[[#This Row],[B1.Aud]],"ERR")</f>
        <v>ERR</v>
      </c>
      <c r="X288" s="162" t="str">
        <f>_xlfn.IFNA(VLOOKUP(Table1[[#This Row],[MTP SKU Code]],'Audit Dimensions'!A:N,10,FALSE),"ARC")</f>
        <v>ARC</v>
      </c>
      <c r="Y288" s="163" t="str">
        <f>IFERROR(Table1[[#This Row],[B2.Aud]]-Table1[[#This Row],[PW(gm)5]],"ERR")</f>
        <v>ERR</v>
      </c>
      <c r="Z288" s="165" t="str">
        <f>IFERROR(Table1[[#This Row],[B2.Diff]]/Table1[[#This Row],[B2.Aud]],"NA")</f>
        <v>NA</v>
      </c>
      <c r="AA288" s="162" t="str">
        <f>_xlfn.IFNA(VLOOKUP(Table1[[#This Row],[MTP SKU Code]],'Audit Dimensions'!A:N,14,FALSE),"ARC")</f>
        <v>ARC</v>
      </c>
      <c r="AB288" s="161" t="str">
        <f>IFERROR(Table1[[#This Row],[B3.Aud]]-Table1[[#This Row],[PW(gm)9]],"ERR")</f>
        <v>ERR</v>
      </c>
      <c r="AC288" s="168" t="str">
        <f>IFERROR(Table1[[#This Row],[B3.Diff]]/Table1[[#This Row],[BaLL.Aud]],"ERR")</f>
        <v>ERR</v>
      </c>
      <c r="AD288" s="162" t="str">
        <f>_xlfn.IFNA(VLOOKUP(Table1[[#This Row],[MTP SKU Code]],'Audit Dimensions'!A:U,16,FALSE),"ARC")</f>
        <v>ARC</v>
      </c>
      <c r="AE288" s="165" t="str">
        <f>IFERROR(1-Table1[[#This Row],[Gms]]/Table1[[#This Row],[BaLL.Aud]],"ERR")</f>
        <v>ERR</v>
      </c>
    </row>
    <row r="289" spans="1:31" hidden="1">
      <c r="A289" s="68" t="s">
        <v>335</v>
      </c>
      <c r="B289" s="84" t="s">
        <v>48</v>
      </c>
      <c r="C289" s="85">
        <v>86.5</v>
      </c>
      <c r="D289" s="85">
        <v>16</v>
      </c>
      <c r="E289" s="85">
        <v>6</v>
      </c>
      <c r="F289" s="89">
        <v>3890</v>
      </c>
      <c r="G289" s="85"/>
      <c r="H289" s="85"/>
      <c r="I289" s="85"/>
      <c r="J289" s="85"/>
      <c r="K289" s="85"/>
      <c r="L289" s="85"/>
      <c r="M289" s="85"/>
      <c r="N289" s="85"/>
      <c r="O289" s="118">
        <f>((IFERROR((C289*D289*E289),0)+IFERROR((G289*H289*I289),0)+IFERROR((K289*L289*M289),0))/1000000)*35.32</f>
        <v>0.29329728000000005</v>
      </c>
      <c r="P289" s="125">
        <f>Table1[[#This Row],[Column15]]*$P$2*1000</f>
        <v>1759.7836800000005</v>
      </c>
      <c r="Q289" s="87">
        <f>F289+J289+N289</f>
        <v>3890</v>
      </c>
      <c r="R289" s="86">
        <f>MAX(Q289,O289)</f>
        <v>3890</v>
      </c>
      <c r="S289" s="86">
        <f>MAX(R289,P289)</f>
        <v>3890</v>
      </c>
      <c r="T289" s="156" t="str">
        <f>VLOOKUP(A289,'[1]MTP SKUs - Master Data'!$A:$B,2,FALSE)</f>
        <v>DI</v>
      </c>
      <c r="U289" s="162" t="str">
        <f>_xlfn.IFNA(VLOOKUP(Table1[[#This Row],[MTP SKU Code]],'Audit Dimensions'!A:N,6,FALSE),"ARC")</f>
        <v>ARC</v>
      </c>
      <c r="V289" s="162" t="str">
        <f>IFERROR(Table1[[#This Row],[B1.Aud]]-Table1[[#This Row],[PW(gm)]],"ERR")</f>
        <v>ERR</v>
      </c>
      <c r="W289" s="165" t="str">
        <f>IFERROR(Table1[[#This Row],[B1.Diff]]/Table1[[#This Row],[B1.Aud]],"ERR")</f>
        <v>ERR</v>
      </c>
      <c r="X289" s="162" t="str">
        <f>_xlfn.IFNA(VLOOKUP(Table1[[#This Row],[MTP SKU Code]],'Audit Dimensions'!A:N,10,FALSE),"ARC")</f>
        <v>ARC</v>
      </c>
      <c r="Y289" s="163" t="str">
        <f>IFERROR(Table1[[#This Row],[B2.Aud]]-Table1[[#This Row],[PW(gm)5]],"ERR")</f>
        <v>ERR</v>
      </c>
      <c r="Z289" s="165" t="str">
        <f>IFERROR(Table1[[#This Row],[B2.Diff]]/Table1[[#This Row],[B2.Aud]],"NA")</f>
        <v>NA</v>
      </c>
      <c r="AA289" s="162" t="str">
        <f>_xlfn.IFNA(VLOOKUP(Table1[[#This Row],[MTP SKU Code]],'Audit Dimensions'!A:N,14,FALSE),"ARC")</f>
        <v>ARC</v>
      </c>
      <c r="AB289" s="161" t="str">
        <f>IFERROR(Table1[[#This Row],[B3.Aud]]-Table1[[#This Row],[PW(gm)9]],"ERR")</f>
        <v>ERR</v>
      </c>
      <c r="AC289" s="168" t="str">
        <f>IFERROR(Table1[[#This Row],[B3.Diff]]/Table1[[#This Row],[BaLL.Aud]],"ERR")</f>
        <v>ERR</v>
      </c>
      <c r="AD289" s="162" t="str">
        <f>_xlfn.IFNA(VLOOKUP(Table1[[#This Row],[MTP SKU Code]],'Audit Dimensions'!A:U,16,FALSE),"ARC")</f>
        <v>ARC</v>
      </c>
      <c r="AE289" s="165" t="str">
        <f>IFERROR(1-Table1[[#This Row],[Gms]]/Table1[[#This Row],[BaLL.Aud]],"ERR")</f>
        <v>ERR</v>
      </c>
    </row>
    <row r="290" spans="1:31" hidden="1">
      <c r="A290" s="68" t="s">
        <v>336</v>
      </c>
      <c r="B290" s="84" t="s">
        <v>48</v>
      </c>
      <c r="C290" s="85">
        <v>112</v>
      </c>
      <c r="D290" s="85">
        <v>51</v>
      </c>
      <c r="E290" s="85">
        <v>8</v>
      </c>
      <c r="F290" s="89">
        <v>14550</v>
      </c>
      <c r="G290" s="85"/>
      <c r="H290" s="85"/>
      <c r="I290" s="85"/>
      <c r="J290" s="85"/>
      <c r="K290" s="85"/>
      <c r="L290" s="85"/>
      <c r="M290" s="85"/>
      <c r="N290" s="85"/>
      <c r="O290" s="118">
        <f>((IFERROR((C290*D290*E290),0)+IFERROR((G290*H290*I290),0)+IFERROR((K290*L290*M290),0))/1000000)*35.32</f>
        <v>1.6139827200000001</v>
      </c>
      <c r="P290" s="125">
        <f>Table1[[#This Row],[Column15]]*$P$2*1000</f>
        <v>9683.8963199999998</v>
      </c>
      <c r="Q290" s="87">
        <f>F290+J290+N290</f>
        <v>14550</v>
      </c>
      <c r="R290" s="86">
        <f>MAX(Q290,O290)</f>
        <v>14550</v>
      </c>
      <c r="S290" s="86">
        <f>MAX(R290,P290)</f>
        <v>14550</v>
      </c>
      <c r="T290" s="156" t="str">
        <f>VLOOKUP(A290,'[1]MTP SKUs - Master Data'!$A:$B,2,FALSE)</f>
        <v>DI</v>
      </c>
      <c r="U290" s="162" t="str">
        <f>_xlfn.IFNA(VLOOKUP(Table1[[#This Row],[MTP SKU Code]],'Audit Dimensions'!A:N,6,FALSE),"ARC")</f>
        <v>ARC</v>
      </c>
      <c r="V290" s="162" t="str">
        <f>IFERROR(Table1[[#This Row],[B1.Aud]]-Table1[[#This Row],[PW(gm)]],"ERR")</f>
        <v>ERR</v>
      </c>
      <c r="W290" s="165" t="str">
        <f>IFERROR(Table1[[#This Row],[B1.Diff]]/Table1[[#This Row],[B1.Aud]],"ERR")</f>
        <v>ERR</v>
      </c>
      <c r="X290" s="162" t="str">
        <f>_xlfn.IFNA(VLOOKUP(Table1[[#This Row],[MTP SKU Code]],'Audit Dimensions'!A:N,10,FALSE),"ARC")</f>
        <v>ARC</v>
      </c>
      <c r="Y290" s="163" t="str">
        <f>IFERROR(Table1[[#This Row],[B2.Aud]]-Table1[[#This Row],[PW(gm)5]],"ERR")</f>
        <v>ERR</v>
      </c>
      <c r="Z290" s="165" t="str">
        <f>IFERROR(Table1[[#This Row],[B2.Diff]]/Table1[[#This Row],[B2.Aud]],"NA")</f>
        <v>NA</v>
      </c>
      <c r="AA290" s="162" t="str">
        <f>_xlfn.IFNA(VLOOKUP(Table1[[#This Row],[MTP SKU Code]],'Audit Dimensions'!A:N,14,FALSE),"ARC")</f>
        <v>ARC</v>
      </c>
      <c r="AB290" s="161" t="str">
        <f>IFERROR(Table1[[#This Row],[B3.Aud]]-Table1[[#This Row],[PW(gm)9]],"ERR")</f>
        <v>ERR</v>
      </c>
      <c r="AC290" s="168" t="str">
        <f>IFERROR(Table1[[#This Row],[B3.Diff]]/Table1[[#This Row],[BaLL.Aud]],"ERR")</f>
        <v>ERR</v>
      </c>
      <c r="AD290" s="162" t="str">
        <f>_xlfn.IFNA(VLOOKUP(Table1[[#This Row],[MTP SKU Code]],'Audit Dimensions'!A:U,16,FALSE),"ARC")</f>
        <v>ARC</v>
      </c>
      <c r="AE290" s="165" t="str">
        <f>IFERROR(1-Table1[[#This Row],[Gms]]/Table1[[#This Row],[BaLL.Aud]],"ERR")</f>
        <v>ERR</v>
      </c>
    </row>
    <row r="291" spans="1:31" hidden="1">
      <c r="A291" s="68" t="s">
        <v>337</v>
      </c>
      <c r="B291" s="84" t="s">
        <v>48</v>
      </c>
      <c r="C291" s="85">
        <v>85.7</v>
      </c>
      <c r="D291" s="85">
        <v>45.7</v>
      </c>
      <c r="E291" s="85">
        <v>6.5</v>
      </c>
      <c r="F291" s="89">
        <v>12000</v>
      </c>
      <c r="G291" s="85"/>
      <c r="H291" s="85"/>
      <c r="I291" s="85"/>
      <c r="J291" s="85"/>
      <c r="K291" s="85"/>
      <c r="L291" s="85"/>
      <c r="M291" s="85"/>
      <c r="N291" s="85"/>
      <c r="O291" s="118">
        <f>((IFERROR((C291*D291*E291),0)+IFERROR((G291*H291*I291),0)+IFERROR((K291*L291*M291),0))/1000000)*35.32</f>
        <v>0.89914777420000003</v>
      </c>
      <c r="P291" s="125">
        <f>Table1[[#This Row],[Column15]]*$P$2*1000</f>
        <v>5394.8866451999993</v>
      </c>
      <c r="Q291" s="87">
        <f>F291+J291+N291</f>
        <v>12000</v>
      </c>
      <c r="R291" s="86">
        <f>MAX(Q291,O291)</f>
        <v>12000</v>
      </c>
      <c r="S291" s="86">
        <f>MAX(R291,P291)</f>
        <v>12000</v>
      </c>
      <c r="T291" s="156" t="str">
        <f>VLOOKUP(A291,'[1]MTP SKUs - Master Data'!$A:$B,2,FALSE)</f>
        <v>DI</v>
      </c>
      <c r="U291" s="162" t="str">
        <f>_xlfn.IFNA(VLOOKUP(Table1[[#This Row],[MTP SKU Code]],'Audit Dimensions'!A:N,6,FALSE),"ARC")</f>
        <v>ARC</v>
      </c>
      <c r="V291" s="162" t="str">
        <f>IFERROR(Table1[[#This Row],[B1.Aud]]-Table1[[#This Row],[PW(gm)]],"ERR")</f>
        <v>ERR</v>
      </c>
      <c r="W291" s="165" t="str">
        <f>IFERROR(Table1[[#This Row],[B1.Diff]]/Table1[[#This Row],[B1.Aud]],"ERR")</f>
        <v>ERR</v>
      </c>
      <c r="X291" s="162" t="str">
        <f>_xlfn.IFNA(VLOOKUP(Table1[[#This Row],[MTP SKU Code]],'Audit Dimensions'!A:N,10,FALSE),"ARC")</f>
        <v>ARC</v>
      </c>
      <c r="Y291" s="163" t="str">
        <f>IFERROR(Table1[[#This Row],[B2.Aud]]-Table1[[#This Row],[PW(gm)5]],"ERR")</f>
        <v>ERR</v>
      </c>
      <c r="Z291" s="165" t="str">
        <f>IFERROR(Table1[[#This Row],[B2.Diff]]/Table1[[#This Row],[B2.Aud]],"NA")</f>
        <v>NA</v>
      </c>
      <c r="AA291" s="162" t="str">
        <f>_xlfn.IFNA(VLOOKUP(Table1[[#This Row],[MTP SKU Code]],'Audit Dimensions'!A:N,14,FALSE),"ARC")</f>
        <v>ARC</v>
      </c>
      <c r="AB291" s="161" t="str">
        <f>IFERROR(Table1[[#This Row],[B3.Aud]]-Table1[[#This Row],[PW(gm)9]],"ERR")</f>
        <v>ERR</v>
      </c>
      <c r="AC291" s="168" t="str">
        <f>IFERROR(Table1[[#This Row],[B3.Diff]]/Table1[[#This Row],[BaLL.Aud]],"ERR")</f>
        <v>ERR</v>
      </c>
      <c r="AD291" s="162" t="str">
        <f>_xlfn.IFNA(VLOOKUP(Table1[[#This Row],[MTP SKU Code]],'Audit Dimensions'!A:U,16,FALSE),"ARC")</f>
        <v>ARC</v>
      </c>
      <c r="AE291" s="165" t="str">
        <f>IFERROR(1-Table1[[#This Row],[Gms]]/Table1[[#This Row],[BaLL.Aud]],"ERR")</f>
        <v>ERR</v>
      </c>
    </row>
    <row r="292" spans="1:31" hidden="1">
      <c r="A292" s="68" t="s">
        <v>338</v>
      </c>
      <c r="B292" s="84" t="s">
        <v>48</v>
      </c>
      <c r="C292" s="85">
        <v>35</v>
      </c>
      <c r="D292" s="85">
        <v>33</v>
      </c>
      <c r="E292" s="85">
        <v>7</v>
      </c>
      <c r="F292" s="89">
        <v>1535</v>
      </c>
      <c r="G292" s="85"/>
      <c r="H292" s="85"/>
      <c r="I292" s="85"/>
      <c r="J292" s="85"/>
      <c r="K292" s="85"/>
      <c r="L292" s="85"/>
      <c r="M292" s="85"/>
      <c r="N292" s="85"/>
      <c r="O292" s="118">
        <f>((IFERROR((C292*D292*E292),0)+IFERROR((G292*H292*I292),0)+IFERROR((K292*L292*M292),0))/1000000)*35.32</f>
        <v>0.28556219999999999</v>
      </c>
      <c r="P292" s="125">
        <f>Table1[[#This Row],[Column15]]*$P$2*1000</f>
        <v>1713.3732</v>
      </c>
      <c r="Q292" s="87">
        <f>F292+J292+N292</f>
        <v>1535</v>
      </c>
      <c r="R292" s="86">
        <f>MAX(Q292,O292)</f>
        <v>1535</v>
      </c>
      <c r="S292" s="86">
        <f>MAX(R292,P292)</f>
        <v>1713.3732</v>
      </c>
      <c r="T292" s="156" t="str">
        <f>VLOOKUP(A292,'[1]MTP SKUs - Master Data'!$A:$B,2,FALSE)</f>
        <v>DI</v>
      </c>
      <c r="U292" s="162" t="str">
        <f>_xlfn.IFNA(VLOOKUP(Table1[[#This Row],[MTP SKU Code]],'Audit Dimensions'!A:N,6,FALSE),"ARC")</f>
        <v>ARC</v>
      </c>
      <c r="V292" s="162" t="str">
        <f>IFERROR(Table1[[#This Row],[B1.Aud]]-Table1[[#This Row],[PW(gm)]],"ERR")</f>
        <v>ERR</v>
      </c>
      <c r="W292" s="165" t="str">
        <f>IFERROR(Table1[[#This Row],[B1.Diff]]/Table1[[#This Row],[B1.Aud]],"ERR")</f>
        <v>ERR</v>
      </c>
      <c r="X292" s="162" t="str">
        <f>_xlfn.IFNA(VLOOKUP(Table1[[#This Row],[MTP SKU Code]],'Audit Dimensions'!A:N,10,FALSE),"ARC")</f>
        <v>ARC</v>
      </c>
      <c r="Y292" s="163" t="str">
        <f>IFERROR(Table1[[#This Row],[B2.Aud]]-Table1[[#This Row],[PW(gm)5]],"ERR")</f>
        <v>ERR</v>
      </c>
      <c r="Z292" s="165" t="str">
        <f>IFERROR(Table1[[#This Row],[B2.Diff]]/Table1[[#This Row],[B2.Aud]],"NA")</f>
        <v>NA</v>
      </c>
      <c r="AA292" s="162" t="str">
        <f>_xlfn.IFNA(VLOOKUP(Table1[[#This Row],[MTP SKU Code]],'Audit Dimensions'!A:N,14,FALSE),"ARC")</f>
        <v>ARC</v>
      </c>
      <c r="AB292" s="161" t="str">
        <f>IFERROR(Table1[[#This Row],[B3.Aud]]-Table1[[#This Row],[PW(gm)9]],"ERR")</f>
        <v>ERR</v>
      </c>
      <c r="AC292" s="168" t="str">
        <f>IFERROR(Table1[[#This Row],[B3.Diff]]/Table1[[#This Row],[BaLL.Aud]],"ERR")</f>
        <v>ERR</v>
      </c>
      <c r="AD292" s="162" t="str">
        <f>_xlfn.IFNA(VLOOKUP(Table1[[#This Row],[MTP SKU Code]],'Audit Dimensions'!A:U,16,FALSE),"ARC")</f>
        <v>ARC</v>
      </c>
      <c r="AE292" s="165" t="str">
        <f>IFERROR(1-Table1[[#This Row],[Gms]]/Table1[[#This Row],[BaLL.Aud]],"ERR")</f>
        <v>ERR</v>
      </c>
    </row>
    <row r="293" spans="1:31" hidden="1">
      <c r="A293" s="68" t="s">
        <v>339</v>
      </c>
      <c r="B293" s="84" t="s">
        <v>48</v>
      </c>
      <c r="C293" s="85">
        <v>76</v>
      </c>
      <c r="D293" s="85">
        <v>26</v>
      </c>
      <c r="E293" s="85">
        <v>5</v>
      </c>
      <c r="F293" s="89">
        <v>945</v>
      </c>
      <c r="G293" s="85"/>
      <c r="H293" s="85"/>
      <c r="I293" s="85"/>
      <c r="J293" s="85"/>
      <c r="K293" s="85"/>
      <c r="L293" s="85"/>
      <c r="M293" s="85"/>
      <c r="N293" s="85"/>
      <c r="O293" s="118">
        <f>((IFERROR((C293*D293*E293),0)+IFERROR((G293*H293*I293),0)+IFERROR((K293*L293*M293),0))/1000000)*35.32</f>
        <v>0.34896159999999998</v>
      </c>
      <c r="P293" s="125">
        <f>Table1[[#This Row],[Column15]]*$P$2*1000</f>
        <v>2093.7696000000001</v>
      </c>
      <c r="Q293" s="87">
        <f>F293+J293+N293</f>
        <v>945</v>
      </c>
      <c r="R293" s="86">
        <f>MAX(Q293,O293)</f>
        <v>945</v>
      </c>
      <c r="S293" s="86">
        <f>MAX(R293,P293)</f>
        <v>2093.7696000000001</v>
      </c>
      <c r="T293" s="156" t="str">
        <f>VLOOKUP(A293,'[1]MTP SKUs - Master Data'!$A:$B,2,FALSE)</f>
        <v>DI</v>
      </c>
      <c r="U293" s="162" t="str">
        <f>_xlfn.IFNA(VLOOKUP(Table1[[#This Row],[MTP SKU Code]],'Audit Dimensions'!A:N,6,FALSE),"ARC")</f>
        <v>ARC</v>
      </c>
      <c r="V293" s="162" t="str">
        <f>IFERROR(Table1[[#This Row],[B1.Aud]]-Table1[[#This Row],[PW(gm)]],"ERR")</f>
        <v>ERR</v>
      </c>
      <c r="W293" s="165" t="str">
        <f>IFERROR(Table1[[#This Row],[B1.Diff]]/Table1[[#This Row],[B1.Aud]],"ERR")</f>
        <v>ERR</v>
      </c>
      <c r="X293" s="162" t="str">
        <f>_xlfn.IFNA(VLOOKUP(Table1[[#This Row],[MTP SKU Code]],'Audit Dimensions'!A:N,10,FALSE),"ARC")</f>
        <v>ARC</v>
      </c>
      <c r="Y293" s="163" t="str">
        <f>IFERROR(Table1[[#This Row],[B2.Aud]]-Table1[[#This Row],[PW(gm)5]],"ERR")</f>
        <v>ERR</v>
      </c>
      <c r="Z293" s="165" t="str">
        <f>IFERROR(Table1[[#This Row],[B2.Diff]]/Table1[[#This Row],[B2.Aud]],"NA")</f>
        <v>NA</v>
      </c>
      <c r="AA293" s="162" t="str">
        <f>_xlfn.IFNA(VLOOKUP(Table1[[#This Row],[MTP SKU Code]],'Audit Dimensions'!A:N,14,FALSE),"ARC")</f>
        <v>ARC</v>
      </c>
      <c r="AB293" s="161" t="str">
        <f>IFERROR(Table1[[#This Row],[B3.Aud]]-Table1[[#This Row],[PW(gm)9]],"ERR")</f>
        <v>ERR</v>
      </c>
      <c r="AC293" s="168" t="str">
        <f>IFERROR(Table1[[#This Row],[B3.Diff]]/Table1[[#This Row],[BaLL.Aud]],"ERR")</f>
        <v>ERR</v>
      </c>
      <c r="AD293" s="162" t="str">
        <f>_xlfn.IFNA(VLOOKUP(Table1[[#This Row],[MTP SKU Code]],'Audit Dimensions'!A:U,16,FALSE),"ARC")</f>
        <v>ARC</v>
      </c>
      <c r="AE293" s="165" t="str">
        <f>IFERROR(1-Table1[[#This Row],[Gms]]/Table1[[#This Row],[BaLL.Aud]],"ERR")</f>
        <v>ERR</v>
      </c>
    </row>
    <row r="294" spans="1:31" hidden="1">
      <c r="A294" s="68" t="s">
        <v>340</v>
      </c>
      <c r="B294" s="84" t="s">
        <v>48</v>
      </c>
      <c r="C294" s="85">
        <v>121</v>
      </c>
      <c r="D294" s="85">
        <v>63</v>
      </c>
      <c r="E294" s="85">
        <v>5</v>
      </c>
      <c r="F294" s="89">
        <v>13215</v>
      </c>
      <c r="G294" s="85"/>
      <c r="H294" s="85"/>
      <c r="I294" s="85"/>
      <c r="J294" s="85"/>
      <c r="K294" s="85"/>
      <c r="L294" s="85"/>
      <c r="M294" s="85"/>
      <c r="N294" s="85"/>
      <c r="O294" s="118">
        <f>((IFERROR((C294*D294*E294),0)+IFERROR((G294*H294*I294),0)+IFERROR((K294*L294*M294),0))/1000000)*35.32</f>
        <v>1.3462218000000001</v>
      </c>
      <c r="P294" s="125">
        <f>Table1[[#This Row],[Column15]]*$P$2*1000</f>
        <v>8077.3308000000006</v>
      </c>
      <c r="Q294" s="87">
        <f>F294+J294+N294</f>
        <v>13215</v>
      </c>
      <c r="R294" s="86">
        <f>MAX(Q294,O294)</f>
        <v>13215</v>
      </c>
      <c r="S294" s="86">
        <f>MAX(R294,P294)</f>
        <v>13215</v>
      </c>
      <c r="T294" s="156" t="str">
        <f>VLOOKUP(A294,'[1]MTP SKUs - Master Data'!$A:$B,2,FALSE)</f>
        <v>DI</v>
      </c>
      <c r="U294" s="162" t="str">
        <f>_xlfn.IFNA(VLOOKUP(Table1[[#This Row],[MTP SKU Code]],'Audit Dimensions'!A:N,6,FALSE),"ARC")</f>
        <v>0</v>
      </c>
      <c r="V294" s="162">
        <f>IFERROR(Table1[[#This Row],[B1.Aud]]-Table1[[#This Row],[PW(gm)]],"ERR")</f>
        <v>-13215</v>
      </c>
      <c r="W294" s="165" t="str">
        <f>IFERROR(Table1[[#This Row],[B1.Diff]]/Table1[[#This Row],[B1.Aud]],"ERR")</f>
        <v>ERR</v>
      </c>
      <c r="X294" s="162" t="str">
        <f>_xlfn.IFNA(VLOOKUP(Table1[[#This Row],[MTP SKU Code]],'Audit Dimensions'!A:N,10,FALSE),"ARC")</f>
        <v>0</v>
      </c>
      <c r="Y294" s="163">
        <f>IFERROR(Table1[[#This Row],[B2.Aud]]-Table1[[#This Row],[PW(gm)5]],"ERR")</f>
        <v>0</v>
      </c>
      <c r="Z294" s="165" t="str">
        <f>IFERROR(Table1[[#This Row],[B2.Diff]]/Table1[[#This Row],[B2.Aud]],"NA")</f>
        <v>NA</v>
      </c>
      <c r="AA294" s="162" t="str">
        <f>_xlfn.IFNA(VLOOKUP(Table1[[#This Row],[MTP SKU Code]],'Audit Dimensions'!A:N,14,FALSE),"ARC")</f>
        <v>0</v>
      </c>
      <c r="AB294" s="161">
        <f>IFERROR(Table1[[#This Row],[B3.Aud]]-Table1[[#This Row],[PW(gm)9]],"ERR")</f>
        <v>0</v>
      </c>
      <c r="AC294" s="168" t="str">
        <f>IFERROR(Table1[[#This Row],[B3.Diff]]/Table1[[#This Row],[BaLL.Aud]],"ERR")</f>
        <v>ERR</v>
      </c>
      <c r="AD294" s="162">
        <f>_xlfn.IFNA(VLOOKUP(Table1[[#This Row],[MTP SKU Code]],'Audit Dimensions'!A:U,16,FALSE),"ARC")</f>
        <v>0</v>
      </c>
      <c r="AE294" s="165" t="str">
        <f>IFERROR(1-Table1[[#This Row],[Gms]]/Table1[[#This Row],[BaLL.Aud]],"ERR")</f>
        <v>ERR</v>
      </c>
    </row>
    <row r="295" spans="1:31" hidden="1">
      <c r="A295" s="68" t="s">
        <v>341</v>
      </c>
      <c r="B295" s="84" t="s">
        <v>48</v>
      </c>
      <c r="C295" s="85">
        <v>87</v>
      </c>
      <c r="D295" s="85">
        <v>59</v>
      </c>
      <c r="E295" s="85">
        <v>5</v>
      </c>
      <c r="F295" s="89">
        <v>6360</v>
      </c>
      <c r="G295" s="85"/>
      <c r="H295" s="85"/>
      <c r="I295" s="85"/>
      <c r="J295" s="85"/>
      <c r="K295" s="85"/>
      <c r="L295" s="85"/>
      <c r="M295" s="85"/>
      <c r="N295" s="85"/>
      <c r="O295" s="118">
        <f>((IFERROR((C295*D295*E295),0)+IFERROR((G295*H295*I295),0)+IFERROR((K295*L295*M295),0))/1000000)*35.32</f>
        <v>0.90648780000000007</v>
      </c>
      <c r="P295" s="125">
        <f>Table1[[#This Row],[Column15]]*$P$2*1000</f>
        <v>5438.9268000000011</v>
      </c>
      <c r="Q295" s="87">
        <f>F295+J295+N295</f>
        <v>6360</v>
      </c>
      <c r="R295" s="86">
        <f>MAX(Q295,O295)</f>
        <v>6360</v>
      </c>
      <c r="S295" s="86">
        <f>MAX(R295,P295)</f>
        <v>6360</v>
      </c>
      <c r="T295" s="156" t="str">
        <f>VLOOKUP(A295,'[1]MTP SKUs - Master Data'!$A:$B,2,FALSE)</f>
        <v>DI</v>
      </c>
      <c r="U295" s="162" t="str">
        <f>_xlfn.IFNA(VLOOKUP(Table1[[#This Row],[MTP SKU Code]],'Audit Dimensions'!A:N,6,FALSE),"ARC")</f>
        <v>ARC</v>
      </c>
      <c r="V295" s="162" t="str">
        <f>IFERROR(Table1[[#This Row],[B1.Aud]]-Table1[[#This Row],[PW(gm)]],"ERR")</f>
        <v>ERR</v>
      </c>
      <c r="W295" s="165" t="str">
        <f>IFERROR(Table1[[#This Row],[B1.Diff]]/Table1[[#This Row],[B1.Aud]],"ERR")</f>
        <v>ERR</v>
      </c>
      <c r="X295" s="162" t="str">
        <f>_xlfn.IFNA(VLOOKUP(Table1[[#This Row],[MTP SKU Code]],'Audit Dimensions'!A:N,10,FALSE),"ARC")</f>
        <v>ARC</v>
      </c>
      <c r="Y295" s="163" t="str">
        <f>IFERROR(Table1[[#This Row],[B2.Aud]]-Table1[[#This Row],[PW(gm)5]],"ERR")</f>
        <v>ERR</v>
      </c>
      <c r="Z295" s="165" t="str">
        <f>IFERROR(Table1[[#This Row],[B2.Diff]]/Table1[[#This Row],[B2.Aud]],"NA")</f>
        <v>NA</v>
      </c>
      <c r="AA295" s="162" t="str">
        <f>_xlfn.IFNA(VLOOKUP(Table1[[#This Row],[MTP SKU Code]],'Audit Dimensions'!A:N,14,FALSE),"ARC")</f>
        <v>ARC</v>
      </c>
      <c r="AB295" s="161" t="str">
        <f>IFERROR(Table1[[#This Row],[B3.Aud]]-Table1[[#This Row],[PW(gm)9]],"ERR")</f>
        <v>ERR</v>
      </c>
      <c r="AC295" s="168" t="str">
        <f>IFERROR(Table1[[#This Row],[B3.Diff]]/Table1[[#This Row],[BaLL.Aud]],"ERR")</f>
        <v>ERR</v>
      </c>
      <c r="AD295" s="162" t="str">
        <f>_xlfn.IFNA(VLOOKUP(Table1[[#This Row],[MTP SKU Code]],'Audit Dimensions'!A:U,16,FALSE),"ARC")</f>
        <v>ARC</v>
      </c>
      <c r="AE295" s="165" t="str">
        <f>IFERROR(1-Table1[[#This Row],[Gms]]/Table1[[#This Row],[BaLL.Aud]],"ERR")</f>
        <v>ERR</v>
      </c>
    </row>
    <row r="296" spans="1:31" hidden="1">
      <c r="A296" s="68" t="s">
        <v>342</v>
      </c>
      <c r="B296" s="84" t="s">
        <v>48</v>
      </c>
      <c r="C296" s="85">
        <v>86</v>
      </c>
      <c r="D296" s="85">
        <v>60</v>
      </c>
      <c r="E296" s="85">
        <v>5</v>
      </c>
      <c r="F296" s="89">
        <v>8000</v>
      </c>
      <c r="G296" s="85"/>
      <c r="H296" s="85"/>
      <c r="I296" s="85"/>
      <c r="J296" s="85"/>
      <c r="K296" s="85"/>
      <c r="L296" s="85"/>
      <c r="M296" s="85"/>
      <c r="N296" s="85"/>
      <c r="O296" s="118">
        <f>((IFERROR((C296*D296*E296),0)+IFERROR((G296*H296*I296),0)+IFERROR((K296*L296*M296),0))/1000000)*35.32</f>
        <v>0.91125599999999995</v>
      </c>
      <c r="P296" s="125">
        <f>Table1[[#This Row],[Column15]]*$P$2*1000</f>
        <v>5467.5360000000001</v>
      </c>
      <c r="Q296" s="87">
        <f>F296+J296+N296</f>
        <v>8000</v>
      </c>
      <c r="R296" s="86">
        <f>MAX(Q296,O296)</f>
        <v>8000</v>
      </c>
      <c r="S296" s="86">
        <f>MAX(R296,P296)</f>
        <v>8000</v>
      </c>
      <c r="T296" s="156" t="str">
        <f>VLOOKUP(A296,'[1]MTP SKUs - Master Data'!$A:$B,2,FALSE)</f>
        <v>DI</v>
      </c>
      <c r="U296" s="162" t="str">
        <f>_xlfn.IFNA(VLOOKUP(Table1[[#This Row],[MTP SKU Code]],'Audit Dimensions'!A:N,6,FALSE),"ARC")</f>
        <v>ARC</v>
      </c>
      <c r="V296" s="162" t="str">
        <f>IFERROR(Table1[[#This Row],[B1.Aud]]-Table1[[#This Row],[PW(gm)]],"ERR")</f>
        <v>ERR</v>
      </c>
      <c r="W296" s="165" t="str">
        <f>IFERROR(Table1[[#This Row],[B1.Diff]]/Table1[[#This Row],[B1.Aud]],"ERR")</f>
        <v>ERR</v>
      </c>
      <c r="X296" s="162" t="str">
        <f>_xlfn.IFNA(VLOOKUP(Table1[[#This Row],[MTP SKU Code]],'Audit Dimensions'!A:N,10,FALSE),"ARC")</f>
        <v>ARC</v>
      </c>
      <c r="Y296" s="163" t="str">
        <f>IFERROR(Table1[[#This Row],[B2.Aud]]-Table1[[#This Row],[PW(gm)5]],"ERR")</f>
        <v>ERR</v>
      </c>
      <c r="Z296" s="165" t="str">
        <f>IFERROR(Table1[[#This Row],[B2.Diff]]/Table1[[#This Row],[B2.Aud]],"NA")</f>
        <v>NA</v>
      </c>
      <c r="AA296" s="162" t="str">
        <f>_xlfn.IFNA(VLOOKUP(Table1[[#This Row],[MTP SKU Code]],'Audit Dimensions'!A:N,14,FALSE),"ARC")</f>
        <v>ARC</v>
      </c>
      <c r="AB296" s="161" t="str">
        <f>IFERROR(Table1[[#This Row],[B3.Aud]]-Table1[[#This Row],[PW(gm)9]],"ERR")</f>
        <v>ERR</v>
      </c>
      <c r="AC296" s="168" t="str">
        <f>IFERROR(Table1[[#This Row],[B3.Diff]]/Table1[[#This Row],[BaLL.Aud]],"ERR")</f>
        <v>ERR</v>
      </c>
      <c r="AD296" s="162" t="str">
        <f>_xlfn.IFNA(VLOOKUP(Table1[[#This Row],[MTP SKU Code]],'Audit Dimensions'!A:U,16,FALSE),"ARC")</f>
        <v>ARC</v>
      </c>
      <c r="AE296" s="165" t="str">
        <f>IFERROR(1-Table1[[#This Row],[Gms]]/Table1[[#This Row],[BaLL.Aud]],"ERR")</f>
        <v>ERR</v>
      </c>
    </row>
    <row r="297" spans="1:31" hidden="1">
      <c r="A297" s="68" t="s">
        <v>343</v>
      </c>
      <c r="B297" s="84" t="s">
        <v>48</v>
      </c>
      <c r="C297" s="85"/>
      <c r="D297" s="85"/>
      <c r="E297" s="85"/>
      <c r="F297" s="89"/>
      <c r="G297" s="85"/>
      <c r="H297" s="85"/>
      <c r="I297" s="85"/>
      <c r="J297" s="85"/>
      <c r="K297" s="85"/>
      <c r="L297" s="85"/>
      <c r="M297" s="85"/>
      <c r="N297" s="85"/>
      <c r="O297" s="118">
        <f>((IFERROR((C297*D297*E297),0)+IFERROR((G297*H297*I297),0)+IFERROR((K297*L297*M297),0))/1000000)*35.32</f>
        <v>0</v>
      </c>
      <c r="P297" s="125">
        <f>Table1[[#This Row],[Column15]]*$P$2*1000</f>
        <v>0</v>
      </c>
      <c r="Q297" s="87">
        <f>F297+J297+N297</f>
        <v>0</v>
      </c>
      <c r="R297" s="86">
        <f>MAX(Q297,O297)</f>
        <v>0</v>
      </c>
      <c r="S297" s="86">
        <f>MAX(R297,P297)</f>
        <v>0</v>
      </c>
      <c r="T297" s="156" t="str">
        <f>VLOOKUP(A297,'[1]MTP SKUs - Master Data'!$A:$B,2,FALSE)</f>
        <v>DI</v>
      </c>
      <c r="U297" s="162" t="str">
        <f>_xlfn.IFNA(VLOOKUP(Table1[[#This Row],[MTP SKU Code]],'Audit Dimensions'!A:N,6,FALSE),"ARC")</f>
        <v>ARC</v>
      </c>
      <c r="V297" s="162" t="str">
        <f>IFERROR(Table1[[#This Row],[B1.Aud]]-Table1[[#This Row],[PW(gm)]],"ERR")</f>
        <v>ERR</v>
      </c>
      <c r="W297" s="165" t="str">
        <f>IFERROR(Table1[[#This Row],[B1.Diff]]/Table1[[#This Row],[B1.Aud]],"ERR")</f>
        <v>ERR</v>
      </c>
      <c r="X297" s="162" t="str">
        <f>_xlfn.IFNA(VLOOKUP(Table1[[#This Row],[MTP SKU Code]],'Audit Dimensions'!A:N,10,FALSE),"ARC")</f>
        <v>ARC</v>
      </c>
      <c r="Y297" s="163" t="str">
        <f>IFERROR(Table1[[#This Row],[B2.Aud]]-Table1[[#This Row],[PW(gm)5]],"ERR")</f>
        <v>ERR</v>
      </c>
      <c r="Z297" s="165" t="str">
        <f>IFERROR(Table1[[#This Row],[B2.Diff]]/Table1[[#This Row],[B2.Aud]],"NA")</f>
        <v>NA</v>
      </c>
      <c r="AA297" s="162" t="str">
        <f>_xlfn.IFNA(VLOOKUP(Table1[[#This Row],[MTP SKU Code]],'Audit Dimensions'!A:N,14,FALSE),"ARC")</f>
        <v>ARC</v>
      </c>
      <c r="AB297" s="161" t="str">
        <f>IFERROR(Table1[[#This Row],[B3.Aud]]-Table1[[#This Row],[PW(gm)9]],"ERR")</f>
        <v>ERR</v>
      </c>
      <c r="AC297" s="168" t="str">
        <f>IFERROR(Table1[[#This Row],[B3.Diff]]/Table1[[#This Row],[BaLL.Aud]],"ERR")</f>
        <v>ERR</v>
      </c>
      <c r="AD297" s="162" t="str">
        <f>_xlfn.IFNA(VLOOKUP(Table1[[#This Row],[MTP SKU Code]],'Audit Dimensions'!A:U,16,FALSE),"ARC")</f>
        <v>ARC</v>
      </c>
      <c r="AE297" s="165" t="str">
        <f>IFERROR(1-Table1[[#This Row],[Gms]]/Table1[[#This Row],[BaLL.Aud]],"ERR")</f>
        <v>ERR</v>
      </c>
    </row>
    <row r="298" spans="1:31" hidden="1">
      <c r="A298" s="68" t="s">
        <v>344</v>
      </c>
      <c r="B298" s="84" t="s">
        <v>48</v>
      </c>
      <c r="C298" s="85">
        <v>87</v>
      </c>
      <c r="D298" s="85">
        <v>59</v>
      </c>
      <c r="E298" s="85">
        <v>5</v>
      </c>
      <c r="F298" s="89">
        <v>6360</v>
      </c>
      <c r="G298" s="85"/>
      <c r="H298" s="85"/>
      <c r="I298" s="85"/>
      <c r="J298" s="85"/>
      <c r="K298" s="85"/>
      <c r="L298" s="85"/>
      <c r="M298" s="85"/>
      <c r="N298" s="85"/>
      <c r="O298" s="118">
        <f>((IFERROR((C298*D298*E298),0)+IFERROR((G298*H298*I298),0)+IFERROR((K298*L298*M298),0))/1000000)*35.32</f>
        <v>0.90648780000000007</v>
      </c>
      <c r="P298" s="125">
        <f>Table1[[#This Row],[Column15]]*$P$2*1000</f>
        <v>5438.9268000000011</v>
      </c>
      <c r="Q298" s="87">
        <f>F298+J298+N298</f>
        <v>6360</v>
      </c>
      <c r="R298" s="86">
        <f>MAX(Q298,O298)</f>
        <v>6360</v>
      </c>
      <c r="S298" s="86">
        <f>MAX(R298,P298)</f>
        <v>6360</v>
      </c>
      <c r="T298" s="156" t="str">
        <f>VLOOKUP(A298,'[1]MTP SKUs - Master Data'!$A:$B,2,FALSE)</f>
        <v>DI</v>
      </c>
      <c r="U298" s="162" t="str">
        <f>_xlfn.IFNA(VLOOKUP(Table1[[#This Row],[MTP SKU Code]],'Audit Dimensions'!A:N,6,FALSE),"ARC")</f>
        <v>ARC</v>
      </c>
      <c r="V298" s="162" t="str">
        <f>IFERROR(Table1[[#This Row],[B1.Aud]]-Table1[[#This Row],[PW(gm)]],"ERR")</f>
        <v>ERR</v>
      </c>
      <c r="W298" s="165" t="str">
        <f>IFERROR(Table1[[#This Row],[B1.Diff]]/Table1[[#This Row],[B1.Aud]],"ERR")</f>
        <v>ERR</v>
      </c>
      <c r="X298" s="162" t="str">
        <f>_xlfn.IFNA(VLOOKUP(Table1[[#This Row],[MTP SKU Code]],'Audit Dimensions'!A:N,10,FALSE),"ARC")</f>
        <v>ARC</v>
      </c>
      <c r="Y298" s="163" t="str">
        <f>IFERROR(Table1[[#This Row],[B2.Aud]]-Table1[[#This Row],[PW(gm)5]],"ERR")</f>
        <v>ERR</v>
      </c>
      <c r="Z298" s="165" t="str">
        <f>IFERROR(Table1[[#This Row],[B2.Diff]]/Table1[[#This Row],[B2.Aud]],"NA")</f>
        <v>NA</v>
      </c>
      <c r="AA298" s="162" t="str">
        <f>_xlfn.IFNA(VLOOKUP(Table1[[#This Row],[MTP SKU Code]],'Audit Dimensions'!A:N,14,FALSE),"ARC")</f>
        <v>ARC</v>
      </c>
      <c r="AB298" s="161" t="str">
        <f>IFERROR(Table1[[#This Row],[B3.Aud]]-Table1[[#This Row],[PW(gm)9]],"ERR")</f>
        <v>ERR</v>
      </c>
      <c r="AC298" s="168" t="str">
        <f>IFERROR(Table1[[#This Row],[B3.Diff]]/Table1[[#This Row],[BaLL.Aud]],"ERR")</f>
        <v>ERR</v>
      </c>
      <c r="AD298" s="162" t="str">
        <f>_xlfn.IFNA(VLOOKUP(Table1[[#This Row],[MTP SKU Code]],'Audit Dimensions'!A:U,16,FALSE),"ARC")</f>
        <v>ARC</v>
      </c>
      <c r="AE298" s="165" t="str">
        <f>IFERROR(1-Table1[[#This Row],[Gms]]/Table1[[#This Row],[BaLL.Aud]],"ERR")</f>
        <v>ERR</v>
      </c>
    </row>
    <row r="299" spans="1:31" hidden="1">
      <c r="A299" s="68" t="s">
        <v>345</v>
      </c>
      <c r="B299" s="84" t="s">
        <v>48</v>
      </c>
      <c r="C299" s="85">
        <v>55</v>
      </c>
      <c r="D299" s="85">
        <v>17</v>
      </c>
      <c r="E299" s="85">
        <v>5</v>
      </c>
      <c r="F299" s="89">
        <v>1790</v>
      </c>
      <c r="G299" s="85"/>
      <c r="H299" s="85"/>
      <c r="I299" s="85"/>
      <c r="J299" s="85"/>
      <c r="K299" s="85"/>
      <c r="L299" s="85"/>
      <c r="M299" s="85"/>
      <c r="N299" s="85"/>
      <c r="O299" s="118">
        <f>((IFERROR((C299*D299*E299),0)+IFERROR((G299*H299*I299),0)+IFERROR((K299*L299*M299),0))/1000000)*35.32</f>
        <v>0.16512100000000002</v>
      </c>
      <c r="P299" s="125">
        <f>Table1[[#This Row],[Column15]]*$P$2*1000</f>
        <v>990.72600000000011</v>
      </c>
      <c r="Q299" s="87">
        <f>F299+J299+N299</f>
        <v>1790</v>
      </c>
      <c r="R299" s="86">
        <f>MAX(Q299,O299)</f>
        <v>1790</v>
      </c>
      <c r="S299" s="86">
        <f>MAX(R299,P299)</f>
        <v>1790</v>
      </c>
      <c r="T299" s="156" t="str">
        <f>VLOOKUP(A299,'[1]MTP SKUs - Master Data'!$A:$B,2,FALSE)</f>
        <v>DI</v>
      </c>
      <c r="U299" s="162" t="str">
        <f>_xlfn.IFNA(VLOOKUP(Table1[[#This Row],[MTP SKU Code]],'Audit Dimensions'!A:N,6,FALSE),"ARC")</f>
        <v>ARC</v>
      </c>
      <c r="V299" s="162" t="str">
        <f>IFERROR(Table1[[#This Row],[B1.Aud]]-Table1[[#This Row],[PW(gm)]],"ERR")</f>
        <v>ERR</v>
      </c>
      <c r="W299" s="165" t="str">
        <f>IFERROR(Table1[[#This Row],[B1.Diff]]/Table1[[#This Row],[B1.Aud]],"ERR")</f>
        <v>ERR</v>
      </c>
      <c r="X299" s="162" t="str">
        <f>_xlfn.IFNA(VLOOKUP(Table1[[#This Row],[MTP SKU Code]],'Audit Dimensions'!A:N,10,FALSE),"ARC")</f>
        <v>ARC</v>
      </c>
      <c r="Y299" s="163" t="str">
        <f>IFERROR(Table1[[#This Row],[B2.Aud]]-Table1[[#This Row],[PW(gm)5]],"ERR")</f>
        <v>ERR</v>
      </c>
      <c r="Z299" s="165" t="str">
        <f>IFERROR(Table1[[#This Row],[B2.Diff]]/Table1[[#This Row],[B2.Aud]],"NA")</f>
        <v>NA</v>
      </c>
      <c r="AA299" s="162" t="str">
        <f>_xlfn.IFNA(VLOOKUP(Table1[[#This Row],[MTP SKU Code]],'Audit Dimensions'!A:N,14,FALSE),"ARC")</f>
        <v>ARC</v>
      </c>
      <c r="AB299" s="161" t="str">
        <f>IFERROR(Table1[[#This Row],[B3.Aud]]-Table1[[#This Row],[PW(gm)9]],"ERR")</f>
        <v>ERR</v>
      </c>
      <c r="AC299" s="168" t="str">
        <f>IFERROR(Table1[[#This Row],[B3.Diff]]/Table1[[#This Row],[BaLL.Aud]],"ERR")</f>
        <v>ERR</v>
      </c>
      <c r="AD299" s="162" t="str">
        <f>_xlfn.IFNA(VLOOKUP(Table1[[#This Row],[MTP SKU Code]],'Audit Dimensions'!A:U,16,FALSE),"ARC")</f>
        <v>ARC</v>
      </c>
      <c r="AE299" s="165" t="str">
        <f>IFERROR(1-Table1[[#This Row],[Gms]]/Table1[[#This Row],[BaLL.Aud]],"ERR")</f>
        <v>ERR</v>
      </c>
    </row>
    <row r="300" spans="1:31" hidden="1">
      <c r="A300" s="68" t="s">
        <v>346</v>
      </c>
      <c r="B300" s="84" t="s">
        <v>48</v>
      </c>
      <c r="C300" s="85">
        <v>35</v>
      </c>
      <c r="D300" s="85">
        <v>30</v>
      </c>
      <c r="E300" s="85">
        <v>9</v>
      </c>
      <c r="F300" s="89">
        <v>3725</v>
      </c>
      <c r="G300" s="85"/>
      <c r="H300" s="85"/>
      <c r="I300" s="85"/>
      <c r="J300" s="85"/>
      <c r="K300" s="85"/>
      <c r="L300" s="85"/>
      <c r="M300" s="85"/>
      <c r="N300" s="85"/>
      <c r="O300" s="118">
        <f>((IFERROR((C300*D300*E300),0)+IFERROR((G300*H300*I300),0)+IFERROR((K300*L300*M300),0))/1000000)*35.32</f>
        <v>0.33377400000000002</v>
      </c>
      <c r="P300" s="125">
        <f>Table1[[#This Row],[Column15]]*$P$2*1000</f>
        <v>2002.644</v>
      </c>
      <c r="Q300" s="87">
        <f>F300+J300+N300</f>
        <v>3725</v>
      </c>
      <c r="R300" s="86">
        <f>MAX(Q300,O300)</f>
        <v>3725</v>
      </c>
      <c r="S300" s="86">
        <f>MAX(R300,P300)</f>
        <v>3725</v>
      </c>
      <c r="T300" s="156" t="str">
        <f>VLOOKUP(A300,'[1]MTP SKUs - Master Data'!$A:$B,2,FALSE)</f>
        <v>DI</v>
      </c>
      <c r="U300" s="162" t="str">
        <f>_xlfn.IFNA(VLOOKUP(Table1[[#This Row],[MTP SKU Code]],'Audit Dimensions'!A:N,6,FALSE),"ARC")</f>
        <v>ARC</v>
      </c>
      <c r="V300" s="162" t="str">
        <f>IFERROR(Table1[[#This Row],[B1.Aud]]-Table1[[#This Row],[PW(gm)]],"ERR")</f>
        <v>ERR</v>
      </c>
      <c r="W300" s="165" t="str">
        <f>IFERROR(Table1[[#This Row],[B1.Diff]]/Table1[[#This Row],[B1.Aud]],"ERR")</f>
        <v>ERR</v>
      </c>
      <c r="X300" s="162" t="str">
        <f>_xlfn.IFNA(VLOOKUP(Table1[[#This Row],[MTP SKU Code]],'Audit Dimensions'!A:N,10,FALSE),"ARC")</f>
        <v>ARC</v>
      </c>
      <c r="Y300" s="163" t="str">
        <f>IFERROR(Table1[[#This Row],[B2.Aud]]-Table1[[#This Row],[PW(gm)5]],"ERR")</f>
        <v>ERR</v>
      </c>
      <c r="Z300" s="165" t="str">
        <f>IFERROR(Table1[[#This Row],[B2.Diff]]/Table1[[#This Row],[B2.Aud]],"NA")</f>
        <v>NA</v>
      </c>
      <c r="AA300" s="162" t="str">
        <f>_xlfn.IFNA(VLOOKUP(Table1[[#This Row],[MTP SKU Code]],'Audit Dimensions'!A:N,14,FALSE),"ARC")</f>
        <v>ARC</v>
      </c>
      <c r="AB300" s="161" t="str">
        <f>IFERROR(Table1[[#This Row],[B3.Aud]]-Table1[[#This Row],[PW(gm)9]],"ERR")</f>
        <v>ERR</v>
      </c>
      <c r="AC300" s="168" t="str">
        <f>IFERROR(Table1[[#This Row],[B3.Diff]]/Table1[[#This Row],[BaLL.Aud]],"ERR")</f>
        <v>ERR</v>
      </c>
      <c r="AD300" s="162" t="str">
        <f>_xlfn.IFNA(VLOOKUP(Table1[[#This Row],[MTP SKU Code]],'Audit Dimensions'!A:U,16,FALSE),"ARC")</f>
        <v>ARC</v>
      </c>
      <c r="AE300" s="165" t="str">
        <f>IFERROR(1-Table1[[#This Row],[Gms]]/Table1[[#This Row],[BaLL.Aud]],"ERR")</f>
        <v>ERR</v>
      </c>
    </row>
    <row r="301" spans="1:31" hidden="1">
      <c r="A301" s="68" t="s">
        <v>347</v>
      </c>
      <c r="B301" s="84" t="s">
        <v>48</v>
      </c>
      <c r="C301" s="85">
        <v>69</v>
      </c>
      <c r="D301" s="85">
        <v>28</v>
      </c>
      <c r="E301" s="85">
        <v>6</v>
      </c>
      <c r="F301" s="89">
        <v>5000</v>
      </c>
      <c r="G301" s="85"/>
      <c r="H301" s="85"/>
      <c r="I301" s="85"/>
      <c r="J301" s="85"/>
      <c r="K301" s="85"/>
      <c r="L301" s="85"/>
      <c r="M301" s="85"/>
      <c r="N301" s="85"/>
      <c r="O301" s="118">
        <f>((IFERROR((C301*D301*E301),0)+IFERROR((G301*H301*I301),0)+IFERROR((K301*L301*M301),0))/1000000)*35.32</f>
        <v>0.40942943999999998</v>
      </c>
      <c r="P301" s="125">
        <f>Table1[[#This Row],[Column15]]*$P$2*1000</f>
        <v>2456.5766399999998</v>
      </c>
      <c r="Q301" s="87">
        <f>F301+J301+N301</f>
        <v>5000</v>
      </c>
      <c r="R301" s="86">
        <f>MAX(Q301,O301)</f>
        <v>5000</v>
      </c>
      <c r="S301" s="86">
        <f>MAX(R301,P301)</f>
        <v>5000</v>
      </c>
      <c r="T301" s="156" t="str">
        <f>VLOOKUP(A301,'[1]MTP SKUs - Master Data'!$A:$B,2,FALSE)</f>
        <v>DI</v>
      </c>
      <c r="U301" s="162" t="str">
        <f>_xlfn.IFNA(VLOOKUP(Table1[[#This Row],[MTP SKU Code]],'Audit Dimensions'!A:N,6,FALSE),"ARC")</f>
        <v>ARC</v>
      </c>
      <c r="V301" s="162" t="str">
        <f>IFERROR(Table1[[#This Row],[B1.Aud]]-Table1[[#This Row],[PW(gm)]],"ERR")</f>
        <v>ERR</v>
      </c>
      <c r="W301" s="165" t="str">
        <f>IFERROR(Table1[[#This Row],[B1.Diff]]/Table1[[#This Row],[B1.Aud]],"ERR")</f>
        <v>ERR</v>
      </c>
      <c r="X301" s="162" t="str">
        <f>_xlfn.IFNA(VLOOKUP(Table1[[#This Row],[MTP SKU Code]],'Audit Dimensions'!A:N,10,FALSE),"ARC")</f>
        <v>ARC</v>
      </c>
      <c r="Y301" s="163" t="str">
        <f>IFERROR(Table1[[#This Row],[B2.Aud]]-Table1[[#This Row],[PW(gm)5]],"ERR")</f>
        <v>ERR</v>
      </c>
      <c r="Z301" s="165" t="str">
        <f>IFERROR(Table1[[#This Row],[B2.Diff]]/Table1[[#This Row],[B2.Aud]],"NA")</f>
        <v>NA</v>
      </c>
      <c r="AA301" s="162" t="str">
        <f>_xlfn.IFNA(VLOOKUP(Table1[[#This Row],[MTP SKU Code]],'Audit Dimensions'!A:N,14,FALSE),"ARC")</f>
        <v>ARC</v>
      </c>
      <c r="AB301" s="161" t="str">
        <f>IFERROR(Table1[[#This Row],[B3.Aud]]-Table1[[#This Row],[PW(gm)9]],"ERR")</f>
        <v>ERR</v>
      </c>
      <c r="AC301" s="168" t="str">
        <f>IFERROR(Table1[[#This Row],[B3.Diff]]/Table1[[#This Row],[BaLL.Aud]],"ERR")</f>
        <v>ERR</v>
      </c>
      <c r="AD301" s="162" t="str">
        <f>_xlfn.IFNA(VLOOKUP(Table1[[#This Row],[MTP SKU Code]],'Audit Dimensions'!A:U,16,FALSE),"ARC")</f>
        <v>ARC</v>
      </c>
      <c r="AE301" s="165" t="str">
        <f>IFERROR(1-Table1[[#This Row],[Gms]]/Table1[[#This Row],[BaLL.Aud]],"ERR")</f>
        <v>ERR</v>
      </c>
    </row>
    <row r="302" spans="1:31" hidden="1">
      <c r="A302" s="68" t="s">
        <v>348</v>
      </c>
      <c r="B302" s="84" t="s">
        <v>48</v>
      </c>
      <c r="C302" s="85">
        <v>149</v>
      </c>
      <c r="D302" s="85">
        <v>46</v>
      </c>
      <c r="E302" s="85">
        <v>7</v>
      </c>
      <c r="F302" s="89">
        <v>23500</v>
      </c>
      <c r="G302" s="85"/>
      <c r="H302" s="85"/>
      <c r="I302" s="85"/>
      <c r="J302" s="85"/>
      <c r="K302" s="85"/>
      <c r="L302" s="85"/>
      <c r="M302" s="85"/>
      <c r="N302" s="85"/>
      <c r="O302" s="118">
        <f>((IFERROR((C302*D302*E302),0)+IFERROR((G302*H302*I302),0)+IFERROR((K302*L302*M302),0))/1000000)*35.32</f>
        <v>1.69458296</v>
      </c>
      <c r="P302" s="125">
        <f>Table1[[#This Row],[Column15]]*$P$2*1000</f>
        <v>10167.49776</v>
      </c>
      <c r="Q302" s="87">
        <f>F302+J302+N302</f>
        <v>23500</v>
      </c>
      <c r="R302" s="86">
        <f>MAX(Q302,O302)</f>
        <v>23500</v>
      </c>
      <c r="S302" s="86">
        <f>MAX(R302,P302)</f>
        <v>23500</v>
      </c>
      <c r="T302" s="156" t="str">
        <f>VLOOKUP(A302,'[1]MTP SKUs - Master Data'!$A:$B,2,FALSE)</f>
        <v>DI</v>
      </c>
      <c r="U302" s="162" t="str">
        <f>_xlfn.IFNA(VLOOKUP(Table1[[#This Row],[MTP SKU Code]],'Audit Dimensions'!A:N,6,FALSE),"ARC")</f>
        <v>ARC</v>
      </c>
      <c r="V302" s="162" t="str">
        <f>IFERROR(Table1[[#This Row],[B1.Aud]]-Table1[[#This Row],[PW(gm)]],"ERR")</f>
        <v>ERR</v>
      </c>
      <c r="W302" s="165" t="str">
        <f>IFERROR(Table1[[#This Row],[B1.Diff]]/Table1[[#This Row],[B1.Aud]],"ERR")</f>
        <v>ERR</v>
      </c>
      <c r="X302" s="162" t="str">
        <f>_xlfn.IFNA(VLOOKUP(Table1[[#This Row],[MTP SKU Code]],'Audit Dimensions'!A:N,10,FALSE),"ARC")</f>
        <v>ARC</v>
      </c>
      <c r="Y302" s="163" t="str">
        <f>IFERROR(Table1[[#This Row],[B2.Aud]]-Table1[[#This Row],[PW(gm)5]],"ERR")</f>
        <v>ERR</v>
      </c>
      <c r="Z302" s="165" t="str">
        <f>IFERROR(Table1[[#This Row],[B2.Diff]]/Table1[[#This Row],[B2.Aud]],"NA")</f>
        <v>NA</v>
      </c>
      <c r="AA302" s="162" t="str">
        <f>_xlfn.IFNA(VLOOKUP(Table1[[#This Row],[MTP SKU Code]],'Audit Dimensions'!A:N,14,FALSE),"ARC")</f>
        <v>ARC</v>
      </c>
      <c r="AB302" s="161" t="str">
        <f>IFERROR(Table1[[#This Row],[B3.Aud]]-Table1[[#This Row],[PW(gm)9]],"ERR")</f>
        <v>ERR</v>
      </c>
      <c r="AC302" s="168" t="str">
        <f>IFERROR(Table1[[#This Row],[B3.Diff]]/Table1[[#This Row],[BaLL.Aud]],"ERR")</f>
        <v>ERR</v>
      </c>
      <c r="AD302" s="162" t="str">
        <f>_xlfn.IFNA(VLOOKUP(Table1[[#This Row],[MTP SKU Code]],'Audit Dimensions'!A:U,16,FALSE),"ARC")</f>
        <v>ARC</v>
      </c>
      <c r="AE302" s="165" t="str">
        <f>IFERROR(1-Table1[[#This Row],[Gms]]/Table1[[#This Row],[BaLL.Aud]],"ERR")</f>
        <v>ERR</v>
      </c>
    </row>
    <row r="303" spans="1:31" hidden="1">
      <c r="A303" s="68" t="s">
        <v>349</v>
      </c>
      <c r="B303" s="84" t="s">
        <v>48</v>
      </c>
      <c r="C303" s="85">
        <v>85</v>
      </c>
      <c r="D303" s="85">
        <v>29</v>
      </c>
      <c r="E303" s="85">
        <v>6</v>
      </c>
      <c r="F303" s="89">
        <v>6000</v>
      </c>
      <c r="G303" s="85"/>
      <c r="H303" s="85"/>
      <c r="I303" s="85"/>
      <c r="J303" s="85"/>
      <c r="K303" s="85"/>
      <c r="L303" s="85"/>
      <c r="M303" s="85"/>
      <c r="N303" s="85"/>
      <c r="O303" s="118">
        <f>((IFERROR((C303*D303*E303),0)+IFERROR((G303*H303*I303),0)+IFERROR((K303*L303*M303),0))/1000000)*35.32</f>
        <v>0.52238279999999992</v>
      </c>
      <c r="P303" s="125">
        <f>Table1[[#This Row],[Column15]]*$P$2*1000</f>
        <v>3134.2967999999996</v>
      </c>
      <c r="Q303" s="87">
        <f>F303+J303+N303</f>
        <v>6000</v>
      </c>
      <c r="R303" s="86">
        <f>MAX(Q303,O303)</f>
        <v>6000</v>
      </c>
      <c r="S303" s="86">
        <f>MAX(R303,P303)</f>
        <v>6000</v>
      </c>
      <c r="T303" s="156" t="str">
        <f>VLOOKUP(A303,'[1]MTP SKUs - Master Data'!$A:$B,2,FALSE)</f>
        <v>DI</v>
      </c>
      <c r="U303" s="162" t="str">
        <f>_xlfn.IFNA(VLOOKUP(Table1[[#This Row],[MTP SKU Code]],'Audit Dimensions'!A:N,6,FALSE),"ARC")</f>
        <v>ARC</v>
      </c>
      <c r="V303" s="162" t="str">
        <f>IFERROR(Table1[[#This Row],[B1.Aud]]-Table1[[#This Row],[PW(gm)]],"ERR")</f>
        <v>ERR</v>
      </c>
      <c r="W303" s="165" t="str">
        <f>IFERROR(Table1[[#This Row],[B1.Diff]]/Table1[[#This Row],[B1.Aud]],"ERR")</f>
        <v>ERR</v>
      </c>
      <c r="X303" s="162" t="str">
        <f>_xlfn.IFNA(VLOOKUP(Table1[[#This Row],[MTP SKU Code]],'Audit Dimensions'!A:N,10,FALSE),"ARC")</f>
        <v>ARC</v>
      </c>
      <c r="Y303" s="163" t="str">
        <f>IFERROR(Table1[[#This Row],[B2.Aud]]-Table1[[#This Row],[PW(gm)5]],"ERR")</f>
        <v>ERR</v>
      </c>
      <c r="Z303" s="165" t="str">
        <f>IFERROR(Table1[[#This Row],[B2.Diff]]/Table1[[#This Row],[B2.Aud]],"NA")</f>
        <v>NA</v>
      </c>
      <c r="AA303" s="162" t="str">
        <f>_xlfn.IFNA(VLOOKUP(Table1[[#This Row],[MTP SKU Code]],'Audit Dimensions'!A:N,14,FALSE),"ARC")</f>
        <v>ARC</v>
      </c>
      <c r="AB303" s="161" t="str">
        <f>IFERROR(Table1[[#This Row],[B3.Aud]]-Table1[[#This Row],[PW(gm)9]],"ERR")</f>
        <v>ERR</v>
      </c>
      <c r="AC303" s="168" t="str">
        <f>IFERROR(Table1[[#This Row],[B3.Diff]]/Table1[[#This Row],[BaLL.Aud]],"ERR")</f>
        <v>ERR</v>
      </c>
      <c r="AD303" s="162" t="str">
        <f>_xlfn.IFNA(VLOOKUP(Table1[[#This Row],[MTP SKU Code]],'Audit Dimensions'!A:U,16,FALSE),"ARC")</f>
        <v>ARC</v>
      </c>
      <c r="AE303" s="165" t="str">
        <f>IFERROR(1-Table1[[#This Row],[Gms]]/Table1[[#This Row],[BaLL.Aud]],"ERR")</f>
        <v>ERR</v>
      </c>
    </row>
    <row r="304" spans="1:31" hidden="1">
      <c r="A304" s="68" t="s">
        <v>350</v>
      </c>
      <c r="B304" s="84" t="s">
        <v>48</v>
      </c>
      <c r="C304" s="85">
        <v>127</v>
      </c>
      <c r="D304" s="85">
        <v>46</v>
      </c>
      <c r="E304" s="85">
        <v>7</v>
      </c>
      <c r="F304" s="89">
        <v>22400</v>
      </c>
      <c r="G304" s="85"/>
      <c r="H304" s="85"/>
      <c r="I304" s="85"/>
      <c r="J304" s="85"/>
      <c r="K304" s="85"/>
      <c r="L304" s="85"/>
      <c r="M304" s="85"/>
      <c r="N304" s="85"/>
      <c r="O304" s="118">
        <f>((IFERROR((C304*D304*E304),0)+IFERROR((G304*H304*I304),0)+IFERROR((K304*L304*M304),0))/1000000)*35.32</f>
        <v>1.4443760800000001</v>
      </c>
      <c r="P304" s="125">
        <f>Table1[[#This Row],[Column15]]*$P$2*1000</f>
        <v>8666.2564800000018</v>
      </c>
      <c r="Q304" s="87">
        <f>F304+J304+N304</f>
        <v>22400</v>
      </c>
      <c r="R304" s="86">
        <f>MAX(Q304,O304)</f>
        <v>22400</v>
      </c>
      <c r="S304" s="86">
        <f>MAX(R304,P304)</f>
        <v>22400</v>
      </c>
      <c r="T304" s="156" t="str">
        <f>VLOOKUP(A304,'[1]MTP SKUs - Master Data'!$A:$B,2,FALSE)</f>
        <v>DI</v>
      </c>
      <c r="U304" s="162" t="str">
        <f>_xlfn.IFNA(VLOOKUP(Table1[[#This Row],[MTP SKU Code]],'Audit Dimensions'!A:N,6,FALSE),"ARC")</f>
        <v>ARC</v>
      </c>
      <c r="V304" s="162" t="str">
        <f>IFERROR(Table1[[#This Row],[B1.Aud]]-Table1[[#This Row],[PW(gm)]],"ERR")</f>
        <v>ERR</v>
      </c>
      <c r="W304" s="165" t="str">
        <f>IFERROR(Table1[[#This Row],[B1.Diff]]/Table1[[#This Row],[B1.Aud]],"ERR")</f>
        <v>ERR</v>
      </c>
      <c r="X304" s="162" t="str">
        <f>_xlfn.IFNA(VLOOKUP(Table1[[#This Row],[MTP SKU Code]],'Audit Dimensions'!A:N,10,FALSE),"ARC")</f>
        <v>ARC</v>
      </c>
      <c r="Y304" s="163" t="str">
        <f>IFERROR(Table1[[#This Row],[B2.Aud]]-Table1[[#This Row],[PW(gm)5]],"ERR")</f>
        <v>ERR</v>
      </c>
      <c r="Z304" s="165" t="str">
        <f>IFERROR(Table1[[#This Row],[B2.Diff]]/Table1[[#This Row],[B2.Aud]],"NA")</f>
        <v>NA</v>
      </c>
      <c r="AA304" s="162" t="str">
        <f>_xlfn.IFNA(VLOOKUP(Table1[[#This Row],[MTP SKU Code]],'Audit Dimensions'!A:N,14,FALSE),"ARC")</f>
        <v>ARC</v>
      </c>
      <c r="AB304" s="161" t="str">
        <f>IFERROR(Table1[[#This Row],[B3.Aud]]-Table1[[#This Row],[PW(gm)9]],"ERR")</f>
        <v>ERR</v>
      </c>
      <c r="AC304" s="168" t="str">
        <f>IFERROR(Table1[[#This Row],[B3.Diff]]/Table1[[#This Row],[BaLL.Aud]],"ERR")</f>
        <v>ERR</v>
      </c>
      <c r="AD304" s="162" t="str">
        <f>_xlfn.IFNA(VLOOKUP(Table1[[#This Row],[MTP SKU Code]],'Audit Dimensions'!A:U,16,FALSE),"ARC")</f>
        <v>ARC</v>
      </c>
      <c r="AE304" s="165" t="str">
        <f>IFERROR(1-Table1[[#This Row],[Gms]]/Table1[[#This Row],[BaLL.Aud]],"ERR")</f>
        <v>ERR</v>
      </c>
    </row>
    <row r="305" spans="1:31" hidden="1">
      <c r="A305" s="68" t="s">
        <v>351</v>
      </c>
      <c r="B305" s="84" t="s">
        <v>296</v>
      </c>
      <c r="C305" s="85"/>
      <c r="D305" s="85"/>
      <c r="E305" s="85"/>
      <c r="F305" s="89"/>
      <c r="G305" s="85"/>
      <c r="H305" s="85"/>
      <c r="I305" s="85"/>
      <c r="J305" s="85"/>
      <c r="K305" s="85"/>
      <c r="L305" s="85"/>
      <c r="M305" s="85"/>
      <c r="N305" s="85"/>
      <c r="O305" s="118">
        <f>((IFERROR((C305*D305*E305),0)+IFERROR((G305*H305*I305),0)+IFERROR((K305*L305*M305),0))/1000000)*35.32</f>
        <v>0</v>
      </c>
      <c r="P305" s="125">
        <f>Table1[[#This Row],[Column15]]*$P$2*1000</f>
        <v>0</v>
      </c>
      <c r="Q305" s="87">
        <f>F305+J305+N305</f>
        <v>0</v>
      </c>
      <c r="R305" s="86">
        <f>MAX(Q305,O305)</f>
        <v>0</v>
      </c>
      <c r="S305" s="86">
        <f>MAX(R305,P305)</f>
        <v>0</v>
      </c>
      <c r="T305" s="156" t="str">
        <f>VLOOKUP(A305,'[1]MTP SKUs - Master Data'!$A:$B,2,FALSE)</f>
        <v>DI</v>
      </c>
      <c r="U305" s="162" t="str">
        <f>_xlfn.IFNA(VLOOKUP(Table1[[#This Row],[MTP SKU Code]],'Audit Dimensions'!A:N,6,FALSE),"ARC")</f>
        <v>ARC</v>
      </c>
      <c r="V305" s="162" t="str">
        <f>IFERROR(Table1[[#This Row],[B1.Aud]]-Table1[[#This Row],[PW(gm)]],"ERR")</f>
        <v>ERR</v>
      </c>
      <c r="W305" s="165" t="str">
        <f>IFERROR(Table1[[#This Row],[B1.Diff]]/Table1[[#This Row],[B1.Aud]],"ERR")</f>
        <v>ERR</v>
      </c>
      <c r="X305" s="162" t="str">
        <f>_xlfn.IFNA(VLOOKUP(Table1[[#This Row],[MTP SKU Code]],'Audit Dimensions'!A:N,10,FALSE),"ARC")</f>
        <v>ARC</v>
      </c>
      <c r="Y305" s="163" t="str">
        <f>IFERROR(Table1[[#This Row],[B2.Aud]]-Table1[[#This Row],[PW(gm)5]],"ERR")</f>
        <v>ERR</v>
      </c>
      <c r="Z305" s="165" t="str">
        <f>IFERROR(Table1[[#This Row],[B2.Diff]]/Table1[[#This Row],[B2.Aud]],"NA")</f>
        <v>NA</v>
      </c>
      <c r="AA305" s="162" t="str">
        <f>_xlfn.IFNA(VLOOKUP(Table1[[#This Row],[MTP SKU Code]],'Audit Dimensions'!A:N,14,FALSE),"ARC")</f>
        <v>ARC</v>
      </c>
      <c r="AB305" s="161" t="str">
        <f>IFERROR(Table1[[#This Row],[B3.Aud]]-Table1[[#This Row],[PW(gm)9]],"ERR")</f>
        <v>ERR</v>
      </c>
      <c r="AC305" s="168" t="str">
        <f>IFERROR(Table1[[#This Row],[B3.Diff]]/Table1[[#This Row],[BaLL.Aud]],"ERR")</f>
        <v>ERR</v>
      </c>
      <c r="AD305" s="162" t="str">
        <f>_xlfn.IFNA(VLOOKUP(Table1[[#This Row],[MTP SKU Code]],'Audit Dimensions'!A:U,16,FALSE),"ARC")</f>
        <v>ARC</v>
      </c>
      <c r="AE305" s="165" t="str">
        <f>IFERROR(1-Table1[[#This Row],[Gms]]/Table1[[#This Row],[BaLL.Aud]],"ERR")</f>
        <v>ERR</v>
      </c>
    </row>
    <row r="306" spans="1:31" hidden="1">
      <c r="A306" s="90" t="s">
        <v>352</v>
      </c>
      <c r="B306" s="84" t="s">
        <v>48</v>
      </c>
      <c r="C306" s="85">
        <v>136</v>
      </c>
      <c r="D306" s="85">
        <v>35</v>
      </c>
      <c r="E306" s="85">
        <v>8</v>
      </c>
      <c r="F306" s="89">
        <v>17600</v>
      </c>
      <c r="G306" s="85"/>
      <c r="H306" s="85"/>
      <c r="I306" s="85"/>
      <c r="J306" s="85"/>
      <c r="K306" s="85"/>
      <c r="L306" s="85"/>
      <c r="M306" s="85"/>
      <c r="N306" s="85"/>
      <c r="O306" s="118">
        <f>((IFERROR((C306*D306*E306),0)+IFERROR((G306*H306*I306),0)+IFERROR((K306*L306*M306),0))/1000000)*35.32</f>
        <v>1.3449856</v>
      </c>
      <c r="P306" s="125">
        <f>Table1[[#This Row],[Column15]]*$P$2*1000</f>
        <v>8069.9135999999999</v>
      </c>
      <c r="Q306" s="87">
        <f>F306+J306+N306</f>
        <v>17600</v>
      </c>
      <c r="R306" s="86">
        <f>MAX(Q306,O306)</f>
        <v>17600</v>
      </c>
      <c r="S306" s="86">
        <f>MAX(R306,P306)</f>
        <v>17600</v>
      </c>
      <c r="T306" s="156" t="str">
        <f>VLOOKUP(A306,'[1]MTP SKUs - Master Data'!$A:$B,2,FALSE)</f>
        <v>DI</v>
      </c>
      <c r="U306" s="162" t="str">
        <f>_xlfn.IFNA(VLOOKUP(Table1[[#This Row],[MTP SKU Code]],'Audit Dimensions'!A:N,6,FALSE),"ARC")</f>
        <v>0</v>
      </c>
      <c r="V306" s="162">
        <f>IFERROR(Table1[[#This Row],[B1.Aud]]-Table1[[#This Row],[PW(gm)]],"ERR")</f>
        <v>-17600</v>
      </c>
      <c r="W306" s="165" t="str">
        <f>IFERROR(Table1[[#This Row],[B1.Diff]]/Table1[[#This Row],[B1.Aud]],"ERR")</f>
        <v>ERR</v>
      </c>
      <c r="X306" s="162" t="str">
        <f>_xlfn.IFNA(VLOOKUP(Table1[[#This Row],[MTP SKU Code]],'Audit Dimensions'!A:N,10,FALSE),"ARC")</f>
        <v>0</v>
      </c>
      <c r="Y306" s="163">
        <f>IFERROR(Table1[[#This Row],[B2.Aud]]-Table1[[#This Row],[PW(gm)5]],"ERR")</f>
        <v>0</v>
      </c>
      <c r="Z306" s="165" t="str">
        <f>IFERROR(Table1[[#This Row],[B2.Diff]]/Table1[[#This Row],[B2.Aud]],"NA")</f>
        <v>NA</v>
      </c>
      <c r="AA306" s="162" t="str">
        <f>_xlfn.IFNA(VLOOKUP(Table1[[#This Row],[MTP SKU Code]],'Audit Dimensions'!A:N,14,FALSE),"ARC")</f>
        <v>0</v>
      </c>
      <c r="AB306" s="161">
        <f>IFERROR(Table1[[#This Row],[B3.Aud]]-Table1[[#This Row],[PW(gm)9]],"ERR")</f>
        <v>0</v>
      </c>
      <c r="AC306" s="168" t="str">
        <f>IFERROR(Table1[[#This Row],[B3.Diff]]/Table1[[#This Row],[BaLL.Aud]],"ERR")</f>
        <v>ERR</v>
      </c>
      <c r="AD306" s="162">
        <f>_xlfn.IFNA(VLOOKUP(Table1[[#This Row],[MTP SKU Code]],'Audit Dimensions'!A:U,16,FALSE),"ARC")</f>
        <v>0</v>
      </c>
      <c r="AE306" s="165" t="str">
        <f>IFERROR(1-Table1[[#This Row],[Gms]]/Table1[[#This Row],[BaLL.Aud]],"ERR")</f>
        <v>ERR</v>
      </c>
    </row>
    <row r="307" spans="1:31" hidden="1">
      <c r="A307" s="68" t="s">
        <v>353</v>
      </c>
      <c r="B307" s="84" t="s">
        <v>48</v>
      </c>
      <c r="C307" s="85">
        <v>126</v>
      </c>
      <c r="D307" s="85">
        <v>29</v>
      </c>
      <c r="E307" s="85">
        <v>6</v>
      </c>
      <c r="F307" s="89">
        <v>7700</v>
      </c>
      <c r="G307" s="85"/>
      <c r="H307" s="85"/>
      <c r="I307" s="85"/>
      <c r="J307" s="85"/>
      <c r="K307" s="85"/>
      <c r="L307" s="85"/>
      <c r="M307" s="85"/>
      <c r="N307" s="85"/>
      <c r="O307" s="118">
        <f>((IFERROR((C307*D307*E307),0)+IFERROR((G307*H307*I307),0)+IFERROR((K307*L307*M307),0))/1000000)*35.32</f>
        <v>0.77435567999999999</v>
      </c>
      <c r="P307" s="125">
        <f>Table1[[#This Row],[Column15]]*$P$2*1000</f>
        <v>4646.1340799999998</v>
      </c>
      <c r="Q307" s="87">
        <f>F307+J307+N307</f>
        <v>7700</v>
      </c>
      <c r="R307" s="86">
        <f>MAX(Q307,O307)</f>
        <v>7700</v>
      </c>
      <c r="S307" s="86">
        <f>MAX(R307,P307)</f>
        <v>7700</v>
      </c>
      <c r="T307" s="156" t="str">
        <f>VLOOKUP(A307,'[1]MTP SKUs - Master Data'!$A:$B,2,FALSE)</f>
        <v>DI</v>
      </c>
      <c r="U307" s="162" t="str">
        <f>_xlfn.IFNA(VLOOKUP(Table1[[#This Row],[MTP SKU Code]],'Audit Dimensions'!A:N,6,FALSE),"ARC")</f>
        <v>ARC</v>
      </c>
      <c r="V307" s="162" t="str">
        <f>IFERROR(Table1[[#This Row],[B1.Aud]]-Table1[[#This Row],[PW(gm)]],"ERR")</f>
        <v>ERR</v>
      </c>
      <c r="W307" s="165" t="str">
        <f>IFERROR(Table1[[#This Row],[B1.Diff]]/Table1[[#This Row],[B1.Aud]],"ERR")</f>
        <v>ERR</v>
      </c>
      <c r="X307" s="162" t="str">
        <f>_xlfn.IFNA(VLOOKUP(Table1[[#This Row],[MTP SKU Code]],'Audit Dimensions'!A:N,10,FALSE),"ARC")</f>
        <v>ARC</v>
      </c>
      <c r="Y307" s="163" t="str">
        <f>IFERROR(Table1[[#This Row],[B2.Aud]]-Table1[[#This Row],[PW(gm)5]],"ERR")</f>
        <v>ERR</v>
      </c>
      <c r="Z307" s="165" t="str">
        <f>IFERROR(Table1[[#This Row],[B2.Diff]]/Table1[[#This Row],[B2.Aud]],"NA")</f>
        <v>NA</v>
      </c>
      <c r="AA307" s="162" t="str">
        <f>_xlfn.IFNA(VLOOKUP(Table1[[#This Row],[MTP SKU Code]],'Audit Dimensions'!A:N,14,FALSE),"ARC")</f>
        <v>ARC</v>
      </c>
      <c r="AB307" s="161" t="str">
        <f>IFERROR(Table1[[#This Row],[B3.Aud]]-Table1[[#This Row],[PW(gm)9]],"ERR")</f>
        <v>ERR</v>
      </c>
      <c r="AC307" s="168" t="str">
        <f>IFERROR(Table1[[#This Row],[B3.Diff]]/Table1[[#This Row],[BaLL.Aud]],"ERR")</f>
        <v>ERR</v>
      </c>
      <c r="AD307" s="162" t="str">
        <f>_xlfn.IFNA(VLOOKUP(Table1[[#This Row],[MTP SKU Code]],'Audit Dimensions'!A:U,16,FALSE),"ARC")</f>
        <v>ARC</v>
      </c>
      <c r="AE307" s="165" t="str">
        <f>IFERROR(1-Table1[[#This Row],[Gms]]/Table1[[#This Row],[BaLL.Aud]],"ERR")</f>
        <v>ERR</v>
      </c>
    </row>
    <row r="308" spans="1:31" hidden="1">
      <c r="A308" s="68" t="s">
        <v>354</v>
      </c>
      <c r="B308" s="84" t="s">
        <v>48</v>
      </c>
      <c r="C308" s="85">
        <v>82</v>
      </c>
      <c r="D308" s="85">
        <v>36</v>
      </c>
      <c r="E308" s="85">
        <v>7</v>
      </c>
      <c r="F308" s="89">
        <v>8000</v>
      </c>
      <c r="G308" s="85"/>
      <c r="H308" s="85"/>
      <c r="I308" s="85"/>
      <c r="J308" s="85"/>
      <c r="K308" s="85"/>
      <c r="L308" s="85"/>
      <c r="M308" s="85"/>
      <c r="N308" s="85"/>
      <c r="O308" s="118">
        <f>((IFERROR((C308*D308*E308),0)+IFERROR((G308*H308*I308),0)+IFERROR((K308*L308*M308),0))/1000000)*35.32</f>
        <v>0.72985247999999991</v>
      </c>
      <c r="P308" s="125">
        <f>Table1[[#This Row],[Column15]]*$P$2*1000</f>
        <v>4379.1148799999992</v>
      </c>
      <c r="Q308" s="87">
        <f>F308+J308+N308</f>
        <v>8000</v>
      </c>
      <c r="R308" s="86">
        <f>MAX(Q308,O308)</f>
        <v>8000</v>
      </c>
      <c r="S308" s="86">
        <f>MAX(R308,P308)</f>
        <v>8000</v>
      </c>
      <c r="T308" s="156" t="str">
        <f>VLOOKUP(A308,'[1]MTP SKUs - Master Data'!$A:$B,2,FALSE)</f>
        <v>DI</v>
      </c>
      <c r="U308" s="162" t="str">
        <f>_xlfn.IFNA(VLOOKUP(Table1[[#This Row],[MTP SKU Code]],'Audit Dimensions'!A:N,6,FALSE),"ARC")</f>
        <v>ARC</v>
      </c>
      <c r="V308" s="162" t="str">
        <f>IFERROR(Table1[[#This Row],[B1.Aud]]-Table1[[#This Row],[PW(gm)]],"ERR")</f>
        <v>ERR</v>
      </c>
      <c r="W308" s="165" t="str">
        <f>IFERROR(Table1[[#This Row],[B1.Diff]]/Table1[[#This Row],[B1.Aud]],"ERR")</f>
        <v>ERR</v>
      </c>
      <c r="X308" s="162" t="str">
        <f>_xlfn.IFNA(VLOOKUP(Table1[[#This Row],[MTP SKU Code]],'Audit Dimensions'!A:N,10,FALSE),"ARC")</f>
        <v>ARC</v>
      </c>
      <c r="Y308" s="163" t="str">
        <f>IFERROR(Table1[[#This Row],[B2.Aud]]-Table1[[#This Row],[PW(gm)5]],"ERR")</f>
        <v>ERR</v>
      </c>
      <c r="Z308" s="165" t="str">
        <f>IFERROR(Table1[[#This Row],[B2.Diff]]/Table1[[#This Row],[B2.Aud]],"NA")</f>
        <v>NA</v>
      </c>
      <c r="AA308" s="162" t="str">
        <f>_xlfn.IFNA(VLOOKUP(Table1[[#This Row],[MTP SKU Code]],'Audit Dimensions'!A:N,14,FALSE),"ARC")</f>
        <v>ARC</v>
      </c>
      <c r="AB308" s="161" t="str">
        <f>IFERROR(Table1[[#This Row],[B3.Aud]]-Table1[[#This Row],[PW(gm)9]],"ERR")</f>
        <v>ERR</v>
      </c>
      <c r="AC308" s="168" t="str">
        <f>IFERROR(Table1[[#This Row],[B3.Diff]]/Table1[[#This Row],[BaLL.Aud]],"ERR")</f>
        <v>ERR</v>
      </c>
      <c r="AD308" s="162" t="str">
        <f>_xlfn.IFNA(VLOOKUP(Table1[[#This Row],[MTP SKU Code]],'Audit Dimensions'!A:U,16,FALSE),"ARC")</f>
        <v>ARC</v>
      </c>
      <c r="AE308" s="165" t="str">
        <f>IFERROR(1-Table1[[#This Row],[Gms]]/Table1[[#This Row],[BaLL.Aud]],"ERR")</f>
        <v>ERR</v>
      </c>
    </row>
    <row r="309" spans="1:31" hidden="1">
      <c r="A309" s="68" t="s">
        <v>355</v>
      </c>
      <c r="B309" s="84" t="s">
        <v>48</v>
      </c>
      <c r="C309" s="85">
        <v>45</v>
      </c>
      <c r="D309" s="85">
        <v>24.5</v>
      </c>
      <c r="E309" s="85">
        <v>5</v>
      </c>
      <c r="F309" s="89">
        <v>2000</v>
      </c>
      <c r="G309" s="85"/>
      <c r="H309" s="85"/>
      <c r="I309" s="85"/>
      <c r="J309" s="85"/>
      <c r="K309" s="85"/>
      <c r="L309" s="85"/>
      <c r="M309" s="85"/>
      <c r="N309" s="85"/>
      <c r="O309" s="118">
        <f>((IFERROR((C309*D309*E309),0)+IFERROR((G309*H309*I309),0)+IFERROR((K309*L309*M309),0))/1000000)*35.32</f>
        <v>0.1947015</v>
      </c>
      <c r="P309" s="125">
        <f>Table1[[#This Row],[Column15]]*$P$2*1000</f>
        <v>1168.2090000000001</v>
      </c>
      <c r="Q309" s="87">
        <f>F309+J309+N309</f>
        <v>2000</v>
      </c>
      <c r="R309" s="86">
        <f>MAX(Q309,O309)</f>
        <v>2000</v>
      </c>
      <c r="S309" s="86">
        <f>MAX(R309,P309)</f>
        <v>2000</v>
      </c>
      <c r="T309" s="156" t="str">
        <f>VLOOKUP(A309,'[1]MTP SKUs - Master Data'!$A:$B,2,FALSE)</f>
        <v>DI</v>
      </c>
      <c r="U309" s="162" t="str">
        <f>_xlfn.IFNA(VLOOKUP(Table1[[#This Row],[MTP SKU Code]],'Audit Dimensions'!A:N,6,FALSE),"ARC")</f>
        <v>ARC</v>
      </c>
      <c r="V309" s="162" t="str">
        <f>IFERROR(Table1[[#This Row],[B1.Aud]]-Table1[[#This Row],[PW(gm)]],"ERR")</f>
        <v>ERR</v>
      </c>
      <c r="W309" s="165" t="str">
        <f>IFERROR(Table1[[#This Row],[B1.Diff]]/Table1[[#This Row],[B1.Aud]],"ERR")</f>
        <v>ERR</v>
      </c>
      <c r="X309" s="162" t="str">
        <f>_xlfn.IFNA(VLOOKUP(Table1[[#This Row],[MTP SKU Code]],'Audit Dimensions'!A:N,10,FALSE),"ARC")</f>
        <v>ARC</v>
      </c>
      <c r="Y309" s="163" t="str">
        <f>IFERROR(Table1[[#This Row],[B2.Aud]]-Table1[[#This Row],[PW(gm)5]],"ERR")</f>
        <v>ERR</v>
      </c>
      <c r="Z309" s="165" t="str">
        <f>IFERROR(Table1[[#This Row],[B2.Diff]]/Table1[[#This Row],[B2.Aud]],"NA")</f>
        <v>NA</v>
      </c>
      <c r="AA309" s="162" t="str">
        <f>_xlfn.IFNA(VLOOKUP(Table1[[#This Row],[MTP SKU Code]],'Audit Dimensions'!A:N,14,FALSE),"ARC")</f>
        <v>ARC</v>
      </c>
      <c r="AB309" s="161" t="str">
        <f>IFERROR(Table1[[#This Row],[B3.Aud]]-Table1[[#This Row],[PW(gm)9]],"ERR")</f>
        <v>ERR</v>
      </c>
      <c r="AC309" s="168" t="str">
        <f>IFERROR(Table1[[#This Row],[B3.Diff]]/Table1[[#This Row],[BaLL.Aud]],"ERR")</f>
        <v>ERR</v>
      </c>
      <c r="AD309" s="162" t="str">
        <f>_xlfn.IFNA(VLOOKUP(Table1[[#This Row],[MTP SKU Code]],'Audit Dimensions'!A:U,16,FALSE),"ARC")</f>
        <v>ARC</v>
      </c>
      <c r="AE309" s="165" t="str">
        <f>IFERROR(1-Table1[[#This Row],[Gms]]/Table1[[#This Row],[BaLL.Aud]],"ERR")</f>
        <v>ERR</v>
      </c>
    </row>
    <row r="310" spans="1:31" hidden="1">
      <c r="A310" s="68" t="s">
        <v>356</v>
      </c>
      <c r="B310" s="84" t="s">
        <v>48</v>
      </c>
      <c r="C310" s="85">
        <v>55</v>
      </c>
      <c r="D310" s="85">
        <v>32</v>
      </c>
      <c r="E310" s="85">
        <v>3.5</v>
      </c>
      <c r="F310" s="89">
        <v>2000</v>
      </c>
      <c r="G310" s="85"/>
      <c r="H310" s="85"/>
      <c r="I310" s="85"/>
      <c r="J310" s="85"/>
      <c r="K310" s="85"/>
      <c r="L310" s="85"/>
      <c r="M310" s="85"/>
      <c r="N310" s="85"/>
      <c r="O310" s="118">
        <f>((IFERROR((C310*D310*E310),0)+IFERROR((G310*H310*I310),0)+IFERROR((K310*L310*M310),0))/1000000)*35.32</f>
        <v>0.21757119999999999</v>
      </c>
      <c r="P310" s="125">
        <f>Table1[[#This Row],[Column15]]*$P$2*1000</f>
        <v>1305.4272000000001</v>
      </c>
      <c r="Q310" s="87">
        <f>F310+J310+N310</f>
        <v>2000</v>
      </c>
      <c r="R310" s="86">
        <f>MAX(Q310,O310)</f>
        <v>2000</v>
      </c>
      <c r="S310" s="86">
        <f>MAX(R310,P310)</f>
        <v>2000</v>
      </c>
      <c r="T310" s="156" t="str">
        <f>VLOOKUP(A310,'[1]MTP SKUs - Master Data'!$A:$B,2,FALSE)</f>
        <v>DI</v>
      </c>
      <c r="U310" s="162" t="str">
        <f>_xlfn.IFNA(VLOOKUP(Table1[[#This Row],[MTP SKU Code]],'Audit Dimensions'!A:N,6,FALSE),"ARC")</f>
        <v>ARC</v>
      </c>
      <c r="V310" s="162" t="str">
        <f>IFERROR(Table1[[#This Row],[B1.Aud]]-Table1[[#This Row],[PW(gm)]],"ERR")</f>
        <v>ERR</v>
      </c>
      <c r="W310" s="165" t="str">
        <f>IFERROR(Table1[[#This Row],[B1.Diff]]/Table1[[#This Row],[B1.Aud]],"ERR")</f>
        <v>ERR</v>
      </c>
      <c r="X310" s="162" t="str">
        <f>_xlfn.IFNA(VLOOKUP(Table1[[#This Row],[MTP SKU Code]],'Audit Dimensions'!A:N,10,FALSE),"ARC")</f>
        <v>ARC</v>
      </c>
      <c r="Y310" s="163" t="str">
        <f>IFERROR(Table1[[#This Row],[B2.Aud]]-Table1[[#This Row],[PW(gm)5]],"ERR")</f>
        <v>ERR</v>
      </c>
      <c r="Z310" s="165" t="str">
        <f>IFERROR(Table1[[#This Row],[B2.Diff]]/Table1[[#This Row],[B2.Aud]],"NA")</f>
        <v>NA</v>
      </c>
      <c r="AA310" s="162" t="str">
        <f>_xlfn.IFNA(VLOOKUP(Table1[[#This Row],[MTP SKU Code]],'Audit Dimensions'!A:N,14,FALSE),"ARC")</f>
        <v>ARC</v>
      </c>
      <c r="AB310" s="161" t="str">
        <f>IFERROR(Table1[[#This Row],[B3.Aud]]-Table1[[#This Row],[PW(gm)9]],"ERR")</f>
        <v>ERR</v>
      </c>
      <c r="AC310" s="168" t="str">
        <f>IFERROR(Table1[[#This Row],[B3.Diff]]/Table1[[#This Row],[BaLL.Aud]],"ERR")</f>
        <v>ERR</v>
      </c>
      <c r="AD310" s="162" t="str">
        <f>_xlfn.IFNA(VLOOKUP(Table1[[#This Row],[MTP SKU Code]],'Audit Dimensions'!A:U,16,FALSE),"ARC")</f>
        <v>ARC</v>
      </c>
      <c r="AE310" s="165" t="str">
        <f>IFERROR(1-Table1[[#This Row],[Gms]]/Table1[[#This Row],[BaLL.Aud]],"ERR")</f>
        <v>ERR</v>
      </c>
    </row>
    <row r="311" spans="1:31" hidden="1">
      <c r="A311" s="68" t="s">
        <v>357</v>
      </c>
      <c r="B311" s="84" t="s">
        <v>48</v>
      </c>
      <c r="C311" s="85">
        <v>41</v>
      </c>
      <c r="D311" s="85">
        <v>25</v>
      </c>
      <c r="E311" s="85">
        <v>4</v>
      </c>
      <c r="F311" s="89">
        <v>1000</v>
      </c>
      <c r="G311" s="85"/>
      <c r="H311" s="85"/>
      <c r="I311" s="85"/>
      <c r="J311" s="85"/>
      <c r="K311" s="85"/>
      <c r="L311" s="85"/>
      <c r="M311" s="85"/>
      <c r="N311" s="85"/>
      <c r="O311" s="118">
        <f>((IFERROR((C311*D311*E311),0)+IFERROR((G311*H311*I311),0)+IFERROR((K311*L311*M311),0))/1000000)*35.32</f>
        <v>0.14481200000000002</v>
      </c>
      <c r="P311" s="125">
        <f>Table1[[#This Row],[Column15]]*$P$2*1000</f>
        <v>868.87200000000007</v>
      </c>
      <c r="Q311" s="87">
        <f>F311+J311+N311</f>
        <v>1000</v>
      </c>
      <c r="R311" s="86">
        <f>MAX(Q311,O311)</f>
        <v>1000</v>
      </c>
      <c r="S311" s="86">
        <f>MAX(R311,P311)</f>
        <v>1000</v>
      </c>
      <c r="T311" s="156" t="str">
        <f>VLOOKUP(A311,'[1]MTP SKUs - Master Data'!$A:$B,2,FALSE)</f>
        <v>DI</v>
      </c>
      <c r="U311" s="162" t="str">
        <f>_xlfn.IFNA(VLOOKUP(Table1[[#This Row],[MTP SKU Code]],'Audit Dimensions'!A:N,6,FALSE),"ARC")</f>
        <v>ARC</v>
      </c>
      <c r="V311" s="162" t="str">
        <f>IFERROR(Table1[[#This Row],[B1.Aud]]-Table1[[#This Row],[PW(gm)]],"ERR")</f>
        <v>ERR</v>
      </c>
      <c r="W311" s="165" t="str">
        <f>IFERROR(Table1[[#This Row],[B1.Diff]]/Table1[[#This Row],[B1.Aud]],"ERR")</f>
        <v>ERR</v>
      </c>
      <c r="X311" s="162" t="str">
        <f>_xlfn.IFNA(VLOOKUP(Table1[[#This Row],[MTP SKU Code]],'Audit Dimensions'!A:N,10,FALSE),"ARC")</f>
        <v>ARC</v>
      </c>
      <c r="Y311" s="163" t="str">
        <f>IFERROR(Table1[[#This Row],[B2.Aud]]-Table1[[#This Row],[PW(gm)5]],"ERR")</f>
        <v>ERR</v>
      </c>
      <c r="Z311" s="165" t="str">
        <f>IFERROR(Table1[[#This Row],[B2.Diff]]/Table1[[#This Row],[B2.Aud]],"NA")</f>
        <v>NA</v>
      </c>
      <c r="AA311" s="162" t="str">
        <f>_xlfn.IFNA(VLOOKUP(Table1[[#This Row],[MTP SKU Code]],'Audit Dimensions'!A:N,14,FALSE),"ARC")</f>
        <v>ARC</v>
      </c>
      <c r="AB311" s="161" t="str">
        <f>IFERROR(Table1[[#This Row],[B3.Aud]]-Table1[[#This Row],[PW(gm)9]],"ERR")</f>
        <v>ERR</v>
      </c>
      <c r="AC311" s="168" t="str">
        <f>IFERROR(Table1[[#This Row],[B3.Diff]]/Table1[[#This Row],[BaLL.Aud]],"ERR")</f>
        <v>ERR</v>
      </c>
      <c r="AD311" s="162" t="str">
        <f>_xlfn.IFNA(VLOOKUP(Table1[[#This Row],[MTP SKU Code]],'Audit Dimensions'!A:U,16,FALSE),"ARC")</f>
        <v>ARC</v>
      </c>
      <c r="AE311" s="165" t="str">
        <f>IFERROR(1-Table1[[#This Row],[Gms]]/Table1[[#This Row],[BaLL.Aud]],"ERR")</f>
        <v>ERR</v>
      </c>
    </row>
    <row r="312" spans="1:31" hidden="1">
      <c r="A312" s="68" t="s">
        <v>358</v>
      </c>
      <c r="B312" s="84" t="s">
        <v>296</v>
      </c>
      <c r="C312" s="85"/>
      <c r="D312" s="85"/>
      <c r="E312" s="85"/>
      <c r="F312" s="89"/>
      <c r="G312" s="85"/>
      <c r="H312" s="85"/>
      <c r="I312" s="85"/>
      <c r="J312" s="85"/>
      <c r="K312" s="85"/>
      <c r="L312" s="85"/>
      <c r="M312" s="85"/>
      <c r="N312" s="85"/>
      <c r="O312" s="118">
        <f>((IFERROR((C312*D312*E312),0)+IFERROR((G312*H312*I312),0)+IFERROR((K312*L312*M312),0))/1000000)*35.32</f>
        <v>0</v>
      </c>
      <c r="P312" s="125">
        <f>Table1[[#This Row],[Column15]]*$P$2*1000</f>
        <v>0</v>
      </c>
      <c r="Q312" s="87">
        <f>F312+J312+N312</f>
        <v>0</v>
      </c>
      <c r="R312" s="86">
        <f>MAX(Q312,O312)</f>
        <v>0</v>
      </c>
      <c r="S312" s="86">
        <f>MAX(R312,P312)</f>
        <v>0</v>
      </c>
      <c r="T312" s="156" t="str">
        <f>VLOOKUP(A312,'[1]MTP SKUs - Master Data'!$A:$B,2,FALSE)</f>
        <v>DI</v>
      </c>
      <c r="U312" s="162" t="str">
        <f>_xlfn.IFNA(VLOOKUP(Table1[[#This Row],[MTP SKU Code]],'Audit Dimensions'!A:N,6,FALSE),"ARC")</f>
        <v>0</v>
      </c>
      <c r="V312" s="162">
        <f>IFERROR(Table1[[#This Row],[B1.Aud]]-Table1[[#This Row],[PW(gm)]],"ERR")</f>
        <v>0</v>
      </c>
      <c r="W312" s="165" t="str">
        <f>IFERROR(Table1[[#This Row],[B1.Diff]]/Table1[[#This Row],[B1.Aud]],"ERR")</f>
        <v>ERR</v>
      </c>
      <c r="X312" s="162" t="str">
        <f>_xlfn.IFNA(VLOOKUP(Table1[[#This Row],[MTP SKU Code]],'Audit Dimensions'!A:N,10,FALSE),"ARC")</f>
        <v>0</v>
      </c>
      <c r="Y312" s="163">
        <f>IFERROR(Table1[[#This Row],[B2.Aud]]-Table1[[#This Row],[PW(gm)5]],"ERR")</f>
        <v>0</v>
      </c>
      <c r="Z312" s="165" t="str">
        <f>IFERROR(Table1[[#This Row],[B2.Diff]]/Table1[[#This Row],[B2.Aud]],"NA")</f>
        <v>NA</v>
      </c>
      <c r="AA312" s="162" t="str">
        <f>_xlfn.IFNA(VLOOKUP(Table1[[#This Row],[MTP SKU Code]],'Audit Dimensions'!A:N,14,FALSE),"ARC")</f>
        <v>0</v>
      </c>
      <c r="AB312" s="161">
        <f>IFERROR(Table1[[#This Row],[B3.Aud]]-Table1[[#This Row],[PW(gm)9]],"ERR")</f>
        <v>0</v>
      </c>
      <c r="AC312" s="168" t="str">
        <f>IFERROR(Table1[[#This Row],[B3.Diff]]/Table1[[#This Row],[BaLL.Aud]],"ERR")</f>
        <v>ERR</v>
      </c>
      <c r="AD312" s="162">
        <f>_xlfn.IFNA(VLOOKUP(Table1[[#This Row],[MTP SKU Code]],'Audit Dimensions'!A:U,16,FALSE),"ARC")</f>
        <v>0</v>
      </c>
      <c r="AE312" s="165" t="str">
        <f>IFERROR(1-Table1[[#This Row],[Gms]]/Table1[[#This Row],[BaLL.Aud]],"ERR")</f>
        <v>ERR</v>
      </c>
    </row>
    <row r="313" spans="1:31" hidden="1">
      <c r="A313" s="68" t="s">
        <v>359</v>
      </c>
      <c r="B313" s="84" t="s">
        <v>48</v>
      </c>
      <c r="C313" s="85"/>
      <c r="D313" s="85"/>
      <c r="E313" s="85"/>
      <c r="F313" s="89"/>
      <c r="G313" s="85"/>
      <c r="H313" s="85"/>
      <c r="I313" s="85"/>
      <c r="J313" s="85"/>
      <c r="K313" s="85"/>
      <c r="L313" s="85"/>
      <c r="M313" s="85"/>
      <c r="N313" s="85"/>
      <c r="O313" s="118">
        <f>((IFERROR((C313*D313*E313),0)+IFERROR((G313*H313*I313),0)+IFERROR((K313*L313*M313),0))/1000000)*35.32</f>
        <v>0</v>
      </c>
      <c r="P313" s="125">
        <f>Table1[[#This Row],[Column15]]*$P$2*1000</f>
        <v>0</v>
      </c>
      <c r="Q313" s="87">
        <f>F313+J313+N313</f>
        <v>0</v>
      </c>
      <c r="R313" s="86">
        <f>MAX(Q313,O313)</f>
        <v>0</v>
      </c>
      <c r="S313" s="86">
        <f>MAX(R313,P313)</f>
        <v>0</v>
      </c>
      <c r="T313" s="156" t="str">
        <f>VLOOKUP(A313,'[1]MTP SKUs - Master Data'!$A:$B,2,FALSE)</f>
        <v>DI</v>
      </c>
      <c r="U313" s="162" t="str">
        <f>_xlfn.IFNA(VLOOKUP(Table1[[#This Row],[MTP SKU Code]],'Audit Dimensions'!A:N,6,FALSE),"ARC")</f>
        <v>ARC</v>
      </c>
      <c r="V313" s="162" t="str">
        <f>IFERROR(Table1[[#This Row],[B1.Aud]]-Table1[[#This Row],[PW(gm)]],"ERR")</f>
        <v>ERR</v>
      </c>
      <c r="W313" s="165" t="str">
        <f>IFERROR(Table1[[#This Row],[B1.Diff]]/Table1[[#This Row],[B1.Aud]],"ERR")</f>
        <v>ERR</v>
      </c>
      <c r="X313" s="162" t="str">
        <f>_xlfn.IFNA(VLOOKUP(Table1[[#This Row],[MTP SKU Code]],'Audit Dimensions'!A:N,10,FALSE),"ARC")</f>
        <v>ARC</v>
      </c>
      <c r="Y313" s="163" t="str">
        <f>IFERROR(Table1[[#This Row],[B2.Aud]]-Table1[[#This Row],[PW(gm)5]],"ERR")</f>
        <v>ERR</v>
      </c>
      <c r="Z313" s="165" t="str">
        <f>IFERROR(Table1[[#This Row],[B2.Diff]]/Table1[[#This Row],[B2.Aud]],"NA")</f>
        <v>NA</v>
      </c>
      <c r="AA313" s="162" t="str">
        <f>_xlfn.IFNA(VLOOKUP(Table1[[#This Row],[MTP SKU Code]],'Audit Dimensions'!A:N,14,FALSE),"ARC")</f>
        <v>ARC</v>
      </c>
      <c r="AB313" s="161" t="str">
        <f>IFERROR(Table1[[#This Row],[B3.Aud]]-Table1[[#This Row],[PW(gm)9]],"ERR")</f>
        <v>ERR</v>
      </c>
      <c r="AC313" s="168" t="str">
        <f>IFERROR(Table1[[#This Row],[B3.Diff]]/Table1[[#This Row],[BaLL.Aud]],"ERR")</f>
        <v>ERR</v>
      </c>
      <c r="AD313" s="162" t="str">
        <f>_xlfn.IFNA(VLOOKUP(Table1[[#This Row],[MTP SKU Code]],'Audit Dimensions'!A:U,16,FALSE),"ARC")</f>
        <v>ARC</v>
      </c>
      <c r="AE313" s="165" t="str">
        <f>IFERROR(1-Table1[[#This Row],[Gms]]/Table1[[#This Row],[BaLL.Aud]],"ERR")</f>
        <v>ERR</v>
      </c>
    </row>
    <row r="314" spans="1:31" hidden="1">
      <c r="A314" s="68" t="s">
        <v>360</v>
      </c>
      <c r="B314" s="84" t="s">
        <v>48</v>
      </c>
      <c r="C314" s="85">
        <v>24</v>
      </c>
      <c r="D314" s="85">
        <v>23</v>
      </c>
      <c r="E314" s="85">
        <v>9</v>
      </c>
      <c r="F314" s="89">
        <v>755</v>
      </c>
      <c r="G314" s="85"/>
      <c r="H314" s="85"/>
      <c r="I314" s="85"/>
      <c r="J314" s="85"/>
      <c r="K314" s="85"/>
      <c r="L314" s="85"/>
      <c r="M314" s="85"/>
      <c r="N314" s="85"/>
      <c r="O314" s="118">
        <f>((IFERROR((C314*D314*E314),0)+IFERROR((G314*H314*I314),0)+IFERROR((K314*L314*M314),0))/1000000)*35.32</f>
        <v>0.17546976</v>
      </c>
      <c r="P314" s="125">
        <f>Table1[[#This Row],[Column15]]*$P$2*1000</f>
        <v>1052.8185599999999</v>
      </c>
      <c r="Q314" s="87">
        <f>F314+J314+N314</f>
        <v>755</v>
      </c>
      <c r="R314" s="86">
        <f>MAX(Q314,O314)</f>
        <v>755</v>
      </c>
      <c r="S314" s="86">
        <f>MAX(R314,P314)</f>
        <v>1052.8185599999999</v>
      </c>
      <c r="T314" s="156" t="str">
        <f>VLOOKUP(A314,'[1]MTP SKUs - Master Data'!$A:$B,2,FALSE)</f>
        <v>DI</v>
      </c>
      <c r="U314" s="162" t="str">
        <f>_xlfn.IFNA(VLOOKUP(Table1[[#This Row],[MTP SKU Code]],'Audit Dimensions'!A:N,6,FALSE),"ARC")</f>
        <v>ARC</v>
      </c>
      <c r="V314" s="162" t="str">
        <f>IFERROR(Table1[[#This Row],[B1.Aud]]-Table1[[#This Row],[PW(gm)]],"ERR")</f>
        <v>ERR</v>
      </c>
      <c r="W314" s="165" t="str">
        <f>IFERROR(Table1[[#This Row],[B1.Diff]]/Table1[[#This Row],[B1.Aud]],"ERR")</f>
        <v>ERR</v>
      </c>
      <c r="X314" s="162" t="str">
        <f>_xlfn.IFNA(VLOOKUP(Table1[[#This Row],[MTP SKU Code]],'Audit Dimensions'!A:N,10,FALSE),"ARC")</f>
        <v>ARC</v>
      </c>
      <c r="Y314" s="163" t="str">
        <f>IFERROR(Table1[[#This Row],[B2.Aud]]-Table1[[#This Row],[PW(gm)5]],"ERR")</f>
        <v>ERR</v>
      </c>
      <c r="Z314" s="165" t="str">
        <f>IFERROR(Table1[[#This Row],[B2.Diff]]/Table1[[#This Row],[B2.Aud]],"NA")</f>
        <v>NA</v>
      </c>
      <c r="AA314" s="162" t="str">
        <f>_xlfn.IFNA(VLOOKUP(Table1[[#This Row],[MTP SKU Code]],'Audit Dimensions'!A:N,14,FALSE),"ARC")</f>
        <v>ARC</v>
      </c>
      <c r="AB314" s="161" t="str">
        <f>IFERROR(Table1[[#This Row],[B3.Aud]]-Table1[[#This Row],[PW(gm)9]],"ERR")</f>
        <v>ERR</v>
      </c>
      <c r="AC314" s="168" t="str">
        <f>IFERROR(Table1[[#This Row],[B3.Diff]]/Table1[[#This Row],[BaLL.Aud]],"ERR")</f>
        <v>ERR</v>
      </c>
      <c r="AD314" s="162" t="str">
        <f>_xlfn.IFNA(VLOOKUP(Table1[[#This Row],[MTP SKU Code]],'Audit Dimensions'!A:U,16,FALSE),"ARC")</f>
        <v>ARC</v>
      </c>
      <c r="AE314" s="165" t="str">
        <f>IFERROR(1-Table1[[#This Row],[Gms]]/Table1[[#This Row],[BaLL.Aud]],"ERR")</f>
        <v>ERR</v>
      </c>
    </row>
    <row r="315" spans="1:31" hidden="1">
      <c r="A315" s="90" t="s">
        <v>361</v>
      </c>
      <c r="B315" s="84" t="s">
        <v>48</v>
      </c>
      <c r="C315" s="85">
        <v>185</v>
      </c>
      <c r="D315" s="85">
        <v>51</v>
      </c>
      <c r="E315" s="85">
        <v>10</v>
      </c>
      <c r="F315" s="89">
        <v>47900</v>
      </c>
      <c r="G315" s="85"/>
      <c r="H315" s="85"/>
      <c r="I315" s="85"/>
      <c r="J315" s="85"/>
      <c r="K315" s="85"/>
      <c r="L315" s="85"/>
      <c r="M315" s="85"/>
      <c r="N315" s="85"/>
      <c r="O315" s="118">
        <f>((IFERROR((C315*D315*E315),0)+IFERROR((G315*H315*I315),0)+IFERROR((K315*L315*M315),0))/1000000)*35.32</f>
        <v>3.3324420000000003</v>
      </c>
      <c r="P315" s="125">
        <f>Table1[[#This Row],[Column15]]*$P$2*1000</f>
        <v>19994.652000000002</v>
      </c>
      <c r="Q315" s="87">
        <f>F315+J315+N315</f>
        <v>47900</v>
      </c>
      <c r="R315" s="86">
        <f>MAX(Q315,O315)</f>
        <v>47900</v>
      </c>
      <c r="S315" s="86">
        <f>MAX(R315,P315)</f>
        <v>47900</v>
      </c>
      <c r="T315" s="156" t="str">
        <f>VLOOKUP(A315,'[1]MTP SKUs - Master Data'!$A:$B,2,FALSE)</f>
        <v>DI</v>
      </c>
      <c r="U315" s="162" t="str">
        <f>_xlfn.IFNA(VLOOKUP(Table1[[#This Row],[MTP SKU Code]],'Audit Dimensions'!A:N,6,FALSE),"ARC")</f>
        <v>ARC</v>
      </c>
      <c r="V315" s="162" t="str">
        <f>IFERROR(Table1[[#This Row],[B1.Aud]]-Table1[[#This Row],[PW(gm)]],"ERR")</f>
        <v>ERR</v>
      </c>
      <c r="W315" s="165" t="str">
        <f>IFERROR(Table1[[#This Row],[B1.Diff]]/Table1[[#This Row],[B1.Aud]],"ERR")</f>
        <v>ERR</v>
      </c>
      <c r="X315" s="162" t="str">
        <f>_xlfn.IFNA(VLOOKUP(Table1[[#This Row],[MTP SKU Code]],'Audit Dimensions'!A:N,10,FALSE),"ARC")</f>
        <v>ARC</v>
      </c>
      <c r="Y315" s="163" t="str">
        <f>IFERROR(Table1[[#This Row],[B2.Aud]]-Table1[[#This Row],[PW(gm)5]],"ERR")</f>
        <v>ERR</v>
      </c>
      <c r="Z315" s="165" t="str">
        <f>IFERROR(Table1[[#This Row],[B2.Diff]]/Table1[[#This Row],[B2.Aud]],"NA")</f>
        <v>NA</v>
      </c>
      <c r="AA315" s="162" t="str">
        <f>_xlfn.IFNA(VLOOKUP(Table1[[#This Row],[MTP SKU Code]],'Audit Dimensions'!A:N,14,FALSE),"ARC")</f>
        <v>ARC</v>
      </c>
      <c r="AB315" s="161" t="str">
        <f>IFERROR(Table1[[#This Row],[B3.Aud]]-Table1[[#This Row],[PW(gm)9]],"ERR")</f>
        <v>ERR</v>
      </c>
      <c r="AC315" s="168" t="str">
        <f>IFERROR(Table1[[#This Row],[B3.Diff]]/Table1[[#This Row],[BaLL.Aud]],"ERR")</f>
        <v>ERR</v>
      </c>
      <c r="AD315" s="162" t="str">
        <f>_xlfn.IFNA(VLOOKUP(Table1[[#This Row],[MTP SKU Code]],'Audit Dimensions'!A:U,16,FALSE),"ARC")</f>
        <v>ARC</v>
      </c>
      <c r="AE315" s="165" t="str">
        <f>IFERROR(1-Table1[[#This Row],[Gms]]/Table1[[#This Row],[BaLL.Aud]],"ERR")</f>
        <v>ERR</v>
      </c>
    </row>
    <row r="316" spans="1:31">
      <c r="A316" s="68" t="s">
        <v>362</v>
      </c>
      <c r="B316" s="84" t="s">
        <v>48</v>
      </c>
      <c r="C316" s="190">
        <f>_xlfn.XLOOKUP(Table1[[#This Row],[MTP SKU Code]],'Audit Dimensions'!A:A,'Audit Dimensions'!C:C,0)</f>
        <v>0</v>
      </c>
      <c r="D316" s="190">
        <f>_xlfn.XLOOKUP(Table1[[#This Row],[MTP SKU Code]],'Audit Dimensions'!$A:$A,'Audit Dimensions'!D:D,0)</f>
        <v>0</v>
      </c>
      <c r="E316" s="190">
        <f>_xlfn.XLOOKUP(Table1[[#This Row],[MTP SKU Code]],'Audit Dimensions'!$A:$A,'Audit Dimensions'!E:E,0)</f>
        <v>0</v>
      </c>
      <c r="F316" s="190">
        <f>_xlfn.XLOOKUP(Table1[[#This Row],[MTP SKU Code]],'Audit Dimensions'!$A:$A,'Audit Dimensions'!F:F,0)</f>
        <v>0</v>
      </c>
      <c r="G316" s="190">
        <f>_xlfn.XLOOKUP(Table1[[#This Row],[MTP SKU Code]],'Audit Dimensions'!$A:$A,'Audit Dimensions'!G:G,0)</f>
        <v>0</v>
      </c>
      <c r="H316" s="190">
        <f>_xlfn.XLOOKUP(Table1[[#This Row],[MTP SKU Code]],'Audit Dimensions'!$A:$A,'Audit Dimensions'!H:H,0)</f>
        <v>0</v>
      </c>
      <c r="I316" s="190">
        <f>_xlfn.XLOOKUP(Table1[[#This Row],[MTP SKU Code]],'Audit Dimensions'!$A:$A,'Audit Dimensions'!I:I,0)</f>
        <v>0</v>
      </c>
      <c r="J316" s="190">
        <f>_xlfn.XLOOKUP(Table1[[#This Row],[MTP SKU Code]],'Audit Dimensions'!$A:$A,'Audit Dimensions'!J:J,0)</f>
        <v>0</v>
      </c>
      <c r="K316" s="190">
        <f>_xlfn.XLOOKUP(Table1[[#This Row],[MTP SKU Code]],'Audit Dimensions'!$A:$A,'Audit Dimensions'!K:K,0)</f>
        <v>0</v>
      </c>
      <c r="L316" s="190">
        <f>_xlfn.XLOOKUP(Table1[[#This Row],[MTP SKU Code]],'Audit Dimensions'!$A:$A,'Audit Dimensions'!L:L,0)</f>
        <v>0</v>
      </c>
      <c r="M316" s="190">
        <f>_xlfn.XLOOKUP(Table1[[#This Row],[MTP SKU Code]],'Audit Dimensions'!$A:$A,'Audit Dimensions'!M:M,0)</f>
        <v>0</v>
      </c>
      <c r="N316" s="190">
        <f>_xlfn.XLOOKUP(Table1[[#This Row],[MTP SKU Code]],'Audit Dimensions'!$A:$A,'Audit Dimensions'!N:N,0)</f>
        <v>0</v>
      </c>
      <c r="O316" s="118">
        <f>((IFERROR((C316*D316*E316),0)+IFERROR((G316*H316*I316),0)+IFERROR((K316*L316*M316),0))/1000000)*35.32</f>
        <v>0</v>
      </c>
      <c r="P316" s="125">
        <f>Table1[[#This Row],[Column15]]*$P$2*1000</f>
        <v>0</v>
      </c>
      <c r="Q316" s="87">
        <f>F316+J316+N316</f>
        <v>0</v>
      </c>
      <c r="R316" s="88">
        <f>MAX(Q316,O316)</f>
        <v>0</v>
      </c>
      <c r="S316" s="86">
        <f>MAX(R316,P316)</f>
        <v>0</v>
      </c>
      <c r="T316" s="156" t="str">
        <f>VLOOKUP(A316,'[1]MTP SKUs - Master Data'!$A:$B,2,FALSE)</f>
        <v>Y</v>
      </c>
      <c r="U316" s="162">
        <f>_xlfn.IFNA(VLOOKUP(Table1[[#This Row],[MTP SKU Code]],'Audit Dimensions'!A:N,6,FALSE),"ARC")</f>
        <v>0</v>
      </c>
      <c r="V316" s="162">
        <f>IFERROR(Table1[[#This Row],[B1.Aud]]-Table1[[#This Row],[PW(gm)]],"ERR")</f>
        <v>0</v>
      </c>
      <c r="W316" s="165" t="str">
        <f>IFERROR(Table1[[#This Row],[B1.Diff]]/Table1[[#This Row],[B1.Aud]],"ERR")</f>
        <v>ERR</v>
      </c>
      <c r="X316" s="162">
        <f>_xlfn.IFNA(VLOOKUP(Table1[[#This Row],[MTP SKU Code]],'Audit Dimensions'!A:N,10,FALSE),"ARC")</f>
        <v>0</v>
      </c>
      <c r="Y316" s="163">
        <f>IFERROR(Table1[[#This Row],[B2.Aud]]-Table1[[#This Row],[PW(gm)5]],"ERR")</f>
        <v>0</v>
      </c>
      <c r="Z316" s="165" t="str">
        <f>IFERROR(Table1[[#This Row],[B2.Diff]]/Table1[[#This Row],[B2.Aud]],"NA")</f>
        <v>NA</v>
      </c>
      <c r="AA316" s="162">
        <f>_xlfn.IFNA(VLOOKUP(Table1[[#This Row],[MTP SKU Code]],'Audit Dimensions'!A:N,14,FALSE),"ARC")</f>
        <v>0</v>
      </c>
      <c r="AB316" s="161">
        <f>IFERROR(Table1[[#This Row],[B3.Aud]]-Table1[[#This Row],[PW(gm)9]],"ERR")</f>
        <v>0</v>
      </c>
      <c r="AC316" s="168" t="str">
        <f>IFERROR(Table1[[#This Row],[B3.Diff]]/Table1[[#This Row],[BaLL.Aud]],"ERR")</f>
        <v>ERR</v>
      </c>
      <c r="AD316" s="189">
        <f>_xlfn.IFNA(VLOOKUP(Table1[[#This Row],[MTP SKU Code]],'Audit Dimensions'!A:U,16,FALSE),"ARC")</f>
        <v>0</v>
      </c>
      <c r="AE316" s="165" t="str">
        <f>IFERROR(1-Table1[[#This Row],[Gms]]/Table1[[#This Row],[BaLL.Aud]],"ERR")</f>
        <v>ERR</v>
      </c>
    </row>
    <row r="317" spans="1:31" hidden="1">
      <c r="A317" s="68" t="s">
        <v>363</v>
      </c>
      <c r="B317" s="84" t="s">
        <v>48</v>
      </c>
      <c r="C317" s="85"/>
      <c r="D317" s="85"/>
      <c r="E317" s="85"/>
      <c r="F317" s="89"/>
      <c r="G317" s="85"/>
      <c r="H317" s="85"/>
      <c r="I317" s="85"/>
      <c r="J317" s="85"/>
      <c r="K317" s="85"/>
      <c r="L317" s="85"/>
      <c r="M317" s="85"/>
      <c r="N317" s="85"/>
      <c r="O317" s="118">
        <f>((IFERROR((C317*D317*E317),0)+IFERROR((G317*H317*I317),0)+IFERROR((K317*L317*M317),0))/1000000)*35.32</f>
        <v>0</v>
      </c>
      <c r="P317" s="125">
        <f>Table1[[#This Row],[Column15]]*$P$2*1000</f>
        <v>0</v>
      </c>
      <c r="Q317" s="87">
        <f>F317+J317+N317</f>
        <v>0</v>
      </c>
      <c r="R317" s="86">
        <f>MAX(Q317,O317)</f>
        <v>0</v>
      </c>
      <c r="S317" s="86">
        <f>MAX(R317,P317)</f>
        <v>0</v>
      </c>
      <c r="T317" s="156" t="str">
        <f>VLOOKUP(A317,'[1]MTP SKUs - Master Data'!$A:$B,2,FALSE)</f>
        <v>DI</v>
      </c>
      <c r="U317" s="162" t="str">
        <f>_xlfn.IFNA(VLOOKUP(Table1[[#This Row],[MTP SKU Code]],'Audit Dimensions'!A:N,6,FALSE),"ARC")</f>
        <v>ARC</v>
      </c>
      <c r="V317" s="162" t="str">
        <f>IFERROR(Table1[[#This Row],[B1.Aud]]-Table1[[#This Row],[PW(gm)]],"ERR")</f>
        <v>ERR</v>
      </c>
      <c r="W317" s="165" t="str">
        <f>IFERROR(Table1[[#This Row],[B1.Diff]]/Table1[[#This Row],[B1.Aud]],"ERR")</f>
        <v>ERR</v>
      </c>
      <c r="X317" s="162" t="str">
        <f>_xlfn.IFNA(VLOOKUP(Table1[[#This Row],[MTP SKU Code]],'Audit Dimensions'!A:N,10,FALSE),"ARC")</f>
        <v>ARC</v>
      </c>
      <c r="Y317" s="163" t="str">
        <f>IFERROR(Table1[[#This Row],[B2.Aud]]-Table1[[#This Row],[PW(gm)5]],"ERR")</f>
        <v>ERR</v>
      </c>
      <c r="Z317" s="165" t="str">
        <f>IFERROR(Table1[[#This Row],[B2.Diff]]/Table1[[#This Row],[B2.Aud]],"NA")</f>
        <v>NA</v>
      </c>
      <c r="AA317" s="162" t="str">
        <f>_xlfn.IFNA(VLOOKUP(Table1[[#This Row],[MTP SKU Code]],'Audit Dimensions'!A:N,14,FALSE),"ARC")</f>
        <v>ARC</v>
      </c>
      <c r="AB317" s="161" t="str">
        <f>IFERROR(Table1[[#This Row],[B3.Aud]]-Table1[[#This Row],[PW(gm)9]],"ERR")</f>
        <v>ERR</v>
      </c>
      <c r="AC317" s="168" t="str">
        <f>IFERROR(Table1[[#This Row],[B3.Diff]]/Table1[[#This Row],[BaLL.Aud]],"ERR")</f>
        <v>ERR</v>
      </c>
      <c r="AD317" s="162" t="str">
        <f>_xlfn.IFNA(VLOOKUP(Table1[[#This Row],[MTP SKU Code]],'Audit Dimensions'!A:U,16,FALSE),"ARC")</f>
        <v>ARC</v>
      </c>
      <c r="AE317" s="165" t="str">
        <f>IFERROR(1-Table1[[#This Row],[Gms]]/Table1[[#This Row],[BaLL.Aud]],"ERR")</f>
        <v>ERR</v>
      </c>
    </row>
    <row r="318" spans="1:31" hidden="1">
      <c r="A318" s="68" t="s">
        <v>364</v>
      </c>
      <c r="B318" s="84"/>
      <c r="C318" s="100"/>
      <c r="D318" s="100"/>
      <c r="E318" s="100"/>
      <c r="F318" s="101"/>
      <c r="G318" s="102"/>
      <c r="H318" s="102"/>
      <c r="I318" s="102"/>
      <c r="J318" s="102"/>
      <c r="K318" s="102"/>
      <c r="L318" s="102"/>
      <c r="M318" s="102"/>
      <c r="N318" s="102"/>
      <c r="O318" s="120"/>
      <c r="P318" s="125">
        <f>F318+J318+N318</f>
        <v>0</v>
      </c>
      <c r="Q318" s="87"/>
      <c r="R318" s="88">
        <f>MAX(Q318,O318)</f>
        <v>0</v>
      </c>
      <c r="S318" s="86">
        <f>MAX(R318,P318)</f>
        <v>0</v>
      </c>
      <c r="T318" s="156" t="str">
        <f>VLOOKUP(A318,'[1]MTP SKUs - Master Data'!$A:$B,2,FALSE)</f>
        <v>DI</v>
      </c>
      <c r="U318" s="162" t="str">
        <f>_xlfn.IFNA(VLOOKUP(Table1[[#This Row],[MTP SKU Code]],'Audit Dimensions'!A:N,6,FALSE),"ARC")</f>
        <v>ARC</v>
      </c>
      <c r="V318" s="162" t="str">
        <f>IFERROR(Table1[[#This Row],[B1.Aud]]-Table1[[#This Row],[PW(gm)]],"ERR")</f>
        <v>ERR</v>
      </c>
      <c r="W318" s="165" t="str">
        <f>IFERROR(Table1[[#This Row],[B1.Diff]]/Table1[[#This Row],[B1.Aud]],"ERR")</f>
        <v>ERR</v>
      </c>
      <c r="X318" s="162" t="str">
        <f>_xlfn.IFNA(VLOOKUP(Table1[[#This Row],[MTP SKU Code]],'Audit Dimensions'!A:N,10,FALSE),"ARC")</f>
        <v>ARC</v>
      </c>
      <c r="Y318" s="163" t="str">
        <f>IFERROR(Table1[[#This Row],[B2.Aud]]-Table1[[#This Row],[PW(gm)5]],"ERR")</f>
        <v>ERR</v>
      </c>
      <c r="Z318" s="165" t="str">
        <f>IFERROR(Table1[[#This Row],[B2.Diff]]/Table1[[#This Row],[B2.Aud]],"NA")</f>
        <v>NA</v>
      </c>
      <c r="AA318" s="162" t="str">
        <f>_xlfn.IFNA(VLOOKUP(Table1[[#This Row],[MTP SKU Code]],'Audit Dimensions'!A:N,14,FALSE),"ARC")</f>
        <v>ARC</v>
      </c>
      <c r="AB318" s="161" t="str">
        <f>IFERROR(Table1[[#This Row],[B3.Aud]]-Table1[[#This Row],[PW(gm)9]],"ERR")</f>
        <v>ERR</v>
      </c>
      <c r="AC318" s="168" t="str">
        <f>IFERROR(Table1[[#This Row],[B3.Diff]]/Table1[[#This Row],[BaLL.Aud]],"ERR")</f>
        <v>ERR</v>
      </c>
      <c r="AD318" s="162" t="str">
        <f>_xlfn.IFNA(VLOOKUP(Table1[[#This Row],[MTP SKU Code]],'Audit Dimensions'!A:U,16,FALSE),"ARC")</f>
        <v>ARC</v>
      </c>
      <c r="AE318" s="165" t="str">
        <f>IFERROR(1-Table1[[#This Row],[Gms]]/Table1[[#This Row],[BaLL.Aud]],"ERR")</f>
        <v>ERR</v>
      </c>
    </row>
    <row r="319" spans="1:31" hidden="1">
      <c r="A319" s="68" t="s">
        <v>365</v>
      </c>
      <c r="B319" s="84"/>
      <c r="C319" s="100"/>
      <c r="D319" s="100"/>
      <c r="E319" s="100"/>
      <c r="F319" s="101"/>
      <c r="G319" s="102"/>
      <c r="H319" s="102"/>
      <c r="I319" s="102"/>
      <c r="J319" s="102"/>
      <c r="K319" s="102"/>
      <c r="L319" s="102"/>
      <c r="M319" s="102"/>
      <c r="N319" s="102"/>
      <c r="O319" s="120"/>
      <c r="P319" s="125">
        <f>F319+J319+N319</f>
        <v>0</v>
      </c>
      <c r="Q319" s="87"/>
      <c r="R319" s="88">
        <f>MAX(Q319,O319)</f>
        <v>0</v>
      </c>
      <c r="S319" s="86">
        <f>MAX(R319,P319)</f>
        <v>0</v>
      </c>
      <c r="T319" s="156" t="str">
        <f>VLOOKUP(A319,'[1]MTP SKUs - Master Data'!$A:$B,2,FALSE)</f>
        <v>DI</v>
      </c>
      <c r="U319" s="162" t="str">
        <f>_xlfn.IFNA(VLOOKUP(Table1[[#This Row],[MTP SKU Code]],'Audit Dimensions'!A:N,6,FALSE),"ARC")</f>
        <v>0</v>
      </c>
      <c r="V319" s="162">
        <f>IFERROR(Table1[[#This Row],[B1.Aud]]-Table1[[#This Row],[PW(gm)]],"ERR")</f>
        <v>0</v>
      </c>
      <c r="W319" s="165" t="str">
        <f>IFERROR(Table1[[#This Row],[B1.Diff]]/Table1[[#This Row],[B1.Aud]],"ERR")</f>
        <v>ERR</v>
      </c>
      <c r="X319" s="162" t="str">
        <f>_xlfn.IFNA(VLOOKUP(Table1[[#This Row],[MTP SKU Code]],'Audit Dimensions'!A:N,10,FALSE),"ARC")</f>
        <v>0</v>
      </c>
      <c r="Y319" s="163">
        <f>IFERROR(Table1[[#This Row],[B2.Aud]]-Table1[[#This Row],[PW(gm)5]],"ERR")</f>
        <v>0</v>
      </c>
      <c r="Z319" s="165" t="str">
        <f>IFERROR(Table1[[#This Row],[B2.Diff]]/Table1[[#This Row],[B2.Aud]],"NA")</f>
        <v>NA</v>
      </c>
      <c r="AA319" s="162" t="str">
        <f>_xlfn.IFNA(VLOOKUP(Table1[[#This Row],[MTP SKU Code]],'Audit Dimensions'!A:N,14,FALSE),"ARC")</f>
        <v>0</v>
      </c>
      <c r="AB319" s="161">
        <f>IFERROR(Table1[[#This Row],[B3.Aud]]-Table1[[#This Row],[PW(gm)9]],"ERR")</f>
        <v>0</v>
      </c>
      <c r="AC319" s="168" t="str">
        <f>IFERROR(Table1[[#This Row],[B3.Diff]]/Table1[[#This Row],[BaLL.Aud]],"ERR")</f>
        <v>ERR</v>
      </c>
      <c r="AD319" s="162">
        <f>_xlfn.IFNA(VLOOKUP(Table1[[#This Row],[MTP SKU Code]],'Audit Dimensions'!A:U,16,FALSE),"ARC")</f>
        <v>0</v>
      </c>
      <c r="AE319" s="165" t="str">
        <f>IFERROR(1-Table1[[#This Row],[Gms]]/Table1[[#This Row],[BaLL.Aud]],"ERR")</f>
        <v>ERR</v>
      </c>
    </row>
    <row r="320" spans="1:31" hidden="1">
      <c r="A320" s="68" t="s">
        <v>366</v>
      </c>
      <c r="B320" s="84"/>
      <c r="C320" s="100"/>
      <c r="D320" s="100"/>
      <c r="E320" s="100"/>
      <c r="F320" s="101"/>
      <c r="G320" s="102"/>
      <c r="H320" s="102"/>
      <c r="I320" s="102"/>
      <c r="J320" s="102"/>
      <c r="K320" s="102"/>
      <c r="L320" s="102"/>
      <c r="M320" s="102"/>
      <c r="N320" s="102"/>
      <c r="O320" s="120"/>
      <c r="P320" s="125">
        <f>F320+J320+N320</f>
        <v>0</v>
      </c>
      <c r="Q320" s="87"/>
      <c r="R320" s="88">
        <f>MAX(Q320,O320)</f>
        <v>0</v>
      </c>
      <c r="S320" s="86">
        <f>MAX(R320,P320)</f>
        <v>0</v>
      </c>
      <c r="T320" s="156" t="str">
        <f>VLOOKUP(A320,'[1]MTP SKUs - Master Data'!$A:$B,2,FALSE)</f>
        <v>DI</v>
      </c>
      <c r="U320" s="162" t="str">
        <f>_xlfn.IFNA(VLOOKUP(Table1[[#This Row],[MTP SKU Code]],'Audit Dimensions'!A:N,6,FALSE),"ARC")</f>
        <v>ARC</v>
      </c>
      <c r="V320" s="162" t="str">
        <f>IFERROR(Table1[[#This Row],[B1.Aud]]-Table1[[#This Row],[PW(gm)]],"ERR")</f>
        <v>ERR</v>
      </c>
      <c r="W320" s="165" t="str">
        <f>IFERROR(Table1[[#This Row],[B1.Diff]]/Table1[[#This Row],[B1.Aud]],"ERR")</f>
        <v>ERR</v>
      </c>
      <c r="X320" s="162" t="str">
        <f>_xlfn.IFNA(VLOOKUP(Table1[[#This Row],[MTP SKU Code]],'Audit Dimensions'!A:N,10,FALSE),"ARC")</f>
        <v>ARC</v>
      </c>
      <c r="Y320" s="163" t="str">
        <f>IFERROR(Table1[[#This Row],[B2.Aud]]-Table1[[#This Row],[PW(gm)5]],"ERR")</f>
        <v>ERR</v>
      </c>
      <c r="Z320" s="165" t="str">
        <f>IFERROR(Table1[[#This Row],[B2.Diff]]/Table1[[#This Row],[B2.Aud]],"NA")</f>
        <v>NA</v>
      </c>
      <c r="AA320" s="162" t="str">
        <f>_xlfn.IFNA(VLOOKUP(Table1[[#This Row],[MTP SKU Code]],'Audit Dimensions'!A:N,14,FALSE),"ARC")</f>
        <v>ARC</v>
      </c>
      <c r="AB320" s="161" t="str">
        <f>IFERROR(Table1[[#This Row],[B3.Aud]]-Table1[[#This Row],[PW(gm)9]],"ERR")</f>
        <v>ERR</v>
      </c>
      <c r="AC320" s="168" t="str">
        <f>IFERROR(Table1[[#This Row],[B3.Diff]]/Table1[[#This Row],[BaLL.Aud]],"ERR")</f>
        <v>ERR</v>
      </c>
      <c r="AD320" s="162" t="str">
        <f>_xlfn.IFNA(VLOOKUP(Table1[[#This Row],[MTP SKU Code]],'Audit Dimensions'!A:U,16,FALSE),"ARC")</f>
        <v>ARC</v>
      </c>
      <c r="AE320" s="165" t="str">
        <f>IFERROR(1-Table1[[#This Row],[Gms]]/Table1[[#This Row],[BaLL.Aud]],"ERR")</f>
        <v>ERR</v>
      </c>
    </row>
    <row r="321" spans="1:31" hidden="1">
      <c r="A321" s="68" t="s">
        <v>367</v>
      </c>
      <c r="B321" s="84"/>
      <c r="C321" s="100"/>
      <c r="D321" s="100"/>
      <c r="E321" s="100"/>
      <c r="F321" s="101"/>
      <c r="G321" s="102"/>
      <c r="H321" s="102"/>
      <c r="I321" s="102"/>
      <c r="J321" s="102"/>
      <c r="K321" s="102"/>
      <c r="L321" s="102"/>
      <c r="M321" s="102"/>
      <c r="N321" s="102"/>
      <c r="O321" s="120"/>
      <c r="P321" s="125">
        <f>F321+J321+N321</f>
        <v>0</v>
      </c>
      <c r="Q321" s="87"/>
      <c r="R321" s="88">
        <f>MAX(Q321,O321)</f>
        <v>0</v>
      </c>
      <c r="S321" s="86">
        <f>MAX(R321,P321)</f>
        <v>0</v>
      </c>
      <c r="T321" s="156" t="str">
        <f>VLOOKUP(A321,'[1]MTP SKUs - Master Data'!$A:$B,2,FALSE)</f>
        <v>DI</v>
      </c>
      <c r="U321" s="162" t="str">
        <f>_xlfn.IFNA(VLOOKUP(Table1[[#This Row],[MTP SKU Code]],'Audit Dimensions'!A:N,6,FALSE),"ARC")</f>
        <v>0</v>
      </c>
      <c r="V321" s="162">
        <f>IFERROR(Table1[[#This Row],[B1.Aud]]-Table1[[#This Row],[PW(gm)]],"ERR")</f>
        <v>0</v>
      </c>
      <c r="W321" s="165" t="str">
        <f>IFERROR(Table1[[#This Row],[B1.Diff]]/Table1[[#This Row],[B1.Aud]],"ERR")</f>
        <v>ERR</v>
      </c>
      <c r="X321" s="162" t="str">
        <f>_xlfn.IFNA(VLOOKUP(Table1[[#This Row],[MTP SKU Code]],'Audit Dimensions'!A:N,10,FALSE),"ARC")</f>
        <v>0</v>
      </c>
      <c r="Y321" s="163">
        <f>IFERROR(Table1[[#This Row],[B2.Aud]]-Table1[[#This Row],[PW(gm)5]],"ERR")</f>
        <v>0</v>
      </c>
      <c r="Z321" s="165" t="str">
        <f>IFERROR(Table1[[#This Row],[B2.Diff]]/Table1[[#This Row],[B2.Aud]],"NA")</f>
        <v>NA</v>
      </c>
      <c r="AA321" s="162" t="str">
        <f>_xlfn.IFNA(VLOOKUP(Table1[[#This Row],[MTP SKU Code]],'Audit Dimensions'!A:N,14,FALSE),"ARC")</f>
        <v>0</v>
      </c>
      <c r="AB321" s="161">
        <f>IFERROR(Table1[[#This Row],[B3.Aud]]-Table1[[#This Row],[PW(gm)9]],"ERR")</f>
        <v>0</v>
      </c>
      <c r="AC321" s="168" t="str">
        <f>IFERROR(Table1[[#This Row],[B3.Diff]]/Table1[[#This Row],[BaLL.Aud]],"ERR")</f>
        <v>ERR</v>
      </c>
      <c r="AD321" s="162">
        <f>_xlfn.IFNA(VLOOKUP(Table1[[#This Row],[MTP SKU Code]],'Audit Dimensions'!A:U,16,FALSE),"ARC")</f>
        <v>0</v>
      </c>
      <c r="AE321" s="165" t="str">
        <f>IFERROR(1-Table1[[#This Row],[Gms]]/Table1[[#This Row],[BaLL.Aud]],"ERR")</f>
        <v>ERR</v>
      </c>
    </row>
    <row r="322" spans="1:31" hidden="1">
      <c r="A322" s="68" t="s">
        <v>368</v>
      </c>
      <c r="B322" s="84"/>
      <c r="C322" s="100"/>
      <c r="D322" s="100"/>
      <c r="E322" s="100"/>
      <c r="F322" s="101"/>
      <c r="G322" s="102"/>
      <c r="H322" s="102"/>
      <c r="I322" s="102"/>
      <c r="J322" s="102"/>
      <c r="K322" s="102"/>
      <c r="L322" s="102"/>
      <c r="M322" s="102"/>
      <c r="N322" s="102"/>
      <c r="O322" s="120"/>
      <c r="P322" s="125">
        <f>F322+J322+N322</f>
        <v>0</v>
      </c>
      <c r="Q322" s="87"/>
      <c r="R322" s="88">
        <f>MAX(Q322,O322)</f>
        <v>0</v>
      </c>
      <c r="S322" s="86">
        <f>MAX(R322,P322)</f>
        <v>0</v>
      </c>
      <c r="T322" s="156" t="str">
        <f>VLOOKUP(A322,'[1]MTP SKUs - Master Data'!$A:$B,2,FALSE)</f>
        <v>DI</v>
      </c>
      <c r="U322" s="162" t="str">
        <f>_xlfn.IFNA(VLOOKUP(Table1[[#This Row],[MTP SKU Code]],'Audit Dimensions'!A:N,6,FALSE),"ARC")</f>
        <v>0</v>
      </c>
      <c r="V322" s="162">
        <f>IFERROR(Table1[[#This Row],[B1.Aud]]-Table1[[#This Row],[PW(gm)]],"ERR")</f>
        <v>0</v>
      </c>
      <c r="W322" s="165" t="str">
        <f>IFERROR(Table1[[#This Row],[B1.Diff]]/Table1[[#This Row],[B1.Aud]],"ERR")</f>
        <v>ERR</v>
      </c>
      <c r="X322" s="162" t="str">
        <f>_xlfn.IFNA(VLOOKUP(Table1[[#This Row],[MTP SKU Code]],'Audit Dimensions'!A:N,10,FALSE),"ARC")</f>
        <v>0</v>
      </c>
      <c r="Y322" s="163">
        <f>IFERROR(Table1[[#This Row],[B2.Aud]]-Table1[[#This Row],[PW(gm)5]],"ERR")</f>
        <v>0</v>
      </c>
      <c r="Z322" s="165" t="str">
        <f>IFERROR(Table1[[#This Row],[B2.Diff]]/Table1[[#This Row],[B2.Aud]],"NA")</f>
        <v>NA</v>
      </c>
      <c r="AA322" s="162" t="str">
        <f>_xlfn.IFNA(VLOOKUP(Table1[[#This Row],[MTP SKU Code]],'Audit Dimensions'!A:N,14,FALSE),"ARC")</f>
        <v>0</v>
      </c>
      <c r="AB322" s="161">
        <f>IFERROR(Table1[[#This Row],[B3.Aud]]-Table1[[#This Row],[PW(gm)9]],"ERR")</f>
        <v>0</v>
      </c>
      <c r="AC322" s="168" t="str">
        <f>IFERROR(Table1[[#This Row],[B3.Diff]]/Table1[[#This Row],[BaLL.Aud]],"ERR")</f>
        <v>ERR</v>
      </c>
      <c r="AD322" s="162">
        <f>_xlfn.IFNA(VLOOKUP(Table1[[#This Row],[MTP SKU Code]],'Audit Dimensions'!A:U,16,FALSE),"ARC")</f>
        <v>0</v>
      </c>
      <c r="AE322" s="165" t="str">
        <f>IFERROR(1-Table1[[#This Row],[Gms]]/Table1[[#This Row],[BaLL.Aud]],"ERR")</f>
        <v>ERR</v>
      </c>
    </row>
  </sheetData>
  <mergeCells count="5">
    <mergeCell ref="C1:F1"/>
    <mergeCell ref="G1:J1"/>
    <mergeCell ref="K1:N1"/>
    <mergeCell ref="Q1:R1"/>
    <mergeCell ref="U1:AC1"/>
  </mergeCells>
  <conditionalFormatting sqref="A207">
    <cfRule type="duplicateValues" dxfId="183" priority="148"/>
  </conditionalFormatting>
  <conditionalFormatting sqref="A208">
    <cfRule type="duplicateValues" dxfId="182" priority="149"/>
    <cfRule type="duplicateValues" dxfId="181" priority="150"/>
    <cfRule type="duplicateValues" dxfId="180" priority="151"/>
    <cfRule type="duplicateValues" dxfId="179" priority="152"/>
  </conditionalFormatting>
  <conditionalFormatting sqref="A209">
    <cfRule type="duplicateValues" dxfId="178" priority="153"/>
    <cfRule type="duplicateValues" dxfId="177" priority="154"/>
    <cfRule type="duplicateValues" dxfId="176" priority="155"/>
  </conditionalFormatting>
  <conditionalFormatting sqref="A210:A212">
    <cfRule type="duplicateValues" dxfId="175" priority="156"/>
  </conditionalFormatting>
  <conditionalFormatting sqref="A213">
    <cfRule type="duplicateValues" dxfId="174" priority="157"/>
    <cfRule type="duplicateValues" dxfId="173" priority="158"/>
    <cfRule type="duplicateValues" dxfId="172" priority="159"/>
  </conditionalFormatting>
  <conditionalFormatting sqref="A214">
    <cfRule type="duplicateValues" dxfId="171" priority="160"/>
  </conditionalFormatting>
  <conditionalFormatting sqref="A221">
    <cfRule type="duplicateValues" dxfId="170" priority="161"/>
  </conditionalFormatting>
  <conditionalFormatting sqref="A222">
    <cfRule type="duplicateValues" dxfId="169" priority="163"/>
  </conditionalFormatting>
  <conditionalFormatting sqref="A223">
    <cfRule type="duplicateValues" dxfId="168" priority="164"/>
  </conditionalFormatting>
  <conditionalFormatting sqref="A223:A225 A207 A209:A221">
    <cfRule type="duplicateValues" dxfId="167" priority="184"/>
  </conditionalFormatting>
  <conditionalFormatting sqref="A225">
    <cfRule type="duplicateValues" dxfId="166" priority="168"/>
    <cfRule type="duplicateValues" dxfId="165" priority="169"/>
  </conditionalFormatting>
  <conditionalFormatting sqref="A226">
    <cfRule type="duplicateValues" dxfId="164" priority="170"/>
    <cfRule type="duplicateValues" dxfId="163" priority="171"/>
    <cfRule type="duplicateValues" dxfId="162" priority="172"/>
  </conditionalFormatting>
  <conditionalFormatting sqref="A227">
    <cfRule type="duplicateValues" dxfId="161" priority="173"/>
    <cfRule type="duplicateValues" dxfId="160" priority="174"/>
    <cfRule type="duplicateValues" dxfId="159" priority="175"/>
  </conditionalFormatting>
  <conditionalFormatting sqref="A237">
    <cfRule type="duplicateValues" dxfId="158" priority="176"/>
    <cfRule type="duplicateValues" dxfId="157" priority="177"/>
  </conditionalFormatting>
  <conditionalFormatting sqref="A238:A244">
    <cfRule type="duplicateValues" dxfId="156" priority="178"/>
  </conditionalFormatting>
  <conditionalFormatting sqref="A246">
    <cfRule type="duplicateValues" dxfId="155" priority="179"/>
  </conditionalFormatting>
  <conditionalFormatting sqref="A267:A274">
    <cfRule type="duplicateValues" dxfId="154" priority="60"/>
    <cfRule type="duplicateValues" dxfId="153" priority="61"/>
  </conditionalFormatting>
  <conditionalFormatting sqref="A305:A314 A299:A300 A263:A264 A138:A206 A14:A136 A287:A290 A318:A1048576 A1:A12">
    <cfRule type="duplicateValues" dxfId="152" priority="180"/>
  </conditionalFormatting>
  <conditionalFormatting sqref="A305:A314 A299:A300 A263:A264 A287:A290 A259 A318:A1048576 A1:A255">
    <cfRule type="duplicateValues" dxfId="151" priority="64"/>
  </conditionalFormatting>
  <conditionalFormatting sqref="S4:S10002">
    <cfRule type="expression" dxfId="150" priority="65">
      <formula>$P4&gt;$R4</formula>
    </cfRule>
  </conditionalFormatting>
  <conditionalFormatting sqref="P1:P1048576">
    <cfRule type="expression" dxfId="149" priority="56">
      <formula>$P1&gt;$Q1</formula>
    </cfRule>
  </conditionalFormatting>
  <conditionalFormatting sqref="C14:N15 C25:N25 F27:N27 C59:N61 C82:N82 C84:N84 C94:N94 C124:N124 C132:N132 C135:N135 C137:N138 C141:N141 C179:N179 C185:N185 C198:N198 C237:N237 C246:N247 C249:N250 C253:N275 C278:N278 C280:N315 C317:N399">
    <cfRule type="expression" dxfId="148" priority="55">
      <formula>NOT(_xlfn.ISFORMULA(C14))</formula>
    </cfRule>
  </conditionalFormatting>
  <conditionalFormatting sqref="C62:N81 C83:N83 C85:N93 C95:N123 C125:N131 C133:N134 C136:N136 C4:N13 C26:N26 C16:N24 C28:N58">
    <cfRule type="expression" dxfId="147" priority="12">
      <formula>NOT(_xlfn.ISFORMULA(C4))</formula>
    </cfRule>
  </conditionalFormatting>
  <conditionalFormatting sqref="C316:N316 C279:N279 C248:E248 C180:N184 C139:N140 C277:N277 C276:E276 G276:N276 C251:N251 G248:N248 G243:N245 C242:E245 C252:E252 G252:N252 C236:N236 C235:E235 G235:N235 C142:N178 C186:N197 C199:N234 C238:N242">
    <cfRule type="expression" dxfId="146" priority="11">
      <formula>NOT(_xlfn.ISFORMULA(C139))</formula>
    </cfRule>
  </conditionalFormatting>
  <conditionalFormatting sqref="F276">
    <cfRule type="expression" dxfId="145" priority="10">
      <formula>NOT(_xlfn.ISFORMULA(F276))</formula>
    </cfRule>
  </conditionalFormatting>
  <conditionalFormatting sqref="F248">
    <cfRule type="expression" dxfId="144" priority="9">
      <formula>NOT(_xlfn.ISFORMULA(F248))</formula>
    </cfRule>
  </conditionalFormatting>
  <conditionalFormatting sqref="F244">
    <cfRule type="expression" dxfId="143" priority="7">
      <formula>NOT(_xlfn.ISFORMULA(F244))</formula>
    </cfRule>
  </conditionalFormatting>
  <conditionalFormatting sqref="F243">
    <cfRule type="expression" dxfId="142" priority="6">
      <formula>NOT(_xlfn.ISFORMULA(F243))</formula>
    </cfRule>
  </conditionalFormatting>
  <conditionalFormatting sqref="F252">
    <cfRule type="expression" dxfId="141" priority="5">
      <formula>NOT(_xlfn.ISFORMULA(F252))</formula>
    </cfRule>
  </conditionalFormatting>
  <conditionalFormatting sqref="F235">
    <cfRule type="expression" dxfId="140" priority="3">
      <formula>NOT(_xlfn.ISFORMULA(F235))</formula>
    </cfRule>
  </conditionalFormatting>
  <conditionalFormatting sqref="C27:E27">
    <cfRule type="expression" dxfId="139" priority="2">
      <formula>NOT(_xlfn.ISFORMULA(C27))</formula>
    </cfRule>
  </conditionalFormatting>
  <conditionalFormatting sqref="F245">
    <cfRule type="expression" dxfId="138" priority="1">
      <formula>NOT(_xlfn.ISFORMULA(F245))</formula>
    </cfRule>
  </conditionalFormatting>
  <hyperlinks>
    <hyperlink ref="A306" r:id="rId1" display="https://sellercentral.amazon.in/skucentral?mSku=TU-PMP-SWF&amp;ref=myi_skuc" xr:uid="{912017DF-D984-4C68-B331-236E490E004C}"/>
    <hyperlink ref="Z158" r:id="rId2" display="=IFERROR([@Diff]/[@[B1.Aud]],&quot;ERR&quot;)" xr:uid="{128AEA02-9772-4E38-997A-23B72DD7AAC6}"/>
  </hyperlinks>
  <pageMargins left="0.7" right="0.7" top="0.75" bottom="0.75" header="0.3" footer="0.3"/>
  <pageSetup orientation="portrait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0"/>
  <sheetViews>
    <sheetView workbookViewId="0">
      <pane ySplit="3" topLeftCell="A241" activePane="bottomLeft" state="frozen"/>
      <selection pane="bottomLeft" activeCell="A138" sqref="A138"/>
    </sheetView>
  </sheetViews>
  <sheetFormatPr defaultColWidth="8.85546875" defaultRowHeight="12.75" customHeight="1"/>
  <cols>
    <col min="1" max="1" width="13.85546875" style="25" customWidth="1"/>
    <col min="2" max="2" width="6.28515625" style="6" bestFit="1" customWidth="1"/>
    <col min="3" max="5" width="6.28515625" style="8" customWidth="1"/>
    <col min="6" max="6" width="9.85546875" style="128" customWidth="1"/>
    <col min="7" max="9" width="6.28515625" style="17" customWidth="1"/>
    <col min="10" max="10" width="9.140625" style="132" customWidth="1"/>
    <col min="11" max="13" width="6.28515625" style="19" customWidth="1"/>
    <col min="14" max="14" width="10.85546875" style="134" customWidth="1"/>
    <col min="15" max="15" width="9.5703125" style="113" customWidth="1"/>
    <col min="16" max="16" width="10.85546875" style="47" bestFit="1" customWidth="1"/>
    <col min="17" max="17" width="9.7109375" style="47" bestFit="1" customWidth="1"/>
    <col min="18" max="18" width="12" style="47" bestFit="1" customWidth="1"/>
    <col min="19" max="19" width="9.140625" style="41" bestFit="1" customWidth="1"/>
    <col min="20" max="20" width="14.42578125" style="42" customWidth="1"/>
    <col min="21" max="21" width="8.7109375" style="107" bestFit="1" customWidth="1"/>
    <col min="22" max="22" width="8.5703125" style="21" customWidth="1"/>
    <col min="23" max="23" width="8.5703125" style="22" customWidth="1"/>
    <col min="24" max="24" width="4.5703125" style="25" customWidth="1"/>
    <col min="25" max="25" width="8.85546875" style="5" bestFit="1" customWidth="1"/>
    <col min="26" max="27" width="8.85546875" style="5"/>
    <col min="28" max="28" width="8.85546875" style="5" bestFit="1" customWidth="1"/>
    <col min="29" max="16384" width="8.85546875" style="5"/>
  </cols>
  <sheetData>
    <row r="1" spans="1:28" ht="12.75" customHeight="1">
      <c r="A1" s="29"/>
      <c r="B1" s="4"/>
      <c r="C1" s="201" t="s">
        <v>1</v>
      </c>
      <c r="D1" s="201"/>
      <c r="E1" s="201"/>
      <c r="F1" s="201"/>
      <c r="G1" s="202" t="s">
        <v>2</v>
      </c>
      <c r="H1" s="202"/>
      <c r="I1" s="202"/>
      <c r="J1" s="202"/>
      <c r="K1" s="203" t="s">
        <v>3</v>
      </c>
      <c r="L1" s="203"/>
      <c r="M1" s="203"/>
      <c r="N1" s="203"/>
      <c r="O1" s="109" t="s">
        <v>5</v>
      </c>
      <c r="P1" s="204" t="s">
        <v>6</v>
      </c>
      <c r="Q1" s="204"/>
      <c r="R1" s="43" t="s">
        <v>7</v>
      </c>
      <c r="S1" s="205" t="s">
        <v>369</v>
      </c>
      <c r="T1" s="205"/>
      <c r="U1" s="205"/>
      <c r="V1" s="9"/>
      <c r="W1" s="10"/>
      <c r="X1" s="29"/>
    </row>
    <row r="2" spans="1:28">
      <c r="A2" s="24"/>
      <c r="B2" s="4"/>
      <c r="C2" s="7" t="s">
        <v>9</v>
      </c>
      <c r="D2" s="7" t="s">
        <v>10</v>
      </c>
      <c r="E2" s="7" t="s">
        <v>11</v>
      </c>
      <c r="F2" s="127" t="s">
        <v>370</v>
      </c>
      <c r="G2" s="11" t="s">
        <v>9</v>
      </c>
      <c r="H2" s="11" t="s">
        <v>10</v>
      </c>
      <c r="I2" s="11" t="s">
        <v>11</v>
      </c>
      <c r="J2" s="130" t="s">
        <v>370</v>
      </c>
      <c r="K2" s="12" t="s">
        <v>9</v>
      </c>
      <c r="L2" s="12" t="s">
        <v>10</v>
      </c>
      <c r="M2" s="12" t="s">
        <v>11</v>
      </c>
      <c r="N2" s="133" t="s">
        <v>12</v>
      </c>
      <c r="O2" s="110">
        <v>6</v>
      </c>
      <c r="P2" s="44" t="s">
        <v>12</v>
      </c>
      <c r="Q2" s="44" t="s">
        <v>371</v>
      </c>
      <c r="R2" s="45"/>
      <c r="S2" s="39"/>
      <c r="T2" s="40" t="s">
        <v>372</v>
      </c>
      <c r="U2" s="105" t="s">
        <v>373</v>
      </c>
      <c r="V2" s="13" t="s">
        <v>13</v>
      </c>
      <c r="W2" s="14" t="s">
        <v>374</v>
      </c>
      <c r="X2" s="24"/>
    </row>
    <row r="3" spans="1:28">
      <c r="A3" s="24" t="s">
        <v>16</v>
      </c>
      <c r="B3" s="4" t="s">
        <v>17</v>
      </c>
      <c r="C3" s="7" t="s">
        <v>18</v>
      </c>
      <c r="D3" s="7" t="s">
        <v>19</v>
      </c>
      <c r="E3" s="7" t="s">
        <v>20</v>
      </c>
      <c r="F3" s="127" t="s">
        <v>21</v>
      </c>
      <c r="G3" s="15" t="s">
        <v>18</v>
      </c>
      <c r="H3" s="15" t="s">
        <v>19</v>
      </c>
      <c r="I3" s="15" t="s">
        <v>20</v>
      </c>
      <c r="J3" s="130" t="s">
        <v>21</v>
      </c>
      <c r="K3" s="16" t="s">
        <v>18</v>
      </c>
      <c r="L3" s="16" t="s">
        <v>19</v>
      </c>
      <c r="M3" s="16" t="s">
        <v>20</v>
      </c>
      <c r="N3" s="133" t="s">
        <v>21</v>
      </c>
      <c r="O3" s="111" t="s">
        <v>31</v>
      </c>
      <c r="P3" s="44" t="s">
        <v>32</v>
      </c>
      <c r="Q3" s="44" t="s">
        <v>31</v>
      </c>
      <c r="R3" s="46"/>
      <c r="S3" s="108" t="s">
        <v>375</v>
      </c>
      <c r="T3" s="40"/>
      <c r="U3" s="105"/>
      <c r="V3" s="13"/>
      <c r="W3" s="14"/>
      <c r="X3" s="24" t="s">
        <v>376</v>
      </c>
      <c r="Y3" s="5" t="s">
        <v>377</v>
      </c>
      <c r="AB3" s="5" t="s">
        <v>378</v>
      </c>
    </row>
    <row r="4" spans="1:28" s="38" customFormat="1" ht="12.4" customHeight="1">
      <c r="A4" s="58" t="s">
        <v>224</v>
      </c>
      <c r="B4" s="3" t="s">
        <v>48</v>
      </c>
      <c r="C4" s="104">
        <v>41</v>
      </c>
      <c r="D4" s="72">
        <v>14</v>
      </c>
      <c r="E4" s="72">
        <v>7</v>
      </c>
      <c r="F4" s="135">
        <v>1390</v>
      </c>
      <c r="G4" s="72">
        <v>0</v>
      </c>
      <c r="H4" s="72">
        <v>0</v>
      </c>
      <c r="I4" s="72">
        <v>0</v>
      </c>
      <c r="J4" s="131">
        <v>0</v>
      </c>
      <c r="K4" s="72">
        <v>0</v>
      </c>
      <c r="L4" s="72">
        <v>0</v>
      </c>
      <c r="M4" s="72">
        <v>0</v>
      </c>
      <c r="N4" s="131">
        <v>0</v>
      </c>
      <c r="O4" s="112">
        <f>V4*$O$2*1000</f>
        <v>851.49455999999998</v>
      </c>
      <c r="P4" s="73">
        <f>F4+J4+N4</f>
        <v>1390</v>
      </c>
      <c r="Q4" s="74">
        <f>P4/1000</f>
        <v>1.39</v>
      </c>
      <c r="R4" s="74">
        <f>MAX(P4,O4)</f>
        <v>1390</v>
      </c>
      <c r="S4" s="75">
        <f>VLOOKUP(A4,'[2]BOM FG Files'!$A:$F,6,FALSE)</f>
        <v>122.4</v>
      </c>
      <c r="T4" s="76">
        <f>S4-P4</f>
        <v>-1267.5999999999999</v>
      </c>
      <c r="U4" s="106">
        <f>T4/S4</f>
        <v>-10.356209150326796</v>
      </c>
      <c r="V4" s="66">
        <f>(((C4*D4*E4)+(G4*H4*I4)+(K4*L4*M4))/1000000)*35.32</f>
        <v>0.14191576</v>
      </c>
      <c r="W4" s="67">
        <f>Q4/V4</f>
        <v>9.7945429034802043</v>
      </c>
      <c r="X4" s="58" t="str">
        <f>VLOOKUP(A4,'[1]MTP SKUs - Master Data'!$A:$B,2,FALSE)</f>
        <v>DI</v>
      </c>
      <c r="Y4" s="5"/>
      <c r="Z4" s="5"/>
      <c r="AA4" s="5"/>
    </row>
    <row r="5" spans="1:28" s="38" customFormat="1" ht="12.4" customHeight="1">
      <c r="A5" s="79" t="s">
        <v>245</v>
      </c>
      <c r="B5" s="2"/>
      <c r="C5" s="104">
        <v>35</v>
      </c>
      <c r="D5" s="72">
        <v>35</v>
      </c>
      <c r="E5" s="72">
        <v>28</v>
      </c>
      <c r="F5" s="135">
        <v>2540</v>
      </c>
      <c r="G5" s="72">
        <v>0</v>
      </c>
      <c r="H5" s="72">
        <v>0</v>
      </c>
      <c r="I5" s="72">
        <v>0</v>
      </c>
      <c r="J5" s="131">
        <v>0</v>
      </c>
      <c r="K5" s="72">
        <v>0</v>
      </c>
      <c r="L5" s="72">
        <v>0</v>
      </c>
      <c r="M5" s="72">
        <v>0</v>
      </c>
      <c r="N5" s="131">
        <v>0</v>
      </c>
      <c r="O5" s="112">
        <f>V5*$O$2*1000</f>
        <v>7268.8559999999998</v>
      </c>
      <c r="P5" s="73">
        <f>F5+J5+N5</f>
        <v>2540</v>
      </c>
      <c r="Q5" s="74">
        <f>P5/1000</f>
        <v>2.54</v>
      </c>
      <c r="R5" s="74">
        <f>MAX(P5,O5)</f>
        <v>7268.8559999999998</v>
      </c>
      <c r="S5" s="75">
        <f>VLOOKUP(A5,'[2]BOM FG Files'!$A:$F,6,FALSE)</f>
        <v>1952.2104166461538</v>
      </c>
      <c r="T5" s="76">
        <f>S5-P5</f>
        <v>-587.78958335384618</v>
      </c>
      <c r="U5" s="106">
        <f>T5/S5</f>
        <v>-0.30108925674295561</v>
      </c>
      <c r="V5" s="66">
        <f>(((C5*D5*E5)+(G5*H5*I5)+(K5*L5*M5))/1000000)*35.32</f>
        <v>1.211476</v>
      </c>
      <c r="W5" s="67">
        <f>Q5/V5</f>
        <v>2.0966160287120834</v>
      </c>
      <c r="X5" s="58" t="str">
        <f>VLOOKUP(A5,'[1]MTP SKUs - Master Data'!$A:$B,2,FALSE)</f>
        <v>Y</v>
      </c>
      <c r="Y5" s="5"/>
      <c r="Z5" s="5"/>
      <c r="AA5" s="5"/>
    </row>
    <row r="6" spans="1:28">
      <c r="A6" s="58" t="s">
        <v>127</v>
      </c>
      <c r="B6" s="3" t="s">
        <v>48</v>
      </c>
      <c r="C6" s="104">
        <v>76</v>
      </c>
      <c r="D6" s="72">
        <v>76</v>
      </c>
      <c r="E6" s="72">
        <v>4</v>
      </c>
      <c r="F6" s="135">
        <v>12400</v>
      </c>
      <c r="G6" s="72">
        <v>0</v>
      </c>
      <c r="H6" s="72">
        <v>0</v>
      </c>
      <c r="I6" s="72">
        <v>0</v>
      </c>
      <c r="J6" s="131">
        <v>0</v>
      </c>
      <c r="K6" s="72">
        <v>0</v>
      </c>
      <c r="L6" s="72">
        <v>0</v>
      </c>
      <c r="M6" s="72">
        <v>0</v>
      </c>
      <c r="N6" s="131">
        <v>0</v>
      </c>
      <c r="O6" s="112">
        <f>V6*$O$2*1000</f>
        <v>4896.1996799999997</v>
      </c>
      <c r="P6" s="73">
        <f>F6+J6+N6</f>
        <v>12400</v>
      </c>
      <c r="Q6" s="74">
        <f>P6/1000</f>
        <v>12.4</v>
      </c>
      <c r="R6" s="74">
        <f>MAX(P6,O6)</f>
        <v>12400</v>
      </c>
      <c r="S6" s="75">
        <f>VLOOKUP(A6,'[2]BOM FG Files'!$A:$F,6,FALSE)</f>
        <v>10198.695171237458</v>
      </c>
      <c r="T6" s="76">
        <f>S6-P6</f>
        <v>-2201.3048287625425</v>
      </c>
      <c r="U6" s="106">
        <f>T6/S6</f>
        <v>-0.21584181032988434</v>
      </c>
      <c r="V6" s="66">
        <f>(((C6*D6*E6)+(G6*H6*I6)+(K6*L6*M6))/1000000)*35.32</f>
        <v>0.81603327999999997</v>
      </c>
      <c r="W6" s="67">
        <f>Q6/V6</f>
        <v>15.19545869501793</v>
      </c>
      <c r="X6" s="58" t="str">
        <f>VLOOKUP(A6,'[1]MTP SKUs - Master Data'!$A:$B,2,FALSE)</f>
        <v>DI</v>
      </c>
    </row>
    <row r="7" spans="1:28">
      <c r="A7" s="58" t="s">
        <v>180</v>
      </c>
      <c r="B7" s="3" t="s">
        <v>48</v>
      </c>
      <c r="C7" s="104">
        <v>26</v>
      </c>
      <c r="D7" s="72">
        <v>26</v>
      </c>
      <c r="E7" s="72">
        <v>5</v>
      </c>
      <c r="F7" s="135">
        <v>840</v>
      </c>
      <c r="G7" s="72">
        <v>0</v>
      </c>
      <c r="H7" s="72">
        <v>0</v>
      </c>
      <c r="I7" s="72">
        <v>0</v>
      </c>
      <c r="J7" s="131">
        <v>0</v>
      </c>
      <c r="K7" s="72">
        <v>0</v>
      </c>
      <c r="L7" s="72">
        <v>0</v>
      </c>
      <c r="M7" s="72">
        <v>0</v>
      </c>
      <c r="N7" s="131">
        <v>0</v>
      </c>
      <c r="O7" s="112">
        <f>V7*$O$2*1000</f>
        <v>716.28960000000006</v>
      </c>
      <c r="P7" s="73">
        <f>F7+J7+N7</f>
        <v>840</v>
      </c>
      <c r="Q7" s="74">
        <f>P7/1000</f>
        <v>0.84</v>
      </c>
      <c r="R7" s="74">
        <f>MAX(P7,O7)</f>
        <v>840</v>
      </c>
      <c r="S7" s="75">
        <f>VLOOKUP(A7,'[2]BOM FG Files'!$A:$F,6,FALSE)</f>
        <v>628.41577865384602</v>
      </c>
      <c r="T7" s="76">
        <f>S7-P7</f>
        <v>-211.58422134615398</v>
      </c>
      <c r="U7" s="106">
        <f>T7/S7</f>
        <v>-0.3366946351974115</v>
      </c>
      <c r="V7" s="66">
        <f>(((C7*D7*E7)+(G7*H7*I7)+(K7*L7*M7))/1000000)*35.32</f>
        <v>0.1193816</v>
      </c>
      <c r="W7" s="67">
        <f>Q7/V7</f>
        <v>7.0362601942007812</v>
      </c>
      <c r="X7" s="58" t="str">
        <f>VLOOKUP(A7,'[1]MTP SKUs - Master Data'!$A:$B,2,FALSE)</f>
        <v>DI</v>
      </c>
    </row>
    <row r="8" spans="1:28">
      <c r="A8" s="58" t="s">
        <v>282</v>
      </c>
      <c r="B8" s="3" t="s">
        <v>74</v>
      </c>
      <c r="C8" s="104">
        <v>100</v>
      </c>
      <c r="D8" s="72">
        <v>50</v>
      </c>
      <c r="E8" s="72">
        <v>4</v>
      </c>
      <c r="F8" s="135">
        <v>8900</v>
      </c>
      <c r="G8" s="72">
        <v>51</v>
      </c>
      <c r="H8" s="72">
        <v>12</v>
      </c>
      <c r="I8" s="72">
        <v>10</v>
      </c>
      <c r="J8" s="131">
        <v>1500</v>
      </c>
      <c r="K8" s="72">
        <v>0</v>
      </c>
      <c r="L8" s="72">
        <v>0</v>
      </c>
      <c r="M8" s="72">
        <v>0</v>
      </c>
      <c r="N8" s="131">
        <v>0</v>
      </c>
      <c r="O8" s="112">
        <f>V8*$O$2*1000</f>
        <v>5535.3504000000003</v>
      </c>
      <c r="P8" s="73">
        <f>F8+J8+N8</f>
        <v>10400</v>
      </c>
      <c r="Q8" s="74">
        <f>P8/1000</f>
        <v>10.4</v>
      </c>
      <c r="R8" s="74">
        <f>MAX(P8,O8)</f>
        <v>10400</v>
      </c>
      <c r="S8" s="75">
        <f>VLOOKUP(A8,'[2]BOM FG Files'!$A:$F,6,FALSE)</f>
        <v>8183.3621166286393</v>
      </c>
      <c r="T8" s="76">
        <f>S8-P8</f>
        <v>-2216.6378833713607</v>
      </c>
      <c r="U8" s="106">
        <f>T8/S8</f>
        <v>-0.270871293703005</v>
      </c>
      <c r="V8" s="66">
        <f>(((C8*D8*E8)+(G8*H8*I8)+(K8*L8*M8))/1000000)*35.32</f>
        <v>0.9225584</v>
      </c>
      <c r="W8" s="67">
        <f>Q8/V8</f>
        <v>11.272999086019921</v>
      </c>
      <c r="X8" s="58" t="str">
        <f>VLOOKUP(A8,'[1]MTP SKUs - Master Data'!$A:$B,2,FALSE)</f>
        <v>DI</v>
      </c>
    </row>
    <row r="9" spans="1:28" ht="12.4" customHeight="1">
      <c r="A9" s="58" t="s">
        <v>174</v>
      </c>
      <c r="B9" s="2" t="s">
        <v>48</v>
      </c>
      <c r="C9" s="104">
        <v>47</v>
      </c>
      <c r="D9" s="72">
        <v>29</v>
      </c>
      <c r="E9" s="72">
        <v>9</v>
      </c>
      <c r="F9" s="135">
        <v>4930</v>
      </c>
      <c r="G9" s="72">
        <v>0</v>
      </c>
      <c r="H9" s="72">
        <v>0</v>
      </c>
      <c r="I9" s="72">
        <v>0</v>
      </c>
      <c r="J9" s="131">
        <v>0</v>
      </c>
      <c r="K9" s="72">
        <v>0</v>
      </c>
      <c r="L9" s="72">
        <v>0</v>
      </c>
      <c r="M9" s="72">
        <v>0</v>
      </c>
      <c r="N9" s="131">
        <v>0</v>
      </c>
      <c r="O9" s="112">
        <f>V9*$O$2*1000</f>
        <v>2599.62264</v>
      </c>
      <c r="P9" s="73">
        <f>F9+J9+N9</f>
        <v>4930</v>
      </c>
      <c r="Q9" s="74">
        <f>P9/1000</f>
        <v>4.93</v>
      </c>
      <c r="R9" s="74">
        <f>MAX(P9,O9)</f>
        <v>4930</v>
      </c>
      <c r="S9" s="75">
        <f>VLOOKUP(A9,'[2]BOM FG Files'!$A:$F,6,FALSE)</f>
        <v>4330.184904067286</v>
      </c>
      <c r="T9" s="76">
        <f>S9-P9</f>
        <v>-599.81509593271403</v>
      </c>
      <c r="U9" s="106">
        <f>T9/S9</f>
        <v>-0.13851951111124969</v>
      </c>
      <c r="V9" s="66">
        <f>(((C9*D9*E9)+(G9*H9*I9)+(K9*L9*M9))/1000000)*35.32</f>
        <v>0.43327044000000003</v>
      </c>
      <c r="W9" s="67">
        <f>Q9/V9</f>
        <v>11.378574545727142</v>
      </c>
      <c r="X9" s="58" t="str">
        <f>VLOOKUP(A9,'[1]MTP SKUs - Master Data'!$A:$B,2,FALSE)</f>
        <v>Y</v>
      </c>
    </row>
    <row r="10" spans="1:28" ht="12.4" customHeight="1">
      <c r="A10" s="149" t="s">
        <v>289</v>
      </c>
      <c r="B10" s="3" t="s">
        <v>48</v>
      </c>
      <c r="C10" s="104">
        <v>37</v>
      </c>
      <c r="D10" s="72">
        <v>25</v>
      </c>
      <c r="E10" s="72">
        <v>4</v>
      </c>
      <c r="F10" s="135">
        <v>1550</v>
      </c>
      <c r="G10" s="72">
        <v>0</v>
      </c>
      <c r="H10" s="72">
        <v>0</v>
      </c>
      <c r="I10" s="72">
        <v>0</v>
      </c>
      <c r="J10" s="131">
        <v>0</v>
      </c>
      <c r="K10" s="72">
        <v>0</v>
      </c>
      <c r="L10" s="72">
        <v>0</v>
      </c>
      <c r="M10" s="72">
        <v>0</v>
      </c>
      <c r="N10" s="131">
        <v>0</v>
      </c>
      <c r="O10" s="112">
        <f>V10*$O$2*1000</f>
        <v>784.10399999999993</v>
      </c>
      <c r="P10" s="73">
        <f>F10+J10+N10</f>
        <v>1550</v>
      </c>
      <c r="Q10" s="74">
        <f>P10/1000</f>
        <v>1.55</v>
      </c>
      <c r="R10" s="74">
        <f>MAX(P10,O10)</f>
        <v>1550</v>
      </c>
      <c r="S10" s="75">
        <f>VLOOKUP(A10,'[2]BOM FG Files'!$A:$F,6,FALSE)</f>
        <v>1297.3753846153845</v>
      </c>
      <c r="T10" s="76">
        <f>S10-P10</f>
        <v>-252.62461538461548</v>
      </c>
      <c r="U10" s="106">
        <f>T10/S10</f>
        <v>-0.1947197537276443</v>
      </c>
      <c r="V10" s="66">
        <f>(((C10*D10*E10)+(G10*H10*I10)+(K10*L10*M10))/1000000)*35.32</f>
        <v>0.13068399999999999</v>
      </c>
      <c r="W10" s="67">
        <f>Q10/V10</f>
        <v>11.860671543570751</v>
      </c>
      <c r="X10" s="58" t="str">
        <f>VLOOKUP(A10,'[1]MTP SKUs - Master Data'!$A:$B,2,FALSE)</f>
        <v>Y</v>
      </c>
    </row>
    <row r="11" spans="1:28" s="186" customFormat="1">
      <c r="A11" s="171" t="s">
        <v>149</v>
      </c>
      <c r="B11" s="172"/>
      <c r="C11" s="173">
        <v>165</v>
      </c>
      <c r="D11" s="174">
        <v>43</v>
      </c>
      <c r="E11" s="174">
        <v>10</v>
      </c>
      <c r="F11" s="175">
        <v>35200</v>
      </c>
      <c r="G11" s="174">
        <v>0</v>
      </c>
      <c r="H11" s="174">
        <v>0</v>
      </c>
      <c r="I11" s="174">
        <v>0</v>
      </c>
      <c r="J11" s="176">
        <v>0</v>
      </c>
      <c r="K11" s="174">
        <v>0</v>
      </c>
      <c r="L11" s="174">
        <v>0</v>
      </c>
      <c r="M11" s="174">
        <v>0</v>
      </c>
      <c r="N11" s="176">
        <v>0</v>
      </c>
      <c r="O11" s="177">
        <f>V11*$O$2*1000</f>
        <v>15035.724</v>
      </c>
      <c r="P11" s="178">
        <f>F11+J11+N11</f>
        <v>35200</v>
      </c>
      <c r="Q11" s="179">
        <f>P11/1000</f>
        <v>35.200000000000003</v>
      </c>
      <c r="R11" s="179">
        <f>MAX(P11,O11)</f>
        <v>35200</v>
      </c>
      <c r="S11" s="180">
        <f>VLOOKUP(A11,'[2]BOM FG Files'!$A:$F,6,FALSE)</f>
        <v>30520.876280635523</v>
      </c>
      <c r="T11" s="181">
        <f>S11-P11</f>
        <v>-4679.1237193644774</v>
      </c>
      <c r="U11" s="182">
        <f>T11/S11</f>
        <v>-0.15330895732942063</v>
      </c>
      <c r="V11" s="183">
        <f>(((C11*D11*E11)+(G11*H11*I11)+(K11*L11*M11))/1000000)*35.32</f>
        <v>2.505954</v>
      </c>
      <c r="W11" s="184">
        <f>Q11/V11</f>
        <v>14.046546744273838</v>
      </c>
      <c r="X11" s="185" t="str">
        <f>VLOOKUP(A11,'[1]MTP SKUs - Master Data'!$A:$B,2,FALSE)</f>
        <v>Y</v>
      </c>
    </row>
    <row r="12" spans="1:28">
      <c r="A12" s="58" t="s">
        <v>285</v>
      </c>
      <c r="B12" s="3" t="s">
        <v>48</v>
      </c>
      <c r="C12" s="104">
        <v>54</v>
      </c>
      <c r="D12" s="72">
        <v>15</v>
      </c>
      <c r="E12" s="72">
        <v>8</v>
      </c>
      <c r="F12" s="135">
        <v>2300</v>
      </c>
      <c r="G12" s="72">
        <v>0</v>
      </c>
      <c r="H12" s="72">
        <v>0</v>
      </c>
      <c r="I12" s="72">
        <v>0</v>
      </c>
      <c r="J12" s="131">
        <v>0</v>
      </c>
      <c r="K12" s="72">
        <v>0</v>
      </c>
      <c r="L12" s="72">
        <v>0</v>
      </c>
      <c r="M12" s="72">
        <v>0</v>
      </c>
      <c r="N12" s="131">
        <v>0</v>
      </c>
      <c r="O12" s="112">
        <f>V12*$O$2*1000</f>
        <v>1373.2415999999998</v>
      </c>
      <c r="P12" s="73">
        <f>F12+J12+N12</f>
        <v>2300</v>
      </c>
      <c r="Q12" s="74">
        <f>P12/1000</f>
        <v>2.2999999999999998</v>
      </c>
      <c r="R12" s="74">
        <f>MAX(P12,O12)</f>
        <v>2300</v>
      </c>
      <c r="S12" s="75">
        <f>VLOOKUP(A12,'[2]BOM FG Files'!$A:$F,6,FALSE)</f>
        <v>1742.8086163678461</v>
      </c>
      <c r="T12" s="76">
        <f>S12-P12</f>
        <v>-557.19138363215393</v>
      </c>
      <c r="U12" s="106">
        <f>T12/S12</f>
        <v>-0.31970887589102343</v>
      </c>
      <c r="V12" s="66">
        <f>(((C12*D12*E12)+(G12*H12*I12)+(K12*L12*M12))/1000000)*35.32</f>
        <v>0.22887359999999998</v>
      </c>
      <c r="W12" s="67">
        <f>Q12/V12</f>
        <v>10.04921493785216</v>
      </c>
      <c r="X12" s="58" t="str">
        <f>VLOOKUP(A12,'[1]MTP SKUs - Master Data'!$A:$B,2,FALSE)</f>
        <v>Y</v>
      </c>
    </row>
    <row r="13" spans="1:28">
      <c r="A13" s="79" t="s">
        <v>59</v>
      </c>
      <c r="B13" s="2"/>
      <c r="C13" s="104">
        <v>36</v>
      </c>
      <c r="D13" s="72">
        <v>30</v>
      </c>
      <c r="E13" s="72">
        <v>6</v>
      </c>
      <c r="F13" s="135">
        <v>1500</v>
      </c>
      <c r="G13" s="72">
        <v>0</v>
      </c>
      <c r="H13" s="72">
        <v>0</v>
      </c>
      <c r="I13" s="72">
        <v>0</v>
      </c>
      <c r="J13" s="131">
        <v>0</v>
      </c>
      <c r="K13" s="72">
        <v>0</v>
      </c>
      <c r="L13" s="72">
        <v>0</v>
      </c>
      <c r="M13" s="72">
        <v>0</v>
      </c>
      <c r="N13" s="131">
        <v>0</v>
      </c>
      <c r="O13" s="112">
        <f>V13*$O$2*1000</f>
        <v>1373.2415999999998</v>
      </c>
      <c r="P13" s="73">
        <f>F13+J13+N13</f>
        <v>1500</v>
      </c>
      <c r="Q13" s="74">
        <f>P13/1000</f>
        <v>1.5</v>
      </c>
      <c r="R13" s="74">
        <f>MAX(P13,O13)</f>
        <v>1500</v>
      </c>
      <c r="S13" s="75">
        <f>VLOOKUP(A13,'[2]BOM FG Files'!$A:$F,6,FALSE)</f>
        <v>1260.5279999999998</v>
      </c>
      <c r="T13" s="76">
        <f>S13-P13</f>
        <v>-239.47200000000021</v>
      </c>
      <c r="U13" s="106">
        <f>T13/S13</f>
        <v>-0.18997753322417293</v>
      </c>
      <c r="V13" s="66">
        <f>(((C13*D13*E13)+(G13*H13*I13)+(K13*L13*M13))/1000000)*35.32</f>
        <v>0.22887359999999998</v>
      </c>
      <c r="W13" s="67">
        <f>Q13/V13</f>
        <v>6.5538358290340177</v>
      </c>
      <c r="X13" s="58" t="str">
        <f>VLOOKUP(A13,'[1]MTP SKUs - Master Data'!$A:$B,2,FALSE)</f>
        <v>DI</v>
      </c>
    </row>
    <row r="14" spans="1:28">
      <c r="A14" s="58" t="s">
        <v>53</v>
      </c>
      <c r="B14" s="3" t="s">
        <v>48</v>
      </c>
      <c r="C14" s="104">
        <v>37</v>
      </c>
      <c r="D14" s="72">
        <v>11</v>
      </c>
      <c r="E14" s="72">
        <v>6</v>
      </c>
      <c r="F14" s="135">
        <v>202</v>
      </c>
      <c r="G14" s="72">
        <v>0</v>
      </c>
      <c r="H14" s="72">
        <v>0</v>
      </c>
      <c r="I14" s="72">
        <v>0</v>
      </c>
      <c r="J14" s="131">
        <v>0</v>
      </c>
      <c r="K14" s="72">
        <v>0</v>
      </c>
      <c r="L14" s="72">
        <v>0</v>
      </c>
      <c r="M14" s="72">
        <v>0</v>
      </c>
      <c r="N14" s="131">
        <v>0</v>
      </c>
      <c r="O14" s="112">
        <f>V14*$O$2*1000</f>
        <v>517.50864000000013</v>
      </c>
      <c r="P14" s="73">
        <f>F14+J14+N14</f>
        <v>202</v>
      </c>
      <c r="Q14" s="74">
        <f>P14/1000</f>
        <v>0.20200000000000001</v>
      </c>
      <c r="R14" s="74">
        <f>MAX(P14,O14)</f>
        <v>517.50864000000013</v>
      </c>
      <c r="S14" s="75">
        <f>VLOOKUP(A14,'[2]BOM FG Files'!$A:$F,6,FALSE)</f>
        <v>178.01042707139669</v>
      </c>
      <c r="T14" s="76">
        <f>S14-P14</f>
        <v>-23.989572928603309</v>
      </c>
      <c r="U14" s="160">
        <f>T14/S14</f>
        <v>-0.13476498721606647</v>
      </c>
      <c r="V14" s="66">
        <f>(((C14*D14*E14)+(G14*H14*I14)+(K14*L14*M14))/1000000)*35.32</f>
        <v>8.6251440000000013E-2</v>
      </c>
      <c r="W14" s="67">
        <f>Q14/V14</f>
        <v>2.3419898844587403</v>
      </c>
      <c r="X14" s="58" t="str">
        <f>VLOOKUP(A14,'[1]MTP SKUs - Master Data'!$A:$B,2,FALSE)</f>
        <v>Y</v>
      </c>
    </row>
    <row r="15" spans="1:28">
      <c r="A15" s="23" t="s">
        <v>65</v>
      </c>
      <c r="B15" s="3" t="s">
        <v>48</v>
      </c>
      <c r="C15" s="104">
        <v>57</v>
      </c>
      <c r="D15" s="72">
        <v>28</v>
      </c>
      <c r="E15" s="72">
        <v>9</v>
      </c>
      <c r="F15" s="135">
        <v>5010</v>
      </c>
      <c r="G15" s="72">
        <v>0</v>
      </c>
      <c r="H15" s="72">
        <v>0</v>
      </c>
      <c r="I15" s="72">
        <v>0</v>
      </c>
      <c r="J15" s="131">
        <v>0</v>
      </c>
      <c r="K15" s="72">
        <v>0</v>
      </c>
      <c r="L15" s="72">
        <v>0</v>
      </c>
      <c r="M15" s="72">
        <v>0</v>
      </c>
      <c r="N15" s="131">
        <v>0</v>
      </c>
      <c r="O15" s="112">
        <f>V15*$O$2*1000</f>
        <v>3044.0188800000001</v>
      </c>
      <c r="P15" s="73">
        <f>F15+J15+N15</f>
        <v>5010</v>
      </c>
      <c r="Q15" s="74">
        <f>P15/1000</f>
        <v>5.01</v>
      </c>
      <c r="R15" s="74">
        <f>MAX(P15,O15)</f>
        <v>5010</v>
      </c>
      <c r="S15" s="75">
        <f>VLOOKUP(A15,'[2]BOM FG Files'!$A:$F,6,FALSE)</f>
        <v>5209.0691174596495</v>
      </c>
      <c r="T15" s="76">
        <f>S15-P15</f>
        <v>199.06911745964953</v>
      </c>
      <c r="U15" s="106">
        <f>T15/S15</f>
        <v>3.8215871774942248E-2</v>
      </c>
      <c r="V15" s="66">
        <f>(((C15*D15*E15)+(G15*H15*I15)+(K15*L15*M15))/1000000)*35.32</f>
        <v>0.50733647999999998</v>
      </c>
      <c r="W15" s="67">
        <f>Q15/V15</f>
        <v>9.8751030085595257</v>
      </c>
      <c r="X15" s="58" t="str">
        <f>VLOOKUP(A15,'[1]MTP SKUs - Master Data'!$A:$B,2,FALSE)</f>
        <v>Y</v>
      </c>
    </row>
    <row r="16" spans="1:28">
      <c r="A16" s="58" t="s">
        <v>66</v>
      </c>
      <c r="B16" s="3" t="s">
        <v>48</v>
      </c>
      <c r="C16" s="104">
        <v>70</v>
      </c>
      <c r="D16" s="72">
        <v>25</v>
      </c>
      <c r="E16" s="72">
        <v>5</v>
      </c>
      <c r="F16" s="135">
        <v>1940</v>
      </c>
      <c r="G16" s="72">
        <v>0</v>
      </c>
      <c r="H16" s="72">
        <v>0</v>
      </c>
      <c r="I16" s="72">
        <v>0</v>
      </c>
      <c r="J16" s="131">
        <v>0</v>
      </c>
      <c r="K16" s="72">
        <v>0</v>
      </c>
      <c r="L16" s="72">
        <v>0</v>
      </c>
      <c r="M16" s="72">
        <v>0</v>
      </c>
      <c r="N16" s="131">
        <v>0</v>
      </c>
      <c r="O16" s="112">
        <f>V16*$O$2*1000</f>
        <v>1854.3000000000002</v>
      </c>
      <c r="P16" s="73">
        <f>F16+J16+N16</f>
        <v>1940</v>
      </c>
      <c r="Q16" s="74">
        <f>P16/1000</f>
        <v>1.94</v>
      </c>
      <c r="R16" s="74">
        <f>MAX(P16,O16)</f>
        <v>1940</v>
      </c>
      <c r="S16" s="75">
        <f>VLOOKUP(A16,'[2]BOM FG Files'!$A:$F,6,FALSE)</f>
        <v>2110.4794076016624</v>
      </c>
      <c r="T16" s="76">
        <f>S16-P16</f>
        <v>170.47940760166239</v>
      </c>
      <c r="U16" s="106">
        <f>T16/S16</f>
        <v>8.0777574511089065E-2</v>
      </c>
      <c r="V16" s="66">
        <f>(((C16*D16*E16)+(G16*H16*I16)+(K16*L16*M16))/1000000)*35.32</f>
        <v>0.30905000000000005</v>
      </c>
      <c r="W16" s="67">
        <f>Q16/V16</f>
        <v>6.2773014075392322</v>
      </c>
      <c r="X16" s="58" t="str">
        <f>VLOOKUP(A16,'[1]MTP SKUs - Master Data'!$A:$B,2,FALSE)</f>
        <v>Y</v>
      </c>
    </row>
    <row r="17" spans="1:25">
      <c r="A17" s="58" t="s">
        <v>56</v>
      </c>
      <c r="B17" s="3" t="s">
        <v>48</v>
      </c>
      <c r="C17" s="104">
        <v>25</v>
      </c>
      <c r="D17" s="72">
        <v>25</v>
      </c>
      <c r="E17" s="72">
        <v>5</v>
      </c>
      <c r="F17" s="135">
        <v>660</v>
      </c>
      <c r="G17" s="72">
        <v>0</v>
      </c>
      <c r="H17" s="72">
        <v>0</v>
      </c>
      <c r="I17" s="72">
        <v>0</v>
      </c>
      <c r="J17" s="131">
        <v>0</v>
      </c>
      <c r="K17" s="72">
        <v>0</v>
      </c>
      <c r="L17" s="72">
        <v>0</v>
      </c>
      <c r="M17" s="72">
        <v>0</v>
      </c>
      <c r="N17" s="131">
        <v>0</v>
      </c>
      <c r="O17" s="112">
        <f>V17*$O$2*1000</f>
        <v>662.25</v>
      </c>
      <c r="P17" s="73">
        <f>F17+J17+N17</f>
        <v>660</v>
      </c>
      <c r="Q17" s="74">
        <f>P17/1000</f>
        <v>0.66</v>
      </c>
      <c r="R17" s="74">
        <f>MAX(P17,O17)</f>
        <v>662.25</v>
      </c>
      <c r="S17" s="75">
        <f>VLOOKUP(A17,'[2]BOM FG Files'!$A:$F,6,FALSE)</f>
        <v>614.20779437532451</v>
      </c>
      <c r="T17" s="76">
        <f>S17-P17</f>
        <v>-45.792205624675489</v>
      </c>
      <c r="U17" s="106">
        <f>T17/S17</f>
        <v>-7.4554908036046849E-2</v>
      </c>
      <c r="V17" s="66">
        <f>(((C17*D17*E17)+(G17*H17*I17)+(K17*L17*M17))/1000000)*35.32</f>
        <v>0.110375</v>
      </c>
      <c r="W17" s="67">
        <f>Q17/V17</f>
        <v>5.9796149490373729</v>
      </c>
      <c r="X17" s="58" t="str">
        <f>VLOOKUP(A17,'[1]MTP SKUs - Master Data'!$A:$B,2,FALSE)</f>
        <v>Y</v>
      </c>
    </row>
    <row r="18" spans="1:25">
      <c r="A18" s="58" t="s">
        <v>287</v>
      </c>
      <c r="B18" s="3" t="s">
        <v>48</v>
      </c>
      <c r="C18" s="104">
        <v>25</v>
      </c>
      <c r="D18" s="72">
        <v>23</v>
      </c>
      <c r="E18" s="72">
        <v>10</v>
      </c>
      <c r="F18" s="135">
        <v>960</v>
      </c>
      <c r="G18" s="72">
        <v>0</v>
      </c>
      <c r="H18" s="72">
        <v>0</v>
      </c>
      <c r="I18" s="72">
        <v>0</v>
      </c>
      <c r="J18" s="131">
        <v>0</v>
      </c>
      <c r="K18" s="72">
        <v>0</v>
      </c>
      <c r="L18" s="72">
        <v>0</v>
      </c>
      <c r="M18" s="72">
        <v>0</v>
      </c>
      <c r="N18" s="131">
        <v>0</v>
      </c>
      <c r="O18" s="112">
        <f>V18*$O$2*1000</f>
        <v>1218.54</v>
      </c>
      <c r="P18" s="73">
        <f>F18+J18+N18</f>
        <v>960</v>
      </c>
      <c r="Q18" s="74">
        <f>P18/1000</f>
        <v>0.96</v>
      </c>
      <c r="R18" s="74">
        <f>MAX(P18,O18)</f>
        <v>1218.54</v>
      </c>
      <c r="S18" s="75">
        <f>VLOOKUP(A18,'[2]BOM FG Files'!$A:$F,6,FALSE)</f>
        <v>911.18084310444908</v>
      </c>
      <c r="T18" s="76">
        <f>S18-P18</f>
        <v>-48.819156895550918</v>
      </c>
      <c r="U18" s="106">
        <f>T18/S18</f>
        <v>-5.3577900879940639E-2</v>
      </c>
      <c r="V18" s="66">
        <f>(((C18*D18*E18)+(G18*H18*I18)+(K18*L18*M18))/1000000)*35.32</f>
        <v>0.20308999999999999</v>
      </c>
      <c r="W18" s="67">
        <f>Q18/V18</f>
        <v>4.7269683391599786</v>
      </c>
      <c r="X18" s="58" t="str">
        <f>VLOOKUP(A18,'[1]MTP SKUs - Master Data'!$A:$B,2,FALSE)</f>
        <v>Y</v>
      </c>
    </row>
    <row r="19" spans="1:25" ht="12.4" customHeight="1">
      <c r="A19" s="23" t="s">
        <v>168</v>
      </c>
      <c r="B19" s="3" t="s">
        <v>48</v>
      </c>
      <c r="C19" s="104">
        <v>60</v>
      </c>
      <c r="D19" s="72">
        <v>36</v>
      </c>
      <c r="E19" s="72">
        <v>10</v>
      </c>
      <c r="F19" s="135">
        <v>5820</v>
      </c>
      <c r="G19" s="72">
        <v>0</v>
      </c>
      <c r="H19" s="72">
        <v>0</v>
      </c>
      <c r="I19" s="72">
        <v>0</v>
      </c>
      <c r="J19" s="131">
        <v>0</v>
      </c>
      <c r="K19" s="72">
        <v>0</v>
      </c>
      <c r="L19" s="72">
        <v>0</v>
      </c>
      <c r="M19" s="72">
        <v>0</v>
      </c>
      <c r="N19" s="131">
        <v>0</v>
      </c>
      <c r="O19" s="112">
        <f>V19*$O$2*1000</f>
        <v>4577.4719999999998</v>
      </c>
      <c r="P19" s="73">
        <f>F19+J19+N19</f>
        <v>5820</v>
      </c>
      <c r="Q19" s="74">
        <f>P19/1000</f>
        <v>5.82</v>
      </c>
      <c r="R19" s="74">
        <f>MAX(P19,O19)</f>
        <v>5820</v>
      </c>
      <c r="S19" s="75">
        <f>VLOOKUP(A19,'[2]BOM FG Files'!$A:$F,6,FALSE)</f>
        <v>5526.8526293406485</v>
      </c>
      <c r="T19" s="76">
        <f>S19-P19</f>
        <v>-293.14737065935151</v>
      </c>
      <c r="U19" s="106">
        <f>T19/S19</f>
        <v>-5.3040562200465963E-2</v>
      </c>
      <c r="V19" s="66">
        <f>(((C19*D19*E19)+(G19*H19*I19)+(K19*L19*M19))/1000000)*35.32</f>
        <v>0.76291200000000003</v>
      </c>
      <c r="W19" s="67">
        <f>Q19/V19</f>
        <v>7.6286649049955955</v>
      </c>
      <c r="X19" s="58" t="str">
        <f>VLOOKUP(A19,'[1]MTP SKUs - Master Data'!$A:$B,2,FALSE)</f>
        <v>Y</v>
      </c>
    </row>
    <row r="20" spans="1:25">
      <c r="A20" s="58" t="s">
        <v>64</v>
      </c>
      <c r="B20" s="3" t="s">
        <v>48</v>
      </c>
      <c r="C20" s="104">
        <v>26</v>
      </c>
      <c r="D20" s="72">
        <v>25</v>
      </c>
      <c r="E20" s="72">
        <v>6</v>
      </c>
      <c r="F20" s="135">
        <v>400</v>
      </c>
      <c r="G20" s="72">
        <v>0</v>
      </c>
      <c r="H20" s="72">
        <v>0</v>
      </c>
      <c r="I20" s="72">
        <v>0</v>
      </c>
      <c r="J20" s="131">
        <v>0</v>
      </c>
      <c r="K20" s="72">
        <v>0</v>
      </c>
      <c r="L20" s="72">
        <v>0</v>
      </c>
      <c r="M20" s="72">
        <v>0</v>
      </c>
      <c r="N20" s="131">
        <v>0</v>
      </c>
      <c r="O20" s="112">
        <f>V20*$O$2*1000</f>
        <v>826.48799999999994</v>
      </c>
      <c r="P20" s="73">
        <f>F20+J20+N20</f>
        <v>400</v>
      </c>
      <c r="Q20" s="74">
        <f>P20/1000</f>
        <v>0.4</v>
      </c>
      <c r="R20" s="74">
        <f>MAX(P20,O20)</f>
        <v>826.48799999999994</v>
      </c>
      <c r="S20" s="75">
        <f>VLOOKUP(A20,'[2]BOM FG Files'!$A:$F,6,FALSE)</f>
        <v>379.96304167319875</v>
      </c>
      <c r="T20" s="76">
        <f>S20-P20</f>
        <v>-20.036958326801255</v>
      </c>
      <c r="U20" s="106">
        <f>T20/S20</f>
        <v>-5.2733966542026951E-2</v>
      </c>
      <c r="V20" s="66">
        <f>(((C20*D20*E20)+(G20*H20*I20)+(K20*L20*M20))/1000000)*35.32</f>
        <v>0.13774799999999998</v>
      </c>
      <c r="W20" s="67">
        <f>Q20/V20</f>
        <v>2.9038534134796881</v>
      </c>
      <c r="X20" s="58" t="str">
        <f>VLOOKUP(A20,'[1]MTP SKUs - Master Data'!$A:$B,2,FALSE)</f>
        <v>Y</v>
      </c>
    </row>
    <row r="21" spans="1:25" ht="12.4" customHeight="1">
      <c r="A21" s="58" t="s">
        <v>258</v>
      </c>
      <c r="B21" s="3" t="s">
        <v>48</v>
      </c>
      <c r="C21" s="104">
        <v>35</v>
      </c>
      <c r="D21" s="72">
        <v>32</v>
      </c>
      <c r="E21" s="72">
        <v>7</v>
      </c>
      <c r="F21" s="135">
        <v>1400</v>
      </c>
      <c r="G21" s="72">
        <v>0</v>
      </c>
      <c r="H21" s="72">
        <v>0</v>
      </c>
      <c r="I21" s="72">
        <v>0</v>
      </c>
      <c r="J21" s="131">
        <v>0</v>
      </c>
      <c r="K21" s="72">
        <v>0</v>
      </c>
      <c r="L21" s="72">
        <v>0</v>
      </c>
      <c r="M21" s="72">
        <v>0</v>
      </c>
      <c r="N21" s="131">
        <v>0</v>
      </c>
      <c r="O21" s="112">
        <f>V21*$O$2*1000</f>
        <v>1661.4528000000003</v>
      </c>
      <c r="P21" s="73">
        <f>F21+J21+N21</f>
        <v>1400</v>
      </c>
      <c r="Q21" s="74">
        <f>P21/1000</f>
        <v>1.4</v>
      </c>
      <c r="R21" s="74">
        <f>MAX(P21,O21)</f>
        <v>1661.4528000000003</v>
      </c>
      <c r="S21" s="75">
        <f>VLOOKUP(A21,'[2]BOM FG Files'!$A:$F,6,FALSE)</f>
        <v>1336.7127528205128</v>
      </c>
      <c r="T21" s="76">
        <f>S21-P21</f>
        <v>-63.287247179487167</v>
      </c>
      <c r="U21" s="106">
        <f>T21/S21</f>
        <v>-4.7345435319554451E-2</v>
      </c>
      <c r="V21" s="66">
        <f>(((C21*D21*E21)+(G21*H21*I21)+(K21*L21*M21))/1000000)*35.32</f>
        <v>0.27690880000000001</v>
      </c>
      <c r="W21" s="67">
        <f>Q21/V21</f>
        <v>5.0558162109690983</v>
      </c>
      <c r="X21" s="58" t="str">
        <f>VLOOKUP(A21,'[1]MTP SKUs - Master Data'!$A:$B,2,FALSE)</f>
        <v>Y</v>
      </c>
    </row>
    <row r="22" spans="1:25">
      <c r="A22" s="58" t="s">
        <v>261</v>
      </c>
      <c r="B22" s="3" t="s">
        <v>48</v>
      </c>
      <c r="C22" s="104">
        <v>79</v>
      </c>
      <c r="D22" s="72">
        <v>63</v>
      </c>
      <c r="E22" s="72">
        <v>7</v>
      </c>
      <c r="F22" s="135">
        <v>7950</v>
      </c>
      <c r="G22" s="72">
        <v>0</v>
      </c>
      <c r="H22" s="72">
        <v>0</v>
      </c>
      <c r="I22" s="72">
        <v>0</v>
      </c>
      <c r="J22" s="131">
        <v>0</v>
      </c>
      <c r="K22" s="72">
        <v>0</v>
      </c>
      <c r="L22" s="72">
        <v>0</v>
      </c>
      <c r="M22" s="72">
        <v>0</v>
      </c>
      <c r="N22" s="131">
        <v>0</v>
      </c>
      <c r="O22" s="112">
        <f>V22*$O$2*1000</f>
        <v>7383.0808800000013</v>
      </c>
      <c r="P22" s="73">
        <f>F22+J22+N22</f>
        <v>7950</v>
      </c>
      <c r="Q22" s="74">
        <f>P22/1000</f>
        <v>7.95</v>
      </c>
      <c r="R22" s="74">
        <f>MAX(P22,O22)</f>
        <v>7950</v>
      </c>
      <c r="S22" s="75">
        <f>VLOOKUP(A22,'[2]BOM FG Files'!$A:$F,6,FALSE)</f>
        <v>7608.0839796155906</v>
      </c>
      <c r="T22" s="76">
        <f>S22-P22</f>
        <v>-341.91602038440942</v>
      </c>
      <c r="U22" s="106">
        <f>T22/S22</f>
        <v>-4.4941146982671085E-2</v>
      </c>
      <c r="V22" s="66">
        <f>(((C22*D22*E22)+(G22*H22*I22)+(K22*L22*M22))/1000000)*35.32</f>
        <v>1.2305134800000002</v>
      </c>
      <c r="W22" s="67">
        <f>Q22/V22</f>
        <v>6.4607175209490588</v>
      </c>
      <c r="X22" s="58" t="str">
        <f>VLOOKUP(A22,'[1]MTP SKUs - Master Data'!$A:$B,2,FALSE)</f>
        <v>Y</v>
      </c>
    </row>
    <row r="23" spans="1:25" ht="12.4" customHeight="1">
      <c r="A23" s="58" t="s">
        <v>237</v>
      </c>
      <c r="B23" s="3" t="s">
        <v>48</v>
      </c>
      <c r="C23" s="104">
        <v>127</v>
      </c>
      <c r="D23" s="72">
        <v>50</v>
      </c>
      <c r="E23" s="72">
        <v>13</v>
      </c>
      <c r="F23" s="135">
        <v>21600</v>
      </c>
      <c r="G23" s="72">
        <v>0</v>
      </c>
      <c r="H23" s="72">
        <v>0</v>
      </c>
      <c r="I23" s="72">
        <v>0</v>
      </c>
      <c r="J23" s="131">
        <v>0</v>
      </c>
      <c r="K23" s="72">
        <v>0</v>
      </c>
      <c r="L23" s="72">
        <v>0</v>
      </c>
      <c r="M23" s="72">
        <v>0</v>
      </c>
      <c r="N23" s="131">
        <v>0</v>
      </c>
      <c r="O23" s="112">
        <f>V23*$O$2*1000</f>
        <v>17493.995999999999</v>
      </c>
      <c r="P23" s="73">
        <f>F23+J23+N23</f>
        <v>21600</v>
      </c>
      <c r="Q23" s="74">
        <f>P23/1000</f>
        <v>21.6</v>
      </c>
      <c r="R23" s="74">
        <f>MAX(P23,O23)</f>
        <v>21600</v>
      </c>
      <c r="S23" s="75">
        <f>VLOOKUP(A23,'[2]BOM FG Files'!$A:$F,6,FALSE)</f>
        <v>20785.054077813918</v>
      </c>
      <c r="T23" s="76">
        <f>S23-P23</f>
        <v>-814.94592218608159</v>
      </c>
      <c r="U23" s="106">
        <f>T23/S23</f>
        <v>-3.9208265667009225E-2</v>
      </c>
      <c r="V23" s="66">
        <f>(((C23*D23*E23)+(G23*H23*I23)+(K23*L23*M23))/1000000)*35.32</f>
        <v>2.9156659999999999</v>
      </c>
      <c r="W23" s="67">
        <f>Q23/V23</f>
        <v>7.4082559524993608</v>
      </c>
      <c r="X23" s="58" t="str">
        <f>VLOOKUP(A23,'[1]MTP SKUs - Master Data'!$A:$B,2,FALSE)</f>
        <v>Y</v>
      </c>
    </row>
    <row r="24" spans="1:25">
      <c r="A24" s="58" t="s">
        <v>253</v>
      </c>
      <c r="B24" s="3" t="s">
        <v>48</v>
      </c>
      <c r="C24" s="104">
        <v>56</v>
      </c>
      <c r="D24" s="72">
        <v>28</v>
      </c>
      <c r="E24" s="72">
        <v>10</v>
      </c>
      <c r="F24" s="135">
        <v>6750</v>
      </c>
      <c r="G24" s="72">
        <v>0</v>
      </c>
      <c r="H24" s="72">
        <v>0</v>
      </c>
      <c r="I24" s="72">
        <v>0</v>
      </c>
      <c r="J24" s="131">
        <v>0</v>
      </c>
      <c r="K24" s="72">
        <v>0</v>
      </c>
      <c r="L24" s="72">
        <v>0</v>
      </c>
      <c r="M24" s="72">
        <v>0</v>
      </c>
      <c r="N24" s="131">
        <v>0</v>
      </c>
      <c r="O24" s="112">
        <f>V24*$O$2*1000</f>
        <v>3322.9056000000005</v>
      </c>
      <c r="P24" s="73">
        <f>F24+J24+N24</f>
        <v>6750</v>
      </c>
      <c r="Q24" s="74">
        <f>P24/1000</f>
        <v>6.75</v>
      </c>
      <c r="R24" s="74">
        <f>MAX(P24,O24)</f>
        <v>6750</v>
      </c>
      <c r="S24" s="75">
        <f>VLOOKUP(A24,'[2]BOM FG Files'!$A:$F,6,FALSE)</f>
        <v>6498.1423574099708</v>
      </c>
      <c r="T24" s="76">
        <f>S24-P24</f>
        <v>-251.85764259002917</v>
      </c>
      <c r="U24" s="106">
        <f>T24/S24</f>
        <v>-3.8758406439469657E-2</v>
      </c>
      <c r="V24" s="66">
        <f>(((C24*D24*E24)+(G24*H24*I24)+(K24*L24*M24))/1000000)*35.32</f>
        <v>0.55381760000000002</v>
      </c>
      <c r="W24" s="67">
        <f>Q24/V24</f>
        <v>12.188128365729078</v>
      </c>
      <c r="X24" s="58" t="str">
        <f>VLOOKUP(A24,'[1]MTP SKUs - Master Data'!$A:$B,2,FALSE)</f>
        <v>Y</v>
      </c>
    </row>
    <row r="25" spans="1:25" ht="12.4" customHeight="1">
      <c r="A25" s="58" t="s">
        <v>105</v>
      </c>
      <c r="B25" s="3" t="s">
        <v>48</v>
      </c>
      <c r="C25" s="104">
        <v>67</v>
      </c>
      <c r="D25" s="72">
        <v>19</v>
      </c>
      <c r="E25" s="72">
        <v>10</v>
      </c>
      <c r="F25" s="135">
        <v>4300</v>
      </c>
      <c r="G25" s="72">
        <v>0</v>
      </c>
      <c r="H25" s="72">
        <v>0</v>
      </c>
      <c r="I25" s="72">
        <v>0</v>
      </c>
      <c r="J25" s="131">
        <v>0</v>
      </c>
      <c r="K25" s="72">
        <v>0</v>
      </c>
      <c r="L25" s="72">
        <v>0</v>
      </c>
      <c r="M25" s="72">
        <v>0</v>
      </c>
      <c r="N25" s="131">
        <v>0</v>
      </c>
      <c r="O25" s="112">
        <f>V25*$O$2*1000</f>
        <v>2697.7416000000003</v>
      </c>
      <c r="P25" s="73">
        <f>F25+J25+N25</f>
        <v>4300</v>
      </c>
      <c r="Q25" s="74">
        <f>P25/1000</f>
        <v>4.3</v>
      </c>
      <c r="R25" s="74">
        <f>MAX(P25,O25)</f>
        <v>4300</v>
      </c>
      <c r="S25" s="75">
        <f>VLOOKUP(A25,'[2]BOM FG Files'!$A:$F,6,FALSE)</f>
        <v>4058.3170730612428</v>
      </c>
      <c r="T25" s="76">
        <f>S25-P25</f>
        <v>-241.68292693875719</v>
      </c>
      <c r="U25" s="106">
        <f>T25/S25</f>
        <v>-5.9552499863312187E-2</v>
      </c>
      <c r="V25" s="66">
        <f>(((C25*D25*E25)+(G25*H25*I25)+(K25*L25*M25))/1000000)*35.32</f>
        <v>0.44962360000000001</v>
      </c>
      <c r="W25" s="67">
        <f>Q25/V25</f>
        <v>9.563554937952544</v>
      </c>
      <c r="X25" s="58" t="str">
        <f>VLOOKUP(A25,'[1]MTP SKUs - Master Data'!$A:$B,2,FALSE)</f>
        <v>DI</v>
      </c>
      <c r="Y25" s="5" t="s">
        <v>379</v>
      </c>
    </row>
    <row r="26" spans="1:25">
      <c r="A26" s="58" t="s">
        <v>226</v>
      </c>
      <c r="B26" s="3" t="s">
        <v>48</v>
      </c>
      <c r="C26" s="104">
        <v>107</v>
      </c>
      <c r="D26" s="72">
        <v>50</v>
      </c>
      <c r="E26" s="72">
        <v>5</v>
      </c>
      <c r="F26" s="135">
        <v>13250</v>
      </c>
      <c r="G26" s="72">
        <v>0</v>
      </c>
      <c r="H26" s="72">
        <v>0</v>
      </c>
      <c r="I26" s="72">
        <v>0</v>
      </c>
      <c r="J26" s="131">
        <v>0</v>
      </c>
      <c r="K26" s="72">
        <v>0</v>
      </c>
      <c r="L26" s="72">
        <v>0</v>
      </c>
      <c r="M26" s="72">
        <v>0</v>
      </c>
      <c r="N26" s="131">
        <v>0</v>
      </c>
      <c r="O26" s="112">
        <f>V26*$O$2*1000</f>
        <v>5668.8600000000006</v>
      </c>
      <c r="P26" s="73">
        <f>F26+J26+N26</f>
        <v>13250</v>
      </c>
      <c r="Q26" s="74">
        <f>P26/1000</f>
        <v>13.25</v>
      </c>
      <c r="R26" s="74">
        <f>MAX(P26,O26)</f>
        <v>13250</v>
      </c>
      <c r="S26" s="75">
        <f>VLOOKUP(A26,'[2]BOM FG Files'!$A:$F,6,FALSE)</f>
        <v>12803.057498248831</v>
      </c>
      <c r="T26" s="76">
        <f>S26-P26</f>
        <v>-446.9425017511694</v>
      </c>
      <c r="U26" s="106">
        <f>T26/S26</f>
        <v>-3.4909044328848872E-2</v>
      </c>
      <c r="V26" s="66">
        <f>(((C26*D26*E26)+(G26*H26*I26)+(K26*L26*M26))/1000000)*35.32</f>
        <v>0.94481000000000004</v>
      </c>
      <c r="W26" s="67">
        <f>Q26/V26</f>
        <v>14.023983658089985</v>
      </c>
      <c r="X26" s="58" t="str">
        <f>VLOOKUP(A26,'[1]MTP SKUs - Master Data'!$A:$B,2,FALSE)</f>
        <v>Y</v>
      </c>
    </row>
    <row r="27" spans="1:25" ht="12.4" customHeight="1">
      <c r="A27" s="58" t="s">
        <v>234</v>
      </c>
      <c r="B27" s="3" t="s">
        <v>48</v>
      </c>
      <c r="C27" s="104">
        <v>68</v>
      </c>
      <c r="D27" s="72">
        <v>48</v>
      </c>
      <c r="E27" s="72">
        <v>9</v>
      </c>
      <c r="F27" s="135">
        <v>8950</v>
      </c>
      <c r="G27" s="72">
        <v>0</v>
      </c>
      <c r="H27" s="72">
        <v>0</v>
      </c>
      <c r="I27" s="72">
        <v>0</v>
      </c>
      <c r="J27" s="131">
        <v>0</v>
      </c>
      <c r="K27" s="72">
        <v>0</v>
      </c>
      <c r="L27" s="72">
        <v>0</v>
      </c>
      <c r="M27" s="72">
        <v>0</v>
      </c>
      <c r="N27" s="131">
        <v>0</v>
      </c>
      <c r="O27" s="112">
        <f>V27*$O$2*1000</f>
        <v>6225.3619200000012</v>
      </c>
      <c r="P27" s="73">
        <f>F27+J27+N27</f>
        <v>8950</v>
      </c>
      <c r="Q27" s="74">
        <f>P27/1000</f>
        <v>8.9499999999999993</v>
      </c>
      <c r="R27" s="74">
        <f>MAX(P27,O27)</f>
        <v>8950</v>
      </c>
      <c r="S27" s="75">
        <f>VLOOKUP(A27,'[2]BOM FG Files'!$A:$F,6,FALSE)</f>
        <v>8862.2379666588222</v>
      </c>
      <c r="T27" s="76">
        <f>S27-P27</f>
        <v>-87.762033341177812</v>
      </c>
      <c r="U27" s="106">
        <f>T27/S27</f>
        <v>-9.9029199702550114E-3</v>
      </c>
      <c r="V27" s="66">
        <f>(((C27*D27*E27)+(G27*H27*I27)+(K27*L27*M27))/1000000)*35.32</f>
        <v>1.0375603200000001</v>
      </c>
      <c r="W27" s="67">
        <f>Q27/V27</f>
        <v>8.626004510272713</v>
      </c>
      <c r="X27" s="58" t="str">
        <f>VLOOKUP(A27,'[1]MTP SKUs - Master Data'!$A:$B,2,FALSE)</f>
        <v>Y</v>
      </c>
    </row>
    <row r="28" spans="1:25">
      <c r="A28" s="58" t="s">
        <v>92</v>
      </c>
      <c r="B28" s="3" t="s">
        <v>48</v>
      </c>
      <c r="C28" s="104">
        <v>126</v>
      </c>
      <c r="D28" s="72">
        <v>68</v>
      </c>
      <c r="E28" s="72">
        <v>11</v>
      </c>
      <c r="F28" s="135">
        <v>49600</v>
      </c>
      <c r="G28" s="72">
        <v>0</v>
      </c>
      <c r="H28" s="72">
        <v>0</v>
      </c>
      <c r="I28" s="72">
        <v>0</v>
      </c>
      <c r="J28" s="131">
        <v>0</v>
      </c>
      <c r="K28" s="72">
        <v>0</v>
      </c>
      <c r="L28" s="72">
        <v>0</v>
      </c>
      <c r="M28" s="72">
        <v>0</v>
      </c>
      <c r="N28" s="131">
        <v>0</v>
      </c>
      <c r="O28" s="112">
        <f>V28*$O$2*1000</f>
        <v>19973.03616</v>
      </c>
      <c r="P28" s="73">
        <f>F28+J28+N28</f>
        <v>49600</v>
      </c>
      <c r="Q28" s="74">
        <f>P28/1000</f>
        <v>49.6</v>
      </c>
      <c r="R28" s="74">
        <f>MAX(P28,O28)</f>
        <v>49600</v>
      </c>
      <c r="S28" s="75">
        <f>VLOOKUP(A28,'[2]BOM FG Files'!$A:$F,6,FALSE)</f>
        <v>49114.687712864288</v>
      </c>
      <c r="T28" s="76">
        <f>S28-P28</f>
        <v>-485.31228713571181</v>
      </c>
      <c r="U28" s="106">
        <f>T28/S28</f>
        <v>-9.8812047828331639E-3</v>
      </c>
      <c r="V28" s="66">
        <f>(((C28*D28*E28)+(G28*H28*I28)+(K28*L28*M28))/1000000)*35.32</f>
        <v>3.3288393599999999</v>
      </c>
      <c r="W28" s="67">
        <f>Q28/V28</f>
        <v>14.900088179683145</v>
      </c>
      <c r="X28" s="58" t="str">
        <f>VLOOKUP(A28,'[1]MTP SKUs - Master Data'!$A:$B,2,FALSE)</f>
        <v>RL</v>
      </c>
    </row>
    <row r="29" spans="1:25">
      <c r="A29" s="58" t="s">
        <v>220</v>
      </c>
      <c r="B29" s="3" t="s">
        <v>48</v>
      </c>
      <c r="C29" s="104">
        <v>95</v>
      </c>
      <c r="D29" s="72">
        <v>27</v>
      </c>
      <c r="E29" s="72">
        <v>5</v>
      </c>
      <c r="F29" s="135">
        <v>6500</v>
      </c>
      <c r="G29" s="72">
        <v>0</v>
      </c>
      <c r="H29" s="72">
        <v>0</v>
      </c>
      <c r="I29" s="72">
        <v>0</v>
      </c>
      <c r="J29" s="131">
        <v>0</v>
      </c>
      <c r="K29" s="72">
        <v>0</v>
      </c>
      <c r="L29" s="72">
        <v>0</v>
      </c>
      <c r="M29" s="72">
        <v>0</v>
      </c>
      <c r="N29" s="131">
        <v>0</v>
      </c>
      <c r="O29" s="112">
        <f>V29*$O$2*1000</f>
        <v>2717.8739999999998</v>
      </c>
      <c r="P29" s="73">
        <f>F29+J29+N29</f>
        <v>6500</v>
      </c>
      <c r="Q29" s="74">
        <f>P29/1000</f>
        <v>6.5</v>
      </c>
      <c r="R29" s="74">
        <f>MAX(P29,O29)</f>
        <v>6500</v>
      </c>
      <c r="S29" s="75">
        <f>VLOOKUP(A29,'[2]BOM FG Files'!$A:$F,6,FALSE)</f>
        <v>6316.0555275721217</v>
      </c>
      <c r="T29" s="76">
        <f>S29-P29</f>
        <v>-183.94447242787828</v>
      </c>
      <c r="U29" s="106">
        <f>T29/S29</f>
        <v>-2.9123314642324899E-2</v>
      </c>
      <c r="V29" s="66">
        <f>(((C29*D29*E29)+(G29*H29*I29)+(K29*L29*M29))/1000000)*35.32</f>
        <v>0.45297899999999997</v>
      </c>
      <c r="W29" s="67">
        <f>Q29/V29</f>
        <v>14.349451078306059</v>
      </c>
      <c r="X29" s="58" t="str">
        <f>VLOOKUP(A29,'[1]MTP SKUs - Master Data'!$A:$B,2,FALSE)</f>
        <v>Y</v>
      </c>
    </row>
    <row r="30" spans="1:25">
      <c r="A30" s="58" t="s">
        <v>145</v>
      </c>
      <c r="B30" s="3" t="s">
        <v>74</v>
      </c>
      <c r="C30" s="104">
        <v>206</v>
      </c>
      <c r="D30" s="72">
        <v>48</v>
      </c>
      <c r="E30" s="72">
        <v>6</v>
      </c>
      <c r="F30" s="135">
        <v>31460</v>
      </c>
      <c r="G30" s="72">
        <v>107</v>
      </c>
      <c r="H30" s="72">
        <v>38</v>
      </c>
      <c r="I30" s="72">
        <v>5</v>
      </c>
      <c r="J30" s="131">
        <v>15050</v>
      </c>
      <c r="K30" s="72">
        <v>0</v>
      </c>
      <c r="L30" s="72">
        <v>0</v>
      </c>
      <c r="M30" s="72">
        <v>0</v>
      </c>
      <c r="N30" s="131">
        <v>0</v>
      </c>
      <c r="O30" s="112">
        <f>V30*$O$2*1000</f>
        <v>16881.123360000001</v>
      </c>
      <c r="P30" s="73">
        <f>F30+J30+N30</f>
        <v>46510</v>
      </c>
      <c r="Q30" s="74">
        <f>P30/1000</f>
        <v>46.51</v>
      </c>
      <c r="R30" s="74">
        <f>MAX(P30,O30)</f>
        <v>46510</v>
      </c>
      <c r="S30" s="75">
        <f>VLOOKUP(A30,'[2]BOM FG Files'!$A:$F,6,FALSE)</f>
        <v>45488.306226321787</v>
      </c>
      <c r="T30" s="76">
        <f>S30-P30</f>
        <v>-1021.6937736782129</v>
      </c>
      <c r="U30" s="106">
        <f>T30/S30</f>
        <v>-2.2460580717050534E-2</v>
      </c>
      <c r="V30" s="66">
        <f>(((C30*D30*E30)+(G30*H30*I30)+(K30*L30*M30))/1000000)*35.32</f>
        <v>2.8135205600000002</v>
      </c>
      <c r="W30" s="67">
        <f>Q30/V30</f>
        <v>16.53089039448853</v>
      </c>
      <c r="X30" s="58" t="str">
        <f>VLOOKUP(A30,'[1]MTP SKUs - Master Data'!$A:$B,2,FALSE)</f>
        <v>Y</v>
      </c>
    </row>
    <row r="31" spans="1:25">
      <c r="A31" s="58" t="s">
        <v>95</v>
      </c>
      <c r="B31" s="3" t="s">
        <v>48</v>
      </c>
      <c r="C31" s="104">
        <v>126</v>
      </c>
      <c r="D31" s="72">
        <v>41</v>
      </c>
      <c r="E31" s="72">
        <v>20</v>
      </c>
      <c r="F31" s="135">
        <v>39050</v>
      </c>
      <c r="G31" s="72">
        <v>0</v>
      </c>
      <c r="H31" s="72">
        <v>0</v>
      </c>
      <c r="I31" s="72">
        <v>0</v>
      </c>
      <c r="J31" s="131">
        <v>0</v>
      </c>
      <c r="K31" s="72">
        <v>0</v>
      </c>
      <c r="L31" s="72">
        <v>0</v>
      </c>
      <c r="M31" s="72">
        <v>0</v>
      </c>
      <c r="N31" s="131">
        <v>0</v>
      </c>
      <c r="O31" s="112">
        <f>V31*$O$2*1000</f>
        <v>21895.574400000001</v>
      </c>
      <c r="P31" s="73">
        <f>F31+J31+N31</f>
        <v>39050</v>
      </c>
      <c r="Q31" s="74">
        <f>P31/1000</f>
        <v>39.049999999999997</v>
      </c>
      <c r="R31" s="74">
        <f>MAX(P31,O31)</f>
        <v>39050</v>
      </c>
      <c r="S31" s="75">
        <f>VLOOKUP(A31,'[2]BOM FG Files'!$A:$F,6,FALSE)</f>
        <v>38165.661015363141</v>
      </c>
      <c r="T31" s="76">
        <f>S31-P31</f>
        <v>-884.3389846368591</v>
      </c>
      <c r="U31" s="106">
        <f>T31/S31</f>
        <v>-2.3171064278983109E-2</v>
      </c>
      <c r="V31" s="66">
        <f>(((C31*D31*E31)+(G31*H31*I31)+(K31*L31*M31))/1000000)*35.32</f>
        <v>3.6492624</v>
      </c>
      <c r="W31" s="67">
        <f>Q31/V31</f>
        <v>10.700792576603973</v>
      </c>
      <c r="X31" s="58" t="str">
        <f>VLOOKUP(A31,'[1]MTP SKUs - Master Data'!$A:$B,2,FALSE)</f>
        <v>Y</v>
      </c>
    </row>
    <row r="32" spans="1:25">
      <c r="A32" s="58" t="s">
        <v>108</v>
      </c>
      <c r="B32" s="3" t="s">
        <v>48</v>
      </c>
      <c r="C32" s="104">
        <v>102</v>
      </c>
      <c r="D32" s="72">
        <v>56</v>
      </c>
      <c r="E32" s="72">
        <v>5</v>
      </c>
      <c r="F32" s="135">
        <v>10650</v>
      </c>
      <c r="G32" s="72">
        <v>0</v>
      </c>
      <c r="H32" s="72">
        <v>0</v>
      </c>
      <c r="I32" s="72">
        <v>0</v>
      </c>
      <c r="J32" s="131">
        <v>0</v>
      </c>
      <c r="K32" s="72">
        <v>0</v>
      </c>
      <c r="L32" s="72">
        <v>0</v>
      </c>
      <c r="M32" s="72">
        <v>0</v>
      </c>
      <c r="N32" s="131">
        <v>0</v>
      </c>
      <c r="O32" s="112">
        <f>V32*$O$2*1000</f>
        <v>6052.4351999999999</v>
      </c>
      <c r="P32" s="73">
        <f>F32+J32+N32</f>
        <v>10650</v>
      </c>
      <c r="Q32" s="74">
        <f>P32/1000</f>
        <v>10.65</v>
      </c>
      <c r="R32" s="74">
        <f>MAX(P32,O32)</f>
        <v>10650</v>
      </c>
      <c r="S32" s="75">
        <f>VLOOKUP(A32,'[2]BOM FG Files'!$A:$F,6,FALSE)</f>
        <v>10422.290156443079</v>
      </c>
      <c r="T32" s="76">
        <f>S32-P32</f>
        <v>-227.70984355692053</v>
      </c>
      <c r="U32" s="106">
        <f>T32/S32</f>
        <v>-2.1848350040048529E-2</v>
      </c>
      <c r="V32" s="66">
        <f>(((C32*D32*E32)+(G32*H32*I32)+(K32*L32*M32))/1000000)*35.32</f>
        <v>1.0087391999999999</v>
      </c>
      <c r="W32" s="67">
        <f>Q32/V32</f>
        <v>10.557733852317824</v>
      </c>
      <c r="X32" s="58" t="str">
        <f>VLOOKUP(A32,'[1]MTP SKUs - Master Data'!$A:$B,2,FALSE)</f>
        <v>Y</v>
      </c>
    </row>
    <row r="33" spans="1:24" ht="12.4" customHeight="1">
      <c r="A33" s="58" t="s">
        <v>263</v>
      </c>
      <c r="B33" s="3" t="s">
        <v>48</v>
      </c>
      <c r="C33" s="104">
        <v>75</v>
      </c>
      <c r="D33" s="72">
        <v>18</v>
      </c>
      <c r="E33" s="72">
        <v>9</v>
      </c>
      <c r="F33" s="135">
        <v>4450</v>
      </c>
      <c r="G33" s="72">
        <v>0</v>
      </c>
      <c r="H33" s="72">
        <v>0</v>
      </c>
      <c r="I33" s="72">
        <v>0</v>
      </c>
      <c r="J33" s="131">
        <v>0</v>
      </c>
      <c r="K33" s="72">
        <v>0</v>
      </c>
      <c r="L33" s="72">
        <v>0</v>
      </c>
      <c r="M33" s="72">
        <v>0</v>
      </c>
      <c r="N33" s="131">
        <v>0</v>
      </c>
      <c r="O33" s="112">
        <f>V33*$O$2*1000</f>
        <v>2574.8279999999995</v>
      </c>
      <c r="P33" s="73">
        <f>F33+J33+N33</f>
        <v>4450</v>
      </c>
      <c r="Q33" s="74">
        <f>P33/1000</f>
        <v>4.45</v>
      </c>
      <c r="R33" s="74">
        <f>MAX(P33,O33)</f>
        <v>4450</v>
      </c>
      <c r="S33" s="75">
        <f>VLOOKUP(A33,'[2]BOM FG Files'!$A:$F,6,FALSE)</f>
        <v>4357.4310745577277</v>
      </c>
      <c r="T33" s="76">
        <f>S33-P33</f>
        <v>-92.568925442272302</v>
      </c>
      <c r="U33" s="106">
        <f>T33/S33</f>
        <v>-2.1243921902234082E-2</v>
      </c>
      <c r="V33" s="66">
        <f>(((C33*D33*E33)+(G33*H33*I33)+(K33*L33*M33))/1000000)*35.32</f>
        <v>0.42913799999999996</v>
      </c>
      <c r="W33" s="67">
        <f>Q33/V33</f>
        <v>10.369624689493824</v>
      </c>
      <c r="X33" s="58" t="str">
        <f>VLOOKUP(A33,'[1]MTP SKUs - Master Data'!$A:$B,2,FALSE)</f>
        <v>Y</v>
      </c>
    </row>
    <row r="34" spans="1:24">
      <c r="A34" s="58" t="s">
        <v>63</v>
      </c>
      <c r="B34" s="3" t="s">
        <v>48</v>
      </c>
      <c r="C34" s="104">
        <v>29</v>
      </c>
      <c r="D34" s="72">
        <v>11</v>
      </c>
      <c r="E34" s="72">
        <v>6</v>
      </c>
      <c r="F34" s="135">
        <v>306</v>
      </c>
      <c r="G34" s="72">
        <v>0</v>
      </c>
      <c r="H34" s="72">
        <v>0</v>
      </c>
      <c r="I34" s="72">
        <v>0</v>
      </c>
      <c r="J34" s="131">
        <v>0</v>
      </c>
      <c r="K34" s="72">
        <v>0</v>
      </c>
      <c r="L34" s="72">
        <v>0</v>
      </c>
      <c r="M34" s="72">
        <v>0</v>
      </c>
      <c r="N34" s="131">
        <v>0</v>
      </c>
      <c r="O34" s="112">
        <f>V34*$O$2*1000</f>
        <v>405.61487999999997</v>
      </c>
      <c r="P34" s="73">
        <f>F34+J34+N34</f>
        <v>306</v>
      </c>
      <c r="Q34" s="74">
        <f>P34/1000</f>
        <v>0.30599999999999999</v>
      </c>
      <c r="R34" s="74">
        <f>MAX(P34,O34)</f>
        <v>405.61487999999997</v>
      </c>
      <c r="S34" s="75">
        <f>VLOOKUP(A34,'[2]BOM FG Files'!$A:$F,6,FALSE)</f>
        <v>299.77597948717948</v>
      </c>
      <c r="T34" s="76">
        <f>S34-P34</f>
        <v>-6.2240205128205162</v>
      </c>
      <c r="U34" s="106">
        <f>T34/S34</f>
        <v>-2.0762238934112793E-2</v>
      </c>
      <c r="V34" s="66">
        <f>(((C34*D34*E34)+(G34*H34*I34)+(K34*L34*M34))/1000000)*35.32</f>
        <v>6.7602479999999993E-2</v>
      </c>
      <c r="W34" s="67">
        <f>Q34/V34</f>
        <v>4.5264611594130875</v>
      </c>
      <c r="X34" s="58" t="str">
        <f>VLOOKUP(A34,'[1]MTP SKUs - Master Data'!$A:$B,2,FALSE)</f>
        <v>Y</v>
      </c>
    </row>
    <row r="35" spans="1:24" ht="12.4" customHeight="1">
      <c r="A35" s="58" t="s">
        <v>160</v>
      </c>
      <c r="B35" s="3" t="s">
        <v>48</v>
      </c>
      <c r="C35" s="104">
        <v>178</v>
      </c>
      <c r="D35" s="72">
        <v>43</v>
      </c>
      <c r="E35" s="72">
        <v>6</v>
      </c>
      <c r="F35" s="135">
        <v>23000</v>
      </c>
      <c r="G35" s="72">
        <v>0</v>
      </c>
      <c r="H35" s="72">
        <v>0</v>
      </c>
      <c r="I35" s="72">
        <v>0</v>
      </c>
      <c r="J35" s="131">
        <v>0</v>
      </c>
      <c r="K35" s="72">
        <v>0</v>
      </c>
      <c r="L35" s="72">
        <v>0</v>
      </c>
      <c r="M35" s="72">
        <v>0</v>
      </c>
      <c r="N35" s="131">
        <v>0</v>
      </c>
      <c r="O35" s="112">
        <f>V35*$O$2*1000</f>
        <v>9732.2140799999997</v>
      </c>
      <c r="P35" s="73">
        <f>F35+J35+N35</f>
        <v>23000</v>
      </c>
      <c r="Q35" s="74">
        <f>P35/1000</f>
        <v>23</v>
      </c>
      <c r="R35" s="74">
        <f>MAX(P35,O35)</f>
        <v>23000</v>
      </c>
      <c r="S35" s="75">
        <f>VLOOKUP(A35,'[2]BOM FG Files'!$A:$F,6,FALSE)</f>
        <v>22573.737357647355</v>
      </c>
      <c r="T35" s="76">
        <f>S35-P35</f>
        <v>-426.26264235264534</v>
      </c>
      <c r="U35" s="106">
        <f>T35/S35</f>
        <v>-1.8883122258363628E-2</v>
      </c>
      <c r="V35" s="66">
        <f>(((C35*D35*E35)+(G35*H35*I35)+(K35*L35*M35))/1000000)*35.32</f>
        <v>1.62203568</v>
      </c>
      <c r="W35" s="67">
        <f>Q35/V35</f>
        <v>14.179712742200591</v>
      </c>
      <c r="X35" s="58" t="str">
        <f>VLOOKUP(A35,'[1]MTP SKUs - Master Data'!$A:$B,2,FALSE)</f>
        <v>Y</v>
      </c>
    </row>
    <row r="36" spans="1:24">
      <c r="A36" s="58" t="s">
        <v>202</v>
      </c>
      <c r="B36" s="3" t="s">
        <v>48</v>
      </c>
      <c r="C36" s="104">
        <v>96</v>
      </c>
      <c r="D36" s="72">
        <v>28</v>
      </c>
      <c r="E36" s="72">
        <v>6</v>
      </c>
      <c r="F36" s="135">
        <v>5200</v>
      </c>
      <c r="G36" s="72">
        <v>0</v>
      </c>
      <c r="H36" s="72">
        <v>0</v>
      </c>
      <c r="I36" s="72">
        <v>0</v>
      </c>
      <c r="J36" s="131">
        <v>0</v>
      </c>
      <c r="K36" s="72">
        <v>0</v>
      </c>
      <c r="L36" s="72">
        <v>0</v>
      </c>
      <c r="M36" s="72">
        <v>0</v>
      </c>
      <c r="N36" s="131">
        <v>0</v>
      </c>
      <c r="O36" s="112">
        <f>V36*$O$2*1000</f>
        <v>3417.8457599999997</v>
      </c>
      <c r="P36" s="73">
        <f>F36+J36+N36</f>
        <v>5200</v>
      </c>
      <c r="Q36" s="74">
        <f>P36/1000</f>
        <v>5.2</v>
      </c>
      <c r="R36" s="74">
        <f>MAX(P36,O36)</f>
        <v>5200</v>
      </c>
      <c r="S36" s="75">
        <f>VLOOKUP(A36,'[2]BOM FG Files'!$A:$F,6,FALSE)</f>
        <v>5106.2742111606949</v>
      </c>
      <c r="T36" s="76">
        <f>S36-P36</f>
        <v>-93.725788839305096</v>
      </c>
      <c r="U36" s="106">
        <f>T36/S36</f>
        <v>-1.8355024615491714E-2</v>
      </c>
      <c r="V36" s="66">
        <f>(((C36*D36*E36)+(G36*H36*I36)+(K36*L36*M36))/1000000)*35.32</f>
        <v>0.56964095999999997</v>
      </c>
      <c r="W36" s="67">
        <f>Q36/V36</f>
        <v>9.1285570475830955</v>
      </c>
      <c r="X36" s="58" t="str">
        <f>VLOOKUP(A36,'[1]MTP SKUs - Master Data'!$A:$B,2,FALSE)</f>
        <v>Y</v>
      </c>
    </row>
    <row r="37" spans="1:24">
      <c r="A37" s="58" t="s">
        <v>123</v>
      </c>
      <c r="B37" s="3" t="s">
        <v>74</v>
      </c>
      <c r="C37" s="104">
        <v>86</v>
      </c>
      <c r="D37" s="72">
        <v>47</v>
      </c>
      <c r="E37" s="72">
        <v>3</v>
      </c>
      <c r="F37" s="135">
        <v>4850</v>
      </c>
      <c r="G37" s="72">
        <v>51</v>
      </c>
      <c r="H37" s="72">
        <v>14</v>
      </c>
      <c r="I37" s="72">
        <v>12</v>
      </c>
      <c r="J37" s="131">
        <v>1670</v>
      </c>
      <c r="K37" s="72">
        <v>0</v>
      </c>
      <c r="L37" s="72">
        <v>0</v>
      </c>
      <c r="M37" s="72">
        <v>0</v>
      </c>
      <c r="N37" s="131">
        <v>0</v>
      </c>
      <c r="O37" s="112">
        <f>V37*$O$2*1000</f>
        <v>4385.4724800000004</v>
      </c>
      <c r="P37" s="73">
        <f>F37+J37+N37</f>
        <v>6520</v>
      </c>
      <c r="Q37" s="74">
        <f>P37/1000</f>
        <v>6.52</v>
      </c>
      <c r="R37" s="74">
        <f>MAX(P37,O37)</f>
        <v>6520</v>
      </c>
      <c r="S37" s="75">
        <f>VLOOKUP(A37,'[2]BOM FG Files'!$A:$F,6,FALSE)</f>
        <v>6248.8929366131651</v>
      </c>
      <c r="T37" s="76">
        <f>S37-P37</f>
        <v>-271.10706338683485</v>
      </c>
      <c r="U37" s="106">
        <f>T37/S37</f>
        <v>-4.3384814900312894E-2</v>
      </c>
      <c r="V37" s="66">
        <f>(((C37*D37*E37)+(G37*H37*I37)+(K37*L37*M37))/1000000)*35.32</f>
        <v>0.73091208000000008</v>
      </c>
      <c r="W37" s="67">
        <f>Q37/V37</f>
        <v>8.920361529665783</v>
      </c>
      <c r="X37" s="58" t="str">
        <f>VLOOKUP(A37,'[1]MTP SKUs - Master Data'!$A:$B,2,FALSE)</f>
        <v>Y</v>
      </c>
    </row>
    <row r="38" spans="1:24">
      <c r="A38" s="58" t="s">
        <v>158</v>
      </c>
      <c r="B38" s="3" t="s">
        <v>48</v>
      </c>
      <c r="C38" s="104">
        <v>87</v>
      </c>
      <c r="D38" s="72">
        <v>58</v>
      </c>
      <c r="E38" s="72">
        <v>2</v>
      </c>
      <c r="F38" s="135">
        <v>7590</v>
      </c>
      <c r="G38" s="72">
        <v>0</v>
      </c>
      <c r="H38" s="72">
        <v>0</v>
      </c>
      <c r="I38" s="72">
        <v>0</v>
      </c>
      <c r="J38" s="131">
        <v>0</v>
      </c>
      <c r="K38" s="72">
        <v>0</v>
      </c>
      <c r="L38" s="72">
        <v>0</v>
      </c>
      <c r="M38" s="72">
        <v>0</v>
      </c>
      <c r="N38" s="131">
        <v>0</v>
      </c>
      <c r="O38" s="112">
        <f>V38*$O$2*1000</f>
        <v>2138.6966400000001</v>
      </c>
      <c r="P38" s="73">
        <f>F38+J38+N38</f>
        <v>7590</v>
      </c>
      <c r="Q38" s="74">
        <f>P38/1000</f>
        <v>7.59</v>
      </c>
      <c r="R38" s="74">
        <f>MAX(P38,O38)</f>
        <v>7590</v>
      </c>
      <c r="S38" s="75">
        <f>VLOOKUP(A38,'[2]BOM FG Files'!$A:$F,6,FALSE)</f>
        <v>7481.5771191213435</v>
      </c>
      <c r="T38" s="76">
        <f>S38-P38</f>
        <v>-108.42288087865654</v>
      </c>
      <c r="U38" s="106">
        <f>T38/S38</f>
        <v>-1.449198199154432E-2</v>
      </c>
      <c r="V38" s="66">
        <f>(((C38*D38*E38)+(G38*H38*I38)+(K38*L38*M38))/1000000)*35.32</f>
        <v>0.35644944000000001</v>
      </c>
      <c r="W38" s="67">
        <f>Q38/V38</f>
        <v>21.29334247235737</v>
      </c>
      <c r="X38" s="58" t="str">
        <f>VLOOKUP(A38,'[1]MTP SKUs - Master Data'!$A:$B,2,FALSE)</f>
        <v>Y</v>
      </c>
    </row>
    <row r="39" spans="1:24">
      <c r="A39" s="58" t="s">
        <v>150</v>
      </c>
      <c r="B39" s="3" t="s">
        <v>48</v>
      </c>
      <c r="C39" s="104">
        <v>157</v>
      </c>
      <c r="D39" s="72">
        <v>42</v>
      </c>
      <c r="E39" s="72">
        <v>9</v>
      </c>
      <c r="F39" s="135">
        <v>29750</v>
      </c>
      <c r="G39" s="72">
        <v>0</v>
      </c>
      <c r="H39" s="72">
        <v>0</v>
      </c>
      <c r="I39" s="72">
        <v>0</v>
      </c>
      <c r="J39" s="131">
        <v>0</v>
      </c>
      <c r="K39" s="72">
        <v>0</v>
      </c>
      <c r="L39" s="72">
        <v>0</v>
      </c>
      <c r="M39" s="72">
        <v>0</v>
      </c>
      <c r="N39" s="131">
        <v>0</v>
      </c>
      <c r="O39" s="112">
        <f>V39*$O$2*1000</f>
        <v>12576.60432</v>
      </c>
      <c r="P39" s="73">
        <f>F39+J39+N39</f>
        <v>29750</v>
      </c>
      <c r="Q39" s="74">
        <f>P39/1000</f>
        <v>29.75</v>
      </c>
      <c r="R39" s="74">
        <f>MAX(P39,O39)</f>
        <v>29750</v>
      </c>
      <c r="S39" s="75">
        <f>VLOOKUP(A39,'[2]BOM FG Files'!$A:$F,6,FALSE)</f>
        <v>29340.363640037031</v>
      </c>
      <c r="T39" s="76">
        <f>S39-P39</f>
        <v>-409.63635996296944</v>
      </c>
      <c r="U39" s="106">
        <f>T39/S39</f>
        <v>-1.3961529754320811E-2</v>
      </c>
      <c r="V39" s="66">
        <f>(((C39*D39*E39)+(G39*H39*I39)+(K39*L39*M39))/1000000)*35.32</f>
        <v>2.0961007199999999</v>
      </c>
      <c r="W39" s="67">
        <f>Q39/V39</f>
        <v>14.193020266697872</v>
      </c>
      <c r="X39" s="58" t="str">
        <f>VLOOKUP(A39,'[1]MTP SKUs - Master Data'!$A:$B,2,FALSE)</f>
        <v>Y</v>
      </c>
    </row>
    <row r="40" spans="1:24">
      <c r="A40" s="58" t="s">
        <v>196</v>
      </c>
      <c r="B40" s="3" t="s">
        <v>48</v>
      </c>
      <c r="C40" s="104">
        <v>165</v>
      </c>
      <c r="D40" s="72">
        <v>34</v>
      </c>
      <c r="E40" s="72">
        <v>10</v>
      </c>
      <c r="F40" s="135">
        <v>25600</v>
      </c>
      <c r="G40" s="72">
        <v>0</v>
      </c>
      <c r="H40" s="72">
        <v>0</v>
      </c>
      <c r="I40" s="72">
        <v>0</v>
      </c>
      <c r="J40" s="131">
        <v>0</v>
      </c>
      <c r="K40" s="72">
        <v>0</v>
      </c>
      <c r="L40" s="72">
        <v>0</v>
      </c>
      <c r="M40" s="72">
        <v>0</v>
      </c>
      <c r="N40" s="131">
        <v>0</v>
      </c>
      <c r="O40" s="112">
        <f>V40*$O$2*1000</f>
        <v>11888.712</v>
      </c>
      <c r="P40" s="73">
        <f>F40+J40+N40</f>
        <v>25600</v>
      </c>
      <c r="Q40" s="74">
        <f>P40/1000</f>
        <v>25.6</v>
      </c>
      <c r="R40" s="74">
        <f>MAX(P40,O40)</f>
        <v>25600</v>
      </c>
      <c r="S40" s="75">
        <f>VLOOKUP(A40,'[2]BOM FG Files'!$A:$F,6,FALSE)</f>
        <v>25282.462881616459</v>
      </c>
      <c r="T40" s="76">
        <f>S40-P40</f>
        <v>-317.53711838354138</v>
      </c>
      <c r="U40" s="106">
        <f>T40/S40</f>
        <v>-1.2559580127552801E-2</v>
      </c>
      <c r="V40" s="66">
        <f>(((C40*D40*E40)+(G40*H40*I40)+(K40*L40*M40))/1000000)*35.32</f>
        <v>1.981452</v>
      </c>
      <c r="W40" s="67">
        <f>Q40/V40</f>
        <v>12.919818395802675</v>
      </c>
      <c r="X40" s="58" t="str">
        <f>VLOOKUP(A40,'[1]MTP SKUs - Master Data'!$A:$B,2,FALSE)</f>
        <v>Y</v>
      </c>
    </row>
    <row r="41" spans="1:24">
      <c r="A41" s="58" t="s">
        <v>173</v>
      </c>
      <c r="B41" s="3" t="s">
        <v>48</v>
      </c>
      <c r="C41" s="104">
        <v>90</v>
      </c>
      <c r="D41" s="72">
        <v>49</v>
      </c>
      <c r="E41" s="72">
        <v>6</v>
      </c>
      <c r="F41" s="135">
        <v>9740</v>
      </c>
      <c r="G41" s="72">
        <v>0</v>
      </c>
      <c r="H41" s="72">
        <v>0</v>
      </c>
      <c r="I41" s="72">
        <v>0</v>
      </c>
      <c r="J41" s="131">
        <v>0</v>
      </c>
      <c r="K41" s="72">
        <v>0</v>
      </c>
      <c r="L41" s="72">
        <v>0</v>
      </c>
      <c r="M41" s="72">
        <v>0</v>
      </c>
      <c r="N41" s="131">
        <v>0</v>
      </c>
      <c r="O41" s="112">
        <f>V41*$O$2*1000</f>
        <v>5607.4032000000007</v>
      </c>
      <c r="P41" s="73">
        <f>F41+J41+N41</f>
        <v>9740</v>
      </c>
      <c r="Q41" s="74">
        <f>P41/1000</f>
        <v>9.74</v>
      </c>
      <c r="R41" s="74">
        <f>MAX(P41,O41)</f>
        <v>9740</v>
      </c>
      <c r="S41" s="75">
        <f>VLOOKUP(A41,'[2]BOM FG Files'!$A:$F,6,FALSE)</f>
        <v>9624.5684530652543</v>
      </c>
      <c r="T41" s="76">
        <f>S41-P41</f>
        <v>-115.43154693474571</v>
      </c>
      <c r="U41" s="106">
        <f>T41/S41</f>
        <v>-1.1993425730998132E-2</v>
      </c>
      <c r="V41" s="66">
        <f>(((C41*D41*E41)+(G41*H41*I41)+(K41*L41*M41))/1000000)*35.32</f>
        <v>0.93456720000000004</v>
      </c>
      <c r="W41" s="67">
        <f>Q41/V41</f>
        <v>10.421936485680217</v>
      </c>
      <c r="X41" s="58" t="str">
        <f>VLOOKUP(A41,'[1]MTP SKUs - Master Data'!$A:$B,2,FALSE)</f>
        <v>Y</v>
      </c>
    </row>
    <row r="42" spans="1:24">
      <c r="A42" s="79" t="s">
        <v>184</v>
      </c>
      <c r="B42" s="2"/>
      <c r="C42" s="104">
        <v>116</v>
      </c>
      <c r="D42" s="72">
        <v>62</v>
      </c>
      <c r="E42" s="72">
        <v>6</v>
      </c>
      <c r="F42" s="135">
        <v>16520</v>
      </c>
      <c r="G42" s="72">
        <v>0</v>
      </c>
      <c r="H42" s="72">
        <v>0</v>
      </c>
      <c r="I42" s="72">
        <v>0</v>
      </c>
      <c r="J42" s="131">
        <v>0</v>
      </c>
      <c r="K42" s="72">
        <v>0</v>
      </c>
      <c r="L42" s="72">
        <v>0</v>
      </c>
      <c r="M42" s="72">
        <v>0</v>
      </c>
      <c r="N42" s="131">
        <v>0</v>
      </c>
      <c r="O42" s="112">
        <f>V42*$O$2*1000</f>
        <v>9144.7718400000012</v>
      </c>
      <c r="P42" s="73">
        <f>F42+J42+N42</f>
        <v>16520</v>
      </c>
      <c r="Q42" s="74">
        <f>P42/1000</f>
        <v>16.52</v>
      </c>
      <c r="R42" s="74">
        <f>MAX(P42,O42)</f>
        <v>16520</v>
      </c>
      <c r="S42" s="75">
        <f>VLOOKUP(A42,'[2]BOM FG Files'!$A:$F,6,FALSE)</f>
        <v>16339.84988338553</v>
      </c>
      <c r="T42" s="76">
        <f>S42-P42</f>
        <v>-180.15011661446988</v>
      </c>
      <c r="U42" s="106">
        <f>T42/S42</f>
        <v>-1.1025200225226532E-2</v>
      </c>
      <c r="V42" s="66">
        <f>(((C42*D42*E42)+(G42*H42*I42)+(K42*L42*M42))/1000000)*35.32</f>
        <v>1.52412864</v>
      </c>
      <c r="W42" s="67">
        <f>Q42/V42</f>
        <v>10.838980100787293</v>
      </c>
      <c r="X42" s="58" t="str">
        <f>VLOOKUP(A42,'[1]MTP SKUs - Master Data'!$A:$B,2,FALSE)</f>
        <v>Y</v>
      </c>
    </row>
    <row r="43" spans="1:24">
      <c r="A43" s="58" t="s">
        <v>236</v>
      </c>
      <c r="B43" s="3" t="s">
        <v>48</v>
      </c>
      <c r="C43" s="104">
        <v>135</v>
      </c>
      <c r="D43" s="72">
        <v>28</v>
      </c>
      <c r="E43" s="72">
        <v>5</v>
      </c>
      <c r="F43" s="135">
        <v>8900</v>
      </c>
      <c r="G43" s="72">
        <v>0</v>
      </c>
      <c r="H43" s="72">
        <v>0</v>
      </c>
      <c r="I43" s="72">
        <v>0</v>
      </c>
      <c r="J43" s="131">
        <v>0</v>
      </c>
      <c r="K43" s="72">
        <v>0</v>
      </c>
      <c r="L43" s="72">
        <v>0</v>
      </c>
      <c r="M43" s="72">
        <v>0</v>
      </c>
      <c r="N43" s="131">
        <v>0</v>
      </c>
      <c r="O43" s="112">
        <f>V43*$O$2*1000</f>
        <v>4005.288</v>
      </c>
      <c r="P43" s="73">
        <f>F43+J43+N43</f>
        <v>8900</v>
      </c>
      <c r="Q43" s="74">
        <f>P43/1000</f>
        <v>8.9</v>
      </c>
      <c r="R43" s="74">
        <f>MAX(P43,O43)</f>
        <v>8900</v>
      </c>
      <c r="S43" s="75">
        <f>VLOOKUP(A43,'[2]BOM FG Files'!$A:$F,6,FALSE)</f>
        <v>8810.9117587394539</v>
      </c>
      <c r="T43" s="76">
        <f>S43-P43</f>
        <v>-89.088241260546056</v>
      </c>
      <c r="U43" s="106">
        <f>T43/S43</f>
        <v>-1.011112626025114E-2</v>
      </c>
      <c r="V43" s="66">
        <f>(((C43*D43*E43)+(G43*H43*I43)+(K43*L43*M43))/1000000)*35.32</f>
        <v>0.66754800000000003</v>
      </c>
      <c r="W43" s="67">
        <f>Q43/V43</f>
        <v>13.332374600777772</v>
      </c>
      <c r="X43" s="58" t="str">
        <f>VLOOKUP(A43,'[1]MTP SKUs - Master Data'!$A:$B,2,FALSE)</f>
        <v>Y</v>
      </c>
    </row>
    <row r="44" spans="1:24">
      <c r="A44" s="70" t="s">
        <v>207</v>
      </c>
      <c r="B44" s="3" t="s">
        <v>48</v>
      </c>
      <c r="C44" s="104">
        <v>107</v>
      </c>
      <c r="D44" s="72">
        <v>27</v>
      </c>
      <c r="E44" s="72">
        <v>4</v>
      </c>
      <c r="F44" s="135">
        <v>3850</v>
      </c>
      <c r="G44" s="72">
        <v>0</v>
      </c>
      <c r="H44" s="72">
        <v>0</v>
      </c>
      <c r="I44" s="72">
        <v>0</v>
      </c>
      <c r="J44" s="131">
        <v>0</v>
      </c>
      <c r="K44" s="72">
        <v>0</v>
      </c>
      <c r="L44" s="72">
        <v>0</v>
      </c>
      <c r="M44" s="72">
        <v>0</v>
      </c>
      <c r="N44" s="131">
        <v>0</v>
      </c>
      <c r="O44" s="112">
        <f>V44*$O$2*1000</f>
        <v>2448.9475199999997</v>
      </c>
      <c r="P44" s="73">
        <f>F44+J44+N44</f>
        <v>3850</v>
      </c>
      <c r="Q44" s="74">
        <f>P44/1000</f>
        <v>3.85</v>
      </c>
      <c r="R44" s="74">
        <f>MAX(P44,O44)</f>
        <v>3850</v>
      </c>
      <c r="S44" s="75">
        <f>VLOOKUP(A44,'[2]BOM FG Files'!$A:$F,6,FALSE)</f>
        <v>3793.4579581434778</v>
      </c>
      <c r="T44" s="76">
        <f>S44-P44</f>
        <v>-56.542041856522246</v>
      </c>
      <c r="U44" s="106">
        <f>T44/S44</f>
        <v>-1.4905145247528716E-2</v>
      </c>
      <c r="V44" s="66">
        <f>(((C44*D44*E44)+(G44*H44*I44)+(K44*L44*M44))/1000000)*35.32</f>
        <v>0.40815792000000001</v>
      </c>
      <c r="W44" s="67">
        <f>Q44/V44</f>
        <v>9.4326235296377448</v>
      </c>
      <c r="X44" s="58" t="str">
        <f>VLOOKUP(A44,'[1]MTP SKUs - Master Data'!$A:$B,2,FALSE)</f>
        <v>Y</v>
      </c>
    </row>
    <row r="45" spans="1:24">
      <c r="A45" s="58" t="s">
        <v>209</v>
      </c>
      <c r="B45" s="3" t="s">
        <v>48</v>
      </c>
      <c r="C45" s="104">
        <v>51</v>
      </c>
      <c r="D45" s="72">
        <v>30</v>
      </c>
      <c r="E45" s="72">
        <v>10</v>
      </c>
      <c r="F45" s="135">
        <v>3630</v>
      </c>
      <c r="G45" s="72">
        <v>0</v>
      </c>
      <c r="H45" s="72">
        <v>0</v>
      </c>
      <c r="I45" s="72">
        <v>0</v>
      </c>
      <c r="J45" s="131">
        <v>0</v>
      </c>
      <c r="K45" s="72">
        <v>0</v>
      </c>
      <c r="L45" s="72">
        <v>0</v>
      </c>
      <c r="M45" s="72">
        <v>0</v>
      </c>
      <c r="N45" s="131">
        <v>0</v>
      </c>
      <c r="O45" s="112">
        <f>V45*$O$2*1000</f>
        <v>3242.3760000000002</v>
      </c>
      <c r="P45" s="73">
        <f>F45+J45+N45</f>
        <v>3630</v>
      </c>
      <c r="Q45" s="74">
        <f>P45/1000</f>
        <v>3.63</v>
      </c>
      <c r="R45" s="74">
        <f>MAX(P45,O45)</f>
        <v>3630</v>
      </c>
      <c r="S45" s="75">
        <f>VLOOKUP(A45,'[2]BOM FG Files'!$A:$F,6,FALSE)</f>
        <v>3602.9470223291592</v>
      </c>
      <c r="T45" s="76">
        <f>S45-P45</f>
        <v>-27.052977670840846</v>
      </c>
      <c r="U45" s="106">
        <f>T45/S45</f>
        <v>-7.5085693747870301E-3</v>
      </c>
      <c r="V45" s="66">
        <f>(((C45*D45*E45)+(G45*H45*I45)+(K45*L45*M45))/1000000)*35.32</f>
        <v>0.54039599999999999</v>
      </c>
      <c r="W45" s="67">
        <f>Q45/V45</f>
        <v>6.7172962050052183</v>
      </c>
      <c r="X45" s="58" t="str">
        <f>VLOOKUP(A45,'[1]MTP SKUs - Master Data'!$A:$B,2,FALSE)</f>
        <v>Y</v>
      </c>
    </row>
    <row r="46" spans="1:24">
      <c r="A46" s="58" t="s">
        <v>97</v>
      </c>
      <c r="B46" s="3" t="s">
        <v>48</v>
      </c>
      <c r="C46" s="104">
        <v>147</v>
      </c>
      <c r="D46" s="72">
        <v>40</v>
      </c>
      <c r="E46" s="72">
        <v>12</v>
      </c>
      <c r="F46" s="135">
        <v>35800</v>
      </c>
      <c r="G46" s="72">
        <v>0</v>
      </c>
      <c r="H46" s="72">
        <v>0</v>
      </c>
      <c r="I46" s="72">
        <v>0</v>
      </c>
      <c r="J46" s="131">
        <v>0</v>
      </c>
      <c r="K46" s="72">
        <v>0</v>
      </c>
      <c r="L46" s="72">
        <v>0</v>
      </c>
      <c r="M46" s="72">
        <v>0</v>
      </c>
      <c r="N46" s="131">
        <v>0</v>
      </c>
      <c r="O46" s="112">
        <f>V46*$O$2*1000</f>
        <v>14953.075199999999</v>
      </c>
      <c r="P46" s="73">
        <f>F46+J46+N46</f>
        <v>35800</v>
      </c>
      <c r="Q46" s="74">
        <f>P46/1000</f>
        <v>35.799999999999997</v>
      </c>
      <c r="R46" s="74">
        <f>MAX(P46,O46)</f>
        <v>35800</v>
      </c>
      <c r="S46" s="75">
        <f>VLOOKUP(A46,'[2]BOM FG Files'!$A:$F,6,FALSE)</f>
        <v>35537.194357074099</v>
      </c>
      <c r="T46" s="76">
        <f>S46-P46</f>
        <v>-262.80564292590134</v>
      </c>
      <c r="U46" s="106">
        <f>T46/S46</f>
        <v>-7.3952276672507424E-3</v>
      </c>
      <c r="V46" s="66">
        <f>(((C46*D46*E46)+(G46*H46*I46)+(K46*L46*M46))/1000000)*35.32</f>
        <v>2.4921791999999998</v>
      </c>
      <c r="W46" s="67">
        <f>Q46/V46</f>
        <v>14.364938123229662</v>
      </c>
      <c r="X46" s="58" t="str">
        <f>VLOOKUP(A46,'[1]MTP SKUs - Master Data'!$A:$B,2,FALSE)</f>
        <v>Y</v>
      </c>
    </row>
    <row r="47" spans="1:24">
      <c r="A47" s="79" t="s">
        <v>227</v>
      </c>
      <c r="B47" s="2"/>
      <c r="C47" s="104">
        <v>95</v>
      </c>
      <c r="D47" s="72">
        <v>45</v>
      </c>
      <c r="E47" s="72">
        <v>8</v>
      </c>
      <c r="F47" s="135">
        <v>11200</v>
      </c>
      <c r="G47" s="72">
        <v>0</v>
      </c>
      <c r="H47" s="72">
        <v>0</v>
      </c>
      <c r="I47" s="72">
        <v>0</v>
      </c>
      <c r="J47" s="131">
        <v>0</v>
      </c>
      <c r="K47" s="72">
        <v>0</v>
      </c>
      <c r="L47" s="72">
        <v>0</v>
      </c>
      <c r="M47" s="72">
        <v>0</v>
      </c>
      <c r="N47" s="131">
        <v>0</v>
      </c>
      <c r="O47" s="112">
        <f>V47*$O$2*1000</f>
        <v>7247.6640000000007</v>
      </c>
      <c r="P47" s="73">
        <f>F47+J47+N47</f>
        <v>11200</v>
      </c>
      <c r="Q47" s="74">
        <f>P47/1000</f>
        <v>11.2</v>
      </c>
      <c r="R47" s="74">
        <f>MAX(P47,O47)</f>
        <v>11200</v>
      </c>
      <c r="S47" s="75">
        <f>VLOOKUP(A47,'[2]BOM FG Files'!$A:$F,6,FALSE)</f>
        <v>11122.30561407401</v>
      </c>
      <c r="T47" s="76">
        <f>S47-P47</f>
        <v>-77.694385925989991</v>
      </c>
      <c r="U47" s="106">
        <f>T47/S47</f>
        <v>-6.9854568487739271E-3</v>
      </c>
      <c r="V47" s="66">
        <f>(((C47*D47*E47)+(G47*H47*I47)+(K47*L47*M47))/1000000)*35.32</f>
        <v>1.2079440000000001</v>
      </c>
      <c r="W47" s="67">
        <f>Q47/V47</f>
        <v>9.2719530044439136</v>
      </c>
      <c r="X47" s="58" t="str">
        <f>VLOOKUP(A47,'[1]MTP SKUs - Master Data'!$A:$B,2,FALSE)</f>
        <v>Y</v>
      </c>
    </row>
    <row r="48" spans="1:24">
      <c r="A48" s="79" t="s">
        <v>84</v>
      </c>
      <c r="B48" s="2"/>
      <c r="C48" s="104">
        <v>165</v>
      </c>
      <c r="D48" s="72">
        <v>39</v>
      </c>
      <c r="E48" s="72">
        <v>9</v>
      </c>
      <c r="F48" s="135">
        <v>28100</v>
      </c>
      <c r="G48" s="72">
        <v>0</v>
      </c>
      <c r="H48" s="72">
        <v>0</v>
      </c>
      <c r="I48" s="72">
        <v>0</v>
      </c>
      <c r="J48" s="131">
        <v>0</v>
      </c>
      <c r="K48" s="72">
        <v>0</v>
      </c>
      <c r="L48" s="72">
        <v>0</v>
      </c>
      <c r="M48" s="72">
        <v>0</v>
      </c>
      <c r="N48" s="131">
        <v>0</v>
      </c>
      <c r="O48" s="112">
        <f>V48*$O$2*1000</f>
        <v>12273.346800000001</v>
      </c>
      <c r="P48" s="73">
        <f>F48+J48+N48</f>
        <v>28100</v>
      </c>
      <c r="Q48" s="74">
        <f>P48/1000</f>
        <v>28.1</v>
      </c>
      <c r="R48" s="74">
        <f>MAX(P48,O48)</f>
        <v>28100</v>
      </c>
      <c r="S48" s="75">
        <f>VLOOKUP(A48,'[2]BOM FG Files'!$A:$F,6,FALSE)</f>
        <v>27932.44918004287</v>
      </c>
      <c r="T48" s="76">
        <f>S48-P48</f>
        <v>-167.55081995713044</v>
      </c>
      <c r="U48" s="106">
        <f>T48/S48</f>
        <v>-5.9984292418167858E-3</v>
      </c>
      <c r="V48" s="66">
        <f>(((C48*D48*E48)+(G48*H48*I48)+(K48*L48*M48))/1000000)*35.32</f>
        <v>2.0455578000000001</v>
      </c>
      <c r="W48" s="67">
        <f>Q48/V48</f>
        <v>13.737084329760812</v>
      </c>
      <c r="X48" s="58" t="str">
        <f>VLOOKUP(A48,'[1]MTP SKUs - Master Data'!$A:$B,2,FALSE)</f>
        <v>Y</v>
      </c>
    </row>
    <row r="49" spans="1:24">
      <c r="A49" s="58" t="s">
        <v>235</v>
      </c>
      <c r="B49" s="3" t="s">
        <v>48</v>
      </c>
      <c r="C49" s="104">
        <v>145</v>
      </c>
      <c r="D49" s="72">
        <v>25</v>
      </c>
      <c r="E49" s="72">
        <v>7</v>
      </c>
      <c r="F49" s="135">
        <v>13540</v>
      </c>
      <c r="G49" s="72">
        <v>0</v>
      </c>
      <c r="H49" s="72">
        <v>0</v>
      </c>
      <c r="I49" s="72">
        <v>0</v>
      </c>
      <c r="J49" s="131">
        <v>0</v>
      </c>
      <c r="K49" s="72">
        <v>0</v>
      </c>
      <c r="L49" s="72">
        <v>0</v>
      </c>
      <c r="M49" s="72">
        <v>0</v>
      </c>
      <c r="N49" s="131">
        <v>0</v>
      </c>
      <c r="O49" s="112">
        <f>V49*$O$2*1000</f>
        <v>5377.47</v>
      </c>
      <c r="P49" s="73">
        <f>F49+J49+N49</f>
        <v>13540</v>
      </c>
      <c r="Q49" s="74">
        <f>P49/1000</f>
        <v>13.54</v>
      </c>
      <c r="R49" s="74">
        <f>MAX(P49,O49)</f>
        <v>13540</v>
      </c>
      <c r="S49" s="75">
        <f>VLOOKUP(A49,'[2]BOM FG Files'!$A:$F,6,FALSE)</f>
        <v>13477.950737019974</v>
      </c>
      <c r="T49" s="76">
        <f>S49-P49</f>
        <v>-62.049262980026469</v>
      </c>
      <c r="U49" s="106">
        <f>T49/S49</f>
        <v>-4.6037609270670032E-3</v>
      </c>
      <c r="V49" s="66">
        <f>(((C49*D49*E49)+(G49*H49*I49)+(K49*L49*M49))/1000000)*35.32</f>
        <v>0.89624500000000007</v>
      </c>
      <c r="W49" s="67">
        <f>Q49/V49</f>
        <v>15.107476192335799</v>
      </c>
      <c r="X49" s="58" t="str">
        <f>VLOOKUP(A49,'[1]MTP SKUs - Master Data'!$A:$B,2,FALSE)</f>
        <v>Y</v>
      </c>
    </row>
    <row r="50" spans="1:24" ht="12.4" customHeight="1">
      <c r="A50" s="58" t="s">
        <v>124</v>
      </c>
      <c r="B50" s="3" t="s">
        <v>48</v>
      </c>
      <c r="C50" s="104">
        <v>163</v>
      </c>
      <c r="D50" s="72">
        <v>32</v>
      </c>
      <c r="E50" s="72">
        <v>8</v>
      </c>
      <c r="F50" s="135">
        <v>16260</v>
      </c>
      <c r="G50" s="72">
        <v>0</v>
      </c>
      <c r="H50" s="72">
        <v>0</v>
      </c>
      <c r="I50" s="72">
        <v>0</v>
      </c>
      <c r="J50" s="131">
        <v>0</v>
      </c>
      <c r="K50" s="72">
        <v>0</v>
      </c>
      <c r="L50" s="72">
        <v>0</v>
      </c>
      <c r="M50" s="72">
        <v>0</v>
      </c>
      <c r="N50" s="131">
        <v>0</v>
      </c>
      <c r="O50" s="112">
        <f>V50*$O$2*1000</f>
        <v>8842.9977600000002</v>
      </c>
      <c r="P50" s="73">
        <f>F50+J50+N50</f>
        <v>16260</v>
      </c>
      <c r="Q50" s="74">
        <f>P50/1000</f>
        <v>16.260000000000002</v>
      </c>
      <c r="R50" s="74">
        <f>MAX(P50,O50)</f>
        <v>16260</v>
      </c>
      <c r="S50" s="75">
        <f>VLOOKUP(A50,'[2]BOM FG Files'!$A:$F,6,FALSE)</f>
        <v>16123.680228827239</v>
      </c>
      <c r="T50" s="76">
        <f>S50-P50</f>
        <v>-136.31977117276074</v>
      </c>
      <c r="U50" s="106">
        <f>T50/S50</f>
        <v>-8.4546312776060308E-3</v>
      </c>
      <c r="V50" s="66">
        <f>(((C50*D50*E50)+(G50*H50*I50)+(K50*L50*M50))/1000000)*35.32</f>
        <v>1.47383296</v>
      </c>
      <c r="W50" s="67">
        <f>Q50/V50</f>
        <v>11.032457843797985</v>
      </c>
      <c r="X50" s="58" t="str">
        <f>VLOOKUP(A50,'[1]MTP SKUs - Master Data'!$A:$B,2,FALSE)</f>
        <v>Y</v>
      </c>
    </row>
    <row r="51" spans="1:24">
      <c r="A51" s="71" t="s">
        <v>76</v>
      </c>
      <c r="B51" s="72" t="s">
        <v>74</v>
      </c>
      <c r="C51" s="104">
        <v>206</v>
      </c>
      <c r="D51" s="72">
        <v>40</v>
      </c>
      <c r="E51" s="72">
        <v>4</v>
      </c>
      <c r="F51" s="135">
        <v>28400</v>
      </c>
      <c r="G51" s="72">
        <v>164</v>
      </c>
      <c r="H51" s="72">
        <v>39</v>
      </c>
      <c r="I51" s="72">
        <v>7</v>
      </c>
      <c r="J51" s="131">
        <v>27300</v>
      </c>
      <c r="K51" s="72">
        <v>104</v>
      </c>
      <c r="L51" s="72">
        <v>81</v>
      </c>
      <c r="M51" s="72">
        <v>8</v>
      </c>
      <c r="N51" s="131">
        <v>33540</v>
      </c>
      <c r="O51" s="112">
        <f>V51*$O$2*1000</f>
        <v>30754.678079999998</v>
      </c>
      <c r="P51" s="73">
        <f>F51+J51+N51</f>
        <v>89240</v>
      </c>
      <c r="Q51" s="74">
        <f>P51/1000</f>
        <v>89.24</v>
      </c>
      <c r="R51" s="74">
        <f>MAX(P51,O51)</f>
        <v>89240</v>
      </c>
      <c r="S51" s="75">
        <f>VLOOKUP(A51,'[2]BOM FG Files'!$A:$F,6,FALSE)</f>
        <v>87886.167781167067</v>
      </c>
      <c r="T51" s="76">
        <f>S51-P51</f>
        <v>-1353.832218832933</v>
      </c>
      <c r="U51" s="106">
        <f>T51/S51</f>
        <v>-1.5404383340549327E-2</v>
      </c>
      <c r="V51" s="66">
        <f>(((C51*D51*E51)+(G51*H51*I51)+(K51*L51*M51))/1000000)*35.32</f>
        <v>5.1257796799999999</v>
      </c>
      <c r="W51" s="67">
        <f>Q51/V51</f>
        <v>17.410034291602638</v>
      </c>
      <c r="X51" s="58" t="str">
        <f>VLOOKUP(A51,'[1]MTP SKUs - Master Data'!$A:$B,2,FALSE)</f>
        <v>Y</v>
      </c>
    </row>
    <row r="52" spans="1:24">
      <c r="A52" s="58" t="s">
        <v>93</v>
      </c>
      <c r="B52" s="3" t="s">
        <v>74</v>
      </c>
      <c r="C52" s="104">
        <v>206</v>
      </c>
      <c r="D52" s="72">
        <v>44</v>
      </c>
      <c r="E52" s="72">
        <v>7</v>
      </c>
      <c r="F52" s="135">
        <v>34200</v>
      </c>
      <c r="G52" s="72">
        <v>167</v>
      </c>
      <c r="H52" s="72">
        <v>40</v>
      </c>
      <c r="I52" s="72">
        <v>8</v>
      </c>
      <c r="J52" s="131">
        <v>21650</v>
      </c>
      <c r="K52" s="72">
        <v>103</v>
      </c>
      <c r="L52" s="72">
        <v>80</v>
      </c>
      <c r="M52" s="72">
        <v>6</v>
      </c>
      <c r="N52" s="131">
        <v>34300</v>
      </c>
      <c r="O52" s="112">
        <f>V52*$O$2*1000</f>
        <v>35248.229760000002</v>
      </c>
      <c r="P52" s="73">
        <f>F52+J52+N52</f>
        <v>90150</v>
      </c>
      <c r="Q52" s="74">
        <f>P52/1000</f>
        <v>90.15</v>
      </c>
      <c r="R52" s="74">
        <f>MAX(P52,O52)</f>
        <v>90150</v>
      </c>
      <c r="S52" s="75">
        <f>VLOOKUP(A52,'[2]BOM FG Files'!$A:$F,6,FALSE)</f>
        <v>88892.409121884397</v>
      </c>
      <c r="T52" s="76">
        <f>S52-P52</f>
        <v>-1257.5908781156031</v>
      </c>
      <c r="U52" s="106">
        <f>T52/S52</f>
        <v>-1.4147337107168098E-2</v>
      </c>
      <c r="V52" s="66">
        <f>(((C52*D52*E52)+(G52*H52*I52)+(K52*L52*M52))/1000000)*35.32</f>
        <v>5.8747049599999999</v>
      </c>
      <c r="W52" s="67">
        <f>Q52/V52</f>
        <v>15.345451493107836</v>
      </c>
      <c r="X52" s="58" t="str">
        <f>VLOOKUP(A52,'[1]MTP SKUs - Master Data'!$A:$B,2,FALSE)</f>
        <v>Y</v>
      </c>
    </row>
    <row r="53" spans="1:24">
      <c r="A53" s="58" t="s">
        <v>274</v>
      </c>
      <c r="B53" s="3" t="s">
        <v>48</v>
      </c>
      <c r="C53" s="104">
        <v>146</v>
      </c>
      <c r="D53" s="72">
        <v>20</v>
      </c>
      <c r="E53" s="72">
        <v>8</v>
      </c>
      <c r="F53" s="135">
        <v>14000</v>
      </c>
      <c r="G53" s="72">
        <v>0</v>
      </c>
      <c r="H53" s="72">
        <v>0</v>
      </c>
      <c r="I53" s="72">
        <v>0</v>
      </c>
      <c r="J53" s="131">
        <v>0</v>
      </c>
      <c r="K53" s="72">
        <v>0</v>
      </c>
      <c r="L53" s="72">
        <v>0</v>
      </c>
      <c r="M53" s="72">
        <v>0</v>
      </c>
      <c r="N53" s="131">
        <v>0</v>
      </c>
      <c r="O53" s="112">
        <f>V53*$O$2*1000</f>
        <v>4950.4511999999995</v>
      </c>
      <c r="P53" s="73">
        <f>F53+J53+N53</f>
        <v>14000</v>
      </c>
      <c r="Q53" s="74">
        <f>P53/1000</f>
        <v>14</v>
      </c>
      <c r="R53" s="74">
        <f>MAX(P53,O53)</f>
        <v>14000</v>
      </c>
      <c r="S53" s="75">
        <f>VLOOKUP(A53,'[2]BOM FG Files'!$A:$F,6,FALSE)</f>
        <v>13962.612346236428</v>
      </c>
      <c r="T53" s="76">
        <f>S53-P53</f>
        <v>-37.387653763571507</v>
      </c>
      <c r="U53" s="106">
        <f>T53/S53</f>
        <v>-2.6776976139174422E-3</v>
      </c>
      <c r="V53" s="66">
        <f>(((C53*D53*E53)+(G53*H53*I53)+(K53*L53*M53))/1000000)*35.32</f>
        <v>0.82507520000000001</v>
      </c>
      <c r="W53" s="67">
        <f>Q53/V53</f>
        <v>16.968150297088073</v>
      </c>
      <c r="X53" s="58" t="str">
        <f>VLOOKUP(A53,'[1]MTP SKUs - Master Data'!$A:$B,2,FALSE)</f>
        <v>Y</v>
      </c>
    </row>
    <row r="54" spans="1:24">
      <c r="A54" s="79" t="s">
        <v>250</v>
      </c>
      <c r="B54" s="2"/>
      <c r="C54" s="104">
        <v>0</v>
      </c>
      <c r="D54" s="72">
        <v>0</v>
      </c>
      <c r="E54" s="72">
        <v>0</v>
      </c>
      <c r="F54" s="135">
        <v>29750</v>
      </c>
      <c r="G54" s="72">
        <v>0</v>
      </c>
      <c r="H54" s="72">
        <v>0</v>
      </c>
      <c r="I54" s="72">
        <v>0</v>
      </c>
      <c r="J54" s="131">
        <v>0</v>
      </c>
      <c r="K54" s="72">
        <v>0</v>
      </c>
      <c r="L54" s="72">
        <v>0</v>
      </c>
      <c r="M54" s="72">
        <v>0</v>
      </c>
      <c r="N54" s="131">
        <v>0</v>
      </c>
      <c r="O54" s="112">
        <f>V54*$O$2*1000</f>
        <v>0</v>
      </c>
      <c r="P54" s="73">
        <f>F54+J54+N54</f>
        <v>29750</v>
      </c>
      <c r="Q54" s="74">
        <f>P54/1000</f>
        <v>29.75</v>
      </c>
      <c r="R54" s="74">
        <f>MAX(P54,O54)</f>
        <v>29750</v>
      </c>
      <c r="S54" s="75">
        <f>VLOOKUP(A54,'[2]BOM FG Files'!$A:$F,6,FALSE)</f>
        <v>29687.145878352821</v>
      </c>
      <c r="T54" s="76">
        <f>S54-P54</f>
        <v>-62.854121647178545</v>
      </c>
      <c r="U54" s="106">
        <f>T54/S54</f>
        <v>-2.1172167208236177E-3</v>
      </c>
      <c r="V54" s="66">
        <f>(((C54*D54*E54)+(G54*H54*I54)+(K54*L54*M54))/1000000)*35.32</f>
        <v>0</v>
      </c>
      <c r="W54" s="67" t="e">
        <f>Q54/V54</f>
        <v>#DIV/0!</v>
      </c>
      <c r="X54" s="58" t="str">
        <f>VLOOKUP(A54,'[1]MTP SKUs - Master Data'!$A:$B,2,FALSE)</f>
        <v>Y</v>
      </c>
    </row>
    <row r="55" spans="1:24">
      <c r="A55" s="58" t="s">
        <v>170</v>
      </c>
      <c r="B55" s="3" t="s">
        <v>48</v>
      </c>
      <c r="C55" s="104">
        <v>158</v>
      </c>
      <c r="D55" s="72">
        <v>29</v>
      </c>
      <c r="E55" s="72">
        <v>9</v>
      </c>
      <c r="F55" s="135">
        <v>19700</v>
      </c>
      <c r="G55" s="72">
        <v>0</v>
      </c>
      <c r="H55" s="72">
        <v>0</v>
      </c>
      <c r="I55" s="72">
        <v>0</v>
      </c>
      <c r="J55" s="131">
        <v>0</v>
      </c>
      <c r="K55" s="72">
        <v>0</v>
      </c>
      <c r="L55" s="72">
        <v>0</v>
      </c>
      <c r="M55" s="72">
        <v>0</v>
      </c>
      <c r="N55" s="131">
        <v>0</v>
      </c>
      <c r="O55" s="112">
        <f>V55*$O$2*1000</f>
        <v>8739.1569599999984</v>
      </c>
      <c r="P55" s="73">
        <f>F55+J55+N55</f>
        <v>19700</v>
      </c>
      <c r="Q55" s="74">
        <f>P55/1000</f>
        <v>19.7</v>
      </c>
      <c r="R55" s="74">
        <f>MAX(P55,O55)</f>
        <v>19700</v>
      </c>
      <c r="S55" s="75">
        <f>VLOOKUP(A55,'[2]BOM FG Files'!$A:$F,6,FALSE)</f>
        <v>19658.753192864908</v>
      </c>
      <c r="T55" s="76">
        <f>S55-P55</f>
        <v>-41.24680713509224</v>
      </c>
      <c r="U55" s="106">
        <f>T55/S55</f>
        <v>-2.0981395274885825E-3</v>
      </c>
      <c r="V55" s="66">
        <f>(((C55*D55*E55)+(G55*H55*I55)+(K55*L55*M55))/1000000)*35.32</f>
        <v>1.4565261599999999</v>
      </c>
      <c r="W55" s="67">
        <f>Q55/V55</f>
        <v>13.52533208191743</v>
      </c>
      <c r="X55" s="58" t="str">
        <f>VLOOKUP(A55,'[1]MTP SKUs - Master Data'!$A:$B,2,FALSE)</f>
        <v>Y</v>
      </c>
    </row>
    <row r="56" spans="1:24" ht="12.4" customHeight="1">
      <c r="A56" s="79" t="s">
        <v>118</v>
      </c>
      <c r="B56" s="2"/>
      <c r="C56" s="104">
        <v>192</v>
      </c>
      <c r="D56" s="72">
        <v>45</v>
      </c>
      <c r="E56" s="72">
        <v>13</v>
      </c>
      <c r="F56" s="135">
        <v>51550</v>
      </c>
      <c r="G56" s="72">
        <v>0</v>
      </c>
      <c r="H56" s="72">
        <v>0</v>
      </c>
      <c r="I56" s="72">
        <v>0</v>
      </c>
      <c r="J56" s="131">
        <v>0</v>
      </c>
      <c r="K56" s="72">
        <v>0</v>
      </c>
      <c r="L56" s="72">
        <v>0</v>
      </c>
      <c r="M56" s="72">
        <v>0</v>
      </c>
      <c r="N56" s="131">
        <v>0</v>
      </c>
      <c r="O56" s="112">
        <f>V56*$O$2*1000</f>
        <v>23802.8544</v>
      </c>
      <c r="P56" s="73">
        <f>F56+J56+N56</f>
        <v>51550</v>
      </c>
      <c r="Q56" s="74">
        <f>P56/1000</f>
        <v>51.55</v>
      </c>
      <c r="R56" s="74">
        <f>MAX(P56,O56)</f>
        <v>51550</v>
      </c>
      <c r="S56" s="75">
        <f>VLOOKUP(A56,'[2]BOM FG Files'!$A:$F,6,FALSE)</f>
        <v>51446.491624602539</v>
      </c>
      <c r="T56" s="76">
        <f>S56-P56</f>
        <v>-103.50837539746135</v>
      </c>
      <c r="U56" s="106">
        <f>T56/S56</f>
        <v>-2.0119617903733202E-3</v>
      </c>
      <c r="V56" s="66">
        <f>(((C56*D56*E56)+(G56*H56*I56)+(K56*L56*M56))/1000000)*35.32</f>
        <v>3.9671424000000002</v>
      </c>
      <c r="W56" s="67">
        <f>Q56/V56</f>
        <v>12.994239884103983</v>
      </c>
      <c r="X56" s="58" t="str">
        <f>VLOOKUP(A56,'[1]MTP SKUs - Master Data'!$A:$B,2,FALSE)</f>
        <v>Y</v>
      </c>
    </row>
    <row r="57" spans="1:24">
      <c r="A57" s="58" t="s">
        <v>100</v>
      </c>
      <c r="B57" s="3" t="s">
        <v>48</v>
      </c>
      <c r="C57" s="104">
        <v>97</v>
      </c>
      <c r="D57" s="72">
        <v>26</v>
      </c>
      <c r="E57" s="72">
        <v>10</v>
      </c>
      <c r="F57" s="135">
        <v>8550</v>
      </c>
      <c r="G57" s="72">
        <v>0</v>
      </c>
      <c r="H57" s="72">
        <v>0</v>
      </c>
      <c r="I57" s="72">
        <v>0</v>
      </c>
      <c r="J57" s="131">
        <v>0</v>
      </c>
      <c r="K57" s="72">
        <v>0</v>
      </c>
      <c r="L57" s="72">
        <v>0</v>
      </c>
      <c r="M57" s="72">
        <v>0</v>
      </c>
      <c r="N57" s="131">
        <v>0</v>
      </c>
      <c r="O57" s="112">
        <f>V57*$O$2*1000</f>
        <v>5344.6223999999993</v>
      </c>
      <c r="P57" s="73">
        <f>F57+J57+N57</f>
        <v>8550</v>
      </c>
      <c r="Q57" s="74">
        <f>P57/1000</f>
        <v>8.5500000000000007</v>
      </c>
      <c r="R57" s="74">
        <f>MAX(P57,O57)</f>
        <v>8550</v>
      </c>
      <c r="S57" s="75">
        <f>VLOOKUP(A57,'[2]BOM FG Files'!$A:$F,6,FALSE)</f>
        <v>8534.5922854865548</v>
      </c>
      <c r="T57" s="76">
        <f>S57-P57</f>
        <v>-15.407714513445171</v>
      </c>
      <c r="U57" s="106">
        <f>T57/S57</f>
        <v>-1.8053251986795736E-3</v>
      </c>
      <c r="V57" s="66">
        <f>(((C57*D57*E57)+(G57*H57*I57)+(K57*L57*M57))/1000000)*35.32</f>
        <v>0.89077039999999996</v>
      </c>
      <c r="W57" s="67">
        <f>Q57/V57</f>
        <v>9.5984329968755144</v>
      </c>
      <c r="X57" s="58" t="str">
        <f>VLOOKUP(A57,'[1]MTP SKUs - Master Data'!$A:$B,2,FALSE)</f>
        <v>Y</v>
      </c>
    </row>
    <row r="58" spans="1:24">
      <c r="A58" s="23" t="s">
        <v>264</v>
      </c>
      <c r="B58" s="3" t="s">
        <v>48</v>
      </c>
      <c r="C58" s="104">
        <v>87</v>
      </c>
      <c r="D58" s="72">
        <v>35</v>
      </c>
      <c r="E58" s="72">
        <v>14</v>
      </c>
      <c r="F58" s="135">
        <v>18400</v>
      </c>
      <c r="G58" s="72">
        <v>0</v>
      </c>
      <c r="H58" s="72">
        <v>0</v>
      </c>
      <c r="I58" s="72">
        <v>0</v>
      </c>
      <c r="J58" s="131">
        <v>0</v>
      </c>
      <c r="K58" s="72">
        <v>0</v>
      </c>
      <c r="L58" s="72">
        <v>0</v>
      </c>
      <c r="M58" s="72">
        <v>0</v>
      </c>
      <c r="N58" s="131">
        <v>0</v>
      </c>
      <c r="O58" s="112">
        <f>V58*$O$2*1000</f>
        <v>9034.1495999999988</v>
      </c>
      <c r="P58" s="73">
        <f>F58+J58+N58</f>
        <v>18400</v>
      </c>
      <c r="Q58" s="74">
        <f>P58/1000</f>
        <v>18.399999999999999</v>
      </c>
      <c r="R58" s="74">
        <f>MAX(P58,O58)</f>
        <v>18400</v>
      </c>
      <c r="S58" s="75">
        <f>VLOOKUP(A58,'[2]BOM FG Files'!$A:$F,6,FALSE)</f>
        <v>18373.398781800784</v>
      </c>
      <c r="T58" s="76">
        <f>S58-P58</f>
        <v>-26.601218199215509</v>
      </c>
      <c r="U58" s="106">
        <f>T58/S58</f>
        <v>-1.4478115081007518E-3</v>
      </c>
      <c r="V58" s="66">
        <f>(((C58*D58*E58)+(G58*H58*I58)+(K58*L58*M58))/1000000)*35.32</f>
        <v>1.5056916</v>
      </c>
      <c r="W58" s="67">
        <f>Q58/V58</f>
        <v>12.220297968056672</v>
      </c>
      <c r="X58" s="58" t="str">
        <f>VLOOKUP(A58,'[1]MTP SKUs - Master Data'!$A:$B,2,FALSE)</f>
        <v>Y</v>
      </c>
    </row>
    <row r="59" spans="1:24">
      <c r="A59" s="150" t="s">
        <v>99</v>
      </c>
      <c r="B59" s="2"/>
      <c r="C59" s="104">
        <v>87</v>
      </c>
      <c r="D59" s="72">
        <v>35</v>
      </c>
      <c r="E59" s="72">
        <v>14</v>
      </c>
      <c r="F59" s="135">
        <v>36800</v>
      </c>
      <c r="G59" s="72">
        <v>0</v>
      </c>
      <c r="H59" s="72">
        <v>0</v>
      </c>
      <c r="I59" s="72">
        <v>0</v>
      </c>
      <c r="J59" s="131">
        <v>0</v>
      </c>
      <c r="K59" s="72">
        <v>0</v>
      </c>
      <c r="L59" s="72">
        <v>0</v>
      </c>
      <c r="M59" s="72">
        <v>0</v>
      </c>
      <c r="N59" s="131">
        <v>0</v>
      </c>
      <c r="O59" s="112">
        <f>V59*$O$2*1000</f>
        <v>9034.1495999999988</v>
      </c>
      <c r="P59" s="73">
        <f>F59+J59+N59</f>
        <v>36800</v>
      </c>
      <c r="Q59" s="74">
        <f>P59/1000</f>
        <v>36.799999999999997</v>
      </c>
      <c r="R59" s="74">
        <f>MAX(P59,O59)</f>
        <v>36800</v>
      </c>
      <c r="S59" s="75">
        <f>VLOOKUP(A59,'[2]BOM FG Files'!$A:$F,6,FALSE)</f>
        <v>36746.797563601569</v>
      </c>
      <c r="T59" s="76">
        <f>S59-P59</f>
        <v>-53.202436398431018</v>
      </c>
      <c r="U59" s="106">
        <f>T59/S59</f>
        <v>-1.4478115081007518E-3</v>
      </c>
      <c r="V59" s="66">
        <f>(((C59*D59*E59)+(G59*H59*I59)+(K59*L59*M59))/1000000)*35.32</f>
        <v>1.5056916</v>
      </c>
      <c r="W59" s="67">
        <f>Q59/V59</f>
        <v>24.440595936113343</v>
      </c>
      <c r="X59" s="58" t="str">
        <f>VLOOKUP(A59,'[1]MTP SKUs - Master Data'!$A:$B,2,FALSE)</f>
        <v>Y</v>
      </c>
    </row>
    <row r="60" spans="1:24">
      <c r="A60" s="79" t="s">
        <v>144</v>
      </c>
      <c r="B60" s="2"/>
      <c r="C60" s="104">
        <v>103</v>
      </c>
      <c r="D60" s="72">
        <v>40</v>
      </c>
      <c r="E60" s="72">
        <v>16</v>
      </c>
      <c r="F60" s="135">
        <v>23800</v>
      </c>
      <c r="G60" s="72">
        <v>0</v>
      </c>
      <c r="H60" s="72">
        <v>0</v>
      </c>
      <c r="I60" s="72">
        <v>0</v>
      </c>
      <c r="J60" s="131">
        <v>0</v>
      </c>
      <c r="K60" s="72">
        <v>0</v>
      </c>
      <c r="L60" s="72">
        <v>0</v>
      </c>
      <c r="M60" s="72">
        <v>0</v>
      </c>
      <c r="N60" s="131">
        <v>0</v>
      </c>
      <c r="O60" s="112">
        <f>V60*$O$2*1000</f>
        <v>13969.7664</v>
      </c>
      <c r="P60" s="73">
        <f>F60+J60+N60</f>
        <v>23800</v>
      </c>
      <c r="Q60" s="74">
        <f>P60/1000</f>
        <v>23.8</v>
      </c>
      <c r="R60" s="74">
        <f>MAX(P60,O60)</f>
        <v>23800</v>
      </c>
      <c r="S60" s="75">
        <f>VLOOKUP(A60,'[2]BOM FG Files'!$A:$F,6,FALSE)</f>
        <v>23701.178654297259</v>
      </c>
      <c r="T60" s="76">
        <f>S60-P60</f>
        <v>-98.821345702741382</v>
      </c>
      <c r="U60" s="106">
        <f>T60/S60</f>
        <v>-4.1694696767674922E-3</v>
      </c>
      <c r="V60" s="66">
        <f>(((C60*D60*E60)+(G60*H60*I60)+(K60*L60*M60))/1000000)*35.32</f>
        <v>2.3282944000000003</v>
      </c>
      <c r="W60" s="67">
        <f>Q60/V60</f>
        <v>10.222075009071016</v>
      </c>
      <c r="X60" s="58" t="str">
        <f>VLOOKUP(A60,'[1]MTP SKUs - Master Data'!$A:$B,2,FALSE)</f>
        <v>Y</v>
      </c>
    </row>
    <row r="61" spans="1:24">
      <c r="A61" s="58" t="s">
        <v>62</v>
      </c>
      <c r="B61" s="3" t="s">
        <v>48</v>
      </c>
      <c r="C61" s="104">
        <v>126</v>
      </c>
      <c r="D61" s="72">
        <v>29</v>
      </c>
      <c r="E61" s="72">
        <v>6</v>
      </c>
      <c r="F61" s="135">
        <v>8100</v>
      </c>
      <c r="G61" s="72">
        <v>0</v>
      </c>
      <c r="H61" s="72">
        <v>0</v>
      </c>
      <c r="I61" s="72">
        <v>0</v>
      </c>
      <c r="J61" s="131">
        <v>0</v>
      </c>
      <c r="K61" s="72">
        <v>0</v>
      </c>
      <c r="L61" s="72">
        <v>0</v>
      </c>
      <c r="M61" s="72">
        <v>0</v>
      </c>
      <c r="N61" s="131">
        <v>0</v>
      </c>
      <c r="O61" s="112">
        <f>V61*$O$2*1000</f>
        <v>4646.1340799999998</v>
      </c>
      <c r="P61" s="73">
        <f>F61+J61+N61</f>
        <v>8100</v>
      </c>
      <c r="Q61" s="74">
        <f>P61/1000</f>
        <v>8.1</v>
      </c>
      <c r="R61" s="74">
        <f>MAX(P61,O61)</f>
        <v>8100</v>
      </c>
      <c r="S61" s="75">
        <f>VLOOKUP(A61,'[2]BOM FG Files'!$A:$F,6,FALSE)</f>
        <v>8100.0859949871974</v>
      </c>
      <c r="T61" s="76">
        <f>S61-P61</f>
        <v>8.59949871974095E-2</v>
      </c>
      <c r="U61" s="106">
        <f>T61/S61</f>
        <v>1.0616552373719017E-5</v>
      </c>
      <c r="V61" s="66">
        <f>(((C61*D61*E61)+(G61*H61*I61)+(K61*L61*M61))/1000000)*35.32</f>
        <v>0.77435567999999999</v>
      </c>
      <c r="W61" s="67">
        <f>Q61/V61</f>
        <v>10.460309402005032</v>
      </c>
      <c r="X61" s="58" t="str">
        <f>VLOOKUP(A61,'[1]MTP SKUs - Master Data'!$A:$B,2,FALSE)</f>
        <v>Y</v>
      </c>
    </row>
    <row r="62" spans="1:24">
      <c r="A62" s="58" t="s">
        <v>153</v>
      </c>
      <c r="B62" s="3" t="s">
        <v>48</v>
      </c>
      <c r="C62" s="104">
        <v>155</v>
      </c>
      <c r="D62" s="72">
        <v>41</v>
      </c>
      <c r="E62" s="72">
        <v>6</v>
      </c>
      <c r="F62" s="135">
        <v>17390</v>
      </c>
      <c r="G62" s="72">
        <v>0</v>
      </c>
      <c r="H62" s="72">
        <v>0</v>
      </c>
      <c r="I62" s="72">
        <v>0</v>
      </c>
      <c r="J62" s="131">
        <v>0</v>
      </c>
      <c r="K62" s="72">
        <v>0</v>
      </c>
      <c r="L62" s="72">
        <v>0</v>
      </c>
      <c r="M62" s="72">
        <v>0</v>
      </c>
      <c r="N62" s="131">
        <v>0</v>
      </c>
      <c r="O62" s="112">
        <f>V62*$O$2*1000</f>
        <v>8080.5095999999994</v>
      </c>
      <c r="P62" s="73">
        <f>F62+J62+N62</f>
        <v>17390</v>
      </c>
      <c r="Q62" s="74">
        <f>P62/1000</f>
        <v>17.39</v>
      </c>
      <c r="R62" s="74">
        <f>MAX(P62,O62)</f>
        <v>17390</v>
      </c>
      <c r="S62" s="75">
        <f>VLOOKUP(A62,'[2]BOM FG Files'!$A:$F,6,FALSE)</f>
        <v>17403.866615750041</v>
      </c>
      <c r="T62" s="76">
        <f>S62-P62</f>
        <v>13.866615750041092</v>
      </c>
      <c r="U62" s="106">
        <f>T62/S62</f>
        <v>7.9675488534784386E-4</v>
      </c>
      <c r="V62" s="66">
        <f>(((C62*D62*E62)+(G62*H62*I62)+(K62*L62*M62))/1000000)*35.32</f>
        <v>1.3467515999999999</v>
      </c>
      <c r="W62" s="67">
        <f>Q62/V62</f>
        <v>12.912551950931412</v>
      </c>
      <c r="X62" s="58" t="str">
        <f>VLOOKUP(A62,'[1]MTP SKUs - Master Data'!$A:$B,2,FALSE)</f>
        <v>Y</v>
      </c>
    </row>
    <row r="63" spans="1:24">
      <c r="A63" s="79" t="s">
        <v>189</v>
      </c>
      <c r="B63" s="2"/>
      <c r="C63" s="104">
        <v>156</v>
      </c>
      <c r="D63" s="72">
        <v>31</v>
      </c>
      <c r="E63" s="72">
        <v>10</v>
      </c>
      <c r="F63" s="135">
        <v>23340</v>
      </c>
      <c r="G63" s="72">
        <v>0</v>
      </c>
      <c r="H63" s="72">
        <v>0</v>
      </c>
      <c r="I63" s="72">
        <v>0</v>
      </c>
      <c r="J63" s="131">
        <v>0</v>
      </c>
      <c r="K63" s="72">
        <v>0</v>
      </c>
      <c r="L63" s="72">
        <v>0</v>
      </c>
      <c r="M63" s="72">
        <v>0</v>
      </c>
      <c r="N63" s="131">
        <v>0</v>
      </c>
      <c r="O63" s="112">
        <f>V63*$O$2*1000</f>
        <v>10248.451200000001</v>
      </c>
      <c r="P63" s="73">
        <f>F63+J63+N63</f>
        <v>23340</v>
      </c>
      <c r="Q63" s="74">
        <f>P63/1000</f>
        <v>23.34</v>
      </c>
      <c r="R63" s="74">
        <f>MAX(P63,O63)</f>
        <v>23340</v>
      </c>
      <c r="S63" s="75">
        <f>VLOOKUP(A63,'[2]BOM FG Files'!$A:$F,6,FALSE)</f>
        <v>23388.640576871476</v>
      </c>
      <c r="T63" s="76">
        <f>S63-P63</f>
        <v>48.640576871475787</v>
      </c>
      <c r="U63" s="106">
        <f>T63/S63</f>
        <v>2.0796666959590378E-3</v>
      </c>
      <c r="V63" s="66">
        <f>(((C63*D63*E63)+(G63*H63*I63)+(K63*L63*M63))/1000000)*35.32</f>
        <v>1.7080752000000001</v>
      </c>
      <c r="W63" s="67">
        <f>Q63/V63</f>
        <v>13.664503764237077</v>
      </c>
      <c r="X63" s="58" t="str">
        <f>VLOOKUP(A63,'[1]MTP SKUs - Master Data'!$A:$B,2,FALSE)</f>
        <v>Y</v>
      </c>
    </row>
    <row r="64" spans="1:24">
      <c r="A64" s="58" t="s">
        <v>195</v>
      </c>
      <c r="B64" s="3" t="s">
        <v>74</v>
      </c>
      <c r="C64" s="104">
        <v>229</v>
      </c>
      <c r="D64" s="72">
        <v>44</v>
      </c>
      <c r="E64" s="72">
        <v>9</v>
      </c>
      <c r="F64" s="135">
        <v>47910</v>
      </c>
      <c r="G64" s="72">
        <v>147</v>
      </c>
      <c r="H64" s="72">
        <v>27</v>
      </c>
      <c r="I64" s="72">
        <v>10</v>
      </c>
      <c r="J64" s="131">
        <v>21820</v>
      </c>
      <c r="K64" s="72">
        <v>157</v>
      </c>
      <c r="L64" s="72">
        <v>27</v>
      </c>
      <c r="M64" s="72">
        <v>8</v>
      </c>
      <c r="N64" s="131">
        <v>17080</v>
      </c>
      <c r="O64" s="112">
        <f>V64*$O$2*1000</f>
        <v>34815.489119999998</v>
      </c>
      <c r="P64" s="73">
        <f>F64+J64+N64</f>
        <v>86810</v>
      </c>
      <c r="Q64" s="74">
        <f>P64/1000</f>
        <v>86.81</v>
      </c>
      <c r="R64" s="74">
        <f>MAX(P64,O64)</f>
        <v>86810</v>
      </c>
      <c r="S64" s="75">
        <f>VLOOKUP(A64,'[2]BOM FG Files'!$A:$F,6,FALSE)</f>
        <v>87025.406202289771</v>
      </c>
      <c r="T64" s="76">
        <f>S64-P64</f>
        <v>215.40620228977059</v>
      </c>
      <c r="U64" s="106">
        <f>T64/S64</f>
        <v>2.4752105355194875E-3</v>
      </c>
      <c r="V64" s="66">
        <f>(((C64*D64*E64)+(G64*H64*I64)+(K64*L64*M64))/1000000)*35.32</f>
        <v>5.8025815199999995</v>
      </c>
      <c r="W64" s="67">
        <f>Q64/V64</f>
        <v>14.960582578769184</v>
      </c>
      <c r="X64" s="58" t="str">
        <f>VLOOKUP(A64,'[1]MTP SKUs - Master Data'!$A:$B,2,FALSE)</f>
        <v>Y</v>
      </c>
    </row>
    <row r="65" spans="1:24">
      <c r="A65" s="79" t="s">
        <v>98</v>
      </c>
      <c r="B65" s="2"/>
      <c r="C65" s="104">
        <v>196</v>
      </c>
      <c r="D65" s="72">
        <v>40</v>
      </c>
      <c r="E65" s="72">
        <v>19</v>
      </c>
      <c r="F65" s="135">
        <v>32650</v>
      </c>
      <c r="G65" s="72">
        <v>142</v>
      </c>
      <c r="H65" s="72">
        <v>24</v>
      </c>
      <c r="I65" s="72">
        <v>10</v>
      </c>
      <c r="J65" s="131">
        <v>17500</v>
      </c>
      <c r="K65" s="72">
        <v>0</v>
      </c>
      <c r="L65" s="72">
        <v>0</v>
      </c>
      <c r="M65" s="72">
        <v>0</v>
      </c>
      <c r="N65" s="131">
        <v>0</v>
      </c>
      <c r="O65" s="112">
        <f>V65*$O$2*1000</f>
        <v>38789.836800000005</v>
      </c>
      <c r="P65" s="73">
        <f>F65+J65+N65</f>
        <v>50150</v>
      </c>
      <c r="Q65" s="74">
        <f>P65/1000</f>
        <v>50.15</v>
      </c>
      <c r="R65" s="74">
        <f>MAX(P65,O65)</f>
        <v>50150</v>
      </c>
      <c r="S65" s="75">
        <f>VLOOKUP(A65,'[2]BOM FG Files'!$A:$F,6,FALSE)</f>
        <v>51329.309283696872</v>
      </c>
      <c r="T65" s="76">
        <f>S65-P65</f>
        <v>1179.3092836968717</v>
      </c>
      <c r="U65" s="106">
        <f>T65/S65</f>
        <v>2.2975358526233704E-2</v>
      </c>
      <c r="V65" s="66">
        <f>(((C65*D65*E65)+(G65*H65*I65)+(K65*L65*M65))/1000000)*35.32</f>
        <v>6.4649728</v>
      </c>
      <c r="W65" s="67">
        <f>Q65/V65</f>
        <v>7.7571865422233488</v>
      </c>
      <c r="X65" s="58" t="str">
        <f>VLOOKUP(A65,'[1]MTP SKUs - Master Data'!$A:$B,2,FALSE)</f>
        <v>Y</v>
      </c>
    </row>
    <row r="66" spans="1:24">
      <c r="A66" s="58" t="s">
        <v>194</v>
      </c>
      <c r="B66" s="3" t="s">
        <v>48</v>
      </c>
      <c r="C66" s="104">
        <v>86</v>
      </c>
      <c r="D66" s="72">
        <v>54</v>
      </c>
      <c r="E66" s="72">
        <v>10</v>
      </c>
      <c r="F66" s="135">
        <v>26300</v>
      </c>
      <c r="G66" s="72">
        <v>0</v>
      </c>
      <c r="H66" s="72">
        <v>0</v>
      </c>
      <c r="I66" s="72">
        <v>0</v>
      </c>
      <c r="J66" s="131">
        <v>0</v>
      </c>
      <c r="K66" s="72">
        <v>0</v>
      </c>
      <c r="L66" s="72">
        <v>0</v>
      </c>
      <c r="M66" s="72">
        <v>0</v>
      </c>
      <c r="N66" s="131">
        <v>0</v>
      </c>
      <c r="O66" s="112">
        <f>V66*$O$2*1000</f>
        <v>9841.5648000000001</v>
      </c>
      <c r="P66" s="73">
        <f>F66+J66+N66</f>
        <v>26300</v>
      </c>
      <c r="Q66" s="74">
        <f>P66/1000</f>
        <v>26.3</v>
      </c>
      <c r="R66" s="74">
        <f>MAX(P66,O66)</f>
        <v>26300</v>
      </c>
      <c r="S66" s="75">
        <f>VLOOKUP(A66,'[2]BOM FG Files'!$A:$F,6,FALSE)</f>
        <v>26409.479793642848</v>
      </c>
      <c r="T66" s="76">
        <f>S66-P66</f>
        <v>109.47979364284765</v>
      </c>
      <c r="U66" s="106">
        <f>T66/S66</f>
        <v>4.1454733110343608E-3</v>
      </c>
      <c r="V66" s="66">
        <f>(((C66*D66*E66)+(G66*H66*I66)+(K66*L66*M66))/1000000)*35.32</f>
        <v>1.6402608000000001</v>
      </c>
      <c r="W66" s="67">
        <f>Q66/V66</f>
        <v>16.034035563125084</v>
      </c>
      <c r="X66" s="58" t="str">
        <f>VLOOKUP(A66,'[1]MTP SKUs - Master Data'!$A:$B,2,FALSE)</f>
        <v>Y</v>
      </c>
    </row>
    <row r="67" spans="1:24">
      <c r="A67" s="58" t="s">
        <v>216</v>
      </c>
      <c r="B67" s="3" t="s">
        <v>48</v>
      </c>
      <c r="C67" s="104">
        <v>165</v>
      </c>
      <c r="D67" s="72">
        <v>29</v>
      </c>
      <c r="E67" s="72">
        <v>7</v>
      </c>
      <c r="F67" s="135">
        <v>17900</v>
      </c>
      <c r="G67" s="72">
        <v>0</v>
      </c>
      <c r="H67" s="72">
        <v>0</v>
      </c>
      <c r="I67" s="72">
        <v>0</v>
      </c>
      <c r="J67" s="131">
        <v>0</v>
      </c>
      <c r="K67" s="72">
        <v>0</v>
      </c>
      <c r="L67" s="72">
        <v>0</v>
      </c>
      <c r="M67" s="72">
        <v>0</v>
      </c>
      <c r="N67" s="131">
        <v>0</v>
      </c>
      <c r="O67" s="112">
        <f>V67*$O$2*1000</f>
        <v>7098.2603999999992</v>
      </c>
      <c r="P67" s="73">
        <f>F67+J67+N67</f>
        <v>17900</v>
      </c>
      <c r="Q67" s="74">
        <f>P67/1000</f>
        <v>17.899999999999999</v>
      </c>
      <c r="R67" s="74">
        <f>MAX(P67,O67)</f>
        <v>17900</v>
      </c>
      <c r="S67" s="75">
        <f>VLOOKUP(A67,'[2]BOM FG Files'!$A:$F,6,FALSE)</f>
        <v>17977.771867582156</v>
      </c>
      <c r="T67" s="76">
        <f>S67-P67</f>
        <v>77.771867582156119</v>
      </c>
      <c r="U67" s="106">
        <f>T67/S67</f>
        <v>4.3260014730966611E-3</v>
      </c>
      <c r="V67" s="66">
        <f>(((C67*D67*E67)+(G67*H67*I67)+(K67*L67*M67))/1000000)*35.32</f>
        <v>1.1830433999999999</v>
      </c>
      <c r="W67" s="67">
        <f>Q67/V67</f>
        <v>15.130467741082027</v>
      </c>
      <c r="X67" s="58" t="str">
        <f>VLOOKUP(A67,'[1]MTP SKUs - Master Data'!$A:$B,2,FALSE)</f>
        <v>Y</v>
      </c>
    </row>
    <row r="68" spans="1:24">
      <c r="A68" s="58" t="s">
        <v>260</v>
      </c>
      <c r="B68" s="3" t="s">
        <v>48</v>
      </c>
      <c r="C68" s="104">
        <v>81</v>
      </c>
      <c r="D68" s="72">
        <v>42</v>
      </c>
      <c r="E68" s="72">
        <v>14</v>
      </c>
      <c r="F68" s="135">
        <v>18350</v>
      </c>
      <c r="G68" s="72">
        <v>0</v>
      </c>
      <c r="H68" s="72">
        <v>0</v>
      </c>
      <c r="I68" s="72">
        <v>0</v>
      </c>
      <c r="J68" s="131">
        <v>0</v>
      </c>
      <c r="K68" s="72">
        <v>0</v>
      </c>
      <c r="L68" s="72">
        <v>0</v>
      </c>
      <c r="M68" s="72">
        <v>0</v>
      </c>
      <c r="N68" s="131">
        <v>0</v>
      </c>
      <c r="O68" s="112">
        <f>V68*$O$2*1000</f>
        <v>10093.32576</v>
      </c>
      <c r="P68" s="73">
        <f>F68+J68+N68</f>
        <v>18350</v>
      </c>
      <c r="Q68" s="74">
        <f>P68/1000</f>
        <v>18.350000000000001</v>
      </c>
      <c r="R68" s="74">
        <f>MAX(P68,O68)</f>
        <v>18350</v>
      </c>
      <c r="S68" s="75">
        <f>VLOOKUP(A68,'[2]BOM FG Files'!$A:$F,6,FALSE)</f>
        <v>18436.233701246969</v>
      </c>
      <c r="T68" s="76">
        <f>S68-P68</f>
        <v>86.233701246968849</v>
      </c>
      <c r="U68" s="106">
        <f>T68/S68</f>
        <v>4.6774033484472633E-3</v>
      </c>
      <c r="V68" s="66">
        <f>(((C68*D68*E68)+(G68*H68*I68)+(K68*L68*M68))/1000000)*35.32</f>
        <v>1.68222096</v>
      </c>
      <c r="W68" s="67">
        <f>Q68/V68</f>
        <v>10.908198409321924</v>
      </c>
      <c r="X68" s="58" t="str">
        <f>VLOOKUP(A68,'[1]MTP SKUs - Master Data'!$A:$B,2,FALSE)</f>
        <v>Y</v>
      </c>
    </row>
    <row r="69" spans="1:24">
      <c r="A69" s="58" t="s">
        <v>233</v>
      </c>
      <c r="B69" s="3" t="s">
        <v>48</v>
      </c>
      <c r="C69" s="104">
        <v>67</v>
      </c>
      <c r="D69" s="72">
        <v>35</v>
      </c>
      <c r="E69" s="72">
        <v>6</v>
      </c>
      <c r="F69" s="135">
        <v>5500</v>
      </c>
      <c r="G69" s="72">
        <v>0</v>
      </c>
      <c r="H69" s="72">
        <v>0</v>
      </c>
      <c r="I69" s="72">
        <v>0</v>
      </c>
      <c r="J69" s="131">
        <v>0</v>
      </c>
      <c r="K69" s="72">
        <v>0</v>
      </c>
      <c r="L69" s="72">
        <v>0</v>
      </c>
      <c r="M69" s="72">
        <v>0</v>
      </c>
      <c r="N69" s="131">
        <v>0</v>
      </c>
      <c r="O69" s="112">
        <f>V69*$O$2*1000</f>
        <v>2981.7143999999994</v>
      </c>
      <c r="P69" s="73">
        <f>F69+J69+N69</f>
        <v>5500</v>
      </c>
      <c r="Q69" s="74">
        <f>P69/1000</f>
        <v>5.5</v>
      </c>
      <c r="R69" s="74">
        <f>MAX(P69,O69)</f>
        <v>5500</v>
      </c>
      <c r="S69" s="75">
        <f>VLOOKUP(A69,'[2]BOM FG Files'!$A:$F,6,FALSE)</f>
        <v>5525.9951852930735</v>
      </c>
      <c r="T69" s="76">
        <f>S69-P69</f>
        <v>25.995185293073519</v>
      </c>
      <c r="U69" s="106">
        <f>T69/S69</f>
        <v>4.7041635798484418E-3</v>
      </c>
      <c r="V69" s="66">
        <f>(((C69*D69*E69)+(G69*H69*I69)+(K69*L69*M69))/1000000)*35.32</f>
        <v>0.49695239999999996</v>
      </c>
      <c r="W69" s="67">
        <f>Q69/V69</f>
        <v>11.067458372270664</v>
      </c>
      <c r="X69" s="58" t="str">
        <f>VLOOKUP(A69,'[1]MTP SKUs - Master Data'!$A:$B,2,FALSE)</f>
        <v>Y</v>
      </c>
    </row>
    <row r="70" spans="1:24" ht="13.5" customHeight="1">
      <c r="A70" s="58" t="s">
        <v>147</v>
      </c>
      <c r="B70" s="3" t="s">
        <v>48</v>
      </c>
      <c r="C70" s="104">
        <v>49</v>
      </c>
      <c r="D70" s="72">
        <v>43</v>
      </c>
      <c r="E70" s="72">
        <v>12</v>
      </c>
      <c r="F70" s="135">
        <v>10350</v>
      </c>
      <c r="G70" s="72">
        <v>0</v>
      </c>
      <c r="H70" s="72">
        <v>0</v>
      </c>
      <c r="I70" s="72">
        <v>0</v>
      </c>
      <c r="J70" s="131">
        <v>0</v>
      </c>
      <c r="K70" s="72">
        <v>0</v>
      </c>
      <c r="L70" s="72">
        <v>0</v>
      </c>
      <c r="M70" s="72">
        <v>0</v>
      </c>
      <c r="N70" s="131">
        <v>0</v>
      </c>
      <c r="O70" s="112">
        <f>V70*$O$2*1000</f>
        <v>5358.1852800000006</v>
      </c>
      <c r="P70" s="73">
        <f>F70+J70+N70</f>
        <v>10350</v>
      </c>
      <c r="Q70" s="74">
        <f>P70/1000</f>
        <v>10.35</v>
      </c>
      <c r="R70" s="74">
        <f>MAX(P70,O70)</f>
        <v>10350</v>
      </c>
      <c r="S70" s="75">
        <f>VLOOKUP(A70,'[2]BOM FG Files'!$A:$F,6,FALSE)</f>
        <v>10400.57520519844</v>
      </c>
      <c r="T70" s="76">
        <f>S70-P70</f>
        <v>50.575205198440017</v>
      </c>
      <c r="U70" s="106">
        <f>T70/S70</f>
        <v>4.8627315509589698E-3</v>
      </c>
      <c r="V70" s="66">
        <f>(((C70*D70*E70)+(G70*H70*I70)+(K70*L70*M70))/1000000)*35.32</f>
        <v>0.89303088000000008</v>
      </c>
      <c r="W70" s="67">
        <f>Q70/V70</f>
        <v>11.589744802553748</v>
      </c>
      <c r="X70" s="58" t="str">
        <f>VLOOKUP(A70,'[1]MTP SKUs - Master Data'!$A:$B,2,FALSE)</f>
        <v>Y</v>
      </c>
    </row>
    <row r="71" spans="1:24">
      <c r="A71" s="79" t="s">
        <v>167</v>
      </c>
      <c r="B71" s="2"/>
      <c r="C71" s="104">
        <v>118</v>
      </c>
      <c r="D71" s="72">
        <v>37</v>
      </c>
      <c r="E71" s="72">
        <v>14</v>
      </c>
      <c r="F71" s="135">
        <v>27640</v>
      </c>
      <c r="G71" s="72">
        <v>0</v>
      </c>
      <c r="H71" s="72">
        <v>0</v>
      </c>
      <c r="I71" s="72">
        <v>0</v>
      </c>
      <c r="J71" s="131">
        <v>0</v>
      </c>
      <c r="K71" s="72">
        <v>0</v>
      </c>
      <c r="L71" s="72">
        <v>0</v>
      </c>
      <c r="M71" s="72">
        <v>0</v>
      </c>
      <c r="N71" s="131">
        <v>0</v>
      </c>
      <c r="O71" s="112">
        <f>V71*$O$2*1000</f>
        <v>12953.398079999999</v>
      </c>
      <c r="P71" s="73">
        <f>F71+J71+N71</f>
        <v>27640</v>
      </c>
      <c r="Q71" s="74">
        <f>P71/1000</f>
        <v>27.64</v>
      </c>
      <c r="R71" s="74">
        <f>MAX(P71,O71)</f>
        <v>27640</v>
      </c>
      <c r="S71" s="75">
        <f>VLOOKUP(A71,'[2]BOM FG Files'!$A:$F,6,FALSE)</f>
        <v>27778.486695798907</v>
      </c>
      <c r="T71" s="76">
        <f>S71-P71</f>
        <v>138.48669579890702</v>
      </c>
      <c r="U71" s="106">
        <f>T71/S71</f>
        <v>4.9853938162819763E-3</v>
      </c>
      <c r="V71" s="66">
        <f>(((C71*D71*E71)+(G71*H71*I71)+(K71*L71*M71))/1000000)*35.32</f>
        <v>2.1588996799999998</v>
      </c>
      <c r="W71" s="67">
        <f>Q71/V71</f>
        <v>12.802818146695914</v>
      </c>
      <c r="X71" s="58" t="str">
        <f>VLOOKUP(A71,'[1]MTP SKUs - Master Data'!$A:$B,2,FALSE)</f>
        <v>Y</v>
      </c>
    </row>
    <row r="72" spans="1:24">
      <c r="A72" s="58" t="s">
        <v>122</v>
      </c>
      <c r="B72" s="3" t="s">
        <v>48</v>
      </c>
      <c r="C72" s="104">
        <v>137</v>
      </c>
      <c r="D72" s="72">
        <v>34</v>
      </c>
      <c r="E72" s="72">
        <v>10</v>
      </c>
      <c r="F72" s="135">
        <v>31470</v>
      </c>
      <c r="G72" s="72">
        <v>0</v>
      </c>
      <c r="H72" s="72">
        <v>0</v>
      </c>
      <c r="I72" s="72">
        <v>0</v>
      </c>
      <c r="J72" s="131">
        <v>0</v>
      </c>
      <c r="K72" s="72">
        <v>0</v>
      </c>
      <c r="L72" s="72">
        <v>0</v>
      </c>
      <c r="M72" s="72">
        <v>0</v>
      </c>
      <c r="N72" s="131">
        <v>0</v>
      </c>
      <c r="O72" s="112">
        <f>V72*$O$2*1000</f>
        <v>9871.2335999999996</v>
      </c>
      <c r="P72" s="73">
        <f>F72+J72+N72</f>
        <v>31470</v>
      </c>
      <c r="Q72" s="74">
        <f>P72/1000</f>
        <v>31.47</v>
      </c>
      <c r="R72" s="74">
        <f>MAX(P72,O72)</f>
        <v>31470</v>
      </c>
      <c r="S72" s="75">
        <f>VLOOKUP(A72,'[2]BOM FG Files'!$A:$F,6,FALSE)</f>
        <v>31644.495466324057</v>
      </c>
      <c r="T72" s="76">
        <f>S72-P72</f>
        <v>174.49546632405691</v>
      </c>
      <c r="U72" s="106">
        <f>T72/S72</f>
        <v>5.5142439072777844E-3</v>
      </c>
      <c r="V72" s="66">
        <f>(((C72*D72*E72)+(G72*H72*I72)+(K72*L72*M72))/1000000)*35.32</f>
        <v>1.6452056000000002</v>
      </c>
      <c r="W72" s="67">
        <f>Q72/V72</f>
        <v>19.128308340307129</v>
      </c>
      <c r="X72" s="58" t="str">
        <f>VLOOKUP(A72,'[1]MTP SKUs - Master Data'!$A:$B,2,FALSE)</f>
        <v>Y</v>
      </c>
    </row>
    <row r="73" spans="1:24">
      <c r="A73" s="58" t="s">
        <v>204</v>
      </c>
      <c r="B73" s="3" t="s">
        <v>48</v>
      </c>
      <c r="C73" s="104">
        <v>129</v>
      </c>
      <c r="D73" s="72">
        <v>41</v>
      </c>
      <c r="E73" s="72">
        <v>8</v>
      </c>
      <c r="F73" s="135">
        <v>17830</v>
      </c>
      <c r="G73" s="72">
        <v>0</v>
      </c>
      <c r="H73" s="72">
        <v>0</v>
      </c>
      <c r="I73" s="72">
        <v>0</v>
      </c>
      <c r="J73" s="131">
        <v>0</v>
      </c>
      <c r="K73" s="72">
        <v>0</v>
      </c>
      <c r="L73" s="72">
        <v>0</v>
      </c>
      <c r="M73" s="72">
        <v>0</v>
      </c>
      <c r="N73" s="131">
        <v>0</v>
      </c>
      <c r="O73" s="112">
        <f>V73*$O$2*1000</f>
        <v>8966.7590400000008</v>
      </c>
      <c r="P73" s="73">
        <f>F73+J73+N73</f>
        <v>17830</v>
      </c>
      <c r="Q73" s="74">
        <f>P73/1000</f>
        <v>17.829999999999998</v>
      </c>
      <c r="R73" s="74">
        <f>MAX(P73,O73)</f>
        <v>17830</v>
      </c>
      <c r="S73" s="75">
        <f>VLOOKUP(A73,'[2]BOM FG Files'!$A:$F,6,FALSE)</f>
        <v>17942.921826484497</v>
      </c>
      <c r="T73" s="76">
        <f>S73-P73</f>
        <v>112.92182648449671</v>
      </c>
      <c r="U73" s="106">
        <f>T73/S73</f>
        <v>6.2933912088843531E-3</v>
      </c>
      <c r="V73" s="66">
        <f>(((C73*D73*E73)+(G73*H73*I73)+(K73*L73*M73))/1000000)*35.32</f>
        <v>1.4944598400000002</v>
      </c>
      <c r="W73" s="67">
        <f>Q73/V73</f>
        <v>11.930732109870544</v>
      </c>
      <c r="X73" s="58" t="str">
        <f>VLOOKUP(A73,'[1]MTP SKUs - Master Data'!$A:$B,2,FALSE)</f>
        <v>Y</v>
      </c>
    </row>
    <row r="74" spans="1:24" ht="12.4" customHeight="1">
      <c r="A74" s="58" t="s">
        <v>239</v>
      </c>
      <c r="B74" s="3" t="s">
        <v>48</v>
      </c>
      <c r="C74" s="104">
        <v>157</v>
      </c>
      <c r="D74" s="72">
        <v>35</v>
      </c>
      <c r="E74" s="72">
        <v>10</v>
      </c>
      <c r="F74" s="135">
        <v>22700</v>
      </c>
      <c r="G74" s="72">
        <v>0</v>
      </c>
      <c r="H74" s="72">
        <v>0</v>
      </c>
      <c r="I74" s="72">
        <v>0</v>
      </c>
      <c r="J74" s="131">
        <v>0</v>
      </c>
      <c r="K74" s="72">
        <v>0</v>
      </c>
      <c r="L74" s="72">
        <v>0</v>
      </c>
      <c r="M74" s="72">
        <v>0</v>
      </c>
      <c r="N74" s="131">
        <v>0</v>
      </c>
      <c r="O74" s="112">
        <f>V74*$O$2*1000</f>
        <v>11645.004000000001</v>
      </c>
      <c r="P74" s="73">
        <f>F74+J74+N74</f>
        <v>22700</v>
      </c>
      <c r="Q74" s="74">
        <f>P74/1000</f>
        <v>22.7</v>
      </c>
      <c r="R74" s="74">
        <f>MAX(P74,O74)</f>
        <v>22700</v>
      </c>
      <c r="S74" s="75">
        <f>VLOOKUP(A74,'[2]BOM FG Files'!$A:$F,6,FALSE)</f>
        <v>22846.763638450302</v>
      </c>
      <c r="T74" s="76">
        <f>S74-P74</f>
        <v>146.7636384503021</v>
      </c>
      <c r="U74" s="106">
        <f>T74/S74</f>
        <v>6.4238261826854125E-3</v>
      </c>
      <c r="V74" s="66">
        <f>(((C74*D74*E74)+(G74*H74*I74)+(K74*L74*M74))/1000000)*35.32</f>
        <v>1.9408339999999999</v>
      </c>
      <c r="W74" s="67">
        <f>Q74/V74</f>
        <v>11.696002852382017</v>
      </c>
      <c r="X74" s="58" t="str">
        <f>VLOOKUP(A74,'[1]MTP SKUs - Master Data'!$A:$B,2,FALSE)</f>
        <v>Y</v>
      </c>
    </row>
    <row r="75" spans="1:24">
      <c r="A75" s="58" t="s">
        <v>265</v>
      </c>
      <c r="B75" s="3" t="s">
        <v>48</v>
      </c>
      <c r="C75" s="104">
        <v>143</v>
      </c>
      <c r="D75" s="72">
        <v>33</v>
      </c>
      <c r="E75" s="72">
        <v>4</v>
      </c>
      <c r="F75" s="135">
        <v>7920</v>
      </c>
      <c r="G75" s="72">
        <v>0</v>
      </c>
      <c r="H75" s="72">
        <v>0</v>
      </c>
      <c r="I75" s="72">
        <v>0</v>
      </c>
      <c r="J75" s="131">
        <v>0</v>
      </c>
      <c r="K75" s="72">
        <v>0</v>
      </c>
      <c r="L75" s="72">
        <v>0</v>
      </c>
      <c r="M75" s="72">
        <v>0</v>
      </c>
      <c r="N75" s="131">
        <v>0</v>
      </c>
      <c r="O75" s="112">
        <f>V75*$O$2*1000</f>
        <v>4000.2019200000004</v>
      </c>
      <c r="P75" s="73">
        <f>F75+J75+N75</f>
        <v>7920</v>
      </c>
      <c r="Q75" s="74">
        <f>P75/1000</f>
        <v>7.92</v>
      </c>
      <c r="R75" s="74">
        <f>MAX(P75,O75)</f>
        <v>7920</v>
      </c>
      <c r="S75" s="75">
        <f>VLOOKUP(A75,'[2]BOM FG Files'!$A:$F,6,FALSE)</f>
        <v>7950.7273259739013</v>
      </c>
      <c r="T75" s="76">
        <f>S75-P75</f>
        <v>30.727325973901316</v>
      </c>
      <c r="U75" s="106">
        <f>T75/S75</f>
        <v>3.8647188759095646E-3</v>
      </c>
      <c r="V75" s="66">
        <f>(((C75*D75*E75)+(G75*H75*I75)+(K75*L75*M75))/1000000)*35.32</f>
        <v>0.66670032000000001</v>
      </c>
      <c r="W75" s="67">
        <f>Q75/V75</f>
        <v>11.87940032787145</v>
      </c>
      <c r="X75" s="58" t="str">
        <f>VLOOKUP(A75,'[1]MTP SKUs - Master Data'!$A:$B,2,FALSE)</f>
        <v>Y</v>
      </c>
    </row>
    <row r="76" spans="1:24">
      <c r="A76" s="58" t="s">
        <v>140</v>
      </c>
      <c r="B76" s="3" t="s">
        <v>48</v>
      </c>
      <c r="C76" s="104">
        <v>157</v>
      </c>
      <c r="D76" s="72">
        <v>41</v>
      </c>
      <c r="E76" s="72">
        <v>9</v>
      </c>
      <c r="F76" s="135">
        <v>27550</v>
      </c>
      <c r="G76" s="72">
        <v>0</v>
      </c>
      <c r="H76" s="72">
        <v>0</v>
      </c>
      <c r="I76" s="72">
        <v>0</v>
      </c>
      <c r="J76" s="131">
        <v>0</v>
      </c>
      <c r="K76" s="72">
        <v>0</v>
      </c>
      <c r="L76" s="72">
        <v>0</v>
      </c>
      <c r="M76" s="72">
        <v>0</v>
      </c>
      <c r="N76" s="131">
        <v>0</v>
      </c>
      <c r="O76" s="112">
        <f>V76*$O$2*1000</f>
        <v>12277.161359999998</v>
      </c>
      <c r="P76" s="73">
        <f>F76+J76+N76</f>
        <v>27550</v>
      </c>
      <c r="Q76" s="74">
        <f>P76/1000</f>
        <v>27.55</v>
      </c>
      <c r="R76" s="74">
        <f>MAX(P76,O76)</f>
        <v>27550</v>
      </c>
      <c r="S76" s="75">
        <f>VLOOKUP(A76,'[2]BOM FG Files'!$A:$F,6,FALSE)</f>
        <v>27754.628781184456</v>
      </c>
      <c r="T76" s="76">
        <f>S76-P76</f>
        <v>204.62878118445587</v>
      </c>
      <c r="U76" s="106">
        <f>T76/S76</f>
        <v>7.3727803314443448E-3</v>
      </c>
      <c r="V76" s="66">
        <f>(((C76*D76*E76)+(G76*H76*I76)+(K76*L76*M76))/1000000)*35.32</f>
        <v>2.0461935599999999</v>
      </c>
      <c r="W76" s="67">
        <f>Q76/V76</f>
        <v>13.464024390732616</v>
      </c>
      <c r="X76" s="58" t="str">
        <f>VLOOKUP(A76,'[1]MTP SKUs - Master Data'!$A:$B,2,FALSE)</f>
        <v>Y</v>
      </c>
    </row>
    <row r="77" spans="1:24">
      <c r="A77" s="58" t="s">
        <v>102</v>
      </c>
      <c r="B77" s="3" t="s">
        <v>48</v>
      </c>
      <c r="C77" s="104">
        <v>128</v>
      </c>
      <c r="D77" s="72">
        <v>65</v>
      </c>
      <c r="E77" s="72">
        <v>8</v>
      </c>
      <c r="F77" s="135">
        <v>29300</v>
      </c>
      <c r="G77" s="72">
        <v>0</v>
      </c>
      <c r="H77" s="72">
        <v>0</v>
      </c>
      <c r="I77" s="72">
        <v>0</v>
      </c>
      <c r="J77" s="131">
        <v>0</v>
      </c>
      <c r="K77" s="72">
        <v>0</v>
      </c>
      <c r="L77" s="72">
        <v>0</v>
      </c>
      <c r="M77" s="72">
        <v>0</v>
      </c>
      <c r="N77" s="131">
        <v>0</v>
      </c>
      <c r="O77" s="112">
        <f>V77*$O$2*1000</f>
        <v>14105.395199999999</v>
      </c>
      <c r="P77" s="73">
        <f>F77+J77+N77</f>
        <v>29300</v>
      </c>
      <c r="Q77" s="74">
        <f>P77/1000</f>
        <v>29.3</v>
      </c>
      <c r="R77" s="74">
        <f>MAX(P77,O77)</f>
        <v>29300</v>
      </c>
      <c r="S77" s="75">
        <f>VLOOKUP(A77,'[2]BOM FG Files'!$A:$F,6,FALSE)</f>
        <v>29528.363034713435</v>
      </c>
      <c r="T77" s="76">
        <f>S77-P77</f>
        <v>228.3630347134349</v>
      </c>
      <c r="U77" s="106">
        <f>T77/S77</f>
        <v>7.7336842020322002E-3</v>
      </c>
      <c r="V77" s="66">
        <f>(((C77*D77*E77)+(G77*H77*I77)+(K77*L77*M77))/1000000)*35.32</f>
        <v>2.3508991999999997</v>
      </c>
      <c r="W77" s="67">
        <f>Q77/V77</f>
        <v>12.463316164300029</v>
      </c>
      <c r="X77" s="58" t="str">
        <f>VLOOKUP(A77,'[1]MTP SKUs - Master Data'!$A:$B,2,FALSE)</f>
        <v>Y</v>
      </c>
    </row>
    <row r="78" spans="1:24">
      <c r="A78" s="58" t="s">
        <v>85</v>
      </c>
      <c r="B78" s="3" t="s">
        <v>48</v>
      </c>
      <c r="C78" s="104">
        <v>79</v>
      </c>
      <c r="D78" s="72">
        <v>48</v>
      </c>
      <c r="E78" s="72">
        <v>23</v>
      </c>
      <c r="F78" s="135">
        <v>42170</v>
      </c>
      <c r="G78" s="72">
        <v>0</v>
      </c>
      <c r="H78" s="72">
        <v>0</v>
      </c>
      <c r="I78" s="72">
        <v>0</v>
      </c>
      <c r="J78" s="131">
        <v>0</v>
      </c>
      <c r="K78" s="72">
        <v>0</v>
      </c>
      <c r="L78" s="72">
        <v>0</v>
      </c>
      <c r="M78" s="72">
        <v>0</v>
      </c>
      <c r="N78" s="131">
        <v>0</v>
      </c>
      <c r="O78" s="112">
        <f>V78*$O$2*1000</f>
        <v>18482.814720000002</v>
      </c>
      <c r="P78" s="73">
        <f>F78+J78+N78</f>
        <v>42170</v>
      </c>
      <c r="Q78" s="74">
        <f>P78/1000</f>
        <v>42.17</v>
      </c>
      <c r="R78" s="74">
        <f>MAX(P78,O78)</f>
        <v>42170</v>
      </c>
      <c r="S78" s="75">
        <f>VLOOKUP(A78,'[2]BOM FG Files'!$A:$F,6,FALSE)</f>
        <v>42499.256150066321</v>
      </c>
      <c r="T78" s="76">
        <f>S78-P78</f>
        <v>329.25615006632142</v>
      </c>
      <c r="U78" s="106">
        <f>T78/S78</f>
        <v>7.7473391276239459E-3</v>
      </c>
      <c r="V78" s="66">
        <f>(((C78*D78*E78)+(G78*H78*I78)+(K78*L78*M78))/1000000)*35.32</f>
        <v>3.0804691200000001</v>
      </c>
      <c r="W78" s="67">
        <f>Q78/V78</f>
        <v>13.689473374756634</v>
      </c>
      <c r="X78" s="58" t="str">
        <f>VLOOKUP(A78,'[1]MTP SKUs - Master Data'!$A:$B,2,FALSE)</f>
        <v>Y</v>
      </c>
    </row>
    <row r="79" spans="1:24">
      <c r="A79" s="58" t="s">
        <v>251</v>
      </c>
      <c r="B79" s="3" t="s">
        <v>48</v>
      </c>
      <c r="C79" s="104">
        <v>163</v>
      </c>
      <c r="D79" s="72">
        <v>30</v>
      </c>
      <c r="E79" s="72">
        <v>9</v>
      </c>
      <c r="F79" s="135">
        <v>20510</v>
      </c>
      <c r="G79" s="72">
        <v>0</v>
      </c>
      <c r="H79" s="72">
        <v>0</v>
      </c>
      <c r="I79" s="72">
        <v>0</v>
      </c>
      <c r="J79" s="131">
        <v>0</v>
      </c>
      <c r="K79" s="72">
        <v>0</v>
      </c>
      <c r="L79" s="72">
        <v>0</v>
      </c>
      <c r="M79" s="72">
        <v>0</v>
      </c>
      <c r="N79" s="131">
        <v>0</v>
      </c>
      <c r="O79" s="112">
        <f>V79*$O$2*1000</f>
        <v>9326.5992000000006</v>
      </c>
      <c r="P79" s="73">
        <f>F79+J79+N79</f>
        <v>20510</v>
      </c>
      <c r="Q79" s="74">
        <f>P79/1000</f>
        <v>20.51</v>
      </c>
      <c r="R79" s="74">
        <f>MAX(P79,O79)</f>
        <v>20510</v>
      </c>
      <c r="S79" s="75">
        <f>VLOOKUP(A79,'[2]BOM FG Files'!$A:$F,6,FALSE)</f>
        <v>20682.330410438262</v>
      </c>
      <c r="T79" s="76">
        <f>S79-P79</f>
        <v>172.33041043826233</v>
      </c>
      <c r="U79" s="106">
        <f>T79/S79</f>
        <v>8.332253040077538E-3</v>
      </c>
      <c r="V79" s="66">
        <f>(((C79*D79*E79)+(G79*H79*I79)+(K79*L79*M79))/1000000)*35.32</f>
        <v>1.5544332000000001</v>
      </c>
      <c r="W79" s="67">
        <f>Q79/V79</f>
        <v>13.194520034698179</v>
      </c>
      <c r="X79" s="58" t="str">
        <f>VLOOKUP(A79,'[1]MTP SKUs - Master Data'!$A:$B,2,FALSE)</f>
        <v>Y</v>
      </c>
    </row>
    <row r="80" spans="1:24">
      <c r="A80" s="58" t="s">
        <v>121</v>
      </c>
      <c r="B80" s="3" t="s">
        <v>48</v>
      </c>
      <c r="C80" s="104">
        <v>136</v>
      </c>
      <c r="D80" s="72">
        <v>70</v>
      </c>
      <c r="E80" s="72">
        <v>9</v>
      </c>
      <c r="F80" s="135">
        <v>40570</v>
      </c>
      <c r="G80" s="72">
        <v>0</v>
      </c>
      <c r="H80" s="72">
        <v>0</v>
      </c>
      <c r="I80" s="72">
        <v>0</v>
      </c>
      <c r="J80" s="131">
        <v>0</v>
      </c>
      <c r="K80" s="72">
        <v>0</v>
      </c>
      <c r="L80" s="72">
        <v>0</v>
      </c>
      <c r="M80" s="72">
        <v>0</v>
      </c>
      <c r="N80" s="131">
        <v>0</v>
      </c>
      <c r="O80" s="112">
        <f>V80*$O$2*1000</f>
        <v>18157.3056</v>
      </c>
      <c r="P80" s="73">
        <f>F80+J80+N80</f>
        <v>40570</v>
      </c>
      <c r="Q80" s="74">
        <f>P80/1000</f>
        <v>40.57</v>
      </c>
      <c r="R80" s="74">
        <f>MAX(P80,O80)</f>
        <v>40570</v>
      </c>
      <c r="S80" s="75">
        <f>VLOOKUP(A80,'[2]BOM FG Files'!$A:$F,6,FALSE)</f>
        <v>40911.71233916434</v>
      </c>
      <c r="T80" s="76">
        <f>S80-P80</f>
        <v>341.71233916433994</v>
      </c>
      <c r="U80" s="106">
        <f>T80/S80</f>
        <v>8.3524330717690935E-3</v>
      </c>
      <c r="V80" s="66">
        <f>(((C80*D80*E80)+(G80*H80*I80)+(K80*L80*M80))/1000000)*35.32</f>
        <v>3.0262176000000003</v>
      </c>
      <c r="W80" s="67">
        <f>Q80/V80</f>
        <v>13.406174096667733</v>
      </c>
      <c r="X80" s="58" t="str">
        <f>VLOOKUP(A80,'[1]MTP SKUs - Master Data'!$A:$B,2,FALSE)</f>
        <v>Y</v>
      </c>
    </row>
    <row r="81" spans="1:27">
      <c r="A81" s="58" t="s">
        <v>203</v>
      </c>
      <c r="B81" s="3" t="s">
        <v>74</v>
      </c>
      <c r="C81" s="104">
        <v>188</v>
      </c>
      <c r="D81" s="72">
        <v>42</v>
      </c>
      <c r="E81" s="72">
        <v>8</v>
      </c>
      <c r="F81" s="135">
        <v>30950</v>
      </c>
      <c r="G81" s="72">
        <v>97</v>
      </c>
      <c r="H81" s="72">
        <v>82</v>
      </c>
      <c r="I81" s="72">
        <v>4</v>
      </c>
      <c r="J81" s="131">
        <v>15130</v>
      </c>
      <c r="K81" s="72">
        <v>0</v>
      </c>
      <c r="L81" s="72">
        <v>0</v>
      </c>
      <c r="M81" s="72">
        <v>0</v>
      </c>
      <c r="N81" s="131">
        <v>0</v>
      </c>
      <c r="O81" s="112">
        <f>V81*$O$2*1000</f>
        <v>20129.009279999998</v>
      </c>
      <c r="P81" s="73">
        <f>F81+J81+N81</f>
        <v>46080</v>
      </c>
      <c r="Q81" s="74">
        <f>P81/1000</f>
        <v>46.08</v>
      </c>
      <c r="R81" s="74">
        <f>MAX(P81,O81)</f>
        <v>46080</v>
      </c>
      <c r="S81" s="75">
        <f>VLOOKUP(A81,'[2]BOM FG Files'!$A:$F,6,FALSE)</f>
        <v>46023.570286771734</v>
      </c>
      <c r="T81" s="76">
        <f>S81-P81</f>
        <v>-56.429713228266337</v>
      </c>
      <c r="U81" s="106">
        <f>T81/S81</f>
        <v>-1.2261046432654873E-3</v>
      </c>
      <c r="V81" s="66">
        <f>(((C81*D81*E81)+(G81*H81*I81)+(K81*L81*M81))/1000000)*35.32</f>
        <v>3.3548348799999999</v>
      </c>
      <c r="W81" s="67">
        <f>Q81/V81</f>
        <v>13.735400294872337</v>
      </c>
      <c r="X81" s="58" t="str">
        <f>VLOOKUP(A81,'[1]MTP SKUs - Master Data'!$A:$B,2,FALSE)</f>
        <v>Y</v>
      </c>
      <c r="Y81" s="38"/>
      <c r="Z81" s="38"/>
      <c r="AA81" s="38"/>
    </row>
    <row r="82" spans="1:27">
      <c r="A82" s="58" t="s">
        <v>115</v>
      </c>
      <c r="B82" s="3" t="s">
        <v>48</v>
      </c>
      <c r="C82" s="104">
        <v>121</v>
      </c>
      <c r="D82" s="72">
        <v>50</v>
      </c>
      <c r="E82" s="72">
        <v>18</v>
      </c>
      <c r="F82" s="135">
        <v>45720</v>
      </c>
      <c r="G82" s="72">
        <v>0</v>
      </c>
      <c r="H82" s="72">
        <v>0</v>
      </c>
      <c r="I82" s="72">
        <v>0</v>
      </c>
      <c r="J82" s="131">
        <v>0</v>
      </c>
      <c r="K82" s="72">
        <v>0</v>
      </c>
      <c r="L82" s="72">
        <v>0</v>
      </c>
      <c r="M82" s="72">
        <v>0</v>
      </c>
      <c r="N82" s="131">
        <v>0</v>
      </c>
      <c r="O82" s="112">
        <f>V82*$O$2*1000</f>
        <v>23078.088</v>
      </c>
      <c r="P82" s="73">
        <f>F82+J82+N82</f>
        <v>45720</v>
      </c>
      <c r="Q82" s="74">
        <f>P82/1000</f>
        <v>45.72</v>
      </c>
      <c r="R82" s="74">
        <f>MAX(P82,O82)</f>
        <v>45720</v>
      </c>
      <c r="S82" s="75">
        <f>VLOOKUP(A82,'[2]BOM FG Files'!$A:$F,6,FALSE)</f>
        <v>46155.170596347329</v>
      </c>
      <c r="T82" s="76">
        <f>S82-P82</f>
        <v>435.17059634732868</v>
      </c>
      <c r="U82" s="106">
        <f>T82/S82</f>
        <v>9.4284256936917835E-3</v>
      </c>
      <c r="V82" s="66">
        <f>(((C82*D82*E82)+(G82*H82*I82)+(K82*L82*M82))/1000000)*35.32</f>
        <v>3.8463479999999999</v>
      </c>
      <c r="W82" s="67">
        <f>Q82/V82</f>
        <v>11.886599964433795</v>
      </c>
      <c r="X82" s="58" t="str">
        <f>VLOOKUP(A82,'[1]MTP SKUs - Master Data'!$A:$B,2,FALSE)</f>
        <v>Y</v>
      </c>
    </row>
    <row r="83" spans="1:27" ht="12.4" customHeight="1">
      <c r="A83" s="58" t="s">
        <v>279</v>
      </c>
      <c r="B83" s="3" t="s">
        <v>48</v>
      </c>
      <c r="C83" s="104">
        <v>143</v>
      </c>
      <c r="D83" s="72">
        <v>20</v>
      </c>
      <c r="E83" s="72">
        <v>7</v>
      </c>
      <c r="F83" s="135">
        <v>8200</v>
      </c>
      <c r="G83" s="72">
        <v>0</v>
      </c>
      <c r="H83" s="72">
        <v>0</v>
      </c>
      <c r="I83" s="72">
        <v>0</v>
      </c>
      <c r="J83" s="131">
        <v>0</v>
      </c>
      <c r="K83" s="72">
        <v>0</v>
      </c>
      <c r="L83" s="72">
        <v>0</v>
      </c>
      <c r="M83" s="72">
        <v>0</v>
      </c>
      <c r="N83" s="131">
        <v>0</v>
      </c>
      <c r="O83" s="112">
        <f>V83*$O$2*1000</f>
        <v>4242.6384000000007</v>
      </c>
      <c r="P83" s="73">
        <f>F83+J83+N83</f>
        <v>8200</v>
      </c>
      <c r="Q83" s="74">
        <f>P83/1000</f>
        <v>8.1999999999999993</v>
      </c>
      <c r="R83" s="74">
        <f>MAX(P83,O83)</f>
        <v>8200</v>
      </c>
      <c r="S83" s="75">
        <f>VLOOKUP(A83,'[2]BOM FG Files'!$A:$F,6,FALSE)</f>
        <v>8276.8758710431102</v>
      </c>
      <c r="T83" s="76">
        <f>S83-P83</f>
        <v>76.875871043110237</v>
      </c>
      <c r="U83" s="106">
        <f>T83/S83</f>
        <v>9.2880299573010021E-3</v>
      </c>
      <c r="V83" s="66">
        <f>(((C83*D83*E83)+(G83*H83*I83)+(K83*L83*M83))/1000000)*35.32</f>
        <v>0.70710640000000002</v>
      </c>
      <c r="W83" s="67">
        <f>Q83/V83</f>
        <v>11.596557462922128</v>
      </c>
      <c r="X83" s="58" t="str">
        <f>VLOOKUP(A83,'[1]MTP SKUs - Master Data'!$A:$B,2,FALSE)</f>
        <v>Y</v>
      </c>
    </row>
    <row r="84" spans="1:27" ht="14.45" customHeight="1">
      <c r="A84" s="58" t="s">
        <v>94</v>
      </c>
      <c r="B84" s="3" t="s">
        <v>74</v>
      </c>
      <c r="C84" s="104">
        <v>127</v>
      </c>
      <c r="D84" s="72">
        <v>53</v>
      </c>
      <c r="E84" s="72">
        <v>9</v>
      </c>
      <c r="F84" s="135">
        <v>29170</v>
      </c>
      <c r="G84" s="72">
        <v>180</v>
      </c>
      <c r="H84" s="72">
        <v>47</v>
      </c>
      <c r="I84" s="72">
        <v>11</v>
      </c>
      <c r="J84" s="131">
        <v>39000</v>
      </c>
      <c r="K84" s="72">
        <v>187</v>
      </c>
      <c r="L84" s="72">
        <v>51</v>
      </c>
      <c r="M84" s="72">
        <v>10</v>
      </c>
      <c r="N84" s="131">
        <v>37600</v>
      </c>
      <c r="O84" s="112">
        <f>V84*$O$2*1000</f>
        <v>52769.987280000001</v>
      </c>
      <c r="P84" s="73">
        <f>F84+J84+N84</f>
        <v>105770</v>
      </c>
      <c r="Q84" s="74">
        <f>P84/1000</f>
        <v>105.77</v>
      </c>
      <c r="R84" s="74">
        <f>MAX(P84,O84)</f>
        <v>105770</v>
      </c>
      <c r="S84" s="75">
        <f>VLOOKUP(A84,'[2]BOM FG Files'!$A:$F,6,FALSE)</f>
        <v>106670.30138409865</v>
      </c>
      <c r="T84" s="76">
        <f>S84-P84</f>
        <v>900.30138409865322</v>
      </c>
      <c r="U84" s="106">
        <f>T84/S84</f>
        <v>8.4400378776173703E-3</v>
      </c>
      <c r="V84" s="66">
        <f>(((C84*D84*E84)+(G84*H84*I84)+(K84*L84*M84))/1000000)*35.32</f>
        <v>8.7949978800000004</v>
      </c>
      <c r="W84" s="67">
        <f>Q84/V84</f>
        <v>12.026154121142323</v>
      </c>
      <c r="X84" s="58" t="str">
        <f>VLOOKUP(A84,'[1]MTP SKUs - Master Data'!$A:$B,2,FALSE)</f>
        <v>Y</v>
      </c>
    </row>
    <row r="85" spans="1:27">
      <c r="A85" s="58" t="s">
        <v>57</v>
      </c>
      <c r="B85" s="3" t="s">
        <v>48</v>
      </c>
      <c r="C85" s="104">
        <v>27</v>
      </c>
      <c r="D85" s="72">
        <v>20</v>
      </c>
      <c r="E85" s="72">
        <v>6</v>
      </c>
      <c r="F85" s="135">
        <v>810</v>
      </c>
      <c r="G85" s="72">
        <v>0</v>
      </c>
      <c r="H85" s="72">
        <v>0</v>
      </c>
      <c r="I85" s="72">
        <v>0</v>
      </c>
      <c r="J85" s="131">
        <v>0</v>
      </c>
      <c r="K85" s="72">
        <v>0</v>
      </c>
      <c r="L85" s="72">
        <v>0</v>
      </c>
      <c r="M85" s="72">
        <v>0</v>
      </c>
      <c r="N85" s="131">
        <v>0</v>
      </c>
      <c r="O85" s="112">
        <f>V85*$O$2*1000</f>
        <v>686.62079999999992</v>
      </c>
      <c r="P85" s="73">
        <f>F85+J85+N85</f>
        <v>810</v>
      </c>
      <c r="Q85" s="74">
        <f>P85/1000</f>
        <v>0.81</v>
      </c>
      <c r="R85" s="74">
        <f>MAX(P85,O85)</f>
        <v>810</v>
      </c>
      <c r="S85" s="75">
        <f>VLOOKUP(A85,'[2]BOM FG Files'!$A:$F,6,FALSE)</f>
        <v>817.80676456210892</v>
      </c>
      <c r="T85" s="76">
        <f>S85-P85</f>
        <v>7.8067645621089241</v>
      </c>
      <c r="U85" s="106">
        <f>T85/S85</f>
        <v>9.5459769965207143E-3</v>
      </c>
      <c r="V85" s="66">
        <f>(((C85*D85*E85)+(G85*H85*I85)+(K85*L85*M85))/1000000)*35.32</f>
        <v>0.11443679999999999</v>
      </c>
      <c r="W85" s="67">
        <f>Q85/V85</f>
        <v>7.078142695356739</v>
      </c>
      <c r="X85" s="58" t="str">
        <f>VLOOKUP(A85,'[1]MTP SKUs - Master Data'!$A:$B,2,FALSE)</f>
        <v>Y</v>
      </c>
    </row>
    <row r="86" spans="1:27">
      <c r="A86" s="58" t="s">
        <v>228</v>
      </c>
      <c r="B86" s="3" t="s">
        <v>48</v>
      </c>
      <c r="C86" s="104">
        <v>96</v>
      </c>
      <c r="D86" s="72">
        <v>45</v>
      </c>
      <c r="E86" s="72">
        <v>8</v>
      </c>
      <c r="F86" s="135">
        <v>12000</v>
      </c>
      <c r="G86" s="72">
        <v>0</v>
      </c>
      <c r="H86" s="72">
        <v>0</v>
      </c>
      <c r="I86" s="72">
        <v>0</v>
      </c>
      <c r="J86" s="131">
        <v>0</v>
      </c>
      <c r="K86" s="72">
        <v>0</v>
      </c>
      <c r="L86" s="72">
        <v>0</v>
      </c>
      <c r="M86" s="72">
        <v>0</v>
      </c>
      <c r="N86" s="131">
        <v>0</v>
      </c>
      <c r="O86" s="112">
        <f>V86*$O$2*1000</f>
        <v>7323.9552000000003</v>
      </c>
      <c r="P86" s="73">
        <f>F86+J86+N86</f>
        <v>12000</v>
      </c>
      <c r="Q86" s="74">
        <f>P86/1000</f>
        <v>12</v>
      </c>
      <c r="R86" s="74">
        <f>MAX(P86,O86)</f>
        <v>12000</v>
      </c>
      <c r="S86" s="75">
        <f>VLOOKUP(A86,'[2]BOM FG Files'!$A:$F,6,FALSE)</f>
        <v>12116.921702081152</v>
      </c>
      <c r="T86" s="76">
        <f>S86-P86</f>
        <v>116.92170208115203</v>
      </c>
      <c r="U86" s="106">
        <f>T86/S86</f>
        <v>9.6494559390501011E-3</v>
      </c>
      <c r="V86" s="66">
        <f>(((C86*D86*E86)+(G86*H86*I86)+(K86*L86*M86))/1000000)*35.32</f>
        <v>1.2206592000000001</v>
      </c>
      <c r="W86" s="67">
        <f>Q86/V86</f>
        <v>9.8307537435510248</v>
      </c>
      <c r="X86" s="58" t="str">
        <f>VLOOKUP(A86,'[1]MTP SKUs - Master Data'!$A:$B,2,FALSE)</f>
        <v>Y</v>
      </c>
    </row>
    <row r="87" spans="1:27" ht="14.45" customHeight="1">
      <c r="A87" s="58" t="s">
        <v>126</v>
      </c>
      <c r="B87" s="3" t="s">
        <v>48</v>
      </c>
      <c r="C87" s="104">
        <v>97</v>
      </c>
      <c r="D87" s="72">
        <v>40</v>
      </c>
      <c r="E87" s="72">
        <v>18</v>
      </c>
      <c r="F87" s="135">
        <v>31640</v>
      </c>
      <c r="G87" s="72">
        <v>0</v>
      </c>
      <c r="H87" s="72">
        <v>0</v>
      </c>
      <c r="I87" s="72">
        <v>0</v>
      </c>
      <c r="J87" s="131">
        <v>0</v>
      </c>
      <c r="K87" s="72">
        <v>0</v>
      </c>
      <c r="L87" s="72">
        <v>0</v>
      </c>
      <c r="M87" s="72">
        <v>0</v>
      </c>
      <c r="N87" s="131">
        <v>0</v>
      </c>
      <c r="O87" s="112">
        <f>V87*$O$2*1000</f>
        <v>14800.4928</v>
      </c>
      <c r="P87" s="73">
        <f>F87+J87+N87</f>
        <v>31640</v>
      </c>
      <c r="Q87" s="74">
        <f>P87/1000</f>
        <v>31.64</v>
      </c>
      <c r="R87" s="74">
        <f>MAX(P87,O87)</f>
        <v>31640</v>
      </c>
      <c r="S87" s="75">
        <f>VLOOKUP(A87,'[2]BOM FG Files'!$A:$F,6,FALSE)</f>
        <v>31950.548465537806</v>
      </c>
      <c r="T87" s="76">
        <f>S87-P87</f>
        <v>310.5484655378059</v>
      </c>
      <c r="U87" s="106">
        <f>T87/S87</f>
        <v>9.7196599261125897E-3</v>
      </c>
      <c r="V87" s="66">
        <f>(((C87*D87*E87)+(G87*H87*I87)+(K87*L87*M87))/1000000)*35.32</f>
        <v>2.4667488</v>
      </c>
      <c r="W87" s="67">
        <f>Q87/V87</f>
        <v>12.826599935915647</v>
      </c>
      <c r="X87" s="58" t="str">
        <f>VLOOKUP(A87,'[1]MTP SKUs - Master Data'!$A:$B,2,FALSE)</f>
        <v>Y</v>
      </c>
    </row>
    <row r="88" spans="1:27">
      <c r="A88" s="58" t="s">
        <v>109</v>
      </c>
      <c r="B88" s="3" t="s">
        <v>74</v>
      </c>
      <c r="C88" s="104">
        <v>122</v>
      </c>
      <c r="D88" s="72">
        <v>51</v>
      </c>
      <c r="E88" s="72">
        <v>12</v>
      </c>
      <c r="F88" s="135">
        <v>34650</v>
      </c>
      <c r="G88" s="72">
        <v>184</v>
      </c>
      <c r="H88" s="72">
        <v>53</v>
      </c>
      <c r="I88" s="72">
        <v>10</v>
      </c>
      <c r="J88" s="131">
        <v>43310</v>
      </c>
      <c r="K88" s="72">
        <v>0</v>
      </c>
      <c r="L88" s="72">
        <v>0</v>
      </c>
      <c r="M88" s="72">
        <v>0</v>
      </c>
      <c r="N88" s="131">
        <v>0</v>
      </c>
      <c r="O88" s="112">
        <f>V88*$O$2*1000</f>
        <v>36489.23328</v>
      </c>
      <c r="P88" s="73">
        <f>F88+J88+N88</f>
        <v>77960</v>
      </c>
      <c r="Q88" s="74">
        <f>P88/1000</f>
        <v>77.959999999999994</v>
      </c>
      <c r="R88" s="74">
        <f>MAX(P88,O88)</f>
        <v>77960</v>
      </c>
      <c r="S88" s="75">
        <f>VLOOKUP(A88,'[2]BOM FG Files'!$A:$F,6,FALSE)</f>
        <v>78624.004785316094</v>
      </c>
      <c r="T88" s="76">
        <f>S88-P88</f>
        <v>664.00478531609406</v>
      </c>
      <c r="U88" s="106">
        <f>T88/S88</f>
        <v>8.4453187945484082E-3</v>
      </c>
      <c r="V88" s="66">
        <f>(((C88*D88*E88)+(G88*H88*I88)+(K88*L88*M88))/1000000)*35.32</f>
        <v>6.0815388800000001</v>
      </c>
      <c r="W88" s="67">
        <f>Q88/V88</f>
        <v>12.819123833341338</v>
      </c>
      <c r="X88" s="58" t="str">
        <f>VLOOKUP(A88,'[1]MTP SKUs - Master Data'!$A:$B,2,FALSE)</f>
        <v>Y</v>
      </c>
    </row>
    <row r="89" spans="1:27" ht="14.45" customHeight="1">
      <c r="A89" s="58" t="s">
        <v>113</v>
      </c>
      <c r="B89" s="3" t="s">
        <v>48</v>
      </c>
      <c r="C89" s="104">
        <v>167</v>
      </c>
      <c r="D89" s="72">
        <v>35</v>
      </c>
      <c r="E89" s="72">
        <v>10</v>
      </c>
      <c r="F89" s="135">
        <v>29370</v>
      </c>
      <c r="G89" s="72">
        <v>0</v>
      </c>
      <c r="H89" s="72">
        <v>0</v>
      </c>
      <c r="I89" s="72">
        <v>0</v>
      </c>
      <c r="J89" s="131">
        <v>0</v>
      </c>
      <c r="K89" s="72">
        <v>0</v>
      </c>
      <c r="L89" s="72">
        <v>0</v>
      </c>
      <c r="M89" s="72">
        <v>0</v>
      </c>
      <c r="N89" s="131">
        <v>0</v>
      </c>
      <c r="O89" s="112">
        <f>V89*$O$2*1000</f>
        <v>12386.724</v>
      </c>
      <c r="P89" s="73">
        <f>F89+J89+N89</f>
        <v>29370</v>
      </c>
      <c r="Q89" s="74">
        <f>P89/1000</f>
        <v>29.37</v>
      </c>
      <c r="R89" s="74">
        <f>MAX(P89,O89)</f>
        <v>29370</v>
      </c>
      <c r="S89" s="75">
        <f>VLOOKUP(A89,'[2]BOM FG Files'!$A:$F,6,FALSE)</f>
        <v>29660.781685663194</v>
      </c>
      <c r="T89" s="76">
        <f>S89-P89</f>
        <v>290.78168566319437</v>
      </c>
      <c r="U89" s="106">
        <f>T89/S89</f>
        <v>9.8035745903401559E-3</v>
      </c>
      <c r="V89" s="66">
        <f>(((C89*D89*E89)+(G89*H89*I89)+(K89*L89*M89))/1000000)*35.32</f>
        <v>2.064454</v>
      </c>
      <c r="W89" s="67">
        <f>Q89/V89</f>
        <v>14.226521879392809</v>
      </c>
      <c r="X89" s="58" t="str">
        <f>VLOOKUP(A89,'[1]MTP SKUs - Master Data'!$A:$B,2,FALSE)</f>
        <v>Y</v>
      </c>
    </row>
    <row r="90" spans="1:27" ht="14.45" customHeight="1">
      <c r="A90" s="58" t="s">
        <v>208</v>
      </c>
      <c r="B90" s="3" t="s">
        <v>48</v>
      </c>
      <c r="C90" s="104">
        <v>46</v>
      </c>
      <c r="D90" s="72">
        <v>45</v>
      </c>
      <c r="E90" s="72">
        <v>8</v>
      </c>
      <c r="F90" s="135">
        <v>7700</v>
      </c>
      <c r="G90" s="72">
        <v>0</v>
      </c>
      <c r="H90" s="72">
        <v>0</v>
      </c>
      <c r="I90" s="72">
        <v>0</v>
      </c>
      <c r="J90" s="131">
        <v>0</v>
      </c>
      <c r="K90" s="72">
        <v>0</v>
      </c>
      <c r="L90" s="72">
        <v>0</v>
      </c>
      <c r="M90" s="72">
        <v>0</v>
      </c>
      <c r="N90" s="131">
        <v>0</v>
      </c>
      <c r="O90" s="112">
        <f>V90*$O$2*1000</f>
        <v>3509.3951999999999</v>
      </c>
      <c r="P90" s="73">
        <f>F90+J90+N90</f>
        <v>7700</v>
      </c>
      <c r="Q90" s="74">
        <f>P90/1000</f>
        <v>7.7</v>
      </c>
      <c r="R90" s="74">
        <f>MAX(P90,O90)</f>
        <v>7700</v>
      </c>
      <c r="S90" s="75">
        <f>VLOOKUP(A90,'[2]BOM FG Files'!$A:$F,6,FALSE)</f>
        <v>7783.6251304826264</v>
      </c>
      <c r="T90" s="76">
        <f>S90-P90</f>
        <v>83.625130482626446</v>
      </c>
      <c r="U90" s="106">
        <f>T90/S90</f>
        <v>1.074372533116086E-2</v>
      </c>
      <c r="V90" s="66">
        <f>(((C90*D90*E90)+(G90*H90*I90)+(K90*L90*M90))/1000000)*35.32</f>
        <v>0.58489919999999995</v>
      </c>
      <c r="W90" s="67">
        <f>Q90/V90</f>
        <v>13.164661534842244</v>
      </c>
      <c r="X90" s="58" t="str">
        <f>VLOOKUP(A90,'[1]MTP SKUs - Master Data'!$A:$B,2,FALSE)</f>
        <v>Y</v>
      </c>
    </row>
    <row r="91" spans="1:27" ht="14.45" customHeight="1">
      <c r="A91" s="79" t="s">
        <v>267</v>
      </c>
      <c r="B91" s="2"/>
      <c r="C91" s="104">
        <v>117</v>
      </c>
      <c r="D91" s="72">
        <v>29</v>
      </c>
      <c r="E91" s="72">
        <v>6</v>
      </c>
      <c r="F91" s="135">
        <v>6700</v>
      </c>
      <c r="G91" s="72">
        <v>0</v>
      </c>
      <c r="H91" s="72">
        <v>0</v>
      </c>
      <c r="I91" s="72">
        <v>0</v>
      </c>
      <c r="J91" s="131">
        <v>0</v>
      </c>
      <c r="K91" s="72">
        <v>0</v>
      </c>
      <c r="L91" s="72">
        <v>0</v>
      </c>
      <c r="M91" s="72">
        <v>0</v>
      </c>
      <c r="N91" s="131">
        <v>0</v>
      </c>
      <c r="O91" s="112">
        <f>V91*$O$2*1000</f>
        <v>4314.2673600000007</v>
      </c>
      <c r="P91" s="73">
        <f>F91+J91+N91</f>
        <v>6700</v>
      </c>
      <c r="Q91" s="74">
        <f>P91/1000</f>
        <v>6.7</v>
      </c>
      <c r="R91" s="74">
        <f>MAX(P91,O91)</f>
        <v>6700</v>
      </c>
      <c r="S91" s="75">
        <f>VLOOKUP(A91,'[2]BOM FG Files'!$A:$F,6,FALSE)</f>
        <v>6773.1522147218602</v>
      </c>
      <c r="T91" s="76">
        <f>S91-P91</f>
        <v>73.152214721860219</v>
      </c>
      <c r="U91" s="106">
        <f>T91/S91</f>
        <v>1.0800320501119022E-2</v>
      </c>
      <c r="V91" s="66">
        <f>(((C91*D91*E91)+(G91*H91*I91)+(K91*L91*M91))/1000000)*35.32</f>
        <v>0.71904456000000005</v>
      </c>
      <c r="W91" s="67">
        <f>Q91/V91</f>
        <v>9.3179204359740933</v>
      </c>
      <c r="X91" s="58" t="str">
        <f>VLOOKUP(A91,'[1]MTP SKUs - Master Data'!$A:$B,2,FALSE)</f>
        <v>Y</v>
      </c>
    </row>
    <row r="92" spans="1:27" ht="14.45" customHeight="1">
      <c r="A92" s="70" t="s">
        <v>192</v>
      </c>
      <c r="B92" s="3" t="s">
        <v>48</v>
      </c>
      <c r="C92" s="104">
        <v>65</v>
      </c>
      <c r="D92" s="72">
        <v>26</v>
      </c>
      <c r="E92" s="72">
        <v>4</v>
      </c>
      <c r="F92" s="135">
        <v>2127</v>
      </c>
      <c r="G92" s="72">
        <v>0</v>
      </c>
      <c r="H92" s="72">
        <v>0</v>
      </c>
      <c r="I92" s="72">
        <v>0</v>
      </c>
      <c r="J92" s="131">
        <v>0</v>
      </c>
      <c r="K92" s="72">
        <v>0</v>
      </c>
      <c r="L92" s="72">
        <v>0</v>
      </c>
      <c r="M92" s="72">
        <v>0</v>
      </c>
      <c r="N92" s="131">
        <v>0</v>
      </c>
      <c r="O92" s="112">
        <f>V92*$O$2*1000</f>
        <v>1432.5792000000001</v>
      </c>
      <c r="P92" s="73">
        <f>F92+J92+N92</f>
        <v>2127</v>
      </c>
      <c r="Q92" s="74">
        <f>P92/1000</f>
        <v>2.1269999999999998</v>
      </c>
      <c r="R92" s="74">
        <f>MAX(P92,O92)</f>
        <v>2127</v>
      </c>
      <c r="S92" s="75">
        <f>VLOOKUP(A92,'[2]BOM FG Files'!$A:$F,6,FALSE)</f>
        <v>2231.4073846153847</v>
      </c>
      <c r="T92" s="76">
        <f>S92-P92</f>
        <v>104.40738461538467</v>
      </c>
      <c r="U92" s="106">
        <f>T92/S92</f>
        <v>4.6789925199329209E-2</v>
      </c>
      <c r="V92" s="66">
        <f>(((C92*D92*E92)+(G92*H92*I92)+(K92*L92*M92))/1000000)*35.32</f>
        <v>0.23876320000000001</v>
      </c>
      <c r="W92" s="67">
        <f>Q92/V92</f>
        <v>8.908407995872059</v>
      </c>
      <c r="X92" s="58" t="str">
        <f>VLOOKUP(A92,'[1]MTP SKUs - Master Data'!$A:$B,2,FALSE)</f>
        <v>Y</v>
      </c>
    </row>
    <row r="93" spans="1:27" ht="14.45" customHeight="1">
      <c r="A93" s="58" t="s">
        <v>129</v>
      </c>
      <c r="B93" s="3" t="s">
        <v>48</v>
      </c>
      <c r="C93" s="104">
        <v>76</v>
      </c>
      <c r="D93" s="72">
        <v>76</v>
      </c>
      <c r="E93" s="72">
        <v>4</v>
      </c>
      <c r="F93" s="135">
        <v>8350</v>
      </c>
      <c r="G93" s="72">
        <v>0</v>
      </c>
      <c r="H93" s="72">
        <v>0</v>
      </c>
      <c r="I93" s="72">
        <v>0</v>
      </c>
      <c r="J93" s="131">
        <v>0</v>
      </c>
      <c r="K93" s="72">
        <v>0</v>
      </c>
      <c r="L93" s="72">
        <v>0</v>
      </c>
      <c r="M93" s="72">
        <v>0</v>
      </c>
      <c r="N93" s="131">
        <v>0</v>
      </c>
      <c r="O93" s="112">
        <f>V93*$O$2*1000</f>
        <v>4896.1996799999997</v>
      </c>
      <c r="P93" s="73">
        <f>F93+J93+N93</f>
        <v>8350</v>
      </c>
      <c r="Q93" s="74">
        <f>P93/1000</f>
        <v>8.35</v>
      </c>
      <c r="R93" s="74">
        <f>MAX(P93,O93)</f>
        <v>8350</v>
      </c>
      <c r="S93" s="75">
        <f>VLOOKUP(A93,'[2]BOM FG Files'!$A:$F,6,FALSE)</f>
        <v>8442.8719166286392</v>
      </c>
      <c r="T93" s="76">
        <f>S93-P93</f>
        <v>92.871916628639156</v>
      </c>
      <c r="U93" s="106">
        <f>T93/S93</f>
        <v>1.1000038558647738E-2</v>
      </c>
      <c r="V93" s="66">
        <f>(((C93*D93*E93)+(G93*H93*I93)+(K93*L93*M93))/1000000)*35.32</f>
        <v>0.81603327999999997</v>
      </c>
      <c r="W93" s="67">
        <f>Q93/V93</f>
        <v>10.232425814790298</v>
      </c>
      <c r="X93" s="58" t="str">
        <f>VLOOKUP(A93,'[1]MTP SKUs - Master Data'!$A:$B,2,FALSE)</f>
        <v>DI</v>
      </c>
    </row>
    <row r="94" spans="1:27" ht="14.45" customHeight="1">
      <c r="A94" s="58" t="s">
        <v>188</v>
      </c>
      <c r="B94" s="3" t="s">
        <v>48</v>
      </c>
      <c r="C94" s="104">
        <v>132</v>
      </c>
      <c r="D94" s="72">
        <v>51</v>
      </c>
      <c r="E94" s="72">
        <v>10</v>
      </c>
      <c r="F94" s="135">
        <v>26650</v>
      </c>
      <c r="G94" s="72">
        <v>0</v>
      </c>
      <c r="H94" s="72">
        <v>0</v>
      </c>
      <c r="I94" s="72">
        <v>0</v>
      </c>
      <c r="J94" s="131">
        <v>0</v>
      </c>
      <c r="K94" s="72">
        <v>0</v>
      </c>
      <c r="L94" s="72">
        <v>0</v>
      </c>
      <c r="M94" s="72">
        <v>0</v>
      </c>
      <c r="N94" s="131">
        <v>0</v>
      </c>
      <c r="O94" s="112">
        <f>V94*$O$2*1000</f>
        <v>14266.454400000001</v>
      </c>
      <c r="P94" s="73">
        <f>F94+J94+N94</f>
        <v>26650</v>
      </c>
      <c r="Q94" s="74">
        <f>P94/1000</f>
        <v>26.65</v>
      </c>
      <c r="R94" s="74">
        <f>MAX(P94,O94)</f>
        <v>26650</v>
      </c>
      <c r="S94" s="75">
        <f>VLOOKUP(A94,'[2]BOM FG Files'!$A:$F,6,FALSE)</f>
        <v>26948.418262830968</v>
      </c>
      <c r="T94" s="76">
        <f>S94-P94</f>
        <v>298.41826283096816</v>
      </c>
      <c r="U94" s="106">
        <f>T94/S94</f>
        <v>1.1073683802903054E-2</v>
      </c>
      <c r="V94" s="66">
        <f>(((C94*D94*E94)+(G94*H94*I94)+(K94*L94*M94))/1000000)*35.32</f>
        <v>2.3777424000000003</v>
      </c>
      <c r="W94" s="67">
        <f>Q94/V94</f>
        <v>11.208110685160847</v>
      </c>
      <c r="X94" s="58" t="str">
        <f>VLOOKUP(A94,'[1]MTP SKUs - Master Data'!$A:$B,2,FALSE)</f>
        <v>Y</v>
      </c>
    </row>
    <row r="95" spans="1:27">
      <c r="A95" s="58" t="s">
        <v>273</v>
      </c>
      <c r="B95" s="3" t="s">
        <v>48</v>
      </c>
      <c r="C95" s="104">
        <v>94</v>
      </c>
      <c r="D95" s="72">
        <v>45</v>
      </c>
      <c r="E95" s="72">
        <v>8</v>
      </c>
      <c r="F95" s="135">
        <v>14000</v>
      </c>
      <c r="G95" s="72">
        <v>0</v>
      </c>
      <c r="H95" s="72">
        <v>0</v>
      </c>
      <c r="I95" s="72">
        <v>0</v>
      </c>
      <c r="J95" s="131">
        <v>0</v>
      </c>
      <c r="K95" s="72">
        <v>0</v>
      </c>
      <c r="L95" s="72">
        <v>0</v>
      </c>
      <c r="M95" s="72">
        <v>0</v>
      </c>
      <c r="N95" s="131">
        <v>0</v>
      </c>
      <c r="O95" s="112">
        <f>V95*$O$2*1000</f>
        <v>7171.3728000000001</v>
      </c>
      <c r="P95" s="73">
        <f>F95+J95+N95</f>
        <v>14000</v>
      </c>
      <c r="Q95" s="74">
        <f>P95/1000</f>
        <v>14</v>
      </c>
      <c r="R95" s="74">
        <f>MAX(P95,O95)</f>
        <v>14000</v>
      </c>
      <c r="S95" s="75">
        <f>VLOOKUP(A95,'[2]BOM FG Files'!$A:$F,6,FALSE)</f>
        <v>14299.475578946307</v>
      </c>
      <c r="T95" s="76">
        <f>S95-P95</f>
        <v>299.475578946307</v>
      </c>
      <c r="U95" s="106">
        <f>T95/S95</f>
        <v>2.0943116220796022E-2</v>
      </c>
      <c r="V95" s="66">
        <f>(((C95*D95*E95)+(G95*H95*I95)+(K95*L95*M95))/1000000)*35.32</f>
        <v>1.1952288</v>
      </c>
      <c r="W95" s="67">
        <f>Q95/V95</f>
        <v>11.713238502954413</v>
      </c>
      <c r="X95" s="58" t="str">
        <f>VLOOKUP(A95,'[1]MTP SKUs - Master Data'!$A:$B,2,FALSE)</f>
        <v>RL</v>
      </c>
    </row>
    <row r="96" spans="1:27">
      <c r="A96" s="23" t="s">
        <v>148</v>
      </c>
      <c r="B96" s="3" t="s">
        <v>74</v>
      </c>
      <c r="C96" s="104">
        <v>107</v>
      </c>
      <c r="D96" s="72">
        <v>42</v>
      </c>
      <c r="E96" s="72">
        <v>9</v>
      </c>
      <c r="F96" s="135">
        <v>18900</v>
      </c>
      <c r="G96" s="72">
        <v>139</v>
      </c>
      <c r="H96" s="72">
        <v>42</v>
      </c>
      <c r="I96" s="72">
        <v>9</v>
      </c>
      <c r="J96" s="131">
        <v>26350</v>
      </c>
      <c r="K96" s="72">
        <v>169</v>
      </c>
      <c r="L96" s="72">
        <v>36</v>
      </c>
      <c r="M96" s="72">
        <v>9</v>
      </c>
      <c r="N96" s="131">
        <v>32270</v>
      </c>
      <c r="O96" s="112">
        <f>V96*$O$2*1000</f>
        <v>31309.908479999998</v>
      </c>
      <c r="P96" s="73">
        <f>F96+J96+N96</f>
        <v>77520</v>
      </c>
      <c r="Q96" s="74">
        <f>P96/1000</f>
        <v>77.52</v>
      </c>
      <c r="R96" s="74">
        <f>MAX(P96,O96)</f>
        <v>77520</v>
      </c>
      <c r="S96" s="75">
        <f>VLOOKUP(A96,'[2]BOM FG Files'!$A:$F,6,FALSE)</f>
        <v>79564.692435569683</v>
      </c>
      <c r="T96" s="76">
        <f>S96-P96</f>
        <v>2044.6924355696829</v>
      </c>
      <c r="U96" s="106">
        <f>T96/S96</f>
        <v>2.5698489782078209E-2</v>
      </c>
      <c r="V96" s="66">
        <f>(((C96*D96*E96)+(G96*H96*I96)+(K96*L96*M96))/1000000)*35.32</f>
        <v>5.2183180799999995</v>
      </c>
      <c r="W96" s="67">
        <f>Q96/V96</f>
        <v>14.855361212477106</v>
      </c>
      <c r="X96" s="58" t="str">
        <f>VLOOKUP(A96,'[1]MTP SKUs - Master Data'!$A:$B,2,FALSE)</f>
        <v>Y</v>
      </c>
    </row>
    <row r="97" spans="1:24">
      <c r="A97" s="58" t="s">
        <v>133</v>
      </c>
      <c r="B97" s="3" t="s">
        <v>48</v>
      </c>
      <c r="C97" s="104">
        <v>142</v>
      </c>
      <c r="D97" s="72">
        <v>24</v>
      </c>
      <c r="E97" s="72">
        <v>10</v>
      </c>
      <c r="F97" s="135">
        <v>17500</v>
      </c>
      <c r="G97" s="72">
        <v>0</v>
      </c>
      <c r="H97" s="72">
        <v>0</v>
      </c>
      <c r="I97" s="72">
        <v>0</v>
      </c>
      <c r="J97" s="131">
        <v>0</v>
      </c>
      <c r="K97" s="72">
        <v>0</v>
      </c>
      <c r="L97" s="72">
        <v>0</v>
      </c>
      <c r="M97" s="72">
        <v>0</v>
      </c>
      <c r="N97" s="131">
        <v>0</v>
      </c>
      <c r="O97" s="112">
        <f>V97*$O$2*1000</f>
        <v>7222.2335999999996</v>
      </c>
      <c r="P97" s="73">
        <f>F97+J97+N97</f>
        <v>17500</v>
      </c>
      <c r="Q97" s="74">
        <f>P97/1000</f>
        <v>17.5</v>
      </c>
      <c r="R97" s="74">
        <f>MAX(P97,O97)</f>
        <v>17500</v>
      </c>
      <c r="S97" s="75">
        <f>VLOOKUP(A97,'[2]BOM FG Files'!$A:$F,6,FALSE)</f>
        <v>17701.080612022492</v>
      </c>
      <c r="T97" s="76">
        <f>S97-P97</f>
        <v>201.08061202249155</v>
      </c>
      <c r="U97" s="106">
        <f>T97/S97</f>
        <v>1.1359793022236084E-2</v>
      </c>
      <c r="V97" s="66">
        <f>(((C97*D97*E97)+(G97*H97*I97)+(K97*L97*M97))/1000000)*35.32</f>
        <v>1.2037055999999999</v>
      </c>
      <c r="W97" s="67">
        <f>Q97/V97</f>
        <v>14.538438634828982</v>
      </c>
      <c r="X97" s="58" t="str">
        <f>VLOOKUP(A97,'[1]MTP SKUs - Master Data'!$A:$B,2,FALSE)</f>
        <v>Y</v>
      </c>
    </row>
    <row r="98" spans="1:24" ht="14.45" customHeight="1">
      <c r="A98" s="58" t="s">
        <v>177</v>
      </c>
      <c r="B98" s="3" t="s">
        <v>48</v>
      </c>
      <c r="C98" s="104">
        <v>160</v>
      </c>
      <c r="D98" s="72">
        <v>28</v>
      </c>
      <c r="E98" s="72">
        <v>11</v>
      </c>
      <c r="F98" s="135">
        <v>25500</v>
      </c>
      <c r="G98" s="72">
        <v>0</v>
      </c>
      <c r="H98" s="72">
        <v>0</v>
      </c>
      <c r="I98" s="72">
        <v>0</v>
      </c>
      <c r="J98" s="131">
        <v>0</v>
      </c>
      <c r="K98" s="72">
        <v>0</v>
      </c>
      <c r="L98" s="72">
        <v>0</v>
      </c>
      <c r="M98" s="72">
        <v>0</v>
      </c>
      <c r="N98" s="131">
        <v>0</v>
      </c>
      <c r="O98" s="112">
        <f>V98*$O$2*1000</f>
        <v>10443.417600000001</v>
      </c>
      <c r="P98" s="73">
        <f>F98+J98+N98</f>
        <v>25500</v>
      </c>
      <c r="Q98" s="74">
        <f>P98/1000</f>
        <v>25.5</v>
      </c>
      <c r="R98" s="74">
        <f>MAX(P98,O98)</f>
        <v>25500</v>
      </c>
      <c r="S98" s="75">
        <f>VLOOKUP(A98,'[2]BOM FG Files'!$A:$F,6,FALSE)</f>
        <v>26132.606877174585</v>
      </c>
      <c r="T98" s="76">
        <f>S98-P98</f>
        <v>632.60687717458495</v>
      </c>
      <c r="U98" s="106">
        <f>T98/S98</f>
        <v>2.4207568733876784E-2</v>
      </c>
      <c r="V98" s="66">
        <f>(((C98*D98*E98)+(G98*H98*I98)+(K98*L98*M98))/1000000)*35.32</f>
        <v>1.7405695999999999</v>
      </c>
      <c r="W98" s="67">
        <f>Q98/V98</f>
        <v>14.650376520421821</v>
      </c>
      <c r="X98" s="58" t="str">
        <f>VLOOKUP(A98,'[1]MTP SKUs - Master Data'!$A:$B,2,FALSE)</f>
        <v>DI</v>
      </c>
    </row>
    <row r="99" spans="1:24">
      <c r="A99" s="58" t="s">
        <v>111</v>
      </c>
      <c r="B99" s="3" t="s">
        <v>48</v>
      </c>
      <c r="C99" s="104">
        <v>110</v>
      </c>
      <c r="D99" s="72">
        <v>54</v>
      </c>
      <c r="E99" s="72">
        <v>8</v>
      </c>
      <c r="F99" s="135">
        <v>23900</v>
      </c>
      <c r="G99" s="72">
        <v>0</v>
      </c>
      <c r="H99" s="72">
        <v>0</v>
      </c>
      <c r="I99" s="72">
        <v>0</v>
      </c>
      <c r="J99" s="131">
        <v>0</v>
      </c>
      <c r="K99" s="72">
        <v>0</v>
      </c>
      <c r="L99" s="72">
        <v>0</v>
      </c>
      <c r="M99" s="72">
        <v>0</v>
      </c>
      <c r="N99" s="131">
        <v>0</v>
      </c>
      <c r="O99" s="112">
        <f>V99*$O$2*1000</f>
        <v>10070.438400000001</v>
      </c>
      <c r="P99" s="73">
        <f>F99+J99+N99</f>
        <v>23900</v>
      </c>
      <c r="Q99" s="74">
        <f>P99/1000</f>
        <v>23.9</v>
      </c>
      <c r="R99" s="74">
        <f>MAX(P99,O99)</f>
        <v>23900</v>
      </c>
      <c r="S99" s="75">
        <f>VLOOKUP(A99,'[2]BOM FG Files'!$A:$F,6,FALSE)</f>
        <v>24564.714758989834</v>
      </c>
      <c r="T99" s="76">
        <f>S99-P99</f>
        <v>664.71475898983408</v>
      </c>
      <c r="U99" s="106">
        <f>T99/S99</f>
        <v>2.7059738552289582E-2</v>
      </c>
      <c r="V99" s="66">
        <f>(((C99*D99*E99)+(G99*H99*I99)+(K99*L99*M99))/1000000)*35.32</f>
        <v>1.6784064000000001</v>
      </c>
      <c r="W99" s="67">
        <f>Q99/V99</f>
        <v>14.239697846719363</v>
      </c>
      <c r="X99" s="58" t="str">
        <f>VLOOKUP(A99,'[1]MTP SKUs - Master Data'!$A:$B,2,FALSE)</f>
        <v>RL</v>
      </c>
    </row>
    <row r="100" spans="1:24" ht="14.45" customHeight="1">
      <c r="A100" s="58" t="s">
        <v>172</v>
      </c>
      <c r="B100" s="3" t="s">
        <v>48</v>
      </c>
      <c r="C100" s="104">
        <v>136</v>
      </c>
      <c r="D100" s="72">
        <v>31</v>
      </c>
      <c r="E100" s="72">
        <v>10</v>
      </c>
      <c r="F100" s="135">
        <v>20990</v>
      </c>
      <c r="G100" s="72">
        <v>0</v>
      </c>
      <c r="H100" s="72">
        <v>0</v>
      </c>
      <c r="I100" s="72">
        <v>0</v>
      </c>
      <c r="J100" s="131">
        <v>0</v>
      </c>
      <c r="K100" s="72">
        <v>0</v>
      </c>
      <c r="L100" s="72">
        <v>0</v>
      </c>
      <c r="M100" s="72">
        <v>0</v>
      </c>
      <c r="N100" s="131">
        <v>0</v>
      </c>
      <c r="O100" s="112">
        <f>V100*$O$2*1000</f>
        <v>8934.5472000000009</v>
      </c>
      <c r="P100" s="73">
        <f>F100+J100+N100</f>
        <v>20990</v>
      </c>
      <c r="Q100" s="74">
        <f>P100/1000</f>
        <v>20.99</v>
      </c>
      <c r="R100" s="74">
        <f>MAX(P100,O100)</f>
        <v>20990</v>
      </c>
      <c r="S100" s="75">
        <f>VLOOKUP(A100,'[2]BOM FG Files'!$A:$F,6,FALSE)</f>
        <v>21244.385896107862</v>
      </c>
      <c r="T100" s="76">
        <f>S100-P100</f>
        <v>254.38589610786221</v>
      </c>
      <c r="U100" s="106">
        <f>T100/S100</f>
        <v>1.1974264511664124E-2</v>
      </c>
      <c r="V100" s="66">
        <f>(((C100*D100*E100)+(G100*H100*I100)+(K100*L100*M100))/1000000)*35.32</f>
        <v>1.4890912000000001</v>
      </c>
      <c r="W100" s="67">
        <f>Q100/V100</f>
        <v>14.095845842081397</v>
      </c>
      <c r="X100" s="58" t="str">
        <f>VLOOKUP(A100,'[1]MTP SKUs - Master Data'!$A:$B,2,FALSE)</f>
        <v>Y</v>
      </c>
    </row>
    <row r="101" spans="1:24">
      <c r="A101" s="58" t="s">
        <v>255</v>
      </c>
      <c r="B101" s="3" t="s">
        <v>48</v>
      </c>
      <c r="C101" s="104">
        <v>162</v>
      </c>
      <c r="D101" s="72">
        <v>32</v>
      </c>
      <c r="E101" s="72">
        <v>6</v>
      </c>
      <c r="F101" s="135">
        <v>12130</v>
      </c>
      <c r="G101" s="72">
        <v>0</v>
      </c>
      <c r="H101" s="72">
        <v>0</v>
      </c>
      <c r="I101" s="72">
        <v>0</v>
      </c>
      <c r="J101" s="131">
        <v>0</v>
      </c>
      <c r="K101" s="72">
        <v>0</v>
      </c>
      <c r="L101" s="72">
        <v>0</v>
      </c>
      <c r="M101" s="72">
        <v>0</v>
      </c>
      <c r="N101" s="131">
        <v>0</v>
      </c>
      <c r="O101" s="112">
        <f>V101*$O$2*1000</f>
        <v>6591.5596799999994</v>
      </c>
      <c r="P101" s="73">
        <f>F101+J101+N101</f>
        <v>12130</v>
      </c>
      <c r="Q101" s="74">
        <f>P101/1000</f>
        <v>12.13</v>
      </c>
      <c r="R101" s="74">
        <f>MAX(P101,O101)</f>
        <v>12130</v>
      </c>
      <c r="S101" s="75">
        <f>VLOOKUP(A101,'[2]BOM FG Files'!$A:$F,6,FALSE)</f>
        <v>12234.346967117865</v>
      </c>
      <c r="T101" s="76">
        <f>S101-P101</f>
        <v>104.34696711786455</v>
      </c>
      <c r="U101" s="106">
        <f>T101/S101</f>
        <v>8.5290181321746785E-3</v>
      </c>
      <c r="V101" s="66">
        <f>(((C101*D101*E101)+(G101*H101*I101)+(K101*L101*M101))/1000000)*35.32</f>
        <v>1.09859328</v>
      </c>
      <c r="W101" s="67">
        <f>Q101/V101</f>
        <v>11.041392861969809</v>
      </c>
      <c r="X101" s="58" t="str">
        <f>VLOOKUP(A101,'[1]MTP SKUs - Master Data'!$A:$B,2,FALSE)</f>
        <v>Y</v>
      </c>
    </row>
    <row r="102" spans="1:24" ht="14.45" customHeight="1">
      <c r="A102" s="58" t="s">
        <v>77</v>
      </c>
      <c r="B102" s="3" t="s">
        <v>74</v>
      </c>
      <c r="C102" s="104">
        <v>129</v>
      </c>
      <c r="D102" s="72">
        <v>53</v>
      </c>
      <c r="E102" s="72">
        <v>9</v>
      </c>
      <c r="F102" s="135">
        <v>29170</v>
      </c>
      <c r="G102" s="72">
        <v>180</v>
      </c>
      <c r="H102" s="72">
        <v>47</v>
      </c>
      <c r="I102" s="72">
        <v>11</v>
      </c>
      <c r="J102" s="131">
        <v>36000</v>
      </c>
      <c r="K102" s="72">
        <v>187</v>
      </c>
      <c r="L102" s="72">
        <v>51</v>
      </c>
      <c r="M102" s="72">
        <v>10</v>
      </c>
      <c r="N102" s="131">
        <v>37600</v>
      </c>
      <c r="O102" s="112">
        <f>V102*$O$2*1000</f>
        <v>52972.158960000001</v>
      </c>
      <c r="P102" s="73">
        <f>F102+J102+N102</f>
        <v>102770</v>
      </c>
      <c r="Q102" s="74">
        <f>P102/1000</f>
        <v>102.77</v>
      </c>
      <c r="R102" s="74">
        <f>MAX(P102,O102)</f>
        <v>102770</v>
      </c>
      <c r="S102" s="75">
        <f>VLOOKUP(A102,'[2]BOM FG Files'!$A:$F,6,FALSE)</f>
        <v>104003.58584236536</v>
      </c>
      <c r="T102" s="76">
        <f>S102-P102</f>
        <v>1233.5858423653553</v>
      </c>
      <c r="U102" s="106">
        <f>T102/S102</f>
        <v>1.1860993372238711E-2</v>
      </c>
      <c r="V102" s="66">
        <f>(((C102*D102*E102)+(G102*H102*I102)+(K102*L102*M102))/1000000)*35.32</f>
        <v>8.8286931600000003</v>
      </c>
      <c r="W102" s="67">
        <f>Q102/V102</f>
        <v>11.640454384077835</v>
      </c>
      <c r="X102" s="58" t="str">
        <f>VLOOKUP(A102,'[1]MTP SKUs - Master Data'!$A:$B,2,FALSE)</f>
        <v>Y</v>
      </c>
    </row>
    <row r="103" spans="1:24" ht="14.45" customHeight="1">
      <c r="A103" s="58" t="s">
        <v>241</v>
      </c>
      <c r="B103" s="3" t="s">
        <v>48</v>
      </c>
      <c r="C103" s="104">
        <v>131</v>
      </c>
      <c r="D103" s="72">
        <v>19</v>
      </c>
      <c r="E103" s="72">
        <v>5</v>
      </c>
      <c r="F103" s="135">
        <v>4150</v>
      </c>
      <c r="G103" s="72">
        <v>0</v>
      </c>
      <c r="H103" s="72">
        <v>0</v>
      </c>
      <c r="I103" s="72">
        <v>0</v>
      </c>
      <c r="J103" s="131">
        <v>0</v>
      </c>
      <c r="K103" s="72">
        <v>0</v>
      </c>
      <c r="L103" s="72">
        <v>0</v>
      </c>
      <c r="M103" s="72">
        <v>0</v>
      </c>
      <c r="N103" s="131">
        <v>0</v>
      </c>
      <c r="O103" s="112">
        <f>V103*$O$2*1000</f>
        <v>2637.3444</v>
      </c>
      <c r="P103" s="73">
        <f>F103+J103+N103</f>
        <v>4150</v>
      </c>
      <c r="Q103" s="74">
        <f>P103/1000</f>
        <v>4.1500000000000004</v>
      </c>
      <c r="R103" s="74">
        <f>MAX(P103,O103)</f>
        <v>4150</v>
      </c>
      <c r="S103" s="75">
        <f>VLOOKUP(A103,'[2]BOM FG Files'!$A:$F,6,FALSE)</f>
        <v>4204.1240120817502</v>
      </c>
      <c r="T103" s="76">
        <f>S103-P103</f>
        <v>54.124012081750152</v>
      </c>
      <c r="U103" s="106">
        <f>T103/S103</f>
        <v>1.2874028436413712E-2</v>
      </c>
      <c r="V103" s="66">
        <f>(((C103*D103*E103)+(G103*H103*I103)+(K103*L103*M103))/1000000)*35.32</f>
        <v>0.43955739999999999</v>
      </c>
      <c r="W103" s="67">
        <f>Q103/V103</f>
        <v>9.4413152866952093</v>
      </c>
      <c r="X103" s="58" t="str">
        <f>VLOOKUP(A103,'[1]MTP SKUs - Master Data'!$A:$B,2,FALSE)</f>
        <v>Y</v>
      </c>
    </row>
    <row r="104" spans="1:24" ht="14.45" customHeight="1">
      <c r="A104" s="23" t="s">
        <v>187</v>
      </c>
      <c r="B104" s="3" t="s">
        <v>48</v>
      </c>
      <c r="C104" s="104">
        <v>169</v>
      </c>
      <c r="D104" s="72">
        <v>36</v>
      </c>
      <c r="E104" s="72">
        <v>9</v>
      </c>
      <c r="F104" s="135">
        <v>32270</v>
      </c>
      <c r="G104" s="72">
        <v>0</v>
      </c>
      <c r="H104" s="72">
        <v>0</v>
      </c>
      <c r="I104" s="72">
        <v>0</v>
      </c>
      <c r="J104" s="131">
        <v>0</v>
      </c>
      <c r="K104" s="72">
        <v>0</v>
      </c>
      <c r="L104" s="72">
        <v>0</v>
      </c>
      <c r="M104" s="72">
        <v>0</v>
      </c>
      <c r="N104" s="131">
        <v>0</v>
      </c>
      <c r="O104" s="112">
        <f>V104*$O$2*1000</f>
        <v>11603.891519999999</v>
      </c>
      <c r="P104" s="73">
        <f>F104+J104+N104</f>
        <v>32270</v>
      </c>
      <c r="Q104" s="74">
        <f>P104/1000</f>
        <v>32.270000000000003</v>
      </c>
      <c r="R104" s="74">
        <f>MAX(P104,O104)</f>
        <v>32270</v>
      </c>
      <c r="S104" s="75">
        <f>VLOOKUP(A104,'[2]BOM FG Files'!$A:$F,6,FALSE)</f>
        <v>32697.416630700867</v>
      </c>
      <c r="T104" s="76">
        <f>S104-P104</f>
        <v>427.41663070086724</v>
      </c>
      <c r="U104" s="106">
        <f>T104/S104</f>
        <v>1.3071877681600976E-2</v>
      </c>
      <c r="V104" s="66">
        <f>(((C104*D104*E104)+(G104*H104*I104)+(K104*L104*M104))/1000000)*35.32</f>
        <v>1.9339819199999999</v>
      </c>
      <c r="W104" s="67">
        <f>Q104/V104</f>
        <v>16.685781633367082</v>
      </c>
      <c r="X104" s="58" t="str">
        <f>VLOOKUP(A104,'[1]MTP SKUs - Master Data'!$A:$B,2,FALSE)</f>
        <v>Y</v>
      </c>
    </row>
    <row r="105" spans="1:24" ht="14.45" customHeight="1">
      <c r="A105" s="58" t="s">
        <v>206</v>
      </c>
      <c r="B105" s="3" t="s">
        <v>74</v>
      </c>
      <c r="C105" s="104">
        <v>204</v>
      </c>
      <c r="D105" s="72">
        <v>51</v>
      </c>
      <c r="E105" s="72">
        <v>9</v>
      </c>
      <c r="F105" s="135">
        <v>45800</v>
      </c>
      <c r="G105" s="72">
        <v>107</v>
      </c>
      <c r="H105" s="72">
        <v>38</v>
      </c>
      <c r="I105" s="72">
        <v>5</v>
      </c>
      <c r="J105" s="131">
        <v>30500</v>
      </c>
      <c r="K105" s="72">
        <v>0</v>
      </c>
      <c r="L105" s="72">
        <v>0</v>
      </c>
      <c r="M105" s="72">
        <v>0</v>
      </c>
      <c r="N105" s="131">
        <v>0</v>
      </c>
      <c r="O105" s="112">
        <f>V105*$O$2*1000</f>
        <v>24151.674719999995</v>
      </c>
      <c r="P105" s="73">
        <f>F105+J105+N105</f>
        <v>76300</v>
      </c>
      <c r="Q105" s="74">
        <f>P105/1000</f>
        <v>76.3</v>
      </c>
      <c r="R105" s="74">
        <f>MAX(P105,O105)</f>
        <v>76300</v>
      </c>
      <c r="S105" s="75">
        <f>VLOOKUP(A105,'[2]BOM FG Files'!$A:$F,6,FALSE)</f>
        <v>75934.497445521003</v>
      </c>
      <c r="T105" s="76">
        <f>S105-P105</f>
        <v>-365.5025544789969</v>
      </c>
      <c r="U105" s="106">
        <f>T105/S105</f>
        <v>-4.8133926841515701E-3</v>
      </c>
      <c r="V105" s="66">
        <f>(((C105*D105*E105)+(G105*H105*I105)+(K105*L105*M105))/1000000)*35.32</f>
        <v>4.0252791199999995</v>
      </c>
      <c r="W105" s="67">
        <f>Q105/V105</f>
        <v>18.95520726026075</v>
      </c>
      <c r="X105" s="58" t="str">
        <f>VLOOKUP(A105,'[1]MTP SKUs - Master Data'!$A:$B,2,FALSE)</f>
        <v>Y</v>
      </c>
    </row>
    <row r="106" spans="1:24" ht="14.45" customHeight="1">
      <c r="A106" s="58" t="s">
        <v>283</v>
      </c>
      <c r="B106" s="3" t="s">
        <v>48</v>
      </c>
      <c r="C106" s="104">
        <v>75</v>
      </c>
      <c r="D106" s="72">
        <v>17</v>
      </c>
      <c r="E106" s="72">
        <v>5</v>
      </c>
      <c r="F106" s="135">
        <v>2300</v>
      </c>
      <c r="G106" s="72">
        <v>0</v>
      </c>
      <c r="H106" s="72">
        <v>0</v>
      </c>
      <c r="I106" s="72">
        <v>0</v>
      </c>
      <c r="J106" s="131">
        <v>0</v>
      </c>
      <c r="K106" s="72">
        <v>0</v>
      </c>
      <c r="L106" s="72">
        <v>0</v>
      </c>
      <c r="M106" s="72">
        <v>0</v>
      </c>
      <c r="N106" s="131">
        <v>0</v>
      </c>
      <c r="O106" s="112">
        <f>V106*$O$2*1000</f>
        <v>1350.99</v>
      </c>
      <c r="P106" s="73">
        <f>F106+J106+N106</f>
        <v>2300</v>
      </c>
      <c r="Q106" s="74">
        <f>P106/1000</f>
        <v>2.2999999999999998</v>
      </c>
      <c r="R106" s="74">
        <f>MAX(P106,O106)</f>
        <v>2300</v>
      </c>
      <c r="S106" s="75">
        <f>VLOOKUP(A106,'[2]BOM FG Files'!$A:$F,6,FALSE)</f>
        <v>2332.4306032629165</v>
      </c>
      <c r="T106" s="76">
        <f>S106-P106</f>
        <v>32.43060326291652</v>
      </c>
      <c r="U106" s="106">
        <f>T106/S106</f>
        <v>1.3904209290320683E-2</v>
      </c>
      <c r="V106" s="66">
        <f>(((C106*D106*E106)+(G106*H106*I106)+(K106*L106*M106))/1000000)*35.32</f>
        <v>0.22516499999999998</v>
      </c>
      <c r="W106" s="67">
        <f>Q106/V106</f>
        <v>10.21473141918149</v>
      </c>
      <c r="X106" s="58" t="str">
        <f>VLOOKUP(A106,'[1]MTP SKUs - Master Data'!$A:$B,2,FALSE)</f>
        <v>Y</v>
      </c>
    </row>
    <row r="107" spans="1:24" ht="14.45" customHeight="1">
      <c r="A107" s="58" t="s">
        <v>213</v>
      </c>
      <c r="B107" s="3" t="s">
        <v>48</v>
      </c>
      <c r="C107" s="104">
        <v>83</v>
      </c>
      <c r="D107" s="72">
        <v>41</v>
      </c>
      <c r="E107" s="72">
        <v>14</v>
      </c>
      <c r="F107" s="135">
        <v>21300</v>
      </c>
      <c r="G107" s="72">
        <v>0</v>
      </c>
      <c r="H107" s="72">
        <v>0</v>
      </c>
      <c r="I107" s="72">
        <v>0</v>
      </c>
      <c r="J107" s="131">
        <v>0</v>
      </c>
      <c r="K107" s="72">
        <v>0</v>
      </c>
      <c r="L107" s="72">
        <v>0</v>
      </c>
      <c r="M107" s="72">
        <v>0</v>
      </c>
      <c r="N107" s="131">
        <v>0</v>
      </c>
      <c r="O107" s="112">
        <f>V107*$O$2*1000</f>
        <v>10096.29264</v>
      </c>
      <c r="P107" s="73">
        <f>F107+J107+N107</f>
        <v>21300</v>
      </c>
      <c r="Q107" s="74">
        <f>P107/1000</f>
        <v>21.3</v>
      </c>
      <c r="R107" s="74">
        <f>MAX(P107,O107)</f>
        <v>21300</v>
      </c>
      <c r="S107" s="75">
        <f>VLOOKUP(A107,'[2]BOM FG Files'!$A:$F,6,FALSE)</f>
        <v>21614.186314119412</v>
      </c>
      <c r="T107" s="76">
        <f>S107-P107</f>
        <v>314.18631411941169</v>
      </c>
      <c r="U107" s="106">
        <f>T107/S107</f>
        <v>1.4536115750708149E-2</v>
      </c>
      <c r="V107" s="66">
        <f>(((C107*D107*E107)+(G107*H107*I107)+(K107*L107*M107))/1000000)*35.32</f>
        <v>1.68271544</v>
      </c>
      <c r="W107" s="67">
        <f>Q107/V107</f>
        <v>12.658111700692544</v>
      </c>
      <c r="X107" s="58" t="str">
        <f>VLOOKUP(A107,'[1]MTP SKUs - Master Data'!$A:$B,2,FALSE)</f>
        <v>Y</v>
      </c>
    </row>
    <row r="108" spans="1:24" ht="14.45" customHeight="1">
      <c r="A108" s="79" t="s">
        <v>131</v>
      </c>
      <c r="B108" s="3" t="s">
        <v>48</v>
      </c>
      <c r="C108" s="104">
        <v>96</v>
      </c>
      <c r="D108" s="72">
        <v>20</v>
      </c>
      <c r="E108" s="72">
        <v>10</v>
      </c>
      <c r="F108" s="135">
        <v>9520</v>
      </c>
      <c r="G108" s="72">
        <v>0</v>
      </c>
      <c r="H108" s="72">
        <v>0</v>
      </c>
      <c r="I108" s="72">
        <v>0</v>
      </c>
      <c r="J108" s="131">
        <v>0</v>
      </c>
      <c r="K108" s="72">
        <v>0</v>
      </c>
      <c r="L108" s="72">
        <v>0</v>
      </c>
      <c r="M108" s="72">
        <v>0</v>
      </c>
      <c r="N108" s="131">
        <v>0</v>
      </c>
      <c r="O108" s="112">
        <f>V108*$O$2*1000</f>
        <v>4068.8639999999996</v>
      </c>
      <c r="P108" s="73">
        <f>F108+J108+N108</f>
        <v>9520</v>
      </c>
      <c r="Q108" s="74">
        <f>P108/1000</f>
        <v>9.52</v>
      </c>
      <c r="R108" s="74">
        <f>MAX(P108,O108)</f>
        <v>9520</v>
      </c>
      <c r="S108" s="75">
        <f>VLOOKUP(A108,'[2]BOM FG Files'!$A:$F,6,FALSE)</f>
        <v>9660.6317064965697</v>
      </c>
      <c r="T108" s="76">
        <f>S108-P108</f>
        <v>140.63170649656968</v>
      </c>
      <c r="U108" s="106">
        <f>T108/S108</f>
        <v>1.4557195716507631E-2</v>
      </c>
      <c r="V108" s="66">
        <f>(((C108*D108*E108)+(G108*H108*I108)+(K108*L108*M108))/1000000)*35.32</f>
        <v>0.67814399999999997</v>
      </c>
      <c r="W108" s="67">
        <f>Q108/V108</f>
        <v>14.038316345790864</v>
      </c>
      <c r="X108" s="58" t="str">
        <f>VLOOKUP(A108,'[1]MTP SKUs - Master Data'!$A:$B,2,FALSE)</f>
        <v>Y</v>
      </c>
    </row>
    <row r="109" spans="1:24" ht="14.45" customHeight="1">
      <c r="A109" s="58" t="s">
        <v>142</v>
      </c>
      <c r="B109" s="3" t="s">
        <v>48</v>
      </c>
      <c r="C109" s="104">
        <v>106</v>
      </c>
      <c r="D109" s="72">
        <v>62</v>
      </c>
      <c r="E109" s="72">
        <v>9</v>
      </c>
      <c r="F109" s="135">
        <v>16510</v>
      </c>
      <c r="G109" s="72">
        <v>0</v>
      </c>
      <c r="H109" s="72">
        <v>0</v>
      </c>
      <c r="I109" s="72">
        <v>0</v>
      </c>
      <c r="J109" s="131">
        <v>0</v>
      </c>
      <c r="K109" s="72">
        <v>0</v>
      </c>
      <c r="L109" s="72">
        <v>0</v>
      </c>
      <c r="M109" s="72">
        <v>0</v>
      </c>
      <c r="N109" s="131">
        <v>0</v>
      </c>
      <c r="O109" s="112">
        <f>V109*$O$2*1000</f>
        <v>12534.64416</v>
      </c>
      <c r="P109" s="73">
        <f>F109+J109+N109</f>
        <v>16510</v>
      </c>
      <c r="Q109" s="74">
        <f>P109/1000</f>
        <v>16.510000000000002</v>
      </c>
      <c r="R109" s="74">
        <f>MAX(P109,O109)</f>
        <v>16510</v>
      </c>
      <c r="S109" s="75">
        <f>VLOOKUP(A109,'[2]BOM FG Files'!$A:$F,6,FALSE)</f>
        <v>16758.171779952994</v>
      </c>
      <c r="T109" s="76">
        <f>S109-P109</f>
        <v>248.17177995299426</v>
      </c>
      <c r="U109" s="106">
        <f>T109/S109</f>
        <v>1.4809000839212686E-2</v>
      </c>
      <c r="V109" s="66">
        <f>(((C109*D109*E109)+(G109*H109*I109)+(K109*L109*M109))/1000000)*35.32</f>
        <v>2.0891073599999999</v>
      </c>
      <c r="W109" s="67">
        <f>Q109/V109</f>
        <v>7.9028968621315867</v>
      </c>
      <c r="X109" s="58" t="str">
        <f>VLOOKUP(A109,'[1]MTP SKUs - Master Data'!$A:$B,2,FALSE)</f>
        <v>Y</v>
      </c>
    </row>
    <row r="110" spans="1:24" ht="14.45" customHeight="1">
      <c r="A110" s="58" t="s">
        <v>200</v>
      </c>
      <c r="B110" s="3" t="s">
        <v>48</v>
      </c>
      <c r="C110" s="104">
        <v>72</v>
      </c>
      <c r="D110" s="72">
        <v>37</v>
      </c>
      <c r="E110" s="72">
        <v>7</v>
      </c>
      <c r="F110" s="135">
        <v>7000</v>
      </c>
      <c r="G110" s="72">
        <v>0</v>
      </c>
      <c r="H110" s="72">
        <v>0</v>
      </c>
      <c r="I110" s="72">
        <v>0</v>
      </c>
      <c r="J110" s="131">
        <v>0</v>
      </c>
      <c r="K110" s="72">
        <v>0</v>
      </c>
      <c r="L110" s="72">
        <v>0</v>
      </c>
      <c r="M110" s="72">
        <v>0</v>
      </c>
      <c r="N110" s="131">
        <v>0</v>
      </c>
      <c r="O110" s="112">
        <f>V110*$O$2*1000</f>
        <v>3951.8841600000001</v>
      </c>
      <c r="P110" s="73">
        <f>F110+J110+N110</f>
        <v>7000</v>
      </c>
      <c r="Q110" s="74">
        <f>P110/1000</f>
        <v>7</v>
      </c>
      <c r="R110" s="74">
        <f>MAX(P110,O110)</f>
        <v>7000</v>
      </c>
      <c r="S110" s="75">
        <f>VLOOKUP(A110,'[2]BOM FG Files'!$A:$F,6,FALSE)</f>
        <v>7107.2203088797032</v>
      </c>
      <c r="T110" s="76">
        <f>S110-P110</f>
        <v>107.22030887970323</v>
      </c>
      <c r="U110" s="106">
        <f>T110/S110</f>
        <v>1.5086110211856392E-2</v>
      </c>
      <c r="V110" s="66">
        <f>(((C110*D110*E110)+(G110*H110*I110)+(K110*L110*M110))/1000000)*35.32</f>
        <v>0.65864736000000002</v>
      </c>
      <c r="W110" s="67">
        <f>Q110/V110</f>
        <v>10.627841884920027</v>
      </c>
      <c r="X110" s="58" t="str">
        <f>VLOOKUP(A110,'[1]MTP SKUs - Master Data'!$A:$B,2,FALSE)</f>
        <v>Y</v>
      </c>
    </row>
    <row r="111" spans="1:24" ht="14.45" customHeight="1">
      <c r="A111" s="58" t="s">
        <v>244</v>
      </c>
      <c r="B111" s="3" t="s">
        <v>48</v>
      </c>
      <c r="C111" s="104">
        <v>173</v>
      </c>
      <c r="D111" s="72">
        <v>32</v>
      </c>
      <c r="E111" s="72">
        <v>9</v>
      </c>
      <c r="F111" s="135">
        <v>21700</v>
      </c>
      <c r="G111" s="72">
        <v>0</v>
      </c>
      <c r="H111" s="72">
        <v>0</v>
      </c>
      <c r="I111" s="72">
        <v>0</v>
      </c>
      <c r="J111" s="131">
        <v>0</v>
      </c>
      <c r="K111" s="72">
        <v>0</v>
      </c>
      <c r="L111" s="72">
        <v>0</v>
      </c>
      <c r="M111" s="72">
        <v>0</v>
      </c>
      <c r="N111" s="131">
        <v>0</v>
      </c>
      <c r="O111" s="112">
        <f>V111*$O$2*1000</f>
        <v>10558.702079999999</v>
      </c>
      <c r="P111" s="73">
        <f>F111+J111+N111</f>
        <v>21700</v>
      </c>
      <c r="Q111" s="74">
        <f>P111/1000</f>
        <v>21.7</v>
      </c>
      <c r="R111" s="74">
        <f>MAX(P111,O111)</f>
        <v>21700</v>
      </c>
      <c r="S111" s="75">
        <f>VLOOKUP(A111,'[2]BOM FG Files'!$A:$F,6,FALSE)</f>
        <v>22033.168515012447</v>
      </c>
      <c r="T111" s="76">
        <f>S111-P111</f>
        <v>333.16851501244673</v>
      </c>
      <c r="U111" s="106">
        <f>T111/S111</f>
        <v>1.5121225745876729E-2</v>
      </c>
      <c r="V111" s="66">
        <f>(((C111*D111*E111)+(G111*H111*I111)+(K111*L111*M111))/1000000)*35.32</f>
        <v>1.75978368</v>
      </c>
      <c r="W111" s="67">
        <f>Q111/V111</f>
        <v>12.331061054049552</v>
      </c>
      <c r="X111" s="58" t="str">
        <f>VLOOKUP(A111,'[1]MTP SKUs - Master Data'!$A:$B,2,FALSE)</f>
        <v>Y</v>
      </c>
    </row>
    <row r="112" spans="1:24" ht="14.45" customHeight="1">
      <c r="A112" s="58" t="s">
        <v>52</v>
      </c>
      <c r="B112" s="3" t="s">
        <v>48</v>
      </c>
      <c r="C112" s="104">
        <v>35</v>
      </c>
      <c r="D112" s="72">
        <v>32</v>
      </c>
      <c r="E112" s="72">
        <v>6</v>
      </c>
      <c r="F112" s="135">
        <v>750</v>
      </c>
      <c r="G112" s="72">
        <v>0</v>
      </c>
      <c r="H112" s="72">
        <v>0</v>
      </c>
      <c r="I112" s="72">
        <v>0</v>
      </c>
      <c r="J112" s="131">
        <v>0</v>
      </c>
      <c r="K112" s="72">
        <v>0</v>
      </c>
      <c r="L112" s="72">
        <v>0</v>
      </c>
      <c r="M112" s="72">
        <v>0</v>
      </c>
      <c r="N112" s="131">
        <v>0</v>
      </c>
      <c r="O112" s="112">
        <f>V112*$O$2*1000</f>
        <v>1424.1024000000002</v>
      </c>
      <c r="P112" s="73">
        <f>F112+J112+N112</f>
        <v>750</v>
      </c>
      <c r="Q112" s="74">
        <f>P112/1000</f>
        <v>0.75</v>
      </c>
      <c r="R112" s="74">
        <f>MAX(P112,O112)</f>
        <v>1424.1024000000002</v>
      </c>
      <c r="S112" s="75">
        <f>VLOOKUP(A112,'[2]BOM FG Files'!$A:$F,6,FALSE)</f>
        <v>761.58765562968563</v>
      </c>
      <c r="T112" s="76">
        <f>S112-P112</f>
        <v>11.587655629685628</v>
      </c>
      <c r="U112" s="106">
        <f>T112/S112</f>
        <v>1.5215130581528241E-2</v>
      </c>
      <c r="V112" s="66">
        <f>(((C112*D112*E112)+(G112*H112*I112)+(K112*L112*M112))/1000000)*35.32</f>
        <v>0.23735040000000002</v>
      </c>
      <c r="W112" s="67">
        <f>Q112/V112</f>
        <v>3.1598851318556864</v>
      </c>
      <c r="X112" s="58" t="str">
        <f>VLOOKUP(A112,'[1]MTP SKUs - Master Data'!$A:$B,2,FALSE)</f>
        <v>Y</v>
      </c>
    </row>
    <row r="113" spans="1:24" ht="14.45" customHeight="1">
      <c r="A113" s="58" t="s">
        <v>82</v>
      </c>
      <c r="B113" s="3" t="s">
        <v>74</v>
      </c>
      <c r="C113" s="104">
        <v>164</v>
      </c>
      <c r="D113" s="72">
        <v>51</v>
      </c>
      <c r="E113" s="72">
        <v>11</v>
      </c>
      <c r="F113" s="135">
        <v>45210</v>
      </c>
      <c r="G113" s="72">
        <v>178</v>
      </c>
      <c r="H113" s="72">
        <v>48</v>
      </c>
      <c r="I113" s="72">
        <v>12</v>
      </c>
      <c r="J113" s="131">
        <v>49600</v>
      </c>
      <c r="K113" s="72">
        <v>188</v>
      </c>
      <c r="L113" s="72">
        <v>50</v>
      </c>
      <c r="M113" s="72">
        <v>8</v>
      </c>
      <c r="N113" s="131">
        <v>46180</v>
      </c>
      <c r="O113" s="112">
        <f>V113*$O$2*1000</f>
        <v>57161.605439999999</v>
      </c>
      <c r="P113" s="73">
        <f>F113+J113+N113</f>
        <v>140990</v>
      </c>
      <c r="Q113" s="74">
        <f>P113/1000</f>
        <v>140.99</v>
      </c>
      <c r="R113" s="74">
        <f>MAX(P113,O113)</f>
        <v>140990</v>
      </c>
      <c r="S113" s="75">
        <f>VLOOKUP(A113,'[2]BOM FG Files'!$A:$F,6,FALSE)</f>
        <v>143504.32997392435</v>
      </c>
      <c r="T113" s="76">
        <f>S113-P113</f>
        <v>2514.3299739243521</v>
      </c>
      <c r="U113" s="106">
        <f>T113/S113</f>
        <v>1.7520934555641784E-2</v>
      </c>
      <c r="V113" s="66">
        <f>(((C113*D113*E113)+(G113*H113*I113)+(K113*L113*M113))/1000000)*35.32</f>
        <v>9.526934240000001</v>
      </c>
      <c r="W113" s="67">
        <f>Q113/V113</f>
        <v>14.799094488134097</v>
      </c>
      <c r="X113" s="58" t="str">
        <f>VLOOKUP(A113,'[1]MTP SKUs - Master Data'!$A:$B,2,FALSE)</f>
        <v>Y</v>
      </c>
    </row>
    <row r="114" spans="1:24" ht="14.45" customHeight="1">
      <c r="A114" s="23" t="s">
        <v>86</v>
      </c>
      <c r="B114" s="3" t="s">
        <v>48</v>
      </c>
      <c r="C114" s="104">
        <v>183</v>
      </c>
      <c r="D114" s="72">
        <v>47</v>
      </c>
      <c r="E114" s="72">
        <v>12</v>
      </c>
      <c r="F114" s="135">
        <v>50670</v>
      </c>
      <c r="G114" s="72">
        <v>0</v>
      </c>
      <c r="H114" s="72">
        <v>0</v>
      </c>
      <c r="I114" s="72">
        <v>0</v>
      </c>
      <c r="J114" s="131">
        <v>0</v>
      </c>
      <c r="K114" s="72">
        <v>0</v>
      </c>
      <c r="L114" s="72">
        <v>0</v>
      </c>
      <c r="M114" s="72">
        <v>0</v>
      </c>
      <c r="N114" s="131">
        <v>0</v>
      </c>
      <c r="O114" s="112">
        <f>V114*$O$2*1000</f>
        <v>21872.687040000001</v>
      </c>
      <c r="P114" s="73">
        <f>F114+J114+N114</f>
        <v>50670</v>
      </c>
      <c r="Q114" s="74">
        <f>P114/1000</f>
        <v>50.67</v>
      </c>
      <c r="R114" s="74">
        <f>MAX(P114,O114)</f>
        <v>50670</v>
      </c>
      <c r="S114" s="75">
        <f>VLOOKUP(A114,'[2]BOM FG Files'!$A:$F,6,FALSE)</f>
        <v>51506.29055271855</v>
      </c>
      <c r="T114" s="76">
        <f>S114-P114</f>
        <v>836.29055271855032</v>
      </c>
      <c r="U114" s="106">
        <f>T114/S114</f>
        <v>1.6236668254386844E-2</v>
      </c>
      <c r="V114" s="66">
        <f>(((C114*D114*E114)+(G114*H114*I114)+(K114*L114*M114))/1000000)*35.32</f>
        <v>3.6454478400000001</v>
      </c>
      <c r="W114" s="67">
        <f>Q114/V114</f>
        <v>13.899526813693212</v>
      </c>
      <c r="X114" s="58" t="str">
        <f>VLOOKUP(A114,'[1]MTP SKUs - Master Data'!$A:$B,2,FALSE)</f>
        <v>Y</v>
      </c>
    </row>
    <row r="115" spans="1:24" ht="14.45" customHeight="1">
      <c r="A115" s="58" t="s">
        <v>268</v>
      </c>
      <c r="B115" s="3" t="s">
        <v>48</v>
      </c>
      <c r="C115" s="104">
        <v>123</v>
      </c>
      <c r="D115" s="72">
        <v>63</v>
      </c>
      <c r="E115" s="72">
        <v>8</v>
      </c>
      <c r="F115" s="135">
        <v>22100</v>
      </c>
      <c r="G115" s="72">
        <v>0</v>
      </c>
      <c r="H115" s="72">
        <v>0</v>
      </c>
      <c r="I115" s="72">
        <v>0</v>
      </c>
      <c r="J115" s="131">
        <v>0</v>
      </c>
      <c r="K115" s="72">
        <v>0</v>
      </c>
      <c r="L115" s="72">
        <v>0</v>
      </c>
      <c r="M115" s="72">
        <v>0</v>
      </c>
      <c r="N115" s="131">
        <v>0</v>
      </c>
      <c r="O115" s="112">
        <f>V115*$O$2*1000</f>
        <v>13137.344639999999</v>
      </c>
      <c r="P115" s="73">
        <f>F115+J115+N115</f>
        <v>22100</v>
      </c>
      <c r="Q115" s="74">
        <f>P115/1000</f>
        <v>22.1</v>
      </c>
      <c r="R115" s="74">
        <f>MAX(P115,O115)</f>
        <v>22100</v>
      </c>
      <c r="S115" s="75">
        <f>VLOOKUP(A115,'[2]BOM FG Files'!$A:$F,6,FALSE)</f>
        <v>22466.044846477846</v>
      </c>
      <c r="T115" s="76">
        <f>S115-P115</f>
        <v>366.04484647784557</v>
      </c>
      <c r="U115" s="106">
        <f>T115/S115</f>
        <v>1.6293248276642379E-2</v>
      </c>
      <c r="V115" s="66">
        <f>(((C115*D115*E115)+(G115*H115*I115)+(K115*L115*M115))/1000000)*35.32</f>
        <v>2.1895574399999997</v>
      </c>
      <c r="W115" s="67">
        <f>Q115/V115</f>
        <v>10.093363890010579</v>
      </c>
      <c r="X115" s="58" t="str">
        <f>VLOOKUP(A115,'[1]MTP SKUs - Master Data'!$A:$B,2,FALSE)</f>
        <v>Y</v>
      </c>
    </row>
    <row r="116" spans="1:24" ht="14.45" customHeight="1">
      <c r="A116" s="58" t="s">
        <v>116</v>
      </c>
      <c r="B116" s="3" t="s">
        <v>48</v>
      </c>
      <c r="C116" s="104">
        <v>97</v>
      </c>
      <c r="D116" s="72">
        <v>20</v>
      </c>
      <c r="E116" s="72">
        <v>3</v>
      </c>
      <c r="F116" s="135">
        <v>9700</v>
      </c>
      <c r="G116" s="72">
        <v>0</v>
      </c>
      <c r="H116" s="72">
        <v>0</v>
      </c>
      <c r="I116" s="72">
        <v>0</v>
      </c>
      <c r="J116" s="131">
        <v>0</v>
      </c>
      <c r="K116" s="72">
        <v>0</v>
      </c>
      <c r="L116" s="72">
        <v>0</v>
      </c>
      <c r="M116" s="72">
        <v>0</v>
      </c>
      <c r="N116" s="131">
        <v>0</v>
      </c>
      <c r="O116" s="112">
        <f>V116*$O$2*1000</f>
        <v>1233.3743999999997</v>
      </c>
      <c r="P116" s="73">
        <f>F116+J116+N116</f>
        <v>9700</v>
      </c>
      <c r="Q116" s="74">
        <f>P116/1000</f>
        <v>9.6999999999999993</v>
      </c>
      <c r="R116" s="74">
        <f>MAX(P116,O116)</f>
        <v>9700</v>
      </c>
      <c r="S116" s="75">
        <f>VLOOKUP(A116,'[2]BOM FG Files'!$A:$F,6,FALSE)</f>
        <v>9862.9049043056402</v>
      </c>
      <c r="T116" s="76">
        <f>S116-P116</f>
        <v>162.90490430564023</v>
      </c>
      <c r="U116" s="106">
        <f>T116/S116</f>
        <v>1.6516929432679035E-2</v>
      </c>
      <c r="V116" s="66">
        <f>(((C116*D116*E116)+(G116*H116*I116)+(K116*L116*M116))/1000000)*35.32</f>
        <v>0.20556239999999998</v>
      </c>
      <c r="W116" s="67">
        <f>Q116/V116</f>
        <v>47.187617969044922</v>
      </c>
      <c r="X116" s="58" t="str">
        <f>VLOOKUP(A116,'[1]MTP SKUs - Master Data'!$A:$B,2,FALSE)</f>
        <v>Y</v>
      </c>
    </row>
    <row r="117" spans="1:24" ht="14.45" customHeight="1">
      <c r="A117" s="79" t="s">
        <v>155</v>
      </c>
      <c r="B117" s="2"/>
      <c r="C117" s="104">
        <v>147</v>
      </c>
      <c r="D117" s="72">
        <v>34</v>
      </c>
      <c r="E117" s="72">
        <v>13</v>
      </c>
      <c r="F117" s="135">
        <v>34800</v>
      </c>
      <c r="G117" s="72">
        <v>0</v>
      </c>
      <c r="H117" s="72">
        <v>0</v>
      </c>
      <c r="I117" s="72">
        <v>0</v>
      </c>
      <c r="J117" s="131">
        <v>0</v>
      </c>
      <c r="K117" s="72">
        <v>0</v>
      </c>
      <c r="L117" s="72">
        <v>0</v>
      </c>
      <c r="M117" s="72">
        <v>0</v>
      </c>
      <c r="N117" s="131">
        <v>0</v>
      </c>
      <c r="O117" s="112">
        <f>V117*$O$2*1000</f>
        <v>13769.290080000001</v>
      </c>
      <c r="P117" s="73">
        <f>F117+J117+N117</f>
        <v>34800</v>
      </c>
      <c r="Q117" s="74">
        <f>P117/1000</f>
        <v>34.799999999999997</v>
      </c>
      <c r="R117" s="74">
        <f>MAX(P117,O117)</f>
        <v>34800</v>
      </c>
      <c r="S117" s="75">
        <f>VLOOKUP(A117,'[2]BOM FG Files'!$A:$F,6,FALSE)</f>
        <v>35391.465547267399</v>
      </c>
      <c r="T117" s="76">
        <f>S117-P117</f>
        <v>591.46554726739851</v>
      </c>
      <c r="U117" s="106">
        <f>T117/S117</f>
        <v>1.6712095363145142E-2</v>
      </c>
      <c r="V117" s="66">
        <f>(((C117*D117*E117)+(G117*H117*I117)+(K117*L117*M117))/1000000)*35.32</f>
        <v>2.29488168</v>
      </c>
      <c r="W117" s="67">
        <f>Q117/V117</f>
        <v>15.164180490560192</v>
      </c>
      <c r="X117" s="58" t="str">
        <f>VLOOKUP(A117,'[1]MTP SKUs - Master Data'!$A:$B,2,FALSE)</f>
        <v>Y</v>
      </c>
    </row>
    <row r="118" spans="1:24" ht="14.45" customHeight="1">
      <c r="A118" s="58" t="s">
        <v>91</v>
      </c>
      <c r="B118" s="3" t="s">
        <v>48</v>
      </c>
      <c r="C118" s="104">
        <v>160</v>
      </c>
      <c r="D118" s="72">
        <v>34</v>
      </c>
      <c r="E118" s="72">
        <v>10</v>
      </c>
      <c r="F118" s="135">
        <v>26000</v>
      </c>
      <c r="G118" s="72">
        <v>0</v>
      </c>
      <c r="H118" s="72">
        <v>0</v>
      </c>
      <c r="I118" s="72">
        <v>0</v>
      </c>
      <c r="J118" s="131">
        <v>0</v>
      </c>
      <c r="K118" s="72">
        <v>0</v>
      </c>
      <c r="L118" s="72">
        <v>0</v>
      </c>
      <c r="M118" s="72">
        <v>0</v>
      </c>
      <c r="N118" s="131">
        <v>0</v>
      </c>
      <c r="O118" s="112">
        <f>V118*$O$2*1000</f>
        <v>11528.448</v>
      </c>
      <c r="P118" s="73">
        <f>F118+J118+N118</f>
        <v>26000</v>
      </c>
      <c r="Q118" s="74">
        <f>P118/1000</f>
        <v>26</v>
      </c>
      <c r="R118" s="74">
        <f>MAX(P118,O118)</f>
        <v>26000</v>
      </c>
      <c r="S118" s="75">
        <f>VLOOKUP(A118,'[2]BOM FG Files'!$A:$F,6,FALSE)</f>
        <v>26454.093574136034</v>
      </c>
      <c r="T118" s="76">
        <f>S118-P118</f>
        <v>454.09357413603357</v>
      </c>
      <c r="U118" s="106">
        <f>T118/S118</f>
        <v>1.7165342402054456E-2</v>
      </c>
      <c r="V118" s="66">
        <f>(((C118*D118*E118)+(G118*H118*I118)+(K118*L118*M118))/1000000)*35.32</f>
        <v>1.921408</v>
      </c>
      <c r="W118" s="67">
        <f>Q118/V118</f>
        <v>13.531743388181999</v>
      </c>
      <c r="X118" s="58" t="str">
        <f>VLOOKUP(A118,'[1]MTP SKUs - Master Data'!$A:$B,2,FALSE)</f>
        <v>Y</v>
      </c>
    </row>
    <row r="119" spans="1:24">
      <c r="A119" s="58" t="s">
        <v>217</v>
      </c>
      <c r="B119" s="3" t="s">
        <v>48</v>
      </c>
      <c r="C119" s="104">
        <v>165</v>
      </c>
      <c r="D119" s="72">
        <v>57</v>
      </c>
      <c r="E119" s="72">
        <v>8</v>
      </c>
      <c r="F119" s="135">
        <v>33820</v>
      </c>
      <c r="G119" s="72">
        <v>0</v>
      </c>
      <c r="H119" s="72">
        <v>0</v>
      </c>
      <c r="I119" s="72">
        <v>0</v>
      </c>
      <c r="J119" s="131">
        <v>0</v>
      </c>
      <c r="K119" s="72">
        <v>0</v>
      </c>
      <c r="L119" s="72">
        <v>0</v>
      </c>
      <c r="M119" s="72">
        <v>0</v>
      </c>
      <c r="N119" s="131">
        <v>0</v>
      </c>
      <c r="O119" s="112">
        <f>V119*$O$2*1000</f>
        <v>15944.8608</v>
      </c>
      <c r="P119" s="73">
        <f>F119+J119+N119</f>
        <v>33820</v>
      </c>
      <c r="Q119" s="74">
        <f>P119/1000</f>
        <v>33.82</v>
      </c>
      <c r="R119" s="74">
        <f>MAX(P119,O119)</f>
        <v>33820</v>
      </c>
      <c r="S119" s="75">
        <f>VLOOKUP(A119,'[2]BOM FG Files'!$A:$F,6,FALSE)</f>
        <v>34410.686408173511</v>
      </c>
      <c r="T119" s="76">
        <f>S119-P119</f>
        <v>590.68640817351115</v>
      </c>
      <c r="U119" s="106">
        <f>T119/S119</f>
        <v>1.7165783941851458E-2</v>
      </c>
      <c r="V119" s="66">
        <f>(((C119*D119*E119)+(G119*H119*I119)+(K119*L119*M119))/1000000)*35.32</f>
        <v>2.6574768</v>
      </c>
      <c r="W119" s="67">
        <f>Q119/V119</f>
        <v>12.726357573469691</v>
      </c>
      <c r="X119" s="58" t="str">
        <f>VLOOKUP(A119,'[1]MTP SKUs - Master Data'!$A:$B,2,FALSE)</f>
        <v>Y</v>
      </c>
    </row>
    <row r="120" spans="1:24" ht="12.4" customHeight="1">
      <c r="A120" s="58" t="s">
        <v>117</v>
      </c>
      <c r="B120" s="3" t="s">
        <v>48</v>
      </c>
      <c r="C120" s="104">
        <v>196</v>
      </c>
      <c r="D120" s="72">
        <v>43</v>
      </c>
      <c r="E120" s="72">
        <v>8</v>
      </c>
      <c r="F120" s="135">
        <v>32740</v>
      </c>
      <c r="G120" s="72">
        <v>0</v>
      </c>
      <c r="H120" s="72">
        <v>0</v>
      </c>
      <c r="I120" s="72">
        <v>0</v>
      </c>
      <c r="J120" s="131">
        <v>0</v>
      </c>
      <c r="K120" s="72">
        <v>0</v>
      </c>
      <c r="L120" s="72">
        <v>0</v>
      </c>
      <c r="M120" s="72">
        <v>0</v>
      </c>
      <c r="N120" s="131">
        <v>0</v>
      </c>
      <c r="O120" s="112">
        <f>V120*$O$2*1000</f>
        <v>14288.49408</v>
      </c>
      <c r="P120" s="73">
        <f>F120+J120+N120</f>
        <v>32740</v>
      </c>
      <c r="Q120" s="74">
        <f>P120/1000</f>
        <v>32.74</v>
      </c>
      <c r="R120" s="74">
        <f>MAX(P120,O120)</f>
        <v>32740</v>
      </c>
      <c r="S120" s="75">
        <f>VLOOKUP(A120,'[2]BOM FG Files'!$A:$F,6,FALSE)</f>
        <v>33314.200633759785</v>
      </c>
      <c r="T120" s="76">
        <f>S120-P120</f>
        <v>574.20063375978498</v>
      </c>
      <c r="U120" s="106">
        <f>T120/S120</f>
        <v>1.7235912098635328E-2</v>
      </c>
      <c r="V120" s="66">
        <f>(((C120*D120*E120)+(G120*H120*I120)+(K120*L120*M120))/1000000)*35.32</f>
        <v>2.3814156799999999</v>
      </c>
      <c r="W120" s="67">
        <f>Q120/V120</f>
        <v>13.748124812884411</v>
      </c>
      <c r="X120" s="58" t="str">
        <f>VLOOKUP(A120,'[1]MTP SKUs - Master Data'!$A:$B,2,FALSE)</f>
        <v>Y</v>
      </c>
    </row>
    <row r="121" spans="1:24">
      <c r="A121" s="79" t="s">
        <v>154</v>
      </c>
      <c r="B121" s="2"/>
      <c r="C121" s="104">
        <v>168</v>
      </c>
      <c r="D121" s="72">
        <v>34</v>
      </c>
      <c r="E121" s="72">
        <v>13</v>
      </c>
      <c r="F121" s="135">
        <v>37570</v>
      </c>
      <c r="G121" s="72">
        <v>0</v>
      </c>
      <c r="H121" s="72">
        <v>0</v>
      </c>
      <c r="I121" s="72">
        <v>0</v>
      </c>
      <c r="J121" s="131">
        <v>0</v>
      </c>
      <c r="K121" s="72">
        <v>0</v>
      </c>
      <c r="L121" s="72">
        <v>0</v>
      </c>
      <c r="M121" s="72">
        <v>0</v>
      </c>
      <c r="N121" s="131">
        <v>0</v>
      </c>
      <c r="O121" s="112">
        <f>V121*$O$2*1000</f>
        <v>15736.33152</v>
      </c>
      <c r="P121" s="73">
        <f>F121+J121+N121</f>
        <v>37570</v>
      </c>
      <c r="Q121" s="74">
        <f>P121/1000</f>
        <v>37.57</v>
      </c>
      <c r="R121" s="74">
        <f>MAX(P121,O121)</f>
        <v>37570</v>
      </c>
      <c r="S121" s="75">
        <f>VLOOKUP(A121,'[2]BOM FG Files'!$A:$F,6,FALSE)</f>
        <v>38241.337172392945</v>
      </c>
      <c r="T121" s="76">
        <f>S121-P121</f>
        <v>671.33717239294492</v>
      </c>
      <c r="U121" s="106">
        <f>T121/S121</f>
        <v>1.7555274528360226E-2</v>
      </c>
      <c r="V121" s="66">
        <f>(((C121*D121*E121)+(G121*H121*I121)+(K121*L121*M121))/1000000)*35.32</f>
        <v>2.62272192</v>
      </c>
      <c r="W121" s="67">
        <f>Q121/V121</f>
        <v>14.32481259774578</v>
      </c>
      <c r="X121" s="58" t="str">
        <f>VLOOKUP(A121,'[1]MTP SKUs - Master Data'!$A:$B,2,FALSE)</f>
        <v>Y</v>
      </c>
    </row>
    <row r="122" spans="1:24">
      <c r="A122" s="58" t="s">
        <v>81</v>
      </c>
      <c r="B122" s="3" t="s">
        <v>74</v>
      </c>
      <c r="C122" s="104">
        <v>124</v>
      </c>
      <c r="D122" s="72">
        <v>51</v>
      </c>
      <c r="E122" s="72">
        <v>11</v>
      </c>
      <c r="F122" s="135">
        <v>33080</v>
      </c>
      <c r="G122" s="72">
        <v>188</v>
      </c>
      <c r="H122" s="72">
        <v>51</v>
      </c>
      <c r="I122" s="72">
        <v>11</v>
      </c>
      <c r="J122" s="131">
        <v>46770</v>
      </c>
      <c r="K122" s="72">
        <v>0</v>
      </c>
      <c r="L122" s="72">
        <v>0</v>
      </c>
      <c r="M122" s="72">
        <v>0</v>
      </c>
      <c r="N122" s="131">
        <v>0</v>
      </c>
      <c r="O122" s="112">
        <f>V122*$O$2*1000</f>
        <v>37092.781440000006</v>
      </c>
      <c r="P122" s="73">
        <f>F122+J122+N122</f>
        <v>79850</v>
      </c>
      <c r="Q122" s="74">
        <f>P122/1000</f>
        <v>79.849999999999994</v>
      </c>
      <c r="R122" s="74">
        <f>MAX(P122,O122)</f>
        <v>79850</v>
      </c>
      <c r="S122" s="75">
        <f>VLOOKUP(A122,'[2]BOM FG Files'!$A:$F,6,FALSE)</f>
        <v>81270.315458956145</v>
      </c>
      <c r="T122" s="76">
        <f>S122-P122</f>
        <v>1420.3154589561454</v>
      </c>
      <c r="U122" s="106">
        <f>T122/S122</f>
        <v>1.7476435903259729E-2</v>
      </c>
      <c r="V122" s="66">
        <f>(((C122*D122*E122)+(G122*H122*I122)+(K122*L122*M122))/1000000)*35.32</f>
        <v>6.1821302400000002</v>
      </c>
      <c r="W122" s="67">
        <f>Q122/V122</f>
        <v>12.916259751913604</v>
      </c>
      <c r="X122" s="58" t="str">
        <f>VLOOKUP(A122,'[1]MTP SKUs - Master Data'!$A:$B,2,FALSE)</f>
        <v>Y</v>
      </c>
    </row>
    <row r="123" spans="1:24">
      <c r="A123" s="58" t="s">
        <v>229</v>
      </c>
      <c r="B123" s="3" t="s">
        <v>48</v>
      </c>
      <c r="C123" s="104">
        <v>84</v>
      </c>
      <c r="D123" s="72">
        <v>41</v>
      </c>
      <c r="E123" s="72">
        <v>19</v>
      </c>
      <c r="F123" s="135">
        <v>25970</v>
      </c>
      <c r="G123" s="72">
        <v>0</v>
      </c>
      <c r="H123" s="72">
        <v>0</v>
      </c>
      <c r="I123" s="72">
        <v>0</v>
      </c>
      <c r="J123" s="131">
        <v>0</v>
      </c>
      <c r="K123" s="72">
        <v>0</v>
      </c>
      <c r="L123" s="72">
        <v>0</v>
      </c>
      <c r="M123" s="72">
        <v>0</v>
      </c>
      <c r="N123" s="131">
        <v>0</v>
      </c>
      <c r="O123" s="112">
        <f>V123*$O$2*1000</f>
        <v>13867.197119999999</v>
      </c>
      <c r="P123" s="73">
        <f>F123+J123+N123</f>
        <v>25970</v>
      </c>
      <c r="Q123" s="74">
        <f>P123/1000</f>
        <v>25.97</v>
      </c>
      <c r="R123" s="74">
        <f>MAX(P123,O123)</f>
        <v>25970</v>
      </c>
      <c r="S123" s="75">
        <f>VLOOKUP(A123,'[2]BOM FG Files'!$A:$F,6,FALSE)</f>
        <v>26470.632192055222</v>
      </c>
      <c r="T123" s="76">
        <f>S123-P123</f>
        <v>500.63219205522182</v>
      </c>
      <c r="U123" s="106">
        <f>T123/S123</f>
        <v>1.8912740293580119E-2</v>
      </c>
      <c r="V123" s="66">
        <f>(((C123*D123*E123)+(G123*H123*I123)+(K123*L123*M123))/1000000)*35.32</f>
        <v>2.3111995199999997</v>
      </c>
      <c r="W123" s="67">
        <f>Q123/V123</f>
        <v>11.23658938800749</v>
      </c>
      <c r="X123" s="58" t="str">
        <f>VLOOKUP(A123,'[1]MTP SKUs - Master Data'!$A:$B,2,FALSE)</f>
        <v>Y</v>
      </c>
    </row>
    <row r="124" spans="1:24">
      <c r="A124" s="58" t="s">
        <v>256</v>
      </c>
      <c r="B124" s="3" t="s">
        <v>48</v>
      </c>
      <c r="C124" s="104">
        <v>40</v>
      </c>
      <c r="D124" s="72">
        <v>20</v>
      </c>
      <c r="E124" s="72">
        <v>4</v>
      </c>
      <c r="F124" s="135">
        <v>1050</v>
      </c>
      <c r="G124" s="72">
        <v>0</v>
      </c>
      <c r="H124" s="72">
        <v>0</v>
      </c>
      <c r="I124" s="72">
        <v>0</v>
      </c>
      <c r="J124" s="131">
        <v>0</v>
      </c>
      <c r="K124" s="72">
        <v>0</v>
      </c>
      <c r="L124" s="72">
        <v>0</v>
      </c>
      <c r="M124" s="72">
        <v>0</v>
      </c>
      <c r="N124" s="131">
        <v>0</v>
      </c>
      <c r="O124" s="112">
        <f>V124*$O$2*1000</f>
        <v>678.14400000000001</v>
      </c>
      <c r="P124" s="73">
        <f>F124+J124+N124</f>
        <v>1050</v>
      </c>
      <c r="Q124" s="74">
        <f>P124/1000</f>
        <v>1.05</v>
      </c>
      <c r="R124" s="74">
        <f>MAX(P124,O124)</f>
        <v>1050</v>
      </c>
      <c r="S124" s="75">
        <f>VLOOKUP(A124,'[2]BOM FG Files'!$A:$F,6,FALSE)</f>
        <v>1070.5738536129136</v>
      </c>
      <c r="T124" s="76">
        <f>S124-P124</f>
        <v>20.573853612913581</v>
      </c>
      <c r="U124" s="158">
        <f>T124/S124</f>
        <v>1.9217593950648128E-2</v>
      </c>
      <c r="V124" s="66">
        <f>(((C124*D124*E124)+(G124*H124*I124)+(K124*L124*M124))/1000000)*35.32</f>
        <v>0.113024</v>
      </c>
      <c r="W124" s="67">
        <f>Q124/V124</f>
        <v>9.2900622876557204</v>
      </c>
      <c r="X124" s="58" t="str">
        <f>VLOOKUP(A124,'[1]MTP SKUs - Master Data'!$A:$B,2,FALSE)</f>
        <v>Y</v>
      </c>
    </row>
    <row r="125" spans="1:24">
      <c r="A125" s="23" t="s">
        <v>90</v>
      </c>
      <c r="B125" s="3" t="s">
        <v>48</v>
      </c>
      <c r="C125" s="104">
        <v>151</v>
      </c>
      <c r="D125" s="72">
        <v>48</v>
      </c>
      <c r="E125" s="72">
        <v>12</v>
      </c>
      <c r="F125" s="135">
        <v>39980</v>
      </c>
      <c r="G125" s="72">
        <v>0</v>
      </c>
      <c r="H125" s="72">
        <v>0</v>
      </c>
      <c r="I125" s="72">
        <v>0</v>
      </c>
      <c r="J125" s="131">
        <v>0</v>
      </c>
      <c r="K125" s="72">
        <v>0</v>
      </c>
      <c r="L125" s="72">
        <v>0</v>
      </c>
      <c r="M125" s="72">
        <v>0</v>
      </c>
      <c r="N125" s="131">
        <v>0</v>
      </c>
      <c r="O125" s="112">
        <f>V125*$O$2*1000</f>
        <v>18431.95392</v>
      </c>
      <c r="P125" s="73">
        <f>F125+J125+N125</f>
        <v>39980</v>
      </c>
      <c r="Q125" s="74">
        <f>P125/1000</f>
        <v>39.979999999999997</v>
      </c>
      <c r="R125" s="74">
        <f>MAX(P125,O125)</f>
        <v>39980</v>
      </c>
      <c r="S125" s="75">
        <f>VLOOKUP(A125,'[2]BOM FG Files'!$A:$F,6,FALSE)</f>
        <v>40774.053913886171</v>
      </c>
      <c r="T125" s="76">
        <f>S125-P125</f>
        <v>794.05391388617136</v>
      </c>
      <c r="U125" s="106">
        <f>T125/S125</f>
        <v>1.9474490212898484E-2</v>
      </c>
      <c r="V125" s="66">
        <f>(((C125*D125*E125)+(G125*H125*I125)+(K125*L125*M125))/1000000)*35.32</f>
        <v>3.0719923200000001</v>
      </c>
      <c r="W125" s="67">
        <f>Q125/V125</f>
        <v>13.014355452555296</v>
      </c>
      <c r="X125" s="58" t="str">
        <f>VLOOKUP(A125,'[1]MTP SKUs - Master Data'!$A:$B,2,FALSE)</f>
        <v>Y</v>
      </c>
    </row>
    <row r="126" spans="1:24" ht="12.95" customHeight="1">
      <c r="A126" s="58" t="s">
        <v>272</v>
      </c>
      <c r="B126" s="3" t="s">
        <v>48</v>
      </c>
      <c r="C126" s="104">
        <v>196</v>
      </c>
      <c r="D126" s="72">
        <v>40</v>
      </c>
      <c r="E126" s="72">
        <v>8</v>
      </c>
      <c r="F126" s="135">
        <v>32650</v>
      </c>
      <c r="G126" s="72">
        <v>0</v>
      </c>
      <c r="H126" s="72">
        <v>0</v>
      </c>
      <c r="I126" s="72">
        <v>0</v>
      </c>
      <c r="J126" s="131">
        <v>0</v>
      </c>
      <c r="K126" s="72">
        <v>0</v>
      </c>
      <c r="L126" s="72">
        <v>0</v>
      </c>
      <c r="M126" s="72">
        <v>0</v>
      </c>
      <c r="N126" s="131">
        <v>0</v>
      </c>
      <c r="O126" s="112">
        <f>V126*$O$2*1000</f>
        <v>13291.622400000002</v>
      </c>
      <c r="P126" s="73">
        <f>F126+J126+N126</f>
        <v>32650</v>
      </c>
      <c r="Q126" s="74">
        <f>P126/1000</f>
        <v>32.65</v>
      </c>
      <c r="R126" s="74">
        <f>MAX(P126,O126)</f>
        <v>32650</v>
      </c>
      <c r="S126" s="75">
        <f>VLOOKUP(A126,'[2]BOM FG Files'!$A:$F,6,FALSE)</f>
        <v>33298.83859693291</v>
      </c>
      <c r="T126" s="76">
        <f>S126-P126</f>
        <v>648.83859693291015</v>
      </c>
      <c r="U126" s="106">
        <f>T126/S126</f>
        <v>1.9485322139513699E-2</v>
      </c>
      <c r="V126" s="66">
        <f>(((C126*D126*E126)+(G126*H126*I126)+(K126*L126*M126))/1000000)*35.32</f>
        <v>2.2152704000000001</v>
      </c>
      <c r="W126" s="67">
        <f>Q126/V126</f>
        <v>14.73860707929831</v>
      </c>
      <c r="X126" s="58" t="str">
        <f>VLOOKUP(A126,'[1]MTP SKUs - Master Data'!$A:$B,2,FALSE)</f>
        <v>Y</v>
      </c>
    </row>
    <row r="127" spans="1:24" ht="14.45" customHeight="1">
      <c r="A127" s="58" t="s">
        <v>89</v>
      </c>
      <c r="B127" s="3" t="s">
        <v>48</v>
      </c>
      <c r="C127" s="104">
        <v>88</v>
      </c>
      <c r="D127" s="72">
        <v>45</v>
      </c>
      <c r="E127" s="72">
        <v>10</v>
      </c>
      <c r="F127" s="135">
        <v>13970</v>
      </c>
      <c r="G127" s="72">
        <v>0</v>
      </c>
      <c r="H127" s="72">
        <v>0</v>
      </c>
      <c r="I127" s="72">
        <v>0</v>
      </c>
      <c r="J127" s="131">
        <v>0</v>
      </c>
      <c r="K127" s="72">
        <v>0</v>
      </c>
      <c r="L127" s="72">
        <v>0</v>
      </c>
      <c r="M127" s="72">
        <v>0</v>
      </c>
      <c r="N127" s="131">
        <v>0</v>
      </c>
      <c r="O127" s="112">
        <f>V127*$O$2*1000</f>
        <v>8392.0320000000011</v>
      </c>
      <c r="P127" s="73">
        <f>F127+J127+N127</f>
        <v>13970</v>
      </c>
      <c r="Q127" s="74">
        <f>P127/1000</f>
        <v>13.97</v>
      </c>
      <c r="R127" s="74">
        <f>MAX(P127,O127)</f>
        <v>13970</v>
      </c>
      <c r="S127" s="75">
        <f>VLOOKUP(A127,'[2]BOM FG Files'!$A:$F,6,FALSE)</f>
        <v>14253.192659384615</v>
      </c>
      <c r="T127" s="76">
        <f>S127-P127</f>
        <v>283.19265938461467</v>
      </c>
      <c r="U127" s="106">
        <f>T127/S127</f>
        <v>1.9868717567509648E-2</v>
      </c>
      <c r="V127" s="66">
        <f>(((C127*D127*E127)+(G127*H127*I127)+(K127*L127*M127))/1000000)*35.32</f>
        <v>1.3986720000000001</v>
      </c>
      <c r="W127" s="67">
        <f>Q127/V127</f>
        <v>9.9880458034478412</v>
      </c>
      <c r="X127" s="58" t="str">
        <f>VLOOKUP(A127,'[1]MTP SKUs - Master Data'!$A:$B,2,FALSE)</f>
        <v>Y</v>
      </c>
    </row>
    <row r="128" spans="1:24">
      <c r="A128" s="58" t="s">
        <v>201</v>
      </c>
      <c r="B128" s="3" t="s">
        <v>48</v>
      </c>
      <c r="C128" s="104">
        <v>83</v>
      </c>
      <c r="D128" s="72">
        <v>41</v>
      </c>
      <c r="E128" s="72">
        <v>9</v>
      </c>
      <c r="F128" s="135">
        <v>13270</v>
      </c>
      <c r="G128" s="72">
        <v>0</v>
      </c>
      <c r="H128" s="72">
        <v>0</v>
      </c>
      <c r="I128" s="72">
        <v>0</v>
      </c>
      <c r="J128" s="131">
        <v>0</v>
      </c>
      <c r="K128" s="72">
        <v>0</v>
      </c>
      <c r="L128" s="72">
        <v>0</v>
      </c>
      <c r="M128" s="72">
        <v>0</v>
      </c>
      <c r="N128" s="131">
        <v>0</v>
      </c>
      <c r="O128" s="112">
        <f>V128*$O$2*1000</f>
        <v>6490.4738399999997</v>
      </c>
      <c r="P128" s="73">
        <f>F128+J128+N128</f>
        <v>13270</v>
      </c>
      <c r="Q128" s="74">
        <f>P128/1000</f>
        <v>13.27</v>
      </c>
      <c r="R128" s="74">
        <f>MAX(P128,O128)</f>
        <v>13270</v>
      </c>
      <c r="S128" s="75">
        <f>VLOOKUP(A128,'[2]BOM FG Files'!$A:$F,6,FALSE)</f>
        <v>13542.88885429999</v>
      </c>
      <c r="T128" s="76">
        <f>S128-P128</f>
        <v>272.88885429999027</v>
      </c>
      <c r="U128" s="106">
        <f>T128/S128</f>
        <v>2.0149973704712609E-2</v>
      </c>
      <c r="V128" s="66">
        <f>(((C128*D128*E128)+(G128*H128*I128)+(K128*L128*M128))/1000000)*35.32</f>
        <v>1.0817456400000001</v>
      </c>
      <c r="W128" s="67">
        <f>Q128/V128</f>
        <v>12.267209138000315</v>
      </c>
      <c r="X128" s="58" t="str">
        <f>VLOOKUP(A128,'[1]MTP SKUs - Master Data'!$A:$B,2,FALSE)</f>
        <v>Y</v>
      </c>
    </row>
    <row r="129" spans="1:25">
      <c r="A129" s="23" t="s">
        <v>162</v>
      </c>
      <c r="B129" s="3" t="s">
        <v>74</v>
      </c>
      <c r="C129" s="104">
        <v>145</v>
      </c>
      <c r="D129" s="72">
        <v>48</v>
      </c>
      <c r="E129" s="72">
        <v>10</v>
      </c>
      <c r="F129" s="135">
        <v>29600</v>
      </c>
      <c r="G129" s="72">
        <v>103</v>
      </c>
      <c r="H129" s="72">
        <v>40</v>
      </c>
      <c r="I129" s="72">
        <v>16</v>
      </c>
      <c r="J129" s="131">
        <v>23800</v>
      </c>
      <c r="K129" s="72">
        <v>0</v>
      </c>
      <c r="L129" s="72">
        <v>0</v>
      </c>
      <c r="M129" s="72">
        <v>0</v>
      </c>
      <c r="N129" s="131">
        <v>0</v>
      </c>
      <c r="O129" s="112">
        <f>V129*$O$2*1000</f>
        <v>28719.398399999998</v>
      </c>
      <c r="P129" s="73">
        <f>F129+J129+N129</f>
        <v>53400</v>
      </c>
      <c r="Q129" s="74">
        <f>P129/1000</f>
        <v>53.4</v>
      </c>
      <c r="R129" s="74">
        <f>MAX(P129,O129)</f>
        <v>53400</v>
      </c>
      <c r="S129" s="75">
        <f>VLOOKUP(A129,'[2]BOM FG Files'!$A:$F,6,FALSE)</f>
        <v>54190.599414402386</v>
      </c>
      <c r="T129" s="76">
        <f>S129-P129</f>
        <v>790.59941440238617</v>
      </c>
      <c r="U129" s="106">
        <f>T129/S129</f>
        <v>1.4589235456809993E-2</v>
      </c>
      <c r="V129" s="66">
        <f>(((C129*D129*E129)+(G129*H129*I129)+(K129*L129*M129))/1000000)*35.32</f>
        <v>4.7865663999999999</v>
      </c>
      <c r="W129" s="67">
        <f>Q129/V129</f>
        <v>11.156222548171483</v>
      </c>
      <c r="X129" s="58" t="str">
        <f>VLOOKUP(A129,'[1]MTP SKUs - Master Data'!$A:$B,2,FALSE)</f>
        <v>Y</v>
      </c>
    </row>
    <row r="130" spans="1:25">
      <c r="A130" s="58" t="s">
        <v>281</v>
      </c>
      <c r="B130" s="3" t="s">
        <v>48</v>
      </c>
      <c r="C130" s="104">
        <v>86</v>
      </c>
      <c r="D130" s="72">
        <v>44</v>
      </c>
      <c r="E130" s="72">
        <v>7</v>
      </c>
      <c r="F130" s="135">
        <v>11850</v>
      </c>
      <c r="G130" s="72">
        <v>0</v>
      </c>
      <c r="H130" s="72">
        <v>0</v>
      </c>
      <c r="I130" s="72">
        <v>0</v>
      </c>
      <c r="J130" s="131">
        <v>0</v>
      </c>
      <c r="K130" s="72">
        <v>0</v>
      </c>
      <c r="L130" s="72">
        <v>0</v>
      </c>
      <c r="M130" s="72">
        <v>0</v>
      </c>
      <c r="N130" s="131">
        <v>0</v>
      </c>
      <c r="O130" s="112">
        <f>V130*$O$2*1000</f>
        <v>5613.3369600000005</v>
      </c>
      <c r="P130" s="73">
        <f>F130+J130+N130</f>
        <v>11850</v>
      </c>
      <c r="Q130" s="74">
        <f>P130/1000</f>
        <v>11.85</v>
      </c>
      <c r="R130" s="74">
        <f>MAX(P130,O130)</f>
        <v>11850</v>
      </c>
      <c r="S130" s="75">
        <f>VLOOKUP(A130,'[2]BOM FG Files'!$A:$F,6,FALSE)</f>
        <v>12105.150743689313</v>
      </c>
      <c r="T130" s="76">
        <f>S130-P130</f>
        <v>255.15074368931346</v>
      </c>
      <c r="U130" s="106">
        <f>T130/S130</f>
        <v>2.1077865868157755E-2</v>
      </c>
      <c r="V130" s="66">
        <f>(((C130*D130*E130)+(G130*H130*I130)+(K130*L130*M130))/1000000)*35.32</f>
        <v>0.93555616000000008</v>
      </c>
      <c r="W130" s="67">
        <f>Q130/V130</f>
        <v>12.666262600419412</v>
      </c>
      <c r="X130" s="58" t="str">
        <f>VLOOKUP(A130,'[1]MTP SKUs - Master Data'!$A:$B,2,FALSE)</f>
        <v>Y</v>
      </c>
    </row>
    <row r="131" spans="1:25" ht="14.45" customHeight="1">
      <c r="A131" s="79" t="s">
        <v>166</v>
      </c>
      <c r="B131" s="2"/>
      <c r="C131" s="104">
        <v>96</v>
      </c>
      <c r="D131" s="72">
        <v>50</v>
      </c>
      <c r="E131" s="72">
        <v>6</v>
      </c>
      <c r="F131" s="135">
        <v>10400</v>
      </c>
      <c r="G131" s="72">
        <v>0</v>
      </c>
      <c r="H131" s="72">
        <v>0</v>
      </c>
      <c r="I131" s="72">
        <v>0</v>
      </c>
      <c r="J131" s="131">
        <v>0</v>
      </c>
      <c r="K131" s="72">
        <v>0</v>
      </c>
      <c r="L131" s="72">
        <v>0</v>
      </c>
      <c r="M131" s="72">
        <v>0</v>
      </c>
      <c r="N131" s="131">
        <v>0</v>
      </c>
      <c r="O131" s="112">
        <f>V131*$O$2*1000</f>
        <v>6103.2959999999994</v>
      </c>
      <c r="P131" s="73">
        <f>F131+J131+N131</f>
        <v>10400</v>
      </c>
      <c r="Q131" s="74">
        <f>P131/1000</f>
        <v>10.4</v>
      </c>
      <c r="R131" s="74">
        <f>MAX(P131,O131)</f>
        <v>10400</v>
      </c>
      <c r="S131" s="75">
        <f>VLOOKUP(A131,'[2]BOM FG Files'!$A:$F,6,FALSE)</f>
        <v>10628.477473595667</v>
      </c>
      <c r="T131" s="76">
        <f>S131-P131</f>
        <v>228.47747359566711</v>
      </c>
      <c r="U131" s="106">
        <f>T131/S131</f>
        <v>2.1496726522051143E-2</v>
      </c>
      <c r="V131" s="66">
        <f>(((C131*D131*E131)+(G131*H131*I131)+(K131*L131*M131))/1000000)*35.32</f>
        <v>1.0172159999999999</v>
      </c>
      <c r="W131" s="67">
        <f>Q131/V131</f>
        <v>10.223983893293068</v>
      </c>
      <c r="X131" s="58" t="str">
        <f>VLOOKUP(A131,'[1]MTP SKUs - Master Data'!$A:$B,2,FALSE)</f>
        <v>Y</v>
      </c>
    </row>
    <row r="132" spans="1:25" ht="14.45" customHeight="1">
      <c r="A132" s="58" t="s">
        <v>257</v>
      </c>
      <c r="B132" s="3" t="s">
        <v>48</v>
      </c>
      <c r="C132" s="104">
        <v>164</v>
      </c>
      <c r="D132" s="72">
        <v>29</v>
      </c>
      <c r="E132" s="72">
        <v>9</v>
      </c>
      <c r="F132" s="135">
        <v>21700</v>
      </c>
      <c r="G132" s="72">
        <v>0</v>
      </c>
      <c r="H132" s="72">
        <v>0</v>
      </c>
      <c r="I132" s="72">
        <v>0</v>
      </c>
      <c r="J132" s="131">
        <v>0</v>
      </c>
      <c r="K132" s="72">
        <v>0</v>
      </c>
      <c r="L132" s="72">
        <v>0</v>
      </c>
      <c r="M132" s="72">
        <v>0</v>
      </c>
      <c r="N132" s="131">
        <v>0</v>
      </c>
      <c r="O132" s="112">
        <f>V132*$O$2*1000</f>
        <v>9071.0236800000021</v>
      </c>
      <c r="P132" s="73">
        <f>F132+J132+N132</f>
        <v>21700</v>
      </c>
      <c r="Q132" s="74">
        <f>P132/1000</f>
        <v>21.7</v>
      </c>
      <c r="R132" s="74">
        <f>MAX(P132,O132)</f>
        <v>21700</v>
      </c>
      <c r="S132" s="75">
        <f>VLOOKUP(A132,'[2]BOM FG Files'!$A:$F,6,FALSE)</f>
        <v>22178.136355954153</v>
      </c>
      <c r="T132" s="76">
        <f>S132-P132</f>
        <v>478.13635595415326</v>
      </c>
      <c r="U132" s="106">
        <f>T132/S132</f>
        <v>2.1558905954953616E-2</v>
      </c>
      <c r="V132" s="66">
        <f>(((C132*D132*E132)+(G132*H132*I132)+(K132*L132*M132))/1000000)*35.32</f>
        <v>1.5118372800000002</v>
      </c>
      <c r="W132" s="67">
        <f>Q132/V132</f>
        <v>14.353396550718736</v>
      </c>
      <c r="X132" s="58" t="str">
        <f>VLOOKUP(A132,'[1]MTP SKUs - Master Data'!$A:$B,2,FALSE)</f>
        <v>Y</v>
      </c>
    </row>
    <row r="133" spans="1:25" ht="14.45" customHeight="1">
      <c r="A133" s="58" t="s">
        <v>83</v>
      </c>
      <c r="B133" s="3" t="s">
        <v>48</v>
      </c>
      <c r="C133" s="104">
        <v>185</v>
      </c>
      <c r="D133" s="72">
        <v>49</v>
      </c>
      <c r="E133" s="72">
        <v>9</v>
      </c>
      <c r="F133" s="135">
        <v>45330</v>
      </c>
      <c r="G133" s="72">
        <v>0</v>
      </c>
      <c r="H133" s="72">
        <v>0</v>
      </c>
      <c r="I133" s="72">
        <v>0</v>
      </c>
      <c r="J133" s="131">
        <v>0</v>
      </c>
      <c r="K133" s="72">
        <v>0</v>
      </c>
      <c r="L133" s="72">
        <v>0</v>
      </c>
      <c r="M133" s="72">
        <v>0</v>
      </c>
      <c r="N133" s="131">
        <v>0</v>
      </c>
      <c r="O133" s="112">
        <f>V133*$O$2*1000</f>
        <v>17289.493200000001</v>
      </c>
      <c r="P133" s="73">
        <f>F133+J133+N133</f>
        <v>45330</v>
      </c>
      <c r="Q133" s="74">
        <f>P133/1000</f>
        <v>45.33</v>
      </c>
      <c r="R133" s="74">
        <f>MAX(P133,O133)</f>
        <v>45330</v>
      </c>
      <c r="S133" s="75">
        <f>VLOOKUP(A133,'[2]BOM FG Files'!$A:$F,6,FALSE)</f>
        <v>46356.614427302869</v>
      </c>
      <c r="T133" s="76">
        <f>S133-P133</f>
        <v>1026.6144273028694</v>
      </c>
      <c r="U133" s="106">
        <f>T133/S133</f>
        <v>2.2146018210903246E-2</v>
      </c>
      <c r="V133" s="66">
        <f>(((C133*D133*E133)+(G133*H133*I133)+(K133*L133*M133))/1000000)*35.32</f>
        <v>2.8815822</v>
      </c>
      <c r="W133" s="67">
        <f>Q133/V133</f>
        <v>15.730941147540403</v>
      </c>
      <c r="X133" s="58" t="str">
        <f>VLOOKUP(A133,'[1]MTP SKUs - Master Data'!$A:$B,2,FALSE)</f>
        <v>Y</v>
      </c>
    </row>
    <row r="134" spans="1:25" ht="14.45" customHeight="1">
      <c r="A134" s="58" t="s">
        <v>286</v>
      </c>
      <c r="B134" s="3" t="s">
        <v>48</v>
      </c>
      <c r="C134" s="104">
        <v>82</v>
      </c>
      <c r="D134" s="72">
        <v>20</v>
      </c>
      <c r="E134" s="72">
        <v>10</v>
      </c>
      <c r="F134" s="135">
        <v>8270</v>
      </c>
      <c r="G134" s="72">
        <v>0</v>
      </c>
      <c r="H134" s="72">
        <v>0</v>
      </c>
      <c r="I134" s="72">
        <v>0</v>
      </c>
      <c r="J134" s="131">
        <v>0</v>
      </c>
      <c r="K134" s="72">
        <v>0</v>
      </c>
      <c r="L134" s="72">
        <v>0</v>
      </c>
      <c r="M134" s="72">
        <v>0</v>
      </c>
      <c r="N134" s="131">
        <v>0</v>
      </c>
      <c r="O134" s="112">
        <f>V134*$O$2*1000</f>
        <v>3475.4880000000003</v>
      </c>
      <c r="P134" s="73">
        <f>F134+J134+N134</f>
        <v>8270</v>
      </c>
      <c r="Q134" s="74">
        <f>P134/1000</f>
        <v>8.27</v>
      </c>
      <c r="R134" s="74">
        <f>MAX(P134,O134)</f>
        <v>8270</v>
      </c>
      <c r="S134" s="75">
        <f>VLOOKUP(A134,'[2]BOM FG Files'!$A:$F,6,FALSE)</f>
        <v>8460.3126341375864</v>
      </c>
      <c r="T134" s="76">
        <f>S134-P134</f>
        <v>190.31263413758643</v>
      </c>
      <c r="U134" s="106">
        <f>T134/S134</f>
        <v>2.2494751951561445E-2</v>
      </c>
      <c r="V134" s="66">
        <f>(((C134*D134*E134)+(G134*H134*I134)+(K134*L134*M134))/1000000)*35.32</f>
        <v>0.5792480000000001</v>
      </c>
      <c r="W134" s="67">
        <f>Q134/V134</f>
        <v>14.277131729414686</v>
      </c>
      <c r="X134" s="58" t="str">
        <f>VLOOKUP(A134,'[1]MTP SKUs - Master Data'!$A:$B,2,FALSE)</f>
        <v>Y</v>
      </c>
    </row>
    <row r="135" spans="1:25" ht="15" customHeight="1">
      <c r="A135" s="58" t="s">
        <v>271</v>
      </c>
      <c r="B135" s="3" t="s">
        <v>48</v>
      </c>
      <c r="C135" s="104">
        <v>88</v>
      </c>
      <c r="D135" s="72">
        <v>19</v>
      </c>
      <c r="E135" s="72">
        <v>7</v>
      </c>
      <c r="F135" s="135">
        <v>4950</v>
      </c>
      <c r="G135" s="72">
        <v>0</v>
      </c>
      <c r="H135" s="72">
        <v>0</v>
      </c>
      <c r="I135" s="72">
        <v>0</v>
      </c>
      <c r="J135" s="131">
        <v>0</v>
      </c>
      <c r="K135" s="72">
        <v>0</v>
      </c>
      <c r="L135" s="72">
        <v>0</v>
      </c>
      <c r="M135" s="72">
        <v>0</v>
      </c>
      <c r="N135" s="131">
        <v>0</v>
      </c>
      <c r="O135" s="112">
        <f>V135*$O$2*1000</f>
        <v>2480.3116800000003</v>
      </c>
      <c r="P135" s="73">
        <f>F135+J135+N135</f>
        <v>4950</v>
      </c>
      <c r="Q135" s="74">
        <f>P135/1000</f>
        <v>4.95</v>
      </c>
      <c r="R135" s="74">
        <f>MAX(P135,O135)</f>
        <v>4950</v>
      </c>
      <c r="S135" s="75">
        <f>VLOOKUP(A135,'[2]BOM FG Files'!$A:$F,6,FALSE)</f>
        <v>5292.9980561420962</v>
      </c>
      <c r="T135" s="76">
        <f>S135-P135</f>
        <v>342.99805614209617</v>
      </c>
      <c r="U135" s="106">
        <f>T135/S135</f>
        <v>6.4802225979296302E-2</v>
      </c>
      <c r="V135" s="66">
        <f>(((C135*D135*E135)+(G135*H135*I135)+(K135*L135*M135))/1000000)*35.32</f>
        <v>0.41338528000000002</v>
      </c>
      <c r="W135" s="67">
        <f>Q135/V135</f>
        <v>11.974301552295234</v>
      </c>
      <c r="X135" s="58" t="str">
        <f>VLOOKUP(A135,'[1]MTP SKUs - Master Data'!$A:$B,2,FALSE)</f>
        <v>Y</v>
      </c>
    </row>
    <row r="136" spans="1:25" ht="14.45" customHeight="1">
      <c r="A136" s="58" t="s">
        <v>211</v>
      </c>
      <c r="B136" s="3" t="s">
        <v>48</v>
      </c>
      <c r="C136" s="104">
        <v>155</v>
      </c>
      <c r="D136" s="72">
        <v>45</v>
      </c>
      <c r="E136" s="72">
        <v>9</v>
      </c>
      <c r="F136" s="135">
        <v>30310</v>
      </c>
      <c r="G136" s="72">
        <v>0</v>
      </c>
      <c r="H136" s="72">
        <v>0</v>
      </c>
      <c r="I136" s="72">
        <v>0</v>
      </c>
      <c r="J136" s="131">
        <v>0</v>
      </c>
      <c r="K136" s="72">
        <v>0</v>
      </c>
      <c r="L136" s="72">
        <v>0</v>
      </c>
      <c r="M136" s="72">
        <v>0</v>
      </c>
      <c r="N136" s="131">
        <v>0</v>
      </c>
      <c r="O136" s="112">
        <f>V136*$O$2*1000</f>
        <v>13303.278</v>
      </c>
      <c r="P136" s="73">
        <f>F136+J136+N136</f>
        <v>30310</v>
      </c>
      <c r="Q136" s="74">
        <f>P136/1000</f>
        <v>30.31</v>
      </c>
      <c r="R136" s="74">
        <f>MAX(P136,O136)</f>
        <v>30310</v>
      </c>
      <c r="S136" s="75">
        <f>VLOOKUP(A136,'[2]BOM FG Files'!$A:$F,6,FALSE)</f>
        <v>31029.956014471009</v>
      </c>
      <c r="T136" s="76">
        <f>S136-P136</f>
        <v>719.95601447100853</v>
      </c>
      <c r="U136" s="106">
        <f>T136/S136</f>
        <v>2.3201966968153378E-2</v>
      </c>
      <c r="V136" s="66">
        <f>(((C136*D136*E136)+(G136*H136*I136)+(K136*L136*M136))/1000000)*35.32</f>
        <v>2.2172130000000001</v>
      </c>
      <c r="W136" s="67">
        <f>Q136/V136</f>
        <v>13.670314940422953</v>
      </c>
      <c r="X136" s="58" t="str">
        <f>VLOOKUP(A136,'[1]MTP SKUs - Master Data'!$A:$B,2,FALSE)</f>
        <v>Y</v>
      </c>
    </row>
    <row r="137" spans="1:25" ht="14.45" customHeight="1">
      <c r="A137" s="58" t="s">
        <v>152</v>
      </c>
      <c r="B137" s="3" t="s">
        <v>48</v>
      </c>
      <c r="C137" s="104">
        <v>68</v>
      </c>
      <c r="D137" s="72">
        <v>30</v>
      </c>
      <c r="E137" s="72">
        <v>23</v>
      </c>
      <c r="F137" s="135">
        <v>22850</v>
      </c>
      <c r="G137" s="72">
        <v>0</v>
      </c>
      <c r="H137" s="72">
        <v>0</v>
      </c>
      <c r="I137" s="72">
        <v>0</v>
      </c>
      <c r="J137" s="131">
        <v>0</v>
      </c>
      <c r="K137" s="72">
        <v>0</v>
      </c>
      <c r="L137" s="72">
        <v>0</v>
      </c>
      <c r="M137" s="72">
        <v>0</v>
      </c>
      <c r="N137" s="131">
        <v>0</v>
      </c>
      <c r="O137" s="112">
        <f>V137*$O$2*1000</f>
        <v>9943.2864000000009</v>
      </c>
      <c r="P137" s="73">
        <f>F137+J137+N137</f>
        <v>22850</v>
      </c>
      <c r="Q137" s="74">
        <f>P137/1000</f>
        <v>22.85</v>
      </c>
      <c r="R137" s="74">
        <f>MAX(P137,O137)</f>
        <v>22850</v>
      </c>
      <c r="S137" s="75">
        <f>VLOOKUP(A137,'[2]BOM FG Files'!$A:$F,6,FALSE)</f>
        <v>23401.636356158899</v>
      </c>
      <c r="T137" s="76">
        <f>S137-P137</f>
        <v>551.63635615889871</v>
      </c>
      <c r="U137" s="106">
        <f>T137/S137</f>
        <v>2.3572554831778579E-2</v>
      </c>
      <c r="V137" s="66">
        <f>(((C137*D137*E137)+(G137*H137*I137)+(K137*L137*M137))/1000000)*35.32</f>
        <v>1.6572144000000002</v>
      </c>
      <c r="W137" s="67">
        <f>Q137/V137</f>
        <v>13.788197833665938</v>
      </c>
      <c r="X137" s="58" t="str">
        <f>VLOOKUP(A137,'[1]MTP SKUs - Master Data'!$A:$B,2,FALSE)</f>
        <v>Y</v>
      </c>
    </row>
    <row r="138" spans="1:25">
      <c r="A138" s="149" t="s">
        <v>276</v>
      </c>
      <c r="B138" s="3" t="s">
        <v>48</v>
      </c>
      <c r="C138" s="104">
        <v>127</v>
      </c>
      <c r="D138" s="72">
        <v>44</v>
      </c>
      <c r="E138" s="72">
        <v>9</v>
      </c>
      <c r="F138" s="135">
        <v>14000</v>
      </c>
      <c r="G138" s="72">
        <v>0</v>
      </c>
      <c r="H138" s="72">
        <v>0</v>
      </c>
      <c r="I138" s="72">
        <v>0</v>
      </c>
      <c r="J138" s="131">
        <v>0</v>
      </c>
      <c r="K138" s="72">
        <v>0</v>
      </c>
      <c r="L138" s="72">
        <v>0</v>
      </c>
      <c r="M138" s="72">
        <v>0</v>
      </c>
      <c r="N138" s="131">
        <v>0</v>
      </c>
      <c r="O138" s="112">
        <f>V138*$O$2*1000</f>
        <v>10657.880640000001</v>
      </c>
      <c r="P138" s="73">
        <f>F138+J138+N138</f>
        <v>14000</v>
      </c>
      <c r="Q138" s="74">
        <f>P138/1000</f>
        <v>14</v>
      </c>
      <c r="R138" s="74">
        <f>MAX(P138,O138)</f>
        <v>14000</v>
      </c>
      <c r="S138" s="75">
        <f>VLOOKUP(A138,'[2]BOM FG Files'!$A:$F,6,FALSE)</f>
        <v>12686.037085952152</v>
      </c>
      <c r="T138" s="76">
        <f>S138-P138</f>
        <v>-1313.9629140478482</v>
      </c>
      <c r="U138" s="106">
        <f>T138/S138</f>
        <v>-0.10357552205982919</v>
      </c>
      <c r="V138" s="66">
        <f>(((C138*D138*E138)+(G138*H138*I138)+(K138*L138*M138))/1000000)*35.32</f>
        <v>1.7763134400000002</v>
      </c>
      <c r="W138" s="67">
        <f>Q138/V138</f>
        <v>7.8814919060681081</v>
      </c>
      <c r="X138" s="58" t="str">
        <f>VLOOKUP(A138,'[1]MTP SKUs - Master Data'!$A:$B,2,FALSE)</f>
        <v>Y</v>
      </c>
    </row>
    <row r="139" spans="1:25" ht="14.45" customHeight="1">
      <c r="A139" s="58" t="s">
        <v>247</v>
      </c>
      <c r="B139" s="3" t="s">
        <v>48</v>
      </c>
      <c r="C139" s="104">
        <v>112</v>
      </c>
      <c r="D139" s="72">
        <v>47</v>
      </c>
      <c r="E139" s="72">
        <v>8</v>
      </c>
      <c r="F139" s="135">
        <v>18130</v>
      </c>
      <c r="G139" s="72">
        <v>0</v>
      </c>
      <c r="H139" s="72">
        <v>0</v>
      </c>
      <c r="I139" s="72">
        <v>0</v>
      </c>
      <c r="J139" s="131">
        <v>0</v>
      </c>
      <c r="K139" s="72">
        <v>0</v>
      </c>
      <c r="L139" s="72">
        <v>0</v>
      </c>
      <c r="M139" s="72">
        <v>0</v>
      </c>
      <c r="N139" s="131">
        <v>0</v>
      </c>
      <c r="O139" s="112">
        <f>V139*$O$2*1000</f>
        <v>8924.375039999999</v>
      </c>
      <c r="P139" s="73">
        <f>F139+J139+N139</f>
        <v>18130</v>
      </c>
      <c r="Q139" s="74">
        <f>P139/1000</f>
        <v>18.13</v>
      </c>
      <c r="R139" s="74">
        <f>MAX(P139,O139)</f>
        <v>18130</v>
      </c>
      <c r="S139" s="75">
        <f>VLOOKUP(A139,'[2]BOM FG Files'!$A:$F,6,FALSE)</f>
        <v>18574.007668487568</v>
      </c>
      <c r="T139" s="76">
        <f>S139-P139</f>
        <v>444.00766848756757</v>
      </c>
      <c r="U139" s="106">
        <f>T139/S139</f>
        <v>2.3904785462152335E-2</v>
      </c>
      <c r="V139" s="66">
        <f>(((C139*D139*E139)+(G139*H139*I139)+(K139*L139*M139))/1000000)*35.32</f>
        <v>1.4873958399999998</v>
      </c>
      <c r="W139" s="67">
        <f>Q139/V139</f>
        <v>12.189088817136938</v>
      </c>
      <c r="X139" s="58" t="str">
        <f>VLOOKUP(A139,'[1]MTP SKUs - Master Data'!$A:$B,2,FALSE)</f>
        <v>Y</v>
      </c>
    </row>
    <row r="140" spans="1:25" ht="14.45" customHeight="1">
      <c r="A140" s="58" t="s">
        <v>219</v>
      </c>
      <c r="B140" s="3" t="s">
        <v>48</v>
      </c>
      <c r="C140" s="104">
        <v>156</v>
      </c>
      <c r="D140" s="72">
        <v>43</v>
      </c>
      <c r="E140" s="72">
        <v>7</v>
      </c>
      <c r="F140" s="135">
        <v>25740</v>
      </c>
      <c r="G140" s="72">
        <v>0</v>
      </c>
      <c r="H140" s="72">
        <v>0</v>
      </c>
      <c r="I140" s="72">
        <v>0</v>
      </c>
      <c r="J140" s="131">
        <v>0</v>
      </c>
      <c r="K140" s="72">
        <v>0</v>
      </c>
      <c r="L140" s="72">
        <v>0</v>
      </c>
      <c r="M140" s="72">
        <v>0</v>
      </c>
      <c r="N140" s="131">
        <v>0</v>
      </c>
      <c r="O140" s="112">
        <f>V140*$O$2*1000</f>
        <v>9950.9155199999987</v>
      </c>
      <c r="P140" s="73">
        <f>F140+J140+N140</f>
        <v>25740</v>
      </c>
      <c r="Q140" s="74">
        <f>P140/1000</f>
        <v>25.74</v>
      </c>
      <c r="R140" s="74">
        <f>MAX(P140,O140)</f>
        <v>25740</v>
      </c>
      <c r="S140" s="75">
        <f>VLOOKUP(A140,'[2]BOM FG Files'!$A:$F,6,FALSE)</f>
        <v>26377.573563159316</v>
      </c>
      <c r="T140" s="76">
        <f>S140-P140</f>
        <v>637.57356315931611</v>
      </c>
      <c r="U140" s="106">
        <f>T140/S140</f>
        <v>2.417104672773215E-2</v>
      </c>
      <c r="V140" s="66">
        <f>(((C140*D140*E140)+(G140*H140*I140)+(K140*L140*M140))/1000000)*35.32</f>
        <v>1.6584859199999999</v>
      </c>
      <c r="W140" s="67">
        <f>Q140/V140</f>
        <v>15.520179996463281</v>
      </c>
      <c r="X140" s="58" t="str">
        <f>VLOOKUP(A140,'[1]MTP SKUs - Master Data'!$A:$B,2,FALSE)</f>
        <v>Y</v>
      </c>
    </row>
    <row r="141" spans="1:25" ht="14.45" customHeight="1">
      <c r="A141" s="58" t="s">
        <v>157</v>
      </c>
      <c r="B141" s="3" t="s">
        <v>48</v>
      </c>
      <c r="C141" s="104">
        <v>90</v>
      </c>
      <c r="D141" s="72">
        <v>36</v>
      </c>
      <c r="E141" s="72">
        <v>12</v>
      </c>
      <c r="F141" s="135">
        <v>18750</v>
      </c>
      <c r="G141" s="72">
        <v>0</v>
      </c>
      <c r="H141" s="72">
        <v>0</v>
      </c>
      <c r="I141" s="72">
        <v>0</v>
      </c>
      <c r="J141" s="131">
        <v>0</v>
      </c>
      <c r="K141" s="72">
        <v>0</v>
      </c>
      <c r="L141" s="72">
        <v>0</v>
      </c>
      <c r="M141" s="72">
        <v>0</v>
      </c>
      <c r="N141" s="131">
        <v>0</v>
      </c>
      <c r="O141" s="112">
        <f>V141*$O$2*1000</f>
        <v>8239.4495999999981</v>
      </c>
      <c r="P141" s="73">
        <f>F141+J141+N141</f>
        <v>18750</v>
      </c>
      <c r="Q141" s="74">
        <f>P141/1000</f>
        <v>18.75</v>
      </c>
      <c r="R141" s="74">
        <f>MAX(P141,O141)</f>
        <v>18750</v>
      </c>
      <c r="S141" s="75">
        <f>VLOOKUP(A141,'[2]BOM FG Files'!$A:$F,6,FALSE)</f>
        <v>19216.703718429591</v>
      </c>
      <c r="T141" s="76">
        <f>S141-P141</f>
        <v>466.70371842959139</v>
      </c>
      <c r="U141" s="106">
        <f>T141/S141</f>
        <v>2.4286356560829097E-2</v>
      </c>
      <c r="V141" s="66">
        <f>(((C141*D141*E141)+(G141*H141*I141)+(K141*L141*M141))/1000000)*35.32</f>
        <v>1.3732415999999998</v>
      </c>
      <c r="W141" s="67">
        <f>Q141/V141</f>
        <v>13.653824643820871</v>
      </c>
      <c r="X141" s="58" t="str">
        <f>VLOOKUP(A141,'[1]MTP SKUs - Master Data'!$A:$B,2,FALSE)</f>
        <v>Y</v>
      </c>
    </row>
    <row r="142" spans="1:25">
      <c r="A142" s="58" t="s">
        <v>183</v>
      </c>
      <c r="B142" s="3" t="s">
        <v>48</v>
      </c>
      <c r="C142" s="104">
        <v>71.5</v>
      </c>
      <c r="D142" s="72">
        <v>16</v>
      </c>
      <c r="E142" s="72">
        <v>6</v>
      </c>
      <c r="F142" s="135">
        <v>3000</v>
      </c>
      <c r="G142" s="72">
        <v>0</v>
      </c>
      <c r="H142" s="72">
        <v>0</v>
      </c>
      <c r="I142" s="72">
        <v>0</v>
      </c>
      <c r="J142" s="131">
        <v>0</v>
      </c>
      <c r="K142" s="72">
        <v>0</v>
      </c>
      <c r="L142" s="72">
        <v>0</v>
      </c>
      <c r="M142" s="72">
        <v>0</v>
      </c>
      <c r="N142" s="131">
        <v>0</v>
      </c>
      <c r="O142" s="112">
        <f>V142*$O$2*1000</f>
        <v>1454.61888</v>
      </c>
      <c r="P142" s="73">
        <f>F142+J142+N142</f>
        <v>3000</v>
      </c>
      <c r="Q142" s="74">
        <f>P142/1000</f>
        <v>3</v>
      </c>
      <c r="R142" s="74">
        <f>MAX(P142,O142)</f>
        <v>3000</v>
      </c>
      <c r="S142" s="75">
        <f>VLOOKUP(A142,'[2]BOM FG Files'!$A:$F,6,FALSE)</f>
        <v>3104.1622961296066</v>
      </c>
      <c r="T142" s="76">
        <f>S142-P142</f>
        <v>104.1622961296066</v>
      </c>
      <c r="U142" s="106">
        <f>T142/S142</f>
        <v>3.3555686266623468E-2</v>
      </c>
      <c r="V142" s="66">
        <f>(((C142*D142*E142)+(G142*H142*I142)+(K142*L142*M142))/1000000)*35.32</f>
        <v>0.24243648000000001</v>
      </c>
      <c r="W142" s="67">
        <f>Q142/V142</f>
        <v>12.374375341532758</v>
      </c>
      <c r="X142" s="58" t="str">
        <f>VLOOKUP(A142,'[1]MTP SKUs - Master Data'!$A:$B,2,FALSE)</f>
        <v>DI</v>
      </c>
      <c r="Y142" s="5" t="s">
        <v>379</v>
      </c>
    </row>
    <row r="143" spans="1:25" ht="14.45" customHeight="1">
      <c r="A143" s="58" t="s">
        <v>280</v>
      </c>
      <c r="B143" s="3" t="s">
        <v>48</v>
      </c>
      <c r="C143" s="104">
        <v>96</v>
      </c>
      <c r="D143" s="72">
        <v>25</v>
      </c>
      <c r="E143" s="72">
        <v>8</v>
      </c>
      <c r="F143" s="135">
        <v>6770</v>
      </c>
      <c r="G143" s="72">
        <v>0</v>
      </c>
      <c r="H143" s="72">
        <v>0</v>
      </c>
      <c r="I143" s="72">
        <v>0</v>
      </c>
      <c r="J143" s="131">
        <v>0</v>
      </c>
      <c r="K143" s="72">
        <v>0</v>
      </c>
      <c r="L143" s="72">
        <v>0</v>
      </c>
      <c r="M143" s="72">
        <v>0</v>
      </c>
      <c r="N143" s="131">
        <v>0</v>
      </c>
      <c r="O143" s="112">
        <f>V143*$O$2*1000</f>
        <v>4068.8639999999996</v>
      </c>
      <c r="P143" s="73">
        <f>F143+J143+N143</f>
        <v>6770</v>
      </c>
      <c r="Q143" s="74">
        <f>P143/1000</f>
        <v>6.77</v>
      </c>
      <c r="R143" s="74">
        <f>MAX(P143,O143)</f>
        <v>6770</v>
      </c>
      <c r="S143" s="75">
        <f>VLOOKUP(A143,'[2]BOM FG Files'!$A:$F,6,FALSE)</f>
        <v>6765.3475200064613</v>
      </c>
      <c r="T143" s="76">
        <f>S143-P143</f>
        <v>-4.6524799935386909</v>
      </c>
      <c r="U143" s="106">
        <f>T143/S143</f>
        <v>-6.8769268389840931E-4</v>
      </c>
      <c r="V143" s="66">
        <f>(((C143*D143*E143)+(G143*H143*I143)+(K143*L143*M143))/1000000)*35.32</f>
        <v>0.67814399999999997</v>
      </c>
      <c r="W143" s="67">
        <f>Q143/V143</f>
        <v>9.9831304265760661</v>
      </c>
      <c r="X143" s="58" t="str">
        <f>VLOOKUP(A143,'[1]MTP SKUs - Master Data'!$A:$B,2,FALSE)</f>
        <v>Y</v>
      </c>
    </row>
    <row r="144" spans="1:25">
      <c r="A144" s="58" t="s">
        <v>107</v>
      </c>
      <c r="B144" s="3" t="s">
        <v>48</v>
      </c>
      <c r="C144" s="104">
        <v>165</v>
      </c>
      <c r="D144" s="72">
        <v>30</v>
      </c>
      <c r="E144" s="72">
        <v>8</v>
      </c>
      <c r="F144" s="135">
        <v>15150</v>
      </c>
      <c r="G144" s="72">
        <v>0</v>
      </c>
      <c r="H144" s="72">
        <v>0</v>
      </c>
      <c r="I144" s="72">
        <v>0</v>
      </c>
      <c r="J144" s="131">
        <v>0</v>
      </c>
      <c r="K144" s="72">
        <v>0</v>
      </c>
      <c r="L144" s="72">
        <v>0</v>
      </c>
      <c r="M144" s="72">
        <v>0</v>
      </c>
      <c r="N144" s="131">
        <v>0</v>
      </c>
      <c r="O144" s="112">
        <f>V144*$O$2*1000</f>
        <v>8392.0320000000011</v>
      </c>
      <c r="P144" s="73">
        <f>F144+J144+N144</f>
        <v>15150</v>
      </c>
      <c r="Q144" s="74">
        <f>P144/1000</f>
        <v>15.15</v>
      </c>
      <c r="R144" s="74">
        <f>MAX(P144,O144)</f>
        <v>15150</v>
      </c>
      <c r="S144" s="75">
        <f>VLOOKUP(A144,'[2]BOM FG Files'!$A:$F,6,FALSE)</f>
        <v>15530.83065687333</v>
      </c>
      <c r="T144" s="76">
        <f>S144-P144</f>
        <v>380.83065687332964</v>
      </c>
      <c r="U144" s="106">
        <f>T144/S144</f>
        <v>2.4520945806899844E-2</v>
      </c>
      <c r="V144" s="66">
        <f>(((C144*D144*E144)+(G144*H144*I144)+(K144*L144*M144))/1000000)*35.32</f>
        <v>1.3986720000000001</v>
      </c>
      <c r="W144" s="67">
        <f>Q144/V144</f>
        <v>10.831703215621674</v>
      </c>
      <c r="X144" s="58" t="str">
        <f>VLOOKUP(A144,'[1]MTP SKUs - Master Data'!$A:$B,2,FALSE)</f>
        <v>Y</v>
      </c>
    </row>
    <row r="145" spans="1:24">
      <c r="A145" s="58" t="s">
        <v>191</v>
      </c>
      <c r="B145" s="3" t="s">
        <v>48</v>
      </c>
      <c r="C145" s="104">
        <v>124</v>
      </c>
      <c r="D145" s="72">
        <v>41</v>
      </c>
      <c r="E145" s="72">
        <v>12</v>
      </c>
      <c r="F145" s="135">
        <v>30100</v>
      </c>
      <c r="G145" s="72">
        <v>0</v>
      </c>
      <c r="H145" s="72">
        <v>0</v>
      </c>
      <c r="I145" s="72">
        <v>0</v>
      </c>
      <c r="J145" s="131">
        <v>0</v>
      </c>
      <c r="K145" s="72">
        <v>0</v>
      </c>
      <c r="L145" s="72">
        <v>0</v>
      </c>
      <c r="M145" s="72">
        <v>0</v>
      </c>
      <c r="N145" s="131">
        <v>0</v>
      </c>
      <c r="O145" s="112">
        <f>V145*$O$2*1000</f>
        <v>12928.815359999999</v>
      </c>
      <c r="P145" s="73">
        <f>F145+J145+N145</f>
        <v>30100</v>
      </c>
      <c r="Q145" s="74">
        <f>P145/1000</f>
        <v>30.1</v>
      </c>
      <c r="R145" s="74">
        <f>MAX(P145,O145)</f>
        <v>30100</v>
      </c>
      <c r="S145" s="75">
        <f>VLOOKUP(A145,'[2]BOM FG Files'!$A:$F,6,FALSE)</f>
        <v>30901.644759100633</v>
      </c>
      <c r="T145" s="76">
        <f>S145-P145</f>
        <v>801.64475910063265</v>
      </c>
      <c r="U145" s="106">
        <f>T145/S145</f>
        <v>2.5941815244787114E-2</v>
      </c>
      <c r="V145" s="66">
        <f>(((C145*D145*E145)+(G145*H145*I145)+(K145*L145*M145))/1000000)*35.32</f>
        <v>2.1548025599999998</v>
      </c>
      <c r="W145" s="67">
        <f>Q145/V145</f>
        <v>13.96879721546275</v>
      </c>
      <c r="X145" s="58" t="str">
        <f>VLOOKUP(A145,'[1]MTP SKUs - Master Data'!$A:$B,2,FALSE)</f>
        <v>Y</v>
      </c>
    </row>
    <row r="146" spans="1:24" ht="14.45" customHeight="1">
      <c r="A146" s="58" t="s">
        <v>70</v>
      </c>
      <c r="B146" s="3" t="s">
        <v>48</v>
      </c>
      <c r="C146" s="104">
        <v>159</v>
      </c>
      <c r="D146" s="72">
        <v>33</v>
      </c>
      <c r="E146" s="72">
        <v>9</v>
      </c>
      <c r="F146" s="135">
        <v>20000</v>
      </c>
      <c r="G146" s="72">
        <v>0</v>
      </c>
      <c r="H146" s="72">
        <v>0</v>
      </c>
      <c r="I146" s="72">
        <v>0</v>
      </c>
      <c r="J146" s="131">
        <v>0</v>
      </c>
      <c r="K146" s="72">
        <v>0</v>
      </c>
      <c r="L146" s="72">
        <v>0</v>
      </c>
      <c r="M146" s="72">
        <v>0</v>
      </c>
      <c r="N146" s="131">
        <v>0</v>
      </c>
      <c r="O146" s="112">
        <f>V146*$O$2*1000</f>
        <v>10007.498160000001</v>
      </c>
      <c r="P146" s="73">
        <f>F146+J146+N146</f>
        <v>20000</v>
      </c>
      <c r="Q146" s="74">
        <f>P146/1000</f>
        <v>20</v>
      </c>
      <c r="R146" s="74">
        <f>MAX(P146,O146)</f>
        <v>20000</v>
      </c>
      <c r="S146" s="75">
        <f>VLOOKUP(A146,'[2]BOM FG Files'!$A:$F,6,FALSE)</f>
        <v>20543.692444866898</v>
      </c>
      <c r="T146" s="76">
        <f>S146-P146</f>
        <v>543.69244486689786</v>
      </c>
      <c r="U146" s="106">
        <f>T146/S146</f>
        <v>2.6465176419769969E-2</v>
      </c>
      <c r="V146" s="66">
        <f>(((C146*D146*E146)+(G146*H146*I146)+(K146*L146*M146))/1000000)*35.32</f>
        <v>1.66791636</v>
      </c>
      <c r="W146" s="67">
        <f>Q146/V146</f>
        <v>11.991008949633422</v>
      </c>
      <c r="X146" s="58" t="str">
        <f>VLOOKUP(A146,'[1]MTP SKUs - Master Data'!$A:$B,2,FALSE)</f>
        <v>Y</v>
      </c>
    </row>
    <row r="147" spans="1:24" ht="12.95" customHeight="1">
      <c r="A147" s="58" t="s">
        <v>238</v>
      </c>
      <c r="B147" s="3" t="s">
        <v>48</v>
      </c>
      <c r="C147" s="104">
        <v>97</v>
      </c>
      <c r="D147" s="72">
        <v>45</v>
      </c>
      <c r="E147" s="72">
        <v>7</v>
      </c>
      <c r="F147" s="135">
        <v>12370</v>
      </c>
      <c r="G147" s="72">
        <v>0</v>
      </c>
      <c r="H147" s="72">
        <v>0</v>
      </c>
      <c r="I147" s="72">
        <v>0</v>
      </c>
      <c r="J147" s="131">
        <v>0</v>
      </c>
      <c r="K147" s="72">
        <v>0</v>
      </c>
      <c r="L147" s="72">
        <v>0</v>
      </c>
      <c r="M147" s="72">
        <v>0</v>
      </c>
      <c r="N147" s="131">
        <v>0</v>
      </c>
      <c r="O147" s="112">
        <f>V147*$O$2*1000</f>
        <v>6475.2155999999995</v>
      </c>
      <c r="P147" s="73">
        <f>F147+J147+N147</f>
        <v>12370</v>
      </c>
      <c r="Q147" s="74">
        <f>P147/1000</f>
        <v>12.37</v>
      </c>
      <c r="R147" s="74">
        <f>MAX(P147,O147)</f>
        <v>12370</v>
      </c>
      <c r="S147" s="75">
        <f>VLOOKUP(A147,'[2]BOM FG Files'!$A:$F,6,FALSE)</f>
        <v>12717.612862476901</v>
      </c>
      <c r="T147" s="76">
        <f>S147-P147</f>
        <v>347.61286247690077</v>
      </c>
      <c r="U147" s="106">
        <f>T147/S147</f>
        <v>2.7333184791504903E-2</v>
      </c>
      <c r="V147" s="66">
        <f>(((C147*D147*E147)+(G147*H147*I147)+(K147*L147*M147))/1000000)*35.32</f>
        <v>1.0792025999999999</v>
      </c>
      <c r="W147" s="67">
        <f>Q147/V147</f>
        <v>11.462166603379199</v>
      </c>
      <c r="X147" s="58" t="str">
        <f>VLOOKUP(A147,'[1]MTP SKUs - Master Data'!$A:$B,2,FALSE)</f>
        <v>Y</v>
      </c>
    </row>
    <row r="148" spans="1:24" ht="12.95" customHeight="1">
      <c r="A148" s="58" t="s">
        <v>141</v>
      </c>
      <c r="B148" s="3" t="s">
        <v>48</v>
      </c>
      <c r="C148" s="104">
        <v>192</v>
      </c>
      <c r="D148" s="72">
        <v>41</v>
      </c>
      <c r="E148" s="72">
        <v>9</v>
      </c>
      <c r="F148" s="135">
        <v>37560</v>
      </c>
      <c r="G148" s="72">
        <v>0</v>
      </c>
      <c r="H148" s="72">
        <v>0</v>
      </c>
      <c r="I148" s="72">
        <v>0</v>
      </c>
      <c r="J148" s="131">
        <v>0</v>
      </c>
      <c r="K148" s="72">
        <v>0</v>
      </c>
      <c r="L148" s="72">
        <v>0</v>
      </c>
      <c r="M148" s="72">
        <v>0</v>
      </c>
      <c r="N148" s="131">
        <v>0</v>
      </c>
      <c r="O148" s="112">
        <f>V148*$O$2*1000</f>
        <v>15014.10816</v>
      </c>
      <c r="P148" s="73">
        <f>F148+J148+N148</f>
        <v>37560</v>
      </c>
      <c r="Q148" s="74">
        <f>P148/1000</f>
        <v>37.56</v>
      </c>
      <c r="R148" s="74">
        <f>MAX(P148,O148)</f>
        <v>37560</v>
      </c>
      <c r="S148" s="75">
        <f>VLOOKUP(A148,'[2]BOM FG Files'!$A:$F,6,FALSE)</f>
        <v>38076.547330500107</v>
      </c>
      <c r="T148" s="76">
        <f>S148-P148</f>
        <v>516.54733050010691</v>
      </c>
      <c r="U148" s="106">
        <f>T148/S148</f>
        <v>1.3566023358592225E-2</v>
      </c>
      <c r="V148" s="66">
        <f>(((C148*D148*E148)+(G148*H148*I148)+(K148*L148*M148))/1000000)*35.32</f>
        <v>2.50235136</v>
      </c>
      <c r="W148" s="67">
        <f>Q148/V148</f>
        <v>15.009882545031566</v>
      </c>
      <c r="X148" s="58" t="str">
        <f>VLOOKUP(A148,'[1]MTP SKUs - Master Data'!$A:$B,2,FALSE)</f>
        <v>Y</v>
      </c>
    </row>
    <row r="149" spans="1:24" ht="12.95" customHeight="1">
      <c r="A149" s="58" t="s">
        <v>101</v>
      </c>
      <c r="B149" s="3" t="s">
        <v>74</v>
      </c>
      <c r="C149" s="104">
        <v>192</v>
      </c>
      <c r="D149" s="72">
        <v>46</v>
      </c>
      <c r="E149" s="72">
        <v>11</v>
      </c>
      <c r="F149" s="135">
        <v>49000</v>
      </c>
      <c r="G149" s="72">
        <v>180</v>
      </c>
      <c r="H149" s="72">
        <v>45</v>
      </c>
      <c r="I149" s="72">
        <v>8</v>
      </c>
      <c r="J149" s="131">
        <v>28900</v>
      </c>
      <c r="K149" s="72">
        <v>0</v>
      </c>
      <c r="L149" s="72">
        <v>0</v>
      </c>
      <c r="M149" s="72">
        <v>0</v>
      </c>
      <c r="N149" s="131">
        <v>0</v>
      </c>
      <c r="O149" s="112">
        <f>V149*$O$2*1000</f>
        <v>34320.867840000006</v>
      </c>
      <c r="P149" s="73">
        <f>F149+J149+N149</f>
        <v>77900</v>
      </c>
      <c r="Q149" s="74">
        <f>P149/1000</f>
        <v>77.900000000000006</v>
      </c>
      <c r="R149" s="74">
        <f>MAX(P149,O149)</f>
        <v>77900</v>
      </c>
      <c r="S149" s="75">
        <f>VLOOKUP(A149,'[2]BOM FG Files'!$A:$F,6,FALSE)</f>
        <v>80113.937238074388</v>
      </c>
      <c r="T149" s="76">
        <f>S149-P149</f>
        <v>2213.937238074388</v>
      </c>
      <c r="U149" s="106">
        <f>T149/S149</f>
        <v>2.76348574842257E-2</v>
      </c>
      <c r="V149" s="66">
        <f>(((C149*D149*E149)+(G149*H149*I149)+(K149*L149*M149))/1000000)*35.32</f>
        <v>5.7201446400000009</v>
      </c>
      <c r="W149" s="67">
        <f>Q149/V149</f>
        <v>13.618536750846914</v>
      </c>
      <c r="X149" s="58" t="str">
        <f>VLOOKUP(A149,'[1]MTP SKUs - Master Data'!$A:$B,2,FALSE)</f>
        <v>Y</v>
      </c>
    </row>
    <row r="150" spans="1:24">
      <c r="A150" s="58" t="s">
        <v>164</v>
      </c>
      <c r="B150" s="3" t="s">
        <v>48</v>
      </c>
      <c r="C150" s="104">
        <v>121</v>
      </c>
      <c r="D150" s="72">
        <v>43</v>
      </c>
      <c r="E150" s="72">
        <v>17</v>
      </c>
      <c r="F150" s="135">
        <v>36220</v>
      </c>
      <c r="G150" s="72">
        <v>0</v>
      </c>
      <c r="H150" s="72">
        <v>0</v>
      </c>
      <c r="I150" s="72">
        <v>0</v>
      </c>
      <c r="J150" s="131">
        <v>0</v>
      </c>
      <c r="K150" s="72">
        <v>0</v>
      </c>
      <c r="L150" s="72">
        <v>0</v>
      </c>
      <c r="M150" s="72">
        <v>0</v>
      </c>
      <c r="N150" s="131">
        <v>0</v>
      </c>
      <c r="O150" s="112">
        <f>V150*$O$2*1000</f>
        <v>18744.535920000002</v>
      </c>
      <c r="P150" s="73">
        <f>F150+J150+N150</f>
        <v>36220</v>
      </c>
      <c r="Q150" s="74">
        <f>P150/1000</f>
        <v>36.22</v>
      </c>
      <c r="R150" s="74">
        <f>MAX(P150,O150)</f>
        <v>36220</v>
      </c>
      <c r="S150" s="75">
        <f>VLOOKUP(A150,'[2]BOM FG Files'!$A:$F,6,FALSE)</f>
        <v>37251.411398858058</v>
      </c>
      <c r="T150" s="76">
        <f>S150-P150</f>
        <v>1031.4113988580575</v>
      </c>
      <c r="U150" s="106">
        <f>T150/S150</f>
        <v>2.7687847523803499E-2</v>
      </c>
      <c r="V150" s="66">
        <f>(((C150*D150*E150)+(G150*H150*I150)+(K150*L150*M150))/1000000)*35.32</f>
        <v>3.1240893199999999</v>
      </c>
      <c r="W150" s="67">
        <f>Q150/V150</f>
        <v>11.59377863114362</v>
      </c>
      <c r="X150" s="58" t="str">
        <f>VLOOKUP(A150,'[1]MTP SKUs - Master Data'!$A:$B,2,FALSE)</f>
        <v>Y</v>
      </c>
    </row>
    <row r="151" spans="1:24" ht="14.45" customHeight="1">
      <c r="A151" s="58" t="s">
        <v>218</v>
      </c>
      <c r="B151" s="3" t="s">
        <v>48</v>
      </c>
      <c r="C151" s="104">
        <v>98</v>
      </c>
      <c r="D151" s="72">
        <v>49</v>
      </c>
      <c r="E151" s="72">
        <v>9</v>
      </c>
      <c r="F151" s="135">
        <v>11150</v>
      </c>
      <c r="G151" s="72">
        <v>0</v>
      </c>
      <c r="H151" s="72">
        <v>0</v>
      </c>
      <c r="I151" s="72">
        <v>0</v>
      </c>
      <c r="J151" s="131">
        <v>0</v>
      </c>
      <c r="K151" s="72">
        <v>0</v>
      </c>
      <c r="L151" s="72">
        <v>0</v>
      </c>
      <c r="M151" s="72">
        <v>0</v>
      </c>
      <c r="N151" s="131">
        <v>0</v>
      </c>
      <c r="O151" s="112">
        <f>V151*$O$2*1000</f>
        <v>9158.7585600000002</v>
      </c>
      <c r="P151" s="73">
        <f>F151+J151+N151</f>
        <v>11150</v>
      </c>
      <c r="Q151" s="74">
        <f>P151/1000</f>
        <v>11.15</v>
      </c>
      <c r="R151" s="74">
        <f>MAX(P151,O151)</f>
        <v>11150</v>
      </c>
      <c r="S151" s="75">
        <f>VLOOKUP(A151,'[2]BOM FG Files'!$A:$F,6,FALSE)</f>
        <v>11571.327033737161</v>
      </c>
      <c r="T151" s="76">
        <f>S151-P151</f>
        <v>421.3270337371614</v>
      </c>
      <c r="U151" s="106">
        <f>T151/S151</f>
        <v>3.6411297728319976E-2</v>
      </c>
      <c r="V151" s="66">
        <f>(((C151*D151*E151)+(G151*H151*I151)+(K151*L151*M151))/1000000)*35.32</f>
        <v>1.5264597600000001</v>
      </c>
      <c r="W151" s="67">
        <f>Q151/V151</f>
        <v>7.3044834146168389</v>
      </c>
      <c r="X151" s="58" t="str">
        <f>VLOOKUP(A151,'[1]MTP SKUs - Master Data'!$A:$B,2,FALSE)</f>
        <v>RL</v>
      </c>
    </row>
    <row r="152" spans="1:24" ht="14.45" customHeight="1">
      <c r="A152" s="58" t="s">
        <v>198</v>
      </c>
      <c r="B152" s="3" t="s">
        <v>48</v>
      </c>
      <c r="C152" s="104">
        <v>96</v>
      </c>
      <c r="D152" s="72">
        <v>49</v>
      </c>
      <c r="E152" s="72">
        <v>8</v>
      </c>
      <c r="F152" s="135">
        <v>14330</v>
      </c>
      <c r="G152" s="72">
        <v>0</v>
      </c>
      <c r="H152" s="72">
        <v>0</v>
      </c>
      <c r="I152" s="72">
        <v>0</v>
      </c>
      <c r="J152" s="131">
        <v>0</v>
      </c>
      <c r="K152" s="72">
        <v>0</v>
      </c>
      <c r="L152" s="72">
        <v>0</v>
      </c>
      <c r="M152" s="72">
        <v>0</v>
      </c>
      <c r="N152" s="131">
        <v>0</v>
      </c>
      <c r="O152" s="112">
        <f>V152*$O$2*1000</f>
        <v>7974.9734400000007</v>
      </c>
      <c r="P152" s="73">
        <f>F152+J152+N152</f>
        <v>14330</v>
      </c>
      <c r="Q152" s="74">
        <f>P152/1000</f>
        <v>14.33</v>
      </c>
      <c r="R152" s="74">
        <f>MAX(P152,O152)</f>
        <v>14330</v>
      </c>
      <c r="S152" s="75">
        <f>VLOOKUP(A152,'[2]BOM FG Files'!$A:$F,6,FALSE)</f>
        <v>14741.755681604458</v>
      </c>
      <c r="T152" s="76">
        <f>S152-P152</f>
        <v>411.755681604458</v>
      </c>
      <c r="U152" s="106">
        <f>T152/S152</f>
        <v>2.7931251236124371E-2</v>
      </c>
      <c r="V152" s="66">
        <f>(((C152*D152*E152)+(G152*H152*I152)+(K152*L152*M152))/1000000)*35.32</f>
        <v>1.3291622400000001</v>
      </c>
      <c r="W152" s="67">
        <f>Q152/V152</f>
        <v>10.781227128450475</v>
      </c>
      <c r="X152" s="58" t="str">
        <f>VLOOKUP(A152,'[1]MTP SKUs - Master Data'!$A:$B,2,FALSE)</f>
        <v>Y</v>
      </c>
    </row>
    <row r="153" spans="1:24">
      <c r="A153" s="58" t="s">
        <v>136</v>
      </c>
      <c r="B153" s="3" t="s">
        <v>48</v>
      </c>
      <c r="C153" s="104">
        <v>187</v>
      </c>
      <c r="D153" s="72">
        <v>50</v>
      </c>
      <c r="E153" s="72">
        <v>10</v>
      </c>
      <c r="F153" s="135">
        <v>51500</v>
      </c>
      <c r="G153" s="72">
        <v>0</v>
      </c>
      <c r="H153" s="72">
        <v>0</v>
      </c>
      <c r="I153" s="72">
        <v>0</v>
      </c>
      <c r="J153" s="131">
        <v>0</v>
      </c>
      <c r="K153" s="72">
        <v>0</v>
      </c>
      <c r="L153" s="72">
        <v>0</v>
      </c>
      <c r="M153" s="72">
        <v>0</v>
      </c>
      <c r="N153" s="131">
        <v>0</v>
      </c>
      <c r="O153" s="112">
        <f>V153*$O$2*1000</f>
        <v>19814.52</v>
      </c>
      <c r="P153" s="73">
        <f>F153+J153+N153</f>
        <v>51500</v>
      </c>
      <c r="Q153" s="74">
        <f>P153/1000</f>
        <v>51.5</v>
      </c>
      <c r="R153" s="74">
        <f>MAX(P153,O153)</f>
        <v>51500</v>
      </c>
      <c r="S153" s="75">
        <f>VLOOKUP(A153,'[2]BOM FG Files'!$A:$F,6,FALSE)</f>
        <v>52998.544331664947</v>
      </c>
      <c r="T153" s="76">
        <f>S153-P153</f>
        <v>1498.5443316649471</v>
      </c>
      <c r="U153" s="106">
        <f>T153/S153</f>
        <v>2.8275197942929434E-2</v>
      </c>
      <c r="V153" s="66">
        <f>(((C153*D153*E153)+(G153*H153*I153)+(K153*L153*M153))/1000000)*35.32</f>
        <v>3.3024200000000001</v>
      </c>
      <c r="W153" s="67">
        <f>Q153/V153</f>
        <v>15.594624548058695</v>
      </c>
      <c r="X153" s="58" t="str">
        <f>VLOOKUP(A153,'[1]MTP SKUs - Master Data'!$A:$B,2,FALSE)</f>
        <v>Y</v>
      </c>
    </row>
    <row r="154" spans="1:24" ht="14.45" customHeight="1">
      <c r="A154" s="58" t="s">
        <v>193</v>
      </c>
      <c r="B154" s="3" t="s">
        <v>48</v>
      </c>
      <c r="C154" s="104">
        <v>98</v>
      </c>
      <c r="D154" s="72">
        <v>29</v>
      </c>
      <c r="E154" s="72">
        <v>12</v>
      </c>
      <c r="F154" s="135">
        <v>16680</v>
      </c>
      <c r="G154" s="72">
        <v>0</v>
      </c>
      <c r="H154" s="72">
        <v>0</v>
      </c>
      <c r="I154" s="72">
        <v>0</v>
      </c>
      <c r="J154" s="131">
        <v>0</v>
      </c>
      <c r="K154" s="72">
        <v>0</v>
      </c>
      <c r="L154" s="72">
        <v>0</v>
      </c>
      <c r="M154" s="72">
        <v>0</v>
      </c>
      <c r="N154" s="131">
        <v>0</v>
      </c>
      <c r="O154" s="112">
        <f>V154*$O$2*1000</f>
        <v>7227.3196800000005</v>
      </c>
      <c r="P154" s="73">
        <f>F154+J154+N154</f>
        <v>16680</v>
      </c>
      <c r="Q154" s="74">
        <f>P154/1000</f>
        <v>16.68</v>
      </c>
      <c r="R154" s="74">
        <f>MAX(P154,O154)</f>
        <v>16680</v>
      </c>
      <c r="S154" s="75">
        <f>VLOOKUP(A154,'[2]BOM FG Files'!$A:$F,6,FALSE)</f>
        <v>17176.268051966297</v>
      </c>
      <c r="T154" s="76">
        <f>S154-P154</f>
        <v>496.26805196629721</v>
      </c>
      <c r="U154" s="106">
        <f>T154/S154</f>
        <v>2.8892658781573082E-2</v>
      </c>
      <c r="V154" s="66">
        <f>(((C154*D154*E154)+(G154*H154*I154)+(K154*L154*M154))/1000000)*35.32</f>
        <v>1.2045532800000001</v>
      </c>
      <c r="W154" s="67">
        <f>Q154/V154</f>
        <v>13.847457208368565</v>
      </c>
      <c r="X154" s="58" t="str">
        <f>VLOOKUP(A154,'[1]MTP SKUs - Master Data'!$A:$B,2,FALSE)</f>
        <v>Y</v>
      </c>
    </row>
    <row r="155" spans="1:24" ht="14.45" customHeight="1">
      <c r="A155" s="58" t="s">
        <v>161</v>
      </c>
      <c r="B155" s="3" t="s">
        <v>48</v>
      </c>
      <c r="C155" s="104">
        <v>125</v>
      </c>
      <c r="D155" s="72">
        <v>40</v>
      </c>
      <c r="E155" s="72">
        <v>8</v>
      </c>
      <c r="F155" s="135">
        <v>17200</v>
      </c>
      <c r="G155" s="72">
        <v>0</v>
      </c>
      <c r="H155" s="72">
        <v>0</v>
      </c>
      <c r="I155" s="72">
        <v>0</v>
      </c>
      <c r="J155" s="131">
        <v>0</v>
      </c>
      <c r="K155" s="72">
        <v>0</v>
      </c>
      <c r="L155" s="72">
        <v>0</v>
      </c>
      <c r="M155" s="72">
        <v>0</v>
      </c>
      <c r="N155" s="131">
        <v>0</v>
      </c>
      <c r="O155" s="112">
        <f>V155*$O$2*1000</f>
        <v>8476.8000000000011</v>
      </c>
      <c r="P155" s="73">
        <f>F155+J155+N155</f>
        <v>17200</v>
      </c>
      <c r="Q155" s="74">
        <f>P155/1000</f>
        <v>17.2</v>
      </c>
      <c r="R155" s="74">
        <f>MAX(P155,O155)</f>
        <v>17200</v>
      </c>
      <c r="S155" s="75">
        <f>VLOOKUP(A155,'[2]BOM FG Files'!$A:$F,6,FALSE)</f>
        <v>17715.154670068634</v>
      </c>
      <c r="T155" s="76">
        <f>S155-P155</f>
        <v>515.154670068634</v>
      </c>
      <c r="U155" s="106">
        <f>T155/S155</f>
        <v>2.9079885536592843E-2</v>
      </c>
      <c r="V155" s="66">
        <f>(((C155*D155*E155)+(G155*H155*I155)+(K155*L155*M155))/1000000)*35.32</f>
        <v>1.4128000000000001</v>
      </c>
      <c r="W155" s="67">
        <f>Q155/V155</f>
        <v>12.17440543601359</v>
      </c>
      <c r="X155" s="58" t="str">
        <f>VLOOKUP(A155,'[1]MTP SKUs - Master Data'!$A:$B,2,FALSE)</f>
        <v>Y</v>
      </c>
    </row>
    <row r="156" spans="1:24" ht="14.45" customHeight="1">
      <c r="A156" s="79" t="s">
        <v>146</v>
      </c>
      <c r="B156" s="2"/>
      <c r="C156" s="104">
        <v>145</v>
      </c>
      <c r="D156" s="72">
        <v>48</v>
      </c>
      <c r="E156" s="72">
        <v>10</v>
      </c>
      <c r="F156" s="135">
        <v>29600</v>
      </c>
      <c r="G156" s="72">
        <v>0</v>
      </c>
      <c r="H156" s="72">
        <v>0</v>
      </c>
      <c r="I156" s="72">
        <v>0</v>
      </c>
      <c r="J156" s="131">
        <v>0</v>
      </c>
      <c r="K156" s="72">
        <v>0</v>
      </c>
      <c r="L156" s="72">
        <v>0</v>
      </c>
      <c r="M156" s="72">
        <v>0</v>
      </c>
      <c r="N156" s="131">
        <v>0</v>
      </c>
      <c r="O156" s="112">
        <f>V156*$O$2*1000</f>
        <v>14749.632</v>
      </c>
      <c r="P156" s="73">
        <f>F156+J156+N156</f>
        <v>29600</v>
      </c>
      <c r="Q156" s="74">
        <f>P156/1000</f>
        <v>29.6</v>
      </c>
      <c r="R156" s="74">
        <f>MAX(P156,O156)</f>
        <v>29600</v>
      </c>
      <c r="S156" s="75">
        <f>VLOOKUP(A156,'[2]BOM FG Files'!$A:$F,6,FALSE)</f>
        <v>30489.420760105124</v>
      </c>
      <c r="T156" s="76">
        <f>S156-P156</f>
        <v>889.42076010512392</v>
      </c>
      <c r="U156" s="106">
        <f>T156/S156</f>
        <v>2.9171454817171059E-2</v>
      </c>
      <c r="V156" s="66">
        <f>(((C156*D156*E156)+(G156*H156*I156)+(K156*L156*M156))/1000000)*35.32</f>
        <v>2.458272</v>
      </c>
      <c r="W156" s="67">
        <f>Q156/V156</f>
        <v>12.040978378308015</v>
      </c>
      <c r="X156" s="58" t="str">
        <f>VLOOKUP(A156,'[1]MTP SKUs - Master Data'!$A:$B,2,FALSE)</f>
        <v>Y</v>
      </c>
    </row>
    <row r="157" spans="1:24">
      <c r="A157" s="58" t="s">
        <v>176</v>
      </c>
      <c r="B157" s="3" t="s">
        <v>48</v>
      </c>
      <c r="C157" s="104">
        <v>107</v>
      </c>
      <c r="D157" s="72">
        <v>34</v>
      </c>
      <c r="E157" s="72">
        <v>12</v>
      </c>
      <c r="F157" s="135">
        <v>22200</v>
      </c>
      <c r="G157" s="72">
        <v>0</v>
      </c>
      <c r="H157" s="72">
        <v>0</v>
      </c>
      <c r="I157" s="72">
        <v>0</v>
      </c>
      <c r="J157" s="131">
        <v>0</v>
      </c>
      <c r="K157" s="72">
        <v>0</v>
      </c>
      <c r="L157" s="72">
        <v>0</v>
      </c>
      <c r="M157" s="72">
        <v>0</v>
      </c>
      <c r="N157" s="131">
        <v>0</v>
      </c>
      <c r="O157" s="112">
        <f>V157*$O$2*1000</f>
        <v>9251.5795199999993</v>
      </c>
      <c r="P157" s="73">
        <f>F157+J157+N157</f>
        <v>22200</v>
      </c>
      <c r="Q157" s="74">
        <f>P157/1000</f>
        <v>22.2</v>
      </c>
      <c r="R157" s="74">
        <f>MAX(P157,O157)</f>
        <v>22200</v>
      </c>
      <c r="S157" s="75">
        <f>VLOOKUP(A157,'[2]BOM FG Files'!$A:$F,6,FALSE)</f>
        <v>22867.853027018853</v>
      </c>
      <c r="T157" s="76">
        <f>S157-P157</f>
        <v>667.85302701885303</v>
      </c>
      <c r="U157" s="106">
        <f>T157/S157</f>
        <v>2.9204885400906263E-2</v>
      </c>
      <c r="V157" s="66">
        <f>(((C157*D157*E157)+(G157*H157*I157)+(K157*L157*M157))/1000000)*35.32</f>
        <v>1.5419299200000001</v>
      </c>
      <c r="W157" s="67">
        <f>Q157/V157</f>
        <v>14.39754149137984</v>
      </c>
      <c r="X157" s="58" t="str">
        <f>VLOOKUP(A157,'[1]MTP SKUs - Master Data'!$A:$B,2,FALSE)</f>
        <v>Y</v>
      </c>
    </row>
    <row r="158" spans="1:24" ht="14.45" customHeight="1">
      <c r="A158" s="79" t="s">
        <v>134</v>
      </c>
      <c r="B158" s="2"/>
      <c r="C158" s="104">
        <v>78</v>
      </c>
      <c r="D158" s="72">
        <v>45</v>
      </c>
      <c r="E158" s="72">
        <v>12</v>
      </c>
      <c r="F158" s="135">
        <v>31800</v>
      </c>
      <c r="G158" s="72">
        <v>0</v>
      </c>
      <c r="H158" s="72">
        <v>0</v>
      </c>
      <c r="I158" s="72">
        <v>0</v>
      </c>
      <c r="J158" s="131">
        <v>0</v>
      </c>
      <c r="K158" s="72">
        <v>0</v>
      </c>
      <c r="L158" s="72">
        <v>0</v>
      </c>
      <c r="M158" s="72">
        <v>0</v>
      </c>
      <c r="N158" s="131">
        <v>0</v>
      </c>
      <c r="O158" s="112">
        <f>V158*$O$2*1000</f>
        <v>8926.0703999999987</v>
      </c>
      <c r="P158" s="73">
        <f>F158+J158+N158</f>
        <v>31800</v>
      </c>
      <c r="Q158" s="74">
        <f>P158/1000</f>
        <v>31.8</v>
      </c>
      <c r="R158" s="74">
        <f>MAX(P158,O158)</f>
        <v>31800</v>
      </c>
      <c r="S158" s="75">
        <f>VLOOKUP(A158,'[2]BOM FG Files'!$A:$F,6,FALSE)</f>
        <v>32760.960189532845</v>
      </c>
      <c r="T158" s="76">
        <f>S158-P158</f>
        <v>960.96018953284511</v>
      </c>
      <c r="U158" s="106">
        <f>T158/S158</f>
        <v>2.9332479389290695E-2</v>
      </c>
      <c r="V158" s="66">
        <f>(((C158*D158*E158)+(G158*H158*I158)+(K158*L158*M158))/1000000)*35.32</f>
        <v>1.4876783999999998</v>
      </c>
      <c r="W158" s="67">
        <f>Q158/V158</f>
        <v>21.375587627003259</v>
      </c>
      <c r="X158" s="58" t="str">
        <f>VLOOKUP(A158,'[1]MTP SKUs - Master Data'!$A:$B,2,FALSE)</f>
        <v>Y</v>
      </c>
    </row>
    <row r="159" spans="1:24" ht="14.45" customHeight="1">
      <c r="A159" s="58" t="s">
        <v>288</v>
      </c>
      <c r="B159" s="3" t="s">
        <v>48</v>
      </c>
      <c r="C159" s="104">
        <v>96</v>
      </c>
      <c r="D159" s="72">
        <v>29</v>
      </c>
      <c r="E159" s="72">
        <v>5</v>
      </c>
      <c r="F159" s="135">
        <v>4760</v>
      </c>
      <c r="G159" s="72">
        <v>0</v>
      </c>
      <c r="H159" s="72">
        <v>0</v>
      </c>
      <c r="I159" s="72">
        <v>0</v>
      </c>
      <c r="J159" s="131">
        <v>0</v>
      </c>
      <c r="K159" s="72">
        <v>0</v>
      </c>
      <c r="L159" s="72">
        <v>0</v>
      </c>
      <c r="M159" s="72">
        <v>0</v>
      </c>
      <c r="N159" s="131">
        <v>0</v>
      </c>
      <c r="O159" s="112">
        <f>V159*$O$2*1000</f>
        <v>2949.9263999999998</v>
      </c>
      <c r="P159" s="73">
        <f>F159+J159+N159</f>
        <v>4760</v>
      </c>
      <c r="Q159" s="74">
        <f>P159/1000</f>
        <v>4.76</v>
      </c>
      <c r="R159" s="74">
        <f>MAX(P159,O159)</f>
        <v>4760</v>
      </c>
      <c r="S159" s="75">
        <f>VLOOKUP(A159,'[2]BOM FG Files'!$A:$F,6,FALSE)</f>
        <v>4903.8823406379233</v>
      </c>
      <c r="T159" s="76">
        <f>S159-P159</f>
        <v>143.88234063792333</v>
      </c>
      <c r="U159" s="106">
        <f>T159/S159</f>
        <v>2.9340496089309994E-2</v>
      </c>
      <c r="V159" s="66">
        <f>(((C159*D159*E159)+(G159*H159*I159)+(K159*L159*M159))/1000000)*35.32</f>
        <v>0.49165439999999999</v>
      </c>
      <c r="W159" s="67">
        <f>Q159/V159</f>
        <v>9.6815974798557676</v>
      </c>
      <c r="X159" s="58" t="str">
        <f>VLOOKUP(A159,'[1]MTP SKUs - Master Data'!$A:$B,2,FALSE)</f>
        <v>Y</v>
      </c>
    </row>
    <row r="160" spans="1:24" ht="14.45" customHeight="1">
      <c r="A160" s="23" t="s">
        <v>68</v>
      </c>
      <c r="B160" s="3" t="s">
        <v>48</v>
      </c>
      <c r="C160" s="104">
        <v>187</v>
      </c>
      <c r="D160" s="72">
        <v>43</v>
      </c>
      <c r="E160" s="72">
        <v>14</v>
      </c>
      <c r="F160" s="135">
        <v>58920</v>
      </c>
      <c r="G160" s="72">
        <v>0</v>
      </c>
      <c r="H160" s="72">
        <v>0</v>
      </c>
      <c r="I160" s="72">
        <v>0</v>
      </c>
      <c r="J160" s="131">
        <v>0</v>
      </c>
      <c r="K160" s="72">
        <v>0</v>
      </c>
      <c r="L160" s="72">
        <v>0</v>
      </c>
      <c r="M160" s="72">
        <v>0</v>
      </c>
      <c r="N160" s="131">
        <v>0</v>
      </c>
      <c r="O160" s="112">
        <f>V160*$O$2*1000</f>
        <v>23856.682079999999</v>
      </c>
      <c r="P160" s="73">
        <f>F160+J160+N160</f>
        <v>58920</v>
      </c>
      <c r="Q160" s="74">
        <f>P160/1000</f>
        <v>58.92</v>
      </c>
      <c r="R160" s="74">
        <f>MAX(P160,O160)</f>
        <v>58920</v>
      </c>
      <c r="S160" s="75">
        <f>VLOOKUP(A160,'[2]BOM FG Files'!$A:$F,6,FALSE)</f>
        <v>60713.341186859107</v>
      </c>
      <c r="T160" s="76">
        <f>S160-P160</f>
        <v>1793.3411868591065</v>
      </c>
      <c r="U160" s="106">
        <f>T160/S160</f>
        <v>2.9537843772091069E-2</v>
      </c>
      <c r="V160" s="66">
        <f>(((C160*D160*E160)+(G160*H160*I160)+(K160*L160*M160))/1000000)*35.32</f>
        <v>3.9761136799999997</v>
      </c>
      <c r="W160" s="67">
        <f>Q160/V160</f>
        <v>14.818489797303785</v>
      </c>
      <c r="X160" s="58" t="str">
        <f>VLOOKUP(A160,'[1]MTP SKUs - Master Data'!$A:$B,2,FALSE)</f>
        <v>Y</v>
      </c>
    </row>
    <row r="161" spans="1:24" ht="14.45" customHeight="1">
      <c r="A161" s="58" t="s">
        <v>178</v>
      </c>
      <c r="B161" s="3" t="s">
        <v>48</v>
      </c>
      <c r="C161" s="104">
        <v>144</v>
      </c>
      <c r="D161" s="72">
        <v>41</v>
      </c>
      <c r="E161" s="72">
        <v>10</v>
      </c>
      <c r="F161" s="135">
        <v>29940</v>
      </c>
      <c r="G161" s="72">
        <v>0</v>
      </c>
      <c r="H161" s="72">
        <v>0</v>
      </c>
      <c r="I161" s="72">
        <v>0</v>
      </c>
      <c r="J161" s="131">
        <v>0</v>
      </c>
      <c r="K161" s="72">
        <v>0</v>
      </c>
      <c r="L161" s="72">
        <v>0</v>
      </c>
      <c r="M161" s="72">
        <v>0</v>
      </c>
      <c r="N161" s="131">
        <v>0</v>
      </c>
      <c r="O161" s="112">
        <f>V161*$O$2*1000</f>
        <v>12511.756800000001</v>
      </c>
      <c r="P161" s="73">
        <f>F161+J161+N161</f>
        <v>29940</v>
      </c>
      <c r="Q161" s="74">
        <f>P161/1000</f>
        <v>29.94</v>
      </c>
      <c r="R161" s="74">
        <f>MAX(P161,O161)</f>
        <v>29940</v>
      </c>
      <c r="S161" s="75">
        <f>VLOOKUP(A161,'[2]BOM FG Files'!$A:$F,6,FALSE)</f>
        <v>30852.461205972952</v>
      </c>
      <c r="T161" s="76">
        <f>S161-P161</f>
        <v>912.46120597295157</v>
      </c>
      <c r="U161" s="106">
        <f>T161/S161</f>
        <v>2.9574989168005227E-2</v>
      </c>
      <c r="V161" s="66">
        <f>(((C161*D161*E161)+(G161*H161*I161)+(K161*L161*M161))/1000000)*35.32</f>
        <v>2.0852927999999999</v>
      </c>
      <c r="W161" s="67">
        <f>Q161/V161</f>
        <v>14.357695955215499</v>
      </c>
      <c r="X161" s="58" t="str">
        <f>VLOOKUP(A161,'[1]MTP SKUs - Master Data'!$A:$B,2,FALSE)</f>
        <v>Y</v>
      </c>
    </row>
    <row r="162" spans="1:24" ht="14.45" customHeight="1">
      <c r="A162" s="58" t="s">
        <v>293</v>
      </c>
      <c r="B162" s="3" t="s">
        <v>48</v>
      </c>
      <c r="C162" s="104">
        <v>112</v>
      </c>
      <c r="D162" s="72">
        <v>19</v>
      </c>
      <c r="E162" s="72">
        <v>4</v>
      </c>
      <c r="F162" s="135">
        <v>3640</v>
      </c>
      <c r="G162" s="72">
        <v>0</v>
      </c>
      <c r="H162" s="72">
        <v>0</v>
      </c>
      <c r="I162" s="72">
        <v>0</v>
      </c>
      <c r="J162" s="131">
        <v>0</v>
      </c>
      <c r="K162" s="72">
        <v>0</v>
      </c>
      <c r="L162" s="72">
        <v>0</v>
      </c>
      <c r="M162" s="72">
        <v>0</v>
      </c>
      <c r="N162" s="131">
        <v>0</v>
      </c>
      <c r="O162" s="112">
        <f>V162*$O$2*1000</f>
        <v>1803.86304</v>
      </c>
      <c r="P162" s="73">
        <f>F162+J162+N162</f>
        <v>3640</v>
      </c>
      <c r="Q162" s="74">
        <f>P162/1000</f>
        <v>3.64</v>
      </c>
      <c r="R162" s="74">
        <f>MAX(P162,O162)</f>
        <v>3640</v>
      </c>
      <c r="S162" s="75">
        <f>VLOOKUP(A162,'[2]BOM FG Files'!$A:$F,6,FALSE)</f>
        <v>3751.7153900061712</v>
      </c>
      <c r="T162" s="76">
        <f>S162-P162</f>
        <v>111.71539000617122</v>
      </c>
      <c r="U162" s="106">
        <f>T162/S162</f>
        <v>2.9777149488407078E-2</v>
      </c>
      <c r="V162" s="66">
        <f>(((C162*D162*E162)+(G162*H162*I162)+(K162*L162*M162))/1000000)*35.32</f>
        <v>0.30064384</v>
      </c>
      <c r="W162" s="67">
        <f>Q162/V162</f>
        <v>12.107349347320737</v>
      </c>
      <c r="X162" s="58" t="str">
        <f>VLOOKUP(A162,'[1]MTP SKUs - Master Data'!$A:$B,2,FALSE)</f>
        <v>Y</v>
      </c>
    </row>
    <row r="163" spans="1:24" ht="14.45" customHeight="1">
      <c r="A163" s="58" t="s">
        <v>179</v>
      </c>
      <c r="B163" s="3" t="s">
        <v>48</v>
      </c>
      <c r="C163" s="104">
        <v>137</v>
      </c>
      <c r="D163" s="72">
        <v>29</v>
      </c>
      <c r="E163" s="72">
        <v>8</v>
      </c>
      <c r="F163" s="135">
        <v>16500</v>
      </c>
      <c r="G163" s="72">
        <v>0</v>
      </c>
      <c r="H163" s="72">
        <v>0</v>
      </c>
      <c r="I163" s="72">
        <v>0</v>
      </c>
      <c r="J163" s="131">
        <v>0</v>
      </c>
      <c r="K163" s="72">
        <v>0</v>
      </c>
      <c r="L163" s="72">
        <v>0</v>
      </c>
      <c r="M163" s="72">
        <v>0</v>
      </c>
      <c r="N163" s="131">
        <v>0</v>
      </c>
      <c r="O163" s="112">
        <f>V163*$O$2*1000</f>
        <v>6735.6652800000011</v>
      </c>
      <c r="P163" s="73">
        <f>F163+J163+N163</f>
        <v>16500</v>
      </c>
      <c r="Q163" s="74">
        <f>P163/1000</f>
        <v>16.5</v>
      </c>
      <c r="R163" s="74">
        <f>MAX(P163,O163)</f>
        <v>16500</v>
      </c>
      <c r="S163" s="75">
        <f>VLOOKUP(A163,'[2]BOM FG Files'!$A:$F,6,FALSE)</f>
        <v>17008.529866036071</v>
      </c>
      <c r="T163" s="76">
        <f>S163-P163</f>
        <v>508.52986603607133</v>
      </c>
      <c r="U163" s="106">
        <f>T163/S163</f>
        <v>2.9898519745174598E-2</v>
      </c>
      <c r="V163" s="66">
        <f>(((C163*D163*E163)+(G163*H163*I163)+(K163*L163*M163))/1000000)*35.32</f>
        <v>1.1226108800000001</v>
      </c>
      <c r="W163" s="67">
        <f>Q163/V163</f>
        <v>14.697879999167654</v>
      </c>
      <c r="X163" s="58" t="str">
        <f>VLOOKUP(A163,'[1]MTP SKUs - Master Data'!$A:$B,2,FALSE)</f>
        <v>Y</v>
      </c>
    </row>
    <row r="164" spans="1:24" ht="14.45" customHeight="1">
      <c r="A164" s="58" t="s">
        <v>163</v>
      </c>
      <c r="B164" s="3" t="s">
        <v>74</v>
      </c>
      <c r="C164" s="104">
        <v>188</v>
      </c>
      <c r="D164" s="72">
        <v>48</v>
      </c>
      <c r="E164" s="72">
        <v>9</v>
      </c>
      <c r="F164" s="135">
        <v>40300</v>
      </c>
      <c r="G164" s="72">
        <v>148</v>
      </c>
      <c r="H164" s="72">
        <v>62</v>
      </c>
      <c r="I164" s="72">
        <v>9</v>
      </c>
      <c r="J164" s="131">
        <v>30110</v>
      </c>
      <c r="K164" s="72">
        <v>0</v>
      </c>
      <c r="L164" s="72">
        <v>0</v>
      </c>
      <c r="M164" s="72">
        <v>0</v>
      </c>
      <c r="N164" s="131">
        <v>0</v>
      </c>
      <c r="O164" s="112">
        <f>V164*$O$2*1000</f>
        <v>34712.495999999999</v>
      </c>
      <c r="P164" s="73">
        <f>F164+J164+N164</f>
        <v>70410</v>
      </c>
      <c r="Q164" s="74">
        <f>P164/1000</f>
        <v>70.41</v>
      </c>
      <c r="R164" s="74">
        <f>MAX(P164,O164)</f>
        <v>70410</v>
      </c>
      <c r="S164" s="75">
        <f>VLOOKUP(A164,'[2]BOM FG Files'!$A:$F,6,FALSE)</f>
        <v>72601.142379560784</v>
      </c>
      <c r="T164" s="76">
        <f>S164-P164</f>
        <v>2191.1423795607843</v>
      </c>
      <c r="U164" s="106">
        <f>T164/S164</f>
        <v>3.0180549613192467E-2</v>
      </c>
      <c r="V164" s="66">
        <f>(((C164*D164*E164)+(G164*H164*I164)+(K164*L164*M164))/1000000)*35.32</f>
        <v>5.7854159999999997</v>
      </c>
      <c r="W164" s="67">
        <f>Q164/V164</f>
        <v>12.170257073994334</v>
      </c>
      <c r="X164" s="58" t="str">
        <f>VLOOKUP(A164,'[1]MTP SKUs - Master Data'!$A:$B,2,FALSE)</f>
        <v>Y</v>
      </c>
    </row>
    <row r="165" spans="1:24" ht="14.45" customHeight="1">
      <c r="A165" s="23" t="s">
        <v>75</v>
      </c>
      <c r="B165" s="3" t="s">
        <v>48</v>
      </c>
      <c r="C165" s="104">
        <v>77</v>
      </c>
      <c r="D165" s="72">
        <v>35</v>
      </c>
      <c r="E165" s="72">
        <v>12</v>
      </c>
      <c r="F165" s="135">
        <v>15880</v>
      </c>
      <c r="G165" s="72">
        <v>0</v>
      </c>
      <c r="H165" s="72">
        <v>0</v>
      </c>
      <c r="I165" s="72">
        <v>0</v>
      </c>
      <c r="J165" s="131">
        <v>0</v>
      </c>
      <c r="K165" s="72">
        <v>0</v>
      </c>
      <c r="L165" s="72">
        <v>0</v>
      </c>
      <c r="M165" s="72">
        <v>0</v>
      </c>
      <c r="N165" s="131">
        <v>0</v>
      </c>
      <c r="O165" s="112">
        <f>V165*$O$2*1000</f>
        <v>6853.4928</v>
      </c>
      <c r="P165" s="73">
        <f>F165+J165+N165</f>
        <v>15880</v>
      </c>
      <c r="Q165" s="74">
        <f>P165/1000</f>
        <v>15.88</v>
      </c>
      <c r="R165" s="74">
        <f>MAX(P165,O165)</f>
        <v>15880</v>
      </c>
      <c r="S165" s="75">
        <f>VLOOKUP(A165,'[2]BOM FG Files'!$A:$F,6,FALSE)</f>
        <v>16380.480094766423</v>
      </c>
      <c r="T165" s="76">
        <f>S165-P165</f>
        <v>500.48009476642255</v>
      </c>
      <c r="U165" s="106">
        <f>T165/S165</f>
        <v>3.0553444824021146E-2</v>
      </c>
      <c r="V165" s="66">
        <f>(((C165*D165*E165)+(G165*H165*I165)+(K165*L165*M165))/1000000)*35.32</f>
        <v>1.1422488</v>
      </c>
      <c r="W165" s="67">
        <f>Q165/V165</f>
        <v>13.902400247651826</v>
      </c>
      <c r="X165" s="58" t="str">
        <f>VLOOKUP(A165,'[1]MTP SKUs - Master Data'!$A:$B,2,FALSE)</f>
        <v>Y</v>
      </c>
    </row>
    <row r="166" spans="1:24" ht="14.45" customHeight="1">
      <c r="A166" s="58" t="s">
        <v>143</v>
      </c>
      <c r="B166" s="3" t="s">
        <v>48</v>
      </c>
      <c r="C166" s="104">
        <v>147</v>
      </c>
      <c r="D166" s="72">
        <v>28</v>
      </c>
      <c r="E166" s="72">
        <v>7</v>
      </c>
      <c r="F166" s="135">
        <v>14900</v>
      </c>
      <c r="G166" s="72">
        <v>0</v>
      </c>
      <c r="H166" s="72">
        <v>0</v>
      </c>
      <c r="I166" s="72">
        <v>0</v>
      </c>
      <c r="J166" s="131">
        <v>0</v>
      </c>
      <c r="K166" s="72">
        <v>0</v>
      </c>
      <c r="L166" s="72">
        <v>0</v>
      </c>
      <c r="M166" s="72">
        <v>0</v>
      </c>
      <c r="N166" s="131">
        <v>0</v>
      </c>
      <c r="O166" s="112">
        <f>V166*$O$2*1000</f>
        <v>6105.8390399999989</v>
      </c>
      <c r="P166" s="73">
        <f>F166+J166+N166</f>
        <v>14900</v>
      </c>
      <c r="Q166" s="74">
        <f>P166/1000</f>
        <v>14.9</v>
      </c>
      <c r="R166" s="74">
        <f>MAX(P166,O166)</f>
        <v>14900</v>
      </c>
      <c r="S166" s="75">
        <f>VLOOKUP(A166,'[2]BOM FG Files'!$A:$F,6,FALSE)</f>
        <v>15375.755295002507</v>
      </c>
      <c r="T166" s="76">
        <f>S166-P166</f>
        <v>475.75529500250741</v>
      </c>
      <c r="U166" s="106">
        <f>T166/S166</f>
        <v>3.0941913803554055E-2</v>
      </c>
      <c r="V166" s="66">
        <f>(((C166*D166*E166)+(G166*H166*I166)+(K166*L166*M166))/1000000)*35.32</f>
        <v>1.01763984</v>
      </c>
      <c r="W166" s="67">
        <f>Q166/V166</f>
        <v>14.641722360240928</v>
      </c>
      <c r="X166" s="58" t="str">
        <f>VLOOKUP(A166,'[1]MTP SKUs - Master Data'!$A:$B,2,FALSE)</f>
        <v>Y</v>
      </c>
    </row>
    <row r="167" spans="1:24">
      <c r="A167" s="58" t="s">
        <v>96</v>
      </c>
      <c r="B167" s="3" t="s">
        <v>74</v>
      </c>
      <c r="C167" s="104">
        <v>146</v>
      </c>
      <c r="D167" s="72">
        <v>48</v>
      </c>
      <c r="E167" s="72">
        <v>9</v>
      </c>
      <c r="F167" s="135">
        <v>27350</v>
      </c>
      <c r="G167" s="72">
        <v>179</v>
      </c>
      <c r="H167" s="72">
        <v>40</v>
      </c>
      <c r="I167" s="72">
        <v>9</v>
      </c>
      <c r="J167" s="131">
        <v>38300</v>
      </c>
      <c r="K167" s="72">
        <v>185</v>
      </c>
      <c r="L167" s="72">
        <v>48</v>
      </c>
      <c r="M167" s="72">
        <v>10</v>
      </c>
      <c r="N167" s="131">
        <v>41050</v>
      </c>
      <c r="O167" s="112">
        <f>V167*$O$2*1000</f>
        <v>45840.839039999999</v>
      </c>
      <c r="P167" s="73">
        <f>F167+J167+N167</f>
        <v>106700</v>
      </c>
      <c r="Q167" s="74">
        <f>P167/1000</f>
        <v>106.7</v>
      </c>
      <c r="R167" s="74">
        <f>MAX(P167,O167)</f>
        <v>106700</v>
      </c>
      <c r="S167" s="75">
        <f>VLOOKUP(A167,'[2]BOM FG Files'!$A:$F,6,FALSE)</f>
        <v>110303.66298668731</v>
      </c>
      <c r="T167" s="76">
        <f>S167-P167</f>
        <v>3603.6629866873118</v>
      </c>
      <c r="U167" s="106">
        <f>T167/S167</f>
        <v>3.2670383640135706E-2</v>
      </c>
      <c r="V167" s="66">
        <f>(((C167*D167*E167)+(G167*H167*I167)+(K167*L167*M167))/1000000)*35.32</f>
        <v>7.6401398399999998</v>
      </c>
      <c r="W167" s="67">
        <f>Q167/V167</f>
        <v>13.965712962656978</v>
      </c>
      <c r="X167" s="58" t="str">
        <f>VLOOKUP(A167,'[1]MTP SKUs - Master Data'!$A:$B,2,FALSE)</f>
        <v>RL</v>
      </c>
    </row>
    <row r="168" spans="1:24" ht="14.45" customHeight="1">
      <c r="A168" s="58" t="s">
        <v>125</v>
      </c>
      <c r="B168" s="3" t="s">
        <v>48</v>
      </c>
      <c r="C168" s="104">
        <v>193</v>
      </c>
      <c r="D168" s="72">
        <v>46</v>
      </c>
      <c r="E168" s="72">
        <v>13</v>
      </c>
      <c r="F168" s="135">
        <v>52880</v>
      </c>
      <c r="G168" s="72">
        <v>0</v>
      </c>
      <c r="H168" s="72">
        <v>0</v>
      </c>
      <c r="I168" s="72">
        <v>0</v>
      </c>
      <c r="J168" s="131">
        <v>0</v>
      </c>
      <c r="K168" s="72">
        <v>0</v>
      </c>
      <c r="L168" s="72">
        <v>0</v>
      </c>
      <c r="M168" s="72">
        <v>0</v>
      </c>
      <c r="N168" s="131">
        <v>0</v>
      </c>
      <c r="O168" s="112">
        <f>V168*$O$2*1000</f>
        <v>24458.534879999999</v>
      </c>
      <c r="P168" s="73">
        <f>F168+J168+N168</f>
        <v>52880</v>
      </c>
      <c r="Q168" s="74">
        <f>P168/1000</f>
        <v>52.88</v>
      </c>
      <c r="R168" s="74">
        <f>MAX(P168,O168)</f>
        <v>52880</v>
      </c>
      <c r="S168" s="75">
        <f>VLOOKUP(A168,'[2]BOM FG Files'!$A:$F,6,FALSE)</f>
        <v>54585.806833035094</v>
      </c>
      <c r="T168" s="76">
        <f>S168-P168</f>
        <v>1705.8068330350943</v>
      </c>
      <c r="U168" s="106">
        <f>T168/S168</f>
        <v>3.1250006769209235E-2</v>
      </c>
      <c r="V168" s="66">
        <f>(((C168*D168*E168)+(G168*H168*I168)+(K168*L168*M168))/1000000)*35.32</f>
        <v>4.0764224799999997</v>
      </c>
      <c r="W168" s="67">
        <f>Q168/V168</f>
        <v>12.972158862199191</v>
      </c>
      <c r="X168" s="58" t="str">
        <f>VLOOKUP(A168,'[1]MTP SKUs - Master Data'!$A:$B,2,FALSE)</f>
        <v>Y</v>
      </c>
    </row>
    <row r="169" spans="1:24">
      <c r="A169" s="58" t="s">
        <v>278</v>
      </c>
      <c r="B169" s="3" t="s">
        <v>48</v>
      </c>
      <c r="C169" s="104">
        <v>97</v>
      </c>
      <c r="D169" s="72">
        <v>51</v>
      </c>
      <c r="E169" s="72">
        <v>8</v>
      </c>
      <c r="F169" s="135">
        <v>17640</v>
      </c>
      <c r="G169" s="72">
        <v>0</v>
      </c>
      <c r="H169" s="72">
        <v>0</v>
      </c>
      <c r="I169" s="72">
        <v>0</v>
      </c>
      <c r="J169" s="131">
        <v>0</v>
      </c>
      <c r="K169" s="72">
        <v>0</v>
      </c>
      <c r="L169" s="72">
        <v>0</v>
      </c>
      <c r="M169" s="72">
        <v>0</v>
      </c>
      <c r="N169" s="131">
        <v>0</v>
      </c>
      <c r="O169" s="112">
        <f>V169*$O$2*1000</f>
        <v>8386.9459200000001</v>
      </c>
      <c r="P169" s="73">
        <f>F169+J169+N169</f>
        <v>17640</v>
      </c>
      <c r="Q169" s="74">
        <f>P169/1000</f>
        <v>17.64</v>
      </c>
      <c r="R169" s="74">
        <f>MAX(P169,O169)</f>
        <v>17640</v>
      </c>
      <c r="S169" s="75">
        <f>VLOOKUP(A169,'[2]BOM FG Files'!$A:$F,6,FALSE)</f>
        <v>18217.923596843095</v>
      </c>
      <c r="T169" s="76">
        <f>S169-P169</f>
        <v>577.92359684309486</v>
      </c>
      <c r="U169" s="106">
        <f>T169/S169</f>
        <v>3.1722802753615713E-2</v>
      </c>
      <c r="V169" s="66">
        <f>(((C169*D169*E169)+(G169*H169*I169)+(K169*L169*M169))/1000000)*35.32</f>
        <v>1.39782432</v>
      </c>
      <c r="W169" s="67">
        <f>Q169/V169</f>
        <v>12.619611597543246</v>
      </c>
      <c r="X169" s="58" t="str">
        <f>VLOOKUP(A169,'[1]MTP SKUs - Master Data'!$A:$B,2,FALSE)</f>
        <v>Y</v>
      </c>
    </row>
    <row r="170" spans="1:24">
      <c r="A170" s="79" t="s">
        <v>190</v>
      </c>
      <c r="B170" s="2"/>
      <c r="C170" s="104">
        <v>138</v>
      </c>
      <c r="D170" s="72">
        <v>43</v>
      </c>
      <c r="E170" s="72">
        <v>7</v>
      </c>
      <c r="F170" s="135">
        <v>16650</v>
      </c>
      <c r="G170" s="72">
        <v>0</v>
      </c>
      <c r="H170" s="72">
        <v>0</v>
      </c>
      <c r="I170" s="72">
        <v>0</v>
      </c>
      <c r="J170" s="131">
        <v>0</v>
      </c>
      <c r="K170" s="72">
        <v>0</v>
      </c>
      <c r="L170" s="72">
        <v>0</v>
      </c>
      <c r="M170" s="72">
        <v>0</v>
      </c>
      <c r="N170" s="131">
        <v>0</v>
      </c>
      <c r="O170" s="112">
        <f>V170*$O$2*1000</f>
        <v>8802.7329599999994</v>
      </c>
      <c r="P170" s="73">
        <f>F170+J170+N170</f>
        <v>16650</v>
      </c>
      <c r="Q170" s="74">
        <f>P170/1000</f>
        <v>16.649999999999999</v>
      </c>
      <c r="R170" s="74">
        <f>MAX(P170,O170)</f>
        <v>16650</v>
      </c>
      <c r="S170" s="75">
        <f>VLOOKUP(A170,'[2]BOM FG Files'!$A:$F,6,FALSE)</f>
        <v>17198.006781301923</v>
      </c>
      <c r="T170" s="76">
        <f>S170-P170</f>
        <v>548.00678130192318</v>
      </c>
      <c r="U170" s="106">
        <f>T170/S170</f>
        <v>3.186455199550968E-2</v>
      </c>
      <c r="V170" s="66">
        <f>(((C170*D170*E170)+(G170*H170*I170)+(K170*L170*M170))/1000000)*35.32</f>
        <v>1.46712216</v>
      </c>
      <c r="W170" s="67">
        <f>Q170/V170</f>
        <v>11.348748218757734</v>
      </c>
      <c r="X170" s="58" t="str">
        <f>VLOOKUP(A170,'[1]MTP SKUs - Master Data'!$A:$B,2,FALSE)</f>
        <v>Y</v>
      </c>
    </row>
    <row r="171" spans="1:24">
      <c r="A171" s="79" t="s">
        <v>87</v>
      </c>
      <c r="B171" s="2"/>
      <c r="C171" s="104">
        <v>110</v>
      </c>
      <c r="D171" s="72">
        <v>31</v>
      </c>
      <c r="E171" s="72">
        <v>17</v>
      </c>
      <c r="F171" s="135">
        <v>29220</v>
      </c>
      <c r="G171" s="72">
        <v>0</v>
      </c>
      <c r="H171" s="72">
        <v>0</v>
      </c>
      <c r="I171" s="72">
        <v>0</v>
      </c>
      <c r="J171" s="131">
        <v>0</v>
      </c>
      <c r="K171" s="72">
        <v>0</v>
      </c>
      <c r="L171" s="72">
        <v>0</v>
      </c>
      <c r="M171" s="72">
        <v>0</v>
      </c>
      <c r="N171" s="131">
        <v>0</v>
      </c>
      <c r="O171" s="112">
        <f>V171*$O$2*1000</f>
        <v>12285.002399999999</v>
      </c>
      <c r="P171" s="73">
        <f>F171+J171+N171</f>
        <v>29220</v>
      </c>
      <c r="Q171" s="74">
        <f>P171/1000</f>
        <v>29.22</v>
      </c>
      <c r="R171" s="74">
        <f>MAX(P171,O171)</f>
        <v>29220</v>
      </c>
      <c r="S171" s="75">
        <f>VLOOKUP(A171,'[2]BOM FG Files'!$A:$F,6,FALSE)</f>
        <v>30185.347927356488</v>
      </c>
      <c r="T171" s="76">
        <f>S171-P171</f>
        <v>965.34792735648807</v>
      </c>
      <c r="U171" s="106">
        <f>T171/S171</f>
        <v>3.1980679158632758E-2</v>
      </c>
      <c r="V171" s="66">
        <f>(((C171*D171*E171)+(G171*H171*I171)+(K171*L171*M171))/1000000)*35.32</f>
        <v>2.0475004000000001</v>
      </c>
      <c r="W171" s="67">
        <f>Q171/V171</f>
        <v>14.271059483065301</v>
      </c>
      <c r="X171" s="58" t="str">
        <f>VLOOKUP(A171,'[1]MTP SKUs - Master Data'!$A:$B,2,FALSE)</f>
        <v>Y</v>
      </c>
    </row>
    <row r="172" spans="1:24">
      <c r="A172" s="79" t="s">
        <v>151</v>
      </c>
      <c r="B172" s="2"/>
      <c r="C172" s="104">
        <v>55</v>
      </c>
      <c r="D172" s="72">
        <v>27</v>
      </c>
      <c r="E172" s="72">
        <v>9</v>
      </c>
      <c r="F172" s="135">
        <v>6130</v>
      </c>
      <c r="G172" s="72">
        <v>0</v>
      </c>
      <c r="H172" s="72">
        <v>0</v>
      </c>
      <c r="I172" s="72">
        <v>0</v>
      </c>
      <c r="J172" s="131">
        <v>0</v>
      </c>
      <c r="K172" s="72">
        <v>0</v>
      </c>
      <c r="L172" s="72">
        <v>0</v>
      </c>
      <c r="M172" s="72">
        <v>0</v>
      </c>
      <c r="N172" s="131">
        <v>0</v>
      </c>
      <c r="O172" s="112">
        <f>V172*$O$2*1000</f>
        <v>2832.3108000000002</v>
      </c>
      <c r="P172" s="73">
        <f>F172+J172+N172</f>
        <v>6130</v>
      </c>
      <c r="Q172" s="74">
        <f>P172/1000</f>
        <v>6.13</v>
      </c>
      <c r="R172" s="74">
        <f>MAX(P172,O172)</f>
        <v>6130</v>
      </c>
      <c r="S172" s="75">
        <f>VLOOKUP(A172,'[2]BOM FG Files'!$A:$F,6,FALSE)</f>
        <v>6332.9193607720808</v>
      </c>
      <c r="T172" s="76">
        <f>S172-P172</f>
        <v>202.91936077208084</v>
      </c>
      <c r="U172" s="106">
        <f>T172/S172</f>
        <v>3.2041993464976291E-2</v>
      </c>
      <c r="V172" s="66">
        <f>(((C172*D172*E172)+(G172*H172*I172)+(K172*L172*M172))/1000000)*35.32</f>
        <v>0.47205180000000002</v>
      </c>
      <c r="W172" s="67">
        <f>Q172/V172</f>
        <v>12.985862992154674</v>
      </c>
      <c r="X172" s="58" t="str">
        <f>VLOOKUP(A172,'[1]MTP SKUs - Master Data'!$A:$B,2,FALSE)</f>
        <v>Y</v>
      </c>
    </row>
    <row r="173" spans="1:24">
      <c r="A173" s="58" t="s">
        <v>262</v>
      </c>
      <c r="B173" s="3" t="s">
        <v>48</v>
      </c>
      <c r="C173" s="104">
        <v>86</v>
      </c>
      <c r="D173" s="72">
        <v>29</v>
      </c>
      <c r="E173" s="72">
        <v>19</v>
      </c>
      <c r="F173" s="135">
        <v>22950</v>
      </c>
      <c r="G173" s="72">
        <v>0</v>
      </c>
      <c r="H173" s="72">
        <v>0</v>
      </c>
      <c r="I173" s="72">
        <v>0</v>
      </c>
      <c r="J173" s="131">
        <v>0</v>
      </c>
      <c r="K173" s="72">
        <v>0</v>
      </c>
      <c r="L173" s="72">
        <v>0</v>
      </c>
      <c r="M173" s="72">
        <v>0</v>
      </c>
      <c r="N173" s="131">
        <v>0</v>
      </c>
      <c r="O173" s="112">
        <f>V173*$O$2*1000</f>
        <v>10042.04112</v>
      </c>
      <c r="P173" s="73">
        <f>F173+J173+N173</f>
        <v>22950</v>
      </c>
      <c r="Q173" s="74">
        <f>P173/1000</f>
        <v>22.95</v>
      </c>
      <c r="R173" s="74">
        <f>MAX(P173,O173)</f>
        <v>22950</v>
      </c>
      <c r="S173" s="75">
        <f>VLOOKUP(A173,'[2]BOM FG Files'!$A:$F,6,FALSE)</f>
        <v>23715.748126918366</v>
      </c>
      <c r="T173" s="76">
        <f>S173-P173</f>
        <v>765.74812691836632</v>
      </c>
      <c r="U173" s="106">
        <f>T173/S173</f>
        <v>3.2288592492227146E-2</v>
      </c>
      <c r="V173" s="66">
        <f>(((C173*D173*E173)+(G173*H173*I173)+(K173*L173*M173))/1000000)*35.32</f>
        <v>1.6736735199999999</v>
      </c>
      <c r="W173" s="67">
        <f>Q173/V173</f>
        <v>13.712351737512105</v>
      </c>
      <c r="X173" s="58" t="str">
        <f>VLOOKUP(A173,'[1]MTP SKUs - Master Data'!$A:$B,2,FALSE)</f>
        <v>Y</v>
      </c>
    </row>
    <row r="174" spans="1:24">
      <c r="A174" s="23" t="s">
        <v>165</v>
      </c>
      <c r="B174" s="3" t="s">
        <v>48</v>
      </c>
      <c r="C174" s="104">
        <v>138</v>
      </c>
      <c r="D174" s="72">
        <v>45</v>
      </c>
      <c r="E174" s="72">
        <v>14</v>
      </c>
      <c r="F174" s="135">
        <v>40470</v>
      </c>
      <c r="G174" s="72">
        <v>0</v>
      </c>
      <c r="H174" s="72">
        <v>0</v>
      </c>
      <c r="I174" s="72">
        <v>0</v>
      </c>
      <c r="J174" s="131">
        <v>0</v>
      </c>
      <c r="K174" s="72">
        <v>0</v>
      </c>
      <c r="L174" s="72">
        <v>0</v>
      </c>
      <c r="M174" s="72">
        <v>0</v>
      </c>
      <c r="N174" s="131">
        <v>0</v>
      </c>
      <c r="O174" s="112">
        <f>V174*$O$2*1000</f>
        <v>18424.324800000002</v>
      </c>
      <c r="P174" s="73">
        <f>F174+J174+N174</f>
        <v>40470</v>
      </c>
      <c r="Q174" s="74">
        <f>P174/1000</f>
        <v>40.47</v>
      </c>
      <c r="R174" s="74">
        <f>MAX(P174,O174)</f>
        <v>40470</v>
      </c>
      <c r="S174" s="75">
        <f>VLOOKUP(A174,'[2]BOM FG Files'!$A:$F,6,FALSE)</f>
        <v>41828.895402398004</v>
      </c>
      <c r="T174" s="76">
        <f>S174-P174</f>
        <v>1358.8954023980041</v>
      </c>
      <c r="U174" s="106">
        <f>T174/S174</f>
        <v>3.2487001851837095E-2</v>
      </c>
      <c r="V174" s="66">
        <f>(((C174*D174*E174)+(G174*H174*I174)+(K174*L174*M174))/1000000)*35.32</f>
        <v>3.0707208000000001</v>
      </c>
      <c r="W174" s="67">
        <f>Q174/V174</f>
        <v>13.179316074584181</v>
      </c>
      <c r="X174" s="58" t="str">
        <f>VLOOKUP(A174,'[1]MTP SKUs - Master Data'!$A:$B,2,FALSE)</f>
        <v>Y</v>
      </c>
    </row>
    <row r="175" spans="1:24">
      <c r="A175" s="23" t="s">
        <v>205</v>
      </c>
      <c r="B175" s="3" t="s">
        <v>48</v>
      </c>
      <c r="C175" s="104">
        <v>107</v>
      </c>
      <c r="D175" s="72">
        <v>42</v>
      </c>
      <c r="E175" s="72">
        <v>9</v>
      </c>
      <c r="F175" s="135">
        <v>18900</v>
      </c>
      <c r="G175" s="72">
        <v>0</v>
      </c>
      <c r="H175" s="72">
        <v>0</v>
      </c>
      <c r="I175" s="72">
        <v>0</v>
      </c>
      <c r="J175" s="131">
        <v>0</v>
      </c>
      <c r="K175" s="72">
        <v>0</v>
      </c>
      <c r="L175" s="72">
        <v>0</v>
      </c>
      <c r="M175" s="72">
        <v>0</v>
      </c>
      <c r="N175" s="131">
        <v>0</v>
      </c>
      <c r="O175" s="112">
        <f>V175*$O$2*1000</f>
        <v>8571.3163200000017</v>
      </c>
      <c r="P175" s="73">
        <f>F175+J175+N175</f>
        <v>18900</v>
      </c>
      <c r="Q175" s="74">
        <f>P175/1000</f>
        <v>18.899999999999999</v>
      </c>
      <c r="R175" s="74">
        <f>MAX(P175,O175)</f>
        <v>18900</v>
      </c>
      <c r="S175" s="75">
        <f>VLOOKUP(A175,'[2]BOM FG Files'!$A:$F,6,FALSE)</f>
        <v>19535.073558664499</v>
      </c>
      <c r="T175" s="76">
        <f>S175-P175</f>
        <v>635.07355866449871</v>
      </c>
      <c r="U175" s="106">
        <f>T175/S175</f>
        <v>3.2509401961418313E-2</v>
      </c>
      <c r="V175" s="66">
        <f>(((C175*D175*E175)+(G175*H175*I175)+(K175*L175*M175))/1000000)*35.32</f>
        <v>1.4285527200000001</v>
      </c>
      <c r="W175" s="67">
        <f>Q175/V175</f>
        <v>13.230173262349041</v>
      </c>
      <c r="X175" s="58" t="str">
        <f>VLOOKUP(A175,'[1]MTP SKUs - Master Data'!$A:$B,2,FALSE)</f>
        <v>Y</v>
      </c>
    </row>
    <row r="176" spans="1:24">
      <c r="A176" s="58" t="s">
        <v>138</v>
      </c>
      <c r="B176" s="3" t="s">
        <v>48</v>
      </c>
      <c r="C176" s="104">
        <v>180</v>
      </c>
      <c r="D176" s="72">
        <v>35</v>
      </c>
      <c r="E176" s="72">
        <v>9</v>
      </c>
      <c r="F176" s="135">
        <v>31650</v>
      </c>
      <c r="G176" s="72">
        <v>0</v>
      </c>
      <c r="H176" s="72">
        <v>0</v>
      </c>
      <c r="I176" s="72">
        <v>0</v>
      </c>
      <c r="J176" s="131">
        <v>0</v>
      </c>
      <c r="K176" s="72">
        <v>0</v>
      </c>
      <c r="L176" s="72">
        <v>0</v>
      </c>
      <c r="M176" s="72">
        <v>0</v>
      </c>
      <c r="N176" s="131">
        <v>0</v>
      </c>
      <c r="O176" s="112">
        <f>V176*$O$2*1000</f>
        <v>12015.864000000001</v>
      </c>
      <c r="P176" s="73">
        <f>F176+J176+N176</f>
        <v>31650</v>
      </c>
      <c r="Q176" s="74">
        <f>P176/1000</f>
        <v>31.65</v>
      </c>
      <c r="R176" s="74">
        <f>MAX(P176,O176)</f>
        <v>31650</v>
      </c>
      <c r="S176" s="75">
        <f>VLOOKUP(A176,'[2]BOM FG Files'!$A:$F,6,FALSE)</f>
        <v>32735.158437577888</v>
      </c>
      <c r="T176" s="76">
        <f>S176-P176</f>
        <v>1085.1584375778875</v>
      </c>
      <c r="U176" s="106">
        <f>T176/S176</f>
        <v>3.3149631447397986E-2</v>
      </c>
      <c r="V176" s="66">
        <f>(((C176*D176*E176)+(G176*H176*I176)+(K176*L176*M176))/1000000)*35.32</f>
        <v>2.0026440000000001</v>
      </c>
      <c r="W176" s="67">
        <f>Q176/V176</f>
        <v>15.804106970584886</v>
      </c>
      <c r="X176" s="58" t="str">
        <f>VLOOKUP(A176,'[1]MTP SKUs - Master Data'!$A:$B,2,FALSE)</f>
        <v>Y</v>
      </c>
    </row>
    <row r="177" spans="1:24">
      <c r="A177" s="58" t="s">
        <v>222</v>
      </c>
      <c r="B177" s="3" t="s">
        <v>48</v>
      </c>
      <c r="C177" s="104">
        <v>143</v>
      </c>
      <c r="D177" s="72">
        <v>36</v>
      </c>
      <c r="E177" s="72">
        <v>12</v>
      </c>
      <c r="F177" s="135">
        <v>30460</v>
      </c>
      <c r="G177" s="72">
        <v>0</v>
      </c>
      <c r="H177" s="72">
        <v>0</v>
      </c>
      <c r="I177" s="72">
        <v>0</v>
      </c>
      <c r="J177" s="131">
        <v>0</v>
      </c>
      <c r="K177" s="72">
        <v>0</v>
      </c>
      <c r="L177" s="72">
        <v>0</v>
      </c>
      <c r="M177" s="72">
        <v>0</v>
      </c>
      <c r="N177" s="131">
        <v>0</v>
      </c>
      <c r="O177" s="112">
        <f>V177*$O$2*1000</f>
        <v>13091.56992</v>
      </c>
      <c r="P177" s="73">
        <f>F177+J177+N177</f>
        <v>30460</v>
      </c>
      <c r="Q177" s="74">
        <f>P177/1000</f>
        <v>30.46</v>
      </c>
      <c r="R177" s="74">
        <f>MAX(P177,O177)</f>
        <v>30460</v>
      </c>
      <c r="S177" s="75">
        <f>VLOOKUP(A177,'[2]BOM FG Files'!$A:$F,6,FALSE)</f>
        <v>31508.490580302285</v>
      </c>
      <c r="T177" s="76">
        <f>S177-P177</f>
        <v>1048.4905803022848</v>
      </c>
      <c r="U177" s="106">
        <f>T177/S177</f>
        <v>3.3276445840212818E-2</v>
      </c>
      <c r="V177" s="66">
        <f>(((C177*D177*E177)+(G177*H177*I177)+(K177*L177*M177))/1000000)*35.32</f>
        <v>2.1819283199999999</v>
      </c>
      <c r="W177" s="67">
        <f>Q177/V177</f>
        <v>13.960128626040293</v>
      </c>
      <c r="X177" s="58" t="str">
        <f>VLOOKUP(A177,'[1]MTP SKUs - Master Data'!$A:$B,2,FALSE)</f>
        <v>Y</v>
      </c>
    </row>
    <row r="178" spans="1:24">
      <c r="A178" s="58" t="s">
        <v>270</v>
      </c>
      <c r="B178" s="3" t="s">
        <v>48</v>
      </c>
      <c r="C178" s="104">
        <v>85</v>
      </c>
      <c r="D178" s="72">
        <v>45</v>
      </c>
      <c r="E178" s="72">
        <v>8</v>
      </c>
      <c r="F178" s="135">
        <v>13900</v>
      </c>
      <c r="G178" s="72">
        <v>0</v>
      </c>
      <c r="H178" s="72">
        <v>0</v>
      </c>
      <c r="I178" s="72">
        <v>0</v>
      </c>
      <c r="J178" s="131">
        <v>0</v>
      </c>
      <c r="K178" s="72">
        <v>0</v>
      </c>
      <c r="L178" s="72">
        <v>0</v>
      </c>
      <c r="M178" s="72">
        <v>0</v>
      </c>
      <c r="N178" s="131">
        <v>0</v>
      </c>
      <c r="O178" s="112">
        <f>V178*$O$2*1000</f>
        <v>6484.7520000000004</v>
      </c>
      <c r="P178" s="73">
        <f>F178+J178+N178</f>
        <v>13900</v>
      </c>
      <c r="Q178" s="74">
        <f>P178/1000</f>
        <v>13.9</v>
      </c>
      <c r="R178" s="74">
        <f>MAX(P178,O178)</f>
        <v>13900</v>
      </c>
      <c r="S178" s="75">
        <f>VLOOKUP(A178,'[2]BOM FG Files'!$A:$F,6,FALSE)</f>
        <v>14382.505057238764</v>
      </c>
      <c r="T178" s="76">
        <f>S178-P178</f>
        <v>482.50505723876449</v>
      </c>
      <c r="U178" s="106">
        <f>T178/S178</f>
        <v>3.354805406419225E-2</v>
      </c>
      <c r="V178" s="66">
        <f>(((C178*D178*E178)+(G178*H178*I178)+(K178*L178*M178))/1000000)*35.32</f>
        <v>1.080792</v>
      </c>
      <c r="W178" s="67">
        <f>Q178/V178</f>
        <v>12.860939015092637</v>
      </c>
      <c r="X178" s="58" t="str">
        <f>VLOOKUP(A178,'[1]MTP SKUs - Master Data'!$A:$B,2,FALSE)</f>
        <v>Y</v>
      </c>
    </row>
    <row r="179" spans="1:24">
      <c r="A179" s="79" t="s">
        <v>60</v>
      </c>
      <c r="B179" s="2"/>
      <c r="C179" s="104">
        <v>65</v>
      </c>
      <c r="D179" s="72">
        <v>18</v>
      </c>
      <c r="E179" s="72">
        <v>9</v>
      </c>
      <c r="F179" s="135">
        <v>3850</v>
      </c>
      <c r="G179" s="72">
        <v>0</v>
      </c>
      <c r="H179" s="72">
        <v>0</v>
      </c>
      <c r="I179" s="72">
        <v>0</v>
      </c>
      <c r="J179" s="131">
        <v>0</v>
      </c>
      <c r="K179" s="72">
        <v>0</v>
      </c>
      <c r="L179" s="72">
        <v>0</v>
      </c>
      <c r="M179" s="72">
        <v>0</v>
      </c>
      <c r="N179" s="131">
        <v>0</v>
      </c>
      <c r="O179" s="112">
        <f>V179*$O$2*1000</f>
        <v>2231.5175999999997</v>
      </c>
      <c r="P179" s="73">
        <f>F179+J179+N179</f>
        <v>3850</v>
      </c>
      <c r="Q179" s="74">
        <f>P179/1000</f>
        <v>3.85</v>
      </c>
      <c r="R179" s="74">
        <f>MAX(P179,O179)</f>
        <v>3850</v>
      </c>
      <c r="S179" s="75">
        <f>VLOOKUP(A179,'[2]BOM FG Files'!$A:$F,6,FALSE)</f>
        <v>3985.1527236959082</v>
      </c>
      <c r="T179" s="76">
        <f>S179-P179</f>
        <v>135.15272369590821</v>
      </c>
      <c r="U179" s="106">
        <f>T179/S179</f>
        <v>3.3914063792909031E-2</v>
      </c>
      <c r="V179" s="66">
        <f>(((C179*D179*E179)+(G179*H179*I179)+(K179*L179*M179))/1000000)*35.32</f>
        <v>0.37191959999999996</v>
      </c>
      <c r="W179" s="67">
        <f>Q179/V179</f>
        <v>10.351699668422961</v>
      </c>
      <c r="X179" s="58" t="str">
        <f>VLOOKUP(A179,'[1]MTP SKUs - Master Data'!$A:$B,2,FALSE)</f>
        <v>Y</v>
      </c>
    </row>
    <row r="180" spans="1:24">
      <c r="A180" s="58" t="s">
        <v>197</v>
      </c>
      <c r="B180" s="3" t="s">
        <v>48</v>
      </c>
      <c r="C180" s="104">
        <v>86</v>
      </c>
      <c r="D180" s="72">
        <v>44</v>
      </c>
      <c r="E180" s="72">
        <v>6</v>
      </c>
      <c r="F180" s="135">
        <v>11000</v>
      </c>
      <c r="G180" s="72">
        <v>0</v>
      </c>
      <c r="H180" s="72">
        <v>0</v>
      </c>
      <c r="I180" s="72">
        <v>0</v>
      </c>
      <c r="J180" s="131">
        <v>0</v>
      </c>
      <c r="K180" s="72">
        <v>0</v>
      </c>
      <c r="L180" s="72">
        <v>0</v>
      </c>
      <c r="M180" s="72">
        <v>0</v>
      </c>
      <c r="N180" s="131">
        <v>0</v>
      </c>
      <c r="O180" s="112">
        <f>V180*$O$2*1000</f>
        <v>4811.4316799999997</v>
      </c>
      <c r="P180" s="73">
        <f>F180+J180+N180</f>
        <v>11000</v>
      </c>
      <c r="Q180" s="74">
        <f>P180/1000</f>
        <v>11</v>
      </c>
      <c r="R180" s="74">
        <f>MAX(P180,O180)</f>
        <v>11000</v>
      </c>
      <c r="S180" s="75">
        <f>VLOOKUP(A180,'[2]BOM FG Files'!$A:$F,6,FALSE)</f>
        <v>11390.046248423392</v>
      </c>
      <c r="T180" s="76">
        <f>S180-P180</f>
        <v>390.04624842339217</v>
      </c>
      <c r="U180" s="106">
        <f>T180/S180</f>
        <v>3.4244483289730475E-2</v>
      </c>
      <c r="V180" s="66">
        <f>(((C180*D180*E180)+(G180*H180*I180)+(K180*L180*M180))/1000000)*35.32</f>
        <v>0.80190527999999994</v>
      </c>
      <c r="W180" s="67">
        <f>Q180/V180</f>
        <v>13.717330804954921</v>
      </c>
      <c r="X180" s="58" t="str">
        <f>VLOOKUP(A180,'[1]MTP SKUs - Master Data'!$A:$B,2,FALSE)</f>
        <v>Y</v>
      </c>
    </row>
    <row r="181" spans="1:24">
      <c r="A181" s="58" t="s">
        <v>232</v>
      </c>
      <c r="B181" s="3" t="s">
        <v>48</v>
      </c>
      <c r="C181" s="104">
        <v>97</v>
      </c>
      <c r="D181" s="72">
        <v>52</v>
      </c>
      <c r="E181" s="72">
        <v>9</v>
      </c>
      <c r="F181" s="135">
        <v>20270</v>
      </c>
      <c r="G181" s="72">
        <v>0</v>
      </c>
      <c r="H181" s="72">
        <v>0</v>
      </c>
      <c r="I181" s="72">
        <v>0</v>
      </c>
      <c r="J181" s="131">
        <v>0</v>
      </c>
      <c r="K181" s="72">
        <v>0</v>
      </c>
      <c r="L181" s="72">
        <v>0</v>
      </c>
      <c r="M181" s="72">
        <v>0</v>
      </c>
      <c r="N181" s="131">
        <v>0</v>
      </c>
      <c r="O181" s="112">
        <f>V181*$O$2*1000</f>
        <v>9620.3203200000007</v>
      </c>
      <c r="P181" s="73">
        <f>F181+J181+N181</f>
        <v>20270</v>
      </c>
      <c r="Q181" s="74">
        <f>P181/1000</f>
        <v>20.27</v>
      </c>
      <c r="R181" s="74">
        <f>MAX(P181,O181)</f>
        <v>20270</v>
      </c>
      <c r="S181" s="75">
        <f>VLOOKUP(A181,'[2]BOM FG Files'!$A:$F,6,FALSE)</f>
        <v>20992.302442332082</v>
      </c>
      <c r="T181" s="76">
        <f>S181-P181</f>
        <v>722.30244233208214</v>
      </c>
      <c r="U181" s="106">
        <f>T181/S181</f>
        <v>3.4407966649504879E-2</v>
      </c>
      <c r="V181" s="66">
        <f>(((C181*D181*E181)+(G181*H181*I181)+(K181*L181*M181))/1000000)*35.32</f>
        <v>1.60338672</v>
      </c>
      <c r="W181" s="67">
        <f>Q181/V181</f>
        <v>12.641990698288931</v>
      </c>
      <c r="X181" s="58" t="str">
        <f>VLOOKUP(A181,'[1]MTP SKUs - Master Data'!$A:$B,2,FALSE)</f>
        <v>Y</v>
      </c>
    </row>
    <row r="182" spans="1:24">
      <c r="A182" s="58" t="s">
        <v>249</v>
      </c>
      <c r="B182" s="3" t="s">
        <v>48</v>
      </c>
      <c r="C182" s="104">
        <v>85</v>
      </c>
      <c r="D182" s="72">
        <v>45</v>
      </c>
      <c r="E182" s="72">
        <v>9</v>
      </c>
      <c r="F182" s="135">
        <v>15710</v>
      </c>
      <c r="G182" s="72">
        <v>0</v>
      </c>
      <c r="H182" s="72">
        <v>0</v>
      </c>
      <c r="I182" s="72">
        <v>0</v>
      </c>
      <c r="J182" s="131">
        <v>0</v>
      </c>
      <c r="K182" s="72">
        <v>0</v>
      </c>
      <c r="L182" s="72">
        <v>0</v>
      </c>
      <c r="M182" s="72">
        <v>0</v>
      </c>
      <c r="N182" s="131">
        <v>0</v>
      </c>
      <c r="O182" s="112">
        <f>V182*$O$2*1000</f>
        <v>7295.3459999999986</v>
      </c>
      <c r="P182" s="73">
        <f>F182+J182+N182</f>
        <v>15710</v>
      </c>
      <c r="Q182" s="74">
        <f>P182/1000</f>
        <v>15.71</v>
      </c>
      <c r="R182" s="74">
        <f>MAX(P182,O182)</f>
        <v>15710</v>
      </c>
      <c r="S182" s="75">
        <f>VLOOKUP(A182,'[2]BOM FG Files'!$A:$F,6,FALSE)</f>
        <v>16271.489498488272</v>
      </c>
      <c r="T182" s="76">
        <f>S182-P182</f>
        <v>561.48949848827215</v>
      </c>
      <c r="U182" s="106">
        <f>T182/S182</f>
        <v>3.4507566043074187E-2</v>
      </c>
      <c r="V182" s="66">
        <f>(((C182*D182*E182)+(G182*H182*I182)+(K182*L182*M182))/1000000)*35.32</f>
        <v>1.2158909999999998</v>
      </c>
      <c r="W182" s="67">
        <f>Q182/V182</f>
        <v>12.92056607047836</v>
      </c>
      <c r="X182" s="58" t="str">
        <f>VLOOKUP(A182,'[1]MTP SKUs - Master Data'!$A:$B,2,FALSE)</f>
        <v>Y</v>
      </c>
    </row>
    <row r="183" spans="1:24">
      <c r="A183" s="58" t="s">
        <v>254</v>
      </c>
      <c r="B183" s="3" t="s">
        <v>48</v>
      </c>
      <c r="C183" s="104">
        <v>108</v>
      </c>
      <c r="D183" s="72">
        <v>45</v>
      </c>
      <c r="E183" s="72">
        <v>10</v>
      </c>
      <c r="F183" s="135">
        <v>20580</v>
      </c>
      <c r="G183" s="72">
        <v>0</v>
      </c>
      <c r="H183" s="72">
        <v>0</v>
      </c>
      <c r="I183" s="72">
        <v>0</v>
      </c>
      <c r="J183" s="131">
        <v>0</v>
      </c>
      <c r="K183" s="72">
        <v>0</v>
      </c>
      <c r="L183" s="72">
        <v>0</v>
      </c>
      <c r="M183" s="72">
        <v>0</v>
      </c>
      <c r="N183" s="131">
        <v>0</v>
      </c>
      <c r="O183" s="112">
        <f>V183*$O$2*1000</f>
        <v>10299.311999999998</v>
      </c>
      <c r="P183" s="73">
        <f>F183+J183+N183</f>
        <v>20580</v>
      </c>
      <c r="Q183" s="74">
        <f>P183/1000</f>
        <v>20.58</v>
      </c>
      <c r="R183" s="74">
        <f>MAX(P183,O183)</f>
        <v>20580</v>
      </c>
      <c r="S183" s="75">
        <f>VLOOKUP(A183,'[2]BOM FG Files'!$A:$F,6,FALSE)</f>
        <v>21315.930646643897</v>
      </c>
      <c r="T183" s="76">
        <f>S183-P183</f>
        <v>735.93064664389749</v>
      </c>
      <c r="U183" s="106">
        <f>T183/S183</f>
        <v>3.4524912791446274E-2</v>
      </c>
      <c r="V183" s="66">
        <f>(((C183*D183*E183)+(G183*H183*I183)+(K183*L183*M183))/1000000)*35.32</f>
        <v>1.7165519999999999</v>
      </c>
      <c r="W183" s="67">
        <f>Q183/V183</f>
        <v>11.989150343246228</v>
      </c>
      <c r="X183" s="58" t="str">
        <f>VLOOKUP(A183,'[1]MTP SKUs - Master Data'!$A:$B,2,FALSE)</f>
        <v>Y</v>
      </c>
    </row>
    <row r="184" spans="1:24">
      <c r="A184" s="58" t="s">
        <v>112</v>
      </c>
      <c r="B184" s="3" t="s">
        <v>48</v>
      </c>
      <c r="C184" s="104">
        <v>165</v>
      </c>
      <c r="D184" s="72">
        <v>37</v>
      </c>
      <c r="E184" s="72">
        <v>12</v>
      </c>
      <c r="F184" s="135">
        <v>47930</v>
      </c>
      <c r="G184" s="72">
        <v>0</v>
      </c>
      <c r="H184" s="72">
        <v>0</v>
      </c>
      <c r="I184" s="72">
        <v>0</v>
      </c>
      <c r="J184" s="131">
        <v>0</v>
      </c>
      <c r="K184" s="72">
        <v>0</v>
      </c>
      <c r="L184" s="72">
        <v>0</v>
      </c>
      <c r="M184" s="72">
        <v>0</v>
      </c>
      <c r="N184" s="131">
        <v>0</v>
      </c>
      <c r="O184" s="112">
        <f>V184*$O$2*1000</f>
        <v>15525.2592</v>
      </c>
      <c r="P184" s="73">
        <f>F184+J184+N184</f>
        <v>47930</v>
      </c>
      <c r="Q184" s="74">
        <f>P184/1000</f>
        <v>47.93</v>
      </c>
      <c r="R184" s="74">
        <f>MAX(P184,O184)</f>
        <v>47930</v>
      </c>
      <c r="S184" s="75">
        <f>VLOOKUP(A184,'[2]BOM FG Files'!$A:$F,6,FALSE)</f>
        <v>49675.409171348714</v>
      </c>
      <c r="T184" s="76">
        <f>S184-P184</f>
        <v>1745.4091713487142</v>
      </c>
      <c r="U184" s="106">
        <f>T184/S184</f>
        <v>3.5136281722978009E-2</v>
      </c>
      <c r="V184" s="66">
        <f>(((C184*D184*E184)+(G184*H184*I184)+(K184*L184*M184))/1000000)*35.32</f>
        <v>2.5875432000000003</v>
      </c>
      <c r="W184" s="67">
        <f>Q184/V184</f>
        <v>18.523362237971522</v>
      </c>
      <c r="X184" s="58" t="str">
        <f>VLOOKUP(A184,'[1]MTP SKUs - Master Data'!$A:$B,2,FALSE)</f>
        <v>Y</v>
      </c>
    </row>
    <row r="185" spans="1:24">
      <c r="A185" s="23" t="s">
        <v>79</v>
      </c>
      <c r="B185" s="3" t="s">
        <v>48</v>
      </c>
      <c r="C185" s="104">
        <v>139</v>
      </c>
      <c r="D185" s="72">
        <v>42</v>
      </c>
      <c r="E185" s="72">
        <v>9</v>
      </c>
      <c r="F185" s="135">
        <v>26350</v>
      </c>
      <c r="G185" s="72">
        <v>0</v>
      </c>
      <c r="H185" s="72">
        <v>0</v>
      </c>
      <c r="I185" s="72">
        <v>0</v>
      </c>
      <c r="J185" s="131">
        <v>0</v>
      </c>
      <c r="K185" s="72">
        <v>0</v>
      </c>
      <c r="L185" s="72">
        <v>0</v>
      </c>
      <c r="M185" s="72">
        <v>0</v>
      </c>
      <c r="N185" s="131">
        <v>0</v>
      </c>
      <c r="O185" s="112">
        <f>V185*$O$2*1000</f>
        <v>11134.700640000001</v>
      </c>
      <c r="P185" s="73">
        <f>F185+J185+N185</f>
        <v>26350</v>
      </c>
      <c r="Q185" s="74">
        <f>P185/1000</f>
        <v>26.35</v>
      </c>
      <c r="R185" s="74">
        <f>MAX(P185,O185)</f>
        <v>26350</v>
      </c>
      <c r="S185" s="75">
        <f>VLOOKUP(A185,'[2]BOM FG Files'!$A:$F,6,FALSE)</f>
        <v>27332.202246204317</v>
      </c>
      <c r="T185" s="76">
        <f>S185-P185</f>
        <v>982.20224620431691</v>
      </c>
      <c r="U185" s="106">
        <f>T185/S185</f>
        <v>3.5935715584012901E-2</v>
      </c>
      <c r="V185" s="66">
        <f>(((C185*D185*E185)+(G185*H185*I185)+(K185*L185*M185))/1000000)*35.32</f>
        <v>1.85578344</v>
      </c>
      <c r="W185" s="67">
        <f>Q185/V185</f>
        <v>14.198855012953452</v>
      </c>
      <c r="X185" s="58" t="str">
        <f>VLOOKUP(A185,'[1]MTP SKUs - Master Data'!$A:$B,2,FALSE)</f>
        <v>Y</v>
      </c>
    </row>
    <row r="186" spans="1:24">
      <c r="A186" s="58" t="s">
        <v>159</v>
      </c>
      <c r="B186" s="3" t="s">
        <v>48</v>
      </c>
      <c r="C186" s="104">
        <v>152</v>
      </c>
      <c r="D186" s="72">
        <v>42</v>
      </c>
      <c r="E186" s="72">
        <v>13</v>
      </c>
      <c r="F186" s="135">
        <v>39630</v>
      </c>
      <c r="G186" s="72">
        <v>0</v>
      </c>
      <c r="H186" s="72">
        <v>0</v>
      </c>
      <c r="I186" s="72">
        <v>0</v>
      </c>
      <c r="J186" s="131">
        <v>0</v>
      </c>
      <c r="K186" s="72">
        <v>0</v>
      </c>
      <c r="L186" s="72">
        <v>0</v>
      </c>
      <c r="M186" s="72">
        <v>0</v>
      </c>
      <c r="N186" s="131">
        <v>0</v>
      </c>
      <c r="O186" s="112">
        <f>V186*$O$2*1000</f>
        <v>17587.664639999999</v>
      </c>
      <c r="P186" s="73">
        <f>F186+J186+N186</f>
        <v>39630</v>
      </c>
      <c r="Q186" s="74">
        <f>P186/1000</f>
        <v>39.630000000000003</v>
      </c>
      <c r="R186" s="74">
        <f>MAX(P186,O186)</f>
        <v>39630</v>
      </c>
      <c r="S186" s="75">
        <f>VLOOKUP(A186,'[2]BOM FG Files'!$A:$F,6,FALSE)</f>
        <v>41109.106929553978</v>
      </c>
      <c r="T186" s="76">
        <f>S186-P186</f>
        <v>1479.1069295539783</v>
      </c>
      <c r="U186" s="106">
        <f>T186/S186</f>
        <v>3.598003070435532E-2</v>
      </c>
      <c r="V186" s="66">
        <f>(((C186*D186*E186)+(G186*H186*I186)+(K186*L186*M186))/1000000)*35.32</f>
        <v>2.9312774399999997</v>
      </c>
      <c r="W186" s="67">
        <f>Q186/V186</f>
        <v>13.519702863745305</v>
      </c>
      <c r="X186" s="58" t="str">
        <f>VLOOKUP(A186,'[1]MTP SKUs - Master Data'!$A:$B,2,FALSE)</f>
        <v>Y</v>
      </c>
    </row>
    <row r="187" spans="1:24">
      <c r="A187" s="58" t="s">
        <v>106</v>
      </c>
      <c r="B187" s="3" t="s">
        <v>48</v>
      </c>
      <c r="C187" s="104">
        <v>75</v>
      </c>
      <c r="D187" s="72">
        <v>36</v>
      </c>
      <c r="E187" s="72">
        <v>5</v>
      </c>
      <c r="F187" s="135">
        <v>3725</v>
      </c>
      <c r="G187" s="72">
        <v>0</v>
      </c>
      <c r="H187" s="72">
        <v>0</v>
      </c>
      <c r="I187" s="72">
        <v>0</v>
      </c>
      <c r="J187" s="131">
        <v>0</v>
      </c>
      <c r="K187" s="72">
        <v>0</v>
      </c>
      <c r="L187" s="72">
        <v>0</v>
      </c>
      <c r="M187" s="72">
        <v>0</v>
      </c>
      <c r="N187" s="131">
        <v>0</v>
      </c>
      <c r="O187" s="112">
        <f>V187*$O$2*1000</f>
        <v>2860.92</v>
      </c>
      <c r="P187" s="73">
        <f>F187+J187+N187</f>
        <v>3725</v>
      </c>
      <c r="Q187" s="74">
        <f>P187/1000</f>
        <v>3.7250000000000001</v>
      </c>
      <c r="R187" s="74">
        <f>MAX(P187,O187)</f>
        <v>3725</v>
      </c>
      <c r="S187" s="75">
        <f>VLOOKUP(A187,'[2]BOM FG Files'!$A:$F,6,FALSE)</f>
        <v>3984.0193896555943</v>
      </c>
      <c r="T187" s="76">
        <f>S187-P187</f>
        <v>259.0193896555943</v>
      </c>
      <c r="U187" s="106">
        <f>T187/S187</f>
        <v>6.5014590623763427E-2</v>
      </c>
      <c r="V187" s="66">
        <f>(((C187*D187*E187)+(G187*H187*I187)+(K187*L187*M187))/1000000)*35.32</f>
        <v>0.47682000000000002</v>
      </c>
      <c r="W187" s="67">
        <f>Q187/V187</f>
        <v>7.8121723082085479</v>
      </c>
      <c r="X187" s="58" t="str">
        <f>VLOOKUP(A187,'[1]MTP SKUs - Master Data'!$A:$B,2,FALSE)</f>
        <v>DI</v>
      </c>
    </row>
    <row r="188" spans="1:24">
      <c r="A188" s="58" t="s">
        <v>88</v>
      </c>
      <c r="B188" s="3" t="s">
        <v>48</v>
      </c>
      <c r="C188" s="104">
        <v>125</v>
      </c>
      <c r="D188" s="72">
        <v>44</v>
      </c>
      <c r="E188" s="72">
        <v>10</v>
      </c>
      <c r="F188" s="135">
        <v>29160</v>
      </c>
      <c r="G188" s="72">
        <v>0</v>
      </c>
      <c r="H188" s="72">
        <v>0</v>
      </c>
      <c r="I188" s="72">
        <v>0</v>
      </c>
      <c r="J188" s="131">
        <v>0</v>
      </c>
      <c r="K188" s="72">
        <v>0</v>
      </c>
      <c r="L188" s="72">
        <v>0</v>
      </c>
      <c r="M188" s="72">
        <v>0</v>
      </c>
      <c r="N188" s="131">
        <v>0</v>
      </c>
      <c r="O188" s="112">
        <f>V188*$O$2*1000</f>
        <v>11655.6</v>
      </c>
      <c r="P188" s="73">
        <f>F188+J188+N188</f>
        <v>29160</v>
      </c>
      <c r="Q188" s="74">
        <f>P188/1000</f>
        <v>29.16</v>
      </c>
      <c r="R188" s="74">
        <f>MAX(P188,O188)</f>
        <v>29160</v>
      </c>
      <c r="S188" s="75">
        <f>VLOOKUP(A188,'[2]BOM FG Files'!$A:$F,6,FALSE)</f>
        <v>30288.932025136848</v>
      </c>
      <c r="T188" s="76">
        <f>S188-P188</f>
        <v>1128.9320251368481</v>
      </c>
      <c r="U188" s="106">
        <f>T188/S188</f>
        <v>3.7272097418289463E-2</v>
      </c>
      <c r="V188" s="66">
        <f>(((C188*D188*E188)+(G188*H188*I188)+(K188*L188*M188))/1000000)*35.32</f>
        <v>1.9426000000000001</v>
      </c>
      <c r="W188" s="67">
        <f>Q188/V188</f>
        <v>15.010810254298363</v>
      </c>
      <c r="X188" s="58" t="str">
        <f>VLOOKUP(A188,'[1]MTP SKUs - Master Data'!$A:$B,2,FALSE)</f>
        <v>Y</v>
      </c>
    </row>
    <row r="189" spans="1:24">
      <c r="A189" s="58" t="s">
        <v>130</v>
      </c>
      <c r="B189" s="3" t="s">
        <v>48</v>
      </c>
      <c r="C189" s="104">
        <v>152</v>
      </c>
      <c r="D189" s="72">
        <v>39</v>
      </c>
      <c r="E189" s="72">
        <v>11</v>
      </c>
      <c r="F189" s="135">
        <v>30770</v>
      </c>
      <c r="G189" s="72">
        <v>0</v>
      </c>
      <c r="H189" s="72">
        <v>0</v>
      </c>
      <c r="I189" s="72">
        <v>0</v>
      </c>
      <c r="J189" s="131">
        <v>0</v>
      </c>
      <c r="K189" s="72">
        <v>0</v>
      </c>
      <c r="L189" s="72">
        <v>0</v>
      </c>
      <c r="M189" s="72">
        <v>0</v>
      </c>
      <c r="N189" s="131">
        <v>0</v>
      </c>
      <c r="O189" s="112">
        <f>V189*$O$2*1000</f>
        <v>13818.879360000001</v>
      </c>
      <c r="P189" s="73">
        <f>F189+J189+N189</f>
        <v>30770</v>
      </c>
      <c r="Q189" s="74">
        <f>P189/1000</f>
        <v>30.77</v>
      </c>
      <c r="R189" s="74">
        <f>MAX(P189,O189)</f>
        <v>30770</v>
      </c>
      <c r="S189" s="75">
        <f>VLOOKUP(A189,'[2]BOM FG Files'!$A:$F,6,FALSE)</f>
        <v>31971.674803022164</v>
      </c>
      <c r="T189" s="76">
        <f>S189-P189</f>
        <v>1201.6748030221643</v>
      </c>
      <c r="U189" s="106">
        <f>T189/S189</f>
        <v>3.7585606960714314E-2</v>
      </c>
      <c r="V189" s="66">
        <f>(((C189*D189*E189)+(G189*H189*I189)+(K189*L189*M189))/1000000)*35.32</f>
        <v>2.3031465600000001</v>
      </c>
      <c r="W189" s="67">
        <f>Q189/V189</f>
        <v>13.359983482770632</v>
      </c>
      <c r="X189" s="58" t="str">
        <f>VLOOKUP(A189,'[1]MTP SKUs - Master Data'!$A:$B,2,FALSE)</f>
        <v>Y</v>
      </c>
    </row>
    <row r="190" spans="1:24">
      <c r="A190" s="77" t="s">
        <v>175</v>
      </c>
      <c r="B190" s="78" t="s">
        <v>48</v>
      </c>
      <c r="C190" s="104">
        <v>80</v>
      </c>
      <c r="D190" s="72">
        <v>43</v>
      </c>
      <c r="E190" s="72">
        <v>14</v>
      </c>
      <c r="F190" s="135">
        <v>22080</v>
      </c>
      <c r="G190" s="72">
        <v>0</v>
      </c>
      <c r="H190" s="72">
        <v>0</v>
      </c>
      <c r="I190" s="72">
        <v>0</v>
      </c>
      <c r="J190" s="131">
        <v>0</v>
      </c>
      <c r="K190" s="72">
        <v>0</v>
      </c>
      <c r="L190" s="72">
        <v>0</v>
      </c>
      <c r="M190" s="72">
        <v>0</v>
      </c>
      <c r="N190" s="131">
        <v>0</v>
      </c>
      <c r="O190" s="112">
        <f>V190*$O$2*1000</f>
        <v>10206.067200000001</v>
      </c>
      <c r="P190" s="73">
        <f>F190+J190+N190</f>
        <v>22080</v>
      </c>
      <c r="Q190" s="74">
        <f>P190/1000</f>
        <v>22.08</v>
      </c>
      <c r="R190" s="74">
        <f>MAX(P190,O190)</f>
        <v>22080</v>
      </c>
      <c r="S190" s="75">
        <f>VLOOKUP(A190,'[2]BOM FG Files'!$A:$F,6,FALSE)</f>
        <v>22948.900937718463</v>
      </c>
      <c r="T190" s="76">
        <f>S190-P190</f>
        <v>868.90093771846296</v>
      </c>
      <c r="U190" s="106">
        <f>T190/S190</f>
        <v>3.7862420517505074E-2</v>
      </c>
      <c r="V190" s="66">
        <f>(((C190*D190*E190)+(G190*H190*I190)+(K190*L190*M190))/1000000)*35.32</f>
        <v>1.7010112000000002</v>
      </c>
      <c r="W190" s="67">
        <f>Q190/V190</f>
        <v>12.980514178860195</v>
      </c>
      <c r="X190" s="58" t="str">
        <f>VLOOKUP(A190,'[1]MTP SKUs - Master Data'!$A:$B,2,FALSE)</f>
        <v>Y</v>
      </c>
    </row>
    <row r="191" spans="1:24">
      <c r="A191" s="58" t="s">
        <v>137</v>
      </c>
      <c r="B191" s="3" t="s">
        <v>48</v>
      </c>
      <c r="C191" s="104">
        <v>86</v>
      </c>
      <c r="D191" s="72">
        <v>38</v>
      </c>
      <c r="E191" s="72">
        <v>13</v>
      </c>
      <c r="F191" s="135">
        <v>17430</v>
      </c>
      <c r="G191" s="72">
        <v>0</v>
      </c>
      <c r="H191" s="72">
        <v>0</v>
      </c>
      <c r="I191" s="72">
        <v>0</v>
      </c>
      <c r="J191" s="131">
        <v>0</v>
      </c>
      <c r="K191" s="72">
        <v>0</v>
      </c>
      <c r="L191" s="72">
        <v>0</v>
      </c>
      <c r="M191" s="72">
        <v>0</v>
      </c>
      <c r="N191" s="131">
        <v>0</v>
      </c>
      <c r="O191" s="112">
        <f>V191*$O$2*1000</f>
        <v>9003.2092800000009</v>
      </c>
      <c r="P191" s="73">
        <f>F191+J191+N191</f>
        <v>17430</v>
      </c>
      <c r="Q191" s="74">
        <f>P191/1000</f>
        <v>17.43</v>
      </c>
      <c r="R191" s="74">
        <f>MAX(P191,O191)</f>
        <v>17430</v>
      </c>
      <c r="S191" s="75">
        <f>VLOOKUP(A191,'[2]BOM FG Files'!$A:$F,6,FALSE)</f>
        <v>18136.028069997614</v>
      </c>
      <c r="T191" s="76">
        <f>S191-P191</f>
        <v>706.02806999761378</v>
      </c>
      <c r="U191" s="106">
        <f>T191/S191</f>
        <v>3.8929586305922977E-2</v>
      </c>
      <c r="V191" s="66">
        <f>(((C191*D191*E191)+(G191*H191*I191)+(K191*L191*M191))/1000000)*35.32</f>
        <v>1.50053488</v>
      </c>
      <c r="W191" s="67">
        <f>Q191/V191</f>
        <v>11.615857939936724</v>
      </c>
      <c r="X191" s="58" t="str">
        <f>VLOOKUP(A191,'[1]MTP SKUs - Master Data'!$A:$B,2,FALSE)</f>
        <v>Y</v>
      </c>
    </row>
    <row r="192" spans="1:24">
      <c r="A192" s="58" t="s">
        <v>240</v>
      </c>
      <c r="B192" s="3" t="s">
        <v>74</v>
      </c>
      <c r="C192" s="104">
        <v>199</v>
      </c>
      <c r="D192" s="72">
        <v>38</v>
      </c>
      <c r="E192" s="72">
        <v>8</v>
      </c>
      <c r="F192" s="135">
        <v>32970</v>
      </c>
      <c r="G192" s="72">
        <v>95</v>
      </c>
      <c r="H192" s="72">
        <v>55</v>
      </c>
      <c r="I192" s="72">
        <v>6</v>
      </c>
      <c r="J192" s="131">
        <v>14620</v>
      </c>
      <c r="K192" s="72">
        <v>0</v>
      </c>
      <c r="L192" s="72">
        <v>0</v>
      </c>
      <c r="M192" s="72">
        <v>0</v>
      </c>
      <c r="N192" s="131">
        <v>0</v>
      </c>
      <c r="O192" s="112">
        <f>V192*$O$2*1000</f>
        <v>19464.00432</v>
      </c>
      <c r="P192" s="73">
        <f>F192+J192+N192</f>
        <v>47590</v>
      </c>
      <c r="Q192" s="74">
        <f>P192/1000</f>
        <v>47.59</v>
      </c>
      <c r="R192" s="74">
        <f>MAX(P192,O192)</f>
        <v>47590</v>
      </c>
      <c r="S192" s="75">
        <f>VLOOKUP(A192,'[2]BOM FG Files'!$A:$F,6,FALSE)</f>
        <v>48789.854575387653</v>
      </c>
      <c r="T192" s="76">
        <f>S192-P192</f>
        <v>1199.8545753876533</v>
      </c>
      <c r="U192" s="106">
        <f>T192/S192</f>
        <v>2.459229661227413E-2</v>
      </c>
      <c r="V192" s="66">
        <f>(((C192*D192*E192)+(G192*H192*I192)+(K192*L192*M192))/1000000)*35.32</f>
        <v>3.2440007199999998</v>
      </c>
      <c r="W192" s="67">
        <f>Q192/V192</f>
        <v>14.670157039915825</v>
      </c>
      <c r="X192" s="58" t="str">
        <f>VLOOKUP(A192,'[1]MTP SKUs - Master Data'!$A:$B,2,FALSE)</f>
        <v>Y</v>
      </c>
    </row>
    <row r="193" spans="1:27">
      <c r="A193" s="58" t="s">
        <v>199</v>
      </c>
      <c r="B193" s="3" t="s">
        <v>48</v>
      </c>
      <c r="C193" s="104">
        <v>160</v>
      </c>
      <c r="D193" s="72">
        <v>82</v>
      </c>
      <c r="E193" s="72">
        <v>5</v>
      </c>
      <c r="F193" s="135">
        <v>17720</v>
      </c>
      <c r="G193" s="72">
        <v>0</v>
      </c>
      <c r="H193" s="72">
        <v>0</v>
      </c>
      <c r="I193" s="72">
        <v>0</v>
      </c>
      <c r="J193" s="131">
        <v>0</v>
      </c>
      <c r="K193" s="72">
        <v>0</v>
      </c>
      <c r="L193" s="72">
        <v>0</v>
      </c>
      <c r="M193" s="72">
        <v>0</v>
      </c>
      <c r="N193" s="131">
        <v>0</v>
      </c>
      <c r="O193" s="112">
        <f>V193*$O$2*1000</f>
        <v>13901.952000000001</v>
      </c>
      <c r="P193" s="73">
        <f>F193+J193+N193</f>
        <v>17720</v>
      </c>
      <c r="Q193" s="74">
        <f>P193/1000</f>
        <v>17.72</v>
      </c>
      <c r="R193" s="74">
        <f>MAX(P193,O193)</f>
        <v>17720</v>
      </c>
      <c r="S193" s="75">
        <f>VLOOKUP(A193,'[2]BOM FG Files'!$A:$F,6,FALSE)</f>
        <v>18478.086697902858</v>
      </c>
      <c r="T193" s="76">
        <f>S193-P193</f>
        <v>758.08669790285785</v>
      </c>
      <c r="U193" s="106">
        <f>T193/S193</f>
        <v>4.1026255060752352E-2</v>
      </c>
      <c r="V193" s="66">
        <f>(((C193*D193*E193)+(G193*H193*I193)+(K193*L193*M193))/1000000)*35.32</f>
        <v>2.3169920000000004</v>
      </c>
      <c r="W193" s="67">
        <f>Q193/V193</f>
        <v>7.6478468635195958</v>
      </c>
      <c r="X193" s="58" t="str">
        <f>VLOOKUP(A193,'[1]MTP SKUs - Master Data'!$A:$B,2,FALSE)</f>
        <v>Y</v>
      </c>
    </row>
    <row r="194" spans="1:27">
      <c r="A194" s="58" t="s">
        <v>246</v>
      </c>
      <c r="B194" s="3" t="s">
        <v>48</v>
      </c>
      <c r="C194" s="104">
        <v>72</v>
      </c>
      <c r="D194" s="72">
        <v>19</v>
      </c>
      <c r="E194" s="72">
        <v>8</v>
      </c>
      <c r="F194" s="135">
        <v>4850</v>
      </c>
      <c r="G194" s="72">
        <v>0</v>
      </c>
      <c r="H194" s="72">
        <v>0</v>
      </c>
      <c r="I194" s="72">
        <v>0</v>
      </c>
      <c r="J194" s="131">
        <v>0</v>
      </c>
      <c r="K194" s="72">
        <v>0</v>
      </c>
      <c r="L194" s="72">
        <v>0</v>
      </c>
      <c r="M194" s="72">
        <v>0</v>
      </c>
      <c r="N194" s="131">
        <v>0</v>
      </c>
      <c r="O194" s="112">
        <f>V194*$O$2*1000</f>
        <v>2319.2524800000001</v>
      </c>
      <c r="P194" s="73">
        <f>F194+J194+N194</f>
        <v>4850</v>
      </c>
      <c r="Q194" s="74">
        <f>P194/1000</f>
        <v>4.8499999999999996</v>
      </c>
      <c r="R194" s="74">
        <f>MAX(P194,O194)</f>
        <v>4850</v>
      </c>
      <c r="S194" s="75">
        <f>VLOOKUP(A194,'[2]BOM FG Files'!$A:$F,6,FALSE)</f>
        <v>5060.7510484188379</v>
      </c>
      <c r="T194" s="76">
        <f>S194-P194</f>
        <v>210.75104841883785</v>
      </c>
      <c r="U194" s="106">
        <f>T194/S194</f>
        <v>4.1644223634490801E-2</v>
      </c>
      <c r="V194" s="66">
        <f>(((C194*D194*E194)+(G194*H194*I194)+(K194*L194*M194))/1000000)*35.32</f>
        <v>0.38654208000000001</v>
      </c>
      <c r="W194" s="67">
        <f>Q194/V194</f>
        <v>12.547146225321702</v>
      </c>
      <c r="X194" s="58" t="str">
        <f>VLOOKUP(A194,'[1]MTP SKUs - Master Data'!$A:$B,2,FALSE)</f>
        <v>Y</v>
      </c>
    </row>
    <row r="195" spans="1:27">
      <c r="A195" s="58" t="s">
        <v>156</v>
      </c>
      <c r="B195" s="3" t="s">
        <v>48</v>
      </c>
      <c r="C195" s="104">
        <v>159</v>
      </c>
      <c r="D195" s="72">
        <v>37</v>
      </c>
      <c r="E195" s="72">
        <v>14</v>
      </c>
      <c r="F195" s="135">
        <v>42950</v>
      </c>
      <c r="G195" s="72">
        <v>0</v>
      </c>
      <c r="H195" s="72">
        <v>0</v>
      </c>
      <c r="I195" s="72">
        <v>0</v>
      </c>
      <c r="J195" s="131">
        <v>0</v>
      </c>
      <c r="K195" s="72">
        <v>0</v>
      </c>
      <c r="L195" s="72">
        <v>0</v>
      </c>
      <c r="M195" s="72">
        <v>0</v>
      </c>
      <c r="N195" s="131">
        <v>0</v>
      </c>
      <c r="O195" s="112">
        <f>V195*$O$2*1000</f>
        <v>17454.155040000001</v>
      </c>
      <c r="P195" s="73">
        <f>F195+J195+N195</f>
        <v>42950</v>
      </c>
      <c r="Q195" s="74">
        <f>P195/1000</f>
        <v>42.95</v>
      </c>
      <c r="R195" s="74">
        <f>MAX(P195,O195)</f>
        <v>42950</v>
      </c>
      <c r="S195" s="75">
        <f>VLOOKUP(A195,'[2]BOM FG Files'!$A:$F,6,FALSE)</f>
        <v>44837.6689480524</v>
      </c>
      <c r="T195" s="76">
        <f>S195-P195</f>
        <v>1887.6689480524001</v>
      </c>
      <c r="U195" s="106">
        <f>T195/S195</f>
        <v>4.2100068811324637E-2</v>
      </c>
      <c r="V195" s="66">
        <f>(((C195*D195*E195)+(G195*H195*I195)+(K195*L195*M195))/1000000)*35.32</f>
        <v>2.90902584</v>
      </c>
      <c r="W195" s="67">
        <f>Q195/V195</f>
        <v>14.764392742554671</v>
      </c>
      <c r="X195" s="58" t="str">
        <f>VLOOKUP(A195,'[1]MTP SKUs - Master Data'!$A:$B,2,FALSE)</f>
        <v>Y</v>
      </c>
    </row>
    <row r="196" spans="1:27">
      <c r="A196" s="71" t="s">
        <v>132</v>
      </c>
      <c r="B196" s="72" t="s">
        <v>74</v>
      </c>
      <c r="C196" s="104">
        <v>202</v>
      </c>
      <c r="D196" s="72">
        <v>38</v>
      </c>
      <c r="E196" s="72">
        <v>7</v>
      </c>
      <c r="F196" s="135">
        <v>27480</v>
      </c>
      <c r="G196" s="72">
        <v>194</v>
      </c>
      <c r="H196" s="72">
        <v>80</v>
      </c>
      <c r="I196" s="72">
        <v>6</v>
      </c>
      <c r="J196" s="131">
        <v>33500</v>
      </c>
      <c r="K196" s="72">
        <v>105</v>
      </c>
      <c r="L196" s="72">
        <v>81</v>
      </c>
      <c r="M196" s="72">
        <v>7</v>
      </c>
      <c r="N196" s="131">
        <v>38600</v>
      </c>
      <c r="O196" s="112">
        <f>V196*$O$2*1000</f>
        <v>43737.533039999995</v>
      </c>
      <c r="P196" s="73">
        <f>F196+J196+N196</f>
        <v>99580</v>
      </c>
      <c r="Q196" s="74">
        <f>P196/1000</f>
        <v>99.58</v>
      </c>
      <c r="R196" s="74">
        <f>MAX(P196,O196)</f>
        <v>99580</v>
      </c>
      <c r="S196" s="75">
        <f>VLOOKUP(A196,'[2]BOM FG Files'!$A:$F,6,FALSE)</f>
        <v>100677.26640074902</v>
      </c>
      <c r="T196" s="76">
        <f>S196-P196</f>
        <v>1097.2664007490239</v>
      </c>
      <c r="U196" s="106">
        <f>T196/S196</f>
        <v>1.0898849759997659E-2</v>
      </c>
      <c r="V196" s="66">
        <f>(((C196*D196*E196)+(G196*H196*I196)+(K196*L196*M196))/1000000)*35.32</f>
        <v>7.2895888399999995</v>
      </c>
      <c r="W196" s="67">
        <f>Q196/V196</f>
        <v>13.66057842022267</v>
      </c>
      <c r="X196" s="58" t="str">
        <f>VLOOKUP(A196,'[1]MTP SKUs - Master Data'!$A:$B,2,FALSE)</f>
        <v>Y</v>
      </c>
      <c r="Y196" s="38"/>
      <c r="Z196" s="38"/>
      <c r="AA196" s="38"/>
    </row>
    <row r="197" spans="1:27">
      <c r="A197" s="58" t="s">
        <v>110</v>
      </c>
      <c r="B197" s="3" t="s">
        <v>48</v>
      </c>
      <c r="C197" s="104">
        <v>134</v>
      </c>
      <c r="D197" s="72">
        <v>30</v>
      </c>
      <c r="E197" s="72">
        <v>6</v>
      </c>
      <c r="F197" s="135">
        <v>8460</v>
      </c>
      <c r="G197" s="72">
        <v>0</v>
      </c>
      <c r="H197" s="72">
        <v>0</v>
      </c>
      <c r="I197" s="72">
        <v>0</v>
      </c>
      <c r="J197" s="131">
        <v>0</v>
      </c>
      <c r="K197" s="72">
        <v>0</v>
      </c>
      <c r="L197" s="72">
        <v>0</v>
      </c>
      <c r="M197" s="72">
        <v>0</v>
      </c>
      <c r="N197" s="131">
        <v>0</v>
      </c>
      <c r="O197" s="112">
        <f>V197*$O$2*1000</f>
        <v>5111.5104000000001</v>
      </c>
      <c r="P197" s="73">
        <f>F197+J197+N197</f>
        <v>8460</v>
      </c>
      <c r="Q197" s="74">
        <f>P197/1000</f>
        <v>8.4600000000000009</v>
      </c>
      <c r="R197" s="74">
        <f>MAX(P197,O197)</f>
        <v>8460</v>
      </c>
      <c r="S197" s="75">
        <f>VLOOKUP(A197,'[2]BOM FG Files'!$A:$F,6,FALSE)</f>
        <v>8836.5666615297887</v>
      </c>
      <c r="T197" s="76">
        <f>S197-P197</f>
        <v>376.56666152978869</v>
      </c>
      <c r="U197" s="106">
        <f>T197/S197</f>
        <v>4.2614589574611707E-2</v>
      </c>
      <c r="V197" s="66">
        <f>(((C197*D197*E197)+(G197*H197*I197)+(K197*L197*M197))/1000000)*35.32</f>
        <v>0.85191839999999996</v>
      </c>
      <c r="W197" s="67">
        <f>Q197/V197</f>
        <v>9.9305285576646796</v>
      </c>
      <c r="X197" s="58" t="str">
        <f>VLOOKUP(A197,'[1]MTP SKUs - Master Data'!$A:$B,2,FALSE)</f>
        <v>Y</v>
      </c>
    </row>
    <row r="198" spans="1:27">
      <c r="A198" s="58" t="s">
        <v>103</v>
      </c>
      <c r="B198" s="3" t="s">
        <v>48</v>
      </c>
      <c r="C198" s="104">
        <v>149</v>
      </c>
      <c r="D198" s="72">
        <v>36</v>
      </c>
      <c r="E198" s="72">
        <v>6</v>
      </c>
      <c r="F198" s="135">
        <v>14050</v>
      </c>
      <c r="G198" s="72">
        <v>0</v>
      </c>
      <c r="H198" s="72">
        <v>0</v>
      </c>
      <c r="I198" s="72">
        <v>0</v>
      </c>
      <c r="J198" s="131">
        <v>0</v>
      </c>
      <c r="K198" s="72">
        <v>0</v>
      </c>
      <c r="L198" s="72">
        <v>0</v>
      </c>
      <c r="M198" s="72">
        <v>0</v>
      </c>
      <c r="N198" s="131">
        <v>0</v>
      </c>
      <c r="O198" s="112">
        <f>V198*$O$2*1000</f>
        <v>6820.4332799999993</v>
      </c>
      <c r="P198" s="73">
        <f>F198+J198+N198</f>
        <v>14050</v>
      </c>
      <c r="Q198" s="74">
        <f>P198/1000</f>
        <v>14.05</v>
      </c>
      <c r="R198" s="74">
        <f>MAX(P198,O198)</f>
        <v>14050</v>
      </c>
      <c r="S198" s="75">
        <f>VLOOKUP(A198,'[2]BOM FG Files'!$A:$F,6,FALSE)</f>
        <v>14680.920009586756</v>
      </c>
      <c r="T198" s="76">
        <f>S198-P198</f>
        <v>630.92000958675635</v>
      </c>
      <c r="U198" s="106">
        <f>T198/S198</f>
        <v>4.2975508971832867E-2</v>
      </c>
      <c r="V198" s="66">
        <f>(((C198*D198*E198)+(G198*H198*I198)+(K198*L198*M198))/1000000)*35.32</f>
        <v>1.13673888</v>
      </c>
      <c r="W198" s="67">
        <f>Q198/V198</f>
        <v>12.35991857690308</v>
      </c>
      <c r="X198" s="58" t="str">
        <f>VLOOKUP(A198,'[1]MTP SKUs - Master Data'!$A:$B,2,FALSE)</f>
        <v>Y</v>
      </c>
    </row>
    <row r="199" spans="1:27">
      <c r="A199" s="58" t="s">
        <v>73</v>
      </c>
      <c r="B199" s="3" t="s">
        <v>74</v>
      </c>
      <c r="C199" s="104">
        <v>206</v>
      </c>
      <c r="D199" s="72">
        <v>50</v>
      </c>
      <c r="E199" s="72">
        <v>8</v>
      </c>
      <c r="F199" s="135">
        <v>41430</v>
      </c>
      <c r="G199" s="72">
        <v>103</v>
      </c>
      <c r="H199" s="72">
        <v>80</v>
      </c>
      <c r="I199" s="72">
        <v>3</v>
      </c>
      <c r="J199" s="131">
        <v>23820</v>
      </c>
      <c r="K199" s="72">
        <v>0</v>
      </c>
      <c r="L199" s="72">
        <v>0</v>
      </c>
      <c r="M199" s="72">
        <v>0</v>
      </c>
      <c r="N199" s="131">
        <v>0</v>
      </c>
      <c r="O199" s="112">
        <f>V199*$O$2*1000</f>
        <v>22700.870400000003</v>
      </c>
      <c r="P199" s="73">
        <f>F199+J199+N199</f>
        <v>65250</v>
      </c>
      <c r="Q199" s="74">
        <f>P199/1000</f>
        <v>65.25</v>
      </c>
      <c r="R199" s="74">
        <f>MAX(P199,O199)</f>
        <v>65250</v>
      </c>
      <c r="S199" s="75">
        <f>VLOOKUP(A199,'[2]BOM FG Files'!$A:$F,6,FALSE)</f>
        <v>66534.279130438357</v>
      </c>
      <c r="T199" s="76">
        <f>S199-P199</f>
        <v>1284.2791304383572</v>
      </c>
      <c r="U199" s="106">
        <f>T199/S199</f>
        <v>1.9302518148886359E-2</v>
      </c>
      <c r="V199" s="66">
        <f>(((C199*D199*E199)+(G199*H199*I199)+(K199*L199*M199))/1000000)*35.32</f>
        <v>3.7834784000000004</v>
      </c>
      <c r="W199" s="67">
        <f>Q199/V199</f>
        <v>17.246034759971142</v>
      </c>
      <c r="X199" s="58" t="str">
        <f>VLOOKUP(A199,'[1]MTP SKUs - Master Data'!$A:$B,2,FALSE)</f>
        <v>Y</v>
      </c>
    </row>
    <row r="200" spans="1:27">
      <c r="A200" s="58" t="s">
        <v>252</v>
      </c>
      <c r="B200" s="3" t="s">
        <v>48</v>
      </c>
      <c r="C200" s="104">
        <v>88</v>
      </c>
      <c r="D200" s="72">
        <v>44</v>
      </c>
      <c r="E200" s="72">
        <v>6</v>
      </c>
      <c r="F200" s="135">
        <v>11400</v>
      </c>
      <c r="G200" s="72">
        <v>0</v>
      </c>
      <c r="H200" s="72">
        <v>0</v>
      </c>
      <c r="I200" s="72">
        <v>0</v>
      </c>
      <c r="J200" s="131">
        <v>0</v>
      </c>
      <c r="K200" s="72">
        <v>0</v>
      </c>
      <c r="L200" s="72">
        <v>0</v>
      </c>
      <c r="M200" s="72">
        <v>0</v>
      </c>
      <c r="N200" s="131">
        <v>0</v>
      </c>
      <c r="O200" s="112">
        <f>V200*$O$2*1000</f>
        <v>4923.3254400000005</v>
      </c>
      <c r="P200" s="73">
        <f>F200+J200+N200</f>
        <v>11400</v>
      </c>
      <c r="Q200" s="74">
        <f>P200/1000</f>
        <v>11.4</v>
      </c>
      <c r="R200" s="74">
        <f>MAX(P200,O200)</f>
        <v>11400</v>
      </c>
      <c r="S200" s="75">
        <f>VLOOKUP(A200,'[2]BOM FG Files'!$A:$F,6,FALSE)</f>
        <v>11922.782932792434</v>
      </c>
      <c r="T200" s="76">
        <f>S200-P200</f>
        <v>522.78293279243371</v>
      </c>
      <c r="U200" s="106">
        <f>T200/S200</f>
        <v>4.3847391648351747E-2</v>
      </c>
      <c r="V200" s="66">
        <f>(((C200*D200*E200)+(G200*H200*I200)+(K200*L200*M200))/1000000)*35.32</f>
        <v>0.82055423999999999</v>
      </c>
      <c r="W200" s="67">
        <f>Q200/V200</f>
        <v>13.893048678902689</v>
      </c>
      <c r="X200" s="58" t="str">
        <f>VLOOKUP(A200,'[1]MTP SKUs - Master Data'!$A:$B,2,FALSE)</f>
        <v>Y</v>
      </c>
    </row>
    <row r="201" spans="1:27">
      <c r="A201" s="79" t="s">
        <v>223</v>
      </c>
      <c r="B201" s="2"/>
      <c r="C201" s="104">
        <v>67</v>
      </c>
      <c r="D201" s="72">
        <v>45</v>
      </c>
      <c r="E201" s="72">
        <v>7</v>
      </c>
      <c r="F201" s="135">
        <v>8900</v>
      </c>
      <c r="G201" s="72">
        <v>0</v>
      </c>
      <c r="H201" s="72">
        <v>0</v>
      </c>
      <c r="I201" s="72">
        <v>0</v>
      </c>
      <c r="J201" s="131">
        <v>0</v>
      </c>
      <c r="K201" s="72">
        <v>0</v>
      </c>
      <c r="L201" s="72">
        <v>0</v>
      </c>
      <c r="M201" s="72">
        <v>0</v>
      </c>
      <c r="N201" s="131">
        <v>0</v>
      </c>
      <c r="O201" s="112">
        <f>V201*$O$2*1000</f>
        <v>4472.5716000000002</v>
      </c>
      <c r="P201" s="73">
        <f>F201+J201+N201</f>
        <v>8900</v>
      </c>
      <c r="Q201" s="74">
        <f>P201/1000</f>
        <v>8.9</v>
      </c>
      <c r="R201" s="74">
        <f>MAX(P201,O201)</f>
        <v>8900</v>
      </c>
      <c r="S201" s="75">
        <f>VLOOKUP(A201,'[2]BOM FG Files'!$A:$F,6,FALSE)</f>
        <v>9315.0588805046955</v>
      </c>
      <c r="T201" s="76">
        <f>S201-P201</f>
        <v>415.05888050469548</v>
      </c>
      <c r="U201" s="106">
        <f>T201/S201</f>
        <v>4.4557837564866511E-2</v>
      </c>
      <c r="V201" s="66">
        <f>(((C201*D201*E201)+(G201*H201*I201)+(K201*L201*M201))/1000000)*35.32</f>
        <v>0.7454286</v>
      </c>
      <c r="W201" s="67">
        <f>Q201/V201</f>
        <v>11.939439940995021</v>
      </c>
      <c r="X201" s="58" t="str">
        <f>VLOOKUP(A201,'[1]MTP SKUs - Master Data'!$A:$B,2,FALSE)</f>
        <v>Y</v>
      </c>
    </row>
    <row r="202" spans="1:27">
      <c r="A202" s="58" t="s">
        <v>248</v>
      </c>
      <c r="B202" s="3" t="s">
        <v>48</v>
      </c>
      <c r="C202" s="104">
        <v>88</v>
      </c>
      <c r="D202" s="72">
        <v>21</v>
      </c>
      <c r="E202" s="72">
        <v>8</v>
      </c>
      <c r="F202" s="135">
        <v>6640</v>
      </c>
      <c r="G202" s="72">
        <v>0</v>
      </c>
      <c r="H202" s="72">
        <v>0</v>
      </c>
      <c r="I202" s="72">
        <v>0</v>
      </c>
      <c r="J202" s="131">
        <v>0</v>
      </c>
      <c r="K202" s="72">
        <v>0</v>
      </c>
      <c r="L202" s="72">
        <v>0</v>
      </c>
      <c r="M202" s="72">
        <v>0</v>
      </c>
      <c r="N202" s="131">
        <v>0</v>
      </c>
      <c r="O202" s="112">
        <f>V202*$O$2*1000</f>
        <v>3133.0252799999998</v>
      </c>
      <c r="P202" s="73">
        <f>F202+J202+N202</f>
        <v>6640</v>
      </c>
      <c r="Q202" s="74">
        <f>P202/1000</f>
        <v>6.64</v>
      </c>
      <c r="R202" s="74">
        <f>MAX(P202,O202)</f>
        <v>6640</v>
      </c>
      <c r="S202" s="75">
        <f>VLOOKUP(A202,'[2]BOM FG Files'!$A:$F,6,FALSE)</f>
        <v>6951.6100452879136</v>
      </c>
      <c r="T202" s="76">
        <f>S202-P202</f>
        <v>311.61004528791364</v>
      </c>
      <c r="U202" s="106">
        <f>T202/S202</f>
        <v>4.4825593388848922E-2</v>
      </c>
      <c r="V202" s="66">
        <f>(((C202*D202*E202)+(G202*H202*I202)+(K202*L202*M202))/1000000)*35.32</f>
        <v>0.52217088</v>
      </c>
      <c r="W202" s="67">
        <f>Q202/V202</f>
        <v>12.716143803346521</v>
      </c>
      <c r="X202" s="58" t="str">
        <f>VLOOKUP(A202,'[1]MTP SKUs - Master Data'!$A:$B,2,FALSE)</f>
        <v>Y</v>
      </c>
    </row>
    <row r="203" spans="1:27">
      <c r="A203" s="58" t="s">
        <v>120</v>
      </c>
      <c r="B203" s="3" t="s">
        <v>48</v>
      </c>
      <c r="C203" s="104">
        <v>85</v>
      </c>
      <c r="D203" s="72">
        <v>50</v>
      </c>
      <c r="E203" s="72">
        <v>18</v>
      </c>
      <c r="F203" s="135">
        <v>39520</v>
      </c>
      <c r="G203" s="72">
        <v>0</v>
      </c>
      <c r="H203" s="72">
        <v>0</v>
      </c>
      <c r="I203" s="72">
        <v>0</v>
      </c>
      <c r="J203" s="131">
        <v>0</v>
      </c>
      <c r="K203" s="72">
        <v>0</v>
      </c>
      <c r="L203" s="72">
        <v>0</v>
      </c>
      <c r="M203" s="72">
        <v>0</v>
      </c>
      <c r="N203" s="131">
        <v>0</v>
      </c>
      <c r="O203" s="112">
        <f>V203*$O$2*1000</f>
        <v>16211.880000000001</v>
      </c>
      <c r="P203" s="73">
        <f>F203+J203+N203</f>
        <v>39520</v>
      </c>
      <c r="Q203" s="74">
        <f>P203/1000</f>
        <v>39.520000000000003</v>
      </c>
      <c r="R203" s="74">
        <f>MAX(P203,O203)</f>
        <v>39520</v>
      </c>
      <c r="S203" s="75">
        <f>VLOOKUP(A203,'[2]BOM FG Files'!$A:$F,6,FALSE)</f>
        <v>41386.605288402687</v>
      </c>
      <c r="T203" s="76">
        <f>S203-P203</f>
        <v>1866.6052884026867</v>
      </c>
      <c r="U203" s="106">
        <f>T203/S203</f>
        <v>4.5101676626899984E-2</v>
      </c>
      <c r="V203" s="66">
        <f>(((C203*D203*E203)+(G203*H203*I203)+(K203*L203*M203))/1000000)*35.32</f>
        <v>2.7019799999999998</v>
      </c>
      <c r="W203" s="67">
        <f>Q203/V203</f>
        <v>14.626311075581613</v>
      </c>
      <c r="X203" s="58" t="str">
        <f>VLOOKUP(A203,'[1]MTP SKUs - Master Data'!$A:$B,2,FALSE)</f>
        <v>Y</v>
      </c>
    </row>
    <row r="204" spans="1:27">
      <c r="A204" s="58" t="s">
        <v>212</v>
      </c>
      <c r="B204" s="78" t="s">
        <v>48</v>
      </c>
      <c r="C204" s="104">
        <v>74</v>
      </c>
      <c r="D204" s="72">
        <v>52</v>
      </c>
      <c r="E204" s="72">
        <v>7</v>
      </c>
      <c r="F204" s="135">
        <v>8860</v>
      </c>
      <c r="G204" s="72">
        <v>0</v>
      </c>
      <c r="H204" s="72">
        <v>0</v>
      </c>
      <c r="I204" s="72">
        <v>0</v>
      </c>
      <c r="J204" s="131">
        <v>0</v>
      </c>
      <c r="K204" s="72">
        <v>0</v>
      </c>
      <c r="L204" s="72">
        <v>0</v>
      </c>
      <c r="M204" s="72">
        <v>0</v>
      </c>
      <c r="N204" s="131">
        <v>0</v>
      </c>
      <c r="O204" s="112">
        <f>V204*$O$2*1000</f>
        <v>5708.2771199999997</v>
      </c>
      <c r="P204" s="73">
        <f>F204+J204+N204</f>
        <v>8860</v>
      </c>
      <c r="Q204" s="74">
        <f>P204/1000</f>
        <v>8.86</v>
      </c>
      <c r="R204" s="74">
        <f>MAX(P204,O204)</f>
        <v>8860</v>
      </c>
      <c r="S204" s="75">
        <f>VLOOKUP(A204,'[2]BOM FG Files'!$A:$F,6,FALSE)</f>
        <v>9279.2606566760678</v>
      </c>
      <c r="T204" s="76">
        <f>S204-P204</f>
        <v>419.26065667606781</v>
      </c>
      <c r="U204" s="106">
        <f>T204/S204</f>
        <v>4.5182549794462991E-2</v>
      </c>
      <c r="V204" s="66">
        <f>(((C204*D204*E204)+(G204*H204*I204)+(K204*L204*M204))/1000000)*35.32</f>
        <v>0.95137952000000003</v>
      </c>
      <c r="W204" s="67">
        <f>Q204/V204</f>
        <v>9.3127924385002512</v>
      </c>
      <c r="X204" s="58" t="str">
        <f>VLOOKUP(A204,'[1]MTP SKUs - Master Data'!$A:$B,2,FALSE)</f>
        <v>Y</v>
      </c>
    </row>
    <row r="205" spans="1:27">
      <c r="A205" s="58" t="s">
        <v>171</v>
      </c>
      <c r="B205" s="3" t="s">
        <v>48</v>
      </c>
      <c r="C205" s="104">
        <v>127</v>
      </c>
      <c r="D205" s="72">
        <v>30</v>
      </c>
      <c r="E205" s="72">
        <v>9</v>
      </c>
      <c r="F205" s="135">
        <v>13880</v>
      </c>
      <c r="G205" s="72">
        <v>0</v>
      </c>
      <c r="H205" s="72">
        <v>0</v>
      </c>
      <c r="I205" s="72">
        <v>0</v>
      </c>
      <c r="J205" s="131">
        <v>0</v>
      </c>
      <c r="K205" s="72">
        <v>0</v>
      </c>
      <c r="L205" s="72">
        <v>0</v>
      </c>
      <c r="M205" s="72">
        <v>0</v>
      </c>
      <c r="N205" s="131">
        <v>0</v>
      </c>
      <c r="O205" s="112">
        <f>V205*$O$2*1000</f>
        <v>7266.7368000000006</v>
      </c>
      <c r="P205" s="73">
        <f>F205+J205+N205</f>
        <v>13880</v>
      </c>
      <c r="Q205" s="74">
        <f>P205/1000</f>
        <v>13.88</v>
      </c>
      <c r="R205" s="74">
        <f>MAX(P205,O205)</f>
        <v>13880</v>
      </c>
      <c r="S205" s="75">
        <f>VLOOKUP(A205,'[2]BOM FG Files'!$A:$F,6,FALSE)</f>
        <v>14541.035407654028</v>
      </c>
      <c r="T205" s="76">
        <f>S205-P205</f>
        <v>661.03540765402795</v>
      </c>
      <c r="U205" s="106">
        <f>T205/S205</f>
        <v>4.5459995737722768E-2</v>
      </c>
      <c r="V205" s="66">
        <f>(((C205*D205*E205)+(G205*H205*I205)+(K205*L205*M205))/1000000)*35.32</f>
        <v>1.2111228000000001</v>
      </c>
      <c r="W205" s="67">
        <f>Q205/V205</f>
        <v>11.460439849699799</v>
      </c>
      <c r="X205" s="58" t="str">
        <f>VLOOKUP(A205,'[1]MTP SKUs - Master Data'!$A:$B,2,FALSE)</f>
        <v>Y</v>
      </c>
    </row>
    <row r="206" spans="1:27">
      <c r="A206" s="58" t="s">
        <v>215</v>
      </c>
      <c r="B206" s="3" t="s">
        <v>74</v>
      </c>
      <c r="C206" s="104">
        <v>185</v>
      </c>
      <c r="D206" s="72">
        <v>49</v>
      </c>
      <c r="E206" s="72">
        <v>9</v>
      </c>
      <c r="F206" s="135">
        <v>45210</v>
      </c>
      <c r="G206" s="72">
        <v>165</v>
      </c>
      <c r="H206" s="72">
        <v>51</v>
      </c>
      <c r="I206" s="72">
        <v>13</v>
      </c>
      <c r="J206" s="131">
        <v>47290</v>
      </c>
      <c r="K206" s="72">
        <v>188</v>
      </c>
      <c r="L206" s="72">
        <v>48</v>
      </c>
      <c r="M206" s="72">
        <v>12</v>
      </c>
      <c r="N206" s="131">
        <v>46180</v>
      </c>
      <c r="O206" s="112">
        <f>V206*$O$2*1000</f>
        <v>63420.874559999997</v>
      </c>
      <c r="P206" s="73">
        <f>F206+J206+N206</f>
        <v>138680</v>
      </c>
      <c r="Q206" s="74">
        <f>P206/1000</f>
        <v>138.68</v>
      </c>
      <c r="R206" s="74">
        <f>MAX(P206,O206)</f>
        <v>138680</v>
      </c>
      <c r="S206" s="75">
        <f>VLOOKUP(A206,'[2]BOM FG Files'!$A:$F,6,FALSE)</f>
        <v>140711.43635019317</v>
      </c>
      <c r="T206" s="76">
        <f>S206-P206</f>
        <v>2031.4363501931657</v>
      </c>
      <c r="U206" s="106">
        <f>T206/S206</f>
        <v>1.4436895840772056E-2</v>
      </c>
      <c r="V206" s="66">
        <f>(((C206*D206*E206)+(G206*H206*I206)+(K206*L206*M206))/1000000)*35.32</f>
        <v>10.570145759999999</v>
      </c>
      <c r="W206" s="67">
        <f>Q206/V206</f>
        <v>13.119970447786901</v>
      </c>
      <c r="X206" s="58" t="str">
        <f>VLOOKUP(A206,'[1]MTP SKUs - Master Data'!$A:$B,2,FALSE)</f>
        <v>Y</v>
      </c>
    </row>
    <row r="207" spans="1:27">
      <c r="A207" s="58" t="s">
        <v>290</v>
      </c>
      <c r="B207" s="3" t="s">
        <v>48</v>
      </c>
      <c r="C207" s="104">
        <v>24</v>
      </c>
      <c r="D207" s="72">
        <v>20</v>
      </c>
      <c r="E207" s="72">
        <v>10</v>
      </c>
      <c r="F207" s="135">
        <v>1690</v>
      </c>
      <c r="G207" s="72">
        <v>0</v>
      </c>
      <c r="H207" s="72">
        <v>0</v>
      </c>
      <c r="I207" s="72">
        <v>0</v>
      </c>
      <c r="J207" s="131">
        <v>0</v>
      </c>
      <c r="K207" s="72">
        <v>0</v>
      </c>
      <c r="L207" s="72">
        <v>0</v>
      </c>
      <c r="M207" s="72">
        <v>0</v>
      </c>
      <c r="N207" s="131">
        <v>0</v>
      </c>
      <c r="O207" s="112">
        <f>V207*$O$2*1000</f>
        <v>1017.2159999999999</v>
      </c>
      <c r="P207" s="73">
        <f>F207+J207+N207</f>
        <v>1690</v>
      </c>
      <c r="Q207" s="74">
        <f>P207/1000</f>
        <v>1.69</v>
      </c>
      <c r="R207" s="74">
        <f>MAX(P207,O207)</f>
        <v>1690</v>
      </c>
      <c r="S207" s="75">
        <f>VLOOKUP(A207,'[2]BOM FG Files'!$A:$F,6,FALSE)</f>
        <v>1774.5626962033714</v>
      </c>
      <c r="T207" s="76">
        <f>S207-P207</f>
        <v>84.562696203371388</v>
      </c>
      <c r="U207" s="106">
        <f>T207/S207</f>
        <v>4.7652695722890479E-2</v>
      </c>
      <c r="V207" s="66">
        <f>(((C207*D207*E207)+(G207*H207*I207)+(K207*L207*M207))/1000000)*35.32</f>
        <v>0.16953599999999999</v>
      </c>
      <c r="W207" s="67">
        <f>Q207/V207</f>
        <v>9.9683842959607407</v>
      </c>
      <c r="X207" s="58" t="str">
        <f>VLOOKUP(A207,'[1]MTP SKUs - Master Data'!$A:$B,2,FALSE)</f>
        <v>Y</v>
      </c>
    </row>
    <row r="208" spans="1:27">
      <c r="A208" s="58" t="s">
        <v>114</v>
      </c>
      <c r="B208" s="3" t="s">
        <v>48</v>
      </c>
      <c r="C208" s="104">
        <v>85</v>
      </c>
      <c r="D208" s="72">
        <v>50</v>
      </c>
      <c r="E208" s="72">
        <v>16</v>
      </c>
      <c r="F208" s="135">
        <v>39200</v>
      </c>
      <c r="G208" s="72">
        <v>0</v>
      </c>
      <c r="H208" s="72">
        <v>0</v>
      </c>
      <c r="I208" s="72">
        <v>0</v>
      </c>
      <c r="J208" s="131">
        <v>0</v>
      </c>
      <c r="K208" s="72">
        <v>0</v>
      </c>
      <c r="L208" s="72">
        <v>0</v>
      </c>
      <c r="M208" s="72">
        <v>0</v>
      </c>
      <c r="N208" s="131">
        <v>0</v>
      </c>
      <c r="O208" s="112">
        <f>V208*$O$2*1000</f>
        <v>14410.560000000001</v>
      </c>
      <c r="P208" s="73">
        <f>F208+J208+N208</f>
        <v>39200</v>
      </c>
      <c r="Q208" s="74">
        <f>P208/1000</f>
        <v>39.200000000000003</v>
      </c>
      <c r="R208" s="74">
        <f>MAX(P208,O208)</f>
        <v>39200</v>
      </c>
      <c r="S208" s="75">
        <f>VLOOKUP(A208,'[2]BOM FG Files'!$A:$F,6,FALSE)</f>
        <v>41163.173083204521</v>
      </c>
      <c r="T208" s="76">
        <f>S208-P208</f>
        <v>1963.1730832045214</v>
      </c>
      <c r="U208" s="106">
        <f>T208/S208</f>
        <v>4.7692462367667644E-2</v>
      </c>
      <c r="V208" s="66">
        <f>(((C208*D208*E208)+(G208*H208*I208)+(K208*L208*M208))/1000000)*35.32</f>
        <v>2.4017600000000003</v>
      </c>
      <c r="W208" s="67">
        <f>Q208/V208</f>
        <v>16.321364332822597</v>
      </c>
      <c r="X208" s="58" t="str">
        <f>VLOOKUP(A208,'[1]MTP SKUs - Master Data'!$A:$B,2,FALSE)</f>
        <v>Y</v>
      </c>
    </row>
    <row r="209" spans="1:27">
      <c r="A209" s="149" t="s">
        <v>185</v>
      </c>
      <c r="B209" s="3" t="s">
        <v>48</v>
      </c>
      <c r="C209" s="104">
        <v>84</v>
      </c>
      <c r="D209" s="72">
        <v>20</v>
      </c>
      <c r="E209" s="72">
        <v>10</v>
      </c>
      <c r="F209" s="135">
        <v>7420</v>
      </c>
      <c r="G209" s="72">
        <v>0</v>
      </c>
      <c r="H209" s="72">
        <v>0</v>
      </c>
      <c r="I209" s="72">
        <v>0</v>
      </c>
      <c r="J209" s="131">
        <v>0</v>
      </c>
      <c r="K209" s="72">
        <v>0</v>
      </c>
      <c r="L209" s="72">
        <v>0</v>
      </c>
      <c r="M209" s="72">
        <v>0</v>
      </c>
      <c r="N209" s="131">
        <v>0</v>
      </c>
      <c r="O209" s="112">
        <f>V209*$O$2*1000</f>
        <v>3560.2559999999999</v>
      </c>
      <c r="P209" s="73">
        <f>F209+J209+N209</f>
        <v>7420</v>
      </c>
      <c r="Q209" s="74">
        <f>P209/1000</f>
        <v>7.42</v>
      </c>
      <c r="R209" s="74">
        <f>MAX(P209,O209)</f>
        <v>7420</v>
      </c>
      <c r="S209" s="75">
        <f>VLOOKUP(A209,'[2]BOM FG Files'!$A:$F,6,FALSE)</f>
        <v>7797.4632625612321</v>
      </c>
      <c r="T209" s="76">
        <f>S209-P209</f>
        <v>377.46326256123211</v>
      </c>
      <c r="U209" s="106">
        <f>T209/S209</f>
        <v>4.8408469504894698E-2</v>
      </c>
      <c r="V209" s="66">
        <f>(((C209*D209*E209)+(G209*H209*I209)+(K209*L209*M209))/1000000)*35.32</f>
        <v>0.59337600000000001</v>
      </c>
      <c r="W209" s="67">
        <f>Q209/V209</f>
        <v>12.504718761796903</v>
      </c>
      <c r="X209" s="58" t="str">
        <f>VLOOKUP(A209,'[1]MTP SKUs - Master Data'!$A:$B,2,FALSE)</f>
        <v>Y</v>
      </c>
    </row>
    <row r="210" spans="1:27">
      <c r="A210" s="58" t="s">
        <v>119</v>
      </c>
      <c r="B210" s="3" t="s">
        <v>48</v>
      </c>
      <c r="C210" s="104">
        <v>118</v>
      </c>
      <c r="D210" s="72">
        <v>42</v>
      </c>
      <c r="E210" s="72">
        <v>17</v>
      </c>
      <c r="F210" s="135">
        <v>29360</v>
      </c>
      <c r="G210" s="72">
        <v>0</v>
      </c>
      <c r="H210" s="72">
        <v>0</v>
      </c>
      <c r="I210" s="72">
        <v>0</v>
      </c>
      <c r="J210" s="131">
        <v>0</v>
      </c>
      <c r="K210" s="72">
        <v>0</v>
      </c>
      <c r="L210" s="72">
        <v>0</v>
      </c>
      <c r="M210" s="72">
        <v>0</v>
      </c>
      <c r="N210" s="131">
        <v>0</v>
      </c>
      <c r="O210" s="112">
        <f>V210*$O$2*1000</f>
        <v>17854.683840000002</v>
      </c>
      <c r="P210" s="73">
        <f>F210+J210+N210</f>
        <v>29360</v>
      </c>
      <c r="Q210" s="74">
        <f>P210/1000</f>
        <v>29.36</v>
      </c>
      <c r="R210" s="74">
        <f>MAX(P210,O210)</f>
        <v>29360</v>
      </c>
      <c r="S210" s="75">
        <f>VLOOKUP(A210,'[2]BOM FG Files'!$A:$F,6,FALSE)</f>
        <v>30862.25264139217</v>
      </c>
      <c r="T210" s="76">
        <f>S210-P210</f>
        <v>1502.2526413921696</v>
      </c>
      <c r="U210" s="106">
        <f>T210/S210</f>
        <v>4.8676052874292206E-2</v>
      </c>
      <c r="V210" s="66">
        <f>(((C210*D210*E210)+(G210*H210*I210)+(K210*L210*M210))/1000000)*35.32</f>
        <v>2.97578064</v>
      </c>
      <c r="W210" s="67">
        <f>Q210/V210</f>
        <v>9.8663186410138071</v>
      </c>
      <c r="X210" s="58" t="str">
        <f>VLOOKUP(A210,'[1]MTP SKUs - Master Data'!$A:$B,2,FALSE)</f>
        <v>Y</v>
      </c>
    </row>
    <row r="211" spans="1:27">
      <c r="A211" s="58" t="s">
        <v>266</v>
      </c>
      <c r="B211" s="3" t="s">
        <v>48</v>
      </c>
      <c r="C211" s="104">
        <v>84</v>
      </c>
      <c r="D211" s="72">
        <v>28</v>
      </c>
      <c r="E211" s="72">
        <v>8</v>
      </c>
      <c r="F211" s="135">
        <v>7990</v>
      </c>
      <c r="G211" s="72">
        <v>0</v>
      </c>
      <c r="H211" s="72">
        <v>0</v>
      </c>
      <c r="I211" s="72">
        <v>0</v>
      </c>
      <c r="J211" s="131">
        <v>0</v>
      </c>
      <c r="K211" s="72">
        <v>0</v>
      </c>
      <c r="L211" s="72">
        <v>0</v>
      </c>
      <c r="M211" s="72">
        <v>0</v>
      </c>
      <c r="N211" s="131">
        <v>0</v>
      </c>
      <c r="O211" s="112">
        <f>V211*$O$2*1000</f>
        <v>3987.4867200000003</v>
      </c>
      <c r="P211" s="73">
        <f>F211+J211+N211</f>
        <v>7990</v>
      </c>
      <c r="Q211" s="74">
        <f>P211/1000</f>
        <v>7.99</v>
      </c>
      <c r="R211" s="74">
        <f>MAX(P211,O211)</f>
        <v>7990</v>
      </c>
      <c r="S211" s="75">
        <f>VLOOKUP(A211,'[2]BOM FG Files'!$A:$F,6,FALSE)</f>
        <v>8403.4873814839066</v>
      </c>
      <c r="T211" s="76">
        <f>S211-P211</f>
        <v>413.48738148390657</v>
      </c>
      <c r="U211" s="106">
        <f>T211/S211</f>
        <v>4.9204260411573567E-2</v>
      </c>
      <c r="V211" s="66">
        <f>(((C211*D211*E211)+(G211*H211*I211)+(K211*L211*M211))/1000000)*35.32</f>
        <v>0.66458112000000003</v>
      </c>
      <c r="W211" s="67" t="s">
        <v>380</v>
      </c>
      <c r="X211" s="58" t="str">
        <f>VLOOKUP(A211,'[1]MTP SKUs - Master Data'!$A:$B,2,FALSE)</f>
        <v>Y</v>
      </c>
    </row>
    <row r="212" spans="1:27">
      <c r="A212" s="58" t="s">
        <v>72</v>
      </c>
      <c r="B212" s="3" t="s">
        <v>48</v>
      </c>
      <c r="C212" s="104">
        <v>100</v>
      </c>
      <c r="D212" s="72">
        <v>50</v>
      </c>
      <c r="E212" s="72">
        <v>5</v>
      </c>
      <c r="F212" s="135">
        <v>8310</v>
      </c>
      <c r="G212" s="72">
        <v>0</v>
      </c>
      <c r="H212" s="72">
        <v>0</v>
      </c>
      <c r="I212" s="72">
        <v>0</v>
      </c>
      <c r="J212" s="131">
        <v>0</v>
      </c>
      <c r="K212" s="72">
        <v>0</v>
      </c>
      <c r="L212" s="72">
        <v>0</v>
      </c>
      <c r="M212" s="72">
        <v>0</v>
      </c>
      <c r="N212" s="131">
        <v>0</v>
      </c>
      <c r="O212" s="112">
        <f>V212*$O$2*1000</f>
        <v>5298</v>
      </c>
      <c r="P212" s="73">
        <f>F212+J212+N212</f>
        <v>8310</v>
      </c>
      <c r="Q212" s="74">
        <f>P212/1000</f>
        <v>8.31</v>
      </c>
      <c r="R212" s="74">
        <f>MAX(P212,O212)</f>
        <v>8310</v>
      </c>
      <c r="S212" s="75">
        <f>VLOOKUP(A212,'[2]BOM FG Files'!$A:$F,6,FALSE)</f>
        <v>8741.3294760605713</v>
      </c>
      <c r="T212" s="76">
        <f>S212-P212</f>
        <v>431.32947606057132</v>
      </c>
      <c r="U212" s="106">
        <f>T212/S212</f>
        <v>4.9343692769141252E-2</v>
      </c>
      <c r="V212" s="66">
        <f>(((C212*D212*E212)+(G212*H212*I212)+(K212*L212*M212))/1000000)*35.32</f>
        <v>0.88300000000000001</v>
      </c>
      <c r="W212" s="67">
        <f>Q212/V212</f>
        <v>9.4110985277463204</v>
      </c>
      <c r="X212" s="58" t="str">
        <f>VLOOKUP(A212,'[1]MTP SKUs - Master Data'!$A:$B,2,FALSE)</f>
        <v>Y</v>
      </c>
    </row>
    <row r="213" spans="1:27">
      <c r="A213" s="58" t="s">
        <v>186</v>
      </c>
      <c r="B213" s="3" t="s">
        <v>48</v>
      </c>
      <c r="C213" s="104">
        <v>65</v>
      </c>
      <c r="D213" s="72">
        <v>28</v>
      </c>
      <c r="E213" s="72">
        <v>5</v>
      </c>
      <c r="F213" s="135">
        <v>3500</v>
      </c>
      <c r="G213" s="72">
        <v>0</v>
      </c>
      <c r="H213" s="72">
        <v>0</v>
      </c>
      <c r="I213" s="72">
        <v>0</v>
      </c>
      <c r="J213" s="131">
        <v>0</v>
      </c>
      <c r="K213" s="72">
        <v>0</v>
      </c>
      <c r="L213" s="72">
        <v>0</v>
      </c>
      <c r="M213" s="72">
        <v>0</v>
      </c>
      <c r="N213" s="131">
        <v>0</v>
      </c>
      <c r="O213" s="112">
        <f>V213*$O$2*1000</f>
        <v>1928.4720000000002</v>
      </c>
      <c r="P213" s="73">
        <f>F213+J213+N213</f>
        <v>3500</v>
      </c>
      <c r="Q213" s="74">
        <f>P213/1000</f>
        <v>3.5</v>
      </c>
      <c r="R213" s="74">
        <f>MAX(P213,O213)</f>
        <v>3500</v>
      </c>
      <c r="S213" s="75">
        <f>VLOOKUP(A213,'[2]BOM FG Files'!$A:$F,6,FALSE)</f>
        <v>3404.4614909325328</v>
      </c>
      <c r="T213" s="76">
        <f>S213-P213</f>
        <v>-95.538509067467203</v>
      </c>
      <c r="U213" s="106">
        <f>T213/S213</f>
        <v>-2.8062737476081064E-2</v>
      </c>
      <c r="V213" s="66">
        <f>(((C213*D213*E213)+(G213*H213*I213)+(K213*L213*M213))/1000000)*35.32</f>
        <v>0.32141200000000003</v>
      </c>
      <c r="W213" s="67">
        <f>Q213/V213</f>
        <v>10.889450300548827</v>
      </c>
      <c r="X213" s="58" t="str">
        <f>VLOOKUP(A213,'[1]MTP SKUs - Master Data'!$A:$B,2,FALSE)</f>
        <v>DI</v>
      </c>
    </row>
    <row r="214" spans="1:27">
      <c r="A214" s="58" t="s">
        <v>242</v>
      </c>
      <c r="B214" s="3" t="s">
        <v>48</v>
      </c>
      <c r="C214" s="104">
        <v>103</v>
      </c>
      <c r="D214" s="72">
        <v>40</v>
      </c>
      <c r="E214" s="72">
        <v>7</v>
      </c>
      <c r="F214" s="135">
        <v>14650</v>
      </c>
      <c r="G214" s="72">
        <v>0</v>
      </c>
      <c r="H214" s="72">
        <v>0</v>
      </c>
      <c r="I214" s="72">
        <v>0</v>
      </c>
      <c r="J214" s="131">
        <v>0</v>
      </c>
      <c r="K214" s="72">
        <v>0</v>
      </c>
      <c r="L214" s="72">
        <v>0</v>
      </c>
      <c r="M214" s="72">
        <v>0</v>
      </c>
      <c r="N214" s="131">
        <v>0</v>
      </c>
      <c r="O214" s="112">
        <f>V214*$O$2*1000</f>
        <v>6111.7728000000006</v>
      </c>
      <c r="P214" s="73">
        <f>F214+J214+N214</f>
        <v>14650</v>
      </c>
      <c r="Q214" s="74">
        <f>P214/1000</f>
        <v>14.65</v>
      </c>
      <c r="R214" s="74">
        <f>MAX(P214,O214)</f>
        <v>14650</v>
      </c>
      <c r="S214" s="75">
        <f>VLOOKUP(A214,'[2]BOM FG Files'!$A:$F,6,FALSE)</f>
        <v>15422.690790191107</v>
      </c>
      <c r="T214" s="76">
        <f>S214-P214</f>
        <v>772.69079019110723</v>
      </c>
      <c r="U214" s="106">
        <f>T214/S214</f>
        <v>5.0100906560516772E-2</v>
      </c>
      <c r="V214" s="66">
        <f>(((C214*D214*E214)+(G214*H214*I214)+(K214*L214*M214))/1000000)*35.32</f>
        <v>1.0186288000000001</v>
      </c>
      <c r="W214" s="67">
        <f>Q214/V214</f>
        <v>14.382079124407241</v>
      </c>
      <c r="X214" s="58" t="str">
        <f>VLOOKUP(A214,'[1]MTP SKUs - Master Data'!$A:$B,2,FALSE)</f>
        <v>Y</v>
      </c>
    </row>
    <row r="215" spans="1:27">
      <c r="A215" s="23" t="s">
        <v>67</v>
      </c>
      <c r="B215" s="3" t="s">
        <v>48</v>
      </c>
      <c r="C215" s="104">
        <v>39</v>
      </c>
      <c r="D215" s="72">
        <v>30</v>
      </c>
      <c r="E215" s="72">
        <v>10</v>
      </c>
      <c r="F215" s="135">
        <v>2960</v>
      </c>
      <c r="G215" s="72">
        <v>0</v>
      </c>
      <c r="H215" s="72">
        <v>0</v>
      </c>
      <c r="I215" s="72">
        <v>0</v>
      </c>
      <c r="J215" s="131">
        <v>0</v>
      </c>
      <c r="K215" s="72">
        <v>0</v>
      </c>
      <c r="L215" s="72">
        <v>0</v>
      </c>
      <c r="M215" s="72">
        <v>0</v>
      </c>
      <c r="N215" s="131">
        <v>0</v>
      </c>
      <c r="O215" s="112">
        <f>V215*$O$2*1000</f>
        <v>2479.4639999999999</v>
      </c>
      <c r="P215" s="73">
        <f>F215+J215+N215</f>
        <v>2960</v>
      </c>
      <c r="Q215" s="74">
        <f>P215/1000</f>
        <v>2.96</v>
      </c>
      <c r="R215" s="74">
        <f>MAX(P215,O215)</f>
        <v>2960</v>
      </c>
      <c r="S215" s="75">
        <f>VLOOKUP(A215,'[2]BOM FG Files'!$A:$F,6,FALSE)</f>
        <v>3123.6970872138768</v>
      </c>
      <c r="T215" s="76">
        <f>S215-P215</f>
        <v>163.69708721387678</v>
      </c>
      <c r="U215" s="106">
        <f>T215/S215</f>
        <v>5.2404917200176843E-2</v>
      </c>
      <c r="V215" s="66">
        <f>(((C215*D215*E215)+(G215*H215*I215)+(K215*L215*M215))/1000000)*35.32</f>
        <v>0.413244</v>
      </c>
      <c r="W215" s="67">
        <f>Q215/V215</f>
        <v>7.1628384199165627</v>
      </c>
      <c r="X215" s="58" t="str">
        <f>VLOOKUP(A215,'[1]MTP SKUs - Master Data'!$A:$B,2,FALSE)</f>
        <v>Y</v>
      </c>
    </row>
    <row r="216" spans="1:27">
      <c r="A216" s="185" t="s">
        <v>214</v>
      </c>
      <c r="B216" s="174" t="s">
        <v>48</v>
      </c>
      <c r="C216" s="173">
        <v>115</v>
      </c>
      <c r="D216" s="174">
        <v>38</v>
      </c>
      <c r="E216" s="174">
        <v>8</v>
      </c>
      <c r="F216" s="175">
        <v>12270</v>
      </c>
      <c r="G216" s="174">
        <v>0</v>
      </c>
      <c r="H216" s="174">
        <v>0</v>
      </c>
      <c r="I216" s="174">
        <v>0</v>
      </c>
      <c r="J216" s="176">
        <v>0</v>
      </c>
      <c r="K216" s="174">
        <v>0</v>
      </c>
      <c r="L216" s="174">
        <v>0</v>
      </c>
      <c r="M216" s="174">
        <v>0</v>
      </c>
      <c r="N216" s="176">
        <v>0</v>
      </c>
      <c r="O216" s="177">
        <f>V216*$O$2*1000</f>
        <v>7408.7231999999995</v>
      </c>
      <c r="P216" s="73">
        <f>F216+J216+N216</f>
        <v>12270</v>
      </c>
      <c r="Q216" s="179">
        <f>P216/1000</f>
        <v>12.27</v>
      </c>
      <c r="R216" s="179">
        <f>MAX(P216,O216)</f>
        <v>12270</v>
      </c>
      <c r="S216" s="180">
        <f>VLOOKUP(A216,'[2]BOM FG Files'!$A:$F,6,FALSE)</f>
        <v>12965.541225920606</v>
      </c>
      <c r="T216" s="181">
        <f>S216-P216</f>
        <v>695.54122592060594</v>
      </c>
      <c r="U216" s="182">
        <f>T216/S216</f>
        <v>5.3645367655774025E-2</v>
      </c>
      <c r="V216" s="183">
        <f>(((C216*D216*E216)+(G216*H216*I216)+(K216*L216*M216))/1000000)*35.32</f>
        <v>1.2347872</v>
      </c>
      <c r="W216" s="184">
        <f>Q216/V216</f>
        <v>9.9369348823829728</v>
      </c>
      <c r="X216" s="185" t="str">
        <f>VLOOKUP(A216,'[1]MTP SKUs - Master Data'!$A:$B,2,FALSE)</f>
        <v>Y</v>
      </c>
      <c r="Y216" s="186"/>
      <c r="Z216" s="186"/>
      <c r="AA216" s="186"/>
    </row>
    <row r="217" spans="1:27">
      <c r="A217" s="58" t="s">
        <v>78</v>
      </c>
      <c r="B217" s="3" t="s">
        <v>74</v>
      </c>
      <c r="C217" s="104">
        <v>206</v>
      </c>
      <c r="D217" s="72">
        <v>38</v>
      </c>
      <c r="E217" s="72">
        <v>9</v>
      </c>
      <c r="F217" s="135">
        <v>36430</v>
      </c>
      <c r="G217" s="72">
        <v>151</v>
      </c>
      <c r="H217" s="72">
        <v>39</v>
      </c>
      <c r="I217" s="72">
        <v>7</v>
      </c>
      <c r="J217" s="131">
        <v>23900</v>
      </c>
      <c r="K217" s="72">
        <v>104</v>
      </c>
      <c r="L217" s="72">
        <v>95</v>
      </c>
      <c r="M217" s="72">
        <v>7</v>
      </c>
      <c r="N217" s="131">
        <v>38300</v>
      </c>
      <c r="O217" s="112">
        <f>V217*$O$2*1000</f>
        <v>38322.553200000002</v>
      </c>
      <c r="P217" s="73">
        <f>F217+J217+N217</f>
        <v>98630</v>
      </c>
      <c r="Q217" s="74">
        <f>P217/1000</f>
        <v>98.63</v>
      </c>
      <c r="R217" s="74">
        <f>MAX(P217,O217)</f>
        <v>98630</v>
      </c>
      <c r="S217" s="75">
        <f>VLOOKUP(A217,'[2]BOM FG Files'!$A:$F,6,FALSE)</f>
        <v>100918.29638158774</v>
      </c>
      <c r="T217" s="76">
        <f>S217-P217</f>
        <v>2288.2963815877447</v>
      </c>
      <c r="U217" s="106">
        <f>T217/S217</f>
        <v>2.2674742476184308E-2</v>
      </c>
      <c r="V217" s="66">
        <f>(((C217*D217*E217)+(G217*H217*I217)+(K217*L217*M217))/1000000)*35.32</f>
        <v>6.3870921999999997</v>
      </c>
      <c r="W217" s="67">
        <f>Q217/V217</f>
        <v>15.442081766096942</v>
      </c>
      <c r="X217" s="58" t="str">
        <f>VLOOKUP(A217,'[1]MTP SKUs - Master Data'!$A:$B,2,FALSE)</f>
        <v>Y</v>
      </c>
    </row>
    <row r="218" spans="1:27">
      <c r="A218" s="58" t="s">
        <v>275</v>
      </c>
      <c r="B218" s="3" t="s">
        <v>48</v>
      </c>
      <c r="C218" s="104">
        <v>66</v>
      </c>
      <c r="D218" s="72">
        <v>30</v>
      </c>
      <c r="E218" s="72">
        <v>5</v>
      </c>
      <c r="F218" s="135">
        <v>3335</v>
      </c>
      <c r="G218" s="72">
        <v>0</v>
      </c>
      <c r="H218" s="72">
        <v>0</v>
      </c>
      <c r="I218" s="72">
        <v>0</v>
      </c>
      <c r="J218" s="131">
        <v>0</v>
      </c>
      <c r="K218" s="72">
        <v>0</v>
      </c>
      <c r="L218" s="72">
        <v>0</v>
      </c>
      <c r="M218" s="72">
        <v>0</v>
      </c>
      <c r="N218" s="131">
        <v>0</v>
      </c>
      <c r="O218" s="112">
        <f>V218*$O$2*1000</f>
        <v>2098.0080000000003</v>
      </c>
      <c r="P218" s="73">
        <f>F218+J218+N218</f>
        <v>3335</v>
      </c>
      <c r="Q218" s="74">
        <f>P218/1000</f>
        <v>3.335</v>
      </c>
      <c r="R218" s="74">
        <f>MAX(P218,O218)</f>
        <v>3335</v>
      </c>
      <c r="S218" s="75">
        <f>VLOOKUP(A218,'[2]BOM FG Files'!$A:$F,6,FALSE)</f>
        <v>3526.0251317921366</v>
      </c>
      <c r="T218" s="76">
        <f>S218-P218</f>
        <v>191.02513179213656</v>
      </c>
      <c r="U218" s="106">
        <f>T218/S218</f>
        <v>5.4175771485510137E-2</v>
      </c>
      <c r="V218" s="66">
        <f>(((C218*D218*E218)+(G218*H218*I218)+(K218*L218*M218))/1000000)*35.32</f>
        <v>0.34966800000000003</v>
      </c>
      <c r="W218" s="67">
        <f>Q218/V218</f>
        <v>9.5376185410160481</v>
      </c>
      <c r="X218" s="58" t="str">
        <f>VLOOKUP(A218,'[1]MTP SKUs - Master Data'!$A:$B,2,FALSE)</f>
        <v>Y</v>
      </c>
    </row>
    <row r="219" spans="1:27">
      <c r="A219" s="58" t="s">
        <v>169</v>
      </c>
      <c r="B219" s="3" t="s">
        <v>48</v>
      </c>
      <c r="C219" s="104">
        <v>100</v>
      </c>
      <c r="D219" s="72">
        <v>50</v>
      </c>
      <c r="E219" s="72">
        <v>4</v>
      </c>
      <c r="F219" s="135">
        <v>11820</v>
      </c>
      <c r="G219" s="72">
        <v>0</v>
      </c>
      <c r="H219" s="72">
        <v>0</v>
      </c>
      <c r="I219" s="72">
        <v>0</v>
      </c>
      <c r="J219" s="131">
        <v>0</v>
      </c>
      <c r="K219" s="72">
        <v>0</v>
      </c>
      <c r="L219" s="72">
        <v>0</v>
      </c>
      <c r="M219" s="72">
        <v>0</v>
      </c>
      <c r="N219" s="131">
        <v>0</v>
      </c>
      <c r="O219" s="112">
        <f>V219*$O$2*1000</f>
        <v>4238.4000000000005</v>
      </c>
      <c r="P219" s="73">
        <f>F219+J219+N219</f>
        <v>11820</v>
      </c>
      <c r="Q219" s="74">
        <f>P219/1000</f>
        <v>11.82</v>
      </c>
      <c r="R219" s="74">
        <f>MAX(P219,O219)</f>
        <v>11820</v>
      </c>
      <c r="S219" s="75">
        <f>VLOOKUP(A219,'[2]BOM FG Files'!$A:$F,6,FALSE)</f>
        <v>13410.999296879969</v>
      </c>
      <c r="T219" s="76">
        <f>S219-P219</f>
        <v>1590.9992968799688</v>
      </c>
      <c r="U219" s="106">
        <f>T219/S219</f>
        <v>0.11863391099051883</v>
      </c>
      <c r="V219" s="66">
        <f>(((C219*D219*E219)+(G219*H219*I219)+(K219*L219*M219))/1000000)*35.32</f>
        <v>0.70640000000000003</v>
      </c>
      <c r="W219" s="67">
        <f>Q219/V219</f>
        <v>16.732729331823329</v>
      </c>
      <c r="X219" s="58" t="str">
        <f>VLOOKUP(A219,'[1]MTP SKUs - Master Data'!$A:$B,2,FALSE)</f>
        <v>DI</v>
      </c>
    </row>
    <row r="220" spans="1:27">
      <c r="A220" s="58" t="s">
        <v>181</v>
      </c>
      <c r="B220" s="3" t="s">
        <v>48</v>
      </c>
      <c r="C220" s="104">
        <v>96</v>
      </c>
      <c r="D220" s="72">
        <v>36</v>
      </c>
      <c r="E220" s="72">
        <v>5</v>
      </c>
      <c r="F220" s="135">
        <v>6400</v>
      </c>
      <c r="G220" s="72">
        <v>0</v>
      </c>
      <c r="H220" s="72">
        <v>0</v>
      </c>
      <c r="I220" s="72">
        <v>0</v>
      </c>
      <c r="J220" s="131">
        <v>0</v>
      </c>
      <c r="K220" s="72">
        <v>0</v>
      </c>
      <c r="L220" s="72">
        <v>0</v>
      </c>
      <c r="M220" s="72">
        <v>0</v>
      </c>
      <c r="N220" s="131">
        <v>0</v>
      </c>
      <c r="O220" s="112">
        <f>V220*$O$2*1000</f>
        <v>3661.9776000000002</v>
      </c>
      <c r="P220" s="73">
        <f>F220+J220+N220</f>
        <v>6400</v>
      </c>
      <c r="Q220" s="74">
        <f>P220/1000</f>
        <v>6.4</v>
      </c>
      <c r="R220" s="74">
        <f>MAX(P220,O220)</f>
        <v>6400</v>
      </c>
      <c r="S220" s="75">
        <f>VLOOKUP(A220,'[2]BOM FG Files'!$A:$F,6,FALSE)</f>
        <v>6772.6695617405094</v>
      </c>
      <c r="T220" s="76">
        <f>S220-P220</f>
        <v>372.66956174050938</v>
      </c>
      <c r="U220" s="106">
        <f>T220/S220</f>
        <v>5.5025504838706017E-2</v>
      </c>
      <c r="V220" s="66">
        <f>(((C220*D220*E220)+(G220*H220*I220)+(K220*L220*M220))/1000000)*35.32</f>
        <v>0.61032960000000003</v>
      </c>
      <c r="W220" s="67">
        <f>Q220/V220</f>
        <v>10.486137326454427</v>
      </c>
      <c r="X220" s="58" t="str">
        <f>VLOOKUP(A220,'[1]MTP SKUs - Master Data'!$A:$B,2,FALSE)</f>
        <v>Y</v>
      </c>
    </row>
    <row r="221" spans="1:27" s="186" customFormat="1">
      <c r="A221" s="58" t="s">
        <v>80</v>
      </c>
      <c r="B221" s="3" t="s">
        <v>74</v>
      </c>
      <c r="C221" s="104">
        <v>126</v>
      </c>
      <c r="D221" s="72"/>
      <c r="E221" s="72">
        <v>12</v>
      </c>
      <c r="F221" s="135">
        <v>43600</v>
      </c>
      <c r="G221" s="72">
        <v>79</v>
      </c>
      <c r="H221" s="72">
        <v>46</v>
      </c>
      <c r="I221" s="72">
        <v>15</v>
      </c>
      <c r="J221" s="131">
        <v>24330</v>
      </c>
      <c r="K221" s="72">
        <v>0</v>
      </c>
      <c r="L221" s="72">
        <v>0</v>
      </c>
      <c r="M221" s="72">
        <v>0</v>
      </c>
      <c r="N221" s="131">
        <v>0</v>
      </c>
      <c r="O221" s="112">
        <f>V221*$O$2*1000</f>
        <v>11551.759199999999</v>
      </c>
      <c r="P221" s="73">
        <f>F221+J221+N221</f>
        <v>67930</v>
      </c>
      <c r="Q221" s="74">
        <f>P221/1000</f>
        <v>67.930000000000007</v>
      </c>
      <c r="R221" s="74">
        <f>MAX(P221,O221)</f>
        <v>67930</v>
      </c>
      <c r="S221" s="75">
        <f>VLOOKUP(A221,'[2]BOM FG Files'!$A:$F,6,FALSE)</f>
        <v>71979.841162356373</v>
      </c>
      <c r="T221" s="76">
        <f>S221-P221</f>
        <v>4049.8411623563734</v>
      </c>
      <c r="U221" s="106">
        <f>T221/S221</f>
        <v>5.6263546806412476E-2</v>
      </c>
      <c r="V221" s="66">
        <f>(((C221*D221*E221)+(G221*H221*I221)+(K221*L221*M221))/1000000)*35.32</f>
        <v>1.9252932</v>
      </c>
      <c r="W221" s="67">
        <f>Q221/V221</f>
        <v>35.282937684504368</v>
      </c>
      <c r="X221" s="58" t="str">
        <f>VLOOKUP(A221,'[1]MTP SKUs - Master Data'!$A:$B,2,FALSE)</f>
        <v>Y</v>
      </c>
      <c r="Y221" s="5"/>
      <c r="Z221" s="5"/>
      <c r="AA221" s="5"/>
    </row>
    <row r="222" spans="1:27">
      <c r="A222" s="185" t="s">
        <v>225</v>
      </c>
      <c r="B222" s="174" t="s">
        <v>48</v>
      </c>
      <c r="C222" s="173">
        <v>144</v>
      </c>
      <c r="D222" s="174">
        <v>40</v>
      </c>
      <c r="E222" s="174">
        <v>13</v>
      </c>
      <c r="F222" s="175">
        <v>36200</v>
      </c>
      <c r="G222" s="174">
        <v>0</v>
      </c>
      <c r="H222" s="174">
        <v>0</v>
      </c>
      <c r="I222" s="174">
        <v>0</v>
      </c>
      <c r="J222" s="176">
        <v>0</v>
      </c>
      <c r="K222" s="174">
        <v>0</v>
      </c>
      <c r="L222" s="174">
        <v>0</v>
      </c>
      <c r="M222" s="174">
        <v>0</v>
      </c>
      <c r="N222" s="176">
        <v>0</v>
      </c>
      <c r="O222" s="177">
        <f>V222*$O$2*1000</f>
        <v>15868.569600000001</v>
      </c>
      <c r="P222" s="73">
        <f>F222+J222+N222</f>
        <v>36200</v>
      </c>
      <c r="Q222" s="179">
        <f>P222/1000</f>
        <v>36.200000000000003</v>
      </c>
      <c r="R222" s="179">
        <f>MAX(P222,O222)</f>
        <v>36200</v>
      </c>
      <c r="S222" s="180">
        <f>VLOOKUP(A222,'[2]BOM FG Files'!$A:$F,6,FALSE)</f>
        <v>35455.708763882547</v>
      </c>
      <c r="T222" s="181">
        <f>S222-P222</f>
        <v>-744.29123611745308</v>
      </c>
      <c r="U222" s="182">
        <f>T222/S222</f>
        <v>-2.0992140957442534E-2</v>
      </c>
      <c r="V222" s="183">
        <f>(((C222*D222*E222)+(G222*H222*I222)+(K222*L222*M222))/1000000)*35.32</f>
        <v>2.6447616000000003</v>
      </c>
      <c r="W222" s="184">
        <f>Q222/V222</f>
        <v>13.687434058328735</v>
      </c>
      <c r="X222" s="185" t="str">
        <f>VLOOKUP(A222,'[1]MTP SKUs - Master Data'!$A:$B,2,FALSE)</f>
        <v>Y</v>
      </c>
      <c r="Y222" s="186"/>
      <c r="Z222" s="186"/>
      <c r="AA222" s="186"/>
    </row>
    <row r="223" spans="1:27">
      <c r="A223" s="58" t="s">
        <v>269</v>
      </c>
      <c r="B223" s="3" t="s">
        <v>48</v>
      </c>
      <c r="C223" s="104">
        <v>71</v>
      </c>
      <c r="D223" s="72">
        <v>65</v>
      </c>
      <c r="E223" s="72">
        <v>8</v>
      </c>
      <c r="F223" s="135">
        <v>11540</v>
      </c>
      <c r="G223" s="72">
        <v>0</v>
      </c>
      <c r="H223" s="72">
        <v>0</v>
      </c>
      <c r="I223" s="72">
        <v>0</v>
      </c>
      <c r="J223" s="131">
        <v>0</v>
      </c>
      <c r="K223" s="72">
        <v>0</v>
      </c>
      <c r="L223" s="72">
        <v>0</v>
      </c>
      <c r="M223" s="72">
        <v>0</v>
      </c>
      <c r="N223" s="131">
        <v>0</v>
      </c>
      <c r="O223" s="112">
        <f>V223*$O$2*1000</f>
        <v>7824.0864000000001</v>
      </c>
      <c r="P223" s="73">
        <f>F223+J223+N223</f>
        <v>11540</v>
      </c>
      <c r="Q223" s="74">
        <f>P223/1000</f>
        <v>11.54</v>
      </c>
      <c r="R223" s="74">
        <f>MAX(P223,O223)</f>
        <v>11540</v>
      </c>
      <c r="S223" s="75">
        <f>VLOOKUP(A223,'[2]BOM FG Files'!$A:$F,6,FALSE)</f>
        <v>12249.62985488095</v>
      </c>
      <c r="T223" s="76">
        <f>S223-P223</f>
        <v>709.62985488095001</v>
      </c>
      <c r="U223" s="106">
        <f>T223/S223</f>
        <v>5.7930718175798028E-2</v>
      </c>
      <c r="V223" s="66">
        <f>(((C223*D223*E223)+(G223*H223*I223)+(K223*L223*M223))/1000000)*35.32</f>
        <v>1.3040144</v>
      </c>
      <c r="W223" s="67">
        <f>Q223/V223</f>
        <v>8.8495955259389767</v>
      </c>
      <c r="X223" s="58" t="str">
        <f>VLOOKUP(A223,'[1]MTP SKUs - Master Data'!$A:$B,2,FALSE)</f>
        <v>Y</v>
      </c>
    </row>
    <row r="224" spans="1:27">
      <c r="A224" s="58" t="s">
        <v>54</v>
      </c>
      <c r="B224" s="3" t="s">
        <v>48</v>
      </c>
      <c r="C224" s="104">
        <v>35</v>
      </c>
      <c r="D224" s="72">
        <v>12</v>
      </c>
      <c r="E224" s="72">
        <v>4</v>
      </c>
      <c r="F224" s="135">
        <v>266</v>
      </c>
      <c r="G224" s="72">
        <v>0</v>
      </c>
      <c r="H224" s="72">
        <v>0</v>
      </c>
      <c r="I224" s="72">
        <v>0</v>
      </c>
      <c r="J224" s="131">
        <v>0</v>
      </c>
      <c r="K224" s="72">
        <v>0</v>
      </c>
      <c r="L224" s="72">
        <v>0</v>
      </c>
      <c r="M224" s="72">
        <v>0</v>
      </c>
      <c r="N224" s="131">
        <v>0</v>
      </c>
      <c r="O224" s="112">
        <f>V224*$O$2*1000</f>
        <v>356.02560000000005</v>
      </c>
      <c r="P224" s="73">
        <f>F224+J224+N224</f>
        <v>266</v>
      </c>
      <c r="Q224" s="74">
        <f>P224/1000</f>
        <v>0.26600000000000001</v>
      </c>
      <c r="R224" s="74">
        <f>MAX(P224,O224)</f>
        <v>356.02560000000005</v>
      </c>
      <c r="S224" s="75">
        <f>VLOOKUP(A224,'[2]BOM FG Files'!$A:$F,6,FALSE)</f>
        <v>298.06913791948568</v>
      </c>
      <c r="T224" s="76">
        <f>S224-P224</f>
        <v>32.069137919485684</v>
      </c>
      <c r="U224" s="106">
        <f>T224/S224</f>
        <v>0.10758959529767952</v>
      </c>
      <c r="V224" s="66">
        <f>(((C224*D224*E224)+(G224*H224*I224)+(K224*L224*M224))/1000000)*35.32</f>
        <v>5.9337600000000004E-2</v>
      </c>
      <c r="W224" s="67">
        <f>Q224/V224</f>
        <v>4.4828237070592678</v>
      </c>
      <c r="X224" s="58" t="str">
        <f>VLOOKUP(A224,'[1]MTP SKUs - Master Data'!$A:$B,2,FALSE)</f>
        <v>RL</v>
      </c>
    </row>
    <row r="225" spans="1:27">
      <c r="A225" s="58" t="s">
        <v>231</v>
      </c>
      <c r="B225" s="3" t="s">
        <v>74</v>
      </c>
      <c r="C225" s="104">
        <v>73</v>
      </c>
      <c r="D225" s="72">
        <v>79</v>
      </c>
      <c r="E225" s="72">
        <v>4</v>
      </c>
      <c r="F225" s="135">
        <v>4200</v>
      </c>
      <c r="G225" s="72">
        <v>51</v>
      </c>
      <c r="H225" s="72">
        <v>14</v>
      </c>
      <c r="I225" s="72">
        <v>12</v>
      </c>
      <c r="J225" s="131">
        <v>1350</v>
      </c>
      <c r="K225" s="72">
        <v>0</v>
      </c>
      <c r="L225" s="72">
        <v>0</v>
      </c>
      <c r="M225" s="72">
        <v>0</v>
      </c>
      <c r="N225" s="131">
        <v>0</v>
      </c>
      <c r="O225" s="112">
        <f>V225*$O$2*1000</f>
        <v>6704.3011200000001</v>
      </c>
      <c r="P225" s="73">
        <f>F225+J225+N225</f>
        <v>5550</v>
      </c>
      <c r="Q225" s="74">
        <f>P225/1000</f>
        <v>5.55</v>
      </c>
      <c r="R225" s="74">
        <f>MAX(P225,O225)</f>
        <v>6704.3011200000001</v>
      </c>
      <c r="S225" s="75">
        <f>VLOOKUP(A225,'[2]BOM FG Files'!$A:$F,6,FALSE)</f>
        <v>5698.3482375778076</v>
      </c>
      <c r="T225" s="76">
        <f>S225-P225</f>
        <v>148.34823757780759</v>
      </c>
      <c r="U225" s="106">
        <f>T225/S225</f>
        <v>2.6033550669915861E-2</v>
      </c>
      <c r="V225" s="66">
        <f>(((C225*D225*E225)+(G225*H225*I225)+(K225*L225*M225))/1000000)*35.32</f>
        <v>1.11738352</v>
      </c>
      <c r="W225" s="67">
        <f>Q225/V225</f>
        <v>4.9669606725540394</v>
      </c>
      <c r="X225" s="58" t="str">
        <f>VLOOKUP(A225,'[1]MTP SKUs - Master Data'!$A:$B,2,FALSE)</f>
        <v>Y</v>
      </c>
    </row>
    <row r="226" spans="1:27" s="186" customFormat="1">
      <c r="A226" s="58" t="s">
        <v>221</v>
      </c>
      <c r="B226" s="3" t="s">
        <v>48</v>
      </c>
      <c r="C226" s="104">
        <v>105</v>
      </c>
      <c r="D226" s="72">
        <v>36</v>
      </c>
      <c r="E226" s="72">
        <v>7</v>
      </c>
      <c r="F226" s="135">
        <v>13230</v>
      </c>
      <c r="G226" s="72">
        <v>0</v>
      </c>
      <c r="H226" s="72">
        <v>0</v>
      </c>
      <c r="I226" s="72">
        <v>0</v>
      </c>
      <c r="J226" s="131">
        <v>0</v>
      </c>
      <c r="K226" s="72">
        <v>0</v>
      </c>
      <c r="L226" s="72">
        <v>0</v>
      </c>
      <c r="M226" s="72">
        <v>0</v>
      </c>
      <c r="N226" s="131">
        <v>0</v>
      </c>
      <c r="O226" s="112">
        <f>V226*$O$2*1000</f>
        <v>5607.4032000000007</v>
      </c>
      <c r="P226" s="73">
        <f>F226+J226+N226</f>
        <v>13230</v>
      </c>
      <c r="Q226" s="74">
        <f>P226/1000</f>
        <v>13.23</v>
      </c>
      <c r="R226" s="74">
        <f>MAX(P226,O226)</f>
        <v>13230</v>
      </c>
      <c r="S226" s="75">
        <f>VLOOKUP(A226,'[2]BOM FG Files'!$A:$F,6,FALSE)</f>
        <v>14089.170756045249</v>
      </c>
      <c r="T226" s="76">
        <f>S226-P226</f>
        <v>859.17075604524871</v>
      </c>
      <c r="U226" s="106">
        <f>T226/S226</f>
        <v>6.098093144882951E-2</v>
      </c>
      <c r="V226" s="66">
        <f>(((C226*D226*E226)+(G226*H226*I226)+(K226*L226*M226))/1000000)*35.32</f>
        <v>0.93456720000000004</v>
      </c>
      <c r="W226" s="67">
        <f>Q226/V226</f>
        <v>14.156285390713476</v>
      </c>
      <c r="X226" s="58" t="str">
        <f>VLOOKUP(A226,'[1]MTP SKUs - Master Data'!$A:$B,2,FALSE)</f>
        <v>Y</v>
      </c>
      <c r="Y226" s="5"/>
      <c r="Z226" s="5"/>
      <c r="AA226" s="5"/>
    </row>
    <row r="227" spans="1:27">
      <c r="A227" s="58" t="s">
        <v>135</v>
      </c>
      <c r="B227" s="3" t="s">
        <v>48</v>
      </c>
      <c r="C227" s="104">
        <v>97</v>
      </c>
      <c r="D227" s="72">
        <v>29</v>
      </c>
      <c r="E227" s="72">
        <v>8</v>
      </c>
      <c r="F227" s="135">
        <v>10870</v>
      </c>
      <c r="G227" s="72">
        <v>0</v>
      </c>
      <c r="H227" s="72">
        <v>0</v>
      </c>
      <c r="I227" s="72">
        <v>0</v>
      </c>
      <c r="J227" s="131">
        <v>0</v>
      </c>
      <c r="K227" s="72">
        <v>0</v>
      </c>
      <c r="L227" s="72">
        <v>0</v>
      </c>
      <c r="M227" s="72">
        <v>0</v>
      </c>
      <c r="N227" s="131">
        <v>0</v>
      </c>
      <c r="O227" s="112">
        <f>V227*$O$2*1000</f>
        <v>4769.0476799999997</v>
      </c>
      <c r="P227" s="73">
        <f>F227+J227+N227</f>
        <v>10870</v>
      </c>
      <c r="Q227" s="74">
        <f>P227/1000</f>
        <v>10.87</v>
      </c>
      <c r="R227" s="74">
        <f>MAX(P227,O227)</f>
        <v>10870</v>
      </c>
      <c r="S227" s="75">
        <f>VLOOKUP(A227,'[2]BOM FG Files'!$A:$F,6,FALSE)</f>
        <v>11601.058365126648</v>
      </c>
      <c r="T227" s="76">
        <f>S227-P227</f>
        <v>731.05836512664791</v>
      </c>
      <c r="U227" s="106">
        <f>T227/S227</f>
        <v>6.3016523330685525E-2</v>
      </c>
      <c r="V227" s="66">
        <f>(((C227*D227*E227)+(G227*H227*I227)+(K227*L227*M227))/1000000)*35.32</f>
        <v>0.79484127999999998</v>
      </c>
      <c r="W227" s="67">
        <f>Q227/V227</f>
        <v>13.675686295507953</v>
      </c>
      <c r="X227" s="58" t="str">
        <f>VLOOKUP(A227,'[1]MTP SKUs - Master Data'!$A:$B,2,FALSE)</f>
        <v>Y</v>
      </c>
    </row>
    <row r="228" spans="1:27">
      <c r="A228" s="58" t="s">
        <v>322</v>
      </c>
      <c r="B228" s="3" t="s">
        <v>48</v>
      </c>
      <c r="C228" s="104">
        <v>21</v>
      </c>
      <c r="D228" s="72">
        <v>19</v>
      </c>
      <c r="E228" s="72">
        <v>14</v>
      </c>
      <c r="F228" s="135">
        <v>700</v>
      </c>
      <c r="G228" s="72">
        <v>0</v>
      </c>
      <c r="H228" s="72">
        <v>0</v>
      </c>
      <c r="I228" s="72">
        <v>0</v>
      </c>
      <c r="J228" s="131">
        <v>0</v>
      </c>
      <c r="K228" s="72">
        <v>0</v>
      </c>
      <c r="L228" s="72">
        <v>0</v>
      </c>
      <c r="M228" s="72">
        <v>0</v>
      </c>
      <c r="N228" s="131">
        <v>0</v>
      </c>
      <c r="O228" s="112">
        <f>V228*$O$2*1000</f>
        <v>1183.78512</v>
      </c>
      <c r="P228" s="73">
        <f>F228+J228+N228</f>
        <v>700</v>
      </c>
      <c r="Q228" s="74">
        <f>P228/1000</f>
        <v>0.7</v>
      </c>
      <c r="R228" s="74">
        <f>MAX(P228,O228)</f>
        <v>1183.78512</v>
      </c>
      <c r="S228" s="75">
        <f>VLOOKUP(A228,'[2]BOM FG Files'!$A:$F,6,FALSE)</f>
        <v>748.98090852842472</v>
      </c>
      <c r="T228" s="76">
        <f>S228-P228</f>
        <v>48.98090852842472</v>
      </c>
      <c r="U228" s="106">
        <f>T228/S228</f>
        <v>6.5396738382372047E-2</v>
      </c>
      <c r="V228" s="66">
        <f>(((C228*D228*E228)+(G228*H228*I228)+(K228*L228*M228))/1000000)*35.32</f>
        <v>0.19729752</v>
      </c>
      <c r="W228" s="67">
        <f>Q228/V228</f>
        <v>3.5479412006800692</v>
      </c>
      <c r="X228" s="58" t="str">
        <f>VLOOKUP(A228,'[1]MTP SKUs - Master Data'!$A:$B,2,FALSE)</f>
        <v>Y</v>
      </c>
    </row>
    <row r="229" spans="1:27">
      <c r="A229" s="58" t="s">
        <v>210</v>
      </c>
      <c r="B229" s="3" t="s">
        <v>48</v>
      </c>
      <c r="C229" s="104">
        <v>134</v>
      </c>
      <c r="D229" s="72">
        <v>28</v>
      </c>
      <c r="E229" s="72">
        <v>8</v>
      </c>
      <c r="F229" s="135">
        <v>12200</v>
      </c>
      <c r="G229" s="72">
        <v>0</v>
      </c>
      <c r="H229" s="72">
        <v>0</v>
      </c>
      <c r="I229" s="72">
        <v>0</v>
      </c>
      <c r="J229" s="131">
        <v>0</v>
      </c>
      <c r="K229" s="72">
        <v>0</v>
      </c>
      <c r="L229" s="72">
        <v>0</v>
      </c>
      <c r="M229" s="72">
        <v>0</v>
      </c>
      <c r="N229" s="131">
        <v>0</v>
      </c>
      <c r="O229" s="112">
        <f>V229*$O$2*1000</f>
        <v>6360.9907199999998</v>
      </c>
      <c r="P229" s="73">
        <f>F229+J229+N229</f>
        <v>12200</v>
      </c>
      <c r="Q229" s="74">
        <f>P229/1000</f>
        <v>12.2</v>
      </c>
      <c r="R229" s="74">
        <f>MAX(P229,O229)</f>
        <v>12200</v>
      </c>
      <c r="S229" s="75">
        <f>VLOOKUP(A229,'[2]BOM FG Files'!$A:$F,6,FALSE)</f>
        <v>13568.734884286912</v>
      </c>
      <c r="T229" s="76">
        <f>S229-P229</f>
        <v>1368.7348842869123</v>
      </c>
      <c r="U229" s="106">
        <f>T229/S229</f>
        <v>0.10087417109696477</v>
      </c>
      <c r="V229" s="66">
        <f>(((C229*D229*E229)+(G229*H229*I229)+(K229*L229*M229))/1000000)*35.32</f>
        <v>1.06016512</v>
      </c>
      <c r="W229" s="67">
        <f>Q229/V229</f>
        <v>11.507641375713247</v>
      </c>
      <c r="X229" s="58" t="str">
        <f>VLOOKUP(A229,'[1]MTP SKUs - Master Data'!$A:$B,2,FALSE)</f>
        <v>Y</v>
      </c>
    </row>
    <row r="230" spans="1:27">
      <c r="A230" s="58" t="s">
        <v>71</v>
      </c>
      <c r="B230" s="3" t="s">
        <v>48</v>
      </c>
      <c r="C230" s="104">
        <v>36</v>
      </c>
      <c r="D230" s="72">
        <v>25</v>
      </c>
      <c r="E230" s="72">
        <v>4</v>
      </c>
      <c r="F230" s="135">
        <v>1430</v>
      </c>
      <c r="G230" s="72">
        <v>0</v>
      </c>
      <c r="H230" s="72">
        <v>0</v>
      </c>
      <c r="I230" s="72">
        <v>0</v>
      </c>
      <c r="J230" s="131">
        <v>0</v>
      </c>
      <c r="K230" s="72">
        <v>0</v>
      </c>
      <c r="L230" s="72">
        <v>0</v>
      </c>
      <c r="M230" s="72">
        <v>0</v>
      </c>
      <c r="N230" s="131">
        <v>0</v>
      </c>
      <c r="O230" s="112">
        <f>V230*$O$2*1000</f>
        <v>762.91199999999992</v>
      </c>
      <c r="P230" s="73">
        <f>F230+J230+N230</f>
        <v>1430</v>
      </c>
      <c r="Q230" s="74">
        <f>P230/1000</f>
        <v>1.43</v>
      </c>
      <c r="R230" s="74">
        <f>MAX(P230,O230)</f>
        <v>1430</v>
      </c>
      <c r="S230" s="75">
        <f>VLOOKUP(A230,'[2]BOM FG Files'!$A:$F,6,FALSE)</f>
        <v>1838.9855926153846</v>
      </c>
      <c r="T230" s="76">
        <f>S230-P230</f>
        <v>408.98559261538458</v>
      </c>
      <c r="U230" s="106">
        <f>T230/S230</f>
        <v>0.22239738813490642</v>
      </c>
      <c r="V230" s="66">
        <f>(((C230*D230*E230)+(G230*H230*I230)+(K230*L230*M230))/1000000)*35.32</f>
        <v>0.12715199999999999</v>
      </c>
      <c r="W230" s="67">
        <f>Q230/V230</f>
        <v>11.246382282622374</v>
      </c>
      <c r="X230" s="58" t="str">
        <f>VLOOKUP(A230,'[1]MTP SKUs - Master Data'!$A:$B,2,FALSE)</f>
        <v>DI</v>
      </c>
    </row>
    <row r="231" spans="1:27">
      <c r="A231" s="23" t="s">
        <v>297</v>
      </c>
      <c r="B231" s="2" t="s">
        <v>48</v>
      </c>
      <c r="C231" s="104">
        <v>37</v>
      </c>
      <c r="D231" s="72">
        <v>11</v>
      </c>
      <c r="E231" s="72">
        <v>5</v>
      </c>
      <c r="F231" s="135">
        <v>550</v>
      </c>
      <c r="G231" s="72">
        <v>0</v>
      </c>
      <c r="H231" s="72">
        <v>0</v>
      </c>
      <c r="I231" s="72">
        <v>0</v>
      </c>
      <c r="J231" s="131">
        <v>0</v>
      </c>
      <c r="K231" s="72">
        <v>0</v>
      </c>
      <c r="L231" s="72">
        <v>0</v>
      </c>
      <c r="M231" s="72">
        <v>0</v>
      </c>
      <c r="N231" s="131">
        <v>0</v>
      </c>
      <c r="O231" s="112">
        <f>V231*$O$2*1000</f>
        <v>431.25720000000001</v>
      </c>
      <c r="P231" s="73">
        <f>F231+J231+N231</f>
        <v>550</v>
      </c>
      <c r="Q231" s="74">
        <f>P231/1000</f>
        <v>0.55000000000000004</v>
      </c>
      <c r="R231" s="74">
        <f>MAX(P231,O231)</f>
        <v>550</v>
      </c>
      <c r="S231" s="75">
        <f>VLOOKUP(A231,'[2]BOM FG Files'!$A:$F,6,FALSE)</f>
        <v>616.28343492342651</v>
      </c>
      <c r="T231" s="76">
        <f>S231-P231</f>
        <v>66.283434923426512</v>
      </c>
      <c r="U231" s="158">
        <f>T231/S231</f>
        <v>0.1075534910842805</v>
      </c>
      <c r="V231" s="66">
        <f>(((C231*D231*E231)+(G231*H231*I231)+(K231*L231*M231))/1000000)*35.32</f>
        <v>7.1876200000000001E-2</v>
      </c>
      <c r="W231" s="67">
        <f>Q231/V231</f>
        <v>7.6520461571424203</v>
      </c>
      <c r="X231" s="58" t="str">
        <f>VLOOKUP(A231,'[1]MTP SKUs - Master Data'!$A:$B,2,FALSE)</f>
        <v>Y</v>
      </c>
    </row>
    <row r="232" spans="1:27">
      <c r="A232" s="79" t="s">
        <v>259</v>
      </c>
      <c r="B232" s="2"/>
      <c r="C232" s="104">
        <v>46</v>
      </c>
      <c r="D232" s="72">
        <v>28</v>
      </c>
      <c r="E232" s="72">
        <v>16</v>
      </c>
      <c r="F232" s="135">
        <v>2100</v>
      </c>
      <c r="G232" s="72">
        <v>0</v>
      </c>
      <c r="H232" s="72">
        <v>0</v>
      </c>
      <c r="I232" s="72">
        <v>0</v>
      </c>
      <c r="J232" s="131">
        <v>0</v>
      </c>
      <c r="K232" s="72">
        <v>0</v>
      </c>
      <c r="L232" s="72">
        <v>0</v>
      </c>
      <c r="M232" s="72">
        <v>0</v>
      </c>
      <c r="N232" s="131">
        <v>0</v>
      </c>
      <c r="O232" s="112">
        <f>V232*$O$2*1000</f>
        <v>4367.2473600000003</v>
      </c>
      <c r="P232" s="73">
        <f>F232+J232+N232</f>
        <v>2100</v>
      </c>
      <c r="Q232" s="74">
        <f>P232/1000</f>
        <v>2.1</v>
      </c>
      <c r="R232" s="74">
        <f>MAX(P232,O232)</f>
        <v>4367.2473600000003</v>
      </c>
      <c r="S232" s="75">
        <f>VLOOKUP(A232,'[2]BOM FG Files'!$A:$F,6,FALSE)</f>
        <v>2353.6135437461539</v>
      </c>
      <c r="T232" s="76">
        <f>S232-P232</f>
        <v>253.61354374615394</v>
      </c>
      <c r="U232" s="106">
        <f>T232/S232</f>
        <v>0.10775496445456685</v>
      </c>
      <c r="V232" s="66">
        <f>(((C232*D232*E232)+(G232*H232*I232)+(K232*L232*M232))/1000000)*35.32</f>
        <v>0.72787456000000006</v>
      </c>
      <c r="W232" s="67">
        <f>Q232/V232</f>
        <v>2.8851125116943228</v>
      </c>
      <c r="X232" s="58" t="str">
        <f>VLOOKUP(A232,'[1]MTP SKUs - Master Data'!$A:$B,2,FALSE)</f>
        <v>Y</v>
      </c>
    </row>
    <row r="233" spans="1:27" ht="12.75" customHeight="1">
      <c r="A233" s="58" t="s">
        <v>61</v>
      </c>
      <c r="B233" s="3" t="s">
        <v>48</v>
      </c>
      <c r="C233" s="104">
        <v>38</v>
      </c>
      <c r="D233" s="72">
        <v>21</v>
      </c>
      <c r="E233" s="72">
        <v>5</v>
      </c>
      <c r="F233" s="135">
        <v>345</v>
      </c>
      <c r="G233" s="72">
        <v>0</v>
      </c>
      <c r="H233" s="72">
        <v>0</v>
      </c>
      <c r="I233" s="72">
        <v>0</v>
      </c>
      <c r="J233" s="131">
        <v>0</v>
      </c>
      <c r="K233" s="72">
        <v>0</v>
      </c>
      <c r="L233" s="72">
        <v>0</v>
      </c>
      <c r="M233" s="72">
        <v>0</v>
      </c>
      <c r="N233" s="131">
        <v>0</v>
      </c>
      <c r="O233" s="112">
        <f>V233*$O$2*1000</f>
        <v>845.56079999999986</v>
      </c>
      <c r="P233" s="73">
        <f>F233+J233+N233</f>
        <v>345</v>
      </c>
      <c r="Q233" s="74">
        <f>P233/1000</f>
        <v>0.34499999999999997</v>
      </c>
      <c r="R233" s="74">
        <f>MAX(P233,O233)</f>
        <v>845.56079999999986</v>
      </c>
      <c r="S233" s="75">
        <f>VLOOKUP(A233,'[2]BOM FG Files'!$A:$F,6,FALSE)</f>
        <v>433.31097707868662</v>
      </c>
      <c r="T233" s="76">
        <f>S233-P233</f>
        <v>88.310977078686619</v>
      </c>
      <c r="U233" s="106">
        <f>T233/S233</f>
        <v>0.20380507706974127</v>
      </c>
      <c r="V233" s="66">
        <f>(((C233*D233*E233)+(G233*H233*I233)+(K233*L233*M233))/1000000)*35.32</f>
        <v>0.14092679999999999</v>
      </c>
      <c r="W233" s="67">
        <f>Q233/V233</f>
        <v>2.448079428469248</v>
      </c>
      <c r="X233" s="58" t="str">
        <f>VLOOKUP(A233,'[1]MTP SKUs - Master Data'!$A:$B,2,FALSE)</f>
        <v>RL</v>
      </c>
    </row>
    <row r="234" spans="1:27" ht="12.75" customHeight="1">
      <c r="A234" s="58" t="s">
        <v>277</v>
      </c>
      <c r="B234" s="3" t="s">
        <v>48</v>
      </c>
      <c r="C234" s="104">
        <v>52</v>
      </c>
      <c r="D234" s="72">
        <v>29</v>
      </c>
      <c r="E234" s="72">
        <v>10</v>
      </c>
      <c r="F234" s="135">
        <v>6920</v>
      </c>
      <c r="G234" s="72">
        <v>0</v>
      </c>
      <c r="H234" s="72">
        <v>0</v>
      </c>
      <c r="I234" s="72">
        <v>0</v>
      </c>
      <c r="J234" s="131">
        <v>0</v>
      </c>
      <c r="K234" s="72">
        <v>0</v>
      </c>
      <c r="L234" s="72">
        <v>0</v>
      </c>
      <c r="M234" s="72">
        <v>0</v>
      </c>
      <c r="N234" s="131">
        <v>0</v>
      </c>
      <c r="O234" s="112">
        <f>V234*$O$2*1000</f>
        <v>3195.7536</v>
      </c>
      <c r="P234" s="73">
        <f>F234+J234+N234</f>
        <v>6920</v>
      </c>
      <c r="Q234" s="74">
        <f>P234/1000</f>
        <v>6.92</v>
      </c>
      <c r="R234" s="74">
        <f>MAX(P234,O234)</f>
        <v>6920</v>
      </c>
      <c r="S234" s="75">
        <f>VLOOKUP(A234,'[2]BOM FG Files'!$A:$F,6,FALSE)</f>
        <v>6990.3833012779614</v>
      </c>
      <c r="T234" s="76">
        <f>S234-P234</f>
        <v>70.383301277961436</v>
      </c>
      <c r="U234" s="106">
        <f>T234/S234</f>
        <v>1.0068589695946168E-2</v>
      </c>
      <c r="V234" s="66">
        <f>(((C234*D234*E234)+(G234*H234*I234)+(K234*L234*M234))/1000000)*35.32</f>
        <v>0.53262560000000003</v>
      </c>
      <c r="W234" s="67">
        <f>Q234/V234</f>
        <v>12.99224070341343</v>
      </c>
      <c r="X234" s="58" t="str">
        <f>VLOOKUP(A234,'[1]MTP SKUs - Master Data'!$A:$B,2,FALSE)</f>
        <v>Y</v>
      </c>
    </row>
    <row r="235" spans="1:27" ht="12.75" customHeight="1">
      <c r="A235" s="58" t="s">
        <v>55</v>
      </c>
      <c r="B235" s="3" t="s">
        <v>48</v>
      </c>
      <c r="C235" s="104">
        <v>25</v>
      </c>
      <c r="D235" s="72">
        <v>25</v>
      </c>
      <c r="E235" s="72">
        <v>3</v>
      </c>
      <c r="F235" s="135">
        <v>340</v>
      </c>
      <c r="G235" s="72">
        <v>0</v>
      </c>
      <c r="H235" s="72">
        <v>0</v>
      </c>
      <c r="I235" s="72">
        <v>0</v>
      </c>
      <c r="J235" s="131">
        <v>0</v>
      </c>
      <c r="K235" s="72">
        <v>0</v>
      </c>
      <c r="L235" s="72">
        <v>0</v>
      </c>
      <c r="M235" s="72">
        <v>0</v>
      </c>
      <c r="N235" s="131">
        <v>0</v>
      </c>
      <c r="O235" s="112">
        <f>V235*$O$2*1000</f>
        <v>397.34999999999997</v>
      </c>
      <c r="P235" s="73">
        <f>F235+J235+N235</f>
        <v>340</v>
      </c>
      <c r="Q235" s="74">
        <f>P235/1000</f>
        <v>0.34</v>
      </c>
      <c r="R235" s="74">
        <f>MAX(P235,O235)</f>
        <v>397.34999999999997</v>
      </c>
      <c r="S235" s="75">
        <f>VLOOKUP(A235,'[2]BOM FG Files'!$A:$F,6,FALSE)</f>
        <v>405.00206102625418</v>
      </c>
      <c r="T235" s="76">
        <f>S235-P235</f>
        <v>65.002061026254182</v>
      </c>
      <c r="U235" s="160">
        <f>T235/S235</f>
        <v>0.16049809934680909</v>
      </c>
      <c r="V235" s="66">
        <f>(((C235*D235*E235)+(G235*H235*I235)+(K235*L235*M235))/1000000)*35.32</f>
        <v>6.6224999999999992E-2</v>
      </c>
      <c r="W235" s="67">
        <f>Q235/V235</f>
        <v>5.1340128350320882</v>
      </c>
      <c r="X235" s="58" t="str">
        <f>VLOOKUP(A235,'[1]MTP SKUs - Master Data'!$A:$B,2,FALSE)</f>
        <v>Y</v>
      </c>
    </row>
    <row r="236" spans="1:27" ht="12.75" customHeight="1">
      <c r="A236" s="151" t="s">
        <v>381</v>
      </c>
      <c r="B236" s="2" t="s">
        <v>48</v>
      </c>
      <c r="C236" s="104" t="s">
        <v>382</v>
      </c>
      <c r="D236" s="72" t="s">
        <v>382</v>
      </c>
      <c r="E236" s="72" t="s">
        <v>382</v>
      </c>
      <c r="F236" s="135" t="s">
        <v>382</v>
      </c>
      <c r="G236" s="72" t="s">
        <v>382</v>
      </c>
      <c r="H236" s="72" t="s">
        <v>382</v>
      </c>
      <c r="I236" s="72" t="s">
        <v>382</v>
      </c>
      <c r="J236" s="131" t="s">
        <v>382</v>
      </c>
      <c r="K236" s="72" t="s">
        <v>382</v>
      </c>
      <c r="L236" s="72" t="s">
        <v>382</v>
      </c>
      <c r="M236" s="72" t="s">
        <v>382</v>
      </c>
      <c r="N236" s="131" t="s">
        <v>382</v>
      </c>
      <c r="O236" s="112">
        <f>V236*$O$2*1000</f>
        <v>0</v>
      </c>
      <c r="P236" s="73">
        <f>F236+J236+N236</f>
        <v>0</v>
      </c>
      <c r="Q236" s="74">
        <f>P236/1000</f>
        <v>0</v>
      </c>
      <c r="R236" s="74">
        <f>MAX(P236,O236)</f>
        <v>0</v>
      </c>
      <c r="S236" s="75">
        <f>VLOOKUP(A236,'[2]BOM FG Files'!$A:$F,6,FALSE)</f>
        <v>16633.053454190584</v>
      </c>
      <c r="T236" s="76">
        <f>S236-P236</f>
        <v>16633.053454190584</v>
      </c>
      <c r="U236" s="106">
        <f>T236/S236</f>
        <v>1</v>
      </c>
      <c r="V236" s="66">
        <f>(((C236*D236*E236)+(G236*H236*I236)+(K236*L236*M236))/1000000)*35.32</f>
        <v>0</v>
      </c>
      <c r="W236" s="67" t="e">
        <f>Q236/V236</f>
        <v>#DIV/0!</v>
      </c>
      <c r="X236" s="58" t="e">
        <f>VLOOKUP(A236,'[1]MTP SKUs - Master Data'!$A:$B,2,FALSE)</f>
        <v>#N/A</v>
      </c>
    </row>
    <row r="237" spans="1:27" ht="12.75" customHeight="1">
      <c r="A237" s="77" t="s">
        <v>323</v>
      </c>
      <c r="B237" s="3" t="s">
        <v>296</v>
      </c>
      <c r="C237" s="104">
        <v>0</v>
      </c>
      <c r="D237" s="72">
        <v>0</v>
      </c>
      <c r="E237" s="72">
        <v>0</v>
      </c>
      <c r="F237" s="135">
        <v>0</v>
      </c>
      <c r="G237" s="72">
        <v>0</v>
      </c>
      <c r="H237" s="72">
        <v>0</v>
      </c>
      <c r="I237" s="72">
        <v>0</v>
      </c>
      <c r="J237" s="131">
        <v>0</v>
      </c>
      <c r="K237" s="72">
        <v>0</v>
      </c>
      <c r="L237" s="72">
        <v>0</v>
      </c>
      <c r="M237" s="72">
        <v>0</v>
      </c>
      <c r="N237" s="131">
        <v>0</v>
      </c>
      <c r="O237" s="112">
        <f>V237*$O$2*1000</f>
        <v>0</v>
      </c>
      <c r="P237" s="73">
        <f>F237+J237+N237</f>
        <v>0</v>
      </c>
      <c r="Q237" s="74">
        <f>P237/1000</f>
        <v>0</v>
      </c>
      <c r="R237" s="74">
        <f>MAX(P237,O237)</f>
        <v>0</v>
      </c>
      <c r="S237" s="75">
        <f>VLOOKUP(A237,'[2]BOM FG Files'!$A:$F,6,FALSE)</f>
        <v>31399.326468617983</v>
      </c>
      <c r="T237" s="76">
        <f>S237-P237</f>
        <v>31399.326468617983</v>
      </c>
      <c r="U237" s="106">
        <f>T237/S237</f>
        <v>1</v>
      </c>
      <c r="V237" s="66">
        <f>(((C237*D237*E237)+(G237*H237*I237)+(K237*L237*M237))/1000000)*35.32</f>
        <v>0</v>
      </c>
      <c r="W237" s="67" t="e">
        <f>Q237/V237</f>
        <v>#DIV/0!</v>
      </c>
      <c r="X237" s="58" t="str">
        <f>VLOOKUP(A237,'[1]MTP SKUs - Master Data'!$A:$B,2,FALSE)</f>
        <v>RL</v>
      </c>
    </row>
    <row r="238" spans="1:27" ht="12.75" customHeight="1">
      <c r="A238" s="151" t="s">
        <v>383</v>
      </c>
      <c r="B238" s="2"/>
      <c r="C238" s="104">
        <v>0</v>
      </c>
      <c r="D238" s="72">
        <v>0</v>
      </c>
      <c r="E238" s="72">
        <v>0</v>
      </c>
      <c r="F238" s="135">
        <v>0</v>
      </c>
      <c r="G238" s="72">
        <v>0</v>
      </c>
      <c r="H238" s="72">
        <v>0</v>
      </c>
      <c r="I238" s="72">
        <v>0</v>
      </c>
      <c r="J238" s="131">
        <v>0</v>
      </c>
      <c r="K238" s="72">
        <v>0</v>
      </c>
      <c r="L238" s="72">
        <v>0</v>
      </c>
      <c r="M238" s="72">
        <v>0</v>
      </c>
      <c r="N238" s="131">
        <v>0</v>
      </c>
      <c r="O238" s="112">
        <f>V238*$O$2*1000</f>
        <v>0</v>
      </c>
      <c r="P238" s="73">
        <f>F238+J238+N238</f>
        <v>0</v>
      </c>
      <c r="Q238" s="74">
        <f>P238/1000</f>
        <v>0</v>
      </c>
      <c r="R238" s="74">
        <f>MAX(P238,O238)</f>
        <v>0</v>
      </c>
      <c r="S238" s="75">
        <f>VLOOKUP(A238,'[2]BOM FG Files'!$A:$F,6,FALSE)</f>
        <v>10002</v>
      </c>
      <c r="T238" s="76">
        <f>S238-P238</f>
        <v>10002</v>
      </c>
      <c r="U238" s="106">
        <f>T238/S238</f>
        <v>1</v>
      </c>
      <c r="V238" s="66">
        <f>(((C238*D238*E238)+(G238*H238*I238)+(K238*L238*M238))/1000000)*35.32</f>
        <v>0</v>
      </c>
      <c r="W238" s="67" t="e">
        <f>Q238/V238</f>
        <v>#DIV/0!</v>
      </c>
      <c r="X238" s="58" t="e">
        <f>VLOOKUP(A238,'[1]MTP SKUs - Master Data'!$A:$B,2,FALSE)</f>
        <v>#N/A</v>
      </c>
    </row>
    <row r="239" spans="1:27" ht="12.75" customHeight="1">
      <c r="A239" s="151" t="s">
        <v>384</v>
      </c>
      <c r="B239" s="2"/>
      <c r="C239" s="104">
        <v>0</v>
      </c>
      <c r="D239" s="72">
        <v>0</v>
      </c>
      <c r="E239" s="72">
        <v>0</v>
      </c>
      <c r="F239" s="135">
        <v>0</v>
      </c>
      <c r="G239" s="72">
        <v>0</v>
      </c>
      <c r="H239" s="72">
        <v>0</v>
      </c>
      <c r="I239" s="72">
        <v>0</v>
      </c>
      <c r="J239" s="131">
        <v>0</v>
      </c>
      <c r="K239" s="72">
        <v>0</v>
      </c>
      <c r="L239" s="72">
        <v>0</v>
      </c>
      <c r="M239" s="72">
        <v>0</v>
      </c>
      <c r="N239" s="131">
        <v>0</v>
      </c>
      <c r="O239" s="112">
        <f>V239*$O$2*1000</f>
        <v>0</v>
      </c>
      <c r="P239" s="73">
        <f>F239+J239+N239</f>
        <v>0</v>
      </c>
      <c r="Q239" s="74">
        <f>P239/1000</f>
        <v>0</v>
      </c>
      <c r="R239" s="74">
        <f>MAX(P239,O239)</f>
        <v>0</v>
      </c>
      <c r="S239" s="75">
        <f>VLOOKUP(A239,'[2]BOM FG Files'!$A:$F,6,FALSE)</f>
        <v>11364.615384615385</v>
      </c>
      <c r="T239" s="76">
        <f>S239-P239</f>
        <v>11364.615384615385</v>
      </c>
      <c r="U239" s="106">
        <f>T239/S239</f>
        <v>1</v>
      </c>
      <c r="V239" s="66">
        <f>(((C239*D239*E239)+(G239*H239*I239)+(K239*L239*M239))/1000000)*35.32</f>
        <v>0</v>
      </c>
      <c r="W239" s="67" t="e">
        <f>Q239/V239</f>
        <v>#DIV/0!</v>
      </c>
      <c r="X239" s="58" t="e">
        <f>VLOOKUP(A239,'[1]MTP SKUs - Master Data'!$A:$B,2,FALSE)</f>
        <v>#N/A</v>
      </c>
    </row>
    <row r="240" spans="1:27" ht="12.75" customHeight="1">
      <c r="A240" s="58" t="s">
        <v>298</v>
      </c>
      <c r="B240" s="3" t="s">
        <v>48</v>
      </c>
      <c r="C240" s="104">
        <v>39</v>
      </c>
      <c r="D240" s="72">
        <v>30</v>
      </c>
      <c r="E240" s="72">
        <v>10</v>
      </c>
      <c r="F240" s="135">
        <v>3560</v>
      </c>
      <c r="G240" s="72">
        <v>0</v>
      </c>
      <c r="H240" s="72">
        <v>0</v>
      </c>
      <c r="I240" s="72">
        <v>0</v>
      </c>
      <c r="J240" s="131">
        <v>0</v>
      </c>
      <c r="K240" s="72">
        <v>0</v>
      </c>
      <c r="L240" s="72">
        <v>0</v>
      </c>
      <c r="M240" s="72">
        <v>0</v>
      </c>
      <c r="N240" s="131">
        <v>0</v>
      </c>
      <c r="O240" s="112">
        <f>V240*$O$2*1000</f>
        <v>2479.4639999999999</v>
      </c>
      <c r="P240" s="73">
        <f>F240+J240+N240</f>
        <v>3560</v>
      </c>
      <c r="Q240" s="159">
        <f>P240/1000</f>
        <v>3.56</v>
      </c>
      <c r="R240" s="159">
        <f>MAX(P240,O240)</f>
        <v>3560</v>
      </c>
      <c r="S240" s="75">
        <f>VLOOKUP(A240,'[2]BOM FG Files'!$A:$F,6,FALSE)</f>
        <v>3627.4940792778762</v>
      </c>
      <c r="T240" s="76">
        <f>S240-P240</f>
        <v>67.494079277876153</v>
      </c>
      <c r="U240" s="106">
        <f>T240/S240</f>
        <v>1.8606254842271769E-2</v>
      </c>
      <c r="V240" s="66">
        <f>(((C240*D240*E240)+(G240*H240*I240)+(K240*L240*M240))/1000000)*35.32</f>
        <v>0.413244</v>
      </c>
      <c r="W240" s="67">
        <f>Q240/V240</f>
        <v>8.6147651266564065</v>
      </c>
      <c r="X240" s="58" t="str">
        <f>VLOOKUP(A240,'[1]MTP SKUs - Master Data'!$A:$B,2,FALSE)</f>
        <v>Y</v>
      </c>
    </row>
    <row r="241" spans="1:24" ht="12.75" customHeight="1">
      <c r="A241" s="151" t="s">
        <v>385</v>
      </c>
      <c r="B241" s="2"/>
      <c r="C241" s="104">
        <v>0</v>
      </c>
      <c r="D241" s="72">
        <v>0</v>
      </c>
      <c r="E241" s="72">
        <v>0</v>
      </c>
      <c r="F241" s="135">
        <v>0</v>
      </c>
      <c r="G241" s="72">
        <v>0</v>
      </c>
      <c r="H241" s="72">
        <v>0</v>
      </c>
      <c r="I241" s="72">
        <v>0</v>
      </c>
      <c r="J241" s="131">
        <v>0</v>
      </c>
      <c r="K241" s="72">
        <v>0</v>
      </c>
      <c r="L241" s="72">
        <v>0</v>
      </c>
      <c r="M241" s="72">
        <v>0</v>
      </c>
      <c r="N241" s="131">
        <v>0</v>
      </c>
      <c r="O241" s="112">
        <f>V241*$O$2*1000</f>
        <v>0</v>
      </c>
      <c r="P241" s="73">
        <f>F241+J241+N241</f>
        <v>0</v>
      </c>
      <c r="Q241" s="74">
        <f>P241/1000</f>
        <v>0</v>
      </c>
      <c r="R241" s="74">
        <f>MAX(P241,O241)</f>
        <v>0</v>
      </c>
      <c r="S241" s="75">
        <f>VLOOKUP(A241,'[2]BOM FG Files'!$A:$F,6,FALSE)</f>
        <v>11364.615384615385</v>
      </c>
      <c r="T241" s="76">
        <f>S241-P241</f>
        <v>11364.615384615385</v>
      </c>
      <c r="U241" s="106">
        <f>T241/S241</f>
        <v>1</v>
      </c>
      <c r="V241" s="66">
        <f>(((C241*D241*E241)+(G241*H241*I241)+(K241*L241*M241))/1000000)*35.32</f>
        <v>0</v>
      </c>
      <c r="W241" s="67" t="e">
        <f>Q241/V241</f>
        <v>#DIV/0!</v>
      </c>
      <c r="X241" s="58" t="e">
        <f>VLOOKUP(A241,'[1]MTP SKUs - Master Data'!$A:$B,2,FALSE)</f>
        <v>#N/A</v>
      </c>
    </row>
    <row r="242" spans="1:24" ht="12.75" customHeight="1">
      <c r="A242" s="77" t="s">
        <v>300</v>
      </c>
      <c r="B242" s="3" t="s">
        <v>48</v>
      </c>
      <c r="C242" s="104" t="s">
        <v>382</v>
      </c>
      <c r="D242" s="72" t="s">
        <v>382</v>
      </c>
      <c r="E242" s="72" t="s">
        <v>382</v>
      </c>
      <c r="F242" s="135" t="s">
        <v>382</v>
      </c>
      <c r="G242" s="72" t="s">
        <v>382</v>
      </c>
      <c r="H242" s="72" t="s">
        <v>382</v>
      </c>
      <c r="I242" s="72" t="s">
        <v>382</v>
      </c>
      <c r="J242" s="131" t="s">
        <v>382</v>
      </c>
      <c r="K242" s="72" t="s">
        <v>382</v>
      </c>
      <c r="L242" s="72" t="s">
        <v>382</v>
      </c>
      <c r="M242" s="72" t="s">
        <v>382</v>
      </c>
      <c r="N242" s="131" t="s">
        <v>382</v>
      </c>
      <c r="O242" s="112">
        <f>V242*$O$2*1000</f>
        <v>0</v>
      </c>
      <c r="P242" s="73">
        <f>F242+J242+N242</f>
        <v>0</v>
      </c>
      <c r="Q242" s="74">
        <f>P242/1000</f>
        <v>0</v>
      </c>
      <c r="R242" s="74">
        <f>MAX(P242,O242)</f>
        <v>0</v>
      </c>
      <c r="S242" s="75">
        <f>VLOOKUP(A242,'[2]BOM FG Files'!$A:$F,6,FALSE)</f>
        <v>7254.212508519955</v>
      </c>
      <c r="T242" s="76">
        <f>S242-P242</f>
        <v>7254.212508519955</v>
      </c>
      <c r="U242" s="106">
        <f>T242/S242</f>
        <v>1</v>
      </c>
      <c r="V242" s="66">
        <f>(((C242*D242*E242)+(G242*H242*I242)+(K242*L242*M242))/1000000)*35.32</f>
        <v>0</v>
      </c>
      <c r="W242" s="67" t="e">
        <f>Q242/V242</f>
        <v>#DIV/0!</v>
      </c>
      <c r="X242" s="58" t="str">
        <f>VLOOKUP(A242,'[1]MTP SKUs - Master Data'!$A:$B,2,FALSE)</f>
        <v>DI</v>
      </c>
    </row>
    <row r="243" spans="1:24" ht="12.75" customHeight="1">
      <c r="A243" s="151" t="s">
        <v>51</v>
      </c>
      <c r="B243" s="2"/>
      <c r="C243" s="104" t="s">
        <v>382</v>
      </c>
      <c r="D243" s="72" t="s">
        <v>382</v>
      </c>
      <c r="E243" s="72" t="s">
        <v>382</v>
      </c>
      <c r="F243" s="135">
        <v>31800</v>
      </c>
      <c r="G243" s="72" t="s">
        <v>382</v>
      </c>
      <c r="H243" s="72" t="s">
        <v>382</v>
      </c>
      <c r="I243" s="72" t="s">
        <v>382</v>
      </c>
      <c r="J243" s="131" t="s">
        <v>382</v>
      </c>
      <c r="K243" s="72" t="s">
        <v>382</v>
      </c>
      <c r="L243" s="72" t="s">
        <v>382</v>
      </c>
      <c r="M243" s="72" t="s">
        <v>382</v>
      </c>
      <c r="N243" s="131" t="s">
        <v>382</v>
      </c>
      <c r="O243" s="112">
        <f>V243*$O$2*1000</f>
        <v>0</v>
      </c>
      <c r="P243" s="73">
        <f>F243+J243+N243</f>
        <v>31800</v>
      </c>
      <c r="Q243" s="74">
        <f>P243/1000</f>
        <v>31.8</v>
      </c>
      <c r="R243" s="74">
        <f>MAX(P243,O243)</f>
        <v>31800</v>
      </c>
      <c r="S243" s="75">
        <f>VLOOKUP(A243,'[2]BOM FG Files'!$A:$F,6,FALSE)</f>
        <v>33820.60428461538</v>
      </c>
      <c r="T243" s="76">
        <f>S243-P243</f>
        <v>2020.6042846153796</v>
      </c>
      <c r="U243" s="106">
        <f>T243/S243</f>
        <v>5.974477178500711E-2</v>
      </c>
      <c r="V243" s="66">
        <f>(((C243*D243*E243)+(G243*H243*I243)+(K243*L243*M243))/1000000)*35.32</f>
        <v>0</v>
      </c>
      <c r="W243" s="67" t="e">
        <f>Q243/V243</f>
        <v>#DIV/0!</v>
      </c>
      <c r="X243" s="58" t="str">
        <f>VLOOKUP(A243,'[1]MTP SKUs - Master Data'!$A:$B,2,FALSE)</f>
        <v>Y</v>
      </c>
    </row>
    <row r="244" spans="1:24" ht="12.75" customHeight="1">
      <c r="A244" s="151" t="s">
        <v>362</v>
      </c>
      <c r="B244" s="2"/>
      <c r="C244" s="104">
        <v>0</v>
      </c>
      <c r="D244" s="72">
        <v>0</v>
      </c>
      <c r="E244" s="72">
        <v>0</v>
      </c>
      <c r="F244" s="135">
        <v>0</v>
      </c>
      <c r="G244" s="72">
        <v>0</v>
      </c>
      <c r="H244" s="72">
        <v>0</v>
      </c>
      <c r="I244" s="72">
        <v>0</v>
      </c>
      <c r="J244" s="131">
        <v>0</v>
      </c>
      <c r="K244" s="72">
        <v>0</v>
      </c>
      <c r="L244" s="72">
        <v>0</v>
      </c>
      <c r="M244" s="72">
        <v>0</v>
      </c>
      <c r="N244" s="131">
        <v>0</v>
      </c>
      <c r="O244" s="112">
        <f>V244*$O$2*1000</f>
        <v>0</v>
      </c>
      <c r="P244" s="73">
        <f>F244+J244+N244</f>
        <v>0</v>
      </c>
      <c r="Q244" s="74">
        <f>P244/1000</f>
        <v>0</v>
      </c>
      <c r="R244" s="74">
        <f>MAX(P244,O244)</f>
        <v>0</v>
      </c>
      <c r="S244" s="75">
        <f>VLOOKUP(A244,'[2]BOM FG Files'!$A:$F,6,FALSE)</f>
        <v>11364.615384615385</v>
      </c>
      <c r="T244" s="76">
        <f>S244-P244</f>
        <v>11364.615384615385</v>
      </c>
      <c r="U244" s="106">
        <f>T244/S244</f>
        <v>1</v>
      </c>
      <c r="V244" s="66">
        <f>(((C244*D244*E244)+(G244*H244*I244)+(K244*L244*M244))/1000000)*35.32</f>
        <v>0</v>
      </c>
      <c r="W244" s="67" t="e">
        <f>Q244/V244</f>
        <v>#DIV/0!</v>
      </c>
      <c r="X244" s="58" t="str">
        <f>VLOOKUP(A244,'[1]MTP SKUs - Master Data'!$A:$B,2,FALSE)</f>
        <v>Y</v>
      </c>
    </row>
    <row r="245" spans="1:24" ht="12.75" customHeight="1">
      <c r="A245" s="151" t="s">
        <v>325</v>
      </c>
      <c r="B245" s="2"/>
      <c r="C245" s="104">
        <v>61</v>
      </c>
      <c r="D245" s="194">
        <v>61</v>
      </c>
      <c r="E245" s="194">
        <v>30</v>
      </c>
      <c r="F245" s="191">
        <v>11500</v>
      </c>
      <c r="G245" s="72">
        <v>0</v>
      </c>
      <c r="H245" s="72">
        <v>0</v>
      </c>
      <c r="I245" s="72">
        <v>0</v>
      </c>
      <c r="J245" s="131">
        <v>0</v>
      </c>
      <c r="K245" s="72">
        <v>0</v>
      </c>
      <c r="L245" s="72">
        <v>0</v>
      </c>
      <c r="M245" s="72">
        <v>0</v>
      </c>
      <c r="N245" s="131">
        <v>0</v>
      </c>
      <c r="O245" s="112">
        <f>V245*$O$2*1000</f>
        <v>23656.6296</v>
      </c>
      <c r="P245" s="73">
        <f>F245+J245+N245</f>
        <v>11500</v>
      </c>
      <c r="Q245" s="74">
        <f>P245/1000</f>
        <v>11.5</v>
      </c>
      <c r="R245" s="74">
        <f>MAX(P245,O245)</f>
        <v>23656.6296</v>
      </c>
      <c r="S245" s="75">
        <f>VLOOKUP(A245,'[2]BOM FG Files'!$A:$F,6,FALSE)</f>
        <v>11463.678709068985</v>
      </c>
      <c r="T245" s="76">
        <f>S245-P245</f>
        <v>-36.321290931015028</v>
      </c>
      <c r="U245" s="106">
        <f>T245/S245</f>
        <v>-3.1683800508366514E-3</v>
      </c>
      <c r="V245" s="66">
        <f>(((C245*D245*E245)+(G245*H245*I245)+(K245*L245*M245))/1000000)*35.32</f>
        <v>3.9427715999999999</v>
      </c>
      <c r="W245" s="67">
        <f>Q245/V245</f>
        <v>2.9167299470250825</v>
      </c>
      <c r="X245" s="58" t="str">
        <f>VLOOKUP(A245,'[1]MTP SKUs - Master Data'!$A:$B,2,FALSE)</f>
        <v>Y</v>
      </c>
    </row>
    <row r="246" spans="1:24" ht="12.75" customHeight="1">
      <c r="A246" s="79" t="s">
        <v>386</v>
      </c>
      <c r="B246" s="2"/>
      <c r="C246" s="104">
        <v>0</v>
      </c>
      <c r="D246" s="72">
        <v>0</v>
      </c>
      <c r="E246" s="72">
        <v>0</v>
      </c>
      <c r="F246" s="135">
        <v>0</v>
      </c>
      <c r="G246" s="72">
        <v>0</v>
      </c>
      <c r="H246" s="72">
        <v>0</v>
      </c>
      <c r="I246" s="72">
        <v>0</v>
      </c>
      <c r="J246" s="131">
        <v>0</v>
      </c>
      <c r="K246" s="72">
        <v>0</v>
      </c>
      <c r="L246" s="72">
        <v>0</v>
      </c>
      <c r="M246" s="72">
        <v>0</v>
      </c>
      <c r="N246" s="131">
        <v>0</v>
      </c>
      <c r="O246" s="112">
        <f>V246*$O$2*1000</f>
        <v>0</v>
      </c>
      <c r="P246" s="73">
        <f>F246+J246+N246</f>
        <v>0</v>
      </c>
      <c r="Q246" s="74">
        <f>P246/1000</f>
        <v>0</v>
      </c>
      <c r="R246" s="74">
        <f>MAX(P246,O246)</f>
        <v>0</v>
      </c>
      <c r="S246" s="75">
        <f>VLOOKUP(A246,'[2]BOM FG Files'!$A:$F,6,FALSE)</f>
        <v>38619.914217299993</v>
      </c>
      <c r="T246" s="76">
        <f>S246-P246</f>
        <v>38619.914217299993</v>
      </c>
      <c r="U246" s="106">
        <f>T246/S246</f>
        <v>1</v>
      </c>
      <c r="V246" s="66">
        <f>(((C246*D246*E246)+(G246*H246*I246)+(K246*L246*M246))/1000000)*35.32</f>
        <v>0</v>
      </c>
      <c r="W246" s="67" t="e">
        <f>Q246/V246</f>
        <v>#DIV/0!</v>
      </c>
      <c r="X246" s="58" t="e">
        <f>VLOOKUP(A246,'[1]MTP SKUs - Master Data'!$A:$B,2,FALSE)</f>
        <v>#N/A</v>
      </c>
    </row>
    <row r="247" spans="1:24" ht="12.75" customHeight="1">
      <c r="A247" s="79" t="s">
        <v>387</v>
      </c>
      <c r="B247" s="2"/>
      <c r="C247" s="104">
        <v>0</v>
      </c>
      <c r="D247" s="72">
        <v>0</v>
      </c>
      <c r="E247" s="72">
        <v>0</v>
      </c>
      <c r="F247" s="135">
        <v>0</v>
      </c>
      <c r="G247" s="72">
        <v>0</v>
      </c>
      <c r="H247" s="72">
        <v>0</v>
      </c>
      <c r="I247" s="72">
        <v>0</v>
      </c>
      <c r="J247" s="131">
        <v>0</v>
      </c>
      <c r="K247" s="72">
        <v>0</v>
      </c>
      <c r="L247" s="72">
        <v>0</v>
      </c>
      <c r="M247" s="72">
        <v>0</v>
      </c>
      <c r="N247" s="131">
        <v>0</v>
      </c>
      <c r="O247" s="112">
        <f>V247*$O$2*1000</f>
        <v>0</v>
      </c>
      <c r="P247" s="73">
        <f>F247+J247+N247</f>
        <v>0</v>
      </c>
      <c r="Q247" s="74">
        <f>P247/1000</f>
        <v>0</v>
      </c>
      <c r="R247" s="74">
        <f>MAX(P247,O247)</f>
        <v>0</v>
      </c>
      <c r="S247" s="75">
        <f>VLOOKUP(A247,'[2]BOM FG Files'!$A:$F,6,FALSE)</f>
        <v>47486.533388579992</v>
      </c>
      <c r="T247" s="76">
        <f>S247-P247</f>
        <v>47486.533388579992</v>
      </c>
      <c r="U247" s="106">
        <f>T247/S247</f>
        <v>1</v>
      </c>
      <c r="V247" s="66">
        <f>(((C247*D247*E247)+(G247*H247*I247)+(K247*L247*M247))/1000000)*35.32</f>
        <v>0</v>
      </c>
      <c r="W247" s="67" t="e">
        <f>Q247/V247</f>
        <v>#DIV/0!</v>
      </c>
      <c r="X247" s="58" t="e">
        <f>VLOOKUP(A247,'[1]MTP SKUs - Master Data'!$A:$B,2,FALSE)</f>
        <v>#N/A</v>
      </c>
    </row>
    <row r="248" spans="1:24" ht="12.75" customHeight="1">
      <c r="A248" s="114" t="s">
        <v>388</v>
      </c>
      <c r="B248" s="2"/>
      <c r="C248" s="104">
        <v>0</v>
      </c>
      <c r="D248" s="72">
        <v>0</v>
      </c>
      <c r="E248" s="72">
        <v>0</v>
      </c>
      <c r="F248" s="135">
        <v>0</v>
      </c>
      <c r="G248" s="72">
        <v>0</v>
      </c>
      <c r="H248" s="72">
        <v>0</v>
      </c>
      <c r="I248" s="72">
        <v>0</v>
      </c>
      <c r="J248" s="131">
        <v>0</v>
      </c>
      <c r="K248" s="72">
        <v>0</v>
      </c>
      <c r="L248" s="72">
        <v>0</v>
      </c>
      <c r="M248" s="72">
        <v>0</v>
      </c>
      <c r="N248" s="131">
        <v>0</v>
      </c>
      <c r="O248" s="112">
        <f>V248*$O$2*1000</f>
        <v>0</v>
      </c>
      <c r="P248" s="73">
        <f>F248+J248+N248</f>
        <v>0</v>
      </c>
      <c r="Q248" s="74">
        <f>P248/1000</f>
        <v>0</v>
      </c>
      <c r="R248" s="74">
        <f>MAX(P248,O248)</f>
        <v>0</v>
      </c>
      <c r="S248" s="75">
        <f>VLOOKUP(A248,'[2]BOM FG Files'!$A:$F,6,FALSE)</f>
        <v>20307.26806356234</v>
      </c>
      <c r="T248" s="76">
        <f>S248-P248</f>
        <v>20307.26806356234</v>
      </c>
      <c r="U248" s="106">
        <f>T248/S248</f>
        <v>1</v>
      </c>
      <c r="V248" s="66">
        <f>(((C248*D248*E248)+(G248*H248*I248)+(K248*L248*M248))/1000000)*35.32</f>
        <v>0</v>
      </c>
      <c r="W248" s="67" t="e">
        <f>Q248/V248</f>
        <v>#DIV/0!</v>
      </c>
      <c r="X248" s="58" t="str">
        <f>VLOOKUP(A248,'[1]MTP SKUs - Master Data'!$A:$B,2,FALSE)</f>
        <v>DI</v>
      </c>
    </row>
    <row r="249" spans="1:24" ht="12.75" customHeight="1">
      <c r="A249" s="195" t="s">
        <v>49</v>
      </c>
      <c r="B249" s="3" t="s">
        <v>48</v>
      </c>
      <c r="C249" s="104">
        <v>70</v>
      </c>
      <c r="D249" s="72">
        <v>23</v>
      </c>
      <c r="E249" s="72">
        <v>6</v>
      </c>
      <c r="F249" s="135">
        <v>1940</v>
      </c>
      <c r="G249" s="72">
        <v>0</v>
      </c>
      <c r="H249" s="72">
        <v>0</v>
      </c>
      <c r="I249" s="72">
        <v>0</v>
      </c>
      <c r="J249" s="131">
        <v>0</v>
      </c>
      <c r="K249" s="72">
        <v>0</v>
      </c>
      <c r="L249" s="72">
        <v>0</v>
      </c>
      <c r="M249" s="72">
        <v>0</v>
      </c>
      <c r="N249" s="131">
        <v>0</v>
      </c>
      <c r="O249" s="112">
        <f>V249*$O$2*1000</f>
        <v>2047.1472000000003</v>
      </c>
      <c r="P249" s="73">
        <f>F249+J249+N249</f>
        <v>1940</v>
      </c>
      <c r="Q249" s="74">
        <f>P249/1000</f>
        <v>1.94</v>
      </c>
      <c r="R249" s="74">
        <f>MAX(P249,O249)</f>
        <v>2047.1472000000003</v>
      </c>
      <c r="S249" s="75">
        <f>VLOOKUP(A249,'[2]BOM FG Files'!$A:$F,6,FALSE)</f>
        <v>1886.8987145419542</v>
      </c>
      <c r="T249" s="76">
        <f>S249-P249</f>
        <v>-53.101285458045822</v>
      </c>
      <c r="U249" s="106">
        <f>T249/S249</f>
        <v>-2.8142096366278034E-2</v>
      </c>
      <c r="V249" s="66">
        <f>(((C249*D249*E249)+(G249*H249*I249)+(K249*L249*M249))/1000000)*35.32</f>
        <v>0.34119120000000003</v>
      </c>
      <c r="W249" s="67">
        <f>Q249/V249</f>
        <v>5.685961419872493</v>
      </c>
      <c r="X249" s="58" t="str">
        <f>VLOOKUP(A249,'[1]MTP SKUs - Master Data'!$A:$B,2,FALSE)</f>
        <v>Y</v>
      </c>
    </row>
    <row r="250" spans="1:24" ht="12.75" customHeight="1">
      <c r="A250" s="77" t="s">
        <v>352</v>
      </c>
      <c r="B250" s="3" t="s">
        <v>48</v>
      </c>
      <c r="C250" s="104" t="s">
        <v>382</v>
      </c>
      <c r="D250" s="72" t="s">
        <v>382</v>
      </c>
      <c r="E250" s="72" t="s">
        <v>382</v>
      </c>
      <c r="F250" s="135" t="s">
        <v>382</v>
      </c>
      <c r="G250" s="72" t="s">
        <v>382</v>
      </c>
      <c r="H250" s="72" t="s">
        <v>382</v>
      </c>
      <c r="I250" s="72" t="s">
        <v>382</v>
      </c>
      <c r="J250" s="131" t="s">
        <v>382</v>
      </c>
      <c r="K250" s="72" t="s">
        <v>382</v>
      </c>
      <c r="L250" s="72" t="s">
        <v>382</v>
      </c>
      <c r="M250" s="72" t="s">
        <v>382</v>
      </c>
      <c r="N250" s="131" t="s">
        <v>382</v>
      </c>
      <c r="O250" s="112">
        <f>V250*$O$2*1000</f>
        <v>0</v>
      </c>
      <c r="P250" s="73">
        <f>F250+J250+N250</f>
        <v>0</v>
      </c>
      <c r="Q250" s="74">
        <f>P250/1000</f>
        <v>0</v>
      </c>
      <c r="R250" s="74">
        <f>MAX(P250,O250)</f>
        <v>0</v>
      </c>
      <c r="S250" s="75">
        <f>VLOOKUP(A250,'[2]BOM FG Files'!$A:$F,6,FALSE)</f>
        <v>16921.13683238034</v>
      </c>
      <c r="T250" s="76">
        <f>S250-P250</f>
        <v>16921.13683238034</v>
      </c>
      <c r="U250" s="106">
        <f>T250/S250</f>
        <v>1</v>
      </c>
      <c r="V250" s="66">
        <f>(((C250*D250*E250)+(G250*H250*I250)+(K250*L250*M250))/1000000)*35.32</f>
        <v>0</v>
      </c>
      <c r="W250" s="67" t="e">
        <f>Q250/V250</f>
        <v>#DIV/0!</v>
      </c>
      <c r="X250" s="58" t="str">
        <f>VLOOKUP(A250,'[1]MTP SKUs - Master Data'!$A:$B,2,FALSE)</f>
        <v>DI</v>
      </c>
    </row>
    <row r="251" spans="1:24" ht="12.75" customHeight="1">
      <c r="A251" s="114" t="s">
        <v>389</v>
      </c>
      <c r="B251" s="2"/>
      <c r="C251" s="104">
        <v>0</v>
      </c>
      <c r="D251" s="72">
        <v>0</v>
      </c>
      <c r="E251" s="72">
        <v>0</v>
      </c>
      <c r="F251" s="135">
        <v>0</v>
      </c>
      <c r="G251" s="72">
        <v>0</v>
      </c>
      <c r="H251" s="72">
        <v>0</v>
      </c>
      <c r="I251" s="72">
        <v>0</v>
      </c>
      <c r="J251" s="131">
        <v>0</v>
      </c>
      <c r="K251" s="72">
        <v>0</v>
      </c>
      <c r="L251" s="72">
        <v>0</v>
      </c>
      <c r="M251" s="72">
        <v>0</v>
      </c>
      <c r="N251" s="131">
        <v>0</v>
      </c>
      <c r="O251" s="112">
        <f>V251*$O$2*1000</f>
        <v>0</v>
      </c>
      <c r="P251" s="73">
        <f>F251+J251+N251</f>
        <v>0</v>
      </c>
      <c r="Q251" s="74">
        <f>P251/1000</f>
        <v>0</v>
      </c>
      <c r="R251" s="74">
        <f>MAX(P251,O251)</f>
        <v>0</v>
      </c>
      <c r="S251" s="75">
        <f>VLOOKUP(A251,'[2]BOM FG Files'!$A:$F,6,FALSE)</f>
        <v>18593.527830583425</v>
      </c>
      <c r="T251" s="76">
        <f>S251-P251</f>
        <v>18593.527830583425</v>
      </c>
      <c r="U251" s="106">
        <f>T251/S251</f>
        <v>1</v>
      </c>
      <c r="V251" s="66">
        <f>(((C251*D251*E251)+(G251*H251*I251)+(K251*L251*M251))/1000000)*35.32</f>
        <v>0</v>
      </c>
      <c r="W251" s="67" t="e">
        <f>Q251/V251</f>
        <v>#DIV/0!</v>
      </c>
      <c r="X251" s="58" t="str">
        <f>VLOOKUP(A251,'[1]MTP SKUs - Master Data'!$A:$B,2,FALSE)</f>
        <v>DI</v>
      </c>
    </row>
    <row r="252" spans="1:24" ht="12.75" customHeight="1">
      <c r="A252" s="77" t="s">
        <v>230</v>
      </c>
      <c r="B252" s="3" t="s">
        <v>48</v>
      </c>
      <c r="C252" s="104">
        <v>42</v>
      </c>
      <c r="D252" s="72">
        <v>41</v>
      </c>
      <c r="E252" s="72">
        <v>6</v>
      </c>
      <c r="F252" s="135">
        <v>4780</v>
      </c>
      <c r="G252" s="72">
        <v>0</v>
      </c>
      <c r="H252" s="72">
        <v>0</v>
      </c>
      <c r="I252" s="72">
        <v>0</v>
      </c>
      <c r="J252" s="131">
        <v>0</v>
      </c>
      <c r="K252" s="72">
        <v>0</v>
      </c>
      <c r="L252" s="72">
        <v>0</v>
      </c>
      <c r="M252" s="72">
        <v>0</v>
      </c>
      <c r="N252" s="131">
        <v>0</v>
      </c>
      <c r="O252" s="112">
        <f>V252*$O$2*1000</f>
        <v>2189.5574399999996</v>
      </c>
      <c r="P252" s="73">
        <f>F252+J252+N252</f>
        <v>4780</v>
      </c>
      <c r="Q252" s="74">
        <f>P252/1000</f>
        <v>4.78</v>
      </c>
      <c r="R252" s="74">
        <f>MAX(P252,O252)</f>
        <v>4780</v>
      </c>
      <c r="S252" s="75" t="e">
        <f>VLOOKUP(A252,'[2]BOM FG Files'!$A:$F,6,FALSE)</f>
        <v>#N/A</v>
      </c>
      <c r="T252" s="76" t="e">
        <f>S252-P252</f>
        <v>#N/A</v>
      </c>
      <c r="U252" s="106" t="e">
        <f>T252/S252</f>
        <v>#N/A</v>
      </c>
      <c r="V252" s="66">
        <f>(((C252*D252*E252)+(G252*H252*I252)+(K252*L252*M252))/1000000)*35.32</f>
        <v>0.36492623999999996</v>
      </c>
      <c r="W252" s="67">
        <f>Q252/V252</f>
        <v>13.098537392104225</v>
      </c>
      <c r="X252" s="58" t="str">
        <f>VLOOKUP(A252,'[1]MTP SKUs - Master Data'!$A:$B,2,FALSE)</f>
        <v>DI</v>
      </c>
    </row>
    <row r="253" spans="1:24" ht="12.75" customHeight="1">
      <c r="A253" s="77" t="s">
        <v>294</v>
      </c>
      <c r="B253" s="3" t="s">
        <v>48</v>
      </c>
      <c r="C253" s="104" t="s">
        <v>382</v>
      </c>
      <c r="D253" s="72" t="s">
        <v>382</v>
      </c>
      <c r="E253" s="72" t="s">
        <v>382</v>
      </c>
      <c r="F253" s="135" t="s">
        <v>382</v>
      </c>
      <c r="G253" s="72" t="s">
        <v>382</v>
      </c>
      <c r="H253" s="72" t="s">
        <v>382</v>
      </c>
      <c r="I253" s="72" t="s">
        <v>382</v>
      </c>
      <c r="J253" s="131" t="s">
        <v>382</v>
      </c>
      <c r="K253" s="72" t="s">
        <v>382</v>
      </c>
      <c r="L253" s="72" t="s">
        <v>382</v>
      </c>
      <c r="M253" s="72" t="s">
        <v>382</v>
      </c>
      <c r="N253" s="131" t="s">
        <v>382</v>
      </c>
      <c r="O253" s="112">
        <f>V253*$O$2*1000</f>
        <v>0</v>
      </c>
      <c r="P253" s="73">
        <f>F253+J253+N253</f>
        <v>0</v>
      </c>
      <c r="Q253" s="74">
        <f>P253/1000</f>
        <v>0</v>
      </c>
      <c r="R253" s="74">
        <f>MAX(P253,O253)</f>
        <v>0</v>
      </c>
      <c r="S253" s="75" t="e">
        <f>VLOOKUP(A253,'[2]BOM FG Files'!$A:$F,6,FALSE)</f>
        <v>#N/A</v>
      </c>
      <c r="T253" s="76" t="e">
        <f>S253-P253</f>
        <v>#N/A</v>
      </c>
      <c r="U253" s="106" t="e">
        <f>T253/S253</f>
        <v>#N/A</v>
      </c>
      <c r="V253" s="66">
        <f>(((C253*D253*E253)+(G253*H253*I253)+(K253*L253*M253))/1000000)*35.32</f>
        <v>0</v>
      </c>
      <c r="W253" s="67" t="e">
        <f>Q253/V253</f>
        <v>#DIV/0!</v>
      </c>
      <c r="X253" s="58" t="str">
        <f>VLOOKUP(A253,'[1]MTP SKUs - Master Data'!$A:$B,2,FALSE)</f>
        <v>DI</v>
      </c>
    </row>
    <row r="254" spans="1:24" ht="12.75" customHeight="1">
      <c r="A254" s="77" t="s">
        <v>104</v>
      </c>
      <c r="B254" s="3" t="s">
        <v>48</v>
      </c>
      <c r="C254" s="104">
        <v>123</v>
      </c>
      <c r="D254" s="72">
        <v>56</v>
      </c>
      <c r="E254" s="72">
        <v>5</v>
      </c>
      <c r="F254" s="135">
        <v>24490</v>
      </c>
      <c r="G254" s="72">
        <v>0</v>
      </c>
      <c r="H254" s="72">
        <v>0</v>
      </c>
      <c r="I254" s="72">
        <v>0</v>
      </c>
      <c r="J254" s="131">
        <v>0</v>
      </c>
      <c r="K254" s="72">
        <v>0</v>
      </c>
      <c r="L254" s="72">
        <v>0</v>
      </c>
      <c r="M254" s="72">
        <v>0</v>
      </c>
      <c r="N254" s="131">
        <v>0</v>
      </c>
      <c r="O254" s="112">
        <f>V254*$O$2*1000</f>
        <v>7298.5247999999992</v>
      </c>
      <c r="P254" s="73">
        <f>F254+J254+N254</f>
        <v>24490</v>
      </c>
      <c r="Q254" s="74">
        <f>P254/1000</f>
        <v>24.49</v>
      </c>
      <c r="R254" s="74">
        <f>MAX(P254,O254)</f>
        <v>24490</v>
      </c>
      <c r="S254" s="75" t="e">
        <f>VLOOKUP(A254,'[2]BOM FG Files'!$A:$F,6,FALSE)</f>
        <v>#N/A</v>
      </c>
      <c r="T254" s="76" t="e">
        <f>S254-P254</f>
        <v>#N/A</v>
      </c>
      <c r="U254" s="106" t="e">
        <f>T254/S254</f>
        <v>#N/A</v>
      </c>
      <c r="V254" s="66">
        <f>(((C254*D254*E254)+(G254*H254*I254)+(K254*L254*M254))/1000000)*35.32</f>
        <v>1.2164207999999999</v>
      </c>
      <c r="W254" s="67">
        <f>Q254/V254</f>
        <v>20.132835610834672</v>
      </c>
      <c r="X254" s="58" t="str">
        <f>VLOOKUP(A254,'[1]MTP SKUs - Master Data'!$A:$B,2,FALSE)</f>
        <v>DI</v>
      </c>
    </row>
    <row r="255" spans="1:24" ht="12.75" customHeight="1">
      <c r="A255" s="77" t="s">
        <v>390</v>
      </c>
      <c r="B255" s="3" t="s">
        <v>48</v>
      </c>
      <c r="C255" s="104">
        <v>112</v>
      </c>
      <c r="D255" s="72">
        <v>50</v>
      </c>
      <c r="E255" s="72">
        <v>7</v>
      </c>
      <c r="F255" s="135">
        <v>15800</v>
      </c>
      <c r="G255" s="72">
        <v>0</v>
      </c>
      <c r="H255" s="72">
        <v>0</v>
      </c>
      <c r="I255" s="72">
        <v>0</v>
      </c>
      <c r="J255" s="131">
        <v>0</v>
      </c>
      <c r="K255" s="72">
        <v>0</v>
      </c>
      <c r="L255" s="72">
        <v>0</v>
      </c>
      <c r="M255" s="72">
        <v>0</v>
      </c>
      <c r="N255" s="131">
        <v>0</v>
      </c>
      <c r="O255" s="112">
        <f>V255*$O$2*1000</f>
        <v>8307.2639999999992</v>
      </c>
      <c r="P255" s="73">
        <f>F255+J255+N255</f>
        <v>15800</v>
      </c>
      <c r="Q255" s="74">
        <f>P255/1000</f>
        <v>15.8</v>
      </c>
      <c r="R255" s="74">
        <f>MAX(P255,O255)</f>
        <v>15800</v>
      </c>
      <c r="S255" s="75" t="e">
        <f>VLOOKUP(A255,'[2]BOM FG Files'!$A:$F,6,FALSE)</f>
        <v>#N/A</v>
      </c>
      <c r="T255" s="76" t="e">
        <f>S255-P255</f>
        <v>#N/A</v>
      </c>
      <c r="U255" s="106" t="e">
        <f>T255/S255</f>
        <v>#N/A</v>
      </c>
      <c r="V255" s="66">
        <f>(((C255*D255*E255)+(G255*H255*I255)+(K255*L255*M255))/1000000)*35.32</f>
        <v>1.384544</v>
      </c>
      <c r="W255" s="67">
        <f>Q255/V255</f>
        <v>11.411699447615966</v>
      </c>
      <c r="X255" s="58" t="str">
        <f>VLOOKUP(A255,'[1]MTP SKUs - Master Data'!$A:$B,2,FALSE)</f>
        <v>DI</v>
      </c>
    </row>
    <row r="256" spans="1:24" ht="12.75" customHeight="1">
      <c r="A256" s="151" t="s">
        <v>50</v>
      </c>
      <c r="B256" s="2"/>
      <c r="C256" s="104" t="s">
        <v>382</v>
      </c>
      <c r="D256" s="72" t="s">
        <v>382</v>
      </c>
      <c r="E256" s="72" t="s">
        <v>382</v>
      </c>
      <c r="F256" s="191">
        <v>8900</v>
      </c>
      <c r="G256" s="72" t="s">
        <v>382</v>
      </c>
      <c r="H256" s="72" t="s">
        <v>382</v>
      </c>
      <c r="I256" s="72" t="s">
        <v>382</v>
      </c>
      <c r="J256" s="131" t="s">
        <v>382</v>
      </c>
      <c r="K256" s="72" t="s">
        <v>382</v>
      </c>
      <c r="L256" s="72" t="s">
        <v>382</v>
      </c>
      <c r="M256" s="72" t="s">
        <v>382</v>
      </c>
      <c r="N256" s="131" t="s">
        <v>382</v>
      </c>
      <c r="O256" s="112">
        <f>V256*$O$2*1000</f>
        <v>0</v>
      </c>
      <c r="P256" s="73">
        <f>F256+J256+N256</f>
        <v>8900</v>
      </c>
      <c r="Q256" s="74">
        <f>P256/1000</f>
        <v>8.9</v>
      </c>
      <c r="R256" s="74">
        <f>MAX(P256,O256)</f>
        <v>8900</v>
      </c>
      <c r="S256" s="75">
        <f>VLOOKUP(A256,'[2]BOM FG Files'!$A:$F,6,FALSE)</f>
        <v>10076.135138461539</v>
      </c>
      <c r="T256" s="76">
        <f>S256-P256</f>
        <v>1176.1351384615391</v>
      </c>
      <c r="U256" s="106">
        <f>T256/S256</f>
        <v>0.11672482775385996</v>
      </c>
      <c r="V256" s="66">
        <f>(((C256*D256*E256)+(G256*H256*I256)+(K256*L256*M256))/1000000)*35.32</f>
        <v>0</v>
      </c>
      <c r="W256" s="67" t="e">
        <f>Q256/V256</f>
        <v>#DIV/0!</v>
      </c>
      <c r="X256" s="58" t="str">
        <f>VLOOKUP(A256,'[1]MTP SKUs - Master Data'!$A:$B,2,FALSE)</f>
        <v>Y</v>
      </c>
    </row>
    <row r="257" spans="1:24" ht="12.75" customHeight="1">
      <c r="A257" s="58" t="s">
        <v>58</v>
      </c>
      <c r="B257" s="3" t="s">
        <v>48</v>
      </c>
      <c r="C257" s="104">
        <v>95</v>
      </c>
      <c r="D257" s="72">
        <v>45</v>
      </c>
      <c r="E257" s="72">
        <v>8</v>
      </c>
      <c r="F257" s="135">
        <v>11250</v>
      </c>
      <c r="G257" s="72" t="s">
        <v>382</v>
      </c>
      <c r="H257" s="72" t="s">
        <v>382</v>
      </c>
      <c r="I257" s="72" t="s">
        <v>382</v>
      </c>
      <c r="J257" s="131" t="s">
        <v>382</v>
      </c>
      <c r="K257" s="72" t="s">
        <v>382</v>
      </c>
      <c r="L257" s="72" t="s">
        <v>382</v>
      </c>
      <c r="M257" s="72" t="s">
        <v>382</v>
      </c>
      <c r="N257" s="131" t="s">
        <v>382</v>
      </c>
      <c r="O257" s="112">
        <f>V257*$O$2*1000</f>
        <v>7247.6640000000007</v>
      </c>
      <c r="P257" s="73">
        <f>F257+J257+N257</f>
        <v>11250</v>
      </c>
      <c r="Q257" s="74">
        <f>P257/1000</f>
        <v>11.25</v>
      </c>
      <c r="R257" s="74">
        <f>MAX(P257,O257)</f>
        <v>11250</v>
      </c>
      <c r="S257" s="75" t="e">
        <f>VLOOKUP(A257,'[2]BOM FG Files'!$A:$F,6,FALSE)</f>
        <v>#N/A</v>
      </c>
      <c r="T257" s="76" t="e">
        <f>S257-P257</f>
        <v>#N/A</v>
      </c>
      <c r="U257" s="106" t="e">
        <f>T257/S257</f>
        <v>#N/A</v>
      </c>
      <c r="V257" s="66">
        <f>(((C257*D257*E257)+(G257*H257*I257)+(K257*L257*M257))/1000000)*35.32</f>
        <v>1.2079440000000001</v>
      </c>
      <c r="W257" s="67">
        <f>Q257/V257</f>
        <v>9.3133456517851805</v>
      </c>
      <c r="X257" s="58" t="str">
        <f>VLOOKUP(A257,'[1]MTP SKUs - Master Data'!$A:$B,2,FALSE)</f>
        <v>DI</v>
      </c>
    </row>
    <row r="258" spans="1:24" ht="12.75" customHeight="1">
      <c r="A258" s="58" t="s">
        <v>139</v>
      </c>
      <c r="B258" s="3" t="s">
        <v>48</v>
      </c>
      <c r="C258" s="104">
        <v>25</v>
      </c>
      <c r="D258" s="72">
        <v>20</v>
      </c>
      <c r="E258" s="72">
        <v>5</v>
      </c>
      <c r="F258" s="135">
        <v>440</v>
      </c>
      <c r="G258" s="72">
        <v>0</v>
      </c>
      <c r="H258" s="72">
        <v>0</v>
      </c>
      <c r="I258" s="72">
        <v>0</v>
      </c>
      <c r="J258" s="131">
        <v>0</v>
      </c>
      <c r="K258" s="72">
        <v>0</v>
      </c>
      <c r="L258" s="72">
        <v>0</v>
      </c>
      <c r="M258" s="72">
        <v>0</v>
      </c>
      <c r="N258" s="131">
        <v>0</v>
      </c>
      <c r="O258" s="112">
        <f>V258*$O$2*1000</f>
        <v>529.80000000000007</v>
      </c>
      <c r="P258" s="73">
        <f>F258+J258+N258</f>
        <v>440</v>
      </c>
      <c r="Q258" s="74">
        <f>P258/1000</f>
        <v>0.44</v>
      </c>
      <c r="R258" s="74">
        <f>MAX(P258,O258)</f>
        <v>529.80000000000007</v>
      </c>
      <c r="S258" s="75" t="e">
        <f>VLOOKUP(A258,'[2]BOM FG Files'!$A:$F,6,FALSE)</f>
        <v>#N/A</v>
      </c>
      <c r="T258" s="76" t="e">
        <f>S258-P258</f>
        <v>#N/A</v>
      </c>
      <c r="U258" s="106" t="e">
        <f>T258/S258</f>
        <v>#N/A</v>
      </c>
      <c r="V258" s="66">
        <f>(((C258*D258*E258)+(G258*H258*I258)+(K258*L258*M258))/1000000)*35.32</f>
        <v>8.8300000000000003E-2</v>
      </c>
      <c r="W258" s="67">
        <f>Q258/V258</f>
        <v>4.9830124575311441</v>
      </c>
      <c r="X258" s="58" t="str">
        <f>VLOOKUP(A258,'[1]MTP SKUs - Master Data'!$A:$B,2,FALSE)</f>
        <v>DI</v>
      </c>
    </row>
    <row r="259" spans="1:24" ht="12.75" customHeight="1">
      <c r="A259" s="151" t="s">
        <v>47</v>
      </c>
      <c r="B259" s="2"/>
      <c r="C259" s="104" t="s">
        <v>382</v>
      </c>
      <c r="D259" s="72" t="s">
        <v>382</v>
      </c>
      <c r="E259" s="72" t="s">
        <v>382</v>
      </c>
      <c r="F259" s="135">
        <v>4800</v>
      </c>
      <c r="G259" s="72" t="s">
        <v>382</v>
      </c>
      <c r="H259" s="72" t="s">
        <v>382</v>
      </c>
      <c r="I259" s="72" t="s">
        <v>382</v>
      </c>
      <c r="J259" s="131" t="s">
        <v>382</v>
      </c>
      <c r="K259" s="72" t="s">
        <v>382</v>
      </c>
      <c r="L259" s="72" t="s">
        <v>382</v>
      </c>
      <c r="M259" s="72" t="s">
        <v>382</v>
      </c>
      <c r="N259" s="131" t="s">
        <v>382</v>
      </c>
      <c r="O259" s="112">
        <f>V259*$O$2*1000</f>
        <v>0</v>
      </c>
      <c r="P259" s="73">
        <f>F259+J259+N259</f>
        <v>4800</v>
      </c>
      <c r="Q259" s="74">
        <f>P259/1000</f>
        <v>4.8</v>
      </c>
      <c r="R259" s="74">
        <f>MAX(P259,O259)</f>
        <v>4800</v>
      </c>
      <c r="S259" s="75">
        <f>VLOOKUP(A259,'[2]BOM FG Files'!$A:$F,6,FALSE)</f>
        <v>5644.1473083076926</v>
      </c>
      <c r="T259" s="76">
        <f>S259-P259</f>
        <v>844.14730830769258</v>
      </c>
      <c r="U259" s="106">
        <f>T259/S259</f>
        <v>0.14956153023596344</v>
      </c>
      <c r="V259" s="66">
        <f>(((C259*D259*E259)+(G259*H259*I259)+(K259*L259*M259))/1000000)*35.32</f>
        <v>0</v>
      </c>
      <c r="W259" s="67" t="e">
        <f>Q259/V259</f>
        <v>#DIV/0!</v>
      </c>
      <c r="X259" s="58" t="str">
        <f>VLOOKUP(A259,'[1]MTP SKUs - Master Data'!$A:$B,2,FALSE)</f>
        <v>Y</v>
      </c>
    </row>
    <row r="260" spans="1:24" ht="12.75" customHeight="1">
      <c r="A260" s="58" t="s">
        <v>182</v>
      </c>
      <c r="B260" s="3" t="s">
        <v>48</v>
      </c>
      <c r="C260" s="104">
        <v>69</v>
      </c>
      <c r="D260" s="72">
        <v>35</v>
      </c>
      <c r="E260" s="72">
        <v>9</v>
      </c>
      <c r="F260" s="135">
        <v>10400</v>
      </c>
      <c r="G260" s="72">
        <v>0</v>
      </c>
      <c r="H260" s="72">
        <v>0</v>
      </c>
      <c r="I260" s="72">
        <v>0</v>
      </c>
      <c r="J260" s="131">
        <v>0</v>
      </c>
      <c r="K260" s="72">
        <v>0</v>
      </c>
      <c r="L260" s="72">
        <v>0</v>
      </c>
      <c r="M260" s="72">
        <v>0</v>
      </c>
      <c r="N260" s="131">
        <v>0</v>
      </c>
      <c r="O260" s="112">
        <f>V260*$O$2*1000</f>
        <v>4606.0812000000005</v>
      </c>
      <c r="P260" s="73">
        <f>F260+J260+N260</f>
        <v>10400</v>
      </c>
      <c r="Q260" s="74">
        <f>P260/1000</f>
        <v>10.4</v>
      </c>
      <c r="R260" s="74">
        <f>MAX(P260,O260)</f>
        <v>10400</v>
      </c>
      <c r="S260" s="75" t="e">
        <f>VLOOKUP(A260,'[2]BOM FG Files'!$A:$F,6,FALSE)</f>
        <v>#N/A</v>
      </c>
      <c r="T260" s="76" t="e">
        <f>S260-P260</f>
        <v>#N/A</v>
      </c>
      <c r="U260" s="106" t="e">
        <f>T260/S260</f>
        <v>#N/A</v>
      </c>
      <c r="V260" s="66">
        <f>(((C260*D260*E260)+(G260*H260*I260)+(K260*L260*M260))/1000000)*35.32</f>
        <v>0.76768020000000003</v>
      </c>
      <c r="W260" s="67">
        <f>Q260/V260</f>
        <v>13.547307850326217</v>
      </c>
      <c r="X260" s="58" t="str">
        <f>VLOOKUP(A260,'[1]MTP SKUs - Master Data'!$A:$B,2,FALSE)</f>
        <v>DI</v>
      </c>
    </row>
    <row r="261" spans="1:24" ht="12.75" customHeight="1">
      <c r="A261" s="58" t="s">
        <v>128</v>
      </c>
      <c r="B261" s="3"/>
      <c r="C261" s="104">
        <v>1</v>
      </c>
      <c r="D261" s="72">
        <v>1</v>
      </c>
      <c r="E261" s="72">
        <v>1</v>
      </c>
      <c r="F261" s="135">
        <v>56000</v>
      </c>
      <c r="G261" s="72">
        <v>0</v>
      </c>
      <c r="H261" s="72">
        <v>0</v>
      </c>
      <c r="I261" s="72">
        <v>0</v>
      </c>
      <c r="J261" s="131">
        <v>0</v>
      </c>
      <c r="K261" s="72">
        <v>0</v>
      </c>
      <c r="L261" s="72">
        <v>0</v>
      </c>
      <c r="M261" s="72">
        <v>0</v>
      </c>
      <c r="N261" s="131">
        <v>0</v>
      </c>
      <c r="O261" s="112">
        <f>V261*$O$2*1000</f>
        <v>0.21192</v>
      </c>
      <c r="P261" s="73">
        <f>F261+J261+N261</f>
        <v>56000</v>
      </c>
      <c r="Q261" s="74">
        <f>P261/1000</f>
        <v>56</v>
      </c>
      <c r="R261" s="74">
        <f>MAX(P261,O261)</f>
        <v>56000</v>
      </c>
      <c r="S261" s="75" t="e">
        <f>VLOOKUP(A261,'[2]BOM FG Files'!$A:$F,6,FALSE)</f>
        <v>#N/A</v>
      </c>
      <c r="T261" s="76" t="e">
        <f>S261-P261</f>
        <v>#N/A</v>
      </c>
      <c r="U261" s="106" t="e">
        <f>T261/S261</f>
        <v>#N/A</v>
      </c>
      <c r="V261" s="66">
        <f>(((C261*D261*E261)+(G261*H261*I261)+(K261*L261*M261))/1000000)*35.32</f>
        <v>3.5320000000000001E-5</v>
      </c>
      <c r="W261" s="67">
        <f>Q261/V261</f>
        <v>1585503.9637599094</v>
      </c>
      <c r="X261" s="58" t="str">
        <f>VLOOKUP(A261,'[1]MTP SKUs - Master Data'!$A:$B,2,FALSE)</f>
        <v>Y</v>
      </c>
    </row>
    <row r="262" spans="1:24" ht="12.75" customHeight="1">
      <c r="A262" s="114" t="s">
        <v>367</v>
      </c>
      <c r="B262" s="2"/>
      <c r="C262" s="104" t="s">
        <v>382</v>
      </c>
      <c r="D262" s="72" t="s">
        <v>382</v>
      </c>
      <c r="E262" s="72" t="s">
        <v>382</v>
      </c>
      <c r="F262" s="135" t="s">
        <v>382</v>
      </c>
      <c r="G262" s="72" t="s">
        <v>382</v>
      </c>
      <c r="H262" s="72" t="s">
        <v>382</v>
      </c>
      <c r="I262" s="72" t="s">
        <v>382</v>
      </c>
      <c r="J262" s="131" t="s">
        <v>382</v>
      </c>
      <c r="K262" s="72" t="s">
        <v>382</v>
      </c>
      <c r="L262" s="72" t="s">
        <v>382</v>
      </c>
      <c r="M262" s="72" t="s">
        <v>382</v>
      </c>
      <c r="N262" s="131" t="s">
        <v>382</v>
      </c>
      <c r="O262" s="112">
        <f>V262*$O$2*1000</f>
        <v>0</v>
      </c>
      <c r="P262" s="73">
        <f>F262+J262+N262</f>
        <v>0</v>
      </c>
      <c r="Q262" s="74">
        <f>P262/1000</f>
        <v>0</v>
      </c>
      <c r="R262" s="74">
        <f>MAX(P262,O262)</f>
        <v>0</v>
      </c>
      <c r="S262" s="75" t="e">
        <f>VLOOKUP(A262,'[2]BOM FG Files'!$A:$F,6,FALSE)</f>
        <v>#N/A</v>
      </c>
      <c r="T262" s="76" t="e">
        <f>S262-P262</f>
        <v>#N/A</v>
      </c>
      <c r="U262" s="106" t="e">
        <f>T262/S262</f>
        <v>#N/A</v>
      </c>
      <c r="V262" s="66">
        <f>(((C262*D262*E262)+(G262*H262*I262)+(K262*L262*M262))/1000000)*35.32</f>
        <v>0</v>
      </c>
      <c r="W262" s="67" t="e">
        <f>Q262/V262</f>
        <v>#DIV/0!</v>
      </c>
      <c r="X262" s="58" t="str">
        <f>VLOOKUP(A262,'[1]MTP SKUs - Master Data'!$A:$B,2,FALSE)</f>
        <v>DI</v>
      </c>
    </row>
    <row r="263" spans="1:24" ht="12.75" customHeight="1">
      <c r="A263" s="114" t="s">
        <v>368</v>
      </c>
      <c r="B263" s="2"/>
      <c r="C263" s="104" t="s">
        <v>382</v>
      </c>
      <c r="D263" s="72" t="s">
        <v>382</v>
      </c>
      <c r="E263" s="72" t="s">
        <v>382</v>
      </c>
      <c r="F263" s="135" t="s">
        <v>382</v>
      </c>
      <c r="G263" s="72" t="s">
        <v>382</v>
      </c>
      <c r="H263" s="72" t="s">
        <v>382</v>
      </c>
      <c r="I263" s="72" t="s">
        <v>382</v>
      </c>
      <c r="J263" s="131" t="s">
        <v>382</v>
      </c>
      <c r="K263" s="72" t="s">
        <v>382</v>
      </c>
      <c r="L263" s="72" t="s">
        <v>382</v>
      </c>
      <c r="M263" s="72" t="s">
        <v>382</v>
      </c>
      <c r="N263" s="131" t="s">
        <v>382</v>
      </c>
      <c r="O263" s="112">
        <f>V263*$O$2*1000</f>
        <v>0</v>
      </c>
      <c r="P263" s="73">
        <f>F263+J263+N263</f>
        <v>0</v>
      </c>
      <c r="Q263" s="74">
        <f>P263/1000</f>
        <v>0</v>
      </c>
      <c r="R263" s="74">
        <f>MAX(P263,O263)</f>
        <v>0</v>
      </c>
      <c r="S263" s="75" t="e">
        <f>VLOOKUP(A263,'[2]BOM FG Files'!$A:$F,6,FALSE)</f>
        <v>#N/A</v>
      </c>
      <c r="T263" s="76" t="e">
        <f>S263-P263</f>
        <v>#N/A</v>
      </c>
      <c r="U263" s="106" t="e">
        <f>T263/S263</f>
        <v>#N/A</v>
      </c>
      <c r="V263" s="66">
        <f>(((C263*D263*E263)+(G263*H263*I263)+(K263*L263*M263))/1000000)*35.32</f>
        <v>0</v>
      </c>
      <c r="W263" s="67" t="e">
        <f>Q263/V263</f>
        <v>#DIV/0!</v>
      </c>
      <c r="X263" s="58" t="str">
        <f>VLOOKUP(A263,'[1]MTP SKUs - Master Data'!$A:$B,2,FALSE)</f>
        <v>DI</v>
      </c>
    </row>
    <row r="264" spans="1:24" ht="12.75" customHeight="1">
      <c r="A264" s="114" t="s">
        <v>340</v>
      </c>
      <c r="B264" s="2"/>
      <c r="C264" s="104" t="s">
        <v>382</v>
      </c>
      <c r="D264" s="72" t="s">
        <v>382</v>
      </c>
      <c r="E264" s="72" t="s">
        <v>382</v>
      </c>
      <c r="F264" s="135" t="s">
        <v>382</v>
      </c>
      <c r="G264" s="72" t="s">
        <v>382</v>
      </c>
      <c r="H264" s="72" t="s">
        <v>382</v>
      </c>
      <c r="I264" s="72" t="s">
        <v>382</v>
      </c>
      <c r="J264" s="131" t="s">
        <v>382</v>
      </c>
      <c r="K264" s="72" t="s">
        <v>382</v>
      </c>
      <c r="L264" s="72" t="s">
        <v>382</v>
      </c>
      <c r="M264" s="72" t="s">
        <v>382</v>
      </c>
      <c r="N264" s="131" t="s">
        <v>382</v>
      </c>
      <c r="O264" s="112">
        <f>V264*$O$2*1000</f>
        <v>0</v>
      </c>
      <c r="P264" s="73">
        <f>F264+J264+N264</f>
        <v>0</v>
      </c>
      <c r="Q264" s="74">
        <f>P264/1000</f>
        <v>0</v>
      </c>
      <c r="R264" s="74">
        <f>MAX(P264,O264)</f>
        <v>0</v>
      </c>
      <c r="S264" s="75" t="e">
        <f>VLOOKUP(A264,'[2]BOM FG Files'!$A:$F,6,FALSE)</f>
        <v>#N/A</v>
      </c>
      <c r="T264" s="76" t="e">
        <f>S264-P264</f>
        <v>#N/A</v>
      </c>
      <c r="U264" s="106" t="e">
        <f>T264/S264</f>
        <v>#N/A</v>
      </c>
      <c r="V264" s="66">
        <f>(((C264*D264*E264)+(G264*H264*I264)+(K264*L264*M264))/1000000)*35.32</f>
        <v>0</v>
      </c>
      <c r="W264" s="67" t="e">
        <f>Q264/V264</f>
        <v>#DIV/0!</v>
      </c>
      <c r="X264" s="58" t="str">
        <f>VLOOKUP(A264,'[1]MTP SKUs - Master Data'!$A:$B,2,FALSE)</f>
        <v>DI</v>
      </c>
    </row>
    <row r="265" spans="1:24" ht="12.75" customHeight="1">
      <c r="A265" s="58" t="s">
        <v>243</v>
      </c>
      <c r="B265" s="3" t="s">
        <v>48</v>
      </c>
      <c r="C265" s="104">
        <v>97</v>
      </c>
      <c r="D265" s="72">
        <v>58</v>
      </c>
      <c r="E265" s="72">
        <v>5</v>
      </c>
      <c r="F265" s="135">
        <v>10805</v>
      </c>
      <c r="G265" s="72">
        <v>0</v>
      </c>
      <c r="H265" s="72">
        <v>0</v>
      </c>
      <c r="I265" s="72">
        <v>0</v>
      </c>
      <c r="J265" s="131">
        <v>0</v>
      </c>
      <c r="K265" s="72">
        <v>0</v>
      </c>
      <c r="L265" s="72">
        <v>0</v>
      </c>
      <c r="M265" s="72">
        <v>0</v>
      </c>
      <c r="N265" s="131">
        <v>0</v>
      </c>
      <c r="O265" s="112">
        <f>V265*$O$2*1000</f>
        <v>5961.3095999999996</v>
      </c>
      <c r="P265" s="73">
        <f>F265+J265+N265</f>
        <v>10805</v>
      </c>
      <c r="Q265" s="74">
        <f>P265/1000</f>
        <v>10.805</v>
      </c>
      <c r="R265" s="74">
        <f>MAX(P265,O265)</f>
        <v>10805</v>
      </c>
      <c r="S265" s="75" t="e">
        <f>VLOOKUP(A265,'[2]BOM FG Files'!$A:$F,6,FALSE)</f>
        <v>#N/A</v>
      </c>
      <c r="T265" s="76" t="e">
        <f>S265-P265</f>
        <v>#N/A</v>
      </c>
      <c r="U265" s="106" t="e">
        <f>T265/S265</f>
        <v>#N/A</v>
      </c>
      <c r="V265" s="66">
        <f>(((C265*D265*E265)+(G265*H265*I265)+(K265*L265*M265))/1000000)*35.32</f>
        <v>0.99355159999999998</v>
      </c>
      <c r="W265" s="67">
        <f>Q265/V265</f>
        <v>10.875127170043307</v>
      </c>
      <c r="X265" s="58" t="str">
        <f>VLOOKUP(A265,'[1]MTP SKUs - Master Data'!$A:$B,2,FALSE)</f>
        <v>DI</v>
      </c>
    </row>
    <row r="266" spans="1:24" ht="12.75" customHeight="1">
      <c r="A266" s="58" t="s">
        <v>69</v>
      </c>
      <c r="B266" s="3" t="s">
        <v>48</v>
      </c>
      <c r="C266" s="104">
        <v>87</v>
      </c>
      <c r="D266" s="72">
        <v>65</v>
      </c>
      <c r="E266" s="72">
        <v>5</v>
      </c>
      <c r="F266" s="135">
        <v>10100</v>
      </c>
      <c r="G266" s="72">
        <v>0</v>
      </c>
      <c r="H266" s="72">
        <v>0</v>
      </c>
      <c r="I266" s="72">
        <v>0</v>
      </c>
      <c r="J266" s="131">
        <v>0</v>
      </c>
      <c r="K266" s="72">
        <v>0</v>
      </c>
      <c r="L266" s="72">
        <v>0</v>
      </c>
      <c r="M266" s="72">
        <v>0</v>
      </c>
      <c r="N266" s="131">
        <v>0</v>
      </c>
      <c r="O266" s="112">
        <f>V266*$O$2*1000</f>
        <v>5992.0379999999996</v>
      </c>
      <c r="P266" s="73">
        <f>F266+J266+N266</f>
        <v>10100</v>
      </c>
      <c r="Q266" s="74">
        <f>P266/1000</f>
        <v>10.1</v>
      </c>
      <c r="R266" s="74">
        <f>MAX(P266,O266)</f>
        <v>10100</v>
      </c>
      <c r="S266" s="75" t="e">
        <f>VLOOKUP(A266,'[2]BOM FG Files'!$A:$F,6,FALSE)</f>
        <v>#N/A</v>
      </c>
      <c r="T266" s="76" t="e">
        <f>S266-P266</f>
        <v>#N/A</v>
      </c>
      <c r="U266" s="106" t="e">
        <f>T266/S266</f>
        <v>#N/A</v>
      </c>
      <c r="V266" s="66">
        <f>(((C266*D266*E266)+(G266*H266*I266)+(K266*L266*M266))/1000000)*35.32</f>
        <v>0.99867300000000003</v>
      </c>
      <c r="W266" s="67">
        <f>Q266/V266</f>
        <v>10.113420509015462</v>
      </c>
      <c r="X266" s="58" t="str">
        <f>VLOOKUP(A266,'[1]MTP SKUs - Master Data'!$A:$B,2,FALSE)</f>
        <v>DI</v>
      </c>
    </row>
    <row r="267" spans="1:24" ht="12.75" customHeight="1">
      <c r="A267" s="114" t="s">
        <v>365</v>
      </c>
      <c r="B267" s="2"/>
      <c r="C267" s="104" t="s">
        <v>382</v>
      </c>
      <c r="D267" s="72" t="s">
        <v>382</v>
      </c>
      <c r="E267" s="72" t="s">
        <v>382</v>
      </c>
      <c r="F267" s="135" t="s">
        <v>382</v>
      </c>
      <c r="G267" s="72" t="s">
        <v>382</v>
      </c>
      <c r="H267" s="72" t="s">
        <v>382</v>
      </c>
      <c r="I267" s="72" t="s">
        <v>382</v>
      </c>
      <c r="J267" s="131" t="s">
        <v>382</v>
      </c>
      <c r="K267" s="72" t="s">
        <v>382</v>
      </c>
      <c r="L267" s="72" t="s">
        <v>382</v>
      </c>
      <c r="M267" s="72" t="s">
        <v>382</v>
      </c>
      <c r="N267" s="131" t="s">
        <v>382</v>
      </c>
      <c r="O267" s="112">
        <f>V267*$O$2*1000</f>
        <v>0</v>
      </c>
      <c r="P267" s="73">
        <f>F267+J267+N267</f>
        <v>0</v>
      </c>
      <c r="Q267" s="74">
        <f>P267/1000</f>
        <v>0</v>
      </c>
      <c r="R267" s="74">
        <f>MAX(P267,O267)</f>
        <v>0</v>
      </c>
      <c r="S267" s="75" t="e">
        <f>VLOOKUP(A267,'[2]BOM FG Files'!$A:$F,6,FALSE)</f>
        <v>#N/A</v>
      </c>
      <c r="T267" s="76" t="e">
        <f>S267-P267</f>
        <v>#N/A</v>
      </c>
      <c r="U267" s="106" t="e">
        <f>T267/S267</f>
        <v>#N/A</v>
      </c>
      <c r="V267" s="66">
        <f>(((C267*D267*E267)+(G267*H267*I267)+(K267*L267*M267))/1000000)*35.32</f>
        <v>0</v>
      </c>
      <c r="W267" s="67" t="e">
        <f>Q267/V267</f>
        <v>#DIV/0!</v>
      </c>
      <c r="X267" s="58" t="str">
        <f>VLOOKUP(A267,'[1]MTP SKUs - Master Data'!$A:$B,2,FALSE)</f>
        <v>DI</v>
      </c>
    </row>
    <row r="268" spans="1:24" ht="12.75" customHeight="1">
      <c r="A268" s="58" t="s">
        <v>284</v>
      </c>
      <c r="B268" s="3" t="s">
        <v>48</v>
      </c>
      <c r="C268" s="104">
        <v>60</v>
      </c>
      <c r="D268" s="72">
        <v>36</v>
      </c>
      <c r="E268" s="72">
        <v>10</v>
      </c>
      <c r="F268" s="135">
        <v>5850</v>
      </c>
      <c r="G268" s="72">
        <v>0</v>
      </c>
      <c r="H268" s="72">
        <v>0</v>
      </c>
      <c r="I268" s="72">
        <v>0</v>
      </c>
      <c r="J268" s="131">
        <v>0</v>
      </c>
      <c r="K268" s="72">
        <v>0</v>
      </c>
      <c r="L268" s="72">
        <v>0</v>
      </c>
      <c r="M268" s="72">
        <v>0</v>
      </c>
      <c r="N268" s="131">
        <v>0</v>
      </c>
      <c r="O268" s="112">
        <f>V268*$O$2*1000</f>
        <v>4577.4719999999998</v>
      </c>
      <c r="P268" s="73">
        <f>F268+J268+N268</f>
        <v>5850</v>
      </c>
      <c r="Q268" s="74">
        <f>P268/1000</f>
        <v>5.85</v>
      </c>
      <c r="R268" s="74">
        <f>MAX(P268,O268)</f>
        <v>5850</v>
      </c>
      <c r="S268" s="75">
        <f>VLOOKUP(A268,'[2]BOM FG Files'!$A:$F,6,FALSE)</f>
        <v>5462.1560604744172</v>
      </c>
      <c r="T268" s="76">
        <f>S268-P268</f>
        <v>-387.84393952558275</v>
      </c>
      <c r="U268" s="106">
        <f>T268/S268</f>
        <v>-7.1005649643026941E-2</v>
      </c>
      <c r="V268" s="66">
        <f>(((C268*D268*E268)+(G268*H268*I268)+(K268*L268*M268))/1000000)*35.32</f>
        <v>0.76291200000000003</v>
      </c>
      <c r="W268" s="67">
        <f>Q268/V268</f>
        <v>7.6679879199697991</v>
      </c>
      <c r="X268" s="58" t="str">
        <f>VLOOKUP(A268,'[1]MTP SKUs - Master Data'!$A:$B,2,FALSE)</f>
        <v>Y</v>
      </c>
    </row>
    <row r="269" spans="1:24" ht="12.75" customHeight="1">
      <c r="A269" s="77" t="s">
        <v>358</v>
      </c>
      <c r="B269" s="3" t="s">
        <v>296</v>
      </c>
      <c r="C269" s="104" t="s">
        <v>382</v>
      </c>
      <c r="D269" s="72" t="s">
        <v>382</v>
      </c>
      <c r="E269" s="72" t="s">
        <v>382</v>
      </c>
      <c r="F269" s="135" t="s">
        <v>382</v>
      </c>
      <c r="G269" s="72" t="s">
        <v>382</v>
      </c>
      <c r="H269" s="72" t="s">
        <v>382</v>
      </c>
      <c r="I269" s="72" t="s">
        <v>382</v>
      </c>
      <c r="J269" s="131" t="s">
        <v>382</v>
      </c>
      <c r="K269" s="72" t="s">
        <v>382</v>
      </c>
      <c r="L269" s="72" t="s">
        <v>382</v>
      </c>
      <c r="M269" s="72" t="s">
        <v>382</v>
      </c>
      <c r="N269" s="131" t="s">
        <v>382</v>
      </c>
      <c r="O269" s="112">
        <f>V269*$O$2*1000</f>
        <v>0</v>
      </c>
      <c r="P269" s="73">
        <f>F269+J269+N269</f>
        <v>0</v>
      </c>
      <c r="Q269" s="74">
        <f>P269/1000</f>
        <v>0</v>
      </c>
      <c r="R269" s="74">
        <f>MAX(P269,O269)</f>
        <v>0</v>
      </c>
      <c r="S269" s="75" t="e">
        <f>VLOOKUP(A269,'[2]BOM FG Files'!$A:$F,6,FALSE)</f>
        <v>#N/A</v>
      </c>
      <c r="T269" s="76" t="e">
        <f>S269-P269</f>
        <v>#N/A</v>
      </c>
      <c r="U269" s="106" t="e">
        <f>T269/S269</f>
        <v>#N/A</v>
      </c>
      <c r="V269" s="66">
        <f>(((C269*D269*E269)+(G269*H269*I269)+(K269*L269*M269))/1000000)*35.32</f>
        <v>0</v>
      </c>
      <c r="W269" s="67" t="e">
        <f>Q269/V269</f>
        <v>#DIV/0!</v>
      </c>
      <c r="X269" s="58" t="str">
        <f>VLOOKUP(A269,'[1]MTP SKUs - Master Data'!$A:$B,2,FALSE)</f>
        <v>DI</v>
      </c>
    </row>
    <row r="270" spans="1:24" ht="12.75" customHeight="1">
      <c r="F270" s="192"/>
    </row>
  </sheetData>
  <autoFilter ref="A1:Y269" xr:uid="{00000000-0001-0000-0000-000000000000}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5" showButton="0"/>
    <filterColumn colId="18" showButton="0"/>
    <filterColumn colId="19" showButton="0"/>
  </autoFilter>
  <mergeCells count="5">
    <mergeCell ref="C1:F1"/>
    <mergeCell ref="G1:J1"/>
    <mergeCell ref="K1:N1"/>
    <mergeCell ref="P1:Q1"/>
    <mergeCell ref="S1:U1"/>
  </mergeCells>
  <conditionalFormatting sqref="A268:A1048576 A236:A237 A256:A265 A1:A232 X1:X1048576">
    <cfRule type="duplicateValues" dxfId="105" priority="69"/>
  </conditionalFormatting>
  <conditionalFormatting sqref="W1:X1048576">
    <cfRule type="cellIs" dxfId="104" priority="21" operator="lessThan">
      <formula>6</formula>
    </cfRule>
  </conditionalFormatting>
  <conditionalFormatting sqref="A1:A248 X1:X1048576 A250:A1048576">
    <cfRule type="duplicateValues" dxfId="103" priority="197"/>
  </conditionalFormatting>
  <conditionalFormatting sqref="X233 A233">
    <cfRule type="duplicateValues" dxfId="102" priority="199"/>
    <cfRule type="duplicateValues" dxfId="101" priority="200"/>
  </conditionalFormatting>
  <conditionalFormatting sqref="X235 A235">
    <cfRule type="duplicateValues" dxfId="100" priority="203"/>
    <cfRule type="duplicateValues" dxfId="99" priority="204"/>
  </conditionalFormatting>
  <conditionalFormatting sqref="X238:X241 A238:A241">
    <cfRule type="duplicateValues" dxfId="98" priority="207"/>
    <cfRule type="duplicateValues" dxfId="97" priority="208"/>
  </conditionalFormatting>
  <conditionalFormatting sqref="X266:X267 A266:A267">
    <cfRule type="duplicateValues" dxfId="96" priority="219"/>
  </conditionalFormatting>
  <conditionalFormatting sqref="F270">
    <cfRule type="duplicateValues" dxfId="95" priority="1"/>
  </conditionalFormatting>
  <conditionalFormatting sqref="F270">
    <cfRule type="duplicateValues" dxfId="94" priority="2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0DE1-ED9E-492F-B600-F03071945CFE}">
  <dimension ref="A1:U344"/>
  <sheetViews>
    <sheetView workbookViewId="0">
      <pane ySplit="3" topLeftCell="A4" activePane="bottomLeft" state="frozen"/>
      <selection pane="bottomLeft" activeCell="Q10" sqref="Q10"/>
    </sheetView>
  </sheetViews>
  <sheetFormatPr defaultColWidth="8.85546875" defaultRowHeight="12.75" customHeight="1"/>
  <cols>
    <col min="1" max="1" width="19.7109375" style="25" bestFit="1" customWidth="1"/>
    <col min="2" max="2" width="8.5703125" style="6" bestFit="1" customWidth="1"/>
    <col min="3" max="5" width="10.140625" style="8" customWidth="1"/>
    <col min="6" max="6" width="10.140625" style="129" customWidth="1"/>
    <col min="7" max="9" width="10.140625" style="17" customWidth="1"/>
    <col min="10" max="10" width="10.140625" style="18" customWidth="1"/>
    <col min="11" max="13" width="10.140625" style="19" customWidth="1"/>
    <col min="14" max="14" width="10.140625" style="138" customWidth="1"/>
    <col min="15" max="15" width="10.85546875" style="147" bestFit="1" customWidth="1"/>
    <col min="16" max="16" width="10.140625" style="144" customWidth="1"/>
    <col min="17" max="17" width="10.140625" style="20" customWidth="1"/>
    <col min="18" max="33" width="8.85546875" style="5"/>
    <col min="34" max="35" width="9.140625" style="5" bestFit="1" customWidth="1"/>
    <col min="36" max="36" width="8.85546875" style="5"/>
    <col min="37" max="38" width="9.140625" style="5" bestFit="1" customWidth="1"/>
    <col min="39" max="16384" width="8.85546875" style="5"/>
  </cols>
  <sheetData>
    <row r="1" spans="1:21" ht="12.75" customHeight="1">
      <c r="A1" s="30" t="s">
        <v>0</v>
      </c>
      <c r="B1" s="27"/>
      <c r="C1" s="206" t="s">
        <v>1</v>
      </c>
      <c r="D1" s="206"/>
      <c r="E1" s="206"/>
      <c r="F1" s="206"/>
      <c r="G1" s="207" t="s">
        <v>2</v>
      </c>
      <c r="H1" s="207"/>
      <c r="I1" s="207"/>
      <c r="J1" s="207"/>
      <c r="K1" s="208" t="s">
        <v>3</v>
      </c>
      <c r="L1" s="208"/>
      <c r="M1" s="208"/>
      <c r="N1" s="209"/>
      <c r="O1" s="145"/>
      <c r="P1" s="210" t="s">
        <v>6</v>
      </c>
      <c r="Q1" s="211"/>
      <c r="S1" s="5" t="s">
        <v>391</v>
      </c>
      <c r="T1" s="5" t="s">
        <v>392</v>
      </c>
      <c r="U1" s="5" t="s">
        <v>393</v>
      </c>
    </row>
    <row r="2" spans="1:21">
      <c r="A2" s="51"/>
      <c r="B2" s="52"/>
      <c r="C2" s="53" t="s">
        <v>9</v>
      </c>
      <c r="D2" s="53" t="s">
        <v>10</v>
      </c>
      <c r="E2" s="53" t="s">
        <v>11</v>
      </c>
      <c r="F2" s="136" t="s">
        <v>12</v>
      </c>
      <c r="G2" s="54" t="s">
        <v>9</v>
      </c>
      <c r="H2" s="54" t="s">
        <v>10</v>
      </c>
      <c r="I2" s="54" t="s">
        <v>11</v>
      </c>
      <c r="J2" s="55" t="s">
        <v>12</v>
      </c>
      <c r="K2" s="56" t="s">
        <v>9</v>
      </c>
      <c r="L2" s="56" t="s">
        <v>10</v>
      </c>
      <c r="M2" s="56" t="s">
        <v>11</v>
      </c>
      <c r="N2" s="139" t="s">
        <v>12</v>
      </c>
      <c r="O2" s="146" t="s">
        <v>12</v>
      </c>
      <c r="P2" s="141" t="s">
        <v>12</v>
      </c>
      <c r="Q2" s="57" t="s">
        <v>394</v>
      </c>
      <c r="S2" s="5">
        <f>COUNTA('Billing Dimensions'!A:A)</f>
        <v>321</v>
      </c>
      <c r="T2" s="5">
        <f>COUNTA('Audit Dimensions'!A:A)</f>
        <v>267</v>
      </c>
      <c r="U2" s="5">
        <f>COUNTA(A:A)</f>
        <v>343</v>
      </c>
    </row>
    <row r="3" spans="1:21">
      <c r="A3" s="58" t="s">
        <v>16</v>
      </c>
      <c r="B3" s="2" t="s">
        <v>17</v>
      </c>
      <c r="C3" s="59" t="s">
        <v>18</v>
      </c>
      <c r="D3" s="59" t="s">
        <v>19</v>
      </c>
      <c r="E3" s="59" t="s">
        <v>20</v>
      </c>
      <c r="F3" s="137" t="s">
        <v>21</v>
      </c>
      <c r="G3" s="60" t="s">
        <v>18</v>
      </c>
      <c r="H3" s="60" t="s">
        <v>19</v>
      </c>
      <c r="I3" s="60" t="s">
        <v>20</v>
      </c>
      <c r="J3" s="61" t="s">
        <v>21</v>
      </c>
      <c r="K3" s="62" t="s">
        <v>18</v>
      </c>
      <c r="L3" s="62" t="s">
        <v>19</v>
      </c>
      <c r="M3" s="62" t="s">
        <v>20</v>
      </c>
      <c r="N3" s="140" t="s">
        <v>21</v>
      </c>
      <c r="O3" s="145"/>
      <c r="P3" s="142" t="s">
        <v>32</v>
      </c>
      <c r="Q3" s="64" t="s">
        <v>395</v>
      </c>
      <c r="U3" s="5" t="s">
        <v>396</v>
      </c>
    </row>
    <row r="4" spans="1:21" ht="12.4" customHeight="1">
      <c r="A4" s="58" t="str">
        <f>'Audit Dimensions'!A4</f>
        <v>SH-CHR</v>
      </c>
      <c r="B4" s="2" t="str">
        <f>VLOOKUP(A4,'Billing Dimensions'!A:B,2,FALSE)</f>
        <v>SB</v>
      </c>
      <c r="C4" s="59">
        <f>VLOOKUP(A4,'Billing Dimensions'!$A:$N,3,FALSE)-VLOOKUP(A4,'Audit Dimensions'!$A:$N,3,FALSE)</f>
        <v>-41</v>
      </c>
      <c r="D4" s="59">
        <f>VLOOKUP(A4,'Billing Dimensions'!$A:$N,4,FALSE)-VLOOKUP(A4,'Audit Dimensions'!$A:$N,4,FALSE)</f>
        <v>-14</v>
      </c>
      <c r="E4" s="59">
        <f>VLOOKUP(A4,'Billing Dimensions'!$A:$N,5,FALSE)-VLOOKUP(A4,'Audit Dimensions'!$A:$N,5,FALSE)</f>
        <v>-7</v>
      </c>
      <c r="F4" s="137">
        <f>VLOOKUP(A4,'Billing Dimensions'!$A:$N,6,FALSE)-VLOOKUP(A4,'Audit Dimensions'!$A:$N,6,FALSE)</f>
        <v>-130</v>
      </c>
      <c r="G4" s="65">
        <f>VLOOKUP(A4,'Billing Dimensions'!$A:$N,7,FALSE)-VLOOKUP(A4,'Audit Dimensions'!$A:$N,7,FALSE)</f>
        <v>0</v>
      </c>
      <c r="H4" s="65">
        <f>VLOOKUP(A4,'Billing Dimensions'!$A:$N,8,FALSE)-VLOOKUP(A4,'Audit Dimensions'!$A:$N,8,FALSE)</f>
        <v>0</v>
      </c>
      <c r="I4" s="65">
        <f>VLOOKUP(A4,'Billing Dimensions'!$A:$N,9,FALSE)-VLOOKUP(A4,'Audit Dimensions'!$A:$N,9,FALSE)</f>
        <v>0</v>
      </c>
      <c r="J4" s="61">
        <f>VLOOKUP(A4,'Billing Dimensions'!$A:$N,10,FALSE)-VLOOKUP(A4,'Audit Dimensions'!$A:$N,10,FALSE)</f>
        <v>0</v>
      </c>
      <c r="K4" s="63">
        <f>VLOOKUP(A4,'Billing Dimensions'!$A:$N,11,FALSE)-VLOOKUP(A4,'Audit Dimensions'!$A:$N,11,FALSE)</f>
        <v>0</v>
      </c>
      <c r="L4" s="63">
        <f>VLOOKUP(A4,'Billing Dimensions'!$A:$N,12,FALSE)-VLOOKUP(A4,'Audit Dimensions'!$A:$N,12,FALSE)</f>
        <v>0</v>
      </c>
      <c r="M4" s="63">
        <f>VLOOKUP(A4,'Billing Dimensions'!$A:$N,13,FALSE)-VLOOKUP(A4,'Audit Dimensions'!$A:$N,13,FALSE)</f>
        <v>0</v>
      </c>
      <c r="N4" s="140">
        <f>VLOOKUP(A4,'Billing Dimensions'!$A:$N,14,FALSE)-VLOOKUP(A4,'Audit Dimensions'!$A:$N,14,FALSE)</f>
        <v>0</v>
      </c>
      <c r="O4" s="145">
        <f>VLOOKUP('Audit VAR'!A4,'Audit Dimensions'!A:P,16,FALSE)</f>
        <v>1390</v>
      </c>
      <c r="P4" s="143">
        <f>VLOOKUP(A4,'Billing Dimensions'!A:Q,17,FALSE)-VLOOKUP('Audit VAR'!A4,'Audit Dimensions'!A:P,16,FALSE)</f>
        <v>-130</v>
      </c>
      <c r="Q4" s="148">
        <f>P4/O4</f>
        <v>-9.3525179856115109E-2</v>
      </c>
    </row>
    <row r="5" spans="1:21" ht="12.4" customHeight="1">
      <c r="A5" s="58" t="str">
        <f>'Audit Dimensions'!A5</f>
        <v>PF-NAH-RO</v>
      </c>
      <c r="B5" s="2" t="str">
        <f>VLOOKUP(A5,'Billing Dimensions'!A:B,2,FALSE)</f>
        <v>SB</v>
      </c>
      <c r="C5" s="59">
        <f>VLOOKUP(A5,'Billing Dimensions'!$A:$N,3,FALSE)-VLOOKUP(A5,'Audit Dimensions'!$A:$N,3,FALSE)</f>
        <v>-3</v>
      </c>
      <c r="D5" s="59">
        <f>VLOOKUP(A5,'Billing Dimensions'!$A:$N,4,FALSE)-VLOOKUP(A5,'Audit Dimensions'!$A:$N,4,FALSE)</f>
        <v>-3</v>
      </c>
      <c r="E5" s="59">
        <f>VLOOKUP(A5,'Billing Dimensions'!$A:$N,5,FALSE)-VLOOKUP(A5,'Audit Dimensions'!$A:$N,5,FALSE)</f>
        <v>-5</v>
      </c>
      <c r="F5" s="137">
        <f>VLOOKUP(A5,'Billing Dimensions'!$A:$N,6,FALSE)-VLOOKUP(A5,'Audit Dimensions'!$A:$N,6,FALSE)</f>
        <v>-40</v>
      </c>
      <c r="G5" s="65">
        <f>VLOOKUP(A5,'Billing Dimensions'!$A:$N,7,FALSE)-VLOOKUP(A5,'Audit Dimensions'!$A:$N,7,FALSE)</f>
        <v>0</v>
      </c>
      <c r="H5" s="65">
        <f>VLOOKUP(A5,'Billing Dimensions'!$A:$N,8,FALSE)-VLOOKUP(A5,'Audit Dimensions'!$A:$N,8,FALSE)</f>
        <v>0</v>
      </c>
      <c r="I5" s="65">
        <f>VLOOKUP(A5,'Billing Dimensions'!$A:$N,9,FALSE)-VLOOKUP(A5,'Audit Dimensions'!$A:$N,9,FALSE)</f>
        <v>0</v>
      </c>
      <c r="J5" s="61">
        <f>VLOOKUP(A5,'Billing Dimensions'!$A:$N,10,FALSE)-VLOOKUP(A5,'Audit Dimensions'!$A:$N,10,FALSE)</f>
        <v>0</v>
      </c>
      <c r="K5" s="63">
        <f>VLOOKUP(A5,'Billing Dimensions'!$A:$N,11,FALSE)-VLOOKUP(A5,'Audit Dimensions'!$A:$N,11,FALSE)</f>
        <v>0</v>
      </c>
      <c r="L5" s="63">
        <f>VLOOKUP(A5,'Billing Dimensions'!$A:$N,12,FALSE)-VLOOKUP(A5,'Audit Dimensions'!$A:$N,12,FALSE)</f>
        <v>0</v>
      </c>
      <c r="M5" s="63">
        <f>VLOOKUP(A5,'Billing Dimensions'!$A:$N,13,FALSE)-VLOOKUP(A5,'Audit Dimensions'!$A:$N,13,FALSE)</f>
        <v>0</v>
      </c>
      <c r="N5" s="140">
        <f>VLOOKUP(A5,'Billing Dimensions'!$A:$N,14,FALSE)-VLOOKUP(A5,'Audit Dimensions'!$A:$N,14,FALSE)</f>
        <v>0</v>
      </c>
      <c r="O5" s="145">
        <f>VLOOKUP('Audit VAR'!A5,'Audit Dimensions'!A:P,16,FALSE)</f>
        <v>2540</v>
      </c>
      <c r="P5" s="143">
        <f>VLOOKUP(A5,'Billing Dimensions'!A:Q,17,FALSE)-VLOOKUP('Audit VAR'!A5,'Audit Dimensions'!A:P,16,FALSE)</f>
        <v>-40</v>
      </c>
      <c r="Q5" s="148">
        <f t="shared" ref="Q5:Q67" si="0">P5/O5</f>
        <v>-1.5748031496062992E-2</v>
      </c>
    </row>
    <row r="6" spans="1:21">
      <c r="A6" s="58" t="str">
        <f>'Audit Dimensions'!A6</f>
        <v>CT-GSE-SQ2</v>
      </c>
      <c r="B6" s="2" t="str">
        <f>VLOOKUP(A6,'Billing Dimensions'!A:B,2,FALSE)</f>
        <v>SB</v>
      </c>
      <c r="C6" s="59">
        <f>VLOOKUP(A6,'Billing Dimensions'!$A:$N,3,FALSE)-VLOOKUP(A6,'Audit Dimensions'!$A:$N,3,FALSE)</f>
        <v>0</v>
      </c>
      <c r="D6" s="59">
        <f>VLOOKUP(A6,'Billing Dimensions'!$A:$N,4,FALSE)-VLOOKUP(A6,'Audit Dimensions'!$A:$N,4,FALSE)</f>
        <v>0</v>
      </c>
      <c r="E6" s="59">
        <f>VLOOKUP(A6,'Billing Dimensions'!$A:$N,5,FALSE)-VLOOKUP(A6,'Audit Dimensions'!$A:$N,5,FALSE)</f>
        <v>0</v>
      </c>
      <c r="F6" s="137">
        <f>VLOOKUP(A6,'Billing Dimensions'!$A:$N,6,FALSE)-VLOOKUP(A6,'Audit Dimensions'!$A:$N,6,FALSE)</f>
        <v>-200</v>
      </c>
      <c r="G6" s="65">
        <f>VLOOKUP(A6,'Billing Dimensions'!$A:$N,7,FALSE)-VLOOKUP(A6,'Audit Dimensions'!$A:$N,7,FALSE)</f>
        <v>0</v>
      </c>
      <c r="H6" s="65">
        <f>VLOOKUP(A6,'Billing Dimensions'!$A:$N,8,FALSE)-VLOOKUP(A6,'Audit Dimensions'!$A:$N,8,FALSE)</f>
        <v>0</v>
      </c>
      <c r="I6" s="65">
        <f>VLOOKUP(A6,'Billing Dimensions'!$A:$N,9,FALSE)-VLOOKUP(A6,'Audit Dimensions'!$A:$N,9,FALSE)</f>
        <v>0</v>
      </c>
      <c r="J6" s="61">
        <f>VLOOKUP(A6,'Billing Dimensions'!$A:$N,10,FALSE)-VLOOKUP(A6,'Audit Dimensions'!$A:$N,10,FALSE)</f>
        <v>0</v>
      </c>
      <c r="K6" s="63">
        <f>VLOOKUP(A6,'Billing Dimensions'!$A:$N,11,FALSE)-VLOOKUP(A6,'Audit Dimensions'!$A:$N,11,FALSE)</f>
        <v>0</v>
      </c>
      <c r="L6" s="63">
        <f>VLOOKUP(A6,'Billing Dimensions'!$A:$N,12,FALSE)-VLOOKUP(A6,'Audit Dimensions'!$A:$N,12,FALSE)</f>
        <v>0</v>
      </c>
      <c r="M6" s="63">
        <f>VLOOKUP(A6,'Billing Dimensions'!$A:$N,13,FALSE)-VLOOKUP(A6,'Audit Dimensions'!$A:$N,13,FALSE)</f>
        <v>0</v>
      </c>
      <c r="N6" s="140">
        <f>VLOOKUP(A6,'Billing Dimensions'!$A:$N,14,FALSE)-VLOOKUP(A6,'Audit Dimensions'!$A:$N,14,FALSE)</f>
        <v>0</v>
      </c>
      <c r="O6" s="145">
        <f>VLOOKUP('Audit VAR'!A6,'Audit Dimensions'!A:P,16,FALSE)</f>
        <v>12400</v>
      </c>
      <c r="P6" s="143">
        <f>VLOOKUP(A6,'Billing Dimensions'!A:Q,17,FALSE)-VLOOKUP('Audit VAR'!A6,'Audit Dimensions'!A:P,16,FALSE)</f>
        <v>-200</v>
      </c>
      <c r="Q6" s="148">
        <f t="shared" si="0"/>
        <v>-1.6129032258064516E-2</v>
      </c>
    </row>
    <row r="7" spans="1:21">
      <c r="A7" s="58" t="str">
        <f>'Audit Dimensions'!A7</f>
        <v>KH-LKN-6</v>
      </c>
      <c r="B7" s="2" t="str">
        <f>VLOOKUP(A7,'Billing Dimensions'!A:B,2,FALSE)</f>
        <v>SB</v>
      </c>
      <c r="C7" s="59">
        <f>VLOOKUP(A7,'Billing Dimensions'!$A:$N,3,FALSE)-VLOOKUP(A7,'Audit Dimensions'!$A:$N,3,FALSE)</f>
        <v>0</v>
      </c>
      <c r="D7" s="59">
        <f>VLOOKUP(A7,'Billing Dimensions'!$A:$N,4,FALSE)-VLOOKUP(A7,'Audit Dimensions'!$A:$N,4,FALSE)</f>
        <v>-1</v>
      </c>
      <c r="E7" s="59">
        <f>VLOOKUP(A7,'Billing Dimensions'!$A:$N,5,FALSE)-VLOOKUP(A7,'Audit Dimensions'!$A:$N,5,FALSE)</f>
        <v>0</v>
      </c>
      <c r="F7" s="137">
        <f>VLOOKUP(A7,'Billing Dimensions'!$A:$N,6,FALSE)-VLOOKUP(A7,'Audit Dimensions'!$A:$N,6,FALSE)</f>
        <v>-40</v>
      </c>
      <c r="G7" s="65">
        <f>VLOOKUP(A7,'Billing Dimensions'!$A:$N,7,FALSE)-VLOOKUP(A7,'Audit Dimensions'!$A:$N,7,FALSE)</f>
        <v>0</v>
      </c>
      <c r="H7" s="65">
        <f>VLOOKUP(A7,'Billing Dimensions'!$A:$N,8,FALSE)-VLOOKUP(A7,'Audit Dimensions'!$A:$N,8,FALSE)</f>
        <v>0</v>
      </c>
      <c r="I7" s="65">
        <f>VLOOKUP(A7,'Billing Dimensions'!$A:$N,9,FALSE)-VLOOKUP(A7,'Audit Dimensions'!$A:$N,9,FALSE)</f>
        <v>0</v>
      </c>
      <c r="J7" s="61">
        <f>VLOOKUP(A7,'Billing Dimensions'!$A:$N,10,FALSE)-VLOOKUP(A7,'Audit Dimensions'!$A:$N,10,FALSE)</f>
        <v>0</v>
      </c>
      <c r="K7" s="63">
        <f>VLOOKUP(A7,'Billing Dimensions'!$A:$N,11,FALSE)-VLOOKUP(A7,'Audit Dimensions'!$A:$N,11,FALSE)</f>
        <v>0</v>
      </c>
      <c r="L7" s="63">
        <f>VLOOKUP(A7,'Billing Dimensions'!$A:$N,12,FALSE)-VLOOKUP(A7,'Audit Dimensions'!$A:$N,12,FALSE)</f>
        <v>0</v>
      </c>
      <c r="M7" s="63">
        <f>VLOOKUP(A7,'Billing Dimensions'!$A:$N,13,FALSE)-VLOOKUP(A7,'Audit Dimensions'!$A:$N,13,FALSE)</f>
        <v>0</v>
      </c>
      <c r="N7" s="140">
        <f>VLOOKUP(A7,'Billing Dimensions'!$A:$N,14,FALSE)-VLOOKUP(A7,'Audit Dimensions'!$A:$N,14,FALSE)</f>
        <v>0</v>
      </c>
      <c r="O7" s="145">
        <f>VLOOKUP('Audit VAR'!A7,'Audit Dimensions'!A:P,16,FALSE)</f>
        <v>840</v>
      </c>
      <c r="P7" s="143">
        <f>VLOOKUP(A7,'Billing Dimensions'!A:Q,17,FALSE)-VLOOKUP('Audit VAR'!A7,'Audit Dimensions'!A:P,16,FALSE)</f>
        <v>-40</v>
      </c>
      <c r="Q7" s="148">
        <f t="shared" si="0"/>
        <v>-4.7619047619047616E-2</v>
      </c>
    </row>
    <row r="8" spans="1:21">
      <c r="A8" s="58" t="str">
        <f>'Audit Dimensions'!A8</f>
        <v>CT-MT-SQ</v>
      </c>
      <c r="B8" s="2" t="str">
        <f>VLOOKUP(A8,'Billing Dimensions'!A:B,2,FALSE)</f>
        <v>MB</v>
      </c>
      <c r="C8" s="59">
        <f>VLOOKUP(A8,'Billing Dimensions'!$A:$N,3,FALSE)-VLOOKUP(A8,'Audit Dimensions'!$A:$N,3,FALSE)</f>
        <v>-20</v>
      </c>
      <c r="D8" s="59">
        <f>VLOOKUP(A8,'Billing Dimensions'!$A:$N,4,FALSE)-VLOOKUP(A8,'Audit Dimensions'!$A:$N,4,FALSE)</f>
        <v>30</v>
      </c>
      <c r="E8" s="59">
        <f>VLOOKUP(A8,'Billing Dimensions'!$A:$N,5,FALSE)-VLOOKUP(A8,'Audit Dimensions'!$A:$N,5,FALSE)</f>
        <v>0</v>
      </c>
      <c r="F8" s="137">
        <f>VLOOKUP(A8,'Billing Dimensions'!$A:$N,6,FALSE)-VLOOKUP(A8,'Audit Dimensions'!$A:$N,6,FALSE)</f>
        <v>-2705</v>
      </c>
      <c r="G8" s="65">
        <f>VLOOKUP(A8,'Billing Dimensions'!$A:$N,7,FALSE)-VLOOKUP(A8,'Audit Dimensions'!$A:$N,7,FALSE)</f>
        <v>1</v>
      </c>
      <c r="H8" s="65">
        <f>VLOOKUP(A8,'Billing Dimensions'!$A:$N,8,FALSE)-VLOOKUP(A8,'Audit Dimensions'!$A:$N,8,FALSE)</f>
        <v>-2</v>
      </c>
      <c r="I8" s="65">
        <f>VLOOKUP(A8,'Billing Dimensions'!$A:$N,9,FALSE)-VLOOKUP(A8,'Audit Dimensions'!$A:$N,9,FALSE)</f>
        <v>0</v>
      </c>
      <c r="J8" s="61">
        <f>VLOOKUP(A8,'Billing Dimensions'!$A:$N,10,FALSE)-VLOOKUP(A8,'Audit Dimensions'!$A:$N,10,FALSE)</f>
        <v>-300</v>
      </c>
      <c r="K8" s="63">
        <f>VLOOKUP(A8,'Billing Dimensions'!$A:$N,11,FALSE)-VLOOKUP(A8,'Audit Dimensions'!$A:$N,11,FALSE)</f>
        <v>0</v>
      </c>
      <c r="L8" s="63">
        <f>VLOOKUP(A8,'Billing Dimensions'!$A:$N,12,FALSE)-VLOOKUP(A8,'Audit Dimensions'!$A:$N,12,FALSE)</f>
        <v>0</v>
      </c>
      <c r="M8" s="63">
        <f>VLOOKUP(A8,'Billing Dimensions'!$A:$N,13,FALSE)-VLOOKUP(A8,'Audit Dimensions'!$A:$N,13,FALSE)</f>
        <v>0</v>
      </c>
      <c r="N8" s="140">
        <f>VLOOKUP(A8,'Billing Dimensions'!$A:$N,14,FALSE)-VLOOKUP(A8,'Audit Dimensions'!$A:$N,14,FALSE)</f>
        <v>0</v>
      </c>
      <c r="O8" s="145">
        <f>VLOOKUP('Audit VAR'!A8,'Audit Dimensions'!A:P,16,FALSE)</f>
        <v>10400</v>
      </c>
      <c r="P8" s="143">
        <f>VLOOKUP(A8,'Billing Dimensions'!A:Q,17,FALSE)-VLOOKUP('Audit VAR'!A8,'Audit Dimensions'!A:P,16,FALSE)</f>
        <v>-3005</v>
      </c>
      <c r="Q8" s="148">
        <f t="shared" si="0"/>
        <v>-0.28894230769230766</v>
      </c>
    </row>
    <row r="9" spans="1:21">
      <c r="A9" s="58" t="str">
        <f>'Audit Dimensions'!A9</f>
        <v>PU-DRV</v>
      </c>
      <c r="B9" s="2" t="str">
        <f>VLOOKUP(A9,'Billing Dimensions'!A:B,2,FALSE)</f>
        <v>SB</v>
      </c>
      <c r="C9" s="59">
        <f>VLOOKUP(A9,'Billing Dimensions'!$A:$N,3,FALSE)-VLOOKUP(A9,'Audit Dimensions'!$A:$N,3,FALSE)</f>
        <v>0</v>
      </c>
      <c r="D9" s="59">
        <f>VLOOKUP(A9,'Billing Dimensions'!$A:$N,4,FALSE)-VLOOKUP(A9,'Audit Dimensions'!$A:$N,4,FALSE)</f>
        <v>0</v>
      </c>
      <c r="E9" s="59">
        <f>VLOOKUP(A9,'Billing Dimensions'!$A:$N,5,FALSE)-VLOOKUP(A9,'Audit Dimensions'!$A:$N,5,FALSE)</f>
        <v>0</v>
      </c>
      <c r="F9" s="137">
        <f>VLOOKUP(A9,'Billing Dimensions'!$A:$N,6,FALSE)-VLOOKUP(A9,'Audit Dimensions'!$A:$N,6,FALSE)</f>
        <v>-80</v>
      </c>
      <c r="G9" s="65">
        <f>VLOOKUP(A9,'Billing Dimensions'!$A:$N,7,FALSE)-VLOOKUP(A9,'Audit Dimensions'!$A:$N,7,FALSE)</f>
        <v>0</v>
      </c>
      <c r="H9" s="65">
        <f>VLOOKUP(A9,'Billing Dimensions'!$A:$N,8,FALSE)-VLOOKUP(A9,'Audit Dimensions'!$A:$N,8,FALSE)</f>
        <v>0</v>
      </c>
      <c r="I9" s="65">
        <f>VLOOKUP(A9,'Billing Dimensions'!$A:$N,9,FALSE)-VLOOKUP(A9,'Audit Dimensions'!$A:$N,9,FALSE)</f>
        <v>0</v>
      </c>
      <c r="J9" s="61">
        <f>VLOOKUP(A9,'Billing Dimensions'!$A:$N,10,FALSE)-VLOOKUP(A9,'Audit Dimensions'!$A:$N,10,FALSE)</f>
        <v>0</v>
      </c>
      <c r="K9" s="63">
        <f>VLOOKUP(A9,'Billing Dimensions'!$A:$N,11,FALSE)-VLOOKUP(A9,'Audit Dimensions'!$A:$N,11,FALSE)</f>
        <v>0</v>
      </c>
      <c r="L9" s="63">
        <f>VLOOKUP(A9,'Billing Dimensions'!$A:$N,12,FALSE)-VLOOKUP(A9,'Audit Dimensions'!$A:$N,12,FALSE)</f>
        <v>0</v>
      </c>
      <c r="M9" s="63">
        <f>VLOOKUP(A9,'Billing Dimensions'!$A:$N,13,FALSE)-VLOOKUP(A9,'Audit Dimensions'!$A:$N,13,FALSE)</f>
        <v>0</v>
      </c>
      <c r="N9" s="140">
        <f>VLOOKUP(A9,'Billing Dimensions'!$A:$N,14,FALSE)-VLOOKUP(A9,'Audit Dimensions'!$A:$N,14,FALSE)</f>
        <v>0</v>
      </c>
      <c r="O9" s="145">
        <f>VLOOKUP('Audit VAR'!A9,'Audit Dimensions'!A:P,16,FALSE)</f>
        <v>4930</v>
      </c>
      <c r="P9" s="143">
        <f>VLOOKUP(A9,'Billing Dimensions'!A:Q,17,FALSE)-VLOOKUP('Audit VAR'!A9,'Audit Dimensions'!A:P,16,FALSE)</f>
        <v>-80</v>
      </c>
      <c r="Q9" s="148">
        <f t="shared" si="0"/>
        <v>-1.6227180527383367E-2</v>
      </c>
    </row>
    <row r="10" spans="1:21">
      <c r="A10" s="58" t="str">
        <f>'Audit Dimensions'!A10</f>
        <v>TS-NLM</v>
      </c>
      <c r="B10" s="2" t="str">
        <f>VLOOKUP(A10,'Billing Dimensions'!A:B,2,FALSE)</f>
        <v>SB</v>
      </c>
      <c r="C10" s="59">
        <f>VLOOKUP(A10,'Billing Dimensions'!$A:$N,3,FALSE)-VLOOKUP(A10,'Audit Dimensions'!$A:$N,3,FALSE)</f>
        <v>0</v>
      </c>
      <c r="D10" s="59">
        <f>VLOOKUP(A10,'Billing Dimensions'!$A:$N,4,FALSE)-VLOOKUP(A10,'Audit Dimensions'!$A:$N,4,FALSE)</f>
        <v>0</v>
      </c>
      <c r="E10" s="59">
        <f>VLOOKUP(A10,'Billing Dimensions'!$A:$N,5,FALSE)-VLOOKUP(A10,'Audit Dimensions'!$A:$N,5,FALSE)</f>
        <v>0</v>
      </c>
      <c r="F10" s="137">
        <f>VLOOKUP(A10,'Billing Dimensions'!$A:$N,6,FALSE)-VLOOKUP(A10,'Audit Dimensions'!$A:$N,6,FALSE)</f>
        <v>0</v>
      </c>
      <c r="G10" s="65">
        <f>VLOOKUP(A10,'Billing Dimensions'!$A:$N,7,FALSE)-VLOOKUP(A10,'Audit Dimensions'!$A:$N,7,FALSE)</f>
        <v>0</v>
      </c>
      <c r="H10" s="65">
        <f>VLOOKUP(A10,'Billing Dimensions'!$A:$N,8,FALSE)-VLOOKUP(A10,'Audit Dimensions'!$A:$N,8,FALSE)</f>
        <v>0</v>
      </c>
      <c r="I10" s="65">
        <f>VLOOKUP(A10,'Billing Dimensions'!$A:$N,9,FALSE)-VLOOKUP(A10,'Audit Dimensions'!$A:$N,9,FALSE)</f>
        <v>0</v>
      </c>
      <c r="J10" s="61">
        <f>VLOOKUP(A10,'Billing Dimensions'!$A:$N,10,FALSE)-VLOOKUP(A10,'Audit Dimensions'!$A:$N,10,FALSE)</f>
        <v>0</v>
      </c>
      <c r="K10" s="63">
        <f>VLOOKUP(A10,'Billing Dimensions'!$A:$N,11,FALSE)-VLOOKUP(A10,'Audit Dimensions'!$A:$N,11,FALSE)</f>
        <v>0</v>
      </c>
      <c r="L10" s="63">
        <f>VLOOKUP(A10,'Billing Dimensions'!$A:$N,12,FALSE)-VLOOKUP(A10,'Audit Dimensions'!$A:$N,12,FALSE)</f>
        <v>0</v>
      </c>
      <c r="M10" s="63">
        <f>VLOOKUP(A10,'Billing Dimensions'!$A:$N,13,FALSE)-VLOOKUP(A10,'Audit Dimensions'!$A:$N,13,FALSE)</f>
        <v>0</v>
      </c>
      <c r="N10" s="140">
        <f>VLOOKUP(A10,'Billing Dimensions'!$A:$N,14,FALSE)-VLOOKUP(A10,'Audit Dimensions'!$A:$N,14,FALSE)</f>
        <v>0</v>
      </c>
      <c r="O10" s="145">
        <f>VLOOKUP('Audit VAR'!A10,'Audit Dimensions'!A:P,16,FALSE)</f>
        <v>1550</v>
      </c>
      <c r="P10" s="143">
        <f>VLOOKUP(A10,'Billing Dimensions'!A:Q,17,FALSE)-VLOOKUP('Audit VAR'!A10,'Audit Dimensions'!A:P,16,FALSE)</f>
        <v>0</v>
      </c>
      <c r="Q10" s="148">
        <f t="shared" si="0"/>
        <v>0</v>
      </c>
    </row>
    <row r="11" spans="1:21" ht="12.4" customHeight="1">
      <c r="A11" s="58" t="str">
        <f>'Audit Dimensions'!A11</f>
        <v>TU-LMI</v>
      </c>
      <c r="B11" s="2" t="str">
        <f>VLOOKUP(A11,'Billing Dimensions'!A:B,2,FALSE)</f>
        <v>SB</v>
      </c>
      <c r="C11" s="59">
        <f>VLOOKUP(A11,'Billing Dimensions'!$A:$N,3,FALSE)-VLOOKUP(A11,'Audit Dimensions'!$A:$N,3,FALSE)</f>
        <v>0</v>
      </c>
      <c r="D11" s="59">
        <f>VLOOKUP(A11,'Billing Dimensions'!$A:$N,4,FALSE)-VLOOKUP(A11,'Audit Dimensions'!$A:$N,4,FALSE)</f>
        <v>0</v>
      </c>
      <c r="E11" s="59">
        <f>VLOOKUP(A11,'Billing Dimensions'!$A:$N,5,FALSE)-VLOOKUP(A11,'Audit Dimensions'!$A:$N,5,FALSE)</f>
        <v>0</v>
      </c>
      <c r="F11" s="137">
        <f>VLOOKUP(A11,'Billing Dimensions'!$A:$N,6,FALSE)-VLOOKUP(A11,'Audit Dimensions'!$A:$N,6,FALSE)</f>
        <v>-1700</v>
      </c>
      <c r="G11" s="65">
        <f>VLOOKUP(A11,'Billing Dimensions'!$A:$N,7,FALSE)-VLOOKUP(A11,'Audit Dimensions'!$A:$N,7,FALSE)</f>
        <v>0</v>
      </c>
      <c r="H11" s="65">
        <f>VLOOKUP(A11,'Billing Dimensions'!$A:$N,8,FALSE)-VLOOKUP(A11,'Audit Dimensions'!$A:$N,8,FALSE)</f>
        <v>0</v>
      </c>
      <c r="I11" s="65">
        <f>VLOOKUP(A11,'Billing Dimensions'!$A:$N,9,FALSE)-VLOOKUP(A11,'Audit Dimensions'!$A:$N,9,FALSE)</f>
        <v>0</v>
      </c>
      <c r="J11" s="61">
        <f>VLOOKUP(A11,'Billing Dimensions'!$A:$N,10,FALSE)-VLOOKUP(A11,'Audit Dimensions'!$A:$N,10,FALSE)</f>
        <v>0</v>
      </c>
      <c r="K11" s="63">
        <f>VLOOKUP(A11,'Billing Dimensions'!$A:$N,11,FALSE)-VLOOKUP(A11,'Audit Dimensions'!$A:$N,11,FALSE)</f>
        <v>0</v>
      </c>
      <c r="L11" s="63">
        <f>VLOOKUP(A11,'Billing Dimensions'!$A:$N,12,FALSE)-VLOOKUP(A11,'Audit Dimensions'!$A:$N,12,FALSE)</f>
        <v>0</v>
      </c>
      <c r="M11" s="63">
        <f>VLOOKUP(A11,'Billing Dimensions'!$A:$N,13,FALSE)-VLOOKUP(A11,'Audit Dimensions'!$A:$N,13,FALSE)</f>
        <v>0</v>
      </c>
      <c r="N11" s="140">
        <f>VLOOKUP(A11,'Billing Dimensions'!$A:$N,14,FALSE)-VLOOKUP(A11,'Audit Dimensions'!$A:$N,14,FALSE)</f>
        <v>0</v>
      </c>
      <c r="O11" s="145">
        <f>VLOOKUP('Audit VAR'!A11,'Audit Dimensions'!A:P,16,FALSE)</f>
        <v>35200</v>
      </c>
      <c r="P11" s="143">
        <f>VLOOKUP(A11,'Billing Dimensions'!A:Q,17,FALSE)-VLOOKUP('Audit VAR'!A11,'Audit Dimensions'!A:P,16,FALSE)</f>
        <v>-1700</v>
      </c>
      <c r="Q11" s="148">
        <f t="shared" si="0"/>
        <v>-4.8295454545454544E-2</v>
      </c>
    </row>
    <row r="12" spans="1:21" ht="12.4" customHeight="1">
      <c r="A12" s="58" t="str">
        <f>'Audit Dimensions'!A12</f>
        <v>SH-YBO</v>
      </c>
      <c r="B12" s="2" t="str">
        <f>VLOOKUP(A12,'Billing Dimensions'!A:B,2,FALSE)</f>
        <v>SB</v>
      </c>
      <c r="C12" s="59">
        <f>VLOOKUP(A12,'Billing Dimensions'!$A:$N,3,FALSE)-VLOOKUP(A12,'Audit Dimensions'!$A:$N,3,FALSE)</f>
        <v>0</v>
      </c>
      <c r="D12" s="59">
        <f>VLOOKUP(A12,'Billing Dimensions'!$A:$N,4,FALSE)-VLOOKUP(A12,'Audit Dimensions'!$A:$N,4,FALSE)</f>
        <v>0</v>
      </c>
      <c r="E12" s="59">
        <f>VLOOKUP(A12,'Billing Dimensions'!$A:$N,5,FALSE)-VLOOKUP(A12,'Audit Dimensions'!$A:$N,5,FALSE)</f>
        <v>0</v>
      </c>
      <c r="F12" s="137">
        <f>VLOOKUP(A12,'Billing Dimensions'!$A:$N,6,FALSE)-VLOOKUP(A12,'Audit Dimensions'!$A:$N,6,FALSE)</f>
        <v>-400</v>
      </c>
      <c r="G12" s="65">
        <f>VLOOKUP(A12,'Billing Dimensions'!$A:$N,7,FALSE)-VLOOKUP(A12,'Audit Dimensions'!$A:$N,7,FALSE)</f>
        <v>0</v>
      </c>
      <c r="H12" s="65">
        <f>VLOOKUP(A12,'Billing Dimensions'!$A:$N,8,FALSE)-VLOOKUP(A12,'Audit Dimensions'!$A:$N,8,FALSE)</f>
        <v>0</v>
      </c>
      <c r="I12" s="65">
        <f>VLOOKUP(A12,'Billing Dimensions'!$A:$N,9,FALSE)-VLOOKUP(A12,'Audit Dimensions'!$A:$N,9,FALSE)</f>
        <v>0</v>
      </c>
      <c r="J12" s="61">
        <f>VLOOKUP(A12,'Billing Dimensions'!$A:$N,10,FALSE)-VLOOKUP(A12,'Audit Dimensions'!$A:$N,10,FALSE)</f>
        <v>0</v>
      </c>
      <c r="K12" s="63">
        <f>VLOOKUP(A12,'Billing Dimensions'!$A:$N,11,FALSE)-VLOOKUP(A12,'Audit Dimensions'!$A:$N,11,FALSE)</f>
        <v>0</v>
      </c>
      <c r="L12" s="63">
        <f>VLOOKUP(A12,'Billing Dimensions'!$A:$N,12,FALSE)-VLOOKUP(A12,'Audit Dimensions'!$A:$N,12,FALSE)</f>
        <v>0</v>
      </c>
      <c r="M12" s="63">
        <f>VLOOKUP(A12,'Billing Dimensions'!$A:$N,13,FALSE)-VLOOKUP(A12,'Audit Dimensions'!$A:$N,13,FALSE)</f>
        <v>0</v>
      </c>
      <c r="N12" s="140">
        <f>VLOOKUP(A12,'Billing Dimensions'!$A:$N,14,FALSE)-VLOOKUP(A12,'Audit Dimensions'!$A:$N,14,FALSE)</f>
        <v>0</v>
      </c>
      <c r="O12" s="145">
        <f>VLOOKUP('Audit VAR'!A12,'Audit Dimensions'!A:P,16,FALSE)</f>
        <v>2300</v>
      </c>
      <c r="P12" s="143">
        <f>VLOOKUP(A12,'Billing Dimensions'!A:Q,17,FALSE)-VLOOKUP('Audit VAR'!A12,'Audit Dimensions'!A:P,16,FALSE)</f>
        <v>-400</v>
      </c>
      <c r="Q12" s="148">
        <f t="shared" si="0"/>
        <v>-0.17391304347826086</v>
      </c>
    </row>
    <row r="13" spans="1:21">
      <c r="A13" s="58" t="str">
        <f>'Audit Dimensions'!A13</f>
        <v>SL-VE-P</v>
      </c>
      <c r="B13" s="2" t="str">
        <f>VLOOKUP(A13,'Billing Dimensions'!A:B,2,FALSE)</f>
        <v>SB</v>
      </c>
      <c r="C13" s="59">
        <f>VLOOKUP(A13,'Billing Dimensions'!$A:$N,3,FALSE)-VLOOKUP(A13,'Audit Dimensions'!$A:$N,3,FALSE)</f>
        <v>14</v>
      </c>
      <c r="D13" s="59">
        <f>VLOOKUP(A13,'Billing Dimensions'!$A:$N,4,FALSE)-VLOOKUP(A13,'Audit Dimensions'!$A:$N,4,FALSE)</f>
        <v>-1</v>
      </c>
      <c r="E13" s="59">
        <f>VLOOKUP(A13,'Billing Dimensions'!$A:$N,5,FALSE)-VLOOKUP(A13,'Audit Dimensions'!$A:$N,5,FALSE)</f>
        <v>2</v>
      </c>
      <c r="F13" s="137">
        <f>VLOOKUP(A13,'Billing Dimensions'!$A:$N,6,FALSE)-VLOOKUP(A13,'Audit Dimensions'!$A:$N,6,FALSE)</f>
        <v>390</v>
      </c>
      <c r="G13" s="65">
        <f>VLOOKUP(A13,'Billing Dimensions'!$A:$N,7,FALSE)-VLOOKUP(A13,'Audit Dimensions'!$A:$N,7,FALSE)</f>
        <v>0</v>
      </c>
      <c r="H13" s="65">
        <f>VLOOKUP(A13,'Billing Dimensions'!$A:$N,8,FALSE)-VLOOKUP(A13,'Audit Dimensions'!$A:$N,8,FALSE)</f>
        <v>0</v>
      </c>
      <c r="I13" s="65">
        <f>VLOOKUP(A13,'Billing Dimensions'!$A:$N,9,FALSE)-VLOOKUP(A13,'Audit Dimensions'!$A:$N,9,FALSE)</f>
        <v>0</v>
      </c>
      <c r="J13" s="61">
        <f>VLOOKUP(A13,'Billing Dimensions'!$A:$N,10,FALSE)-VLOOKUP(A13,'Audit Dimensions'!$A:$N,10,FALSE)</f>
        <v>0</v>
      </c>
      <c r="K13" s="63">
        <f>VLOOKUP(A13,'Billing Dimensions'!$A:$N,11,FALSE)-VLOOKUP(A13,'Audit Dimensions'!$A:$N,11,FALSE)</f>
        <v>0</v>
      </c>
      <c r="L13" s="63">
        <f>VLOOKUP(A13,'Billing Dimensions'!$A:$N,12,FALSE)-VLOOKUP(A13,'Audit Dimensions'!$A:$N,12,FALSE)</f>
        <v>0</v>
      </c>
      <c r="M13" s="63">
        <f>VLOOKUP(A13,'Billing Dimensions'!$A:$N,13,FALSE)-VLOOKUP(A13,'Audit Dimensions'!$A:$N,13,FALSE)</f>
        <v>0</v>
      </c>
      <c r="N13" s="140">
        <f>VLOOKUP(A13,'Billing Dimensions'!$A:$N,14,FALSE)-VLOOKUP(A13,'Audit Dimensions'!$A:$N,14,FALSE)</f>
        <v>0</v>
      </c>
      <c r="O13" s="145">
        <f>VLOOKUP('Audit VAR'!A13,'Audit Dimensions'!A:P,16,FALSE)</f>
        <v>1500</v>
      </c>
      <c r="P13" s="143">
        <f>VLOOKUP(A13,'Billing Dimensions'!A:Q,17,FALSE)-VLOOKUP('Audit VAR'!A13,'Audit Dimensions'!A:P,16,FALSE)</f>
        <v>390</v>
      </c>
      <c r="Q13" s="148">
        <f t="shared" si="0"/>
        <v>0.26</v>
      </c>
    </row>
    <row r="14" spans="1:21">
      <c r="A14" s="58" t="str">
        <f>'Audit Dimensions'!A14</f>
        <v>KH-SUT-5</v>
      </c>
      <c r="B14" s="2" t="str">
        <f>VLOOKUP(A14,'Billing Dimensions'!A:B,2,FALSE)</f>
        <v>SB</v>
      </c>
      <c r="C14" s="59">
        <f>VLOOKUP(A14,'Billing Dimensions'!$A:$N,3,FALSE)-VLOOKUP(A14,'Audit Dimensions'!$A:$N,3,FALSE)</f>
        <v>-2</v>
      </c>
      <c r="D14" s="59">
        <f>VLOOKUP(A14,'Billing Dimensions'!$A:$N,4,FALSE)-VLOOKUP(A14,'Audit Dimensions'!$A:$N,4,FALSE)</f>
        <v>-1</v>
      </c>
      <c r="E14" s="59">
        <f>VLOOKUP(A14,'Billing Dimensions'!$A:$N,5,FALSE)-VLOOKUP(A14,'Audit Dimensions'!$A:$N,5,FALSE)</f>
        <v>-1</v>
      </c>
      <c r="F14" s="137">
        <f>VLOOKUP(A14,'Billing Dimensions'!$A:$N,6,FALSE)-VLOOKUP(A14,'Audit Dimensions'!$A:$N,6,FALSE)</f>
        <v>0</v>
      </c>
      <c r="G14" s="65">
        <f>VLOOKUP(A14,'Billing Dimensions'!$A:$N,7,FALSE)-VLOOKUP(A14,'Audit Dimensions'!$A:$N,7,FALSE)</f>
        <v>0</v>
      </c>
      <c r="H14" s="65">
        <f>VLOOKUP(A14,'Billing Dimensions'!$A:$N,8,FALSE)-VLOOKUP(A14,'Audit Dimensions'!$A:$N,8,FALSE)</f>
        <v>0</v>
      </c>
      <c r="I14" s="65">
        <f>VLOOKUP(A14,'Billing Dimensions'!$A:$N,9,FALSE)-VLOOKUP(A14,'Audit Dimensions'!$A:$N,9,FALSE)</f>
        <v>0</v>
      </c>
      <c r="J14" s="61">
        <f>VLOOKUP(A14,'Billing Dimensions'!$A:$N,10,FALSE)-VLOOKUP(A14,'Audit Dimensions'!$A:$N,10,FALSE)</f>
        <v>0</v>
      </c>
      <c r="K14" s="63">
        <f>VLOOKUP(A14,'Billing Dimensions'!$A:$N,11,FALSE)-VLOOKUP(A14,'Audit Dimensions'!$A:$N,11,FALSE)</f>
        <v>0</v>
      </c>
      <c r="L14" s="63">
        <f>VLOOKUP(A14,'Billing Dimensions'!$A:$N,12,FALSE)-VLOOKUP(A14,'Audit Dimensions'!$A:$N,12,FALSE)</f>
        <v>0</v>
      </c>
      <c r="M14" s="63">
        <f>VLOOKUP(A14,'Billing Dimensions'!$A:$N,13,FALSE)-VLOOKUP(A14,'Audit Dimensions'!$A:$N,13,FALSE)</f>
        <v>0</v>
      </c>
      <c r="N14" s="140">
        <f>VLOOKUP(A14,'Billing Dimensions'!$A:$N,14,FALSE)-VLOOKUP(A14,'Audit Dimensions'!$A:$N,14,FALSE)</f>
        <v>0</v>
      </c>
      <c r="O14" s="145">
        <f>VLOOKUP('Audit VAR'!A14,'Audit Dimensions'!A:P,16,FALSE)</f>
        <v>202</v>
      </c>
      <c r="P14" s="143">
        <f>VLOOKUP(A14,'Billing Dimensions'!A:Q,17,FALSE)-VLOOKUP('Audit VAR'!A14,'Audit Dimensions'!A:P,16,FALSE)</f>
        <v>0</v>
      </c>
      <c r="Q14" s="148">
        <f t="shared" si="0"/>
        <v>0</v>
      </c>
    </row>
    <row r="15" spans="1:21">
      <c r="A15" s="58" t="str">
        <f>'Audit Dimensions'!A15</f>
        <v>BT-NHE</v>
      </c>
      <c r="B15" s="2" t="str">
        <f>VLOOKUP(A15,'Billing Dimensions'!A:B,2,FALSE)</f>
        <v>SB</v>
      </c>
      <c r="C15" s="59">
        <f>VLOOKUP(A15,'Billing Dimensions'!$A:$N,3,FALSE)-VLOOKUP(A15,'Audit Dimensions'!$A:$N,3,FALSE)</f>
        <v>0</v>
      </c>
      <c r="D15" s="59">
        <f>VLOOKUP(A15,'Billing Dimensions'!$A:$N,4,FALSE)-VLOOKUP(A15,'Audit Dimensions'!$A:$N,4,FALSE)</f>
        <v>0</v>
      </c>
      <c r="E15" s="59">
        <f>VLOOKUP(A15,'Billing Dimensions'!$A:$N,5,FALSE)-VLOOKUP(A15,'Audit Dimensions'!$A:$N,5,FALSE)</f>
        <v>0</v>
      </c>
      <c r="F15" s="137">
        <f>VLOOKUP(A15,'Billing Dimensions'!$A:$N,6,FALSE)-VLOOKUP(A15,'Audit Dimensions'!$A:$N,6,FALSE)</f>
        <v>-210</v>
      </c>
      <c r="G15" s="65">
        <f>VLOOKUP(A15,'Billing Dimensions'!$A:$N,7,FALSE)-VLOOKUP(A15,'Audit Dimensions'!$A:$N,7,FALSE)</f>
        <v>0</v>
      </c>
      <c r="H15" s="65">
        <f>VLOOKUP(A15,'Billing Dimensions'!$A:$N,8,FALSE)-VLOOKUP(A15,'Audit Dimensions'!$A:$N,8,FALSE)</f>
        <v>0</v>
      </c>
      <c r="I15" s="65">
        <f>VLOOKUP(A15,'Billing Dimensions'!$A:$N,9,FALSE)-VLOOKUP(A15,'Audit Dimensions'!$A:$N,9,FALSE)</f>
        <v>0</v>
      </c>
      <c r="J15" s="61">
        <f>VLOOKUP(A15,'Billing Dimensions'!$A:$N,10,FALSE)-VLOOKUP(A15,'Audit Dimensions'!$A:$N,10,FALSE)</f>
        <v>0</v>
      </c>
      <c r="K15" s="63">
        <f>VLOOKUP(A15,'Billing Dimensions'!$A:$N,11,FALSE)-VLOOKUP(A15,'Audit Dimensions'!$A:$N,11,FALSE)</f>
        <v>0</v>
      </c>
      <c r="L15" s="63">
        <f>VLOOKUP(A15,'Billing Dimensions'!$A:$N,12,FALSE)-VLOOKUP(A15,'Audit Dimensions'!$A:$N,12,FALSE)</f>
        <v>0</v>
      </c>
      <c r="M15" s="63">
        <f>VLOOKUP(A15,'Billing Dimensions'!$A:$N,13,FALSE)-VLOOKUP(A15,'Audit Dimensions'!$A:$N,13,FALSE)</f>
        <v>0</v>
      </c>
      <c r="N15" s="140">
        <f>VLOOKUP(A15,'Billing Dimensions'!$A:$N,14,FALSE)-VLOOKUP(A15,'Audit Dimensions'!$A:$N,14,FALSE)</f>
        <v>0</v>
      </c>
      <c r="O15" s="145">
        <f>VLOOKUP('Audit VAR'!A15,'Audit Dimensions'!A:P,16,FALSE)</f>
        <v>5010</v>
      </c>
      <c r="P15" s="143">
        <f>VLOOKUP(A15,'Billing Dimensions'!A:Q,17,FALSE)-VLOOKUP('Audit VAR'!A15,'Audit Dimensions'!A:P,16,FALSE)</f>
        <v>-210</v>
      </c>
      <c r="Q15" s="148">
        <f t="shared" si="0"/>
        <v>-4.1916167664670656E-2</v>
      </c>
    </row>
    <row r="16" spans="1:21">
      <c r="A16" s="58" t="str">
        <f>'Audit Dimensions'!A16</f>
        <v>WA-PYS-S</v>
      </c>
      <c r="B16" s="2" t="str">
        <f>VLOOKUP(A16,'Billing Dimensions'!A:B,2,FALSE)</f>
        <v>SB</v>
      </c>
      <c r="C16" s="59">
        <f>VLOOKUP(A16,'Billing Dimensions'!$A:$N,3,FALSE)-VLOOKUP(A16,'Audit Dimensions'!$A:$N,3,FALSE)</f>
        <v>0</v>
      </c>
      <c r="D16" s="59">
        <f>VLOOKUP(A16,'Billing Dimensions'!$A:$N,4,FALSE)-VLOOKUP(A16,'Audit Dimensions'!$A:$N,4,FALSE)</f>
        <v>-1</v>
      </c>
      <c r="E16" s="59">
        <f>VLOOKUP(A16,'Billing Dimensions'!$A:$N,5,FALSE)-VLOOKUP(A16,'Audit Dimensions'!$A:$N,5,FALSE)</f>
        <v>0</v>
      </c>
      <c r="F16" s="137">
        <f>VLOOKUP(A16,'Billing Dimensions'!$A:$N,6,FALSE)-VLOOKUP(A16,'Audit Dimensions'!$A:$N,6,FALSE)</f>
        <v>-90</v>
      </c>
      <c r="G16" s="65">
        <f>VLOOKUP(A16,'Billing Dimensions'!$A:$N,7,FALSE)-VLOOKUP(A16,'Audit Dimensions'!$A:$N,7,FALSE)</f>
        <v>0</v>
      </c>
      <c r="H16" s="65">
        <f>VLOOKUP(A16,'Billing Dimensions'!$A:$N,8,FALSE)-VLOOKUP(A16,'Audit Dimensions'!$A:$N,8,FALSE)</f>
        <v>0</v>
      </c>
      <c r="I16" s="65">
        <f>VLOOKUP(A16,'Billing Dimensions'!$A:$N,9,FALSE)-VLOOKUP(A16,'Audit Dimensions'!$A:$N,9,FALSE)</f>
        <v>0</v>
      </c>
      <c r="J16" s="61">
        <f>VLOOKUP(A16,'Billing Dimensions'!$A:$N,10,FALSE)-VLOOKUP(A16,'Audit Dimensions'!$A:$N,10,FALSE)</f>
        <v>0</v>
      </c>
      <c r="K16" s="63">
        <f>VLOOKUP(A16,'Billing Dimensions'!$A:$N,11,FALSE)-VLOOKUP(A16,'Audit Dimensions'!$A:$N,11,FALSE)</f>
        <v>0</v>
      </c>
      <c r="L16" s="63">
        <f>VLOOKUP(A16,'Billing Dimensions'!$A:$N,12,FALSE)-VLOOKUP(A16,'Audit Dimensions'!$A:$N,12,FALSE)</f>
        <v>0</v>
      </c>
      <c r="M16" s="63">
        <f>VLOOKUP(A16,'Billing Dimensions'!$A:$N,13,FALSE)-VLOOKUP(A16,'Audit Dimensions'!$A:$N,13,FALSE)</f>
        <v>0</v>
      </c>
      <c r="N16" s="140">
        <f>VLOOKUP(A16,'Billing Dimensions'!$A:$N,14,FALSE)-VLOOKUP(A16,'Audit Dimensions'!$A:$N,14,FALSE)</f>
        <v>0</v>
      </c>
      <c r="O16" s="145">
        <f>VLOOKUP('Audit VAR'!A16,'Audit Dimensions'!A:P,16,FALSE)</f>
        <v>1940</v>
      </c>
      <c r="P16" s="143">
        <f>VLOOKUP(A16,'Billing Dimensions'!A:Q,17,FALSE)-VLOOKUP('Audit VAR'!A16,'Audit Dimensions'!A:P,16,FALSE)</f>
        <v>-90</v>
      </c>
      <c r="Q16" s="148">
        <f t="shared" si="0"/>
        <v>-4.6391752577319589E-2</v>
      </c>
    </row>
    <row r="17" spans="1:17">
      <c r="A17" s="58" t="str">
        <f>'Audit Dimensions'!A17</f>
        <v>KH-SW-W10</v>
      </c>
      <c r="B17" s="2"/>
      <c r="C17" s="59">
        <f>VLOOKUP(A17,'Billing Dimensions'!$A:$N,3,FALSE)-VLOOKUP(A17,'Audit Dimensions'!$A:$N,3,FALSE)</f>
        <v>0</v>
      </c>
      <c r="D17" s="59">
        <f>VLOOKUP(A17,'Billing Dimensions'!$A:$N,4,FALSE)-VLOOKUP(A17,'Audit Dimensions'!$A:$N,4,FALSE)</f>
        <v>0</v>
      </c>
      <c r="E17" s="59">
        <f>VLOOKUP(A17,'Billing Dimensions'!$A:$N,5,FALSE)-VLOOKUP(A17,'Audit Dimensions'!$A:$N,5,FALSE)</f>
        <v>0</v>
      </c>
      <c r="F17" s="137">
        <f>VLOOKUP(A17,'Billing Dimensions'!$A:$N,6,FALSE)-VLOOKUP(A17,'Audit Dimensions'!$A:$N,6,FALSE)</f>
        <v>0</v>
      </c>
      <c r="G17" s="65">
        <f>VLOOKUP(A17,'Billing Dimensions'!$A:$N,7,FALSE)-VLOOKUP(A17,'Audit Dimensions'!$A:$N,7,FALSE)</f>
        <v>0</v>
      </c>
      <c r="H17" s="65">
        <f>VLOOKUP(A17,'Billing Dimensions'!$A:$N,8,FALSE)-VLOOKUP(A17,'Audit Dimensions'!$A:$N,8,FALSE)</f>
        <v>0</v>
      </c>
      <c r="I17" s="65">
        <f>VLOOKUP(A17,'Billing Dimensions'!$A:$N,9,FALSE)-VLOOKUP(A17,'Audit Dimensions'!$A:$N,9,FALSE)</f>
        <v>0</v>
      </c>
      <c r="J17" s="61">
        <f>VLOOKUP(A17,'Billing Dimensions'!$A:$N,10,FALSE)-VLOOKUP(A17,'Audit Dimensions'!$A:$N,10,FALSE)</f>
        <v>0</v>
      </c>
      <c r="K17" s="63">
        <f>VLOOKUP(A17,'Billing Dimensions'!$A:$N,11,FALSE)-VLOOKUP(A17,'Audit Dimensions'!$A:$N,11,FALSE)</f>
        <v>0</v>
      </c>
      <c r="L17" s="63">
        <f>VLOOKUP(A17,'Billing Dimensions'!$A:$N,12,FALSE)-VLOOKUP(A17,'Audit Dimensions'!$A:$N,12,FALSE)</f>
        <v>0</v>
      </c>
      <c r="M17" s="63">
        <f>VLOOKUP(A17,'Billing Dimensions'!$A:$N,13,FALSE)-VLOOKUP(A17,'Audit Dimensions'!$A:$N,13,FALSE)</f>
        <v>0</v>
      </c>
      <c r="N17" s="140">
        <f>VLOOKUP(A17,'Billing Dimensions'!$A:$N,14,FALSE)-VLOOKUP(A17,'Audit Dimensions'!$A:$N,14,FALSE)</f>
        <v>0</v>
      </c>
      <c r="O17" s="145">
        <f>VLOOKUP('Audit VAR'!A17,'Audit Dimensions'!A:P,16,FALSE)</f>
        <v>660</v>
      </c>
      <c r="P17" s="143">
        <f>VLOOKUP(A17,'Billing Dimensions'!A:Q,17,FALSE)-VLOOKUP('Audit VAR'!A17,'Audit Dimensions'!A:P,16,FALSE)</f>
        <v>0</v>
      </c>
      <c r="Q17" s="148">
        <f t="shared" si="0"/>
        <v>0</v>
      </c>
    </row>
    <row r="18" spans="1:17">
      <c r="A18" s="58" t="str">
        <f>'Audit Dimensions'!A18</f>
        <v>RH-OT</v>
      </c>
      <c r="B18" s="2" t="str">
        <f>VLOOKUP(A18,'Billing Dimensions'!A:B,2,FALSE)</f>
        <v>SB</v>
      </c>
      <c r="C18" s="59">
        <f>VLOOKUP(A18,'Billing Dimensions'!$A:$N,3,FALSE)-VLOOKUP(A18,'Audit Dimensions'!$A:$N,3,FALSE)</f>
        <v>0</v>
      </c>
      <c r="D18" s="59">
        <f>VLOOKUP(A18,'Billing Dimensions'!$A:$N,4,FALSE)-VLOOKUP(A18,'Audit Dimensions'!$A:$N,4,FALSE)</f>
        <v>-2</v>
      </c>
      <c r="E18" s="59">
        <f>VLOOKUP(A18,'Billing Dimensions'!$A:$N,5,FALSE)-VLOOKUP(A18,'Audit Dimensions'!$A:$N,5,FALSE)</f>
        <v>-2</v>
      </c>
      <c r="F18" s="137">
        <f>VLOOKUP(A18,'Billing Dimensions'!$A:$N,6,FALSE)-VLOOKUP(A18,'Audit Dimensions'!$A:$N,6,FALSE)</f>
        <v>-80</v>
      </c>
      <c r="G18" s="65">
        <f>VLOOKUP(A18,'Billing Dimensions'!$A:$N,7,FALSE)-VLOOKUP(A18,'Audit Dimensions'!$A:$N,7,FALSE)</f>
        <v>0</v>
      </c>
      <c r="H18" s="65">
        <f>VLOOKUP(A18,'Billing Dimensions'!$A:$N,8,FALSE)-VLOOKUP(A18,'Audit Dimensions'!$A:$N,8,FALSE)</f>
        <v>0</v>
      </c>
      <c r="I18" s="65">
        <f>VLOOKUP(A18,'Billing Dimensions'!$A:$N,9,FALSE)-VLOOKUP(A18,'Audit Dimensions'!$A:$N,9,FALSE)</f>
        <v>0</v>
      </c>
      <c r="J18" s="61">
        <f>VLOOKUP(A18,'Billing Dimensions'!$A:$N,10,FALSE)-VLOOKUP(A18,'Audit Dimensions'!$A:$N,10,FALSE)</f>
        <v>0</v>
      </c>
      <c r="K18" s="63">
        <f>VLOOKUP(A18,'Billing Dimensions'!$A:$N,11,FALSE)-VLOOKUP(A18,'Audit Dimensions'!$A:$N,11,FALSE)</f>
        <v>0</v>
      </c>
      <c r="L18" s="63">
        <f>VLOOKUP(A18,'Billing Dimensions'!$A:$N,12,FALSE)-VLOOKUP(A18,'Audit Dimensions'!$A:$N,12,FALSE)</f>
        <v>0</v>
      </c>
      <c r="M18" s="63">
        <f>VLOOKUP(A18,'Billing Dimensions'!$A:$N,13,FALSE)-VLOOKUP(A18,'Audit Dimensions'!$A:$N,13,FALSE)</f>
        <v>0</v>
      </c>
      <c r="N18" s="140">
        <f>VLOOKUP(A18,'Billing Dimensions'!$A:$N,14,FALSE)-VLOOKUP(A18,'Audit Dimensions'!$A:$N,14,FALSE)</f>
        <v>0</v>
      </c>
      <c r="O18" s="145">
        <f>VLOOKUP('Audit VAR'!A18,'Audit Dimensions'!A:P,16,FALSE)</f>
        <v>960</v>
      </c>
      <c r="P18" s="143">
        <f>VLOOKUP(A18,'Billing Dimensions'!A:Q,17,FALSE)-VLOOKUP('Audit VAR'!A18,'Audit Dimensions'!A:P,16,FALSE)</f>
        <v>-80</v>
      </c>
      <c r="Q18" s="148">
        <f t="shared" si="0"/>
        <v>-8.3333333333333329E-2</v>
      </c>
    </row>
    <row r="19" spans="1:17">
      <c r="A19" s="58" t="str">
        <f>'Audit Dimensions'!A19</f>
        <v>KH-TOC-40</v>
      </c>
      <c r="B19" s="2" t="str">
        <f>VLOOKUP(A19,'Billing Dimensions'!A:B,2,FALSE)</f>
        <v>SB</v>
      </c>
      <c r="C19" s="59">
        <f>VLOOKUP(A19,'Billing Dimensions'!$A:$N,3,FALSE)-VLOOKUP(A19,'Audit Dimensions'!$A:$N,3,FALSE)</f>
        <v>0</v>
      </c>
      <c r="D19" s="59">
        <f>VLOOKUP(A19,'Billing Dimensions'!$A:$N,4,FALSE)-VLOOKUP(A19,'Audit Dimensions'!$A:$N,4,FALSE)</f>
        <v>0</v>
      </c>
      <c r="E19" s="59">
        <f>VLOOKUP(A19,'Billing Dimensions'!$A:$N,5,FALSE)-VLOOKUP(A19,'Audit Dimensions'!$A:$N,5,FALSE)</f>
        <v>0</v>
      </c>
      <c r="F19" s="137">
        <f>VLOOKUP(A19,'Billing Dimensions'!$A:$N,6,FALSE)-VLOOKUP(A19,'Audit Dimensions'!$A:$N,6,FALSE)</f>
        <v>0</v>
      </c>
      <c r="G19" s="65">
        <f>VLOOKUP(A19,'Billing Dimensions'!$A:$N,7,FALSE)-VLOOKUP(A19,'Audit Dimensions'!$A:$N,7,FALSE)</f>
        <v>0</v>
      </c>
      <c r="H19" s="65">
        <f>VLOOKUP(A19,'Billing Dimensions'!$A:$N,8,FALSE)-VLOOKUP(A19,'Audit Dimensions'!$A:$N,8,FALSE)</f>
        <v>0</v>
      </c>
      <c r="I19" s="65">
        <f>VLOOKUP(A19,'Billing Dimensions'!$A:$N,9,FALSE)-VLOOKUP(A19,'Audit Dimensions'!$A:$N,9,FALSE)</f>
        <v>0</v>
      </c>
      <c r="J19" s="61">
        <f>VLOOKUP(A19,'Billing Dimensions'!$A:$N,10,FALSE)-VLOOKUP(A19,'Audit Dimensions'!$A:$N,10,FALSE)</f>
        <v>0</v>
      </c>
      <c r="K19" s="63">
        <f>VLOOKUP(A19,'Billing Dimensions'!$A:$N,11,FALSE)-VLOOKUP(A19,'Audit Dimensions'!$A:$N,11,FALSE)</f>
        <v>0</v>
      </c>
      <c r="L19" s="63">
        <f>VLOOKUP(A19,'Billing Dimensions'!$A:$N,12,FALSE)-VLOOKUP(A19,'Audit Dimensions'!$A:$N,12,FALSE)</f>
        <v>0</v>
      </c>
      <c r="M19" s="63">
        <f>VLOOKUP(A19,'Billing Dimensions'!$A:$N,13,FALSE)-VLOOKUP(A19,'Audit Dimensions'!$A:$N,13,FALSE)</f>
        <v>0</v>
      </c>
      <c r="N19" s="140">
        <f>VLOOKUP(A19,'Billing Dimensions'!$A:$N,14,FALSE)-VLOOKUP(A19,'Audit Dimensions'!$A:$N,14,FALSE)</f>
        <v>0</v>
      </c>
      <c r="O19" s="145">
        <f>VLOOKUP('Audit VAR'!A19,'Audit Dimensions'!A:P,16,FALSE)</f>
        <v>5820</v>
      </c>
      <c r="P19" s="143">
        <f>VLOOKUP(A19,'Billing Dimensions'!A:Q,17,FALSE)-VLOOKUP('Audit VAR'!A19,'Audit Dimensions'!A:P,16,FALSE)</f>
        <v>0</v>
      </c>
      <c r="Q19" s="148">
        <f t="shared" si="0"/>
        <v>0</v>
      </c>
    </row>
    <row r="20" spans="1:17">
      <c r="A20" s="58" t="str">
        <f>'Audit Dimensions'!A20</f>
        <v>KH-SUT-10</v>
      </c>
      <c r="B20" s="2" t="str">
        <f>VLOOKUP(A20,'Billing Dimensions'!A:B,2,FALSE)</f>
        <v>SB</v>
      </c>
      <c r="C20" s="59">
        <f>VLOOKUP(A20,'Billing Dimensions'!$A:$N,3,FALSE)-VLOOKUP(A20,'Audit Dimensions'!$A:$N,3,FALSE)</f>
        <v>-2</v>
      </c>
      <c r="D20" s="59">
        <f>VLOOKUP(A20,'Billing Dimensions'!$A:$N,4,FALSE)-VLOOKUP(A20,'Audit Dimensions'!$A:$N,4,FALSE)</f>
        <v>-1</v>
      </c>
      <c r="E20" s="59">
        <f>VLOOKUP(A20,'Billing Dimensions'!$A:$N,5,FALSE)-VLOOKUP(A20,'Audit Dimensions'!$A:$N,5,FALSE)</f>
        <v>-3</v>
      </c>
      <c r="F20" s="137">
        <f>VLOOKUP(A20,'Billing Dimensions'!$A:$N,6,FALSE)-VLOOKUP(A20,'Audit Dimensions'!$A:$N,6,FALSE)</f>
        <v>-15</v>
      </c>
      <c r="G20" s="65">
        <f>VLOOKUP(A20,'Billing Dimensions'!$A:$N,7,FALSE)-VLOOKUP(A20,'Audit Dimensions'!$A:$N,7,FALSE)</f>
        <v>0</v>
      </c>
      <c r="H20" s="65">
        <f>VLOOKUP(A20,'Billing Dimensions'!$A:$N,8,FALSE)-VLOOKUP(A20,'Audit Dimensions'!$A:$N,8,FALSE)</f>
        <v>0</v>
      </c>
      <c r="I20" s="65">
        <f>VLOOKUP(A20,'Billing Dimensions'!$A:$N,9,FALSE)-VLOOKUP(A20,'Audit Dimensions'!$A:$N,9,FALSE)</f>
        <v>0</v>
      </c>
      <c r="J20" s="61">
        <f>VLOOKUP(A20,'Billing Dimensions'!$A:$N,10,FALSE)-VLOOKUP(A20,'Audit Dimensions'!$A:$N,10,FALSE)</f>
        <v>0</v>
      </c>
      <c r="K20" s="63">
        <f>VLOOKUP(A20,'Billing Dimensions'!$A:$N,11,FALSE)-VLOOKUP(A20,'Audit Dimensions'!$A:$N,11,FALSE)</f>
        <v>0</v>
      </c>
      <c r="L20" s="63">
        <f>VLOOKUP(A20,'Billing Dimensions'!$A:$N,12,FALSE)-VLOOKUP(A20,'Audit Dimensions'!$A:$N,12,FALSE)</f>
        <v>0</v>
      </c>
      <c r="M20" s="63">
        <f>VLOOKUP(A20,'Billing Dimensions'!$A:$N,13,FALSE)-VLOOKUP(A20,'Audit Dimensions'!$A:$N,13,FALSE)</f>
        <v>0</v>
      </c>
      <c r="N20" s="140">
        <f>VLOOKUP(A20,'Billing Dimensions'!$A:$N,14,FALSE)-VLOOKUP(A20,'Audit Dimensions'!$A:$N,14,FALSE)</f>
        <v>0</v>
      </c>
      <c r="O20" s="145">
        <f>VLOOKUP('Audit VAR'!A20,'Audit Dimensions'!A:P,16,FALSE)</f>
        <v>400</v>
      </c>
      <c r="P20" s="143">
        <f>VLOOKUP(A20,'Billing Dimensions'!A:Q,17,FALSE)-VLOOKUP('Audit VAR'!A20,'Audit Dimensions'!A:P,16,FALSE)</f>
        <v>-15</v>
      </c>
      <c r="Q20" s="148">
        <f t="shared" si="0"/>
        <v>-3.7499999999999999E-2</v>
      </c>
    </row>
    <row r="21" spans="1:17">
      <c r="A21" s="58" t="str">
        <f>'Audit Dimensions'!A21</f>
        <v>KH-SW-W21</v>
      </c>
      <c r="B21" s="2" t="str">
        <f>VLOOKUP(A21,'Billing Dimensions'!A:B,2,FALSE)</f>
        <v>SB</v>
      </c>
      <c r="C21" s="59">
        <f>VLOOKUP(A21,'Billing Dimensions'!$A:$N,3,FALSE)-VLOOKUP(A21,'Audit Dimensions'!$A:$N,3,FALSE)</f>
        <v>0</v>
      </c>
      <c r="D21" s="59">
        <f>VLOOKUP(A21,'Billing Dimensions'!$A:$N,4,FALSE)-VLOOKUP(A21,'Audit Dimensions'!$A:$N,4,FALSE)</f>
        <v>0</v>
      </c>
      <c r="E21" s="59">
        <f>VLOOKUP(A21,'Billing Dimensions'!$A:$N,5,FALSE)-VLOOKUP(A21,'Audit Dimensions'!$A:$N,5,FALSE)</f>
        <v>-2</v>
      </c>
      <c r="F21" s="137">
        <f>VLOOKUP(A21,'Billing Dimensions'!$A:$N,6,FALSE)-VLOOKUP(A21,'Audit Dimensions'!$A:$N,6,FALSE)</f>
        <v>0</v>
      </c>
      <c r="G21" s="65">
        <f>VLOOKUP(A21,'Billing Dimensions'!$A:$N,7,FALSE)-VLOOKUP(A21,'Audit Dimensions'!$A:$N,7,FALSE)</f>
        <v>0</v>
      </c>
      <c r="H21" s="65">
        <f>VLOOKUP(A21,'Billing Dimensions'!$A:$N,8,FALSE)-VLOOKUP(A21,'Audit Dimensions'!$A:$N,8,FALSE)</f>
        <v>0</v>
      </c>
      <c r="I21" s="65">
        <f>VLOOKUP(A21,'Billing Dimensions'!$A:$N,9,FALSE)-VLOOKUP(A21,'Audit Dimensions'!$A:$N,9,FALSE)</f>
        <v>0</v>
      </c>
      <c r="J21" s="61">
        <f>VLOOKUP(A21,'Billing Dimensions'!$A:$N,10,FALSE)-VLOOKUP(A21,'Audit Dimensions'!$A:$N,10,FALSE)</f>
        <v>0</v>
      </c>
      <c r="K21" s="63">
        <f>VLOOKUP(A21,'Billing Dimensions'!$A:$N,11,FALSE)-VLOOKUP(A21,'Audit Dimensions'!$A:$N,11,FALSE)</f>
        <v>0</v>
      </c>
      <c r="L21" s="63">
        <f>VLOOKUP(A21,'Billing Dimensions'!$A:$N,12,FALSE)-VLOOKUP(A21,'Audit Dimensions'!$A:$N,12,FALSE)</f>
        <v>0</v>
      </c>
      <c r="M21" s="63">
        <f>VLOOKUP(A21,'Billing Dimensions'!$A:$N,13,FALSE)-VLOOKUP(A21,'Audit Dimensions'!$A:$N,13,FALSE)</f>
        <v>0</v>
      </c>
      <c r="N21" s="140">
        <f>VLOOKUP(A21,'Billing Dimensions'!$A:$N,14,FALSE)-VLOOKUP(A21,'Audit Dimensions'!$A:$N,14,FALSE)</f>
        <v>0</v>
      </c>
      <c r="O21" s="145">
        <f>VLOOKUP('Audit VAR'!A21,'Audit Dimensions'!A:P,16,FALSE)</f>
        <v>1400</v>
      </c>
      <c r="P21" s="143">
        <f>VLOOKUP(A21,'Billing Dimensions'!A:Q,17,FALSE)-VLOOKUP('Audit VAR'!A21,'Audit Dimensions'!A:P,16,FALSE)</f>
        <v>0</v>
      </c>
      <c r="Q21" s="148">
        <f t="shared" si="0"/>
        <v>0</v>
      </c>
    </row>
    <row r="22" spans="1:17">
      <c r="A22" s="58" t="str">
        <f>'Audit Dimensions'!A22</f>
        <v>RT-RI-M</v>
      </c>
      <c r="B22" s="2" t="str">
        <f>VLOOKUP(A22,'Billing Dimensions'!A:B,2,FALSE)</f>
        <v>SB</v>
      </c>
      <c r="C22" s="59">
        <f>VLOOKUP(A22,'Billing Dimensions'!$A:$N,3,FALSE)-VLOOKUP(A22,'Audit Dimensions'!$A:$N,3,FALSE)</f>
        <v>0</v>
      </c>
      <c r="D22" s="59">
        <f>VLOOKUP(A22,'Billing Dimensions'!$A:$N,4,FALSE)-VLOOKUP(A22,'Audit Dimensions'!$A:$N,4,FALSE)</f>
        <v>0</v>
      </c>
      <c r="E22" s="59">
        <f>VLOOKUP(A22,'Billing Dimensions'!$A:$N,5,FALSE)-VLOOKUP(A22,'Audit Dimensions'!$A:$N,5,FALSE)</f>
        <v>-1</v>
      </c>
      <c r="F22" s="137">
        <f>VLOOKUP(A22,'Billing Dimensions'!$A:$N,6,FALSE)-VLOOKUP(A22,'Audit Dimensions'!$A:$N,6,FALSE)</f>
        <v>-100</v>
      </c>
      <c r="G22" s="65">
        <f>VLOOKUP(A22,'Billing Dimensions'!$A:$N,7,FALSE)-VLOOKUP(A22,'Audit Dimensions'!$A:$N,7,FALSE)</f>
        <v>0</v>
      </c>
      <c r="H22" s="65">
        <f>VLOOKUP(A22,'Billing Dimensions'!$A:$N,8,FALSE)-VLOOKUP(A22,'Audit Dimensions'!$A:$N,8,FALSE)</f>
        <v>0</v>
      </c>
      <c r="I22" s="65">
        <f>VLOOKUP(A22,'Billing Dimensions'!$A:$N,9,FALSE)-VLOOKUP(A22,'Audit Dimensions'!$A:$N,9,FALSE)</f>
        <v>0</v>
      </c>
      <c r="J22" s="61">
        <f>VLOOKUP(A22,'Billing Dimensions'!$A:$N,10,FALSE)-VLOOKUP(A22,'Audit Dimensions'!$A:$N,10,FALSE)</f>
        <v>0</v>
      </c>
      <c r="K22" s="63">
        <f>VLOOKUP(A22,'Billing Dimensions'!$A:$N,11,FALSE)-VLOOKUP(A22,'Audit Dimensions'!$A:$N,11,FALSE)</f>
        <v>0</v>
      </c>
      <c r="L22" s="63">
        <f>VLOOKUP(A22,'Billing Dimensions'!$A:$N,12,FALSE)-VLOOKUP(A22,'Audit Dimensions'!$A:$N,12,FALSE)</f>
        <v>0</v>
      </c>
      <c r="M22" s="63">
        <f>VLOOKUP(A22,'Billing Dimensions'!$A:$N,13,FALSE)-VLOOKUP(A22,'Audit Dimensions'!$A:$N,13,FALSE)</f>
        <v>0</v>
      </c>
      <c r="N22" s="140">
        <f>VLOOKUP(A22,'Billing Dimensions'!$A:$N,14,FALSE)-VLOOKUP(A22,'Audit Dimensions'!$A:$N,14,FALSE)</f>
        <v>0</v>
      </c>
      <c r="O22" s="145">
        <f>VLOOKUP('Audit VAR'!A22,'Audit Dimensions'!A:P,16,FALSE)</f>
        <v>7950</v>
      </c>
      <c r="P22" s="143">
        <f>VLOOKUP(A22,'Billing Dimensions'!A:Q,17,FALSE)-VLOOKUP('Audit VAR'!A22,'Audit Dimensions'!A:P,16,FALSE)</f>
        <v>-100</v>
      </c>
      <c r="Q22" s="148">
        <f t="shared" si="0"/>
        <v>-1.2578616352201259E-2</v>
      </c>
    </row>
    <row r="23" spans="1:17" ht="12.4" customHeight="1">
      <c r="A23" s="58" t="str">
        <f>'Audit Dimensions'!A23</f>
        <v>ST-CBN-LS</v>
      </c>
      <c r="B23" s="2" t="str">
        <f>VLOOKUP(A23,'Billing Dimensions'!A:B,2,FALSE)</f>
        <v>SB</v>
      </c>
      <c r="C23" s="59">
        <f>VLOOKUP(A23,'Billing Dimensions'!$A:$N,3,FALSE)-VLOOKUP(A23,'Audit Dimensions'!$A:$N,3,FALSE)</f>
        <v>0</v>
      </c>
      <c r="D23" s="59">
        <f>VLOOKUP(A23,'Billing Dimensions'!$A:$N,4,FALSE)-VLOOKUP(A23,'Audit Dimensions'!$A:$N,4,FALSE)</f>
        <v>0</v>
      </c>
      <c r="E23" s="59">
        <f>VLOOKUP(A23,'Billing Dimensions'!$A:$N,5,FALSE)-VLOOKUP(A23,'Audit Dimensions'!$A:$N,5,FALSE)</f>
        <v>0</v>
      </c>
      <c r="F23" s="137">
        <f>VLOOKUP(A23,'Billing Dimensions'!$A:$N,6,FALSE)-VLOOKUP(A23,'Audit Dimensions'!$A:$N,6,FALSE)</f>
        <v>-1200</v>
      </c>
      <c r="G23" s="65">
        <f>VLOOKUP(A23,'Billing Dimensions'!$A:$N,7,FALSE)-VLOOKUP(A23,'Audit Dimensions'!$A:$N,7,FALSE)</f>
        <v>0</v>
      </c>
      <c r="H23" s="65">
        <f>VLOOKUP(A23,'Billing Dimensions'!$A:$N,8,FALSE)-VLOOKUP(A23,'Audit Dimensions'!$A:$N,8,FALSE)</f>
        <v>0</v>
      </c>
      <c r="I23" s="65">
        <f>VLOOKUP(A23,'Billing Dimensions'!$A:$N,9,FALSE)-VLOOKUP(A23,'Audit Dimensions'!$A:$N,9,FALSE)</f>
        <v>0</v>
      </c>
      <c r="J23" s="61">
        <f>VLOOKUP(A23,'Billing Dimensions'!$A:$N,10,FALSE)-VLOOKUP(A23,'Audit Dimensions'!$A:$N,10,FALSE)</f>
        <v>0</v>
      </c>
      <c r="K23" s="63">
        <f>VLOOKUP(A23,'Billing Dimensions'!$A:$N,11,FALSE)-VLOOKUP(A23,'Audit Dimensions'!$A:$N,11,FALSE)</f>
        <v>0</v>
      </c>
      <c r="L23" s="63">
        <f>VLOOKUP(A23,'Billing Dimensions'!$A:$N,12,FALSE)-VLOOKUP(A23,'Audit Dimensions'!$A:$N,12,FALSE)</f>
        <v>0</v>
      </c>
      <c r="M23" s="63">
        <f>VLOOKUP(A23,'Billing Dimensions'!$A:$N,13,FALSE)-VLOOKUP(A23,'Audit Dimensions'!$A:$N,13,FALSE)</f>
        <v>0</v>
      </c>
      <c r="N23" s="140">
        <f>VLOOKUP(A23,'Billing Dimensions'!$A:$N,14,FALSE)-VLOOKUP(A23,'Audit Dimensions'!$A:$N,14,FALSE)</f>
        <v>0</v>
      </c>
      <c r="O23" s="145">
        <f>VLOOKUP('Audit VAR'!A23,'Audit Dimensions'!A:P,16,FALSE)</f>
        <v>21600</v>
      </c>
      <c r="P23" s="143">
        <f>VLOOKUP(A23,'Billing Dimensions'!A:Q,17,FALSE)-VLOOKUP('Audit VAR'!A23,'Audit Dimensions'!A:P,16,FALSE)</f>
        <v>-1200</v>
      </c>
      <c r="Q23" s="148">
        <f t="shared" si="0"/>
        <v>-5.5555555555555552E-2</v>
      </c>
    </row>
    <row r="24" spans="1:17">
      <c r="A24" s="58" t="str">
        <f>'Audit Dimensions'!A24</f>
        <v>TU-TK-ST</v>
      </c>
      <c r="B24" s="2" t="str">
        <f>VLOOKUP(A24,'Billing Dimensions'!A:B,2,FALSE)</f>
        <v>SB</v>
      </c>
      <c r="C24" s="59">
        <f>VLOOKUP(A24,'Billing Dimensions'!$A:$N,3,FALSE)-VLOOKUP(A24,'Audit Dimensions'!$A:$N,3,FALSE)</f>
        <v>0</v>
      </c>
      <c r="D24" s="59">
        <f>VLOOKUP(A24,'Billing Dimensions'!$A:$N,4,FALSE)-VLOOKUP(A24,'Audit Dimensions'!$A:$N,4,FALSE)</f>
        <v>0</v>
      </c>
      <c r="E24" s="59">
        <f>VLOOKUP(A24,'Billing Dimensions'!$A:$N,5,FALSE)-VLOOKUP(A24,'Audit Dimensions'!$A:$N,5,FALSE)</f>
        <v>0</v>
      </c>
      <c r="F24" s="137">
        <f>VLOOKUP(A24,'Billing Dimensions'!$A:$N,6,FALSE)-VLOOKUP(A24,'Audit Dimensions'!$A:$N,6,FALSE)</f>
        <v>0</v>
      </c>
      <c r="G24" s="65">
        <f>VLOOKUP(A24,'Billing Dimensions'!$A:$N,7,FALSE)-VLOOKUP(A24,'Audit Dimensions'!$A:$N,7,FALSE)</f>
        <v>0</v>
      </c>
      <c r="H24" s="65">
        <f>VLOOKUP(A24,'Billing Dimensions'!$A:$N,8,FALSE)-VLOOKUP(A24,'Audit Dimensions'!$A:$N,8,FALSE)</f>
        <v>0</v>
      </c>
      <c r="I24" s="65">
        <f>VLOOKUP(A24,'Billing Dimensions'!$A:$N,9,FALSE)-VLOOKUP(A24,'Audit Dimensions'!$A:$N,9,FALSE)</f>
        <v>0</v>
      </c>
      <c r="J24" s="61">
        <f>VLOOKUP(A24,'Billing Dimensions'!$A:$N,10,FALSE)-VLOOKUP(A24,'Audit Dimensions'!$A:$N,10,FALSE)</f>
        <v>0</v>
      </c>
      <c r="K24" s="63">
        <f>VLOOKUP(A24,'Billing Dimensions'!$A:$N,11,FALSE)-VLOOKUP(A24,'Audit Dimensions'!$A:$N,11,FALSE)</f>
        <v>0</v>
      </c>
      <c r="L24" s="63">
        <f>VLOOKUP(A24,'Billing Dimensions'!$A:$N,12,FALSE)-VLOOKUP(A24,'Audit Dimensions'!$A:$N,12,FALSE)</f>
        <v>0</v>
      </c>
      <c r="M24" s="63">
        <f>VLOOKUP(A24,'Billing Dimensions'!$A:$N,13,FALSE)-VLOOKUP(A24,'Audit Dimensions'!$A:$N,13,FALSE)</f>
        <v>0</v>
      </c>
      <c r="N24" s="140">
        <f>VLOOKUP(A24,'Billing Dimensions'!$A:$N,14,FALSE)-VLOOKUP(A24,'Audit Dimensions'!$A:$N,14,FALSE)</f>
        <v>0</v>
      </c>
      <c r="O24" s="145">
        <f>VLOOKUP('Audit VAR'!A24,'Audit Dimensions'!A:P,16,FALSE)</f>
        <v>6750</v>
      </c>
      <c r="P24" s="143">
        <f>VLOOKUP(A24,'Billing Dimensions'!A:Q,17,FALSE)-VLOOKUP('Audit VAR'!A24,'Audit Dimensions'!A:P,16,FALSE)</f>
        <v>0</v>
      </c>
      <c r="Q24" s="148">
        <f t="shared" si="0"/>
        <v>0</v>
      </c>
    </row>
    <row r="25" spans="1:17" ht="12.4" customHeight="1">
      <c r="A25" s="58" t="str">
        <f>'Audit Dimensions'!A25</f>
        <v>SB-CS-ST</v>
      </c>
      <c r="B25" s="2" t="str">
        <f>VLOOKUP(A25,'Billing Dimensions'!A:B,2,FALSE)</f>
        <v>SB</v>
      </c>
      <c r="C25" s="59">
        <f>VLOOKUP(A25,'Billing Dimensions'!$A:$N,3,FALSE)-VLOOKUP(A25,'Audit Dimensions'!$A:$N,3,FALSE)</f>
        <v>0</v>
      </c>
      <c r="D25" s="59">
        <f>VLOOKUP(A25,'Billing Dimensions'!$A:$N,4,FALSE)-VLOOKUP(A25,'Audit Dimensions'!$A:$N,4,FALSE)</f>
        <v>0</v>
      </c>
      <c r="E25" s="59">
        <f>VLOOKUP(A25,'Billing Dimensions'!$A:$N,5,FALSE)-VLOOKUP(A25,'Audit Dimensions'!$A:$N,5,FALSE)</f>
        <v>0</v>
      </c>
      <c r="F25" s="137">
        <f>VLOOKUP(A25,'Billing Dimensions'!$A:$N,6,FALSE)-VLOOKUP(A25,'Audit Dimensions'!$A:$N,6,FALSE)</f>
        <v>0</v>
      </c>
      <c r="G25" s="65">
        <f>VLOOKUP(A25,'Billing Dimensions'!$A:$N,7,FALSE)-VLOOKUP(A25,'Audit Dimensions'!$A:$N,7,FALSE)</f>
        <v>0</v>
      </c>
      <c r="H25" s="65">
        <f>VLOOKUP(A25,'Billing Dimensions'!$A:$N,8,FALSE)-VLOOKUP(A25,'Audit Dimensions'!$A:$N,8,FALSE)</f>
        <v>0</v>
      </c>
      <c r="I25" s="65">
        <f>VLOOKUP(A25,'Billing Dimensions'!$A:$N,9,FALSE)-VLOOKUP(A25,'Audit Dimensions'!$A:$N,9,FALSE)</f>
        <v>0</v>
      </c>
      <c r="J25" s="61">
        <f>VLOOKUP(A25,'Billing Dimensions'!$A:$N,10,FALSE)-VLOOKUP(A25,'Audit Dimensions'!$A:$N,10,FALSE)</f>
        <v>0</v>
      </c>
      <c r="K25" s="63">
        <f>VLOOKUP(A25,'Billing Dimensions'!$A:$N,11,FALSE)-VLOOKUP(A25,'Audit Dimensions'!$A:$N,11,FALSE)</f>
        <v>0</v>
      </c>
      <c r="L25" s="63">
        <f>VLOOKUP(A25,'Billing Dimensions'!$A:$N,12,FALSE)-VLOOKUP(A25,'Audit Dimensions'!$A:$N,12,FALSE)</f>
        <v>0</v>
      </c>
      <c r="M25" s="63">
        <f>VLOOKUP(A25,'Billing Dimensions'!$A:$N,13,FALSE)-VLOOKUP(A25,'Audit Dimensions'!$A:$N,13,FALSE)</f>
        <v>0</v>
      </c>
      <c r="N25" s="140">
        <f>VLOOKUP(A25,'Billing Dimensions'!$A:$N,14,FALSE)-VLOOKUP(A25,'Audit Dimensions'!$A:$N,14,FALSE)</f>
        <v>0</v>
      </c>
      <c r="O25" s="145">
        <f>VLOOKUP('Audit VAR'!A25,'Audit Dimensions'!A:P,16,FALSE)</f>
        <v>4300</v>
      </c>
      <c r="P25" s="143">
        <f>VLOOKUP(A25,'Billing Dimensions'!A:Q,17,FALSE)-VLOOKUP('Audit VAR'!A25,'Audit Dimensions'!A:P,16,FALSE)</f>
        <v>0</v>
      </c>
      <c r="Q25" s="148">
        <f t="shared" si="0"/>
        <v>0</v>
      </c>
    </row>
    <row r="26" spans="1:17">
      <c r="A26" s="58" t="str">
        <f>'Audit Dimensions'!A26</f>
        <v>CT-ETE</v>
      </c>
      <c r="B26" s="2" t="str">
        <f>VLOOKUP(A26,'Billing Dimensions'!A:B,2,FALSE)</f>
        <v>SB</v>
      </c>
      <c r="C26" s="59">
        <f>VLOOKUP(A26,'Billing Dimensions'!$A:$N,3,FALSE)-VLOOKUP(A26,'Audit Dimensions'!$A:$N,3,FALSE)</f>
        <v>0</v>
      </c>
      <c r="D26" s="59">
        <f>VLOOKUP(A26,'Billing Dimensions'!$A:$N,4,FALSE)-VLOOKUP(A26,'Audit Dimensions'!$A:$N,4,FALSE)</f>
        <v>0</v>
      </c>
      <c r="E26" s="59">
        <f>VLOOKUP(A26,'Billing Dimensions'!$A:$N,5,FALSE)-VLOOKUP(A26,'Audit Dimensions'!$A:$N,5,FALSE)</f>
        <v>0</v>
      </c>
      <c r="F26" s="137">
        <f>VLOOKUP(A26,'Billing Dimensions'!$A:$N,6,FALSE)-VLOOKUP(A26,'Audit Dimensions'!$A:$N,6,FALSE)</f>
        <v>-1350</v>
      </c>
      <c r="G26" s="65">
        <f>VLOOKUP(A26,'Billing Dimensions'!$A:$N,7,FALSE)-VLOOKUP(A26,'Audit Dimensions'!$A:$N,7,FALSE)</f>
        <v>0</v>
      </c>
      <c r="H26" s="65">
        <f>VLOOKUP(A26,'Billing Dimensions'!$A:$N,8,FALSE)-VLOOKUP(A26,'Audit Dimensions'!$A:$N,8,FALSE)</f>
        <v>0</v>
      </c>
      <c r="I26" s="65">
        <f>VLOOKUP(A26,'Billing Dimensions'!$A:$N,9,FALSE)-VLOOKUP(A26,'Audit Dimensions'!$A:$N,9,FALSE)</f>
        <v>0</v>
      </c>
      <c r="J26" s="61">
        <f>VLOOKUP(A26,'Billing Dimensions'!$A:$N,10,FALSE)-VLOOKUP(A26,'Audit Dimensions'!$A:$N,10,FALSE)</f>
        <v>0</v>
      </c>
      <c r="K26" s="63">
        <f>VLOOKUP(A26,'Billing Dimensions'!$A:$N,11,FALSE)-VLOOKUP(A26,'Audit Dimensions'!$A:$N,11,FALSE)</f>
        <v>0</v>
      </c>
      <c r="L26" s="63">
        <f>VLOOKUP(A26,'Billing Dimensions'!$A:$N,12,FALSE)-VLOOKUP(A26,'Audit Dimensions'!$A:$N,12,FALSE)</f>
        <v>0</v>
      </c>
      <c r="M26" s="63">
        <f>VLOOKUP(A26,'Billing Dimensions'!$A:$N,13,FALSE)-VLOOKUP(A26,'Audit Dimensions'!$A:$N,13,FALSE)</f>
        <v>0</v>
      </c>
      <c r="N26" s="140">
        <f>VLOOKUP(A26,'Billing Dimensions'!$A:$N,14,FALSE)-VLOOKUP(A26,'Audit Dimensions'!$A:$N,14,FALSE)</f>
        <v>0</v>
      </c>
      <c r="O26" s="145">
        <f>VLOOKUP('Audit VAR'!A26,'Audit Dimensions'!A:P,16,FALSE)</f>
        <v>13250</v>
      </c>
      <c r="P26" s="143">
        <f>VLOOKUP(A26,'Billing Dimensions'!A:Q,17,FALSE)-VLOOKUP('Audit VAR'!A26,'Audit Dimensions'!A:P,16,FALSE)</f>
        <v>-1350</v>
      </c>
      <c r="Q26" s="148">
        <f t="shared" si="0"/>
        <v>-0.10188679245283019</v>
      </c>
    </row>
    <row r="27" spans="1:17" ht="12.4" customHeight="1">
      <c r="A27" s="58" t="str">
        <f>'Audit Dimensions'!A27</f>
        <v>MD-TNO-S</v>
      </c>
      <c r="B27" s="2" t="str">
        <f>VLOOKUP(A27,'Billing Dimensions'!A:B,2,FALSE)</f>
        <v>SB</v>
      </c>
      <c r="C27" s="59">
        <f>VLOOKUP(A27,'Billing Dimensions'!$A:$N,3,FALSE)-VLOOKUP(A27,'Audit Dimensions'!$A:$N,3,FALSE)</f>
        <v>0</v>
      </c>
      <c r="D27" s="59">
        <f>VLOOKUP(A27,'Billing Dimensions'!$A:$N,4,FALSE)-VLOOKUP(A27,'Audit Dimensions'!$A:$N,4,FALSE)</f>
        <v>0</v>
      </c>
      <c r="E27" s="59">
        <f>VLOOKUP(A27,'Billing Dimensions'!$A:$N,5,FALSE)-VLOOKUP(A27,'Audit Dimensions'!$A:$N,5,FALSE)</f>
        <v>0</v>
      </c>
      <c r="F27" s="137">
        <f>VLOOKUP(A27,'Billing Dimensions'!$A:$N,6,FALSE)-VLOOKUP(A27,'Audit Dimensions'!$A:$N,6,FALSE)</f>
        <v>-150</v>
      </c>
      <c r="G27" s="65">
        <f>VLOOKUP(A27,'Billing Dimensions'!$A:$N,7,FALSE)-VLOOKUP(A27,'Audit Dimensions'!$A:$N,7,FALSE)</f>
        <v>0</v>
      </c>
      <c r="H27" s="65">
        <f>VLOOKUP(A27,'Billing Dimensions'!$A:$N,8,FALSE)-VLOOKUP(A27,'Audit Dimensions'!$A:$N,8,FALSE)</f>
        <v>0</v>
      </c>
      <c r="I27" s="65">
        <f>VLOOKUP(A27,'Billing Dimensions'!$A:$N,9,FALSE)-VLOOKUP(A27,'Audit Dimensions'!$A:$N,9,FALSE)</f>
        <v>0</v>
      </c>
      <c r="J27" s="61">
        <f>VLOOKUP(A27,'Billing Dimensions'!$A:$N,10,FALSE)-VLOOKUP(A27,'Audit Dimensions'!$A:$N,10,FALSE)</f>
        <v>0</v>
      </c>
      <c r="K27" s="63">
        <f>VLOOKUP(A27,'Billing Dimensions'!$A:$N,11,FALSE)-VLOOKUP(A27,'Audit Dimensions'!$A:$N,11,FALSE)</f>
        <v>0</v>
      </c>
      <c r="L27" s="63">
        <f>VLOOKUP(A27,'Billing Dimensions'!$A:$N,12,FALSE)-VLOOKUP(A27,'Audit Dimensions'!$A:$N,12,FALSE)</f>
        <v>0</v>
      </c>
      <c r="M27" s="63">
        <f>VLOOKUP(A27,'Billing Dimensions'!$A:$N,13,FALSE)-VLOOKUP(A27,'Audit Dimensions'!$A:$N,13,FALSE)</f>
        <v>0</v>
      </c>
      <c r="N27" s="140">
        <f>VLOOKUP(A27,'Billing Dimensions'!$A:$N,14,FALSE)-VLOOKUP(A27,'Audit Dimensions'!$A:$N,14,FALSE)</f>
        <v>0</v>
      </c>
      <c r="O27" s="145">
        <f>VLOOKUP('Audit VAR'!A27,'Audit Dimensions'!A:P,16,FALSE)</f>
        <v>8950</v>
      </c>
      <c r="P27" s="143">
        <f>VLOOKUP(A27,'Billing Dimensions'!A:Q,17,FALSE)-VLOOKUP('Audit VAR'!A27,'Audit Dimensions'!A:P,16,FALSE)</f>
        <v>-150</v>
      </c>
      <c r="Q27" s="148">
        <f t="shared" si="0"/>
        <v>-1.6759776536312849E-2</v>
      </c>
    </row>
    <row r="28" spans="1:17">
      <c r="A28" s="58" t="str">
        <f>'Audit Dimensions'!A28</f>
        <v>ST-WLD</v>
      </c>
      <c r="B28" s="2" t="str">
        <f>VLOOKUP(A28,'Billing Dimensions'!A:B,2,FALSE)</f>
        <v>SB</v>
      </c>
      <c r="C28" s="59">
        <f>VLOOKUP(A28,'Billing Dimensions'!$A:$N,3,FALSE)-VLOOKUP(A28,'Audit Dimensions'!$A:$N,3,FALSE)</f>
        <v>0</v>
      </c>
      <c r="D28" s="59">
        <f>VLOOKUP(A28,'Billing Dimensions'!$A:$N,4,FALSE)-VLOOKUP(A28,'Audit Dimensions'!$A:$N,4,FALSE)</f>
        <v>0</v>
      </c>
      <c r="E28" s="59">
        <f>VLOOKUP(A28,'Billing Dimensions'!$A:$N,5,FALSE)-VLOOKUP(A28,'Audit Dimensions'!$A:$N,5,FALSE)</f>
        <v>0</v>
      </c>
      <c r="F28" s="137">
        <f>VLOOKUP(A28,'Billing Dimensions'!$A:$N,6,FALSE)-VLOOKUP(A28,'Audit Dimensions'!$A:$N,6,FALSE)</f>
        <v>-3200</v>
      </c>
      <c r="G28" s="65">
        <f>VLOOKUP(A28,'Billing Dimensions'!$A:$N,7,FALSE)-VLOOKUP(A28,'Audit Dimensions'!$A:$N,7,FALSE)</f>
        <v>0</v>
      </c>
      <c r="H28" s="65">
        <f>VLOOKUP(A28,'Billing Dimensions'!$A:$N,8,FALSE)-VLOOKUP(A28,'Audit Dimensions'!$A:$N,8,FALSE)</f>
        <v>0</v>
      </c>
      <c r="I28" s="65">
        <f>VLOOKUP(A28,'Billing Dimensions'!$A:$N,9,FALSE)-VLOOKUP(A28,'Audit Dimensions'!$A:$N,9,FALSE)</f>
        <v>0</v>
      </c>
      <c r="J28" s="61">
        <f>VLOOKUP(A28,'Billing Dimensions'!$A:$N,10,FALSE)-VLOOKUP(A28,'Audit Dimensions'!$A:$N,10,FALSE)</f>
        <v>0</v>
      </c>
      <c r="K28" s="63">
        <f>VLOOKUP(A28,'Billing Dimensions'!$A:$N,11,FALSE)-VLOOKUP(A28,'Audit Dimensions'!$A:$N,11,FALSE)</f>
        <v>0</v>
      </c>
      <c r="L28" s="63">
        <f>VLOOKUP(A28,'Billing Dimensions'!$A:$N,12,FALSE)-VLOOKUP(A28,'Audit Dimensions'!$A:$N,12,FALSE)</f>
        <v>0</v>
      </c>
      <c r="M28" s="63">
        <f>VLOOKUP(A28,'Billing Dimensions'!$A:$N,13,FALSE)-VLOOKUP(A28,'Audit Dimensions'!$A:$N,13,FALSE)</f>
        <v>0</v>
      </c>
      <c r="N28" s="140">
        <f>VLOOKUP(A28,'Billing Dimensions'!$A:$N,14,FALSE)-VLOOKUP(A28,'Audit Dimensions'!$A:$N,14,FALSE)</f>
        <v>0</v>
      </c>
      <c r="O28" s="145">
        <f>VLOOKUP('Audit VAR'!A28,'Audit Dimensions'!A:P,16,FALSE)</f>
        <v>49600</v>
      </c>
      <c r="P28" s="143">
        <f>VLOOKUP(A28,'Billing Dimensions'!A:Q,17,FALSE)-VLOOKUP('Audit VAR'!A28,'Audit Dimensions'!A:P,16,FALSE)</f>
        <v>-3200</v>
      </c>
      <c r="Q28" s="148">
        <f t="shared" si="0"/>
        <v>-6.4516129032258063E-2</v>
      </c>
    </row>
    <row r="29" spans="1:17" ht="12.4" customHeight="1">
      <c r="A29" s="58" t="str">
        <f>'Audit Dimensions'!A29</f>
        <v>S-AO</v>
      </c>
      <c r="B29" s="2" t="str">
        <f>VLOOKUP(A29,'Billing Dimensions'!A:B,2,FALSE)</f>
        <v>SB</v>
      </c>
      <c r="C29" s="59">
        <f>VLOOKUP(A29,'Billing Dimensions'!$A:$N,3,FALSE)-VLOOKUP(A29,'Audit Dimensions'!$A:$N,3,FALSE)</f>
        <v>0</v>
      </c>
      <c r="D29" s="59">
        <f>VLOOKUP(A29,'Billing Dimensions'!$A:$N,4,FALSE)-VLOOKUP(A29,'Audit Dimensions'!$A:$N,4,FALSE)</f>
        <v>0</v>
      </c>
      <c r="E29" s="59">
        <f>VLOOKUP(A29,'Billing Dimensions'!$A:$N,5,FALSE)-VLOOKUP(A29,'Audit Dimensions'!$A:$N,5,FALSE)</f>
        <v>0</v>
      </c>
      <c r="F29" s="137">
        <f>VLOOKUP(A29,'Billing Dimensions'!$A:$N,6,FALSE)-VLOOKUP(A29,'Audit Dimensions'!$A:$N,6,FALSE)</f>
        <v>-600</v>
      </c>
      <c r="G29" s="65">
        <f>VLOOKUP(A29,'Billing Dimensions'!$A:$N,7,FALSE)-VLOOKUP(A29,'Audit Dimensions'!$A:$N,7,FALSE)</f>
        <v>0</v>
      </c>
      <c r="H29" s="65">
        <f>VLOOKUP(A29,'Billing Dimensions'!$A:$N,8,FALSE)-VLOOKUP(A29,'Audit Dimensions'!$A:$N,8,FALSE)</f>
        <v>0</v>
      </c>
      <c r="I29" s="65">
        <f>VLOOKUP(A29,'Billing Dimensions'!$A:$N,9,FALSE)-VLOOKUP(A29,'Audit Dimensions'!$A:$N,9,FALSE)</f>
        <v>0</v>
      </c>
      <c r="J29" s="61">
        <f>VLOOKUP(A29,'Billing Dimensions'!$A:$N,10,FALSE)-VLOOKUP(A29,'Audit Dimensions'!$A:$N,10,FALSE)</f>
        <v>0</v>
      </c>
      <c r="K29" s="63">
        <f>VLOOKUP(A29,'Billing Dimensions'!$A:$N,11,FALSE)-VLOOKUP(A29,'Audit Dimensions'!$A:$N,11,FALSE)</f>
        <v>0</v>
      </c>
      <c r="L29" s="63">
        <f>VLOOKUP(A29,'Billing Dimensions'!$A:$N,12,FALSE)-VLOOKUP(A29,'Audit Dimensions'!$A:$N,12,FALSE)</f>
        <v>0</v>
      </c>
      <c r="M29" s="63">
        <f>VLOOKUP(A29,'Billing Dimensions'!$A:$N,13,FALSE)-VLOOKUP(A29,'Audit Dimensions'!$A:$N,13,FALSE)</f>
        <v>0</v>
      </c>
      <c r="N29" s="140">
        <f>VLOOKUP(A29,'Billing Dimensions'!$A:$N,14,FALSE)-VLOOKUP(A29,'Audit Dimensions'!$A:$N,14,FALSE)</f>
        <v>0</v>
      </c>
      <c r="O29" s="145">
        <f>VLOOKUP('Audit VAR'!A29,'Audit Dimensions'!A:P,16,FALSE)</f>
        <v>6500</v>
      </c>
      <c r="P29" s="143">
        <f>VLOOKUP(A29,'Billing Dimensions'!A:Q,17,FALSE)-VLOOKUP('Audit VAR'!A29,'Audit Dimensions'!A:P,16,FALSE)</f>
        <v>-600</v>
      </c>
      <c r="Q29" s="148">
        <f t="shared" si="0"/>
        <v>-9.2307692307692313E-2</v>
      </c>
    </row>
    <row r="30" spans="1:17">
      <c r="A30" s="58" t="str">
        <f>'Audit Dimensions'!A30</f>
        <v>B-POL-SN</v>
      </c>
      <c r="B30" s="2" t="str">
        <f>VLOOKUP(A30,'Billing Dimensions'!A:B,2,FALSE)</f>
        <v>MB</v>
      </c>
      <c r="C30" s="59">
        <f>VLOOKUP(A30,'Billing Dimensions'!$A:$N,3,FALSE)-VLOOKUP(A30,'Audit Dimensions'!$A:$N,3,FALSE)</f>
        <v>0</v>
      </c>
      <c r="D30" s="59">
        <f>VLOOKUP(A30,'Billing Dimensions'!$A:$N,4,FALSE)-VLOOKUP(A30,'Audit Dimensions'!$A:$N,4,FALSE)</f>
        <v>0</v>
      </c>
      <c r="E30" s="59">
        <f>VLOOKUP(A30,'Billing Dimensions'!$A:$N,5,FALSE)-VLOOKUP(A30,'Audit Dimensions'!$A:$N,5,FALSE)</f>
        <v>0</v>
      </c>
      <c r="F30" s="137">
        <f>VLOOKUP(A30,'Billing Dimensions'!$A:$N,6,FALSE)-VLOOKUP(A30,'Audit Dimensions'!$A:$N,6,FALSE)</f>
        <v>-1460</v>
      </c>
      <c r="G30" s="65">
        <f>VLOOKUP(A30,'Billing Dimensions'!$A:$N,7,FALSE)-VLOOKUP(A30,'Audit Dimensions'!$A:$N,7,FALSE)</f>
        <v>0</v>
      </c>
      <c r="H30" s="65">
        <f>VLOOKUP(A30,'Billing Dimensions'!$A:$N,8,FALSE)-VLOOKUP(A30,'Audit Dimensions'!$A:$N,8,FALSE)</f>
        <v>0</v>
      </c>
      <c r="I30" s="65">
        <f>VLOOKUP(A30,'Billing Dimensions'!$A:$N,9,FALSE)-VLOOKUP(A30,'Audit Dimensions'!$A:$N,9,FALSE)</f>
        <v>0</v>
      </c>
      <c r="J30" s="61">
        <f>VLOOKUP(A30,'Billing Dimensions'!$A:$N,10,FALSE)-VLOOKUP(A30,'Audit Dimensions'!$A:$N,10,FALSE)</f>
        <v>-1050</v>
      </c>
      <c r="K30" s="63">
        <f>VLOOKUP(A30,'Billing Dimensions'!$A:$N,11,FALSE)-VLOOKUP(A30,'Audit Dimensions'!$A:$N,11,FALSE)</f>
        <v>0</v>
      </c>
      <c r="L30" s="63">
        <f>VLOOKUP(A30,'Billing Dimensions'!$A:$N,12,FALSE)-VLOOKUP(A30,'Audit Dimensions'!$A:$N,12,FALSE)</f>
        <v>0</v>
      </c>
      <c r="M30" s="63">
        <f>VLOOKUP(A30,'Billing Dimensions'!$A:$N,13,FALSE)-VLOOKUP(A30,'Audit Dimensions'!$A:$N,13,FALSE)</f>
        <v>0</v>
      </c>
      <c r="N30" s="140">
        <f>VLOOKUP(A30,'Billing Dimensions'!$A:$N,14,FALSE)-VLOOKUP(A30,'Audit Dimensions'!$A:$N,14,FALSE)</f>
        <v>0</v>
      </c>
      <c r="O30" s="145">
        <f>VLOOKUP('Audit VAR'!A30,'Audit Dimensions'!A:P,16,FALSE)</f>
        <v>46510</v>
      </c>
      <c r="P30" s="143">
        <f>VLOOKUP(A30,'Billing Dimensions'!A:Q,17,FALSE)-VLOOKUP('Audit VAR'!A30,'Audit Dimensions'!A:P,16,FALSE)</f>
        <v>-2510</v>
      </c>
      <c r="Q30" s="148">
        <f t="shared" si="0"/>
        <v>-5.3966888841109437E-2</v>
      </c>
    </row>
    <row r="31" spans="1:17" ht="12.4" customHeight="1">
      <c r="A31" s="58" t="str">
        <f>'Audit Dimensions'!A31</f>
        <v>SR-WMO</v>
      </c>
      <c r="B31" s="2" t="str">
        <f>VLOOKUP(A31,'Billing Dimensions'!A:B,2,FALSE)</f>
        <v>SB</v>
      </c>
      <c r="C31" s="59">
        <f>VLOOKUP(A31,'Billing Dimensions'!$A:$N,3,FALSE)-VLOOKUP(A31,'Audit Dimensions'!$A:$N,3,FALSE)</f>
        <v>0</v>
      </c>
      <c r="D31" s="59">
        <f>VLOOKUP(A31,'Billing Dimensions'!$A:$N,4,FALSE)-VLOOKUP(A31,'Audit Dimensions'!$A:$N,4,FALSE)</f>
        <v>0</v>
      </c>
      <c r="E31" s="59">
        <f>VLOOKUP(A31,'Billing Dimensions'!$A:$N,5,FALSE)-VLOOKUP(A31,'Audit Dimensions'!$A:$N,5,FALSE)</f>
        <v>0</v>
      </c>
      <c r="F31" s="137">
        <f>VLOOKUP(A31,'Billing Dimensions'!$A:$N,6,FALSE)-VLOOKUP(A31,'Audit Dimensions'!$A:$N,6,FALSE)</f>
        <v>-1550</v>
      </c>
      <c r="G31" s="65">
        <f>VLOOKUP(A31,'Billing Dimensions'!$A:$N,7,FALSE)-VLOOKUP(A31,'Audit Dimensions'!$A:$N,7,FALSE)</f>
        <v>0</v>
      </c>
      <c r="H31" s="65">
        <f>VLOOKUP(A31,'Billing Dimensions'!$A:$N,8,FALSE)-VLOOKUP(A31,'Audit Dimensions'!$A:$N,8,FALSE)</f>
        <v>0</v>
      </c>
      <c r="I31" s="65">
        <f>VLOOKUP(A31,'Billing Dimensions'!$A:$N,9,FALSE)-VLOOKUP(A31,'Audit Dimensions'!$A:$N,9,FALSE)</f>
        <v>0</v>
      </c>
      <c r="J31" s="61">
        <f>VLOOKUP(A31,'Billing Dimensions'!$A:$N,10,FALSE)-VLOOKUP(A31,'Audit Dimensions'!$A:$N,10,FALSE)</f>
        <v>0</v>
      </c>
      <c r="K31" s="63">
        <f>VLOOKUP(A31,'Billing Dimensions'!$A:$N,11,FALSE)-VLOOKUP(A31,'Audit Dimensions'!$A:$N,11,FALSE)</f>
        <v>0</v>
      </c>
      <c r="L31" s="63">
        <f>VLOOKUP(A31,'Billing Dimensions'!$A:$N,12,FALSE)-VLOOKUP(A31,'Audit Dimensions'!$A:$N,12,FALSE)</f>
        <v>0</v>
      </c>
      <c r="M31" s="63">
        <f>VLOOKUP(A31,'Billing Dimensions'!$A:$N,13,FALSE)-VLOOKUP(A31,'Audit Dimensions'!$A:$N,13,FALSE)</f>
        <v>0</v>
      </c>
      <c r="N31" s="140">
        <f>VLOOKUP(A31,'Billing Dimensions'!$A:$N,14,FALSE)-VLOOKUP(A31,'Audit Dimensions'!$A:$N,14,FALSE)</f>
        <v>0</v>
      </c>
      <c r="O31" s="145">
        <f>VLOOKUP('Audit VAR'!A31,'Audit Dimensions'!A:P,16,FALSE)</f>
        <v>39050</v>
      </c>
      <c r="P31" s="143">
        <f>VLOOKUP(A31,'Billing Dimensions'!A:Q,17,FALSE)-VLOOKUP('Audit VAR'!A31,'Audit Dimensions'!A:P,16,FALSE)</f>
        <v>-1550</v>
      </c>
      <c r="Q31" s="148">
        <f t="shared" si="0"/>
        <v>-3.9692701664532648E-2</v>
      </c>
    </row>
    <row r="32" spans="1:17">
      <c r="A32" s="58" t="str">
        <f>'Audit Dimensions'!A32</f>
        <v>RT-RI</v>
      </c>
      <c r="B32" s="2" t="str">
        <f>VLOOKUP(A32,'Billing Dimensions'!A:B,2,FALSE)</f>
        <v>SB</v>
      </c>
      <c r="C32" s="59">
        <f>VLOOKUP(A32,'Billing Dimensions'!$A:$N,3,FALSE)-VLOOKUP(A32,'Audit Dimensions'!$A:$N,3,FALSE)</f>
        <v>0</v>
      </c>
      <c r="D32" s="59">
        <f>VLOOKUP(A32,'Billing Dimensions'!$A:$N,4,FALSE)-VLOOKUP(A32,'Audit Dimensions'!$A:$N,4,FALSE)</f>
        <v>0</v>
      </c>
      <c r="E32" s="59">
        <f>VLOOKUP(A32,'Billing Dimensions'!$A:$N,5,FALSE)-VLOOKUP(A32,'Audit Dimensions'!$A:$N,5,FALSE)</f>
        <v>0</v>
      </c>
      <c r="F32" s="137">
        <f>VLOOKUP(A32,'Billing Dimensions'!$A:$N,6,FALSE)-VLOOKUP(A32,'Audit Dimensions'!$A:$N,6,FALSE)</f>
        <v>-850</v>
      </c>
      <c r="G32" s="65">
        <f>VLOOKUP(A32,'Billing Dimensions'!$A:$N,7,FALSE)-VLOOKUP(A32,'Audit Dimensions'!$A:$N,7,FALSE)</f>
        <v>0</v>
      </c>
      <c r="H32" s="65">
        <f>VLOOKUP(A32,'Billing Dimensions'!$A:$N,8,FALSE)-VLOOKUP(A32,'Audit Dimensions'!$A:$N,8,FALSE)</f>
        <v>0</v>
      </c>
      <c r="I32" s="65">
        <f>VLOOKUP(A32,'Billing Dimensions'!$A:$N,9,FALSE)-VLOOKUP(A32,'Audit Dimensions'!$A:$N,9,FALSE)</f>
        <v>0</v>
      </c>
      <c r="J32" s="61">
        <f>VLOOKUP(A32,'Billing Dimensions'!$A:$N,10,FALSE)-VLOOKUP(A32,'Audit Dimensions'!$A:$N,10,FALSE)</f>
        <v>0</v>
      </c>
      <c r="K32" s="63">
        <f>VLOOKUP(A32,'Billing Dimensions'!$A:$N,11,FALSE)-VLOOKUP(A32,'Audit Dimensions'!$A:$N,11,FALSE)</f>
        <v>0</v>
      </c>
      <c r="L32" s="63">
        <f>VLOOKUP(A32,'Billing Dimensions'!$A:$N,12,FALSE)-VLOOKUP(A32,'Audit Dimensions'!$A:$N,12,FALSE)</f>
        <v>0</v>
      </c>
      <c r="M32" s="63">
        <f>VLOOKUP(A32,'Billing Dimensions'!$A:$N,13,FALSE)-VLOOKUP(A32,'Audit Dimensions'!$A:$N,13,FALSE)</f>
        <v>0</v>
      </c>
      <c r="N32" s="140">
        <f>VLOOKUP(A32,'Billing Dimensions'!$A:$N,14,FALSE)-VLOOKUP(A32,'Audit Dimensions'!$A:$N,14,FALSE)</f>
        <v>0</v>
      </c>
      <c r="O32" s="145">
        <f>VLOOKUP('Audit VAR'!A32,'Audit Dimensions'!A:P,16,FALSE)</f>
        <v>10650</v>
      </c>
      <c r="P32" s="143">
        <f>VLOOKUP(A32,'Billing Dimensions'!A:Q,17,FALSE)-VLOOKUP('Audit VAR'!A32,'Audit Dimensions'!A:P,16,FALSE)</f>
        <v>-850</v>
      </c>
      <c r="Q32" s="148">
        <f t="shared" si="0"/>
        <v>-7.9812206572769953E-2</v>
      </c>
    </row>
    <row r="33" spans="1:17" ht="12.4" customHeight="1">
      <c r="A33" s="58" t="str">
        <f>'Audit Dimensions'!A33</f>
        <v>S-ATL</v>
      </c>
      <c r="B33" s="2" t="str">
        <f>VLOOKUP(A33,'Billing Dimensions'!A:B,2,FALSE)</f>
        <v>SB</v>
      </c>
      <c r="C33" s="59">
        <f>VLOOKUP(A33,'Billing Dimensions'!$A:$N,3,FALSE)-VLOOKUP(A33,'Audit Dimensions'!$A:$N,3,FALSE)</f>
        <v>0</v>
      </c>
      <c r="D33" s="59">
        <f>VLOOKUP(A33,'Billing Dimensions'!$A:$N,4,FALSE)-VLOOKUP(A33,'Audit Dimensions'!$A:$N,4,FALSE)</f>
        <v>0</v>
      </c>
      <c r="E33" s="59">
        <f>VLOOKUP(A33,'Billing Dimensions'!$A:$N,5,FALSE)-VLOOKUP(A33,'Audit Dimensions'!$A:$N,5,FALSE)</f>
        <v>0</v>
      </c>
      <c r="F33" s="137">
        <f>VLOOKUP(A33,'Billing Dimensions'!$A:$N,6,FALSE)-VLOOKUP(A33,'Audit Dimensions'!$A:$N,6,FALSE)</f>
        <v>-650</v>
      </c>
      <c r="G33" s="65">
        <f>VLOOKUP(A33,'Billing Dimensions'!$A:$N,7,FALSE)-VLOOKUP(A33,'Audit Dimensions'!$A:$N,7,FALSE)</f>
        <v>0</v>
      </c>
      <c r="H33" s="65">
        <f>VLOOKUP(A33,'Billing Dimensions'!$A:$N,8,FALSE)-VLOOKUP(A33,'Audit Dimensions'!$A:$N,8,FALSE)</f>
        <v>0</v>
      </c>
      <c r="I33" s="65">
        <f>VLOOKUP(A33,'Billing Dimensions'!$A:$N,9,FALSE)-VLOOKUP(A33,'Audit Dimensions'!$A:$N,9,FALSE)</f>
        <v>0</v>
      </c>
      <c r="J33" s="61">
        <f>VLOOKUP(A33,'Billing Dimensions'!$A:$N,10,FALSE)-VLOOKUP(A33,'Audit Dimensions'!$A:$N,10,FALSE)</f>
        <v>0</v>
      </c>
      <c r="K33" s="63">
        <f>VLOOKUP(A33,'Billing Dimensions'!$A:$N,11,FALSE)-VLOOKUP(A33,'Audit Dimensions'!$A:$N,11,FALSE)</f>
        <v>0</v>
      </c>
      <c r="L33" s="63">
        <f>VLOOKUP(A33,'Billing Dimensions'!$A:$N,12,FALSE)-VLOOKUP(A33,'Audit Dimensions'!$A:$N,12,FALSE)</f>
        <v>0</v>
      </c>
      <c r="M33" s="63">
        <f>VLOOKUP(A33,'Billing Dimensions'!$A:$N,13,FALSE)-VLOOKUP(A33,'Audit Dimensions'!$A:$N,13,FALSE)</f>
        <v>0</v>
      </c>
      <c r="N33" s="140">
        <f>VLOOKUP(A33,'Billing Dimensions'!$A:$N,14,FALSE)-VLOOKUP(A33,'Audit Dimensions'!$A:$N,14,FALSE)</f>
        <v>0</v>
      </c>
      <c r="O33" s="145">
        <f>VLOOKUP('Audit VAR'!A33,'Audit Dimensions'!A:P,16,FALSE)</f>
        <v>4450</v>
      </c>
      <c r="P33" s="143">
        <f>VLOOKUP(A33,'Billing Dimensions'!A:Q,17,FALSE)-VLOOKUP('Audit VAR'!A33,'Audit Dimensions'!A:P,16,FALSE)</f>
        <v>-650</v>
      </c>
      <c r="Q33" s="148">
        <f t="shared" si="0"/>
        <v>-0.14606741573033707</v>
      </c>
    </row>
    <row r="34" spans="1:17">
      <c r="A34" s="58" t="str">
        <f>'Audit Dimensions'!A34</f>
        <v>KH-SW-WB</v>
      </c>
      <c r="B34" s="2" t="str">
        <f>VLOOKUP(A34,'Billing Dimensions'!A:B,2,FALSE)</f>
        <v>SB</v>
      </c>
      <c r="C34" s="59">
        <f>VLOOKUP(A34,'Billing Dimensions'!$A:$N,3,FALSE)-VLOOKUP(A34,'Audit Dimensions'!$A:$N,3,FALSE)</f>
        <v>-1</v>
      </c>
      <c r="D34" s="59">
        <f>VLOOKUP(A34,'Billing Dimensions'!$A:$N,4,FALSE)-VLOOKUP(A34,'Audit Dimensions'!$A:$N,4,FALSE)</f>
        <v>0</v>
      </c>
      <c r="E34" s="59">
        <f>VLOOKUP(A34,'Billing Dimensions'!$A:$N,5,FALSE)-VLOOKUP(A34,'Audit Dimensions'!$A:$N,5,FALSE)</f>
        <v>0</v>
      </c>
      <c r="F34" s="137">
        <f>VLOOKUP(A34,'Billing Dimensions'!$A:$N,6,FALSE)-VLOOKUP(A34,'Audit Dimensions'!$A:$N,6,FALSE)</f>
        <v>-6</v>
      </c>
      <c r="G34" s="65">
        <f>VLOOKUP(A34,'Billing Dimensions'!$A:$N,7,FALSE)-VLOOKUP(A34,'Audit Dimensions'!$A:$N,7,FALSE)</f>
        <v>0</v>
      </c>
      <c r="H34" s="65">
        <f>VLOOKUP(A34,'Billing Dimensions'!$A:$N,8,FALSE)-VLOOKUP(A34,'Audit Dimensions'!$A:$N,8,FALSE)</f>
        <v>0</v>
      </c>
      <c r="I34" s="65">
        <f>VLOOKUP(A34,'Billing Dimensions'!$A:$N,9,FALSE)-VLOOKUP(A34,'Audit Dimensions'!$A:$N,9,FALSE)</f>
        <v>0</v>
      </c>
      <c r="J34" s="61">
        <f>VLOOKUP(A34,'Billing Dimensions'!$A:$N,10,FALSE)-VLOOKUP(A34,'Audit Dimensions'!$A:$N,10,FALSE)</f>
        <v>0</v>
      </c>
      <c r="K34" s="63">
        <f>VLOOKUP(A34,'Billing Dimensions'!$A:$N,11,FALSE)-VLOOKUP(A34,'Audit Dimensions'!$A:$N,11,FALSE)</f>
        <v>0</v>
      </c>
      <c r="L34" s="63">
        <f>VLOOKUP(A34,'Billing Dimensions'!$A:$N,12,FALSE)-VLOOKUP(A34,'Audit Dimensions'!$A:$N,12,FALSE)</f>
        <v>0</v>
      </c>
      <c r="M34" s="63">
        <f>VLOOKUP(A34,'Billing Dimensions'!$A:$N,13,FALSE)-VLOOKUP(A34,'Audit Dimensions'!$A:$N,13,FALSE)</f>
        <v>0</v>
      </c>
      <c r="N34" s="140">
        <f>VLOOKUP(A34,'Billing Dimensions'!$A:$N,14,FALSE)-VLOOKUP(A34,'Audit Dimensions'!$A:$N,14,FALSE)</f>
        <v>0</v>
      </c>
      <c r="O34" s="145">
        <f>VLOOKUP('Audit VAR'!A34,'Audit Dimensions'!A:P,16,FALSE)</f>
        <v>306</v>
      </c>
      <c r="P34" s="143">
        <f>VLOOKUP(A34,'Billing Dimensions'!A:Q,17,FALSE)-VLOOKUP('Audit VAR'!A34,'Audit Dimensions'!A:P,16,FALSE)</f>
        <v>-6</v>
      </c>
      <c r="Q34" s="148">
        <f t="shared" si="0"/>
        <v>-1.9607843137254902E-2</v>
      </c>
    </row>
    <row r="35" spans="1:17">
      <c r="A35" s="58" t="str">
        <f>'Audit Dimensions'!A35</f>
        <v>TU-ATD</v>
      </c>
      <c r="B35" s="2" t="str">
        <f>VLOOKUP(A35,'Billing Dimensions'!A:B,2,FALSE)</f>
        <v>SB</v>
      </c>
      <c r="C35" s="59">
        <f>VLOOKUP(A35,'Billing Dimensions'!$A:$N,3,FALSE)-VLOOKUP(A35,'Audit Dimensions'!$A:$N,3,FALSE)</f>
        <v>0</v>
      </c>
      <c r="D35" s="59">
        <f>VLOOKUP(A35,'Billing Dimensions'!$A:$N,4,FALSE)-VLOOKUP(A35,'Audit Dimensions'!$A:$N,4,FALSE)</f>
        <v>0</v>
      </c>
      <c r="E35" s="59">
        <f>VLOOKUP(A35,'Billing Dimensions'!$A:$N,5,FALSE)-VLOOKUP(A35,'Audit Dimensions'!$A:$N,5,FALSE)</f>
        <v>0</v>
      </c>
      <c r="F35" s="137">
        <f>VLOOKUP(A35,'Billing Dimensions'!$A:$N,6,FALSE)-VLOOKUP(A35,'Audit Dimensions'!$A:$N,6,FALSE)</f>
        <v>-1500</v>
      </c>
      <c r="G35" s="65">
        <f>VLOOKUP(A35,'Billing Dimensions'!$A:$N,7,FALSE)-VLOOKUP(A35,'Audit Dimensions'!$A:$N,7,FALSE)</f>
        <v>0</v>
      </c>
      <c r="H35" s="65">
        <f>VLOOKUP(A35,'Billing Dimensions'!$A:$N,8,FALSE)-VLOOKUP(A35,'Audit Dimensions'!$A:$N,8,FALSE)</f>
        <v>0</v>
      </c>
      <c r="I35" s="65">
        <f>VLOOKUP(A35,'Billing Dimensions'!$A:$N,9,FALSE)-VLOOKUP(A35,'Audit Dimensions'!$A:$N,9,FALSE)</f>
        <v>0</v>
      </c>
      <c r="J35" s="61">
        <f>VLOOKUP(A35,'Billing Dimensions'!$A:$N,10,FALSE)-VLOOKUP(A35,'Audit Dimensions'!$A:$N,10,FALSE)</f>
        <v>0</v>
      </c>
      <c r="K35" s="63">
        <f>VLOOKUP(A35,'Billing Dimensions'!$A:$N,11,FALSE)-VLOOKUP(A35,'Audit Dimensions'!$A:$N,11,FALSE)</f>
        <v>0</v>
      </c>
      <c r="L35" s="63">
        <f>VLOOKUP(A35,'Billing Dimensions'!$A:$N,12,FALSE)-VLOOKUP(A35,'Audit Dimensions'!$A:$N,12,FALSE)</f>
        <v>0</v>
      </c>
      <c r="M35" s="63">
        <f>VLOOKUP(A35,'Billing Dimensions'!$A:$N,13,FALSE)-VLOOKUP(A35,'Audit Dimensions'!$A:$N,13,FALSE)</f>
        <v>0</v>
      </c>
      <c r="N35" s="140">
        <f>VLOOKUP(A35,'Billing Dimensions'!$A:$N,14,FALSE)-VLOOKUP(A35,'Audit Dimensions'!$A:$N,14,FALSE)</f>
        <v>0</v>
      </c>
      <c r="O35" s="145">
        <f>VLOOKUP('Audit VAR'!A35,'Audit Dimensions'!A:P,16,FALSE)</f>
        <v>23000</v>
      </c>
      <c r="P35" s="143">
        <f>VLOOKUP(A35,'Billing Dimensions'!A:Q,17,FALSE)-VLOOKUP('Audit VAR'!A35,'Audit Dimensions'!A:P,16,FALSE)</f>
        <v>-1500</v>
      </c>
      <c r="Q35" s="148">
        <f t="shared" si="0"/>
        <v>-6.5217391304347824E-2</v>
      </c>
    </row>
    <row r="36" spans="1:17">
      <c r="A36" s="58" t="str">
        <f>'Audit Dimensions'!A36</f>
        <v>TU-KVD-LA</v>
      </c>
      <c r="B36" s="2" t="str">
        <f>VLOOKUP(A36,'Billing Dimensions'!A:B,2,FALSE)</f>
        <v>SB</v>
      </c>
      <c r="C36" s="59">
        <f>VLOOKUP(A36,'Billing Dimensions'!$A:$N,3,FALSE)-VLOOKUP(A36,'Audit Dimensions'!$A:$N,3,FALSE)</f>
        <v>0</v>
      </c>
      <c r="D36" s="59">
        <f>VLOOKUP(A36,'Billing Dimensions'!$A:$N,4,FALSE)-VLOOKUP(A36,'Audit Dimensions'!$A:$N,4,FALSE)</f>
        <v>0</v>
      </c>
      <c r="E36" s="59">
        <f>VLOOKUP(A36,'Billing Dimensions'!$A:$N,5,FALSE)-VLOOKUP(A36,'Audit Dimensions'!$A:$N,5,FALSE)</f>
        <v>0</v>
      </c>
      <c r="F36" s="137">
        <f>VLOOKUP(A36,'Billing Dimensions'!$A:$N,6,FALSE)-VLOOKUP(A36,'Audit Dimensions'!$A:$N,6,FALSE)</f>
        <v>-350</v>
      </c>
      <c r="G36" s="65">
        <f>VLOOKUP(A36,'Billing Dimensions'!$A:$N,7,FALSE)-VLOOKUP(A36,'Audit Dimensions'!$A:$N,7,FALSE)</f>
        <v>0</v>
      </c>
      <c r="H36" s="65">
        <f>VLOOKUP(A36,'Billing Dimensions'!$A:$N,8,FALSE)-VLOOKUP(A36,'Audit Dimensions'!$A:$N,8,FALSE)</f>
        <v>0</v>
      </c>
      <c r="I36" s="65">
        <f>VLOOKUP(A36,'Billing Dimensions'!$A:$N,9,FALSE)-VLOOKUP(A36,'Audit Dimensions'!$A:$N,9,FALSE)</f>
        <v>0</v>
      </c>
      <c r="J36" s="61">
        <f>VLOOKUP(A36,'Billing Dimensions'!$A:$N,10,FALSE)-VLOOKUP(A36,'Audit Dimensions'!$A:$N,10,FALSE)</f>
        <v>0</v>
      </c>
      <c r="K36" s="63">
        <f>VLOOKUP(A36,'Billing Dimensions'!$A:$N,11,FALSE)-VLOOKUP(A36,'Audit Dimensions'!$A:$N,11,FALSE)</f>
        <v>0</v>
      </c>
      <c r="L36" s="63">
        <f>VLOOKUP(A36,'Billing Dimensions'!$A:$N,12,FALSE)-VLOOKUP(A36,'Audit Dimensions'!$A:$N,12,FALSE)</f>
        <v>0</v>
      </c>
      <c r="M36" s="63">
        <f>VLOOKUP(A36,'Billing Dimensions'!$A:$N,13,FALSE)-VLOOKUP(A36,'Audit Dimensions'!$A:$N,13,FALSE)</f>
        <v>0</v>
      </c>
      <c r="N36" s="140">
        <f>VLOOKUP(A36,'Billing Dimensions'!$A:$N,14,FALSE)-VLOOKUP(A36,'Audit Dimensions'!$A:$N,14,FALSE)</f>
        <v>0</v>
      </c>
      <c r="O36" s="145">
        <f>VLOOKUP('Audit VAR'!A36,'Audit Dimensions'!A:P,16,FALSE)</f>
        <v>5200</v>
      </c>
      <c r="P36" s="143">
        <f>VLOOKUP(A36,'Billing Dimensions'!A:Q,17,FALSE)-VLOOKUP('Audit VAR'!A36,'Audit Dimensions'!A:P,16,FALSE)</f>
        <v>-350</v>
      </c>
      <c r="Q36" s="148">
        <f t="shared" si="0"/>
        <v>-6.7307692307692304E-2</v>
      </c>
    </row>
    <row r="37" spans="1:17">
      <c r="A37" s="58" t="str">
        <f>'Audit Dimensions'!A37</f>
        <v>CT-MT-RT</v>
      </c>
      <c r="B37" s="2" t="str">
        <f>VLOOKUP(A37,'Billing Dimensions'!A:B,2,FALSE)</f>
        <v>MB</v>
      </c>
      <c r="C37" s="59">
        <f>VLOOKUP(A37,'Billing Dimensions'!$A:$N,3,FALSE)-VLOOKUP(A37,'Audit Dimensions'!$A:$N,3,FALSE)</f>
        <v>0</v>
      </c>
      <c r="D37" s="59">
        <f>VLOOKUP(A37,'Billing Dimensions'!$A:$N,4,FALSE)-VLOOKUP(A37,'Audit Dimensions'!$A:$N,4,FALSE)</f>
        <v>0</v>
      </c>
      <c r="E37" s="59">
        <f>VLOOKUP(A37,'Billing Dimensions'!$A:$N,5,FALSE)-VLOOKUP(A37,'Audit Dimensions'!$A:$N,5,FALSE)</f>
        <v>0</v>
      </c>
      <c r="F37" s="137">
        <f>VLOOKUP(A37,'Billing Dimensions'!$A:$N,6,FALSE)-VLOOKUP(A37,'Audit Dimensions'!$A:$N,6,FALSE)</f>
        <v>-250</v>
      </c>
      <c r="G37" s="65">
        <f>VLOOKUP(A37,'Billing Dimensions'!$A:$N,7,FALSE)-VLOOKUP(A37,'Audit Dimensions'!$A:$N,7,FALSE)</f>
        <v>-6</v>
      </c>
      <c r="H37" s="65">
        <f>VLOOKUP(A37,'Billing Dimensions'!$A:$N,8,FALSE)-VLOOKUP(A37,'Audit Dimensions'!$A:$N,8,FALSE)</f>
        <v>-2</v>
      </c>
      <c r="I37" s="65">
        <f>VLOOKUP(A37,'Billing Dimensions'!$A:$N,9,FALSE)-VLOOKUP(A37,'Audit Dimensions'!$A:$N,9,FALSE)</f>
        <v>0</v>
      </c>
      <c r="J37" s="61">
        <f>VLOOKUP(A37,'Billing Dimensions'!$A:$N,10,FALSE)-VLOOKUP(A37,'Audit Dimensions'!$A:$N,10,FALSE)</f>
        <v>-270</v>
      </c>
      <c r="K37" s="63">
        <f>VLOOKUP(A37,'Billing Dimensions'!$A:$N,11,FALSE)-VLOOKUP(A37,'Audit Dimensions'!$A:$N,11,FALSE)</f>
        <v>0</v>
      </c>
      <c r="L37" s="63">
        <f>VLOOKUP(A37,'Billing Dimensions'!$A:$N,12,FALSE)-VLOOKUP(A37,'Audit Dimensions'!$A:$N,12,FALSE)</f>
        <v>0</v>
      </c>
      <c r="M37" s="63">
        <f>VLOOKUP(A37,'Billing Dimensions'!$A:$N,13,FALSE)-VLOOKUP(A37,'Audit Dimensions'!$A:$N,13,FALSE)</f>
        <v>0</v>
      </c>
      <c r="N37" s="140">
        <f>VLOOKUP(A37,'Billing Dimensions'!$A:$N,14,FALSE)-VLOOKUP(A37,'Audit Dimensions'!$A:$N,14,FALSE)</f>
        <v>0</v>
      </c>
      <c r="O37" s="145">
        <f>VLOOKUP('Audit VAR'!A37,'Audit Dimensions'!A:P,16,FALSE)</f>
        <v>6520</v>
      </c>
      <c r="P37" s="143">
        <f>VLOOKUP(A37,'Billing Dimensions'!A:Q,17,FALSE)-VLOOKUP('Audit VAR'!A37,'Audit Dimensions'!A:P,16,FALSE)</f>
        <v>-520</v>
      </c>
      <c r="Q37" s="148">
        <f t="shared" si="0"/>
        <v>-7.9754601226993863E-2</v>
      </c>
    </row>
    <row r="38" spans="1:17">
      <c r="A38" s="58" t="str">
        <f>'Audit Dimensions'!A38</f>
        <v>ST-HE</v>
      </c>
      <c r="B38" s="2" t="str">
        <f>VLOOKUP(A38,'Billing Dimensions'!A:B,2,FALSE)</f>
        <v>SB</v>
      </c>
      <c r="C38" s="59">
        <f>VLOOKUP(A38,'Billing Dimensions'!$A:$N,3,FALSE)-VLOOKUP(A38,'Audit Dimensions'!$A:$N,3,FALSE)</f>
        <v>0</v>
      </c>
      <c r="D38" s="59">
        <f>VLOOKUP(A38,'Billing Dimensions'!$A:$N,4,FALSE)-VLOOKUP(A38,'Audit Dimensions'!$A:$N,4,FALSE)</f>
        <v>0</v>
      </c>
      <c r="E38" s="59">
        <f>VLOOKUP(A38,'Billing Dimensions'!$A:$N,5,FALSE)-VLOOKUP(A38,'Audit Dimensions'!$A:$N,5,FALSE)</f>
        <v>0</v>
      </c>
      <c r="F38" s="137">
        <f>VLOOKUP(A38,'Billing Dimensions'!$A:$N,6,FALSE)-VLOOKUP(A38,'Audit Dimensions'!$A:$N,6,FALSE)</f>
        <v>-700</v>
      </c>
      <c r="G38" s="65">
        <f>VLOOKUP(A38,'Billing Dimensions'!$A:$N,7,FALSE)-VLOOKUP(A38,'Audit Dimensions'!$A:$N,7,FALSE)</f>
        <v>0</v>
      </c>
      <c r="H38" s="65">
        <f>VLOOKUP(A38,'Billing Dimensions'!$A:$N,8,FALSE)-VLOOKUP(A38,'Audit Dimensions'!$A:$N,8,FALSE)</f>
        <v>0</v>
      </c>
      <c r="I38" s="65">
        <f>VLOOKUP(A38,'Billing Dimensions'!$A:$N,9,FALSE)-VLOOKUP(A38,'Audit Dimensions'!$A:$N,9,FALSE)</f>
        <v>0</v>
      </c>
      <c r="J38" s="61">
        <f>VLOOKUP(A38,'Billing Dimensions'!$A:$N,10,FALSE)-VLOOKUP(A38,'Audit Dimensions'!$A:$N,10,FALSE)</f>
        <v>0</v>
      </c>
      <c r="K38" s="63">
        <f>VLOOKUP(A38,'Billing Dimensions'!$A:$N,11,FALSE)-VLOOKUP(A38,'Audit Dimensions'!$A:$N,11,FALSE)</f>
        <v>0</v>
      </c>
      <c r="L38" s="63">
        <f>VLOOKUP(A38,'Billing Dimensions'!$A:$N,12,FALSE)-VLOOKUP(A38,'Audit Dimensions'!$A:$N,12,FALSE)</f>
        <v>0</v>
      </c>
      <c r="M38" s="63">
        <f>VLOOKUP(A38,'Billing Dimensions'!$A:$N,13,FALSE)-VLOOKUP(A38,'Audit Dimensions'!$A:$N,13,FALSE)</f>
        <v>0</v>
      </c>
      <c r="N38" s="140">
        <f>VLOOKUP(A38,'Billing Dimensions'!$A:$N,14,FALSE)-VLOOKUP(A38,'Audit Dimensions'!$A:$N,14,FALSE)</f>
        <v>0</v>
      </c>
      <c r="O38" s="145">
        <f>VLOOKUP('Audit VAR'!A38,'Audit Dimensions'!A:P,16,FALSE)</f>
        <v>7590</v>
      </c>
      <c r="P38" s="143">
        <f>VLOOKUP(A38,'Billing Dimensions'!A:Q,17,FALSE)-VLOOKUP('Audit VAR'!A38,'Audit Dimensions'!A:P,16,FALSE)</f>
        <v>-700</v>
      </c>
      <c r="Q38" s="148">
        <f t="shared" si="0"/>
        <v>-9.22266139657444E-2</v>
      </c>
    </row>
    <row r="39" spans="1:17">
      <c r="A39" s="58" t="str">
        <f>'Audit Dimensions'!A39</f>
        <v>TU-SKD</v>
      </c>
      <c r="B39" s="2" t="str">
        <f>VLOOKUP(A39,'Billing Dimensions'!A:B,2,FALSE)</f>
        <v>SB</v>
      </c>
      <c r="C39" s="59">
        <f>VLOOKUP(A39,'Billing Dimensions'!$A:$N,3,FALSE)-VLOOKUP(A39,'Audit Dimensions'!$A:$N,3,FALSE)</f>
        <v>0</v>
      </c>
      <c r="D39" s="59">
        <f>VLOOKUP(A39,'Billing Dimensions'!$A:$N,4,FALSE)-VLOOKUP(A39,'Audit Dimensions'!$A:$N,4,FALSE)</f>
        <v>0</v>
      </c>
      <c r="E39" s="59">
        <f>VLOOKUP(A39,'Billing Dimensions'!$A:$N,5,FALSE)-VLOOKUP(A39,'Audit Dimensions'!$A:$N,5,FALSE)</f>
        <v>0</v>
      </c>
      <c r="F39" s="137">
        <f>VLOOKUP(A39,'Billing Dimensions'!$A:$N,6,FALSE)-VLOOKUP(A39,'Audit Dimensions'!$A:$N,6,FALSE)</f>
        <v>-1250</v>
      </c>
      <c r="G39" s="65">
        <f>VLOOKUP(A39,'Billing Dimensions'!$A:$N,7,FALSE)-VLOOKUP(A39,'Audit Dimensions'!$A:$N,7,FALSE)</f>
        <v>0</v>
      </c>
      <c r="H39" s="65">
        <f>VLOOKUP(A39,'Billing Dimensions'!$A:$N,8,FALSE)-VLOOKUP(A39,'Audit Dimensions'!$A:$N,8,FALSE)</f>
        <v>0</v>
      </c>
      <c r="I39" s="65">
        <f>VLOOKUP(A39,'Billing Dimensions'!$A:$N,9,FALSE)-VLOOKUP(A39,'Audit Dimensions'!$A:$N,9,FALSE)</f>
        <v>0</v>
      </c>
      <c r="J39" s="61">
        <f>VLOOKUP(A39,'Billing Dimensions'!$A:$N,10,FALSE)-VLOOKUP(A39,'Audit Dimensions'!$A:$N,10,FALSE)</f>
        <v>0</v>
      </c>
      <c r="K39" s="63">
        <f>VLOOKUP(A39,'Billing Dimensions'!$A:$N,11,FALSE)-VLOOKUP(A39,'Audit Dimensions'!$A:$N,11,FALSE)</f>
        <v>0</v>
      </c>
      <c r="L39" s="63">
        <f>VLOOKUP(A39,'Billing Dimensions'!$A:$N,12,FALSE)-VLOOKUP(A39,'Audit Dimensions'!$A:$N,12,FALSE)</f>
        <v>0</v>
      </c>
      <c r="M39" s="63">
        <f>VLOOKUP(A39,'Billing Dimensions'!$A:$N,13,FALSE)-VLOOKUP(A39,'Audit Dimensions'!$A:$N,13,FALSE)</f>
        <v>0</v>
      </c>
      <c r="N39" s="140">
        <f>VLOOKUP(A39,'Billing Dimensions'!$A:$N,14,FALSE)-VLOOKUP(A39,'Audit Dimensions'!$A:$N,14,FALSE)</f>
        <v>0</v>
      </c>
      <c r="O39" s="145">
        <f>VLOOKUP('Audit VAR'!A39,'Audit Dimensions'!A:P,16,FALSE)</f>
        <v>29750</v>
      </c>
      <c r="P39" s="143">
        <f>VLOOKUP(A39,'Billing Dimensions'!A:Q,17,FALSE)-VLOOKUP('Audit VAR'!A39,'Audit Dimensions'!A:P,16,FALSE)</f>
        <v>-1250</v>
      </c>
      <c r="Q39" s="148">
        <f t="shared" si="0"/>
        <v>-4.2016806722689079E-2</v>
      </c>
    </row>
    <row r="40" spans="1:17">
      <c r="A40" s="58" t="str">
        <f>'Audit Dimensions'!A40</f>
        <v>SB-SN-N</v>
      </c>
      <c r="B40" s="2" t="str">
        <f>VLOOKUP(A40,'Billing Dimensions'!A:B,2,FALSE)</f>
        <v>SB</v>
      </c>
      <c r="C40" s="59">
        <f>VLOOKUP(A40,'Billing Dimensions'!$A:$N,3,FALSE)-VLOOKUP(A40,'Audit Dimensions'!$A:$N,3,FALSE)</f>
        <v>0</v>
      </c>
      <c r="D40" s="59">
        <f>VLOOKUP(A40,'Billing Dimensions'!$A:$N,4,FALSE)-VLOOKUP(A40,'Audit Dimensions'!$A:$N,4,FALSE)</f>
        <v>0</v>
      </c>
      <c r="E40" s="59">
        <f>VLOOKUP(A40,'Billing Dimensions'!$A:$N,5,FALSE)-VLOOKUP(A40,'Audit Dimensions'!$A:$N,5,FALSE)</f>
        <v>0</v>
      </c>
      <c r="F40" s="137">
        <f>VLOOKUP(A40,'Billing Dimensions'!$A:$N,6,FALSE)-VLOOKUP(A40,'Audit Dimensions'!$A:$N,6,FALSE)</f>
        <v>-1200</v>
      </c>
      <c r="G40" s="65">
        <f>VLOOKUP(A40,'Billing Dimensions'!$A:$N,7,FALSE)-VLOOKUP(A40,'Audit Dimensions'!$A:$N,7,FALSE)</f>
        <v>0</v>
      </c>
      <c r="H40" s="65">
        <f>VLOOKUP(A40,'Billing Dimensions'!$A:$N,8,FALSE)-VLOOKUP(A40,'Audit Dimensions'!$A:$N,8,FALSE)</f>
        <v>0</v>
      </c>
      <c r="I40" s="65">
        <f>VLOOKUP(A40,'Billing Dimensions'!$A:$N,9,FALSE)-VLOOKUP(A40,'Audit Dimensions'!$A:$N,9,FALSE)</f>
        <v>0</v>
      </c>
      <c r="J40" s="61">
        <f>VLOOKUP(A40,'Billing Dimensions'!$A:$N,10,FALSE)-VLOOKUP(A40,'Audit Dimensions'!$A:$N,10,FALSE)</f>
        <v>0</v>
      </c>
      <c r="K40" s="63">
        <f>VLOOKUP(A40,'Billing Dimensions'!$A:$N,11,FALSE)-VLOOKUP(A40,'Audit Dimensions'!$A:$N,11,FALSE)</f>
        <v>0</v>
      </c>
      <c r="L40" s="63">
        <f>VLOOKUP(A40,'Billing Dimensions'!$A:$N,12,FALSE)-VLOOKUP(A40,'Audit Dimensions'!$A:$N,12,FALSE)</f>
        <v>0</v>
      </c>
      <c r="M40" s="63">
        <f>VLOOKUP(A40,'Billing Dimensions'!$A:$N,13,FALSE)-VLOOKUP(A40,'Audit Dimensions'!$A:$N,13,FALSE)</f>
        <v>0</v>
      </c>
      <c r="N40" s="140">
        <f>VLOOKUP(A40,'Billing Dimensions'!$A:$N,14,FALSE)-VLOOKUP(A40,'Audit Dimensions'!$A:$N,14,FALSE)</f>
        <v>0</v>
      </c>
      <c r="O40" s="145">
        <f>VLOOKUP('Audit VAR'!A40,'Audit Dimensions'!A:P,16,FALSE)</f>
        <v>25600</v>
      </c>
      <c r="P40" s="143">
        <f>VLOOKUP(A40,'Billing Dimensions'!A:Q,17,FALSE)-VLOOKUP('Audit VAR'!A40,'Audit Dimensions'!A:P,16,FALSE)</f>
        <v>-1200</v>
      </c>
      <c r="Q40" s="148">
        <f t="shared" si="0"/>
        <v>-4.6875E-2</v>
      </c>
    </row>
    <row r="41" spans="1:17" ht="12.4" customHeight="1">
      <c r="A41" s="58" t="str">
        <f>'Audit Dimensions'!A41</f>
        <v>CT-TYU</v>
      </c>
      <c r="B41" s="2" t="str">
        <f>VLOOKUP(A41,'Billing Dimensions'!A:B,2,FALSE)</f>
        <v>SB</v>
      </c>
      <c r="C41" s="59">
        <f>VLOOKUP(A41,'Billing Dimensions'!$A:$N,3,FALSE)-VLOOKUP(A41,'Audit Dimensions'!$A:$N,3,FALSE)</f>
        <v>0</v>
      </c>
      <c r="D41" s="59">
        <f>VLOOKUP(A41,'Billing Dimensions'!$A:$N,4,FALSE)-VLOOKUP(A41,'Audit Dimensions'!$A:$N,4,FALSE)</f>
        <v>0</v>
      </c>
      <c r="E41" s="59">
        <f>VLOOKUP(A41,'Billing Dimensions'!$A:$N,5,FALSE)-VLOOKUP(A41,'Audit Dimensions'!$A:$N,5,FALSE)</f>
        <v>0</v>
      </c>
      <c r="F41" s="137">
        <f>VLOOKUP(A41,'Billing Dimensions'!$A:$N,6,FALSE)-VLOOKUP(A41,'Audit Dimensions'!$A:$N,6,FALSE)</f>
        <v>-940</v>
      </c>
      <c r="G41" s="65">
        <f>VLOOKUP(A41,'Billing Dimensions'!$A:$N,7,FALSE)-VLOOKUP(A41,'Audit Dimensions'!$A:$N,7,FALSE)</f>
        <v>0</v>
      </c>
      <c r="H41" s="65">
        <f>VLOOKUP(A41,'Billing Dimensions'!$A:$N,8,FALSE)-VLOOKUP(A41,'Audit Dimensions'!$A:$N,8,FALSE)</f>
        <v>0</v>
      </c>
      <c r="I41" s="65">
        <f>VLOOKUP(A41,'Billing Dimensions'!$A:$N,9,FALSE)-VLOOKUP(A41,'Audit Dimensions'!$A:$N,9,FALSE)</f>
        <v>0</v>
      </c>
      <c r="J41" s="61">
        <f>VLOOKUP(A41,'Billing Dimensions'!$A:$N,10,FALSE)-VLOOKUP(A41,'Audit Dimensions'!$A:$N,10,FALSE)</f>
        <v>0</v>
      </c>
      <c r="K41" s="63">
        <f>VLOOKUP(A41,'Billing Dimensions'!$A:$N,11,FALSE)-VLOOKUP(A41,'Audit Dimensions'!$A:$N,11,FALSE)</f>
        <v>0</v>
      </c>
      <c r="L41" s="63">
        <f>VLOOKUP(A41,'Billing Dimensions'!$A:$N,12,FALSE)-VLOOKUP(A41,'Audit Dimensions'!$A:$N,12,FALSE)</f>
        <v>0</v>
      </c>
      <c r="M41" s="63">
        <f>VLOOKUP(A41,'Billing Dimensions'!$A:$N,13,FALSE)-VLOOKUP(A41,'Audit Dimensions'!$A:$N,13,FALSE)</f>
        <v>0</v>
      </c>
      <c r="N41" s="140">
        <f>VLOOKUP(A41,'Billing Dimensions'!$A:$N,14,FALSE)-VLOOKUP(A41,'Audit Dimensions'!$A:$N,14,FALSE)</f>
        <v>0</v>
      </c>
      <c r="O41" s="145">
        <f>VLOOKUP('Audit VAR'!A41,'Audit Dimensions'!A:P,16,FALSE)</f>
        <v>9740</v>
      </c>
      <c r="P41" s="143">
        <f>VLOOKUP(A41,'Billing Dimensions'!A:Q,17,FALSE)-VLOOKUP('Audit VAR'!A41,'Audit Dimensions'!A:P,16,FALSE)</f>
        <v>-940</v>
      </c>
      <c r="Q41" s="148">
        <f t="shared" si="0"/>
        <v>-9.6509240246406572E-2</v>
      </c>
    </row>
    <row r="42" spans="1:17">
      <c r="A42" s="58" t="str">
        <f>'Audit Dimensions'!A42</f>
        <v>ST-EFI-LA</v>
      </c>
      <c r="B42" s="2" t="str">
        <f>VLOOKUP(A42,'Billing Dimensions'!A:B,2,FALSE)</f>
        <v>SB</v>
      </c>
      <c r="C42" s="59">
        <f>VLOOKUP(A42,'Billing Dimensions'!$A:$N,3,FALSE)-VLOOKUP(A42,'Audit Dimensions'!$A:$N,3,FALSE)</f>
        <v>0</v>
      </c>
      <c r="D42" s="59">
        <f>VLOOKUP(A42,'Billing Dimensions'!$A:$N,4,FALSE)-VLOOKUP(A42,'Audit Dimensions'!$A:$N,4,FALSE)</f>
        <v>0</v>
      </c>
      <c r="E42" s="59">
        <f>VLOOKUP(A42,'Billing Dimensions'!$A:$N,5,FALSE)-VLOOKUP(A42,'Audit Dimensions'!$A:$N,5,FALSE)</f>
        <v>0</v>
      </c>
      <c r="F42" s="137">
        <f>VLOOKUP(A42,'Billing Dimensions'!$A:$N,6,FALSE)-VLOOKUP(A42,'Audit Dimensions'!$A:$N,6,FALSE)</f>
        <v>-720</v>
      </c>
      <c r="G42" s="65">
        <f>VLOOKUP(A42,'Billing Dimensions'!$A:$N,7,FALSE)-VLOOKUP(A42,'Audit Dimensions'!$A:$N,7,FALSE)</f>
        <v>0</v>
      </c>
      <c r="H42" s="65">
        <f>VLOOKUP(A42,'Billing Dimensions'!$A:$N,8,FALSE)-VLOOKUP(A42,'Audit Dimensions'!$A:$N,8,FALSE)</f>
        <v>0</v>
      </c>
      <c r="I42" s="65">
        <f>VLOOKUP(A42,'Billing Dimensions'!$A:$N,9,FALSE)-VLOOKUP(A42,'Audit Dimensions'!$A:$N,9,FALSE)</f>
        <v>0</v>
      </c>
      <c r="J42" s="61">
        <f>VLOOKUP(A42,'Billing Dimensions'!$A:$N,10,FALSE)-VLOOKUP(A42,'Audit Dimensions'!$A:$N,10,FALSE)</f>
        <v>0</v>
      </c>
      <c r="K42" s="63">
        <f>VLOOKUP(A42,'Billing Dimensions'!$A:$N,11,FALSE)-VLOOKUP(A42,'Audit Dimensions'!$A:$N,11,FALSE)</f>
        <v>0</v>
      </c>
      <c r="L42" s="63">
        <f>VLOOKUP(A42,'Billing Dimensions'!$A:$N,12,FALSE)-VLOOKUP(A42,'Audit Dimensions'!$A:$N,12,FALSE)</f>
        <v>0</v>
      </c>
      <c r="M42" s="63">
        <f>VLOOKUP(A42,'Billing Dimensions'!$A:$N,13,FALSE)-VLOOKUP(A42,'Audit Dimensions'!$A:$N,13,FALSE)</f>
        <v>0</v>
      </c>
      <c r="N42" s="140">
        <f>VLOOKUP(A42,'Billing Dimensions'!$A:$N,14,FALSE)-VLOOKUP(A42,'Audit Dimensions'!$A:$N,14,FALSE)</f>
        <v>0</v>
      </c>
      <c r="O42" s="145">
        <f>VLOOKUP('Audit VAR'!A42,'Audit Dimensions'!A:P,16,FALSE)</f>
        <v>16520</v>
      </c>
      <c r="P42" s="143">
        <f>VLOOKUP(A42,'Billing Dimensions'!A:Q,17,FALSE)-VLOOKUP('Audit VAR'!A42,'Audit Dimensions'!A:P,16,FALSE)</f>
        <v>-720</v>
      </c>
      <c r="Q42" s="148">
        <f t="shared" si="0"/>
        <v>-4.3583535108958835E-2</v>
      </c>
    </row>
    <row r="43" spans="1:17" ht="12.4" customHeight="1">
      <c r="A43" s="58" t="str">
        <f>'Audit Dimensions'!A43</f>
        <v>TU-CBR-LA</v>
      </c>
      <c r="B43" s="2" t="str">
        <f>VLOOKUP(A43,'Billing Dimensions'!A:B,2,FALSE)</f>
        <v>SB</v>
      </c>
      <c r="C43" s="59">
        <f>VLOOKUP(A43,'Billing Dimensions'!$A:$N,3,FALSE)-VLOOKUP(A43,'Audit Dimensions'!$A:$N,3,FALSE)</f>
        <v>0</v>
      </c>
      <c r="D43" s="59">
        <f>VLOOKUP(A43,'Billing Dimensions'!$A:$N,4,FALSE)-VLOOKUP(A43,'Audit Dimensions'!$A:$N,4,FALSE)</f>
        <v>0</v>
      </c>
      <c r="E43" s="59">
        <f>VLOOKUP(A43,'Billing Dimensions'!$A:$N,5,FALSE)-VLOOKUP(A43,'Audit Dimensions'!$A:$N,5,FALSE)</f>
        <v>0</v>
      </c>
      <c r="F43" s="137">
        <f>VLOOKUP(A43,'Billing Dimensions'!$A:$N,6,FALSE)-VLOOKUP(A43,'Audit Dimensions'!$A:$N,6,FALSE)</f>
        <v>-100</v>
      </c>
      <c r="G43" s="65">
        <f>VLOOKUP(A43,'Billing Dimensions'!$A:$N,7,FALSE)-VLOOKUP(A43,'Audit Dimensions'!$A:$N,7,FALSE)</f>
        <v>0</v>
      </c>
      <c r="H43" s="65">
        <f>VLOOKUP(A43,'Billing Dimensions'!$A:$N,8,FALSE)-VLOOKUP(A43,'Audit Dimensions'!$A:$N,8,FALSE)</f>
        <v>0</v>
      </c>
      <c r="I43" s="65">
        <f>VLOOKUP(A43,'Billing Dimensions'!$A:$N,9,FALSE)-VLOOKUP(A43,'Audit Dimensions'!$A:$N,9,FALSE)</f>
        <v>0</v>
      </c>
      <c r="J43" s="61">
        <f>VLOOKUP(A43,'Billing Dimensions'!$A:$N,10,FALSE)-VLOOKUP(A43,'Audit Dimensions'!$A:$N,10,FALSE)</f>
        <v>0</v>
      </c>
      <c r="K43" s="63">
        <f>VLOOKUP(A43,'Billing Dimensions'!$A:$N,11,FALSE)-VLOOKUP(A43,'Audit Dimensions'!$A:$N,11,FALSE)</f>
        <v>0</v>
      </c>
      <c r="L43" s="63">
        <f>VLOOKUP(A43,'Billing Dimensions'!$A:$N,12,FALSE)-VLOOKUP(A43,'Audit Dimensions'!$A:$N,12,FALSE)</f>
        <v>0</v>
      </c>
      <c r="M43" s="63">
        <f>VLOOKUP(A43,'Billing Dimensions'!$A:$N,13,FALSE)-VLOOKUP(A43,'Audit Dimensions'!$A:$N,13,FALSE)</f>
        <v>0</v>
      </c>
      <c r="N43" s="140">
        <f>VLOOKUP(A43,'Billing Dimensions'!$A:$N,14,FALSE)-VLOOKUP(A43,'Audit Dimensions'!$A:$N,14,FALSE)</f>
        <v>0</v>
      </c>
      <c r="O43" s="145">
        <f>VLOOKUP('Audit VAR'!A43,'Audit Dimensions'!A:P,16,FALSE)</f>
        <v>8900</v>
      </c>
      <c r="P43" s="143">
        <f>VLOOKUP(A43,'Billing Dimensions'!A:Q,17,FALSE)-VLOOKUP('Audit VAR'!A43,'Audit Dimensions'!A:P,16,FALSE)</f>
        <v>-100</v>
      </c>
      <c r="Q43" s="148">
        <f t="shared" si="0"/>
        <v>-1.1235955056179775E-2</v>
      </c>
    </row>
    <row r="44" spans="1:17">
      <c r="A44" s="58" t="str">
        <f>'Audit Dimensions'!A44</f>
        <v>TS-NL-LA</v>
      </c>
      <c r="B44" s="2" t="str">
        <f>VLOOKUP(A44,'Billing Dimensions'!A:B,2,FALSE)</f>
        <v>SB</v>
      </c>
      <c r="C44" s="59">
        <f>VLOOKUP(A44,'Billing Dimensions'!$A:$N,3,FALSE)-VLOOKUP(A44,'Audit Dimensions'!$A:$N,3,FALSE)</f>
        <v>0</v>
      </c>
      <c r="D44" s="59">
        <f>VLOOKUP(A44,'Billing Dimensions'!$A:$N,4,FALSE)-VLOOKUP(A44,'Audit Dimensions'!$A:$N,4,FALSE)</f>
        <v>0</v>
      </c>
      <c r="E44" s="59">
        <f>VLOOKUP(A44,'Billing Dimensions'!$A:$N,5,FALSE)-VLOOKUP(A44,'Audit Dimensions'!$A:$N,5,FALSE)</f>
        <v>0</v>
      </c>
      <c r="F44" s="137">
        <f>VLOOKUP(A44,'Billing Dimensions'!$A:$N,6,FALSE)-VLOOKUP(A44,'Audit Dimensions'!$A:$N,6,FALSE)</f>
        <v>0</v>
      </c>
      <c r="G44" s="65">
        <f>VLOOKUP(A44,'Billing Dimensions'!$A:$N,7,FALSE)-VLOOKUP(A44,'Audit Dimensions'!$A:$N,7,FALSE)</f>
        <v>0</v>
      </c>
      <c r="H44" s="65">
        <f>VLOOKUP(A44,'Billing Dimensions'!$A:$N,8,FALSE)-VLOOKUP(A44,'Audit Dimensions'!$A:$N,8,FALSE)</f>
        <v>0</v>
      </c>
      <c r="I44" s="65">
        <f>VLOOKUP(A44,'Billing Dimensions'!$A:$N,9,FALSE)-VLOOKUP(A44,'Audit Dimensions'!$A:$N,9,FALSE)</f>
        <v>0</v>
      </c>
      <c r="J44" s="61">
        <f>VLOOKUP(A44,'Billing Dimensions'!$A:$N,10,FALSE)-VLOOKUP(A44,'Audit Dimensions'!$A:$N,10,FALSE)</f>
        <v>0</v>
      </c>
      <c r="K44" s="63">
        <f>VLOOKUP(A44,'Billing Dimensions'!$A:$N,11,FALSE)-VLOOKUP(A44,'Audit Dimensions'!$A:$N,11,FALSE)</f>
        <v>0</v>
      </c>
      <c r="L44" s="63">
        <f>VLOOKUP(A44,'Billing Dimensions'!$A:$N,12,FALSE)-VLOOKUP(A44,'Audit Dimensions'!$A:$N,12,FALSE)</f>
        <v>0</v>
      </c>
      <c r="M44" s="63">
        <f>VLOOKUP(A44,'Billing Dimensions'!$A:$N,13,FALSE)-VLOOKUP(A44,'Audit Dimensions'!$A:$N,13,FALSE)</f>
        <v>0</v>
      </c>
      <c r="N44" s="140">
        <f>VLOOKUP(A44,'Billing Dimensions'!$A:$N,14,FALSE)-VLOOKUP(A44,'Audit Dimensions'!$A:$N,14,FALSE)</f>
        <v>0</v>
      </c>
      <c r="O44" s="145">
        <f>VLOOKUP('Audit VAR'!A44,'Audit Dimensions'!A:P,16,FALSE)</f>
        <v>3850</v>
      </c>
      <c r="P44" s="143">
        <f>VLOOKUP(A44,'Billing Dimensions'!A:Q,17,FALSE)-VLOOKUP('Audit VAR'!A44,'Audit Dimensions'!A:P,16,FALSE)</f>
        <v>0</v>
      </c>
      <c r="Q44" s="148">
        <f t="shared" si="0"/>
        <v>0</v>
      </c>
    </row>
    <row r="45" spans="1:17">
      <c r="A45" s="58" t="str">
        <f>'Audit Dimensions'!A45</f>
        <v>SH-GTA</v>
      </c>
      <c r="B45" s="2" t="str">
        <f>VLOOKUP(A45,'Billing Dimensions'!A:B,2,FALSE)</f>
        <v>SB</v>
      </c>
      <c r="C45" s="59">
        <f>VLOOKUP(A45,'Billing Dimensions'!$A:$N,3,FALSE)-VLOOKUP(A45,'Audit Dimensions'!$A:$N,3,FALSE)</f>
        <v>0</v>
      </c>
      <c r="D45" s="59">
        <f>VLOOKUP(A45,'Billing Dimensions'!$A:$N,4,FALSE)-VLOOKUP(A45,'Audit Dimensions'!$A:$N,4,FALSE)</f>
        <v>0</v>
      </c>
      <c r="E45" s="59">
        <f>VLOOKUP(A45,'Billing Dimensions'!$A:$N,5,FALSE)-VLOOKUP(A45,'Audit Dimensions'!$A:$N,5,FALSE)</f>
        <v>-1</v>
      </c>
      <c r="F45" s="137">
        <f>VLOOKUP(A45,'Billing Dimensions'!$A:$N,6,FALSE)-VLOOKUP(A45,'Audit Dimensions'!$A:$N,6,FALSE)</f>
        <v>0</v>
      </c>
      <c r="G45" s="65">
        <f>VLOOKUP(A45,'Billing Dimensions'!$A:$N,7,FALSE)-VLOOKUP(A45,'Audit Dimensions'!$A:$N,7,FALSE)</f>
        <v>0</v>
      </c>
      <c r="H45" s="65">
        <f>VLOOKUP(A45,'Billing Dimensions'!$A:$N,8,FALSE)-VLOOKUP(A45,'Audit Dimensions'!$A:$N,8,FALSE)</f>
        <v>0</v>
      </c>
      <c r="I45" s="65">
        <f>VLOOKUP(A45,'Billing Dimensions'!$A:$N,9,FALSE)-VLOOKUP(A45,'Audit Dimensions'!$A:$N,9,FALSE)</f>
        <v>0</v>
      </c>
      <c r="J45" s="61">
        <f>VLOOKUP(A45,'Billing Dimensions'!$A:$N,10,FALSE)-VLOOKUP(A45,'Audit Dimensions'!$A:$N,10,FALSE)</f>
        <v>0</v>
      </c>
      <c r="K45" s="63">
        <f>VLOOKUP(A45,'Billing Dimensions'!$A:$N,11,FALSE)-VLOOKUP(A45,'Audit Dimensions'!$A:$N,11,FALSE)</f>
        <v>0</v>
      </c>
      <c r="L45" s="63">
        <f>VLOOKUP(A45,'Billing Dimensions'!$A:$N,12,FALSE)-VLOOKUP(A45,'Audit Dimensions'!$A:$N,12,FALSE)</f>
        <v>0</v>
      </c>
      <c r="M45" s="63">
        <f>VLOOKUP(A45,'Billing Dimensions'!$A:$N,13,FALSE)-VLOOKUP(A45,'Audit Dimensions'!$A:$N,13,FALSE)</f>
        <v>0</v>
      </c>
      <c r="N45" s="140">
        <f>VLOOKUP(A45,'Billing Dimensions'!$A:$N,14,FALSE)-VLOOKUP(A45,'Audit Dimensions'!$A:$N,14,FALSE)</f>
        <v>0</v>
      </c>
      <c r="O45" s="145">
        <f>VLOOKUP('Audit VAR'!A45,'Audit Dimensions'!A:P,16,FALSE)</f>
        <v>3630</v>
      </c>
      <c r="P45" s="143">
        <f>VLOOKUP(A45,'Billing Dimensions'!A:Q,17,FALSE)-VLOOKUP('Audit VAR'!A45,'Audit Dimensions'!A:P,16,FALSE)</f>
        <v>0</v>
      </c>
      <c r="Q45" s="148">
        <f t="shared" si="0"/>
        <v>0</v>
      </c>
    </row>
    <row r="46" spans="1:17">
      <c r="A46" s="58" t="str">
        <f>'Audit Dimensions'!A46</f>
        <v>SR-PRG</v>
      </c>
      <c r="B46" s="2" t="str">
        <f>VLOOKUP(A46,'Billing Dimensions'!A:B,2,FALSE)</f>
        <v>SB</v>
      </c>
      <c r="C46" s="59">
        <f>VLOOKUP(A46,'Billing Dimensions'!$A:$N,3,FALSE)-VLOOKUP(A46,'Audit Dimensions'!$A:$N,3,FALSE)</f>
        <v>0</v>
      </c>
      <c r="D46" s="59">
        <f>VLOOKUP(A46,'Billing Dimensions'!$A:$N,4,FALSE)-VLOOKUP(A46,'Audit Dimensions'!$A:$N,4,FALSE)</f>
        <v>0</v>
      </c>
      <c r="E46" s="59">
        <f>VLOOKUP(A46,'Billing Dimensions'!$A:$N,5,FALSE)-VLOOKUP(A46,'Audit Dimensions'!$A:$N,5,FALSE)</f>
        <v>0</v>
      </c>
      <c r="F46" s="137">
        <f>VLOOKUP(A46,'Billing Dimensions'!$A:$N,6,FALSE)-VLOOKUP(A46,'Audit Dimensions'!$A:$N,6,FALSE)</f>
        <v>-1400</v>
      </c>
      <c r="G46" s="65">
        <f>VLOOKUP(A46,'Billing Dimensions'!$A:$N,7,FALSE)-VLOOKUP(A46,'Audit Dimensions'!$A:$N,7,FALSE)</f>
        <v>0</v>
      </c>
      <c r="H46" s="65">
        <f>VLOOKUP(A46,'Billing Dimensions'!$A:$N,8,FALSE)-VLOOKUP(A46,'Audit Dimensions'!$A:$N,8,FALSE)</f>
        <v>0</v>
      </c>
      <c r="I46" s="65">
        <f>VLOOKUP(A46,'Billing Dimensions'!$A:$N,9,FALSE)-VLOOKUP(A46,'Audit Dimensions'!$A:$N,9,FALSE)</f>
        <v>0</v>
      </c>
      <c r="J46" s="61">
        <f>VLOOKUP(A46,'Billing Dimensions'!$A:$N,10,FALSE)-VLOOKUP(A46,'Audit Dimensions'!$A:$N,10,FALSE)</f>
        <v>0</v>
      </c>
      <c r="K46" s="63">
        <f>VLOOKUP(A46,'Billing Dimensions'!$A:$N,11,FALSE)-VLOOKUP(A46,'Audit Dimensions'!$A:$N,11,FALSE)</f>
        <v>0</v>
      </c>
      <c r="L46" s="63">
        <f>VLOOKUP(A46,'Billing Dimensions'!$A:$N,12,FALSE)-VLOOKUP(A46,'Audit Dimensions'!$A:$N,12,FALSE)</f>
        <v>0</v>
      </c>
      <c r="M46" s="63">
        <f>VLOOKUP(A46,'Billing Dimensions'!$A:$N,13,FALSE)-VLOOKUP(A46,'Audit Dimensions'!$A:$N,13,FALSE)</f>
        <v>0</v>
      </c>
      <c r="N46" s="140">
        <f>VLOOKUP(A46,'Billing Dimensions'!$A:$N,14,FALSE)-VLOOKUP(A46,'Audit Dimensions'!$A:$N,14,FALSE)</f>
        <v>0</v>
      </c>
      <c r="O46" s="145">
        <f>VLOOKUP('Audit VAR'!A46,'Audit Dimensions'!A:P,16,FALSE)</f>
        <v>35800</v>
      </c>
      <c r="P46" s="143">
        <f>VLOOKUP(A46,'Billing Dimensions'!A:Q,17,FALSE)-VLOOKUP('Audit VAR'!A46,'Audit Dimensions'!A:P,16,FALSE)</f>
        <v>-1400</v>
      </c>
      <c r="Q46" s="148">
        <f t="shared" si="0"/>
        <v>-3.9106145251396648E-2</v>
      </c>
    </row>
    <row r="47" spans="1:17">
      <c r="A47" s="58" t="str">
        <f>'Audit Dimensions'!A47</f>
        <v>CT-ATD</v>
      </c>
      <c r="B47" s="2" t="str">
        <f>VLOOKUP(A47,'Billing Dimensions'!A:B,2,FALSE)</f>
        <v>SB</v>
      </c>
      <c r="C47" s="59">
        <f>VLOOKUP(A47,'Billing Dimensions'!$A:$N,3,FALSE)-VLOOKUP(A47,'Audit Dimensions'!$A:$N,3,FALSE)</f>
        <v>0</v>
      </c>
      <c r="D47" s="59">
        <f>VLOOKUP(A47,'Billing Dimensions'!$A:$N,4,FALSE)-VLOOKUP(A47,'Audit Dimensions'!$A:$N,4,FALSE)</f>
        <v>0</v>
      </c>
      <c r="E47" s="59">
        <f>VLOOKUP(A47,'Billing Dimensions'!$A:$N,5,FALSE)-VLOOKUP(A47,'Audit Dimensions'!$A:$N,5,FALSE)</f>
        <v>0</v>
      </c>
      <c r="F47" s="137">
        <f>VLOOKUP(A47,'Billing Dimensions'!$A:$N,6,FALSE)-VLOOKUP(A47,'Audit Dimensions'!$A:$N,6,FALSE)</f>
        <v>-400</v>
      </c>
      <c r="G47" s="65">
        <f>VLOOKUP(A47,'Billing Dimensions'!$A:$N,7,FALSE)-VLOOKUP(A47,'Audit Dimensions'!$A:$N,7,FALSE)</f>
        <v>0</v>
      </c>
      <c r="H47" s="65">
        <f>VLOOKUP(A47,'Billing Dimensions'!$A:$N,8,FALSE)-VLOOKUP(A47,'Audit Dimensions'!$A:$N,8,FALSE)</f>
        <v>0</v>
      </c>
      <c r="I47" s="65">
        <f>VLOOKUP(A47,'Billing Dimensions'!$A:$N,9,FALSE)-VLOOKUP(A47,'Audit Dimensions'!$A:$N,9,FALSE)</f>
        <v>0</v>
      </c>
      <c r="J47" s="61">
        <f>VLOOKUP(A47,'Billing Dimensions'!$A:$N,10,FALSE)-VLOOKUP(A47,'Audit Dimensions'!$A:$N,10,FALSE)</f>
        <v>0</v>
      </c>
      <c r="K47" s="63">
        <f>VLOOKUP(A47,'Billing Dimensions'!$A:$N,11,FALSE)-VLOOKUP(A47,'Audit Dimensions'!$A:$N,11,FALSE)</f>
        <v>0</v>
      </c>
      <c r="L47" s="63">
        <f>VLOOKUP(A47,'Billing Dimensions'!$A:$N,12,FALSE)-VLOOKUP(A47,'Audit Dimensions'!$A:$N,12,FALSE)</f>
        <v>0</v>
      </c>
      <c r="M47" s="63">
        <f>VLOOKUP(A47,'Billing Dimensions'!$A:$N,13,FALSE)-VLOOKUP(A47,'Audit Dimensions'!$A:$N,13,FALSE)</f>
        <v>0</v>
      </c>
      <c r="N47" s="140">
        <f>VLOOKUP(A47,'Billing Dimensions'!$A:$N,14,FALSE)-VLOOKUP(A47,'Audit Dimensions'!$A:$N,14,FALSE)</f>
        <v>0</v>
      </c>
      <c r="O47" s="145">
        <f>VLOOKUP('Audit VAR'!A47,'Audit Dimensions'!A:P,16,FALSE)</f>
        <v>11200</v>
      </c>
      <c r="P47" s="143">
        <f>VLOOKUP(A47,'Billing Dimensions'!A:Q,17,FALSE)-VLOOKUP('Audit VAR'!A47,'Audit Dimensions'!A:P,16,FALSE)</f>
        <v>-400</v>
      </c>
      <c r="Q47" s="148">
        <f t="shared" si="0"/>
        <v>-3.5714285714285712E-2</v>
      </c>
    </row>
    <row r="48" spans="1:17">
      <c r="A48" s="58" t="str">
        <f>'Audit Dimensions'!A48</f>
        <v>TU-HRI</v>
      </c>
      <c r="B48" s="2" t="str">
        <f>VLOOKUP(A48,'Billing Dimensions'!A:B,2,FALSE)</f>
        <v>SB</v>
      </c>
      <c r="C48" s="59">
        <f>VLOOKUP(A48,'Billing Dimensions'!$A:$N,3,FALSE)-VLOOKUP(A48,'Audit Dimensions'!$A:$N,3,FALSE)</f>
        <v>0</v>
      </c>
      <c r="D48" s="59">
        <f>VLOOKUP(A48,'Billing Dimensions'!$A:$N,4,FALSE)-VLOOKUP(A48,'Audit Dimensions'!$A:$N,4,FALSE)</f>
        <v>0</v>
      </c>
      <c r="E48" s="59">
        <f>VLOOKUP(A48,'Billing Dimensions'!$A:$N,5,FALSE)-VLOOKUP(A48,'Audit Dimensions'!$A:$N,5,FALSE)</f>
        <v>0</v>
      </c>
      <c r="F48" s="137">
        <f>VLOOKUP(A48,'Billing Dimensions'!$A:$N,6,FALSE)-VLOOKUP(A48,'Audit Dimensions'!$A:$N,6,FALSE)</f>
        <v>-1300</v>
      </c>
      <c r="G48" s="65">
        <f>VLOOKUP(A48,'Billing Dimensions'!$A:$N,7,FALSE)-VLOOKUP(A48,'Audit Dimensions'!$A:$N,7,FALSE)</f>
        <v>0</v>
      </c>
      <c r="H48" s="65">
        <f>VLOOKUP(A48,'Billing Dimensions'!$A:$N,8,FALSE)-VLOOKUP(A48,'Audit Dimensions'!$A:$N,8,FALSE)</f>
        <v>0</v>
      </c>
      <c r="I48" s="65">
        <f>VLOOKUP(A48,'Billing Dimensions'!$A:$N,9,FALSE)-VLOOKUP(A48,'Audit Dimensions'!$A:$N,9,FALSE)</f>
        <v>0</v>
      </c>
      <c r="J48" s="61">
        <f>VLOOKUP(A48,'Billing Dimensions'!$A:$N,10,FALSE)-VLOOKUP(A48,'Audit Dimensions'!$A:$N,10,FALSE)</f>
        <v>0</v>
      </c>
      <c r="K48" s="63">
        <f>VLOOKUP(A48,'Billing Dimensions'!$A:$N,11,FALSE)-VLOOKUP(A48,'Audit Dimensions'!$A:$N,11,FALSE)</f>
        <v>0</v>
      </c>
      <c r="L48" s="63">
        <f>VLOOKUP(A48,'Billing Dimensions'!$A:$N,12,FALSE)-VLOOKUP(A48,'Audit Dimensions'!$A:$N,12,FALSE)</f>
        <v>0</v>
      </c>
      <c r="M48" s="63">
        <f>VLOOKUP(A48,'Billing Dimensions'!$A:$N,13,FALSE)-VLOOKUP(A48,'Audit Dimensions'!$A:$N,13,FALSE)</f>
        <v>0</v>
      </c>
      <c r="N48" s="140">
        <f>VLOOKUP(A48,'Billing Dimensions'!$A:$N,14,FALSE)-VLOOKUP(A48,'Audit Dimensions'!$A:$N,14,FALSE)</f>
        <v>0</v>
      </c>
      <c r="O48" s="145">
        <f>VLOOKUP('Audit VAR'!A48,'Audit Dimensions'!A:P,16,FALSE)</f>
        <v>28100</v>
      </c>
      <c r="P48" s="143">
        <f>VLOOKUP(A48,'Billing Dimensions'!A:Q,17,FALSE)-VLOOKUP('Audit VAR'!A48,'Audit Dimensions'!A:P,16,FALSE)</f>
        <v>-1300</v>
      </c>
      <c r="Q48" s="148">
        <f t="shared" si="0"/>
        <v>-4.6263345195729534E-2</v>
      </c>
    </row>
    <row r="49" spans="1:17">
      <c r="A49" s="58" t="str">
        <f>'Audit Dimensions'!A49</f>
        <v>SB-LGN</v>
      </c>
      <c r="B49" s="2" t="str">
        <f>VLOOKUP(A49,'Billing Dimensions'!A:B,2,FALSE)</f>
        <v>SB</v>
      </c>
      <c r="C49" s="59">
        <f>VLOOKUP(A49,'Billing Dimensions'!$A:$N,3,FALSE)-VLOOKUP(A49,'Audit Dimensions'!$A:$N,3,FALSE)</f>
        <v>0</v>
      </c>
      <c r="D49" s="59">
        <f>VLOOKUP(A49,'Billing Dimensions'!$A:$N,4,FALSE)-VLOOKUP(A49,'Audit Dimensions'!$A:$N,4,FALSE)</f>
        <v>0</v>
      </c>
      <c r="E49" s="59">
        <f>VLOOKUP(A49,'Billing Dimensions'!$A:$N,5,FALSE)-VLOOKUP(A49,'Audit Dimensions'!$A:$N,5,FALSE)</f>
        <v>0</v>
      </c>
      <c r="F49" s="137">
        <f>VLOOKUP(A49,'Billing Dimensions'!$A:$N,6,FALSE)-VLOOKUP(A49,'Audit Dimensions'!$A:$N,6,FALSE)</f>
        <v>-840</v>
      </c>
      <c r="G49" s="65">
        <f>VLOOKUP(A49,'Billing Dimensions'!$A:$N,7,FALSE)-VLOOKUP(A49,'Audit Dimensions'!$A:$N,7,FALSE)</f>
        <v>0</v>
      </c>
      <c r="H49" s="65">
        <f>VLOOKUP(A49,'Billing Dimensions'!$A:$N,8,FALSE)-VLOOKUP(A49,'Audit Dimensions'!$A:$N,8,FALSE)</f>
        <v>0</v>
      </c>
      <c r="I49" s="65">
        <f>VLOOKUP(A49,'Billing Dimensions'!$A:$N,9,FALSE)-VLOOKUP(A49,'Audit Dimensions'!$A:$N,9,FALSE)</f>
        <v>0</v>
      </c>
      <c r="J49" s="61">
        <f>VLOOKUP(A49,'Billing Dimensions'!$A:$N,10,FALSE)-VLOOKUP(A49,'Audit Dimensions'!$A:$N,10,FALSE)</f>
        <v>0</v>
      </c>
      <c r="K49" s="63">
        <f>VLOOKUP(A49,'Billing Dimensions'!$A:$N,11,FALSE)-VLOOKUP(A49,'Audit Dimensions'!$A:$N,11,FALSE)</f>
        <v>0</v>
      </c>
      <c r="L49" s="63">
        <f>VLOOKUP(A49,'Billing Dimensions'!$A:$N,12,FALSE)-VLOOKUP(A49,'Audit Dimensions'!$A:$N,12,FALSE)</f>
        <v>0</v>
      </c>
      <c r="M49" s="63">
        <f>VLOOKUP(A49,'Billing Dimensions'!$A:$N,13,FALSE)-VLOOKUP(A49,'Audit Dimensions'!$A:$N,13,FALSE)</f>
        <v>0</v>
      </c>
      <c r="N49" s="140">
        <f>VLOOKUP(A49,'Billing Dimensions'!$A:$N,14,FALSE)-VLOOKUP(A49,'Audit Dimensions'!$A:$N,14,FALSE)</f>
        <v>0</v>
      </c>
      <c r="O49" s="145">
        <f>VLOOKUP('Audit VAR'!A49,'Audit Dimensions'!A:P,16,FALSE)</f>
        <v>13540</v>
      </c>
      <c r="P49" s="143">
        <f>VLOOKUP(A49,'Billing Dimensions'!A:Q,17,FALSE)-VLOOKUP('Audit VAR'!A49,'Audit Dimensions'!A:P,16,FALSE)</f>
        <v>-840</v>
      </c>
      <c r="Q49" s="148">
        <f t="shared" si="0"/>
        <v>-6.2038404726735601E-2</v>
      </c>
    </row>
    <row r="50" spans="1:17">
      <c r="A50" s="58" t="str">
        <f>'Audit Dimensions'!A50</f>
        <v>TU-PM-LA</v>
      </c>
      <c r="B50" s="2" t="str">
        <f>VLOOKUP(A50,'Billing Dimensions'!A:B,2,FALSE)</f>
        <v>SB</v>
      </c>
      <c r="C50" s="59">
        <f>VLOOKUP(A50,'Billing Dimensions'!$A:$N,3,FALSE)-VLOOKUP(A50,'Audit Dimensions'!$A:$N,3,FALSE)</f>
        <v>0</v>
      </c>
      <c r="D50" s="59">
        <f>VLOOKUP(A50,'Billing Dimensions'!$A:$N,4,FALSE)-VLOOKUP(A50,'Audit Dimensions'!$A:$N,4,FALSE)</f>
        <v>0</v>
      </c>
      <c r="E50" s="59">
        <f>VLOOKUP(A50,'Billing Dimensions'!$A:$N,5,FALSE)-VLOOKUP(A50,'Audit Dimensions'!$A:$N,5,FALSE)</f>
        <v>0</v>
      </c>
      <c r="F50" s="137">
        <f>VLOOKUP(A50,'Billing Dimensions'!$A:$N,6,FALSE)-VLOOKUP(A50,'Audit Dimensions'!$A:$N,6,FALSE)</f>
        <v>-460</v>
      </c>
      <c r="G50" s="65">
        <f>VLOOKUP(A50,'Billing Dimensions'!$A:$N,7,FALSE)-VLOOKUP(A50,'Audit Dimensions'!$A:$N,7,FALSE)</f>
        <v>0</v>
      </c>
      <c r="H50" s="65">
        <f>VLOOKUP(A50,'Billing Dimensions'!$A:$N,8,FALSE)-VLOOKUP(A50,'Audit Dimensions'!$A:$N,8,FALSE)</f>
        <v>0</v>
      </c>
      <c r="I50" s="65">
        <f>VLOOKUP(A50,'Billing Dimensions'!$A:$N,9,FALSE)-VLOOKUP(A50,'Audit Dimensions'!$A:$N,9,FALSE)</f>
        <v>0</v>
      </c>
      <c r="J50" s="61">
        <f>VLOOKUP(A50,'Billing Dimensions'!$A:$N,10,FALSE)-VLOOKUP(A50,'Audit Dimensions'!$A:$N,10,FALSE)</f>
        <v>0</v>
      </c>
      <c r="K50" s="63">
        <f>VLOOKUP(A50,'Billing Dimensions'!$A:$N,11,FALSE)-VLOOKUP(A50,'Audit Dimensions'!$A:$N,11,FALSE)</f>
        <v>0</v>
      </c>
      <c r="L50" s="63">
        <f>VLOOKUP(A50,'Billing Dimensions'!$A:$N,12,FALSE)-VLOOKUP(A50,'Audit Dimensions'!$A:$N,12,FALSE)</f>
        <v>0</v>
      </c>
      <c r="M50" s="63">
        <f>VLOOKUP(A50,'Billing Dimensions'!$A:$N,13,FALSE)-VLOOKUP(A50,'Audit Dimensions'!$A:$N,13,FALSE)</f>
        <v>0</v>
      </c>
      <c r="N50" s="140">
        <f>VLOOKUP(A50,'Billing Dimensions'!$A:$N,14,FALSE)-VLOOKUP(A50,'Audit Dimensions'!$A:$N,14,FALSE)</f>
        <v>0</v>
      </c>
      <c r="O50" s="145">
        <f>VLOOKUP('Audit VAR'!A50,'Audit Dimensions'!A:P,16,FALSE)</f>
        <v>16260</v>
      </c>
      <c r="P50" s="143">
        <f>VLOOKUP(A50,'Billing Dimensions'!A:Q,17,FALSE)-VLOOKUP('Audit VAR'!A50,'Audit Dimensions'!A:P,16,FALSE)</f>
        <v>-460</v>
      </c>
      <c r="Q50" s="148">
        <f t="shared" si="0"/>
        <v>-2.8290282902829027E-2</v>
      </c>
    </row>
    <row r="51" spans="1:17">
      <c r="A51" s="58" t="str">
        <f>'Audit Dimensions'!A51</f>
        <v>B-MLT-QT</v>
      </c>
      <c r="B51" s="2" t="str">
        <f>VLOOKUP(A51,'Billing Dimensions'!A:B,2,FALSE)</f>
        <v>MB</v>
      </c>
      <c r="C51" s="59">
        <f>VLOOKUP(A51,'Billing Dimensions'!$A:$N,3,FALSE)-VLOOKUP(A51,'Audit Dimensions'!$A:$N,3,FALSE)</f>
        <v>0</v>
      </c>
      <c r="D51" s="59">
        <f>VLOOKUP(A51,'Billing Dimensions'!$A:$N,4,FALSE)-VLOOKUP(A51,'Audit Dimensions'!$A:$N,4,FALSE)</f>
        <v>0</v>
      </c>
      <c r="E51" s="59">
        <f>VLOOKUP(A51,'Billing Dimensions'!$A:$N,5,FALSE)-VLOOKUP(A51,'Audit Dimensions'!$A:$N,5,FALSE)</f>
        <v>0</v>
      </c>
      <c r="F51" s="137">
        <f>VLOOKUP(A51,'Billing Dimensions'!$A:$N,6,FALSE)-VLOOKUP(A51,'Audit Dimensions'!$A:$N,6,FALSE)</f>
        <v>-2400</v>
      </c>
      <c r="G51" s="65">
        <f>VLOOKUP(A51,'Billing Dimensions'!$A:$N,7,FALSE)-VLOOKUP(A51,'Audit Dimensions'!$A:$N,7,FALSE)</f>
        <v>0</v>
      </c>
      <c r="H51" s="65">
        <f>VLOOKUP(A51,'Billing Dimensions'!$A:$N,8,FALSE)-VLOOKUP(A51,'Audit Dimensions'!$A:$N,8,FALSE)</f>
        <v>0</v>
      </c>
      <c r="I51" s="65">
        <f>VLOOKUP(A51,'Billing Dimensions'!$A:$N,9,FALSE)-VLOOKUP(A51,'Audit Dimensions'!$A:$N,9,FALSE)</f>
        <v>0</v>
      </c>
      <c r="J51" s="61">
        <f>VLOOKUP(A51,'Billing Dimensions'!$A:$N,10,FALSE)-VLOOKUP(A51,'Audit Dimensions'!$A:$N,10,FALSE)</f>
        <v>-1100</v>
      </c>
      <c r="K51" s="63">
        <f>VLOOKUP(A51,'Billing Dimensions'!$A:$N,11,FALSE)-VLOOKUP(A51,'Audit Dimensions'!$A:$N,11,FALSE)</f>
        <v>0</v>
      </c>
      <c r="L51" s="63">
        <f>VLOOKUP(A51,'Billing Dimensions'!$A:$N,12,FALSE)-VLOOKUP(A51,'Audit Dimensions'!$A:$N,12,FALSE)</f>
        <v>0</v>
      </c>
      <c r="M51" s="63">
        <f>VLOOKUP(A51,'Billing Dimensions'!$A:$N,13,FALSE)-VLOOKUP(A51,'Audit Dimensions'!$A:$N,13,FALSE)</f>
        <v>0</v>
      </c>
      <c r="N51" s="140">
        <f>VLOOKUP(A51,'Billing Dimensions'!$A:$N,14,FALSE)-VLOOKUP(A51,'Audit Dimensions'!$A:$N,14,FALSE)</f>
        <v>-1540</v>
      </c>
      <c r="O51" s="145">
        <f>VLOOKUP('Audit VAR'!A51,'Audit Dimensions'!A:P,16,FALSE)</f>
        <v>89240</v>
      </c>
      <c r="P51" s="143">
        <f>VLOOKUP(A51,'Billing Dimensions'!A:Q,17,FALSE)-VLOOKUP('Audit VAR'!A51,'Audit Dimensions'!A:P,16,FALSE)</f>
        <v>-5040</v>
      </c>
      <c r="Q51" s="148">
        <f t="shared" si="0"/>
        <v>-5.6476916181084719E-2</v>
      </c>
    </row>
    <row r="52" spans="1:17">
      <c r="A52" s="58" t="str">
        <f>'Audit Dimensions'!A52</f>
        <v>B-POL-QT</v>
      </c>
      <c r="B52" s="2" t="str">
        <f>VLOOKUP(A52,'Billing Dimensions'!A:B,2,FALSE)</f>
        <v>MB</v>
      </c>
      <c r="C52" s="59">
        <f>VLOOKUP(A52,'Billing Dimensions'!$A:$N,3,FALSE)-VLOOKUP(A52,'Audit Dimensions'!$A:$N,3,FALSE)</f>
        <v>0</v>
      </c>
      <c r="D52" s="59">
        <f>VLOOKUP(A52,'Billing Dimensions'!$A:$N,4,FALSE)-VLOOKUP(A52,'Audit Dimensions'!$A:$N,4,FALSE)</f>
        <v>0</v>
      </c>
      <c r="E52" s="59">
        <f>VLOOKUP(A52,'Billing Dimensions'!$A:$N,5,FALSE)-VLOOKUP(A52,'Audit Dimensions'!$A:$N,5,FALSE)</f>
        <v>0</v>
      </c>
      <c r="F52" s="137">
        <f>VLOOKUP(A52,'Billing Dimensions'!$A:$N,6,FALSE)-VLOOKUP(A52,'Audit Dimensions'!$A:$N,6,FALSE)</f>
        <v>-1400</v>
      </c>
      <c r="G52" s="65">
        <f>VLOOKUP(A52,'Billing Dimensions'!$A:$N,7,FALSE)-VLOOKUP(A52,'Audit Dimensions'!$A:$N,7,FALSE)</f>
        <v>0</v>
      </c>
      <c r="H52" s="65">
        <f>VLOOKUP(A52,'Billing Dimensions'!$A:$N,8,FALSE)-VLOOKUP(A52,'Audit Dimensions'!$A:$N,8,FALSE)</f>
        <v>0</v>
      </c>
      <c r="I52" s="65">
        <f>VLOOKUP(A52,'Billing Dimensions'!$A:$N,9,FALSE)-VLOOKUP(A52,'Audit Dimensions'!$A:$N,9,FALSE)</f>
        <v>0</v>
      </c>
      <c r="J52" s="61">
        <f>VLOOKUP(A52,'Billing Dimensions'!$A:$N,10,FALSE)-VLOOKUP(A52,'Audit Dimensions'!$A:$N,10,FALSE)</f>
        <v>-2550</v>
      </c>
      <c r="K52" s="63">
        <f>VLOOKUP(A52,'Billing Dimensions'!$A:$N,11,FALSE)-VLOOKUP(A52,'Audit Dimensions'!$A:$N,11,FALSE)</f>
        <v>0</v>
      </c>
      <c r="L52" s="63">
        <f>VLOOKUP(A52,'Billing Dimensions'!$A:$N,12,FALSE)-VLOOKUP(A52,'Audit Dimensions'!$A:$N,12,FALSE)</f>
        <v>0</v>
      </c>
      <c r="M52" s="63">
        <f>VLOOKUP(A52,'Billing Dimensions'!$A:$N,13,FALSE)-VLOOKUP(A52,'Audit Dimensions'!$A:$N,13,FALSE)</f>
        <v>0</v>
      </c>
      <c r="N52" s="140">
        <f>VLOOKUP(A52,'Billing Dimensions'!$A:$N,14,FALSE)-VLOOKUP(A52,'Audit Dimensions'!$A:$N,14,FALSE)</f>
        <v>-800</v>
      </c>
      <c r="O52" s="145">
        <f>VLOOKUP('Audit VAR'!A52,'Audit Dimensions'!A:P,16,FALSE)</f>
        <v>90150</v>
      </c>
      <c r="P52" s="143">
        <f>VLOOKUP(A52,'Billing Dimensions'!A:Q,17,FALSE)-VLOOKUP('Audit VAR'!A52,'Audit Dimensions'!A:P,16,FALSE)</f>
        <v>-4750</v>
      </c>
      <c r="Q52" s="148">
        <f t="shared" si="0"/>
        <v>-5.2689961175818083E-2</v>
      </c>
    </row>
    <row r="53" spans="1:17">
      <c r="A53" s="58" t="str">
        <f>'Audit Dimensions'!A53</f>
        <v>S-PTE</v>
      </c>
      <c r="B53" s="2" t="str">
        <f>VLOOKUP(A53,'Billing Dimensions'!A:B,2,FALSE)</f>
        <v>SB</v>
      </c>
      <c r="C53" s="59">
        <f>VLOOKUP(A53,'Billing Dimensions'!$A:$N,3,FALSE)-VLOOKUP(A53,'Audit Dimensions'!$A:$N,3,FALSE)</f>
        <v>0</v>
      </c>
      <c r="D53" s="59">
        <f>VLOOKUP(A53,'Billing Dimensions'!$A:$N,4,FALSE)-VLOOKUP(A53,'Audit Dimensions'!$A:$N,4,FALSE)</f>
        <v>0</v>
      </c>
      <c r="E53" s="59">
        <f>VLOOKUP(A53,'Billing Dimensions'!$A:$N,5,FALSE)-VLOOKUP(A53,'Audit Dimensions'!$A:$N,5,FALSE)</f>
        <v>0</v>
      </c>
      <c r="F53" s="137">
        <f>VLOOKUP(A53,'Billing Dimensions'!$A:$N,6,FALSE)-VLOOKUP(A53,'Audit Dimensions'!$A:$N,6,FALSE)</f>
        <v>-1200</v>
      </c>
      <c r="G53" s="65">
        <f>VLOOKUP(A53,'Billing Dimensions'!$A:$N,7,FALSE)-VLOOKUP(A53,'Audit Dimensions'!$A:$N,7,FALSE)</f>
        <v>0</v>
      </c>
      <c r="H53" s="65">
        <f>VLOOKUP(A53,'Billing Dimensions'!$A:$N,8,FALSE)-VLOOKUP(A53,'Audit Dimensions'!$A:$N,8,FALSE)</f>
        <v>0</v>
      </c>
      <c r="I53" s="65">
        <f>VLOOKUP(A53,'Billing Dimensions'!$A:$N,9,FALSE)-VLOOKUP(A53,'Audit Dimensions'!$A:$N,9,FALSE)</f>
        <v>0</v>
      </c>
      <c r="J53" s="61">
        <f>VLOOKUP(A53,'Billing Dimensions'!$A:$N,10,FALSE)-VLOOKUP(A53,'Audit Dimensions'!$A:$N,10,FALSE)</f>
        <v>0</v>
      </c>
      <c r="K53" s="63">
        <f>VLOOKUP(A53,'Billing Dimensions'!$A:$N,11,FALSE)-VLOOKUP(A53,'Audit Dimensions'!$A:$N,11,FALSE)</f>
        <v>0</v>
      </c>
      <c r="L53" s="63">
        <f>VLOOKUP(A53,'Billing Dimensions'!$A:$N,12,FALSE)-VLOOKUP(A53,'Audit Dimensions'!$A:$N,12,FALSE)</f>
        <v>0</v>
      </c>
      <c r="M53" s="63">
        <f>VLOOKUP(A53,'Billing Dimensions'!$A:$N,13,FALSE)-VLOOKUP(A53,'Audit Dimensions'!$A:$N,13,FALSE)</f>
        <v>0</v>
      </c>
      <c r="N53" s="140">
        <f>VLOOKUP(A53,'Billing Dimensions'!$A:$N,14,FALSE)-VLOOKUP(A53,'Audit Dimensions'!$A:$N,14,FALSE)</f>
        <v>0</v>
      </c>
      <c r="O53" s="145">
        <f>VLOOKUP('Audit VAR'!A53,'Audit Dimensions'!A:P,16,FALSE)</f>
        <v>14000</v>
      </c>
      <c r="P53" s="143">
        <f>VLOOKUP(A53,'Billing Dimensions'!A:Q,17,FALSE)-VLOOKUP('Audit VAR'!A53,'Audit Dimensions'!A:P,16,FALSE)</f>
        <v>-1200</v>
      </c>
      <c r="Q53" s="148">
        <f t="shared" si="0"/>
        <v>-8.5714285714285715E-2</v>
      </c>
    </row>
    <row r="54" spans="1:17">
      <c r="A54" s="58" t="str">
        <f>'Audit Dimensions'!A54</f>
        <v>TU-MSE</v>
      </c>
      <c r="B54" s="2" t="str">
        <f>VLOOKUP(A54,'Billing Dimensions'!A:B,2,FALSE)</f>
        <v>SB</v>
      </c>
      <c r="C54" s="59">
        <f>VLOOKUP(A54,'Billing Dimensions'!$A:$N,3,FALSE)-VLOOKUP(A54,'Audit Dimensions'!$A:$N,3,FALSE)</f>
        <v>0</v>
      </c>
      <c r="D54" s="59">
        <f>VLOOKUP(A54,'Billing Dimensions'!$A:$N,4,FALSE)-VLOOKUP(A54,'Audit Dimensions'!$A:$N,4,FALSE)</f>
        <v>0</v>
      </c>
      <c r="E54" s="59">
        <f>VLOOKUP(A54,'Billing Dimensions'!$A:$N,5,FALSE)-VLOOKUP(A54,'Audit Dimensions'!$A:$N,5,FALSE)</f>
        <v>0</v>
      </c>
      <c r="F54" s="137">
        <f>VLOOKUP(A54,'Billing Dimensions'!$A:$N,6,FALSE)-VLOOKUP(A54,'Audit Dimensions'!$A:$N,6,FALSE)</f>
        <v>-2250</v>
      </c>
      <c r="G54" s="65">
        <f>VLOOKUP(A54,'Billing Dimensions'!$A:$N,7,FALSE)-VLOOKUP(A54,'Audit Dimensions'!$A:$N,7,FALSE)</f>
        <v>0</v>
      </c>
      <c r="H54" s="65">
        <f>VLOOKUP(A54,'Billing Dimensions'!$A:$N,8,FALSE)-VLOOKUP(A54,'Audit Dimensions'!$A:$N,8,FALSE)</f>
        <v>0</v>
      </c>
      <c r="I54" s="65">
        <f>VLOOKUP(A54,'Billing Dimensions'!$A:$N,9,FALSE)-VLOOKUP(A54,'Audit Dimensions'!$A:$N,9,FALSE)</f>
        <v>0</v>
      </c>
      <c r="J54" s="61">
        <f>VLOOKUP(A54,'Billing Dimensions'!$A:$N,10,FALSE)-VLOOKUP(A54,'Audit Dimensions'!$A:$N,10,FALSE)</f>
        <v>0</v>
      </c>
      <c r="K54" s="63">
        <f>VLOOKUP(A54,'Billing Dimensions'!$A:$N,11,FALSE)-VLOOKUP(A54,'Audit Dimensions'!$A:$N,11,FALSE)</f>
        <v>0</v>
      </c>
      <c r="L54" s="63">
        <f>VLOOKUP(A54,'Billing Dimensions'!$A:$N,12,FALSE)-VLOOKUP(A54,'Audit Dimensions'!$A:$N,12,FALSE)</f>
        <v>0</v>
      </c>
      <c r="M54" s="63">
        <f>VLOOKUP(A54,'Billing Dimensions'!$A:$N,13,FALSE)-VLOOKUP(A54,'Audit Dimensions'!$A:$N,13,FALSE)</f>
        <v>0</v>
      </c>
      <c r="N54" s="140">
        <f>VLOOKUP(A54,'Billing Dimensions'!$A:$N,14,FALSE)-VLOOKUP(A54,'Audit Dimensions'!$A:$N,14,FALSE)</f>
        <v>0</v>
      </c>
      <c r="O54" s="145">
        <f>VLOOKUP('Audit VAR'!A54,'Audit Dimensions'!A:P,16,FALSE)</f>
        <v>29750</v>
      </c>
      <c r="P54" s="143">
        <f>VLOOKUP(A54,'Billing Dimensions'!A:Q,17,FALSE)-VLOOKUP('Audit VAR'!A54,'Audit Dimensions'!A:P,16,FALSE)</f>
        <v>-2250</v>
      </c>
      <c r="Q54" s="148">
        <f t="shared" si="0"/>
        <v>-7.5630252100840331E-2</v>
      </c>
    </row>
    <row r="55" spans="1:17">
      <c r="A55" s="58" t="str">
        <f>'Audit Dimensions'!A55</f>
        <v>SB-WLB</v>
      </c>
      <c r="B55" s="2" t="str">
        <f>VLOOKUP(A55,'Billing Dimensions'!A:B,2,FALSE)</f>
        <v>SB</v>
      </c>
      <c r="C55" s="59">
        <f>VLOOKUP(A55,'Billing Dimensions'!$A:$N,3,FALSE)-VLOOKUP(A55,'Audit Dimensions'!$A:$N,3,FALSE)</f>
        <v>0</v>
      </c>
      <c r="D55" s="59">
        <f>VLOOKUP(A55,'Billing Dimensions'!$A:$N,4,FALSE)-VLOOKUP(A55,'Audit Dimensions'!$A:$N,4,FALSE)</f>
        <v>0</v>
      </c>
      <c r="E55" s="59">
        <f>VLOOKUP(A55,'Billing Dimensions'!$A:$N,5,FALSE)-VLOOKUP(A55,'Audit Dimensions'!$A:$N,5,FALSE)</f>
        <v>0</v>
      </c>
      <c r="F55" s="137">
        <f>VLOOKUP(A55,'Billing Dimensions'!$A:$N,6,FALSE)-VLOOKUP(A55,'Audit Dimensions'!$A:$N,6,FALSE)</f>
        <v>-1000</v>
      </c>
      <c r="G55" s="65">
        <f>VLOOKUP(A55,'Billing Dimensions'!$A:$N,7,FALSE)-VLOOKUP(A55,'Audit Dimensions'!$A:$N,7,FALSE)</f>
        <v>0</v>
      </c>
      <c r="H55" s="65">
        <f>VLOOKUP(A55,'Billing Dimensions'!$A:$N,8,FALSE)-VLOOKUP(A55,'Audit Dimensions'!$A:$N,8,FALSE)</f>
        <v>0</v>
      </c>
      <c r="I55" s="65">
        <f>VLOOKUP(A55,'Billing Dimensions'!$A:$N,9,FALSE)-VLOOKUP(A55,'Audit Dimensions'!$A:$N,9,FALSE)</f>
        <v>0</v>
      </c>
      <c r="J55" s="61">
        <f>VLOOKUP(A55,'Billing Dimensions'!$A:$N,10,FALSE)-VLOOKUP(A55,'Audit Dimensions'!$A:$N,10,FALSE)</f>
        <v>0</v>
      </c>
      <c r="K55" s="63">
        <f>VLOOKUP(A55,'Billing Dimensions'!$A:$N,11,FALSE)-VLOOKUP(A55,'Audit Dimensions'!$A:$N,11,FALSE)</f>
        <v>0</v>
      </c>
      <c r="L55" s="63">
        <f>VLOOKUP(A55,'Billing Dimensions'!$A:$N,12,FALSE)-VLOOKUP(A55,'Audit Dimensions'!$A:$N,12,FALSE)</f>
        <v>0</v>
      </c>
      <c r="M55" s="63">
        <f>VLOOKUP(A55,'Billing Dimensions'!$A:$N,13,FALSE)-VLOOKUP(A55,'Audit Dimensions'!$A:$N,13,FALSE)</f>
        <v>0</v>
      </c>
      <c r="N55" s="140">
        <f>VLOOKUP(A55,'Billing Dimensions'!$A:$N,14,FALSE)-VLOOKUP(A55,'Audit Dimensions'!$A:$N,14,FALSE)</f>
        <v>0</v>
      </c>
      <c r="O55" s="145">
        <f>VLOOKUP('Audit VAR'!A55,'Audit Dimensions'!A:P,16,FALSE)</f>
        <v>19700</v>
      </c>
      <c r="P55" s="143">
        <f>VLOOKUP(A55,'Billing Dimensions'!A:Q,17,FALSE)-VLOOKUP('Audit VAR'!A55,'Audit Dimensions'!A:P,16,FALSE)</f>
        <v>-1000</v>
      </c>
      <c r="Q55" s="148">
        <f t="shared" si="0"/>
        <v>-5.0761421319796954E-2</v>
      </c>
    </row>
    <row r="56" spans="1:17">
      <c r="A56" s="58" t="str">
        <f>'Audit Dimensions'!A56</f>
        <v>TU-PIN</v>
      </c>
      <c r="B56" s="2" t="str">
        <f>VLOOKUP(A56,'Billing Dimensions'!A:B,2,FALSE)</f>
        <v>SB</v>
      </c>
      <c r="C56" s="59">
        <f>VLOOKUP(A56,'Billing Dimensions'!$A:$N,3,FALSE)-VLOOKUP(A56,'Audit Dimensions'!$A:$N,3,FALSE)</f>
        <v>0</v>
      </c>
      <c r="D56" s="59">
        <f>VLOOKUP(A56,'Billing Dimensions'!$A:$N,4,FALSE)-VLOOKUP(A56,'Audit Dimensions'!$A:$N,4,FALSE)</f>
        <v>0</v>
      </c>
      <c r="E56" s="59">
        <f>VLOOKUP(A56,'Billing Dimensions'!$A:$N,5,FALSE)-VLOOKUP(A56,'Audit Dimensions'!$A:$N,5,FALSE)</f>
        <v>0</v>
      </c>
      <c r="F56" s="137">
        <f>VLOOKUP(A56,'Billing Dimensions'!$A:$N,6,FALSE)-VLOOKUP(A56,'Audit Dimensions'!$A:$N,6,FALSE)</f>
        <v>-3250</v>
      </c>
      <c r="G56" s="65">
        <f>VLOOKUP(A56,'Billing Dimensions'!$A:$N,7,FALSE)-VLOOKUP(A56,'Audit Dimensions'!$A:$N,7,FALSE)</f>
        <v>0</v>
      </c>
      <c r="H56" s="65">
        <f>VLOOKUP(A56,'Billing Dimensions'!$A:$N,8,FALSE)-VLOOKUP(A56,'Audit Dimensions'!$A:$N,8,FALSE)</f>
        <v>0</v>
      </c>
      <c r="I56" s="65">
        <f>VLOOKUP(A56,'Billing Dimensions'!$A:$N,9,FALSE)-VLOOKUP(A56,'Audit Dimensions'!$A:$N,9,FALSE)</f>
        <v>0</v>
      </c>
      <c r="J56" s="61">
        <f>VLOOKUP(A56,'Billing Dimensions'!$A:$N,10,FALSE)-VLOOKUP(A56,'Audit Dimensions'!$A:$N,10,FALSE)</f>
        <v>0</v>
      </c>
      <c r="K56" s="63">
        <f>VLOOKUP(A56,'Billing Dimensions'!$A:$N,11,FALSE)-VLOOKUP(A56,'Audit Dimensions'!$A:$N,11,FALSE)</f>
        <v>0</v>
      </c>
      <c r="L56" s="63">
        <f>VLOOKUP(A56,'Billing Dimensions'!$A:$N,12,FALSE)-VLOOKUP(A56,'Audit Dimensions'!$A:$N,12,FALSE)</f>
        <v>0</v>
      </c>
      <c r="M56" s="63">
        <f>VLOOKUP(A56,'Billing Dimensions'!$A:$N,13,FALSE)-VLOOKUP(A56,'Audit Dimensions'!$A:$N,13,FALSE)</f>
        <v>0</v>
      </c>
      <c r="N56" s="140">
        <f>VLOOKUP(A56,'Billing Dimensions'!$A:$N,14,FALSE)-VLOOKUP(A56,'Audit Dimensions'!$A:$N,14,FALSE)</f>
        <v>0</v>
      </c>
      <c r="O56" s="145">
        <f>VLOOKUP('Audit VAR'!A56,'Audit Dimensions'!A:P,16,FALSE)</f>
        <v>51550</v>
      </c>
      <c r="P56" s="143">
        <f>VLOOKUP(A56,'Billing Dimensions'!A:Q,17,FALSE)-VLOOKUP('Audit VAR'!A56,'Audit Dimensions'!A:P,16,FALSE)</f>
        <v>-3250</v>
      </c>
      <c r="Q56" s="148">
        <f t="shared" si="0"/>
        <v>-6.3045586808923373E-2</v>
      </c>
    </row>
    <row r="57" spans="1:17">
      <c r="A57" s="58" t="str">
        <f>'Audit Dimensions'!A57</f>
        <v>SB-CS-LA</v>
      </c>
      <c r="B57" s="2" t="str">
        <f>VLOOKUP(A57,'Billing Dimensions'!A:B,2,FALSE)</f>
        <v>SB</v>
      </c>
      <c r="C57" s="59">
        <f>VLOOKUP(A57,'Billing Dimensions'!$A:$N,3,FALSE)-VLOOKUP(A57,'Audit Dimensions'!$A:$N,3,FALSE)</f>
        <v>0</v>
      </c>
      <c r="D57" s="59">
        <f>VLOOKUP(A57,'Billing Dimensions'!$A:$N,4,FALSE)-VLOOKUP(A57,'Audit Dimensions'!$A:$N,4,FALSE)</f>
        <v>0</v>
      </c>
      <c r="E57" s="59">
        <f>VLOOKUP(A57,'Billing Dimensions'!$A:$N,5,FALSE)-VLOOKUP(A57,'Audit Dimensions'!$A:$N,5,FALSE)</f>
        <v>0</v>
      </c>
      <c r="F57" s="137">
        <f>VLOOKUP(A57,'Billing Dimensions'!$A:$N,6,FALSE)-VLOOKUP(A57,'Audit Dimensions'!$A:$N,6,FALSE)</f>
        <v>-750</v>
      </c>
      <c r="G57" s="65">
        <f>VLOOKUP(A57,'Billing Dimensions'!$A:$N,7,FALSE)-VLOOKUP(A57,'Audit Dimensions'!$A:$N,7,FALSE)</f>
        <v>0</v>
      </c>
      <c r="H57" s="65">
        <f>VLOOKUP(A57,'Billing Dimensions'!$A:$N,8,FALSE)-VLOOKUP(A57,'Audit Dimensions'!$A:$N,8,FALSE)</f>
        <v>0</v>
      </c>
      <c r="I57" s="65">
        <f>VLOOKUP(A57,'Billing Dimensions'!$A:$N,9,FALSE)-VLOOKUP(A57,'Audit Dimensions'!$A:$N,9,FALSE)</f>
        <v>0</v>
      </c>
      <c r="J57" s="61">
        <f>VLOOKUP(A57,'Billing Dimensions'!$A:$N,10,FALSE)-VLOOKUP(A57,'Audit Dimensions'!$A:$N,10,FALSE)</f>
        <v>0</v>
      </c>
      <c r="K57" s="63">
        <f>VLOOKUP(A57,'Billing Dimensions'!$A:$N,11,FALSE)-VLOOKUP(A57,'Audit Dimensions'!$A:$N,11,FALSE)</f>
        <v>0</v>
      </c>
      <c r="L57" s="63">
        <f>VLOOKUP(A57,'Billing Dimensions'!$A:$N,12,FALSE)-VLOOKUP(A57,'Audit Dimensions'!$A:$N,12,FALSE)</f>
        <v>0</v>
      </c>
      <c r="M57" s="63">
        <f>VLOOKUP(A57,'Billing Dimensions'!$A:$N,13,FALSE)-VLOOKUP(A57,'Audit Dimensions'!$A:$N,13,FALSE)</f>
        <v>0</v>
      </c>
      <c r="N57" s="140">
        <f>VLOOKUP(A57,'Billing Dimensions'!$A:$N,14,FALSE)-VLOOKUP(A57,'Audit Dimensions'!$A:$N,14,FALSE)</f>
        <v>0</v>
      </c>
      <c r="O57" s="145">
        <f>VLOOKUP('Audit VAR'!A57,'Audit Dimensions'!A:P,16,FALSE)</f>
        <v>8550</v>
      </c>
      <c r="P57" s="143">
        <f>VLOOKUP(A57,'Billing Dimensions'!A:Q,17,FALSE)-VLOOKUP('Audit VAR'!A57,'Audit Dimensions'!A:P,16,FALSE)</f>
        <v>-750</v>
      </c>
      <c r="Q57" s="148">
        <f t="shared" si="0"/>
        <v>-8.771929824561403E-2</v>
      </c>
    </row>
    <row r="58" spans="1:17" ht="12.4" customHeight="1">
      <c r="A58" s="58" t="str">
        <f>'Audit Dimensions'!A58</f>
        <v>KC-OPT-1S</v>
      </c>
      <c r="B58" s="2" t="str">
        <f>VLOOKUP(A58,'Billing Dimensions'!A:B,2,FALSE)</f>
        <v>SB</v>
      </c>
      <c r="C58" s="59">
        <f>VLOOKUP(A58,'Billing Dimensions'!$A:$N,3,FALSE)-VLOOKUP(A58,'Audit Dimensions'!$A:$N,3,FALSE)</f>
        <v>0</v>
      </c>
      <c r="D58" s="59">
        <f>VLOOKUP(A58,'Billing Dimensions'!$A:$N,4,FALSE)-VLOOKUP(A58,'Audit Dimensions'!$A:$N,4,FALSE)</f>
        <v>0</v>
      </c>
      <c r="E58" s="59">
        <f>VLOOKUP(A58,'Billing Dimensions'!$A:$N,5,FALSE)-VLOOKUP(A58,'Audit Dimensions'!$A:$N,5,FALSE)</f>
        <v>0</v>
      </c>
      <c r="F58" s="137">
        <f>VLOOKUP(A58,'Billing Dimensions'!$A:$N,6,FALSE)-VLOOKUP(A58,'Audit Dimensions'!$A:$N,6,FALSE)</f>
        <v>-900</v>
      </c>
      <c r="G58" s="65">
        <f>VLOOKUP(A58,'Billing Dimensions'!$A:$N,7,FALSE)-VLOOKUP(A58,'Audit Dimensions'!$A:$N,7,FALSE)</f>
        <v>0</v>
      </c>
      <c r="H58" s="65">
        <f>VLOOKUP(A58,'Billing Dimensions'!$A:$N,8,FALSE)-VLOOKUP(A58,'Audit Dimensions'!$A:$N,8,FALSE)</f>
        <v>0</v>
      </c>
      <c r="I58" s="65">
        <f>VLOOKUP(A58,'Billing Dimensions'!$A:$N,9,FALSE)-VLOOKUP(A58,'Audit Dimensions'!$A:$N,9,FALSE)</f>
        <v>0</v>
      </c>
      <c r="J58" s="61">
        <f>VLOOKUP(A58,'Billing Dimensions'!$A:$N,10,FALSE)-VLOOKUP(A58,'Audit Dimensions'!$A:$N,10,FALSE)</f>
        <v>0</v>
      </c>
      <c r="K58" s="63">
        <f>VLOOKUP(A58,'Billing Dimensions'!$A:$N,11,FALSE)-VLOOKUP(A58,'Audit Dimensions'!$A:$N,11,FALSE)</f>
        <v>0</v>
      </c>
      <c r="L58" s="63">
        <f>VLOOKUP(A58,'Billing Dimensions'!$A:$N,12,FALSE)-VLOOKUP(A58,'Audit Dimensions'!$A:$N,12,FALSE)</f>
        <v>0</v>
      </c>
      <c r="M58" s="63">
        <f>VLOOKUP(A58,'Billing Dimensions'!$A:$N,13,FALSE)-VLOOKUP(A58,'Audit Dimensions'!$A:$N,13,FALSE)</f>
        <v>0</v>
      </c>
      <c r="N58" s="140">
        <f>VLOOKUP(A58,'Billing Dimensions'!$A:$N,14,FALSE)-VLOOKUP(A58,'Audit Dimensions'!$A:$N,14,FALSE)</f>
        <v>0</v>
      </c>
      <c r="O58" s="145">
        <f>VLOOKUP('Audit VAR'!A58,'Audit Dimensions'!A:P,16,FALSE)</f>
        <v>18400</v>
      </c>
      <c r="P58" s="143">
        <f>VLOOKUP(A58,'Billing Dimensions'!A:Q,17,FALSE)-VLOOKUP('Audit VAR'!A58,'Audit Dimensions'!A:P,16,FALSE)</f>
        <v>-900</v>
      </c>
      <c r="Q58" s="148">
        <f t="shared" si="0"/>
        <v>-4.8913043478260872E-2</v>
      </c>
    </row>
    <row r="59" spans="1:17">
      <c r="A59" s="58" t="str">
        <f>'Audit Dimensions'!A59</f>
        <v>KC-OPT-2S</v>
      </c>
      <c r="B59" s="2" t="str">
        <f>VLOOKUP(A59,'Billing Dimensions'!A:B,2,FALSE)</f>
        <v>SB</v>
      </c>
      <c r="C59" s="59">
        <f>VLOOKUP(A59,'Billing Dimensions'!$A:$N,3,FALSE)-VLOOKUP(A59,'Audit Dimensions'!$A:$N,3,FALSE)</f>
        <v>0</v>
      </c>
      <c r="D59" s="59">
        <f>VLOOKUP(A59,'Billing Dimensions'!$A:$N,4,FALSE)-VLOOKUP(A59,'Audit Dimensions'!$A:$N,4,FALSE)</f>
        <v>0</v>
      </c>
      <c r="E59" s="59">
        <f>VLOOKUP(A59,'Billing Dimensions'!$A:$N,5,FALSE)-VLOOKUP(A59,'Audit Dimensions'!$A:$N,5,FALSE)</f>
        <v>0</v>
      </c>
      <c r="F59" s="137">
        <f>VLOOKUP(A59,'Billing Dimensions'!$A:$N,6,FALSE)-VLOOKUP(A59,'Audit Dimensions'!$A:$N,6,FALSE)</f>
        <v>-2000</v>
      </c>
      <c r="G59" s="65">
        <f>VLOOKUP(A59,'Billing Dimensions'!$A:$N,7,FALSE)-VLOOKUP(A59,'Audit Dimensions'!$A:$N,7,FALSE)</f>
        <v>0</v>
      </c>
      <c r="H59" s="65">
        <f>VLOOKUP(A59,'Billing Dimensions'!$A:$N,8,FALSE)-VLOOKUP(A59,'Audit Dimensions'!$A:$N,8,FALSE)</f>
        <v>0</v>
      </c>
      <c r="I59" s="65">
        <f>VLOOKUP(A59,'Billing Dimensions'!$A:$N,9,FALSE)-VLOOKUP(A59,'Audit Dimensions'!$A:$N,9,FALSE)</f>
        <v>0</v>
      </c>
      <c r="J59" s="61">
        <f>VLOOKUP(A59,'Billing Dimensions'!$A:$N,10,FALSE)-VLOOKUP(A59,'Audit Dimensions'!$A:$N,10,FALSE)</f>
        <v>0</v>
      </c>
      <c r="K59" s="63">
        <f>VLOOKUP(A59,'Billing Dimensions'!$A:$N,11,FALSE)-VLOOKUP(A59,'Audit Dimensions'!$A:$N,11,FALSE)</f>
        <v>0</v>
      </c>
      <c r="L59" s="63">
        <f>VLOOKUP(A59,'Billing Dimensions'!$A:$N,12,FALSE)-VLOOKUP(A59,'Audit Dimensions'!$A:$N,12,FALSE)</f>
        <v>0</v>
      </c>
      <c r="M59" s="63">
        <f>VLOOKUP(A59,'Billing Dimensions'!$A:$N,13,FALSE)-VLOOKUP(A59,'Audit Dimensions'!$A:$N,13,FALSE)</f>
        <v>0</v>
      </c>
      <c r="N59" s="140">
        <f>VLOOKUP(A59,'Billing Dimensions'!$A:$N,14,FALSE)-VLOOKUP(A59,'Audit Dimensions'!$A:$N,14,FALSE)</f>
        <v>0</v>
      </c>
      <c r="O59" s="145">
        <f>VLOOKUP('Audit VAR'!A59,'Audit Dimensions'!A:P,16,FALSE)</f>
        <v>36800</v>
      </c>
      <c r="P59" s="143">
        <f>VLOOKUP(A59,'Billing Dimensions'!A:Q,17,FALSE)-VLOOKUP('Audit VAR'!A59,'Audit Dimensions'!A:P,16,FALSE)</f>
        <v>-2000</v>
      </c>
      <c r="Q59" s="148">
        <f t="shared" si="0"/>
        <v>-5.434782608695652E-2</v>
      </c>
    </row>
    <row r="60" spans="1:17">
      <c r="A60" s="58" t="str">
        <f>'Audit Dimensions'!A60</f>
        <v>SR-MVS-I</v>
      </c>
      <c r="B60" s="2" t="str">
        <f>VLOOKUP(A60,'Billing Dimensions'!A:B,2,FALSE)</f>
        <v>SB</v>
      </c>
      <c r="C60" s="59">
        <f>VLOOKUP(A60,'Billing Dimensions'!$A:$N,3,FALSE)-VLOOKUP(A60,'Audit Dimensions'!$A:$N,3,FALSE)</f>
        <v>0</v>
      </c>
      <c r="D60" s="59">
        <f>VLOOKUP(A60,'Billing Dimensions'!$A:$N,4,FALSE)-VLOOKUP(A60,'Audit Dimensions'!$A:$N,4,FALSE)</f>
        <v>0</v>
      </c>
      <c r="E60" s="59">
        <f>VLOOKUP(A60,'Billing Dimensions'!$A:$N,5,FALSE)-VLOOKUP(A60,'Audit Dimensions'!$A:$N,5,FALSE)</f>
        <v>0</v>
      </c>
      <c r="F60" s="137">
        <f>VLOOKUP(A60,'Billing Dimensions'!$A:$N,6,FALSE)-VLOOKUP(A60,'Audit Dimensions'!$A:$N,6,FALSE)</f>
        <v>-1400</v>
      </c>
      <c r="G60" s="65">
        <f>VLOOKUP(A60,'Billing Dimensions'!$A:$N,7,FALSE)-VLOOKUP(A60,'Audit Dimensions'!$A:$N,7,FALSE)</f>
        <v>0</v>
      </c>
      <c r="H60" s="65">
        <f>VLOOKUP(A60,'Billing Dimensions'!$A:$N,8,FALSE)-VLOOKUP(A60,'Audit Dimensions'!$A:$N,8,FALSE)</f>
        <v>0</v>
      </c>
      <c r="I60" s="65">
        <f>VLOOKUP(A60,'Billing Dimensions'!$A:$N,9,FALSE)-VLOOKUP(A60,'Audit Dimensions'!$A:$N,9,FALSE)</f>
        <v>0</v>
      </c>
      <c r="J60" s="61">
        <f>VLOOKUP(A60,'Billing Dimensions'!$A:$N,10,FALSE)-VLOOKUP(A60,'Audit Dimensions'!$A:$N,10,FALSE)</f>
        <v>0</v>
      </c>
      <c r="K60" s="63">
        <f>VLOOKUP(A60,'Billing Dimensions'!$A:$N,11,FALSE)-VLOOKUP(A60,'Audit Dimensions'!$A:$N,11,FALSE)</f>
        <v>0</v>
      </c>
      <c r="L60" s="63">
        <f>VLOOKUP(A60,'Billing Dimensions'!$A:$N,12,FALSE)-VLOOKUP(A60,'Audit Dimensions'!$A:$N,12,FALSE)</f>
        <v>0</v>
      </c>
      <c r="M60" s="63">
        <f>VLOOKUP(A60,'Billing Dimensions'!$A:$N,13,FALSE)-VLOOKUP(A60,'Audit Dimensions'!$A:$N,13,FALSE)</f>
        <v>0</v>
      </c>
      <c r="N60" s="140">
        <f>VLOOKUP(A60,'Billing Dimensions'!$A:$N,14,FALSE)-VLOOKUP(A60,'Audit Dimensions'!$A:$N,14,FALSE)</f>
        <v>0</v>
      </c>
      <c r="O60" s="145">
        <f>VLOOKUP('Audit VAR'!A60,'Audit Dimensions'!A:P,16,FALSE)</f>
        <v>23800</v>
      </c>
      <c r="P60" s="143">
        <f>VLOOKUP(A60,'Billing Dimensions'!A:Q,17,FALSE)-VLOOKUP('Audit VAR'!A60,'Audit Dimensions'!A:P,16,FALSE)</f>
        <v>-1400</v>
      </c>
      <c r="Q60" s="148">
        <f t="shared" si="0"/>
        <v>-5.8823529411764705E-2</v>
      </c>
    </row>
    <row r="61" spans="1:17">
      <c r="A61" s="58" t="str">
        <f>'Audit Dimensions'!A61</f>
        <v>TU-MLE</v>
      </c>
      <c r="B61" s="2" t="str">
        <f>VLOOKUP(A61,'Billing Dimensions'!A:B,2,FALSE)</f>
        <v>SB</v>
      </c>
      <c r="C61" s="59">
        <f>VLOOKUP(A61,'Billing Dimensions'!$A:$N,3,FALSE)-VLOOKUP(A61,'Audit Dimensions'!$A:$N,3,FALSE)</f>
        <v>0</v>
      </c>
      <c r="D61" s="59">
        <f>VLOOKUP(A61,'Billing Dimensions'!$A:$N,4,FALSE)-VLOOKUP(A61,'Audit Dimensions'!$A:$N,4,FALSE)</f>
        <v>0</v>
      </c>
      <c r="E61" s="59">
        <f>VLOOKUP(A61,'Billing Dimensions'!$A:$N,5,FALSE)-VLOOKUP(A61,'Audit Dimensions'!$A:$N,5,FALSE)</f>
        <v>0</v>
      </c>
      <c r="F61" s="137">
        <f>VLOOKUP(A61,'Billing Dimensions'!$A:$N,6,FALSE)-VLOOKUP(A61,'Audit Dimensions'!$A:$N,6,FALSE)</f>
        <v>-230</v>
      </c>
      <c r="G61" s="65">
        <f>VLOOKUP(A61,'Billing Dimensions'!$A:$N,7,FALSE)-VLOOKUP(A61,'Audit Dimensions'!$A:$N,7,FALSE)</f>
        <v>0</v>
      </c>
      <c r="H61" s="65">
        <f>VLOOKUP(A61,'Billing Dimensions'!$A:$N,8,FALSE)-VLOOKUP(A61,'Audit Dimensions'!$A:$N,8,FALSE)</f>
        <v>0</v>
      </c>
      <c r="I61" s="65">
        <f>VLOOKUP(A61,'Billing Dimensions'!$A:$N,9,FALSE)-VLOOKUP(A61,'Audit Dimensions'!$A:$N,9,FALSE)</f>
        <v>0</v>
      </c>
      <c r="J61" s="61">
        <f>VLOOKUP(A61,'Billing Dimensions'!$A:$N,10,FALSE)-VLOOKUP(A61,'Audit Dimensions'!$A:$N,10,FALSE)</f>
        <v>0</v>
      </c>
      <c r="K61" s="63">
        <f>VLOOKUP(A61,'Billing Dimensions'!$A:$N,11,FALSE)-VLOOKUP(A61,'Audit Dimensions'!$A:$N,11,FALSE)</f>
        <v>0</v>
      </c>
      <c r="L61" s="63">
        <f>VLOOKUP(A61,'Billing Dimensions'!$A:$N,12,FALSE)-VLOOKUP(A61,'Audit Dimensions'!$A:$N,12,FALSE)</f>
        <v>0</v>
      </c>
      <c r="M61" s="63">
        <f>VLOOKUP(A61,'Billing Dimensions'!$A:$N,13,FALSE)-VLOOKUP(A61,'Audit Dimensions'!$A:$N,13,FALSE)</f>
        <v>0</v>
      </c>
      <c r="N61" s="140">
        <f>VLOOKUP(A61,'Billing Dimensions'!$A:$N,14,FALSE)-VLOOKUP(A61,'Audit Dimensions'!$A:$N,14,FALSE)</f>
        <v>0</v>
      </c>
      <c r="O61" s="145">
        <f>VLOOKUP('Audit VAR'!A61,'Audit Dimensions'!A:P,16,FALSE)</f>
        <v>8100</v>
      </c>
      <c r="P61" s="143">
        <f>VLOOKUP(A61,'Billing Dimensions'!A:Q,17,FALSE)-VLOOKUP('Audit VAR'!A61,'Audit Dimensions'!A:P,16,FALSE)</f>
        <v>-230</v>
      </c>
      <c r="Q61" s="148">
        <f t="shared" si="0"/>
        <v>-2.8395061728395062E-2</v>
      </c>
    </row>
    <row r="62" spans="1:17">
      <c r="A62" s="58" t="str">
        <f>'Audit Dimensions'!A62</f>
        <v>TU-AYL</v>
      </c>
      <c r="B62" s="2" t="str">
        <f>VLOOKUP(A62,'Billing Dimensions'!A:B,2,FALSE)</f>
        <v>SB</v>
      </c>
      <c r="C62" s="59">
        <f>VLOOKUP(A62,'Billing Dimensions'!$A:$N,3,FALSE)-VLOOKUP(A62,'Audit Dimensions'!$A:$N,3,FALSE)</f>
        <v>0</v>
      </c>
      <c r="D62" s="59">
        <f>VLOOKUP(A62,'Billing Dimensions'!$A:$N,4,FALSE)-VLOOKUP(A62,'Audit Dimensions'!$A:$N,4,FALSE)</f>
        <v>0</v>
      </c>
      <c r="E62" s="59">
        <f>VLOOKUP(A62,'Billing Dimensions'!$A:$N,5,FALSE)-VLOOKUP(A62,'Audit Dimensions'!$A:$N,5,FALSE)</f>
        <v>0</v>
      </c>
      <c r="F62" s="137">
        <f>VLOOKUP(A62,'Billing Dimensions'!$A:$N,6,FALSE)-VLOOKUP(A62,'Audit Dimensions'!$A:$N,6,FALSE)</f>
        <v>-590</v>
      </c>
      <c r="G62" s="65">
        <f>VLOOKUP(A62,'Billing Dimensions'!$A:$N,7,FALSE)-VLOOKUP(A62,'Audit Dimensions'!$A:$N,7,FALSE)</f>
        <v>0</v>
      </c>
      <c r="H62" s="65">
        <f>VLOOKUP(A62,'Billing Dimensions'!$A:$N,8,FALSE)-VLOOKUP(A62,'Audit Dimensions'!$A:$N,8,FALSE)</f>
        <v>0</v>
      </c>
      <c r="I62" s="65">
        <f>VLOOKUP(A62,'Billing Dimensions'!$A:$N,9,FALSE)-VLOOKUP(A62,'Audit Dimensions'!$A:$N,9,FALSE)</f>
        <v>0</v>
      </c>
      <c r="J62" s="61">
        <f>VLOOKUP(A62,'Billing Dimensions'!$A:$N,10,FALSE)-VLOOKUP(A62,'Audit Dimensions'!$A:$N,10,FALSE)</f>
        <v>0</v>
      </c>
      <c r="K62" s="63">
        <f>VLOOKUP(A62,'Billing Dimensions'!$A:$N,11,FALSE)-VLOOKUP(A62,'Audit Dimensions'!$A:$N,11,FALSE)</f>
        <v>0</v>
      </c>
      <c r="L62" s="63">
        <f>VLOOKUP(A62,'Billing Dimensions'!$A:$N,12,FALSE)-VLOOKUP(A62,'Audit Dimensions'!$A:$N,12,FALSE)</f>
        <v>0</v>
      </c>
      <c r="M62" s="63">
        <f>VLOOKUP(A62,'Billing Dimensions'!$A:$N,13,FALSE)-VLOOKUP(A62,'Audit Dimensions'!$A:$N,13,FALSE)</f>
        <v>0</v>
      </c>
      <c r="N62" s="140">
        <f>VLOOKUP(A62,'Billing Dimensions'!$A:$N,14,FALSE)-VLOOKUP(A62,'Audit Dimensions'!$A:$N,14,FALSE)</f>
        <v>0</v>
      </c>
      <c r="O62" s="145">
        <f>VLOOKUP('Audit VAR'!A62,'Audit Dimensions'!A:P,16,FALSE)</f>
        <v>17390</v>
      </c>
      <c r="P62" s="143">
        <f>VLOOKUP(A62,'Billing Dimensions'!A:Q,17,FALSE)-VLOOKUP('Audit VAR'!A62,'Audit Dimensions'!A:P,16,FALSE)</f>
        <v>-590</v>
      </c>
      <c r="Q62" s="148">
        <f t="shared" si="0"/>
        <v>-3.3927544565842439E-2</v>
      </c>
    </row>
    <row r="63" spans="1:17">
      <c r="A63" s="58" t="str">
        <f>'Audit Dimensions'!A63</f>
        <v>TU-SKDL</v>
      </c>
      <c r="B63" s="2" t="str">
        <f>VLOOKUP(A63,'Billing Dimensions'!A:B,2,FALSE)</f>
        <v>SB</v>
      </c>
      <c r="C63" s="59">
        <f>VLOOKUP(A63,'Billing Dimensions'!$A:$N,3,FALSE)-VLOOKUP(A63,'Audit Dimensions'!$A:$N,3,FALSE)</f>
        <v>0</v>
      </c>
      <c r="D63" s="59">
        <f>VLOOKUP(A63,'Billing Dimensions'!$A:$N,4,FALSE)-VLOOKUP(A63,'Audit Dimensions'!$A:$N,4,FALSE)</f>
        <v>0</v>
      </c>
      <c r="E63" s="59">
        <f>VLOOKUP(A63,'Billing Dimensions'!$A:$N,5,FALSE)-VLOOKUP(A63,'Audit Dimensions'!$A:$N,5,FALSE)</f>
        <v>0</v>
      </c>
      <c r="F63" s="137">
        <f>VLOOKUP(A63,'Billing Dimensions'!$A:$N,6,FALSE)-VLOOKUP(A63,'Audit Dimensions'!$A:$N,6,FALSE)</f>
        <v>-940</v>
      </c>
      <c r="G63" s="65">
        <f>VLOOKUP(A63,'Billing Dimensions'!$A:$N,7,FALSE)-VLOOKUP(A63,'Audit Dimensions'!$A:$N,7,FALSE)</f>
        <v>0</v>
      </c>
      <c r="H63" s="65">
        <f>VLOOKUP(A63,'Billing Dimensions'!$A:$N,8,FALSE)-VLOOKUP(A63,'Audit Dimensions'!$A:$N,8,FALSE)</f>
        <v>0</v>
      </c>
      <c r="I63" s="65">
        <f>VLOOKUP(A63,'Billing Dimensions'!$A:$N,9,FALSE)-VLOOKUP(A63,'Audit Dimensions'!$A:$N,9,FALSE)</f>
        <v>0</v>
      </c>
      <c r="J63" s="61">
        <f>VLOOKUP(A63,'Billing Dimensions'!$A:$N,10,FALSE)-VLOOKUP(A63,'Audit Dimensions'!$A:$N,10,FALSE)</f>
        <v>0</v>
      </c>
      <c r="K63" s="63">
        <f>VLOOKUP(A63,'Billing Dimensions'!$A:$N,11,FALSE)-VLOOKUP(A63,'Audit Dimensions'!$A:$N,11,FALSE)</f>
        <v>0</v>
      </c>
      <c r="L63" s="63">
        <f>VLOOKUP(A63,'Billing Dimensions'!$A:$N,12,FALSE)-VLOOKUP(A63,'Audit Dimensions'!$A:$N,12,FALSE)</f>
        <v>0</v>
      </c>
      <c r="M63" s="63">
        <f>VLOOKUP(A63,'Billing Dimensions'!$A:$N,13,FALSE)-VLOOKUP(A63,'Audit Dimensions'!$A:$N,13,FALSE)</f>
        <v>0</v>
      </c>
      <c r="N63" s="140">
        <f>VLOOKUP(A63,'Billing Dimensions'!$A:$N,14,FALSE)-VLOOKUP(A63,'Audit Dimensions'!$A:$N,14,FALSE)</f>
        <v>0</v>
      </c>
      <c r="O63" s="145">
        <f>VLOOKUP('Audit VAR'!A63,'Audit Dimensions'!A:P,16,FALSE)</f>
        <v>23340</v>
      </c>
      <c r="P63" s="143">
        <f>VLOOKUP(A63,'Billing Dimensions'!A:Q,17,FALSE)-VLOOKUP('Audit VAR'!A63,'Audit Dimensions'!A:P,16,FALSE)</f>
        <v>-940</v>
      </c>
      <c r="Q63" s="148">
        <f t="shared" si="0"/>
        <v>-4.0274207369323051E-2</v>
      </c>
    </row>
    <row r="64" spans="1:17">
      <c r="A64" s="58" t="str">
        <f>'Audit Dimensions'!A64</f>
        <v>TU-FL</v>
      </c>
      <c r="B64" s="2" t="str">
        <f>VLOOKUP(A64,'Billing Dimensions'!A:B,2,FALSE)</f>
        <v>MB</v>
      </c>
      <c r="C64" s="59">
        <f>VLOOKUP(A64,'Billing Dimensions'!$A:$N,3,FALSE)-VLOOKUP(A64,'Audit Dimensions'!$A:$N,3,FALSE)</f>
        <v>0</v>
      </c>
      <c r="D64" s="59">
        <f>VLOOKUP(A64,'Billing Dimensions'!$A:$N,4,FALSE)-VLOOKUP(A64,'Audit Dimensions'!$A:$N,4,FALSE)</f>
        <v>0</v>
      </c>
      <c r="E64" s="59">
        <f>VLOOKUP(A64,'Billing Dimensions'!$A:$N,5,FALSE)-VLOOKUP(A64,'Audit Dimensions'!$A:$N,5,FALSE)</f>
        <v>0</v>
      </c>
      <c r="F64" s="137">
        <f>VLOOKUP(A64,'Billing Dimensions'!$A:$N,6,FALSE)-VLOOKUP(A64,'Audit Dimensions'!$A:$N,6,FALSE)</f>
        <v>-1910</v>
      </c>
      <c r="G64" s="65">
        <f>VLOOKUP(A64,'Billing Dimensions'!$A:$N,7,FALSE)-VLOOKUP(A64,'Audit Dimensions'!$A:$N,7,FALSE)</f>
        <v>0</v>
      </c>
      <c r="H64" s="65">
        <f>VLOOKUP(A64,'Billing Dimensions'!$A:$N,8,FALSE)-VLOOKUP(A64,'Audit Dimensions'!$A:$N,8,FALSE)</f>
        <v>0</v>
      </c>
      <c r="I64" s="65">
        <f>VLOOKUP(A64,'Billing Dimensions'!$A:$N,9,FALSE)-VLOOKUP(A64,'Audit Dimensions'!$A:$N,9,FALSE)</f>
        <v>0</v>
      </c>
      <c r="J64" s="61">
        <f>VLOOKUP(A64,'Billing Dimensions'!$A:$N,10,FALSE)-VLOOKUP(A64,'Audit Dimensions'!$A:$N,10,FALSE)</f>
        <v>-2320</v>
      </c>
      <c r="K64" s="63">
        <f>VLOOKUP(A64,'Billing Dimensions'!$A:$N,11,FALSE)-VLOOKUP(A64,'Audit Dimensions'!$A:$N,11,FALSE)</f>
        <v>0</v>
      </c>
      <c r="L64" s="63">
        <f>VLOOKUP(A64,'Billing Dimensions'!$A:$N,12,FALSE)-VLOOKUP(A64,'Audit Dimensions'!$A:$N,12,FALSE)</f>
        <v>0</v>
      </c>
      <c r="M64" s="63">
        <f>VLOOKUP(A64,'Billing Dimensions'!$A:$N,13,FALSE)-VLOOKUP(A64,'Audit Dimensions'!$A:$N,13,FALSE)</f>
        <v>0</v>
      </c>
      <c r="N64" s="140">
        <f>VLOOKUP(A64,'Billing Dimensions'!$A:$N,14,FALSE)-VLOOKUP(A64,'Audit Dimensions'!$A:$N,14,FALSE)</f>
        <v>-1080</v>
      </c>
      <c r="O64" s="145">
        <f>VLOOKUP('Audit VAR'!A64,'Audit Dimensions'!A:P,16,FALSE)</f>
        <v>86810</v>
      </c>
      <c r="P64" s="143">
        <f>VLOOKUP(A64,'Billing Dimensions'!A:Q,17,FALSE)-VLOOKUP('Audit VAR'!A64,'Audit Dimensions'!A:P,16,FALSE)</f>
        <v>-5310</v>
      </c>
      <c r="Q64" s="148">
        <f t="shared" si="0"/>
        <v>-6.1168068194908422E-2</v>
      </c>
    </row>
    <row r="65" spans="1:17">
      <c r="A65" s="58" t="str">
        <f>'Audit Dimensions'!A65</f>
        <v>TU-BKMT</v>
      </c>
      <c r="B65" s="2" t="str">
        <f>VLOOKUP(A65,'Billing Dimensions'!A:B,2,FALSE)</f>
        <v>SB</v>
      </c>
      <c r="C65" s="59">
        <f>VLOOKUP(A65,'Billing Dimensions'!$A:$N,3,FALSE)-VLOOKUP(A65,'Audit Dimensions'!$A:$N,3,FALSE)</f>
        <v>0</v>
      </c>
      <c r="D65" s="59">
        <f>VLOOKUP(A65,'Billing Dimensions'!$A:$N,4,FALSE)-VLOOKUP(A65,'Audit Dimensions'!$A:$N,4,FALSE)</f>
        <v>0</v>
      </c>
      <c r="E65" s="59">
        <f>VLOOKUP(A65,'Billing Dimensions'!$A:$N,5,FALSE)-VLOOKUP(A65,'Audit Dimensions'!$A:$N,5,FALSE)</f>
        <v>0</v>
      </c>
      <c r="F65" s="137">
        <f>VLOOKUP(A65,'Billing Dimensions'!$A:$N,6,FALSE)-VLOOKUP(A65,'Audit Dimensions'!$A:$N,6,FALSE)</f>
        <v>-1650</v>
      </c>
      <c r="G65" s="65">
        <f>VLOOKUP(A65,'Billing Dimensions'!$A:$N,7,FALSE)-VLOOKUP(A65,'Audit Dimensions'!$A:$N,7,FALSE)</f>
        <v>0</v>
      </c>
      <c r="H65" s="65">
        <f>VLOOKUP(A65,'Billing Dimensions'!$A:$N,8,FALSE)-VLOOKUP(A65,'Audit Dimensions'!$A:$N,8,FALSE)</f>
        <v>0</v>
      </c>
      <c r="I65" s="65">
        <f>VLOOKUP(A65,'Billing Dimensions'!$A:$N,9,FALSE)-VLOOKUP(A65,'Audit Dimensions'!$A:$N,9,FALSE)</f>
        <v>0</v>
      </c>
      <c r="J65" s="61">
        <f>VLOOKUP(A65,'Billing Dimensions'!$A:$N,10,FALSE)-VLOOKUP(A65,'Audit Dimensions'!$A:$N,10,FALSE)</f>
        <v>-1300</v>
      </c>
      <c r="K65" s="63">
        <f>VLOOKUP(A65,'Billing Dimensions'!$A:$N,11,FALSE)-VLOOKUP(A65,'Audit Dimensions'!$A:$N,11,FALSE)</f>
        <v>0</v>
      </c>
      <c r="L65" s="63">
        <f>VLOOKUP(A65,'Billing Dimensions'!$A:$N,12,FALSE)-VLOOKUP(A65,'Audit Dimensions'!$A:$N,12,FALSE)</f>
        <v>0</v>
      </c>
      <c r="M65" s="63">
        <f>VLOOKUP(A65,'Billing Dimensions'!$A:$N,13,FALSE)-VLOOKUP(A65,'Audit Dimensions'!$A:$N,13,FALSE)</f>
        <v>0</v>
      </c>
      <c r="N65" s="140">
        <f>VLOOKUP(A65,'Billing Dimensions'!$A:$N,14,FALSE)-VLOOKUP(A65,'Audit Dimensions'!$A:$N,14,FALSE)</f>
        <v>0</v>
      </c>
      <c r="O65" s="145">
        <f>VLOOKUP('Audit VAR'!A65,'Audit Dimensions'!A:P,16,FALSE)</f>
        <v>50150</v>
      </c>
      <c r="P65" s="143">
        <f>VLOOKUP(A65,'Billing Dimensions'!A:Q,17,FALSE)-VLOOKUP('Audit VAR'!A65,'Audit Dimensions'!A:P,16,FALSE)</f>
        <v>-2950</v>
      </c>
      <c r="Q65" s="148">
        <f t="shared" si="0"/>
        <v>-5.8823529411764705E-2</v>
      </c>
    </row>
    <row r="66" spans="1:17">
      <c r="A66" s="58" t="str">
        <f>'Audit Dimensions'!A66</f>
        <v>ST-KYA</v>
      </c>
      <c r="B66" s="2" t="str">
        <f>VLOOKUP(A66,'Billing Dimensions'!A:B,2,FALSE)</f>
        <v>SB</v>
      </c>
      <c r="C66" s="59">
        <f>VLOOKUP(A66,'Billing Dimensions'!$A:$N,3,FALSE)-VLOOKUP(A66,'Audit Dimensions'!$A:$N,3,FALSE)</f>
        <v>0</v>
      </c>
      <c r="D66" s="59">
        <f>VLOOKUP(A66,'Billing Dimensions'!$A:$N,4,FALSE)-VLOOKUP(A66,'Audit Dimensions'!$A:$N,4,FALSE)</f>
        <v>0</v>
      </c>
      <c r="E66" s="59">
        <f>VLOOKUP(A66,'Billing Dimensions'!$A:$N,5,FALSE)-VLOOKUP(A66,'Audit Dimensions'!$A:$N,5,FALSE)</f>
        <v>0</v>
      </c>
      <c r="F66" s="137">
        <f>VLOOKUP(A66,'Billing Dimensions'!$A:$N,6,FALSE)-VLOOKUP(A66,'Audit Dimensions'!$A:$N,6,FALSE)</f>
        <v>-1800</v>
      </c>
      <c r="G66" s="65">
        <f>VLOOKUP(A66,'Billing Dimensions'!$A:$N,7,FALSE)-VLOOKUP(A66,'Audit Dimensions'!$A:$N,7,FALSE)</f>
        <v>0</v>
      </c>
      <c r="H66" s="65">
        <f>VLOOKUP(A66,'Billing Dimensions'!$A:$N,8,FALSE)-VLOOKUP(A66,'Audit Dimensions'!$A:$N,8,FALSE)</f>
        <v>0</v>
      </c>
      <c r="I66" s="65">
        <f>VLOOKUP(A66,'Billing Dimensions'!$A:$N,9,FALSE)-VLOOKUP(A66,'Audit Dimensions'!$A:$N,9,FALSE)</f>
        <v>0</v>
      </c>
      <c r="J66" s="61">
        <f>VLOOKUP(A66,'Billing Dimensions'!$A:$N,10,FALSE)-VLOOKUP(A66,'Audit Dimensions'!$A:$N,10,FALSE)</f>
        <v>0</v>
      </c>
      <c r="K66" s="63">
        <f>VLOOKUP(A66,'Billing Dimensions'!$A:$N,11,FALSE)-VLOOKUP(A66,'Audit Dimensions'!$A:$N,11,FALSE)</f>
        <v>0</v>
      </c>
      <c r="L66" s="63">
        <f>VLOOKUP(A66,'Billing Dimensions'!$A:$N,12,FALSE)-VLOOKUP(A66,'Audit Dimensions'!$A:$N,12,FALSE)</f>
        <v>0</v>
      </c>
      <c r="M66" s="63">
        <f>VLOOKUP(A66,'Billing Dimensions'!$A:$N,13,FALSE)-VLOOKUP(A66,'Audit Dimensions'!$A:$N,13,FALSE)</f>
        <v>0</v>
      </c>
      <c r="N66" s="140">
        <f>VLOOKUP(A66,'Billing Dimensions'!$A:$N,14,FALSE)-VLOOKUP(A66,'Audit Dimensions'!$A:$N,14,FALSE)</f>
        <v>0</v>
      </c>
      <c r="O66" s="145">
        <f>VLOOKUP('Audit VAR'!A66,'Audit Dimensions'!A:P,16,FALSE)</f>
        <v>26300</v>
      </c>
      <c r="P66" s="143">
        <f>VLOOKUP(A66,'Billing Dimensions'!A:Q,17,FALSE)-VLOOKUP('Audit VAR'!A66,'Audit Dimensions'!A:P,16,FALSE)</f>
        <v>-1800</v>
      </c>
      <c r="Q66" s="148">
        <f t="shared" si="0"/>
        <v>-6.8441064638783272E-2</v>
      </c>
    </row>
    <row r="67" spans="1:17">
      <c r="A67" s="58" t="str">
        <f>'Audit Dimensions'!A67</f>
        <v>TU-DRN</v>
      </c>
      <c r="B67" s="2" t="str">
        <f>VLOOKUP(A67,'Billing Dimensions'!A:B,2,FALSE)</f>
        <v>SB</v>
      </c>
      <c r="C67" s="59">
        <f>VLOOKUP(A67,'Billing Dimensions'!$A:$N,3,FALSE)-VLOOKUP(A67,'Audit Dimensions'!$A:$N,3,FALSE)</f>
        <v>0</v>
      </c>
      <c r="D67" s="59">
        <f>VLOOKUP(A67,'Billing Dimensions'!$A:$N,4,FALSE)-VLOOKUP(A67,'Audit Dimensions'!$A:$N,4,FALSE)</f>
        <v>0</v>
      </c>
      <c r="E67" s="59">
        <f>VLOOKUP(A67,'Billing Dimensions'!$A:$N,5,FALSE)-VLOOKUP(A67,'Audit Dimensions'!$A:$N,5,FALSE)</f>
        <v>0</v>
      </c>
      <c r="F67" s="137">
        <f>VLOOKUP(A67,'Billing Dimensions'!$A:$N,6,FALSE)-VLOOKUP(A67,'Audit Dimensions'!$A:$N,6,FALSE)</f>
        <v>-1150</v>
      </c>
      <c r="G67" s="65">
        <f>VLOOKUP(A67,'Billing Dimensions'!$A:$N,7,FALSE)-VLOOKUP(A67,'Audit Dimensions'!$A:$N,7,FALSE)</f>
        <v>0</v>
      </c>
      <c r="H67" s="65">
        <f>VLOOKUP(A67,'Billing Dimensions'!$A:$N,8,FALSE)-VLOOKUP(A67,'Audit Dimensions'!$A:$N,8,FALSE)</f>
        <v>0</v>
      </c>
      <c r="I67" s="65">
        <f>VLOOKUP(A67,'Billing Dimensions'!$A:$N,9,FALSE)-VLOOKUP(A67,'Audit Dimensions'!$A:$N,9,FALSE)</f>
        <v>0</v>
      </c>
      <c r="J67" s="61">
        <f>VLOOKUP(A67,'Billing Dimensions'!$A:$N,10,FALSE)-VLOOKUP(A67,'Audit Dimensions'!$A:$N,10,FALSE)</f>
        <v>0</v>
      </c>
      <c r="K67" s="63">
        <f>VLOOKUP(A67,'Billing Dimensions'!$A:$N,11,FALSE)-VLOOKUP(A67,'Audit Dimensions'!$A:$N,11,FALSE)</f>
        <v>0</v>
      </c>
      <c r="L67" s="63">
        <f>VLOOKUP(A67,'Billing Dimensions'!$A:$N,12,FALSE)-VLOOKUP(A67,'Audit Dimensions'!$A:$N,12,FALSE)</f>
        <v>0</v>
      </c>
      <c r="M67" s="63">
        <f>VLOOKUP(A67,'Billing Dimensions'!$A:$N,13,FALSE)-VLOOKUP(A67,'Audit Dimensions'!$A:$N,13,FALSE)</f>
        <v>0</v>
      </c>
      <c r="N67" s="140">
        <f>VLOOKUP(A67,'Billing Dimensions'!$A:$N,14,FALSE)-VLOOKUP(A67,'Audit Dimensions'!$A:$N,14,FALSE)</f>
        <v>0</v>
      </c>
      <c r="O67" s="145">
        <f>VLOOKUP('Audit VAR'!A67,'Audit Dimensions'!A:P,16,FALSE)</f>
        <v>17900</v>
      </c>
      <c r="P67" s="143">
        <f>VLOOKUP(A67,'Billing Dimensions'!A:Q,17,FALSE)-VLOOKUP('Audit VAR'!A67,'Audit Dimensions'!A:P,16,FALSE)</f>
        <v>-1150</v>
      </c>
      <c r="Q67" s="148">
        <f t="shared" si="0"/>
        <v>-6.4245810055865923E-2</v>
      </c>
    </row>
    <row r="68" spans="1:17">
      <c r="A68" s="58" t="str">
        <f>'Audit Dimensions'!A68</f>
        <v>SR-CLM-2</v>
      </c>
      <c r="B68" s="2" t="str">
        <f>VLOOKUP(A68,'Billing Dimensions'!A:B,2,FALSE)</f>
        <v>SB</v>
      </c>
      <c r="C68" s="59">
        <f>VLOOKUP(A68,'Billing Dimensions'!$A:$N,3,FALSE)-VLOOKUP(A68,'Audit Dimensions'!$A:$N,3,FALSE)</f>
        <v>0</v>
      </c>
      <c r="D68" s="59">
        <f>VLOOKUP(A68,'Billing Dimensions'!$A:$N,4,FALSE)-VLOOKUP(A68,'Audit Dimensions'!$A:$N,4,FALSE)</f>
        <v>0</v>
      </c>
      <c r="E68" s="59">
        <f>VLOOKUP(A68,'Billing Dimensions'!$A:$N,5,FALSE)-VLOOKUP(A68,'Audit Dimensions'!$A:$N,5,FALSE)</f>
        <v>0</v>
      </c>
      <c r="F68" s="137">
        <f>VLOOKUP(A68,'Billing Dimensions'!$A:$N,6,FALSE)-VLOOKUP(A68,'Audit Dimensions'!$A:$N,6,FALSE)</f>
        <v>-550</v>
      </c>
      <c r="G68" s="65">
        <f>VLOOKUP(A68,'Billing Dimensions'!$A:$N,7,FALSE)-VLOOKUP(A68,'Audit Dimensions'!$A:$N,7,FALSE)</f>
        <v>0</v>
      </c>
      <c r="H68" s="65">
        <f>VLOOKUP(A68,'Billing Dimensions'!$A:$N,8,FALSE)-VLOOKUP(A68,'Audit Dimensions'!$A:$N,8,FALSE)</f>
        <v>0</v>
      </c>
      <c r="I68" s="65">
        <f>VLOOKUP(A68,'Billing Dimensions'!$A:$N,9,FALSE)-VLOOKUP(A68,'Audit Dimensions'!$A:$N,9,FALSE)</f>
        <v>0</v>
      </c>
      <c r="J68" s="61">
        <f>VLOOKUP(A68,'Billing Dimensions'!$A:$N,10,FALSE)-VLOOKUP(A68,'Audit Dimensions'!$A:$N,10,FALSE)</f>
        <v>0</v>
      </c>
      <c r="K68" s="63">
        <f>VLOOKUP(A68,'Billing Dimensions'!$A:$N,11,FALSE)-VLOOKUP(A68,'Audit Dimensions'!$A:$N,11,FALSE)</f>
        <v>0</v>
      </c>
      <c r="L68" s="63">
        <f>VLOOKUP(A68,'Billing Dimensions'!$A:$N,12,FALSE)-VLOOKUP(A68,'Audit Dimensions'!$A:$N,12,FALSE)</f>
        <v>0</v>
      </c>
      <c r="M68" s="63">
        <f>VLOOKUP(A68,'Billing Dimensions'!$A:$N,13,FALSE)-VLOOKUP(A68,'Audit Dimensions'!$A:$N,13,FALSE)</f>
        <v>0</v>
      </c>
      <c r="N68" s="140">
        <f>VLOOKUP(A68,'Billing Dimensions'!$A:$N,14,FALSE)-VLOOKUP(A68,'Audit Dimensions'!$A:$N,14,FALSE)</f>
        <v>0</v>
      </c>
      <c r="O68" s="145">
        <f>VLOOKUP('Audit VAR'!A68,'Audit Dimensions'!A:P,16,FALSE)</f>
        <v>18350</v>
      </c>
      <c r="P68" s="143">
        <f>VLOOKUP(A68,'Billing Dimensions'!A:Q,17,FALSE)-VLOOKUP('Audit VAR'!A68,'Audit Dimensions'!A:P,16,FALSE)</f>
        <v>-550</v>
      </c>
      <c r="Q68" s="148">
        <f t="shared" ref="Q68:Q127" si="1">P68/O68</f>
        <v>-2.9972752043596729E-2</v>
      </c>
    </row>
    <row r="69" spans="1:17">
      <c r="A69" s="58" t="str">
        <f>'Audit Dimensions'!A69</f>
        <v>S-BR-6</v>
      </c>
      <c r="B69" s="2" t="str">
        <f>VLOOKUP(A69,'Billing Dimensions'!A:B,2,FALSE)</f>
        <v>SB</v>
      </c>
      <c r="C69" s="59">
        <f>VLOOKUP(A69,'Billing Dimensions'!$A:$N,3,FALSE)-VLOOKUP(A69,'Audit Dimensions'!$A:$N,3,FALSE)</f>
        <v>0</v>
      </c>
      <c r="D69" s="59">
        <f>VLOOKUP(A69,'Billing Dimensions'!$A:$N,4,FALSE)-VLOOKUP(A69,'Audit Dimensions'!$A:$N,4,FALSE)</f>
        <v>0</v>
      </c>
      <c r="E69" s="59">
        <f>VLOOKUP(A69,'Billing Dimensions'!$A:$N,5,FALSE)-VLOOKUP(A69,'Audit Dimensions'!$A:$N,5,FALSE)</f>
        <v>0</v>
      </c>
      <c r="F69" s="137">
        <f>VLOOKUP(A69,'Billing Dimensions'!$A:$N,6,FALSE)-VLOOKUP(A69,'Audit Dimensions'!$A:$N,6,FALSE)</f>
        <v>-600</v>
      </c>
      <c r="G69" s="65">
        <f>VLOOKUP(A69,'Billing Dimensions'!$A:$N,7,FALSE)-VLOOKUP(A69,'Audit Dimensions'!$A:$N,7,FALSE)</f>
        <v>0</v>
      </c>
      <c r="H69" s="65">
        <f>VLOOKUP(A69,'Billing Dimensions'!$A:$N,8,FALSE)-VLOOKUP(A69,'Audit Dimensions'!$A:$N,8,FALSE)</f>
        <v>0</v>
      </c>
      <c r="I69" s="65">
        <f>VLOOKUP(A69,'Billing Dimensions'!$A:$N,9,FALSE)-VLOOKUP(A69,'Audit Dimensions'!$A:$N,9,FALSE)</f>
        <v>0</v>
      </c>
      <c r="J69" s="61">
        <f>VLOOKUP(A69,'Billing Dimensions'!$A:$N,10,FALSE)-VLOOKUP(A69,'Audit Dimensions'!$A:$N,10,FALSE)</f>
        <v>0</v>
      </c>
      <c r="K69" s="63">
        <f>VLOOKUP(A69,'Billing Dimensions'!$A:$N,11,FALSE)-VLOOKUP(A69,'Audit Dimensions'!$A:$N,11,FALSE)</f>
        <v>0</v>
      </c>
      <c r="L69" s="63">
        <f>VLOOKUP(A69,'Billing Dimensions'!$A:$N,12,FALSE)-VLOOKUP(A69,'Audit Dimensions'!$A:$N,12,FALSE)</f>
        <v>0</v>
      </c>
      <c r="M69" s="63">
        <f>VLOOKUP(A69,'Billing Dimensions'!$A:$N,13,FALSE)-VLOOKUP(A69,'Audit Dimensions'!$A:$N,13,FALSE)</f>
        <v>0</v>
      </c>
      <c r="N69" s="140">
        <f>VLOOKUP(A69,'Billing Dimensions'!$A:$N,14,FALSE)-VLOOKUP(A69,'Audit Dimensions'!$A:$N,14,FALSE)</f>
        <v>0</v>
      </c>
      <c r="O69" s="145">
        <f>VLOOKUP('Audit VAR'!A69,'Audit Dimensions'!A:P,16,FALSE)</f>
        <v>5500</v>
      </c>
      <c r="P69" s="143">
        <f>VLOOKUP(A69,'Billing Dimensions'!A:Q,17,FALSE)-VLOOKUP('Audit VAR'!A69,'Audit Dimensions'!A:P,16,FALSE)</f>
        <v>-600</v>
      </c>
      <c r="Q69" s="148">
        <f t="shared" si="1"/>
        <v>-0.10909090909090909</v>
      </c>
    </row>
    <row r="70" spans="1:17">
      <c r="A70" s="58" t="str">
        <f>'Audit Dimensions'!A70</f>
        <v>BT-OL-D</v>
      </c>
      <c r="B70" s="2" t="str">
        <f>VLOOKUP(A70,'Billing Dimensions'!A:B,2,FALSE)</f>
        <v>SB</v>
      </c>
      <c r="C70" s="59">
        <f>VLOOKUP(A70,'Billing Dimensions'!$A:$N,3,FALSE)-VLOOKUP(A70,'Audit Dimensions'!$A:$N,3,FALSE)</f>
        <v>0</v>
      </c>
      <c r="D70" s="59">
        <f>VLOOKUP(A70,'Billing Dimensions'!$A:$N,4,FALSE)-VLOOKUP(A70,'Audit Dimensions'!$A:$N,4,FALSE)</f>
        <v>0</v>
      </c>
      <c r="E70" s="59">
        <f>VLOOKUP(A70,'Billing Dimensions'!$A:$N,5,FALSE)-VLOOKUP(A70,'Audit Dimensions'!$A:$N,5,FALSE)</f>
        <v>0</v>
      </c>
      <c r="F70" s="137">
        <f>VLOOKUP(A70,'Billing Dimensions'!$A:$N,6,FALSE)-VLOOKUP(A70,'Audit Dimensions'!$A:$N,6,FALSE)</f>
        <v>-550</v>
      </c>
      <c r="G70" s="65">
        <f>VLOOKUP(A70,'Billing Dimensions'!$A:$N,7,FALSE)-VLOOKUP(A70,'Audit Dimensions'!$A:$N,7,FALSE)</f>
        <v>0</v>
      </c>
      <c r="H70" s="65">
        <f>VLOOKUP(A70,'Billing Dimensions'!$A:$N,8,FALSE)-VLOOKUP(A70,'Audit Dimensions'!$A:$N,8,FALSE)</f>
        <v>0</v>
      </c>
      <c r="I70" s="65">
        <f>VLOOKUP(A70,'Billing Dimensions'!$A:$N,9,FALSE)-VLOOKUP(A70,'Audit Dimensions'!$A:$N,9,FALSE)</f>
        <v>0</v>
      </c>
      <c r="J70" s="61">
        <f>VLOOKUP(A70,'Billing Dimensions'!$A:$N,10,FALSE)-VLOOKUP(A70,'Audit Dimensions'!$A:$N,10,FALSE)</f>
        <v>0</v>
      </c>
      <c r="K70" s="63">
        <f>VLOOKUP(A70,'Billing Dimensions'!$A:$N,11,FALSE)-VLOOKUP(A70,'Audit Dimensions'!$A:$N,11,FALSE)</f>
        <v>0</v>
      </c>
      <c r="L70" s="63">
        <f>VLOOKUP(A70,'Billing Dimensions'!$A:$N,12,FALSE)-VLOOKUP(A70,'Audit Dimensions'!$A:$N,12,FALSE)</f>
        <v>0</v>
      </c>
      <c r="M70" s="63">
        <f>VLOOKUP(A70,'Billing Dimensions'!$A:$N,13,FALSE)-VLOOKUP(A70,'Audit Dimensions'!$A:$N,13,FALSE)</f>
        <v>0</v>
      </c>
      <c r="N70" s="140">
        <f>VLOOKUP(A70,'Billing Dimensions'!$A:$N,14,FALSE)-VLOOKUP(A70,'Audit Dimensions'!$A:$N,14,FALSE)</f>
        <v>0</v>
      </c>
      <c r="O70" s="145">
        <f>VLOOKUP('Audit VAR'!A70,'Audit Dimensions'!A:P,16,FALSE)</f>
        <v>10350</v>
      </c>
      <c r="P70" s="143">
        <f>VLOOKUP(A70,'Billing Dimensions'!A:Q,17,FALSE)-VLOOKUP('Audit VAR'!A70,'Audit Dimensions'!A:P,16,FALSE)</f>
        <v>-550</v>
      </c>
      <c r="Q70" s="148">
        <f t="shared" si="1"/>
        <v>-5.3140096618357488E-2</v>
      </c>
    </row>
    <row r="71" spans="1:17">
      <c r="A71" s="58" t="str">
        <f>'Audit Dimensions'!A71</f>
        <v>TU-OML</v>
      </c>
      <c r="B71" s="2" t="str">
        <f>VLOOKUP(A71,'Billing Dimensions'!A:B,2,FALSE)</f>
        <v>SB</v>
      </c>
      <c r="C71" s="59">
        <f>VLOOKUP(A71,'Billing Dimensions'!$A:$N,3,FALSE)-VLOOKUP(A71,'Audit Dimensions'!$A:$N,3,FALSE)</f>
        <v>0</v>
      </c>
      <c r="D71" s="59">
        <f>VLOOKUP(A71,'Billing Dimensions'!$A:$N,4,FALSE)-VLOOKUP(A71,'Audit Dimensions'!$A:$N,4,FALSE)</f>
        <v>0</v>
      </c>
      <c r="E71" s="59">
        <f>VLOOKUP(A71,'Billing Dimensions'!$A:$N,5,FALSE)-VLOOKUP(A71,'Audit Dimensions'!$A:$N,5,FALSE)</f>
        <v>0</v>
      </c>
      <c r="F71" s="137">
        <f>VLOOKUP(A71,'Billing Dimensions'!$A:$N,6,FALSE)-VLOOKUP(A71,'Audit Dimensions'!$A:$N,6,FALSE)</f>
        <v>-2140</v>
      </c>
      <c r="G71" s="65">
        <f>VLOOKUP(A71,'Billing Dimensions'!$A:$N,7,FALSE)-VLOOKUP(A71,'Audit Dimensions'!$A:$N,7,FALSE)</f>
        <v>0</v>
      </c>
      <c r="H71" s="65">
        <f>VLOOKUP(A71,'Billing Dimensions'!$A:$N,8,FALSE)-VLOOKUP(A71,'Audit Dimensions'!$A:$N,8,FALSE)</f>
        <v>0</v>
      </c>
      <c r="I71" s="65">
        <f>VLOOKUP(A71,'Billing Dimensions'!$A:$N,9,FALSE)-VLOOKUP(A71,'Audit Dimensions'!$A:$N,9,FALSE)</f>
        <v>0</v>
      </c>
      <c r="J71" s="61">
        <f>VLOOKUP(A71,'Billing Dimensions'!$A:$N,10,FALSE)-VLOOKUP(A71,'Audit Dimensions'!$A:$N,10,FALSE)</f>
        <v>0</v>
      </c>
      <c r="K71" s="63">
        <f>VLOOKUP(A71,'Billing Dimensions'!$A:$N,11,FALSE)-VLOOKUP(A71,'Audit Dimensions'!$A:$N,11,FALSE)</f>
        <v>0</v>
      </c>
      <c r="L71" s="63">
        <f>VLOOKUP(A71,'Billing Dimensions'!$A:$N,12,FALSE)-VLOOKUP(A71,'Audit Dimensions'!$A:$N,12,FALSE)</f>
        <v>0</v>
      </c>
      <c r="M71" s="63">
        <f>VLOOKUP(A71,'Billing Dimensions'!$A:$N,13,FALSE)-VLOOKUP(A71,'Audit Dimensions'!$A:$N,13,FALSE)</f>
        <v>0</v>
      </c>
      <c r="N71" s="140">
        <f>VLOOKUP(A71,'Billing Dimensions'!$A:$N,14,FALSE)-VLOOKUP(A71,'Audit Dimensions'!$A:$N,14,FALSE)</f>
        <v>0</v>
      </c>
      <c r="O71" s="145">
        <f>VLOOKUP('Audit VAR'!A71,'Audit Dimensions'!A:P,16,FALSE)</f>
        <v>27640</v>
      </c>
      <c r="P71" s="143">
        <f>VLOOKUP(A71,'Billing Dimensions'!A:Q,17,FALSE)-VLOOKUP('Audit VAR'!A71,'Audit Dimensions'!A:P,16,FALSE)</f>
        <v>-2140</v>
      </c>
      <c r="Q71" s="148">
        <f t="shared" si="1"/>
        <v>-7.7424023154848046E-2</v>
      </c>
    </row>
    <row r="72" spans="1:17" ht="12.4" customHeight="1">
      <c r="A72" s="58" t="str">
        <f>'Audit Dimensions'!A72</f>
        <v>SB-AXA-52</v>
      </c>
      <c r="B72" s="2" t="str">
        <f>VLOOKUP(A72,'Billing Dimensions'!A:B,2,FALSE)</f>
        <v>SB</v>
      </c>
      <c r="C72" s="59">
        <f>VLOOKUP(A72,'Billing Dimensions'!$A:$N,3,FALSE)-VLOOKUP(A72,'Audit Dimensions'!$A:$N,3,FALSE)</f>
        <v>0</v>
      </c>
      <c r="D72" s="59">
        <f>VLOOKUP(A72,'Billing Dimensions'!$A:$N,4,FALSE)-VLOOKUP(A72,'Audit Dimensions'!$A:$N,4,FALSE)</f>
        <v>0</v>
      </c>
      <c r="E72" s="59">
        <f>VLOOKUP(A72,'Billing Dimensions'!$A:$N,5,FALSE)-VLOOKUP(A72,'Audit Dimensions'!$A:$N,5,FALSE)</f>
        <v>0</v>
      </c>
      <c r="F72" s="137">
        <f>VLOOKUP(A72,'Billing Dimensions'!$A:$N,6,FALSE)-VLOOKUP(A72,'Audit Dimensions'!$A:$N,6,FALSE)</f>
        <v>-1970</v>
      </c>
      <c r="G72" s="65">
        <f>VLOOKUP(A72,'Billing Dimensions'!$A:$N,7,FALSE)-VLOOKUP(A72,'Audit Dimensions'!$A:$N,7,FALSE)</f>
        <v>0</v>
      </c>
      <c r="H72" s="65">
        <f>VLOOKUP(A72,'Billing Dimensions'!$A:$N,8,FALSE)-VLOOKUP(A72,'Audit Dimensions'!$A:$N,8,FALSE)</f>
        <v>0</v>
      </c>
      <c r="I72" s="65">
        <f>VLOOKUP(A72,'Billing Dimensions'!$A:$N,9,FALSE)-VLOOKUP(A72,'Audit Dimensions'!$A:$N,9,FALSE)</f>
        <v>0</v>
      </c>
      <c r="J72" s="61">
        <f>VLOOKUP(A72,'Billing Dimensions'!$A:$N,10,FALSE)-VLOOKUP(A72,'Audit Dimensions'!$A:$N,10,FALSE)</f>
        <v>0</v>
      </c>
      <c r="K72" s="63">
        <f>VLOOKUP(A72,'Billing Dimensions'!$A:$N,11,FALSE)-VLOOKUP(A72,'Audit Dimensions'!$A:$N,11,FALSE)</f>
        <v>0</v>
      </c>
      <c r="L72" s="63">
        <f>VLOOKUP(A72,'Billing Dimensions'!$A:$N,12,FALSE)-VLOOKUP(A72,'Audit Dimensions'!$A:$N,12,FALSE)</f>
        <v>0</v>
      </c>
      <c r="M72" s="63">
        <f>VLOOKUP(A72,'Billing Dimensions'!$A:$N,13,FALSE)-VLOOKUP(A72,'Audit Dimensions'!$A:$N,13,FALSE)</f>
        <v>0</v>
      </c>
      <c r="N72" s="140">
        <f>VLOOKUP(A72,'Billing Dimensions'!$A:$N,14,FALSE)-VLOOKUP(A72,'Audit Dimensions'!$A:$N,14,FALSE)</f>
        <v>0</v>
      </c>
      <c r="O72" s="145">
        <f>VLOOKUP('Audit VAR'!A72,'Audit Dimensions'!A:P,16,FALSE)</f>
        <v>31470</v>
      </c>
      <c r="P72" s="143">
        <f>VLOOKUP(A72,'Billing Dimensions'!A:Q,17,FALSE)-VLOOKUP('Audit VAR'!A72,'Audit Dimensions'!A:P,16,FALSE)</f>
        <v>-1970</v>
      </c>
      <c r="Q72" s="148">
        <f t="shared" si="1"/>
        <v>-6.2599300921512557E-2</v>
      </c>
    </row>
    <row r="73" spans="1:17">
      <c r="A73" s="58" t="str">
        <f>'Audit Dimensions'!A73</f>
        <v>RT-AT</v>
      </c>
      <c r="B73" s="2" t="str">
        <f>VLOOKUP(A73,'Billing Dimensions'!A:B,2,FALSE)</f>
        <v>SB</v>
      </c>
      <c r="C73" s="59">
        <f>VLOOKUP(A73,'Billing Dimensions'!$A:$N,3,FALSE)-VLOOKUP(A73,'Audit Dimensions'!$A:$N,3,FALSE)</f>
        <v>0</v>
      </c>
      <c r="D73" s="59">
        <f>VLOOKUP(A73,'Billing Dimensions'!$A:$N,4,FALSE)-VLOOKUP(A73,'Audit Dimensions'!$A:$N,4,FALSE)</f>
        <v>0</v>
      </c>
      <c r="E73" s="59">
        <f>VLOOKUP(A73,'Billing Dimensions'!$A:$N,5,FALSE)-VLOOKUP(A73,'Audit Dimensions'!$A:$N,5,FALSE)</f>
        <v>0</v>
      </c>
      <c r="F73" s="137">
        <f>VLOOKUP(A73,'Billing Dimensions'!$A:$N,6,FALSE)-VLOOKUP(A73,'Audit Dimensions'!$A:$N,6,FALSE)</f>
        <v>-1030</v>
      </c>
      <c r="G73" s="65">
        <f>VLOOKUP(A73,'Billing Dimensions'!$A:$N,7,FALSE)-VLOOKUP(A73,'Audit Dimensions'!$A:$N,7,FALSE)</f>
        <v>0</v>
      </c>
      <c r="H73" s="65">
        <f>VLOOKUP(A73,'Billing Dimensions'!$A:$N,8,FALSE)-VLOOKUP(A73,'Audit Dimensions'!$A:$N,8,FALSE)</f>
        <v>0</v>
      </c>
      <c r="I73" s="65">
        <f>VLOOKUP(A73,'Billing Dimensions'!$A:$N,9,FALSE)-VLOOKUP(A73,'Audit Dimensions'!$A:$N,9,FALSE)</f>
        <v>0</v>
      </c>
      <c r="J73" s="61">
        <f>VLOOKUP(A73,'Billing Dimensions'!$A:$N,10,FALSE)-VLOOKUP(A73,'Audit Dimensions'!$A:$N,10,FALSE)</f>
        <v>0</v>
      </c>
      <c r="K73" s="63">
        <f>VLOOKUP(A73,'Billing Dimensions'!$A:$N,11,FALSE)-VLOOKUP(A73,'Audit Dimensions'!$A:$N,11,FALSE)</f>
        <v>0</v>
      </c>
      <c r="L73" s="63">
        <f>VLOOKUP(A73,'Billing Dimensions'!$A:$N,12,FALSE)-VLOOKUP(A73,'Audit Dimensions'!$A:$N,12,FALSE)</f>
        <v>0</v>
      </c>
      <c r="M73" s="63">
        <f>VLOOKUP(A73,'Billing Dimensions'!$A:$N,13,FALSE)-VLOOKUP(A73,'Audit Dimensions'!$A:$N,13,FALSE)</f>
        <v>0</v>
      </c>
      <c r="N73" s="140">
        <f>VLOOKUP(A73,'Billing Dimensions'!$A:$N,14,FALSE)-VLOOKUP(A73,'Audit Dimensions'!$A:$N,14,FALSE)</f>
        <v>0</v>
      </c>
      <c r="O73" s="145">
        <f>VLOOKUP('Audit VAR'!A73,'Audit Dimensions'!A:P,16,FALSE)</f>
        <v>17830</v>
      </c>
      <c r="P73" s="143">
        <f>VLOOKUP(A73,'Billing Dimensions'!A:Q,17,FALSE)-VLOOKUP('Audit VAR'!A73,'Audit Dimensions'!A:P,16,FALSE)</f>
        <v>-1030</v>
      </c>
      <c r="Q73" s="148">
        <f t="shared" si="1"/>
        <v>-5.776780706674145E-2</v>
      </c>
    </row>
    <row r="74" spans="1:17">
      <c r="A74" s="58" t="str">
        <f>'Audit Dimensions'!A74</f>
        <v>SB-MOL</v>
      </c>
      <c r="B74" s="2" t="str">
        <f>VLOOKUP(A74,'Billing Dimensions'!A:B,2,FALSE)</f>
        <v>SB</v>
      </c>
      <c r="C74" s="59">
        <f>VLOOKUP(A74,'Billing Dimensions'!$A:$N,3,FALSE)-VLOOKUP(A74,'Audit Dimensions'!$A:$N,3,FALSE)</f>
        <v>0</v>
      </c>
      <c r="D74" s="59">
        <f>VLOOKUP(A74,'Billing Dimensions'!$A:$N,4,FALSE)-VLOOKUP(A74,'Audit Dimensions'!$A:$N,4,FALSE)</f>
        <v>0</v>
      </c>
      <c r="E74" s="59">
        <f>VLOOKUP(A74,'Billing Dimensions'!$A:$N,5,FALSE)-VLOOKUP(A74,'Audit Dimensions'!$A:$N,5,FALSE)</f>
        <v>0</v>
      </c>
      <c r="F74" s="137">
        <f>VLOOKUP(A74,'Billing Dimensions'!$A:$N,6,FALSE)-VLOOKUP(A74,'Audit Dimensions'!$A:$N,6,FALSE)</f>
        <v>-1250</v>
      </c>
      <c r="G74" s="65">
        <f>VLOOKUP(A74,'Billing Dimensions'!$A:$N,7,FALSE)-VLOOKUP(A74,'Audit Dimensions'!$A:$N,7,FALSE)</f>
        <v>0</v>
      </c>
      <c r="H74" s="65">
        <f>VLOOKUP(A74,'Billing Dimensions'!$A:$N,8,FALSE)-VLOOKUP(A74,'Audit Dimensions'!$A:$N,8,FALSE)</f>
        <v>0</v>
      </c>
      <c r="I74" s="65">
        <f>VLOOKUP(A74,'Billing Dimensions'!$A:$N,9,FALSE)-VLOOKUP(A74,'Audit Dimensions'!$A:$N,9,FALSE)</f>
        <v>0</v>
      </c>
      <c r="J74" s="61">
        <f>VLOOKUP(A74,'Billing Dimensions'!$A:$N,10,FALSE)-VLOOKUP(A74,'Audit Dimensions'!$A:$N,10,FALSE)</f>
        <v>0</v>
      </c>
      <c r="K74" s="63">
        <f>VLOOKUP(A74,'Billing Dimensions'!$A:$N,11,FALSE)-VLOOKUP(A74,'Audit Dimensions'!$A:$N,11,FALSE)</f>
        <v>0</v>
      </c>
      <c r="L74" s="63">
        <f>VLOOKUP(A74,'Billing Dimensions'!$A:$N,12,FALSE)-VLOOKUP(A74,'Audit Dimensions'!$A:$N,12,FALSE)</f>
        <v>0</v>
      </c>
      <c r="M74" s="63">
        <f>VLOOKUP(A74,'Billing Dimensions'!$A:$N,13,FALSE)-VLOOKUP(A74,'Audit Dimensions'!$A:$N,13,FALSE)</f>
        <v>0</v>
      </c>
      <c r="N74" s="140">
        <f>VLOOKUP(A74,'Billing Dimensions'!$A:$N,14,FALSE)-VLOOKUP(A74,'Audit Dimensions'!$A:$N,14,FALSE)</f>
        <v>0</v>
      </c>
      <c r="O74" s="145">
        <f>VLOOKUP('Audit VAR'!A74,'Audit Dimensions'!A:P,16,FALSE)</f>
        <v>22700</v>
      </c>
      <c r="P74" s="143">
        <f>VLOOKUP(A74,'Billing Dimensions'!A:Q,17,FALSE)-VLOOKUP('Audit VAR'!A74,'Audit Dimensions'!A:P,16,FALSE)</f>
        <v>-1250</v>
      </c>
      <c r="Q74" s="148">
        <f t="shared" si="1"/>
        <v>-5.5066079295154183E-2</v>
      </c>
    </row>
    <row r="75" spans="1:17">
      <c r="A75" s="58" t="str">
        <f>'Audit Dimensions'!A75</f>
        <v>SB-WA</v>
      </c>
      <c r="B75" s="2" t="str">
        <f>VLOOKUP(A75,'Billing Dimensions'!A:B,2,FALSE)</f>
        <v>SB</v>
      </c>
      <c r="C75" s="59">
        <f>VLOOKUP(A75,'Billing Dimensions'!$A:$N,3,FALSE)-VLOOKUP(A75,'Audit Dimensions'!$A:$N,3,FALSE)</f>
        <v>0</v>
      </c>
      <c r="D75" s="59">
        <f>VLOOKUP(A75,'Billing Dimensions'!$A:$N,4,FALSE)-VLOOKUP(A75,'Audit Dimensions'!$A:$N,4,FALSE)</f>
        <v>0</v>
      </c>
      <c r="E75" s="59">
        <f>VLOOKUP(A75,'Billing Dimensions'!$A:$N,5,FALSE)-VLOOKUP(A75,'Audit Dimensions'!$A:$N,5,FALSE)</f>
        <v>0</v>
      </c>
      <c r="F75" s="137">
        <f>VLOOKUP(A75,'Billing Dimensions'!$A:$N,6,FALSE)-VLOOKUP(A75,'Audit Dimensions'!$A:$N,6,FALSE)</f>
        <v>-120</v>
      </c>
      <c r="G75" s="65">
        <f>VLOOKUP(A75,'Billing Dimensions'!$A:$N,7,FALSE)-VLOOKUP(A75,'Audit Dimensions'!$A:$N,7,FALSE)</f>
        <v>0</v>
      </c>
      <c r="H75" s="65">
        <f>VLOOKUP(A75,'Billing Dimensions'!$A:$N,8,FALSE)-VLOOKUP(A75,'Audit Dimensions'!$A:$N,8,FALSE)</f>
        <v>0</v>
      </c>
      <c r="I75" s="65">
        <f>VLOOKUP(A75,'Billing Dimensions'!$A:$N,9,FALSE)-VLOOKUP(A75,'Audit Dimensions'!$A:$N,9,FALSE)</f>
        <v>0</v>
      </c>
      <c r="J75" s="61">
        <f>VLOOKUP(A75,'Billing Dimensions'!$A:$N,10,FALSE)-VLOOKUP(A75,'Audit Dimensions'!$A:$N,10,FALSE)</f>
        <v>0</v>
      </c>
      <c r="K75" s="63">
        <f>VLOOKUP(A75,'Billing Dimensions'!$A:$N,11,FALSE)-VLOOKUP(A75,'Audit Dimensions'!$A:$N,11,FALSE)</f>
        <v>0</v>
      </c>
      <c r="L75" s="63">
        <f>VLOOKUP(A75,'Billing Dimensions'!$A:$N,12,FALSE)-VLOOKUP(A75,'Audit Dimensions'!$A:$N,12,FALSE)</f>
        <v>0</v>
      </c>
      <c r="M75" s="63">
        <f>VLOOKUP(A75,'Billing Dimensions'!$A:$N,13,FALSE)-VLOOKUP(A75,'Audit Dimensions'!$A:$N,13,FALSE)</f>
        <v>0</v>
      </c>
      <c r="N75" s="140">
        <f>VLOOKUP(A75,'Billing Dimensions'!$A:$N,14,FALSE)-VLOOKUP(A75,'Audit Dimensions'!$A:$N,14,FALSE)</f>
        <v>0</v>
      </c>
      <c r="O75" s="145">
        <f>VLOOKUP('Audit VAR'!A75,'Audit Dimensions'!A:P,16,FALSE)</f>
        <v>7920</v>
      </c>
      <c r="P75" s="143">
        <f>VLOOKUP(A75,'Billing Dimensions'!A:Q,17,FALSE)-VLOOKUP('Audit VAR'!A75,'Audit Dimensions'!A:P,16,FALSE)</f>
        <v>-120</v>
      </c>
      <c r="Q75" s="148">
        <f t="shared" si="1"/>
        <v>-1.5151515151515152E-2</v>
      </c>
    </row>
    <row r="76" spans="1:17">
      <c r="A76" s="58" t="str">
        <f>'Audit Dimensions'!A76</f>
        <v>TU-BKY-ST</v>
      </c>
      <c r="B76" s="2" t="str">
        <f>VLOOKUP(A76,'Billing Dimensions'!A:B,2,FALSE)</f>
        <v>SB</v>
      </c>
      <c r="C76" s="59">
        <f>VLOOKUP(A76,'Billing Dimensions'!$A:$N,3,FALSE)-VLOOKUP(A76,'Audit Dimensions'!$A:$N,3,FALSE)</f>
        <v>0</v>
      </c>
      <c r="D76" s="59">
        <f>VLOOKUP(A76,'Billing Dimensions'!$A:$N,4,FALSE)-VLOOKUP(A76,'Audit Dimensions'!$A:$N,4,FALSE)</f>
        <v>0</v>
      </c>
      <c r="E76" s="59">
        <f>VLOOKUP(A76,'Billing Dimensions'!$A:$N,5,FALSE)-VLOOKUP(A76,'Audit Dimensions'!$A:$N,5,FALSE)</f>
        <v>0</v>
      </c>
      <c r="F76" s="137">
        <f>VLOOKUP(A76,'Billing Dimensions'!$A:$N,6,FALSE)-VLOOKUP(A76,'Audit Dimensions'!$A:$N,6,FALSE)</f>
        <v>-1750</v>
      </c>
      <c r="G76" s="65">
        <f>VLOOKUP(A76,'Billing Dimensions'!$A:$N,7,FALSE)-VLOOKUP(A76,'Audit Dimensions'!$A:$N,7,FALSE)</f>
        <v>0</v>
      </c>
      <c r="H76" s="65">
        <f>VLOOKUP(A76,'Billing Dimensions'!$A:$N,8,FALSE)-VLOOKUP(A76,'Audit Dimensions'!$A:$N,8,FALSE)</f>
        <v>0</v>
      </c>
      <c r="I76" s="65">
        <f>VLOOKUP(A76,'Billing Dimensions'!$A:$N,9,FALSE)-VLOOKUP(A76,'Audit Dimensions'!$A:$N,9,FALSE)</f>
        <v>0</v>
      </c>
      <c r="J76" s="61">
        <f>VLOOKUP(A76,'Billing Dimensions'!$A:$N,10,FALSE)-VLOOKUP(A76,'Audit Dimensions'!$A:$N,10,FALSE)</f>
        <v>0</v>
      </c>
      <c r="K76" s="63">
        <f>VLOOKUP(A76,'Billing Dimensions'!$A:$N,11,FALSE)-VLOOKUP(A76,'Audit Dimensions'!$A:$N,11,FALSE)</f>
        <v>0</v>
      </c>
      <c r="L76" s="63">
        <f>VLOOKUP(A76,'Billing Dimensions'!$A:$N,12,FALSE)-VLOOKUP(A76,'Audit Dimensions'!$A:$N,12,FALSE)</f>
        <v>0</v>
      </c>
      <c r="M76" s="63">
        <f>VLOOKUP(A76,'Billing Dimensions'!$A:$N,13,FALSE)-VLOOKUP(A76,'Audit Dimensions'!$A:$N,13,FALSE)</f>
        <v>0</v>
      </c>
      <c r="N76" s="140">
        <f>VLOOKUP(A76,'Billing Dimensions'!$A:$N,14,FALSE)-VLOOKUP(A76,'Audit Dimensions'!$A:$N,14,FALSE)</f>
        <v>0</v>
      </c>
      <c r="O76" s="145">
        <f>VLOOKUP('Audit VAR'!A76,'Audit Dimensions'!A:P,16,FALSE)</f>
        <v>27550</v>
      </c>
      <c r="P76" s="143">
        <f>VLOOKUP(A76,'Billing Dimensions'!A:Q,17,FALSE)-VLOOKUP('Audit VAR'!A76,'Audit Dimensions'!A:P,16,FALSE)</f>
        <v>-1750</v>
      </c>
      <c r="Q76" s="148">
        <f t="shared" si="1"/>
        <v>-6.3520871143375679E-2</v>
      </c>
    </row>
    <row r="77" spans="1:17">
      <c r="A77" s="58" t="str">
        <f>'Audit Dimensions'!A77</f>
        <v>ST-RDO</v>
      </c>
      <c r="B77" s="2" t="str">
        <f>VLOOKUP(A77,'Billing Dimensions'!A:B,2,FALSE)</f>
        <v>SB</v>
      </c>
      <c r="C77" s="59">
        <f>VLOOKUP(A77,'Billing Dimensions'!$A:$N,3,FALSE)-VLOOKUP(A77,'Audit Dimensions'!$A:$N,3,FALSE)</f>
        <v>0</v>
      </c>
      <c r="D77" s="59">
        <f>VLOOKUP(A77,'Billing Dimensions'!$A:$N,4,FALSE)-VLOOKUP(A77,'Audit Dimensions'!$A:$N,4,FALSE)</f>
        <v>0</v>
      </c>
      <c r="E77" s="59">
        <f>VLOOKUP(A77,'Billing Dimensions'!$A:$N,5,FALSE)-VLOOKUP(A77,'Audit Dimensions'!$A:$N,5,FALSE)</f>
        <v>0</v>
      </c>
      <c r="F77" s="137">
        <f>VLOOKUP(A77,'Billing Dimensions'!$A:$N,6,FALSE)-VLOOKUP(A77,'Audit Dimensions'!$A:$N,6,FALSE)</f>
        <v>-1600</v>
      </c>
      <c r="G77" s="65">
        <f>VLOOKUP(A77,'Billing Dimensions'!$A:$N,7,FALSE)-VLOOKUP(A77,'Audit Dimensions'!$A:$N,7,FALSE)</f>
        <v>0</v>
      </c>
      <c r="H77" s="65">
        <f>VLOOKUP(A77,'Billing Dimensions'!$A:$N,8,FALSE)-VLOOKUP(A77,'Audit Dimensions'!$A:$N,8,FALSE)</f>
        <v>0</v>
      </c>
      <c r="I77" s="65">
        <f>VLOOKUP(A77,'Billing Dimensions'!$A:$N,9,FALSE)-VLOOKUP(A77,'Audit Dimensions'!$A:$N,9,FALSE)</f>
        <v>0</v>
      </c>
      <c r="J77" s="61">
        <f>VLOOKUP(A77,'Billing Dimensions'!$A:$N,10,FALSE)-VLOOKUP(A77,'Audit Dimensions'!$A:$N,10,FALSE)</f>
        <v>0</v>
      </c>
      <c r="K77" s="63">
        <f>VLOOKUP(A77,'Billing Dimensions'!$A:$N,11,FALSE)-VLOOKUP(A77,'Audit Dimensions'!$A:$N,11,FALSE)</f>
        <v>0</v>
      </c>
      <c r="L77" s="63">
        <f>VLOOKUP(A77,'Billing Dimensions'!$A:$N,12,FALSE)-VLOOKUP(A77,'Audit Dimensions'!$A:$N,12,FALSE)</f>
        <v>0</v>
      </c>
      <c r="M77" s="63">
        <f>VLOOKUP(A77,'Billing Dimensions'!$A:$N,13,FALSE)-VLOOKUP(A77,'Audit Dimensions'!$A:$N,13,FALSE)</f>
        <v>0</v>
      </c>
      <c r="N77" s="140">
        <f>VLOOKUP(A77,'Billing Dimensions'!$A:$N,14,FALSE)-VLOOKUP(A77,'Audit Dimensions'!$A:$N,14,FALSE)</f>
        <v>0</v>
      </c>
      <c r="O77" s="145">
        <f>VLOOKUP('Audit VAR'!A77,'Audit Dimensions'!A:P,16,FALSE)</f>
        <v>29300</v>
      </c>
      <c r="P77" s="143">
        <f>VLOOKUP(A77,'Billing Dimensions'!A:Q,17,FALSE)-VLOOKUP('Audit VAR'!A77,'Audit Dimensions'!A:P,16,FALSE)</f>
        <v>-1600</v>
      </c>
      <c r="Q77" s="148">
        <f t="shared" si="1"/>
        <v>-5.4607508532423209E-2</v>
      </c>
    </row>
    <row r="78" spans="1:17">
      <c r="A78" s="58" t="str">
        <f>'Audit Dimensions'!A78</f>
        <v>PU-SNM</v>
      </c>
      <c r="B78" s="2" t="str">
        <f>VLOOKUP(A78,'Billing Dimensions'!A:B,2,FALSE)</f>
        <v>SB</v>
      </c>
      <c r="C78" s="59">
        <f>VLOOKUP(A78,'Billing Dimensions'!$A:$N,3,FALSE)-VLOOKUP(A78,'Audit Dimensions'!$A:$N,3,FALSE)</f>
        <v>0</v>
      </c>
      <c r="D78" s="59">
        <f>VLOOKUP(A78,'Billing Dimensions'!$A:$N,4,FALSE)-VLOOKUP(A78,'Audit Dimensions'!$A:$N,4,FALSE)</f>
        <v>0</v>
      </c>
      <c r="E78" s="59">
        <f>VLOOKUP(A78,'Billing Dimensions'!$A:$N,5,FALSE)-VLOOKUP(A78,'Audit Dimensions'!$A:$N,5,FALSE)</f>
        <v>0</v>
      </c>
      <c r="F78" s="137">
        <f>VLOOKUP(A78,'Billing Dimensions'!$A:$N,6,FALSE)-VLOOKUP(A78,'Audit Dimensions'!$A:$N,6,FALSE)</f>
        <v>-1970</v>
      </c>
      <c r="G78" s="65">
        <f>VLOOKUP(A78,'Billing Dimensions'!$A:$N,7,FALSE)-VLOOKUP(A78,'Audit Dimensions'!$A:$N,7,FALSE)</f>
        <v>0</v>
      </c>
      <c r="H78" s="65">
        <f>VLOOKUP(A78,'Billing Dimensions'!$A:$N,8,FALSE)-VLOOKUP(A78,'Audit Dimensions'!$A:$N,8,FALSE)</f>
        <v>0</v>
      </c>
      <c r="I78" s="65">
        <f>VLOOKUP(A78,'Billing Dimensions'!$A:$N,9,FALSE)-VLOOKUP(A78,'Audit Dimensions'!$A:$N,9,FALSE)</f>
        <v>0</v>
      </c>
      <c r="J78" s="61">
        <f>VLOOKUP(A78,'Billing Dimensions'!$A:$N,10,FALSE)-VLOOKUP(A78,'Audit Dimensions'!$A:$N,10,FALSE)</f>
        <v>0</v>
      </c>
      <c r="K78" s="63">
        <f>VLOOKUP(A78,'Billing Dimensions'!$A:$N,11,FALSE)-VLOOKUP(A78,'Audit Dimensions'!$A:$N,11,FALSE)</f>
        <v>0</v>
      </c>
      <c r="L78" s="63">
        <f>VLOOKUP(A78,'Billing Dimensions'!$A:$N,12,FALSE)-VLOOKUP(A78,'Audit Dimensions'!$A:$N,12,FALSE)</f>
        <v>0</v>
      </c>
      <c r="M78" s="63">
        <f>VLOOKUP(A78,'Billing Dimensions'!$A:$N,13,FALSE)-VLOOKUP(A78,'Audit Dimensions'!$A:$N,13,FALSE)</f>
        <v>0</v>
      </c>
      <c r="N78" s="140">
        <f>VLOOKUP(A78,'Billing Dimensions'!$A:$N,14,FALSE)-VLOOKUP(A78,'Audit Dimensions'!$A:$N,14,FALSE)</f>
        <v>0</v>
      </c>
      <c r="O78" s="145">
        <f>VLOOKUP('Audit VAR'!A78,'Audit Dimensions'!A:P,16,FALSE)</f>
        <v>42170</v>
      </c>
      <c r="P78" s="143">
        <f>VLOOKUP(A78,'Billing Dimensions'!A:Q,17,FALSE)-VLOOKUP('Audit VAR'!A78,'Audit Dimensions'!A:P,16,FALSE)</f>
        <v>-1970</v>
      </c>
      <c r="Q78" s="148">
        <f t="shared" si="1"/>
        <v>-4.6715674650225282E-2</v>
      </c>
    </row>
    <row r="79" spans="1:17">
      <c r="A79" s="58" t="str">
        <f>'Audit Dimensions'!A79</f>
        <v>TU-PMP-L</v>
      </c>
      <c r="B79" s="2" t="str">
        <f>VLOOKUP(A79,'Billing Dimensions'!A:B,2,FALSE)</f>
        <v>SB</v>
      </c>
      <c r="C79" s="59">
        <f>VLOOKUP(A79,'Billing Dimensions'!$A:$N,3,FALSE)-VLOOKUP(A79,'Audit Dimensions'!$A:$N,3,FALSE)</f>
        <v>0</v>
      </c>
      <c r="D79" s="59">
        <f>VLOOKUP(A79,'Billing Dimensions'!$A:$N,4,FALSE)-VLOOKUP(A79,'Audit Dimensions'!$A:$N,4,FALSE)</f>
        <v>0</v>
      </c>
      <c r="E79" s="59">
        <f>VLOOKUP(A79,'Billing Dimensions'!$A:$N,5,FALSE)-VLOOKUP(A79,'Audit Dimensions'!$A:$N,5,FALSE)</f>
        <v>0</v>
      </c>
      <c r="F79" s="137">
        <f>VLOOKUP(A79,'Billing Dimensions'!$A:$N,6,FALSE)-VLOOKUP(A79,'Audit Dimensions'!$A:$N,6,FALSE)</f>
        <v>-710</v>
      </c>
      <c r="G79" s="65">
        <f>VLOOKUP(A79,'Billing Dimensions'!$A:$N,7,FALSE)-VLOOKUP(A79,'Audit Dimensions'!$A:$N,7,FALSE)</f>
        <v>0</v>
      </c>
      <c r="H79" s="65">
        <f>VLOOKUP(A79,'Billing Dimensions'!$A:$N,8,FALSE)-VLOOKUP(A79,'Audit Dimensions'!$A:$N,8,FALSE)</f>
        <v>0</v>
      </c>
      <c r="I79" s="65">
        <f>VLOOKUP(A79,'Billing Dimensions'!$A:$N,9,FALSE)-VLOOKUP(A79,'Audit Dimensions'!$A:$N,9,FALSE)</f>
        <v>0</v>
      </c>
      <c r="J79" s="61">
        <f>VLOOKUP(A79,'Billing Dimensions'!$A:$N,10,FALSE)-VLOOKUP(A79,'Audit Dimensions'!$A:$N,10,FALSE)</f>
        <v>0</v>
      </c>
      <c r="K79" s="63">
        <f>VLOOKUP(A79,'Billing Dimensions'!$A:$N,11,FALSE)-VLOOKUP(A79,'Audit Dimensions'!$A:$N,11,FALSE)</f>
        <v>0</v>
      </c>
      <c r="L79" s="63">
        <f>VLOOKUP(A79,'Billing Dimensions'!$A:$N,12,FALSE)-VLOOKUP(A79,'Audit Dimensions'!$A:$N,12,FALSE)</f>
        <v>0</v>
      </c>
      <c r="M79" s="63">
        <f>VLOOKUP(A79,'Billing Dimensions'!$A:$N,13,FALSE)-VLOOKUP(A79,'Audit Dimensions'!$A:$N,13,FALSE)</f>
        <v>0</v>
      </c>
      <c r="N79" s="140">
        <f>VLOOKUP(A79,'Billing Dimensions'!$A:$N,14,FALSE)-VLOOKUP(A79,'Audit Dimensions'!$A:$N,14,FALSE)</f>
        <v>0</v>
      </c>
      <c r="O79" s="145">
        <f>VLOOKUP('Audit VAR'!A79,'Audit Dimensions'!A:P,16,FALSE)</f>
        <v>20510</v>
      </c>
      <c r="P79" s="143">
        <f>VLOOKUP(A79,'Billing Dimensions'!A:Q,17,FALSE)-VLOOKUP('Audit VAR'!A79,'Audit Dimensions'!A:P,16,FALSE)</f>
        <v>-710</v>
      </c>
      <c r="Q79" s="148">
        <f t="shared" si="1"/>
        <v>-3.4617259873232567E-2</v>
      </c>
    </row>
    <row r="80" spans="1:17">
      <c r="A80" s="58" t="str">
        <f>'Audit Dimensions'!A80</f>
        <v>RT-DR</v>
      </c>
      <c r="B80" s="2" t="str">
        <f>VLOOKUP(A80,'Billing Dimensions'!A:B,2,FALSE)</f>
        <v>SB</v>
      </c>
      <c r="C80" s="59">
        <f>VLOOKUP(A80,'Billing Dimensions'!$A:$N,3,FALSE)-VLOOKUP(A80,'Audit Dimensions'!$A:$N,3,FALSE)</f>
        <v>0</v>
      </c>
      <c r="D80" s="59">
        <f>VLOOKUP(A80,'Billing Dimensions'!$A:$N,4,FALSE)-VLOOKUP(A80,'Audit Dimensions'!$A:$N,4,FALSE)</f>
        <v>0</v>
      </c>
      <c r="E80" s="59">
        <f>VLOOKUP(A80,'Billing Dimensions'!$A:$N,5,FALSE)-VLOOKUP(A80,'Audit Dimensions'!$A:$N,5,FALSE)</f>
        <v>0</v>
      </c>
      <c r="F80" s="137">
        <f>VLOOKUP(A80,'Billing Dimensions'!$A:$N,6,FALSE)-VLOOKUP(A80,'Audit Dimensions'!$A:$N,6,FALSE)</f>
        <v>-2070</v>
      </c>
      <c r="G80" s="65">
        <f>VLOOKUP(A80,'Billing Dimensions'!$A:$N,7,FALSE)-VLOOKUP(A80,'Audit Dimensions'!$A:$N,7,FALSE)</f>
        <v>0</v>
      </c>
      <c r="H80" s="65">
        <f>VLOOKUP(A80,'Billing Dimensions'!$A:$N,8,FALSE)-VLOOKUP(A80,'Audit Dimensions'!$A:$N,8,FALSE)</f>
        <v>0</v>
      </c>
      <c r="I80" s="65">
        <f>VLOOKUP(A80,'Billing Dimensions'!$A:$N,9,FALSE)-VLOOKUP(A80,'Audit Dimensions'!$A:$N,9,FALSE)</f>
        <v>0</v>
      </c>
      <c r="J80" s="61">
        <f>VLOOKUP(A80,'Billing Dimensions'!$A:$N,10,FALSE)-VLOOKUP(A80,'Audit Dimensions'!$A:$N,10,FALSE)</f>
        <v>0</v>
      </c>
      <c r="K80" s="63">
        <f>VLOOKUP(A80,'Billing Dimensions'!$A:$N,11,FALSE)-VLOOKUP(A80,'Audit Dimensions'!$A:$N,11,FALSE)</f>
        <v>0</v>
      </c>
      <c r="L80" s="63">
        <f>VLOOKUP(A80,'Billing Dimensions'!$A:$N,12,FALSE)-VLOOKUP(A80,'Audit Dimensions'!$A:$N,12,FALSE)</f>
        <v>0</v>
      </c>
      <c r="M80" s="63">
        <f>VLOOKUP(A80,'Billing Dimensions'!$A:$N,13,FALSE)-VLOOKUP(A80,'Audit Dimensions'!$A:$N,13,FALSE)</f>
        <v>0</v>
      </c>
      <c r="N80" s="140">
        <f>VLOOKUP(A80,'Billing Dimensions'!$A:$N,14,FALSE)-VLOOKUP(A80,'Audit Dimensions'!$A:$N,14,FALSE)</f>
        <v>0</v>
      </c>
      <c r="O80" s="145">
        <f>VLOOKUP('Audit VAR'!A80,'Audit Dimensions'!A:P,16,FALSE)</f>
        <v>40570</v>
      </c>
      <c r="P80" s="143">
        <f>VLOOKUP(A80,'Billing Dimensions'!A:Q,17,FALSE)-VLOOKUP('Audit VAR'!A80,'Audit Dimensions'!A:P,16,FALSE)</f>
        <v>-2070</v>
      </c>
      <c r="Q80" s="148">
        <f t="shared" si="1"/>
        <v>-5.1022923342371213E-2</v>
      </c>
    </row>
    <row r="81" spans="1:17">
      <c r="A81" s="58" t="str">
        <f>'Audit Dimensions'!A81</f>
        <v>B-MLT-D30T</v>
      </c>
      <c r="B81" s="2" t="str">
        <f>VLOOKUP(A81,'Billing Dimensions'!A:B,2,FALSE)</f>
        <v>SB</v>
      </c>
      <c r="C81" s="59">
        <f>VLOOKUP(A81,'Billing Dimensions'!$A:$N,3,FALSE)-VLOOKUP(A81,'Audit Dimensions'!$A:$N,3,FALSE)</f>
        <v>0</v>
      </c>
      <c r="D81" s="59">
        <f>VLOOKUP(A81,'Billing Dimensions'!$A:$N,4,FALSE)-VLOOKUP(A81,'Audit Dimensions'!$A:$N,4,FALSE)</f>
        <v>0</v>
      </c>
      <c r="E81" s="59">
        <f>VLOOKUP(A81,'Billing Dimensions'!$A:$N,5,FALSE)-VLOOKUP(A81,'Audit Dimensions'!$A:$N,5,FALSE)</f>
        <v>0</v>
      </c>
      <c r="F81" s="137">
        <f>VLOOKUP(A81,'Billing Dimensions'!$A:$N,6,FALSE)-VLOOKUP(A81,'Audit Dimensions'!$A:$N,6,FALSE)</f>
        <v>-1950</v>
      </c>
      <c r="G81" s="65">
        <f>VLOOKUP(A81,'Billing Dimensions'!$A:$N,7,FALSE)-VLOOKUP(A81,'Audit Dimensions'!$A:$N,7,FALSE)</f>
        <v>0</v>
      </c>
      <c r="H81" s="65">
        <f>VLOOKUP(A81,'Billing Dimensions'!$A:$N,8,FALSE)-VLOOKUP(A81,'Audit Dimensions'!$A:$N,8,FALSE)</f>
        <v>0</v>
      </c>
      <c r="I81" s="65">
        <f>VLOOKUP(A81,'Billing Dimensions'!$A:$N,9,FALSE)-VLOOKUP(A81,'Audit Dimensions'!$A:$N,9,FALSE)</f>
        <v>0</v>
      </c>
      <c r="J81" s="61">
        <f>VLOOKUP(A81,'Billing Dimensions'!$A:$N,10,FALSE)-VLOOKUP(A81,'Audit Dimensions'!$A:$N,10,FALSE)</f>
        <v>-380</v>
      </c>
      <c r="K81" s="63">
        <f>VLOOKUP(A81,'Billing Dimensions'!$A:$N,11,FALSE)-VLOOKUP(A81,'Audit Dimensions'!$A:$N,11,FALSE)</f>
        <v>0</v>
      </c>
      <c r="L81" s="63">
        <f>VLOOKUP(A81,'Billing Dimensions'!$A:$N,12,FALSE)-VLOOKUP(A81,'Audit Dimensions'!$A:$N,12,FALSE)</f>
        <v>0</v>
      </c>
      <c r="M81" s="63">
        <f>VLOOKUP(A81,'Billing Dimensions'!$A:$N,13,FALSE)-VLOOKUP(A81,'Audit Dimensions'!$A:$N,13,FALSE)</f>
        <v>0</v>
      </c>
      <c r="N81" s="140">
        <f>VLOOKUP(A81,'Billing Dimensions'!$A:$N,14,FALSE)-VLOOKUP(A81,'Audit Dimensions'!$A:$N,14,FALSE)</f>
        <v>0</v>
      </c>
      <c r="O81" s="145">
        <f>VLOOKUP('Audit VAR'!A81,'Audit Dimensions'!A:P,16,FALSE)</f>
        <v>46080</v>
      </c>
      <c r="P81" s="143">
        <f>VLOOKUP(A81,'Billing Dimensions'!A:Q,17,FALSE)-VLOOKUP('Audit VAR'!A81,'Audit Dimensions'!A:P,16,FALSE)</f>
        <v>-2330</v>
      </c>
      <c r="Q81" s="148">
        <f t="shared" si="1"/>
        <v>-5.0564236111111112E-2</v>
      </c>
    </row>
    <row r="82" spans="1:17">
      <c r="A82" s="58" t="str">
        <f>'Audit Dimensions'!A82</f>
        <v>SR-FYN</v>
      </c>
      <c r="B82" s="2" t="str">
        <f>VLOOKUP(A82,'Billing Dimensions'!A:B,2,FALSE)</f>
        <v>SB</v>
      </c>
      <c r="C82" s="59">
        <f>VLOOKUP(A82,'Billing Dimensions'!$A:$N,3,FALSE)-VLOOKUP(A82,'Audit Dimensions'!$A:$N,3,FALSE)</f>
        <v>0</v>
      </c>
      <c r="D82" s="59">
        <f>VLOOKUP(A82,'Billing Dimensions'!$A:$N,4,FALSE)-VLOOKUP(A82,'Audit Dimensions'!$A:$N,4,FALSE)</f>
        <v>0</v>
      </c>
      <c r="E82" s="59">
        <f>VLOOKUP(A82,'Billing Dimensions'!$A:$N,5,FALSE)-VLOOKUP(A82,'Audit Dimensions'!$A:$N,5,FALSE)</f>
        <v>0</v>
      </c>
      <c r="F82" s="137">
        <f>VLOOKUP(A82,'Billing Dimensions'!$A:$N,6,FALSE)-VLOOKUP(A82,'Audit Dimensions'!$A:$N,6,FALSE)</f>
        <v>-3220</v>
      </c>
      <c r="G82" s="65">
        <f>VLOOKUP(A82,'Billing Dimensions'!$A:$N,7,FALSE)-VLOOKUP(A82,'Audit Dimensions'!$A:$N,7,FALSE)</f>
        <v>0</v>
      </c>
      <c r="H82" s="65">
        <f>VLOOKUP(A82,'Billing Dimensions'!$A:$N,8,FALSE)-VLOOKUP(A82,'Audit Dimensions'!$A:$N,8,FALSE)</f>
        <v>0</v>
      </c>
      <c r="I82" s="65">
        <f>VLOOKUP(A82,'Billing Dimensions'!$A:$N,9,FALSE)-VLOOKUP(A82,'Audit Dimensions'!$A:$N,9,FALSE)</f>
        <v>0</v>
      </c>
      <c r="J82" s="61">
        <f>VLOOKUP(A82,'Billing Dimensions'!$A:$N,10,FALSE)-VLOOKUP(A82,'Audit Dimensions'!$A:$N,10,FALSE)</f>
        <v>0</v>
      </c>
      <c r="K82" s="63">
        <f>VLOOKUP(A82,'Billing Dimensions'!$A:$N,11,FALSE)-VLOOKUP(A82,'Audit Dimensions'!$A:$N,11,FALSE)</f>
        <v>0</v>
      </c>
      <c r="L82" s="63">
        <f>VLOOKUP(A82,'Billing Dimensions'!$A:$N,12,FALSE)-VLOOKUP(A82,'Audit Dimensions'!$A:$N,12,FALSE)</f>
        <v>0</v>
      </c>
      <c r="M82" s="63">
        <f>VLOOKUP(A82,'Billing Dimensions'!$A:$N,13,FALSE)-VLOOKUP(A82,'Audit Dimensions'!$A:$N,13,FALSE)</f>
        <v>0</v>
      </c>
      <c r="N82" s="140">
        <f>VLOOKUP(A82,'Billing Dimensions'!$A:$N,14,FALSE)-VLOOKUP(A82,'Audit Dimensions'!$A:$N,14,FALSE)</f>
        <v>0</v>
      </c>
      <c r="O82" s="145">
        <f>VLOOKUP('Audit VAR'!A82,'Audit Dimensions'!A:P,16,FALSE)</f>
        <v>45720</v>
      </c>
      <c r="P82" s="143">
        <f>VLOOKUP(A82,'Billing Dimensions'!A:Q,17,FALSE)-VLOOKUP('Audit VAR'!A82,'Audit Dimensions'!A:P,16,FALSE)</f>
        <v>-3220</v>
      </c>
      <c r="Q82" s="148">
        <f t="shared" si="1"/>
        <v>-7.0428696412948383E-2</v>
      </c>
    </row>
    <row r="83" spans="1:17">
      <c r="A83" s="58" t="str">
        <f>'Audit Dimensions'!A83</f>
        <v>SB-WA-WM</v>
      </c>
      <c r="B83" s="2" t="str">
        <f>VLOOKUP(A83,'Billing Dimensions'!A:B,2,FALSE)</f>
        <v>SB</v>
      </c>
      <c r="C83" s="59">
        <f>VLOOKUP(A83,'Billing Dimensions'!$A:$N,3,FALSE)-VLOOKUP(A83,'Audit Dimensions'!$A:$N,3,FALSE)</f>
        <v>0</v>
      </c>
      <c r="D83" s="59">
        <f>VLOOKUP(A83,'Billing Dimensions'!$A:$N,4,FALSE)-VLOOKUP(A83,'Audit Dimensions'!$A:$N,4,FALSE)</f>
        <v>0</v>
      </c>
      <c r="E83" s="59">
        <f>VLOOKUP(A83,'Billing Dimensions'!$A:$N,5,FALSE)-VLOOKUP(A83,'Audit Dimensions'!$A:$N,5,FALSE)</f>
        <v>0</v>
      </c>
      <c r="F83" s="137">
        <f>VLOOKUP(A83,'Billing Dimensions'!$A:$N,6,FALSE)-VLOOKUP(A83,'Audit Dimensions'!$A:$N,6,FALSE)</f>
        <v>-400</v>
      </c>
      <c r="G83" s="65">
        <f>VLOOKUP(A83,'Billing Dimensions'!$A:$N,7,FALSE)-VLOOKUP(A83,'Audit Dimensions'!$A:$N,7,FALSE)</f>
        <v>0</v>
      </c>
      <c r="H83" s="65">
        <f>VLOOKUP(A83,'Billing Dimensions'!$A:$N,8,FALSE)-VLOOKUP(A83,'Audit Dimensions'!$A:$N,8,FALSE)</f>
        <v>0</v>
      </c>
      <c r="I83" s="65">
        <f>VLOOKUP(A83,'Billing Dimensions'!$A:$N,9,FALSE)-VLOOKUP(A83,'Audit Dimensions'!$A:$N,9,FALSE)</f>
        <v>0</v>
      </c>
      <c r="J83" s="61">
        <f>VLOOKUP(A83,'Billing Dimensions'!$A:$N,10,FALSE)-VLOOKUP(A83,'Audit Dimensions'!$A:$N,10,FALSE)</f>
        <v>0</v>
      </c>
      <c r="K83" s="63">
        <f>VLOOKUP(A83,'Billing Dimensions'!$A:$N,11,FALSE)-VLOOKUP(A83,'Audit Dimensions'!$A:$N,11,FALSE)</f>
        <v>0</v>
      </c>
      <c r="L83" s="63">
        <f>VLOOKUP(A83,'Billing Dimensions'!$A:$N,12,FALSE)-VLOOKUP(A83,'Audit Dimensions'!$A:$N,12,FALSE)</f>
        <v>0</v>
      </c>
      <c r="M83" s="63">
        <f>VLOOKUP(A83,'Billing Dimensions'!$A:$N,13,FALSE)-VLOOKUP(A83,'Audit Dimensions'!$A:$N,13,FALSE)</f>
        <v>0</v>
      </c>
      <c r="N83" s="140">
        <f>VLOOKUP(A83,'Billing Dimensions'!$A:$N,14,FALSE)-VLOOKUP(A83,'Audit Dimensions'!$A:$N,14,FALSE)</f>
        <v>0</v>
      </c>
      <c r="O83" s="145">
        <f>VLOOKUP('Audit VAR'!A83,'Audit Dimensions'!A:P,16,FALSE)</f>
        <v>8200</v>
      </c>
      <c r="P83" s="143">
        <f>VLOOKUP(A83,'Billing Dimensions'!A:Q,17,FALSE)-VLOOKUP('Audit VAR'!A83,'Audit Dimensions'!A:P,16,FALSE)</f>
        <v>-400</v>
      </c>
      <c r="Q83" s="148">
        <f t="shared" si="1"/>
        <v>-4.878048780487805E-2</v>
      </c>
    </row>
    <row r="84" spans="1:17">
      <c r="A84" s="58" t="str">
        <f>'Audit Dimensions'!A84</f>
        <v>W-AND-3M</v>
      </c>
      <c r="B84" s="2" t="str">
        <f>VLOOKUP(A84,'Billing Dimensions'!A:B,2,FALSE)</f>
        <v>MB</v>
      </c>
      <c r="C84" s="59">
        <f>VLOOKUP(A84,'Billing Dimensions'!$A:$N,3,FALSE)-VLOOKUP(A84,'Audit Dimensions'!$A:$N,3,FALSE)</f>
        <v>0</v>
      </c>
      <c r="D84" s="59">
        <f>VLOOKUP(A84,'Billing Dimensions'!$A:$N,4,FALSE)-VLOOKUP(A84,'Audit Dimensions'!$A:$N,4,FALSE)</f>
        <v>0</v>
      </c>
      <c r="E84" s="59">
        <f>VLOOKUP(A84,'Billing Dimensions'!$A:$N,5,FALSE)-VLOOKUP(A84,'Audit Dimensions'!$A:$N,5,FALSE)</f>
        <v>0</v>
      </c>
      <c r="F84" s="137">
        <f>VLOOKUP(A84,'Billing Dimensions'!$A:$N,6,FALSE)-VLOOKUP(A84,'Audit Dimensions'!$A:$N,6,FALSE)</f>
        <v>-1770</v>
      </c>
      <c r="G84" s="65">
        <f>VLOOKUP(A84,'Billing Dimensions'!$A:$N,7,FALSE)-VLOOKUP(A84,'Audit Dimensions'!$A:$N,7,FALSE)</f>
        <v>0</v>
      </c>
      <c r="H84" s="65">
        <f>VLOOKUP(A84,'Billing Dimensions'!$A:$N,8,FALSE)-VLOOKUP(A84,'Audit Dimensions'!$A:$N,8,FALSE)</f>
        <v>0</v>
      </c>
      <c r="I84" s="65">
        <f>VLOOKUP(A84,'Billing Dimensions'!$A:$N,9,FALSE)-VLOOKUP(A84,'Audit Dimensions'!$A:$N,9,FALSE)</f>
        <v>0</v>
      </c>
      <c r="J84" s="61">
        <f>VLOOKUP(A84,'Billing Dimensions'!$A:$N,10,FALSE)-VLOOKUP(A84,'Audit Dimensions'!$A:$N,10,FALSE)</f>
        <v>-1400</v>
      </c>
      <c r="K84" s="63">
        <f>VLOOKUP(A84,'Billing Dimensions'!$A:$N,11,FALSE)-VLOOKUP(A84,'Audit Dimensions'!$A:$N,11,FALSE)</f>
        <v>0</v>
      </c>
      <c r="L84" s="63">
        <f>VLOOKUP(A84,'Billing Dimensions'!$A:$N,12,FALSE)-VLOOKUP(A84,'Audit Dimensions'!$A:$N,12,FALSE)</f>
        <v>0</v>
      </c>
      <c r="M84" s="63">
        <f>VLOOKUP(A84,'Billing Dimensions'!$A:$N,13,FALSE)-VLOOKUP(A84,'Audit Dimensions'!$A:$N,13,FALSE)</f>
        <v>0</v>
      </c>
      <c r="N84" s="140">
        <f>VLOOKUP(A84,'Billing Dimensions'!$A:$N,14,FALSE)-VLOOKUP(A84,'Audit Dimensions'!$A:$N,14,FALSE)</f>
        <v>-2850</v>
      </c>
      <c r="O84" s="145">
        <f>VLOOKUP('Audit VAR'!A84,'Audit Dimensions'!A:P,16,FALSE)</f>
        <v>105770</v>
      </c>
      <c r="P84" s="143">
        <f>VLOOKUP(A84,'Billing Dimensions'!A:Q,17,FALSE)-VLOOKUP('Audit VAR'!A84,'Audit Dimensions'!A:P,16,FALSE)</f>
        <v>-6020</v>
      </c>
      <c r="Q84" s="148">
        <f t="shared" si="1"/>
        <v>-5.6915949702183985E-2</v>
      </c>
    </row>
    <row r="85" spans="1:17">
      <c r="A85" s="58" t="str">
        <f>'Audit Dimensions'!A85</f>
        <v>KHS-SW-W1</v>
      </c>
      <c r="B85" s="2" t="str">
        <f>VLOOKUP(A85,'Billing Dimensions'!A:B,2,FALSE)</f>
        <v>SB</v>
      </c>
      <c r="C85" s="59">
        <f>VLOOKUP(A85,'Billing Dimensions'!$A:$N,3,FALSE)-VLOOKUP(A85,'Audit Dimensions'!$A:$N,3,FALSE)</f>
        <v>0</v>
      </c>
      <c r="D85" s="59">
        <f>VLOOKUP(A85,'Billing Dimensions'!$A:$N,4,FALSE)-VLOOKUP(A85,'Audit Dimensions'!$A:$N,4,FALSE)</f>
        <v>0</v>
      </c>
      <c r="E85" s="59">
        <f>VLOOKUP(A85,'Billing Dimensions'!$A:$N,5,FALSE)-VLOOKUP(A85,'Audit Dimensions'!$A:$N,5,FALSE)</f>
        <v>0</v>
      </c>
      <c r="F85" s="137">
        <f>VLOOKUP(A85,'Billing Dimensions'!$A:$N,6,FALSE)-VLOOKUP(A85,'Audit Dimensions'!$A:$N,6,FALSE)</f>
        <v>0</v>
      </c>
      <c r="G85" s="65">
        <f>VLOOKUP(A85,'Billing Dimensions'!$A:$N,7,FALSE)-VLOOKUP(A85,'Audit Dimensions'!$A:$N,7,FALSE)</f>
        <v>0</v>
      </c>
      <c r="H85" s="65">
        <f>VLOOKUP(A85,'Billing Dimensions'!$A:$N,8,FALSE)-VLOOKUP(A85,'Audit Dimensions'!$A:$N,8,FALSE)</f>
        <v>0</v>
      </c>
      <c r="I85" s="65">
        <f>VLOOKUP(A85,'Billing Dimensions'!$A:$N,9,FALSE)-VLOOKUP(A85,'Audit Dimensions'!$A:$N,9,FALSE)</f>
        <v>0</v>
      </c>
      <c r="J85" s="61">
        <f>VLOOKUP(A85,'Billing Dimensions'!$A:$N,10,FALSE)-VLOOKUP(A85,'Audit Dimensions'!$A:$N,10,FALSE)</f>
        <v>0</v>
      </c>
      <c r="K85" s="63">
        <f>VLOOKUP(A85,'Billing Dimensions'!$A:$N,11,FALSE)-VLOOKUP(A85,'Audit Dimensions'!$A:$N,11,FALSE)</f>
        <v>0</v>
      </c>
      <c r="L85" s="63">
        <f>VLOOKUP(A85,'Billing Dimensions'!$A:$N,12,FALSE)-VLOOKUP(A85,'Audit Dimensions'!$A:$N,12,FALSE)</f>
        <v>0</v>
      </c>
      <c r="M85" s="63">
        <f>VLOOKUP(A85,'Billing Dimensions'!$A:$N,13,FALSE)-VLOOKUP(A85,'Audit Dimensions'!$A:$N,13,FALSE)</f>
        <v>0</v>
      </c>
      <c r="N85" s="140">
        <f>VLOOKUP(A85,'Billing Dimensions'!$A:$N,14,FALSE)-VLOOKUP(A85,'Audit Dimensions'!$A:$N,14,FALSE)</f>
        <v>0</v>
      </c>
      <c r="O85" s="145">
        <f>VLOOKUP('Audit VAR'!A85,'Audit Dimensions'!A:P,16,FALSE)</f>
        <v>810</v>
      </c>
      <c r="P85" s="143">
        <f>VLOOKUP(A85,'Billing Dimensions'!A:Q,17,FALSE)-VLOOKUP('Audit VAR'!A85,'Audit Dimensions'!A:P,16,FALSE)</f>
        <v>0</v>
      </c>
      <c r="Q85" s="148">
        <f t="shared" si="1"/>
        <v>0</v>
      </c>
    </row>
    <row r="86" spans="1:17" ht="12.4" customHeight="1">
      <c r="A86" s="58" t="str">
        <f>'Audit Dimensions'!A86</f>
        <v>CT-LE</v>
      </c>
      <c r="B86" s="2" t="str">
        <f>VLOOKUP(A86,'Billing Dimensions'!A:B,2,FALSE)</f>
        <v>SB</v>
      </c>
      <c r="C86" s="59">
        <f>VLOOKUP(A86,'Billing Dimensions'!$A:$N,3,FALSE)-VLOOKUP(A86,'Audit Dimensions'!$A:$N,3,FALSE)</f>
        <v>0</v>
      </c>
      <c r="D86" s="59">
        <f>VLOOKUP(A86,'Billing Dimensions'!$A:$N,4,FALSE)-VLOOKUP(A86,'Audit Dimensions'!$A:$N,4,FALSE)</f>
        <v>0</v>
      </c>
      <c r="E86" s="59">
        <f>VLOOKUP(A86,'Billing Dimensions'!$A:$N,5,FALSE)-VLOOKUP(A86,'Audit Dimensions'!$A:$N,5,FALSE)</f>
        <v>0</v>
      </c>
      <c r="F86" s="137">
        <f>VLOOKUP(A86,'Billing Dimensions'!$A:$N,6,FALSE)-VLOOKUP(A86,'Audit Dimensions'!$A:$N,6,FALSE)</f>
        <v>-1100</v>
      </c>
      <c r="G86" s="65">
        <f>VLOOKUP(A86,'Billing Dimensions'!$A:$N,7,FALSE)-VLOOKUP(A86,'Audit Dimensions'!$A:$N,7,FALSE)</f>
        <v>0</v>
      </c>
      <c r="H86" s="65">
        <f>VLOOKUP(A86,'Billing Dimensions'!$A:$N,8,FALSE)-VLOOKUP(A86,'Audit Dimensions'!$A:$N,8,FALSE)</f>
        <v>0</v>
      </c>
      <c r="I86" s="65">
        <f>VLOOKUP(A86,'Billing Dimensions'!$A:$N,9,FALSE)-VLOOKUP(A86,'Audit Dimensions'!$A:$N,9,FALSE)</f>
        <v>0</v>
      </c>
      <c r="J86" s="61">
        <f>VLOOKUP(A86,'Billing Dimensions'!$A:$N,10,FALSE)-VLOOKUP(A86,'Audit Dimensions'!$A:$N,10,FALSE)</f>
        <v>0</v>
      </c>
      <c r="K86" s="63">
        <f>VLOOKUP(A86,'Billing Dimensions'!$A:$N,11,FALSE)-VLOOKUP(A86,'Audit Dimensions'!$A:$N,11,FALSE)</f>
        <v>0</v>
      </c>
      <c r="L86" s="63">
        <f>VLOOKUP(A86,'Billing Dimensions'!$A:$N,12,FALSE)-VLOOKUP(A86,'Audit Dimensions'!$A:$N,12,FALSE)</f>
        <v>0</v>
      </c>
      <c r="M86" s="63">
        <f>VLOOKUP(A86,'Billing Dimensions'!$A:$N,13,FALSE)-VLOOKUP(A86,'Audit Dimensions'!$A:$N,13,FALSE)</f>
        <v>0</v>
      </c>
      <c r="N86" s="140">
        <f>VLOOKUP(A86,'Billing Dimensions'!$A:$N,14,FALSE)-VLOOKUP(A86,'Audit Dimensions'!$A:$N,14,FALSE)</f>
        <v>0</v>
      </c>
      <c r="O86" s="145">
        <f>VLOOKUP('Audit VAR'!A86,'Audit Dimensions'!A:P,16,FALSE)</f>
        <v>12000</v>
      </c>
      <c r="P86" s="143">
        <f>VLOOKUP(A86,'Billing Dimensions'!A:Q,17,FALSE)-VLOOKUP('Audit VAR'!A86,'Audit Dimensions'!A:P,16,FALSE)</f>
        <v>-1100</v>
      </c>
      <c r="Q86" s="148">
        <f t="shared" si="1"/>
        <v>-9.166666666666666E-2</v>
      </c>
    </row>
    <row r="87" spans="1:17">
      <c r="A87" s="58" t="str">
        <f>'Audit Dimensions'!A87</f>
        <v>SR-MVS</v>
      </c>
      <c r="B87" s="2" t="str">
        <f>VLOOKUP(A87,'Billing Dimensions'!A:B,2,FALSE)</f>
        <v>SB</v>
      </c>
      <c r="C87" s="59">
        <f>VLOOKUP(A87,'Billing Dimensions'!$A:$N,3,FALSE)-VLOOKUP(A87,'Audit Dimensions'!$A:$N,3,FALSE)</f>
        <v>0</v>
      </c>
      <c r="D87" s="59">
        <f>VLOOKUP(A87,'Billing Dimensions'!$A:$N,4,FALSE)-VLOOKUP(A87,'Audit Dimensions'!$A:$N,4,FALSE)</f>
        <v>0</v>
      </c>
      <c r="E87" s="59">
        <f>VLOOKUP(A87,'Billing Dimensions'!$A:$N,5,FALSE)-VLOOKUP(A87,'Audit Dimensions'!$A:$N,5,FALSE)</f>
        <v>0</v>
      </c>
      <c r="F87" s="137">
        <f>VLOOKUP(A87,'Billing Dimensions'!$A:$N,6,FALSE)-VLOOKUP(A87,'Audit Dimensions'!$A:$N,6,FALSE)</f>
        <v>-1440</v>
      </c>
      <c r="G87" s="65">
        <f>VLOOKUP(A87,'Billing Dimensions'!$A:$N,7,FALSE)-VLOOKUP(A87,'Audit Dimensions'!$A:$N,7,FALSE)</f>
        <v>0</v>
      </c>
      <c r="H87" s="65">
        <f>VLOOKUP(A87,'Billing Dimensions'!$A:$N,8,FALSE)-VLOOKUP(A87,'Audit Dimensions'!$A:$N,8,FALSE)</f>
        <v>0</v>
      </c>
      <c r="I87" s="65">
        <f>VLOOKUP(A87,'Billing Dimensions'!$A:$N,9,FALSE)-VLOOKUP(A87,'Audit Dimensions'!$A:$N,9,FALSE)</f>
        <v>0</v>
      </c>
      <c r="J87" s="61">
        <f>VLOOKUP(A87,'Billing Dimensions'!$A:$N,10,FALSE)-VLOOKUP(A87,'Audit Dimensions'!$A:$N,10,FALSE)</f>
        <v>0</v>
      </c>
      <c r="K87" s="63">
        <f>VLOOKUP(A87,'Billing Dimensions'!$A:$N,11,FALSE)-VLOOKUP(A87,'Audit Dimensions'!$A:$N,11,FALSE)</f>
        <v>0</v>
      </c>
      <c r="L87" s="63">
        <f>VLOOKUP(A87,'Billing Dimensions'!$A:$N,12,FALSE)-VLOOKUP(A87,'Audit Dimensions'!$A:$N,12,FALSE)</f>
        <v>0</v>
      </c>
      <c r="M87" s="63">
        <f>VLOOKUP(A87,'Billing Dimensions'!$A:$N,13,FALSE)-VLOOKUP(A87,'Audit Dimensions'!$A:$N,13,FALSE)</f>
        <v>0</v>
      </c>
      <c r="N87" s="140">
        <f>VLOOKUP(A87,'Billing Dimensions'!$A:$N,14,FALSE)-VLOOKUP(A87,'Audit Dimensions'!$A:$N,14,FALSE)</f>
        <v>0</v>
      </c>
      <c r="O87" s="145">
        <f>VLOOKUP('Audit VAR'!A87,'Audit Dimensions'!A:P,16,FALSE)</f>
        <v>31640</v>
      </c>
      <c r="P87" s="143">
        <f>VLOOKUP(A87,'Billing Dimensions'!A:Q,17,FALSE)-VLOOKUP('Audit VAR'!A87,'Audit Dimensions'!A:P,16,FALSE)</f>
        <v>-1440</v>
      </c>
      <c r="Q87" s="148">
        <f t="shared" si="1"/>
        <v>-4.5512010113780026E-2</v>
      </c>
    </row>
    <row r="88" spans="1:17">
      <c r="A88" s="58" t="str">
        <f>'Audit Dimensions'!A88</f>
        <v>W-AND-2N</v>
      </c>
      <c r="B88" s="2" t="str">
        <f>VLOOKUP(A88,'Billing Dimensions'!A:B,2,FALSE)</f>
        <v>MB</v>
      </c>
      <c r="C88" s="59">
        <f>VLOOKUP(A88,'Billing Dimensions'!$A:$N,3,FALSE)-VLOOKUP(A88,'Audit Dimensions'!$A:$N,3,FALSE)</f>
        <v>0</v>
      </c>
      <c r="D88" s="59">
        <f>VLOOKUP(A88,'Billing Dimensions'!$A:$N,4,FALSE)-VLOOKUP(A88,'Audit Dimensions'!$A:$N,4,FALSE)</f>
        <v>0</v>
      </c>
      <c r="E88" s="59">
        <f>VLOOKUP(A88,'Billing Dimensions'!$A:$N,5,FALSE)-VLOOKUP(A88,'Audit Dimensions'!$A:$N,5,FALSE)</f>
        <v>0</v>
      </c>
      <c r="F88" s="137">
        <f>VLOOKUP(A88,'Billing Dimensions'!$A:$N,6,FALSE)-VLOOKUP(A88,'Audit Dimensions'!$A:$N,6,FALSE)</f>
        <v>-2650</v>
      </c>
      <c r="G88" s="65">
        <f>VLOOKUP(A88,'Billing Dimensions'!$A:$N,7,FALSE)-VLOOKUP(A88,'Audit Dimensions'!$A:$N,7,FALSE)</f>
        <v>0</v>
      </c>
      <c r="H88" s="65">
        <f>VLOOKUP(A88,'Billing Dimensions'!$A:$N,8,FALSE)-VLOOKUP(A88,'Audit Dimensions'!$A:$N,8,FALSE)</f>
        <v>0</v>
      </c>
      <c r="I88" s="65">
        <f>VLOOKUP(A88,'Billing Dimensions'!$A:$N,9,FALSE)-VLOOKUP(A88,'Audit Dimensions'!$A:$N,9,FALSE)</f>
        <v>0</v>
      </c>
      <c r="J88" s="61">
        <f>VLOOKUP(A88,'Billing Dimensions'!$A:$N,10,FALSE)-VLOOKUP(A88,'Audit Dimensions'!$A:$N,10,FALSE)</f>
        <v>-2310</v>
      </c>
      <c r="K88" s="63">
        <f>VLOOKUP(A88,'Billing Dimensions'!$A:$N,11,FALSE)-VLOOKUP(A88,'Audit Dimensions'!$A:$N,11,FALSE)</f>
        <v>0</v>
      </c>
      <c r="L88" s="63">
        <f>VLOOKUP(A88,'Billing Dimensions'!$A:$N,12,FALSE)-VLOOKUP(A88,'Audit Dimensions'!$A:$N,12,FALSE)</f>
        <v>0</v>
      </c>
      <c r="M88" s="63">
        <f>VLOOKUP(A88,'Billing Dimensions'!$A:$N,13,FALSE)-VLOOKUP(A88,'Audit Dimensions'!$A:$N,13,FALSE)</f>
        <v>0</v>
      </c>
      <c r="N88" s="140">
        <f>VLOOKUP(A88,'Billing Dimensions'!$A:$N,14,FALSE)-VLOOKUP(A88,'Audit Dimensions'!$A:$N,14,FALSE)</f>
        <v>0</v>
      </c>
      <c r="O88" s="145">
        <f>VLOOKUP('Audit VAR'!A88,'Audit Dimensions'!A:P,16,FALSE)</f>
        <v>77960</v>
      </c>
      <c r="P88" s="143">
        <f>VLOOKUP(A88,'Billing Dimensions'!A:Q,17,FALSE)-VLOOKUP('Audit VAR'!A88,'Audit Dimensions'!A:P,16,FALSE)</f>
        <v>-4960</v>
      </c>
      <c r="Q88" s="148">
        <f t="shared" si="1"/>
        <v>-6.3622370446382762E-2</v>
      </c>
    </row>
    <row r="89" spans="1:17">
      <c r="A89" s="58" t="str">
        <f>'Audit Dimensions'!A89</f>
        <v>TU-RYE-LA</v>
      </c>
      <c r="B89" s="2" t="str">
        <f>VLOOKUP(A89,'Billing Dimensions'!A:B,2,FALSE)</f>
        <v>SB</v>
      </c>
      <c r="C89" s="59">
        <f>VLOOKUP(A89,'Billing Dimensions'!$A:$N,3,FALSE)-VLOOKUP(A89,'Audit Dimensions'!$A:$N,3,FALSE)</f>
        <v>0</v>
      </c>
      <c r="D89" s="59">
        <f>VLOOKUP(A89,'Billing Dimensions'!$A:$N,4,FALSE)-VLOOKUP(A89,'Audit Dimensions'!$A:$N,4,FALSE)</f>
        <v>0</v>
      </c>
      <c r="E89" s="59">
        <f>VLOOKUP(A89,'Billing Dimensions'!$A:$N,5,FALSE)-VLOOKUP(A89,'Audit Dimensions'!$A:$N,5,FALSE)</f>
        <v>0</v>
      </c>
      <c r="F89" s="137">
        <f>VLOOKUP(A89,'Billing Dimensions'!$A:$N,6,FALSE)-VLOOKUP(A89,'Audit Dimensions'!$A:$N,6,FALSE)</f>
        <v>-2070</v>
      </c>
      <c r="G89" s="65">
        <f>VLOOKUP(A89,'Billing Dimensions'!$A:$N,7,FALSE)-VLOOKUP(A89,'Audit Dimensions'!$A:$N,7,FALSE)</f>
        <v>0</v>
      </c>
      <c r="H89" s="65">
        <f>VLOOKUP(A89,'Billing Dimensions'!$A:$N,8,FALSE)-VLOOKUP(A89,'Audit Dimensions'!$A:$N,8,FALSE)</f>
        <v>0</v>
      </c>
      <c r="I89" s="65">
        <f>VLOOKUP(A89,'Billing Dimensions'!$A:$N,9,FALSE)-VLOOKUP(A89,'Audit Dimensions'!$A:$N,9,FALSE)</f>
        <v>0</v>
      </c>
      <c r="J89" s="61">
        <f>VLOOKUP(A89,'Billing Dimensions'!$A:$N,10,FALSE)-VLOOKUP(A89,'Audit Dimensions'!$A:$N,10,FALSE)</f>
        <v>0</v>
      </c>
      <c r="K89" s="63">
        <f>VLOOKUP(A89,'Billing Dimensions'!$A:$N,11,FALSE)-VLOOKUP(A89,'Audit Dimensions'!$A:$N,11,FALSE)</f>
        <v>0</v>
      </c>
      <c r="L89" s="63">
        <f>VLOOKUP(A89,'Billing Dimensions'!$A:$N,12,FALSE)-VLOOKUP(A89,'Audit Dimensions'!$A:$N,12,FALSE)</f>
        <v>0</v>
      </c>
      <c r="M89" s="63">
        <f>VLOOKUP(A89,'Billing Dimensions'!$A:$N,13,FALSE)-VLOOKUP(A89,'Audit Dimensions'!$A:$N,13,FALSE)</f>
        <v>0</v>
      </c>
      <c r="N89" s="140">
        <f>VLOOKUP(A89,'Billing Dimensions'!$A:$N,14,FALSE)-VLOOKUP(A89,'Audit Dimensions'!$A:$N,14,FALSE)</f>
        <v>0</v>
      </c>
      <c r="O89" s="145">
        <f>VLOOKUP('Audit VAR'!A89,'Audit Dimensions'!A:P,16,FALSE)</f>
        <v>29370</v>
      </c>
      <c r="P89" s="143">
        <f>VLOOKUP(A89,'Billing Dimensions'!A:Q,17,FALSE)-VLOOKUP('Audit VAR'!A89,'Audit Dimensions'!A:P,16,FALSE)</f>
        <v>-2070</v>
      </c>
      <c r="Q89" s="148">
        <f t="shared" si="1"/>
        <v>-7.0480081716036772E-2</v>
      </c>
    </row>
    <row r="90" spans="1:17">
      <c r="A90" s="58" t="str">
        <f>'Audit Dimensions'!A90</f>
        <v>BT-OL</v>
      </c>
      <c r="B90" s="2" t="str">
        <f>VLOOKUP(A90,'Billing Dimensions'!A:B,2,FALSE)</f>
        <v>SB</v>
      </c>
      <c r="C90" s="59">
        <f>VLOOKUP(A90,'Billing Dimensions'!$A:$N,3,FALSE)-VLOOKUP(A90,'Audit Dimensions'!$A:$N,3,FALSE)</f>
        <v>0</v>
      </c>
      <c r="D90" s="59">
        <f>VLOOKUP(A90,'Billing Dimensions'!$A:$N,4,FALSE)-VLOOKUP(A90,'Audit Dimensions'!$A:$N,4,FALSE)</f>
        <v>0</v>
      </c>
      <c r="E90" s="59">
        <f>VLOOKUP(A90,'Billing Dimensions'!$A:$N,5,FALSE)-VLOOKUP(A90,'Audit Dimensions'!$A:$N,5,FALSE)</f>
        <v>0</v>
      </c>
      <c r="F90" s="137">
        <f>VLOOKUP(A90,'Billing Dimensions'!$A:$N,6,FALSE)-VLOOKUP(A90,'Audit Dimensions'!$A:$N,6,FALSE)</f>
        <v>-800</v>
      </c>
      <c r="G90" s="65">
        <f>VLOOKUP(A90,'Billing Dimensions'!$A:$N,7,FALSE)-VLOOKUP(A90,'Audit Dimensions'!$A:$N,7,FALSE)</f>
        <v>0</v>
      </c>
      <c r="H90" s="65">
        <f>VLOOKUP(A90,'Billing Dimensions'!$A:$N,8,FALSE)-VLOOKUP(A90,'Audit Dimensions'!$A:$N,8,FALSE)</f>
        <v>0</v>
      </c>
      <c r="I90" s="65">
        <f>VLOOKUP(A90,'Billing Dimensions'!$A:$N,9,FALSE)-VLOOKUP(A90,'Audit Dimensions'!$A:$N,9,FALSE)</f>
        <v>0</v>
      </c>
      <c r="J90" s="61">
        <f>VLOOKUP(A90,'Billing Dimensions'!$A:$N,10,FALSE)-VLOOKUP(A90,'Audit Dimensions'!$A:$N,10,FALSE)</f>
        <v>0</v>
      </c>
      <c r="K90" s="63">
        <f>VLOOKUP(A90,'Billing Dimensions'!$A:$N,11,FALSE)-VLOOKUP(A90,'Audit Dimensions'!$A:$N,11,FALSE)</f>
        <v>0</v>
      </c>
      <c r="L90" s="63">
        <f>VLOOKUP(A90,'Billing Dimensions'!$A:$N,12,FALSE)-VLOOKUP(A90,'Audit Dimensions'!$A:$N,12,FALSE)</f>
        <v>0</v>
      </c>
      <c r="M90" s="63">
        <f>VLOOKUP(A90,'Billing Dimensions'!$A:$N,13,FALSE)-VLOOKUP(A90,'Audit Dimensions'!$A:$N,13,FALSE)</f>
        <v>0</v>
      </c>
      <c r="N90" s="140">
        <f>VLOOKUP(A90,'Billing Dimensions'!$A:$N,14,FALSE)-VLOOKUP(A90,'Audit Dimensions'!$A:$N,14,FALSE)</f>
        <v>0</v>
      </c>
      <c r="O90" s="145">
        <f>VLOOKUP('Audit VAR'!A90,'Audit Dimensions'!A:P,16,FALSE)</f>
        <v>7700</v>
      </c>
      <c r="P90" s="143">
        <f>VLOOKUP(A90,'Billing Dimensions'!A:Q,17,FALSE)-VLOOKUP('Audit VAR'!A90,'Audit Dimensions'!A:P,16,FALSE)</f>
        <v>-800</v>
      </c>
      <c r="Q90" s="148">
        <f t="shared" si="1"/>
        <v>-0.1038961038961039</v>
      </c>
    </row>
    <row r="91" spans="1:17">
      <c r="A91" s="58" t="str">
        <f>'Audit Dimensions'!A91</f>
        <v>S-BR-F6</v>
      </c>
      <c r="B91" s="2" t="str">
        <f>VLOOKUP(A91,'Billing Dimensions'!A:B,2,FALSE)</f>
        <v>SB</v>
      </c>
      <c r="C91" s="59">
        <f>VLOOKUP(A91,'Billing Dimensions'!$A:$N,3,FALSE)-VLOOKUP(A91,'Audit Dimensions'!$A:$N,3,FALSE)</f>
        <v>0</v>
      </c>
      <c r="D91" s="59">
        <f>VLOOKUP(A91,'Billing Dimensions'!$A:$N,4,FALSE)-VLOOKUP(A91,'Audit Dimensions'!$A:$N,4,FALSE)</f>
        <v>0</v>
      </c>
      <c r="E91" s="59">
        <f>VLOOKUP(A91,'Billing Dimensions'!$A:$N,5,FALSE)-VLOOKUP(A91,'Audit Dimensions'!$A:$N,5,FALSE)</f>
        <v>0</v>
      </c>
      <c r="F91" s="137">
        <f>VLOOKUP(A91,'Billing Dimensions'!$A:$N,6,FALSE)-VLOOKUP(A91,'Audit Dimensions'!$A:$N,6,FALSE)</f>
        <v>0</v>
      </c>
      <c r="G91" s="65">
        <f>VLOOKUP(A91,'Billing Dimensions'!$A:$N,7,FALSE)-VLOOKUP(A91,'Audit Dimensions'!$A:$N,7,FALSE)</f>
        <v>0</v>
      </c>
      <c r="H91" s="65">
        <f>VLOOKUP(A91,'Billing Dimensions'!$A:$N,8,FALSE)-VLOOKUP(A91,'Audit Dimensions'!$A:$N,8,FALSE)</f>
        <v>0</v>
      </c>
      <c r="I91" s="65">
        <f>VLOOKUP(A91,'Billing Dimensions'!$A:$N,9,FALSE)-VLOOKUP(A91,'Audit Dimensions'!$A:$N,9,FALSE)</f>
        <v>0</v>
      </c>
      <c r="J91" s="61">
        <f>VLOOKUP(A91,'Billing Dimensions'!$A:$N,10,FALSE)-VLOOKUP(A91,'Audit Dimensions'!$A:$N,10,FALSE)</f>
        <v>0</v>
      </c>
      <c r="K91" s="63">
        <f>VLOOKUP(A91,'Billing Dimensions'!$A:$N,11,FALSE)-VLOOKUP(A91,'Audit Dimensions'!$A:$N,11,FALSE)</f>
        <v>0</v>
      </c>
      <c r="L91" s="63">
        <f>VLOOKUP(A91,'Billing Dimensions'!$A:$N,12,FALSE)-VLOOKUP(A91,'Audit Dimensions'!$A:$N,12,FALSE)</f>
        <v>0</v>
      </c>
      <c r="M91" s="63">
        <f>VLOOKUP(A91,'Billing Dimensions'!$A:$N,13,FALSE)-VLOOKUP(A91,'Audit Dimensions'!$A:$N,13,FALSE)</f>
        <v>0</v>
      </c>
      <c r="N91" s="140">
        <f>VLOOKUP(A91,'Billing Dimensions'!$A:$N,14,FALSE)-VLOOKUP(A91,'Audit Dimensions'!$A:$N,14,FALSE)</f>
        <v>0</v>
      </c>
      <c r="O91" s="145">
        <f>VLOOKUP('Audit VAR'!A91,'Audit Dimensions'!A:P,16,FALSE)</f>
        <v>6700</v>
      </c>
      <c r="P91" s="143">
        <f>VLOOKUP(A91,'Billing Dimensions'!A:Q,17,FALSE)-VLOOKUP('Audit VAR'!A91,'Audit Dimensions'!A:P,16,FALSE)</f>
        <v>0</v>
      </c>
      <c r="Q91" s="148">
        <f t="shared" si="1"/>
        <v>0</v>
      </c>
    </row>
    <row r="92" spans="1:17">
      <c r="A92" s="58" t="str">
        <f>'Audit Dimensions'!A92</f>
        <v>TS-NL-ST</v>
      </c>
      <c r="B92" s="2" t="str">
        <f>VLOOKUP(A92,'Billing Dimensions'!A:B,2,FALSE)</f>
        <v>SB</v>
      </c>
      <c r="C92" s="59">
        <f>VLOOKUP(A92,'Billing Dimensions'!$A:$N,3,FALSE)-VLOOKUP(A92,'Audit Dimensions'!$A:$N,3,FALSE)</f>
        <v>0</v>
      </c>
      <c r="D92" s="59">
        <f>VLOOKUP(A92,'Billing Dimensions'!$A:$N,4,FALSE)-VLOOKUP(A92,'Audit Dimensions'!$A:$N,4,FALSE)</f>
        <v>0</v>
      </c>
      <c r="E92" s="59">
        <f>VLOOKUP(A92,'Billing Dimensions'!$A:$N,5,FALSE)-VLOOKUP(A92,'Audit Dimensions'!$A:$N,5,FALSE)</f>
        <v>0</v>
      </c>
      <c r="F92" s="137">
        <f>VLOOKUP(A92,'Billing Dimensions'!$A:$N,6,FALSE)-VLOOKUP(A92,'Audit Dimensions'!$A:$N,6,FALSE)</f>
        <v>-237</v>
      </c>
      <c r="G92" s="65">
        <f>VLOOKUP(A92,'Billing Dimensions'!$A:$N,7,FALSE)-VLOOKUP(A92,'Audit Dimensions'!$A:$N,7,FALSE)</f>
        <v>0</v>
      </c>
      <c r="H92" s="65">
        <f>VLOOKUP(A92,'Billing Dimensions'!$A:$N,8,FALSE)-VLOOKUP(A92,'Audit Dimensions'!$A:$N,8,FALSE)</f>
        <v>0</v>
      </c>
      <c r="I92" s="65">
        <f>VLOOKUP(A92,'Billing Dimensions'!$A:$N,9,FALSE)-VLOOKUP(A92,'Audit Dimensions'!$A:$N,9,FALSE)</f>
        <v>0</v>
      </c>
      <c r="J92" s="61">
        <f>VLOOKUP(A92,'Billing Dimensions'!$A:$N,10,FALSE)-VLOOKUP(A92,'Audit Dimensions'!$A:$N,10,FALSE)</f>
        <v>0</v>
      </c>
      <c r="K92" s="63">
        <f>VLOOKUP(A92,'Billing Dimensions'!$A:$N,11,FALSE)-VLOOKUP(A92,'Audit Dimensions'!$A:$N,11,FALSE)</f>
        <v>0</v>
      </c>
      <c r="L92" s="63">
        <f>VLOOKUP(A92,'Billing Dimensions'!$A:$N,12,FALSE)-VLOOKUP(A92,'Audit Dimensions'!$A:$N,12,FALSE)</f>
        <v>0</v>
      </c>
      <c r="M92" s="63">
        <f>VLOOKUP(A92,'Billing Dimensions'!$A:$N,13,FALSE)-VLOOKUP(A92,'Audit Dimensions'!$A:$N,13,FALSE)</f>
        <v>0</v>
      </c>
      <c r="N92" s="140">
        <f>VLOOKUP(A92,'Billing Dimensions'!$A:$N,14,FALSE)-VLOOKUP(A92,'Audit Dimensions'!$A:$N,14,FALSE)</f>
        <v>0</v>
      </c>
      <c r="O92" s="145">
        <f>VLOOKUP('Audit VAR'!A92,'Audit Dimensions'!A:P,16,FALSE)</f>
        <v>2127</v>
      </c>
      <c r="P92" s="143">
        <f>VLOOKUP(A92,'Billing Dimensions'!A:Q,17,FALSE)-VLOOKUP('Audit VAR'!A92,'Audit Dimensions'!A:P,16,FALSE)</f>
        <v>-237</v>
      </c>
      <c r="Q92" s="148">
        <f t="shared" si="1"/>
        <v>-0.11142454160789844</v>
      </c>
    </row>
    <row r="93" spans="1:17">
      <c r="A93" s="58" t="str">
        <f>'Audit Dimensions'!A93</f>
        <v>CT-GSE-SQ</v>
      </c>
      <c r="B93" s="2" t="str">
        <f>VLOOKUP(A93,'Billing Dimensions'!A:B,2,FALSE)</f>
        <v>SB</v>
      </c>
      <c r="C93" s="59">
        <f>VLOOKUP(A93,'Billing Dimensions'!$A:$N,3,FALSE)-VLOOKUP(A93,'Audit Dimensions'!$A:$N,3,FALSE)</f>
        <v>-1</v>
      </c>
      <c r="D93" s="59">
        <f>VLOOKUP(A93,'Billing Dimensions'!$A:$N,4,FALSE)-VLOOKUP(A93,'Audit Dimensions'!$A:$N,4,FALSE)</f>
        <v>-1</v>
      </c>
      <c r="E93" s="59">
        <f>VLOOKUP(A93,'Billing Dimensions'!$A:$N,5,FALSE)-VLOOKUP(A93,'Audit Dimensions'!$A:$N,5,FALSE)</f>
        <v>0</v>
      </c>
      <c r="F93" s="137">
        <f>VLOOKUP(A93,'Billing Dimensions'!$A:$N,6,FALSE)-VLOOKUP(A93,'Audit Dimensions'!$A:$N,6,FALSE)</f>
        <v>-150</v>
      </c>
      <c r="G93" s="65">
        <f>VLOOKUP(A93,'Billing Dimensions'!$A:$N,7,FALSE)-VLOOKUP(A93,'Audit Dimensions'!$A:$N,7,FALSE)</f>
        <v>0</v>
      </c>
      <c r="H93" s="65">
        <f>VLOOKUP(A93,'Billing Dimensions'!$A:$N,8,FALSE)-VLOOKUP(A93,'Audit Dimensions'!$A:$N,8,FALSE)</f>
        <v>0</v>
      </c>
      <c r="I93" s="65">
        <f>VLOOKUP(A93,'Billing Dimensions'!$A:$N,9,FALSE)-VLOOKUP(A93,'Audit Dimensions'!$A:$N,9,FALSE)</f>
        <v>0</v>
      </c>
      <c r="J93" s="61">
        <f>VLOOKUP(A93,'Billing Dimensions'!$A:$N,10,FALSE)-VLOOKUP(A93,'Audit Dimensions'!$A:$N,10,FALSE)</f>
        <v>0</v>
      </c>
      <c r="K93" s="63">
        <f>VLOOKUP(A93,'Billing Dimensions'!$A:$N,11,FALSE)-VLOOKUP(A93,'Audit Dimensions'!$A:$N,11,FALSE)</f>
        <v>0</v>
      </c>
      <c r="L93" s="63">
        <f>VLOOKUP(A93,'Billing Dimensions'!$A:$N,12,FALSE)-VLOOKUP(A93,'Audit Dimensions'!$A:$N,12,FALSE)</f>
        <v>0</v>
      </c>
      <c r="M93" s="63">
        <f>VLOOKUP(A93,'Billing Dimensions'!$A:$N,13,FALSE)-VLOOKUP(A93,'Audit Dimensions'!$A:$N,13,FALSE)</f>
        <v>0</v>
      </c>
      <c r="N93" s="140">
        <f>VLOOKUP(A93,'Billing Dimensions'!$A:$N,14,FALSE)-VLOOKUP(A93,'Audit Dimensions'!$A:$N,14,FALSE)</f>
        <v>0</v>
      </c>
      <c r="O93" s="145">
        <f>VLOOKUP('Audit VAR'!A93,'Audit Dimensions'!A:P,16,FALSE)</f>
        <v>8350</v>
      </c>
      <c r="P93" s="143">
        <f>VLOOKUP(A93,'Billing Dimensions'!A:Q,17,FALSE)-VLOOKUP('Audit VAR'!A93,'Audit Dimensions'!A:P,16,FALSE)</f>
        <v>-150</v>
      </c>
      <c r="Q93" s="148">
        <f t="shared" si="1"/>
        <v>-1.7964071856287425E-2</v>
      </c>
    </row>
    <row r="94" spans="1:17">
      <c r="A94" s="58" t="str">
        <f>'Audit Dimensions'!A94</f>
        <v>RT-ALY</v>
      </c>
      <c r="B94" s="2" t="str">
        <f>VLOOKUP(A94,'Billing Dimensions'!A:B,2,FALSE)</f>
        <v>SB</v>
      </c>
      <c r="C94" s="59">
        <f>VLOOKUP(A94,'Billing Dimensions'!$A:$N,3,FALSE)-VLOOKUP(A94,'Audit Dimensions'!$A:$N,3,FALSE)</f>
        <v>0</v>
      </c>
      <c r="D94" s="59">
        <f>VLOOKUP(A94,'Billing Dimensions'!$A:$N,4,FALSE)-VLOOKUP(A94,'Audit Dimensions'!$A:$N,4,FALSE)</f>
        <v>0</v>
      </c>
      <c r="E94" s="59">
        <f>VLOOKUP(A94,'Billing Dimensions'!$A:$N,5,FALSE)-VLOOKUP(A94,'Audit Dimensions'!$A:$N,5,FALSE)</f>
        <v>0</v>
      </c>
      <c r="F94" s="137">
        <f>VLOOKUP(A94,'Billing Dimensions'!$A:$N,6,FALSE)-VLOOKUP(A94,'Audit Dimensions'!$A:$N,6,FALSE)</f>
        <v>-2160</v>
      </c>
      <c r="G94" s="65">
        <f>VLOOKUP(A94,'Billing Dimensions'!$A:$N,7,FALSE)-VLOOKUP(A94,'Audit Dimensions'!$A:$N,7,FALSE)</f>
        <v>0</v>
      </c>
      <c r="H94" s="65">
        <f>VLOOKUP(A94,'Billing Dimensions'!$A:$N,8,FALSE)-VLOOKUP(A94,'Audit Dimensions'!$A:$N,8,FALSE)</f>
        <v>0</v>
      </c>
      <c r="I94" s="65">
        <f>VLOOKUP(A94,'Billing Dimensions'!$A:$N,9,FALSE)-VLOOKUP(A94,'Audit Dimensions'!$A:$N,9,FALSE)</f>
        <v>0</v>
      </c>
      <c r="J94" s="61">
        <f>VLOOKUP(A94,'Billing Dimensions'!$A:$N,10,FALSE)-VLOOKUP(A94,'Audit Dimensions'!$A:$N,10,FALSE)</f>
        <v>0</v>
      </c>
      <c r="K94" s="63">
        <f>VLOOKUP(A94,'Billing Dimensions'!$A:$N,11,FALSE)-VLOOKUP(A94,'Audit Dimensions'!$A:$N,11,FALSE)</f>
        <v>0</v>
      </c>
      <c r="L94" s="63">
        <f>VLOOKUP(A94,'Billing Dimensions'!$A:$N,12,FALSE)-VLOOKUP(A94,'Audit Dimensions'!$A:$N,12,FALSE)</f>
        <v>0</v>
      </c>
      <c r="M94" s="63">
        <f>VLOOKUP(A94,'Billing Dimensions'!$A:$N,13,FALSE)-VLOOKUP(A94,'Audit Dimensions'!$A:$N,13,FALSE)</f>
        <v>0</v>
      </c>
      <c r="N94" s="140">
        <f>VLOOKUP(A94,'Billing Dimensions'!$A:$N,14,FALSE)-VLOOKUP(A94,'Audit Dimensions'!$A:$N,14,FALSE)</f>
        <v>0</v>
      </c>
      <c r="O94" s="145">
        <f>VLOOKUP('Audit VAR'!A94,'Audit Dimensions'!A:P,16,FALSE)</f>
        <v>26650</v>
      </c>
      <c r="P94" s="143">
        <f>VLOOKUP(A94,'Billing Dimensions'!A:Q,17,FALSE)-VLOOKUP('Audit VAR'!A94,'Audit Dimensions'!A:P,16,FALSE)</f>
        <v>-2160</v>
      </c>
      <c r="Q94" s="148">
        <f t="shared" si="1"/>
        <v>-8.1050656660412765E-2</v>
      </c>
    </row>
    <row r="95" spans="1:17">
      <c r="A95" s="58" t="str">
        <f>'Audit Dimensions'!A95</f>
        <v>CT-KV-RT</v>
      </c>
      <c r="B95" s="2" t="str">
        <f>VLOOKUP(A95,'Billing Dimensions'!A:B,2,FALSE)</f>
        <v>SB</v>
      </c>
      <c r="C95" s="59">
        <f>VLOOKUP(A95,'Billing Dimensions'!$A:$N,3,FALSE)-VLOOKUP(A95,'Audit Dimensions'!$A:$N,3,FALSE)</f>
        <v>0</v>
      </c>
      <c r="D95" s="59">
        <f>VLOOKUP(A95,'Billing Dimensions'!$A:$N,4,FALSE)-VLOOKUP(A95,'Audit Dimensions'!$A:$N,4,FALSE)</f>
        <v>0</v>
      </c>
      <c r="E95" s="59">
        <f>VLOOKUP(A95,'Billing Dimensions'!$A:$N,5,FALSE)-VLOOKUP(A95,'Audit Dimensions'!$A:$N,5,FALSE)</f>
        <v>0</v>
      </c>
      <c r="F95" s="137">
        <f>VLOOKUP(A95,'Billing Dimensions'!$A:$N,6,FALSE)-VLOOKUP(A95,'Audit Dimensions'!$A:$N,6,FALSE)</f>
        <v>-1170</v>
      </c>
      <c r="G95" s="65">
        <f>VLOOKUP(A95,'Billing Dimensions'!$A:$N,7,FALSE)-VLOOKUP(A95,'Audit Dimensions'!$A:$N,7,FALSE)</f>
        <v>0</v>
      </c>
      <c r="H95" s="65">
        <f>VLOOKUP(A95,'Billing Dimensions'!$A:$N,8,FALSE)-VLOOKUP(A95,'Audit Dimensions'!$A:$N,8,FALSE)</f>
        <v>0</v>
      </c>
      <c r="I95" s="65">
        <f>VLOOKUP(A95,'Billing Dimensions'!$A:$N,9,FALSE)-VLOOKUP(A95,'Audit Dimensions'!$A:$N,9,FALSE)</f>
        <v>0</v>
      </c>
      <c r="J95" s="61">
        <f>VLOOKUP(A95,'Billing Dimensions'!$A:$N,10,FALSE)-VLOOKUP(A95,'Audit Dimensions'!$A:$N,10,FALSE)</f>
        <v>0</v>
      </c>
      <c r="K95" s="63">
        <f>VLOOKUP(A95,'Billing Dimensions'!$A:$N,11,FALSE)-VLOOKUP(A95,'Audit Dimensions'!$A:$N,11,FALSE)</f>
        <v>0</v>
      </c>
      <c r="L95" s="63">
        <f>VLOOKUP(A95,'Billing Dimensions'!$A:$N,12,FALSE)-VLOOKUP(A95,'Audit Dimensions'!$A:$N,12,FALSE)</f>
        <v>0</v>
      </c>
      <c r="M95" s="63">
        <f>VLOOKUP(A95,'Billing Dimensions'!$A:$N,13,FALSE)-VLOOKUP(A95,'Audit Dimensions'!$A:$N,13,FALSE)</f>
        <v>0</v>
      </c>
      <c r="N95" s="140">
        <f>VLOOKUP(A95,'Billing Dimensions'!$A:$N,14,FALSE)-VLOOKUP(A95,'Audit Dimensions'!$A:$N,14,FALSE)</f>
        <v>0</v>
      </c>
      <c r="O95" s="145">
        <f>VLOOKUP('Audit VAR'!A95,'Audit Dimensions'!A:P,16,FALSE)</f>
        <v>14000</v>
      </c>
      <c r="P95" s="143">
        <f>VLOOKUP(A95,'Billing Dimensions'!A:Q,17,FALSE)-VLOOKUP('Audit VAR'!A95,'Audit Dimensions'!A:P,16,FALSE)</f>
        <v>-1170</v>
      </c>
      <c r="Q95" s="148">
        <f t="shared" si="1"/>
        <v>-8.3571428571428574E-2</v>
      </c>
    </row>
    <row r="96" spans="1:17">
      <c r="A96" s="58" t="str">
        <f>'Audit Dimensions'!A96</f>
        <v>W-CLO-345</v>
      </c>
      <c r="B96" s="2" t="str">
        <f>VLOOKUP(A96,'Billing Dimensions'!A:B,2,FALSE)</f>
        <v>SB</v>
      </c>
      <c r="C96" s="59">
        <f>VLOOKUP(A96,'Billing Dimensions'!$A:$N,3,FALSE)-VLOOKUP(A96,'Audit Dimensions'!$A:$N,3,FALSE)</f>
        <v>0</v>
      </c>
      <c r="D96" s="59">
        <f>VLOOKUP(A96,'Billing Dimensions'!$A:$N,4,FALSE)-VLOOKUP(A96,'Audit Dimensions'!$A:$N,4,FALSE)</f>
        <v>0</v>
      </c>
      <c r="E96" s="59">
        <f>VLOOKUP(A96,'Billing Dimensions'!$A:$N,5,FALSE)-VLOOKUP(A96,'Audit Dimensions'!$A:$N,5,FALSE)</f>
        <v>0</v>
      </c>
      <c r="F96" s="137">
        <f>VLOOKUP(A96,'Billing Dimensions'!$A:$N,6,FALSE)-VLOOKUP(A96,'Audit Dimensions'!$A:$N,6,FALSE)</f>
        <v>100</v>
      </c>
      <c r="G96" s="65">
        <f>VLOOKUP(A96,'Billing Dimensions'!$A:$N,7,FALSE)-VLOOKUP(A96,'Audit Dimensions'!$A:$N,7,FALSE)</f>
        <v>0</v>
      </c>
      <c r="H96" s="65">
        <f>VLOOKUP(A96,'Billing Dimensions'!$A:$N,8,FALSE)-VLOOKUP(A96,'Audit Dimensions'!$A:$N,8,FALSE)</f>
        <v>0</v>
      </c>
      <c r="I96" s="65">
        <f>VLOOKUP(A96,'Billing Dimensions'!$A:$N,9,FALSE)-VLOOKUP(A96,'Audit Dimensions'!$A:$N,9,FALSE)</f>
        <v>0</v>
      </c>
      <c r="J96" s="61">
        <f>VLOOKUP(A96,'Billing Dimensions'!$A:$N,10,FALSE)-VLOOKUP(A96,'Audit Dimensions'!$A:$N,10,FALSE)</f>
        <v>-750</v>
      </c>
      <c r="K96" s="63">
        <f>VLOOKUP(A96,'Billing Dimensions'!$A:$N,11,FALSE)-VLOOKUP(A96,'Audit Dimensions'!$A:$N,11,FALSE)</f>
        <v>0</v>
      </c>
      <c r="L96" s="63">
        <f>VLOOKUP(A96,'Billing Dimensions'!$A:$N,12,FALSE)-VLOOKUP(A96,'Audit Dimensions'!$A:$N,12,FALSE)</f>
        <v>0</v>
      </c>
      <c r="M96" s="63">
        <f>VLOOKUP(A96,'Billing Dimensions'!$A:$N,13,FALSE)-VLOOKUP(A96,'Audit Dimensions'!$A:$N,13,FALSE)</f>
        <v>0</v>
      </c>
      <c r="N96" s="140">
        <f>VLOOKUP(A96,'Billing Dimensions'!$A:$N,14,FALSE)-VLOOKUP(A96,'Audit Dimensions'!$A:$N,14,FALSE)</f>
        <v>-3270</v>
      </c>
      <c r="O96" s="145">
        <f>VLOOKUP('Audit VAR'!A96,'Audit Dimensions'!A:P,16,FALSE)</f>
        <v>77520</v>
      </c>
      <c r="P96" s="143">
        <f>VLOOKUP(A96,'Billing Dimensions'!A:Q,17,FALSE)-VLOOKUP('Audit VAR'!A96,'Audit Dimensions'!A:P,16,FALSE)</f>
        <v>-3920</v>
      </c>
      <c r="Q96" s="148">
        <f t="shared" si="1"/>
        <v>-5.0567595459236329E-2</v>
      </c>
    </row>
    <row r="97" spans="1:17">
      <c r="A97" s="58" t="str">
        <f>'Audit Dimensions'!A97</f>
        <v>TP-MTA</v>
      </c>
      <c r="B97" s="2" t="str">
        <f>VLOOKUP(A97,'Billing Dimensions'!A:B,2,FALSE)</f>
        <v>SB</v>
      </c>
      <c r="C97" s="59">
        <f>VLOOKUP(A97,'Billing Dimensions'!$A:$N,3,FALSE)-VLOOKUP(A97,'Audit Dimensions'!$A:$N,3,FALSE)</f>
        <v>0</v>
      </c>
      <c r="D97" s="59">
        <f>VLOOKUP(A97,'Billing Dimensions'!$A:$N,4,FALSE)-VLOOKUP(A97,'Audit Dimensions'!$A:$N,4,FALSE)</f>
        <v>0</v>
      </c>
      <c r="E97" s="59">
        <f>VLOOKUP(A97,'Billing Dimensions'!$A:$N,5,FALSE)-VLOOKUP(A97,'Audit Dimensions'!$A:$N,5,FALSE)</f>
        <v>0</v>
      </c>
      <c r="F97" s="137">
        <f>VLOOKUP(A97,'Billing Dimensions'!$A:$N,6,FALSE)-VLOOKUP(A97,'Audit Dimensions'!$A:$N,6,FALSE)</f>
        <v>-700</v>
      </c>
      <c r="G97" s="65">
        <f>VLOOKUP(A97,'Billing Dimensions'!$A:$N,7,FALSE)-VLOOKUP(A97,'Audit Dimensions'!$A:$N,7,FALSE)</f>
        <v>0</v>
      </c>
      <c r="H97" s="65">
        <f>VLOOKUP(A97,'Billing Dimensions'!$A:$N,8,FALSE)-VLOOKUP(A97,'Audit Dimensions'!$A:$N,8,FALSE)</f>
        <v>0</v>
      </c>
      <c r="I97" s="65">
        <f>VLOOKUP(A97,'Billing Dimensions'!$A:$N,9,FALSE)-VLOOKUP(A97,'Audit Dimensions'!$A:$N,9,FALSE)</f>
        <v>0</v>
      </c>
      <c r="J97" s="61">
        <f>VLOOKUP(A97,'Billing Dimensions'!$A:$N,10,FALSE)-VLOOKUP(A97,'Audit Dimensions'!$A:$N,10,FALSE)</f>
        <v>0</v>
      </c>
      <c r="K97" s="63">
        <f>VLOOKUP(A97,'Billing Dimensions'!$A:$N,11,FALSE)-VLOOKUP(A97,'Audit Dimensions'!$A:$N,11,FALSE)</f>
        <v>0</v>
      </c>
      <c r="L97" s="63">
        <f>VLOOKUP(A97,'Billing Dimensions'!$A:$N,12,FALSE)-VLOOKUP(A97,'Audit Dimensions'!$A:$N,12,FALSE)</f>
        <v>0</v>
      </c>
      <c r="M97" s="63">
        <f>VLOOKUP(A97,'Billing Dimensions'!$A:$N,13,FALSE)-VLOOKUP(A97,'Audit Dimensions'!$A:$N,13,FALSE)</f>
        <v>0</v>
      </c>
      <c r="N97" s="140">
        <f>VLOOKUP(A97,'Billing Dimensions'!$A:$N,14,FALSE)-VLOOKUP(A97,'Audit Dimensions'!$A:$N,14,FALSE)</f>
        <v>0</v>
      </c>
      <c r="O97" s="145">
        <f>VLOOKUP('Audit VAR'!A97,'Audit Dimensions'!A:P,16,FALSE)</f>
        <v>17500</v>
      </c>
      <c r="P97" s="143">
        <f>VLOOKUP(A97,'Billing Dimensions'!A:Q,17,FALSE)-VLOOKUP('Audit VAR'!A97,'Audit Dimensions'!A:P,16,FALSE)</f>
        <v>-700</v>
      </c>
      <c r="Q97" s="148">
        <f t="shared" si="1"/>
        <v>-0.04</v>
      </c>
    </row>
    <row r="98" spans="1:17">
      <c r="A98" s="58" t="str">
        <f>'Audit Dimensions'!A98</f>
        <v>SB-MXL-LA</v>
      </c>
      <c r="B98" s="2" t="str">
        <f>VLOOKUP(A98,'Billing Dimensions'!A:B,2,FALSE)</f>
        <v>SB</v>
      </c>
      <c r="C98" s="59">
        <f>VLOOKUP(A98,'Billing Dimensions'!$A:$N,3,FALSE)-VLOOKUP(A98,'Audit Dimensions'!$A:$N,3,FALSE)</f>
        <v>-1</v>
      </c>
      <c r="D98" s="59">
        <f>VLOOKUP(A98,'Billing Dimensions'!$A:$N,4,FALSE)-VLOOKUP(A98,'Audit Dimensions'!$A:$N,4,FALSE)</f>
        <v>2</v>
      </c>
      <c r="E98" s="59">
        <f>VLOOKUP(A98,'Billing Dimensions'!$A:$N,5,FALSE)-VLOOKUP(A98,'Audit Dimensions'!$A:$N,5,FALSE)</f>
        <v>-1</v>
      </c>
      <c r="F98" s="137">
        <f>VLOOKUP(A98,'Billing Dimensions'!$A:$N,6,FALSE)-VLOOKUP(A98,'Audit Dimensions'!$A:$N,6,FALSE)</f>
        <v>-1050</v>
      </c>
      <c r="G98" s="65">
        <f>VLOOKUP(A98,'Billing Dimensions'!$A:$N,7,FALSE)-VLOOKUP(A98,'Audit Dimensions'!$A:$N,7,FALSE)</f>
        <v>0</v>
      </c>
      <c r="H98" s="65">
        <f>VLOOKUP(A98,'Billing Dimensions'!$A:$N,8,FALSE)-VLOOKUP(A98,'Audit Dimensions'!$A:$N,8,FALSE)</f>
        <v>0</v>
      </c>
      <c r="I98" s="65">
        <f>VLOOKUP(A98,'Billing Dimensions'!$A:$N,9,FALSE)-VLOOKUP(A98,'Audit Dimensions'!$A:$N,9,FALSE)</f>
        <v>0</v>
      </c>
      <c r="J98" s="61">
        <f>VLOOKUP(A98,'Billing Dimensions'!$A:$N,10,FALSE)-VLOOKUP(A98,'Audit Dimensions'!$A:$N,10,FALSE)</f>
        <v>0</v>
      </c>
      <c r="K98" s="63">
        <f>VLOOKUP(A98,'Billing Dimensions'!$A:$N,11,FALSE)-VLOOKUP(A98,'Audit Dimensions'!$A:$N,11,FALSE)</f>
        <v>0</v>
      </c>
      <c r="L98" s="63">
        <f>VLOOKUP(A98,'Billing Dimensions'!$A:$N,12,FALSE)-VLOOKUP(A98,'Audit Dimensions'!$A:$N,12,FALSE)</f>
        <v>0</v>
      </c>
      <c r="M98" s="63">
        <f>VLOOKUP(A98,'Billing Dimensions'!$A:$N,13,FALSE)-VLOOKUP(A98,'Audit Dimensions'!$A:$N,13,FALSE)</f>
        <v>0</v>
      </c>
      <c r="N98" s="140">
        <f>VLOOKUP(A98,'Billing Dimensions'!$A:$N,14,FALSE)-VLOOKUP(A98,'Audit Dimensions'!$A:$N,14,FALSE)</f>
        <v>0</v>
      </c>
      <c r="O98" s="145">
        <f>VLOOKUP('Audit VAR'!A98,'Audit Dimensions'!A:P,16,FALSE)</f>
        <v>25500</v>
      </c>
      <c r="P98" s="143">
        <f>VLOOKUP(A98,'Billing Dimensions'!A:Q,17,FALSE)-VLOOKUP('Audit VAR'!A98,'Audit Dimensions'!A:P,16,FALSE)</f>
        <v>-1050</v>
      </c>
      <c r="Q98" s="148">
        <f t="shared" si="1"/>
        <v>-4.1176470588235294E-2</v>
      </c>
    </row>
    <row r="99" spans="1:17">
      <c r="A99" s="58" t="str">
        <f>'Audit Dimensions'!A99</f>
        <v>CT-DOV</v>
      </c>
      <c r="B99" s="2" t="str">
        <f>VLOOKUP(A99,'Billing Dimensions'!A:B,2,FALSE)</f>
        <v>SB</v>
      </c>
      <c r="C99" s="59">
        <f>VLOOKUP(A99,'Billing Dimensions'!$A:$N,3,FALSE)-VLOOKUP(A99,'Audit Dimensions'!$A:$N,3,FALSE)</f>
        <v>0</v>
      </c>
      <c r="D99" s="59">
        <f>VLOOKUP(A99,'Billing Dimensions'!$A:$N,4,FALSE)-VLOOKUP(A99,'Audit Dimensions'!$A:$N,4,FALSE)</f>
        <v>0</v>
      </c>
      <c r="E99" s="59">
        <f>VLOOKUP(A99,'Billing Dimensions'!$A:$N,5,FALSE)-VLOOKUP(A99,'Audit Dimensions'!$A:$N,5,FALSE)</f>
        <v>0</v>
      </c>
      <c r="F99" s="137">
        <f>VLOOKUP(A99,'Billing Dimensions'!$A:$N,6,FALSE)-VLOOKUP(A99,'Audit Dimensions'!$A:$N,6,FALSE)</f>
        <v>-1450</v>
      </c>
      <c r="G99" s="65">
        <f>VLOOKUP(A99,'Billing Dimensions'!$A:$N,7,FALSE)-VLOOKUP(A99,'Audit Dimensions'!$A:$N,7,FALSE)</f>
        <v>0</v>
      </c>
      <c r="H99" s="65">
        <f>VLOOKUP(A99,'Billing Dimensions'!$A:$N,8,FALSE)-VLOOKUP(A99,'Audit Dimensions'!$A:$N,8,FALSE)</f>
        <v>0</v>
      </c>
      <c r="I99" s="65">
        <f>VLOOKUP(A99,'Billing Dimensions'!$A:$N,9,FALSE)-VLOOKUP(A99,'Audit Dimensions'!$A:$N,9,FALSE)</f>
        <v>0</v>
      </c>
      <c r="J99" s="61">
        <f>VLOOKUP(A99,'Billing Dimensions'!$A:$N,10,FALSE)-VLOOKUP(A99,'Audit Dimensions'!$A:$N,10,FALSE)</f>
        <v>0</v>
      </c>
      <c r="K99" s="63">
        <f>VLOOKUP(A99,'Billing Dimensions'!$A:$N,11,FALSE)-VLOOKUP(A99,'Audit Dimensions'!$A:$N,11,FALSE)</f>
        <v>0</v>
      </c>
      <c r="L99" s="63">
        <f>VLOOKUP(A99,'Billing Dimensions'!$A:$N,12,FALSE)-VLOOKUP(A99,'Audit Dimensions'!$A:$N,12,FALSE)</f>
        <v>0</v>
      </c>
      <c r="M99" s="63">
        <f>VLOOKUP(A99,'Billing Dimensions'!$A:$N,13,FALSE)-VLOOKUP(A99,'Audit Dimensions'!$A:$N,13,FALSE)</f>
        <v>0</v>
      </c>
      <c r="N99" s="140">
        <f>VLOOKUP(A99,'Billing Dimensions'!$A:$N,14,FALSE)-VLOOKUP(A99,'Audit Dimensions'!$A:$N,14,FALSE)</f>
        <v>0</v>
      </c>
      <c r="O99" s="145">
        <f>VLOOKUP('Audit VAR'!A99,'Audit Dimensions'!A:P,16,FALSE)</f>
        <v>23900</v>
      </c>
      <c r="P99" s="143">
        <f>VLOOKUP(A99,'Billing Dimensions'!A:Q,17,FALSE)-VLOOKUP('Audit VAR'!A99,'Audit Dimensions'!A:P,16,FALSE)</f>
        <v>-1450</v>
      </c>
      <c r="Q99" s="148">
        <f t="shared" si="1"/>
        <v>-6.0669456066945605E-2</v>
      </c>
    </row>
    <row r="100" spans="1:17" ht="12.4" customHeight="1">
      <c r="A100" s="58" t="str">
        <f>'Audit Dimensions'!A100</f>
        <v>TU-RYE-ST</v>
      </c>
      <c r="B100" s="2" t="str">
        <f>VLOOKUP(A100,'Billing Dimensions'!A:B,2,FALSE)</f>
        <v>SB</v>
      </c>
      <c r="C100" s="59">
        <f>VLOOKUP(A100,'Billing Dimensions'!$A:$N,3,FALSE)-VLOOKUP(A100,'Audit Dimensions'!$A:$N,3,FALSE)</f>
        <v>0</v>
      </c>
      <c r="D100" s="59">
        <f>VLOOKUP(A100,'Billing Dimensions'!$A:$N,4,FALSE)-VLOOKUP(A100,'Audit Dimensions'!$A:$N,4,FALSE)</f>
        <v>0</v>
      </c>
      <c r="E100" s="59">
        <f>VLOOKUP(A100,'Billing Dimensions'!$A:$N,5,FALSE)-VLOOKUP(A100,'Audit Dimensions'!$A:$N,5,FALSE)</f>
        <v>0</v>
      </c>
      <c r="F100" s="137">
        <f>VLOOKUP(A100,'Billing Dimensions'!$A:$N,6,FALSE)-VLOOKUP(A100,'Audit Dimensions'!$A:$N,6,FALSE)</f>
        <v>-1190</v>
      </c>
      <c r="G100" s="65">
        <f>VLOOKUP(A100,'Billing Dimensions'!$A:$N,7,FALSE)-VLOOKUP(A100,'Audit Dimensions'!$A:$N,7,FALSE)</f>
        <v>0</v>
      </c>
      <c r="H100" s="65">
        <f>VLOOKUP(A100,'Billing Dimensions'!$A:$N,8,FALSE)-VLOOKUP(A100,'Audit Dimensions'!$A:$N,8,FALSE)</f>
        <v>0</v>
      </c>
      <c r="I100" s="65">
        <f>VLOOKUP(A100,'Billing Dimensions'!$A:$N,9,FALSE)-VLOOKUP(A100,'Audit Dimensions'!$A:$N,9,FALSE)</f>
        <v>0</v>
      </c>
      <c r="J100" s="61">
        <f>VLOOKUP(A100,'Billing Dimensions'!$A:$N,10,FALSE)-VLOOKUP(A100,'Audit Dimensions'!$A:$N,10,FALSE)</f>
        <v>0</v>
      </c>
      <c r="K100" s="63">
        <f>VLOOKUP(A100,'Billing Dimensions'!$A:$N,11,FALSE)-VLOOKUP(A100,'Audit Dimensions'!$A:$N,11,FALSE)</f>
        <v>0</v>
      </c>
      <c r="L100" s="63">
        <f>VLOOKUP(A100,'Billing Dimensions'!$A:$N,12,FALSE)-VLOOKUP(A100,'Audit Dimensions'!$A:$N,12,FALSE)</f>
        <v>0</v>
      </c>
      <c r="M100" s="63">
        <f>VLOOKUP(A100,'Billing Dimensions'!$A:$N,13,FALSE)-VLOOKUP(A100,'Audit Dimensions'!$A:$N,13,FALSE)</f>
        <v>0</v>
      </c>
      <c r="N100" s="140">
        <f>VLOOKUP(A100,'Billing Dimensions'!$A:$N,14,FALSE)-VLOOKUP(A100,'Audit Dimensions'!$A:$N,14,FALSE)</f>
        <v>0</v>
      </c>
      <c r="O100" s="145">
        <f>VLOOKUP('Audit VAR'!A100,'Audit Dimensions'!A:P,16,FALSE)</f>
        <v>20990</v>
      </c>
      <c r="P100" s="143">
        <f>VLOOKUP(A100,'Billing Dimensions'!A:Q,17,FALSE)-VLOOKUP('Audit VAR'!A100,'Audit Dimensions'!A:P,16,FALSE)</f>
        <v>-1190</v>
      </c>
      <c r="Q100" s="148">
        <f t="shared" si="1"/>
        <v>-5.6693663649356837E-2</v>
      </c>
    </row>
    <row r="101" spans="1:17" ht="14.45" customHeight="1">
      <c r="A101" s="58" t="str">
        <f>'Audit Dimensions'!A101</f>
        <v>TU-PMS-LA</v>
      </c>
      <c r="B101" s="2" t="str">
        <f>VLOOKUP(A101,'Billing Dimensions'!A:B,2,FALSE)</f>
        <v>SB</v>
      </c>
      <c r="C101" s="59">
        <f>VLOOKUP(A101,'Billing Dimensions'!$A:$N,3,FALSE)-VLOOKUP(A101,'Audit Dimensions'!$A:$N,3,FALSE)</f>
        <v>0</v>
      </c>
      <c r="D101" s="59">
        <f>VLOOKUP(A101,'Billing Dimensions'!$A:$N,4,FALSE)-VLOOKUP(A101,'Audit Dimensions'!$A:$N,4,FALSE)</f>
        <v>0</v>
      </c>
      <c r="E101" s="59">
        <f>VLOOKUP(A101,'Billing Dimensions'!$A:$N,5,FALSE)-VLOOKUP(A101,'Audit Dimensions'!$A:$N,5,FALSE)</f>
        <v>0</v>
      </c>
      <c r="F101" s="137">
        <f>VLOOKUP(A101,'Billing Dimensions'!$A:$N,6,FALSE)-VLOOKUP(A101,'Audit Dimensions'!$A:$N,6,FALSE)</f>
        <v>-330</v>
      </c>
      <c r="G101" s="65">
        <f>VLOOKUP(A101,'Billing Dimensions'!$A:$N,7,FALSE)-VLOOKUP(A101,'Audit Dimensions'!$A:$N,7,FALSE)</f>
        <v>0</v>
      </c>
      <c r="H101" s="65">
        <f>VLOOKUP(A101,'Billing Dimensions'!$A:$N,8,FALSE)-VLOOKUP(A101,'Audit Dimensions'!$A:$N,8,FALSE)</f>
        <v>0</v>
      </c>
      <c r="I101" s="65">
        <f>VLOOKUP(A101,'Billing Dimensions'!$A:$N,9,FALSE)-VLOOKUP(A101,'Audit Dimensions'!$A:$N,9,FALSE)</f>
        <v>0</v>
      </c>
      <c r="J101" s="61">
        <f>VLOOKUP(A101,'Billing Dimensions'!$A:$N,10,FALSE)-VLOOKUP(A101,'Audit Dimensions'!$A:$N,10,FALSE)</f>
        <v>0</v>
      </c>
      <c r="K101" s="63">
        <f>VLOOKUP(A101,'Billing Dimensions'!$A:$N,11,FALSE)-VLOOKUP(A101,'Audit Dimensions'!$A:$N,11,FALSE)</f>
        <v>0</v>
      </c>
      <c r="L101" s="63">
        <f>VLOOKUP(A101,'Billing Dimensions'!$A:$N,12,FALSE)-VLOOKUP(A101,'Audit Dimensions'!$A:$N,12,FALSE)</f>
        <v>0</v>
      </c>
      <c r="M101" s="63">
        <f>VLOOKUP(A101,'Billing Dimensions'!$A:$N,13,FALSE)-VLOOKUP(A101,'Audit Dimensions'!$A:$N,13,FALSE)</f>
        <v>0</v>
      </c>
      <c r="N101" s="140">
        <f>VLOOKUP(A101,'Billing Dimensions'!$A:$N,14,FALSE)-VLOOKUP(A101,'Audit Dimensions'!$A:$N,14,FALSE)</f>
        <v>0</v>
      </c>
      <c r="O101" s="145">
        <f>VLOOKUP('Audit VAR'!A101,'Audit Dimensions'!A:P,16,FALSE)</f>
        <v>12130</v>
      </c>
      <c r="P101" s="143">
        <f>VLOOKUP(A101,'Billing Dimensions'!A:Q,17,FALSE)-VLOOKUP('Audit VAR'!A101,'Audit Dimensions'!A:P,16,FALSE)</f>
        <v>-330</v>
      </c>
      <c r="Q101" s="148">
        <f t="shared" si="1"/>
        <v>-2.720527617477329E-2</v>
      </c>
    </row>
    <row r="102" spans="1:17">
      <c r="A102" s="58" t="str">
        <f>'Audit Dimensions'!A102</f>
        <v>W-AND-3N</v>
      </c>
      <c r="B102" s="2" t="str">
        <f>VLOOKUP(A102,'Billing Dimensions'!A:B,2,FALSE)</f>
        <v>MB</v>
      </c>
      <c r="C102" s="59">
        <f>VLOOKUP(A102,'Billing Dimensions'!$A:$N,3,FALSE)-VLOOKUP(A102,'Audit Dimensions'!$A:$N,3,FALSE)</f>
        <v>0</v>
      </c>
      <c r="D102" s="59">
        <f>VLOOKUP(A102,'Billing Dimensions'!$A:$N,4,FALSE)-VLOOKUP(A102,'Audit Dimensions'!$A:$N,4,FALSE)</f>
        <v>0</v>
      </c>
      <c r="E102" s="59">
        <f>VLOOKUP(A102,'Billing Dimensions'!$A:$N,5,FALSE)-VLOOKUP(A102,'Audit Dimensions'!$A:$N,5,FALSE)</f>
        <v>0</v>
      </c>
      <c r="F102" s="137">
        <f>VLOOKUP(A102,'Billing Dimensions'!$A:$N,6,FALSE)-VLOOKUP(A102,'Audit Dimensions'!$A:$N,6,FALSE)</f>
        <v>-1420</v>
      </c>
      <c r="G102" s="65">
        <f>VLOOKUP(A102,'Billing Dimensions'!$A:$N,7,FALSE)-VLOOKUP(A102,'Audit Dimensions'!$A:$N,7,FALSE)</f>
        <v>0</v>
      </c>
      <c r="H102" s="65">
        <f>VLOOKUP(A102,'Billing Dimensions'!$A:$N,8,FALSE)-VLOOKUP(A102,'Audit Dimensions'!$A:$N,8,FALSE)</f>
        <v>0</v>
      </c>
      <c r="I102" s="65">
        <f>VLOOKUP(A102,'Billing Dimensions'!$A:$N,9,FALSE)-VLOOKUP(A102,'Audit Dimensions'!$A:$N,9,FALSE)</f>
        <v>0</v>
      </c>
      <c r="J102" s="61">
        <f>VLOOKUP(A102,'Billing Dimensions'!$A:$N,10,FALSE)-VLOOKUP(A102,'Audit Dimensions'!$A:$N,10,FALSE)</f>
        <v>-300</v>
      </c>
      <c r="K102" s="63">
        <f>VLOOKUP(A102,'Billing Dimensions'!$A:$N,11,FALSE)-VLOOKUP(A102,'Audit Dimensions'!$A:$N,11,FALSE)</f>
        <v>0</v>
      </c>
      <c r="L102" s="63">
        <f>VLOOKUP(A102,'Billing Dimensions'!$A:$N,12,FALSE)-VLOOKUP(A102,'Audit Dimensions'!$A:$N,12,FALSE)</f>
        <v>0</v>
      </c>
      <c r="M102" s="63">
        <f>VLOOKUP(A102,'Billing Dimensions'!$A:$N,13,FALSE)-VLOOKUP(A102,'Audit Dimensions'!$A:$N,13,FALSE)</f>
        <v>0</v>
      </c>
      <c r="N102" s="140">
        <f>VLOOKUP(A102,'Billing Dimensions'!$A:$N,14,FALSE)-VLOOKUP(A102,'Audit Dimensions'!$A:$N,14,FALSE)</f>
        <v>-3000</v>
      </c>
      <c r="O102" s="145">
        <f>VLOOKUP('Audit VAR'!A102,'Audit Dimensions'!A:P,16,FALSE)</f>
        <v>102770</v>
      </c>
      <c r="P102" s="143">
        <f>VLOOKUP(A102,'Billing Dimensions'!A:Q,17,FALSE)-VLOOKUP('Audit VAR'!A102,'Audit Dimensions'!A:P,16,FALSE)</f>
        <v>-4720</v>
      </c>
      <c r="Q102" s="148">
        <f t="shared" si="1"/>
        <v>-4.5927799941617206E-2</v>
      </c>
    </row>
    <row r="103" spans="1:17">
      <c r="A103" s="58" t="str">
        <f>'Audit Dimensions'!A103</f>
        <v>S-AI</v>
      </c>
      <c r="B103" s="2" t="str">
        <f>VLOOKUP(A103,'Billing Dimensions'!A:B,2,FALSE)</f>
        <v>SB</v>
      </c>
      <c r="C103" s="59">
        <f>VLOOKUP(A103,'Billing Dimensions'!$A:$N,3,FALSE)-VLOOKUP(A103,'Audit Dimensions'!$A:$N,3,FALSE)</f>
        <v>0</v>
      </c>
      <c r="D103" s="59">
        <f>VLOOKUP(A103,'Billing Dimensions'!$A:$N,4,FALSE)-VLOOKUP(A103,'Audit Dimensions'!$A:$N,4,FALSE)</f>
        <v>0</v>
      </c>
      <c r="E103" s="59">
        <f>VLOOKUP(A103,'Billing Dimensions'!$A:$N,5,FALSE)-VLOOKUP(A103,'Audit Dimensions'!$A:$N,5,FALSE)</f>
        <v>0</v>
      </c>
      <c r="F103" s="137">
        <f>VLOOKUP(A103,'Billing Dimensions'!$A:$N,6,FALSE)-VLOOKUP(A103,'Audit Dimensions'!$A:$N,6,FALSE)</f>
        <v>-280</v>
      </c>
      <c r="G103" s="65">
        <f>VLOOKUP(A103,'Billing Dimensions'!$A:$N,7,FALSE)-VLOOKUP(A103,'Audit Dimensions'!$A:$N,7,FALSE)</f>
        <v>0</v>
      </c>
      <c r="H103" s="65">
        <f>VLOOKUP(A103,'Billing Dimensions'!$A:$N,8,FALSE)-VLOOKUP(A103,'Audit Dimensions'!$A:$N,8,FALSE)</f>
        <v>0</v>
      </c>
      <c r="I103" s="65">
        <f>VLOOKUP(A103,'Billing Dimensions'!$A:$N,9,FALSE)-VLOOKUP(A103,'Audit Dimensions'!$A:$N,9,FALSE)</f>
        <v>0</v>
      </c>
      <c r="J103" s="61">
        <f>VLOOKUP(A103,'Billing Dimensions'!$A:$N,10,FALSE)-VLOOKUP(A103,'Audit Dimensions'!$A:$N,10,FALSE)</f>
        <v>0</v>
      </c>
      <c r="K103" s="63">
        <f>VLOOKUP(A103,'Billing Dimensions'!$A:$N,11,FALSE)-VLOOKUP(A103,'Audit Dimensions'!$A:$N,11,FALSE)</f>
        <v>0</v>
      </c>
      <c r="L103" s="63">
        <f>VLOOKUP(A103,'Billing Dimensions'!$A:$N,12,FALSE)-VLOOKUP(A103,'Audit Dimensions'!$A:$N,12,FALSE)</f>
        <v>0</v>
      </c>
      <c r="M103" s="63">
        <f>VLOOKUP(A103,'Billing Dimensions'!$A:$N,13,FALSE)-VLOOKUP(A103,'Audit Dimensions'!$A:$N,13,FALSE)</f>
        <v>0</v>
      </c>
      <c r="N103" s="140">
        <f>VLOOKUP(A103,'Billing Dimensions'!$A:$N,14,FALSE)-VLOOKUP(A103,'Audit Dimensions'!$A:$N,14,FALSE)</f>
        <v>0</v>
      </c>
      <c r="O103" s="145">
        <f>VLOOKUP('Audit VAR'!A103,'Audit Dimensions'!A:P,16,FALSE)</f>
        <v>4150</v>
      </c>
      <c r="P103" s="143">
        <f>VLOOKUP(A103,'Billing Dimensions'!A:Q,17,FALSE)-VLOOKUP('Audit VAR'!A103,'Audit Dimensions'!A:P,16,FALSE)</f>
        <v>-280</v>
      </c>
      <c r="Q103" s="148">
        <f t="shared" si="1"/>
        <v>-6.746987951807229E-2</v>
      </c>
    </row>
    <row r="104" spans="1:17" ht="14.45" customHeight="1">
      <c r="A104" s="58" t="str">
        <f>'Audit Dimensions'!A104</f>
        <v>W-CLO-5</v>
      </c>
      <c r="B104" s="2" t="str">
        <f>VLOOKUP(A104,'Billing Dimensions'!A:B,2,FALSE)</f>
        <v>SB</v>
      </c>
      <c r="C104" s="59">
        <f>VLOOKUP(A104,'Billing Dimensions'!$A:$N,3,FALSE)-VLOOKUP(A104,'Audit Dimensions'!$A:$N,3,FALSE)</f>
        <v>0</v>
      </c>
      <c r="D104" s="59">
        <f>VLOOKUP(A104,'Billing Dimensions'!$A:$N,4,FALSE)-VLOOKUP(A104,'Audit Dimensions'!$A:$N,4,FALSE)</f>
        <v>0</v>
      </c>
      <c r="E104" s="59">
        <f>VLOOKUP(A104,'Billing Dimensions'!$A:$N,5,FALSE)-VLOOKUP(A104,'Audit Dimensions'!$A:$N,5,FALSE)</f>
        <v>0</v>
      </c>
      <c r="F104" s="137">
        <f>VLOOKUP(A104,'Billing Dimensions'!$A:$N,6,FALSE)-VLOOKUP(A104,'Audit Dimensions'!$A:$N,6,FALSE)</f>
        <v>-2770</v>
      </c>
      <c r="G104" s="65">
        <f>VLOOKUP(A104,'Billing Dimensions'!$A:$N,7,FALSE)-VLOOKUP(A104,'Audit Dimensions'!$A:$N,7,FALSE)</f>
        <v>0</v>
      </c>
      <c r="H104" s="65">
        <f>VLOOKUP(A104,'Billing Dimensions'!$A:$N,8,FALSE)-VLOOKUP(A104,'Audit Dimensions'!$A:$N,8,FALSE)</f>
        <v>0</v>
      </c>
      <c r="I104" s="65">
        <f>VLOOKUP(A104,'Billing Dimensions'!$A:$N,9,FALSE)-VLOOKUP(A104,'Audit Dimensions'!$A:$N,9,FALSE)</f>
        <v>0</v>
      </c>
      <c r="J104" s="61">
        <f>VLOOKUP(A104,'Billing Dimensions'!$A:$N,10,FALSE)-VLOOKUP(A104,'Audit Dimensions'!$A:$N,10,FALSE)</f>
        <v>0</v>
      </c>
      <c r="K104" s="63">
        <f>VLOOKUP(A104,'Billing Dimensions'!$A:$N,11,FALSE)-VLOOKUP(A104,'Audit Dimensions'!$A:$N,11,FALSE)</f>
        <v>0</v>
      </c>
      <c r="L104" s="63">
        <f>VLOOKUP(A104,'Billing Dimensions'!$A:$N,12,FALSE)-VLOOKUP(A104,'Audit Dimensions'!$A:$N,12,FALSE)</f>
        <v>0</v>
      </c>
      <c r="M104" s="63">
        <f>VLOOKUP(A104,'Billing Dimensions'!$A:$N,13,FALSE)-VLOOKUP(A104,'Audit Dimensions'!$A:$N,13,FALSE)</f>
        <v>0</v>
      </c>
      <c r="N104" s="140">
        <f>VLOOKUP(A104,'Billing Dimensions'!$A:$N,14,FALSE)-VLOOKUP(A104,'Audit Dimensions'!$A:$N,14,FALSE)</f>
        <v>0</v>
      </c>
      <c r="O104" s="145">
        <f>VLOOKUP('Audit VAR'!A104,'Audit Dimensions'!A:P,16,FALSE)</f>
        <v>32270</v>
      </c>
      <c r="P104" s="143">
        <f>VLOOKUP(A104,'Billing Dimensions'!A:Q,17,FALSE)-VLOOKUP('Audit VAR'!A104,'Audit Dimensions'!A:P,16,FALSE)</f>
        <v>-2770</v>
      </c>
      <c r="Q104" s="148">
        <f t="shared" si="1"/>
        <v>-8.5838239851255035E-2</v>
      </c>
    </row>
    <row r="105" spans="1:17">
      <c r="A105" s="58" t="str">
        <f>'Audit Dimensions'!A105</f>
        <v>B-RVB-KN</v>
      </c>
      <c r="B105" s="2" t="str">
        <f>VLOOKUP(A105,'Billing Dimensions'!A:B,2,FALSE)</f>
        <v>MB</v>
      </c>
      <c r="C105" s="59">
        <f>VLOOKUP(A105,'Billing Dimensions'!$A:$N,3,FALSE)-VLOOKUP(A105,'Audit Dimensions'!$A:$N,3,FALSE)</f>
        <v>0</v>
      </c>
      <c r="D105" s="59">
        <f>VLOOKUP(A105,'Billing Dimensions'!$A:$N,4,FALSE)-VLOOKUP(A105,'Audit Dimensions'!$A:$N,4,FALSE)</f>
        <v>0</v>
      </c>
      <c r="E105" s="59">
        <f>VLOOKUP(A105,'Billing Dimensions'!$A:$N,5,FALSE)-VLOOKUP(A105,'Audit Dimensions'!$A:$N,5,FALSE)</f>
        <v>0</v>
      </c>
      <c r="F105" s="137">
        <f>VLOOKUP(A105,'Billing Dimensions'!$A:$N,6,FALSE)-VLOOKUP(A105,'Audit Dimensions'!$A:$N,6,FALSE)</f>
        <v>-1800</v>
      </c>
      <c r="G105" s="65">
        <f>VLOOKUP(A105,'Billing Dimensions'!$A:$N,7,FALSE)-VLOOKUP(A105,'Audit Dimensions'!$A:$N,7,FALSE)</f>
        <v>0</v>
      </c>
      <c r="H105" s="65">
        <f>VLOOKUP(A105,'Billing Dimensions'!$A:$N,8,FALSE)-VLOOKUP(A105,'Audit Dimensions'!$A:$N,8,FALSE)</f>
        <v>0</v>
      </c>
      <c r="I105" s="65">
        <f>VLOOKUP(A105,'Billing Dimensions'!$A:$N,9,FALSE)-VLOOKUP(A105,'Audit Dimensions'!$A:$N,9,FALSE)</f>
        <v>0</v>
      </c>
      <c r="J105" s="61">
        <f>VLOOKUP(A105,'Billing Dimensions'!$A:$N,10,FALSE)-VLOOKUP(A105,'Audit Dimensions'!$A:$N,10,FALSE)</f>
        <v>-2200</v>
      </c>
      <c r="K105" s="63">
        <f>VLOOKUP(A105,'Billing Dimensions'!$A:$N,11,FALSE)-VLOOKUP(A105,'Audit Dimensions'!$A:$N,11,FALSE)</f>
        <v>0</v>
      </c>
      <c r="L105" s="63">
        <f>VLOOKUP(A105,'Billing Dimensions'!$A:$N,12,FALSE)-VLOOKUP(A105,'Audit Dimensions'!$A:$N,12,FALSE)</f>
        <v>0</v>
      </c>
      <c r="M105" s="63">
        <f>VLOOKUP(A105,'Billing Dimensions'!$A:$N,13,FALSE)-VLOOKUP(A105,'Audit Dimensions'!$A:$N,13,FALSE)</f>
        <v>0</v>
      </c>
      <c r="N105" s="140">
        <f>VLOOKUP(A105,'Billing Dimensions'!$A:$N,14,FALSE)-VLOOKUP(A105,'Audit Dimensions'!$A:$N,14,FALSE)</f>
        <v>0</v>
      </c>
      <c r="O105" s="145">
        <f>VLOOKUP('Audit VAR'!A105,'Audit Dimensions'!A:P,16,FALSE)</f>
        <v>76300</v>
      </c>
      <c r="P105" s="143">
        <f>VLOOKUP(A105,'Billing Dimensions'!A:Q,17,FALSE)-VLOOKUP('Audit VAR'!A105,'Audit Dimensions'!A:P,16,FALSE)</f>
        <v>-4000</v>
      </c>
      <c r="Q105" s="148">
        <f t="shared" si="1"/>
        <v>-5.242463958060288E-2</v>
      </c>
    </row>
    <row r="106" spans="1:17" ht="14.45" customHeight="1">
      <c r="A106" s="58" t="str">
        <f>'Audit Dimensions'!A106</f>
        <v>SB-PH</v>
      </c>
      <c r="B106" s="2" t="str">
        <f>VLOOKUP(A106,'Billing Dimensions'!A:B,2,FALSE)</f>
        <v>SB</v>
      </c>
      <c r="C106" s="59">
        <f>VLOOKUP(A106,'Billing Dimensions'!$A:$N,3,FALSE)-VLOOKUP(A106,'Audit Dimensions'!$A:$N,3,FALSE)</f>
        <v>0</v>
      </c>
      <c r="D106" s="59">
        <f>VLOOKUP(A106,'Billing Dimensions'!$A:$N,4,FALSE)-VLOOKUP(A106,'Audit Dimensions'!$A:$N,4,FALSE)</f>
        <v>0</v>
      </c>
      <c r="E106" s="59">
        <f>VLOOKUP(A106,'Billing Dimensions'!$A:$N,5,FALSE)-VLOOKUP(A106,'Audit Dimensions'!$A:$N,5,FALSE)</f>
        <v>0</v>
      </c>
      <c r="F106" s="137">
        <f>VLOOKUP(A106,'Billing Dimensions'!$A:$N,6,FALSE)-VLOOKUP(A106,'Audit Dimensions'!$A:$N,6,FALSE)</f>
        <v>-400</v>
      </c>
      <c r="G106" s="65">
        <f>VLOOKUP(A106,'Billing Dimensions'!$A:$N,7,FALSE)-VLOOKUP(A106,'Audit Dimensions'!$A:$N,7,FALSE)</f>
        <v>0</v>
      </c>
      <c r="H106" s="65">
        <f>VLOOKUP(A106,'Billing Dimensions'!$A:$N,8,FALSE)-VLOOKUP(A106,'Audit Dimensions'!$A:$N,8,FALSE)</f>
        <v>0</v>
      </c>
      <c r="I106" s="65">
        <f>VLOOKUP(A106,'Billing Dimensions'!$A:$N,9,FALSE)-VLOOKUP(A106,'Audit Dimensions'!$A:$N,9,FALSE)</f>
        <v>0</v>
      </c>
      <c r="J106" s="61">
        <f>VLOOKUP(A106,'Billing Dimensions'!$A:$N,10,FALSE)-VLOOKUP(A106,'Audit Dimensions'!$A:$N,10,FALSE)</f>
        <v>0</v>
      </c>
      <c r="K106" s="63">
        <f>VLOOKUP(A106,'Billing Dimensions'!$A:$N,11,FALSE)-VLOOKUP(A106,'Audit Dimensions'!$A:$N,11,FALSE)</f>
        <v>0</v>
      </c>
      <c r="L106" s="63">
        <f>VLOOKUP(A106,'Billing Dimensions'!$A:$N,12,FALSE)-VLOOKUP(A106,'Audit Dimensions'!$A:$N,12,FALSE)</f>
        <v>0</v>
      </c>
      <c r="M106" s="63">
        <f>VLOOKUP(A106,'Billing Dimensions'!$A:$N,13,FALSE)-VLOOKUP(A106,'Audit Dimensions'!$A:$N,13,FALSE)</f>
        <v>0</v>
      </c>
      <c r="N106" s="140">
        <f>VLOOKUP(A106,'Billing Dimensions'!$A:$N,14,FALSE)-VLOOKUP(A106,'Audit Dimensions'!$A:$N,14,FALSE)</f>
        <v>0</v>
      </c>
      <c r="O106" s="145">
        <f>VLOOKUP('Audit VAR'!A106,'Audit Dimensions'!A:P,16,FALSE)</f>
        <v>2300</v>
      </c>
      <c r="P106" s="143">
        <f>VLOOKUP(A106,'Billing Dimensions'!A:Q,17,FALSE)-VLOOKUP('Audit VAR'!A106,'Audit Dimensions'!A:P,16,FALSE)</f>
        <v>-400</v>
      </c>
      <c r="Q106" s="148">
        <f t="shared" si="1"/>
        <v>-0.17391304347826086</v>
      </c>
    </row>
    <row r="107" spans="1:17" ht="14.45" customHeight="1">
      <c r="A107" s="58" t="str">
        <f>'Audit Dimensions'!A107</f>
        <v>SR-CLE</v>
      </c>
      <c r="B107" s="2" t="str">
        <f>VLOOKUP(A107,'Billing Dimensions'!A:B,2,FALSE)</f>
        <v>SB</v>
      </c>
      <c r="C107" s="59">
        <f>VLOOKUP(A107,'Billing Dimensions'!$A:$N,3,FALSE)-VLOOKUP(A107,'Audit Dimensions'!$A:$N,3,FALSE)</f>
        <v>0</v>
      </c>
      <c r="D107" s="59">
        <f>VLOOKUP(A107,'Billing Dimensions'!$A:$N,4,FALSE)-VLOOKUP(A107,'Audit Dimensions'!$A:$N,4,FALSE)</f>
        <v>0</v>
      </c>
      <c r="E107" s="59">
        <f>VLOOKUP(A107,'Billing Dimensions'!$A:$N,5,FALSE)-VLOOKUP(A107,'Audit Dimensions'!$A:$N,5,FALSE)</f>
        <v>0</v>
      </c>
      <c r="F107" s="137">
        <f>VLOOKUP(A107,'Billing Dimensions'!$A:$N,6,FALSE)-VLOOKUP(A107,'Audit Dimensions'!$A:$N,6,FALSE)</f>
        <v>-1550</v>
      </c>
      <c r="G107" s="65">
        <f>VLOOKUP(A107,'Billing Dimensions'!$A:$N,7,FALSE)-VLOOKUP(A107,'Audit Dimensions'!$A:$N,7,FALSE)</f>
        <v>0</v>
      </c>
      <c r="H107" s="65">
        <f>VLOOKUP(A107,'Billing Dimensions'!$A:$N,8,FALSE)-VLOOKUP(A107,'Audit Dimensions'!$A:$N,8,FALSE)</f>
        <v>0</v>
      </c>
      <c r="I107" s="65">
        <f>VLOOKUP(A107,'Billing Dimensions'!$A:$N,9,FALSE)-VLOOKUP(A107,'Audit Dimensions'!$A:$N,9,FALSE)</f>
        <v>0</v>
      </c>
      <c r="J107" s="61">
        <f>VLOOKUP(A107,'Billing Dimensions'!$A:$N,10,FALSE)-VLOOKUP(A107,'Audit Dimensions'!$A:$N,10,FALSE)</f>
        <v>0</v>
      </c>
      <c r="K107" s="63">
        <f>VLOOKUP(A107,'Billing Dimensions'!$A:$N,11,FALSE)-VLOOKUP(A107,'Audit Dimensions'!$A:$N,11,FALSE)</f>
        <v>0</v>
      </c>
      <c r="L107" s="63">
        <f>VLOOKUP(A107,'Billing Dimensions'!$A:$N,12,FALSE)-VLOOKUP(A107,'Audit Dimensions'!$A:$N,12,FALSE)</f>
        <v>0</v>
      </c>
      <c r="M107" s="63">
        <f>VLOOKUP(A107,'Billing Dimensions'!$A:$N,13,FALSE)-VLOOKUP(A107,'Audit Dimensions'!$A:$N,13,FALSE)</f>
        <v>0</v>
      </c>
      <c r="N107" s="140">
        <f>VLOOKUP(A107,'Billing Dimensions'!$A:$N,14,FALSE)-VLOOKUP(A107,'Audit Dimensions'!$A:$N,14,FALSE)</f>
        <v>0</v>
      </c>
      <c r="O107" s="145">
        <f>VLOOKUP('Audit VAR'!A107,'Audit Dimensions'!A:P,16,FALSE)</f>
        <v>21300</v>
      </c>
      <c r="P107" s="143">
        <f>VLOOKUP(A107,'Billing Dimensions'!A:Q,17,FALSE)-VLOOKUP('Audit VAR'!A107,'Audit Dimensions'!A:P,16,FALSE)</f>
        <v>-1550</v>
      </c>
      <c r="Q107" s="148">
        <f t="shared" si="1"/>
        <v>-7.2769953051643188E-2</v>
      </c>
    </row>
    <row r="108" spans="1:17" ht="14.45" customHeight="1">
      <c r="A108" s="58" t="str">
        <f>'Audit Dimensions'!A108</f>
        <v>S-CRF</v>
      </c>
      <c r="B108" s="2" t="str">
        <f>VLOOKUP(A108,'Billing Dimensions'!A:B,2,FALSE)</f>
        <v>SB</v>
      </c>
      <c r="C108" s="59">
        <f>VLOOKUP(A108,'Billing Dimensions'!$A:$N,3,FALSE)-VLOOKUP(A108,'Audit Dimensions'!$A:$N,3,FALSE)</f>
        <v>0</v>
      </c>
      <c r="D108" s="59">
        <f>VLOOKUP(A108,'Billing Dimensions'!$A:$N,4,FALSE)-VLOOKUP(A108,'Audit Dimensions'!$A:$N,4,FALSE)</f>
        <v>0</v>
      </c>
      <c r="E108" s="59">
        <f>VLOOKUP(A108,'Billing Dimensions'!$A:$N,5,FALSE)-VLOOKUP(A108,'Audit Dimensions'!$A:$N,5,FALSE)</f>
        <v>0</v>
      </c>
      <c r="F108" s="137">
        <f>VLOOKUP(A108,'Billing Dimensions'!$A:$N,6,FALSE)-VLOOKUP(A108,'Audit Dimensions'!$A:$N,6,FALSE)</f>
        <v>-620</v>
      </c>
      <c r="G108" s="65">
        <f>VLOOKUP(A108,'Billing Dimensions'!$A:$N,7,FALSE)-VLOOKUP(A108,'Audit Dimensions'!$A:$N,7,FALSE)</f>
        <v>0</v>
      </c>
      <c r="H108" s="65">
        <f>VLOOKUP(A108,'Billing Dimensions'!$A:$N,8,FALSE)-VLOOKUP(A108,'Audit Dimensions'!$A:$N,8,FALSE)</f>
        <v>0</v>
      </c>
      <c r="I108" s="65">
        <f>VLOOKUP(A108,'Billing Dimensions'!$A:$N,9,FALSE)-VLOOKUP(A108,'Audit Dimensions'!$A:$N,9,FALSE)</f>
        <v>0</v>
      </c>
      <c r="J108" s="61">
        <f>VLOOKUP(A108,'Billing Dimensions'!$A:$N,10,FALSE)-VLOOKUP(A108,'Audit Dimensions'!$A:$N,10,FALSE)</f>
        <v>0</v>
      </c>
      <c r="K108" s="63">
        <f>VLOOKUP(A108,'Billing Dimensions'!$A:$N,11,FALSE)-VLOOKUP(A108,'Audit Dimensions'!$A:$N,11,FALSE)</f>
        <v>0</v>
      </c>
      <c r="L108" s="63">
        <f>VLOOKUP(A108,'Billing Dimensions'!$A:$N,12,FALSE)-VLOOKUP(A108,'Audit Dimensions'!$A:$N,12,FALSE)</f>
        <v>0</v>
      </c>
      <c r="M108" s="63">
        <f>VLOOKUP(A108,'Billing Dimensions'!$A:$N,13,FALSE)-VLOOKUP(A108,'Audit Dimensions'!$A:$N,13,FALSE)</f>
        <v>0</v>
      </c>
      <c r="N108" s="140">
        <f>VLOOKUP(A108,'Billing Dimensions'!$A:$N,14,FALSE)-VLOOKUP(A108,'Audit Dimensions'!$A:$N,14,FALSE)</f>
        <v>0</v>
      </c>
      <c r="O108" s="145">
        <f>VLOOKUP('Audit VAR'!A108,'Audit Dimensions'!A:P,16,FALSE)</f>
        <v>9520</v>
      </c>
      <c r="P108" s="143">
        <f>VLOOKUP(A108,'Billing Dimensions'!A:Q,17,FALSE)-VLOOKUP('Audit VAR'!A108,'Audit Dimensions'!A:P,16,FALSE)</f>
        <v>-620</v>
      </c>
      <c r="Q108" s="148">
        <f t="shared" si="1"/>
        <v>-6.5126050420168072E-2</v>
      </c>
    </row>
    <row r="109" spans="1:17" ht="14.45" customHeight="1">
      <c r="A109" s="58" t="str">
        <f>'Audit Dimensions'!A109</f>
        <v>ST-CBN-P</v>
      </c>
      <c r="B109" s="2" t="str">
        <f>VLOOKUP(A109,'Billing Dimensions'!A:B,2,FALSE)</f>
        <v>SB</v>
      </c>
      <c r="C109" s="59">
        <f>VLOOKUP(A109,'Billing Dimensions'!$A:$N,3,FALSE)-VLOOKUP(A109,'Audit Dimensions'!$A:$N,3,FALSE)</f>
        <v>0</v>
      </c>
      <c r="D109" s="59">
        <f>VLOOKUP(A109,'Billing Dimensions'!$A:$N,4,FALSE)-VLOOKUP(A109,'Audit Dimensions'!$A:$N,4,FALSE)</f>
        <v>0</v>
      </c>
      <c r="E109" s="59">
        <f>VLOOKUP(A109,'Billing Dimensions'!$A:$N,5,FALSE)-VLOOKUP(A109,'Audit Dimensions'!$A:$N,5,FALSE)</f>
        <v>0</v>
      </c>
      <c r="F109" s="137">
        <f>VLOOKUP(A109,'Billing Dimensions'!$A:$N,6,FALSE)-VLOOKUP(A109,'Audit Dimensions'!$A:$N,6,FALSE)</f>
        <v>-710</v>
      </c>
      <c r="G109" s="65">
        <f>VLOOKUP(A109,'Billing Dimensions'!$A:$N,7,FALSE)-VLOOKUP(A109,'Audit Dimensions'!$A:$N,7,FALSE)</f>
        <v>0</v>
      </c>
      <c r="H109" s="65">
        <f>VLOOKUP(A109,'Billing Dimensions'!$A:$N,8,FALSE)-VLOOKUP(A109,'Audit Dimensions'!$A:$N,8,FALSE)</f>
        <v>0</v>
      </c>
      <c r="I109" s="65">
        <f>VLOOKUP(A109,'Billing Dimensions'!$A:$N,9,FALSE)-VLOOKUP(A109,'Audit Dimensions'!$A:$N,9,FALSE)</f>
        <v>0</v>
      </c>
      <c r="J109" s="61">
        <f>VLOOKUP(A109,'Billing Dimensions'!$A:$N,10,FALSE)-VLOOKUP(A109,'Audit Dimensions'!$A:$N,10,FALSE)</f>
        <v>0</v>
      </c>
      <c r="K109" s="63">
        <f>VLOOKUP(A109,'Billing Dimensions'!$A:$N,11,FALSE)-VLOOKUP(A109,'Audit Dimensions'!$A:$N,11,FALSE)</f>
        <v>0</v>
      </c>
      <c r="L109" s="63">
        <f>VLOOKUP(A109,'Billing Dimensions'!$A:$N,12,FALSE)-VLOOKUP(A109,'Audit Dimensions'!$A:$N,12,FALSE)</f>
        <v>0</v>
      </c>
      <c r="M109" s="63">
        <f>VLOOKUP(A109,'Billing Dimensions'!$A:$N,13,FALSE)-VLOOKUP(A109,'Audit Dimensions'!$A:$N,13,FALSE)</f>
        <v>0</v>
      </c>
      <c r="N109" s="140">
        <f>VLOOKUP(A109,'Billing Dimensions'!$A:$N,14,FALSE)-VLOOKUP(A109,'Audit Dimensions'!$A:$N,14,FALSE)</f>
        <v>0</v>
      </c>
      <c r="O109" s="145">
        <f>VLOOKUP('Audit VAR'!A109,'Audit Dimensions'!A:P,16,FALSE)</f>
        <v>16510</v>
      </c>
      <c r="P109" s="143">
        <f>VLOOKUP(A109,'Billing Dimensions'!A:Q,17,FALSE)-VLOOKUP('Audit VAR'!A109,'Audit Dimensions'!A:P,16,FALSE)</f>
        <v>-710</v>
      </c>
      <c r="Q109" s="148">
        <f t="shared" si="1"/>
        <v>-4.3004239854633558E-2</v>
      </c>
    </row>
    <row r="110" spans="1:17" ht="14.45" customHeight="1">
      <c r="A110" s="58" t="str">
        <f>'Audit Dimensions'!A110</f>
        <v>BT-CO</v>
      </c>
      <c r="B110" s="2" t="str">
        <f>VLOOKUP(A110,'Billing Dimensions'!A:B,2,FALSE)</f>
        <v>SB</v>
      </c>
      <c r="C110" s="59">
        <f>VLOOKUP(A110,'Billing Dimensions'!$A:$N,3,FALSE)-VLOOKUP(A110,'Audit Dimensions'!$A:$N,3,FALSE)</f>
        <v>0</v>
      </c>
      <c r="D110" s="59">
        <f>VLOOKUP(A110,'Billing Dimensions'!$A:$N,4,FALSE)-VLOOKUP(A110,'Audit Dimensions'!$A:$N,4,FALSE)</f>
        <v>0</v>
      </c>
      <c r="E110" s="59">
        <f>VLOOKUP(A110,'Billing Dimensions'!$A:$N,5,FALSE)-VLOOKUP(A110,'Audit Dimensions'!$A:$N,5,FALSE)</f>
        <v>0</v>
      </c>
      <c r="F110" s="137">
        <f>VLOOKUP(A110,'Billing Dimensions'!$A:$N,6,FALSE)-VLOOKUP(A110,'Audit Dimensions'!$A:$N,6,FALSE)</f>
        <v>-200</v>
      </c>
      <c r="G110" s="65">
        <f>VLOOKUP(A110,'Billing Dimensions'!$A:$N,7,FALSE)-VLOOKUP(A110,'Audit Dimensions'!$A:$N,7,FALSE)</f>
        <v>0</v>
      </c>
      <c r="H110" s="65">
        <f>VLOOKUP(A110,'Billing Dimensions'!$A:$N,8,FALSE)-VLOOKUP(A110,'Audit Dimensions'!$A:$N,8,FALSE)</f>
        <v>0</v>
      </c>
      <c r="I110" s="65">
        <f>VLOOKUP(A110,'Billing Dimensions'!$A:$N,9,FALSE)-VLOOKUP(A110,'Audit Dimensions'!$A:$N,9,FALSE)</f>
        <v>0</v>
      </c>
      <c r="J110" s="61">
        <f>VLOOKUP(A110,'Billing Dimensions'!$A:$N,10,FALSE)-VLOOKUP(A110,'Audit Dimensions'!$A:$N,10,FALSE)</f>
        <v>0</v>
      </c>
      <c r="K110" s="63">
        <f>VLOOKUP(A110,'Billing Dimensions'!$A:$N,11,FALSE)-VLOOKUP(A110,'Audit Dimensions'!$A:$N,11,FALSE)</f>
        <v>0</v>
      </c>
      <c r="L110" s="63">
        <f>VLOOKUP(A110,'Billing Dimensions'!$A:$N,12,FALSE)-VLOOKUP(A110,'Audit Dimensions'!$A:$N,12,FALSE)</f>
        <v>0</v>
      </c>
      <c r="M110" s="63">
        <f>VLOOKUP(A110,'Billing Dimensions'!$A:$N,13,FALSE)-VLOOKUP(A110,'Audit Dimensions'!$A:$N,13,FALSE)</f>
        <v>0</v>
      </c>
      <c r="N110" s="140">
        <f>VLOOKUP(A110,'Billing Dimensions'!$A:$N,14,FALSE)-VLOOKUP(A110,'Audit Dimensions'!$A:$N,14,FALSE)</f>
        <v>0</v>
      </c>
      <c r="O110" s="145">
        <f>VLOOKUP('Audit VAR'!A110,'Audit Dimensions'!A:P,16,FALSE)</f>
        <v>7000</v>
      </c>
      <c r="P110" s="143">
        <f>VLOOKUP(A110,'Billing Dimensions'!A:Q,17,FALSE)-VLOOKUP('Audit VAR'!A110,'Audit Dimensions'!A:P,16,FALSE)</f>
        <v>-200</v>
      </c>
      <c r="Q110" s="148">
        <f t="shared" si="1"/>
        <v>-2.8571428571428571E-2</v>
      </c>
    </row>
    <row r="111" spans="1:17" ht="14.45" customHeight="1">
      <c r="A111" s="58" t="str">
        <f>'Audit Dimensions'!A111</f>
        <v>SB-AXA-51</v>
      </c>
      <c r="B111" s="2" t="str">
        <f>VLOOKUP(A111,'Billing Dimensions'!A:B,2,FALSE)</f>
        <v>SB</v>
      </c>
      <c r="C111" s="59">
        <f>VLOOKUP(A111,'Billing Dimensions'!$A:$N,3,FALSE)-VLOOKUP(A111,'Audit Dimensions'!$A:$N,3,FALSE)</f>
        <v>0</v>
      </c>
      <c r="D111" s="59">
        <f>VLOOKUP(A111,'Billing Dimensions'!$A:$N,4,FALSE)-VLOOKUP(A111,'Audit Dimensions'!$A:$N,4,FALSE)</f>
        <v>0</v>
      </c>
      <c r="E111" s="59">
        <f>VLOOKUP(A111,'Billing Dimensions'!$A:$N,5,FALSE)-VLOOKUP(A111,'Audit Dimensions'!$A:$N,5,FALSE)</f>
        <v>0</v>
      </c>
      <c r="F111" s="137">
        <f>VLOOKUP(A111,'Billing Dimensions'!$A:$N,6,FALSE)-VLOOKUP(A111,'Audit Dimensions'!$A:$N,6,FALSE)</f>
        <v>-1200</v>
      </c>
      <c r="G111" s="65">
        <f>VLOOKUP(A111,'Billing Dimensions'!$A:$N,7,FALSE)-VLOOKUP(A111,'Audit Dimensions'!$A:$N,7,FALSE)</f>
        <v>0</v>
      </c>
      <c r="H111" s="65">
        <f>VLOOKUP(A111,'Billing Dimensions'!$A:$N,8,FALSE)-VLOOKUP(A111,'Audit Dimensions'!$A:$N,8,FALSE)</f>
        <v>0</v>
      </c>
      <c r="I111" s="65">
        <f>VLOOKUP(A111,'Billing Dimensions'!$A:$N,9,FALSE)-VLOOKUP(A111,'Audit Dimensions'!$A:$N,9,FALSE)</f>
        <v>0</v>
      </c>
      <c r="J111" s="61">
        <f>VLOOKUP(A111,'Billing Dimensions'!$A:$N,10,FALSE)-VLOOKUP(A111,'Audit Dimensions'!$A:$N,10,FALSE)</f>
        <v>0</v>
      </c>
      <c r="K111" s="63">
        <f>VLOOKUP(A111,'Billing Dimensions'!$A:$N,11,FALSE)-VLOOKUP(A111,'Audit Dimensions'!$A:$N,11,FALSE)</f>
        <v>0</v>
      </c>
      <c r="L111" s="63">
        <f>VLOOKUP(A111,'Billing Dimensions'!$A:$N,12,FALSE)-VLOOKUP(A111,'Audit Dimensions'!$A:$N,12,FALSE)</f>
        <v>0</v>
      </c>
      <c r="M111" s="63">
        <f>VLOOKUP(A111,'Billing Dimensions'!$A:$N,13,FALSE)-VLOOKUP(A111,'Audit Dimensions'!$A:$N,13,FALSE)</f>
        <v>0</v>
      </c>
      <c r="N111" s="140">
        <f>VLOOKUP(A111,'Billing Dimensions'!$A:$N,14,FALSE)-VLOOKUP(A111,'Audit Dimensions'!$A:$N,14,FALSE)</f>
        <v>0</v>
      </c>
      <c r="O111" s="145">
        <f>VLOOKUP('Audit VAR'!A111,'Audit Dimensions'!A:P,16,FALSE)</f>
        <v>21700</v>
      </c>
      <c r="P111" s="143">
        <f>VLOOKUP(A111,'Billing Dimensions'!A:Q,17,FALSE)-VLOOKUP('Audit VAR'!A111,'Audit Dimensions'!A:P,16,FALSE)</f>
        <v>-1200</v>
      </c>
      <c r="Q111" s="148">
        <f t="shared" si="1"/>
        <v>-5.5299539170506916E-2</v>
      </c>
    </row>
    <row r="112" spans="1:17" ht="14.45" customHeight="1">
      <c r="A112" s="58" t="str">
        <f>'Audit Dimensions'!A112</f>
        <v>KH-SUT-21</v>
      </c>
      <c r="B112" s="2" t="str">
        <f>VLOOKUP(A112,'Billing Dimensions'!A:B,2,FALSE)</f>
        <v>SB</v>
      </c>
      <c r="C112" s="59">
        <f>VLOOKUP(A112,'Billing Dimensions'!$A:$N,3,FALSE)-VLOOKUP(A112,'Audit Dimensions'!$A:$N,3,FALSE)</f>
        <v>-3</v>
      </c>
      <c r="D112" s="59">
        <f>VLOOKUP(A112,'Billing Dimensions'!$A:$N,4,FALSE)-VLOOKUP(A112,'Audit Dimensions'!$A:$N,4,FALSE)</f>
        <v>-2</v>
      </c>
      <c r="E112" s="59">
        <f>VLOOKUP(A112,'Billing Dimensions'!$A:$N,5,FALSE)-VLOOKUP(A112,'Audit Dimensions'!$A:$N,5,FALSE)</f>
        <v>-2</v>
      </c>
      <c r="F112" s="137">
        <f>VLOOKUP(A112,'Billing Dimensions'!$A:$N,6,FALSE)-VLOOKUP(A112,'Audit Dimensions'!$A:$N,6,FALSE)</f>
        <v>0</v>
      </c>
      <c r="G112" s="65">
        <f>VLOOKUP(A112,'Billing Dimensions'!$A:$N,7,FALSE)-VLOOKUP(A112,'Audit Dimensions'!$A:$N,7,FALSE)</f>
        <v>0</v>
      </c>
      <c r="H112" s="65">
        <f>VLOOKUP(A112,'Billing Dimensions'!$A:$N,8,FALSE)-VLOOKUP(A112,'Audit Dimensions'!$A:$N,8,FALSE)</f>
        <v>0</v>
      </c>
      <c r="I112" s="65">
        <f>VLOOKUP(A112,'Billing Dimensions'!$A:$N,9,FALSE)-VLOOKUP(A112,'Audit Dimensions'!$A:$N,9,FALSE)</f>
        <v>0</v>
      </c>
      <c r="J112" s="61">
        <f>VLOOKUP(A112,'Billing Dimensions'!$A:$N,10,FALSE)-VLOOKUP(A112,'Audit Dimensions'!$A:$N,10,FALSE)</f>
        <v>0</v>
      </c>
      <c r="K112" s="63">
        <f>VLOOKUP(A112,'Billing Dimensions'!$A:$N,11,FALSE)-VLOOKUP(A112,'Audit Dimensions'!$A:$N,11,FALSE)</f>
        <v>0</v>
      </c>
      <c r="L112" s="63">
        <f>VLOOKUP(A112,'Billing Dimensions'!$A:$N,12,FALSE)-VLOOKUP(A112,'Audit Dimensions'!$A:$N,12,FALSE)</f>
        <v>0</v>
      </c>
      <c r="M112" s="63">
        <f>VLOOKUP(A112,'Billing Dimensions'!$A:$N,13,FALSE)-VLOOKUP(A112,'Audit Dimensions'!$A:$N,13,FALSE)</f>
        <v>0</v>
      </c>
      <c r="N112" s="140">
        <f>VLOOKUP(A112,'Billing Dimensions'!$A:$N,14,FALSE)-VLOOKUP(A112,'Audit Dimensions'!$A:$N,14,FALSE)</f>
        <v>0</v>
      </c>
      <c r="O112" s="145">
        <f>VLOOKUP('Audit VAR'!A112,'Audit Dimensions'!A:P,16,FALSE)</f>
        <v>750</v>
      </c>
      <c r="P112" s="143">
        <f>VLOOKUP(A112,'Billing Dimensions'!A:Q,17,FALSE)-VLOOKUP('Audit VAR'!A112,'Audit Dimensions'!A:P,16,FALSE)</f>
        <v>0</v>
      </c>
      <c r="Q112" s="148">
        <f t="shared" si="1"/>
        <v>0</v>
      </c>
    </row>
    <row r="113" spans="1:17">
      <c r="A113" s="58" t="str">
        <f>'Audit Dimensions'!A113</f>
        <v>W-AND-4M</v>
      </c>
      <c r="B113" s="2" t="str">
        <f>VLOOKUP(A113,'Billing Dimensions'!A:B,2,FALSE)</f>
        <v>MB</v>
      </c>
      <c r="C113" s="59">
        <f>VLOOKUP(A113,'Billing Dimensions'!$A:$N,3,FALSE)-VLOOKUP(A113,'Audit Dimensions'!$A:$N,3,FALSE)</f>
        <v>0</v>
      </c>
      <c r="D113" s="59">
        <f>VLOOKUP(A113,'Billing Dimensions'!$A:$N,4,FALSE)-VLOOKUP(A113,'Audit Dimensions'!$A:$N,4,FALSE)</f>
        <v>0</v>
      </c>
      <c r="E113" s="59">
        <f>VLOOKUP(A113,'Billing Dimensions'!$A:$N,5,FALSE)-VLOOKUP(A113,'Audit Dimensions'!$A:$N,5,FALSE)</f>
        <v>0</v>
      </c>
      <c r="F113" s="137">
        <f>VLOOKUP(A113,'Billing Dimensions'!$A:$N,6,FALSE)-VLOOKUP(A113,'Audit Dimensions'!$A:$N,6,FALSE)</f>
        <v>-2210</v>
      </c>
      <c r="G113" s="65">
        <f>VLOOKUP(A113,'Billing Dimensions'!$A:$N,7,FALSE)-VLOOKUP(A113,'Audit Dimensions'!$A:$N,7,FALSE)</f>
        <v>0</v>
      </c>
      <c r="H113" s="65">
        <f>VLOOKUP(A113,'Billing Dimensions'!$A:$N,8,FALSE)-VLOOKUP(A113,'Audit Dimensions'!$A:$N,8,FALSE)</f>
        <v>0</v>
      </c>
      <c r="I113" s="65">
        <f>VLOOKUP(A113,'Billing Dimensions'!$A:$N,9,FALSE)-VLOOKUP(A113,'Audit Dimensions'!$A:$N,9,FALSE)</f>
        <v>0</v>
      </c>
      <c r="J113" s="61">
        <f>VLOOKUP(A113,'Billing Dimensions'!$A:$N,10,FALSE)-VLOOKUP(A113,'Audit Dimensions'!$A:$N,10,FALSE)</f>
        <v>-3600</v>
      </c>
      <c r="K113" s="63">
        <f>VLOOKUP(A113,'Billing Dimensions'!$A:$N,11,FALSE)-VLOOKUP(A113,'Audit Dimensions'!$A:$N,11,FALSE)</f>
        <v>0</v>
      </c>
      <c r="L113" s="63">
        <f>VLOOKUP(A113,'Billing Dimensions'!$A:$N,12,FALSE)-VLOOKUP(A113,'Audit Dimensions'!$A:$N,12,FALSE)</f>
        <v>0</v>
      </c>
      <c r="M113" s="63">
        <f>VLOOKUP(A113,'Billing Dimensions'!$A:$N,13,FALSE)-VLOOKUP(A113,'Audit Dimensions'!$A:$N,13,FALSE)</f>
        <v>0</v>
      </c>
      <c r="N113" s="140">
        <f>VLOOKUP(A113,'Billing Dimensions'!$A:$N,14,FALSE)-VLOOKUP(A113,'Audit Dimensions'!$A:$N,14,FALSE)</f>
        <v>-2580</v>
      </c>
      <c r="O113" s="145">
        <f>VLOOKUP('Audit VAR'!A113,'Audit Dimensions'!A:P,16,FALSE)</f>
        <v>140990</v>
      </c>
      <c r="P113" s="143">
        <f>VLOOKUP(A113,'Billing Dimensions'!A:Q,17,FALSE)-VLOOKUP('Audit VAR'!A113,'Audit Dimensions'!A:P,16,FALSE)</f>
        <v>-8390</v>
      </c>
      <c r="Q113" s="148">
        <f t="shared" si="1"/>
        <v>-5.9507766508262998E-2</v>
      </c>
    </row>
    <row r="114" spans="1:17" ht="14.45" customHeight="1">
      <c r="A114" s="58" t="str">
        <f>'Audit Dimensions'!A114</f>
        <v>W-MLT-M</v>
      </c>
      <c r="B114" s="2" t="str">
        <f>VLOOKUP(A114,'Billing Dimensions'!A:B,2,FALSE)</f>
        <v>SB</v>
      </c>
      <c r="C114" s="59">
        <f>VLOOKUP(A114,'Billing Dimensions'!$A:$N,3,FALSE)-VLOOKUP(A114,'Audit Dimensions'!$A:$N,3,FALSE)</f>
        <v>0</v>
      </c>
      <c r="D114" s="59">
        <f>VLOOKUP(A114,'Billing Dimensions'!$A:$N,4,FALSE)-VLOOKUP(A114,'Audit Dimensions'!$A:$N,4,FALSE)</f>
        <v>0</v>
      </c>
      <c r="E114" s="59">
        <f>VLOOKUP(A114,'Billing Dimensions'!$A:$N,5,FALSE)-VLOOKUP(A114,'Audit Dimensions'!$A:$N,5,FALSE)</f>
        <v>0</v>
      </c>
      <c r="F114" s="137">
        <f>VLOOKUP(A114,'Billing Dimensions'!$A:$N,6,FALSE)-VLOOKUP(A114,'Audit Dimensions'!$A:$N,6,FALSE)</f>
        <v>-2170</v>
      </c>
      <c r="G114" s="65">
        <f>VLOOKUP(A114,'Billing Dimensions'!$A:$N,7,FALSE)-VLOOKUP(A114,'Audit Dimensions'!$A:$N,7,FALSE)</f>
        <v>0</v>
      </c>
      <c r="H114" s="65">
        <f>VLOOKUP(A114,'Billing Dimensions'!$A:$N,8,FALSE)-VLOOKUP(A114,'Audit Dimensions'!$A:$N,8,FALSE)</f>
        <v>0</v>
      </c>
      <c r="I114" s="65">
        <f>VLOOKUP(A114,'Billing Dimensions'!$A:$N,9,FALSE)-VLOOKUP(A114,'Audit Dimensions'!$A:$N,9,FALSE)</f>
        <v>0</v>
      </c>
      <c r="J114" s="61">
        <f>VLOOKUP(A114,'Billing Dimensions'!$A:$N,10,FALSE)-VLOOKUP(A114,'Audit Dimensions'!$A:$N,10,FALSE)</f>
        <v>0</v>
      </c>
      <c r="K114" s="63">
        <f>VLOOKUP(A114,'Billing Dimensions'!$A:$N,11,FALSE)-VLOOKUP(A114,'Audit Dimensions'!$A:$N,11,FALSE)</f>
        <v>0</v>
      </c>
      <c r="L114" s="63">
        <f>VLOOKUP(A114,'Billing Dimensions'!$A:$N,12,FALSE)-VLOOKUP(A114,'Audit Dimensions'!$A:$N,12,FALSE)</f>
        <v>0</v>
      </c>
      <c r="M114" s="63">
        <f>VLOOKUP(A114,'Billing Dimensions'!$A:$N,13,FALSE)-VLOOKUP(A114,'Audit Dimensions'!$A:$N,13,FALSE)</f>
        <v>0</v>
      </c>
      <c r="N114" s="140">
        <f>VLOOKUP(A114,'Billing Dimensions'!$A:$N,14,FALSE)-VLOOKUP(A114,'Audit Dimensions'!$A:$N,14,FALSE)</f>
        <v>0</v>
      </c>
      <c r="O114" s="145">
        <f>VLOOKUP('Audit VAR'!A114,'Audit Dimensions'!A:P,16,FALSE)</f>
        <v>50670</v>
      </c>
      <c r="P114" s="143">
        <f>VLOOKUP(A114,'Billing Dimensions'!A:Q,17,FALSE)-VLOOKUP('Audit VAR'!A114,'Audit Dimensions'!A:P,16,FALSE)</f>
        <v>-2170</v>
      </c>
      <c r="Q114" s="148">
        <f t="shared" si="1"/>
        <v>-4.2826129859877639E-2</v>
      </c>
    </row>
    <row r="115" spans="1:17">
      <c r="A115" s="58" t="str">
        <f>'Audit Dimensions'!A115</f>
        <v>ST-AML</v>
      </c>
      <c r="B115" s="2" t="str">
        <f>VLOOKUP(A115,'Billing Dimensions'!A:B,2,FALSE)</f>
        <v>SB</v>
      </c>
      <c r="C115" s="59">
        <f>VLOOKUP(A115,'Billing Dimensions'!$A:$N,3,FALSE)-VLOOKUP(A115,'Audit Dimensions'!$A:$N,3,FALSE)</f>
        <v>0</v>
      </c>
      <c r="D115" s="59">
        <f>VLOOKUP(A115,'Billing Dimensions'!$A:$N,4,FALSE)-VLOOKUP(A115,'Audit Dimensions'!$A:$N,4,FALSE)</f>
        <v>0</v>
      </c>
      <c r="E115" s="59">
        <f>VLOOKUP(A115,'Billing Dimensions'!$A:$N,5,FALSE)-VLOOKUP(A115,'Audit Dimensions'!$A:$N,5,FALSE)</f>
        <v>0</v>
      </c>
      <c r="F115" s="137">
        <f>VLOOKUP(A115,'Billing Dimensions'!$A:$N,6,FALSE)-VLOOKUP(A115,'Audit Dimensions'!$A:$N,6,FALSE)</f>
        <v>-1400</v>
      </c>
      <c r="G115" s="65">
        <f>VLOOKUP(A115,'Billing Dimensions'!$A:$N,7,FALSE)-VLOOKUP(A115,'Audit Dimensions'!$A:$N,7,FALSE)</f>
        <v>0</v>
      </c>
      <c r="H115" s="65">
        <f>VLOOKUP(A115,'Billing Dimensions'!$A:$N,8,FALSE)-VLOOKUP(A115,'Audit Dimensions'!$A:$N,8,FALSE)</f>
        <v>0</v>
      </c>
      <c r="I115" s="65">
        <f>VLOOKUP(A115,'Billing Dimensions'!$A:$N,9,FALSE)-VLOOKUP(A115,'Audit Dimensions'!$A:$N,9,FALSE)</f>
        <v>0</v>
      </c>
      <c r="J115" s="61">
        <f>VLOOKUP(A115,'Billing Dimensions'!$A:$N,10,FALSE)-VLOOKUP(A115,'Audit Dimensions'!$A:$N,10,FALSE)</f>
        <v>0</v>
      </c>
      <c r="K115" s="63">
        <f>VLOOKUP(A115,'Billing Dimensions'!$A:$N,11,FALSE)-VLOOKUP(A115,'Audit Dimensions'!$A:$N,11,FALSE)</f>
        <v>0</v>
      </c>
      <c r="L115" s="63">
        <f>VLOOKUP(A115,'Billing Dimensions'!$A:$N,12,FALSE)-VLOOKUP(A115,'Audit Dimensions'!$A:$N,12,FALSE)</f>
        <v>0</v>
      </c>
      <c r="M115" s="63">
        <f>VLOOKUP(A115,'Billing Dimensions'!$A:$N,13,FALSE)-VLOOKUP(A115,'Audit Dimensions'!$A:$N,13,FALSE)</f>
        <v>0</v>
      </c>
      <c r="N115" s="140">
        <f>VLOOKUP(A115,'Billing Dimensions'!$A:$N,14,FALSE)-VLOOKUP(A115,'Audit Dimensions'!$A:$N,14,FALSE)</f>
        <v>0</v>
      </c>
      <c r="O115" s="145">
        <f>VLOOKUP('Audit VAR'!A115,'Audit Dimensions'!A:P,16,FALSE)</f>
        <v>22100</v>
      </c>
      <c r="P115" s="143">
        <f>VLOOKUP(A115,'Billing Dimensions'!A:Q,17,FALSE)-VLOOKUP('Audit VAR'!A115,'Audit Dimensions'!A:P,16,FALSE)</f>
        <v>-1400</v>
      </c>
      <c r="Q115" s="148">
        <f t="shared" si="1"/>
        <v>-6.3348416289592757E-2</v>
      </c>
    </row>
    <row r="116" spans="1:17">
      <c r="A116" s="58" t="str">
        <f>'Audit Dimensions'!A116</f>
        <v>S-XD</v>
      </c>
      <c r="B116" s="2" t="str">
        <f>VLOOKUP(A116,'Billing Dimensions'!A:B,2,FALSE)</f>
        <v>SB</v>
      </c>
      <c r="C116" s="59">
        <f>VLOOKUP(A116,'Billing Dimensions'!$A:$N,3,FALSE)-VLOOKUP(A116,'Audit Dimensions'!$A:$N,3,FALSE)</f>
        <v>0</v>
      </c>
      <c r="D116" s="59">
        <f>VLOOKUP(A116,'Billing Dimensions'!$A:$N,4,FALSE)-VLOOKUP(A116,'Audit Dimensions'!$A:$N,4,FALSE)</f>
        <v>0</v>
      </c>
      <c r="E116" s="59">
        <f>VLOOKUP(A116,'Billing Dimensions'!$A:$N,5,FALSE)-VLOOKUP(A116,'Audit Dimensions'!$A:$N,5,FALSE)</f>
        <v>0</v>
      </c>
      <c r="F116" s="137">
        <f>VLOOKUP(A116,'Billing Dimensions'!$A:$N,6,FALSE)-VLOOKUP(A116,'Audit Dimensions'!$A:$N,6,FALSE)</f>
        <v>-900</v>
      </c>
      <c r="G116" s="65">
        <f>VLOOKUP(A116,'Billing Dimensions'!$A:$N,7,FALSE)-VLOOKUP(A116,'Audit Dimensions'!$A:$N,7,FALSE)</f>
        <v>0</v>
      </c>
      <c r="H116" s="65">
        <f>VLOOKUP(A116,'Billing Dimensions'!$A:$N,8,FALSE)-VLOOKUP(A116,'Audit Dimensions'!$A:$N,8,FALSE)</f>
        <v>0</v>
      </c>
      <c r="I116" s="65">
        <f>VLOOKUP(A116,'Billing Dimensions'!$A:$N,9,FALSE)-VLOOKUP(A116,'Audit Dimensions'!$A:$N,9,FALSE)</f>
        <v>0</v>
      </c>
      <c r="J116" s="61">
        <f>VLOOKUP(A116,'Billing Dimensions'!$A:$N,10,FALSE)-VLOOKUP(A116,'Audit Dimensions'!$A:$N,10,FALSE)</f>
        <v>0</v>
      </c>
      <c r="K116" s="63">
        <f>VLOOKUP(A116,'Billing Dimensions'!$A:$N,11,FALSE)-VLOOKUP(A116,'Audit Dimensions'!$A:$N,11,FALSE)</f>
        <v>0</v>
      </c>
      <c r="L116" s="63">
        <f>VLOOKUP(A116,'Billing Dimensions'!$A:$N,12,FALSE)-VLOOKUP(A116,'Audit Dimensions'!$A:$N,12,FALSE)</f>
        <v>0</v>
      </c>
      <c r="M116" s="63">
        <f>VLOOKUP(A116,'Billing Dimensions'!$A:$N,13,FALSE)-VLOOKUP(A116,'Audit Dimensions'!$A:$N,13,FALSE)</f>
        <v>0</v>
      </c>
      <c r="N116" s="140">
        <f>VLOOKUP(A116,'Billing Dimensions'!$A:$N,14,FALSE)-VLOOKUP(A116,'Audit Dimensions'!$A:$N,14,FALSE)</f>
        <v>0</v>
      </c>
      <c r="O116" s="145">
        <f>VLOOKUP('Audit VAR'!A116,'Audit Dimensions'!A:P,16,FALSE)</f>
        <v>9700</v>
      </c>
      <c r="P116" s="143">
        <f>VLOOKUP(A116,'Billing Dimensions'!A:Q,17,FALSE)-VLOOKUP('Audit VAR'!A116,'Audit Dimensions'!A:P,16,FALSE)</f>
        <v>-900</v>
      </c>
      <c r="Q116" s="148">
        <f t="shared" si="1"/>
        <v>-9.2783505154639179E-2</v>
      </c>
    </row>
    <row r="117" spans="1:17">
      <c r="A117" s="58" t="str">
        <f>'Audit Dimensions'!A117</f>
        <v>TU-AMY</v>
      </c>
      <c r="B117" s="2" t="str">
        <f>VLOOKUP(A117,'Billing Dimensions'!A:B,2,FALSE)</f>
        <v>SB</v>
      </c>
      <c r="C117" s="59">
        <f>VLOOKUP(A117,'Billing Dimensions'!$A:$N,3,FALSE)-VLOOKUP(A117,'Audit Dimensions'!$A:$N,3,FALSE)</f>
        <v>0</v>
      </c>
      <c r="D117" s="59">
        <f>VLOOKUP(A117,'Billing Dimensions'!$A:$N,4,FALSE)-VLOOKUP(A117,'Audit Dimensions'!$A:$N,4,FALSE)</f>
        <v>0</v>
      </c>
      <c r="E117" s="59">
        <f>VLOOKUP(A117,'Billing Dimensions'!$A:$N,5,FALSE)-VLOOKUP(A117,'Audit Dimensions'!$A:$N,5,FALSE)</f>
        <v>0</v>
      </c>
      <c r="F117" s="137">
        <f>VLOOKUP(A117,'Billing Dimensions'!$A:$N,6,FALSE)-VLOOKUP(A117,'Audit Dimensions'!$A:$N,6,FALSE)</f>
        <v>-2300</v>
      </c>
      <c r="G117" s="65">
        <f>VLOOKUP(A117,'Billing Dimensions'!$A:$N,7,FALSE)-VLOOKUP(A117,'Audit Dimensions'!$A:$N,7,FALSE)</f>
        <v>0</v>
      </c>
      <c r="H117" s="65">
        <f>VLOOKUP(A117,'Billing Dimensions'!$A:$N,8,FALSE)-VLOOKUP(A117,'Audit Dimensions'!$A:$N,8,FALSE)</f>
        <v>0</v>
      </c>
      <c r="I117" s="65">
        <f>VLOOKUP(A117,'Billing Dimensions'!$A:$N,9,FALSE)-VLOOKUP(A117,'Audit Dimensions'!$A:$N,9,FALSE)</f>
        <v>0</v>
      </c>
      <c r="J117" s="61">
        <f>VLOOKUP(A117,'Billing Dimensions'!$A:$N,10,FALSE)-VLOOKUP(A117,'Audit Dimensions'!$A:$N,10,FALSE)</f>
        <v>0</v>
      </c>
      <c r="K117" s="63">
        <f>VLOOKUP(A117,'Billing Dimensions'!$A:$N,11,FALSE)-VLOOKUP(A117,'Audit Dimensions'!$A:$N,11,FALSE)</f>
        <v>0</v>
      </c>
      <c r="L117" s="63">
        <f>VLOOKUP(A117,'Billing Dimensions'!$A:$N,12,FALSE)-VLOOKUP(A117,'Audit Dimensions'!$A:$N,12,FALSE)</f>
        <v>0</v>
      </c>
      <c r="M117" s="63">
        <f>VLOOKUP(A117,'Billing Dimensions'!$A:$N,13,FALSE)-VLOOKUP(A117,'Audit Dimensions'!$A:$N,13,FALSE)</f>
        <v>0</v>
      </c>
      <c r="N117" s="140">
        <f>VLOOKUP(A117,'Billing Dimensions'!$A:$N,14,FALSE)-VLOOKUP(A117,'Audit Dimensions'!$A:$N,14,FALSE)</f>
        <v>0</v>
      </c>
      <c r="O117" s="145">
        <f>VLOOKUP('Audit VAR'!A117,'Audit Dimensions'!A:P,16,FALSE)</f>
        <v>34800</v>
      </c>
      <c r="P117" s="143">
        <f>VLOOKUP(A117,'Billing Dimensions'!A:Q,17,FALSE)-VLOOKUP('Audit VAR'!A117,'Audit Dimensions'!A:P,16,FALSE)</f>
        <v>-2300</v>
      </c>
      <c r="Q117" s="148">
        <f t="shared" si="1"/>
        <v>-6.6091954022988508E-2</v>
      </c>
    </row>
    <row r="118" spans="1:17" ht="14.45" customHeight="1">
      <c r="A118" s="58" t="str">
        <f>'Audit Dimensions'!A118</f>
        <v>SB-AXA-4</v>
      </c>
      <c r="B118" s="2" t="str">
        <f>VLOOKUP(A118,'Billing Dimensions'!A:B,2,FALSE)</f>
        <v>SB</v>
      </c>
      <c r="C118" s="59">
        <f>VLOOKUP(A118,'Billing Dimensions'!$A:$N,3,FALSE)-VLOOKUP(A118,'Audit Dimensions'!$A:$N,3,FALSE)</f>
        <v>0</v>
      </c>
      <c r="D118" s="59">
        <f>VLOOKUP(A118,'Billing Dimensions'!$A:$N,4,FALSE)-VLOOKUP(A118,'Audit Dimensions'!$A:$N,4,FALSE)</f>
        <v>0</v>
      </c>
      <c r="E118" s="59">
        <f>VLOOKUP(A118,'Billing Dimensions'!$A:$N,5,FALSE)-VLOOKUP(A118,'Audit Dimensions'!$A:$N,5,FALSE)</f>
        <v>0</v>
      </c>
      <c r="F118" s="137">
        <f>VLOOKUP(A118,'Billing Dimensions'!$A:$N,6,FALSE)-VLOOKUP(A118,'Audit Dimensions'!$A:$N,6,FALSE)</f>
        <v>-1500</v>
      </c>
      <c r="G118" s="65">
        <f>VLOOKUP(A118,'Billing Dimensions'!$A:$N,7,FALSE)-VLOOKUP(A118,'Audit Dimensions'!$A:$N,7,FALSE)</f>
        <v>0</v>
      </c>
      <c r="H118" s="65">
        <f>VLOOKUP(A118,'Billing Dimensions'!$A:$N,8,FALSE)-VLOOKUP(A118,'Audit Dimensions'!$A:$N,8,FALSE)</f>
        <v>0</v>
      </c>
      <c r="I118" s="65">
        <f>VLOOKUP(A118,'Billing Dimensions'!$A:$N,9,FALSE)-VLOOKUP(A118,'Audit Dimensions'!$A:$N,9,FALSE)</f>
        <v>0</v>
      </c>
      <c r="J118" s="61">
        <f>VLOOKUP(A118,'Billing Dimensions'!$A:$N,10,FALSE)-VLOOKUP(A118,'Audit Dimensions'!$A:$N,10,FALSE)</f>
        <v>0</v>
      </c>
      <c r="K118" s="63">
        <f>VLOOKUP(A118,'Billing Dimensions'!$A:$N,11,FALSE)-VLOOKUP(A118,'Audit Dimensions'!$A:$N,11,FALSE)</f>
        <v>0</v>
      </c>
      <c r="L118" s="63">
        <f>VLOOKUP(A118,'Billing Dimensions'!$A:$N,12,FALSE)-VLOOKUP(A118,'Audit Dimensions'!$A:$N,12,FALSE)</f>
        <v>0</v>
      </c>
      <c r="M118" s="63">
        <f>VLOOKUP(A118,'Billing Dimensions'!$A:$N,13,FALSE)-VLOOKUP(A118,'Audit Dimensions'!$A:$N,13,FALSE)</f>
        <v>0</v>
      </c>
      <c r="N118" s="140">
        <f>VLOOKUP(A118,'Billing Dimensions'!$A:$N,14,FALSE)-VLOOKUP(A118,'Audit Dimensions'!$A:$N,14,FALSE)</f>
        <v>0</v>
      </c>
      <c r="O118" s="145">
        <f>VLOOKUP('Audit VAR'!A118,'Audit Dimensions'!A:P,16,FALSE)</f>
        <v>26000</v>
      </c>
      <c r="P118" s="143">
        <f>VLOOKUP(A118,'Billing Dimensions'!A:Q,17,FALSE)-VLOOKUP('Audit VAR'!A118,'Audit Dimensions'!A:P,16,FALSE)</f>
        <v>-1500</v>
      </c>
      <c r="Q118" s="148">
        <f t="shared" si="1"/>
        <v>-5.7692307692307696E-2</v>
      </c>
    </row>
    <row r="119" spans="1:17">
      <c r="A119" s="58" t="str">
        <f>'Audit Dimensions'!A119</f>
        <v>ST-CBN</v>
      </c>
      <c r="B119" s="2" t="str">
        <f>VLOOKUP(A119,'Billing Dimensions'!A:B,2,FALSE)</f>
        <v>SB</v>
      </c>
      <c r="C119" s="59">
        <f>VLOOKUP(A119,'Billing Dimensions'!$A:$N,3,FALSE)-VLOOKUP(A119,'Audit Dimensions'!$A:$N,3,FALSE)</f>
        <v>0</v>
      </c>
      <c r="D119" s="59">
        <f>VLOOKUP(A119,'Billing Dimensions'!$A:$N,4,FALSE)-VLOOKUP(A119,'Audit Dimensions'!$A:$N,4,FALSE)</f>
        <v>0</v>
      </c>
      <c r="E119" s="59">
        <f>VLOOKUP(A119,'Billing Dimensions'!$A:$N,5,FALSE)-VLOOKUP(A119,'Audit Dimensions'!$A:$N,5,FALSE)</f>
        <v>0</v>
      </c>
      <c r="F119" s="137">
        <f>VLOOKUP(A119,'Billing Dimensions'!$A:$N,6,FALSE)-VLOOKUP(A119,'Audit Dimensions'!$A:$N,6,FALSE)</f>
        <v>-2070</v>
      </c>
      <c r="G119" s="65">
        <f>VLOOKUP(A119,'Billing Dimensions'!$A:$N,7,FALSE)-VLOOKUP(A119,'Audit Dimensions'!$A:$N,7,FALSE)</f>
        <v>0</v>
      </c>
      <c r="H119" s="65">
        <f>VLOOKUP(A119,'Billing Dimensions'!$A:$N,8,FALSE)-VLOOKUP(A119,'Audit Dimensions'!$A:$N,8,FALSE)</f>
        <v>0</v>
      </c>
      <c r="I119" s="65">
        <f>VLOOKUP(A119,'Billing Dimensions'!$A:$N,9,FALSE)-VLOOKUP(A119,'Audit Dimensions'!$A:$N,9,FALSE)</f>
        <v>0</v>
      </c>
      <c r="J119" s="61">
        <f>VLOOKUP(A119,'Billing Dimensions'!$A:$N,10,FALSE)-VLOOKUP(A119,'Audit Dimensions'!$A:$N,10,FALSE)</f>
        <v>0</v>
      </c>
      <c r="K119" s="63">
        <f>VLOOKUP(A119,'Billing Dimensions'!$A:$N,11,FALSE)-VLOOKUP(A119,'Audit Dimensions'!$A:$N,11,FALSE)</f>
        <v>0</v>
      </c>
      <c r="L119" s="63">
        <f>VLOOKUP(A119,'Billing Dimensions'!$A:$N,12,FALSE)-VLOOKUP(A119,'Audit Dimensions'!$A:$N,12,FALSE)</f>
        <v>0</v>
      </c>
      <c r="M119" s="63">
        <f>VLOOKUP(A119,'Billing Dimensions'!$A:$N,13,FALSE)-VLOOKUP(A119,'Audit Dimensions'!$A:$N,13,FALSE)</f>
        <v>0</v>
      </c>
      <c r="N119" s="140">
        <f>VLOOKUP(A119,'Billing Dimensions'!$A:$N,14,FALSE)-VLOOKUP(A119,'Audit Dimensions'!$A:$N,14,FALSE)</f>
        <v>0</v>
      </c>
      <c r="O119" s="145">
        <f>VLOOKUP('Audit VAR'!A119,'Audit Dimensions'!A:P,16,FALSE)</f>
        <v>33820</v>
      </c>
      <c r="P119" s="143">
        <f>VLOOKUP(A119,'Billing Dimensions'!A:Q,17,FALSE)-VLOOKUP('Audit VAR'!A119,'Audit Dimensions'!A:P,16,FALSE)</f>
        <v>-2070</v>
      </c>
      <c r="Q119" s="148">
        <f t="shared" si="1"/>
        <v>-6.1206386753400358E-2</v>
      </c>
    </row>
    <row r="120" spans="1:17" ht="14.45" customHeight="1">
      <c r="A120" s="58" t="str">
        <f>'Audit Dimensions'!A120</f>
        <v>TU-WBM</v>
      </c>
      <c r="B120" s="2" t="str">
        <f>VLOOKUP(A120,'Billing Dimensions'!A:B,2,FALSE)</f>
        <v>SB</v>
      </c>
      <c r="C120" s="59">
        <f>VLOOKUP(A120,'Billing Dimensions'!$A:$N,3,FALSE)-VLOOKUP(A120,'Audit Dimensions'!$A:$N,3,FALSE)</f>
        <v>0</v>
      </c>
      <c r="D120" s="59">
        <f>VLOOKUP(A120,'Billing Dimensions'!$A:$N,4,FALSE)-VLOOKUP(A120,'Audit Dimensions'!$A:$N,4,FALSE)</f>
        <v>0</v>
      </c>
      <c r="E120" s="59">
        <f>VLOOKUP(A120,'Billing Dimensions'!$A:$N,5,FALSE)-VLOOKUP(A120,'Audit Dimensions'!$A:$N,5,FALSE)</f>
        <v>0</v>
      </c>
      <c r="F120" s="137">
        <f>VLOOKUP(A120,'Billing Dimensions'!$A:$N,6,FALSE)-VLOOKUP(A120,'Audit Dimensions'!$A:$N,6,FALSE)</f>
        <v>-2240</v>
      </c>
      <c r="G120" s="65">
        <f>VLOOKUP(A120,'Billing Dimensions'!$A:$N,7,FALSE)-VLOOKUP(A120,'Audit Dimensions'!$A:$N,7,FALSE)</f>
        <v>0</v>
      </c>
      <c r="H120" s="65">
        <f>VLOOKUP(A120,'Billing Dimensions'!$A:$N,8,FALSE)-VLOOKUP(A120,'Audit Dimensions'!$A:$N,8,FALSE)</f>
        <v>0</v>
      </c>
      <c r="I120" s="65">
        <f>VLOOKUP(A120,'Billing Dimensions'!$A:$N,9,FALSE)-VLOOKUP(A120,'Audit Dimensions'!$A:$N,9,FALSE)</f>
        <v>0</v>
      </c>
      <c r="J120" s="61">
        <f>VLOOKUP(A120,'Billing Dimensions'!$A:$N,10,FALSE)-VLOOKUP(A120,'Audit Dimensions'!$A:$N,10,FALSE)</f>
        <v>0</v>
      </c>
      <c r="K120" s="63">
        <f>VLOOKUP(A120,'Billing Dimensions'!$A:$N,11,FALSE)-VLOOKUP(A120,'Audit Dimensions'!$A:$N,11,FALSE)</f>
        <v>0</v>
      </c>
      <c r="L120" s="63">
        <f>VLOOKUP(A120,'Billing Dimensions'!$A:$N,12,FALSE)-VLOOKUP(A120,'Audit Dimensions'!$A:$N,12,FALSE)</f>
        <v>0</v>
      </c>
      <c r="M120" s="63">
        <f>VLOOKUP(A120,'Billing Dimensions'!$A:$N,13,FALSE)-VLOOKUP(A120,'Audit Dimensions'!$A:$N,13,FALSE)</f>
        <v>0</v>
      </c>
      <c r="N120" s="140">
        <f>VLOOKUP(A120,'Billing Dimensions'!$A:$N,14,FALSE)-VLOOKUP(A120,'Audit Dimensions'!$A:$N,14,FALSE)</f>
        <v>0</v>
      </c>
      <c r="O120" s="145">
        <f>VLOOKUP('Audit VAR'!A120,'Audit Dimensions'!A:P,16,FALSE)</f>
        <v>32740</v>
      </c>
      <c r="P120" s="143">
        <f>VLOOKUP(A120,'Billing Dimensions'!A:Q,17,FALSE)-VLOOKUP('Audit VAR'!A120,'Audit Dimensions'!A:P,16,FALSE)</f>
        <v>-2240</v>
      </c>
      <c r="Q120" s="148">
        <f t="shared" si="1"/>
        <v>-6.8417837507635915E-2</v>
      </c>
    </row>
    <row r="121" spans="1:17" ht="14.45" customHeight="1">
      <c r="A121" s="58" t="str">
        <f>'Audit Dimensions'!A121</f>
        <v>TU-MSEP</v>
      </c>
      <c r="B121" s="2" t="str">
        <f>VLOOKUP(A121,'Billing Dimensions'!A:B,2,FALSE)</f>
        <v>SB</v>
      </c>
      <c r="C121" s="59">
        <f>VLOOKUP(A121,'Billing Dimensions'!$A:$N,3,FALSE)-VLOOKUP(A121,'Audit Dimensions'!$A:$N,3,FALSE)</f>
        <v>0</v>
      </c>
      <c r="D121" s="59">
        <f>VLOOKUP(A121,'Billing Dimensions'!$A:$N,4,FALSE)-VLOOKUP(A121,'Audit Dimensions'!$A:$N,4,FALSE)</f>
        <v>0</v>
      </c>
      <c r="E121" s="59">
        <f>VLOOKUP(A121,'Billing Dimensions'!$A:$N,5,FALSE)-VLOOKUP(A121,'Audit Dimensions'!$A:$N,5,FALSE)</f>
        <v>0</v>
      </c>
      <c r="F121" s="137">
        <f>VLOOKUP(A121,'Billing Dimensions'!$A:$N,6,FALSE)-VLOOKUP(A121,'Audit Dimensions'!$A:$N,6,FALSE)</f>
        <v>-2270</v>
      </c>
      <c r="G121" s="65">
        <f>VLOOKUP(A121,'Billing Dimensions'!$A:$N,7,FALSE)-VLOOKUP(A121,'Audit Dimensions'!$A:$N,7,FALSE)</f>
        <v>0</v>
      </c>
      <c r="H121" s="65">
        <f>VLOOKUP(A121,'Billing Dimensions'!$A:$N,8,FALSE)-VLOOKUP(A121,'Audit Dimensions'!$A:$N,8,FALSE)</f>
        <v>0</v>
      </c>
      <c r="I121" s="65">
        <f>VLOOKUP(A121,'Billing Dimensions'!$A:$N,9,FALSE)-VLOOKUP(A121,'Audit Dimensions'!$A:$N,9,FALSE)</f>
        <v>0</v>
      </c>
      <c r="J121" s="61">
        <f>VLOOKUP(A121,'Billing Dimensions'!$A:$N,10,FALSE)-VLOOKUP(A121,'Audit Dimensions'!$A:$N,10,FALSE)</f>
        <v>0</v>
      </c>
      <c r="K121" s="63">
        <f>VLOOKUP(A121,'Billing Dimensions'!$A:$N,11,FALSE)-VLOOKUP(A121,'Audit Dimensions'!$A:$N,11,FALSE)</f>
        <v>0</v>
      </c>
      <c r="L121" s="63">
        <f>VLOOKUP(A121,'Billing Dimensions'!$A:$N,12,FALSE)-VLOOKUP(A121,'Audit Dimensions'!$A:$N,12,FALSE)</f>
        <v>0</v>
      </c>
      <c r="M121" s="63">
        <f>VLOOKUP(A121,'Billing Dimensions'!$A:$N,13,FALSE)-VLOOKUP(A121,'Audit Dimensions'!$A:$N,13,FALSE)</f>
        <v>0</v>
      </c>
      <c r="N121" s="140">
        <f>VLOOKUP(A121,'Billing Dimensions'!$A:$N,14,FALSE)-VLOOKUP(A121,'Audit Dimensions'!$A:$N,14,FALSE)</f>
        <v>0</v>
      </c>
      <c r="O121" s="145">
        <f>VLOOKUP('Audit VAR'!A121,'Audit Dimensions'!A:P,16,FALSE)</f>
        <v>37570</v>
      </c>
      <c r="P121" s="143">
        <f>VLOOKUP(A121,'Billing Dimensions'!A:Q,17,FALSE)-VLOOKUP('Audit VAR'!A121,'Audit Dimensions'!A:P,16,FALSE)</f>
        <v>-2270</v>
      </c>
      <c r="Q121" s="148">
        <f t="shared" si="1"/>
        <v>-6.0420548309821666E-2</v>
      </c>
    </row>
    <row r="122" spans="1:17" ht="14.45" customHeight="1">
      <c r="A122" s="58" t="str">
        <f>'Audit Dimensions'!A122</f>
        <v>W-AND-2M</v>
      </c>
      <c r="B122" s="2" t="str">
        <f>VLOOKUP(A122,'Billing Dimensions'!A:B,2,FALSE)</f>
        <v>MB</v>
      </c>
      <c r="C122" s="59">
        <f>VLOOKUP(A122,'Billing Dimensions'!$A:$N,3,FALSE)-VLOOKUP(A122,'Audit Dimensions'!$A:$N,3,FALSE)</f>
        <v>0</v>
      </c>
      <c r="D122" s="59">
        <f>VLOOKUP(A122,'Billing Dimensions'!$A:$N,4,FALSE)-VLOOKUP(A122,'Audit Dimensions'!$A:$N,4,FALSE)</f>
        <v>0</v>
      </c>
      <c r="E122" s="59">
        <f>VLOOKUP(A122,'Billing Dimensions'!$A:$N,5,FALSE)-VLOOKUP(A122,'Audit Dimensions'!$A:$N,5,FALSE)</f>
        <v>0</v>
      </c>
      <c r="F122" s="137">
        <f>VLOOKUP(A122,'Billing Dimensions'!$A:$N,6,FALSE)-VLOOKUP(A122,'Audit Dimensions'!$A:$N,6,FALSE)</f>
        <v>-1080</v>
      </c>
      <c r="G122" s="65">
        <f>VLOOKUP(A122,'Billing Dimensions'!$A:$N,7,FALSE)-VLOOKUP(A122,'Audit Dimensions'!$A:$N,7,FALSE)</f>
        <v>0</v>
      </c>
      <c r="H122" s="65">
        <f>VLOOKUP(A122,'Billing Dimensions'!$A:$N,8,FALSE)-VLOOKUP(A122,'Audit Dimensions'!$A:$N,8,FALSE)</f>
        <v>0</v>
      </c>
      <c r="I122" s="65">
        <f>VLOOKUP(A122,'Billing Dimensions'!$A:$N,9,FALSE)-VLOOKUP(A122,'Audit Dimensions'!$A:$N,9,FALSE)</f>
        <v>0</v>
      </c>
      <c r="J122" s="61">
        <f>VLOOKUP(A122,'Billing Dimensions'!$A:$N,10,FALSE)-VLOOKUP(A122,'Audit Dimensions'!$A:$N,10,FALSE)</f>
        <v>-3370</v>
      </c>
      <c r="K122" s="63">
        <f>VLOOKUP(A122,'Billing Dimensions'!$A:$N,11,FALSE)-VLOOKUP(A122,'Audit Dimensions'!$A:$N,11,FALSE)</f>
        <v>0</v>
      </c>
      <c r="L122" s="63">
        <f>VLOOKUP(A122,'Billing Dimensions'!$A:$N,12,FALSE)-VLOOKUP(A122,'Audit Dimensions'!$A:$N,12,FALSE)</f>
        <v>0</v>
      </c>
      <c r="M122" s="63">
        <f>VLOOKUP(A122,'Billing Dimensions'!$A:$N,13,FALSE)-VLOOKUP(A122,'Audit Dimensions'!$A:$N,13,FALSE)</f>
        <v>0</v>
      </c>
      <c r="N122" s="140">
        <f>VLOOKUP(A122,'Billing Dimensions'!$A:$N,14,FALSE)-VLOOKUP(A122,'Audit Dimensions'!$A:$N,14,FALSE)</f>
        <v>0</v>
      </c>
      <c r="O122" s="145">
        <f>VLOOKUP('Audit VAR'!A122,'Audit Dimensions'!A:P,16,FALSE)</f>
        <v>79850</v>
      </c>
      <c r="P122" s="143">
        <f>VLOOKUP(A122,'Billing Dimensions'!A:Q,17,FALSE)-VLOOKUP('Audit VAR'!A122,'Audit Dimensions'!A:P,16,FALSE)</f>
        <v>-4450</v>
      </c>
      <c r="Q122" s="148">
        <f t="shared" si="1"/>
        <v>-5.5729492798998123E-2</v>
      </c>
    </row>
    <row r="123" spans="1:17" ht="14.45" customHeight="1">
      <c r="A123" s="58" t="str">
        <f>'Audit Dimensions'!A123</f>
        <v>PU-SUB</v>
      </c>
      <c r="B123" s="2" t="str">
        <f>VLOOKUP(A123,'Billing Dimensions'!A:B,2,FALSE)</f>
        <v>SB</v>
      </c>
      <c r="C123" s="59">
        <f>VLOOKUP(A123,'Billing Dimensions'!$A:$N,3,FALSE)-VLOOKUP(A123,'Audit Dimensions'!$A:$N,3,FALSE)</f>
        <v>0</v>
      </c>
      <c r="D123" s="59">
        <f>VLOOKUP(A123,'Billing Dimensions'!$A:$N,4,FALSE)-VLOOKUP(A123,'Audit Dimensions'!$A:$N,4,FALSE)</f>
        <v>0</v>
      </c>
      <c r="E123" s="59">
        <f>VLOOKUP(A123,'Billing Dimensions'!$A:$N,5,FALSE)-VLOOKUP(A123,'Audit Dimensions'!$A:$N,5,FALSE)</f>
        <v>0</v>
      </c>
      <c r="F123" s="137">
        <f>VLOOKUP(A123,'Billing Dimensions'!$A:$N,6,FALSE)-VLOOKUP(A123,'Audit Dimensions'!$A:$N,6,FALSE)</f>
        <v>-1520</v>
      </c>
      <c r="G123" s="65">
        <f>VLOOKUP(A123,'Billing Dimensions'!$A:$N,7,FALSE)-VLOOKUP(A123,'Audit Dimensions'!$A:$N,7,FALSE)</f>
        <v>0</v>
      </c>
      <c r="H123" s="65">
        <f>VLOOKUP(A123,'Billing Dimensions'!$A:$N,8,FALSE)-VLOOKUP(A123,'Audit Dimensions'!$A:$N,8,FALSE)</f>
        <v>0</v>
      </c>
      <c r="I123" s="65">
        <f>VLOOKUP(A123,'Billing Dimensions'!$A:$N,9,FALSE)-VLOOKUP(A123,'Audit Dimensions'!$A:$N,9,FALSE)</f>
        <v>0</v>
      </c>
      <c r="J123" s="61">
        <f>VLOOKUP(A123,'Billing Dimensions'!$A:$N,10,FALSE)-VLOOKUP(A123,'Audit Dimensions'!$A:$N,10,FALSE)</f>
        <v>0</v>
      </c>
      <c r="K123" s="63">
        <f>VLOOKUP(A123,'Billing Dimensions'!$A:$N,11,FALSE)-VLOOKUP(A123,'Audit Dimensions'!$A:$N,11,FALSE)</f>
        <v>0</v>
      </c>
      <c r="L123" s="63">
        <f>VLOOKUP(A123,'Billing Dimensions'!$A:$N,12,FALSE)-VLOOKUP(A123,'Audit Dimensions'!$A:$N,12,FALSE)</f>
        <v>0</v>
      </c>
      <c r="M123" s="63">
        <f>VLOOKUP(A123,'Billing Dimensions'!$A:$N,13,FALSE)-VLOOKUP(A123,'Audit Dimensions'!$A:$N,13,FALSE)</f>
        <v>0</v>
      </c>
      <c r="N123" s="140">
        <f>VLOOKUP(A123,'Billing Dimensions'!$A:$N,14,FALSE)-VLOOKUP(A123,'Audit Dimensions'!$A:$N,14,FALSE)</f>
        <v>0</v>
      </c>
      <c r="O123" s="145">
        <f>VLOOKUP('Audit VAR'!A123,'Audit Dimensions'!A:P,16,FALSE)</f>
        <v>25970</v>
      </c>
      <c r="P123" s="143">
        <f>VLOOKUP(A123,'Billing Dimensions'!A:Q,17,FALSE)-VLOOKUP('Audit VAR'!A123,'Audit Dimensions'!A:P,16,FALSE)</f>
        <v>-1520</v>
      </c>
      <c r="Q123" s="148">
        <f t="shared" si="1"/>
        <v>-5.8529072006160955E-2</v>
      </c>
    </row>
    <row r="124" spans="1:17" ht="14.45" customHeight="1">
      <c r="A124" s="58" t="str">
        <f>'Audit Dimensions'!A124</f>
        <v>SH-DVN</v>
      </c>
      <c r="B124" s="2" t="str">
        <f>VLOOKUP(A124,'Billing Dimensions'!A:B,2,FALSE)</f>
        <v>SB</v>
      </c>
      <c r="C124" s="59">
        <f>VLOOKUP(A124,'Billing Dimensions'!$A:$N,3,FALSE)-VLOOKUP(A124,'Audit Dimensions'!$A:$N,3,FALSE)</f>
        <v>0</v>
      </c>
      <c r="D124" s="59">
        <f>VLOOKUP(A124,'Billing Dimensions'!$A:$N,4,FALSE)-VLOOKUP(A124,'Audit Dimensions'!$A:$N,4,FALSE)</f>
        <v>0</v>
      </c>
      <c r="E124" s="59">
        <f>VLOOKUP(A124,'Billing Dimensions'!$A:$N,5,FALSE)-VLOOKUP(A124,'Audit Dimensions'!$A:$N,5,FALSE)</f>
        <v>0</v>
      </c>
      <c r="F124" s="137">
        <f>VLOOKUP(A124,'Billing Dimensions'!$A:$N,6,FALSE)-VLOOKUP(A124,'Audit Dimensions'!$A:$N,6,FALSE)</f>
        <v>-150</v>
      </c>
      <c r="G124" s="65">
        <f>VLOOKUP(A124,'Billing Dimensions'!$A:$N,7,FALSE)-VLOOKUP(A124,'Audit Dimensions'!$A:$N,7,FALSE)</f>
        <v>0</v>
      </c>
      <c r="H124" s="65">
        <f>VLOOKUP(A124,'Billing Dimensions'!$A:$N,8,FALSE)-VLOOKUP(A124,'Audit Dimensions'!$A:$N,8,FALSE)</f>
        <v>0</v>
      </c>
      <c r="I124" s="65">
        <f>VLOOKUP(A124,'Billing Dimensions'!$A:$N,9,FALSE)-VLOOKUP(A124,'Audit Dimensions'!$A:$N,9,FALSE)</f>
        <v>0</v>
      </c>
      <c r="J124" s="61">
        <f>VLOOKUP(A124,'Billing Dimensions'!$A:$N,10,FALSE)-VLOOKUP(A124,'Audit Dimensions'!$A:$N,10,FALSE)</f>
        <v>0</v>
      </c>
      <c r="K124" s="63">
        <f>VLOOKUP(A124,'Billing Dimensions'!$A:$N,11,FALSE)-VLOOKUP(A124,'Audit Dimensions'!$A:$N,11,FALSE)</f>
        <v>0</v>
      </c>
      <c r="L124" s="63">
        <f>VLOOKUP(A124,'Billing Dimensions'!$A:$N,12,FALSE)-VLOOKUP(A124,'Audit Dimensions'!$A:$N,12,FALSE)</f>
        <v>0</v>
      </c>
      <c r="M124" s="63">
        <f>VLOOKUP(A124,'Billing Dimensions'!$A:$N,13,FALSE)-VLOOKUP(A124,'Audit Dimensions'!$A:$N,13,FALSE)</f>
        <v>0</v>
      </c>
      <c r="N124" s="140">
        <f>VLOOKUP(A124,'Billing Dimensions'!$A:$N,14,FALSE)-VLOOKUP(A124,'Audit Dimensions'!$A:$N,14,FALSE)</f>
        <v>0</v>
      </c>
      <c r="O124" s="145">
        <f>VLOOKUP('Audit VAR'!A124,'Audit Dimensions'!A:P,16,FALSE)</f>
        <v>1050</v>
      </c>
      <c r="P124" s="143">
        <f>VLOOKUP(A124,'Billing Dimensions'!A:Q,17,FALSE)-VLOOKUP('Audit VAR'!A124,'Audit Dimensions'!A:P,16,FALSE)</f>
        <v>-150</v>
      </c>
      <c r="Q124" s="148">
        <f t="shared" si="1"/>
        <v>-0.14285714285714285</v>
      </c>
    </row>
    <row r="125" spans="1:17" ht="14.45" customHeight="1">
      <c r="A125" s="58" t="str">
        <f>'Audit Dimensions'!A125</f>
        <v>W-BNO</v>
      </c>
      <c r="B125" s="2" t="str">
        <f>VLOOKUP(A125,'Billing Dimensions'!A:B,2,FALSE)</f>
        <v>SB</v>
      </c>
      <c r="C125" s="59">
        <f>VLOOKUP(A125,'Billing Dimensions'!$A:$N,3,FALSE)-VLOOKUP(A125,'Audit Dimensions'!$A:$N,3,FALSE)</f>
        <v>0</v>
      </c>
      <c r="D125" s="59">
        <f>VLOOKUP(A125,'Billing Dimensions'!$A:$N,4,FALSE)-VLOOKUP(A125,'Audit Dimensions'!$A:$N,4,FALSE)</f>
        <v>0</v>
      </c>
      <c r="E125" s="59">
        <f>VLOOKUP(A125,'Billing Dimensions'!$A:$N,5,FALSE)-VLOOKUP(A125,'Audit Dimensions'!$A:$N,5,FALSE)</f>
        <v>0</v>
      </c>
      <c r="F125" s="137">
        <f>VLOOKUP(A125,'Billing Dimensions'!$A:$N,6,FALSE)-VLOOKUP(A125,'Audit Dimensions'!$A:$N,6,FALSE)</f>
        <v>-2380</v>
      </c>
      <c r="G125" s="65">
        <f>VLOOKUP(A125,'Billing Dimensions'!$A:$N,7,FALSE)-VLOOKUP(A125,'Audit Dimensions'!$A:$N,7,FALSE)</f>
        <v>0</v>
      </c>
      <c r="H125" s="65">
        <f>VLOOKUP(A125,'Billing Dimensions'!$A:$N,8,FALSE)-VLOOKUP(A125,'Audit Dimensions'!$A:$N,8,FALSE)</f>
        <v>0</v>
      </c>
      <c r="I125" s="65">
        <f>VLOOKUP(A125,'Billing Dimensions'!$A:$N,9,FALSE)-VLOOKUP(A125,'Audit Dimensions'!$A:$N,9,FALSE)</f>
        <v>0</v>
      </c>
      <c r="J125" s="61">
        <f>VLOOKUP(A125,'Billing Dimensions'!$A:$N,10,FALSE)-VLOOKUP(A125,'Audit Dimensions'!$A:$N,10,FALSE)</f>
        <v>0</v>
      </c>
      <c r="K125" s="63">
        <f>VLOOKUP(A125,'Billing Dimensions'!$A:$N,11,FALSE)-VLOOKUP(A125,'Audit Dimensions'!$A:$N,11,FALSE)</f>
        <v>0</v>
      </c>
      <c r="L125" s="63">
        <f>VLOOKUP(A125,'Billing Dimensions'!$A:$N,12,FALSE)-VLOOKUP(A125,'Audit Dimensions'!$A:$N,12,FALSE)</f>
        <v>0</v>
      </c>
      <c r="M125" s="63">
        <f>VLOOKUP(A125,'Billing Dimensions'!$A:$N,13,FALSE)-VLOOKUP(A125,'Audit Dimensions'!$A:$N,13,FALSE)</f>
        <v>0</v>
      </c>
      <c r="N125" s="140">
        <f>VLOOKUP(A125,'Billing Dimensions'!$A:$N,14,FALSE)-VLOOKUP(A125,'Audit Dimensions'!$A:$N,14,FALSE)</f>
        <v>0</v>
      </c>
      <c r="O125" s="145">
        <f>VLOOKUP('Audit VAR'!A125,'Audit Dimensions'!A:P,16,FALSE)</f>
        <v>39980</v>
      </c>
      <c r="P125" s="143">
        <f>VLOOKUP(A125,'Billing Dimensions'!A:Q,17,FALSE)-VLOOKUP('Audit VAR'!A125,'Audit Dimensions'!A:P,16,FALSE)</f>
        <v>-2380</v>
      </c>
      <c r="Q125" s="148">
        <f t="shared" si="1"/>
        <v>-5.9529764882441223E-2</v>
      </c>
    </row>
    <row r="126" spans="1:17" ht="14.45" customHeight="1">
      <c r="A126" s="58" t="str">
        <f>'Audit Dimensions'!A126</f>
        <v>TU-BKY</v>
      </c>
      <c r="B126" s="2" t="str">
        <f>VLOOKUP(A126,'Billing Dimensions'!A:B,2,FALSE)</f>
        <v>SB</v>
      </c>
      <c r="C126" s="59">
        <f>VLOOKUP(A126,'Billing Dimensions'!$A:$N,3,FALSE)-VLOOKUP(A126,'Audit Dimensions'!$A:$N,3,FALSE)</f>
        <v>0</v>
      </c>
      <c r="D126" s="59">
        <f>VLOOKUP(A126,'Billing Dimensions'!$A:$N,4,FALSE)-VLOOKUP(A126,'Audit Dimensions'!$A:$N,4,FALSE)</f>
        <v>0</v>
      </c>
      <c r="E126" s="59">
        <f>VLOOKUP(A126,'Billing Dimensions'!$A:$N,5,FALSE)-VLOOKUP(A126,'Audit Dimensions'!$A:$N,5,FALSE)</f>
        <v>0</v>
      </c>
      <c r="F126" s="137">
        <f>VLOOKUP(A126,'Billing Dimensions'!$A:$N,6,FALSE)-VLOOKUP(A126,'Audit Dimensions'!$A:$N,6,FALSE)</f>
        <v>-2050</v>
      </c>
      <c r="G126" s="65">
        <f>VLOOKUP(A126,'Billing Dimensions'!$A:$N,7,FALSE)-VLOOKUP(A126,'Audit Dimensions'!$A:$N,7,FALSE)</f>
        <v>0</v>
      </c>
      <c r="H126" s="65">
        <f>VLOOKUP(A126,'Billing Dimensions'!$A:$N,8,FALSE)-VLOOKUP(A126,'Audit Dimensions'!$A:$N,8,FALSE)</f>
        <v>0</v>
      </c>
      <c r="I126" s="65">
        <f>VLOOKUP(A126,'Billing Dimensions'!$A:$N,9,FALSE)-VLOOKUP(A126,'Audit Dimensions'!$A:$N,9,FALSE)</f>
        <v>0</v>
      </c>
      <c r="J126" s="61">
        <f>VLOOKUP(A126,'Billing Dimensions'!$A:$N,10,FALSE)-VLOOKUP(A126,'Audit Dimensions'!$A:$N,10,FALSE)</f>
        <v>0</v>
      </c>
      <c r="K126" s="63">
        <f>VLOOKUP(A126,'Billing Dimensions'!$A:$N,11,FALSE)-VLOOKUP(A126,'Audit Dimensions'!$A:$N,11,FALSE)</f>
        <v>0</v>
      </c>
      <c r="L126" s="63">
        <f>VLOOKUP(A126,'Billing Dimensions'!$A:$N,12,FALSE)-VLOOKUP(A126,'Audit Dimensions'!$A:$N,12,FALSE)</f>
        <v>0</v>
      </c>
      <c r="M126" s="63">
        <f>VLOOKUP(A126,'Billing Dimensions'!$A:$N,13,FALSE)-VLOOKUP(A126,'Audit Dimensions'!$A:$N,13,FALSE)</f>
        <v>0</v>
      </c>
      <c r="N126" s="140">
        <f>VLOOKUP(A126,'Billing Dimensions'!$A:$N,14,FALSE)-VLOOKUP(A126,'Audit Dimensions'!$A:$N,14,FALSE)</f>
        <v>0</v>
      </c>
      <c r="O126" s="145">
        <f>VLOOKUP('Audit VAR'!A126,'Audit Dimensions'!A:P,16,FALSE)</f>
        <v>32650</v>
      </c>
      <c r="P126" s="143">
        <f>VLOOKUP(A126,'Billing Dimensions'!A:Q,17,FALSE)-VLOOKUP('Audit VAR'!A126,'Audit Dimensions'!A:P,16,FALSE)</f>
        <v>-2050</v>
      </c>
      <c r="Q126" s="148">
        <f t="shared" si="1"/>
        <v>-6.278713629402756E-2</v>
      </c>
    </row>
    <row r="127" spans="1:17" ht="14.45" customHeight="1">
      <c r="A127" s="58" t="str">
        <f>'Audit Dimensions'!A127</f>
        <v>ST-RDO-ST</v>
      </c>
      <c r="B127" s="2" t="str">
        <f>VLOOKUP(A127,'Billing Dimensions'!A:B,2,FALSE)</f>
        <v>SB</v>
      </c>
      <c r="C127" s="59">
        <f>VLOOKUP(A127,'Billing Dimensions'!$A:$N,3,FALSE)-VLOOKUP(A127,'Audit Dimensions'!$A:$N,3,FALSE)</f>
        <v>0</v>
      </c>
      <c r="D127" s="59">
        <f>VLOOKUP(A127,'Billing Dimensions'!$A:$N,4,FALSE)-VLOOKUP(A127,'Audit Dimensions'!$A:$N,4,FALSE)</f>
        <v>0</v>
      </c>
      <c r="E127" s="59">
        <f>VLOOKUP(A127,'Billing Dimensions'!$A:$N,5,FALSE)-VLOOKUP(A127,'Audit Dimensions'!$A:$N,5,FALSE)</f>
        <v>0</v>
      </c>
      <c r="F127" s="137">
        <f>VLOOKUP(A127,'Billing Dimensions'!$A:$N,6,FALSE)-VLOOKUP(A127,'Audit Dimensions'!$A:$N,6,FALSE)</f>
        <v>-120</v>
      </c>
      <c r="G127" s="65">
        <f>VLOOKUP(A127,'Billing Dimensions'!$A:$N,7,FALSE)-VLOOKUP(A127,'Audit Dimensions'!$A:$N,7,FALSE)</f>
        <v>0</v>
      </c>
      <c r="H127" s="65">
        <f>VLOOKUP(A127,'Billing Dimensions'!$A:$N,8,FALSE)-VLOOKUP(A127,'Audit Dimensions'!$A:$N,8,FALSE)</f>
        <v>0</v>
      </c>
      <c r="I127" s="65">
        <f>VLOOKUP(A127,'Billing Dimensions'!$A:$N,9,FALSE)-VLOOKUP(A127,'Audit Dimensions'!$A:$N,9,FALSE)</f>
        <v>0</v>
      </c>
      <c r="J127" s="61">
        <f>VLOOKUP(A127,'Billing Dimensions'!$A:$N,10,FALSE)-VLOOKUP(A127,'Audit Dimensions'!$A:$N,10,FALSE)</f>
        <v>0</v>
      </c>
      <c r="K127" s="63">
        <f>VLOOKUP(A127,'Billing Dimensions'!$A:$N,11,FALSE)-VLOOKUP(A127,'Audit Dimensions'!$A:$N,11,FALSE)</f>
        <v>0</v>
      </c>
      <c r="L127" s="63">
        <f>VLOOKUP(A127,'Billing Dimensions'!$A:$N,12,FALSE)-VLOOKUP(A127,'Audit Dimensions'!$A:$N,12,FALSE)</f>
        <v>0</v>
      </c>
      <c r="M127" s="63">
        <f>VLOOKUP(A127,'Billing Dimensions'!$A:$N,13,FALSE)-VLOOKUP(A127,'Audit Dimensions'!$A:$N,13,FALSE)</f>
        <v>0</v>
      </c>
      <c r="N127" s="140">
        <f>VLOOKUP(A127,'Billing Dimensions'!$A:$N,14,FALSE)-VLOOKUP(A127,'Audit Dimensions'!$A:$N,14,FALSE)</f>
        <v>0</v>
      </c>
      <c r="O127" s="145">
        <f>VLOOKUP('Audit VAR'!A127,'Audit Dimensions'!A:P,16,FALSE)</f>
        <v>13970</v>
      </c>
      <c r="P127" s="143">
        <f>VLOOKUP(A127,'Billing Dimensions'!A:Q,17,FALSE)-VLOOKUP('Audit VAR'!A127,'Audit Dimensions'!A:P,16,FALSE)</f>
        <v>-120</v>
      </c>
      <c r="Q127" s="148">
        <f t="shared" si="1"/>
        <v>-8.5898353614889053E-3</v>
      </c>
    </row>
    <row r="128" spans="1:17" ht="14.45" customHeight="1">
      <c r="A128" s="58" t="str">
        <f>'Audit Dimensions'!A128</f>
        <v>PU-SUB-ST</v>
      </c>
      <c r="B128" s="2" t="str">
        <f>VLOOKUP(A128,'Billing Dimensions'!A:B,2,FALSE)</f>
        <v>SB</v>
      </c>
      <c r="C128" s="59">
        <f>VLOOKUP(A128,'Billing Dimensions'!$A:$N,3,FALSE)-VLOOKUP(A128,'Audit Dimensions'!$A:$N,3,FALSE)</f>
        <v>0</v>
      </c>
      <c r="D128" s="59">
        <f>VLOOKUP(A128,'Billing Dimensions'!$A:$N,4,FALSE)-VLOOKUP(A128,'Audit Dimensions'!$A:$N,4,FALSE)</f>
        <v>0</v>
      </c>
      <c r="E128" s="59">
        <f>VLOOKUP(A128,'Billing Dimensions'!$A:$N,5,FALSE)-VLOOKUP(A128,'Audit Dimensions'!$A:$N,5,FALSE)</f>
        <v>0</v>
      </c>
      <c r="F128" s="137">
        <f>VLOOKUP(A128,'Billing Dimensions'!$A:$N,6,FALSE)-VLOOKUP(A128,'Audit Dimensions'!$A:$N,6,FALSE)</f>
        <v>-470</v>
      </c>
      <c r="G128" s="65">
        <f>VLOOKUP(A128,'Billing Dimensions'!$A:$N,7,FALSE)-VLOOKUP(A128,'Audit Dimensions'!$A:$N,7,FALSE)</f>
        <v>0</v>
      </c>
      <c r="H128" s="65">
        <f>VLOOKUP(A128,'Billing Dimensions'!$A:$N,8,FALSE)-VLOOKUP(A128,'Audit Dimensions'!$A:$N,8,FALSE)</f>
        <v>0</v>
      </c>
      <c r="I128" s="65">
        <f>VLOOKUP(A128,'Billing Dimensions'!$A:$N,9,FALSE)-VLOOKUP(A128,'Audit Dimensions'!$A:$N,9,FALSE)</f>
        <v>0</v>
      </c>
      <c r="J128" s="61">
        <f>VLOOKUP(A128,'Billing Dimensions'!$A:$N,10,FALSE)-VLOOKUP(A128,'Audit Dimensions'!$A:$N,10,FALSE)</f>
        <v>0</v>
      </c>
      <c r="K128" s="63">
        <f>VLOOKUP(A128,'Billing Dimensions'!$A:$N,11,FALSE)-VLOOKUP(A128,'Audit Dimensions'!$A:$N,11,FALSE)</f>
        <v>0</v>
      </c>
      <c r="L128" s="63">
        <f>VLOOKUP(A128,'Billing Dimensions'!$A:$N,12,FALSE)-VLOOKUP(A128,'Audit Dimensions'!$A:$N,12,FALSE)</f>
        <v>0</v>
      </c>
      <c r="M128" s="63">
        <f>VLOOKUP(A128,'Billing Dimensions'!$A:$N,13,FALSE)-VLOOKUP(A128,'Audit Dimensions'!$A:$N,13,FALSE)</f>
        <v>0</v>
      </c>
      <c r="N128" s="140">
        <f>VLOOKUP(A128,'Billing Dimensions'!$A:$N,14,FALSE)-VLOOKUP(A128,'Audit Dimensions'!$A:$N,14,FALSE)</f>
        <v>0</v>
      </c>
      <c r="O128" s="145">
        <f>VLOOKUP('Audit VAR'!A128,'Audit Dimensions'!A:P,16,FALSE)</f>
        <v>13270</v>
      </c>
      <c r="P128" s="143">
        <f>VLOOKUP(A128,'Billing Dimensions'!A:Q,17,FALSE)-VLOOKUP('Audit VAR'!A128,'Audit Dimensions'!A:P,16,FALSE)</f>
        <v>-470</v>
      </c>
      <c r="Q128" s="148">
        <f t="shared" ref="Q128:Q191" si="2">P128/O128</f>
        <v>-3.5418236623963831E-2</v>
      </c>
    </row>
    <row r="129" spans="1:17" ht="14.45" customHeight="1">
      <c r="A129" s="58" t="str">
        <f>'Audit Dimensions'!A129</f>
        <v>SR-MVS-IT</v>
      </c>
      <c r="B129" s="2" t="str">
        <f>VLOOKUP(A129,'Billing Dimensions'!A:B,2,FALSE)</f>
        <v>SB</v>
      </c>
      <c r="C129" s="59">
        <f>VLOOKUP(A129,'Billing Dimensions'!$A:$N,3,FALSE)-VLOOKUP(A129,'Audit Dimensions'!$A:$N,3,FALSE)</f>
        <v>0</v>
      </c>
      <c r="D129" s="59">
        <f>VLOOKUP(A129,'Billing Dimensions'!$A:$N,4,FALSE)-VLOOKUP(A129,'Audit Dimensions'!$A:$N,4,FALSE)</f>
        <v>0</v>
      </c>
      <c r="E129" s="59">
        <f>VLOOKUP(A129,'Billing Dimensions'!$A:$N,5,FALSE)-VLOOKUP(A129,'Audit Dimensions'!$A:$N,5,FALSE)</f>
        <v>0</v>
      </c>
      <c r="F129" s="137">
        <f>VLOOKUP(A129,'Billing Dimensions'!$A:$N,6,FALSE)-VLOOKUP(A129,'Audit Dimensions'!$A:$N,6,FALSE)</f>
        <v>-1400</v>
      </c>
      <c r="G129" s="65">
        <f>VLOOKUP(A129,'Billing Dimensions'!$A:$N,7,FALSE)-VLOOKUP(A129,'Audit Dimensions'!$A:$N,7,FALSE)</f>
        <v>0</v>
      </c>
      <c r="H129" s="65">
        <f>VLOOKUP(A129,'Billing Dimensions'!$A:$N,8,FALSE)-VLOOKUP(A129,'Audit Dimensions'!$A:$N,8,FALSE)</f>
        <v>0</v>
      </c>
      <c r="I129" s="65">
        <f>VLOOKUP(A129,'Billing Dimensions'!$A:$N,9,FALSE)-VLOOKUP(A129,'Audit Dimensions'!$A:$N,9,FALSE)</f>
        <v>0</v>
      </c>
      <c r="J129" s="61">
        <f>VLOOKUP(A129,'Billing Dimensions'!$A:$N,10,FALSE)-VLOOKUP(A129,'Audit Dimensions'!$A:$N,10,FALSE)</f>
        <v>-1800</v>
      </c>
      <c r="K129" s="63">
        <f>VLOOKUP(A129,'Billing Dimensions'!$A:$N,11,FALSE)-VLOOKUP(A129,'Audit Dimensions'!$A:$N,11,FALSE)</f>
        <v>0</v>
      </c>
      <c r="L129" s="63">
        <f>VLOOKUP(A129,'Billing Dimensions'!$A:$N,12,FALSE)-VLOOKUP(A129,'Audit Dimensions'!$A:$N,12,FALSE)</f>
        <v>0</v>
      </c>
      <c r="M129" s="63">
        <f>VLOOKUP(A129,'Billing Dimensions'!$A:$N,13,FALSE)-VLOOKUP(A129,'Audit Dimensions'!$A:$N,13,FALSE)</f>
        <v>0</v>
      </c>
      <c r="N129" s="140">
        <f>VLOOKUP(A129,'Billing Dimensions'!$A:$N,14,FALSE)-VLOOKUP(A129,'Audit Dimensions'!$A:$N,14,FALSE)</f>
        <v>0</v>
      </c>
      <c r="O129" s="145">
        <f>VLOOKUP('Audit VAR'!A129,'Audit Dimensions'!A:P,16,FALSE)</f>
        <v>53400</v>
      </c>
      <c r="P129" s="143">
        <f>VLOOKUP(A129,'Billing Dimensions'!A:Q,17,FALSE)-VLOOKUP('Audit VAR'!A129,'Audit Dimensions'!A:P,16,FALSE)</f>
        <v>-3200</v>
      </c>
      <c r="Q129" s="148">
        <f t="shared" si="2"/>
        <v>-5.9925093632958802E-2</v>
      </c>
    </row>
    <row r="130" spans="1:17" ht="14.45" customHeight="1">
      <c r="A130" s="58" t="str">
        <f>'Audit Dimensions'!A130</f>
        <v>CT-TLY</v>
      </c>
      <c r="B130" s="2" t="str">
        <f>VLOOKUP(A130,'Billing Dimensions'!A:B,2,FALSE)</f>
        <v>SB</v>
      </c>
      <c r="C130" s="59">
        <f>VLOOKUP(A130,'Billing Dimensions'!$A:$N,3,FALSE)-VLOOKUP(A130,'Audit Dimensions'!$A:$N,3,FALSE)</f>
        <v>0</v>
      </c>
      <c r="D130" s="59">
        <f>VLOOKUP(A130,'Billing Dimensions'!$A:$N,4,FALSE)-VLOOKUP(A130,'Audit Dimensions'!$A:$N,4,FALSE)</f>
        <v>0</v>
      </c>
      <c r="E130" s="59">
        <f>VLOOKUP(A130,'Billing Dimensions'!$A:$N,5,FALSE)-VLOOKUP(A130,'Audit Dimensions'!$A:$N,5,FALSE)</f>
        <v>0</v>
      </c>
      <c r="F130" s="137">
        <f>VLOOKUP(A130,'Billing Dimensions'!$A:$N,6,FALSE)-VLOOKUP(A130,'Audit Dimensions'!$A:$N,6,FALSE)</f>
        <v>-1000</v>
      </c>
      <c r="G130" s="65">
        <f>VLOOKUP(A130,'Billing Dimensions'!$A:$N,7,FALSE)-VLOOKUP(A130,'Audit Dimensions'!$A:$N,7,FALSE)</f>
        <v>0</v>
      </c>
      <c r="H130" s="65">
        <f>VLOOKUP(A130,'Billing Dimensions'!$A:$N,8,FALSE)-VLOOKUP(A130,'Audit Dimensions'!$A:$N,8,FALSE)</f>
        <v>0</v>
      </c>
      <c r="I130" s="65">
        <f>VLOOKUP(A130,'Billing Dimensions'!$A:$N,9,FALSE)-VLOOKUP(A130,'Audit Dimensions'!$A:$N,9,FALSE)</f>
        <v>0</v>
      </c>
      <c r="J130" s="61">
        <f>VLOOKUP(A130,'Billing Dimensions'!$A:$N,10,FALSE)-VLOOKUP(A130,'Audit Dimensions'!$A:$N,10,FALSE)</f>
        <v>0</v>
      </c>
      <c r="K130" s="63">
        <f>VLOOKUP(A130,'Billing Dimensions'!$A:$N,11,FALSE)-VLOOKUP(A130,'Audit Dimensions'!$A:$N,11,FALSE)</f>
        <v>0</v>
      </c>
      <c r="L130" s="63">
        <f>VLOOKUP(A130,'Billing Dimensions'!$A:$N,12,FALSE)-VLOOKUP(A130,'Audit Dimensions'!$A:$N,12,FALSE)</f>
        <v>0</v>
      </c>
      <c r="M130" s="63">
        <f>VLOOKUP(A130,'Billing Dimensions'!$A:$N,13,FALSE)-VLOOKUP(A130,'Audit Dimensions'!$A:$N,13,FALSE)</f>
        <v>0</v>
      </c>
      <c r="N130" s="140">
        <f>VLOOKUP(A130,'Billing Dimensions'!$A:$N,14,FALSE)-VLOOKUP(A130,'Audit Dimensions'!$A:$N,14,FALSE)</f>
        <v>0</v>
      </c>
      <c r="O130" s="145">
        <f>VLOOKUP('Audit VAR'!A130,'Audit Dimensions'!A:P,16,FALSE)</f>
        <v>11850</v>
      </c>
      <c r="P130" s="143">
        <f>VLOOKUP(A130,'Billing Dimensions'!A:Q,17,FALSE)-VLOOKUP('Audit VAR'!A130,'Audit Dimensions'!A:P,16,FALSE)</f>
        <v>-1000</v>
      </c>
      <c r="Q130" s="148">
        <f t="shared" si="2"/>
        <v>-8.4388185654008435E-2</v>
      </c>
    </row>
    <row r="131" spans="1:17" ht="14.45" customHeight="1">
      <c r="A131" s="58" t="str">
        <f>'Audit Dimensions'!A131</f>
        <v>ST-EFI-ST</v>
      </c>
      <c r="B131" s="2" t="str">
        <f>VLOOKUP(A131,'Billing Dimensions'!A:B,2,FALSE)</f>
        <v>SB</v>
      </c>
      <c r="C131" s="59">
        <f>VLOOKUP(A131,'Billing Dimensions'!$A:$N,3,FALSE)-VLOOKUP(A131,'Audit Dimensions'!$A:$N,3,FALSE)</f>
        <v>0</v>
      </c>
      <c r="D131" s="59">
        <f>VLOOKUP(A131,'Billing Dimensions'!$A:$N,4,FALSE)-VLOOKUP(A131,'Audit Dimensions'!$A:$N,4,FALSE)</f>
        <v>0</v>
      </c>
      <c r="E131" s="59">
        <f>VLOOKUP(A131,'Billing Dimensions'!$A:$N,5,FALSE)-VLOOKUP(A131,'Audit Dimensions'!$A:$N,5,FALSE)</f>
        <v>0</v>
      </c>
      <c r="F131" s="137">
        <f>VLOOKUP(A131,'Billing Dimensions'!$A:$N,6,FALSE)-VLOOKUP(A131,'Audit Dimensions'!$A:$N,6,FALSE)</f>
        <v>-700</v>
      </c>
      <c r="G131" s="65">
        <f>VLOOKUP(A131,'Billing Dimensions'!$A:$N,7,FALSE)-VLOOKUP(A131,'Audit Dimensions'!$A:$N,7,FALSE)</f>
        <v>0</v>
      </c>
      <c r="H131" s="65">
        <f>VLOOKUP(A131,'Billing Dimensions'!$A:$N,8,FALSE)-VLOOKUP(A131,'Audit Dimensions'!$A:$N,8,FALSE)</f>
        <v>0</v>
      </c>
      <c r="I131" s="65">
        <f>VLOOKUP(A131,'Billing Dimensions'!$A:$N,9,FALSE)-VLOOKUP(A131,'Audit Dimensions'!$A:$N,9,FALSE)</f>
        <v>0</v>
      </c>
      <c r="J131" s="61">
        <f>VLOOKUP(A131,'Billing Dimensions'!$A:$N,10,FALSE)-VLOOKUP(A131,'Audit Dimensions'!$A:$N,10,FALSE)</f>
        <v>0</v>
      </c>
      <c r="K131" s="63">
        <f>VLOOKUP(A131,'Billing Dimensions'!$A:$N,11,FALSE)-VLOOKUP(A131,'Audit Dimensions'!$A:$N,11,FALSE)</f>
        <v>0</v>
      </c>
      <c r="L131" s="63">
        <f>VLOOKUP(A131,'Billing Dimensions'!$A:$N,12,FALSE)-VLOOKUP(A131,'Audit Dimensions'!$A:$N,12,FALSE)</f>
        <v>0</v>
      </c>
      <c r="M131" s="63">
        <f>VLOOKUP(A131,'Billing Dimensions'!$A:$N,13,FALSE)-VLOOKUP(A131,'Audit Dimensions'!$A:$N,13,FALSE)</f>
        <v>0</v>
      </c>
      <c r="N131" s="140">
        <f>VLOOKUP(A131,'Billing Dimensions'!$A:$N,14,FALSE)-VLOOKUP(A131,'Audit Dimensions'!$A:$N,14,FALSE)</f>
        <v>0</v>
      </c>
      <c r="O131" s="145">
        <f>VLOOKUP('Audit VAR'!A131,'Audit Dimensions'!A:P,16,FALSE)</f>
        <v>10400</v>
      </c>
      <c r="P131" s="143">
        <f>VLOOKUP(A131,'Billing Dimensions'!A:Q,17,FALSE)-VLOOKUP('Audit VAR'!A131,'Audit Dimensions'!A:P,16,FALSE)</f>
        <v>-700</v>
      </c>
      <c r="Q131" s="148">
        <f t="shared" si="2"/>
        <v>-6.7307692307692304E-2</v>
      </c>
    </row>
    <row r="132" spans="1:17" ht="14.45" customHeight="1">
      <c r="A132" s="58" t="str">
        <f>'Audit Dimensions'!A132</f>
        <v>TU-PMG-LA</v>
      </c>
      <c r="B132" s="2" t="str">
        <f>VLOOKUP(A132,'Billing Dimensions'!A:B,2,FALSE)</f>
        <v>SB</v>
      </c>
      <c r="C132" s="59">
        <f>VLOOKUP(A132,'Billing Dimensions'!$A:$N,3,FALSE)-VLOOKUP(A132,'Audit Dimensions'!$A:$N,3,FALSE)</f>
        <v>0</v>
      </c>
      <c r="D132" s="59">
        <f>VLOOKUP(A132,'Billing Dimensions'!$A:$N,4,FALSE)-VLOOKUP(A132,'Audit Dimensions'!$A:$N,4,FALSE)</f>
        <v>0</v>
      </c>
      <c r="E132" s="59">
        <f>VLOOKUP(A132,'Billing Dimensions'!$A:$N,5,FALSE)-VLOOKUP(A132,'Audit Dimensions'!$A:$N,5,FALSE)</f>
        <v>0</v>
      </c>
      <c r="F132" s="137">
        <f>VLOOKUP(A132,'Billing Dimensions'!$A:$N,6,FALSE)-VLOOKUP(A132,'Audit Dimensions'!$A:$N,6,FALSE)</f>
        <v>-2100</v>
      </c>
      <c r="G132" s="65">
        <f>VLOOKUP(A132,'Billing Dimensions'!$A:$N,7,FALSE)-VLOOKUP(A132,'Audit Dimensions'!$A:$N,7,FALSE)</f>
        <v>0</v>
      </c>
      <c r="H132" s="65">
        <f>VLOOKUP(A132,'Billing Dimensions'!$A:$N,8,FALSE)-VLOOKUP(A132,'Audit Dimensions'!$A:$N,8,FALSE)</f>
        <v>0</v>
      </c>
      <c r="I132" s="65">
        <f>VLOOKUP(A132,'Billing Dimensions'!$A:$N,9,FALSE)-VLOOKUP(A132,'Audit Dimensions'!$A:$N,9,FALSE)</f>
        <v>0</v>
      </c>
      <c r="J132" s="61">
        <f>VLOOKUP(A132,'Billing Dimensions'!$A:$N,10,FALSE)-VLOOKUP(A132,'Audit Dimensions'!$A:$N,10,FALSE)</f>
        <v>0</v>
      </c>
      <c r="K132" s="63">
        <f>VLOOKUP(A132,'Billing Dimensions'!$A:$N,11,FALSE)-VLOOKUP(A132,'Audit Dimensions'!$A:$N,11,FALSE)</f>
        <v>0</v>
      </c>
      <c r="L132" s="63">
        <f>VLOOKUP(A132,'Billing Dimensions'!$A:$N,12,FALSE)-VLOOKUP(A132,'Audit Dimensions'!$A:$N,12,FALSE)</f>
        <v>0</v>
      </c>
      <c r="M132" s="63">
        <f>VLOOKUP(A132,'Billing Dimensions'!$A:$N,13,FALSE)-VLOOKUP(A132,'Audit Dimensions'!$A:$N,13,FALSE)</f>
        <v>0</v>
      </c>
      <c r="N132" s="140">
        <f>VLOOKUP(A132,'Billing Dimensions'!$A:$N,14,FALSE)-VLOOKUP(A132,'Audit Dimensions'!$A:$N,14,FALSE)</f>
        <v>0</v>
      </c>
      <c r="O132" s="145">
        <f>VLOOKUP('Audit VAR'!A132,'Audit Dimensions'!A:P,16,FALSE)</f>
        <v>21700</v>
      </c>
      <c r="P132" s="143">
        <f>VLOOKUP(A132,'Billing Dimensions'!A:Q,17,FALSE)-VLOOKUP('Audit VAR'!A132,'Audit Dimensions'!A:P,16,FALSE)</f>
        <v>-2100</v>
      </c>
      <c r="Q132" s="148">
        <f t="shared" si="2"/>
        <v>-9.6774193548387094E-2</v>
      </c>
    </row>
    <row r="133" spans="1:17" ht="14.45" customHeight="1">
      <c r="A133" s="58" t="str">
        <f>'Audit Dimensions'!A133</f>
        <v>W-AND-10N</v>
      </c>
      <c r="B133" s="2" t="str">
        <f>VLOOKUP(A133,'Billing Dimensions'!A:B,2,FALSE)</f>
        <v>SB</v>
      </c>
      <c r="C133" s="59">
        <f>VLOOKUP(A133,'Billing Dimensions'!$A:$N,3,FALSE)-VLOOKUP(A133,'Audit Dimensions'!$A:$N,3,FALSE)</f>
        <v>0</v>
      </c>
      <c r="D133" s="59">
        <f>VLOOKUP(A133,'Billing Dimensions'!$A:$N,4,FALSE)-VLOOKUP(A133,'Audit Dimensions'!$A:$N,4,FALSE)</f>
        <v>0</v>
      </c>
      <c r="E133" s="59">
        <f>VLOOKUP(A133,'Billing Dimensions'!$A:$N,5,FALSE)-VLOOKUP(A133,'Audit Dimensions'!$A:$N,5,FALSE)</f>
        <v>0</v>
      </c>
      <c r="F133" s="137">
        <f>VLOOKUP(A133,'Billing Dimensions'!$A:$N,6,FALSE)-VLOOKUP(A133,'Audit Dimensions'!$A:$N,6,FALSE)</f>
        <v>-2690</v>
      </c>
      <c r="G133" s="65">
        <f>VLOOKUP(A133,'Billing Dimensions'!$A:$N,7,FALSE)-VLOOKUP(A133,'Audit Dimensions'!$A:$N,7,FALSE)</f>
        <v>0</v>
      </c>
      <c r="H133" s="65">
        <f>VLOOKUP(A133,'Billing Dimensions'!$A:$N,8,FALSE)-VLOOKUP(A133,'Audit Dimensions'!$A:$N,8,FALSE)</f>
        <v>0</v>
      </c>
      <c r="I133" s="65">
        <f>VLOOKUP(A133,'Billing Dimensions'!$A:$N,9,FALSE)-VLOOKUP(A133,'Audit Dimensions'!$A:$N,9,FALSE)</f>
        <v>0</v>
      </c>
      <c r="J133" s="61">
        <f>VLOOKUP(A133,'Billing Dimensions'!$A:$N,10,FALSE)-VLOOKUP(A133,'Audit Dimensions'!$A:$N,10,FALSE)</f>
        <v>0</v>
      </c>
      <c r="K133" s="63">
        <f>VLOOKUP(A133,'Billing Dimensions'!$A:$N,11,FALSE)-VLOOKUP(A133,'Audit Dimensions'!$A:$N,11,FALSE)</f>
        <v>0</v>
      </c>
      <c r="L133" s="63">
        <f>VLOOKUP(A133,'Billing Dimensions'!$A:$N,12,FALSE)-VLOOKUP(A133,'Audit Dimensions'!$A:$N,12,FALSE)</f>
        <v>0</v>
      </c>
      <c r="M133" s="63">
        <f>VLOOKUP(A133,'Billing Dimensions'!$A:$N,13,FALSE)-VLOOKUP(A133,'Audit Dimensions'!$A:$N,13,FALSE)</f>
        <v>0</v>
      </c>
      <c r="N133" s="140">
        <f>VLOOKUP(A133,'Billing Dimensions'!$A:$N,14,FALSE)-VLOOKUP(A133,'Audit Dimensions'!$A:$N,14,FALSE)</f>
        <v>0</v>
      </c>
      <c r="O133" s="145">
        <f>VLOOKUP('Audit VAR'!A133,'Audit Dimensions'!A:P,16,FALSE)</f>
        <v>45330</v>
      </c>
      <c r="P133" s="143">
        <f>VLOOKUP(A133,'Billing Dimensions'!A:Q,17,FALSE)-VLOOKUP('Audit VAR'!A133,'Audit Dimensions'!A:P,16,FALSE)</f>
        <v>-2690</v>
      </c>
      <c r="Q133" s="148">
        <f t="shared" si="2"/>
        <v>-5.9342598720494154E-2</v>
      </c>
    </row>
    <row r="134" spans="1:17" ht="14.45" customHeight="1">
      <c r="A134" s="58" t="str">
        <f>'Audit Dimensions'!A134</f>
        <v>KR-JSD</v>
      </c>
      <c r="B134" s="2" t="str">
        <f>VLOOKUP(A134,'Billing Dimensions'!A:B,2,FALSE)</f>
        <v>SB</v>
      </c>
      <c r="C134" s="59">
        <f>VLOOKUP(A134,'Billing Dimensions'!$A:$N,3,FALSE)-VLOOKUP(A134,'Audit Dimensions'!$A:$N,3,FALSE)</f>
        <v>0</v>
      </c>
      <c r="D134" s="59">
        <f>VLOOKUP(A134,'Billing Dimensions'!$A:$N,4,FALSE)-VLOOKUP(A134,'Audit Dimensions'!$A:$N,4,FALSE)</f>
        <v>0</v>
      </c>
      <c r="E134" s="59">
        <f>VLOOKUP(A134,'Billing Dimensions'!$A:$N,5,FALSE)-VLOOKUP(A134,'Audit Dimensions'!$A:$N,5,FALSE)</f>
        <v>0</v>
      </c>
      <c r="F134" s="137">
        <f>VLOOKUP(A134,'Billing Dimensions'!$A:$N,6,FALSE)-VLOOKUP(A134,'Audit Dimensions'!$A:$N,6,FALSE)</f>
        <v>-470</v>
      </c>
      <c r="G134" s="65">
        <f>VLOOKUP(A134,'Billing Dimensions'!$A:$N,7,FALSE)-VLOOKUP(A134,'Audit Dimensions'!$A:$N,7,FALSE)</f>
        <v>0</v>
      </c>
      <c r="H134" s="65">
        <f>VLOOKUP(A134,'Billing Dimensions'!$A:$N,8,FALSE)-VLOOKUP(A134,'Audit Dimensions'!$A:$N,8,FALSE)</f>
        <v>0</v>
      </c>
      <c r="I134" s="65">
        <f>VLOOKUP(A134,'Billing Dimensions'!$A:$N,9,FALSE)-VLOOKUP(A134,'Audit Dimensions'!$A:$N,9,FALSE)</f>
        <v>0</v>
      </c>
      <c r="J134" s="61">
        <f>VLOOKUP(A134,'Billing Dimensions'!$A:$N,10,FALSE)-VLOOKUP(A134,'Audit Dimensions'!$A:$N,10,FALSE)</f>
        <v>0</v>
      </c>
      <c r="K134" s="63">
        <f>VLOOKUP(A134,'Billing Dimensions'!$A:$N,11,FALSE)-VLOOKUP(A134,'Audit Dimensions'!$A:$N,11,FALSE)</f>
        <v>0</v>
      </c>
      <c r="L134" s="63">
        <f>VLOOKUP(A134,'Billing Dimensions'!$A:$N,12,FALSE)-VLOOKUP(A134,'Audit Dimensions'!$A:$N,12,FALSE)</f>
        <v>0</v>
      </c>
      <c r="M134" s="63">
        <f>VLOOKUP(A134,'Billing Dimensions'!$A:$N,13,FALSE)-VLOOKUP(A134,'Audit Dimensions'!$A:$N,13,FALSE)</f>
        <v>0</v>
      </c>
      <c r="N134" s="140">
        <f>VLOOKUP(A134,'Billing Dimensions'!$A:$N,14,FALSE)-VLOOKUP(A134,'Audit Dimensions'!$A:$N,14,FALSE)</f>
        <v>0</v>
      </c>
      <c r="O134" s="145">
        <f>VLOOKUP('Audit VAR'!A134,'Audit Dimensions'!A:P,16,FALSE)</f>
        <v>8270</v>
      </c>
      <c r="P134" s="143">
        <f>VLOOKUP(A134,'Billing Dimensions'!A:Q,17,FALSE)-VLOOKUP('Audit VAR'!A134,'Audit Dimensions'!A:P,16,FALSE)</f>
        <v>-470</v>
      </c>
      <c r="Q134" s="148">
        <f t="shared" si="2"/>
        <v>-5.6831922611850064E-2</v>
      </c>
    </row>
    <row r="135" spans="1:17" ht="14.45" customHeight="1">
      <c r="A135" s="58" t="str">
        <f>'Audit Dimensions'!A135</f>
        <v>S-ETN</v>
      </c>
      <c r="B135" s="2" t="str">
        <f>VLOOKUP(A135,'Billing Dimensions'!A:B,2,FALSE)</f>
        <v>SB</v>
      </c>
      <c r="C135" s="59">
        <f>VLOOKUP(A135,'Billing Dimensions'!$A:$N,3,FALSE)-VLOOKUP(A135,'Audit Dimensions'!$A:$N,3,FALSE)</f>
        <v>0</v>
      </c>
      <c r="D135" s="59">
        <f>VLOOKUP(A135,'Billing Dimensions'!$A:$N,4,FALSE)-VLOOKUP(A135,'Audit Dimensions'!$A:$N,4,FALSE)</f>
        <v>0</v>
      </c>
      <c r="E135" s="59">
        <f>VLOOKUP(A135,'Billing Dimensions'!$A:$N,5,FALSE)-VLOOKUP(A135,'Audit Dimensions'!$A:$N,5,FALSE)</f>
        <v>0</v>
      </c>
      <c r="F135" s="137">
        <f>VLOOKUP(A135,'Billing Dimensions'!$A:$N,6,FALSE)-VLOOKUP(A135,'Audit Dimensions'!$A:$N,6,FALSE)</f>
        <v>-90</v>
      </c>
      <c r="G135" s="65">
        <f>VLOOKUP(A135,'Billing Dimensions'!$A:$N,7,FALSE)-VLOOKUP(A135,'Audit Dimensions'!$A:$N,7,FALSE)</f>
        <v>0</v>
      </c>
      <c r="H135" s="65">
        <f>VLOOKUP(A135,'Billing Dimensions'!$A:$N,8,FALSE)-VLOOKUP(A135,'Audit Dimensions'!$A:$N,8,FALSE)</f>
        <v>0</v>
      </c>
      <c r="I135" s="65">
        <f>VLOOKUP(A135,'Billing Dimensions'!$A:$N,9,FALSE)-VLOOKUP(A135,'Audit Dimensions'!$A:$N,9,FALSE)</f>
        <v>0</v>
      </c>
      <c r="J135" s="61">
        <f>VLOOKUP(A135,'Billing Dimensions'!$A:$N,10,FALSE)-VLOOKUP(A135,'Audit Dimensions'!$A:$N,10,FALSE)</f>
        <v>0</v>
      </c>
      <c r="K135" s="63">
        <f>VLOOKUP(A135,'Billing Dimensions'!$A:$N,11,FALSE)-VLOOKUP(A135,'Audit Dimensions'!$A:$N,11,FALSE)</f>
        <v>0</v>
      </c>
      <c r="L135" s="63">
        <f>VLOOKUP(A135,'Billing Dimensions'!$A:$N,12,FALSE)-VLOOKUP(A135,'Audit Dimensions'!$A:$N,12,FALSE)</f>
        <v>0</v>
      </c>
      <c r="M135" s="63">
        <f>VLOOKUP(A135,'Billing Dimensions'!$A:$N,13,FALSE)-VLOOKUP(A135,'Audit Dimensions'!$A:$N,13,FALSE)</f>
        <v>0</v>
      </c>
      <c r="N135" s="140">
        <f>VLOOKUP(A135,'Billing Dimensions'!$A:$N,14,FALSE)-VLOOKUP(A135,'Audit Dimensions'!$A:$N,14,FALSE)</f>
        <v>0</v>
      </c>
      <c r="O135" s="145">
        <f>VLOOKUP('Audit VAR'!A135,'Audit Dimensions'!A:P,16,FALSE)</f>
        <v>4950</v>
      </c>
      <c r="P135" s="143">
        <f>VLOOKUP(A135,'Billing Dimensions'!A:Q,17,FALSE)-VLOOKUP('Audit VAR'!A135,'Audit Dimensions'!A:P,16,FALSE)</f>
        <v>-90</v>
      </c>
      <c r="Q135" s="148">
        <f t="shared" si="2"/>
        <v>-1.8181818181818181E-2</v>
      </c>
    </row>
    <row r="136" spans="1:17" ht="14.45" customHeight="1">
      <c r="A136" s="58" t="str">
        <f>'Audit Dimensions'!A136</f>
        <v>TU-HMD</v>
      </c>
      <c r="B136" s="2" t="str">
        <f>VLOOKUP(A136,'Billing Dimensions'!A:B,2,FALSE)</f>
        <v>SB</v>
      </c>
      <c r="C136" s="59">
        <f>VLOOKUP(A136,'Billing Dimensions'!$A:$N,3,FALSE)-VLOOKUP(A136,'Audit Dimensions'!$A:$N,3,FALSE)</f>
        <v>0</v>
      </c>
      <c r="D136" s="59">
        <f>VLOOKUP(A136,'Billing Dimensions'!$A:$N,4,FALSE)-VLOOKUP(A136,'Audit Dimensions'!$A:$N,4,FALSE)</f>
        <v>0</v>
      </c>
      <c r="E136" s="59">
        <f>VLOOKUP(A136,'Billing Dimensions'!$A:$N,5,FALSE)-VLOOKUP(A136,'Audit Dimensions'!$A:$N,5,FALSE)</f>
        <v>0</v>
      </c>
      <c r="F136" s="137">
        <f>VLOOKUP(A136,'Billing Dimensions'!$A:$N,6,FALSE)-VLOOKUP(A136,'Audit Dimensions'!$A:$N,6,FALSE)</f>
        <v>-1610</v>
      </c>
      <c r="G136" s="65">
        <f>VLOOKUP(A136,'Billing Dimensions'!$A:$N,7,FALSE)-VLOOKUP(A136,'Audit Dimensions'!$A:$N,7,FALSE)</f>
        <v>0</v>
      </c>
      <c r="H136" s="65">
        <f>VLOOKUP(A136,'Billing Dimensions'!$A:$N,8,FALSE)-VLOOKUP(A136,'Audit Dimensions'!$A:$N,8,FALSE)</f>
        <v>0</v>
      </c>
      <c r="I136" s="65">
        <f>VLOOKUP(A136,'Billing Dimensions'!$A:$N,9,FALSE)-VLOOKUP(A136,'Audit Dimensions'!$A:$N,9,FALSE)</f>
        <v>0</v>
      </c>
      <c r="J136" s="61">
        <f>VLOOKUP(A136,'Billing Dimensions'!$A:$N,10,FALSE)-VLOOKUP(A136,'Audit Dimensions'!$A:$N,10,FALSE)</f>
        <v>0</v>
      </c>
      <c r="K136" s="63">
        <f>VLOOKUP(A136,'Billing Dimensions'!$A:$N,11,FALSE)-VLOOKUP(A136,'Audit Dimensions'!$A:$N,11,FALSE)</f>
        <v>0</v>
      </c>
      <c r="L136" s="63">
        <f>VLOOKUP(A136,'Billing Dimensions'!$A:$N,12,FALSE)-VLOOKUP(A136,'Audit Dimensions'!$A:$N,12,FALSE)</f>
        <v>0</v>
      </c>
      <c r="M136" s="63">
        <f>VLOOKUP(A136,'Billing Dimensions'!$A:$N,13,FALSE)-VLOOKUP(A136,'Audit Dimensions'!$A:$N,13,FALSE)</f>
        <v>0</v>
      </c>
      <c r="N136" s="140">
        <f>VLOOKUP(A136,'Billing Dimensions'!$A:$N,14,FALSE)-VLOOKUP(A136,'Audit Dimensions'!$A:$N,14,FALSE)</f>
        <v>0</v>
      </c>
      <c r="O136" s="145">
        <f>VLOOKUP('Audit VAR'!A136,'Audit Dimensions'!A:P,16,FALSE)</f>
        <v>30310</v>
      </c>
      <c r="P136" s="143">
        <f>VLOOKUP(A136,'Billing Dimensions'!A:Q,17,FALSE)-VLOOKUP('Audit VAR'!A136,'Audit Dimensions'!A:P,16,FALSE)</f>
        <v>-1610</v>
      </c>
      <c r="Q136" s="148">
        <f t="shared" si="2"/>
        <v>-5.3117782909930716E-2</v>
      </c>
    </row>
    <row r="137" spans="1:17" ht="14.45" customHeight="1">
      <c r="A137" s="58" t="str">
        <f>'Audit Dimensions'!A137</f>
        <v>SB-CB</v>
      </c>
      <c r="B137" s="2" t="str">
        <f>VLOOKUP(A137,'Billing Dimensions'!A:B,2,FALSE)</f>
        <v>SB</v>
      </c>
      <c r="C137" s="59">
        <f>VLOOKUP(A137,'Billing Dimensions'!$A:$N,3,FALSE)-VLOOKUP(A137,'Audit Dimensions'!$A:$N,3,FALSE)</f>
        <v>0</v>
      </c>
      <c r="D137" s="59">
        <f>VLOOKUP(A137,'Billing Dimensions'!$A:$N,4,FALSE)-VLOOKUP(A137,'Audit Dimensions'!$A:$N,4,FALSE)</f>
        <v>0</v>
      </c>
      <c r="E137" s="59">
        <f>VLOOKUP(A137,'Billing Dimensions'!$A:$N,5,FALSE)-VLOOKUP(A137,'Audit Dimensions'!$A:$N,5,FALSE)</f>
        <v>0</v>
      </c>
      <c r="F137" s="137">
        <f>VLOOKUP(A137,'Billing Dimensions'!$A:$N,6,FALSE)-VLOOKUP(A137,'Audit Dimensions'!$A:$N,6,FALSE)</f>
        <v>-1350</v>
      </c>
      <c r="G137" s="65">
        <f>VLOOKUP(A137,'Billing Dimensions'!$A:$N,7,FALSE)-VLOOKUP(A137,'Audit Dimensions'!$A:$N,7,FALSE)</f>
        <v>0</v>
      </c>
      <c r="H137" s="65">
        <f>VLOOKUP(A137,'Billing Dimensions'!$A:$N,8,FALSE)-VLOOKUP(A137,'Audit Dimensions'!$A:$N,8,FALSE)</f>
        <v>0</v>
      </c>
      <c r="I137" s="65">
        <f>VLOOKUP(A137,'Billing Dimensions'!$A:$N,9,FALSE)-VLOOKUP(A137,'Audit Dimensions'!$A:$N,9,FALSE)</f>
        <v>0</v>
      </c>
      <c r="J137" s="61">
        <f>VLOOKUP(A137,'Billing Dimensions'!$A:$N,10,FALSE)-VLOOKUP(A137,'Audit Dimensions'!$A:$N,10,FALSE)</f>
        <v>0</v>
      </c>
      <c r="K137" s="63">
        <f>VLOOKUP(A137,'Billing Dimensions'!$A:$N,11,FALSE)-VLOOKUP(A137,'Audit Dimensions'!$A:$N,11,FALSE)</f>
        <v>0</v>
      </c>
      <c r="L137" s="63">
        <f>VLOOKUP(A137,'Billing Dimensions'!$A:$N,12,FALSE)-VLOOKUP(A137,'Audit Dimensions'!$A:$N,12,FALSE)</f>
        <v>0</v>
      </c>
      <c r="M137" s="63">
        <f>VLOOKUP(A137,'Billing Dimensions'!$A:$N,13,FALSE)-VLOOKUP(A137,'Audit Dimensions'!$A:$N,13,FALSE)</f>
        <v>0</v>
      </c>
      <c r="N137" s="140">
        <f>VLOOKUP(A137,'Billing Dimensions'!$A:$N,14,FALSE)-VLOOKUP(A137,'Audit Dimensions'!$A:$N,14,FALSE)</f>
        <v>0</v>
      </c>
      <c r="O137" s="145">
        <f>VLOOKUP('Audit VAR'!A137,'Audit Dimensions'!A:P,16,FALSE)</f>
        <v>22850</v>
      </c>
      <c r="P137" s="143">
        <f>VLOOKUP(A137,'Billing Dimensions'!A:Q,17,FALSE)-VLOOKUP('Audit VAR'!A137,'Audit Dimensions'!A:P,16,FALSE)</f>
        <v>-1350</v>
      </c>
      <c r="Q137" s="148">
        <f t="shared" si="2"/>
        <v>-5.9080962800875277E-2</v>
      </c>
    </row>
    <row r="138" spans="1:17" ht="14.45" customHeight="1">
      <c r="A138" s="58" t="str">
        <f>'Audit Dimensions'!A138</f>
        <v>MD-TNO-L</v>
      </c>
      <c r="B138" s="2" t="str">
        <f>VLOOKUP(A138,'Billing Dimensions'!A:B,2,FALSE)</f>
        <v>SB</v>
      </c>
      <c r="C138" s="59">
        <f>VLOOKUP(A138,'Billing Dimensions'!$A:$N,3,FALSE)-VLOOKUP(A138,'Audit Dimensions'!$A:$N,3,FALSE)</f>
        <v>0</v>
      </c>
      <c r="D138" s="59">
        <f>VLOOKUP(A138,'Billing Dimensions'!$A:$N,4,FALSE)-VLOOKUP(A138,'Audit Dimensions'!$A:$N,4,FALSE)</f>
        <v>0</v>
      </c>
      <c r="E138" s="59">
        <f>VLOOKUP(A138,'Billing Dimensions'!$A:$N,5,FALSE)-VLOOKUP(A138,'Audit Dimensions'!$A:$N,5,FALSE)</f>
        <v>0</v>
      </c>
      <c r="F138" s="137">
        <f>VLOOKUP(A138,'Billing Dimensions'!$A:$N,6,FALSE)-VLOOKUP(A138,'Audit Dimensions'!$A:$N,6,FALSE)</f>
        <v>-1200</v>
      </c>
      <c r="G138" s="65">
        <f>VLOOKUP(A138,'Billing Dimensions'!$A:$N,7,FALSE)-VLOOKUP(A138,'Audit Dimensions'!$A:$N,7,FALSE)</f>
        <v>0</v>
      </c>
      <c r="H138" s="65">
        <f>VLOOKUP(A138,'Billing Dimensions'!$A:$N,8,FALSE)-VLOOKUP(A138,'Audit Dimensions'!$A:$N,8,FALSE)</f>
        <v>0</v>
      </c>
      <c r="I138" s="65">
        <f>VLOOKUP(A138,'Billing Dimensions'!$A:$N,9,FALSE)-VLOOKUP(A138,'Audit Dimensions'!$A:$N,9,FALSE)</f>
        <v>0</v>
      </c>
      <c r="J138" s="61">
        <f>VLOOKUP(A138,'Billing Dimensions'!$A:$N,10,FALSE)-VLOOKUP(A138,'Audit Dimensions'!$A:$N,10,FALSE)</f>
        <v>0</v>
      </c>
      <c r="K138" s="63">
        <f>VLOOKUP(A138,'Billing Dimensions'!$A:$N,11,FALSE)-VLOOKUP(A138,'Audit Dimensions'!$A:$N,11,FALSE)</f>
        <v>0</v>
      </c>
      <c r="L138" s="63">
        <f>VLOOKUP(A138,'Billing Dimensions'!$A:$N,12,FALSE)-VLOOKUP(A138,'Audit Dimensions'!$A:$N,12,FALSE)</f>
        <v>0</v>
      </c>
      <c r="M138" s="63">
        <f>VLOOKUP(A138,'Billing Dimensions'!$A:$N,13,FALSE)-VLOOKUP(A138,'Audit Dimensions'!$A:$N,13,FALSE)</f>
        <v>0</v>
      </c>
      <c r="N138" s="140">
        <f>VLOOKUP(A138,'Billing Dimensions'!$A:$N,14,FALSE)-VLOOKUP(A138,'Audit Dimensions'!$A:$N,14,FALSE)</f>
        <v>0</v>
      </c>
      <c r="O138" s="145">
        <f>VLOOKUP('Audit VAR'!A138,'Audit Dimensions'!A:P,16,FALSE)</f>
        <v>14000</v>
      </c>
      <c r="P138" s="143">
        <f>VLOOKUP(A138,'Billing Dimensions'!A:Q,17,FALSE)-VLOOKUP('Audit VAR'!A138,'Audit Dimensions'!A:P,16,FALSE)</f>
        <v>-1200</v>
      </c>
      <c r="Q138" s="148">
        <f t="shared" si="2"/>
        <v>-8.5714285714285715E-2</v>
      </c>
    </row>
    <row r="139" spans="1:17" ht="14.45" customHeight="1">
      <c r="A139" s="58" t="str">
        <f>'Audit Dimensions'!A139</f>
        <v>ST-MLM-N</v>
      </c>
      <c r="B139" s="2" t="str">
        <f>VLOOKUP(A139,'Billing Dimensions'!A:B,2,FALSE)</f>
        <v>SB</v>
      </c>
      <c r="C139" s="59">
        <f>VLOOKUP(A139,'Billing Dimensions'!$A:$N,3,FALSE)-VLOOKUP(A139,'Audit Dimensions'!$A:$N,3,FALSE)</f>
        <v>0</v>
      </c>
      <c r="D139" s="59">
        <f>VLOOKUP(A139,'Billing Dimensions'!$A:$N,4,FALSE)-VLOOKUP(A139,'Audit Dimensions'!$A:$N,4,FALSE)</f>
        <v>0</v>
      </c>
      <c r="E139" s="59">
        <f>VLOOKUP(A139,'Billing Dimensions'!$A:$N,5,FALSE)-VLOOKUP(A139,'Audit Dimensions'!$A:$N,5,FALSE)</f>
        <v>0</v>
      </c>
      <c r="F139" s="137">
        <f>VLOOKUP(A139,'Billing Dimensions'!$A:$N,6,FALSE)-VLOOKUP(A139,'Audit Dimensions'!$A:$N,6,FALSE)</f>
        <v>-1330</v>
      </c>
      <c r="G139" s="65">
        <f>VLOOKUP(A139,'Billing Dimensions'!$A:$N,7,FALSE)-VLOOKUP(A139,'Audit Dimensions'!$A:$N,7,FALSE)</f>
        <v>0</v>
      </c>
      <c r="H139" s="65">
        <f>VLOOKUP(A139,'Billing Dimensions'!$A:$N,8,FALSE)-VLOOKUP(A139,'Audit Dimensions'!$A:$N,8,FALSE)</f>
        <v>0</v>
      </c>
      <c r="I139" s="65">
        <f>VLOOKUP(A139,'Billing Dimensions'!$A:$N,9,FALSE)-VLOOKUP(A139,'Audit Dimensions'!$A:$N,9,FALSE)</f>
        <v>0</v>
      </c>
      <c r="J139" s="61">
        <f>VLOOKUP(A139,'Billing Dimensions'!$A:$N,10,FALSE)-VLOOKUP(A139,'Audit Dimensions'!$A:$N,10,FALSE)</f>
        <v>0</v>
      </c>
      <c r="K139" s="63">
        <f>VLOOKUP(A139,'Billing Dimensions'!$A:$N,11,FALSE)-VLOOKUP(A139,'Audit Dimensions'!$A:$N,11,FALSE)</f>
        <v>0</v>
      </c>
      <c r="L139" s="63">
        <f>VLOOKUP(A139,'Billing Dimensions'!$A:$N,12,FALSE)-VLOOKUP(A139,'Audit Dimensions'!$A:$N,12,FALSE)</f>
        <v>0</v>
      </c>
      <c r="M139" s="63">
        <f>VLOOKUP(A139,'Billing Dimensions'!$A:$N,13,FALSE)-VLOOKUP(A139,'Audit Dimensions'!$A:$N,13,FALSE)</f>
        <v>0</v>
      </c>
      <c r="N139" s="140">
        <f>VLOOKUP(A139,'Billing Dimensions'!$A:$N,14,FALSE)-VLOOKUP(A139,'Audit Dimensions'!$A:$N,14,FALSE)</f>
        <v>0</v>
      </c>
      <c r="O139" s="145">
        <f>VLOOKUP('Audit VAR'!A139,'Audit Dimensions'!A:P,16,FALSE)</f>
        <v>18130</v>
      </c>
      <c r="P139" s="143">
        <f>VLOOKUP(A139,'Billing Dimensions'!A:Q,17,FALSE)-VLOOKUP('Audit VAR'!A139,'Audit Dimensions'!A:P,16,FALSE)</f>
        <v>-1330</v>
      </c>
      <c r="Q139" s="148">
        <f t="shared" si="2"/>
        <v>-7.3359073359073365E-2</v>
      </c>
    </row>
    <row r="140" spans="1:17" ht="14.45" customHeight="1">
      <c r="A140" s="58" t="str">
        <f>'Audit Dimensions'!A140</f>
        <v>TU-WBM-ST</v>
      </c>
      <c r="B140" s="2" t="str">
        <f>VLOOKUP(A140,'Billing Dimensions'!A:B,2,FALSE)</f>
        <v>SB</v>
      </c>
      <c r="C140" s="59">
        <f>VLOOKUP(A140,'Billing Dimensions'!$A:$N,3,FALSE)-VLOOKUP(A140,'Audit Dimensions'!$A:$N,3,FALSE)</f>
        <v>0</v>
      </c>
      <c r="D140" s="59">
        <f>VLOOKUP(A140,'Billing Dimensions'!$A:$N,4,FALSE)-VLOOKUP(A140,'Audit Dimensions'!$A:$N,4,FALSE)</f>
        <v>0</v>
      </c>
      <c r="E140" s="59">
        <f>VLOOKUP(A140,'Billing Dimensions'!$A:$N,5,FALSE)-VLOOKUP(A140,'Audit Dimensions'!$A:$N,5,FALSE)</f>
        <v>0</v>
      </c>
      <c r="F140" s="137">
        <f>VLOOKUP(A140,'Billing Dimensions'!$A:$N,6,FALSE)-VLOOKUP(A140,'Audit Dimensions'!$A:$N,6,FALSE)</f>
        <v>-1280</v>
      </c>
      <c r="G140" s="65">
        <f>VLOOKUP(A140,'Billing Dimensions'!$A:$N,7,FALSE)-VLOOKUP(A140,'Audit Dimensions'!$A:$N,7,FALSE)</f>
        <v>0</v>
      </c>
      <c r="H140" s="65">
        <f>VLOOKUP(A140,'Billing Dimensions'!$A:$N,8,FALSE)-VLOOKUP(A140,'Audit Dimensions'!$A:$N,8,FALSE)</f>
        <v>0</v>
      </c>
      <c r="I140" s="65">
        <f>VLOOKUP(A140,'Billing Dimensions'!$A:$N,9,FALSE)-VLOOKUP(A140,'Audit Dimensions'!$A:$N,9,FALSE)</f>
        <v>0</v>
      </c>
      <c r="J140" s="61">
        <f>VLOOKUP(A140,'Billing Dimensions'!$A:$N,10,FALSE)-VLOOKUP(A140,'Audit Dimensions'!$A:$N,10,FALSE)</f>
        <v>0</v>
      </c>
      <c r="K140" s="63">
        <f>VLOOKUP(A140,'Billing Dimensions'!$A:$N,11,FALSE)-VLOOKUP(A140,'Audit Dimensions'!$A:$N,11,FALSE)</f>
        <v>0</v>
      </c>
      <c r="L140" s="63">
        <f>VLOOKUP(A140,'Billing Dimensions'!$A:$N,12,FALSE)-VLOOKUP(A140,'Audit Dimensions'!$A:$N,12,FALSE)</f>
        <v>0</v>
      </c>
      <c r="M140" s="63">
        <f>VLOOKUP(A140,'Billing Dimensions'!$A:$N,13,FALSE)-VLOOKUP(A140,'Audit Dimensions'!$A:$N,13,FALSE)</f>
        <v>0</v>
      </c>
      <c r="N140" s="140">
        <f>VLOOKUP(A140,'Billing Dimensions'!$A:$N,14,FALSE)-VLOOKUP(A140,'Audit Dimensions'!$A:$N,14,FALSE)</f>
        <v>0</v>
      </c>
      <c r="O140" s="145">
        <f>VLOOKUP('Audit VAR'!A140,'Audit Dimensions'!A:P,16,FALSE)</f>
        <v>25740</v>
      </c>
      <c r="P140" s="143">
        <f>VLOOKUP(A140,'Billing Dimensions'!A:Q,17,FALSE)-VLOOKUP('Audit VAR'!A140,'Audit Dimensions'!A:P,16,FALSE)</f>
        <v>-1280</v>
      </c>
      <c r="Q140" s="148">
        <f t="shared" si="2"/>
        <v>-4.9728049728049728E-2</v>
      </c>
    </row>
    <row r="141" spans="1:17" ht="14.45" customHeight="1">
      <c r="A141" s="58" t="str">
        <f>'Audit Dimensions'!A141</f>
        <v>SB-VNO</v>
      </c>
      <c r="B141" s="2" t="str">
        <f>VLOOKUP(A141,'Billing Dimensions'!A:B,2,FALSE)</f>
        <v>SB</v>
      </c>
      <c r="C141" s="59">
        <f>VLOOKUP(A141,'Billing Dimensions'!$A:$N,3,FALSE)-VLOOKUP(A141,'Audit Dimensions'!$A:$N,3,FALSE)</f>
        <v>0</v>
      </c>
      <c r="D141" s="59">
        <f>VLOOKUP(A141,'Billing Dimensions'!$A:$N,4,FALSE)-VLOOKUP(A141,'Audit Dimensions'!$A:$N,4,FALSE)</f>
        <v>0</v>
      </c>
      <c r="E141" s="59">
        <f>VLOOKUP(A141,'Billing Dimensions'!$A:$N,5,FALSE)-VLOOKUP(A141,'Audit Dimensions'!$A:$N,5,FALSE)</f>
        <v>0</v>
      </c>
      <c r="F141" s="137">
        <f>VLOOKUP(A141,'Billing Dimensions'!$A:$N,6,FALSE)-VLOOKUP(A141,'Audit Dimensions'!$A:$N,6,FALSE)</f>
        <v>-950</v>
      </c>
      <c r="G141" s="65">
        <f>VLOOKUP(A141,'Billing Dimensions'!$A:$N,7,FALSE)-VLOOKUP(A141,'Audit Dimensions'!$A:$N,7,FALSE)</f>
        <v>0</v>
      </c>
      <c r="H141" s="65">
        <f>VLOOKUP(A141,'Billing Dimensions'!$A:$N,8,FALSE)-VLOOKUP(A141,'Audit Dimensions'!$A:$N,8,FALSE)</f>
        <v>0</v>
      </c>
      <c r="I141" s="65">
        <f>VLOOKUP(A141,'Billing Dimensions'!$A:$N,9,FALSE)-VLOOKUP(A141,'Audit Dimensions'!$A:$N,9,FALSE)</f>
        <v>0</v>
      </c>
      <c r="J141" s="61">
        <f>VLOOKUP(A141,'Billing Dimensions'!$A:$N,10,FALSE)-VLOOKUP(A141,'Audit Dimensions'!$A:$N,10,FALSE)</f>
        <v>0</v>
      </c>
      <c r="K141" s="63">
        <f>VLOOKUP(A141,'Billing Dimensions'!$A:$N,11,FALSE)-VLOOKUP(A141,'Audit Dimensions'!$A:$N,11,FALSE)</f>
        <v>0</v>
      </c>
      <c r="L141" s="63">
        <f>VLOOKUP(A141,'Billing Dimensions'!$A:$N,12,FALSE)-VLOOKUP(A141,'Audit Dimensions'!$A:$N,12,FALSE)</f>
        <v>0</v>
      </c>
      <c r="M141" s="63">
        <f>VLOOKUP(A141,'Billing Dimensions'!$A:$N,13,FALSE)-VLOOKUP(A141,'Audit Dimensions'!$A:$N,13,FALSE)</f>
        <v>0</v>
      </c>
      <c r="N141" s="140">
        <f>VLOOKUP(A141,'Billing Dimensions'!$A:$N,14,FALSE)-VLOOKUP(A141,'Audit Dimensions'!$A:$N,14,FALSE)</f>
        <v>0</v>
      </c>
      <c r="O141" s="145">
        <f>VLOOKUP('Audit VAR'!A141,'Audit Dimensions'!A:P,16,FALSE)</f>
        <v>18750</v>
      </c>
      <c r="P141" s="143">
        <f>VLOOKUP(A141,'Billing Dimensions'!A:Q,17,FALSE)-VLOOKUP('Audit VAR'!A141,'Audit Dimensions'!A:P,16,FALSE)</f>
        <v>-950</v>
      </c>
      <c r="Q141" s="148">
        <f t="shared" si="2"/>
        <v>-5.0666666666666665E-2</v>
      </c>
    </row>
    <row r="142" spans="1:17">
      <c r="A142" s="58" t="str">
        <f>'Audit Dimensions'!A142</f>
        <v>SB-CA</v>
      </c>
      <c r="B142" s="2" t="str">
        <f>VLOOKUP(A142,'Billing Dimensions'!A:B,2,FALSE)</f>
        <v>SB</v>
      </c>
      <c r="C142" s="59">
        <f>VLOOKUP(A142,'Billing Dimensions'!$A:$N,3,FALSE)-VLOOKUP(A142,'Audit Dimensions'!$A:$N,3,FALSE)</f>
        <v>0</v>
      </c>
      <c r="D142" s="59">
        <f>VLOOKUP(A142,'Billing Dimensions'!$A:$N,4,FALSE)-VLOOKUP(A142,'Audit Dimensions'!$A:$N,4,FALSE)</f>
        <v>0</v>
      </c>
      <c r="E142" s="59">
        <f>VLOOKUP(A142,'Billing Dimensions'!$A:$N,5,FALSE)-VLOOKUP(A142,'Audit Dimensions'!$A:$N,5,FALSE)</f>
        <v>0</v>
      </c>
      <c r="F142" s="137">
        <f>VLOOKUP(A142,'Billing Dimensions'!$A:$N,6,FALSE)-VLOOKUP(A142,'Audit Dimensions'!$A:$N,6,FALSE)</f>
        <v>-150</v>
      </c>
      <c r="G142" s="65">
        <f>VLOOKUP(A142,'Billing Dimensions'!$A:$N,7,FALSE)-VLOOKUP(A142,'Audit Dimensions'!$A:$N,7,FALSE)</f>
        <v>0</v>
      </c>
      <c r="H142" s="65">
        <f>VLOOKUP(A142,'Billing Dimensions'!$A:$N,8,FALSE)-VLOOKUP(A142,'Audit Dimensions'!$A:$N,8,FALSE)</f>
        <v>0</v>
      </c>
      <c r="I142" s="65">
        <f>VLOOKUP(A142,'Billing Dimensions'!$A:$N,9,FALSE)-VLOOKUP(A142,'Audit Dimensions'!$A:$N,9,FALSE)</f>
        <v>0</v>
      </c>
      <c r="J142" s="61">
        <f>VLOOKUP(A142,'Billing Dimensions'!$A:$N,10,FALSE)-VLOOKUP(A142,'Audit Dimensions'!$A:$N,10,FALSE)</f>
        <v>0</v>
      </c>
      <c r="K142" s="63">
        <f>VLOOKUP(A142,'Billing Dimensions'!$A:$N,11,FALSE)-VLOOKUP(A142,'Audit Dimensions'!$A:$N,11,FALSE)</f>
        <v>0</v>
      </c>
      <c r="L142" s="63">
        <f>VLOOKUP(A142,'Billing Dimensions'!$A:$N,12,FALSE)-VLOOKUP(A142,'Audit Dimensions'!$A:$N,12,FALSE)</f>
        <v>0</v>
      </c>
      <c r="M142" s="63">
        <f>VLOOKUP(A142,'Billing Dimensions'!$A:$N,13,FALSE)-VLOOKUP(A142,'Audit Dimensions'!$A:$N,13,FALSE)</f>
        <v>0</v>
      </c>
      <c r="N142" s="140">
        <f>VLOOKUP(A142,'Billing Dimensions'!$A:$N,14,FALSE)-VLOOKUP(A142,'Audit Dimensions'!$A:$N,14,FALSE)</f>
        <v>0</v>
      </c>
      <c r="O142" s="145">
        <f>VLOOKUP('Audit VAR'!A142,'Audit Dimensions'!A:P,16,FALSE)</f>
        <v>3000</v>
      </c>
      <c r="P142" s="143">
        <f>VLOOKUP(A142,'Billing Dimensions'!A:Q,17,FALSE)-VLOOKUP('Audit VAR'!A142,'Audit Dimensions'!A:P,16,FALSE)</f>
        <v>-150</v>
      </c>
      <c r="Q142" s="148">
        <f t="shared" si="2"/>
        <v>-0.05</v>
      </c>
    </row>
    <row r="143" spans="1:17" ht="12.4" customHeight="1">
      <c r="A143" s="58" t="str">
        <f>'Audit Dimensions'!A143</f>
        <v>TU-ETY-M</v>
      </c>
      <c r="B143" s="2" t="str">
        <f>VLOOKUP(A143,'Billing Dimensions'!A:B,2,FALSE)</f>
        <v>SB</v>
      </c>
      <c r="C143" s="59">
        <f>VLOOKUP(A143,'Billing Dimensions'!$A:$N,3,FALSE)-VLOOKUP(A143,'Audit Dimensions'!$A:$N,3,FALSE)</f>
        <v>0</v>
      </c>
      <c r="D143" s="59">
        <f>VLOOKUP(A143,'Billing Dimensions'!$A:$N,4,FALSE)-VLOOKUP(A143,'Audit Dimensions'!$A:$N,4,FALSE)</f>
        <v>0</v>
      </c>
      <c r="E143" s="59">
        <f>VLOOKUP(A143,'Billing Dimensions'!$A:$N,5,FALSE)-VLOOKUP(A143,'Audit Dimensions'!$A:$N,5,FALSE)</f>
        <v>0</v>
      </c>
      <c r="F143" s="137">
        <f>VLOOKUP(A143,'Billing Dimensions'!$A:$N,6,FALSE)-VLOOKUP(A143,'Audit Dimensions'!$A:$N,6,FALSE)</f>
        <v>0</v>
      </c>
      <c r="G143" s="65">
        <f>VLOOKUP(A143,'Billing Dimensions'!$A:$N,7,FALSE)-VLOOKUP(A143,'Audit Dimensions'!$A:$N,7,FALSE)</f>
        <v>0</v>
      </c>
      <c r="H143" s="65">
        <f>VLOOKUP(A143,'Billing Dimensions'!$A:$N,8,FALSE)-VLOOKUP(A143,'Audit Dimensions'!$A:$N,8,FALSE)</f>
        <v>0</v>
      </c>
      <c r="I143" s="65">
        <f>VLOOKUP(A143,'Billing Dimensions'!$A:$N,9,FALSE)-VLOOKUP(A143,'Audit Dimensions'!$A:$N,9,FALSE)</f>
        <v>0</v>
      </c>
      <c r="J143" s="61">
        <f>VLOOKUP(A143,'Billing Dimensions'!$A:$N,10,FALSE)-VLOOKUP(A143,'Audit Dimensions'!$A:$N,10,FALSE)</f>
        <v>0</v>
      </c>
      <c r="K143" s="63">
        <f>VLOOKUP(A143,'Billing Dimensions'!$A:$N,11,FALSE)-VLOOKUP(A143,'Audit Dimensions'!$A:$N,11,FALSE)</f>
        <v>0</v>
      </c>
      <c r="L143" s="63">
        <f>VLOOKUP(A143,'Billing Dimensions'!$A:$N,12,FALSE)-VLOOKUP(A143,'Audit Dimensions'!$A:$N,12,FALSE)</f>
        <v>0</v>
      </c>
      <c r="M143" s="63">
        <f>VLOOKUP(A143,'Billing Dimensions'!$A:$N,13,FALSE)-VLOOKUP(A143,'Audit Dimensions'!$A:$N,13,FALSE)</f>
        <v>0</v>
      </c>
      <c r="N143" s="140">
        <f>VLOOKUP(A143,'Billing Dimensions'!$A:$N,14,FALSE)-VLOOKUP(A143,'Audit Dimensions'!$A:$N,14,FALSE)</f>
        <v>0</v>
      </c>
      <c r="O143" s="145">
        <f>VLOOKUP('Audit VAR'!A143,'Audit Dimensions'!A:P,16,FALSE)</f>
        <v>6770</v>
      </c>
      <c r="P143" s="143">
        <f>VLOOKUP(A143,'Billing Dimensions'!A:Q,17,FALSE)-VLOOKUP('Audit VAR'!A143,'Audit Dimensions'!A:P,16,FALSE)</f>
        <v>0</v>
      </c>
      <c r="Q143" s="148">
        <f t="shared" si="2"/>
        <v>0</v>
      </c>
    </row>
    <row r="144" spans="1:17">
      <c r="A144" s="58" t="str">
        <f>'Audit Dimensions'!A144</f>
        <v>TU-SNQ-LA</v>
      </c>
      <c r="B144" s="2" t="str">
        <f>VLOOKUP(A144,'Billing Dimensions'!A:B,2,FALSE)</f>
        <v>SB</v>
      </c>
      <c r="C144" s="59">
        <f>VLOOKUP(A144,'Billing Dimensions'!$A:$N,3,FALSE)-VLOOKUP(A144,'Audit Dimensions'!$A:$N,3,FALSE)</f>
        <v>0</v>
      </c>
      <c r="D144" s="59">
        <f>VLOOKUP(A144,'Billing Dimensions'!$A:$N,4,FALSE)-VLOOKUP(A144,'Audit Dimensions'!$A:$N,4,FALSE)</f>
        <v>0</v>
      </c>
      <c r="E144" s="59">
        <f>VLOOKUP(A144,'Billing Dimensions'!$A:$N,5,FALSE)-VLOOKUP(A144,'Audit Dimensions'!$A:$N,5,FALSE)</f>
        <v>0</v>
      </c>
      <c r="F144" s="137">
        <f>VLOOKUP(A144,'Billing Dimensions'!$A:$N,6,FALSE)-VLOOKUP(A144,'Audit Dimensions'!$A:$N,6,FALSE)</f>
        <v>-260</v>
      </c>
      <c r="G144" s="65">
        <f>VLOOKUP(A144,'Billing Dimensions'!$A:$N,7,FALSE)-VLOOKUP(A144,'Audit Dimensions'!$A:$N,7,FALSE)</f>
        <v>0</v>
      </c>
      <c r="H144" s="65">
        <f>VLOOKUP(A144,'Billing Dimensions'!$A:$N,8,FALSE)-VLOOKUP(A144,'Audit Dimensions'!$A:$N,8,FALSE)</f>
        <v>0</v>
      </c>
      <c r="I144" s="65">
        <f>VLOOKUP(A144,'Billing Dimensions'!$A:$N,9,FALSE)-VLOOKUP(A144,'Audit Dimensions'!$A:$N,9,FALSE)</f>
        <v>0</v>
      </c>
      <c r="J144" s="61">
        <f>VLOOKUP(A144,'Billing Dimensions'!$A:$N,10,FALSE)-VLOOKUP(A144,'Audit Dimensions'!$A:$N,10,FALSE)</f>
        <v>0</v>
      </c>
      <c r="K144" s="63">
        <f>VLOOKUP(A144,'Billing Dimensions'!$A:$N,11,FALSE)-VLOOKUP(A144,'Audit Dimensions'!$A:$N,11,FALSE)</f>
        <v>0</v>
      </c>
      <c r="L144" s="63">
        <f>VLOOKUP(A144,'Billing Dimensions'!$A:$N,12,FALSE)-VLOOKUP(A144,'Audit Dimensions'!$A:$N,12,FALSE)</f>
        <v>0</v>
      </c>
      <c r="M144" s="63">
        <f>VLOOKUP(A144,'Billing Dimensions'!$A:$N,13,FALSE)-VLOOKUP(A144,'Audit Dimensions'!$A:$N,13,FALSE)</f>
        <v>0</v>
      </c>
      <c r="N144" s="140">
        <f>VLOOKUP(A144,'Billing Dimensions'!$A:$N,14,FALSE)-VLOOKUP(A144,'Audit Dimensions'!$A:$N,14,FALSE)</f>
        <v>0</v>
      </c>
      <c r="O144" s="145">
        <f>VLOOKUP('Audit VAR'!A144,'Audit Dimensions'!A:P,16,FALSE)</f>
        <v>15150</v>
      </c>
      <c r="P144" s="143">
        <f>VLOOKUP(A144,'Billing Dimensions'!A:Q,17,FALSE)-VLOOKUP('Audit VAR'!A144,'Audit Dimensions'!A:P,16,FALSE)</f>
        <v>-260</v>
      </c>
      <c r="Q144" s="148">
        <f t="shared" si="2"/>
        <v>-1.7161716171617162E-2</v>
      </c>
    </row>
    <row r="145" spans="1:17">
      <c r="A145" s="58" t="str">
        <f>'Audit Dimensions'!A145</f>
        <v>SR-CLM-3</v>
      </c>
      <c r="B145" s="2" t="str">
        <f>VLOOKUP(A145,'Billing Dimensions'!A:B,2,FALSE)</f>
        <v>SB</v>
      </c>
      <c r="C145" s="59">
        <f>VLOOKUP(A145,'Billing Dimensions'!$A:$N,3,FALSE)-VLOOKUP(A145,'Audit Dimensions'!$A:$N,3,FALSE)</f>
        <v>0</v>
      </c>
      <c r="D145" s="59">
        <f>VLOOKUP(A145,'Billing Dimensions'!$A:$N,4,FALSE)-VLOOKUP(A145,'Audit Dimensions'!$A:$N,4,FALSE)</f>
        <v>0</v>
      </c>
      <c r="E145" s="59">
        <f>VLOOKUP(A145,'Billing Dimensions'!$A:$N,5,FALSE)-VLOOKUP(A145,'Audit Dimensions'!$A:$N,5,FALSE)</f>
        <v>0</v>
      </c>
      <c r="F145" s="137">
        <f>VLOOKUP(A145,'Billing Dimensions'!$A:$N,6,FALSE)-VLOOKUP(A145,'Audit Dimensions'!$A:$N,6,FALSE)</f>
        <v>-2350</v>
      </c>
      <c r="G145" s="65">
        <f>VLOOKUP(A145,'Billing Dimensions'!$A:$N,7,FALSE)-VLOOKUP(A145,'Audit Dimensions'!$A:$N,7,FALSE)</f>
        <v>0</v>
      </c>
      <c r="H145" s="65">
        <f>VLOOKUP(A145,'Billing Dimensions'!$A:$N,8,FALSE)-VLOOKUP(A145,'Audit Dimensions'!$A:$N,8,FALSE)</f>
        <v>0</v>
      </c>
      <c r="I145" s="65">
        <f>VLOOKUP(A145,'Billing Dimensions'!$A:$N,9,FALSE)-VLOOKUP(A145,'Audit Dimensions'!$A:$N,9,FALSE)</f>
        <v>0</v>
      </c>
      <c r="J145" s="61">
        <f>VLOOKUP(A145,'Billing Dimensions'!$A:$N,10,FALSE)-VLOOKUP(A145,'Audit Dimensions'!$A:$N,10,FALSE)</f>
        <v>0</v>
      </c>
      <c r="K145" s="63">
        <f>VLOOKUP(A145,'Billing Dimensions'!$A:$N,11,FALSE)-VLOOKUP(A145,'Audit Dimensions'!$A:$N,11,FALSE)</f>
        <v>0</v>
      </c>
      <c r="L145" s="63">
        <f>VLOOKUP(A145,'Billing Dimensions'!$A:$N,12,FALSE)-VLOOKUP(A145,'Audit Dimensions'!$A:$N,12,FALSE)</f>
        <v>0</v>
      </c>
      <c r="M145" s="63">
        <f>VLOOKUP(A145,'Billing Dimensions'!$A:$N,13,FALSE)-VLOOKUP(A145,'Audit Dimensions'!$A:$N,13,FALSE)</f>
        <v>0</v>
      </c>
      <c r="N145" s="140">
        <f>VLOOKUP(A145,'Billing Dimensions'!$A:$N,14,FALSE)-VLOOKUP(A145,'Audit Dimensions'!$A:$N,14,FALSE)</f>
        <v>0</v>
      </c>
      <c r="O145" s="145">
        <f>VLOOKUP('Audit VAR'!A145,'Audit Dimensions'!A:P,16,FALSE)</f>
        <v>30100</v>
      </c>
      <c r="P145" s="143">
        <f>VLOOKUP(A145,'Billing Dimensions'!A:Q,17,FALSE)-VLOOKUP('Audit VAR'!A145,'Audit Dimensions'!A:P,16,FALSE)</f>
        <v>-2350</v>
      </c>
      <c r="Q145" s="148">
        <f t="shared" si="2"/>
        <v>-7.8073089700996676E-2</v>
      </c>
    </row>
    <row r="146" spans="1:17">
      <c r="A146" s="58" t="str">
        <f>'Audit Dimensions'!A146</f>
        <v>SB-NBK</v>
      </c>
      <c r="B146" s="2" t="str">
        <f>VLOOKUP(A146,'Billing Dimensions'!A:B,2,FALSE)</f>
        <v>SB</v>
      </c>
      <c r="C146" s="59">
        <f>VLOOKUP(A146,'Billing Dimensions'!$A:$N,3,FALSE)-VLOOKUP(A146,'Audit Dimensions'!$A:$N,3,FALSE)</f>
        <v>0</v>
      </c>
      <c r="D146" s="59">
        <f>VLOOKUP(A146,'Billing Dimensions'!$A:$N,4,FALSE)-VLOOKUP(A146,'Audit Dimensions'!$A:$N,4,FALSE)</f>
        <v>0</v>
      </c>
      <c r="E146" s="59">
        <f>VLOOKUP(A146,'Billing Dimensions'!$A:$N,5,FALSE)-VLOOKUP(A146,'Audit Dimensions'!$A:$N,5,FALSE)</f>
        <v>0</v>
      </c>
      <c r="F146" s="137">
        <f>VLOOKUP(A146,'Billing Dimensions'!$A:$N,6,FALSE)-VLOOKUP(A146,'Audit Dimensions'!$A:$N,6,FALSE)</f>
        <v>-1200</v>
      </c>
      <c r="G146" s="65">
        <f>VLOOKUP(A146,'Billing Dimensions'!$A:$N,7,FALSE)-VLOOKUP(A146,'Audit Dimensions'!$A:$N,7,FALSE)</f>
        <v>0</v>
      </c>
      <c r="H146" s="65">
        <f>VLOOKUP(A146,'Billing Dimensions'!$A:$N,8,FALSE)-VLOOKUP(A146,'Audit Dimensions'!$A:$N,8,FALSE)</f>
        <v>0</v>
      </c>
      <c r="I146" s="65">
        <f>VLOOKUP(A146,'Billing Dimensions'!$A:$N,9,FALSE)-VLOOKUP(A146,'Audit Dimensions'!$A:$N,9,FALSE)</f>
        <v>0</v>
      </c>
      <c r="J146" s="61">
        <f>VLOOKUP(A146,'Billing Dimensions'!$A:$N,10,FALSE)-VLOOKUP(A146,'Audit Dimensions'!$A:$N,10,FALSE)</f>
        <v>0</v>
      </c>
      <c r="K146" s="63">
        <f>VLOOKUP(A146,'Billing Dimensions'!$A:$N,11,FALSE)-VLOOKUP(A146,'Audit Dimensions'!$A:$N,11,FALSE)</f>
        <v>0</v>
      </c>
      <c r="L146" s="63">
        <f>VLOOKUP(A146,'Billing Dimensions'!$A:$N,12,FALSE)-VLOOKUP(A146,'Audit Dimensions'!$A:$N,12,FALSE)</f>
        <v>0</v>
      </c>
      <c r="M146" s="63">
        <f>VLOOKUP(A146,'Billing Dimensions'!$A:$N,13,FALSE)-VLOOKUP(A146,'Audit Dimensions'!$A:$N,13,FALSE)</f>
        <v>0</v>
      </c>
      <c r="N146" s="140">
        <f>VLOOKUP(A146,'Billing Dimensions'!$A:$N,14,FALSE)-VLOOKUP(A146,'Audit Dimensions'!$A:$N,14,FALSE)</f>
        <v>0</v>
      </c>
      <c r="O146" s="145">
        <f>VLOOKUP('Audit VAR'!A146,'Audit Dimensions'!A:P,16,FALSE)</f>
        <v>20000</v>
      </c>
      <c r="P146" s="143">
        <f>VLOOKUP(A146,'Billing Dimensions'!A:Q,17,FALSE)-VLOOKUP('Audit VAR'!A146,'Audit Dimensions'!A:P,16,FALSE)</f>
        <v>-1200</v>
      </c>
      <c r="Q146" s="148">
        <f t="shared" si="2"/>
        <v>-0.06</v>
      </c>
    </row>
    <row r="147" spans="1:17">
      <c r="A147" s="58" t="str">
        <f>'Audit Dimensions'!A147</f>
        <v>CT-TR-RT</v>
      </c>
      <c r="B147" s="2" t="str">
        <f>VLOOKUP(A147,'Billing Dimensions'!A:B,2,FALSE)</f>
        <v>SB</v>
      </c>
      <c r="C147" s="59">
        <f>VLOOKUP(A147,'Billing Dimensions'!$A:$N,3,FALSE)-VLOOKUP(A147,'Audit Dimensions'!$A:$N,3,FALSE)</f>
        <v>0</v>
      </c>
      <c r="D147" s="59">
        <f>VLOOKUP(A147,'Billing Dimensions'!$A:$N,4,FALSE)-VLOOKUP(A147,'Audit Dimensions'!$A:$N,4,FALSE)</f>
        <v>0</v>
      </c>
      <c r="E147" s="59">
        <f>VLOOKUP(A147,'Billing Dimensions'!$A:$N,5,FALSE)-VLOOKUP(A147,'Audit Dimensions'!$A:$N,5,FALSE)</f>
        <v>0</v>
      </c>
      <c r="F147" s="137">
        <f>VLOOKUP(A147,'Billing Dimensions'!$A:$N,6,FALSE)-VLOOKUP(A147,'Audit Dimensions'!$A:$N,6,FALSE)</f>
        <v>-570</v>
      </c>
      <c r="G147" s="65">
        <f>VLOOKUP(A147,'Billing Dimensions'!$A:$N,7,FALSE)-VLOOKUP(A147,'Audit Dimensions'!$A:$N,7,FALSE)</f>
        <v>0</v>
      </c>
      <c r="H147" s="65">
        <f>VLOOKUP(A147,'Billing Dimensions'!$A:$N,8,FALSE)-VLOOKUP(A147,'Audit Dimensions'!$A:$N,8,FALSE)</f>
        <v>0</v>
      </c>
      <c r="I147" s="65">
        <f>VLOOKUP(A147,'Billing Dimensions'!$A:$N,9,FALSE)-VLOOKUP(A147,'Audit Dimensions'!$A:$N,9,FALSE)</f>
        <v>0</v>
      </c>
      <c r="J147" s="61">
        <f>VLOOKUP(A147,'Billing Dimensions'!$A:$N,10,FALSE)-VLOOKUP(A147,'Audit Dimensions'!$A:$N,10,FALSE)</f>
        <v>0</v>
      </c>
      <c r="K147" s="63">
        <f>VLOOKUP(A147,'Billing Dimensions'!$A:$N,11,FALSE)-VLOOKUP(A147,'Audit Dimensions'!$A:$N,11,FALSE)</f>
        <v>0</v>
      </c>
      <c r="L147" s="63">
        <f>VLOOKUP(A147,'Billing Dimensions'!$A:$N,12,FALSE)-VLOOKUP(A147,'Audit Dimensions'!$A:$N,12,FALSE)</f>
        <v>0</v>
      </c>
      <c r="M147" s="63">
        <f>VLOOKUP(A147,'Billing Dimensions'!$A:$N,13,FALSE)-VLOOKUP(A147,'Audit Dimensions'!$A:$N,13,FALSE)</f>
        <v>0</v>
      </c>
      <c r="N147" s="140">
        <f>VLOOKUP(A147,'Billing Dimensions'!$A:$N,14,FALSE)-VLOOKUP(A147,'Audit Dimensions'!$A:$N,14,FALSE)</f>
        <v>0</v>
      </c>
      <c r="O147" s="145">
        <f>VLOOKUP('Audit VAR'!A147,'Audit Dimensions'!A:P,16,FALSE)</f>
        <v>12370</v>
      </c>
      <c r="P147" s="143">
        <f>VLOOKUP(A147,'Billing Dimensions'!A:Q,17,FALSE)-VLOOKUP('Audit VAR'!A147,'Audit Dimensions'!A:P,16,FALSE)</f>
        <v>-570</v>
      </c>
      <c r="Q147" s="148">
        <f t="shared" si="2"/>
        <v>-4.6079223928860144E-2</v>
      </c>
    </row>
    <row r="148" spans="1:17">
      <c r="A148" s="58" t="str">
        <f>'Audit Dimensions'!A148</f>
        <v>B-RVB-D36N</v>
      </c>
      <c r="B148" s="2" t="str">
        <f>VLOOKUP(A148,'Billing Dimensions'!A:B,2,FALSE)</f>
        <v>SB</v>
      </c>
      <c r="C148" s="59">
        <f>VLOOKUP(A148,'Billing Dimensions'!$A:$N,3,FALSE)-VLOOKUP(A148,'Audit Dimensions'!$A:$N,3,FALSE)</f>
        <v>0</v>
      </c>
      <c r="D148" s="59">
        <f>VLOOKUP(A148,'Billing Dimensions'!$A:$N,4,FALSE)-VLOOKUP(A148,'Audit Dimensions'!$A:$N,4,FALSE)</f>
        <v>0</v>
      </c>
      <c r="E148" s="59">
        <f>VLOOKUP(A148,'Billing Dimensions'!$A:$N,5,FALSE)-VLOOKUP(A148,'Audit Dimensions'!$A:$N,5,FALSE)</f>
        <v>0</v>
      </c>
      <c r="F148" s="137">
        <f>VLOOKUP(A148,'Billing Dimensions'!$A:$N,6,FALSE)-VLOOKUP(A148,'Audit Dimensions'!$A:$N,6,FALSE)</f>
        <v>-3060</v>
      </c>
      <c r="G148" s="65">
        <f>VLOOKUP(A148,'Billing Dimensions'!$A:$N,7,FALSE)-VLOOKUP(A148,'Audit Dimensions'!$A:$N,7,FALSE)</f>
        <v>0</v>
      </c>
      <c r="H148" s="65">
        <f>VLOOKUP(A148,'Billing Dimensions'!$A:$N,8,FALSE)-VLOOKUP(A148,'Audit Dimensions'!$A:$N,8,FALSE)</f>
        <v>0</v>
      </c>
      <c r="I148" s="65">
        <f>VLOOKUP(A148,'Billing Dimensions'!$A:$N,9,FALSE)-VLOOKUP(A148,'Audit Dimensions'!$A:$N,9,FALSE)</f>
        <v>0</v>
      </c>
      <c r="J148" s="61">
        <f>VLOOKUP(A148,'Billing Dimensions'!$A:$N,10,FALSE)-VLOOKUP(A148,'Audit Dimensions'!$A:$N,10,FALSE)</f>
        <v>0</v>
      </c>
      <c r="K148" s="63">
        <f>VLOOKUP(A148,'Billing Dimensions'!$A:$N,11,FALSE)-VLOOKUP(A148,'Audit Dimensions'!$A:$N,11,FALSE)</f>
        <v>0</v>
      </c>
      <c r="L148" s="63">
        <f>VLOOKUP(A148,'Billing Dimensions'!$A:$N,12,FALSE)-VLOOKUP(A148,'Audit Dimensions'!$A:$N,12,FALSE)</f>
        <v>0</v>
      </c>
      <c r="M148" s="63">
        <f>VLOOKUP(A148,'Billing Dimensions'!$A:$N,13,FALSE)-VLOOKUP(A148,'Audit Dimensions'!$A:$N,13,FALSE)</f>
        <v>0</v>
      </c>
      <c r="N148" s="140">
        <f>VLOOKUP(A148,'Billing Dimensions'!$A:$N,14,FALSE)-VLOOKUP(A148,'Audit Dimensions'!$A:$N,14,FALSE)</f>
        <v>0</v>
      </c>
      <c r="O148" s="145">
        <f>VLOOKUP('Audit VAR'!A148,'Audit Dimensions'!A:P,16,FALSE)</f>
        <v>37560</v>
      </c>
      <c r="P148" s="143">
        <f>VLOOKUP(A148,'Billing Dimensions'!A:Q,17,FALSE)-VLOOKUP('Audit VAR'!A148,'Audit Dimensions'!A:P,16,FALSE)</f>
        <v>-3060</v>
      </c>
      <c r="Q148" s="148">
        <f t="shared" si="2"/>
        <v>-8.1469648562300323E-2</v>
      </c>
    </row>
    <row r="149" spans="1:17">
      <c r="A149" s="58" t="str">
        <f>'Audit Dimensions'!A149</f>
        <v>W-MLT-3N</v>
      </c>
      <c r="B149" s="2" t="str">
        <f>VLOOKUP(A149,'Billing Dimensions'!A:B,2,FALSE)</f>
        <v>MB</v>
      </c>
      <c r="C149" s="59">
        <f>VLOOKUP(A149,'Billing Dimensions'!$A:$N,3,FALSE)-VLOOKUP(A149,'Audit Dimensions'!$A:$N,3,FALSE)</f>
        <v>0</v>
      </c>
      <c r="D149" s="59">
        <f>VLOOKUP(A149,'Billing Dimensions'!$A:$N,4,FALSE)-VLOOKUP(A149,'Audit Dimensions'!$A:$N,4,FALSE)</f>
        <v>0</v>
      </c>
      <c r="E149" s="59">
        <f>VLOOKUP(A149,'Billing Dimensions'!$A:$N,5,FALSE)-VLOOKUP(A149,'Audit Dimensions'!$A:$N,5,FALSE)</f>
        <v>0</v>
      </c>
      <c r="F149" s="137">
        <f>VLOOKUP(A149,'Billing Dimensions'!$A:$N,6,FALSE)-VLOOKUP(A149,'Audit Dimensions'!$A:$N,6,FALSE)</f>
        <v>-1400</v>
      </c>
      <c r="G149" s="65">
        <f>VLOOKUP(A149,'Billing Dimensions'!$A:$N,7,FALSE)-VLOOKUP(A149,'Audit Dimensions'!$A:$N,7,FALSE)</f>
        <v>0</v>
      </c>
      <c r="H149" s="65">
        <f>VLOOKUP(A149,'Billing Dimensions'!$A:$N,8,FALSE)-VLOOKUP(A149,'Audit Dimensions'!$A:$N,8,FALSE)</f>
        <v>0</v>
      </c>
      <c r="I149" s="65">
        <f>VLOOKUP(A149,'Billing Dimensions'!$A:$N,9,FALSE)-VLOOKUP(A149,'Audit Dimensions'!$A:$N,9,FALSE)</f>
        <v>0</v>
      </c>
      <c r="J149" s="61">
        <f>VLOOKUP(A149,'Billing Dimensions'!$A:$N,10,FALSE)-VLOOKUP(A149,'Audit Dimensions'!$A:$N,10,FALSE)</f>
        <v>-1500</v>
      </c>
      <c r="K149" s="63">
        <f>VLOOKUP(A149,'Billing Dimensions'!$A:$N,11,FALSE)-VLOOKUP(A149,'Audit Dimensions'!$A:$N,11,FALSE)</f>
        <v>0</v>
      </c>
      <c r="L149" s="63">
        <f>VLOOKUP(A149,'Billing Dimensions'!$A:$N,12,FALSE)-VLOOKUP(A149,'Audit Dimensions'!$A:$N,12,FALSE)</f>
        <v>0</v>
      </c>
      <c r="M149" s="63">
        <f>VLOOKUP(A149,'Billing Dimensions'!$A:$N,13,FALSE)-VLOOKUP(A149,'Audit Dimensions'!$A:$N,13,FALSE)</f>
        <v>0</v>
      </c>
      <c r="N149" s="140">
        <f>VLOOKUP(A149,'Billing Dimensions'!$A:$N,14,FALSE)-VLOOKUP(A149,'Audit Dimensions'!$A:$N,14,FALSE)</f>
        <v>0</v>
      </c>
      <c r="O149" s="145">
        <f>VLOOKUP('Audit VAR'!A149,'Audit Dimensions'!A:P,16,FALSE)</f>
        <v>77900</v>
      </c>
      <c r="P149" s="143">
        <f>VLOOKUP(A149,'Billing Dimensions'!A:Q,17,FALSE)-VLOOKUP('Audit VAR'!A149,'Audit Dimensions'!A:P,16,FALSE)</f>
        <v>-2900</v>
      </c>
      <c r="Q149" s="148">
        <f t="shared" si="2"/>
        <v>-3.7227214377406934E-2</v>
      </c>
    </row>
    <row r="150" spans="1:17" ht="12.95" customHeight="1">
      <c r="A150" s="58" t="str">
        <f>'Audit Dimensions'!A150</f>
        <v>SR-CLM-T</v>
      </c>
      <c r="B150" s="2" t="str">
        <f>VLOOKUP(A150,'Billing Dimensions'!A:B,2,FALSE)</f>
        <v>SB</v>
      </c>
      <c r="C150" s="59">
        <f>VLOOKUP(A150,'Billing Dimensions'!$A:$N,3,FALSE)-VLOOKUP(A150,'Audit Dimensions'!$A:$N,3,FALSE)</f>
        <v>0</v>
      </c>
      <c r="D150" s="59">
        <f>VLOOKUP(A150,'Billing Dimensions'!$A:$N,4,FALSE)-VLOOKUP(A150,'Audit Dimensions'!$A:$N,4,FALSE)</f>
        <v>0</v>
      </c>
      <c r="E150" s="59">
        <f>VLOOKUP(A150,'Billing Dimensions'!$A:$N,5,FALSE)-VLOOKUP(A150,'Audit Dimensions'!$A:$N,5,FALSE)</f>
        <v>0</v>
      </c>
      <c r="F150" s="137">
        <f>VLOOKUP(A150,'Billing Dimensions'!$A:$N,6,FALSE)-VLOOKUP(A150,'Audit Dimensions'!$A:$N,6,FALSE)</f>
        <v>-1820</v>
      </c>
      <c r="G150" s="65">
        <f>VLOOKUP(A150,'Billing Dimensions'!$A:$N,7,FALSE)-VLOOKUP(A150,'Audit Dimensions'!$A:$N,7,FALSE)</f>
        <v>0</v>
      </c>
      <c r="H150" s="65">
        <f>VLOOKUP(A150,'Billing Dimensions'!$A:$N,8,FALSE)-VLOOKUP(A150,'Audit Dimensions'!$A:$N,8,FALSE)</f>
        <v>0</v>
      </c>
      <c r="I150" s="65">
        <f>VLOOKUP(A150,'Billing Dimensions'!$A:$N,9,FALSE)-VLOOKUP(A150,'Audit Dimensions'!$A:$N,9,FALSE)</f>
        <v>0</v>
      </c>
      <c r="J150" s="61">
        <f>VLOOKUP(A150,'Billing Dimensions'!$A:$N,10,FALSE)-VLOOKUP(A150,'Audit Dimensions'!$A:$N,10,FALSE)</f>
        <v>0</v>
      </c>
      <c r="K150" s="63">
        <f>VLOOKUP(A150,'Billing Dimensions'!$A:$N,11,FALSE)-VLOOKUP(A150,'Audit Dimensions'!$A:$N,11,FALSE)</f>
        <v>0</v>
      </c>
      <c r="L150" s="63">
        <f>VLOOKUP(A150,'Billing Dimensions'!$A:$N,12,FALSE)-VLOOKUP(A150,'Audit Dimensions'!$A:$N,12,FALSE)</f>
        <v>0</v>
      </c>
      <c r="M150" s="63">
        <f>VLOOKUP(A150,'Billing Dimensions'!$A:$N,13,FALSE)-VLOOKUP(A150,'Audit Dimensions'!$A:$N,13,FALSE)</f>
        <v>0</v>
      </c>
      <c r="N150" s="140">
        <f>VLOOKUP(A150,'Billing Dimensions'!$A:$N,14,FALSE)-VLOOKUP(A150,'Audit Dimensions'!$A:$N,14,FALSE)</f>
        <v>0</v>
      </c>
      <c r="O150" s="145">
        <f>VLOOKUP('Audit VAR'!A150,'Audit Dimensions'!A:P,16,FALSE)</f>
        <v>36220</v>
      </c>
      <c r="P150" s="143">
        <f>VLOOKUP(A150,'Billing Dimensions'!A:Q,17,FALSE)-VLOOKUP('Audit VAR'!A150,'Audit Dimensions'!A:P,16,FALSE)</f>
        <v>-1820</v>
      </c>
      <c r="Q150" s="148">
        <f t="shared" si="2"/>
        <v>-5.0248481501932632E-2</v>
      </c>
    </row>
    <row r="151" spans="1:17">
      <c r="A151" s="58" t="str">
        <f>'Audit Dimensions'!A151</f>
        <v>ST-CBN-S</v>
      </c>
      <c r="B151" s="2" t="str">
        <f>VLOOKUP(A151,'Billing Dimensions'!A:B,2,FALSE)</f>
        <v>SB</v>
      </c>
      <c r="C151" s="59">
        <f>VLOOKUP(A151,'Billing Dimensions'!$A:$N,3,FALSE)-VLOOKUP(A151,'Audit Dimensions'!$A:$N,3,FALSE)</f>
        <v>0</v>
      </c>
      <c r="D151" s="59">
        <f>VLOOKUP(A151,'Billing Dimensions'!$A:$N,4,FALSE)-VLOOKUP(A151,'Audit Dimensions'!$A:$N,4,FALSE)</f>
        <v>0</v>
      </c>
      <c r="E151" s="59">
        <f>VLOOKUP(A151,'Billing Dimensions'!$A:$N,5,FALSE)-VLOOKUP(A151,'Audit Dimensions'!$A:$N,5,FALSE)</f>
        <v>0</v>
      </c>
      <c r="F151" s="137">
        <f>VLOOKUP(A151,'Billing Dimensions'!$A:$N,6,FALSE)-VLOOKUP(A151,'Audit Dimensions'!$A:$N,6,FALSE)</f>
        <v>-350</v>
      </c>
      <c r="G151" s="65">
        <f>VLOOKUP(A151,'Billing Dimensions'!$A:$N,7,FALSE)-VLOOKUP(A151,'Audit Dimensions'!$A:$N,7,FALSE)</f>
        <v>0</v>
      </c>
      <c r="H151" s="65">
        <f>VLOOKUP(A151,'Billing Dimensions'!$A:$N,8,FALSE)-VLOOKUP(A151,'Audit Dimensions'!$A:$N,8,FALSE)</f>
        <v>0</v>
      </c>
      <c r="I151" s="65">
        <f>VLOOKUP(A151,'Billing Dimensions'!$A:$N,9,FALSE)-VLOOKUP(A151,'Audit Dimensions'!$A:$N,9,FALSE)</f>
        <v>0</v>
      </c>
      <c r="J151" s="61">
        <f>VLOOKUP(A151,'Billing Dimensions'!$A:$N,10,FALSE)-VLOOKUP(A151,'Audit Dimensions'!$A:$N,10,FALSE)</f>
        <v>0</v>
      </c>
      <c r="K151" s="63">
        <f>VLOOKUP(A151,'Billing Dimensions'!$A:$N,11,FALSE)-VLOOKUP(A151,'Audit Dimensions'!$A:$N,11,FALSE)</f>
        <v>0</v>
      </c>
      <c r="L151" s="63">
        <f>VLOOKUP(A151,'Billing Dimensions'!$A:$N,12,FALSE)-VLOOKUP(A151,'Audit Dimensions'!$A:$N,12,FALSE)</f>
        <v>0</v>
      </c>
      <c r="M151" s="63">
        <f>VLOOKUP(A151,'Billing Dimensions'!$A:$N,13,FALSE)-VLOOKUP(A151,'Audit Dimensions'!$A:$N,13,FALSE)</f>
        <v>0</v>
      </c>
      <c r="N151" s="140">
        <f>VLOOKUP(A151,'Billing Dimensions'!$A:$N,14,FALSE)-VLOOKUP(A151,'Audit Dimensions'!$A:$N,14,FALSE)</f>
        <v>0</v>
      </c>
      <c r="O151" s="145">
        <f>VLOOKUP('Audit VAR'!A151,'Audit Dimensions'!A:P,16,FALSE)</f>
        <v>11150</v>
      </c>
      <c r="P151" s="143">
        <f>VLOOKUP(A151,'Billing Dimensions'!A:Q,17,FALSE)-VLOOKUP('Audit VAR'!A151,'Audit Dimensions'!A:P,16,FALSE)</f>
        <v>-350</v>
      </c>
      <c r="Q151" s="148">
        <f t="shared" si="2"/>
        <v>-3.1390134529147982E-2</v>
      </c>
    </row>
    <row r="152" spans="1:17" ht="14.45" customHeight="1">
      <c r="A152" s="58" t="str">
        <f>'Audit Dimensions'!A152</f>
        <v>S-CC</v>
      </c>
      <c r="B152" s="2" t="str">
        <f>VLOOKUP(A152,'Billing Dimensions'!A:B,2,FALSE)</f>
        <v>SB</v>
      </c>
      <c r="C152" s="59">
        <f>VLOOKUP(A152,'Billing Dimensions'!$A:$N,3,FALSE)-VLOOKUP(A152,'Audit Dimensions'!$A:$N,3,FALSE)</f>
        <v>0</v>
      </c>
      <c r="D152" s="59">
        <f>VLOOKUP(A152,'Billing Dimensions'!$A:$N,4,FALSE)-VLOOKUP(A152,'Audit Dimensions'!$A:$N,4,FALSE)</f>
        <v>0</v>
      </c>
      <c r="E152" s="59">
        <f>VLOOKUP(A152,'Billing Dimensions'!$A:$N,5,FALSE)-VLOOKUP(A152,'Audit Dimensions'!$A:$N,5,FALSE)</f>
        <v>0</v>
      </c>
      <c r="F152" s="137">
        <f>VLOOKUP(A152,'Billing Dimensions'!$A:$N,6,FALSE)-VLOOKUP(A152,'Audit Dimensions'!$A:$N,6,FALSE)</f>
        <v>-430</v>
      </c>
      <c r="G152" s="65">
        <f>VLOOKUP(A152,'Billing Dimensions'!$A:$N,7,FALSE)-VLOOKUP(A152,'Audit Dimensions'!$A:$N,7,FALSE)</f>
        <v>0</v>
      </c>
      <c r="H152" s="65">
        <f>VLOOKUP(A152,'Billing Dimensions'!$A:$N,8,FALSE)-VLOOKUP(A152,'Audit Dimensions'!$A:$N,8,FALSE)</f>
        <v>0</v>
      </c>
      <c r="I152" s="65">
        <f>VLOOKUP(A152,'Billing Dimensions'!$A:$N,9,FALSE)-VLOOKUP(A152,'Audit Dimensions'!$A:$N,9,FALSE)</f>
        <v>0</v>
      </c>
      <c r="J152" s="61">
        <f>VLOOKUP(A152,'Billing Dimensions'!$A:$N,10,FALSE)-VLOOKUP(A152,'Audit Dimensions'!$A:$N,10,FALSE)</f>
        <v>0</v>
      </c>
      <c r="K152" s="63">
        <f>VLOOKUP(A152,'Billing Dimensions'!$A:$N,11,FALSE)-VLOOKUP(A152,'Audit Dimensions'!$A:$N,11,FALSE)</f>
        <v>0</v>
      </c>
      <c r="L152" s="63">
        <f>VLOOKUP(A152,'Billing Dimensions'!$A:$N,12,FALSE)-VLOOKUP(A152,'Audit Dimensions'!$A:$N,12,FALSE)</f>
        <v>0</v>
      </c>
      <c r="M152" s="63">
        <f>VLOOKUP(A152,'Billing Dimensions'!$A:$N,13,FALSE)-VLOOKUP(A152,'Audit Dimensions'!$A:$N,13,FALSE)</f>
        <v>0</v>
      </c>
      <c r="N152" s="140">
        <f>VLOOKUP(A152,'Billing Dimensions'!$A:$N,14,FALSE)-VLOOKUP(A152,'Audit Dimensions'!$A:$N,14,FALSE)</f>
        <v>0</v>
      </c>
      <c r="O152" s="145">
        <f>VLOOKUP('Audit VAR'!A152,'Audit Dimensions'!A:P,16,FALSE)</f>
        <v>14330</v>
      </c>
      <c r="P152" s="143">
        <f>VLOOKUP(A152,'Billing Dimensions'!A:Q,17,FALSE)-VLOOKUP('Audit VAR'!A152,'Audit Dimensions'!A:P,16,FALSE)</f>
        <v>-430</v>
      </c>
      <c r="Q152" s="148">
        <f t="shared" si="2"/>
        <v>-3.0006978367062107E-2</v>
      </c>
    </row>
    <row r="153" spans="1:17">
      <c r="A153" s="58" t="str">
        <f>'Audit Dimensions'!A153</f>
        <v>W-AND-12N</v>
      </c>
      <c r="B153" s="2" t="str">
        <f>VLOOKUP(A153,'Billing Dimensions'!A:B,2,FALSE)</f>
        <v>SB</v>
      </c>
      <c r="C153" s="59">
        <f>VLOOKUP(A153,'Billing Dimensions'!$A:$N,3,FALSE)-VLOOKUP(A153,'Audit Dimensions'!$A:$N,3,FALSE)</f>
        <v>0</v>
      </c>
      <c r="D153" s="59">
        <f>VLOOKUP(A153,'Billing Dimensions'!$A:$N,4,FALSE)-VLOOKUP(A153,'Audit Dimensions'!$A:$N,4,FALSE)</f>
        <v>0</v>
      </c>
      <c r="E153" s="59">
        <f>VLOOKUP(A153,'Billing Dimensions'!$A:$N,5,FALSE)-VLOOKUP(A153,'Audit Dimensions'!$A:$N,5,FALSE)</f>
        <v>0</v>
      </c>
      <c r="F153" s="137">
        <f>VLOOKUP(A153,'Billing Dimensions'!$A:$N,6,FALSE)-VLOOKUP(A153,'Audit Dimensions'!$A:$N,6,FALSE)</f>
        <v>-3100</v>
      </c>
      <c r="G153" s="65">
        <f>VLOOKUP(A153,'Billing Dimensions'!$A:$N,7,FALSE)-VLOOKUP(A153,'Audit Dimensions'!$A:$N,7,FALSE)</f>
        <v>0</v>
      </c>
      <c r="H153" s="65">
        <f>VLOOKUP(A153,'Billing Dimensions'!$A:$N,8,FALSE)-VLOOKUP(A153,'Audit Dimensions'!$A:$N,8,FALSE)</f>
        <v>0</v>
      </c>
      <c r="I153" s="65">
        <f>VLOOKUP(A153,'Billing Dimensions'!$A:$N,9,FALSE)-VLOOKUP(A153,'Audit Dimensions'!$A:$N,9,FALSE)</f>
        <v>0</v>
      </c>
      <c r="J153" s="61">
        <f>VLOOKUP(A153,'Billing Dimensions'!$A:$N,10,FALSE)-VLOOKUP(A153,'Audit Dimensions'!$A:$N,10,FALSE)</f>
        <v>0</v>
      </c>
      <c r="K153" s="63">
        <f>VLOOKUP(A153,'Billing Dimensions'!$A:$N,11,FALSE)-VLOOKUP(A153,'Audit Dimensions'!$A:$N,11,FALSE)</f>
        <v>0</v>
      </c>
      <c r="L153" s="63">
        <f>VLOOKUP(A153,'Billing Dimensions'!$A:$N,12,FALSE)-VLOOKUP(A153,'Audit Dimensions'!$A:$N,12,FALSE)</f>
        <v>0</v>
      </c>
      <c r="M153" s="63">
        <f>VLOOKUP(A153,'Billing Dimensions'!$A:$N,13,FALSE)-VLOOKUP(A153,'Audit Dimensions'!$A:$N,13,FALSE)</f>
        <v>0</v>
      </c>
      <c r="N153" s="140">
        <f>VLOOKUP(A153,'Billing Dimensions'!$A:$N,14,FALSE)-VLOOKUP(A153,'Audit Dimensions'!$A:$N,14,FALSE)</f>
        <v>0</v>
      </c>
      <c r="O153" s="145">
        <f>VLOOKUP('Audit VAR'!A153,'Audit Dimensions'!A:P,16,FALSE)</f>
        <v>51500</v>
      </c>
      <c r="P153" s="143">
        <f>VLOOKUP(A153,'Billing Dimensions'!A:Q,17,FALSE)-VLOOKUP('Audit VAR'!A153,'Audit Dimensions'!A:P,16,FALSE)</f>
        <v>-3100</v>
      </c>
      <c r="Q153" s="148">
        <f t="shared" si="2"/>
        <v>-6.0194174757281553E-2</v>
      </c>
    </row>
    <row r="154" spans="1:17" ht="14.45" customHeight="1">
      <c r="A154" s="58" t="str">
        <f>'Audit Dimensions'!A154</f>
        <v>SB-ASG</v>
      </c>
      <c r="B154" s="2" t="str">
        <f>VLOOKUP(A154,'Billing Dimensions'!A:B,2,FALSE)</f>
        <v>SB</v>
      </c>
      <c r="C154" s="59">
        <f>VLOOKUP(A154,'Billing Dimensions'!$A:$N,3,FALSE)-VLOOKUP(A154,'Audit Dimensions'!$A:$N,3,FALSE)</f>
        <v>0</v>
      </c>
      <c r="D154" s="59">
        <f>VLOOKUP(A154,'Billing Dimensions'!$A:$N,4,FALSE)-VLOOKUP(A154,'Audit Dimensions'!$A:$N,4,FALSE)</f>
        <v>0</v>
      </c>
      <c r="E154" s="59">
        <f>VLOOKUP(A154,'Billing Dimensions'!$A:$N,5,FALSE)-VLOOKUP(A154,'Audit Dimensions'!$A:$N,5,FALSE)</f>
        <v>0</v>
      </c>
      <c r="F154" s="137">
        <f>VLOOKUP(A154,'Billing Dimensions'!$A:$N,6,FALSE)-VLOOKUP(A154,'Audit Dimensions'!$A:$N,6,FALSE)</f>
        <v>-880</v>
      </c>
      <c r="G154" s="65">
        <f>VLOOKUP(A154,'Billing Dimensions'!$A:$N,7,FALSE)-VLOOKUP(A154,'Audit Dimensions'!$A:$N,7,FALSE)</f>
        <v>0</v>
      </c>
      <c r="H154" s="65">
        <f>VLOOKUP(A154,'Billing Dimensions'!$A:$N,8,FALSE)-VLOOKUP(A154,'Audit Dimensions'!$A:$N,8,FALSE)</f>
        <v>0</v>
      </c>
      <c r="I154" s="65">
        <f>VLOOKUP(A154,'Billing Dimensions'!$A:$N,9,FALSE)-VLOOKUP(A154,'Audit Dimensions'!$A:$N,9,FALSE)</f>
        <v>0</v>
      </c>
      <c r="J154" s="61">
        <f>VLOOKUP(A154,'Billing Dimensions'!$A:$N,10,FALSE)-VLOOKUP(A154,'Audit Dimensions'!$A:$N,10,FALSE)</f>
        <v>0</v>
      </c>
      <c r="K154" s="63">
        <f>VLOOKUP(A154,'Billing Dimensions'!$A:$N,11,FALSE)-VLOOKUP(A154,'Audit Dimensions'!$A:$N,11,FALSE)</f>
        <v>0</v>
      </c>
      <c r="L154" s="63">
        <f>VLOOKUP(A154,'Billing Dimensions'!$A:$N,12,FALSE)-VLOOKUP(A154,'Audit Dimensions'!$A:$N,12,FALSE)</f>
        <v>0</v>
      </c>
      <c r="M154" s="63">
        <f>VLOOKUP(A154,'Billing Dimensions'!$A:$N,13,FALSE)-VLOOKUP(A154,'Audit Dimensions'!$A:$N,13,FALSE)</f>
        <v>0</v>
      </c>
      <c r="N154" s="140">
        <f>VLOOKUP(A154,'Billing Dimensions'!$A:$N,14,FALSE)-VLOOKUP(A154,'Audit Dimensions'!$A:$N,14,FALSE)</f>
        <v>0</v>
      </c>
      <c r="O154" s="145">
        <f>VLOOKUP('Audit VAR'!A154,'Audit Dimensions'!A:P,16,FALSE)</f>
        <v>16680</v>
      </c>
      <c r="P154" s="143">
        <f>VLOOKUP(A154,'Billing Dimensions'!A:Q,17,FALSE)-VLOOKUP('Audit VAR'!A154,'Audit Dimensions'!A:P,16,FALSE)</f>
        <v>-880</v>
      </c>
      <c r="Q154" s="148">
        <f t="shared" si="2"/>
        <v>-5.2757793764988008E-2</v>
      </c>
    </row>
    <row r="155" spans="1:17">
      <c r="A155" s="58" t="str">
        <f>'Audit Dimensions'!A155</f>
        <v>TU-LE</v>
      </c>
      <c r="B155" s="2" t="str">
        <f>VLOOKUP(A155,'Billing Dimensions'!A:B,2,FALSE)</f>
        <v>SB</v>
      </c>
      <c r="C155" s="59">
        <f>VLOOKUP(A155,'Billing Dimensions'!$A:$N,3,FALSE)-VLOOKUP(A155,'Audit Dimensions'!$A:$N,3,FALSE)</f>
        <v>0</v>
      </c>
      <c r="D155" s="59">
        <f>VLOOKUP(A155,'Billing Dimensions'!$A:$N,4,FALSE)-VLOOKUP(A155,'Audit Dimensions'!$A:$N,4,FALSE)</f>
        <v>0</v>
      </c>
      <c r="E155" s="59">
        <f>VLOOKUP(A155,'Billing Dimensions'!$A:$N,5,FALSE)-VLOOKUP(A155,'Audit Dimensions'!$A:$N,5,FALSE)</f>
        <v>0</v>
      </c>
      <c r="F155" s="137">
        <f>VLOOKUP(A155,'Billing Dimensions'!$A:$N,6,FALSE)-VLOOKUP(A155,'Audit Dimensions'!$A:$N,6,FALSE)</f>
        <v>-1310</v>
      </c>
      <c r="G155" s="65">
        <f>VLOOKUP(A155,'Billing Dimensions'!$A:$N,7,FALSE)-VLOOKUP(A155,'Audit Dimensions'!$A:$N,7,FALSE)</f>
        <v>0</v>
      </c>
      <c r="H155" s="65">
        <f>VLOOKUP(A155,'Billing Dimensions'!$A:$N,8,FALSE)-VLOOKUP(A155,'Audit Dimensions'!$A:$N,8,FALSE)</f>
        <v>0</v>
      </c>
      <c r="I155" s="65">
        <f>VLOOKUP(A155,'Billing Dimensions'!$A:$N,9,FALSE)-VLOOKUP(A155,'Audit Dimensions'!$A:$N,9,FALSE)</f>
        <v>0</v>
      </c>
      <c r="J155" s="61">
        <f>VLOOKUP(A155,'Billing Dimensions'!$A:$N,10,FALSE)-VLOOKUP(A155,'Audit Dimensions'!$A:$N,10,FALSE)</f>
        <v>0</v>
      </c>
      <c r="K155" s="63">
        <f>VLOOKUP(A155,'Billing Dimensions'!$A:$N,11,FALSE)-VLOOKUP(A155,'Audit Dimensions'!$A:$N,11,FALSE)</f>
        <v>0</v>
      </c>
      <c r="L155" s="63">
        <f>VLOOKUP(A155,'Billing Dimensions'!$A:$N,12,FALSE)-VLOOKUP(A155,'Audit Dimensions'!$A:$N,12,FALSE)</f>
        <v>0</v>
      </c>
      <c r="M155" s="63">
        <f>VLOOKUP(A155,'Billing Dimensions'!$A:$N,13,FALSE)-VLOOKUP(A155,'Audit Dimensions'!$A:$N,13,FALSE)</f>
        <v>0</v>
      </c>
      <c r="N155" s="140">
        <f>VLOOKUP(A155,'Billing Dimensions'!$A:$N,14,FALSE)-VLOOKUP(A155,'Audit Dimensions'!$A:$N,14,FALSE)</f>
        <v>0</v>
      </c>
      <c r="O155" s="145">
        <f>VLOOKUP('Audit VAR'!A155,'Audit Dimensions'!A:P,16,FALSE)</f>
        <v>17200</v>
      </c>
      <c r="P155" s="143">
        <f>VLOOKUP(A155,'Billing Dimensions'!A:Q,17,FALSE)-VLOOKUP('Audit VAR'!A155,'Audit Dimensions'!A:P,16,FALSE)</f>
        <v>-1310</v>
      </c>
      <c r="Q155" s="148">
        <f t="shared" si="2"/>
        <v>-7.6162790697674412E-2</v>
      </c>
    </row>
    <row r="156" spans="1:17" ht="14.45" customHeight="1">
      <c r="A156" s="58" t="str">
        <f>'Audit Dimensions'!A156</f>
        <v>SR-MVS-T</v>
      </c>
      <c r="B156" s="2" t="str">
        <f>VLOOKUP(A156,'Billing Dimensions'!A:B,2,FALSE)</f>
        <v>SB</v>
      </c>
      <c r="C156" s="59">
        <f>VLOOKUP(A156,'Billing Dimensions'!$A:$N,3,FALSE)-VLOOKUP(A156,'Audit Dimensions'!$A:$N,3,FALSE)</f>
        <v>0</v>
      </c>
      <c r="D156" s="59">
        <f>VLOOKUP(A156,'Billing Dimensions'!$A:$N,4,FALSE)-VLOOKUP(A156,'Audit Dimensions'!$A:$N,4,FALSE)</f>
        <v>0</v>
      </c>
      <c r="E156" s="59">
        <f>VLOOKUP(A156,'Billing Dimensions'!$A:$N,5,FALSE)-VLOOKUP(A156,'Audit Dimensions'!$A:$N,5,FALSE)</f>
        <v>0</v>
      </c>
      <c r="F156" s="137">
        <f>VLOOKUP(A156,'Billing Dimensions'!$A:$N,6,FALSE)-VLOOKUP(A156,'Audit Dimensions'!$A:$N,6,FALSE)</f>
        <v>-2100</v>
      </c>
      <c r="G156" s="65">
        <f>VLOOKUP(A156,'Billing Dimensions'!$A:$N,7,FALSE)-VLOOKUP(A156,'Audit Dimensions'!$A:$N,7,FALSE)</f>
        <v>0</v>
      </c>
      <c r="H156" s="65">
        <f>VLOOKUP(A156,'Billing Dimensions'!$A:$N,8,FALSE)-VLOOKUP(A156,'Audit Dimensions'!$A:$N,8,FALSE)</f>
        <v>0</v>
      </c>
      <c r="I156" s="65">
        <f>VLOOKUP(A156,'Billing Dimensions'!$A:$N,9,FALSE)-VLOOKUP(A156,'Audit Dimensions'!$A:$N,9,FALSE)</f>
        <v>0</v>
      </c>
      <c r="J156" s="61">
        <f>VLOOKUP(A156,'Billing Dimensions'!$A:$N,10,FALSE)-VLOOKUP(A156,'Audit Dimensions'!$A:$N,10,FALSE)</f>
        <v>0</v>
      </c>
      <c r="K156" s="63">
        <f>VLOOKUP(A156,'Billing Dimensions'!$A:$N,11,FALSE)-VLOOKUP(A156,'Audit Dimensions'!$A:$N,11,FALSE)</f>
        <v>0</v>
      </c>
      <c r="L156" s="63">
        <f>VLOOKUP(A156,'Billing Dimensions'!$A:$N,12,FALSE)-VLOOKUP(A156,'Audit Dimensions'!$A:$N,12,FALSE)</f>
        <v>0</v>
      </c>
      <c r="M156" s="63">
        <f>VLOOKUP(A156,'Billing Dimensions'!$A:$N,13,FALSE)-VLOOKUP(A156,'Audit Dimensions'!$A:$N,13,FALSE)</f>
        <v>0</v>
      </c>
      <c r="N156" s="140">
        <f>VLOOKUP(A156,'Billing Dimensions'!$A:$N,14,FALSE)-VLOOKUP(A156,'Audit Dimensions'!$A:$N,14,FALSE)</f>
        <v>0</v>
      </c>
      <c r="O156" s="145">
        <f>VLOOKUP('Audit VAR'!A156,'Audit Dimensions'!A:P,16,FALSE)</f>
        <v>29600</v>
      </c>
      <c r="P156" s="143">
        <f>VLOOKUP(A156,'Billing Dimensions'!A:Q,17,FALSE)-VLOOKUP('Audit VAR'!A156,'Audit Dimensions'!A:P,16,FALSE)</f>
        <v>-2100</v>
      </c>
      <c r="Q156" s="148">
        <f t="shared" si="2"/>
        <v>-7.0945945945945943E-2</v>
      </c>
    </row>
    <row r="157" spans="1:17">
      <c r="A157" s="58" t="str">
        <f>'Audit Dimensions'!A157</f>
        <v>TU-PTL</v>
      </c>
      <c r="B157" s="2" t="str">
        <f>VLOOKUP(A157,'Billing Dimensions'!A:B,2,FALSE)</f>
        <v>SB</v>
      </c>
      <c r="C157" s="59">
        <f>VLOOKUP(A157,'Billing Dimensions'!$A:$N,3,FALSE)-VLOOKUP(A157,'Audit Dimensions'!$A:$N,3,FALSE)</f>
        <v>0</v>
      </c>
      <c r="D157" s="59">
        <f>VLOOKUP(A157,'Billing Dimensions'!$A:$N,4,FALSE)-VLOOKUP(A157,'Audit Dimensions'!$A:$N,4,FALSE)</f>
        <v>0</v>
      </c>
      <c r="E157" s="59">
        <f>VLOOKUP(A157,'Billing Dimensions'!$A:$N,5,FALSE)-VLOOKUP(A157,'Audit Dimensions'!$A:$N,5,FALSE)</f>
        <v>0</v>
      </c>
      <c r="F157" s="137">
        <f>VLOOKUP(A157,'Billing Dimensions'!$A:$N,6,FALSE)-VLOOKUP(A157,'Audit Dimensions'!$A:$N,6,FALSE)</f>
        <v>-1750</v>
      </c>
      <c r="G157" s="65">
        <f>VLOOKUP(A157,'Billing Dimensions'!$A:$N,7,FALSE)-VLOOKUP(A157,'Audit Dimensions'!$A:$N,7,FALSE)</f>
        <v>0</v>
      </c>
      <c r="H157" s="65">
        <f>VLOOKUP(A157,'Billing Dimensions'!$A:$N,8,FALSE)-VLOOKUP(A157,'Audit Dimensions'!$A:$N,8,FALSE)</f>
        <v>0</v>
      </c>
      <c r="I157" s="65">
        <f>VLOOKUP(A157,'Billing Dimensions'!$A:$N,9,FALSE)-VLOOKUP(A157,'Audit Dimensions'!$A:$N,9,FALSE)</f>
        <v>0</v>
      </c>
      <c r="J157" s="61">
        <f>VLOOKUP(A157,'Billing Dimensions'!$A:$N,10,FALSE)-VLOOKUP(A157,'Audit Dimensions'!$A:$N,10,FALSE)</f>
        <v>0</v>
      </c>
      <c r="K157" s="63">
        <f>VLOOKUP(A157,'Billing Dimensions'!$A:$N,11,FALSE)-VLOOKUP(A157,'Audit Dimensions'!$A:$N,11,FALSE)</f>
        <v>0</v>
      </c>
      <c r="L157" s="63">
        <f>VLOOKUP(A157,'Billing Dimensions'!$A:$N,12,FALSE)-VLOOKUP(A157,'Audit Dimensions'!$A:$N,12,FALSE)</f>
        <v>0</v>
      </c>
      <c r="M157" s="63">
        <f>VLOOKUP(A157,'Billing Dimensions'!$A:$N,13,FALSE)-VLOOKUP(A157,'Audit Dimensions'!$A:$N,13,FALSE)</f>
        <v>0</v>
      </c>
      <c r="N157" s="140">
        <f>VLOOKUP(A157,'Billing Dimensions'!$A:$N,14,FALSE)-VLOOKUP(A157,'Audit Dimensions'!$A:$N,14,FALSE)</f>
        <v>0</v>
      </c>
      <c r="O157" s="145">
        <f>VLOOKUP('Audit VAR'!A157,'Audit Dimensions'!A:P,16,FALSE)</f>
        <v>22200</v>
      </c>
      <c r="P157" s="143">
        <f>VLOOKUP(A157,'Billing Dimensions'!A:Q,17,FALSE)-VLOOKUP('Audit VAR'!A157,'Audit Dimensions'!A:P,16,FALSE)</f>
        <v>-1750</v>
      </c>
      <c r="Q157" s="148">
        <f t="shared" si="2"/>
        <v>-7.8828828828828829E-2</v>
      </c>
    </row>
    <row r="158" spans="1:17" ht="14.45" customHeight="1">
      <c r="A158" s="58" t="str">
        <f>'Audit Dimensions'!A158</f>
        <v>KC-OPT-2N</v>
      </c>
      <c r="B158" s="2" t="str">
        <f>VLOOKUP(A158,'Billing Dimensions'!A:B,2,FALSE)</f>
        <v>SB</v>
      </c>
      <c r="C158" s="59">
        <f>VLOOKUP(A158,'Billing Dimensions'!$A:$N,3,FALSE)-VLOOKUP(A158,'Audit Dimensions'!$A:$N,3,FALSE)</f>
        <v>0</v>
      </c>
      <c r="D158" s="59">
        <f>VLOOKUP(A158,'Billing Dimensions'!$A:$N,4,FALSE)-VLOOKUP(A158,'Audit Dimensions'!$A:$N,4,FALSE)</f>
        <v>0</v>
      </c>
      <c r="E158" s="59">
        <f>VLOOKUP(A158,'Billing Dimensions'!$A:$N,5,FALSE)-VLOOKUP(A158,'Audit Dimensions'!$A:$N,5,FALSE)</f>
        <v>0</v>
      </c>
      <c r="F158" s="137">
        <f>VLOOKUP(A158,'Billing Dimensions'!$A:$N,6,FALSE)-VLOOKUP(A158,'Audit Dimensions'!$A:$N,6,FALSE)</f>
        <v>-2100</v>
      </c>
      <c r="G158" s="65">
        <f>VLOOKUP(A158,'Billing Dimensions'!$A:$N,7,FALSE)-VLOOKUP(A158,'Audit Dimensions'!$A:$N,7,FALSE)</f>
        <v>0</v>
      </c>
      <c r="H158" s="65">
        <f>VLOOKUP(A158,'Billing Dimensions'!$A:$N,8,FALSE)-VLOOKUP(A158,'Audit Dimensions'!$A:$N,8,FALSE)</f>
        <v>0</v>
      </c>
      <c r="I158" s="65">
        <f>VLOOKUP(A158,'Billing Dimensions'!$A:$N,9,FALSE)-VLOOKUP(A158,'Audit Dimensions'!$A:$N,9,FALSE)</f>
        <v>0</v>
      </c>
      <c r="J158" s="61">
        <f>VLOOKUP(A158,'Billing Dimensions'!$A:$N,10,FALSE)-VLOOKUP(A158,'Audit Dimensions'!$A:$N,10,FALSE)</f>
        <v>0</v>
      </c>
      <c r="K158" s="63">
        <f>VLOOKUP(A158,'Billing Dimensions'!$A:$N,11,FALSE)-VLOOKUP(A158,'Audit Dimensions'!$A:$N,11,FALSE)</f>
        <v>0</v>
      </c>
      <c r="L158" s="63">
        <f>VLOOKUP(A158,'Billing Dimensions'!$A:$N,12,FALSE)-VLOOKUP(A158,'Audit Dimensions'!$A:$N,12,FALSE)</f>
        <v>0</v>
      </c>
      <c r="M158" s="63">
        <f>VLOOKUP(A158,'Billing Dimensions'!$A:$N,13,FALSE)-VLOOKUP(A158,'Audit Dimensions'!$A:$N,13,FALSE)</f>
        <v>0</v>
      </c>
      <c r="N158" s="140">
        <f>VLOOKUP(A158,'Billing Dimensions'!$A:$N,14,FALSE)-VLOOKUP(A158,'Audit Dimensions'!$A:$N,14,FALSE)</f>
        <v>0</v>
      </c>
      <c r="O158" s="145">
        <f>VLOOKUP('Audit VAR'!A158,'Audit Dimensions'!A:P,16,FALSE)</f>
        <v>31800</v>
      </c>
      <c r="P158" s="143">
        <f>VLOOKUP(A158,'Billing Dimensions'!A:Q,17,FALSE)-VLOOKUP('Audit VAR'!A158,'Audit Dimensions'!A:P,16,FALSE)</f>
        <v>-2100</v>
      </c>
      <c r="Q158" s="148">
        <f t="shared" si="2"/>
        <v>-6.6037735849056603E-2</v>
      </c>
    </row>
    <row r="159" spans="1:17" ht="14.45" customHeight="1">
      <c r="A159" s="58" t="str">
        <f>'Audit Dimensions'!A159</f>
        <v>TU-MA-LA</v>
      </c>
      <c r="B159" s="2" t="str">
        <f>VLOOKUP(A159,'Billing Dimensions'!A:B,2,FALSE)</f>
        <v>SB</v>
      </c>
      <c r="C159" s="59">
        <f>VLOOKUP(A159,'Billing Dimensions'!$A:$N,3,FALSE)-VLOOKUP(A159,'Audit Dimensions'!$A:$N,3,FALSE)</f>
        <v>0</v>
      </c>
      <c r="D159" s="59">
        <f>VLOOKUP(A159,'Billing Dimensions'!$A:$N,4,FALSE)-VLOOKUP(A159,'Audit Dimensions'!$A:$N,4,FALSE)</f>
        <v>0</v>
      </c>
      <c r="E159" s="59">
        <f>VLOOKUP(A159,'Billing Dimensions'!$A:$N,5,FALSE)-VLOOKUP(A159,'Audit Dimensions'!$A:$N,5,FALSE)</f>
        <v>0</v>
      </c>
      <c r="F159" s="137">
        <f>VLOOKUP(A159,'Billing Dimensions'!$A:$N,6,FALSE)-VLOOKUP(A159,'Audit Dimensions'!$A:$N,6,FALSE)</f>
        <v>0</v>
      </c>
      <c r="G159" s="65">
        <f>VLOOKUP(A159,'Billing Dimensions'!$A:$N,7,FALSE)-VLOOKUP(A159,'Audit Dimensions'!$A:$N,7,FALSE)</f>
        <v>0</v>
      </c>
      <c r="H159" s="65">
        <f>VLOOKUP(A159,'Billing Dimensions'!$A:$N,8,FALSE)-VLOOKUP(A159,'Audit Dimensions'!$A:$N,8,FALSE)</f>
        <v>0</v>
      </c>
      <c r="I159" s="65">
        <f>VLOOKUP(A159,'Billing Dimensions'!$A:$N,9,FALSE)-VLOOKUP(A159,'Audit Dimensions'!$A:$N,9,FALSE)</f>
        <v>0</v>
      </c>
      <c r="J159" s="61">
        <f>VLOOKUP(A159,'Billing Dimensions'!$A:$N,10,FALSE)-VLOOKUP(A159,'Audit Dimensions'!$A:$N,10,FALSE)</f>
        <v>0</v>
      </c>
      <c r="K159" s="63">
        <f>VLOOKUP(A159,'Billing Dimensions'!$A:$N,11,FALSE)-VLOOKUP(A159,'Audit Dimensions'!$A:$N,11,FALSE)</f>
        <v>0</v>
      </c>
      <c r="L159" s="63">
        <f>VLOOKUP(A159,'Billing Dimensions'!$A:$N,12,FALSE)-VLOOKUP(A159,'Audit Dimensions'!$A:$N,12,FALSE)</f>
        <v>0</v>
      </c>
      <c r="M159" s="63">
        <f>VLOOKUP(A159,'Billing Dimensions'!$A:$N,13,FALSE)-VLOOKUP(A159,'Audit Dimensions'!$A:$N,13,FALSE)</f>
        <v>0</v>
      </c>
      <c r="N159" s="140">
        <f>VLOOKUP(A159,'Billing Dimensions'!$A:$N,14,FALSE)-VLOOKUP(A159,'Audit Dimensions'!$A:$N,14,FALSE)</f>
        <v>0</v>
      </c>
      <c r="O159" s="145">
        <f>VLOOKUP('Audit VAR'!A159,'Audit Dimensions'!A:P,16,FALSE)</f>
        <v>4760</v>
      </c>
      <c r="P159" s="143">
        <f>VLOOKUP(A159,'Billing Dimensions'!A:Q,17,FALSE)-VLOOKUP('Audit VAR'!A159,'Audit Dimensions'!A:P,16,FALSE)</f>
        <v>0</v>
      </c>
      <c r="Q159" s="148">
        <f t="shared" si="2"/>
        <v>0</v>
      </c>
    </row>
    <row r="160" spans="1:17" ht="14.45" customHeight="1">
      <c r="A160" s="58" t="str">
        <f>'Audit Dimensions'!A160</f>
        <v>SR-BKN-H</v>
      </c>
      <c r="B160" s="2" t="str">
        <f>VLOOKUP(A160,'Billing Dimensions'!A:B,2,FALSE)</f>
        <v>SB</v>
      </c>
      <c r="C160" s="59">
        <f>VLOOKUP(A160,'Billing Dimensions'!$A:$N,3,FALSE)-VLOOKUP(A160,'Audit Dimensions'!$A:$N,3,FALSE)</f>
        <v>0</v>
      </c>
      <c r="D160" s="59">
        <f>VLOOKUP(A160,'Billing Dimensions'!$A:$N,4,FALSE)-VLOOKUP(A160,'Audit Dimensions'!$A:$N,4,FALSE)</f>
        <v>0</v>
      </c>
      <c r="E160" s="59">
        <f>VLOOKUP(A160,'Billing Dimensions'!$A:$N,5,FALSE)-VLOOKUP(A160,'Audit Dimensions'!$A:$N,5,FALSE)</f>
        <v>0</v>
      </c>
      <c r="F160" s="137">
        <f>VLOOKUP(A160,'Billing Dimensions'!$A:$N,6,FALSE)-VLOOKUP(A160,'Audit Dimensions'!$A:$N,6,FALSE)</f>
        <v>-3320</v>
      </c>
      <c r="G160" s="65">
        <f>VLOOKUP(A160,'Billing Dimensions'!$A:$N,7,FALSE)-VLOOKUP(A160,'Audit Dimensions'!$A:$N,7,FALSE)</f>
        <v>0</v>
      </c>
      <c r="H160" s="65">
        <f>VLOOKUP(A160,'Billing Dimensions'!$A:$N,8,FALSE)-VLOOKUP(A160,'Audit Dimensions'!$A:$N,8,FALSE)</f>
        <v>0</v>
      </c>
      <c r="I160" s="65">
        <f>VLOOKUP(A160,'Billing Dimensions'!$A:$N,9,FALSE)-VLOOKUP(A160,'Audit Dimensions'!$A:$N,9,FALSE)</f>
        <v>0</v>
      </c>
      <c r="J160" s="61">
        <f>VLOOKUP(A160,'Billing Dimensions'!$A:$N,10,FALSE)-VLOOKUP(A160,'Audit Dimensions'!$A:$N,10,FALSE)</f>
        <v>0</v>
      </c>
      <c r="K160" s="63">
        <f>VLOOKUP(A160,'Billing Dimensions'!$A:$N,11,FALSE)-VLOOKUP(A160,'Audit Dimensions'!$A:$N,11,FALSE)</f>
        <v>0</v>
      </c>
      <c r="L160" s="63">
        <f>VLOOKUP(A160,'Billing Dimensions'!$A:$N,12,FALSE)-VLOOKUP(A160,'Audit Dimensions'!$A:$N,12,FALSE)</f>
        <v>0</v>
      </c>
      <c r="M160" s="63">
        <f>VLOOKUP(A160,'Billing Dimensions'!$A:$N,13,FALSE)-VLOOKUP(A160,'Audit Dimensions'!$A:$N,13,FALSE)</f>
        <v>0</v>
      </c>
      <c r="N160" s="140">
        <f>VLOOKUP(A160,'Billing Dimensions'!$A:$N,14,FALSE)-VLOOKUP(A160,'Audit Dimensions'!$A:$N,14,FALSE)</f>
        <v>0</v>
      </c>
      <c r="O160" s="145">
        <f>VLOOKUP('Audit VAR'!A160,'Audit Dimensions'!A:P,16,FALSE)</f>
        <v>58920</v>
      </c>
      <c r="P160" s="143">
        <f>VLOOKUP(A160,'Billing Dimensions'!A:Q,17,FALSE)-VLOOKUP('Audit VAR'!A160,'Audit Dimensions'!A:P,16,FALSE)</f>
        <v>-3320</v>
      </c>
      <c r="Q160" s="148">
        <f t="shared" si="2"/>
        <v>-5.6347589952477933E-2</v>
      </c>
    </row>
    <row r="161" spans="1:17" ht="14.45" customHeight="1">
      <c r="A161" s="58" t="str">
        <f>'Audit Dimensions'!A161</f>
        <v>TU-CRL</v>
      </c>
      <c r="B161" s="2" t="str">
        <f>VLOOKUP(A161,'Billing Dimensions'!A:B,2,FALSE)</f>
        <v>SB</v>
      </c>
      <c r="C161" s="59">
        <f>VLOOKUP(A161,'Billing Dimensions'!$A:$N,3,FALSE)-VLOOKUP(A161,'Audit Dimensions'!$A:$N,3,FALSE)</f>
        <v>0</v>
      </c>
      <c r="D161" s="59">
        <f>VLOOKUP(A161,'Billing Dimensions'!$A:$N,4,FALSE)-VLOOKUP(A161,'Audit Dimensions'!$A:$N,4,FALSE)</f>
        <v>0</v>
      </c>
      <c r="E161" s="59">
        <f>VLOOKUP(A161,'Billing Dimensions'!$A:$N,5,FALSE)-VLOOKUP(A161,'Audit Dimensions'!$A:$N,5,FALSE)</f>
        <v>0</v>
      </c>
      <c r="F161" s="137">
        <f>VLOOKUP(A161,'Billing Dimensions'!$A:$N,6,FALSE)-VLOOKUP(A161,'Audit Dimensions'!$A:$N,6,FALSE)</f>
        <v>-1490</v>
      </c>
      <c r="G161" s="65">
        <f>VLOOKUP(A161,'Billing Dimensions'!$A:$N,7,FALSE)-VLOOKUP(A161,'Audit Dimensions'!$A:$N,7,FALSE)</f>
        <v>0</v>
      </c>
      <c r="H161" s="65">
        <f>VLOOKUP(A161,'Billing Dimensions'!$A:$N,8,FALSE)-VLOOKUP(A161,'Audit Dimensions'!$A:$N,8,FALSE)</f>
        <v>0</v>
      </c>
      <c r="I161" s="65">
        <f>VLOOKUP(A161,'Billing Dimensions'!$A:$N,9,FALSE)-VLOOKUP(A161,'Audit Dimensions'!$A:$N,9,FALSE)</f>
        <v>0</v>
      </c>
      <c r="J161" s="61">
        <f>VLOOKUP(A161,'Billing Dimensions'!$A:$N,10,FALSE)-VLOOKUP(A161,'Audit Dimensions'!$A:$N,10,FALSE)</f>
        <v>0</v>
      </c>
      <c r="K161" s="63">
        <f>VLOOKUP(A161,'Billing Dimensions'!$A:$N,11,FALSE)-VLOOKUP(A161,'Audit Dimensions'!$A:$N,11,FALSE)</f>
        <v>0</v>
      </c>
      <c r="L161" s="63">
        <f>VLOOKUP(A161,'Billing Dimensions'!$A:$N,12,FALSE)-VLOOKUP(A161,'Audit Dimensions'!$A:$N,12,FALSE)</f>
        <v>0</v>
      </c>
      <c r="M161" s="63">
        <f>VLOOKUP(A161,'Billing Dimensions'!$A:$N,13,FALSE)-VLOOKUP(A161,'Audit Dimensions'!$A:$N,13,FALSE)</f>
        <v>0</v>
      </c>
      <c r="N161" s="140">
        <f>VLOOKUP(A161,'Billing Dimensions'!$A:$N,14,FALSE)-VLOOKUP(A161,'Audit Dimensions'!$A:$N,14,FALSE)</f>
        <v>0</v>
      </c>
      <c r="O161" s="145">
        <f>VLOOKUP('Audit VAR'!A161,'Audit Dimensions'!A:P,16,FALSE)</f>
        <v>29940</v>
      </c>
      <c r="P161" s="143">
        <f>VLOOKUP(A161,'Billing Dimensions'!A:Q,17,FALSE)-VLOOKUP('Audit VAR'!A161,'Audit Dimensions'!A:P,16,FALSE)</f>
        <v>-1490</v>
      </c>
      <c r="Q161" s="148">
        <f t="shared" si="2"/>
        <v>-4.9766199064796263E-2</v>
      </c>
    </row>
    <row r="162" spans="1:17" ht="15" customHeight="1">
      <c r="A162" s="58" t="str">
        <f>'Audit Dimensions'!A162</f>
        <v>S-LO</v>
      </c>
      <c r="B162" s="2" t="str">
        <f>VLOOKUP(A162,'Billing Dimensions'!A:B,2,FALSE)</f>
        <v>SB</v>
      </c>
      <c r="C162" s="59">
        <f>VLOOKUP(A162,'Billing Dimensions'!$A:$N,3,FALSE)-VLOOKUP(A162,'Audit Dimensions'!$A:$N,3,FALSE)</f>
        <v>0</v>
      </c>
      <c r="D162" s="59">
        <f>VLOOKUP(A162,'Billing Dimensions'!$A:$N,4,FALSE)-VLOOKUP(A162,'Audit Dimensions'!$A:$N,4,FALSE)</f>
        <v>0</v>
      </c>
      <c r="E162" s="59">
        <f>VLOOKUP(A162,'Billing Dimensions'!$A:$N,5,FALSE)-VLOOKUP(A162,'Audit Dimensions'!$A:$N,5,FALSE)</f>
        <v>0</v>
      </c>
      <c r="F162" s="137">
        <f>VLOOKUP(A162,'Billing Dimensions'!$A:$N,6,FALSE)-VLOOKUP(A162,'Audit Dimensions'!$A:$N,6,FALSE)</f>
        <v>0</v>
      </c>
      <c r="G162" s="65">
        <f>VLOOKUP(A162,'Billing Dimensions'!$A:$N,7,FALSE)-VLOOKUP(A162,'Audit Dimensions'!$A:$N,7,FALSE)</f>
        <v>0</v>
      </c>
      <c r="H162" s="65">
        <f>VLOOKUP(A162,'Billing Dimensions'!$A:$N,8,FALSE)-VLOOKUP(A162,'Audit Dimensions'!$A:$N,8,FALSE)</f>
        <v>0</v>
      </c>
      <c r="I162" s="65">
        <f>VLOOKUP(A162,'Billing Dimensions'!$A:$N,9,FALSE)-VLOOKUP(A162,'Audit Dimensions'!$A:$N,9,FALSE)</f>
        <v>0</v>
      </c>
      <c r="J162" s="61">
        <f>VLOOKUP(A162,'Billing Dimensions'!$A:$N,10,FALSE)-VLOOKUP(A162,'Audit Dimensions'!$A:$N,10,FALSE)</f>
        <v>0</v>
      </c>
      <c r="K162" s="63">
        <f>VLOOKUP(A162,'Billing Dimensions'!$A:$N,11,FALSE)-VLOOKUP(A162,'Audit Dimensions'!$A:$N,11,FALSE)</f>
        <v>0</v>
      </c>
      <c r="L162" s="63">
        <f>VLOOKUP(A162,'Billing Dimensions'!$A:$N,12,FALSE)-VLOOKUP(A162,'Audit Dimensions'!$A:$N,12,FALSE)</f>
        <v>0</v>
      </c>
      <c r="M162" s="63">
        <f>VLOOKUP(A162,'Billing Dimensions'!$A:$N,13,FALSE)-VLOOKUP(A162,'Audit Dimensions'!$A:$N,13,FALSE)</f>
        <v>0</v>
      </c>
      <c r="N162" s="140">
        <f>VLOOKUP(A162,'Billing Dimensions'!$A:$N,14,FALSE)-VLOOKUP(A162,'Audit Dimensions'!$A:$N,14,FALSE)</f>
        <v>0</v>
      </c>
      <c r="O162" s="145">
        <f>VLOOKUP('Audit VAR'!A162,'Audit Dimensions'!A:P,16,FALSE)</f>
        <v>3640</v>
      </c>
      <c r="P162" s="143">
        <f>VLOOKUP(A162,'Billing Dimensions'!A:Q,17,FALSE)-VLOOKUP('Audit VAR'!A162,'Audit Dimensions'!A:P,16,FALSE)</f>
        <v>0</v>
      </c>
      <c r="Q162" s="148">
        <f t="shared" si="2"/>
        <v>0</v>
      </c>
    </row>
    <row r="163" spans="1:17" ht="14.45" customHeight="1">
      <c r="A163" s="58" t="str">
        <f>'Audit Dimensions'!A163</f>
        <v>TU-PMG-ST</v>
      </c>
      <c r="B163" s="2" t="str">
        <f>VLOOKUP(A163,'Billing Dimensions'!A:B,2,FALSE)</f>
        <v>SB</v>
      </c>
      <c r="C163" s="59">
        <f>VLOOKUP(A163,'Billing Dimensions'!$A:$N,3,FALSE)-VLOOKUP(A163,'Audit Dimensions'!$A:$N,3,FALSE)</f>
        <v>0</v>
      </c>
      <c r="D163" s="59">
        <f>VLOOKUP(A163,'Billing Dimensions'!$A:$N,4,FALSE)-VLOOKUP(A163,'Audit Dimensions'!$A:$N,4,FALSE)</f>
        <v>0</v>
      </c>
      <c r="E163" s="59">
        <f>VLOOKUP(A163,'Billing Dimensions'!$A:$N,5,FALSE)-VLOOKUP(A163,'Audit Dimensions'!$A:$N,5,FALSE)</f>
        <v>0</v>
      </c>
      <c r="F163" s="137">
        <f>VLOOKUP(A163,'Billing Dimensions'!$A:$N,6,FALSE)-VLOOKUP(A163,'Audit Dimensions'!$A:$N,6,FALSE)</f>
        <v>-700</v>
      </c>
      <c r="G163" s="65">
        <f>VLOOKUP(A163,'Billing Dimensions'!$A:$N,7,FALSE)-VLOOKUP(A163,'Audit Dimensions'!$A:$N,7,FALSE)</f>
        <v>0</v>
      </c>
      <c r="H163" s="65">
        <f>VLOOKUP(A163,'Billing Dimensions'!$A:$N,8,FALSE)-VLOOKUP(A163,'Audit Dimensions'!$A:$N,8,FALSE)</f>
        <v>0</v>
      </c>
      <c r="I163" s="65">
        <f>VLOOKUP(A163,'Billing Dimensions'!$A:$N,9,FALSE)-VLOOKUP(A163,'Audit Dimensions'!$A:$N,9,FALSE)</f>
        <v>0</v>
      </c>
      <c r="J163" s="61">
        <f>VLOOKUP(A163,'Billing Dimensions'!$A:$N,10,FALSE)-VLOOKUP(A163,'Audit Dimensions'!$A:$N,10,FALSE)</f>
        <v>0</v>
      </c>
      <c r="K163" s="63">
        <f>VLOOKUP(A163,'Billing Dimensions'!$A:$N,11,FALSE)-VLOOKUP(A163,'Audit Dimensions'!$A:$N,11,FALSE)</f>
        <v>0</v>
      </c>
      <c r="L163" s="63">
        <f>VLOOKUP(A163,'Billing Dimensions'!$A:$N,12,FALSE)-VLOOKUP(A163,'Audit Dimensions'!$A:$N,12,FALSE)</f>
        <v>0</v>
      </c>
      <c r="M163" s="63">
        <f>VLOOKUP(A163,'Billing Dimensions'!$A:$N,13,FALSE)-VLOOKUP(A163,'Audit Dimensions'!$A:$N,13,FALSE)</f>
        <v>0</v>
      </c>
      <c r="N163" s="140">
        <f>VLOOKUP(A163,'Billing Dimensions'!$A:$N,14,FALSE)-VLOOKUP(A163,'Audit Dimensions'!$A:$N,14,FALSE)</f>
        <v>0</v>
      </c>
      <c r="O163" s="145">
        <f>VLOOKUP('Audit VAR'!A163,'Audit Dimensions'!A:P,16,FALSE)</f>
        <v>16500</v>
      </c>
      <c r="P163" s="143">
        <f>VLOOKUP(A163,'Billing Dimensions'!A:Q,17,FALSE)-VLOOKUP('Audit VAR'!A163,'Audit Dimensions'!A:P,16,FALSE)</f>
        <v>-700</v>
      </c>
      <c r="Q163" s="148">
        <f t="shared" si="2"/>
        <v>-4.2424242424242427E-2</v>
      </c>
    </row>
    <row r="164" spans="1:17" ht="14.45" customHeight="1">
      <c r="A164" s="58" t="str">
        <f>'Audit Dimensions'!A164</f>
        <v>TU-RWT-LA</v>
      </c>
      <c r="B164" s="2" t="str">
        <f>VLOOKUP(A164,'Billing Dimensions'!A:B,2,FALSE)</f>
        <v>MB</v>
      </c>
      <c r="C164" s="59">
        <f>VLOOKUP(A164,'Billing Dimensions'!$A:$N,3,FALSE)-VLOOKUP(A164,'Audit Dimensions'!$A:$N,3,FALSE)</f>
        <v>0</v>
      </c>
      <c r="D164" s="59">
        <f>VLOOKUP(A164,'Billing Dimensions'!$A:$N,4,FALSE)-VLOOKUP(A164,'Audit Dimensions'!$A:$N,4,FALSE)</f>
        <v>0</v>
      </c>
      <c r="E164" s="59">
        <f>VLOOKUP(A164,'Billing Dimensions'!$A:$N,5,FALSE)-VLOOKUP(A164,'Audit Dimensions'!$A:$N,5,FALSE)</f>
        <v>0</v>
      </c>
      <c r="F164" s="137">
        <f>VLOOKUP(A164,'Billing Dimensions'!$A:$N,6,FALSE)-VLOOKUP(A164,'Audit Dimensions'!$A:$N,6,FALSE)</f>
        <v>-1800</v>
      </c>
      <c r="G164" s="65">
        <f>VLOOKUP(A164,'Billing Dimensions'!$A:$N,7,FALSE)-VLOOKUP(A164,'Audit Dimensions'!$A:$N,7,FALSE)</f>
        <v>0</v>
      </c>
      <c r="H164" s="65">
        <f>VLOOKUP(A164,'Billing Dimensions'!$A:$N,8,FALSE)-VLOOKUP(A164,'Audit Dimensions'!$A:$N,8,FALSE)</f>
        <v>0</v>
      </c>
      <c r="I164" s="65">
        <f>VLOOKUP(A164,'Billing Dimensions'!$A:$N,9,FALSE)-VLOOKUP(A164,'Audit Dimensions'!$A:$N,9,FALSE)</f>
        <v>0</v>
      </c>
      <c r="J164" s="61">
        <f>VLOOKUP(A164,'Billing Dimensions'!$A:$N,10,FALSE)-VLOOKUP(A164,'Audit Dimensions'!$A:$N,10,FALSE)</f>
        <v>-2110</v>
      </c>
      <c r="K164" s="63">
        <f>VLOOKUP(A164,'Billing Dimensions'!$A:$N,11,FALSE)-VLOOKUP(A164,'Audit Dimensions'!$A:$N,11,FALSE)</f>
        <v>0</v>
      </c>
      <c r="L164" s="63">
        <f>VLOOKUP(A164,'Billing Dimensions'!$A:$N,12,FALSE)-VLOOKUP(A164,'Audit Dimensions'!$A:$N,12,FALSE)</f>
        <v>0</v>
      </c>
      <c r="M164" s="63">
        <f>VLOOKUP(A164,'Billing Dimensions'!$A:$N,13,FALSE)-VLOOKUP(A164,'Audit Dimensions'!$A:$N,13,FALSE)</f>
        <v>0</v>
      </c>
      <c r="N164" s="140">
        <f>VLOOKUP(A164,'Billing Dimensions'!$A:$N,14,FALSE)-VLOOKUP(A164,'Audit Dimensions'!$A:$N,14,FALSE)</f>
        <v>0</v>
      </c>
      <c r="O164" s="145">
        <f>VLOOKUP('Audit VAR'!A164,'Audit Dimensions'!A:P,16,FALSE)</f>
        <v>70410</v>
      </c>
      <c r="P164" s="143">
        <f>VLOOKUP(A164,'Billing Dimensions'!A:Q,17,FALSE)-VLOOKUP('Audit VAR'!A164,'Audit Dimensions'!A:P,16,FALSE)</f>
        <v>-3910</v>
      </c>
      <c r="Q164" s="148">
        <f t="shared" si="2"/>
        <v>-5.5531884675472237E-2</v>
      </c>
    </row>
    <row r="165" spans="1:17">
      <c r="A165" s="58" t="str">
        <f>'Audit Dimensions'!A165</f>
        <v>KC-OPT-1N</v>
      </c>
      <c r="B165" s="2" t="str">
        <f>VLOOKUP(A165,'Billing Dimensions'!A:B,2,FALSE)</f>
        <v>SB</v>
      </c>
      <c r="C165" s="59">
        <f>VLOOKUP(A165,'Billing Dimensions'!$A:$N,3,FALSE)-VLOOKUP(A165,'Audit Dimensions'!$A:$N,3,FALSE)</f>
        <v>0</v>
      </c>
      <c r="D165" s="59">
        <f>VLOOKUP(A165,'Billing Dimensions'!$A:$N,4,FALSE)-VLOOKUP(A165,'Audit Dimensions'!$A:$N,4,FALSE)</f>
        <v>0</v>
      </c>
      <c r="E165" s="59">
        <f>VLOOKUP(A165,'Billing Dimensions'!$A:$N,5,FALSE)-VLOOKUP(A165,'Audit Dimensions'!$A:$N,5,FALSE)</f>
        <v>0</v>
      </c>
      <c r="F165" s="137">
        <f>VLOOKUP(A165,'Billing Dimensions'!$A:$N,6,FALSE)-VLOOKUP(A165,'Audit Dimensions'!$A:$N,6,FALSE)</f>
        <v>-1080</v>
      </c>
      <c r="G165" s="65">
        <f>VLOOKUP(A165,'Billing Dimensions'!$A:$N,7,FALSE)-VLOOKUP(A165,'Audit Dimensions'!$A:$N,7,FALSE)</f>
        <v>0</v>
      </c>
      <c r="H165" s="65">
        <f>VLOOKUP(A165,'Billing Dimensions'!$A:$N,8,FALSE)-VLOOKUP(A165,'Audit Dimensions'!$A:$N,8,FALSE)</f>
        <v>0</v>
      </c>
      <c r="I165" s="65">
        <f>VLOOKUP(A165,'Billing Dimensions'!$A:$N,9,FALSE)-VLOOKUP(A165,'Audit Dimensions'!$A:$N,9,FALSE)</f>
        <v>0</v>
      </c>
      <c r="J165" s="61">
        <f>VLOOKUP(A165,'Billing Dimensions'!$A:$N,10,FALSE)-VLOOKUP(A165,'Audit Dimensions'!$A:$N,10,FALSE)</f>
        <v>0</v>
      </c>
      <c r="K165" s="63">
        <f>VLOOKUP(A165,'Billing Dimensions'!$A:$N,11,FALSE)-VLOOKUP(A165,'Audit Dimensions'!$A:$N,11,FALSE)</f>
        <v>0</v>
      </c>
      <c r="L165" s="63">
        <f>VLOOKUP(A165,'Billing Dimensions'!$A:$N,12,FALSE)-VLOOKUP(A165,'Audit Dimensions'!$A:$N,12,FALSE)</f>
        <v>0</v>
      </c>
      <c r="M165" s="63">
        <f>VLOOKUP(A165,'Billing Dimensions'!$A:$N,13,FALSE)-VLOOKUP(A165,'Audit Dimensions'!$A:$N,13,FALSE)</f>
        <v>0</v>
      </c>
      <c r="N165" s="140">
        <f>VLOOKUP(A165,'Billing Dimensions'!$A:$N,14,FALSE)-VLOOKUP(A165,'Audit Dimensions'!$A:$N,14,FALSE)</f>
        <v>0</v>
      </c>
      <c r="O165" s="145">
        <f>VLOOKUP('Audit VAR'!A165,'Audit Dimensions'!A:P,16,FALSE)</f>
        <v>15880</v>
      </c>
      <c r="P165" s="143">
        <f>VLOOKUP(A165,'Billing Dimensions'!A:Q,17,FALSE)-VLOOKUP('Audit VAR'!A165,'Audit Dimensions'!A:P,16,FALSE)</f>
        <v>-1080</v>
      </c>
      <c r="Q165" s="148">
        <f t="shared" si="2"/>
        <v>-6.8010075566750636E-2</v>
      </c>
    </row>
    <row r="166" spans="1:17" ht="14.45" customHeight="1">
      <c r="A166" s="58" t="str">
        <f>'Audit Dimensions'!A166</f>
        <v>TU-KU-LA</v>
      </c>
      <c r="B166" s="2" t="str">
        <f>VLOOKUP(A166,'Billing Dimensions'!A:B,2,FALSE)</f>
        <v>SB</v>
      </c>
      <c r="C166" s="59">
        <f>VLOOKUP(A166,'Billing Dimensions'!$A:$N,3,FALSE)-VLOOKUP(A166,'Audit Dimensions'!$A:$N,3,FALSE)</f>
        <v>0</v>
      </c>
      <c r="D166" s="59">
        <f>VLOOKUP(A166,'Billing Dimensions'!$A:$N,4,FALSE)-VLOOKUP(A166,'Audit Dimensions'!$A:$N,4,FALSE)</f>
        <v>0</v>
      </c>
      <c r="E166" s="59">
        <f>VLOOKUP(A166,'Billing Dimensions'!$A:$N,5,FALSE)-VLOOKUP(A166,'Audit Dimensions'!$A:$N,5,FALSE)</f>
        <v>0</v>
      </c>
      <c r="F166" s="137">
        <f>VLOOKUP(A166,'Billing Dimensions'!$A:$N,6,FALSE)-VLOOKUP(A166,'Audit Dimensions'!$A:$N,6,FALSE)</f>
        <v>-1200</v>
      </c>
      <c r="G166" s="65">
        <f>VLOOKUP(A166,'Billing Dimensions'!$A:$N,7,FALSE)-VLOOKUP(A166,'Audit Dimensions'!$A:$N,7,FALSE)</f>
        <v>0</v>
      </c>
      <c r="H166" s="65">
        <f>VLOOKUP(A166,'Billing Dimensions'!$A:$N,8,FALSE)-VLOOKUP(A166,'Audit Dimensions'!$A:$N,8,FALSE)</f>
        <v>0</v>
      </c>
      <c r="I166" s="65">
        <f>VLOOKUP(A166,'Billing Dimensions'!$A:$N,9,FALSE)-VLOOKUP(A166,'Audit Dimensions'!$A:$N,9,FALSE)</f>
        <v>0</v>
      </c>
      <c r="J166" s="61">
        <f>VLOOKUP(A166,'Billing Dimensions'!$A:$N,10,FALSE)-VLOOKUP(A166,'Audit Dimensions'!$A:$N,10,FALSE)</f>
        <v>0</v>
      </c>
      <c r="K166" s="63">
        <f>VLOOKUP(A166,'Billing Dimensions'!$A:$N,11,FALSE)-VLOOKUP(A166,'Audit Dimensions'!$A:$N,11,FALSE)</f>
        <v>0</v>
      </c>
      <c r="L166" s="63">
        <f>VLOOKUP(A166,'Billing Dimensions'!$A:$N,12,FALSE)-VLOOKUP(A166,'Audit Dimensions'!$A:$N,12,FALSE)</f>
        <v>0</v>
      </c>
      <c r="M166" s="63">
        <f>VLOOKUP(A166,'Billing Dimensions'!$A:$N,13,FALSE)-VLOOKUP(A166,'Audit Dimensions'!$A:$N,13,FALSE)</f>
        <v>0</v>
      </c>
      <c r="N166" s="140">
        <f>VLOOKUP(A166,'Billing Dimensions'!$A:$N,14,FALSE)-VLOOKUP(A166,'Audit Dimensions'!$A:$N,14,FALSE)</f>
        <v>0</v>
      </c>
      <c r="O166" s="145">
        <f>VLOOKUP('Audit VAR'!A166,'Audit Dimensions'!A:P,16,FALSE)</f>
        <v>14900</v>
      </c>
      <c r="P166" s="143">
        <f>VLOOKUP(A166,'Billing Dimensions'!A:Q,17,FALSE)-VLOOKUP('Audit VAR'!A166,'Audit Dimensions'!A:P,16,FALSE)</f>
        <v>-1200</v>
      </c>
      <c r="Q166" s="148">
        <f t="shared" si="2"/>
        <v>-8.0536912751677847E-2</v>
      </c>
    </row>
    <row r="167" spans="1:17" ht="14.45" customHeight="1">
      <c r="A167" s="58" t="str">
        <f>'Audit Dimensions'!A167</f>
        <v>W-MLT-4N</v>
      </c>
      <c r="B167" s="2" t="str">
        <f>VLOOKUP(A167,'Billing Dimensions'!A:B,2,FALSE)</f>
        <v>MB</v>
      </c>
      <c r="C167" s="59">
        <f>VLOOKUP(A167,'Billing Dimensions'!$A:$N,3,FALSE)-VLOOKUP(A167,'Audit Dimensions'!$A:$N,3,FALSE)</f>
        <v>0</v>
      </c>
      <c r="D167" s="59">
        <f>VLOOKUP(A167,'Billing Dimensions'!$A:$N,4,FALSE)-VLOOKUP(A167,'Audit Dimensions'!$A:$N,4,FALSE)</f>
        <v>0</v>
      </c>
      <c r="E167" s="59">
        <f>VLOOKUP(A167,'Billing Dimensions'!$A:$N,5,FALSE)-VLOOKUP(A167,'Audit Dimensions'!$A:$N,5,FALSE)</f>
        <v>0</v>
      </c>
      <c r="F167" s="137">
        <f>VLOOKUP(A167,'Billing Dimensions'!$A:$N,6,FALSE)-VLOOKUP(A167,'Audit Dimensions'!$A:$N,6,FALSE)</f>
        <v>-1350</v>
      </c>
      <c r="G167" s="65">
        <f>VLOOKUP(A167,'Billing Dimensions'!$A:$N,7,FALSE)-VLOOKUP(A167,'Audit Dimensions'!$A:$N,7,FALSE)</f>
        <v>0</v>
      </c>
      <c r="H167" s="65">
        <f>VLOOKUP(A167,'Billing Dimensions'!$A:$N,8,FALSE)-VLOOKUP(A167,'Audit Dimensions'!$A:$N,8,FALSE)</f>
        <v>0</v>
      </c>
      <c r="I167" s="65">
        <f>VLOOKUP(A167,'Billing Dimensions'!$A:$N,9,FALSE)-VLOOKUP(A167,'Audit Dimensions'!$A:$N,9,FALSE)</f>
        <v>0</v>
      </c>
      <c r="J167" s="61">
        <f>VLOOKUP(A167,'Billing Dimensions'!$A:$N,10,FALSE)-VLOOKUP(A167,'Audit Dimensions'!$A:$N,10,FALSE)</f>
        <v>-1800</v>
      </c>
      <c r="K167" s="63">
        <f>VLOOKUP(A167,'Billing Dimensions'!$A:$N,11,FALSE)-VLOOKUP(A167,'Audit Dimensions'!$A:$N,11,FALSE)</f>
        <v>0</v>
      </c>
      <c r="L167" s="63">
        <f>VLOOKUP(A167,'Billing Dimensions'!$A:$N,12,FALSE)-VLOOKUP(A167,'Audit Dimensions'!$A:$N,12,FALSE)</f>
        <v>0</v>
      </c>
      <c r="M167" s="63">
        <f>VLOOKUP(A167,'Billing Dimensions'!$A:$N,13,FALSE)-VLOOKUP(A167,'Audit Dimensions'!$A:$N,13,FALSE)</f>
        <v>0</v>
      </c>
      <c r="N167" s="140">
        <f>VLOOKUP(A167,'Billing Dimensions'!$A:$N,14,FALSE)-VLOOKUP(A167,'Audit Dimensions'!$A:$N,14,FALSE)</f>
        <v>-2050</v>
      </c>
      <c r="O167" s="145">
        <f>VLOOKUP('Audit VAR'!A167,'Audit Dimensions'!A:P,16,FALSE)</f>
        <v>106700</v>
      </c>
      <c r="P167" s="143">
        <f>VLOOKUP(A167,'Billing Dimensions'!A:Q,17,FALSE)-VLOOKUP('Audit VAR'!A167,'Audit Dimensions'!A:P,16,FALSE)</f>
        <v>-5200</v>
      </c>
      <c r="Q167" s="148">
        <f t="shared" si="2"/>
        <v>-4.8734770384254923E-2</v>
      </c>
    </row>
    <row r="168" spans="1:17" ht="14.45" customHeight="1">
      <c r="A168" s="58" t="str">
        <f>'Audit Dimensions'!A168</f>
        <v>W-MLT-2N</v>
      </c>
      <c r="B168" s="2" t="str">
        <f>VLOOKUP(A168,'Billing Dimensions'!A:B,2,FALSE)</f>
        <v>MB</v>
      </c>
      <c r="C168" s="59">
        <f>VLOOKUP(A168,'Billing Dimensions'!$A:$N,3,FALSE)-VLOOKUP(A168,'Audit Dimensions'!$A:$N,3,FALSE)</f>
        <v>0</v>
      </c>
      <c r="D168" s="59">
        <f>VLOOKUP(A168,'Billing Dimensions'!$A:$N,4,FALSE)-VLOOKUP(A168,'Audit Dimensions'!$A:$N,4,FALSE)</f>
        <v>0</v>
      </c>
      <c r="E168" s="59">
        <f>VLOOKUP(A168,'Billing Dimensions'!$A:$N,5,FALSE)-VLOOKUP(A168,'Audit Dimensions'!$A:$N,5,FALSE)</f>
        <v>0</v>
      </c>
      <c r="F168" s="137">
        <f>VLOOKUP(A168,'Billing Dimensions'!$A:$N,6,FALSE)-VLOOKUP(A168,'Audit Dimensions'!$A:$N,6,FALSE)</f>
        <v>-3080</v>
      </c>
      <c r="G168" s="65">
        <f>VLOOKUP(A168,'Billing Dimensions'!$A:$N,7,FALSE)-VLOOKUP(A168,'Audit Dimensions'!$A:$N,7,FALSE)</f>
        <v>0</v>
      </c>
      <c r="H168" s="65">
        <f>VLOOKUP(A168,'Billing Dimensions'!$A:$N,8,FALSE)-VLOOKUP(A168,'Audit Dimensions'!$A:$N,8,FALSE)</f>
        <v>0</v>
      </c>
      <c r="I168" s="65">
        <f>VLOOKUP(A168,'Billing Dimensions'!$A:$N,9,FALSE)-VLOOKUP(A168,'Audit Dimensions'!$A:$N,9,FALSE)</f>
        <v>0</v>
      </c>
      <c r="J168" s="61">
        <f>VLOOKUP(A168,'Billing Dimensions'!$A:$N,10,FALSE)-VLOOKUP(A168,'Audit Dimensions'!$A:$N,10,FALSE)</f>
        <v>0</v>
      </c>
      <c r="K168" s="63">
        <f>VLOOKUP(A168,'Billing Dimensions'!$A:$N,11,FALSE)-VLOOKUP(A168,'Audit Dimensions'!$A:$N,11,FALSE)</f>
        <v>0</v>
      </c>
      <c r="L168" s="63">
        <f>VLOOKUP(A168,'Billing Dimensions'!$A:$N,12,FALSE)-VLOOKUP(A168,'Audit Dimensions'!$A:$N,12,FALSE)</f>
        <v>0</v>
      </c>
      <c r="M168" s="63">
        <f>VLOOKUP(A168,'Billing Dimensions'!$A:$N,13,FALSE)-VLOOKUP(A168,'Audit Dimensions'!$A:$N,13,FALSE)</f>
        <v>0</v>
      </c>
      <c r="N168" s="140">
        <f>VLOOKUP(A168,'Billing Dimensions'!$A:$N,14,FALSE)-VLOOKUP(A168,'Audit Dimensions'!$A:$N,14,FALSE)</f>
        <v>0</v>
      </c>
      <c r="O168" s="145">
        <f>VLOOKUP('Audit VAR'!A168,'Audit Dimensions'!A:P,16,FALSE)</f>
        <v>52880</v>
      </c>
      <c r="P168" s="143">
        <f>VLOOKUP(A168,'Billing Dimensions'!A:Q,17,FALSE)-VLOOKUP('Audit VAR'!A168,'Audit Dimensions'!A:P,16,FALSE)</f>
        <v>-3080</v>
      </c>
      <c r="Q168" s="148">
        <f t="shared" si="2"/>
        <v>-5.8245083207261725E-2</v>
      </c>
    </row>
    <row r="169" spans="1:17">
      <c r="A169" s="58" t="str">
        <f>'Audit Dimensions'!A169</f>
        <v>ST-RE</v>
      </c>
      <c r="B169" s="2" t="str">
        <f>VLOOKUP(A169,'Billing Dimensions'!A:B,2,FALSE)</f>
        <v>SB</v>
      </c>
      <c r="C169" s="59">
        <f>VLOOKUP(A169,'Billing Dimensions'!$A:$N,3,FALSE)-VLOOKUP(A169,'Audit Dimensions'!$A:$N,3,FALSE)</f>
        <v>0</v>
      </c>
      <c r="D169" s="59">
        <f>VLOOKUP(A169,'Billing Dimensions'!$A:$N,4,FALSE)-VLOOKUP(A169,'Audit Dimensions'!$A:$N,4,FALSE)</f>
        <v>0</v>
      </c>
      <c r="E169" s="59">
        <f>VLOOKUP(A169,'Billing Dimensions'!$A:$N,5,FALSE)-VLOOKUP(A169,'Audit Dimensions'!$A:$N,5,FALSE)</f>
        <v>0</v>
      </c>
      <c r="F169" s="137">
        <f>VLOOKUP(A169,'Billing Dimensions'!$A:$N,6,FALSE)-VLOOKUP(A169,'Audit Dimensions'!$A:$N,6,FALSE)</f>
        <v>-810</v>
      </c>
      <c r="G169" s="65">
        <f>VLOOKUP(A169,'Billing Dimensions'!$A:$N,7,FALSE)-VLOOKUP(A169,'Audit Dimensions'!$A:$N,7,FALSE)</f>
        <v>0</v>
      </c>
      <c r="H169" s="65">
        <f>VLOOKUP(A169,'Billing Dimensions'!$A:$N,8,FALSE)-VLOOKUP(A169,'Audit Dimensions'!$A:$N,8,FALSE)</f>
        <v>0</v>
      </c>
      <c r="I169" s="65">
        <f>VLOOKUP(A169,'Billing Dimensions'!$A:$N,9,FALSE)-VLOOKUP(A169,'Audit Dimensions'!$A:$N,9,FALSE)</f>
        <v>0</v>
      </c>
      <c r="J169" s="61">
        <f>VLOOKUP(A169,'Billing Dimensions'!$A:$N,10,FALSE)-VLOOKUP(A169,'Audit Dimensions'!$A:$N,10,FALSE)</f>
        <v>0</v>
      </c>
      <c r="K169" s="63">
        <f>VLOOKUP(A169,'Billing Dimensions'!$A:$N,11,FALSE)-VLOOKUP(A169,'Audit Dimensions'!$A:$N,11,FALSE)</f>
        <v>0</v>
      </c>
      <c r="L169" s="63">
        <f>VLOOKUP(A169,'Billing Dimensions'!$A:$N,12,FALSE)-VLOOKUP(A169,'Audit Dimensions'!$A:$N,12,FALSE)</f>
        <v>0</v>
      </c>
      <c r="M169" s="63">
        <f>VLOOKUP(A169,'Billing Dimensions'!$A:$N,13,FALSE)-VLOOKUP(A169,'Audit Dimensions'!$A:$N,13,FALSE)</f>
        <v>0</v>
      </c>
      <c r="N169" s="140">
        <f>VLOOKUP(A169,'Billing Dimensions'!$A:$N,14,FALSE)-VLOOKUP(A169,'Audit Dimensions'!$A:$N,14,FALSE)</f>
        <v>0</v>
      </c>
      <c r="O169" s="145">
        <f>VLOOKUP('Audit VAR'!A169,'Audit Dimensions'!A:P,16,FALSE)</f>
        <v>17640</v>
      </c>
      <c r="P169" s="143">
        <f>VLOOKUP(A169,'Billing Dimensions'!A:Q,17,FALSE)-VLOOKUP('Audit VAR'!A169,'Audit Dimensions'!A:P,16,FALSE)</f>
        <v>-810</v>
      </c>
      <c r="Q169" s="148">
        <f t="shared" si="2"/>
        <v>-4.5918367346938778E-2</v>
      </c>
    </row>
    <row r="170" spans="1:17" ht="14.45" customHeight="1">
      <c r="A170" s="58" t="str">
        <f>'Audit Dimensions'!A170</f>
        <v>RT-FR</v>
      </c>
      <c r="B170" s="2" t="str">
        <f>VLOOKUP(A170,'Billing Dimensions'!A:B,2,FALSE)</f>
        <v>SB</v>
      </c>
      <c r="C170" s="59">
        <f>VLOOKUP(A170,'Billing Dimensions'!$A:$N,3,FALSE)-VLOOKUP(A170,'Audit Dimensions'!$A:$N,3,FALSE)</f>
        <v>0</v>
      </c>
      <c r="D170" s="59">
        <f>VLOOKUP(A170,'Billing Dimensions'!$A:$N,4,FALSE)-VLOOKUP(A170,'Audit Dimensions'!$A:$N,4,FALSE)</f>
        <v>0</v>
      </c>
      <c r="E170" s="59">
        <f>VLOOKUP(A170,'Billing Dimensions'!$A:$N,5,FALSE)-VLOOKUP(A170,'Audit Dimensions'!$A:$N,5,FALSE)</f>
        <v>0</v>
      </c>
      <c r="F170" s="137">
        <f>VLOOKUP(A170,'Billing Dimensions'!$A:$N,6,FALSE)-VLOOKUP(A170,'Audit Dimensions'!$A:$N,6,FALSE)</f>
        <v>-850</v>
      </c>
      <c r="G170" s="65">
        <f>VLOOKUP(A170,'Billing Dimensions'!$A:$N,7,FALSE)-VLOOKUP(A170,'Audit Dimensions'!$A:$N,7,FALSE)</f>
        <v>0</v>
      </c>
      <c r="H170" s="65">
        <f>VLOOKUP(A170,'Billing Dimensions'!$A:$N,8,FALSE)-VLOOKUP(A170,'Audit Dimensions'!$A:$N,8,FALSE)</f>
        <v>0</v>
      </c>
      <c r="I170" s="65">
        <f>VLOOKUP(A170,'Billing Dimensions'!$A:$N,9,FALSE)-VLOOKUP(A170,'Audit Dimensions'!$A:$N,9,FALSE)</f>
        <v>0</v>
      </c>
      <c r="J170" s="61">
        <f>VLOOKUP(A170,'Billing Dimensions'!$A:$N,10,FALSE)-VLOOKUP(A170,'Audit Dimensions'!$A:$N,10,FALSE)</f>
        <v>0</v>
      </c>
      <c r="K170" s="63">
        <f>VLOOKUP(A170,'Billing Dimensions'!$A:$N,11,FALSE)-VLOOKUP(A170,'Audit Dimensions'!$A:$N,11,FALSE)</f>
        <v>0</v>
      </c>
      <c r="L170" s="63">
        <f>VLOOKUP(A170,'Billing Dimensions'!$A:$N,12,FALSE)-VLOOKUP(A170,'Audit Dimensions'!$A:$N,12,FALSE)</f>
        <v>0</v>
      </c>
      <c r="M170" s="63">
        <f>VLOOKUP(A170,'Billing Dimensions'!$A:$N,13,FALSE)-VLOOKUP(A170,'Audit Dimensions'!$A:$N,13,FALSE)</f>
        <v>0</v>
      </c>
      <c r="N170" s="140">
        <f>VLOOKUP(A170,'Billing Dimensions'!$A:$N,14,FALSE)-VLOOKUP(A170,'Audit Dimensions'!$A:$N,14,FALSE)</f>
        <v>0</v>
      </c>
      <c r="O170" s="145">
        <f>VLOOKUP('Audit VAR'!A170,'Audit Dimensions'!A:P,16,FALSE)</f>
        <v>16650</v>
      </c>
      <c r="P170" s="143">
        <f>VLOOKUP(A170,'Billing Dimensions'!A:Q,17,FALSE)-VLOOKUP('Audit VAR'!A170,'Audit Dimensions'!A:P,16,FALSE)</f>
        <v>-850</v>
      </c>
      <c r="Q170" s="148">
        <f t="shared" si="2"/>
        <v>-5.1051051051051052E-2</v>
      </c>
    </row>
    <row r="171" spans="1:17">
      <c r="A171" s="58" t="str">
        <f>'Audit Dimensions'!A171</f>
        <v>TU-OLA</v>
      </c>
      <c r="B171" s="2" t="str">
        <f>VLOOKUP(A171,'Billing Dimensions'!A:B,2,FALSE)</f>
        <v>SB</v>
      </c>
      <c r="C171" s="59">
        <f>VLOOKUP(A171,'Billing Dimensions'!$A:$N,3,FALSE)-VLOOKUP(A171,'Audit Dimensions'!$A:$N,3,FALSE)</f>
        <v>0</v>
      </c>
      <c r="D171" s="59">
        <f>VLOOKUP(A171,'Billing Dimensions'!$A:$N,4,FALSE)-VLOOKUP(A171,'Audit Dimensions'!$A:$N,4,FALSE)</f>
        <v>0</v>
      </c>
      <c r="E171" s="59">
        <f>VLOOKUP(A171,'Billing Dimensions'!$A:$N,5,FALSE)-VLOOKUP(A171,'Audit Dimensions'!$A:$N,5,FALSE)</f>
        <v>0</v>
      </c>
      <c r="F171" s="137">
        <f>VLOOKUP(A171,'Billing Dimensions'!$A:$N,6,FALSE)-VLOOKUP(A171,'Audit Dimensions'!$A:$N,6,FALSE)</f>
        <v>-2020</v>
      </c>
      <c r="G171" s="65">
        <f>VLOOKUP(A171,'Billing Dimensions'!$A:$N,7,FALSE)-VLOOKUP(A171,'Audit Dimensions'!$A:$N,7,FALSE)</f>
        <v>0</v>
      </c>
      <c r="H171" s="65">
        <f>VLOOKUP(A171,'Billing Dimensions'!$A:$N,8,FALSE)-VLOOKUP(A171,'Audit Dimensions'!$A:$N,8,FALSE)</f>
        <v>0</v>
      </c>
      <c r="I171" s="65">
        <f>VLOOKUP(A171,'Billing Dimensions'!$A:$N,9,FALSE)-VLOOKUP(A171,'Audit Dimensions'!$A:$N,9,FALSE)</f>
        <v>0</v>
      </c>
      <c r="J171" s="61">
        <f>VLOOKUP(A171,'Billing Dimensions'!$A:$N,10,FALSE)-VLOOKUP(A171,'Audit Dimensions'!$A:$N,10,FALSE)</f>
        <v>0</v>
      </c>
      <c r="K171" s="63">
        <f>VLOOKUP(A171,'Billing Dimensions'!$A:$N,11,FALSE)-VLOOKUP(A171,'Audit Dimensions'!$A:$N,11,FALSE)</f>
        <v>0</v>
      </c>
      <c r="L171" s="63">
        <f>VLOOKUP(A171,'Billing Dimensions'!$A:$N,12,FALSE)-VLOOKUP(A171,'Audit Dimensions'!$A:$N,12,FALSE)</f>
        <v>0</v>
      </c>
      <c r="M171" s="63">
        <f>VLOOKUP(A171,'Billing Dimensions'!$A:$N,13,FALSE)-VLOOKUP(A171,'Audit Dimensions'!$A:$N,13,FALSE)</f>
        <v>0</v>
      </c>
      <c r="N171" s="140">
        <f>VLOOKUP(A171,'Billing Dimensions'!$A:$N,14,FALSE)-VLOOKUP(A171,'Audit Dimensions'!$A:$N,14,FALSE)</f>
        <v>0</v>
      </c>
      <c r="O171" s="145">
        <f>VLOOKUP('Audit VAR'!A171,'Audit Dimensions'!A:P,16,FALSE)</f>
        <v>29220</v>
      </c>
      <c r="P171" s="143">
        <f>VLOOKUP(A171,'Billing Dimensions'!A:Q,17,FALSE)-VLOOKUP('Audit VAR'!A171,'Audit Dimensions'!A:P,16,FALSE)</f>
        <v>-2020</v>
      </c>
      <c r="Q171" s="148">
        <f t="shared" si="2"/>
        <v>-6.913073237508556E-2</v>
      </c>
    </row>
    <row r="172" spans="1:17" ht="14.45" customHeight="1">
      <c r="A172" s="58" t="str">
        <f>'Audit Dimensions'!A172</f>
        <v>TS-FV</v>
      </c>
      <c r="B172" s="2" t="str">
        <f>VLOOKUP(A172,'Billing Dimensions'!A:B,2,FALSE)</f>
        <v>SB</v>
      </c>
      <c r="C172" s="59">
        <f>VLOOKUP(A172,'Billing Dimensions'!$A:$N,3,FALSE)-VLOOKUP(A172,'Audit Dimensions'!$A:$N,3,FALSE)</f>
        <v>0</v>
      </c>
      <c r="D172" s="59">
        <f>VLOOKUP(A172,'Billing Dimensions'!$A:$N,4,FALSE)-VLOOKUP(A172,'Audit Dimensions'!$A:$N,4,FALSE)</f>
        <v>0</v>
      </c>
      <c r="E172" s="59">
        <f>VLOOKUP(A172,'Billing Dimensions'!$A:$N,5,FALSE)-VLOOKUP(A172,'Audit Dimensions'!$A:$N,5,FALSE)</f>
        <v>0</v>
      </c>
      <c r="F172" s="137">
        <f>VLOOKUP(A172,'Billing Dimensions'!$A:$N,6,FALSE)-VLOOKUP(A172,'Audit Dimensions'!$A:$N,6,FALSE)</f>
        <v>-330</v>
      </c>
      <c r="G172" s="65">
        <f>VLOOKUP(A172,'Billing Dimensions'!$A:$N,7,FALSE)-VLOOKUP(A172,'Audit Dimensions'!$A:$N,7,FALSE)</f>
        <v>0</v>
      </c>
      <c r="H172" s="65">
        <f>VLOOKUP(A172,'Billing Dimensions'!$A:$N,8,FALSE)-VLOOKUP(A172,'Audit Dimensions'!$A:$N,8,FALSE)</f>
        <v>0</v>
      </c>
      <c r="I172" s="65">
        <f>VLOOKUP(A172,'Billing Dimensions'!$A:$N,9,FALSE)-VLOOKUP(A172,'Audit Dimensions'!$A:$N,9,FALSE)</f>
        <v>0</v>
      </c>
      <c r="J172" s="61">
        <f>VLOOKUP(A172,'Billing Dimensions'!$A:$N,10,FALSE)-VLOOKUP(A172,'Audit Dimensions'!$A:$N,10,FALSE)</f>
        <v>0</v>
      </c>
      <c r="K172" s="63">
        <f>VLOOKUP(A172,'Billing Dimensions'!$A:$N,11,FALSE)-VLOOKUP(A172,'Audit Dimensions'!$A:$N,11,FALSE)</f>
        <v>0</v>
      </c>
      <c r="L172" s="63">
        <f>VLOOKUP(A172,'Billing Dimensions'!$A:$N,12,FALSE)-VLOOKUP(A172,'Audit Dimensions'!$A:$N,12,FALSE)</f>
        <v>0</v>
      </c>
      <c r="M172" s="63">
        <f>VLOOKUP(A172,'Billing Dimensions'!$A:$N,13,FALSE)-VLOOKUP(A172,'Audit Dimensions'!$A:$N,13,FALSE)</f>
        <v>0</v>
      </c>
      <c r="N172" s="140">
        <f>VLOOKUP(A172,'Billing Dimensions'!$A:$N,14,FALSE)-VLOOKUP(A172,'Audit Dimensions'!$A:$N,14,FALSE)</f>
        <v>0</v>
      </c>
      <c r="O172" s="145">
        <f>VLOOKUP('Audit VAR'!A172,'Audit Dimensions'!A:P,16,FALSE)</f>
        <v>6130</v>
      </c>
      <c r="P172" s="143">
        <f>VLOOKUP(A172,'Billing Dimensions'!A:Q,17,FALSE)-VLOOKUP('Audit VAR'!A172,'Audit Dimensions'!A:P,16,FALSE)</f>
        <v>-330</v>
      </c>
      <c r="Q172" s="148">
        <f t="shared" si="2"/>
        <v>-5.3833605220228384E-2</v>
      </c>
    </row>
    <row r="173" spans="1:17">
      <c r="A173" s="58" t="str">
        <f>'Audit Dimensions'!A173</f>
        <v>SB-JMY</v>
      </c>
      <c r="B173" s="2" t="str">
        <f>VLOOKUP(A173,'Billing Dimensions'!A:B,2,FALSE)</f>
        <v>SB</v>
      </c>
      <c r="C173" s="59">
        <f>VLOOKUP(A173,'Billing Dimensions'!$A:$N,3,FALSE)-VLOOKUP(A173,'Audit Dimensions'!$A:$N,3,FALSE)</f>
        <v>0</v>
      </c>
      <c r="D173" s="59">
        <f>VLOOKUP(A173,'Billing Dimensions'!$A:$N,4,FALSE)-VLOOKUP(A173,'Audit Dimensions'!$A:$N,4,FALSE)</f>
        <v>0</v>
      </c>
      <c r="E173" s="59">
        <f>VLOOKUP(A173,'Billing Dimensions'!$A:$N,5,FALSE)-VLOOKUP(A173,'Audit Dimensions'!$A:$N,5,FALSE)</f>
        <v>0</v>
      </c>
      <c r="F173" s="137">
        <f>VLOOKUP(A173,'Billing Dimensions'!$A:$N,6,FALSE)-VLOOKUP(A173,'Audit Dimensions'!$A:$N,6,FALSE)</f>
        <v>-1450</v>
      </c>
      <c r="G173" s="65">
        <f>VLOOKUP(A173,'Billing Dimensions'!$A:$N,7,FALSE)-VLOOKUP(A173,'Audit Dimensions'!$A:$N,7,FALSE)</f>
        <v>0</v>
      </c>
      <c r="H173" s="65">
        <f>VLOOKUP(A173,'Billing Dimensions'!$A:$N,8,FALSE)-VLOOKUP(A173,'Audit Dimensions'!$A:$N,8,FALSE)</f>
        <v>0</v>
      </c>
      <c r="I173" s="65">
        <f>VLOOKUP(A173,'Billing Dimensions'!$A:$N,9,FALSE)-VLOOKUP(A173,'Audit Dimensions'!$A:$N,9,FALSE)</f>
        <v>0</v>
      </c>
      <c r="J173" s="61">
        <f>VLOOKUP(A173,'Billing Dimensions'!$A:$N,10,FALSE)-VLOOKUP(A173,'Audit Dimensions'!$A:$N,10,FALSE)</f>
        <v>0</v>
      </c>
      <c r="K173" s="63">
        <f>VLOOKUP(A173,'Billing Dimensions'!$A:$N,11,FALSE)-VLOOKUP(A173,'Audit Dimensions'!$A:$N,11,FALSE)</f>
        <v>0</v>
      </c>
      <c r="L173" s="63">
        <f>VLOOKUP(A173,'Billing Dimensions'!$A:$N,12,FALSE)-VLOOKUP(A173,'Audit Dimensions'!$A:$N,12,FALSE)</f>
        <v>0</v>
      </c>
      <c r="M173" s="63">
        <f>VLOOKUP(A173,'Billing Dimensions'!$A:$N,13,FALSE)-VLOOKUP(A173,'Audit Dimensions'!$A:$N,13,FALSE)</f>
        <v>0</v>
      </c>
      <c r="N173" s="140">
        <f>VLOOKUP(A173,'Billing Dimensions'!$A:$N,14,FALSE)-VLOOKUP(A173,'Audit Dimensions'!$A:$N,14,FALSE)</f>
        <v>0</v>
      </c>
      <c r="O173" s="145">
        <f>VLOOKUP('Audit VAR'!A173,'Audit Dimensions'!A:P,16,FALSE)</f>
        <v>22950</v>
      </c>
      <c r="P173" s="143">
        <f>VLOOKUP(A173,'Billing Dimensions'!A:Q,17,FALSE)-VLOOKUP('Audit VAR'!A173,'Audit Dimensions'!A:P,16,FALSE)</f>
        <v>-1450</v>
      </c>
      <c r="Q173" s="148">
        <f t="shared" si="2"/>
        <v>-6.3180827886710242E-2</v>
      </c>
    </row>
    <row r="174" spans="1:17" ht="14.45" customHeight="1">
      <c r="A174" s="58" t="str">
        <f>'Audit Dimensions'!A174</f>
        <v>KC-SRN</v>
      </c>
      <c r="B174" s="2" t="str">
        <f>VLOOKUP(A174,'Billing Dimensions'!A:B,2,FALSE)</f>
        <v>SB</v>
      </c>
      <c r="C174" s="59">
        <f>VLOOKUP(A174,'Billing Dimensions'!$A:$N,3,FALSE)-VLOOKUP(A174,'Audit Dimensions'!$A:$N,3,FALSE)</f>
        <v>0</v>
      </c>
      <c r="D174" s="59">
        <f>VLOOKUP(A174,'Billing Dimensions'!$A:$N,4,FALSE)-VLOOKUP(A174,'Audit Dimensions'!$A:$N,4,FALSE)</f>
        <v>0</v>
      </c>
      <c r="E174" s="59">
        <f>VLOOKUP(A174,'Billing Dimensions'!$A:$N,5,FALSE)-VLOOKUP(A174,'Audit Dimensions'!$A:$N,5,FALSE)</f>
        <v>0</v>
      </c>
      <c r="F174" s="137">
        <f>VLOOKUP(A174,'Billing Dimensions'!$A:$N,6,FALSE)-VLOOKUP(A174,'Audit Dimensions'!$A:$N,6,FALSE)</f>
        <v>-2270</v>
      </c>
      <c r="G174" s="65">
        <f>VLOOKUP(A174,'Billing Dimensions'!$A:$N,7,FALSE)-VLOOKUP(A174,'Audit Dimensions'!$A:$N,7,FALSE)</f>
        <v>0</v>
      </c>
      <c r="H174" s="65">
        <f>VLOOKUP(A174,'Billing Dimensions'!$A:$N,8,FALSE)-VLOOKUP(A174,'Audit Dimensions'!$A:$N,8,FALSE)</f>
        <v>0</v>
      </c>
      <c r="I174" s="65">
        <f>VLOOKUP(A174,'Billing Dimensions'!$A:$N,9,FALSE)-VLOOKUP(A174,'Audit Dimensions'!$A:$N,9,FALSE)</f>
        <v>0</v>
      </c>
      <c r="J174" s="61">
        <f>VLOOKUP(A174,'Billing Dimensions'!$A:$N,10,FALSE)-VLOOKUP(A174,'Audit Dimensions'!$A:$N,10,FALSE)</f>
        <v>0</v>
      </c>
      <c r="K174" s="63">
        <f>VLOOKUP(A174,'Billing Dimensions'!$A:$N,11,FALSE)-VLOOKUP(A174,'Audit Dimensions'!$A:$N,11,FALSE)</f>
        <v>0</v>
      </c>
      <c r="L174" s="63">
        <f>VLOOKUP(A174,'Billing Dimensions'!$A:$N,12,FALSE)-VLOOKUP(A174,'Audit Dimensions'!$A:$N,12,FALSE)</f>
        <v>0</v>
      </c>
      <c r="M174" s="63">
        <f>VLOOKUP(A174,'Billing Dimensions'!$A:$N,13,FALSE)-VLOOKUP(A174,'Audit Dimensions'!$A:$N,13,FALSE)</f>
        <v>0</v>
      </c>
      <c r="N174" s="140">
        <f>VLOOKUP(A174,'Billing Dimensions'!$A:$N,14,FALSE)-VLOOKUP(A174,'Audit Dimensions'!$A:$N,14,FALSE)</f>
        <v>0</v>
      </c>
      <c r="O174" s="145">
        <f>VLOOKUP('Audit VAR'!A174,'Audit Dimensions'!A:P,16,FALSE)</f>
        <v>40470</v>
      </c>
      <c r="P174" s="143">
        <f>VLOOKUP(A174,'Billing Dimensions'!A:Q,17,FALSE)-VLOOKUP('Audit VAR'!A174,'Audit Dimensions'!A:P,16,FALSE)</f>
        <v>-2270</v>
      </c>
      <c r="Q174" s="148">
        <f t="shared" si="2"/>
        <v>-5.6090931554237708E-2</v>
      </c>
    </row>
    <row r="175" spans="1:17" ht="12.95" customHeight="1">
      <c r="A175" s="58" t="str">
        <f>'Audit Dimensions'!A175</f>
        <v>W-CLO-3</v>
      </c>
      <c r="B175" s="2" t="str">
        <f>VLOOKUP(A175,'Billing Dimensions'!A:B,2,FALSE)</f>
        <v>SB</v>
      </c>
      <c r="C175" s="59">
        <f>VLOOKUP(A175,'Billing Dimensions'!$A:$N,3,FALSE)-VLOOKUP(A175,'Audit Dimensions'!$A:$N,3,FALSE)</f>
        <v>0</v>
      </c>
      <c r="D175" s="59">
        <f>VLOOKUP(A175,'Billing Dimensions'!$A:$N,4,FALSE)-VLOOKUP(A175,'Audit Dimensions'!$A:$N,4,FALSE)</f>
        <v>0</v>
      </c>
      <c r="E175" s="59">
        <f>VLOOKUP(A175,'Billing Dimensions'!$A:$N,5,FALSE)-VLOOKUP(A175,'Audit Dimensions'!$A:$N,5,FALSE)</f>
        <v>0</v>
      </c>
      <c r="F175" s="137">
        <f>VLOOKUP(A175,'Billing Dimensions'!$A:$N,6,FALSE)-VLOOKUP(A175,'Audit Dimensions'!$A:$N,6,FALSE)</f>
        <v>-1200</v>
      </c>
      <c r="G175" s="65">
        <f>VLOOKUP(A175,'Billing Dimensions'!$A:$N,7,FALSE)-VLOOKUP(A175,'Audit Dimensions'!$A:$N,7,FALSE)</f>
        <v>0</v>
      </c>
      <c r="H175" s="65">
        <f>VLOOKUP(A175,'Billing Dimensions'!$A:$N,8,FALSE)-VLOOKUP(A175,'Audit Dimensions'!$A:$N,8,FALSE)</f>
        <v>0</v>
      </c>
      <c r="I175" s="65">
        <f>VLOOKUP(A175,'Billing Dimensions'!$A:$N,9,FALSE)-VLOOKUP(A175,'Audit Dimensions'!$A:$N,9,FALSE)</f>
        <v>0</v>
      </c>
      <c r="J175" s="61">
        <f>VLOOKUP(A175,'Billing Dimensions'!$A:$N,10,FALSE)-VLOOKUP(A175,'Audit Dimensions'!$A:$N,10,FALSE)</f>
        <v>0</v>
      </c>
      <c r="K175" s="63">
        <f>VLOOKUP(A175,'Billing Dimensions'!$A:$N,11,FALSE)-VLOOKUP(A175,'Audit Dimensions'!$A:$N,11,FALSE)</f>
        <v>0</v>
      </c>
      <c r="L175" s="63">
        <f>VLOOKUP(A175,'Billing Dimensions'!$A:$N,12,FALSE)-VLOOKUP(A175,'Audit Dimensions'!$A:$N,12,FALSE)</f>
        <v>0</v>
      </c>
      <c r="M175" s="63">
        <f>VLOOKUP(A175,'Billing Dimensions'!$A:$N,13,FALSE)-VLOOKUP(A175,'Audit Dimensions'!$A:$N,13,FALSE)</f>
        <v>0</v>
      </c>
      <c r="N175" s="140">
        <f>VLOOKUP(A175,'Billing Dimensions'!$A:$N,14,FALSE)-VLOOKUP(A175,'Audit Dimensions'!$A:$N,14,FALSE)</f>
        <v>0</v>
      </c>
      <c r="O175" s="145">
        <f>VLOOKUP('Audit VAR'!A175,'Audit Dimensions'!A:P,16,FALSE)</f>
        <v>18900</v>
      </c>
      <c r="P175" s="143">
        <f>VLOOKUP(A175,'Billing Dimensions'!A:Q,17,FALSE)-VLOOKUP('Audit VAR'!A175,'Audit Dimensions'!A:P,16,FALSE)</f>
        <v>-1200</v>
      </c>
      <c r="Q175" s="148">
        <f t="shared" si="2"/>
        <v>-6.3492063492063489E-2</v>
      </c>
    </row>
    <row r="176" spans="1:17" ht="12.95" customHeight="1">
      <c r="A176" s="58" t="str">
        <f>'Audit Dimensions'!A176</f>
        <v>SB-SN-D</v>
      </c>
      <c r="B176" s="2" t="str">
        <f>VLOOKUP(A176,'Billing Dimensions'!A:B,2,FALSE)</f>
        <v>SB</v>
      </c>
      <c r="C176" s="59">
        <f>VLOOKUP(A176,'Billing Dimensions'!$A:$N,3,FALSE)-VLOOKUP(A176,'Audit Dimensions'!$A:$N,3,FALSE)</f>
        <v>0</v>
      </c>
      <c r="D176" s="59">
        <f>VLOOKUP(A176,'Billing Dimensions'!$A:$N,4,FALSE)-VLOOKUP(A176,'Audit Dimensions'!$A:$N,4,FALSE)</f>
        <v>0</v>
      </c>
      <c r="E176" s="59">
        <f>VLOOKUP(A176,'Billing Dimensions'!$A:$N,5,FALSE)-VLOOKUP(A176,'Audit Dimensions'!$A:$N,5,FALSE)</f>
        <v>0</v>
      </c>
      <c r="F176" s="137">
        <f>VLOOKUP(A176,'Billing Dimensions'!$A:$N,6,FALSE)-VLOOKUP(A176,'Audit Dimensions'!$A:$N,6,FALSE)</f>
        <v>-2150</v>
      </c>
      <c r="G176" s="65">
        <f>VLOOKUP(A176,'Billing Dimensions'!$A:$N,7,FALSE)-VLOOKUP(A176,'Audit Dimensions'!$A:$N,7,FALSE)</f>
        <v>0</v>
      </c>
      <c r="H176" s="65">
        <f>VLOOKUP(A176,'Billing Dimensions'!$A:$N,8,FALSE)-VLOOKUP(A176,'Audit Dimensions'!$A:$N,8,FALSE)</f>
        <v>0</v>
      </c>
      <c r="I176" s="65">
        <f>VLOOKUP(A176,'Billing Dimensions'!$A:$N,9,FALSE)-VLOOKUP(A176,'Audit Dimensions'!$A:$N,9,FALSE)</f>
        <v>0</v>
      </c>
      <c r="J176" s="61">
        <f>VLOOKUP(A176,'Billing Dimensions'!$A:$N,10,FALSE)-VLOOKUP(A176,'Audit Dimensions'!$A:$N,10,FALSE)</f>
        <v>0</v>
      </c>
      <c r="K176" s="63">
        <f>VLOOKUP(A176,'Billing Dimensions'!$A:$N,11,FALSE)-VLOOKUP(A176,'Audit Dimensions'!$A:$N,11,FALSE)</f>
        <v>0</v>
      </c>
      <c r="L176" s="63">
        <f>VLOOKUP(A176,'Billing Dimensions'!$A:$N,12,FALSE)-VLOOKUP(A176,'Audit Dimensions'!$A:$N,12,FALSE)</f>
        <v>0</v>
      </c>
      <c r="M176" s="63">
        <f>VLOOKUP(A176,'Billing Dimensions'!$A:$N,13,FALSE)-VLOOKUP(A176,'Audit Dimensions'!$A:$N,13,FALSE)</f>
        <v>0</v>
      </c>
      <c r="N176" s="140">
        <f>VLOOKUP(A176,'Billing Dimensions'!$A:$N,14,FALSE)-VLOOKUP(A176,'Audit Dimensions'!$A:$N,14,FALSE)</f>
        <v>0</v>
      </c>
      <c r="O176" s="145">
        <f>VLOOKUP('Audit VAR'!A176,'Audit Dimensions'!A:P,16,FALSE)</f>
        <v>31650</v>
      </c>
      <c r="P176" s="143">
        <f>VLOOKUP(A176,'Billing Dimensions'!A:Q,17,FALSE)-VLOOKUP('Audit VAR'!A176,'Audit Dimensions'!A:P,16,FALSE)</f>
        <v>-2150</v>
      </c>
      <c r="Q176" s="148">
        <f t="shared" si="2"/>
        <v>-6.7930489731437602E-2</v>
      </c>
    </row>
    <row r="177" spans="1:17" ht="12.95" customHeight="1">
      <c r="A177" s="58" t="str">
        <f>'Audit Dimensions'!A177</f>
        <v>SR-OLY</v>
      </c>
      <c r="B177" s="2" t="str">
        <f>VLOOKUP(A177,'Billing Dimensions'!A:B,2,FALSE)</f>
        <v>SB</v>
      </c>
      <c r="C177" s="59">
        <f>VLOOKUP(A177,'Billing Dimensions'!$A:$N,3,FALSE)-VLOOKUP(A177,'Audit Dimensions'!$A:$N,3,FALSE)</f>
        <v>0</v>
      </c>
      <c r="D177" s="59">
        <f>VLOOKUP(A177,'Billing Dimensions'!$A:$N,4,FALSE)-VLOOKUP(A177,'Audit Dimensions'!$A:$N,4,FALSE)</f>
        <v>0</v>
      </c>
      <c r="E177" s="59">
        <f>VLOOKUP(A177,'Billing Dimensions'!$A:$N,5,FALSE)-VLOOKUP(A177,'Audit Dimensions'!$A:$N,5,FALSE)</f>
        <v>0</v>
      </c>
      <c r="F177" s="137">
        <f>VLOOKUP(A177,'Billing Dimensions'!$A:$N,6,FALSE)-VLOOKUP(A177,'Audit Dimensions'!$A:$N,6,FALSE)</f>
        <v>-2010</v>
      </c>
      <c r="G177" s="65">
        <f>VLOOKUP(A177,'Billing Dimensions'!$A:$N,7,FALSE)-VLOOKUP(A177,'Audit Dimensions'!$A:$N,7,FALSE)</f>
        <v>0</v>
      </c>
      <c r="H177" s="65">
        <f>VLOOKUP(A177,'Billing Dimensions'!$A:$N,8,FALSE)-VLOOKUP(A177,'Audit Dimensions'!$A:$N,8,FALSE)</f>
        <v>0</v>
      </c>
      <c r="I177" s="65">
        <f>VLOOKUP(A177,'Billing Dimensions'!$A:$N,9,FALSE)-VLOOKUP(A177,'Audit Dimensions'!$A:$N,9,FALSE)</f>
        <v>0</v>
      </c>
      <c r="J177" s="61">
        <f>VLOOKUP(A177,'Billing Dimensions'!$A:$N,10,FALSE)-VLOOKUP(A177,'Audit Dimensions'!$A:$N,10,FALSE)</f>
        <v>0</v>
      </c>
      <c r="K177" s="63">
        <f>VLOOKUP(A177,'Billing Dimensions'!$A:$N,11,FALSE)-VLOOKUP(A177,'Audit Dimensions'!$A:$N,11,FALSE)</f>
        <v>0</v>
      </c>
      <c r="L177" s="63">
        <f>VLOOKUP(A177,'Billing Dimensions'!$A:$N,12,FALSE)-VLOOKUP(A177,'Audit Dimensions'!$A:$N,12,FALSE)</f>
        <v>0</v>
      </c>
      <c r="M177" s="63">
        <f>VLOOKUP(A177,'Billing Dimensions'!$A:$N,13,FALSE)-VLOOKUP(A177,'Audit Dimensions'!$A:$N,13,FALSE)</f>
        <v>0</v>
      </c>
      <c r="N177" s="140">
        <f>VLOOKUP(A177,'Billing Dimensions'!$A:$N,14,FALSE)-VLOOKUP(A177,'Audit Dimensions'!$A:$N,14,FALSE)</f>
        <v>0</v>
      </c>
      <c r="O177" s="145">
        <f>VLOOKUP('Audit VAR'!A177,'Audit Dimensions'!A:P,16,FALSE)</f>
        <v>30460</v>
      </c>
      <c r="P177" s="143">
        <f>VLOOKUP(A177,'Billing Dimensions'!A:Q,17,FALSE)-VLOOKUP('Audit VAR'!A177,'Audit Dimensions'!A:P,16,FALSE)</f>
        <v>-2010</v>
      </c>
      <c r="Q177" s="148">
        <f t="shared" si="2"/>
        <v>-6.5988181221273798E-2</v>
      </c>
    </row>
    <row r="178" spans="1:17">
      <c r="A178" s="58" t="str">
        <f>'Audit Dimensions'!A178</f>
        <v>CT-SH</v>
      </c>
      <c r="B178" s="2" t="str">
        <f>VLOOKUP(A178,'Billing Dimensions'!A:B,2,FALSE)</f>
        <v>SB</v>
      </c>
      <c r="C178" s="59">
        <f>VLOOKUP(A178,'Billing Dimensions'!$A:$N,3,FALSE)-VLOOKUP(A178,'Audit Dimensions'!$A:$N,3,FALSE)</f>
        <v>0</v>
      </c>
      <c r="D178" s="59">
        <f>VLOOKUP(A178,'Billing Dimensions'!$A:$N,4,FALSE)-VLOOKUP(A178,'Audit Dimensions'!$A:$N,4,FALSE)</f>
        <v>0</v>
      </c>
      <c r="E178" s="59">
        <f>VLOOKUP(A178,'Billing Dimensions'!$A:$N,5,FALSE)-VLOOKUP(A178,'Audit Dimensions'!$A:$N,5,FALSE)</f>
        <v>0</v>
      </c>
      <c r="F178" s="137">
        <f>VLOOKUP(A178,'Billing Dimensions'!$A:$N,6,FALSE)-VLOOKUP(A178,'Audit Dimensions'!$A:$N,6,FALSE)</f>
        <v>-1000</v>
      </c>
      <c r="G178" s="65">
        <f>VLOOKUP(A178,'Billing Dimensions'!$A:$N,7,FALSE)-VLOOKUP(A178,'Audit Dimensions'!$A:$N,7,FALSE)</f>
        <v>0</v>
      </c>
      <c r="H178" s="65">
        <f>VLOOKUP(A178,'Billing Dimensions'!$A:$N,8,FALSE)-VLOOKUP(A178,'Audit Dimensions'!$A:$N,8,FALSE)</f>
        <v>0</v>
      </c>
      <c r="I178" s="65">
        <f>VLOOKUP(A178,'Billing Dimensions'!$A:$N,9,FALSE)-VLOOKUP(A178,'Audit Dimensions'!$A:$N,9,FALSE)</f>
        <v>0</v>
      </c>
      <c r="J178" s="61">
        <f>VLOOKUP(A178,'Billing Dimensions'!$A:$N,10,FALSE)-VLOOKUP(A178,'Audit Dimensions'!$A:$N,10,FALSE)</f>
        <v>0</v>
      </c>
      <c r="K178" s="63">
        <f>VLOOKUP(A178,'Billing Dimensions'!$A:$N,11,FALSE)-VLOOKUP(A178,'Audit Dimensions'!$A:$N,11,FALSE)</f>
        <v>0</v>
      </c>
      <c r="L178" s="63">
        <f>VLOOKUP(A178,'Billing Dimensions'!$A:$N,12,FALSE)-VLOOKUP(A178,'Audit Dimensions'!$A:$N,12,FALSE)</f>
        <v>0</v>
      </c>
      <c r="M178" s="63">
        <f>VLOOKUP(A178,'Billing Dimensions'!$A:$N,13,FALSE)-VLOOKUP(A178,'Audit Dimensions'!$A:$N,13,FALSE)</f>
        <v>0</v>
      </c>
      <c r="N178" s="140">
        <f>VLOOKUP(A178,'Billing Dimensions'!$A:$N,14,FALSE)-VLOOKUP(A178,'Audit Dimensions'!$A:$N,14,FALSE)</f>
        <v>0</v>
      </c>
      <c r="O178" s="145">
        <f>VLOOKUP('Audit VAR'!A178,'Audit Dimensions'!A:P,16,FALSE)</f>
        <v>13900</v>
      </c>
      <c r="P178" s="143">
        <f>VLOOKUP(A178,'Billing Dimensions'!A:Q,17,FALSE)-VLOOKUP('Audit VAR'!A178,'Audit Dimensions'!A:P,16,FALSE)</f>
        <v>-1000</v>
      </c>
      <c r="Q178" s="148">
        <f t="shared" si="2"/>
        <v>-7.1942446043165464E-2</v>
      </c>
    </row>
    <row r="179" spans="1:17" ht="14.45" customHeight="1">
      <c r="A179" s="58" t="str">
        <f>'Audit Dimensions'!A179</f>
        <v>S-RY</v>
      </c>
      <c r="B179" s="2" t="str">
        <f>VLOOKUP(A179,'Billing Dimensions'!A:B,2,FALSE)</f>
        <v>SB</v>
      </c>
      <c r="C179" s="59">
        <f>VLOOKUP(A179,'Billing Dimensions'!$A:$N,3,FALSE)-VLOOKUP(A179,'Audit Dimensions'!$A:$N,3,FALSE)</f>
        <v>0</v>
      </c>
      <c r="D179" s="59">
        <f>VLOOKUP(A179,'Billing Dimensions'!$A:$N,4,FALSE)-VLOOKUP(A179,'Audit Dimensions'!$A:$N,4,FALSE)</f>
        <v>0</v>
      </c>
      <c r="E179" s="59">
        <f>VLOOKUP(A179,'Billing Dimensions'!$A:$N,5,FALSE)-VLOOKUP(A179,'Audit Dimensions'!$A:$N,5,FALSE)</f>
        <v>0</v>
      </c>
      <c r="F179" s="137">
        <f>VLOOKUP(A179,'Billing Dimensions'!$A:$N,6,FALSE)-VLOOKUP(A179,'Audit Dimensions'!$A:$N,6,FALSE)</f>
        <v>0</v>
      </c>
      <c r="G179" s="65">
        <f>VLOOKUP(A179,'Billing Dimensions'!$A:$N,7,FALSE)-VLOOKUP(A179,'Audit Dimensions'!$A:$N,7,FALSE)</f>
        <v>0</v>
      </c>
      <c r="H179" s="65">
        <f>VLOOKUP(A179,'Billing Dimensions'!$A:$N,8,FALSE)-VLOOKUP(A179,'Audit Dimensions'!$A:$N,8,FALSE)</f>
        <v>0</v>
      </c>
      <c r="I179" s="65">
        <f>VLOOKUP(A179,'Billing Dimensions'!$A:$N,9,FALSE)-VLOOKUP(A179,'Audit Dimensions'!$A:$N,9,FALSE)</f>
        <v>0</v>
      </c>
      <c r="J179" s="61">
        <f>VLOOKUP(A179,'Billing Dimensions'!$A:$N,10,FALSE)-VLOOKUP(A179,'Audit Dimensions'!$A:$N,10,FALSE)</f>
        <v>0</v>
      </c>
      <c r="K179" s="63">
        <f>VLOOKUP(A179,'Billing Dimensions'!$A:$N,11,FALSE)-VLOOKUP(A179,'Audit Dimensions'!$A:$N,11,FALSE)</f>
        <v>0</v>
      </c>
      <c r="L179" s="63">
        <f>VLOOKUP(A179,'Billing Dimensions'!$A:$N,12,FALSE)-VLOOKUP(A179,'Audit Dimensions'!$A:$N,12,FALSE)</f>
        <v>0</v>
      </c>
      <c r="M179" s="63">
        <f>VLOOKUP(A179,'Billing Dimensions'!$A:$N,13,FALSE)-VLOOKUP(A179,'Audit Dimensions'!$A:$N,13,FALSE)</f>
        <v>0</v>
      </c>
      <c r="N179" s="140">
        <f>VLOOKUP(A179,'Billing Dimensions'!$A:$N,14,FALSE)-VLOOKUP(A179,'Audit Dimensions'!$A:$N,14,FALSE)</f>
        <v>0</v>
      </c>
      <c r="O179" s="145">
        <f>VLOOKUP('Audit VAR'!A179,'Audit Dimensions'!A:P,16,FALSE)</f>
        <v>3850</v>
      </c>
      <c r="P179" s="143">
        <f>VLOOKUP(A179,'Billing Dimensions'!A:Q,17,FALSE)-VLOOKUP('Audit VAR'!A179,'Audit Dimensions'!A:P,16,FALSE)</f>
        <v>0</v>
      </c>
      <c r="Q179" s="148">
        <f t="shared" si="2"/>
        <v>0</v>
      </c>
    </row>
    <row r="180" spans="1:17" ht="14.45" customHeight="1">
      <c r="A180" s="58" t="str">
        <f>'Audit Dimensions'!A180</f>
        <v>CT-NO-RT</v>
      </c>
      <c r="B180" s="2" t="str">
        <f>VLOOKUP(A180,'Billing Dimensions'!A:B,2,FALSE)</f>
        <v>SB</v>
      </c>
      <c r="C180" s="59">
        <f>VLOOKUP(A180,'Billing Dimensions'!$A:$N,3,FALSE)-VLOOKUP(A180,'Audit Dimensions'!$A:$N,3,FALSE)</f>
        <v>0</v>
      </c>
      <c r="D180" s="59">
        <f>VLOOKUP(A180,'Billing Dimensions'!$A:$N,4,FALSE)-VLOOKUP(A180,'Audit Dimensions'!$A:$N,4,FALSE)</f>
        <v>0</v>
      </c>
      <c r="E180" s="59">
        <f>VLOOKUP(A180,'Billing Dimensions'!$A:$N,5,FALSE)-VLOOKUP(A180,'Audit Dimensions'!$A:$N,5,FALSE)</f>
        <v>0</v>
      </c>
      <c r="F180" s="137">
        <f>VLOOKUP(A180,'Billing Dimensions'!$A:$N,6,FALSE)-VLOOKUP(A180,'Audit Dimensions'!$A:$N,6,FALSE)</f>
        <v>-140</v>
      </c>
      <c r="G180" s="65">
        <f>VLOOKUP(A180,'Billing Dimensions'!$A:$N,7,FALSE)-VLOOKUP(A180,'Audit Dimensions'!$A:$N,7,FALSE)</f>
        <v>0</v>
      </c>
      <c r="H180" s="65">
        <f>VLOOKUP(A180,'Billing Dimensions'!$A:$N,8,FALSE)-VLOOKUP(A180,'Audit Dimensions'!$A:$N,8,FALSE)</f>
        <v>0</v>
      </c>
      <c r="I180" s="65">
        <f>VLOOKUP(A180,'Billing Dimensions'!$A:$N,9,FALSE)-VLOOKUP(A180,'Audit Dimensions'!$A:$N,9,FALSE)</f>
        <v>0</v>
      </c>
      <c r="J180" s="61">
        <f>VLOOKUP(A180,'Billing Dimensions'!$A:$N,10,FALSE)-VLOOKUP(A180,'Audit Dimensions'!$A:$N,10,FALSE)</f>
        <v>0</v>
      </c>
      <c r="K180" s="63">
        <f>VLOOKUP(A180,'Billing Dimensions'!$A:$N,11,FALSE)-VLOOKUP(A180,'Audit Dimensions'!$A:$N,11,FALSE)</f>
        <v>0</v>
      </c>
      <c r="L180" s="63">
        <f>VLOOKUP(A180,'Billing Dimensions'!$A:$N,12,FALSE)-VLOOKUP(A180,'Audit Dimensions'!$A:$N,12,FALSE)</f>
        <v>0</v>
      </c>
      <c r="M180" s="63">
        <f>VLOOKUP(A180,'Billing Dimensions'!$A:$N,13,FALSE)-VLOOKUP(A180,'Audit Dimensions'!$A:$N,13,FALSE)</f>
        <v>0</v>
      </c>
      <c r="N180" s="140">
        <f>VLOOKUP(A180,'Billing Dimensions'!$A:$N,14,FALSE)-VLOOKUP(A180,'Audit Dimensions'!$A:$N,14,FALSE)</f>
        <v>0</v>
      </c>
      <c r="O180" s="145">
        <f>VLOOKUP('Audit VAR'!A180,'Audit Dimensions'!A:P,16,FALSE)</f>
        <v>11000</v>
      </c>
      <c r="P180" s="143">
        <f>VLOOKUP(A180,'Billing Dimensions'!A:Q,17,FALSE)-VLOOKUP('Audit VAR'!A180,'Audit Dimensions'!A:P,16,FALSE)</f>
        <v>-140</v>
      </c>
      <c r="Q180" s="148">
        <f t="shared" si="2"/>
        <v>-1.2727272727272728E-2</v>
      </c>
    </row>
    <row r="181" spans="1:17">
      <c r="A181" s="58" t="str">
        <f>'Audit Dimensions'!A181</f>
        <v>TU-GAU</v>
      </c>
      <c r="B181" s="2" t="str">
        <f>VLOOKUP(A181,'Billing Dimensions'!A:B,2,FALSE)</f>
        <v>SB</v>
      </c>
      <c r="C181" s="59">
        <f>VLOOKUP(A181,'Billing Dimensions'!$A:$N,3,FALSE)-VLOOKUP(A181,'Audit Dimensions'!$A:$N,3,FALSE)</f>
        <v>0</v>
      </c>
      <c r="D181" s="59">
        <f>VLOOKUP(A181,'Billing Dimensions'!$A:$N,4,FALSE)-VLOOKUP(A181,'Audit Dimensions'!$A:$N,4,FALSE)</f>
        <v>0</v>
      </c>
      <c r="E181" s="59">
        <f>VLOOKUP(A181,'Billing Dimensions'!$A:$N,5,FALSE)-VLOOKUP(A181,'Audit Dimensions'!$A:$N,5,FALSE)</f>
        <v>0</v>
      </c>
      <c r="F181" s="137">
        <f>VLOOKUP(A181,'Billing Dimensions'!$A:$N,6,FALSE)-VLOOKUP(A181,'Audit Dimensions'!$A:$N,6,FALSE)</f>
        <v>-1380</v>
      </c>
      <c r="G181" s="65">
        <f>VLOOKUP(A181,'Billing Dimensions'!$A:$N,7,FALSE)-VLOOKUP(A181,'Audit Dimensions'!$A:$N,7,FALSE)</f>
        <v>0</v>
      </c>
      <c r="H181" s="65">
        <f>VLOOKUP(A181,'Billing Dimensions'!$A:$N,8,FALSE)-VLOOKUP(A181,'Audit Dimensions'!$A:$N,8,FALSE)</f>
        <v>0</v>
      </c>
      <c r="I181" s="65">
        <f>VLOOKUP(A181,'Billing Dimensions'!$A:$N,9,FALSE)-VLOOKUP(A181,'Audit Dimensions'!$A:$N,9,FALSE)</f>
        <v>0</v>
      </c>
      <c r="J181" s="61">
        <f>VLOOKUP(A181,'Billing Dimensions'!$A:$N,10,FALSE)-VLOOKUP(A181,'Audit Dimensions'!$A:$N,10,FALSE)</f>
        <v>0</v>
      </c>
      <c r="K181" s="63">
        <f>VLOOKUP(A181,'Billing Dimensions'!$A:$N,11,FALSE)-VLOOKUP(A181,'Audit Dimensions'!$A:$N,11,FALSE)</f>
        <v>0</v>
      </c>
      <c r="L181" s="63">
        <f>VLOOKUP(A181,'Billing Dimensions'!$A:$N,12,FALSE)-VLOOKUP(A181,'Audit Dimensions'!$A:$N,12,FALSE)</f>
        <v>0</v>
      </c>
      <c r="M181" s="63">
        <f>VLOOKUP(A181,'Billing Dimensions'!$A:$N,13,FALSE)-VLOOKUP(A181,'Audit Dimensions'!$A:$N,13,FALSE)</f>
        <v>0</v>
      </c>
      <c r="N181" s="140">
        <f>VLOOKUP(A181,'Billing Dimensions'!$A:$N,14,FALSE)-VLOOKUP(A181,'Audit Dimensions'!$A:$N,14,FALSE)</f>
        <v>0</v>
      </c>
      <c r="O181" s="145">
        <f>VLOOKUP('Audit VAR'!A181,'Audit Dimensions'!A:P,16,FALSE)</f>
        <v>20270</v>
      </c>
      <c r="P181" s="143">
        <f>VLOOKUP(A181,'Billing Dimensions'!A:Q,17,FALSE)-VLOOKUP('Audit VAR'!A181,'Audit Dimensions'!A:P,16,FALSE)</f>
        <v>-1380</v>
      </c>
      <c r="Q181" s="148">
        <f t="shared" si="2"/>
        <v>-6.8080907745436611E-2</v>
      </c>
    </row>
    <row r="182" spans="1:17" ht="14.45" customHeight="1">
      <c r="A182" s="58" t="str">
        <f>'Audit Dimensions'!A182</f>
        <v>CT-VC</v>
      </c>
      <c r="B182" s="2" t="str">
        <f>VLOOKUP(A182,'Billing Dimensions'!A:B,2,FALSE)</f>
        <v>SB</v>
      </c>
      <c r="C182" s="59">
        <f>VLOOKUP(A182,'Billing Dimensions'!$A:$N,3,FALSE)-VLOOKUP(A182,'Audit Dimensions'!$A:$N,3,FALSE)</f>
        <v>0</v>
      </c>
      <c r="D182" s="59">
        <f>VLOOKUP(A182,'Billing Dimensions'!$A:$N,4,FALSE)-VLOOKUP(A182,'Audit Dimensions'!$A:$N,4,FALSE)</f>
        <v>0</v>
      </c>
      <c r="E182" s="59">
        <f>VLOOKUP(A182,'Billing Dimensions'!$A:$N,5,FALSE)-VLOOKUP(A182,'Audit Dimensions'!$A:$N,5,FALSE)</f>
        <v>0</v>
      </c>
      <c r="F182" s="137">
        <f>VLOOKUP(A182,'Billing Dimensions'!$A:$N,6,FALSE)-VLOOKUP(A182,'Audit Dimensions'!$A:$N,6,FALSE)</f>
        <v>-910</v>
      </c>
      <c r="G182" s="65">
        <f>VLOOKUP(A182,'Billing Dimensions'!$A:$N,7,FALSE)-VLOOKUP(A182,'Audit Dimensions'!$A:$N,7,FALSE)</f>
        <v>0</v>
      </c>
      <c r="H182" s="65">
        <f>VLOOKUP(A182,'Billing Dimensions'!$A:$N,8,FALSE)-VLOOKUP(A182,'Audit Dimensions'!$A:$N,8,FALSE)</f>
        <v>0</v>
      </c>
      <c r="I182" s="65">
        <f>VLOOKUP(A182,'Billing Dimensions'!$A:$N,9,FALSE)-VLOOKUP(A182,'Audit Dimensions'!$A:$N,9,FALSE)</f>
        <v>0</v>
      </c>
      <c r="J182" s="61">
        <f>VLOOKUP(A182,'Billing Dimensions'!$A:$N,10,FALSE)-VLOOKUP(A182,'Audit Dimensions'!$A:$N,10,FALSE)</f>
        <v>0</v>
      </c>
      <c r="K182" s="63">
        <f>VLOOKUP(A182,'Billing Dimensions'!$A:$N,11,FALSE)-VLOOKUP(A182,'Audit Dimensions'!$A:$N,11,FALSE)</f>
        <v>0</v>
      </c>
      <c r="L182" s="63">
        <f>VLOOKUP(A182,'Billing Dimensions'!$A:$N,12,FALSE)-VLOOKUP(A182,'Audit Dimensions'!$A:$N,12,FALSE)</f>
        <v>0</v>
      </c>
      <c r="M182" s="63">
        <f>VLOOKUP(A182,'Billing Dimensions'!$A:$N,13,FALSE)-VLOOKUP(A182,'Audit Dimensions'!$A:$N,13,FALSE)</f>
        <v>0</v>
      </c>
      <c r="N182" s="140">
        <f>VLOOKUP(A182,'Billing Dimensions'!$A:$N,14,FALSE)-VLOOKUP(A182,'Audit Dimensions'!$A:$N,14,FALSE)</f>
        <v>0</v>
      </c>
      <c r="O182" s="145">
        <f>VLOOKUP('Audit VAR'!A182,'Audit Dimensions'!A:P,16,FALSE)</f>
        <v>15710</v>
      </c>
      <c r="P182" s="143">
        <f>VLOOKUP(A182,'Billing Dimensions'!A:Q,17,FALSE)-VLOOKUP('Audit VAR'!A182,'Audit Dimensions'!A:P,16,FALSE)</f>
        <v>-910</v>
      </c>
      <c r="Q182" s="148">
        <f t="shared" si="2"/>
        <v>-5.7924888605983452E-2</v>
      </c>
    </row>
    <row r="183" spans="1:17" ht="14.45" customHeight="1">
      <c r="A183" s="58" t="str">
        <f>'Audit Dimensions'!A183</f>
        <v>ST-MLM-L</v>
      </c>
      <c r="B183" s="2" t="str">
        <f>VLOOKUP(A183,'Billing Dimensions'!A:B,2,FALSE)</f>
        <v>SB</v>
      </c>
      <c r="C183" s="59">
        <f>VLOOKUP(A183,'Billing Dimensions'!$A:$N,3,FALSE)-VLOOKUP(A183,'Audit Dimensions'!$A:$N,3,FALSE)</f>
        <v>0</v>
      </c>
      <c r="D183" s="59">
        <f>VLOOKUP(A183,'Billing Dimensions'!$A:$N,4,FALSE)-VLOOKUP(A183,'Audit Dimensions'!$A:$N,4,FALSE)</f>
        <v>0</v>
      </c>
      <c r="E183" s="59">
        <f>VLOOKUP(A183,'Billing Dimensions'!$A:$N,5,FALSE)-VLOOKUP(A183,'Audit Dimensions'!$A:$N,5,FALSE)</f>
        <v>0</v>
      </c>
      <c r="F183" s="137">
        <f>VLOOKUP(A183,'Billing Dimensions'!$A:$N,6,FALSE)-VLOOKUP(A183,'Audit Dimensions'!$A:$N,6,FALSE)</f>
        <v>-1080</v>
      </c>
      <c r="G183" s="65">
        <f>VLOOKUP(A183,'Billing Dimensions'!$A:$N,7,FALSE)-VLOOKUP(A183,'Audit Dimensions'!$A:$N,7,FALSE)</f>
        <v>0</v>
      </c>
      <c r="H183" s="65">
        <f>VLOOKUP(A183,'Billing Dimensions'!$A:$N,8,FALSE)-VLOOKUP(A183,'Audit Dimensions'!$A:$N,8,FALSE)</f>
        <v>0</v>
      </c>
      <c r="I183" s="65">
        <f>VLOOKUP(A183,'Billing Dimensions'!$A:$N,9,FALSE)-VLOOKUP(A183,'Audit Dimensions'!$A:$N,9,FALSE)</f>
        <v>0</v>
      </c>
      <c r="J183" s="61">
        <f>VLOOKUP(A183,'Billing Dimensions'!$A:$N,10,FALSE)-VLOOKUP(A183,'Audit Dimensions'!$A:$N,10,FALSE)</f>
        <v>0</v>
      </c>
      <c r="K183" s="63">
        <f>VLOOKUP(A183,'Billing Dimensions'!$A:$N,11,FALSE)-VLOOKUP(A183,'Audit Dimensions'!$A:$N,11,FALSE)</f>
        <v>0</v>
      </c>
      <c r="L183" s="63">
        <f>VLOOKUP(A183,'Billing Dimensions'!$A:$N,12,FALSE)-VLOOKUP(A183,'Audit Dimensions'!$A:$N,12,FALSE)</f>
        <v>0</v>
      </c>
      <c r="M183" s="63">
        <f>VLOOKUP(A183,'Billing Dimensions'!$A:$N,13,FALSE)-VLOOKUP(A183,'Audit Dimensions'!$A:$N,13,FALSE)</f>
        <v>0</v>
      </c>
      <c r="N183" s="140">
        <f>VLOOKUP(A183,'Billing Dimensions'!$A:$N,14,FALSE)-VLOOKUP(A183,'Audit Dimensions'!$A:$N,14,FALSE)</f>
        <v>0</v>
      </c>
      <c r="O183" s="145">
        <f>VLOOKUP('Audit VAR'!A183,'Audit Dimensions'!A:P,16,FALSE)</f>
        <v>20580</v>
      </c>
      <c r="P183" s="143">
        <f>VLOOKUP(A183,'Billing Dimensions'!A:Q,17,FALSE)-VLOOKUP('Audit VAR'!A183,'Audit Dimensions'!A:P,16,FALSE)</f>
        <v>-1080</v>
      </c>
      <c r="Q183" s="148">
        <f t="shared" si="2"/>
        <v>-5.2478134110787174E-2</v>
      </c>
    </row>
    <row r="184" spans="1:17" ht="14.45" customHeight="1">
      <c r="A184" s="58" t="str">
        <f>'Audit Dimensions'!A184</f>
        <v>TU-MYN</v>
      </c>
      <c r="B184" s="2" t="str">
        <f>VLOOKUP(A184,'Billing Dimensions'!A:B,2,FALSE)</f>
        <v>SB</v>
      </c>
      <c r="C184" s="59">
        <f>VLOOKUP(A184,'Billing Dimensions'!$A:$N,3,FALSE)-VLOOKUP(A184,'Audit Dimensions'!$A:$N,3,FALSE)</f>
        <v>0</v>
      </c>
      <c r="D184" s="59">
        <f>VLOOKUP(A184,'Billing Dimensions'!$A:$N,4,FALSE)-VLOOKUP(A184,'Audit Dimensions'!$A:$N,4,FALSE)</f>
        <v>0</v>
      </c>
      <c r="E184" s="59">
        <f>VLOOKUP(A184,'Billing Dimensions'!$A:$N,5,FALSE)-VLOOKUP(A184,'Audit Dimensions'!$A:$N,5,FALSE)</f>
        <v>0</v>
      </c>
      <c r="F184" s="137">
        <f>VLOOKUP(A184,'Billing Dimensions'!$A:$N,6,FALSE)-VLOOKUP(A184,'Audit Dimensions'!$A:$N,6,FALSE)</f>
        <v>-2430</v>
      </c>
      <c r="G184" s="65">
        <f>VLOOKUP(A184,'Billing Dimensions'!$A:$N,7,FALSE)-VLOOKUP(A184,'Audit Dimensions'!$A:$N,7,FALSE)</f>
        <v>0</v>
      </c>
      <c r="H184" s="65">
        <f>VLOOKUP(A184,'Billing Dimensions'!$A:$N,8,FALSE)-VLOOKUP(A184,'Audit Dimensions'!$A:$N,8,FALSE)</f>
        <v>0</v>
      </c>
      <c r="I184" s="65">
        <f>VLOOKUP(A184,'Billing Dimensions'!$A:$N,9,FALSE)-VLOOKUP(A184,'Audit Dimensions'!$A:$N,9,FALSE)</f>
        <v>0</v>
      </c>
      <c r="J184" s="61">
        <f>VLOOKUP(A184,'Billing Dimensions'!$A:$N,10,FALSE)-VLOOKUP(A184,'Audit Dimensions'!$A:$N,10,FALSE)</f>
        <v>0</v>
      </c>
      <c r="K184" s="63">
        <f>VLOOKUP(A184,'Billing Dimensions'!$A:$N,11,FALSE)-VLOOKUP(A184,'Audit Dimensions'!$A:$N,11,FALSE)</f>
        <v>0</v>
      </c>
      <c r="L184" s="63">
        <f>VLOOKUP(A184,'Billing Dimensions'!$A:$N,12,FALSE)-VLOOKUP(A184,'Audit Dimensions'!$A:$N,12,FALSE)</f>
        <v>0</v>
      </c>
      <c r="M184" s="63">
        <f>VLOOKUP(A184,'Billing Dimensions'!$A:$N,13,FALSE)-VLOOKUP(A184,'Audit Dimensions'!$A:$N,13,FALSE)</f>
        <v>0</v>
      </c>
      <c r="N184" s="140">
        <f>VLOOKUP(A184,'Billing Dimensions'!$A:$N,14,FALSE)-VLOOKUP(A184,'Audit Dimensions'!$A:$N,14,FALSE)</f>
        <v>0</v>
      </c>
      <c r="O184" s="145">
        <f>VLOOKUP('Audit VAR'!A184,'Audit Dimensions'!A:P,16,FALSE)</f>
        <v>47930</v>
      </c>
      <c r="P184" s="143">
        <f>VLOOKUP(A184,'Billing Dimensions'!A:Q,17,FALSE)-VLOOKUP('Audit VAR'!A184,'Audit Dimensions'!A:P,16,FALSE)</f>
        <v>-2430</v>
      </c>
      <c r="Q184" s="148">
        <f t="shared" si="2"/>
        <v>-5.0698935948257876E-2</v>
      </c>
    </row>
    <row r="185" spans="1:17" ht="14.45" customHeight="1">
      <c r="A185" s="58" t="str">
        <f>'Audit Dimensions'!A185</f>
        <v>W-CLO-4</v>
      </c>
      <c r="B185" s="2" t="str">
        <f>VLOOKUP(A185,'Billing Dimensions'!A:B,2,FALSE)</f>
        <v>SB</v>
      </c>
      <c r="C185" s="59">
        <f>VLOOKUP(A185,'Billing Dimensions'!$A:$N,3,FALSE)-VLOOKUP(A185,'Audit Dimensions'!$A:$N,3,FALSE)</f>
        <v>0</v>
      </c>
      <c r="D185" s="59">
        <f>VLOOKUP(A185,'Billing Dimensions'!$A:$N,4,FALSE)-VLOOKUP(A185,'Audit Dimensions'!$A:$N,4,FALSE)</f>
        <v>0</v>
      </c>
      <c r="E185" s="59">
        <f>VLOOKUP(A185,'Billing Dimensions'!$A:$N,5,FALSE)-VLOOKUP(A185,'Audit Dimensions'!$A:$N,5,FALSE)</f>
        <v>0</v>
      </c>
      <c r="F185" s="137">
        <f>VLOOKUP(A185,'Billing Dimensions'!$A:$N,6,FALSE)-VLOOKUP(A185,'Audit Dimensions'!$A:$N,6,FALSE)</f>
        <v>-1880</v>
      </c>
      <c r="G185" s="65">
        <f>VLOOKUP(A185,'Billing Dimensions'!$A:$N,7,FALSE)-VLOOKUP(A185,'Audit Dimensions'!$A:$N,7,FALSE)</f>
        <v>0</v>
      </c>
      <c r="H185" s="65">
        <f>VLOOKUP(A185,'Billing Dimensions'!$A:$N,8,FALSE)-VLOOKUP(A185,'Audit Dimensions'!$A:$N,8,FALSE)</f>
        <v>0</v>
      </c>
      <c r="I185" s="65">
        <f>VLOOKUP(A185,'Billing Dimensions'!$A:$N,9,FALSE)-VLOOKUP(A185,'Audit Dimensions'!$A:$N,9,FALSE)</f>
        <v>0</v>
      </c>
      <c r="J185" s="61">
        <f>VLOOKUP(A185,'Billing Dimensions'!$A:$N,10,FALSE)-VLOOKUP(A185,'Audit Dimensions'!$A:$N,10,FALSE)</f>
        <v>0</v>
      </c>
      <c r="K185" s="63">
        <f>VLOOKUP(A185,'Billing Dimensions'!$A:$N,11,FALSE)-VLOOKUP(A185,'Audit Dimensions'!$A:$N,11,FALSE)</f>
        <v>0</v>
      </c>
      <c r="L185" s="63">
        <f>VLOOKUP(A185,'Billing Dimensions'!$A:$N,12,FALSE)-VLOOKUP(A185,'Audit Dimensions'!$A:$N,12,FALSE)</f>
        <v>0</v>
      </c>
      <c r="M185" s="63">
        <f>VLOOKUP(A185,'Billing Dimensions'!$A:$N,13,FALSE)-VLOOKUP(A185,'Audit Dimensions'!$A:$N,13,FALSE)</f>
        <v>0</v>
      </c>
      <c r="N185" s="140">
        <f>VLOOKUP(A185,'Billing Dimensions'!$A:$N,14,FALSE)-VLOOKUP(A185,'Audit Dimensions'!$A:$N,14,FALSE)</f>
        <v>0</v>
      </c>
      <c r="O185" s="145">
        <f>VLOOKUP('Audit VAR'!A185,'Audit Dimensions'!A:P,16,FALSE)</f>
        <v>26350</v>
      </c>
      <c r="P185" s="143">
        <f>VLOOKUP(A185,'Billing Dimensions'!A:Q,17,FALSE)-VLOOKUP('Audit VAR'!A185,'Audit Dimensions'!A:P,16,FALSE)</f>
        <v>-1880</v>
      </c>
      <c r="Q185" s="148">
        <f t="shared" si="2"/>
        <v>-7.1347248576850097E-2</v>
      </c>
    </row>
    <row r="186" spans="1:17">
      <c r="A186" s="58" t="str">
        <f>'Audit Dimensions'!A186</f>
        <v>SR-BKN-T</v>
      </c>
      <c r="B186" s="2" t="str">
        <f>VLOOKUP(A186,'Billing Dimensions'!A:B,2,FALSE)</f>
        <v>SB</v>
      </c>
      <c r="C186" s="59">
        <f>VLOOKUP(A186,'Billing Dimensions'!$A:$N,3,FALSE)-VLOOKUP(A186,'Audit Dimensions'!$A:$N,3,FALSE)</f>
        <v>0</v>
      </c>
      <c r="D186" s="59">
        <f>VLOOKUP(A186,'Billing Dimensions'!$A:$N,4,FALSE)-VLOOKUP(A186,'Audit Dimensions'!$A:$N,4,FALSE)</f>
        <v>0</v>
      </c>
      <c r="E186" s="59">
        <f>VLOOKUP(A186,'Billing Dimensions'!$A:$N,5,FALSE)-VLOOKUP(A186,'Audit Dimensions'!$A:$N,5,FALSE)</f>
        <v>0</v>
      </c>
      <c r="F186" s="137">
        <f>VLOOKUP(A186,'Billing Dimensions'!$A:$N,6,FALSE)-VLOOKUP(A186,'Audit Dimensions'!$A:$N,6,FALSE)</f>
        <v>-2130</v>
      </c>
      <c r="G186" s="65">
        <f>VLOOKUP(A186,'Billing Dimensions'!$A:$N,7,FALSE)-VLOOKUP(A186,'Audit Dimensions'!$A:$N,7,FALSE)</f>
        <v>0</v>
      </c>
      <c r="H186" s="65">
        <f>VLOOKUP(A186,'Billing Dimensions'!$A:$N,8,FALSE)-VLOOKUP(A186,'Audit Dimensions'!$A:$N,8,FALSE)</f>
        <v>0</v>
      </c>
      <c r="I186" s="65">
        <f>VLOOKUP(A186,'Billing Dimensions'!$A:$N,9,FALSE)-VLOOKUP(A186,'Audit Dimensions'!$A:$N,9,FALSE)</f>
        <v>0</v>
      </c>
      <c r="J186" s="61">
        <f>VLOOKUP(A186,'Billing Dimensions'!$A:$N,10,FALSE)-VLOOKUP(A186,'Audit Dimensions'!$A:$N,10,FALSE)</f>
        <v>0</v>
      </c>
      <c r="K186" s="63">
        <f>VLOOKUP(A186,'Billing Dimensions'!$A:$N,11,FALSE)-VLOOKUP(A186,'Audit Dimensions'!$A:$N,11,FALSE)</f>
        <v>0</v>
      </c>
      <c r="L186" s="63">
        <f>VLOOKUP(A186,'Billing Dimensions'!$A:$N,12,FALSE)-VLOOKUP(A186,'Audit Dimensions'!$A:$N,12,FALSE)</f>
        <v>0</v>
      </c>
      <c r="M186" s="63">
        <f>VLOOKUP(A186,'Billing Dimensions'!$A:$N,13,FALSE)-VLOOKUP(A186,'Audit Dimensions'!$A:$N,13,FALSE)</f>
        <v>0</v>
      </c>
      <c r="N186" s="140">
        <f>VLOOKUP(A186,'Billing Dimensions'!$A:$N,14,FALSE)-VLOOKUP(A186,'Audit Dimensions'!$A:$N,14,FALSE)</f>
        <v>0</v>
      </c>
      <c r="O186" s="145">
        <f>VLOOKUP('Audit VAR'!A186,'Audit Dimensions'!A:P,16,FALSE)</f>
        <v>39630</v>
      </c>
      <c r="P186" s="143">
        <f>VLOOKUP(A186,'Billing Dimensions'!A:Q,17,FALSE)-VLOOKUP('Audit VAR'!A186,'Audit Dimensions'!A:P,16,FALSE)</f>
        <v>-2130</v>
      </c>
      <c r="Q186" s="148">
        <f t="shared" si="2"/>
        <v>-5.3747161241483724E-2</v>
      </c>
    </row>
    <row r="187" spans="1:17" ht="14.45" customHeight="1">
      <c r="A187" s="58" t="str">
        <f>'Audit Dimensions'!A187</f>
        <v>S-BR-4</v>
      </c>
      <c r="B187" s="2" t="str">
        <f>VLOOKUP(A187,'Billing Dimensions'!A:B,2,FALSE)</f>
        <v>SB</v>
      </c>
      <c r="C187" s="59">
        <f>VLOOKUP(A187,'Billing Dimensions'!$A:$N,3,FALSE)-VLOOKUP(A187,'Audit Dimensions'!$A:$N,3,FALSE)</f>
        <v>0</v>
      </c>
      <c r="D187" s="59">
        <f>VLOOKUP(A187,'Billing Dimensions'!$A:$N,4,FALSE)-VLOOKUP(A187,'Audit Dimensions'!$A:$N,4,FALSE)</f>
        <v>0</v>
      </c>
      <c r="E187" s="59">
        <f>VLOOKUP(A187,'Billing Dimensions'!$A:$N,5,FALSE)-VLOOKUP(A187,'Audit Dimensions'!$A:$N,5,FALSE)</f>
        <v>0</v>
      </c>
      <c r="F187" s="137">
        <f>VLOOKUP(A187,'Billing Dimensions'!$A:$N,6,FALSE)-VLOOKUP(A187,'Audit Dimensions'!$A:$N,6,FALSE)</f>
        <v>0</v>
      </c>
      <c r="G187" s="65">
        <f>VLOOKUP(A187,'Billing Dimensions'!$A:$N,7,FALSE)-VLOOKUP(A187,'Audit Dimensions'!$A:$N,7,FALSE)</f>
        <v>0</v>
      </c>
      <c r="H187" s="65">
        <f>VLOOKUP(A187,'Billing Dimensions'!$A:$N,8,FALSE)-VLOOKUP(A187,'Audit Dimensions'!$A:$N,8,FALSE)</f>
        <v>0</v>
      </c>
      <c r="I187" s="65">
        <f>VLOOKUP(A187,'Billing Dimensions'!$A:$N,9,FALSE)-VLOOKUP(A187,'Audit Dimensions'!$A:$N,9,FALSE)</f>
        <v>0</v>
      </c>
      <c r="J187" s="61">
        <f>VLOOKUP(A187,'Billing Dimensions'!$A:$N,10,FALSE)-VLOOKUP(A187,'Audit Dimensions'!$A:$N,10,FALSE)</f>
        <v>0</v>
      </c>
      <c r="K187" s="63">
        <f>VLOOKUP(A187,'Billing Dimensions'!$A:$N,11,FALSE)-VLOOKUP(A187,'Audit Dimensions'!$A:$N,11,FALSE)</f>
        <v>0</v>
      </c>
      <c r="L187" s="63">
        <f>VLOOKUP(A187,'Billing Dimensions'!$A:$N,12,FALSE)-VLOOKUP(A187,'Audit Dimensions'!$A:$N,12,FALSE)</f>
        <v>0</v>
      </c>
      <c r="M187" s="63">
        <f>VLOOKUP(A187,'Billing Dimensions'!$A:$N,13,FALSE)-VLOOKUP(A187,'Audit Dimensions'!$A:$N,13,FALSE)</f>
        <v>0</v>
      </c>
      <c r="N187" s="140">
        <f>VLOOKUP(A187,'Billing Dimensions'!$A:$N,14,FALSE)-VLOOKUP(A187,'Audit Dimensions'!$A:$N,14,FALSE)</f>
        <v>0</v>
      </c>
      <c r="O187" s="145">
        <f>VLOOKUP('Audit VAR'!A187,'Audit Dimensions'!A:P,16,FALSE)</f>
        <v>3725</v>
      </c>
      <c r="P187" s="143">
        <f>VLOOKUP(A187,'Billing Dimensions'!A:Q,17,FALSE)-VLOOKUP('Audit VAR'!A187,'Audit Dimensions'!A:P,16,FALSE)</f>
        <v>0</v>
      </c>
      <c r="Q187" s="148">
        <f t="shared" si="2"/>
        <v>0</v>
      </c>
    </row>
    <row r="188" spans="1:17" ht="14.45" customHeight="1">
      <c r="A188" s="58" t="str">
        <f>'Audit Dimensions'!A188</f>
        <v>TU-BVN</v>
      </c>
      <c r="B188" s="2" t="str">
        <f>VLOOKUP(A188,'Billing Dimensions'!A:B,2,FALSE)</f>
        <v>SB</v>
      </c>
      <c r="C188" s="59">
        <f>VLOOKUP(A188,'Billing Dimensions'!$A:$N,3,FALSE)-VLOOKUP(A188,'Audit Dimensions'!$A:$N,3,FALSE)</f>
        <v>0</v>
      </c>
      <c r="D188" s="59">
        <f>VLOOKUP(A188,'Billing Dimensions'!$A:$N,4,FALSE)-VLOOKUP(A188,'Audit Dimensions'!$A:$N,4,FALSE)</f>
        <v>0</v>
      </c>
      <c r="E188" s="59">
        <f>VLOOKUP(A188,'Billing Dimensions'!$A:$N,5,FALSE)-VLOOKUP(A188,'Audit Dimensions'!$A:$N,5,FALSE)</f>
        <v>0</v>
      </c>
      <c r="F188" s="137">
        <f>VLOOKUP(A188,'Billing Dimensions'!$A:$N,6,FALSE)-VLOOKUP(A188,'Audit Dimensions'!$A:$N,6,FALSE)</f>
        <v>-1760</v>
      </c>
      <c r="G188" s="65">
        <f>VLOOKUP(A188,'Billing Dimensions'!$A:$N,7,FALSE)-VLOOKUP(A188,'Audit Dimensions'!$A:$N,7,FALSE)</f>
        <v>0</v>
      </c>
      <c r="H188" s="65">
        <f>VLOOKUP(A188,'Billing Dimensions'!$A:$N,8,FALSE)-VLOOKUP(A188,'Audit Dimensions'!$A:$N,8,FALSE)</f>
        <v>0</v>
      </c>
      <c r="I188" s="65">
        <f>VLOOKUP(A188,'Billing Dimensions'!$A:$N,9,FALSE)-VLOOKUP(A188,'Audit Dimensions'!$A:$N,9,FALSE)</f>
        <v>0</v>
      </c>
      <c r="J188" s="61">
        <f>VLOOKUP(A188,'Billing Dimensions'!$A:$N,10,FALSE)-VLOOKUP(A188,'Audit Dimensions'!$A:$N,10,FALSE)</f>
        <v>0</v>
      </c>
      <c r="K188" s="63">
        <f>VLOOKUP(A188,'Billing Dimensions'!$A:$N,11,FALSE)-VLOOKUP(A188,'Audit Dimensions'!$A:$N,11,FALSE)</f>
        <v>0</v>
      </c>
      <c r="L188" s="63">
        <f>VLOOKUP(A188,'Billing Dimensions'!$A:$N,12,FALSE)-VLOOKUP(A188,'Audit Dimensions'!$A:$N,12,FALSE)</f>
        <v>0</v>
      </c>
      <c r="M188" s="63">
        <f>VLOOKUP(A188,'Billing Dimensions'!$A:$N,13,FALSE)-VLOOKUP(A188,'Audit Dimensions'!$A:$N,13,FALSE)</f>
        <v>0</v>
      </c>
      <c r="N188" s="140">
        <f>VLOOKUP(A188,'Billing Dimensions'!$A:$N,14,FALSE)-VLOOKUP(A188,'Audit Dimensions'!$A:$N,14,FALSE)</f>
        <v>0</v>
      </c>
      <c r="O188" s="145">
        <f>VLOOKUP('Audit VAR'!A188,'Audit Dimensions'!A:P,16,FALSE)</f>
        <v>29160</v>
      </c>
      <c r="P188" s="143">
        <f>VLOOKUP(A188,'Billing Dimensions'!A:Q,17,FALSE)-VLOOKUP('Audit VAR'!A188,'Audit Dimensions'!A:P,16,FALSE)</f>
        <v>-1760</v>
      </c>
      <c r="Q188" s="148">
        <f t="shared" si="2"/>
        <v>-6.035665294924554E-2</v>
      </c>
    </row>
    <row r="189" spans="1:17" ht="14.45" customHeight="1">
      <c r="A189" s="58" t="str">
        <f>'Audit Dimensions'!A189</f>
        <v>TU-DSK</v>
      </c>
      <c r="B189" s="2" t="str">
        <f>VLOOKUP(A189,'Billing Dimensions'!A:B,2,FALSE)</f>
        <v>SB</v>
      </c>
      <c r="C189" s="59">
        <f>VLOOKUP(A189,'Billing Dimensions'!$A:$N,3,FALSE)-VLOOKUP(A189,'Audit Dimensions'!$A:$N,3,FALSE)</f>
        <v>0</v>
      </c>
      <c r="D189" s="59">
        <f>VLOOKUP(A189,'Billing Dimensions'!$A:$N,4,FALSE)-VLOOKUP(A189,'Audit Dimensions'!$A:$N,4,FALSE)</f>
        <v>0</v>
      </c>
      <c r="E189" s="59">
        <f>VLOOKUP(A189,'Billing Dimensions'!$A:$N,5,FALSE)-VLOOKUP(A189,'Audit Dimensions'!$A:$N,5,FALSE)</f>
        <v>0</v>
      </c>
      <c r="F189" s="137">
        <f>VLOOKUP(A189,'Billing Dimensions'!$A:$N,6,FALSE)-VLOOKUP(A189,'Audit Dimensions'!$A:$N,6,FALSE)</f>
        <v>-1970</v>
      </c>
      <c r="G189" s="65">
        <f>VLOOKUP(A189,'Billing Dimensions'!$A:$N,7,FALSE)-VLOOKUP(A189,'Audit Dimensions'!$A:$N,7,FALSE)</f>
        <v>0</v>
      </c>
      <c r="H189" s="65">
        <f>VLOOKUP(A189,'Billing Dimensions'!$A:$N,8,FALSE)-VLOOKUP(A189,'Audit Dimensions'!$A:$N,8,FALSE)</f>
        <v>0</v>
      </c>
      <c r="I189" s="65">
        <f>VLOOKUP(A189,'Billing Dimensions'!$A:$N,9,FALSE)-VLOOKUP(A189,'Audit Dimensions'!$A:$N,9,FALSE)</f>
        <v>0</v>
      </c>
      <c r="J189" s="61">
        <f>VLOOKUP(A189,'Billing Dimensions'!$A:$N,10,FALSE)-VLOOKUP(A189,'Audit Dimensions'!$A:$N,10,FALSE)</f>
        <v>0</v>
      </c>
      <c r="K189" s="63">
        <f>VLOOKUP(A189,'Billing Dimensions'!$A:$N,11,FALSE)-VLOOKUP(A189,'Audit Dimensions'!$A:$N,11,FALSE)</f>
        <v>0</v>
      </c>
      <c r="L189" s="63">
        <f>VLOOKUP(A189,'Billing Dimensions'!$A:$N,12,FALSE)-VLOOKUP(A189,'Audit Dimensions'!$A:$N,12,FALSE)</f>
        <v>0</v>
      </c>
      <c r="M189" s="63">
        <f>VLOOKUP(A189,'Billing Dimensions'!$A:$N,13,FALSE)-VLOOKUP(A189,'Audit Dimensions'!$A:$N,13,FALSE)</f>
        <v>0</v>
      </c>
      <c r="N189" s="140">
        <f>VLOOKUP(A189,'Billing Dimensions'!$A:$N,14,FALSE)-VLOOKUP(A189,'Audit Dimensions'!$A:$N,14,FALSE)</f>
        <v>0</v>
      </c>
      <c r="O189" s="145">
        <f>VLOOKUP('Audit VAR'!A189,'Audit Dimensions'!A:P,16,FALSE)</f>
        <v>30770</v>
      </c>
      <c r="P189" s="143">
        <f>VLOOKUP(A189,'Billing Dimensions'!A:Q,17,FALSE)-VLOOKUP('Audit VAR'!A189,'Audit Dimensions'!A:P,16,FALSE)</f>
        <v>-1970</v>
      </c>
      <c r="Q189" s="148">
        <f t="shared" si="2"/>
        <v>-6.4023399415014628E-2</v>
      </c>
    </row>
    <row r="190" spans="1:17" ht="14.45" customHeight="1">
      <c r="A190" s="58" t="str">
        <f>'Audit Dimensions'!A190</f>
        <v>SR-BKN-2</v>
      </c>
      <c r="B190" s="2" t="str">
        <f>VLOOKUP(A190,'Billing Dimensions'!A:B,2,FALSE)</f>
        <v>SB</v>
      </c>
      <c r="C190" s="59">
        <f>VLOOKUP(A190,'Billing Dimensions'!$A:$N,3,FALSE)-VLOOKUP(A190,'Audit Dimensions'!$A:$N,3,FALSE)</f>
        <v>0</v>
      </c>
      <c r="D190" s="59">
        <f>VLOOKUP(A190,'Billing Dimensions'!$A:$N,4,FALSE)-VLOOKUP(A190,'Audit Dimensions'!$A:$N,4,FALSE)</f>
        <v>0</v>
      </c>
      <c r="E190" s="59">
        <f>VLOOKUP(A190,'Billing Dimensions'!$A:$N,5,FALSE)-VLOOKUP(A190,'Audit Dimensions'!$A:$N,5,FALSE)</f>
        <v>0</v>
      </c>
      <c r="F190" s="137">
        <f>VLOOKUP(A190,'Billing Dimensions'!$A:$N,6,FALSE)-VLOOKUP(A190,'Audit Dimensions'!$A:$N,6,FALSE)</f>
        <v>-1380</v>
      </c>
      <c r="G190" s="65">
        <f>VLOOKUP(A190,'Billing Dimensions'!$A:$N,7,FALSE)-VLOOKUP(A190,'Audit Dimensions'!$A:$N,7,FALSE)</f>
        <v>0</v>
      </c>
      <c r="H190" s="65">
        <f>VLOOKUP(A190,'Billing Dimensions'!$A:$N,8,FALSE)-VLOOKUP(A190,'Audit Dimensions'!$A:$N,8,FALSE)</f>
        <v>0</v>
      </c>
      <c r="I190" s="65">
        <f>VLOOKUP(A190,'Billing Dimensions'!$A:$N,9,FALSE)-VLOOKUP(A190,'Audit Dimensions'!$A:$N,9,FALSE)</f>
        <v>0</v>
      </c>
      <c r="J190" s="61">
        <f>VLOOKUP(A190,'Billing Dimensions'!$A:$N,10,FALSE)-VLOOKUP(A190,'Audit Dimensions'!$A:$N,10,FALSE)</f>
        <v>0</v>
      </c>
      <c r="K190" s="63">
        <f>VLOOKUP(A190,'Billing Dimensions'!$A:$N,11,FALSE)-VLOOKUP(A190,'Audit Dimensions'!$A:$N,11,FALSE)</f>
        <v>0</v>
      </c>
      <c r="L190" s="63">
        <f>VLOOKUP(A190,'Billing Dimensions'!$A:$N,12,FALSE)-VLOOKUP(A190,'Audit Dimensions'!$A:$N,12,FALSE)</f>
        <v>0</v>
      </c>
      <c r="M190" s="63">
        <f>VLOOKUP(A190,'Billing Dimensions'!$A:$N,13,FALSE)-VLOOKUP(A190,'Audit Dimensions'!$A:$N,13,FALSE)</f>
        <v>0</v>
      </c>
      <c r="N190" s="140">
        <f>VLOOKUP(A190,'Billing Dimensions'!$A:$N,14,FALSE)-VLOOKUP(A190,'Audit Dimensions'!$A:$N,14,FALSE)</f>
        <v>0</v>
      </c>
      <c r="O190" s="145">
        <f>VLOOKUP('Audit VAR'!A190,'Audit Dimensions'!A:P,16,FALSE)</f>
        <v>22080</v>
      </c>
      <c r="P190" s="143">
        <f>VLOOKUP(A190,'Billing Dimensions'!A:Q,17,FALSE)-VLOOKUP('Audit VAR'!A190,'Audit Dimensions'!A:P,16,FALSE)</f>
        <v>-1380</v>
      </c>
      <c r="Q190" s="148">
        <f t="shared" si="2"/>
        <v>-6.25E-2</v>
      </c>
    </row>
    <row r="191" spans="1:17" ht="14.45" customHeight="1">
      <c r="A191" s="58" t="str">
        <f>'Audit Dimensions'!A191</f>
        <v>SB-BNA</v>
      </c>
      <c r="B191" s="2" t="str">
        <f>VLOOKUP(A191,'Billing Dimensions'!A:B,2,FALSE)</f>
        <v>SB</v>
      </c>
      <c r="C191" s="59">
        <f>VLOOKUP(A191,'Billing Dimensions'!$A:$N,3,FALSE)-VLOOKUP(A191,'Audit Dimensions'!$A:$N,3,FALSE)</f>
        <v>0</v>
      </c>
      <c r="D191" s="59">
        <f>VLOOKUP(A191,'Billing Dimensions'!$A:$N,4,FALSE)-VLOOKUP(A191,'Audit Dimensions'!$A:$N,4,FALSE)</f>
        <v>0</v>
      </c>
      <c r="E191" s="59">
        <f>VLOOKUP(A191,'Billing Dimensions'!$A:$N,5,FALSE)-VLOOKUP(A191,'Audit Dimensions'!$A:$N,5,FALSE)</f>
        <v>0</v>
      </c>
      <c r="F191" s="137">
        <f>VLOOKUP(A191,'Billing Dimensions'!$A:$N,6,FALSE)-VLOOKUP(A191,'Audit Dimensions'!$A:$N,6,FALSE)</f>
        <v>-560</v>
      </c>
      <c r="G191" s="65">
        <f>VLOOKUP(A191,'Billing Dimensions'!$A:$N,7,FALSE)-VLOOKUP(A191,'Audit Dimensions'!$A:$N,7,FALSE)</f>
        <v>0</v>
      </c>
      <c r="H191" s="65">
        <f>VLOOKUP(A191,'Billing Dimensions'!$A:$N,8,FALSE)-VLOOKUP(A191,'Audit Dimensions'!$A:$N,8,FALSE)</f>
        <v>0</v>
      </c>
      <c r="I191" s="65">
        <f>VLOOKUP(A191,'Billing Dimensions'!$A:$N,9,FALSE)-VLOOKUP(A191,'Audit Dimensions'!$A:$N,9,FALSE)</f>
        <v>0</v>
      </c>
      <c r="J191" s="61">
        <f>VLOOKUP(A191,'Billing Dimensions'!$A:$N,10,FALSE)-VLOOKUP(A191,'Audit Dimensions'!$A:$N,10,FALSE)</f>
        <v>0</v>
      </c>
      <c r="K191" s="63">
        <f>VLOOKUP(A191,'Billing Dimensions'!$A:$N,11,FALSE)-VLOOKUP(A191,'Audit Dimensions'!$A:$N,11,FALSE)</f>
        <v>0</v>
      </c>
      <c r="L191" s="63">
        <f>VLOOKUP(A191,'Billing Dimensions'!$A:$N,12,FALSE)-VLOOKUP(A191,'Audit Dimensions'!$A:$N,12,FALSE)</f>
        <v>0</v>
      </c>
      <c r="M191" s="63">
        <f>VLOOKUP(A191,'Billing Dimensions'!$A:$N,13,FALSE)-VLOOKUP(A191,'Audit Dimensions'!$A:$N,13,FALSE)</f>
        <v>0</v>
      </c>
      <c r="N191" s="140">
        <f>VLOOKUP(A191,'Billing Dimensions'!$A:$N,14,FALSE)-VLOOKUP(A191,'Audit Dimensions'!$A:$N,14,FALSE)</f>
        <v>0</v>
      </c>
      <c r="O191" s="145">
        <f>VLOOKUP('Audit VAR'!A191,'Audit Dimensions'!A:P,16,FALSE)</f>
        <v>17430</v>
      </c>
      <c r="P191" s="143">
        <f>VLOOKUP(A191,'Billing Dimensions'!A:Q,17,FALSE)-VLOOKUP('Audit VAR'!A191,'Audit Dimensions'!A:P,16,FALSE)</f>
        <v>-560</v>
      </c>
      <c r="Q191" s="148">
        <f t="shared" si="2"/>
        <v>-3.2128514056224897E-2</v>
      </c>
    </row>
    <row r="192" spans="1:17" ht="14.45" customHeight="1">
      <c r="A192" s="58" t="str">
        <f>'Audit Dimensions'!A192</f>
        <v>B-RVB-SN</v>
      </c>
      <c r="B192" s="2" t="str">
        <f>VLOOKUP(A192,'Billing Dimensions'!A:B,2,FALSE)</f>
        <v>MB</v>
      </c>
      <c r="C192" s="59">
        <f>VLOOKUP(A192,'Billing Dimensions'!$A:$N,3,FALSE)-VLOOKUP(A192,'Audit Dimensions'!$A:$N,3,FALSE)</f>
        <v>0</v>
      </c>
      <c r="D192" s="59">
        <f>VLOOKUP(A192,'Billing Dimensions'!$A:$N,4,FALSE)-VLOOKUP(A192,'Audit Dimensions'!$A:$N,4,FALSE)</f>
        <v>0</v>
      </c>
      <c r="E192" s="59">
        <f>VLOOKUP(A192,'Billing Dimensions'!$A:$N,5,FALSE)-VLOOKUP(A192,'Audit Dimensions'!$A:$N,5,FALSE)</f>
        <v>0</v>
      </c>
      <c r="F192" s="137">
        <f>VLOOKUP(A192,'Billing Dimensions'!$A:$N,6,FALSE)-VLOOKUP(A192,'Audit Dimensions'!$A:$N,6,FALSE)</f>
        <v>-1770</v>
      </c>
      <c r="G192" s="65">
        <f>VLOOKUP(A192,'Billing Dimensions'!$A:$N,7,FALSE)-VLOOKUP(A192,'Audit Dimensions'!$A:$N,7,FALSE)</f>
        <v>0</v>
      </c>
      <c r="H192" s="65">
        <f>VLOOKUP(A192,'Billing Dimensions'!$A:$N,8,FALSE)-VLOOKUP(A192,'Audit Dimensions'!$A:$N,8,FALSE)</f>
        <v>0</v>
      </c>
      <c r="I192" s="65">
        <f>VLOOKUP(A192,'Billing Dimensions'!$A:$N,9,FALSE)-VLOOKUP(A192,'Audit Dimensions'!$A:$N,9,FALSE)</f>
        <v>0</v>
      </c>
      <c r="J192" s="61">
        <f>VLOOKUP(A192,'Billing Dimensions'!$A:$N,10,FALSE)-VLOOKUP(A192,'Audit Dimensions'!$A:$N,10,FALSE)</f>
        <v>-1220</v>
      </c>
      <c r="K192" s="63">
        <f>VLOOKUP(A192,'Billing Dimensions'!$A:$N,11,FALSE)-VLOOKUP(A192,'Audit Dimensions'!$A:$N,11,FALSE)</f>
        <v>0</v>
      </c>
      <c r="L192" s="63">
        <f>VLOOKUP(A192,'Billing Dimensions'!$A:$N,12,FALSE)-VLOOKUP(A192,'Audit Dimensions'!$A:$N,12,FALSE)</f>
        <v>0</v>
      </c>
      <c r="M192" s="63">
        <f>VLOOKUP(A192,'Billing Dimensions'!$A:$N,13,FALSE)-VLOOKUP(A192,'Audit Dimensions'!$A:$N,13,FALSE)</f>
        <v>0</v>
      </c>
      <c r="N192" s="140">
        <f>VLOOKUP(A192,'Billing Dimensions'!$A:$N,14,FALSE)-VLOOKUP(A192,'Audit Dimensions'!$A:$N,14,FALSE)</f>
        <v>0</v>
      </c>
      <c r="O192" s="145">
        <f>VLOOKUP('Audit VAR'!A192,'Audit Dimensions'!A:P,16,FALSE)</f>
        <v>47590</v>
      </c>
      <c r="P192" s="143">
        <f>VLOOKUP(A192,'Billing Dimensions'!A:Q,17,FALSE)-VLOOKUP('Audit VAR'!A192,'Audit Dimensions'!A:P,16,FALSE)</f>
        <v>-2990</v>
      </c>
      <c r="Q192" s="148">
        <f t="shared" ref="Q192:Q255" si="3">P192/O192</f>
        <v>-6.2828325278419833E-2</v>
      </c>
    </row>
    <row r="193" spans="1:17" ht="14.45" customHeight="1">
      <c r="A193" s="58" t="str">
        <f>'Audit Dimensions'!A193</f>
        <v>DT-HE-4</v>
      </c>
      <c r="B193" s="2" t="str">
        <f>VLOOKUP(A193,'Billing Dimensions'!A:B,2,FALSE)</f>
        <v>SB</v>
      </c>
      <c r="C193" s="59">
        <f>VLOOKUP(A193,'Billing Dimensions'!$A:$N,3,FALSE)-VLOOKUP(A193,'Audit Dimensions'!$A:$N,3,FALSE)</f>
        <v>0</v>
      </c>
      <c r="D193" s="59">
        <f>VLOOKUP(A193,'Billing Dimensions'!$A:$N,4,FALSE)-VLOOKUP(A193,'Audit Dimensions'!$A:$N,4,FALSE)</f>
        <v>0</v>
      </c>
      <c r="E193" s="59">
        <f>VLOOKUP(A193,'Billing Dimensions'!$A:$N,5,FALSE)-VLOOKUP(A193,'Audit Dimensions'!$A:$N,5,FALSE)</f>
        <v>0</v>
      </c>
      <c r="F193" s="137">
        <f>VLOOKUP(A193,'Billing Dimensions'!$A:$N,6,FALSE)-VLOOKUP(A193,'Audit Dimensions'!$A:$N,6,FALSE)</f>
        <v>-920</v>
      </c>
      <c r="G193" s="65">
        <f>VLOOKUP(A193,'Billing Dimensions'!$A:$N,7,FALSE)-VLOOKUP(A193,'Audit Dimensions'!$A:$N,7,FALSE)</f>
        <v>0</v>
      </c>
      <c r="H193" s="65">
        <f>VLOOKUP(A193,'Billing Dimensions'!$A:$N,8,FALSE)-VLOOKUP(A193,'Audit Dimensions'!$A:$N,8,FALSE)</f>
        <v>0</v>
      </c>
      <c r="I193" s="65">
        <f>VLOOKUP(A193,'Billing Dimensions'!$A:$N,9,FALSE)-VLOOKUP(A193,'Audit Dimensions'!$A:$N,9,FALSE)</f>
        <v>0</v>
      </c>
      <c r="J193" s="61">
        <f>VLOOKUP(A193,'Billing Dimensions'!$A:$N,10,FALSE)-VLOOKUP(A193,'Audit Dimensions'!$A:$N,10,FALSE)</f>
        <v>0</v>
      </c>
      <c r="K193" s="63">
        <f>VLOOKUP(A193,'Billing Dimensions'!$A:$N,11,FALSE)-VLOOKUP(A193,'Audit Dimensions'!$A:$N,11,FALSE)</f>
        <v>0</v>
      </c>
      <c r="L193" s="63">
        <f>VLOOKUP(A193,'Billing Dimensions'!$A:$N,12,FALSE)-VLOOKUP(A193,'Audit Dimensions'!$A:$N,12,FALSE)</f>
        <v>0</v>
      </c>
      <c r="M193" s="63">
        <f>VLOOKUP(A193,'Billing Dimensions'!$A:$N,13,FALSE)-VLOOKUP(A193,'Audit Dimensions'!$A:$N,13,FALSE)</f>
        <v>0</v>
      </c>
      <c r="N193" s="140">
        <f>VLOOKUP(A193,'Billing Dimensions'!$A:$N,14,FALSE)-VLOOKUP(A193,'Audit Dimensions'!$A:$N,14,FALSE)</f>
        <v>0</v>
      </c>
      <c r="O193" s="145">
        <f>VLOOKUP('Audit VAR'!A193,'Audit Dimensions'!A:P,16,FALSE)</f>
        <v>17720</v>
      </c>
      <c r="P193" s="143">
        <f>VLOOKUP(A193,'Billing Dimensions'!A:Q,17,FALSE)-VLOOKUP('Audit VAR'!A193,'Audit Dimensions'!A:P,16,FALSE)</f>
        <v>-920</v>
      </c>
      <c r="Q193" s="148">
        <f t="shared" si="3"/>
        <v>-5.1918735891647853E-2</v>
      </c>
    </row>
    <row r="194" spans="1:17" ht="14.45" customHeight="1">
      <c r="A194" s="58" t="str">
        <f>'Audit Dimensions'!A194</f>
        <v>S-GRB</v>
      </c>
      <c r="B194" s="2" t="str">
        <f>VLOOKUP(A194,'Billing Dimensions'!A:B,2,FALSE)</f>
        <v>SB</v>
      </c>
      <c r="C194" s="59">
        <f>VLOOKUP(A194,'Billing Dimensions'!$A:$N,3,FALSE)-VLOOKUP(A194,'Audit Dimensions'!$A:$N,3,FALSE)</f>
        <v>0</v>
      </c>
      <c r="D194" s="59">
        <f>VLOOKUP(A194,'Billing Dimensions'!$A:$N,4,FALSE)-VLOOKUP(A194,'Audit Dimensions'!$A:$N,4,FALSE)</f>
        <v>0</v>
      </c>
      <c r="E194" s="59">
        <f>VLOOKUP(A194,'Billing Dimensions'!$A:$N,5,FALSE)-VLOOKUP(A194,'Audit Dimensions'!$A:$N,5,FALSE)</f>
        <v>0</v>
      </c>
      <c r="F194" s="137">
        <f>VLOOKUP(A194,'Billing Dimensions'!$A:$N,6,FALSE)-VLOOKUP(A194,'Audit Dimensions'!$A:$N,6,FALSE)</f>
        <v>0</v>
      </c>
      <c r="G194" s="65">
        <f>VLOOKUP(A194,'Billing Dimensions'!$A:$N,7,FALSE)-VLOOKUP(A194,'Audit Dimensions'!$A:$N,7,FALSE)</f>
        <v>0</v>
      </c>
      <c r="H194" s="65">
        <f>VLOOKUP(A194,'Billing Dimensions'!$A:$N,8,FALSE)-VLOOKUP(A194,'Audit Dimensions'!$A:$N,8,FALSE)</f>
        <v>0</v>
      </c>
      <c r="I194" s="65">
        <f>VLOOKUP(A194,'Billing Dimensions'!$A:$N,9,FALSE)-VLOOKUP(A194,'Audit Dimensions'!$A:$N,9,FALSE)</f>
        <v>0</v>
      </c>
      <c r="J194" s="61">
        <f>VLOOKUP(A194,'Billing Dimensions'!$A:$N,10,FALSE)-VLOOKUP(A194,'Audit Dimensions'!$A:$N,10,FALSE)</f>
        <v>0</v>
      </c>
      <c r="K194" s="63">
        <f>VLOOKUP(A194,'Billing Dimensions'!$A:$N,11,FALSE)-VLOOKUP(A194,'Audit Dimensions'!$A:$N,11,FALSE)</f>
        <v>0</v>
      </c>
      <c r="L194" s="63">
        <f>VLOOKUP(A194,'Billing Dimensions'!$A:$N,12,FALSE)-VLOOKUP(A194,'Audit Dimensions'!$A:$N,12,FALSE)</f>
        <v>0</v>
      </c>
      <c r="M194" s="63">
        <f>VLOOKUP(A194,'Billing Dimensions'!$A:$N,13,FALSE)-VLOOKUP(A194,'Audit Dimensions'!$A:$N,13,FALSE)</f>
        <v>0</v>
      </c>
      <c r="N194" s="140">
        <f>VLOOKUP(A194,'Billing Dimensions'!$A:$N,14,FALSE)-VLOOKUP(A194,'Audit Dimensions'!$A:$N,14,FALSE)</f>
        <v>0</v>
      </c>
      <c r="O194" s="145">
        <f>VLOOKUP('Audit VAR'!A194,'Audit Dimensions'!A:P,16,FALSE)</f>
        <v>4850</v>
      </c>
      <c r="P194" s="143">
        <f>VLOOKUP(A194,'Billing Dimensions'!A:Q,17,FALSE)-VLOOKUP('Audit VAR'!A194,'Audit Dimensions'!A:P,16,FALSE)</f>
        <v>0</v>
      </c>
      <c r="Q194" s="148">
        <f t="shared" si="3"/>
        <v>0</v>
      </c>
    </row>
    <row r="195" spans="1:17" ht="14.45" customHeight="1">
      <c r="A195" s="58" t="str">
        <f>'Audit Dimensions'!A195</f>
        <v>TU-RWT-M</v>
      </c>
      <c r="B195" s="2" t="str">
        <f>VLOOKUP(A195,'Billing Dimensions'!A:B,2,FALSE)</f>
        <v>SB</v>
      </c>
      <c r="C195" s="59">
        <f>VLOOKUP(A195,'Billing Dimensions'!$A:$N,3,FALSE)-VLOOKUP(A195,'Audit Dimensions'!$A:$N,3,FALSE)</f>
        <v>0</v>
      </c>
      <c r="D195" s="59">
        <f>VLOOKUP(A195,'Billing Dimensions'!$A:$N,4,FALSE)-VLOOKUP(A195,'Audit Dimensions'!$A:$N,4,FALSE)</f>
        <v>0</v>
      </c>
      <c r="E195" s="59">
        <f>VLOOKUP(A195,'Billing Dimensions'!$A:$N,5,FALSE)-VLOOKUP(A195,'Audit Dimensions'!$A:$N,5,FALSE)</f>
        <v>0</v>
      </c>
      <c r="F195" s="137">
        <f>VLOOKUP(A195,'Billing Dimensions'!$A:$N,6,FALSE)-VLOOKUP(A195,'Audit Dimensions'!$A:$N,6,FALSE)</f>
        <v>-3450</v>
      </c>
      <c r="G195" s="65">
        <f>VLOOKUP(A195,'Billing Dimensions'!$A:$N,7,FALSE)-VLOOKUP(A195,'Audit Dimensions'!$A:$N,7,FALSE)</f>
        <v>0</v>
      </c>
      <c r="H195" s="65">
        <f>VLOOKUP(A195,'Billing Dimensions'!$A:$N,8,FALSE)-VLOOKUP(A195,'Audit Dimensions'!$A:$N,8,FALSE)</f>
        <v>0</v>
      </c>
      <c r="I195" s="65">
        <f>VLOOKUP(A195,'Billing Dimensions'!$A:$N,9,FALSE)-VLOOKUP(A195,'Audit Dimensions'!$A:$N,9,FALSE)</f>
        <v>0</v>
      </c>
      <c r="J195" s="61">
        <f>VLOOKUP(A195,'Billing Dimensions'!$A:$N,10,FALSE)-VLOOKUP(A195,'Audit Dimensions'!$A:$N,10,FALSE)</f>
        <v>0</v>
      </c>
      <c r="K195" s="63">
        <f>VLOOKUP(A195,'Billing Dimensions'!$A:$N,11,FALSE)-VLOOKUP(A195,'Audit Dimensions'!$A:$N,11,FALSE)</f>
        <v>0</v>
      </c>
      <c r="L195" s="63">
        <f>VLOOKUP(A195,'Billing Dimensions'!$A:$N,12,FALSE)-VLOOKUP(A195,'Audit Dimensions'!$A:$N,12,FALSE)</f>
        <v>0</v>
      </c>
      <c r="M195" s="63">
        <f>VLOOKUP(A195,'Billing Dimensions'!$A:$N,13,FALSE)-VLOOKUP(A195,'Audit Dimensions'!$A:$N,13,FALSE)</f>
        <v>0</v>
      </c>
      <c r="N195" s="140">
        <f>VLOOKUP(A195,'Billing Dimensions'!$A:$N,14,FALSE)-VLOOKUP(A195,'Audit Dimensions'!$A:$N,14,FALSE)</f>
        <v>0</v>
      </c>
      <c r="O195" s="145">
        <f>VLOOKUP('Audit VAR'!A195,'Audit Dimensions'!A:P,16,FALSE)</f>
        <v>42950</v>
      </c>
      <c r="P195" s="143">
        <f>VLOOKUP(A195,'Billing Dimensions'!A:Q,17,FALSE)-VLOOKUP('Audit VAR'!A195,'Audit Dimensions'!A:P,16,FALSE)</f>
        <v>-3450</v>
      </c>
      <c r="Q195" s="148">
        <f t="shared" si="3"/>
        <v>-8.0325960419091971E-2</v>
      </c>
    </row>
    <row r="196" spans="1:17">
      <c r="A196" s="58" t="str">
        <f>'Audit Dimensions'!A196</f>
        <v>B-MLT-KT</v>
      </c>
      <c r="B196" s="2" t="str">
        <f>VLOOKUP(A196,'Billing Dimensions'!A:B,2,FALSE)</f>
        <v>MB</v>
      </c>
      <c r="C196" s="59">
        <f>VLOOKUP(A196,'Billing Dimensions'!$A:$N,3,FALSE)-VLOOKUP(A196,'Audit Dimensions'!$A:$N,3,FALSE)</f>
        <v>0</v>
      </c>
      <c r="D196" s="59">
        <f>VLOOKUP(A196,'Billing Dimensions'!$A:$N,4,FALSE)-VLOOKUP(A196,'Audit Dimensions'!$A:$N,4,FALSE)</f>
        <v>0</v>
      </c>
      <c r="E196" s="59">
        <f>VLOOKUP(A196,'Billing Dimensions'!$A:$N,5,FALSE)-VLOOKUP(A196,'Audit Dimensions'!$A:$N,5,FALSE)</f>
        <v>0</v>
      </c>
      <c r="F196" s="137">
        <f>VLOOKUP(A196,'Billing Dimensions'!$A:$N,6,FALSE)-VLOOKUP(A196,'Audit Dimensions'!$A:$N,6,FALSE)</f>
        <v>-2730</v>
      </c>
      <c r="G196" s="65">
        <f>VLOOKUP(A196,'Billing Dimensions'!$A:$N,7,FALSE)-VLOOKUP(A196,'Audit Dimensions'!$A:$N,7,FALSE)</f>
        <v>0</v>
      </c>
      <c r="H196" s="65">
        <f>VLOOKUP(A196,'Billing Dimensions'!$A:$N,8,FALSE)-VLOOKUP(A196,'Audit Dimensions'!$A:$N,8,FALSE)</f>
        <v>0</v>
      </c>
      <c r="I196" s="65">
        <f>VLOOKUP(A196,'Billing Dimensions'!$A:$N,9,FALSE)-VLOOKUP(A196,'Audit Dimensions'!$A:$N,9,FALSE)</f>
        <v>0</v>
      </c>
      <c r="J196" s="61">
        <f>VLOOKUP(A196,'Billing Dimensions'!$A:$N,10,FALSE)-VLOOKUP(A196,'Audit Dimensions'!$A:$N,10,FALSE)</f>
        <v>-2000</v>
      </c>
      <c r="K196" s="63">
        <f>VLOOKUP(A196,'Billing Dimensions'!$A:$N,11,FALSE)-VLOOKUP(A196,'Audit Dimensions'!$A:$N,11,FALSE)</f>
        <v>0</v>
      </c>
      <c r="L196" s="63">
        <f>VLOOKUP(A196,'Billing Dimensions'!$A:$N,12,FALSE)-VLOOKUP(A196,'Audit Dimensions'!$A:$N,12,FALSE)</f>
        <v>0</v>
      </c>
      <c r="M196" s="63">
        <f>VLOOKUP(A196,'Billing Dimensions'!$A:$N,13,FALSE)-VLOOKUP(A196,'Audit Dimensions'!$A:$N,13,FALSE)</f>
        <v>0</v>
      </c>
      <c r="N196" s="140">
        <f>VLOOKUP(A196,'Billing Dimensions'!$A:$N,14,FALSE)-VLOOKUP(A196,'Audit Dimensions'!$A:$N,14,FALSE)</f>
        <v>-1400</v>
      </c>
      <c r="O196" s="145">
        <f>VLOOKUP('Audit VAR'!A196,'Audit Dimensions'!A:P,16,FALSE)</f>
        <v>99580</v>
      </c>
      <c r="P196" s="143">
        <f>VLOOKUP(A196,'Billing Dimensions'!A:Q,17,FALSE)-VLOOKUP('Audit VAR'!A196,'Audit Dimensions'!A:P,16,FALSE)</f>
        <v>-6130</v>
      </c>
      <c r="Q196" s="148">
        <f t="shared" si="3"/>
        <v>-6.1558545892749547E-2</v>
      </c>
    </row>
    <row r="197" spans="1:17" ht="14.45" customHeight="1">
      <c r="A197" s="58" t="str">
        <f>'Audit Dimensions'!A197</f>
        <v>TU-PMS-ST</v>
      </c>
      <c r="B197" s="2" t="str">
        <f>VLOOKUP(A197,'Billing Dimensions'!A:B,2,FALSE)</f>
        <v>SB</v>
      </c>
      <c r="C197" s="59">
        <f>VLOOKUP(A197,'Billing Dimensions'!$A:$N,3,FALSE)-VLOOKUP(A197,'Audit Dimensions'!$A:$N,3,FALSE)</f>
        <v>0</v>
      </c>
      <c r="D197" s="59">
        <f>VLOOKUP(A197,'Billing Dimensions'!$A:$N,4,FALSE)-VLOOKUP(A197,'Audit Dimensions'!$A:$N,4,FALSE)</f>
        <v>0</v>
      </c>
      <c r="E197" s="59">
        <f>VLOOKUP(A197,'Billing Dimensions'!$A:$N,5,FALSE)-VLOOKUP(A197,'Audit Dimensions'!$A:$N,5,FALSE)</f>
        <v>0</v>
      </c>
      <c r="F197" s="137">
        <f>VLOOKUP(A197,'Billing Dimensions'!$A:$N,6,FALSE)-VLOOKUP(A197,'Audit Dimensions'!$A:$N,6,FALSE)</f>
        <v>-660</v>
      </c>
      <c r="G197" s="65">
        <f>VLOOKUP(A197,'Billing Dimensions'!$A:$N,7,FALSE)-VLOOKUP(A197,'Audit Dimensions'!$A:$N,7,FALSE)</f>
        <v>0</v>
      </c>
      <c r="H197" s="65">
        <f>VLOOKUP(A197,'Billing Dimensions'!$A:$N,8,FALSE)-VLOOKUP(A197,'Audit Dimensions'!$A:$N,8,FALSE)</f>
        <v>0</v>
      </c>
      <c r="I197" s="65">
        <f>VLOOKUP(A197,'Billing Dimensions'!$A:$N,9,FALSE)-VLOOKUP(A197,'Audit Dimensions'!$A:$N,9,FALSE)</f>
        <v>0</v>
      </c>
      <c r="J197" s="61">
        <f>VLOOKUP(A197,'Billing Dimensions'!$A:$N,10,FALSE)-VLOOKUP(A197,'Audit Dimensions'!$A:$N,10,FALSE)</f>
        <v>0</v>
      </c>
      <c r="K197" s="63">
        <f>VLOOKUP(A197,'Billing Dimensions'!$A:$N,11,FALSE)-VLOOKUP(A197,'Audit Dimensions'!$A:$N,11,FALSE)</f>
        <v>0</v>
      </c>
      <c r="L197" s="63">
        <f>VLOOKUP(A197,'Billing Dimensions'!$A:$N,12,FALSE)-VLOOKUP(A197,'Audit Dimensions'!$A:$N,12,FALSE)</f>
        <v>0</v>
      </c>
      <c r="M197" s="63">
        <f>VLOOKUP(A197,'Billing Dimensions'!$A:$N,13,FALSE)-VLOOKUP(A197,'Audit Dimensions'!$A:$N,13,FALSE)</f>
        <v>0</v>
      </c>
      <c r="N197" s="140">
        <f>VLOOKUP(A197,'Billing Dimensions'!$A:$N,14,FALSE)-VLOOKUP(A197,'Audit Dimensions'!$A:$N,14,FALSE)</f>
        <v>0</v>
      </c>
      <c r="O197" s="145">
        <f>VLOOKUP('Audit VAR'!A197,'Audit Dimensions'!A:P,16,FALSE)</f>
        <v>8460</v>
      </c>
      <c r="P197" s="143">
        <f>VLOOKUP(A197,'Billing Dimensions'!A:Q,17,FALSE)-VLOOKUP('Audit VAR'!A197,'Audit Dimensions'!A:P,16,FALSE)</f>
        <v>-660</v>
      </c>
      <c r="Q197" s="148">
        <f t="shared" si="3"/>
        <v>-7.8014184397163122E-2</v>
      </c>
    </row>
    <row r="198" spans="1:17">
      <c r="A198" s="58" t="str">
        <f>'Audit Dimensions'!A198</f>
        <v>TU-RE-LA</v>
      </c>
      <c r="B198" s="2" t="str">
        <f>VLOOKUP(A198,'Billing Dimensions'!A:B,2,FALSE)</f>
        <v>SB</v>
      </c>
      <c r="C198" s="59">
        <f>VLOOKUP(A198,'Billing Dimensions'!$A:$N,3,FALSE)-VLOOKUP(A198,'Audit Dimensions'!$A:$N,3,FALSE)</f>
        <v>0</v>
      </c>
      <c r="D198" s="59">
        <f>VLOOKUP(A198,'Billing Dimensions'!$A:$N,4,FALSE)-VLOOKUP(A198,'Audit Dimensions'!$A:$N,4,FALSE)</f>
        <v>0</v>
      </c>
      <c r="E198" s="59">
        <f>VLOOKUP(A198,'Billing Dimensions'!$A:$N,5,FALSE)-VLOOKUP(A198,'Audit Dimensions'!$A:$N,5,FALSE)</f>
        <v>0</v>
      </c>
      <c r="F198" s="137">
        <f>VLOOKUP(A198,'Billing Dimensions'!$A:$N,6,FALSE)-VLOOKUP(A198,'Audit Dimensions'!$A:$N,6,FALSE)</f>
        <v>-1250</v>
      </c>
      <c r="G198" s="65">
        <f>VLOOKUP(A198,'Billing Dimensions'!$A:$N,7,FALSE)-VLOOKUP(A198,'Audit Dimensions'!$A:$N,7,FALSE)</f>
        <v>0</v>
      </c>
      <c r="H198" s="65">
        <f>VLOOKUP(A198,'Billing Dimensions'!$A:$N,8,FALSE)-VLOOKUP(A198,'Audit Dimensions'!$A:$N,8,FALSE)</f>
        <v>0</v>
      </c>
      <c r="I198" s="65">
        <f>VLOOKUP(A198,'Billing Dimensions'!$A:$N,9,FALSE)-VLOOKUP(A198,'Audit Dimensions'!$A:$N,9,FALSE)</f>
        <v>0</v>
      </c>
      <c r="J198" s="61">
        <f>VLOOKUP(A198,'Billing Dimensions'!$A:$N,10,FALSE)-VLOOKUP(A198,'Audit Dimensions'!$A:$N,10,FALSE)</f>
        <v>0</v>
      </c>
      <c r="K198" s="63">
        <f>VLOOKUP(A198,'Billing Dimensions'!$A:$N,11,FALSE)-VLOOKUP(A198,'Audit Dimensions'!$A:$N,11,FALSE)</f>
        <v>0</v>
      </c>
      <c r="L198" s="63">
        <f>VLOOKUP(A198,'Billing Dimensions'!$A:$N,12,FALSE)-VLOOKUP(A198,'Audit Dimensions'!$A:$N,12,FALSE)</f>
        <v>0</v>
      </c>
      <c r="M198" s="63">
        <f>VLOOKUP(A198,'Billing Dimensions'!$A:$N,13,FALSE)-VLOOKUP(A198,'Audit Dimensions'!$A:$N,13,FALSE)</f>
        <v>0</v>
      </c>
      <c r="N198" s="140">
        <f>VLOOKUP(A198,'Billing Dimensions'!$A:$N,14,FALSE)-VLOOKUP(A198,'Audit Dimensions'!$A:$N,14,FALSE)</f>
        <v>0</v>
      </c>
      <c r="O198" s="145">
        <f>VLOOKUP('Audit VAR'!A198,'Audit Dimensions'!A:P,16,FALSE)</f>
        <v>14050</v>
      </c>
      <c r="P198" s="143">
        <f>VLOOKUP(A198,'Billing Dimensions'!A:Q,17,FALSE)-VLOOKUP('Audit VAR'!A198,'Audit Dimensions'!A:P,16,FALSE)</f>
        <v>-1250</v>
      </c>
      <c r="Q198" s="148">
        <f t="shared" si="3"/>
        <v>-8.8967971530249115E-2</v>
      </c>
    </row>
    <row r="199" spans="1:17">
      <c r="A199" s="58" t="str">
        <f>'Audit Dimensions'!A199</f>
        <v>B-RVB-QN</v>
      </c>
      <c r="B199" s="2" t="str">
        <f>VLOOKUP(A199,'Billing Dimensions'!A:B,2,FALSE)</f>
        <v>MB</v>
      </c>
      <c r="C199" s="59">
        <f>VLOOKUP(A199,'Billing Dimensions'!$A:$N,3,FALSE)-VLOOKUP(A199,'Audit Dimensions'!$A:$N,3,FALSE)</f>
        <v>0</v>
      </c>
      <c r="D199" s="59">
        <f>VLOOKUP(A199,'Billing Dimensions'!$A:$N,4,FALSE)-VLOOKUP(A199,'Audit Dimensions'!$A:$N,4,FALSE)</f>
        <v>0</v>
      </c>
      <c r="E199" s="59">
        <f>VLOOKUP(A199,'Billing Dimensions'!$A:$N,5,FALSE)-VLOOKUP(A199,'Audit Dimensions'!$A:$N,5,FALSE)</f>
        <v>0</v>
      </c>
      <c r="F199" s="137">
        <f>VLOOKUP(A199,'Billing Dimensions'!$A:$N,6,FALSE)-VLOOKUP(A199,'Audit Dimensions'!$A:$N,6,FALSE)</f>
        <v>-2730</v>
      </c>
      <c r="G199" s="65">
        <f>VLOOKUP(A199,'Billing Dimensions'!$A:$N,7,FALSE)-VLOOKUP(A199,'Audit Dimensions'!$A:$N,7,FALSE)</f>
        <v>0</v>
      </c>
      <c r="H199" s="65">
        <f>VLOOKUP(A199,'Billing Dimensions'!$A:$N,8,FALSE)-VLOOKUP(A199,'Audit Dimensions'!$A:$N,8,FALSE)</f>
        <v>0</v>
      </c>
      <c r="I199" s="65">
        <f>VLOOKUP(A199,'Billing Dimensions'!$A:$N,9,FALSE)-VLOOKUP(A199,'Audit Dimensions'!$A:$N,9,FALSE)</f>
        <v>0</v>
      </c>
      <c r="J199" s="61">
        <f>VLOOKUP(A199,'Billing Dimensions'!$A:$N,10,FALSE)-VLOOKUP(A199,'Audit Dimensions'!$A:$N,10,FALSE)</f>
        <v>-1320</v>
      </c>
      <c r="K199" s="63">
        <f>VLOOKUP(A199,'Billing Dimensions'!$A:$N,11,FALSE)-VLOOKUP(A199,'Audit Dimensions'!$A:$N,11,FALSE)</f>
        <v>0</v>
      </c>
      <c r="L199" s="63">
        <f>VLOOKUP(A199,'Billing Dimensions'!$A:$N,12,FALSE)-VLOOKUP(A199,'Audit Dimensions'!$A:$N,12,FALSE)</f>
        <v>0</v>
      </c>
      <c r="M199" s="63">
        <f>VLOOKUP(A199,'Billing Dimensions'!$A:$N,13,FALSE)-VLOOKUP(A199,'Audit Dimensions'!$A:$N,13,FALSE)</f>
        <v>0</v>
      </c>
      <c r="N199" s="140">
        <f>VLOOKUP(A199,'Billing Dimensions'!$A:$N,14,FALSE)-VLOOKUP(A199,'Audit Dimensions'!$A:$N,14,FALSE)</f>
        <v>0</v>
      </c>
      <c r="O199" s="145">
        <f>VLOOKUP('Audit VAR'!A199,'Audit Dimensions'!A:P,16,FALSE)</f>
        <v>65250</v>
      </c>
      <c r="P199" s="143">
        <f>VLOOKUP(A199,'Billing Dimensions'!A:Q,17,FALSE)-VLOOKUP('Audit VAR'!A199,'Audit Dimensions'!A:P,16,FALSE)</f>
        <v>-4050</v>
      </c>
      <c r="Q199" s="148">
        <f t="shared" si="3"/>
        <v>-6.2068965517241378E-2</v>
      </c>
    </row>
    <row r="200" spans="1:17">
      <c r="A200" s="58" t="str">
        <f>'Audit Dimensions'!A200</f>
        <v>CT-OL</v>
      </c>
      <c r="B200" s="2" t="str">
        <f>VLOOKUP(A200,'Billing Dimensions'!A:B,2,FALSE)</f>
        <v>SB</v>
      </c>
      <c r="C200" s="59">
        <f>VLOOKUP(A200,'Billing Dimensions'!$A:$N,3,FALSE)-VLOOKUP(A200,'Audit Dimensions'!$A:$N,3,FALSE)</f>
        <v>0</v>
      </c>
      <c r="D200" s="59">
        <f>VLOOKUP(A200,'Billing Dimensions'!$A:$N,4,FALSE)-VLOOKUP(A200,'Audit Dimensions'!$A:$N,4,FALSE)</f>
        <v>0</v>
      </c>
      <c r="E200" s="59">
        <f>VLOOKUP(A200,'Billing Dimensions'!$A:$N,5,FALSE)-VLOOKUP(A200,'Audit Dimensions'!$A:$N,5,FALSE)</f>
        <v>0</v>
      </c>
      <c r="F200" s="137">
        <f>VLOOKUP(A200,'Billing Dimensions'!$A:$N,6,FALSE)-VLOOKUP(A200,'Audit Dimensions'!$A:$N,6,FALSE)</f>
        <v>-530</v>
      </c>
      <c r="G200" s="65">
        <f>VLOOKUP(A200,'Billing Dimensions'!$A:$N,7,FALSE)-VLOOKUP(A200,'Audit Dimensions'!$A:$N,7,FALSE)</f>
        <v>0</v>
      </c>
      <c r="H200" s="65">
        <f>VLOOKUP(A200,'Billing Dimensions'!$A:$N,8,FALSE)-VLOOKUP(A200,'Audit Dimensions'!$A:$N,8,FALSE)</f>
        <v>0</v>
      </c>
      <c r="I200" s="65">
        <f>VLOOKUP(A200,'Billing Dimensions'!$A:$N,9,FALSE)-VLOOKUP(A200,'Audit Dimensions'!$A:$N,9,FALSE)</f>
        <v>0</v>
      </c>
      <c r="J200" s="61">
        <f>VLOOKUP(A200,'Billing Dimensions'!$A:$N,10,FALSE)-VLOOKUP(A200,'Audit Dimensions'!$A:$N,10,FALSE)</f>
        <v>0</v>
      </c>
      <c r="K200" s="63">
        <f>VLOOKUP(A200,'Billing Dimensions'!$A:$N,11,FALSE)-VLOOKUP(A200,'Audit Dimensions'!$A:$N,11,FALSE)</f>
        <v>0</v>
      </c>
      <c r="L200" s="63">
        <f>VLOOKUP(A200,'Billing Dimensions'!$A:$N,12,FALSE)-VLOOKUP(A200,'Audit Dimensions'!$A:$N,12,FALSE)</f>
        <v>0</v>
      </c>
      <c r="M200" s="63">
        <f>VLOOKUP(A200,'Billing Dimensions'!$A:$N,13,FALSE)-VLOOKUP(A200,'Audit Dimensions'!$A:$N,13,FALSE)</f>
        <v>0</v>
      </c>
      <c r="N200" s="140">
        <f>VLOOKUP(A200,'Billing Dimensions'!$A:$N,14,FALSE)-VLOOKUP(A200,'Audit Dimensions'!$A:$N,14,FALSE)</f>
        <v>0</v>
      </c>
      <c r="O200" s="145">
        <f>VLOOKUP('Audit VAR'!A200,'Audit Dimensions'!A:P,16,FALSE)</f>
        <v>11400</v>
      </c>
      <c r="P200" s="143">
        <f>VLOOKUP(A200,'Billing Dimensions'!A:Q,17,FALSE)-VLOOKUP('Audit VAR'!A200,'Audit Dimensions'!A:P,16,FALSE)</f>
        <v>-530</v>
      </c>
      <c r="Q200" s="148">
        <f t="shared" si="3"/>
        <v>-4.6491228070175437E-2</v>
      </c>
    </row>
    <row r="201" spans="1:17">
      <c r="A201" s="58" t="str">
        <f>'Audit Dimensions'!A201</f>
        <v>FT-EDR</v>
      </c>
      <c r="B201" s="2" t="str">
        <f>VLOOKUP(A201,'Billing Dimensions'!A:B,2,FALSE)</f>
        <v>SB</v>
      </c>
      <c r="C201" s="59">
        <f>VLOOKUP(A201,'Billing Dimensions'!$A:$N,3,FALSE)-VLOOKUP(A201,'Audit Dimensions'!$A:$N,3,FALSE)</f>
        <v>0</v>
      </c>
      <c r="D201" s="59">
        <f>VLOOKUP(A201,'Billing Dimensions'!$A:$N,4,FALSE)-VLOOKUP(A201,'Audit Dimensions'!$A:$N,4,FALSE)</f>
        <v>0</v>
      </c>
      <c r="E201" s="59">
        <f>VLOOKUP(A201,'Billing Dimensions'!$A:$N,5,FALSE)-VLOOKUP(A201,'Audit Dimensions'!$A:$N,5,FALSE)</f>
        <v>0</v>
      </c>
      <c r="F201" s="137">
        <f>VLOOKUP(A201,'Billing Dimensions'!$A:$N,6,FALSE)-VLOOKUP(A201,'Audit Dimensions'!$A:$N,6,FALSE)</f>
        <v>-50</v>
      </c>
      <c r="G201" s="65">
        <f>VLOOKUP(A201,'Billing Dimensions'!$A:$N,7,FALSE)-VLOOKUP(A201,'Audit Dimensions'!$A:$N,7,FALSE)</f>
        <v>0</v>
      </c>
      <c r="H201" s="65">
        <f>VLOOKUP(A201,'Billing Dimensions'!$A:$N,8,FALSE)-VLOOKUP(A201,'Audit Dimensions'!$A:$N,8,FALSE)</f>
        <v>0</v>
      </c>
      <c r="I201" s="65">
        <f>VLOOKUP(A201,'Billing Dimensions'!$A:$N,9,FALSE)-VLOOKUP(A201,'Audit Dimensions'!$A:$N,9,FALSE)</f>
        <v>0</v>
      </c>
      <c r="J201" s="61">
        <f>VLOOKUP(A201,'Billing Dimensions'!$A:$N,10,FALSE)-VLOOKUP(A201,'Audit Dimensions'!$A:$N,10,FALSE)</f>
        <v>0</v>
      </c>
      <c r="K201" s="63">
        <f>VLOOKUP(A201,'Billing Dimensions'!$A:$N,11,FALSE)-VLOOKUP(A201,'Audit Dimensions'!$A:$N,11,FALSE)</f>
        <v>0</v>
      </c>
      <c r="L201" s="63">
        <f>VLOOKUP(A201,'Billing Dimensions'!$A:$N,12,FALSE)-VLOOKUP(A201,'Audit Dimensions'!$A:$N,12,FALSE)</f>
        <v>0</v>
      </c>
      <c r="M201" s="63">
        <f>VLOOKUP(A201,'Billing Dimensions'!$A:$N,13,FALSE)-VLOOKUP(A201,'Audit Dimensions'!$A:$N,13,FALSE)</f>
        <v>0</v>
      </c>
      <c r="N201" s="140">
        <f>VLOOKUP(A201,'Billing Dimensions'!$A:$N,14,FALSE)-VLOOKUP(A201,'Audit Dimensions'!$A:$N,14,FALSE)</f>
        <v>0</v>
      </c>
      <c r="O201" s="145">
        <f>VLOOKUP('Audit VAR'!A201,'Audit Dimensions'!A:P,16,FALSE)</f>
        <v>8900</v>
      </c>
      <c r="P201" s="143">
        <f>VLOOKUP(A201,'Billing Dimensions'!A:Q,17,FALSE)-VLOOKUP('Audit VAR'!A201,'Audit Dimensions'!A:P,16,FALSE)</f>
        <v>-50</v>
      </c>
      <c r="Q201" s="148">
        <f t="shared" si="3"/>
        <v>-5.6179775280898875E-3</v>
      </c>
    </row>
    <row r="202" spans="1:17">
      <c r="A202" s="58" t="str">
        <f>'Audit Dimensions'!A202</f>
        <v>SB-MPL</v>
      </c>
      <c r="B202" s="2" t="str">
        <f>VLOOKUP(A202,'Billing Dimensions'!A:B,2,FALSE)</f>
        <v>SB</v>
      </c>
      <c r="C202" s="59">
        <f>VLOOKUP(A202,'Billing Dimensions'!$A:$N,3,FALSE)-VLOOKUP(A202,'Audit Dimensions'!$A:$N,3,FALSE)</f>
        <v>0</v>
      </c>
      <c r="D202" s="59">
        <f>VLOOKUP(A202,'Billing Dimensions'!$A:$N,4,FALSE)-VLOOKUP(A202,'Audit Dimensions'!$A:$N,4,FALSE)</f>
        <v>0</v>
      </c>
      <c r="E202" s="59">
        <f>VLOOKUP(A202,'Billing Dimensions'!$A:$N,5,FALSE)-VLOOKUP(A202,'Audit Dimensions'!$A:$N,5,FALSE)</f>
        <v>0</v>
      </c>
      <c r="F202" s="137">
        <f>VLOOKUP(A202,'Billing Dimensions'!$A:$N,6,FALSE)-VLOOKUP(A202,'Audit Dimensions'!$A:$N,6,FALSE)</f>
        <v>-740</v>
      </c>
      <c r="G202" s="65">
        <f>VLOOKUP(A202,'Billing Dimensions'!$A:$N,7,FALSE)-VLOOKUP(A202,'Audit Dimensions'!$A:$N,7,FALSE)</f>
        <v>0</v>
      </c>
      <c r="H202" s="65">
        <f>VLOOKUP(A202,'Billing Dimensions'!$A:$N,8,FALSE)-VLOOKUP(A202,'Audit Dimensions'!$A:$N,8,FALSE)</f>
        <v>0</v>
      </c>
      <c r="I202" s="65">
        <f>VLOOKUP(A202,'Billing Dimensions'!$A:$N,9,FALSE)-VLOOKUP(A202,'Audit Dimensions'!$A:$N,9,FALSE)</f>
        <v>0</v>
      </c>
      <c r="J202" s="61">
        <f>VLOOKUP(A202,'Billing Dimensions'!$A:$N,10,FALSE)-VLOOKUP(A202,'Audit Dimensions'!$A:$N,10,FALSE)</f>
        <v>0</v>
      </c>
      <c r="K202" s="63">
        <f>VLOOKUP(A202,'Billing Dimensions'!$A:$N,11,FALSE)-VLOOKUP(A202,'Audit Dimensions'!$A:$N,11,FALSE)</f>
        <v>0</v>
      </c>
      <c r="L202" s="63">
        <f>VLOOKUP(A202,'Billing Dimensions'!$A:$N,12,FALSE)-VLOOKUP(A202,'Audit Dimensions'!$A:$N,12,FALSE)</f>
        <v>0</v>
      </c>
      <c r="M202" s="63">
        <f>VLOOKUP(A202,'Billing Dimensions'!$A:$N,13,FALSE)-VLOOKUP(A202,'Audit Dimensions'!$A:$N,13,FALSE)</f>
        <v>0</v>
      </c>
      <c r="N202" s="140">
        <f>VLOOKUP(A202,'Billing Dimensions'!$A:$N,14,FALSE)-VLOOKUP(A202,'Audit Dimensions'!$A:$N,14,FALSE)</f>
        <v>0</v>
      </c>
      <c r="O202" s="145">
        <f>VLOOKUP('Audit VAR'!A202,'Audit Dimensions'!A:P,16,FALSE)</f>
        <v>6640</v>
      </c>
      <c r="P202" s="143">
        <f>VLOOKUP(A202,'Billing Dimensions'!A:Q,17,FALSE)-VLOOKUP('Audit VAR'!A202,'Audit Dimensions'!A:P,16,FALSE)</f>
        <v>-740</v>
      </c>
      <c r="Q202" s="148">
        <f t="shared" si="3"/>
        <v>-0.11144578313253012</v>
      </c>
    </row>
    <row r="203" spans="1:17">
      <c r="A203" s="58" t="str">
        <f>'Audit Dimensions'!A203</f>
        <v>DC-MYN-ST</v>
      </c>
      <c r="B203" s="2" t="str">
        <f>VLOOKUP(A203,'Billing Dimensions'!A:B,2,FALSE)</f>
        <v>SB</v>
      </c>
      <c r="C203" s="59">
        <f>VLOOKUP(A203,'Billing Dimensions'!$A:$N,3,FALSE)-VLOOKUP(A203,'Audit Dimensions'!$A:$N,3,FALSE)</f>
        <v>0</v>
      </c>
      <c r="D203" s="59">
        <f>VLOOKUP(A203,'Billing Dimensions'!$A:$N,4,FALSE)-VLOOKUP(A203,'Audit Dimensions'!$A:$N,4,FALSE)</f>
        <v>0</v>
      </c>
      <c r="E203" s="59">
        <f>VLOOKUP(A203,'Billing Dimensions'!$A:$N,5,FALSE)-VLOOKUP(A203,'Audit Dimensions'!$A:$N,5,FALSE)</f>
        <v>0</v>
      </c>
      <c r="F203" s="137">
        <f>VLOOKUP(A203,'Billing Dimensions'!$A:$N,6,FALSE)-VLOOKUP(A203,'Audit Dimensions'!$A:$N,6,FALSE)</f>
        <v>-3020</v>
      </c>
      <c r="G203" s="65">
        <f>VLOOKUP(A203,'Billing Dimensions'!$A:$N,7,FALSE)-VLOOKUP(A203,'Audit Dimensions'!$A:$N,7,FALSE)</f>
        <v>0</v>
      </c>
      <c r="H203" s="65">
        <f>VLOOKUP(A203,'Billing Dimensions'!$A:$N,8,FALSE)-VLOOKUP(A203,'Audit Dimensions'!$A:$N,8,FALSE)</f>
        <v>0</v>
      </c>
      <c r="I203" s="65">
        <f>VLOOKUP(A203,'Billing Dimensions'!$A:$N,9,FALSE)-VLOOKUP(A203,'Audit Dimensions'!$A:$N,9,FALSE)</f>
        <v>0</v>
      </c>
      <c r="J203" s="61">
        <f>VLOOKUP(A203,'Billing Dimensions'!$A:$N,10,FALSE)-VLOOKUP(A203,'Audit Dimensions'!$A:$N,10,FALSE)</f>
        <v>0</v>
      </c>
      <c r="K203" s="63">
        <f>VLOOKUP(A203,'Billing Dimensions'!$A:$N,11,FALSE)-VLOOKUP(A203,'Audit Dimensions'!$A:$N,11,FALSE)</f>
        <v>0</v>
      </c>
      <c r="L203" s="63">
        <f>VLOOKUP(A203,'Billing Dimensions'!$A:$N,12,FALSE)-VLOOKUP(A203,'Audit Dimensions'!$A:$N,12,FALSE)</f>
        <v>0</v>
      </c>
      <c r="M203" s="63">
        <f>VLOOKUP(A203,'Billing Dimensions'!$A:$N,13,FALSE)-VLOOKUP(A203,'Audit Dimensions'!$A:$N,13,FALSE)</f>
        <v>0</v>
      </c>
      <c r="N203" s="140">
        <f>VLOOKUP(A203,'Billing Dimensions'!$A:$N,14,FALSE)-VLOOKUP(A203,'Audit Dimensions'!$A:$N,14,FALSE)</f>
        <v>0</v>
      </c>
      <c r="O203" s="145">
        <f>VLOOKUP('Audit VAR'!A203,'Audit Dimensions'!A:P,16,FALSE)</f>
        <v>39520</v>
      </c>
      <c r="P203" s="143">
        <f>VLOOKUP(A203,'Billing Dimensions'!A:Q,17,FALSE)-VLOOKUP('Audit VAR'!A203,'Audit Dimensions'!A:P,16,FALSE)</f>
        <v>-3020</v>
      </c>
      <c r="Q203" s="148">
        <f t="shared" si="3"/>
        <v>-7.6417004048582995E-2</v>
      </c>
    </row>
    <row r="204" spans="1:17">
      <c r="A204" s="58" t="str">
        <f>'Audit Dimensions'!A204</f>
        <v>PU-SDI-ST</v>
      </c>
      <c r="B204" s="2" t="str">
        <f>VLOOKUP(A204,'Billing Dimensions'!A:B,2,FALSE)</f>
        <v>SB</v>
      </c>
      <c r="C204" s="59">
        <f>VLOOKUP(A204,'Billing Dimensions'!$A:$N,3,FALSE)-VLOOKUP(A204,'Audit Dimensions'!$A:$N,3,FALSE)</f>
        <v>0</v>
      </c>
      <c r="D204" s="59">
        <f>VLOOKUP(A204,'Billing Dimensions'!$A:$N,4,FALSE)-VLOOKUP(A204,'Audit Dimensions'!$A:$N,4,FALSE)</f>
        <v>0</v>
      </c>
      <c r="E204" s="59">
        <f>VLOOKUP(A204,'Billing Dimensions'!$A:$N,5,FALSE)-VLOOKUP(A204,'Audit Dimensions'!$A:$N,5,FALSE)</f>
        <v>0</v>
      </c>
      <c r="F204" s="137">
        <f>VLOOKUP(A204,'Billing Dimensions'!$A:$N,6,FALSE)-VLOOKUP(A204,'Audit Dimensions'!$A:$N,6,FALSE)</f>
        <v>0</v>
      </c>
      <c r="G204" s="65">
        <f>VLOOKUP(A204,'Billing Dimensions'!$A:$N,7,FALSE)-VLOOKUP(A204,'Audit Dimensions'!$A:$N,7,FALSE)</f>
        <v>0</v>
      </c>
      <c r="H204" s="65">
        <f>VLOOKUP(A204,'Billing Dimensions'!$A:$N,8,FALSE)-VLOOKUP(A204,'Audit Dimensions'!$A:$N,8,FALSE)</f>
        <v>0</v>
      </c>
      <c r="I204" s="65">
        <f>VLOOKUP(A204,'Billing Dimensions'!$A:$N,9,FALSE)-VLOOKUP(A204,'Audit Dimensions'!$A:$N,9,FALSE)</f>
        <v>0</v>
      </c>
      <c r="J204" s="61">
        <f>VLOOKUP(A204,'Billing Dimensions'!$A:$N,10,FALSE)-VLOOKUP(A204,'Audit Dimensions'!$A:$N,10,FALSE)</f>
        <v>0</v>
      </c>
      <c r="K204" s="63">
        <f>VLOOKUP(A204,'Billing Dimensions'!$A:$N,11,FALSE)-VLOOKUP(A204,'Audit Dimensions'!$A:$N,11,FALSE)</f>
        <v>0</v>
      </c>
      <c r="L204" s="63">
        <f>VLOOKUP(A204,'Billing Dimensions'!$A:$N,12,FALSE)-VLOOKUP(A204,'Audit Dimensions'!$A:$N,12,FALSE)</f>
        <v>0</v>
      </c>
      <c r="M204" s="63">
        <f>VLOOKUP(A204,'Billing Dimensions'!$A:$N,13,FALSE)-VLOOKUP(A204,'Audit Dimensions'!$A:$N,13,FALSE)</f>
        <v>0</v>
      </c>
      <c r="N204" s="140">
        <f>VLOOKUP(A204,'Billing Dimensions'!$A:$N,14,FALSE)-VLOOKUP(A204,'Audit Dimensions'!$A:$N,14,FALSE)</f>
        <v>0</v>
      </c>
      <c r="O204" s="145">
        <f>VLOOKUP('Audit VAR'!A204,'Audit Dimensions'!A:P,16,FALSE)</f>
        <v>8860</v>
      </c>
      <c r="P204" s="143">
        <f>VLOOKUP(A204,'Billing Dimensions'!A:Q,17,FALSE)-VLOOKUP('Audit VAR'!A204,'Audit Dimensions'!A:P,16,FALSE)</f>
        <v>0</v>
      </c>
      <c r="Q204" s="148">
        <f t="shared" si="3"/>
        <v>0</v>
      </c>
    </row>
    <row r="205" spans="1:17">
      <c r="A205" s="58" t="str">
        <f>'Audit Dimensions'!A205</f>
        <v>TU-ETY-LA</v>
      </c>
      <c r="B205" s="2" t="str">
        <f>VLOOKUP(A205,'Billing Dimensions'!A:B,2,FALSE)</f>
        <v>SB</v>
      </c>
      <c r="C205" s="59">
        <f>VLOOKUP(A205,'Billing Dimensions'!$A:$N,3,FALSE)-VLOOKUP(A205,'Audit Dimensions'!$A:$N,3,FALSE)</f>
        <v>0</v>
      </c>
      <c r="D205" s="59">
        <f>VLOOKUP(A205,'Billing Dimensions'!$A:$N,4,FALSE)-VLOOKUP(A205,'Audit Dimensions'!$A:$N,4,FALSE)</f>
        <v>0</v>
      </c>
      <c r="E205" s="59">
        <f>VLOOKUP(A205,'Billing Dimensions'!$A:$N,5,FALSE)-VLOOKUP(A205,'Audit Dimensions'!$A:$N,5,FALSE)</f>
        <v>0</v>
      </c>
      <c r="F205" s="137">
        <f>VLOOKUP(A205,'Billing Dimensions'!$A:$N,6,FALSE)-VLOOKUP(A205,'Audit Dimensions'!$A:$N,6,FALSE)</f>
        <v>-1180</v>
      </c>
      <c r="G205" s="65">
        <f>VLOOKUP(A205,'Billing Dimensions'!$A:$N,7,FALSE)-VLOOKUP(A205,'Audit Dimensions'!$A:$N,7,FALSE)</f>
        <v>0</v>
      </c>
      <c r="H205" s="65">
        <f>VLOOKUP(A205,'Billing Dimensions'!$A:$N,8,FALSE)-VLOOKUP(A205,'Audit Dimensions'!$A:$N,8,FALSE)</f>
        <v>0</v>
      </c>
      <c r="I205" s="65">
        <f>VLOOKUP(A205,'Billing Dimensions'!$A:$N,9,FALSE)-VLOOKUP(A205,'Audit Dimensions'!$A:$N,9,FALSE)</f>
        <v>0</v>
      </c>
      <c r="J205" s="61">
        <f>VLOOKUP(A205,'Billing Dimensions'!$A:$N,10,FALSE)-VLOOKUP(A205,'Audit Dimensions'!$A:$N,10,FALSE)</f>
        <v>0</v>
      </c>
      <c r="K205" s="63">
        <f>VLOOKUP(A205,'Billing Dimensions'!$A:$N,11,FALSE)-VLOOKUP(A205,'Audit Dimensions'!$A:$N,11,FALSE)</f>
        <v>0</v>
      </c>
      <c r="L205" s="63">
        <f>VLOOKUP(A205,'Billing Dimensions'!$A:$N,12,FALSE)-VLOOKUP(A205,'Audit Dimensions'!$A:$N,12,FALSE)</f>
        <v>0</v>
      </c>
      <c r="M205" s="63">
        <f>VLOOKUP(A205,'Billing Dimensions'!$A:$N,13,FALSE)-VLOOKUP(A205,'Audit Dimensions'!$A:$N,13,FALSE)</f>
        <v>0</v>
      </c>
      <c r="N205" s="140">
        <f>VLOOKUP(A205,'Billing Dimensions'!$A:$N,14,FALSE)-VLOOKUP(A205,'Audit Dimensions'!$A:$N,14,FALSE)</f>
        <v>0</v>
      </c>
      <c r="O205" s="145">
        <f>VLOOKUP('Audit VAR'!A205,'Audit Dimensions'!A:P,16,FALSE)</f>
        <v>13880</v>
      </c>
      <c r="P205" s="143">
        <f>VLOOKUP(A205,'Billing Dimensions'!A:Q,17,FALSE)-VLOOKUP('Audit VAR'!A205,'Audit Dimensions'!A:P,16,FALSE)</f>
        <v>-1180</v>
      </c>
      <c r="Q205" s="148">
        <f t="shared" si="3"/>
        <v>-8.5014409221902024E-2</v>
      </c>
    </row>
    <row r="206" spans="1:17">
      <c r="A206" s="58" t="str">
        <f>'Audit Dimensions'!A206</f>
        <v>W-AND-4N</v>
      </c>
      <c r="B206" s="2" t="str">
        <f>VLOOKUP(A206,'Billing Dimensions'!A:B,2,FALSE)</f>
        <v>MB</v>
      </c>
      <c r="C206" s="59">
        <f>VLOOKUP(A206,'Billing Dimensions'!$A:$N,3,FALSE)-VLOOKUP(A206,'Audit Dimensions'!$A:$N,3,FALSE)</f>
        <v>0</v>
      </c>
      <c r="D206" s="59">
        <f>VLOOKUP(A206,'Billing Dimensions'!$A:$N,4,FALSE)-VLOOKUP(A206,'Audit Dimensions'!$A:$N,4,FALSE)</f>
        <v>0</v>
      </c>
      <c r="E206" s="59">
        <f>VLOOKUP(A206,'Billing Dimensions'!$A:$N,5,FALSE)-VLOOKUP(A206,'Audit Dimensions'!$A:$N,5,FALSE)</f>
        <v>0</v>
      </c>
      <c r="F206" s="137">
        <f>VLOOKUP(A206,'Billing Dimensions'!$A:$N,6,FALSE)-VLOOKUP(A206,'Audit Dimensions'!$A:$N,6,FALSE)</f>
        <v>-1410</v>
      </c>
      <c r="G206" s="65">
        <f>VLOOKUP(A206,'Billing Dimensions'!$A:$N,7,FALSE)-VLOOKUP(A206,'Audit Dimensions'!$A:$N,7,FALSE)</f>
        <v>0</v>
      </c>
      <c r="H206" s="65">
        <f>VLOOKUP(A206,'Billing Dimensions'!$A:$N,8,FALSE)-VLOOKUP(A206,'Audit Dimensions'!$A:$N,8,FALSE)</f>
        <v>0</v>
      </c>
      <c r="I206" s="65">
        <f>VLOOKUP(A206,'Billing Dimensions'!$A:$N,9,FALSE)-VLOOKUP(A206,'Audit Dimensions'!$A:$N,9,FALSE)</f>
        <v>0</v>
      </c>
      <c r="J206" s="61">
        <f>VLOOKUP(A206,'Billing Dimensions'!$A:$N,10,FALSE)-VLOOKUP(A206,'Audit Dimensions'!$A:$N,10,FALSE)</f>
        <v>-2090</v>
      </c>
      <c r="K206" s="63">
        <f>VLOOKUP(A206,'Billing Dimensions'!$A:$N,11,FALSE)-VLOOKUP(A206,'Audit Dimensions'!$A:$N,11,FALSE)</f>
        <v>0</v>
      </c>
      <c r="L206" s="63">
        <f>VLOOKUP(A206,'Billing Dimensions'!$A:$N,12,FALSE)-VLOOKUP(A206,'Audit Dimensions'!$A:$N,12,FALSE)</f>
        <v>0</v>
      </c>
      <c r="M206" s="63">
        <f>VLOOKUP(A206,'Billing Dimensions'!$A:$N,13,FALSE)-VLOOKUP(A206,'Audit Dimensions'!$A:$N,13,FALSE)</f>
        <v>0</v>
      </c>
      <c r="N206" s="140">
        <f>VLOOKUP(A206,'Billing Dimensions'!$A:$N,14,FALSE)-VLOOKUP(A206,'Audit Dimensions'!$A:$N,14,FALSE)</f>
        <v>-1480</v>
      </c>
      <c r="O206" s="145">
        <f>VLOOKUP('Audit VAR'!A206,'Audit Dimensions'!A:P,16,FALSE)</f>
        <v>138680</v>
      </c>
      <c r="P206" s="143">
        <f>VLOOKUP(A206,'Billing Dimensions'!A:Q,17,FALSE)-VLOOKUP('Audit VAR'!A206,'Audit Dimensions'!A:P,16,FALSE)</f>
        <v>-4980</v>
      </c>
      <c r="Q206" s="148">
        <f t="shared" si="3"/>
        <v>-3.5910008653014136E-2</v>
      </c>
    </row>
    <row r="207" spans="1:17">
      <c r="A207" s="58" t="str">
        <f>'Audit Dimensions'!A207</f>
        <v>SB-AA</v>
      </c>
      <c r="B207" s="2" t="str">
        <f>VLOOKUP(A207,'Billing Dimensions'!A:B,2,FALSE)</f>
        <v>SB</v>
      </c>
      <c r="C207" s="59">
        <f>VLOOKUP(A207,'Billing Dimensions'!$A:$N,3,FALSE)-VLOOKUP(A207,'Audit Dimensions'!$A:$N,3,FALSE)</f>
        <v>0</v>
      </c>
      <c r="D207" s="59">
        <f>VLOOKUP(A207,'Billing Dimensions'!$A:$N,4,FALSE)-VLOOKUP(A207,'Audit Dimensions'!$A:$N,4,FALSE)</f>
        <v>0</v>
      </c>
      <c r="E207" s="59">
        <f>VLOOKUP(A207,'Billing Dimensions'!$A:$N,5,FALSE)-VLOOKUP(A207,'Audit Dimensions'!$A:$N,5,FALSE)</f>
        <v>0</v>
      </c>
      <c r="F207" s="137">
        <f>VLOOKUP(A207,'Billing Dimensions'!$A:$N,6,FALSE)-VLOOKUP(A207,'Audit Dimensions'!$A:$N,6,FALSE)</f>
        <v>0</v>
      </c>
      <c r="G207" s="65">
        <f>VLOOKUP(A207,'Billing Dimensions'!$A:$N,7,FALSE)-VLOOKUP(A207,'Audit Dimensions'!$A:$N,7,FALSE)</f>
        <v>0</v>
      </c>
      <c r="H207" s="65">
        <f>VLOOKUP(A207,'Billing Dimensions'!$A:$N,8,FALSE)-VLOOKUP(A207,'Audit Dimensions'!$A:$N,8,FALSE)</f>
        <v>0</v>
      </c>
      <c r="I207" s="65">
        <f>VLOOKUP(A207,'Billing Dimensions'!$A:$N,9,FALSE)-VLOOKUP(A207,'Audit Dimensions'!$A:$N,9,FALSE)</f>
        <v>0</v>
      </c>
      <c r="J207" s="61">
        <f>VLOOKUP(A207,'Billing Dimensions'!$A:$N,10,FALSE)-VLOOKUP(A207,'Audit Dimensions'!$A:$N,10,FALSE)</f>
        <v>0</v>
      </c>
      <c r="K207" s="63">
        <f>VLOOKUP(A207,'Billing Dimensions'!$A:$N,11,FALSE)-VLOOKUP(A207,'Audit Dimensions'!$A:$N,11,FALSE)</f>
        <v>0</v>
      </c>
      <c r="L207" s="63">
        <f>VLOOKUP(A207,'Billing Dimensions'!$A:$N,12,FALSE)-VLOOKUP(A207,'Audit Dimensions'!$A:$N,12,FALSE)</f>
        <v>0</v>
      </c>
      <c r="M207" s="63">
        <f>VLOOKUP(A207,'Billing Dimensions'!$A:$N,13,FALSE)-VLOOKUP(A207,'Audit Dimensions'!$A:$N,13,FALSE)</f>
        <v>0</v>
      </c>
      <c r="N207" s="140">
        <f>VLOOKUP(A207,'Billing Dimensions'!$A:$N,14,FALSE)-VLOOKUP(A207,'Audit Dimensions'!$A:$N,14,FALSE)</f>
        <v>0</v>
      </c>
      <c r="O207" s="145">
        <f>VLOOKUP('Audit VAR'!A207,'Audit Dimensions'!A:P,16,FALSE)</f>
        <v>1690</v>
      </c>
      <c r="P207" s="143">
        <f>VLOOKUP(A207,'Billing Dimensions'!A:Q,17,FALSE)-VLOOKUP('Audit VAR'!A207,'Audit Dimensions'!A:P,16,FALSE)</f>
        <v>0</v>
      </c>
      <c r="Q207" s="148">
        <f t="shared" si="3"/>
        <v>0</v>
      </c>
    </row>
    <row r="208" spans="1:17">
      <c r="A208" s="58" t="str">
        <f>'Audit Dimensions'!A208</f>
        <v>DC-CLV</v>
      </c>
      <c r="B208" s="2" t="str">
        <f>VLOOKUP(A208,'Billing Dimensions'!A:B,2,FALSE)</f>
        <v>SB</v>
      </c>
      <c r="C208" s="59">
        <f>VLOOKUP(A208,'Billing Dimensions'!$A:$N,3,FALSE)-VLOOKUP(A208,'Audit Dimensions'!$A:$N,3,FALSE)</f>
        <v>0</v>
      </c>
      <c r="D208" s="59">
        <f>VLOOKUP(A208,'Billing Dimensions'!$A:$N,4,FALSE)-VLOOKUP(A208,'Audit Dimensions'!$A:$N,4,FALSE)</f>
        <v>0</v>
      </c>
      <c r="E208" s="59">
        <f>VLOOKUP(A208,'Billing Dimensions'!$A:$N,5,FALSE)-VLOOKUP(A208,'Audit Dimensions'!$A:$N,5,FALSE)</f>
        <v>0</v>
      </c>
      <c r="F208" s="137">
        <f>VLOOKUP(A208,'Billing Dimensions'!$A:$N,6,FALSE)-VLOOKUP(A208,'Audit Dimensions'!$A:$N,6,FALSE)</f>
        <v>-1700</v>
      </c>
      <c r="G208" s="65">
        <f>VLOOKUP(A208,'Billing Dimensions'!$A:$N,7,FALSE)-VLOOKUP(A208,'Audit Dimensions'!$A:$N,7,FALSE)</f>
        <v>0</v>
      </c>
      <c r="H208" s="65">
        <f>VLOOKUP(A208,'Billing Dimensions'!$A:$N,8,FALSE)-VLOOKUP(A208,'Audit Dimensions'!$A:$N,8,FALSE)</f>
        <v>0</v>
      </c>
      <c r="I208" s="65">
        <f>VLOOKUP(A208,'Billing Dimensions'!$A:$N,9,FALSE)-VLOOKUP(A208,'Audit Dimensions'!$A:$N,9,FALSE)</f>
        <v>0</v>
      </c>
      <c r="J208" s="61">
        <f>VLOOKUP(A208,'Billing Dimensions'!$A:$N,10,FALSE)-VLOOKUP(A208,'Audit Dimensions'!$A:$N,10,FALSE)</f>
        <v>0</v>
      </c>
      <c r="K208" s="63">
        <f>VLOOKUP(A208,'Billing Dimensions'!$A:$N,11,FALSE)-VLOOKUP(A208,'Audit Dimensions'!$A:$N,11,FALSE)</f>
        <v>0</v>
      </c>
      <c r="L208" s="63">
        <f>VLOOKUP(A208,'Billing Dimensions'!$A:$N,12,FALSE)-VLOOKUP(A208,'Audit Dimensions'!$A:$N,12,FALSE)</f>
        <v>0</v>
      </c>
      <c r="M208" s="63">
        <f>VLOOKUP(A208,'Billing Dimensions'!$A:$N,13,FALSE)-VLOOKUP(A208,'Audit Dimensions'!$A:$N,13,FALSE)</f>
        <v>0</v>
      </c>
      <c r="N208" s="140">
        <f>VLOOKUP(A208,'Billing Dimensions'!$A:$N,14,FALSE)-VLOOKUP(A208,'Audit Dimensions'!$A:$N,14,FALSE)</f>
        <v>0</v>
      </c>
      <c r="O208" s="145">
        <f>VLOOKUP('Audit VAR'!A208,'Audit Dimensions'!A:P,16,FALSE)</f>
        <v>39200</v>
      </c>
      <c r="P208" s="143">
        <f>VLOOKUP(A208,'Billing Dimensions'!A:Q,17,FALSE)-VLOOKUP('Audit VAR'!A208,'Audit Dimensions'!A:P,16,FALSE)</f>
        <v>-1700</v>
      </c>
      <c r="Q208" s="148">
        <f t="shared" si="3"/>
        <v>-4.336734693877551E-2</v>
      </c>
    </row>
    <row r="209" spans="1:17">
      <c r="A209" s="58" t="str">
        <f>'Audit Dimensions'!A209</f>
        <v>S-JVS</v>
      </c>
      <c r="B209" s="2" t="str">
        <f>VLOOKUP(A209,'Billing Dimensions'!A:B,2,FALSE)</f>
        <v>SB</v>
      </c>
      <c r="C209" s="59">
        <f>VLOOKUP(A209,'Billing Dimensions'!$A:$N,3,FALSE)-VLOOKUP(A209,'Audit Dimensions'!$A:$N,3,FALSE)</f>
        <v>0</v>
      </c>
      <c r="D209" s="59">
        <f>VLOOKUP(A209,'Billing Dimensions'!$A:$N,4,FALSE)-VLOOKUP(A209,'Audit Dimensions'!$A:$N,4,FALSE)</f>
        <v>0</v>
      </c>
      <c r="E209" s="59">
        <f>VLOOKUP(A209,'Billing Dimensions'!$A:$N,5,FALSE)-VLOOKUP(A209,'Audit Dimensions'!$A:$N,5,FALSE)</f>
        <v>0</v>
      </c>
      <c r="F209" s="137">
        <f>VLOOKUP(A209,'Billing Dimensions'!$A:$N,6,FALSE)-VLOOKUP(A209,'Audit Dimensions'!$A:$N,6,FALSE)</f>
        <v>-620</v>
      </c>
      <c r="G209" s="65">
        <f>VLOOKUP(A209,'Billing Dimensions'!$A:$N,7,FALSE)-VLOOKUP(A209,'Audit Dimensions'!$A:$N,7,FALSE)</f>
        <v>0</v>
      </c>
      <c r="H209" s="65">
        <f>VLOOKUP(A209,'Billing Dimensions'!$A:$N,8,FALSE)-VLOOKUP(A209,'Audit Dimensions'!$A:$N,8,FALSE)</f>
        <v>0</v>
      </c>
      <c r="I209" s="65">
        <f>VLOOKUP(A209,'Billing Dimensions'!$A:$N,9,FALSE)-VLOOKUP(A209,'Audit Dimensions'!$A:$N,9,FALSE)</f>
        <v>0</v>
      </c>
      <c r="J209" s="61">
        <f>VLOOKUP(A209,'Billing Dimensions'!$A:$N,10,FALSE)-VLOOKUP(A209,'Audit Dimensions'!$A:$N,10,FALSE)</f>
        <v>0</v>
      </c>
      <c r="K209" s="63">
        <f>VLOOKUP(A209,'Billing Dimensions'!$A:$N,11,FALSE)-VLOOKUP(A209,'Audit Dimensions'!$A:$N,11,FALSE)</f>
        <v>0</v>
      </c>
      <c r="L209" s="63">
        <f>VLOOKUP(A209,'Billing Dimensions'!$A:$N,12,FALSE)-VLOOKUP(A209,'Audit Dimensions'!$A:$N,12,FALSE)</f>
        <v>0</v>
      </c>
      <c r="M209" s="63">
        <f>VLOOKUP(A209,'Billing Dimensions'!$A:$N,13,FALSE)-VLOOKUP(A209,'Audit Dimensions'!$A:$N,13,FALSE)</f>
        <v>0</v>
      </c>
      <c r="N209" s="140">
        <f>VLOOKUP(A209,'Billing Dimensions'!$A:$N,14,FALSE)-VLOOKUP(A209,'Audit Dimensions'!$A:$N,14,FALSE)</f>
        <v>0</v>
      </c>
      <c r="O209" s="145">
        <f>VLOOKUP('Audit VAR'!A209,'Audit Dimensions'!A:P,16,FALSE)</f>
        <v>7420</v>
      </c>
      <c r="P209" s="143">
        <f>VLOOKUP(A209,'Billing Dimensions'!A:Q,17,FALSE)-VLOOKUP('Audit VAR'!A209,'Audit Dimensions'!A:P,16,FALSE)</f>
        <v>-620</v>
      </c>
      <c r="Q209" s="148">
        <f t="shared" si="3"/>
        <v>-8.3557951482479784E-2</v>
      </c>
    </row>
    <row r="210" spans="1:17">
      <c r="A210" s="58" t="str">
        <f>'Audit Dimensions'!A210</f>
        <v>SR-WHTO</v>
      </c>
      <c r="B210" s="2" t="str">
        <f>VLOOKUP(A210,'Billing Dimensions'!A:B,2,FALSE)</f>
        <v>SB</v>
      </c>
      <c r="C210" s="59">
        <f>VLOOKUP(A210,'Billing Dimensions'!$A:$N,3,FALSE)-VLOOKUP(A210,'Audit Dimensions'!$A:$N,3,FALSE)</f>
        <v>0</v>
      </c>
      <c r="D210" s="59">
        <f>VLOOKUP(A210,'Billing Dimensions'!$A:$N,4,FALSE)-VLOOKUP(A210,'Audit Dimensions'!$A:$N,4,FALSE)</f>
        <v>0</v>
      </c>
      <c r="E210" s="59">
        <f>VLOOKUP(A210,'Billing Dimensions'!$A:$N,5,FALSE)-VLOOKUP(A210,'Audit Dimensions'!$A:$N,5,FALSE)</f>
        <v>0</v>
      </c>
      <c r="F210" s="137">
        <f>VLOOKUP(A210,'Billing Dimensions'!$A:$N,6,FALSE)-VLOOKUP(A210,'Audit Dimensions'!$A:$N,6,FALSE)</f>
        <v>-1860</v>
      </c>
      <c r="G210" s="65">
        <f>VLOOKUP(A210,'Billing Dimensions'!$A:$N,7,FALSE)-VLOOKUP(A210,'Audit Dimensions'!$A:$N,7,FALSE)</f>
        <v>0</v>
      </c>
      <c r="H210" s="65">
        <f>VLOOKUP(A210,'Billing Dimensions'!$A:$N,8,FALSE)-VLOOKUP(A210,'Audit Dimensions'!$A:$N,8,FALSE)</f>
        <v>0</v>
      </c>
      <c r="I210" s="65">
        <f>VLOOKUP(A210,'Billing Dimensions'!$A:$N,9,FALSE)-VLOOKUP(A210,'Audit Dimensions'!$A:$N,9,FALSE)</f>
        <v>0</v>
      </c>
      <c r="J210" s="61">
        <f>VLOOKUP(A210,'Billing Dimensions'!$A:$N,10,FALSE)-VLOOKUP(A210,'Audit Dimensions'!$A:$N,10,FALSE)</f>
        <v>0</v>
      </c>
      <c r="K210" s="63">
        <f>VLOOKUP(A210,'Billing Dimensions'!$A:$N,11,FALSE)-VLOOKUP(A210,'Audit Dimensions'!$A:$N,11,FALSE)</f>
        <v>0</v>
      </c>
      <c r="L210" s="63">
        <f>VLOOKUP(A210,'Billing Dimensions'!$A:$N,12,FALSE)-VLOOKUP(A210,'Audit Dimensions'!$A:$N,12,FALSE)</f>
        <v>0</v>
      </c>
      <c r="M210" s="63">
        <f>VLOOKUP(A210,'Billing Dimensions'!$A:$N,13,FALSE)-VLOOKUP(A210,'Audit Dimensions'!$A:$N,13,FALSE)</f>
        <v>0</v>
      </c>
      <c r="N210" s="140">
        <f>VLOOKUP(A210,'Billing Dimensions'!$A:$N,14,FALSE)-VLOOKUP(A210,'Audit Dimensions'!$A:$N,14,FALSE)</f>
        <v>0</v>
      </c>
      <c r="O210" s="145">
        <f>VLOOKUP('Audit VAR'!A210,'Audit Dimensions'!A:P,16,FALSE)</f>
        <v>29360</v>
      </c>
      <c r="P210" s="143">
        <f>VLOOKUP(A210,'Billing Dimensions'!A:Q,17,FALSE)-VLOOKUP('Audit VAR'!A210,'Audit Dimensions'!A:P,16,FALSE)</f>
        <v>-1860</v>
      </c>
      <c r="Q210" s="148">
        <f t="shared" si="3"/>
        <v>-6.3351498637602185E-2</v>
      </c>
    </row>
    <row r="211" spans="1:17">
      <c r="A211" s="58" t="str">
        <f>'Audit Dimensions'!A211</f>
        <v>TU-TK-LA</v>
      </c>
      <c r="B211" s="2" t="str">
        <f>VLOOKUP(A211,'Billing Dimensions'!A:B,2,FALSE)</f>
        <v>SB</v>
      </c>
      <c r="C211" s="59">
        <f>VLOOKUP(A211,'Billing Dimensions'!$A:$N,3,FALSE)-VLOOKUP(A211,'Audit Dimensions'!$A:$N,3,FALSE)</f>
        <v>0</v>
      </c>
      <c r="D211" s="59">
        <f>VLOOKUP(A211,'Billing Dimensions'!$A:$N,4,FALSE)-VLOOKUP(A211,'Audit Dimensions'!$A:$N,4,FALSE)</f>
        <v>0</v>
      </c>
      <c r="E211" s="59">
        <f>VLOOKUP(A211,'Billing Dimensions'!$A:$N,5,FALSE)-VLOOKUP(A211,'Audit Dimensions'!$A:$N,5,FALSE)</f>
        <v>0</v>
      </c>
      <c r="F211" s="137">
        <f>VLOOKUP(A211,'Billing Dimensions'!$A:$N,6,FALSE)-VLOOKUP(A211,'Audit Dimensions'!$A:$N,6,FALSE)</f>
        <v>-190</v>
      </c>
      <c r="G211" s="65">
        <f>VLOOKUP(A211,'Billing Dimensions'!$A:$N,7,FALSE)-VLOOKUP(A211,'Audit Dimensions'!$A:$N,7,FALSE)</f>
        <v>0</v>
      </c>
      <c r="H211" s="65">
        <f>VLOOKUP(A211,'Billing Dimensions'!$A:$N,8,FALSE)-VLOOKUP(A211,'Audit Dimensions'!$A:$N,8,FALSE)</f>
        <v>0</v>
      </c>
      <c r="I211" s="65">
        <f>VLOOKUP(A211,'Billing Dimensions'!$A:$N,9,FALSE)-VLOOKUP(A211,'Audit Dimensions'!$A:$N,9,FALSE)</f>
        <v>0</v>
      </c>
      <c r="J211" s="61">
        <f>VLOOKUP(A211,'Billing Dimensions'!$A:$N,10,FALSE)-VLOOKUP(A211,'Audit Dimensions'!$A:$N,10,FALSE)</f>
        <v>0</v>
      </c>
      <c r="K211" s="63">
        <f>VLOOKUP(A211,'Billing Dimensions'!$A:$N,11,FALSE)-VLOOKUP(A211,'Audit Dimensions'!$A:$N,11,FALSE)</f>
        <v>0</v>
      </c>
      <c r="L211" s="63">
        <f>VLOOKUP(A211,'Billing Dimensions'!$A:$N,12,FALSE)-VLOOKUP(A211,'Audit Dimensions'!$A:$N,12,FALSE)</f>
        <v>0</v>
      </c>
      <c r="M211" s="63">
        <f>VLOOKUP(A211,'Billing Dimensions'!$A:$N,13,FALSE)-VLOOKUP(A211,'Audit Dimensions'!$A:$N,13,FALSE)</f>
        <v>0</v>
      </c>
      <c r="N211" s="140">
        <f>VLOOKUP(A211,'Billing Dimensions'!$A:$N,14,FALSE)-VLOOKUP(A211,'Audit Dimensions'!$A:$N,14,FALSE)</f>
        <v>0</v>
      </c>
      <c r="O211" s="145">
        <f>VLOOKUP('Audit VAR'!A211,'Audit Dimensions'!A:P,16,FALSE)</f>
        <v>7990</v>
      </c>
      <c r="P211" s="143">
        <f>VLOOKUP(A211,'Billing Dimensions'!A:Q,17,FALSE)-VLOOKUP('Audit VAR'!A211,'Audit Dimensions'!A:P,16,FALSE)</f>
        <v>-190</v>
      </c>
      <c r="Q211" s="148">
        <f t="shared" si="3"/>
        <v>-2.3779724655819776E-2</v>
      </c>
    </row>
    <row r="212" spans="1:17">
      <c r="A212" s="58" t="str">
        <f>'Audit Dimensions'!A212</f>
        <v>CT-OSN-RT</v>
      </c>
      <c r="B212" s="2" t="str">
        <f>VLOOKUP(A212,'Billing Dimensions'!A:B,2,FALSE)</f>
        <v>SB</v>
      </c>
      <c r="C212" s="59">
        <f>VLOOKUP(A212,'Billing Dimensions'!$A:$N,3,FALSE)-VLOOKUP(A212,'Audit Dimensions'!$A:$N,3,FALSE)</f>
        <v>0</v>
      </c>
      <c r="D212" s="59">
        <f>VLOOKUP(A212,'Billing Dimensions'!$A:$N,4,FALSE)-VLOOKUP(A212,'Audit Dimensions'!$A:$N,4,FALSE)</f>
        <v>0</v>
      </c>
      <c r="E212" s="59">
        <f>VLOOKUP(A212,'Billing Dimensions'!$A:$N,5,FALSE)-VLOOKUP(A212,'Audit Dimensions'!$A:$N,5,FALSE)</f>
        <v>0</v>
      </c>
      <c r="F212" s="137">
        <f>VLOOKUP(A212,'Billing Dimensions'!$A:$N,6,FALSE)-VLOOKUP(A212,'Audit Dimensions'!$A:$N,6,FALSE)</f>
        <v>-510</v>
      </c>
      <c r="G212" s="65">
        <f>VLOOKUP(A212,'Billing Dimensions'!$A:$N,7,FALSE)-VLOOKUP(A212,'Audit Dimensions'!$A:$N,7,FALSE)</f>
        <v>0</v>
      </c>
      <c r="H212" s="65">
        <f>VLOOKUP(A212,'Billing Dimensions'!$A:$N,8,FALSE)-VLOOKUP(A212,'Audit Dimensions'!$A:$N,8,FALSE)</f>
        <v>0</v>
      </c>
      <c r="I212" s="65">
        <f>VLOOKUP(A212,'Billing Dimensions'!$A:$N,9,FALSE)-VLOOKUP(A212,'Audit Dimensions'!$A:$N,9,FALSE)</f>
        <v>0</v>
      </c>
      <c r="J212" s="61">
        <f>VLOOKUP(A212,'Billing Dimensions'!$A:$N,10,FALSE)-VLOOKUP(A212,'Audit Dimensions'!$A:$N,10,FALSE)</f>
        <v>0</v>
      </c>
      <c r="K212" s="63">
        <f>VLOOKUP(A212,'Billing Dimensions'!$A:$N,11,FALSE)-VLOOKUP(A212,'Audit Dimensions'!$A:$N,11,FALSE)</f>
        <v>0</v>
      </c>
      <c r="L212" s="63">
        <f>VLOOKUP(A212,'Billing Dimensions'!$A:$N,12,FALSE)-VLOOKUP(A212,'Audit Dimensions'!$A:$N,12,FALSE)</f>
        <v>0</v>
      </c>
      <c r="M212" s="63">
        <f>VLOOKUP(A212,'Billing Dimensions'!$A:$N,13,FALSE)-VLOOKUP(A212,'Audit Dimensions'!$A:$N,13,FALSE)</f>
        <v>0</v>
      </c>
      <c r="N212" s="140">
        <f>VLOOKUP(A212,'Billing Dimensions'!$A:$N,14,FALSE)-VLOOKUP(A212,'Audit Dimensions'!$A:$N,14,FALSE)</f>
        <v>0</v>
      </c>
      <c r="O212" s="145">
        <f>VLOOKUP('Audit VAR'!A212,'Audit Dimensions'!A:P,16,FALSE)</f>
        <v>8310</v>
      </c>
      <c r="P212" s="143">
        <f>VLOOKUP(A212,'Billing Dimensions'!A:Q,17,FALSE)-VLOOKUP('Audit VAR'!A212,'Audit Dimensions'!A:P,16,FALSE)</f>
        <v>-510</v>
      </c>
      <c r="Q212" s="148">
        <f t="shared" si="3"/>
        <v>-6.1371841155234655E-2</v>
      </c>
    </row>
    <row r="213" spans="1:17">
      <c r="A213" s="58" t="str">
        <f>'Audit Dimensions'!A213</f>
        <v>TU-KVD-ST</v>
      </c>
      <c r="B213" s="2" t="str">
        <f>VLOOKUP(A213,'Billing Dimensions'!A:B,2,FALSE)</f>
        <v>SB</v>
      </c>
      <c r="C213" s="59">
        <f>VLOOKUP(A213,'Billing Dimensions'!$A:$N,3,FALSE)-VLOOKUP(A213,'Audit Dimensions'!$A:$N,3,FALSE)</f>
        <v>1</v>
      </c>
      <c r="D213" s="59">
        <f>VLOOKUP(A213,'Billing Dimensions'!$A:$N,4,FALSE)-VLOOKUP(A213,'Audit Dimensions'!$A:$N,4,FALSE)</f>
        <v>1</v>
      </c>
      <c r="E213" s="59">
        <f>VLOOKUP(A213,'Billing Dimensions'!$A:$N,5,FALSE)-VLOOKUP(A213,'Audit Dimensions'!$A:$N,5,FALSE)</f>
        <v>0</v>
      </c>
      <c r="F213" s="137">
        <f>VLOOKUP(A213,'Billing Dimensions'!$A:$N,6,FALSE)-VLOOKUP(A213,'Audit Dimensions'!$A:$N,6,FALSE)</f>
        <v>-190</v>
      </c>
      <c r="G213" s="65">
        <f>VLOOKUP(A213,'Billing Dimensions'!$A:$N,7,FALSE)-VLOOKUP(A213,'Audit Dimensions'!$A:$N,7,FALSE)</f>
        <v>0</v>
      </c>
      <c r="H213" s="65">
        <f>VLOOKUP(A213,'Billing Dimensions'!$A:$N,8,FALSE)-VLOOKUP(A213,'Audit Dimensions'!$A:$N,8,FALSE)</f>
        <v>0</v>
      </c>
      <c r="I213" s="65">
        <f>VLOOKUP(A213,'Billing Dimensions'!$A:$N,9,FALSE)-VLOOKUP(A213,'Audit Dimensions'!$A:$N,9,FALSE)</f>
        <v>0</v>
      </c>
      <c r="J213" s="61">
        <f>VLOOKUP(A213,'Billing Dimensions'!$A:$N,10,FALSE)-VLOOKUP(A213,'Audit Dimensions'!$A:$N,10,FALSE)</f>
        <v>0</v>
      </c>
      <c r="K213" s="63">
        <f>VLOOKUP(A213,'Billing Dimensions'!$A:$N,11,FALSE)-VLOOKUP(A213,'Audit Dimensions'!$A:$N,11,FALSE)</f>
        <v>0</v>
      </c>
      <c r="L213" s="63">
        <f>VLOOKUP(A213,'Billing Dimensions'!$A:$N,12,FALSE)-VLOOKUP(A213,'Audit Dimensions'!$A:$N,12,FALSE)</f>
        <v>0</v>
      </c>
      <c r="M213" s="63">
        <f>VLOOKUP(A213,'Billing Dimensions'!$A:$N,13,FALSE)-VLOOKUP(A213,'Audit Dimensions'!$A:$N,13,FALSE)</f>
        <v>0</v>
      </c>
      <c r="N213" s="140">
        <f>VLOOKUP(A213,'Billing Dimensions'!$A:$N,14,FALSE)-VLOOKUP(A213,'Audit Dimensions'!$A:$N,14,FALSE)</f>
        <v>0</v>
      </c>
      <c r="O213" s="145">
        <f>VLOOKUP('Audit VAR'!A213,'Audit Dimensions'!A:P,16,FALSE)</f>
        <v>3500</v>
      </c>
      <c r="P213" s="143">
        <f>VLOOKUP(A213,'Billing Dimensions'!A:Q,17,FALSE)-VLOOKUP('Audit VAR'!A213,'Audit Dimensions'!A:P,16,FALSE)</f>
        <v>-190</v>
      </c>
      <c r="Q213" s="148">
        <f t="shared" si="3"/>
        <v>-5.4285714285714284E-2</v>
      </c>
    </row>
    <row r="214" spans="1:17">
      <c r="A214" s="58" t="str">
        <f>'Audit Dimensions'!A214</f>
        <v>S-AE</v>
      </c>
      <c r="B214" s="2" t="str">
        <f>VLOOKUP(A214,'Billing Dimensions'!A:B,2,FALSE)</f>
        <v>SB</v>
      </c>
      <c r="C214" s="59">
        <f>VLOOKUP(A214,'Billing Dimensions'!$A:$N,3,FALSE)-VLOOKUP(A214,'Audit Dimensions'!$A:$N,3,FALSE)</f>
        <v>0</v>
      </c>
      <c r="D214" s="59">
        <f>VLOOKUP(A214,'Billing Dimensions'!$A:$N,4,FALSE)-VLOOKUP(A214,'Audit Dimensions'!$A:$N,4,FALSE)</f>
        <v>0</v>
      </c>
      <c r="E214" s="59">
        <f>VLOOKUP(A214,'Billing Dimensions'!$A:$N,5,FALSE)-VLOOKUP(A214,'Audit Dimensions'!$A:$N,5,FALSE)</f>
        <v>0</v>
      </c>
      <c r="F214" s="137">
        <f>VLOOKUP(A214,'Billing Dimensions'!$A:$N,6,FALSE)-VLOOKUP(A214,'Audit Dimensions'!$A:$N,6,FALSE)</f>
        <v>-950</v>
      </c>
      <c r="G214" s="65">
        <f>VLOOKUP(A214,'Billing Dimensions'!$A:$N,7,FALSE)-VLOOKUP(A214,'Audit Dimensions'!$A:$N,7,FALSE)</f>
        <v>0</v>
      </c>
      <c r="H214" s="65">
        <f>VLOOKUP(A214,'Billing Dimensions'!$A:$N,8,FALSE)-VLOOKUP(A214,'Audit Dimensions'!$A:$N,8,FALSE)</f>
        <v>0</v>
      </c>
      <c r="I214" s="65">
        <f>VLOOKUP(A214,'Billing Dimensions'!$A:$N,9,FALSE)-VLOOKUP(A214,'Audit Dimensions'!$A:$N,9,FALSE)</f>
        <v>0</v>
      </c>
      <c r="J214" s="61">
        <f>VLOOKUP(A214,'Billing Dimensions'!$A:$N,10,FALSE)-VLOOKUP(A214,'Audit Dimensions'!$A:$N,10,FALSE)</f>
        <v>0</v>
      </c>
      <c r="K214" s="63">
        <f>VLOOKUP(A214,'Billing Dimensions'!$A:$N,11,FALSE)-VLOOKUP(A214,'Audit Dimensions'!$A:$N,11,FALSE)</f>
        <v>0</v>
      </c>
      <c r="L214" s="63">
        <f>VLOOKUP(A214,'Billing Dimensions'!$A:$N,12,FALSE)-VLOOKUP(A214,'Audit Dimensions'!$A:$N,12,FALSE)</f>
        <v>0</v>
      </c>
      <c r="M214" s="63">
        <f>VLOOKUP(A214,'Billing Dimensions'!$A:$N,13,FALSE)-VLOOKUP(A214,'Audit Dimensions'!$A:$N,13,FALSE)</f>
        <v>0</v>
      </c>
      <c r="N214" s="140">
        <f>VLOOKUP(A214,'Billing Dimensions'!$A:$N,14,FALSE)-VLOOKUP(A214,'Audit Dimensions'!$A:$N,14,FALSE)</f>
        <v>0</v>
      </c>
      <c r="O214" s="145">
        <f>VLOOKUP('Audit VAR'!A214,'Audit Dimensions'!A:P,16,FALSE)</f>
        <v>14650</v>
      </c>
      <c r="P214" s="143">
        <f>VLOOKUP(A214,'Billing Dimensions'!A:Q,17,FALSE)-VLOOKUP('Audit VAR'!A214,'Audit Dimensions'!A:P,16,FALSE)</f>
        <v>-950</v>
      </c>
      <c r="Q214" s="148">
        <f t="shared" si="3"/>
        <v>-6.4846416382252553E-2</v>
      </c>
    </row>
    <row r="215" spans="1:17">
      <c r="A215" s="58" t="str">
        <f>'Audit Dimensions'!A215</f>
        <v>KH-TOC-18</v>
      </c>
      <c r="B215" s="2" t="str">
        <f>VLOOKUP(A215,'Billing Dimensions'!A:B,2,FALSE)</f>
        <v>SB</v>
      </c>
      <c r="C215" s="59">
        <f>VLOOKUP(A215,'Billing Dimensions'!$A:$N,3,FALSE)-VLOOKUP(A215,'Audit Dimensions'!$A:$N,3,FALSE)</f>
        <v>0</v>
      </c>
      <c r="D215" s="59">
        <f>VLOOKUP(A215,'Billing Dimensions'!$A:$N,4,FALSE)-VLOOKUP(A215,'Audit Dimensions'!$A:$N,4,FALSE)</f>
        <v>0</v>
      </c>
      <c r="E215" s="59">
        <f>VLOOKUP(A215,'Billing Dimensions'!$A:$N,5,FALSE)-VLOOKUP(A215,'Audit Dimensions'!$A:$N,5,FALSE)</f>
        <v>0</v>
      </c>
      <c r="F215" s="137">
        <f>VLOOKUP(A215,'Billing Dimensions'!$A:$N,6,FALSE)-VLOOKUP(A215,'Audit Dimensions'!$A:$N,6,FALSE)</f>
        <v>-160</v>
      </c>
      <c r="G215" s="65">
        <f>VLOOKUP(A215,'Billing Dimensions'!$A:$N,7,FALSE)-VLOOKUP(A215,'Audit Dimensions'!$A:$N,7,FALSE)</f>
        <v>0</v>
      </c>
      <c r="H215" s="65">
        <f>VLOOKUP(A215,'Billing Dimensions'!$A:$N,8,FALSE)-VLOOKUP(A215,'Audit Dimensions'!$A:$N,8,FALSE)</f>
        <v>0</v>
      </c>
      <c r="I215" s="65">
        <f>VLOOKUP(A215,'Billing Dimensions'!$A:$N,9,FALSE)-VLOOKUP(A215,'Audit Dimensions'!$A:$N,9,FALSE)</f>
        <v>0</v>
      </c>
      <c r="J215" s="61">
        <f>VLOOKUP(A215,'Billing Dimensions'!$A:$N,10,FALSE)-VLOOKUP(A215,'Audit Dimensions'!$A:$N,10,FALSE)</f>
        <v>0</v>
      </c>
      <c r="K215" s="63">
        <f>VLOOKUP(A215,'Billing Dimensions'!$A:$N,11,FALSE)-VLOOKUP(A215,'Audit Dimensions'!$A:$N,11,FALSE)</f>
        <v>0</v>
      </c>
      <c r="L215" s="63">
        <f>VLOOKUP(A215,'Billing Dimensions'!$A:$N,12,FALSE)-VLOOKUP(A215,'Audit Dimensions'!$A:$N,12,FALSE)</f>
        <v>0</v>
      </c>
      <c r="M215" s="63">
        <f>VLOOKUP(A215,'Billing Dimensions'!$A:$N,13,FALSE)-VLOOKUP(A215,'Audit Dimensions'!$A:$N,13,FALSE)</f>
        <v>0</v>
      </c>
      <c r="N215" s="140">
        <f>VLOOKUP(A215,'Billing Dimensions'!$A:$N,14,FALSE)-VLOOKUP(A215,'Audit Dimensions'!$A:$N,14,FALSE)</f>
        <v>0</v>
      </c>
      <c r="O215" s="145">
        <f>VLOOKUP('Audit VAR'!A215,'Audit Dimensions'!A:P,16,FALSE)</f>
        <v>2960</v>
      </c>
      <c r="P215" s="143">
        <f>VLOOKUP(A215,'Billing Dimensions'!A:Q,17,FALSE)-VLOOKUP('Audit VAR'!A215,'Audit Dimensions'!A:P,16,FALSE)</f>
        <v>-160</v>
      </c>
      <c r="Q215" s="148">
        <f t="shared" si="3"/>
        <v>-5.4054054054054057E-2</v>
      </c>
    </row>
    <row r="216" spans="1:17">
      <c r="A216" s="58" t="str">
        <f>'Audit Dimensions'!A216</f>
        <v>TU-OL</v>
      </c>
      <c r="B216" s="2" t="str">
        <f>VLOOKUP(A216,'Billing Dimensions'!A:B,2,FALSE)</f>
        <v>SB</v>
      </c>
      <c r="C216" s="59">
        <f>VLOOKUP(A216,'Billing Dimensions'!$A:$N,3,FALSE)-VLOOKUP(A216,'Audit Dimensions'!$A:$N,3,FALSE)</f>
        <v>0</v>
      </c>
      <c r="D216" s="59">
        <f>VLOOKUP(A216,'Billing Dimensions'!$A:$N,4,FALSE)-VLOOKUP(A216,'Audit Dimensions'!$A:$N,4,FALSE)</f>
        <v>0</v>
      </c>
      <c r="E216" s="59">
        <f>VLOOKUP(A216,'Billing Dimensions'!$A:$N,5,FALSE)-VLOOKUP(A216,'Audit Dimensions'!$A:$N,5,FALSE)</f>
        <v>0</v>
      </c>
      <c r="F216" s="137">
        <f>VLOOKUP(A216,'Billing Dimensions'!$A:$N,6,FALSE)-VLOOKUP(A216,'Audit Dimensions'!$A:$N,6,FALSE)</f>
        <v>-470</v>
      </c>
      <c r="G216" s="65">
        <f>VLOOKUP(A216,'Billing Dimensions'!$A:$N,7,FALSE)-VLOOKUP(A216,'Audit Dimensions'!$A:$N,7,FALSE)</f>
        <v>0</v>
      </c>
      <c r="H216" s="65">
        <f>VLOOKUP(A216,'Billing Dimensions'!$A:$N,8,FALSE)-VLOOKUP(A216,'Audit Dimensions'!$A:$N,8,FALSE)</f>
        <v>0</v>
      </c>
      <c r="I216" s="65">
        <f>VLOOKUP(A216,'Billing Dimensions'!$A:$N,9,FALSE)-VLOOKUP(A216,'Audit Dimensions'!$A:$N,9,FALSE)</f>
        <v>0</v>
      </c>
      <c r="J216" s="61">
        <f>VLOOKUP(A216,'Billing Dimensions'!$A:$N,10,FALSE)-VLOOKUP(A216,'Audit Dimensions'!$A:$N,10,FALSE)</f>
        <v>0</v>
      </c>
      <c r="K216" s="63">
        <f>VLOOKUP(A216,'Billing Dimensions'!$A:$N,11,FALSE)-VLOOKUP(A216,'Audit Dimensions'!$A:$N,11,FALSE)</f>
        <v>0</v>
      </c>
      <c r="L216" s="63">
        <f>VLOOKUP(A216,'Billing Dimensions'!$A:$N,12,FALSE)-VLOOKUP(A216,'Audit Dimensions'!$A:$N,12,FALSE)</f>
        <v>0</v>
      </c>
      <c r="M216" s="63">
        <f>VLOOKUP(A216,'Billing Dimensions'!$A:$N,13,FALSE)-VLOOKUP(A216,'Audit Dimensions'!$A:$N,13,FALSE)</f>
        <v>0</v>
      </c>
      <c r="N216" s="140">
        <f>VLOOKUP(A216,'Billing Dimensions'!$A:$N,14,FALSE)-VLOOKUP(A216,'Audit Dimensions'!$A:$N,14,FALSE)</f>
        <v>0</v>
      </c>
      <c r="O216" s="145">
        <f>VLOOKUP('Audit VAR'!A216,'Audit Dimensions'!A:P,16,FALSE)</f>
        <v>12270</v>
      </c>
      <c r="P216" s="143">
        <f>VLOOKUP(A216,'Billing Dimensions'!A:Q,17,FALSE)-VLOOKUP('Audit VAR'!A216,'Audit Dimensions'!A:P,16,FALSE)</f>
        <v>-470</v>
      </c>
      <c r="Q216" s="148">
        <f t="shared" si="3"/>
        <v>-3.8304808475957623E-2</v>
      </c>
    </row>
    <row r="217" spans="1:17">
      <c r="A217" s="58" t="str">
        <f>'Audit Dimensions'!A217</f>
        <v>B-POL-KT</v>
      </c>
      <c r="B217" s="2" t="str">
        <f>VLOOKUP(A217,'Billing Dimensions'!A:B,2,FALSE)</f>
        <v>MB</v>
      </c>
      <c r="C217" s="59">
        <f>VLOOKUP(A217,'Billing Dimensions'!$A:$N,3,FALSE)-VLOOKUP(A217,'Audit Dimensions'!$A:$N,3,FALSE)</f>
        <v>0</v>
      </c>
      <c r="D217" s="59">
        <f>VLOOKUP(A217,'Billing Dimensions'!$A:$N,4,FALSE)-VLOOKUP(A217,'Audit Dimensions'!$A:$N,4,FALSE)</f>
        <v>0</v>
      </c>
      <c r="E217" s="59">
        <f>VLOOKUP(A217,'Billing Dimensions'!$A:$N,5,FALSE)-VLOOKUP(A217,'Audit Dimensions'!$A:$N,5,FALSE)</f>
        <v>0</v>
      </c>
      <c r="F217" s="137">
        <f>VLOOKUP(A217,'Billing Dimensions'!$A:$N,6,FALSE)-VLOOKUP(A217,'Audit Dimensions'!$A:$N,6,FALSE)</f>
        <v>-2630</v>
      </c>
      <c r="G217" s="65">
        <f>VLOOKUP(A217,'Billing Dimensions'!$A:$N,7,FALSE)-VLOOKUP(A217,'Audit Dimensions'!$A:$N,7,FALSE)</f>
        <v>0</v>
      </c>
      <c r="H217" s="65">
        <f>VLOOKUP(A217,'Billing Dimensions'!$A:$N,8,FALSE)-VLOOKUP(A217,'Audit Dimensions'!$A:$N,8,FALSE)</f>
        <v>0</v>
      </c>
      <c r="I217" s="65">
        <f>VLOOKUP(A217,'Billing Dimensions'!$A:$N,9,FALSE)-VLOOKUP(A217,'Audit Dimensions'!$A:$N,9,FALSE)</f>
        <v>0</v>
      </c>
      <c r="J217" s="61">
        <f>VLOOKUP(A217,'Billing Dimensions'!$A:$N,10,FALSE)-VLOOKUP(A217,'Audit Dimensions'!$A:$N,10,FALSE)</f>
        <v>-1200</v>
      </c>
      <c r="K217" s="63">
        <f>VLOOKUP(A217,'Billing Dimensions'!$A:$N,11,FALSE)-VLOOKUP(A217,'Audit Dimensions'!$A:$N,11,FALSE)</f>
        <v>0</v>
      </c>
      <c r="L217" s="63">
        <f>VLOOKUP(A217,'Billing Dimensions'!$A:$N,12,FALSE)-VLOOKUP(A217,'Audit Dimensions'!$A:$N,12,FALSE)</f>
        <v>0</v>
      </c>
      <c r="M217" s="63">
        <f>VLOOKUP(A217,'Billing Dimensions'!$A:$N,13,FALSE)-VLOOKUP(A217,'Audit Dimensions'!$A:$N,13,FALSE)</f>
        <v>0</v>
      </c>
      <c r="N217" s="140">
        <f>VLOOKUP(A217,'Billing Dimensions'!$A:$N,14,FALSE)-VLOOKUP(A217,'Audit Dimensions'!$A:$N,14,FALSE)</f>
        <v>-800</v>
      </c>
      <c r="O217" s="145">
        <f>VLOOKUP('Audit VAR'!A217,'Audit Dimensions'!A:P,16,FALSE)</f>
        <v>98630</v>
      </c>
      <c r="P217" s="143">
        <f>VLOOKUP(A217,'Billing Dimensions'!A:Q,17,FALSE)-VLOOKUP('Audit VAR'!A217,'Audit Dimensions'!A:P,16,FALSE)</f>
        <v>-4630</v>
      </c>
      <c r="Q217" s="148">
        <f t="shared" si="3"/>
        <v>-4.6943120754334378E-2</v>
      </c>
    </row>
    <row r="218" spans="1:17">
      <c r="A218" s="58" t="str">
        <f>'Audit Dimensions'!A218</f>
        <v>TU-MA-ST</v>
      </c>
      <c r="B218" s="2" t="str">
        <f>VLOOKUP(A218,'Billing Dimensions'!A:B,2,FALSE)</f>
        <v>SB</v>
      </c>
      <c r="C218" s="59">
        <f>VLOOKUP(A218,'Billing Dimensions'!$A:$N,3,FALSE)-VLOOKUP(A218,'Audit Dimensions'!$A:$N,3,FALSE)</f>
        <v>0</v>
      </c>
      <c r="D218" s="59">
        <f>VLOOKUP(A218,'Billing Dimensions'!$A:$N,4,FALSE)-VLOOKUP(A218,'Audit Dimensions'!$A:$N,4,FALSE)</f>
        <v>0</v>
      </c>
      <c r="E218" s="59">
        <f>VLOOKUP(A218,'Billing Dimensions'!$A:$N,5,FALSE)-VLOOKUP(A218,'Audit Dimensions'!$A:$N,5,FALSE)</f>
        <v>0</v>
      </c>
      <c r="F218" s="137">
        <f>VLOOKUP(A218,'Billing Dimensions'!$A:$N,6,FALSE)-VLOOKUP(A218,'Audit Dimensions'!$A:$N,6,FALSE)</f>
        <v>-485</v>
      </c>
      <c r="G218" s="65">
        <f>VLOOKUP(A218,'Billing Dimensions'!$A:$N,7,FALSE)-VLOOKUP(A218,'Audit Dimensions'!$A:$N,7,FALSE)</f>
        <v>0</v>
      </c>
      <c r="H218" s="65">
        <f>VLOOKUP(A218,'Billing Dimensions'!$A:$N,8,FALSE)-VLOOKUP(A218,'Audit Dimensions'!$A:$N,8,FALSE)</f>
        <v>0</v>
      </c>
      <c r="I218" s="65">
        <f>VLOOKUP(A218,'Billing Dimensions'!$A:$N,9,FALSE)-VLOOKUP(A218,'Audit Dimensions'!$A:$N,9,FALSE)</f>
        <v>0</v>
      </c>
      <c r="J218" s="61">
        <f>VLOOKUP(A218,'Billing Dimensions'!$A:$N,10,FALSE)-VLOOKUP(A218,'Audit Dimensions'!$A:$N,10,FALSE)</f>
        <v>0</v>
      </c>
      <c r="K218" s="63">
        <f>VLOOKUP(A218,'Billing Dimensions'!$A:$N,11,FALSE)-VLOOKUP(A218,'Audit Dimensions'!$A:$N,11,FALSE)</f>
        <v>0</v>
      </c>
      <c r="L218" s="63">
        <f>VLOOKUP(A218,'Billing Dimensions'!$A:$N,12,FALSE)-VLOOKUP(A218,'Audit Dimensions'!$A:$N,12,FALSE)</f>
        <v>0</v>
      </c>
      <c r="M218" s="63">
        <f>VLOOKUP(A218,'Billing Dimensions'!$A:$N,13,FALSE)-VLOOKUP(A218,'Audit Dimensions'!$A:$N,13,FALSE)</f>
        <v>0</v>
      </c>
      <c r="N218" s="140">
        <f>VLOOKUP(A218,'Billing Dimensions'!$A:$N,14,FALSE)-VLOOKUP(A218,'Audit Dimensions'!$A:$N,14,FALSE)</f>
        <v>0</v>
      </c>
      <c r="O218" s="145">
        <f>VLOOKUP('Audit VAR'!A218,'Audit Dimensions'!A:P,16,FALSE)</f>
        <v>3335</v>
      </c>
      <c r="P218" s="143">
        <f>VLOOKUP(A218,'Billing Dimensions'!A:Q,17,FALSE)-VLOOKUP('Audit VAR'!A218,'Audit Dimensions'!A:P,16,FALSE)</f>
        <v>-485</v>
      </c>
      <c r="Q218" s="148">
        <f t="shared" si="3"/>
        <v>-0.14542728635682159</v>
      </c>
    </row>
    <row r="219" spans="1:17">
      <c r="A219" s="58" t="str">
        <f>'Audit Dimensions'!A219</f>
        <v>CT-GSE-RT2</v>
      </c>
      <c r="B219" s="2" t="str">
        <f>VLOOKUP(A219,'Billing Dimensions'!A:B,2,FALSE)</f>
        <v>SB</v>
      </c>
      <c r="C219" s="59">
        <f>VLOOKUP(A219,'Billing Dimensions'!$A:$N,3,FALSE)-VLOOKUP(A219,'Audit Dimensions'!$A:$N,3,FALSE)</f>
        <v>-2</v>
      </c>
      <c r="D219" s="59">
        <f>VLOOKUP(A219,'Billing Dimensions'!$A:$N,4,FALSE)-VLOOKUP(A219,'Audit Dimensions'!$A:$N,4,FALSE)</f>
        <v>1</v>
      </c>
      <c r="E219" s="59">
        <f>VLOOKUP(A219,'Billing Dimensions'!$A:$N,5,FALSE)-VLOOKUP(A219,'Audit Dimensions'!$A:$N,5,FALSE)</f>
        <v>0</v>
      </c>
      <c r="F219" s="137">
        <f>VLOOKUP(A219,'Billing Dimensions'!$A:$N,6,FALSE)-VLOOKUP(A219,'Audit Dimensions'!$A:$N,6,FALSE)</f>
        <v>-430</v>
      </c>
      <c r="G219" s="65">
        <f>VLOOKUP(A219,'Billing Dimensions'!$A:$N,7,FALSE)-VLOOKUP(A219,'Audit Dimensions'!$A:$N,7,FALSE)</f>
        <v>0</v>
      </c>
      <c r="H219" s="65">
        <f>VLOOKUP(A219,'Billing Dimensions'!$A:$N,8,FALSE)-VLOOKUP(A219,'Audit Dimensions'!$A:$N,8,FALSE)</f>
        <v>0</v>
      </c>
      <c r="I219" s="65">
        <f>VLOOKUP(A219,'Billing Dimensions'!$A:$N,9,FALSE)-VLOOKUP(A219,'Audit Dimensions'!$A:$N,9,FALSE)</f>
        <v>0</v>
      </c>
      <c r="J219" s="61">
        <f>VLOOKUP(A219,'Billing Dimensions'!$A:$N,10,FALSE)-VLOOKUP(A219,'Audit Dimensions'!$A:$N,10,FALSE)</f>
        <v>0</v>
      </c>
      <c r="K219" s="63">
        <f>VLOOKUP(A219,'Billing Dimensions'!$A:$N,11,FALSE)-VLOOKUP(A219,'Audit Dimensions'!$A:$N,11,FALSE)</f>
        <v>0</v>
      </c>
      <c r="L219" s="63">
        <f>VLOOKUP(A219,'Billing Dimensions'!$A:$N,12,FALSE)-VLOOKUP(A219,'Audit Dimensions'!$A:$N,12,FALSE)</f>
        <v>0</v>
      </c>
      <c r="M219" s="63">
        <f>VLOOKUP(A219,'Billing Dimensions'!$A:$N,13,FALSE)-VLOOKUP(A219,'Audit Dimensions'!$A:$N,13,FALSE)</f>
        <v>0</v>
      </c>
      <c r="N219" s="140">
        <f>VLOOKUP(A219,'Billing Dimensions'!$A:$N,14,FALSE)-VLOOKUP(A219,'Audit Dimensions'!$A:$N,14,FALSE)</f>
        <v>0</v>
      </c>
      <c r="O219" s="145">
        <f>VLOOKUP('Audit VAR'!A219,'Audit Dimensions'!A:P,16,FALSE)</f>
        <v>11820</v>
      </c>
      <c r="P219" s="143">
        <f>VLOOKUP(A219,'Billing Dimensions'!A:Q,17,FALSE)-VLOOKUP('Audit VAR'!A219,'Audit Dimensions'!A:P,16,FALSE)</f>
        <v>-430</v>
      </c>
      <c r="Q219" s="148">
        <f t="shared" si="3"/>
        <v>-3.6379018612521151E-2</v>
      </c>
    </row>
    <row r="220" spans="1:17">
      <c r="A220" s="58" t="str">
        <f>'Audit Dimensions'!A220</f>
        <v>S-AB</v>
      </c>
      <c r="B220" s="2" t="str">
        <f>VLOOKUP(A220,'Billing Dimensions'!A:B,2,FALSE)</f>
        <v>SB</v>
      </c>
      <c r="C220" s="59">
        <f>VLOOKUP(A220,'Billing Dimensions'!$A:$N,3,FALSE)-VLOOKUP(A220,'Audit Dimensions'!$A:$N,3,FALSE)</f>
        <v>0</v>
      </c>
      <c r="D220" s="59">
        <f>VLOOKUP(A220,'Billing Dimensions'!$A:$N,4,FALSE)-VLOOKUP(A220,'Audit Dimensions'!$A:$N,4,FALSE)</f>
        <v>0</v>
      </c>
      <c r="E220" s="59">
        <f>VLOOKUP(A220,'Billing Dimensions'!$A:$N,5,FALSE)-VLOOKUP(A220,'Audit Dimensions'!$A:$N,5,FALSE)</f>
        <v>0</v>
      </c>
      <c r="F220" s="137">
        <f>VLOOKUP(A220,'Billing Dimensions'!$A:$N,6,FALSE)-VLOOKUP(A220,'Audit Dimensions'!$A:$N,6,FALSE)</f>
        <v>-600</v>
      </c>
      <c r="G220" s="65">
        <f>VLOOKUP(A220,'Billing Dimensions'!$A:$N,7,FALSE)-VLOOKUP(A220,'Audit Dimensions'!$A:$N,7,FALSE)</f>
        <v>0</v>
      </c>
      <c r="H220" s="65">
        <f>VLOOKUP(A220,'Billing Dimensions'!$A:$N,8,FALSE)-VLOOKUP(A220,'Audit Dimensions'!$A:$N,8,FALSE)</f>
        <v>0</v>
      </c>
      <c r="I220" s="65">
        <f>VLOOKUP(A220,'Billing Dimensions'!$A:$N,9,FALSE)-VLOOKUP(A220,'Audit Dimensions'!$A:$N,9,FALSE)</f>
        <v>0</v>
      </c>
      <c r="J220" s="61">
        <f>VLOOKUP(A220,'Billing Dimensions'!$A:$N,10,FALSE)-VLOOKUP(A220,'Audit Dimensions'!$A:$N,10,FALSE)</f>
        <v>0</v>
      </c>
      <c r="K220" s="63">
        <f>VLOOKUP(A220,'Billing Dimensions'!$A:$N,11,FALSE)-VLOOKUP(A220,'Audit Dimensions'!$A:$N,11,FALSE)</f>
        <v>0</v>
      </c>
      <c r="L220" s="63">
        <f>VLOOKUP(A220,'Billing Dimensions'!$A:$N,12,FALSE)-VLOOKUP(A220,'Audit Dimensions'!$A:$N,12,FALSE)</f>
        <v>0</v>
      </c>
      <c r="M220" s="63">
        <f>VLOOKUP(A220,'Billing Dimensions'!$A:$N,13,FALSE)-VLOOKUP(A220,'Audit Dimensions'!$A:$N,13,FALSE)</f>
        <v>0</v>
      </c>
      <c r="N220" s="140">
        <f>VLOOKUP(A220,'Billing Dimensions'!$A:$N,14,FALSE)-VLOOKUP(A220,'Audit Dimensions'!$A:$N,14,FALSE)</f>
        <v>0</v>
      </c>
      <c r="O220" s="145">
        <f>VLOOKUP('Audit VAR'!A220,'Audit Dimensions'!A:P,16,FALSE)</f>
        <v>6400</v>
      </c>
      <c r="P220" s="143">
        <f>VLOOKUP(A220,'Billing Dimensions'!A:Q,17,FALSE)-VLOOKUP('Audit VAR'!A220,'Audit Dimensions'!A:P,16,FALSE)</f>
        <v>-600</v>
      </c>
      <c r="Q220" s="148">
        <f t="shared" si="3"/>
        <v>-9.375E-2</v>
      </c>
    </row>
    <row r="221" spans="1:17">
      <c r="A221" s="58" t="str">
        <f>'Audit Dimensions'!A221</f>
        <v>DC-MYN-LA</v>
      </c>
      <c r="B221" s="2" t="str">
        <f>VLOOKUP(A221,'Billing Dimensions'!A:B,2,FALSE)</f>
        <v>MB</v>
      </c>
      <c r="C221" s="59">
        <f>VLOOKUP(A221,'Billing Dimensions'!$A:$N,3,FALSE)-VLOOKUP(A221,'Audit Dimensions'!$A:$N,3,FALSE)</f>
        <v>0</v>
      </c>
      <c r="D221" s="59">
        <f>VLOOKUP(A221,'Billing Dimensions'!$A:$N,4,FALSE)-VLOOKUP(A221,'Audit Dimensions'!$A:$N,4,FALSE)</f>
        <v>0</v>
      </c>
      <c r="E221" s="59">
        <f>VLOOKUP(A221,'Billing Dimensions'!$A:$N,5,FALSE)-VLOOKUP(A221,'Audit Dimensions'!$A:$N,5,FALSE)</f>
        <v>0</v>
      </c>
      <c r="F221" s="137">
        <f>VLOOKUP(A221,'Billing Dimensions'!$A:$N,6,FALSE)-VLOOKUP(A221,'Audit Dimensions'!$A:$N,6,FALSE)</f>
        <v>-800</v>
      </c>
      <c r="G221" s="65">
        <f>VLOOKUP(A221,'Billing Dimensions'!$A:$N,7,FALSE)-VLOOKUP(A221,'Audit Dimensions'!$A:$N,7,FALSE)</f>
        <v>0</v>
      </c>
      <c r="H221" s="65">
        <f>VLOOKUP(A221,'Billing Dimensions'!$A:$N,8,FALSE)-VLOOKUP(A221,'Audit Dimensions'!$A:$N,8,FALSE)</f>
        <v>0</v>
      </c>
      <c r="I221" s="65">
        <f>VLOOKUP(A221,'Billing Dimensions'!$A:$N,9,FALSE)-VLOOKUP(A221,'Audit Dimensions'!$A:$N,9,FALSE)</f>
        <v>0</v>
      </c>
      <c r="J221" s="61">
        <f>VLOOKUP(A221,'Billing Dimensions'!$A:$N,10,FALSE)-VLOOKUP(A221,'Audit Dimensions'!$A:$N,10,FALSE)</f>
        <v>-1580</v>
      </c>
      <c r="K221" s="63">
        <f>VLOOKUP(A221,'Billing Dimensions'!$A:$N,11,FALSE)-VLOOKUP(A221,'Audit Dimensions'!$A:$N,11,FALSE)</f>
        <v>0</v>
      </c>
      <c r="L221" s="63">
        <f>VLOOKUP(A221,'Billing Dimensions'!$A:$N,12,FALSE)-VLOOKUP(A221,'Audit Dimensions'!$A:$N,12,FALSE)</f>
        <v>0</v>
      </c>
      <c r="M221" s="63">
        <f>VLOOKUP(A221,'Billing Dimensions'!$A:$N,13,FALSE)-VLOOKUP(A221,'Audit Dimensions'!$A:$N,13,FALSE)</f>
        <v>0</v>
      </c>
      <c r="N221" s="140">
        <f>VLOOKUP(A221,'Billing Dimensions'!$A:$N,14,FALSE)-VLOOKUP(A221,'Audit Dimensions'!$A:$N,14,FALSE)</f>
        <v>0</v>
      </c>
      <c r="O221" s="145">
        <f>VLOOKUP('Audit VAR'!A221,'Audit Dimensions'!A:P,16,FALSE)</f>
        <v>67930</v>
      </c>
      <c r="P221" s="143">
        <f>VLOOKUP(A221,'Billing Dimensions'!A:Q,17,FALSE)-VLOOKUP('Audit VAR'!A221,'Audit Dimensions'!A:P,16,FALSE)</f>
        <v>-2380</v>
      </c>
      <c r="Q221" s="148">
        <f t="shared" si="3"/>
        <v>-3.5036066539084351E-2</v>
      </c>
    </row>
    <row r="222" spans="1:17">
      <c r="A222" s="58" t="str">
        <f>'Audit Dimensions'!A222</f>
        <v>SR-KPN</v>
      </c>
      <c r="B222" s="2" t="str">
        <f>VLOOKUP(A222,'Billing Dimensions'!A:B,2,FALSE)</f>
        <v>SB</v>
      </c>
      <c r="C222" s="59">
        <f>VLOOKUP(A222,'Billing Dimensions'!$A:$N,3,FALSE)-VLOOKUP(A222,'Audit Dimensions'!$A:$N,3,FALSE)</f>
        <v>0</v>
      </c>
      <c r="D222" s="59">
        <f>VLOOKUP(A222,'Billing Dimensions'!$A:$N,4,FALSE)-VLOOKUP(A222,'Audit Dimensions'!$A:$N,4,FALSE)</f>
        <v>0</v>
      </c>
      <c r="E222" s="59">
        <f>VLOOKUP(A222,'Billing Dimensions'!$A:$N,5,FALSE)-VLOOKUP(A222,'Audit Dimensions'!$A:$N,5,FALSE)</f>
        <v>0</v>
      </c>
      <c r="F222" s="137">
        <f>VLOOKUP(A222,'Billing Dimensions'!$A:$N,6,FALSE)-VLOOKUP(A222,'Audit Dimensions'!$A:$N,6,FALSE)</f>
        <v>-1700</v>
      </c>
      <c r="G222" s="65">
        <f>VLOOKUP(A222,'Billing Dimensions'!$A:$N,7,FALSE)-VLOOKUP(A222,'Audit Dimensions'!$A:$N,7,FALSE)</f>
        <v>0</v>
      </c>
      <c r="H222" s="65">
        <f>VLOOKUP(A222,'Billing Dimensions'!$A:$N,8,FALSE)-VLOOKUP(A222,'Audit Dimensions'!$A:$N,8,FALSE)</f>
        <v>0</v>
      </c>
      <c r="I222" s="65">
        <f>VLOOKUP(A222,'Billing Dimensions'!$A:$N,9,FALSE)-VLOOKUP(A222,'Audit Dimensions'!$A:$N,9,FALSE)</f>
        <v>0</v>
      </c>
      <c r="J222" s="61">
        <f>VLOOKUP(A222,'Billing Dimensions'!$A:$N,10,FALSE)-VLOOKUP(A222,'Audit Dimensions'!$A:$N,10,FALSE)</f>
        <v>0</v>
      </c>
      <c r="K222" s="63">
        <f>VLOOKUP(A222,'Billing Dimensions'!$A:$N,11,FALSE)-VLOOKUP(A222,'Audit Dimensions'!$A:$N,11,FALSE)</f>
        <v>0</v>
      </c>
      <c r="L222" s="63">
        <f>VLOOKUP(A222,'Billing Dimensions'!$A:$N,12,FALSE)-VLOOKUP(A222,'Audit Dimensions'!$A:$N,12,FALSE)</f>
        <v>0</v>
      </c>
      <c r="M222" s="63">
        <f>VLOOKUP(A222,'Billing Dimensions'!$A:$N,13,FALSE)-VLOOKUP(A222,'Audit Dimensions'!$A:$N,13,FALSE)</f>
        <v>0</v>
      </c>
      <c r="N222" s="140">
        <f>VLOOKUP(A222,'Billing Dimensions'!$A:$N,14,FALSE)-VLOOKUP(A222,'Audit Dimensions'!$A:$N,14,FALSE)</f>
        <v>0</v>
      </c>
      <c r="O222" s="145">
        <f>VLOOKUP('Audit VAR'!A222,'Audit Dimensions'!A:P,16,FALSE)</f>
        <v>36200</v>
      </c>
      <c r="P222" s="143">
        <f>VLOOKUP(A222,'Billing Dimensions'!A:Q,17,FALSE)-VLOOKUP('Audit VAR'!A222,'Audit Dimensions'!A:P,16,FALSE)</f>
        <v>-1700</v>
      </c>
      <c r="Q222" s="148">
        <f t="shared" si="3"/>
        <v>-4.6961325966850827E-2</v>
      </c>
    </row>
    <row r="223" spans="1:17">
      <c r="A223" s="58" t="str">
        <f>'Audit Dimensions'!A223</f>
        <v>CT-SY</v>
      </c>
      <c r="B223" s="2" t="str">
        <f>VLOOKUP(A223,'Billing Dimensions'!A:B,2,FALSE)</f>
        <v>SB</v>
      </c>
      <c r="C223" s="59">
        <f>VLOOKUP(A223,'Billing Dimensions'!$A:$N,3,FALSE)-VLOOKUP(A223,'Audit Dimensions'!$A:$N,3,FALSE)</f>
        <v>0</v>
      </c>
      <c r="D223" s="59">
        <f>VLOOKUP(A223,'Billing Dimensions'!$A:$N,4,FALSE)-VLOOKUP(A223,'Audit Dimensions'!$A:$N,4,FALSE)</f>
        <v>0</v>
      </c>
      <c r="E223" s="59">
        <f>VLOOKUP(A223,'Billing Dimensions'!$A:$N,5,FALSE)-VLOOKUP(A223,'Audit Dimensions'!$A:$N,5,FALSE)</f>
        <v>0</v>
      </c>
      <c r="F223" s="137">
        <f>VLOOKUP(A223,'Billing Dimensions'!$A:$N,6,FALSE)-VLOOKUP(A223,'Audit Dimensions'!$A:$N,6,FALSE)</f>
        <v>-670</v>
      </c>
      <c r="G223" s="65">
        <f>VLOOKUP(A223,'Billing Dimensions'!$A:$N,7,FALSE)-VLOOKUP(A223,'Audit Dimensions'!$A:$N,7,FALSE)</f>
        <v>0</v>
      </c>
      <c r="H223" s="65">
        <f>VLOOKUP(A223,'Billing Dimensions'!$A:$N,8,FALSE)-VLOOKUP(A223,'Audit Dimensions'!$A:$N,8,FALSE)</f>
        <v>0</v>
      </c>
      <c r="I223" s="65">
        <f>VLOOKUP(A223,'Billing Dimensions'!$A:$N,9,FALSE)-VLOOKUP(A223,'Audit Dimensions'!$A:$N,9,FALSE)</f>
        <v>0</v>
      </c>
      <c r="J223" s="61">
        <f>VLOOKUP(A223,'Billing Dimensions'!$A:$N,10,FALSE)-VLOOKUP(A223,'Audit Dimensions'!$A:$N,10,FALSE)</f>
        <v>0</v>
      </c>
      <c r="K223" s="63">
        <f>VLOOKUP(A223,'Billing Dimensions'!$A:$N,11,FALSE)-VLOOKUP(A223,'Audit Dimensions'!$A:$N,11,FALSE)</f>
        <v>0</v>
      </c>
      <c r="L223" s="63">
        <f>VLOOKUP(A223,'Billing Dimensions'!$A:$N,12,FALSE)-VLOOKUP(A223,'Audit Dimensions'!$A:$N,12,FALSE)</f>
        <v>0</v>
      </c>
      <c r="M223" s="63">
        <f>VLOOKUP(A223,'Billing Dimensions'!$A:$N,13,FALSE)-VLOOKUP(A223,'Audit Dimensions'!$A:$N,13,FALSE)</f>
        <v>0</v>
      </c>
      <c r="N223" s="140">
        <f>VLOOKUP(A223,'Billing Dimensions'!$A:$N,14,FALSE)-VLOOKUP(A223,'Audit Dimensions'!$A:$N,14,FALSE)</f>
        <v>0</v>
      </c>
      <c r="O223" s="145">
        <f>VLOOKUP('Audit VAR'!A223,'Audit Dimensions'!A:P,16,FALSE)</f>
        <v>11540</v>
      </c>
      <c r="P223" s="143">
        <f>VLOOKUP(A223,'Billing Dimensions'!A:Q,17,FALSE)-VLOOKUP('Audit VAR'!A223,'Audit Dimensions'!A:P,16,FALSE)</f>
        <v>-670</v>
      </c>
      <c r="Q223" s="148">
        <f t="shared" si="3"/>
        <v>-5.8058925476603122E-2</v>
      </c>
    </row>
    <row r="224" spans="1:17">
      <c r="A224" s="58" t="str">
        <f>'Audit Dimensions'!A224</f>
        <v>KH-WLR</v>
      </c>
      <c r="B224" s="2" t="str">
        <f>VLOOKUP(A224,'Billing Dimensions'!A:B,2,FALSE)</f>
        <v>SB</v>
      </c>
      <c r="C224" s="59">
        <f>VLOOKUP(A224,'Billing Dimensions'!$A:$N,3,FALSE)-VLOOKUP(A224,'Audit Dimensions'!$A:$N,3,FALSE)</f>
        <v>0</v>
      </c>
      <c r="D224" s="59">
        <f>VLOOKUP(A224,'Billing Dimensions'!$A:$N,4,FALSE)-VLOOKUP(A224,'Audit Dimensions'!$A:$N,4,FALSE)</f>
        <v>0</v>
      </c>
      <c r="E224" s="59">
        <f>VLOOKUP(A224,'Billing Dimensions'!$A:$N,5,FALSE)-VLOOKUP(A224,'Audit Dimensions'!$A:$N,5,FALSE)</f>
        <v>0</v>
      </c>
      <c r="F224" s="137">
        <f>VLOOKUP(A224,'Billing Dimensions'!$A:$N,6,FALSE)-VLOOKUP(A224,'Audit Dimensions'!$A:$N,6,FALSE)</f>
        <v>0</v>
      </c>
      <c r="G224" s="65">
        <f>VLOOKUP(A224,'Billing Dimensions'!$A:$N,7,FALSE)-VLOOKUP(A224,'Audit Dimensions'!$A:$N,7,FALSE)</f>
        <v>0</v>
      </c>
      <c r="H224" s="65">
        <f>VLOOKUP(A224,'Billing Dimensions'!$A:$N,8,FALSE)-VLOOKUP(A224,'Audit Dimensions'!$A:$N,8,FALSE)</f>
        <v>0</v>
      </c>
      <c r="I224" s="65">
        <f>VLOOKUP(A224,'Billing Dimensions'!$A:$N,9,FALSE)-VLOOKUP(A224,'Audit Dimensions'!$A:$N,9,FALSE)</f>
        <v>0</v>
      </c>
      <c r="J224" s="61">
        <f>VLOOKUP(A224,'Billing Dimensions'!$A:$N,10,FALSE)-VLOOKUP(A224,'Audit Dimensions'!$A:$N,10,FALSE)</f>
        <v>0</v>
      </c>
      <c r="K224" s="63">
        <f>VLOOKUP(A224,'Billing Dimensions'!$A:$N,11,FALSE)-VLOOKUP(A224,'Audit Dimensions'!$A:$N,11,FALSE)</f>
        <v>0</v>
      </c>
      <c r="L224" s="63">
        <f>VLOOKUP(A224,'Billing Dimensions'!$A:$N,12,FALSE)-VLOOKUP(A224,'Audit Dimensions'!$A:$N,12,FALSE)</f>
        <v>0</v>
      </c>
      <c r="M224" s="63">
        <f>VLOOKUP(A224,'Billing Dimensions'!$A:$N,13,FALSE)-VLOOKUP(A224,'Audit Dimensions'!$A:$N,13,FALSE)</f>
        <v>0</v>
      </c>
      <c r="N224" s="140">
        <f>VLOOKUP(A224,'Billing Dimensions'!$A:$N,14,FALSE)-VLOOKUP(A224,'Audit Dimensions'!$A:$N,14,FALSE)</f>
        <v>0</v>
      </c>
      <c r="O224" s="145">
        <f>VLOOKUP('Audit VAR'!A224,'Audit Dimensions'!A:P,16,FALSE)</f>
        <v>266</v>
      </c>
      <c r="P224" s="143">
        <f>VLOOKUP(A224,'Billing Dimensions'!A:Q,17,FALSE)-VLOOKUP('Audit VAR'!A224,'Audit Dimensions'!A:P,16,FALSE)</f>
        <v>0</v>
      </c>
      <c r="Q224" s="148">
        <f t="shared" si="3"/>
        <v>0</v>
      </c>
    </row>
    <row r="225" spans="1:17">
      <c r="A225" s="58" t="str">
        <f>'Audit Dimensions'!A225</f>
        <v>CT-MT-RO</v>
      </c>
      <c r="B225" s="2" t="str">
        <f>VLOOKUP(A225,'Billing Dimensions'!A:B,2,FALSE)</f>
        <v>MB</v>
      </c>
      <c r="C225" s="59">
        <f>VLOOKUP(A225,'Billing Dimensions'!$A:$N,3,FALSE)-VLOOKUP(A225,'Audit Dimensions'!$A:$N,3,FALSE)</f>
        <v>-3</v>
      </c>
      <c r="D225" s="59">
        <f>VLOOKUP(A225,'Billing Dimensions'!$A:$N,4,FALSE)-VLOOKUP(A225,'Audit Dimensions'!$A:$N,4,FALSE)</f>
        <v>0</v>
      </c>
      <c r="E225" s="59">
        <f>VLOOKUP(A225,'Billing Dimensions'!$A:$N,5,FALSE)-VLOOKUP(A225,'Audit Dimensions'!$A:$N,5,FALSE)</f>
        <v>-1</v>
      </c>
      <c r="F225" s="137">
        <f>VLOOKUP(A225,'Billing Dimensions'!$A:$N,6,FALSE)-VLOOKUP(A225,'Audit Dimensions'!$A:$N,6,FALSE)</f>
        <v>-400</v>
      </c>
      <c r="G225" s="65">
        <f>VLOOKUP(A225,'Billing Dimensions'!$A:$N,7,FALSE)-VLOOKUP(A225,'Audit Dimensions'!$A:$N,7,FALSE)</f>
        <v>-6</v>
      </c>
      <c r="H225" s="65">
        <f>VLOOKUP(A225,'Billing Dimensions'!$A:$N,8,FALSE)-VLOOKUP(A225,'Audit Dimensions'!$A:$N,8,FALSE)</f>
        <v>-2</v>
      </c>
      <c r="I225" s="65">
        <f>VLOOKUP(A225,'Billing Dimensions'!$A:$N,9,FALSE)-VLOOKUP(A225,'Audit Dimensions'!$A:$N,9,FALSE)</f>
        <v>-2</v>
      </c>
      <c r="J225" s="61">
        <f>VLOOKUP(A225,'Billing Dimensions'!$A:$N,10,FALSE)-VLOOKUP(A225,'Audit Dimensions'!$A:$N,10,FALSE)</f>
        <v>-200</v>
      </c>
      <c r="K225" s="63">
        <f>VLOOKUP(A225,'Billing Dimensions'!$A:$N,11,FALSE)-VLOOKUP(A225,'Audit Dimensions'!$A:$N,11,FALSE)</f>
        <v>0</v>
      </c>
      <c r="L225" s="63">
        <f>VLOOKUP(A225,'Billing Dimensions'!$A:$N,12,FALSE)-VLOOKUP(A225,'Audit Dimensions'!$A:$N,12,FALSE)</f>
        <v>0</v>
      </c>
      <c r="M225" s="63">
        <f>VLOOKUP(A225,'Billing Dimensions'!$A:$N,13,FALSE)-VLOOKUP(A225,'Audit Dimensions'!$A:$N,13,FALSE)</f>
        <v>0</v>
      </c>
      <c r="N225" s="140">
        <f>VLOOKUP(A225,'Billing Dimensions'!$A:$N,14,FALSE)-VLOOKUP(A225,'Audit Dimensions'!$A:$N,14,FALSE)</f>
        <v>0</v>
      </c>
      <c r="O225" s="145">
        <f>VLOOKUP('Audit VAR'!A225,'Audit Dimensions'!A:P,16,FALSE)</f>
        <v>5550</v>
      </c>
      <c r="P225" s="143">
        <f>VLOOKUP(A225,'Billing Dimensions'!A:Q,17,FALSE)-VLOOKUP('Audit VAR'!A225,'Audit Dimensions'!A:P,16,FALSE)</f>
        <v>-600</v>
      </c>
      <c r="Q225" s="148">
        <f t="shared" si="3"/>
        <v>-0.10810810810810811</v>
      </c>
    </row>
    <row r="226" spans="1:17">
      <c r="A226" s="58" t="str">
        <f>'Audit Dimensions'!A226</f>
        <v>TU-VC</v>
      </c>
      <c r="B226" s="2" t="str">
        <f>VLOOKUP(A226,'Billing Dimensions'!A:B,2,FALSE)</f>
        <v>SB</v>
      </c>
      <c r="C226" s="59">
        <f>VLOOKUP(A226,'Billing Dimensions'!$A:$N,3,FALSE)-VLOOKUP(A226,'Audit Dimensions'!$A:$N,3,FALSE)</f>
        <v>0</v>
      </c>
      <c r="D226" s="59">
        <f>VLOOKUP(A226,'Billing Dimensions'!$A:$N,4,FALSE)-VLOOKUP(A226,'Audit Dimensions'!$A:$N,4,FALSE)</f>
        <v>0</v>
      </c>
      <c r="E226" s="59">
        <f>VLOOKUP(A226,'Billing Dimensions'!$A:$N,5,FALSE)-VLOOKUP(A226,'Audit Dimensions'!$A:$N,5,FALSE)</f>
        <v>0</v>
      </c>
      <c r="F226" s="137">
        <f>VLOOKUP(A226,'Billing Dimensions'!$A:$N,6,FALSE)-VLOOKUP(A226,'Audit Dimensions'!$A:$N,6,FALSE)</f>
        <v>-430</v>
      </c>
      <c r="G226" s="65">
        <f>VLOOKUP(A226,'Billing Dimensions'!$A:$N,7,FALSE)-VLOOKUP(A226,'Audit Dimensions'!$A:$N,7,FALSE)</f>
        <v>0</v>
      </c>
      <c r="H226" s="65">
        <f>VLOOKUP(A226,'Billing Dimensions'!$A:$N,8,FALSE)-VLOOKUP(A226,'Audit Dimensions'!$A:$N,8,FALSE)</f>
        <v>0</v>
      </c>
      <c r="I226" s="65">
        <f>VLOOKUP(A226,'Billing Dimensions'!$A:$N,9,FALSE)-VLOOKUP(A226,'Audit Dimensions'!$A:$N,9,FALSE)</f>
        <v>0</v>
      </c>
      <c r="J226" s="61">
        <f>VLOOKUP(A226,'Billing Dimensions'!$A:$N,10,FALSE)-VLOOKUP(A226,'Audit Dimensions'!$A:$N,10,FALSE)</f>
        <v>0</v>
      </c>
      <c r="K226" s="63">
        <f>VLOOKUP(A226,'Billing Dimensions'!$A:$N,11,FALSE)-VLOOKUP(A226,'Audit Dimensions'!$A:$N,11,FALSE)</f>
        <v>0</v>
      </c>
      <c r="L226" s="63">
        <f>VLOOKUP(A226,'Billing Dimensions'!$A:$N,12,FALSE)-VLOOKUP(A226,'Audit Dimensions'!$A:$N,12,FALSE)</f>
        <v>0</v>
      </c>
      <c r="M226" s="63">
        <f>VLOOKUP(A226,'Billing Dimensions'!$A:$N,13,FALSE)-VLOOKUP(A226,'Audit Dimensions'!$A:$N,13,FALSE)</f>
        <v>0</v>
      </c>
      <c r="N226" s="140">
        <f>VLOOKUP(A226,'Billing Dimensions'!$A:$N,14,FALSE)-VLOOKUP(A226,'Audit Dimensions'!$A:$N,14,FALSE)</f>
        <v>0</v>
      </c>
      <c r="O226" s="145">
        <f>VLOOKUP('Audit VAR'!A226,'Audit Dimensions'!A:P,16,FALSE)</f>
        <v>13230</v>
      </c>
      <c r="P226" s="143">
        <f>VLOOKUP(A226,'Billing Dimensions'!A:Q,17,FALSE)-VLOOKUP('Audit VAR'!A226,'Audit Dimensions'!A:P,16,FALSE)</f>
        <v>-430</v>
      </c>
      <c r="Q226" s="148">
        <f t="shared" si="3"/>
        <v>-3.250188964474679E-2</v>
      </c>
    </row>
    <row r="227" spans="1:17">
      <c r="A227" s="58" t="str">
        <f>'Audit Dimensions'!A227</f>
        <v>TU-ETY-ST</v>
      </c>
      <c r="B227" s="2" t="str">
        <f>VLOOKUP(A227,'Billing Dimensions'!A:B,2,FALSE)</f>
        <v>SB</v>
      </c>
      <c r="C227" s="59">
        <f>VLOOKUP(A227,'Billing Dimensions'!$A:$N,3,FALSE)-VLOOKUP(A227,'Audit Dimensions'!$A:$N,3,FALSE)</f>
        <v>0</v>
      </c>
      <c r="D227" s="59">
        <f>VLOOKUP(A227,'Billing Dimensions'!$A:$N,4,FALSE)-VLOOKUP(A227,'Audit Dimensions'!$A:$N,4,FALSE)</f>
        <v>0</v>
      </c>
      <c r="E227" s="59">
        <f>VLOOKUP(A227,'Billing Dimensions'!$A:$N,5,FALSE)-VLOOKUP(A227,'Audit Dimensions'!$A:$N,5,FALSE)</f>
        <v>0</v>
      </c>
      <c r="F227" s="137">
        <f>VLOOKUP(A227,'Billing Dimensions'!$A:$N,6,FALSE)-VLOOKUP(A227,'Audit Dimensions'!$A:$N,6,FALSE)</f>
        <v>-1070</v>
      </c>
      <c r="G227" s="65">
        <f>VLOOKUP(A227,'Billing Dimensions'!$A:$N,7,FALSE)-VLOOKUP(A227,'Audit Dimensions'!$A:$N,7,FALSE)</f>
        <v>0</v>
      </c>
      <c r="H227" s="65">
        <f>VLOOKUP(A227,'Billing Dimensions'!$A:$N,8,FALSE)-VLOOKUP(A227,'Audit Dimensions'!$A:$N,8,FALSE)</f>
        <v>0</v>
      </c>
      <c r="I227" s="65">
        <f>VLOOKUP(A227,'Billing Dimensions'!$A:$N,9,FALSE)-VLOOKUP(A227,'Audit Dimensions'!$A:$N,9,FALSE)</f>
        <v>0</v>
      </c>
      <c r="J227" s="61">
        <f>VLOOKUP(A227,'Billing Dimensions'!$A:$N,10,FALSE)-VLOOKUP(A227,'Audit Dimensions'!$A:$N,10,FALSE)</f>
        <v>0</v>
      </c>
      <c r="K227" s="63">
        <f>VLOOKUP(A227,'Billing Dimensions'!$A:$N,11,FALSE)-VLOOKUP(A227,'Audit Dimensions'!$A:$N,11,FALSE)</f>
        <v>0</v>
      </c>
      <c r="L227" s="63">
        <f>VLOOKUP(A227,'Billing Dimensions'!$A:$N,12,FALSE)-VLOOKUP(A227,'Audit Dimensions'!$A:$N,12,FALSE)</f>
        <v>0</v>
      </c>
      <c r="M227" s="63">
        <f>VLOOKUP(A227,'Billing Dimensions'!$A:$N,13,FALSE)-VLOOKUP(A227,'Audit Dimensions'!$A:$N,13,FALSE)</f>
        <v>0</v>
      </c>
      <c r="N227" s="140">
        <f>VLOOKUP(A227,'Billing Dimensions'!$A:$N,14,FALSE)-VLOOKUP(A227,'Audit Dimensions'!$A:$N,14,FALSE)</f>
        <v>0</v>
      </c>
      <c r="O227" s="145">
        <f>VLOOKUP('Audit VAR'!A227,'Audit Dimensions'!A:P,16,FALSE)</f>
        <v>10870</v>
      </c>
      <c r="P227" s="143">
        <f>VLOOKUP(A227,'Billing Dimensions'!A:Q,17,FALSE)-VLOOKUP('Audit VAR'!A227,'Audit Dimensions'!A:P,16,FALSE)</f>
        <v>-1070</v>
      </c>
      <c r="Q227" s="148">
        <f t="shared" si="3"/>
        <v>-9.8436062557497706E-2</v>
      </c>
    </row>
    <row r="228" spans="1:17">
      <c r="A228" s="58" t="str">
        <f>'Audit Dimensions'!A228</f>
        <v>RH-RL</v>
      </c>
      <c r="B228" s="2" t="str">
        <f>VLOOKUP(A228,'Billing Dimensions'!A:B,2,FALSE)</f>
        <v>SB</v>
      </c>
      <c r="C228" s="59">
        <f>VLOOKUP(A228,'Billing Dimensions'!$A:$N,3,FALSE)-VLOOKUP(A228,'Audit Dimensions'!$A:$N,3,FALSE)</f>
        <v>-1</v>
      </c>
      <c r="D228" s="59">
        <f>VLOOKUP(A228,'Billing Dimensions'!$A:$N,4,FALSE)-VLOOKUP(A228,'Audit Dimensions'!$A:$N,4,FALSE)</f>
        <v>-2</v>
      </c>
      <c r="E228" s="59">
        <f>VLOOKUP(A228,'Billing Dimensions'!$A:$N,5,FALSE)-VLOOKUP(A228,'Audit Dimensions'!$A:$N,5,FALSE)</f>
        <v>-2</v>
      </c>
      <c r="F228" s="137">
        <f>VLOOKUP(A228,'Billing Dimensions'!$A:$N,6,FALSE)-VLOOKUP(A228,'Audit Dimensions'!$A:$N,6,FALSE)</f>
        <v>0</v>
      </c>
      <c r="G228" s="65">
        <f>VLOOKUP(A228,'Billing Dimensions'!$A:$N,7,FALSE)-VLOOKUP(A228,'Audit Dimensions'!$A:$N,7,FALSE)</f>
        <v>0</v>
      </c>
      <c r="H228" s="65">
        <f>VLOOKUP(A228,'Billing Dimensions'!$A:$N,8,FALSE)-VLOOKUP(A228,'Audit Dimensions'!$A:$N,8,FALSE)</f>
        <v>0</v>
      </c>
      <c r="I228" s="65">
        <f>VLOOKUP(A228,'Billing Dimensions'!$A:$N,9,FALSE)-VLOOKUP(A228,'Audit Dimensions'!$A:$N,9,FALSE)</f>
        <v>0</v>
      </c>
      <c r="J228" s="61">
        <f>VLOOKUP(A228,'Billing Dimensions'!$A:$N,10,FALSE)-VLOOKUP(A228,'Audit Dimensions'!$A:$N,10,FALSE)</f>
        <v>0</v>
      </c>
      <c r="K228" s="63">
        <f>VLOOKUP(A228,'Billing Dimensions'!$A:$N,11,FALSE)-VLOOKUP(A228,'Audit Dimensions'!$A:$N,11,FALSE)</f>
        <v>0</v>
      </c>
      <c r="L228" s="63">
        <f>VLOOKUP(A228,'Billing Dimensions'!$A:$N,12,FALSE)-VLOOKUP(A228,'Audit Dimensions'!$A:$N,12,FALSE)</f>
        <v>0</v>
      </c>
      <c r="M228" s="63">
        <f>VLOOKUP(A228,'Billing Dimensions'!$A:$N,13,FALSE)-VLOOKUP(A228,'Audit Dimensions'!$A:$N,13,FALSE)</f>
        <v>0</v>
      </c>
      <c r="N228" s="140">
        <f>VLOOKUP(A228,'Billing Dimensions'!$A:$N,14,FALSE)-VLOOKUP(A228,'Audit Dimensions'!$A:$N,14,FALSE)</f>
        <v>0</v>
      </c>
      <c r="O228" s="145">
        <f>VLOOKUP('Audit VAR'!A228,'Audit Dimensions'!A:P,16,FALSE)</f>
        <v>700</v>
      </c>
      <c r="P228" s="143">
        <f>VLOOKUP(A228,'Billing Dimensions'!A:Q,17,FALSE)-VLOOKUP('Audit VAR'!A228,'Audit Dimensions'!A:P,16,FALSE)</f>
        <v>0</v>
      </c>
      <c r="Q228" s="148">
        <f t="shared" si="3"/>
        <v>0</v>
      </c>
    </row>
    <row r="229" spans="1:17">
      <c r="A229" s="58" t="str">
        <f>'Audit Dimensions'!A229</f>
        <v>TU-PM-ST</v>
      </c>
      <c r="B229" s="2" t="str">
        <f>VLOOKUP(A229,'Billing Dimensions'!A:B,2,FALSE)</f>
        <v>SB</v>
      </c>
      <c r="C229" s="59">
        <f>VLOOKUP(A229,'Billing Dimensions'!$A:$N,3,FALSE)-VLOOKUP(A229,'Audit Dimensions'!$A:$N,3,FALSE)</f>
        <v>0</v>
      </c>
      <c r="D229" s="59">
        <f>VLOOKUP(A229,'Billing Dimensions'!$A:$N,4,FALSE)-VLOOKUP(A229,'Audit Dimensions'!$A:$N,4,FALSE)</f>
        <v>0</v>
      </c>
      <c r="E229" s="59">
        <f>VLOOKUP(A229,'Billing Dimensions'!$A:$N,5,FALSE)-VLOOKUP(A229,'Audit Dimensions'!$A:$N,5,FALSE)</f>
        <v>0</v>
      </c>
      <c r="F229" s="137">
        <f>VLOOKUP(A229,'Billing Dimensions'!$A:$N,6,FALSE)-VLOOKUP(A229,'Audit Dimensions'!$A:$N,6,FALSE)</f>
        <v>-310</v>
      </c>
      <c r="G229" s="65">
        <f>VLOOKUP(A229,'Billing Dimensions'!$A:$N,7,FALSE)-VLOOKUP(A229,'Audit Dimensions'!$A:$N,7,FALSE)</f>
        <v>0</v>
      </c>
      <c r="H229" s="65">
        <f>VLOOKUP(A229,'Billing Dimensions'!$A:$N,8,FALSE)-VLOOKUP(A229,'Audit Dimensions'!$A:$N,8,FALSE)</f>
        <v>0</v>
      </c>
      <c r="I229" s="65">
        <f>VLOOKUP(A229,'Billing Dimensions'!$A:$N,9,FALSE)-VLOOKUP(A229,'Audit Dimensions'!$A:$N,9,FALSE)</f>
        <v>0</v>
      </c>
      <c r="J229" s="61">
        <f>VLOOKUP(A229,'Billing Dimensions'!$A:$N,10,FALSE)-VLOOKUP(A229,'Audit Dimensions'!$A:$N,10,FALSE)</f>
        <v>0</v>
      </c>
      <c r="K229" s="63">
        <f>VLOOKUP(A229,'Billing Dimensions'!$A:$N,11,FALSE)-VLOOKUP(A229,'Audit Dimensions'!$A:$N,11,FALSE)</f>
        <v>0</v>
      </c>
      <c r="L229" s="63">
        <f>VLOOKUP(A229,'Billing Dimensions'!$A:$N,12,FALSE)-VLOOKUP(A229,'Audit Dimensions'!$A:$N,12,FALSE)</f>
        <v>0</v>
      </c>
      <c r="M229" s="63">
        <f>VLOOKUP(A229,'Billing Dimensions'!$A:$N,13,FALSE)-VLOOKUP(A229,'Audit Dimensions'!$A:$N,13,FALSE)</f>
        <v>0</v>
      </c>
      <c r="N229" s="140">
        <f>VLOOKUP(A229,'Billing Dimensions'!$A:$N,14,FALSE)-VLOOKUP(A229,'Audit Dimensions'!$A:$N,14,FALSE)</f>
        <v>0</v>
      </c>
      <c r="O229" s="145">
        <f>VLOOKUP('Audit VAR'!A229,'Audit Dimensions'!A:P,16,FALSE)</f>
        <v>12200</v>
      </c>
      <c r="P229" s="143">
        <f>VLOOKUP(A229,'Billing Dimensions'!A:Q,17,FALSE)-VLOOKUP('Audit VAR'!A229,'Audit Dimensions'!A:P,16,FALSE)</f>
        <v>-310</v>
      </c>
      <c r="Q229" s="148">
        <f t="shared" si="3"/>
        <v>-2.540983606557377E-2</v>
      </c>
    </row>
    <row r="230" spans="1:17">
      <c r="A230" s="58" t="str">
        <f>'Audit Dimensions'!A230</f>
        <v>TS-NL-A</v>
      </c>
      <c r="B230" s="2" t="str">
        <f>VLOOKUP(A230,'Billing Dimensions'!A:B,2,FALSE)</f>
        <v>SB</v>
      </c>
      <c r="C230" s="59">
        <f>VLOOKUP(A230,'Billing Dimensions'!$A:$N,3,FALSE)-VLOOKUP(A230,'Audit Dimensions'!$A:$N,3,FALSE)</f>
        <v>0</v>
      </c>
      <c r="D230" s="59">
        <f>VLOOKUP(A230,'Billing Dimensions'!$A:$N,4,FALSE)-VLOOKUP(A230,'Audit Dimensions'!$A:$N,4,FALSE)</f>
        <v>0</v>
      </c>
      <c r="E230" s="59">
        <f>VLOOKUP(A230,'Billing Dimensions'!$A:$N,5,FALSE)-VLOOKUP(A230,'Audit Dimensions'!$A:$N,5,FALSE)</f>
        <v>0</v>
      </c>
      <c r="F230" s="137">
        <f>VLOOKUP(A230,'Billing Dimensions'!$A:$N,6,FALSE)-VLOOKUP(A230,'Audit Dimensions'!$A:$N,6,FALSE)</f>
        <v>85</v>
      </c>
      <c r="G230" s="65">
        <f>VLOOKUP(A230,'Billing Dimensions'!$A:$N,7,FALSE)-VLOOKUP(A230,'Audit Dimensions'!$A:$N,7,FALSE)</f>
        <v>0</v>
      </c>
      <c r="H230" s="65">
        <f>VLOOKUP(A230,'Billing Dimensions'!$A:$N,8,FALSE)-VLOOKUP(A230,'Audit Dimensions'!$A:$N,8,FALSE)</f>
        <v>0</v>
      </c>
      <c r="I230" s="65">
        <f>VLOOKUP(A230,'Billing Dimensions'!$A:$N,9,FALSE)-VLOOKUP(A230,'Audit Dimensions'!$A:$N,9,FALSE)</f>
        <v>0</v>
      </c>
      <c r="J230" s="61">
        <f>VLOOKUP(A230,'Billing Dimensions'!$A:$N,10,FALSE)-VLOOKUP(A230,'Audit Dimensions'!$A:$N,10,FALSE)</f>
        <v>0</v>
      </c>
      <c r="K230" s="63">
        <f>VLOOKUP(A230,'Billing Dimensions'!$A:$N,11,FALSE)-VLOOKUP(A230,'Audit Dimensions'!$A:$N,11,FALSE)</f>
        <v>0</v>
      </c>
      <c r="L230" s="63">
        <f>VLOOKUP(A230,'Billing Dimensions'!$A:$N,12,FALSE)-VLOOKUP(A230,'Audit Dimensions'!$A:$N,12,FALSE)</f>
        <v>0</v>
      </c>
      <c r="M230" s="63">
        <f>VLOOKUP(A230,'Billing Dimensions'!$A:$N,13,FALSE)-VLOOKUP(A230,'Audit Dimensions'!$A:$N,13,FALSE)</f>
        <v>0</v>
      </c>
      <c r="N230" s="140">
        <f>VLOOKUP(A230,'Billing Dimensions'!$A:$N,14,FALSE)-VLOOKUP(A230,'Audit Dimensions'!$A:$N,14,FALSE)</f>
        <v>0</v>
      </c>
      <c r="O230" s="145">
        <f>VLOOKUP('Audit VAR'!A230,'Audit Dimensions'!A:P,16,FALSE)</f>
        <v>1430</v>
      </c>
      <c r="P230" s="143">
        <f>VLOOKUP(A230,'Billing Dimensions'!A:Q,17,FALSE)-VLOOKUP('Audit VAR'!A230,'Audit Dimensions'!A:P,16,FALSE)</f>
        <v>85</v>
      </c>
      <c r="Q230" s="148">
        <f t="shared" si="3"/>
        <v>5.944055944055944E-2</v>
      </c>
    </row>
    <row r="231" spans="1:17">
      <c r="A231" s="58" t="str">
        <f>'Audit Dimensions'!A231</f>
        <v>SH-DVN-ST</v>
      </c>
      <c r="B231" s="2" t="str">
        <f>VLOOKUP(A231,'Billing Dimensions'!A:B,2,FALSE)</f>
        <v>SB</v>
      </c>
      <c r="C231" s="59">
        <f>VLOOKUP(A231,'Billing Dimensions'!$A:$N,3,FALSE)-VLOOKUP(A231,'Audit Dimensions'!$A:$N,3,FALSE)</f>
        <v>0</v>
      </c>
      <c r="D231" s="59">
        <f>VLOOKUP(A231,'Billing Dimensions'!$A:$N,4,FALSE)-VLOOKUP(A231,'Audit Dimensions'!$A:$N,4,FALSE)</f>
        <v>0</v>
      </c>
      <c r="E231" s="59">
        <f>VLOOKUP(A231,'Billing Dimensions'!$A:$N,5,FALSE)-VLOOKUP(A231,'Audit Dimensions'!$A:$N,5,FALSE)</f>
        <v>-1</v>
      </c>
      <c r="F231" s="137">
        <f>VLOOKUP(A231,'Billing Dimensions'!$A:$N,6,FALSE)-VLOOKUP(A231,'Audit Dimensions'!$A:$N,6,FALSE)</f>
        <v>-160</v>
      </c>
      <c r="G231" s="65">
        <f>VLOOKUP(A231,'Billing Dimensions'!$A:$N,7,FALSE)-VLOOKUP(A231,'Audit Dimensions'!$A:$N,7,FALSE)</f>
        <v>0</v>
      </c>
      <c r="H231" s="65">
        <f>VLOOKUP(A231,'Billing Dimensions'!$A:$N,8,FALSE)-VLOOKUP(A231,'Audit Dimensions'!$A:$N,8,FALSE)</f>
        <v>0</v>
      </c>
      <c r="I231" s="65">
        <f>VLOOKUP(A231,'Billing Dimensions'!$A:$N,9,FALSE)-VLOOKUP(A231,'Audit Dimensions'!$A:$N,9,FALSE)</f>
        <v>0</v>
      </c>
      <c r="J231" s="61">
        <f>VLOOKUP(A231,'Billing Dimensions'!$A:$N,10,FALSE)-VLOOKUP(A231,'Audit Dimensions'!$A:$N,10,FALSE)</f>
        <v>0</v>
      </c>
      <c r="K231" s="63">
        <f>VLOOKUP(A231,'Billing Dimensions'!$A:$N,11,FALSE)-VLOOKUP(A231,'Audit Dimensions'!$A:$N,11,FALSE)</f>
        <v>0</v>
      </c>
      <c r="L231" s="63">
        <f>VLOOKUP(A231,'Billing Dimensions'!$A:$N,12,FALSE)-VLOOKUP(A231,'Audit Dimensions'!$A:$N,12,FALSE)</f>
        <v>0</v>
      </c>
      <c r="M231" s="63">
        <f>VLOOKUP(A231,'Billing Dimensions'!$A:$N,13,FALSE)-VLOOKUP(A231,'Audit Dimensions'!$A:$N,13,FALSE)</f>
        <v>0</v>
      </c>
      <c r="N231" s="140">
        <f>VLOOKUP(A231,'Billing Dimensions'!$A:$N,14,FALSE)-VLOOKUP(A231,'Audit Dimensions'!$A:$N,14,FALSE)</f>
        <v>0</v>
      </c>
      <c r="O231" s="145">
        <f>VLOOKUP('Audit VAR'!A231,'Audit Dimensions'!A:P,16,FALSE)</f>
        <v>550</v>
      </c>
      <c r="P231" s="143">
        <f>VLOOKUP(A231,'Billing Dimensions'!A:Q,17,FALSE)-VLOOKUP('Audit VAR'!A231,'Audit Dimensions'!A:P,16,FALSE)</f>
        <v>-160</v>
      </c>
      <c r="Q231" s="148">
        <f t="shared" si="3"/>
        <v>-0.29090909090909089</v>
      </c>
    </row>
    <row r="232" spans="1:17">
      <c r="A232" s="58" t="str">
        <f>'Audit Dimensions'!A232</f>
        <v>PF-MIS-RT</v>
      </c>
      <c r="B232" s="2" t="str">
        <f>VLOOKUP(A232,'Billing Dimensions'!A:B,2,FALSE)</f>
        <v>SB</v>
      </c>
      <c r="C232" s="59">
        <f>VLOOKUP(A232,'Billing Dimensions'!$A:$N,3,FALSE)-VLOOKUP(A232,'Audit Dimensions'!$A:$N,3,FALSE)</f>
        <v>-2</v>
      </c>
      <c r="D232" s="59">
        <f>VLOOKUP(A232,'Billing Dimensions'!$A:$N,4,FALSE)-VLOOKUP(A232,'Audit Dimensions'!$A:$N,4,FALSE)</f>
        <v>-3</v>
      </c>
      <c r="E232" s="59">
        <f>VLOOKUP(A232,'Billing Dimensions'!$A:$N,5,FALSE)-VLOOKUP(A232,'Audit Dimensions'!$A:$N,5,FALSE)</f>
        <v>-4</v>
      </c>
      <c r="F232" s="137">
        <f>VLOOKUP(A232,'Billing Dimensions'!$A:$N,6,FALSE)-VLOOKUP(A232,'Audit Dimensions'!$A:$N,6,FALSE)</f>
        <v>-300</v>
      </c>
      <c r="G232" s="65">
        <f>VLOOKUP(A232,'Billing Dimensions'!$A:$N,7,FALSE)-VLOOKUP(A232,'Audit Dimensions'!$A:$N,7,FALSE)</f>
        <v>0</v>
      </c>
      <c r="H232" s="65">
        <f>VLOOKUP(A232,'Billing Dimensions'!$A:$N,8,FALSE)-VLOOKUP(A232,'Audit Dimensions'!$A:$N,8,FALSE)</f>
        <v>0</v>
      </c>
      <c r="I232" s="65">
        <f>VLOOKUP(A232,'Billing Dimensions'!$A:$N,9,FALSE)-VLOOKUP(A232,'Audit Dimensions'!$A:$N,9,FALSE)</f>
        <v>0</v>
      </c>
      <c r="J232" s="61">
        <f>VLOOKUP(A232,'Billing Dimensions'!$A:$N,10,FALSE)-VLOOKUP(A232,'Audit Dimensions'!$A:$N,10,FALSE)</f>
        <v>0</v>
      </c>
      <c r="K232" s="63">
        <f>VLOOKUP(A232,'Billing Dimensions'!$A:$N,11,FALSE)-VLOOKUP(A232,'Audit Dimensions'!$A:$N,11,FALSE)</f>
        <v>0</v>
      </c>
      <c r="L232" s="63">
        <f>VLOOKUP(A232,'Billing Dimensions'!$A:$N,12,FALSE)-VLOOKUP(A232,'Audit Dimensions'!$A:$N,12,FALSE)</f>
        <v>0</v>
      </c>
      <c r="M232" s="63">
        <f>VLOOKUP(A232,'Billing Dimensions'!$A:$N,13,FALSE)-VLOOKUP(A232,'Audit Dimensions'!$A:$N,13,FALSE)</f>
        <v>0</v>
      </c>
      <c r="N232" s="140">
        <f>VLOOKUP(A232,'Billing Dimensions'!$A:$N,14,FALSE)-VLOOKUP(A232,'Audit Dimensions'!$A:$N,14,FALSE)</f>
        <v>0</v>
      </c>
      <c r="O232" s="145">
        <f>VLOOKUP('Audit VAR'!A232,'Audit Dimensions'!A:P,16,FALSE)</f>
        <v>2100</v>
      </c>
      <c r="P232" s="143">
        <f>VLOOKUP(A232,'Billing Dimensions'!A:Q,17,FALSE)-VLOOKUP('Audit VAR'!A232,'Audit Dimensions'!A:P,16,FALSE)</f>
        <v>-300</v>
      </c>
      <c r="Q232" s="148">
        <f t="shared" si="3"/>
        <v>-0.14285714285714285</v>
      </c>
    </row>
    <row r="233" spans="1:17">
      <c r="A233" s="58" t="str">
        <f>'Audit Dimensions'!A233</f>
        <v>KH-EDL</v>
      </c>
      <c r="B233" s="2" t="str">
        <f>VLOOKUP(A233,'Billing Dimensions'!A:B,2,FALSE)</f>
        <v>SB</v>
      </c>
      <c r="C233" s="59">
        <f>VLOOKUP(A233,'Billing Dimensions'!$A:$N,3,FALSE)-VLOOKUP(A233,'Audit Dimensions'!$A:$N,3,FALSE)</f>
        <v>-4</v>
      </c>
      <c r="D233" s="59">
        <f>VLOOKUP(A233,'Billing Dimensions'!$A:$N,4,FALSE)-VLOOKUP(A233,'Audit Dimensions'!$A:$N,4,FALSE)</f>
        <v>-3</v>
      </c>
      <c r="E233" s="59">
        <f>VLOOKUP(A233,'Billing Dimensions'!$A:$N,5,FALSE)-VLOOKUP(A233,'Audit Dimensions'!$A:$N,5,FALSE)</f>
        <v>-2</v>
      </c>
      <c r="F233" s="137">
        <f>VLOOKUP(A233,'Billing Dimensions'!$A:$N,6,FALSE)-VLOOKUP(A233,'Audit Dimensions'!$A:$N,6,FALSE)</f>
        <v>0</v>
      </c>
      <c r="G233" s="65">
        <f>VLOOKUP(A233,'Billing Dimensions'!$A:$N,7,FALSE)-VLOOKUP(A233,'Audit Dimensions'!$A:$N,7,FALSE)</f>
        <v>0</v>
      </c>
      <c r="H233" s="65">
        <f>VLOOKUP(A233,'Billing Dimensions'!$A:$N,8,FALSE)-VLOOKUP(A233,'Audit Dimensions'!$A:$N,8,FALSE)</f>
        <v>0</v>
      </c>
      <c r="I233" s="65">
        <f>VLOOKUP(A233,'Billing Dimensions'!$A:$N,9,FALSE)-VLOOKUP(A233,'Audit Dimensions'!$A:$N,9,FALSE)</f>
        <v>0</v>
      </c>
      <c r="J233" s="61">
        <f>VLOOKUP(A233,'Billing Dimensions'!$A:$N,10,FALSE)-VLOOKUP(A233,'Audit Dimensions'!$A:$N,10,FALSE)</f>
        <v>0</v>
      </c>
      <c r="K233" s="63">
        <f>VLOOKUP(A233,'Billing Dimensions'!$A:$N,11,FALSE)-VLOOKUP(A233,'Audit Dimensions'!$A:$N,11,FALSE)</f>
        <v>0</v>
      </c>
      <c r="L233" s="63">
        <f>VLOOKUP(A233,'Billing Dimensions'!$A:$N,12,FALSE)-VLOOKUP(A233,'Audit Dimensions'!$A:$N,12,FALSE)</f>
        <v>0</v>
      </c>
      <c r="M233" s="63">
        <f>VLOOKUP(A233,'Billing Dimensions'!$A:$N,13,FALSE)-VLOOKUP(A233,'Audit Dimensions'!$A:$N,13,FALSE)</f>
        <v>0</v>
      </c>
      <c r="N233" s="140">
        <f>VLOOKUP(A233,'Billing Dimensions'!$A:$N,14,FALSE)-VLOOKUP(A233,'Audit Dimensions'!$A:$N,14,FALSE)</f>
        <v>0</v>
      </c>
      <c r="O233" s="145">
        <f>VLOOKUP('Audit VAR'!A233,'Audit Dimensions'!A:P,16,FALSE)</f>
        <v>345</v>
      </c>
      <c r="P233" s="143">
        <f>VLOOKUP(A233,'Billing Dimensions'!A:Q,17,FALSE)-VLOOKUP('Audit VAR'!A233,'Audit Dimensions'!A:P,16,FALSE)</f>
        <v>0</v>
      </c>
      <c r="Q233" s="148">
        <f t="shared" si="3"/>
        <v>0</v>
      </c>
    </row>
    <row r="234" spans="1:17">
      <c r="A234" s="58" t="str">
        <f>'Audit Dimensions'!A234</f>
        <v>TU-ARO-LA</v>
      </c>
      <c r="B234" s="2" t="str">
        <f>VLOOKUP(A234,'Billing Dimensions'!A:B,2,FALSE)</f>
        <v>SB</v>
      </c>
      <c r="C234" s="59">
        <f>VLOOKUP(A234,'Billing Dimensions'!$A:$N,3,FALSE)-VLOOKUP(A234,'Audit Dimensions'!$A:$N,3,FALSE)</f>
        <v>0</v>
      </c>
      <c r="D234" s="59">
        <f>VLOOKUP(A234,'Billing Dimensions'!$A:$N,4,FALSE)-VLOOKUP(A234,'Audit Dimensions'!$A:$N,4,FALSE)</f>
        <v>0</v>
      </c>
      <c r="E234" s="59">
        <f>VLOOKUP(A234,'Billing Dimensions'!$A:$N,5,FALSE)-VLOOKUP(A234,'Audit Dimensions'!$A:$N,5,FALSE)</f>
        <v>0</v>
      </c>
      <c r="F234" s="137">
        <f>VLOOKUP(A234,'Billing Dimensions'!$A:$N,6,FALSE)-VLOOKUP(A234,'Audit Dimensions'!$A:$N,6,FALSE)</f>
        <v>-90</v>
      </c>
      <c r="G234" s="65">
        <f>VLOOKUP(A234,'Billing Dimensions'!$A:$N,7,FALSE)-VLOOKUP(A234,'Audit Dimensions'!$A:$N,7,FALSE)</f>
        <v>0</v>
      </c>
      <c r="H234" s="65">
        <f>VLOOKUP(A234,'Billing Dimensions'!$A:$N,8,FALSE)-VLOOKUP(A234,'Audit Dimensions'!$A:$N,8,FALSE)</f>
        <v>0</v>
      </c>
      <c r="I234" s="65">
        <f>VLOOKUP(A234,'Billing Dimensions'!$A:$N,9,FALSE)-VLOOKUP(A234,'Audit Dimensions'!$A:$N,9,FALSE)</f>
        <v>0</v>
      </c>
      <c r="J234" s="61">
        <f>VLOOKUP(A234,'Billing Dimensions'!$A:$N,10,FALSE)-VLOOKUP(A234,'Audit Dimensions'!$A:$N,10,FALSE)</f>
        <v>0</v>
      </c>
      <c r="K234" s="63">
        <f>VLOOKUP(A234,'Billing Dimensions'!$A:$N,11,FALSE)-VLOOKUP(A234,'Audit Dimensions'!$A:$N,11,FALSE)</f>
        <v>0</v>
      </c>
      <c r="L234" s="63">
        <f>VLOOKUP(A234,'Billing Dimensions'!$A:$N,12,FALSE)-VLOOKUP(A234,'Audit Dimensions'!$A:$N,12,FALSE)</f>
        <v>0</v>
      </c>
      <c r="M234" s="63">
        <f>VLOOKUP(A234,'Billing Dimensions'!$A:$N,13,FALSE)-VLOOKUP(A234,'Audit Dimensions'!$A:$N,13,FALSE)</f>
        <v>0</v>
      </c>
      <c r="N234" s="140">
        <f>VLOOKUP(A234,'Billing Dimensions'!$A:$N,14,FALSE)-VLOOKUP(A234,'Audit Dimensions'!$A:$N,14,FALSE)</f>
        <v>0</v>
      </c>
      <c r="O234" s="145">
        <f>VLOOKUP('Audit VAR'!A234,'Audit Dimensions'!A:P,16,FALSE)</f>
        <v>6920</v>
      </c>
      <c r="P234" s="143">
        <f>VLOOKUP(A234,'Billing Dimensions'!A:Q,17,FALSE)-VLOOKUP('Audit VAR'!A234,'Audit Dimensions'!A:P,16,FALSE)</f>
        <v>-90</v>
      </c>
      <c r="Q234" s="148">
        <f t="shared" si="3"/>
        <v>-1.300578034682081E-2</v>
      </c>
    </row>
    <row r="235" spans="1:17">
      <c r="A235" s="58" t="str">
        <f>'Audit Dimensions'!A235</f>
        <v>KH-RMT</v>
      </c>
      <c r="B235" s="2" t="str">
        <f>VLOOKUP(A235,'Billing Dimensions'!A:B,2,FALSE)</f>
        <v>SB</v>
      </c>
      <c r="C235" s="59">
        <f>VLOOKUP(A235,'Billing Dimensions'!$A:$N,3,FALSE)-VLOOKUP(A235,'Audit Dimensions'!$A:$N,3,FALSE)</f>
        <v>-1</v>
      </c>
      <c r="D235" s="59">
        <f>VLOOKUP(A235,'Billing Dimensions'!$A:$N,4,FALSE)-VLOOKUP(A235,'Audit Dimensions'!$A:$N,4,FALSE)</f>
        <v>-1</v>
      </c>
      <c r="E235" s="59">
        <f>VLOOKUP(A235,'Billing Dimensions'!$A:$N,5,FALSE)-VLOOKUP(A235,'Audit Dimensions'!$A:$N,5,FALSE)</f>
        <v>0</v>
      </c>
      <c r="F235" s="137">
        <f>VLOOKUP(A235,'Billing Dimensions'!$A:$N,6,FALSE)-VLOOKUP(A235,'Audit Dimensions'!$A:$N,6,FALSE)</f>
        <v>0</v>
      </c>
      <c r="G235" s="65">
        <f>VLOOKUP(A235,'Billing Dimensions'!$A:$N,7,FALSE)-VLOOKUP(A235,'Audit Dimensions'!$A:$N,7,FALSE)</f>
        <v>0</v>
      </c>
      <c r="H235" s="65">
        <f>VLOOKUP(A235,'Billing Dimensions'!$A:$N,8,FALSE)-VLOOKUP(A235,'Audit Dimensions'!$A:$N,8,FALSE)</f>
        <v>0</v>
      </c>
      <c r="I235" s="65">
        <f>VLOOKUP(A235,'Billing Dimensions'!$A:$N,9,FALSE)-VLOOKUP(A235,'Audit Dimensions'!$A:$N,9,FALSE)</f>
        <v>0</v>
      </c>
      <c r="J235" s="61">
        <f>VLOOKUP(A235,'Billing Dimensions'!$A:$N,10,FALSE)-VLOOKUP(A235,'Audit Dimensions'!$A:$N,10,FALSE)</f>
        <v>0</v>
      </c>
      <c r="K235" s="63">
        <f>VLOOKUP(A235,'Billing Dimensions'!$A:$N,11,FALSE)-VLOOKUP(A235,'Audit Dimensions'!$A:$N,11,FALSE)</f>
        <v>0</v>
      </c>
      <c r="L235" s="63">
        <f>VLOOKUP(A235,'Billing Dimensions'!$A:$N,12,FALSE)-VLOOKUP(A235,'Audit Dimensions'!$A:$N,12,FALSE)</f>
        <v>0</v>
      </c>
      <c r="M235" s="63">
        <f>VLOOKUP(A235,'Billing Dimensions'!$A:$N,13,FALSE)-VLOOKUP(A235,'Audit Dimensions'!$A:$N,13,FALSE)</f>
        <v>0</v>
      </c>
      <c r="N235" s="140">
        <f>VLOOKUP(A235,'Billing Dimensions'!$A:$N,14,FALSE)-VLOOKUP(A235,'Audit Dimensions'!$A:$N,14,FALSE)</f>
        <v>0</v>
      </c>
      <c r="O235" s="145">
        <f>VLOOKUP('Audit VAR'!A235,'Audit Dimensions'!A:P,16,FALSE)</f>
        <v>340</v>
      </c>
      <c r="P235" s="143">
        <f>VLOOKUP(A235,'Billing Dimensions'!A:Q,17,FALSE)-VLOOKUP('Audit VAR'!A235,'Audit Dimensions'!A:P,16,FALSE)</f>
        <v>0</v>
      </c>
      <c r="Q235" s="148">
        <f t="shared" si="3"/>
        <v>0</v>
      </c>
    </row>
    <row r="236" spans="1:17">
      <c r="A236" s="58" t="str">
        <f>'Audit Dimensions'!A236</f>
        <v>CH-FXA-MP</v>
      </c>
      <c r="B236" s="2" t="e">
        <f>VLOOKUP(A236,'Billing Dimensions'!A:B,2,FALSE)</f>
        <v>#N/A</v>
      </c>
      <c r="C236" s="59" t="e">
        <f>VLOOKUP(A236,'Billing Dimensions'!$A:$N,3,FALSE)-VLOOKUP(A236,'Audit Dimensions'!$A:$N,3,FALSE)</f>
        <v>#N/A</v>
      </c>
      <c r="D236" s="59" t="e">
        <f>VLOOKUP(A236,'Billing Dimensions'!$A:$N,4,FALSE)-VLOOKUP(A236,'Audit Dimensions'!$A:$N,4,FALSE)</f>
        <v>#N/A</v>
      </c>
      <c r="E236" s="59" t="e">
        <f>VLOOKUP(A236,'Billing Dimensions'!$A:$N,5,FALSE)-VLOOKUP(A236,'Audit Dimensions'!$A:$N,5,FALSE)</f>
        <v>#N/A</v>
      </c>
      <c r="F236" s="137" t="e">
        <f>VLOOKUP(A236,'Billing Dimensions'!$A:$N,6,FALSE)-VLOOKUP(A236,'Audit Dimensions'!$A:$N,6,FALSE)</f>
        <v>#N/A</v>
      </c>
      <c r="G236" s="65" t="e">
        <f>VLOOKUP(A236,'Billing Dimensions'!$A:$N,7,FALSE)-VLOOKUP(A236,'Audit Dimensions'!$A:$N,7,FALSE)</f>
        <v>#N/A</v>
      </c>
      <c r="H236" s="65" t="e">
        <f>VLOOKUP(A236,'Billing Dimensions'!$A:$N,8,FALSE)-VLOOKUP(A236,'Audit Dimensions'!$A:$N,8,FALSE)</f>
        <v>#N/A</v>
      </c>
      <c r="I236" s="65" t="e">
        <f>VLOOKUP(A236,'Billing Dimensions'!$A:$N,9,FALSE)-VLOOKUP(A236,'Audit Dimensions'!$A:$N,9,FALSE)</f>
        <v>#N/A</v>
      </c>
      <c r="J236" s="61" t="e">
        <f>VLOOKUP(A236,'Billing Dimensions'!$A:$N,10,FALSE)-VLOOKUP(A236,'Audit Dimensions'!$A:$N,10,FALSE)</f>
        <v>#N/A</v>
      </c>
      <c r="K236" s="63" t="e">
        <f>VLOOKUP(A236,'Billing Dimensions'!$A:$N,11,FALSE)-VLOOKUP(A236,'Audit Dimensions'!$A:$N,11,FALSE)</f>
        <v>#N/A</v>
      </c>
      <c r="L236" s="63" t="e">
        <f>VLOOKUP(A236,'Billing Dimensions'!$A:$N,12,FALSE)-VLOOKUP(A236,'Audit Dimensions'!$A:$N,12,FALSE)</f>
        <v>#N/A</v>
      </c>
      <c r="M236" s="63" t="e">
        <f>VLOOKUP(A236,'Billing Dimensions'!$A:$N,13,FALSE)-VLOOKUP(A236,'Audit Dimensions'!$A:$N,13,FALSE)</f>
        <v>#N/A</v>
      </c>
      <c r="N236" s="140" t="e">
        <f>VLOOKUP(A236,'Billing Dimensions'!$A:$N,14,FALSE)-VLOOKUP(A236,'Audit Dimensions'!$A:$N,14,FALSE)</f>
        <v>#N/A</v>
      </c>
      <c r="O236" s="145">
        <f>VLOOKUP('Audit VAR'!A236,'Audit Dimensions'!A:P,16,FALSE)</f>
        <v>0</v>
      </c>
      <c r="P236" s="143" t="e">
        <f>VLOOKUP(A236,'Billing Dimensions'!A:Q,17,FALSE)-VLOOKUP('Audit VAR'!A236,'Audit Dimensions'!A:P,16,FALSE)</f>
        <v>#N/A</v>
      </c>
      <c r="Q236" s="148" t="e">
        <f t="shared" si="3"/>
        <v>#N/A</v>
      </c>
    </row>
    <row r="237" spans="1:17">
      <c r="A237" s="58" t="str">
        <f>'Audit Dimensions'!A237</f>
        <v>B-RVB-D30N</v>
      </c>
      <c r="B237" s="2" t="str">
        <f>VLOOKUP(A237,'Billing Dimensions'!A:B,2,FALSE)</f>
        <v> </v>
      </c>
      <c r="C237" s="59">
        <f>VLOOKUP(A237,'Billing Dimensions'!$A:$N,3,FALSE)-VLOOKUP(A237,'Audit Dimensions'!$A:$N,3,FALSE)</f>
        <v>0</v>
      </c>
      <c r="D237" s="59">
        <f>VLOOKUP(A237,'Billing Dimensions'!$A:$N,4,FALSE)-VLOOKUP(A237,'Audit Dimensions'!$A:$N,4,FALSE)</f>
        <v>0</v>
      </c>
      <c r="E237" s="59">
        <f>VLOOKUP(A237,'Billing Dimensions'!$A:$N,5,FALSE)-VLOOKUP(A237,'Audit Dimensions'!$A:$N,5,FALSE)</f>
        <v>0</v>
      </c>
      <c r="F237" s="137">
        <f>VLOOKUP(A237,'Billing Dimensions'!$A:$N,6,FALSE)-VLOOKUP(A237,'Audit Dimensions'!$A:$N,6,FALSE)</f>
        <v>0</v>
      </c>
      <c r="G237" s="65">
        <f>VLOOKUP(A237,'Billing Dimensions'!$A:$N,7,FALSE)-VLOOKUP(A237,'Audit Dimensions'!$A:$N,7,FALSE)</f>
        <v>0</v>
      </c>
      <c r="H237" s="65">
        <f>VLOOKUP(A237,'Billing Dimensions'!$A:$N,8,FALSE)-VLOOKUP(A237,'Audit Dimensions'!$A:$N,8,FALSE)</f>
        <v>0</v>
      </c>
      <c r="I237" s="65">
        <f>VLOOKUP(A237,'Billing Dimensions'!$A:$N,9,FALSE)-VLOOKUP(A237,'Audit Dimensions'!$A:$N,9,FALSE)</f>
        <v>0</v>
      </c>
      <c r="J237" s="61">
        <f>VLOOKUP(A237,'Billing Dimensions'!$A:$N,10,FALSE)-VLOOKUP(A237,'Audit Dimensions'!$A:$N,10,FALSE)</f>
        <v>0</v>
      </c>
      <c r="K237" s="63">
        <f>VLOOKUP(A237,'Billing Dimensions'!$A:$N,11,FALSE)-VLOOKUP(A237,'Audit Dimensions'!$A:$N,11,FALSE)</f>
        <v>0</v>
      </c>
      <c r="L237" s="63">
        <f>VLOOKUP(A237,'Billing Dimensions'!$A:$N,12,FALSE)-VLOOKUP(A237,'Audit Dimensions'!$A:$N,12,FALSE)</f>
        <v>0</v>
      </c>
      <c r="M237" s="63">
        <f>VLOOKUP(A237,'Billing Dimensions'!$A:$N,13,FALSE)-VLOOKUP(A237,'Audit Dimensions'!$A:$N,13,FALSE)</f>
        <v>0</v>
      </c>
      <c r="N237" s="140">
        <f>VLOOKUP(A237,'Billing Dimensions'!$A:$N,14,FALSE)-VLOOKUP(A237,'Audit Dimensions'!$A:$N,14,FALSE)</f>
        <v>0</v>
      </c>
      <c r="O237" s="145">
        <f>VLOOKUP('Audit VAR'!A237,'Audit Dimensions'!A:P,16,FALSE)</f>
        <v>0</v>
      </c>
      <c r="P237" s="143">
        <f>VLOOKUP(A237,'Billing Dimensions'!A:Q,17,FALSE)-VLOOKUP('Audit VAR'!A237,'Audit Dimensions'!A:P,16,FALSE)</f>
        <v>0</v>
      </c>
      <c r="Q237" s="148" t="e">
        <f t="shared" si="3"/>
        <v>#DIV/0!</v>
      </c>
    </row>
    <row r="238" spans="1:17">
      <c r="A238" s="58" t="str">
        <f>'Audit Dimensions'!A238</f>
        <v>CH-SYN-ME</v>
      </c>
      <c r="B238" s="2" t="e">
        <f>VLOOKUP(A238,'Billing Dimensions'!A:B,2,FALSE)</f>
        <v>#N/A</v>
      </c>
      <c r="C238" s="59" t="e">
        <f>VLOOKUP(A238,'Billing Dimensions'!$A:$N,3,FALSE)-VLOOKUP(A238,'Audit Dimensions'!$A:$N,3,FALSE)</f>
        <v>#N/A</v>
      </c>
      <c r="D238" s="59" t="e">
        <f>VLOOKUP(A238,'Billing Dimensions'!$A:$N,4,FALSE)-VLOOKUP(A238,'Audit Dimensions'!$A:$N,4,FALSE)</f>
        <v>#N/A</v>
      </c>
      <c r="E238" s="59" t="e">
        <f>VLOOKUP(A238,'Billing Dimensions'!$A:$N,5,FALSE)-VLOOKUP(A238,'Audit Dimensions'!$A:$N,5,FALSE)</f>
        <v>#N/A</v>
      </c>
      <c r="F238" s="137" t="e">
        <f>VLOOKUP(A238,'Billing Dimensions'!$A:$N,6,FALSE)-VLOOKUP(A238,'Audit Dimensions'!$A:$N,6,FALSE)</f>
        <v>#N/A</v>
      </c>
      <c r="G238" s="65" t="e">
        <f>VLOOKUP(A238,'Billing Dimensions'!$A:$N,7,FALSE)-VLOOKUP(A238,'Audit Dimensions'!$A:$N,7,FALSE)</f>
        <v>#N/A</v>
      </c>
      <c r="H238" s="65" t="e">
        <f>VLOOKUP(A238,'Billing Dimensions'!$A:$N,8,FALSE)-VLOOKUP(A238,'Audit Dimensions'!$A:$N,8,FALSE)</f>
        <v>#N/A</v>
      </c>
      <c r="I238" s="65" t="e">
        <f>VLOOKUP(A238,'Billing Dimensions'!$A:$N,9,FALSE)-VLOOKUP(A238,'Audit Dimensions'!$A:$N,9,FALSE)</f>
        <v>#N/A</v>
      </c>
      <c r="J238" s="61" t="e">
        <f>VLOOKUP(A238,'Billing Dimensions'!$A:$N,10,FALSE)-VLOOKUP(A238,'Audit Dimensions'!$A:$N,10,FALSE)</f>
        <v>#N/A</v>
      </c>
      <c r="K238" s="63" t="e">
        <f>VLOOKUP(A238,'Billing Dimensions'!$A:$N,11,FALSE)-VLOOKUP(A238,'Audit Dimensions'!$A:$N,11,FALSE)</f>
        <v>#N/A</v>
      </c>
      <c r="L238" s="63" t="e">
        <f>VLOOKUP(A238,'Billing Dimensions'!$A:$N,12,FALSE)-VLOOKUP(A238,'Audit Dimensions'!$A:$N,12,FALSE)</f>
        <v>#N/A</v>
      </c>
      <c r="M238" s="63" t="e">
        <f>VLOOKUP(A238,'Billing Dimensions'!$A:$N,13,FALSE)-VLOOKUP(A238,'Audit Dimensions'!$A:$N,13,FALSE)</f>
        <v>#N/A</v>
      </c>
      <c r="N238" s="140" t="e">
        <f>VLOOKUP(A238,'Billing Dimensions'!$A:$N,14,FALSE)-VLOOKUP(A238,'Audit Dimensions'!$A:$N,14,FALSE)</f>
        <v>#N/A</v>
      </c>
      <c r="O238" s="145">
        <f>VLOOKUP('Audit VAR'!A238,'Audit Dimensions'!A:P,16,FALSE)</f>
        <v>0</v>
      </c>
      <c r="P238" s="143" t="e">
        <f>VLOOKUP(A238,'Billing Dimensions'!A:Q,17,FALSE)-VLOOKUP('Audit VAR'!A238,'Audit Dimensions'!A:P,16,FALSE)</f>
        <v>#N/A</v>
      </c>
      <c r="Q238" s="148" t="e">
        <f t="shared" si="3"/>
        <v>#N/A</v>
      </c>
    </row>
    <row r="239" spans="1:17">
      <c r="A239" s="58" t="str">
        <f>'Audit Dimensions'!A239</f>
        <v>CH-SYN-MP</v>
      </c>
      <c r="B239" s="2" t="e">
        <f>VLOOKUP(A239,'Billing Dimensions'!A:B,2,FALSE)</f>
        <v>#N/A</v>
      </c>
      <c r="C239" s="59" t="e">
        <f>VLOOKUP(A239,'Billing Dimensions'!$A:$N,3,FALSE)-VLOOKUP(A239,'Audit Dimensions'!$A:$N,3,FALSE)</f>
        <v>#N/A</v>
      </c>
      <c r="D239" s="59" t="e">
        <f>VLOOKUP(A239,'Billing Dimensions'!$A:$N,4,FALSE)-VLOOKUP(A239,'Audit Dimensions'!$A:$N,4,FALSE)</f>
        <v>#N/A</v>
      </c>
      <c r="E239" s="59" t="e">
        <f>VLOOKUP(A239,'Billing Dimensions'!$A:$N,5,FALSE)-VLOOKUP(A239,'Audit Dimensions'!$A:$N,5,FALSE)</f>
        <v>#N/A</v>
      </c>
      <c r="F239" s="137" t="e">
        <f>VLOOKUP(A239,'Billing Dimensions'!$A:$N,6,FALSE)-VLOOKUP(A239,'Audit Dimensions'!$A:$N,6,FALSE)</f>
        <v>#N/A</v>
      </c>
      <c r="G239" s="65" t="e">
        <f>VLOOKUP(A239,'Billing Dimensions'!$A:$N,7,FALSE)-VLOOKUP(A239,'Audit Dimensions'!$A:$N,7,FALSE)</f>
        <v>#N/A</v>
      </c>
      <c r="H239" s="65" t="e">
        <f>VLOOKUP(A239,'Billing Dimensions'!$A:$N,8,FALSE)-VLOOKUP(A239,'Audit Dimensions'!$A:$N,8,FALSE)</f>
        <v>#N/A</v>
      </c>
      <c r="I239" s="65" t="e">
        <f>VLOOKUP(A239,'Billing Dimensions'!$A:$N,9,FALSE)-VLOOKUP(A239,'Audit Dimensions'!$A:$N,9,FALSE)</f>
        <v>#N/A</v>
      </c>
      <c r="J239" s="61" t="e">
        <f>VLOOKUP(A239,'Billing Dimensions'!$A:$N,10,FALSE)-VLOOKUP(A239,'Audit Dimensions'!$A:$N,10,FALSE)</f>
        <v>#N/A</v>
      </c>
      <c r="K239" s="63" t="e">
        <f>VLOOKUP(A239,'Billing Dimensions'!$A:$N,11,FALSE)-VLOOKUP(A239,'Audit Dimensions'!$A:$N,11,FALSE)</f>
        <v>#N/A</v>
      </c>
      <c r="L239" s="63" t="e">
        <f>VLOOKUP(A239,'Billing Dimensions'!$A:$N,12,FALSE)-VLOOKUP(A239,'Audit Dimensions'!$A:$N,12,FALSE)</f>
        <v>#N/A</v>
      </c>
      <c r="M239" s="63" t="e">
        <f>VLOOKUP(A239,'Billing Dimensions'!$A:$N,13,FALSE)-VLOOKUP(A239,'Audit Dimensions'!$A:$N,13,FALSE)</f>
        <v>#N/A</v>
      </c>
      <c r="N239" s="140" t="e">
        <f>VLOOKUP(A239,'Billing Dimensions'!$A:$N,14,FALSE)-VLOOKUP(A239,'Audit Dimensions'!$A:$N,14,FALSE)</f>
        <v>#N/A</v>
      </c>
      <c r="O239" s="145">
        <f>VLOOKUP('Audit VAR'!A239,'Audit Dimensions'!A:P,16,FALSE)</f>
        <v>0</v>
      </c>
      <c r="P239" s="143" t="e">
        <f>VLOOKUP(A239,'Billing Dimensions'!A:Q,17,FALSE)-VLOOKUP('Audit VAR'!A239,'Audit Dimensions'!A:P,16,FALSE)</f>
        <v>#N/A</v>
      </c>
      <c r="Q239" s="148" t="e">
        <f t="shared" si="3"/>
        <v>#N/A</v>
      </c>
    </row>
    <row r="240" spans="1:17">
      <c r="A240" s="58" t="str">
        <f>'Audit Dimensions'!A240</f>
        <v>KH-TO-18</v>
      </c>
      <c r="B240" s="2" t="str">
        <f>VLOOKUP(A240,'Billing Dimensions'!A:B,2,FALSE)</f>
        <v>SB</v>
      </c>
      <c r="C240" s="59">
        <f>VLOOKUP(A240,'Billing Dimensions'!$A:$N,3,FALSE)-VLOOKUP(A240,'Audit Dimensions'!$A:$N,3,FALSE)</f>
        <v>0</v>
      </c>
      <c r="D240" s="59">
        <f>VLOOKUP(A240,'Billing Dimensions'!$A:$N,4,FALSE)-VLOOKUP(A240,'Audit Dimensions'!$A:$N,4,FALSE)</f>
        <v>0</v>
      </c>
      <c r="E240" s="59">
        <f>VLOOKUP(A240,'Billing Dimensions'!$A:$N,5,FALSE)-VLOOKUP(A240,'Audit Dimensions'!$A:$N,5,FALSE)</f>
        <v>0</v>
      </c>
      <c r="F240" s="137">
        <f>VLOOKUP(A240,'Billing Dimensions'!$A:$N,6,FALSE)-VLOOKUP(A240,'Audit Dimensions'!$A:$N,6,FALSE)</f>
        <v>0</v>
      </c>
      <c r="G240" s="65">
        <f>VLOOKUP(A240,'Billing Dimensions'!$A:$N,7,FALSE)-VLOOKUP(A240,'Audit Dimensions'!$A:$N,7,FALSE)</f>
        <v>0</v>
      </c>
      <c r="H240" s="65">
        <f>VLOOKUP(A240,'Billing Dimensions'!$A:$N,8,FALSE)-VLOOKUP(A240,'Audit Dimensions'!$A:$N,8,FALSE)</f>
        <v>0</v>
      </c>
      <c r="I240" s="65">
        <f>VLOOKUP(A240,'Billing Dimensions'!$A:$N,9,FALSE)-VLOOKUP(A240,'Audit Dimensions'!$A:$N,9,FALSE)</f>
        <v>0</v>
      </c>
      <c r="J240" s="61">
        <f>VLOOKUP(A240,'Billing Dimensions'!$A:$N,10,FALSE)-VLOOKUP(A240,'Audit Dimensions'!$A:$N,10,FALSE)</f>
        <v>0</v>
      </c>
      <c r="K240" s="63">
        <f>VLOOKUP(A240,'Billing Dimensions'!$A:$N,11,FALSE)-VLOOKUP(A240,'Audit Dimensions'!$A:$N,11,FALSE)</f>
        <v>0</v>
      </c>
      <c r="L240" s="63">
        <f>VLOOKUP(A240,'Billing Dimensions'!$A:$N,12,FALSE)-VLOOKUP(A240,'Audit Dimensions'!$A:$N,12,FALSE)</f>
        <v>0</v>
      </c>
      <c r="M240" s="63">
        <f>VLOOKUP(A240,'Billing Dimensions'!$A:$N,13,FALSE)-VLOOKUP(A240,'Audit Dimensions'!$A:$N,13,FALSE)</f>
        <v>0</v>
      </c>
      <c r="N240" s="140">
        <f>VLOOKUP(A240,'Billing Dimensions'!$A:$N,14,FALSE)-VLOOKUP(A240,'Audit Dimensions'!$A:$N,14,FALSE)</f>
        <v>0</v>
      </c>
      <c r="O240" s="145">
        <f>VLOOKUP('Audit VAR'!A240,'Audit Dimensions'!A:P,16,FALSE)</f>
        <v>3560</v>
      </c>
      <c r="P240" s="143">
        <f>VLOOKUP(A240,'Billing Dimensions'!A:Q,17,FALSE)-VLOOKUP('Audit VAR'!A240,'Audit Dimensions'!A:P,16,FALSE)</f>
        <v>0</v>
      </c>
      <c r="Q240" s="148">
        <f t="shared" si="3"/>
        <v>0</v>
      </c>
    </row>
    <row r="241" spans="1:17">
      <c r="A241" s="58" t="str">
        <f>'Audit Dimensions'!A241</f>
        <v>CH-ZLO-MP</v>
      </c>
      <c r="B241" s="2" t="e">
        <f>VLOOKUP(A241,'Billing Dimensions'!A:B,2,FALSE)</f>
        <v>#N/A</v>
      </c>
      <c r="C241" s="59" t="e">
        <f>VLOOKUP(A241,'Billing Dimensions'!$A:$N,3,FALSE)-VLOOKUP(A241,'Audit Dimensions'!$A:$N,3,FALSE)</f>
        <v>#N/A</v>
      </c>
      <c r="D241" s="59" t="e">
        <f>VLOOKUP(A241,'Billing Dimensions'!$A:$N,4,FALSE)-VLOOKUP(A241,'Audit Dimensions'!$A:$N,4,FALSE)</f>
        <v>#N/A</v>
      </c>
      <c r="E241" s="59" t="e">
        <f>VLOOKUP(A241,'Billing Dimensions'!$A:$N,5,FALSE)-VLOOKUP(A241,'Audit Dimensions'!$A:$N,5,FALSE)</f>
        <v>#N/A</v>
      </c>
      <c r="F241" s="137" t="e">
        <f>VLOOKUP(A241,'Billing Dimensions'!$A:$N,6,FALSE)-VLOOKUP(A241,'Audit Dimensions'!$A:$N,6,FALSE)</f>
        <v>#N/A</v>
      </c>
      <c r="G241" s="65" t="e">
        <f>VLOOKUP(A241,'Billing Dimensions'!$A:$N,7,FALSE)-VLOOKUP(A241,'Audit Dimensions'!$A:$N,7,FALSE)</f>
        <v>#N/A</v>
      </c>
      <c r="H241" s="65" t="e">
        <f>VLOOKUP(A241,'Billing Dimensions'!$A:$N,8,FALSE)-VLOOKUP(A241,'Audit Dimensions'!$A:$N,8,FALSE)</f>
        <v>#N/A</v>
      </c>
      <c r="I241" s="65" t="e">
        <f>VLOOKUP(A241,'Billing Dimensions'!$A:$N,9,FALSE)-VLOOKUP(A241,'Audit Dimensions'!$A:$N,9,FALSE)</f>
        <v>#N/A</v>
      </c>
      <c r="J241" s="61" t="e">
        <f>VLOOKUP(A241,'Billing Dimensions'!$A:$N,10,FALSE)-VLOOKUP(A241,'Audit Dimensions'!$A:$N,10,FALSE)</f>
        <v>#N/A</v>
      </c>
      <c r="K241" s="63" t="e">
        <f>VLOOKUP(A241,'Billing Dimensions'!$A:$N,11,FALSE)-VLOOKUP(A241,'Audit Dimensions'!$A:$N,11,FALSE)</f>
        <v>#N/A</v>
      </c>
      <c r="L241" s="63" t="e">
        <f>VLOOKUP(A241,'Billing Dimensions'!$A:$N,12,FALSE)-VLOOKUP(A241,'Audit Dimensions'!$A:$N,12,FALSE)</f>
        <v>#N/A</v>
      </c>
      <c r="M241" s="63" t="e">
        <f>VLOOKUP(A241,'Billing Dimensions'!$A:$N,13,FALSE)-VLOOKUP(A241,'Audit Dimensions'!$A:$N,13,FALSE)</f>
        <v>#N/A</v>
      </c>
      <c r="N241" s="140" t="e">
        <f>VLOOKUP(A241,'Billing Dimensions'!$A:$N,14,FALSE)-VLOOKUP(A241,'Audit Dimensions'!$A:$N,14,FALSE)</f>
        <v>#N/A</v>
      </c>
      <c r="O241" s="145">
        <f>VLOOKUP('Audit VAR'!A241,'Audit Dimensions'!A:P,16,FALSE)</f>
        <v>0</v>
      </c>
      <c r="P241" s="143" t="e">
        <f>VLOOKUP(A241,'Billing Dimensions'!A:Q,17,FALSE)-VLOOKUP('Audit VAR'!A241,'Audit Dimensions'!A:P,16,FALSE)</f>
        <v>#N/A</v>
      </c>
      <c r="Q241" s="148" t="e">
        <f t="shared" si="3"/>
        <v>#N/A</v>
      </c>
    </row>
    <row r="242" spans="1:17">
      <c r="A242" s="58" t="str">
        <f>'Audit Dimensions'!A242</f>
        <v>CT-GSE-RT</v>
      </c>
      <c r="B242" s="2" t="str">
        <f>VLOOKUP(A242,'Billing Dimensions'!A:B,2,FALSE)</f>
        <v>SB</v>
      </c>
      <c r="C242" s="59">
        <f>VLOOKUP(A242,'Billing Dimensions'!$A:$N,3,FALSE)-VLOOKUP(A242,'Audit Dimensions'!$A:$N,3,FALSE)</f>
        <v>99</v>
      </c>
      <c r="D242" s="59">
        <f>VLOOKUP(A242,'Billing Dimensions'!$A:$N,4,FALSE)-VLOOKUP(A242,'Audit Dimensions'!$A:$N,4,FALSE)</f>
        <v>50</v>
      </c>
      <c r="E242" s="59">
        <f>VLOOKUP(A242,'Billing Dimensions'!$A:$N,5,FALSE)-VLOOKUP(A242,'Audit Dimensions'!$A:$N,5,FALSE)</f>
        <v>4</v>
      </c>
      <c r="F242" s="137">
        <f>VLOOKUP(A242,'Billing Dimensions'!$A:$N,6,FALSE)-VLOOKUP(A242,'Audit Dimensions'!$A:$N,6,FALSE)</f>
        <v>6120</v>
      </c>
      <c r="G242" s="65">
        <f>VLOOKUP(A242,'Billing Dimensions'!$A:$N,7,FALSE)-VLOOKUP(A242,'Audit Dimensions'!$A:$N,7,FALSE)</f>
        <v>0</v>
      </c>
      <c r="H242" s="65">
        <f>VLOOKUP(A242,'Billing Dimensions'!$A:$N,8,FALSE)-VLOOKUP(A242,'Audit Dimensions'!$A:$N,8,FALSE)</f>
        <v>0</v>
      </c>
      <c r="I242" s="65">
        <f>VLOOKUP(A242,'Billing Dimensions'!$A:$N,9,FALSE)-VLOOKUP(A242,'Audit Dimensions'!$A:$N,9,FALSE)</f>
        <v>0</v>
      </c>
      <c r="J242" s="61">
        <f>VLOOKUP(A242,'Billing Dimensions'!$A:$N,10,FALSE)-VLOOKUP(A242,'Audit Dimensions'!$A:$N,10,FALSE)</f>
        <v>0</v>
      </c>
      <c r="K242" s="63">
        <f>VLOOKUP(A242,'Billing Dimensions'!$A:$N,11,FALSE)-VLOOKUP(A242,'Audit Dimensions'!$A:$N,11,FALSE)</f>
        <v>0</v>
      </c>
      <c r="L242" s="63">
        <f>VLOOKUP(A242,'Billing Dimensions'!$A:$N,12,FALSE)-VLOOKUP(A242,'Audit Dimensions'!$A:$N,12,FALSE)</f>
        <v>0</v>
      </c>
      <c r="M242" s="63">
        <f>VLOOKUP(A242,'Billing Dimensions'!$A:$N,13,FALSE)-VLOOKUP(A242,'Audit Dimensions'!$A:$N,13,FALSE)</f>
        <v>0</v>
      </c>
      <c r="N242" s="140">
        <f>VLOOKUP(A242,'Billing Dimensions'!$A:$N,14,FALSE)-VLOOKUP(A242,'Audit Dimensions'!$A:$N,14,FALSE)</f>
        <v>0</v>
      </c>
      <c r="O242" s="145">
        <f>VLOOKUP('Audit VAR'!A242,'Audit Dimensions'!A:P,16,FALSE)</f>
        <v>0</v>
      </c>
      <c r="P242" s="143">
        <f>VLOOKUP(A242,'Billing Dimensions'!A:Q,17,FALSE)-VLOOKUP('Audit VAR'!A242,'Audit Dimensions'!A:P,16,FALSE)</f>
        <v>6120</v>
      </c>
      <c r="Q242" s="148" t="e">
        <f t="shared" si="3"/>
        <v>#DIV/0!</v>
      </c>
    </row>
    <row r="243" spans="1:17">
      <c r="A243" s="58" t="str">
        <f>'Audit Dimensions'!A243</f>
        <v>SB-OVO</v>
      </c>
      <c r="B243" s="2" t="str">
        <f>VLOOKUP(A243,'Billing Dimensions'!A:B,2,FALSE)</f>
        <v>SB</v>
      </c>
      <c r="C243" s="59">
        <f>VLOOKUP(A243,'Billing Dimensions'!$A:$N,3,FALSE)-VLOOKUP(A243,'Audit Dimensions'!$A:$N,3,FALSE)</f>
        <v>0</v>
      </c>
      <c r="D243" s="59">
        <f>VLOOKUP(A243,'Billing Dimensions'!$A:$N,4,FALSE)-VLOOKUP(A243,'Audit Dimensions'!$A:$N,4,FALSE)</f>
        <v>0</v>
      </c>
      <c r="E243" s="59">
        <f>VLOOKUP(A243,'Billing Dimensions'!$A:$N,5,FALSE)-VLOOKUP(A243,'Audit Dimensions'!$A:$N,5,FALSE)</f>
        <v>0</v>
      </c>
      <c r="F243" s="137">
        <f>VLOOKUP(A243,'Billing Dimensions'!$A:$N,6,FALSE)-VLOOKUP(A243,'Audit Dimensions'!$A:$N,6,FALSE)</f>
        <v>-1300</v>
      </c>
      <c r="G243" s="65">
        <f>VLOOKUP(A243,'Billing Dimensions'!$A:$N,7,FALSE)-VLOOKUP(A243,'Audit Dimensions'!$A:$N,7,FALSE)</f>
        <v>0</v>
      </c>
      <c r="H243" s="65">
        <f>VLOOKUP(A243,'Billing Dimensions'!$A:$N,8,FALSE)-VLOOKUP(A243,'Audit Dimensions'!$A:$N,8,FALSE)</f>
        <v>0</v>
      </c>
      <c r="I243" s="65">
        <f>VLOOKUP(A243,'Billing Dimensions'!$A:$N,9,FALSE)-VLOOKUP(A243,'Audit Dimensions'!$A:$N,9,FALSE)</f>
        <v>0</v>
      </c>
      <c r="J243" s="61">
        <f>VLOOKUP(A243,'Billing Dimensions'!$A:$N,10,FALSE)-VLOOKUP(A243,'Audit Dimensions'!$A:$N,10,FALSE)</f>
        <v>0</v>
      </c>
      <c r="K243" s="63">
        <f>VLOOKUP(A243,'Billing Dimensions'!$A:$N,11,FALSE)-VLOOKUP(A243,'Audit Dimensions'!$A:$N,11,FALSE)</f>
        <v>0</v>
      </c>
      <c r="L243" s="63">
        <f>VLOOKUP(A243,'Billing Dimensions'!$A:$N,12,FALSE)-VLOOKUP(A243,'Audit Dimensions'!$A:$N,12,FALSE)</f>
        <v>0</v>
      </c>
      <c r="M243" s="63">
        <f>VLOOKUP(A243,'Billing Dimensions'!$A:$N,13,FALSE)-VLOOKUP(A243,'Audit Dimensions'!$A:$N,13,FALSE)</f>
        <v>0</v>
      </c>
      <c r="N243" s="140">
        <f>VLOOKUP(A243,'Billing Dimensions'!$A:$N,14,FALSE)-VLOOKUP(A243,'Audit Dimensions'!$A:$N,14,FALSE)</f>
        <v>0</v>
      </c>
      <c r="O243" s="145">
        <f>VLOOKUP('Audit VAR'!A243,'Audit Dimensions'!A:P,16,FALSE)</f>
        <v>31800</v>
      </c>
      <c r="P243" s="143">
        <f>VLOOKUP(A243,'Billing Dimensions'!A:Q,17,FALSE)-VLOOKUP('Audit VAR'!A243,'Audit Dimensions'!A:P,16,FALSE)</f>
        <v>-1300</v>
      </c>
      <c r="Q243" s="148">
        <f t="shared" si="3"/>
        <v>-4.0880503144654086E-2</v>
      </c>
    </row>
    <row r="244" spans="1:17">
      <c r="A244" s="58" t="str">
        <f>'Audit Dimensions'!A244</f>
        <v>CH-ZLO-ME</v>
      </c>
      <c r="B244" s="2" t="str">
        <f>VLOOKUP(A244,'Billing Dimensions'!A:B,2,FALSE)</f>
        <v>SB</v>
      </c>
      <c r="C244" s="59">
        <f>VLOOKUP(A244,'Billing Dimensions'!$A:$N,3,FALSE)-VLOOKUP(A244,'Audit Dimensions'!$A:$N,3,FALSE)</f>
        <v>0</v>
      </c>
      <c r="D244" s="59">
        <f>VLOOKUP(A244,'Billing Dimensions'!$A:$N,4,FALSE)-VLOOKUP(A244,'Audit Dimensions'!$A:$N,4,FALSE)</f>
        <v>0</v>
      </c>
      <c r="E244" s="59">
        <f>VLOOKUP(A244,'Billing Dimensions'!$A:$N,5,FALSE)-VLOOKUP(A244,'Audit Dimensions'!$A:$N,5,FALSE)</f>
        <v>0</v>
      </c>
      <c r="F244" s="137">
        <f>VLOOKUP(A244,'Billing Dimensions'!$A:$N,6,FALSE)-VLOOKUP(A244,'Audit Dimensions'!$A:$N,6,FALSE)</f>
        <v>0</v>
      </c>
      <c r="G244" s="65">
        <f>VLOOKUP(A244,'Billing Dimensions'!$A:$N,7,FALSE)-VLOOKUP(A244,'Audit Dimensions'!$A:$N,7,FALSE)</f>
        <v>0</v>
      </c>
      <c r="H244" s="65">
        <f>VLOOKUP(A244,'Billing Dimensions'!$A:$N,8,FALSE)-VLOOKUP(A244,'Audit Dimensions'!$A:$N,8,FALSE)</f>
        <v>0</v>
      </c>
      <c r="I244" s="65">
        <f>VLOOKUP(A244,'Billing Dimensions'!$A:$N,9,FALSE)-VLOOKUP(A244,'Audit Dimensions'!$A:$N,9,FALSE)</f>
        <v>0</v>
      </c>
      <c r="J244" s="61">
        <f>VLOOKUP(A244,'Billing Dimensions'!$A:$N,10,FALSE)-VLOOKUP(A244,'Audit Dimensions'!$A:$N,10,FALSE)</f>
        <v>0</v>
      </c>
      <c r="K244" s="63">
        <f>VLOOKUP(A244,'Billing Dimensions'!$A:$N,11,FALSE)-VLOOKUP(A244,'Audit Dimensions'!$A:$N,11,FALSE)</f>
        <v>0</v>
      </c>
      <c r="L244" s="63">
        <f>VLOOKUP(A244,'Billing Dimensions'!$A:$N,12,FALSE)-VLOOKUP(A244,'Audit Dimensions'!$A:$N,12,FALSE)</f>
        <v>0</v>
      </c>
      <c r="M244" s="63">
        <f>VLOOKUP(A244,'Billing Dimensions'!$A:$N,13,FALSE)-VLOOKUP(A244,'Audit Dimensions'!$A:$N,13,FALSE)</f>
        <v>0</v>
      </c>
      <c r="N244" s="140">
        <f>VLOOKUP(A244,'Billing Dimensions'!$A:$N,14,FALSE)-VLOOKUP(A244,'Audit Dimensions'!$A:$N,14,FALSE)</f>
        <v>0</v>
      </c>
      <c r="O244" s="145">
        <f>VLOOKUP('Audit VAR'!A244,'Audit Dimensions'!A:P,16,FALSE)</f>
        <v>0</v>
      </c>
      <c r="P244" s="143">
        <f>VLOOKUP(A244,'Billing Dimensions'!A:Q,17,FALSE)-VLOOKUP('Audit VAR'!A244,'Audit Dimensions'!A:P,16,FALSE)</f>
        <v>0</v>
      </c>
      <c r="Q244" s="148" t="e">
        <f t="shared" si="3"/>
        <v>#DIV/0!</v>
      </c>
    </row>
    <row r="245" spans="1:17">
      <c r="A245" s="58" t="str">
        <f>'Audit Dimensions'!A245</f>
        <v>CH-PLI-ME</v>
      </c>
      <c r="B245" s="2" t="str">
        <f>VLOOKUP(A245,'Billing Dimensions'!A:B,2,FALSE)</f>
        <v>SB</v>
      </c>
      <c r="C245" s="59">
        <f>VLOOKUP(A245,'Billing Dimensions'!$A:$N,3,FALSE)-VLOOKUP(A245,'Audit Dimensions'!$A:$N,3,FALSE)</f>
        <v>-4</v>
      </c>
      <c r="D245" s="59">
        <f>VLOOKUP(A245,'Billing Dimensions'!$A:$N,4,FALSE)-VLOOKUP(A245,'Audit Dimensions'!$A:$N,4,FALSE)</f>
        <v>-4</v>
      </c>
      <c r="E245" s="59">
        <f>VLOOKUP(A245,'Billing Dimensions'!$A:$N,5,FALSE)-VLOOKUP(A245,'Audit Dimensions'!$A:$N,5,FALSE)</f>
        <v>-3</v>
      </c>
      <c r="F245" s="137">
        <f>VLOOKUP(A245,'Billing Dimensions'!$A:$N,6,FALSE)-VLOOKUP(A245,'Audit Dimensions'!$A:$N,6,FALSE)</f>
        <v>0</v>
      </c>
      <c r="G245" s="65">
        <f>VLOOKUP(A245,'Billing Dimensions'!$A:$N,7,FALSE)-VLOOKUP(A245,'Audit Dimensions'!$A:$N,7,FALSE)</f>
        <v>0</v>
      </c>
      <c r="H245" s="65">
        <f>VLOOKUP(A245,'Billing Dimensions'!$A:$N,8,FALSE)-VLOOKUP(A245,'Audit Dimensions'!$A:$N,8,FALSE)</f>
        <v>0</v>
      </c>
      <c r="I245" s="65">
        <f>VLOOKUP(A245,'Billing Dimensions'!$A:$N,9,FALSE)-VLOOKUP(A245,'Audit Dimensions'!$A:$N,9,FALSE)</f>
        <v>0</v>
      </c>
      <c r="J245" s="61">
        <f>VLOOKUP(A245,'Billing Dimensions'!$A:$N,10,FALSE)-VLOOKUP(A245,'Audit Dimensions'!$A:$N,10,FALSE)</f>
        <v>0</v>
      </c>
      <c r="K245" s="63">
        <f>VLOOKUP(A245,'Billing Dimensions'!$A:$N,11,FALSE)-VLOOKUP(A245,'Audit Dimensions'!$A:$N,11,FALSE)</f>
        <v>0</v>
      </c>
      <c r="L245" s="63">
        <f>VLOOKUP(A245,'Billing Dimensions'!$A:$N,12,FALSE)-VLOOKUP(A245,'Audit Dimensions'!$A:$N,12,FALSE)</f>
        <v>0</v>
      </c>
      <c r="M245" s="63">
        <f>VLOOKUP(A245,'Billing Dimensions'!$A:$N,13,FALSE)-VLOOKUP(A245,'Audit Dimensions'!$A:$N,13,FALSE)</f>
        <v>0</v>
      </c>
      <c r="N245" s="140">
        <f>VLOOKUP(A245,'Billing Dimensions'!$A:$N,14,FALSE)-VLOOKUP(A245,'Audit Dimensions'!$A:$N,14,FALSE)</f>
        <v>0</v>
      </c>
      <c r="O245" s="145">
        <f>VLOOKUP('Audit VAR'!A245,'Audit Dimensions'!A:P,16,FALSE)</f>
        <v>11500</v>
      </c>
      <c r="P245" s="143">
        <f>VLOOKUP(A245,'Billing Dimensions'!A:Q,17,FALSE)-VLOOKUP('Audit VAR'!A245,'Audit Dimensions'!A:P,16,FALSE)</f>
        <v>0</v>
      </c>
      <c r="Q245" s="148">
        <f t="shared" si="3"/>
        <v>0</v>
      </c>
    </row>
    <row r="246" spans="1:17">
      <c r="A246" s="58" t="str">
        <f>'Audit Dimensions'!A246</f>
        <v>SF-WBR-2</v>
      </c>
      <c r="B246" s="2" t="e">
        <f>VLOOKUP(A246,'Billing Dimensions'!A:B,2,FALSE)</f>
        <v>#N/A</v>
      </c>
      <c r="C246" s="59" t="e">
        <f>VLOOKUP(A246,'Billing Dimensions'!$A:$N,3,FALSE)-VLOOKUP(A246,'Audit Dimensions'!$A:$N,3,FALSE)</f>
        <v>#N/A</v>
      </c>
      <c r="D246" s="59" t="e">
        <f>VLOOKUP(A246,'Billing Dimensions'!$A:$N,4,FALSE)-VLOOKUP(A246,'Audit Dimensions'!$A:$N,4,FALSE)</f>
        <v>#N/A</v>
      </c>
      <c r="E246" s="59" t="e">
        <f>VLOOKUP(A246,'Billing Dimensions'!$A:$N,5,FALSE)-VLOOKUP(A246,'Audit Dimensions'!$A:$N,5,FALSE)</f>
        <v>#N/A</v>
      </c>
      <c r="F246" s="137" t="e">
        <f>VLOOKUP(A246,'Billing Dimensions'!$A:$N,6,FALSE)-VLOOKUP(A246,'Audit Dimensions'!$A:$N,6,FALSE)</f>
        <v>#N/A</v>
      </c>
      <c r="G246" s="65" t="e">
        <f>VLOOKUP(A246,'Billing Dimensions'!$A:$N,7,FALSE)-VLOOKUP(A246,'Audit Dimensions'!$A:$N,7,FALSE)</f>
        <v>#N/A</v>
      </c>
      <c r="H246" s="65" t="e">
        <f>VLOOKUP(A246,'Billing Dimensions'!$A:$N,8,FALSE)-VLOOKUP(A246,'Audit Dimensions'!$A:$N,8,FALSE)</f>
        <v>#N/A</v>
      </c>
      <c r="I246" s="65" t="e">
        <f>VLOOKUP(A246,'Billing Dimensions'!$A:$N,9,FALSE)-VLOOKUP(A246,'Audit Dimensions'!$A:$N,9,FALSE)</f>
        <v>#N/A</v>
      </c>
      <c r="J246" s="61" t="e">
        <f>VLOOKUP(A246,'Billing Dimensions'!$A:$N,10,FALSE)-VLOOKUP(A246,'Audit Dimensions'!$A:$N,10,FALSE)</f>
        <v>#N/A</v>
      </c>
      <c r="K246" s="63" t="e">
        <f>VLOOKUP(A246,'Billing Dimensions'!$A:$N,11,FALSE)-VLOOKUP(A246,'Audit Dimensions'!$A:$N,11,FALSE)</f>
        <v>#N/A</v>
      </c>
      <c r="L246" s="63" t="e">
        <f>VLOOKUP(A246,'Billing Dimensions'!$A:$N,12,FALSE)-VLOOKUP(A246,'Audit Dimensions'!$A:$N,12,FALSE)</f>
        <v>#N/A</v>
      </c>
      <c r="M246" s="63" t="e">
        <f>VLOOKUP(A246,'Billing Dimensions'!$A:$N,13,FALSE)-VLOOKUP(A246,'Audit Dimensions'!$A:$N,13,FALSE)</f>
        <v>#N/A</v>
      </c>
      <c r="N246" s="140" t="e">
        <f>VLOOKUP(A246,'Billing Dimensions'!$A:$N,14,FALSE)-VLOOKUP(A246,'Audit Dimensions'!$A:$N,14,FALSE)</f>
        <v>#N/A</v>
      </c>
      <c r="O246" s="145">
        <f>VLOOKUP('Audit VAR'!A246,'Audit Dimensions'!A:P,16,FALSE)</f>
        <v>0</v>
      </c>
      <c r="P246" s="143" t="e">
        <f>VLOOKUP(A246,'Billing Dimensions'!A:Q,17,FALSE)-VLOOKUP('Audit VAR'!A246,'Audit Dimensions'!A:P,16,FALSE)</f>
        <v>#N/A</v>
      </c>
      <c r="Q246" s="148" t="e">
        <f t="shared" si="3"/>
        <v>#N/A</v>
      </c>
    </row>
    <row r="247" spans="1:17">
      <c r="A247" s="58" t="str">
        <f>'Audit Dimensions'!A247</f>
        <v>SF-WBR-IL</v>
      </c>
      <c r="B247" s="2" t="e">
        <f>VLOOKUP(A247,'Billing Dimensions'!A:B,2,FALSE)</f>
        <v>#N/A</v>
      </c>
      <c r="C247" s="59" t="e">
        <f>VLOOKUP(A247,'Billing Dimensions'!$A:$N,3,FALSE)-VLOOKUP(A247,'Audit Dimensions'!$A:$N,3,FALSE)</f>
        <v>#N/A</v>
      </c>
      <c r="D247" s="59" t="e">
        <f>VLOOKUP(A247,'Billing Dimensions'!$A:$N,4,FALSE)-VLOOKUP(A247,'Audit Dimensions'!$A:$N,4,FALSE)</f>
        <v>#N/A</v>
      </c>
      <c r="E247" s="59" t="e">
        <f>VLOOKUP(A247,'Billing Dimensions'!$A:$N,5,FALSE)-VLOOKUP(A247,'Audit Dimensions'!$A:$N,5,FALSE)</f>
        <v>#N/A</v>
      </c>
      <c r="F247" s="137" t="e">
        <f>VLOOKUP(A247,'Billing Dimensions'!$A:$N,6,FALSE)-VLOOKUP(A247,'Audit Dimensions'!$A:$N,6,FALSE)</f>
        <v>#N/A</v>
      </c>
      <c r="G247" s="65" t="e">
        <f>VLOOKUP(A247,'Billing Dimensions'!$A:$N,7,FALSE)-VLOOKUP(A247,'Audit Dimensions'!$A:$N,7,FALSE)</f>
        <v>#N/A</v>
      </c>
      <c r="H247" s="65" t="e">
        <f>VLOOKUP(A247,'Billing Dimensions'!$A:$N,8,FALSE)-VLOOKUP(A247,'Audit Dimensions'!$A:$N,8,FALSE)</f>
        <v>#N/A</v>
      </c>
      <c r="I247" s="65" t="e">
        <f>VLOOKUP(A247,'Billing Dimensions'!$A:$N,9,FALSE)-VLOOKUP(A247,'Audit Dimensions'!$A:$N,9,FALSE)</f>
        <v>#N/A</v>
      </c>
      <c r="J247" s="61" t="e">
        <f>VLOOKUP(A247,'Billing Dimensions'!$A:$N,10,FALSE)-VLOOKUP(A247,'Audit Dimensions'!$A:$N,10,FALSE)</f>
        <v>#N/A</v>
      </c>
      <c r="K247" s="63" t="e">
        <f>VLOOKUP(A247,'Billing Dimensions'!$A:$N,11,FALSE)-VLOOKUP(A247,'Audit Dimensions'!$A:$N,11,FALSE)</f>
        <v>#N/A</v>
      </c>
      <c r="L247" s="63" t="e">
        <f>VLOOKUP(A247,'Billing Dimensions'!$A:$N,12,FALSE)-VLOOKUP(A247,'Audit Dimensions'!$A:$N,12,FALSE)</f>
        <v>#N/A</v>
      </c>
      <c r="M247" s="63" t="e">
        <f>VLOOKUP(A247,'Billing Dimensions'!$A:$N,13,FALSE)-VLOOKUP(A247,'Audit Dimensions'!$A:$N,13,FALSE)</f>
        <v>#N/A</v>
      </c>
      <c r="N247" s="140" t="e">
        <f>VLOOKUP(A247,'Billing Dimensions'!$A:$N,14,FALSE)-VLOOKUP(A247,'Audit Dimensions'!$A:$N,14,FALSE)</f>
        <v>#N/A</v>
      </c>
      <c r="O247" s="145">
        <f>VLOOKUP('Audit VAR'!A247,'Audit Dimensions'!A:P,16,FALSE)</f>
        <v>0</v>
      </c>
      <c r="P247" s="143" t="e">
        <f>VLOOKUP(A247,'Billing Dimensions'!A:Q,17,FALSE)-VLOOKUP('Audit VAR'!A247,'Audit Dimensions'!A:P,16,FALSE)</f>
        <v>#N/A</v>
      </c>
      <c r="Q247" s="148" t="e">
        <f t="shared" si="3"/>
        <v>#N/A</v>
      </c>
    </row>
    <row r="248" spans="1:17">
      <c r="A248" s="58" t="str">
        <f>'Audit Dimensions'!A248</f>
        <v>SR-ADS-2W</v>
      </c>
      <c r="B248" s="2" t="e">
        <f>VLOOKUP(A248,'Billing Dimensions'!A:B,2,FALSE)</f>
        <v>#N/A</v>
      </c>
      <c r="C248" s="59" t="e">
        <f>VLOOKUP(A248,'Billing Dimensions'!$A:$N,3,FALSE)-VLOOKUP(A248,'Audit Dimensions'!$A:$N,3,FALSE)</f>
        <v>#N/A</v>
      </c>
      <c r="D248" s="59" t="e">
        <f>VLOOKUP(A248,'Billing Dimensions'!$A:$N,4,FALSE)-VLOOKUP(A248,'Audit Dimensions'!$A:$N,4,FALSE)</f>
        <v>#N/A</v>
      </c>
      <c r="E248" s="59" t="e">
        <f>VLOOKUP(A248,'Billing Dimensions'!$A:$N,5,FALSE)-VLOOKUP(A248,'Audit Dimensions'!$A:$N,5,FALSE)</f>
        <v>#N/A</v>
      </c>
      <c r="F248" s="137" t="e">
        <f>VLOOKUP(A248,'Billing Dimensions'!$A:$N,6,FALSE)-VLOOKUP(A248,'Audit Dimensions'!$A:$N,6,FALSE)</f>
        <v>#N/A</v>
      </c>
      <c r="G248" s="65" t="e">
        <f>VLOOKUP(A248,'Billing Dimensions'!$A:$N,7,FALSE)-VLOOKUP(A248,'Audit Dimensions'!$A:$N,7,FALSE)</f>
        <v>#N/A</v>
      </c>
      <c r="H248" s="65" t="e">
        <f>VLOOKUP(A248,'Billing Dimensions'!$A:$N,8,FALSE)-VLOOKUP(A248,'Audit Dimensions'!$A:$N,8,FALSE)</f>
        <v>#N/A</v>
      </c>
      <c r="I248" s="65" t="e">
        <f>VLOOKUP(A248,'Billing Dimensions'!$A:$N,9,FALSE)-VLOOKUP(A248,'Audit Dimensions'!$A:$N,9,FALSE)</f>
        <v>#N/A</v>
      </c>
      <c r="J248" s="61" t="e">
        <f>VLOOKUP(A248,'Billing Dimensions'!$A:$N,10,FALSE)-VLOOKUP(A248,'Audit Dimensions'!$A:$N,10,FALSE)</f>
        <v>#N/A</v>
      </c>
      <c r="K248" s="63" t="e">
        <f>VLOOKUP(A248,'Billing Dimensions'!$A:$N,11,FALSE)-VLOOKUP(A248,'Audit Dimensions'!$A:$N,11,FALSE)</f>
        <v>#N/A</v>
      </c>
      <c r="L248" s="63" t="e">
        <f>VLOOKUP(A248,'Billing Dimensions'!$A:$N,12,FALSE)-VLOOKUP(A248,'Audit Dimensions'!$A:$N,12,FALSE)</f>
        <v>#N/A</v>
      </c>
      <c r="M248" s="63" t="e">
        <f>VLOOKUP(A248,'Billing Dimensions'!$A:$N,13,FALSE)-VLOOKUP(A248,'Audit Dimensions'!$A:$N,13,FALSE)</f>
        <v>#N/A</v>
      </c>
      <c r="N248" s="140" t="e">
        <f>VLOOKUP(A248,'Billing Dimensions'!$A:$N,14,FALSE)-VLOOKUP(A248,'Audit Dimensions'!$A:$N,14,FALSE)</f>
        <v>#N/A</v>
      </c>
      <c r="O248" s="145">
        <f>VLOOKUP('Audit VAR'!A248,'Audit Dimensions'!A:P,16,FALSE)</f>
        <v>0</v>
      </c>
      <c r="P248" s="143" t="e">
        <f>VLOOKUP(A248,'Billing Dimensions'!A:Q,17,FALSE)-VLOOKUP('Audit VAR'!A248,'Audit Dimensions'!A:P,16,FALSE)</f>
        <v>#N/A</v>
      </c>
      <c r="Q248" s="148" t="e">
        <f t="shared" si="3"/>
        <v>#N/A</v>
      </c>
    </row>
    <row r="249" spans="1:17">
      <c r="A249" s="58" t="e">
        <f>'Audit Dimensions'!#REF!</f>
        <v>#REF!</v>
      </c>
      <c r="B249" s="2" t="e">
        <f>VLOOKUP(A249,'Billing Dimensions'!A:B,2,FALSE)</f>
        <v>#REF!</v>
      </c>
      <c r="C249" s="59" t="e">
        <f>VLOOKUP(A249,'Billing Dimensions'!$A:$N,3,FALSE)-VLOOKUP(A249,'Audit Dimensions'!$A:$N,3,FALSE)</f>
        <v>#REF!</v>
      </c>
      <c r="D249" s="59" t="e">
        <f>VLOOKUP(A249,'Billing Dimensions'!$A:$N,4,FALSE)-VLOOKUP(A249,'Audit Dimensions'!$A:$N,4,FALSE)</f>
        <v>#REF!</v>
      </c>
      <c r="E249" s="59" t="e">
        <f>VLOOKUP(A249,'Billing Dimensions'!$A:$N,5,FALSE)-VLOOKUP(A249,'Audit Dimensions'!$A:$N,5,FALSE)</f>
        <v>#REF!</v>
      </c>
      <c r="F249" s="137" t="e">
        <f>VLOOKUP(A249,'Billing Dimensions'!$A:$N,6,FALSE)-VLOOKUP(A249,'Audit Dimensions'!$A:$N,6,FALSE)</f>
        <v>#REF!</v>
      </c>
      <c r="G249" s="65" t="e">
        <f>VLOOKUP(A249,'Billing Dimensions'!$A:$N,7,FALSE)-VLOOKUP(A249,'Audit Dimensions'!$A:$N,7,FALSE)</f>
        <v>#REF!</v>
      </c>
      <c r="H249" s="65" t="e">
        <f>VLOOKUP(A249,'Billing Dimensions'!$A:$N,8,FALSE)-VLOOKUP(A249,'Audit Dimensions'!$A:$N,8,FALSE)</f>
        <v>#REF!</v>
      </c>
      <c r="I249" s="65" t="e">
        <f>VLOOKUP(A249,'Billing Dimensions'!$A:$N,9,FALSE)-VLOOKUP(A249,'Audit Dimensions'!$A:$N,9,FALSE)</f>
        <v>#REF!</v>
      </c>
      <c r="J249" s="61" t="e">
        <f>VLOOKUP(A249,'Billing Dimensions'!$A:$N,10,FALSE)-VLOOKUP(A249,'Audit Dimensions'!$A:$N,10,FALSE)</f>
        <v>#REF!</v>
      </c>
      <c r="K249" s="63" t="e">
        <f>VLOOKUP(A249,'Billing Dimensions'!$A:$N,11,FALSE)-VLOOKUP(A249,'Audit Dimensions'!$A:$N,11,FALSE)</f>
        <v>#REF!</v>
      </c>
      <c r="L249" s="63" t="e">
        <f>VLOOKUP(A249,'Billing Dimensions'!$A:$N,12,FALSE)-VLOOKUP(A249,'Audit Dimensions'!$A:$N,12,FALSE)</f>
        <v>#REF!</v>
      </c>
      <c r="M249" s="63" t="e">
        <f>VLOOKUP(A249,'Billing Dimensions'!$A:$N,13,FALSE)-VLOOKUP(A249,'Audit Dimensions'!$A:$N,13,FALSE)</f>
        <v>#REF!</v>
      </c>
      <c r="N249" s="140" t="e">
        <f>VLOOKUP(A249,'Billing Dimensions'!$A:$N,14,FALSE)-VLOOKUP(A249,'Audit Dimensions'!$A:$N,14,FALSE)</f>
        <v>#REF!</v>
      </c>
      <c r="O249" s="145" t="e">
        <f>VLOOKUP('Audit VAR'!A249,'Audit Dimensions'!A:P,16,FALSE)</f>
        <v>#REF!</v>
      </c>
      <c r="P249" s="143" t="e">
        <f>VLOOKUP(A249,'Billing Dimensions'!A:Q,17,FALSE)-VLOOKUP('Audit VAR'!A249,'Audit Dimensions'!A:P,16,FALSE)</f>
        <v>#REF!</v>
      </c>
      <c r="Q249" s="148" t="e">
        <f t="shared" si="3"/>
        <v>#REF!</v>
      </c>
    </row>
    <row r="250" spans="1:17">
      <c r="A250" s="58" t="str">
        <f>'Audit Dimensions'!A249</f>
        <v>WA-PYS-N</v>
      </c>
      <c r="B250" s="2" t="str">
        <f>VLOOKUP(A250,'Billing Dimensions'!A:B,2,FALSE)</f>
        <v>SB</v>
      </c>
      <c r="C250" s="59">
        <f>VLOOKUP(A250,'Billing Dimensions'!$A:$N,3,FALSE)-VLOOKUP(A250,'Audit Dimensions'!$A:$N,3,FALSE)</f>
        <v>0</v>
      </c>
      <c r="D250" s="59">
        <f>VLOOKUP(A250,'Billing Dimensions'!$A:$N,4,FALSE)-VLOOKUP(A250,'Audit Dimensions'!$A:$N,4,FALSE)</f>
        <v>0</v>
      </c>
      <c r="E250" s="59">
        <f>VLOOKUP(A250,'Billing Dimensions'!$A:$N,5,FALSE)-VLOOKUP(A250,'Audit Dimensions'!$A:$N,5,FALSE)</f>
        <v>-1</v>
      </c>
      <c r="F250" s="137">
        <f>VLOOKUP(A250,'Billing Dimensions'!$A:$N,6,FALSE)-VLOOKUP(A250,'Audit Dimensions'!$A:$N,6,FALSE)</f>
        <v>-50</v>
      </c>
      <c r="G250" s="65">
        <f>VLOOKUP(A250,'Billing Dimensions'!$A:$N,7,FALSE)-VLOOKUP(A250,'Audit Dimensions'!$A:$N,7,FALSE)</f>
        <v>0</v>
      </c>
      <c r="H250" s="65">
        <f>VLOOKUP(A250,'Billing Dimensions'!$A:$N,8,FALSE)-VLOOKUP(A250,'Audit Dimensions'!$A:$N,8,FALSE)</f>
        <v>0</v>
      </c>
      <c r="I250" s="65">
        <f>VLOOKUP(A250,'Billing Dimensions'!$A:$N,9,FALSE)-VLOOKUP(A250,'Audit Dimensions'!$A:$N,9,FALSE)</f>
        <v>0</v>
      </c>
      <c r="J250" s="61">
        <f>VLOOKUP(A250,'Billing Dimensions'!$A:$N,10,FALSE)-VLOOKUP(A250,'Audit Dimensions'!$A:$N,10,FALSE)</f>
        <v>0</v>
      </c>
      <c r="K250" s="63">
        <f>VLOOKUP(A250,'Billing Dimensions'!$A:$N,11,FALSE)-VLOOKUP(A250,'Audit Dimensions'!$A:$N,11,FALSE)</f>
        <v>0</v>
      </c>
      <c r="L250" s="63">
        <f>VLOOKUP(A250,'Billing Dimensions'!$A:$N,12,FALSE)-VLOOKUP(A250,'Audit Dimensions'!$A:$N,12,FALSE)</f>
        <v>0</v>
      </c>
      <c r="M250" s="63">
        <f>VLOOKUP(A250,'Billing Dimensions'!$A:$N,13,FALSE)-VLOOKUP(A250,'Audit Dimensions'!$A:$N,13,FALSE)</f>
        <v>0</v>
      </c>
      <c r="N250" s="140">
        <f>VLOOKUP(A250,'Billing Dimensions'!$A:$N,14,FALSE)-VLOOKUP(A250,'Audit Dimensions'!$A:$N,14,FALSE)</f>
        <v>0</v>
      </c>
      <c r="O250" s="145">
        <f>VLOOKUP('Audit VAR'!A250,'Audit Dimensions'!A:P,16,FALSE)</f>
        <v>1940</v>
      </c>
      <c r="P250" s="143">
        <f>VLOOKUP(A250,'Billing Dimensions'!A:Q,17,FALSE)-VLOOKUP('Audit VAR'!A250,'Audit Dimensions'!A:P,16,FALSE)</f>
        <v>-50</v>
      </c>
      <c r="Q250" s="148">
        <f t="shared" si="3"/>
        <v>-2.5773195876288658E-2</v>
      </c>
    </row>
    <row r="251" spans="1:17" ht="13.5" customHeight="1">
      <c r="A251" s="58" t="str">
        <f>'Audit Dimensions'!A250</f>
        <v>TU-PMP-S</v>
      </c>
      <c r="B251" s="2" t="str">
        <f>VLOOKUP(A251,'Billing Dimensions'!A:B,2,FALSE)</f>
        <v>SB</v>
      </c>
      <c r="C251" s="59">
        <f>VLOOKUP(A251,'Billing Dimensions'!$A:$N,3,FALSE)-VLOOKUP(A251,'Audit Dimensions'!$A:$N,3,FALSE)</f>
        <v>136</v>
      </c>
      <c r="D251" s="59">
        <f>VLOOKUP(A251,'Billing Dimensions'!$A:$N,4,FALSE)-VLOOKUP(A251,'Audit Dimensions'!$A:$N,4,FALSE)</f>
        <v>35</v>
      </c>
      <c r="E251" s="59">
        <f>VLOOKUP(A251,'Billing Dimensions'!$A:$N,5,FALSE)-VLOOKUP(A251,'Audit Dimensions'!$A:$N,5,FALSE)</f>
        <v>8</v>
      </c>
      <c r="F251" s="137">
        <f>VLOOKUP(A251,'Billing Dimensions'!$A:$N,6,FALSE)-VLOOKUP(A251,'Audit Dimensions'!$A:$N,6,FALSE)</f>
        <v>17600</v>
      </c>
      <c r="G251" s="65">
        <f>VLOOKUP(A251,'Billing Dimensions'!$A:$N,7,FALSE)-VLOOKUP(A251,'Audit Dimensions'!$A:$N,7,FALSE)</f>
        <v>0</v>
      </c>
      <c r="H251" s="65">
        <f>VLOOKUP(A251,'Billing Dimensions'!$A:$N,8,FALSE)-VLOOKUP(A251,'Audit Dimensions'!$A:$N,8,FALSE)</f>
        <v>0</v>
      </c>
      <c r="I251" s="65">
        <f>VLOOKUP(A251,'Billing Dimensions'!$A:$N,9,FALSE)-VLOOKUP(A251,'Audit Dimensions'!$A:$N,9,FALSE)</f>
        <v>0</v>
      </c>
      <c r="J251" s="61">
        <f>VLOOKUP(A251,'Billing Dimensions'!$A:$N,10,FALSE)-VLOOKUP(A251,'Audit Dimensions'!$A:$N,10,FALSE)</f>
        <v>0</v>
      </c>
      <c r="K251" s="63">
        <f>VLOOKUP(A251,'Billing Dimensions'!$A:$N,11,FALSE)-VLOOKUP(A251,'Audit Dimensions'!$A:$N,11,FALSE)</f>
        <v>0</v>
      </c>
      <c r="L251" s="63">
        <f>VLOOKUP(A251,'Billing Dimensions'!$A:$N,12,FALSE)-VLOOKUP(A251,'Audit Dimensions'!$A:$N,12,FALSE)</f>
        <v>0</v>
      </c>
      <c r="M251" s="63">
        <f>VLOOKUP(A251,'Billing Dimensions'!$A:$N,13,FALSE)-VLOOKUP(A251,'Audit Dimensions'!$A:$N,13,FALSE)</f>
        <v>0</v>
      </c>
      <c r="N251" s="140">
        <f>VLOOKUP(A251,'Billing Dimensions'!$A:$N,14,FALSE)-VLOOKUP(A251,'Audit Dimensions'!$A:$N,14,FALSE)</f>
        <v>0</v>
      </c>
      <c r="O251" s="145">
        <f>VLOOKUP('Audit VAR'!A251,'Audit Dimensions'!A:P,16,FALSE)</f>
        <v>0</v>
      </c>
      <c r="P251" s="143">
        <f>VLOOKUP(A251,'Billing Dimensions'!A:Q,17,FALSE)-VLOOKUP('Audit VAR'!A251,'Audit Dimensions'!A:P,16,FALSE)</f>
        <v>17600</v>
      </c>
      <c r="Q251" s="148" t="e">
        <f t="shared" si="3"/>
        <v>#DIV/0!</v>
      </c>
    </row>
    <row r="252" spans="1:17">
      <c r="A252" s="58" t="str">
        <f>'Audit Dimensions'!A251</f>
        <v>TU-VCO</v>
      </c>
      <c r="B252" s="2" t="e">
        <f>VLOOKUP(A252,'Billing Dimensions'!A:B,2,FALSE)</f>
        <v>#N/A</v>
      </c>
      <c r="C252" s="59" t="e">
        <f>VLOOKUP(A252,'Billing Dimensions'!$A:$N,3,FALSE)-VLOOKUP(A252,'Audit Dimensions'!$A:$N,3,FALSE)</f>
        <v>#N/A</v>
      </c>
      <c r="D252" s="59" t="e">
        <f>VLOOKUP(A252,'Billing Dimensions'!$A:$N,4,FALSE)-VLOOKUP(A252,'Audit Dimensions'!$A:$N,4,FALSE)</f>
        <v>#N/A</v>
      </c>
      <c r="E252" s="59" t="e">
        <f>VLOOKUP(A252,'Billing Dimensions'!$A:$N,5,FALSE)-VLOOKUP(A252,'Audit Dimensions'!$A:$N,5,FALSE)</f>
        <v>#N/A</v>
      </c>
      <c r="F252" s="137" t="e">
        <f>VLOOKUP(A252,'Billing Dimensions'!$A:$N,6,FALSE)-VLOOKUP(A252,'Audit Dimensions'!$A:$N,6,FALSE)</f>
        <v>#N/A</v>
      </c>
      <c r="G252" s="65" t="e">
        <f>VLOOKUP(A252,'Billing Dimensions'!$A:$N,7,FALSE)-VLOOKUP(A252,'Audit Dimensions'!$A:$N,7,FALSE)</f>
        <v>#N/A</v>
      </c>
      <c r="H252" s="65" t="e">
        <f>VLOOKUP(A252,'Billing Dimensions'!$A:$N,8,FALSE)-VLOOKUP(A252,'Audit Dimensions'!$A:$N,8,FALSE)</f>
        <v>#N/A</v>
      </c>
      <c r="I252" s="65" t="e">
        <f>VLOOKUP(A252,'Billing Dimensions'!$A:$N,9,FALSE)-VLOOKUP(A252,'Audit Dimensions'!$A:$N,9,FALSE)</f>
        <v>#N/A</v>
      </c>
      <c r="J252" s="61" t="e">
        <f>VLOOKUP(A252,'Billing Dimensions'!$A:$N,10,FALSE)-VLOOKUP(A252,'Audit Dimensions'!$A:$N,10,FALSE)</f>
        <v>#N/A</v>
      </c>
      <c r="K252" s="63" t="e">
        <f>VLOOKUP(A252,'Billing Dimensions'!$A:$N,11,FALSE)-VLOOKUP(A252,'Audit Dimensions'!$A:$N,11,FALSE)</f>
        <v>#N/A</v>
      </c>
      <c r="L252" s="63" t="e">
        <f>VLOOKUP(A252,'Billing Dimensions'!$A:$N,12,FALSE)-VLOOKUP(A252,'Audit Dimensions'!$A:$N,12,FALSE)</f>
        <v>#N/A</v>
      </c>
      <c r="M252" s="63" t="e">
        <f>VLOOKUP(A252,'Billing Dimensions'!$A:$N,13,FALSE)-VLOOKUP(A252,'Audit Dimensions'!$A:$N,13,FALSE)</f>
        <v>#N/A</v>
      </c>
      <c r="N252" s="140" t="e">
        <f>VLOOKUP(A252,'Billing Dimensions'!$A:$N,14,FALSE)-VLOOKUP(A252,'Audit Dimensions'!$A:$N,14,FALSE)</f>
        <v>#N/A</v>
      </c>
      <c r="O252" s="145">
        <f>VLOOKUP('Audit VAR'!A252,'Audit Dimensions'!A:P,16,FALSE)</f>
        <v>0</v>
      </c>
      <c r="P252" s="143" t="e">
        <f>VLOOKUP(A252,'Billing Dimensions'!A:Q,17,FALSE)-VLOOKUP('Audit VAR'!A252,'Audit Dimensions'!A:P,16,FALSE)</f>
        <v>#N/A</v>
      </c>
      <c r="Q252" s="148" t="e">
        <f t="shared" si="3"/>
        <v>#N/A</v>
      </c>
    </row>
    <row r="253" spans="1:17">
      <c r="A253" s="58" t="str">
        <f>'Audit Dimensions'!A252</f>
        <v>BT-HE</v>
      </c>
      <c r="B253" s="2" t="str">
        <f>VLOOKUP(A253,'Billing Dimensions'!A:B,2,FALSE)</f>
        <v>SB</v>
      </c>
      <c r="C253" s="59">
        <f>VLOOKUP(A253,'Billing Dimensions'!$A:$N,3,FALSE)-VLOOKUP(A253,'Audit Dimensions'!$A:$N,3,FALSE)</f>
        <v>0</v>
      </c>
      <c r="D253" s="59">
        <f>VLOOKUP(A253,'Billing Dimensions'!$A:$N,4,FALSE)-VLOOKUP(A253,'Audit Dimensions'!$A:$N,4,FALSE)</f>
        <v>0</v>
      </c>
      <c r="E253" s="59">
        <f>VLOOKUP(A253,'Billing Dimensions'!$A:$N,5,FALSE)-VLOOKUP(A253,'Audit Dimensions'!$A:$N,5,FALSE)</f>
        <v>0</v>
      </c>
      <c r="F253" s="137">
        <f>VLOOKUP(A253,'Billing Dimensions'!$A:$N,6,FALSE)-VLOOKUP(A253,'Audit Dimensions'!$A:$N,6,FALSE)</f>
        <v>-480</v>
      </c>
      <c r="G253" s="65">
        <f>VLOOKUP(A253,'Billing Dimensions'!$A:$N,7,FALSE)-VLOOKUP(A253,'Audit Dimensions'!$A:$N,7,FALSE)</f>
        <v>0</v>
      </c>
      <c r="H253" s="65">
        <f>VLOOKUP(A253,'Billing Dimensions'!$A:$N,8,FALSE)-VLOOKUP(A253,'Audit Dimensions'!$A:$N,8,FALSE)</f>
        <v>0</v>
      </c>
      <c r="I253" s="65">
        <f>VLOOKUP(A253,'Billing Dimensions'!$A:$N,9,FALSE)-VLOOKUP(A253,'Audit Dimensions'!$A:$N,9,FALSE)</f>
        <v>0</v>
      </c>
      <c r="J253" s="61">
        <f>VLOOKUP(A253,'Billing Dimensions'!$A:$N,10,FALSE)-VLOOKUP(A253,'Audit Dimensions'!$A:$N,10,FALSE)</f>
        <v>0</v>
      </c>
      <c r="K253" s="63">
        <f>VLOOKUP(A253,'Billing Dimensions'!$A:$N,11,FALSE)-VLOOKUP(A253,'Audit Dimensions'!$A:$N,11,FALSE)</f>
        <v>0</v>
      </c>
      <c r="L253" s="63">
        <f>VLOOKUP(A253,'Billing Dimensions'!$A:$N,12,FALSE)-VLOOKUP(A253,'Audit Dimensions'!$A:$N,12,FALSE)</f>
        <v>0</v>
      </c>
      <c r="M253" s="63">
        <f>VLOOKUP(A253,'Billing Dimensions'!$A:$N,13,FALSE)-VLOOKUP(A253,'Audit Dimensions'!$A:$N,13,FALSE)</f>
        <v>0</v>
      </c>
      <c r="N253" s="140">
        <f>VLOOKUP(A253,'Billing Dimensions'!$A:$N,14,FALSE)-VLOOKUP(A253,'Audit Dimensions'!$A:$N,14,FALSE)</f>
        <v>0</v>
      </c>
      <c r="O253" s="145">
        <f>VLOOKUP('Audit VAR'!A253,'Audit Dimensions'!A:P,16,FALSE)</f>
        <v>4780</v>
      </c>
      <c r="P253" s="143">
        <f>VLOOKUP(A253,'Billing Dimensions'!A:Q,17,FALSE)-VLOOKUP('Audit VAR'!A253,'Audit Dimensions'!A:P,16,FALSE)</f>
        <v>-480</v>
      </c>
      <c r="Q253" s="148">
        <f t="shared" si="3"/>
        <v>-0.100418410041841</v>
      </c>
    </row>
    <row r="254" spans="1:17">
      <c r="A254" s="58" t="str">
        <f>'Audit Dimensions'!A253</f>
        <v>BT-LE-B</v>
      </c>
      <c r="B254" s="2">
        <f>VLOOKUP(A254,'Billing Dimensions'!A:B,2,FALSE)</f>
        <v>0</v>
      </c>
      <c r="C254" s="59">
        <f>VLOOKUP(A254,'Billing Dimensions'!$A:$N,3,FALSE)-VLOOKUP(A254,'Audit Dimensions'!$A:$N,3,FALSE)</f>
        <v>64</v>
      </c>
      <c r="D254" s="59">
        <f>VLOOKUP(A254,'Billing Dimensions'!$A:$N,4,FALSE)-VLOOKUP(A254,'Audit Dimensions'!$A:$N,4,FALSE)</f>
        <v>58</v>
      </c>
      <c r="E254" s="59">
        <f>VLOOKUP(A254,'Billing Dimensions'!$A:$N,5,FALSE)-VLOOKUP(A254,'Audit Dimensions'!$A:$N,5,FALSE)</f>
        <v>12</v>
      </c>
      <c r="F254" s="137">
        <f>VLOOKUP(A254,'Billing Dimensions'!$A:$N,6,FALSE)-VLOOKUP(A254,'Audit Dimensions'!$A:$N,6,FALSE)</f>
        <v>15000</v>
      </c>
      <c r="G254" s="65">
        <f>VLOOKUP(A254,'Billing Dimensions'!$A:$N,7,FALSE)-VLOOKUP(A254,'Audit Dimensions'!$A:$N,7,FALSE)</f>
        <v>0</v>
      </c>
      <c r="H254" s="65">
        <f>VLOOKUP(A254,'Billing Dimensions'!$A:$N,8,FALSE)-VLOOKUP(A254,'Audit Dimensions'!$A:$N,8,FALSE)</f>
        <v>0</v>
      </c>
      <c r="I254" s="65">
        <f>VLOOKUP(A254,'Billing Dimensions'!$A:$N,9,FALSE)-VLOOKUP(A254,'Audit Dimensions'!$A:$N,9,FALSE)</f>
        <v>0</v>
      </c>
      <c r="J254" s="61">
        <f>VLOOKUP(A254,'Billing Dimensions'!$A:$N,10,FALSE)-VLOOKUP(A254,'Audit Dimensions'!$A:$N,10,FALSE)</f>
        <v>0</v>
      </c>
      <c r="K254" s="63">
        <f>VLOOKUP(A254,'Billing Dimensions'!$A:$N,11,FALSE)-VLOOKUP(A254,'Audit Dimensions'!$A:$N,11,FALSE)</f>
        <v>0</v>
      </c>
      <c r="L254" s="63">
        <f>VLOOKUP(A254,'Billing Dimensions'!$A:$N,12,FALSE)-VLOOKUP(A254,'Audit Dimensions'!$A:$N,12,FALSE)</f>
        <v>0</v>
      </c>
      <c r="M254" s="63">
        <f>VLOOKUP(A254,'Billing Dimensions'!$A:$N,13,FALSE)-VLOOKUP(A254,'Audit Dimensions'!$A:$N,13,FALSE)</f>
        <v>0</v>
      </c>
      <c r="N254" s="140">
        <f>VLOOKUP(A254,'Billing Dimensions'!$A:$N,14,FALSE)-VLOOKUP(A254,'Audit Dimensions'!$A:$N,14,FALSE)</f>
        <v>0</v>
      </c>
      <c r="O254" s="145">
        <f>VLOOKUP('Audit VAR'!A254,'Audit Dimensions'!A:P,16,FALSE)</f>
        <v>0</v>
      </c>
      <c r="P254" s="143">
        <f>VLOOKUP(A254,'Billing Dimensions'!A:Q,17,FALSE)-VLOOKUP('Audit VAR'!A254,'Audit Dimensions'!A:P,16,FALSE)</f>
        <v>15000</v>
      </c>
      <c r="Q254" s="148" t="e">
        <f t="shared" si="3"/>
        <v>#DIV/0!</v>
      </c>
    </row>
    <row r="255" spans="1:17">
      <c r="A255" s="58" t="str">
        <f>'Audit Dimensions'!A254</f>
        <v>CT-ATD-LA</v>
      </c>
      <c r="B255" s="2" t="str">
        <f>VLOOKUP(A255,'Billing Dimensions'!A:B,2,FALSE)</f>
        <v>SB</v>
      </c>
      <c r="C255" s="59">
        <f>VLOOKUP(A255,'Billing Dimensions'!$A:$N,3,FALSE)-VLOOKUP(A255,'Audit Dimensions'!$A:$N,3,FALSE)</f>
        <v>0</v>
      </c>
      <c r="D255" s="59">
        <f>VLOOKUP(A255,'Billing Dimensions'!$A:$N,4,FALSE)-VLOOKUP(A255,'Audit Dimensions'!$A:$N,4,FALSE)</f>
        <v>0</v>
      </c>
      <c r="E255" s="59">
        <f>VLOOKUP(A255,'Billing Dimensions'!$A:$N,5,FALSE)-VLOOKUP(A255,'Audit Dimensions'!$A:$N,5,FALSE)</f>
        <v>0</v>
      </c>
      <c r="F255" s="137">
        <f>VLOOKUP(A255,'Billing Dimensions'!$A:$N,6,FALSE)-VLOOKUP(A255,'Audit Dimensions'!$A:$N,6,FALSE)</f>
        <v>0</v>
      </c>
      <c r="G255" s="65">
        <f>VLOOKUP(A255,'Billing Dimensions'!$A:$N,7,FALSE)-VLOOKUP(A255,'Audit Dimensions'!$A:$N,7,FALSE)</f>
        <v>0</v>
      </c>
      <c r="H255" s="65">
        <f>VLOOKUP(A255,'Billing Dimensions'!$A:$N,8,FALSE)-VLOOKUP(A255,'Audit Dimensions'!$A:$N,8,FALSE)</f>
        <v>0</v>
      </c>
      <c r="I255" s="65">
        <f>VLOOKUP(A255,'Billing Dimensions'!$A:$N,9,FALSE)-VLOOKUP(A255,'Audit Dimensions'!$A:$N,9,FALSE)</f>
        <v>0</v>
      </c>
      <c r="J255" s="61">
        <f>VLOOKUP(A255,'Billing Dimensions'!$A:$N,10,FALSE)-VLOOKUP(A255,'Audit Dimensions'!$A:$N,10,FALSE)</f>
        <v>0</v>
      </c>
      <c r="K255" s="63">
        <f>VLOOKUP(A255,'Billing Dimensions'!$A:$N,11,FALSE)-VLOOKUP(A255,'Audit Dimensions'!$A:$N,11,FALSE)</f>
        <v>0</v>
      </c>
      <c r="L255" s="63">
        <f>VLOOKUP(A255,'Billing Dimensions'!$A:$N,12,FALSE)-VLOOKUP(A255,'Audit Dimensions'!$A:$N,12,FALSE)</f>
        <v>0</v>
      </c>
      <c r="M255" s="63">
        <f>VLOOKUP(A255,'Billing Dimensions'!$A:$N,13,FALSE)-VLOOKUP(A255,'Audit Dimensions'!$A:$N,13,FALSE)</f>
        <v>0</v>
      </c>
      <c r="N255" s="140">
        <f>VLOOKUP(A255,'Billing Dimensions'!$A:$N,14,FALSE)-VLOOKUP(A255,'Audit Dimensions'!$A:$N,14,FALSE)</f>
        <v>0</v>
      </c>
      <c r="O255" s="145">
        <f>VLOOKUP('Audit VAR'!A255,'Audit Dimensions'!A:P,16,FALSE)</f>
        <v>24490</v>
      </c>
      <c r="P255" s="143">
        <f>VLOOKUP(A255,'Billing Dimensions'!A:Q,17,FALSE)-VLOOKUP('Audit VAR'!A255,'Audit Dimensions'!A:P,16,FALSE)</f>
        <v>0</v>
      </c>
      <c r="Q255" s="148">
        <f t="shared" si="3"/>
        <v>0</v>
      </c>
    </row>
    <row r="256" spans="1:17">
      <c r="A256" s="58" t="str">
        <f>'Audit Dimensions'!A255</f>
        <v>CT-ATD-M</v>
      </c>
      <c r="B256" s="2" t="e">
        <f>VLOOKUP(A256,'Billing Dimensions'!A:B,2,FALSE)</f>
        <v>#N/A</v>
      </c>
      <c r="C256" s="59" t="e">
        <f>VLOOKUP(A256,'Billing Dimensions'!$A:$N,3,FALSE)-VLOOKUP(A256,'Audit Dimensions'!$A:$N,3,FALSE)</f>
        <v>#N/A</v>
      </c>
      <c r="D256" s="59" t="e">
        <f>VLOOKUP(A256,'Billing Dimensions'!$A:$N,4,FALSE)-VLOOKUP(A256,'Audit Dimensions'!$A:$N,4,FALSE)</f>
        <v>#N/A</v>
      </c>
      <c r="E256" s="59" t="e">
        <f>VLOOKUP(A256,'Billing Dimensions'!$A:$N,5,FALSE)-VLOOKUP(A256,'Audit Dimensions'!$A:$N,5,FALSE)</f>
        <v>#N/A</v>
      </c>
      <c r="F256" s="137" t="e">
        <f>VLOOKUP(A256,'Billing Dimensions'!$A:$N,6,FALSE)-VLOOKUP(A256,'Audit Dimensions'!$A:$N,6,FALSE)</f>
        <v>#N/A</v>
      </c>
      <c r="G256" s="65" t="e">
        <f>VLOOKUP(A256,'Billing Dimensions'!$A:$N,7,FALSE)-VLOOKUP(A256,'Audit Dimensions'!$A:$N,7,FALSE)</f>
        <v>#N/A</v>
      </c>
      <c r="H256" s="65" t="e">
        <f>VLOOKUP(A256,'Billing Dimensions'!$A:$N,8,FALSE)-VLOOKUP(A256,'Audit Dimensions'!$A:$N,8,FALSE)</f>
        <v>#N/A</v>
      </c>
      <c r="I256" s="65" t="e">
        <f>VLOOKUP(A256,'Billing Dimensions'!$A:$N,9,FALSE)-VLOOKUP(A256,'Audit Dimensions'!$A:$N,9,FALSE)</f>
        <v>#N/A</v>
      </c>
      <c r="J256" s="61" t="e">
        <f>VLOOKUP(A256,'Billing Dimensions'!$A:$N,10,FALSE)-VLOOKUP(A256,'Audit Dimensions'!$A:$N,10,FALSE)</f>
        <v>#N/A</v>
      </c>
      <c r="K256" s="63" t="e">
        <f>VLOOKUP(A256,'Billing Dimensions'!$A:$N,11,FALSE)-VLOOKUP(A256,'Audit Dimensions'!$A:$N,11,FALSE)</f>
        <v>#N/A</v>
      </c>
      <c r="L256" s="63" t="e">
        <f>VLOOKUP(A256,'Billing Dimensions'!$A:$N,12,FALSE)-VLOOKUP(A256,'Audit Dimensions'!$A:$N,12,FALSE)</f>
        <v>#N/A</v>
      </c>
      <c r="M256" s="63" t="e">
        <f>VLOOKUP(A256,'Billing Dimensions'!$A:$N,13,FALSE)-VLOOKUP(A256,'Audit Dimensions'!$A:$N,13,FALSE)</f>
        <v>#N/A</v>
      </c>
      <c r="N256" s="140" t="e">
        <f>VLOOKUP(A256,'Billing Dimensions'!$A:$N,14,FALSE)-VLOOKUP(A256,'Audit Dimensions'!$A:$N,14,FALSE)</f>
        <v>#N/A</v>
      </c>
      <c r="O256" s="145">
        <f>VLOOKUP('Audit VAR'!A256,'Audit Dimensions'!A:P,16,FALSE)</f>
        <v>15800</v>
      </c>
      <c r="P256" s="143" t="e">
        <f>VLOOKUP(A256,'Billing Dimensions'!A:Q,17,FALSE)-VLOOKUP('Audit VAR'!A256,'Audit Dimensions'!A:P,16,FALSE)</f>
        <v>#N/A</v>
      </c>
      <c r="Q256" s="148" t="e">
        <f t="shared" ref="Q256:Q319" si="4">P256/O256</f>
        <v>#N/A</v>
      </c>
    </row>
    <row r="257" spans="1:17">
      <c r="A257" s="58" t="str">
        <f>'Audit Dimensions'!A256</f>
        <v>SB-SDA</v>
      </c>
      <c r="B257" s="2" t="str">
        <f>VLOOKUP(A257,'Billing Dimensions'!A:B,2,FALSE)</f>
        <v>SB</v>
      </c>
      <c r="C257" s="59">
        <f>VLOOKUP(A257,'Billing Dimensions'!$A:$N,3,FALSE)-VLOOKUP(A257,'Audit Dimensions'!$A:$N,3,FALSE)</f>
        <v>0</v>
      </c>
      <c r="D257" s="59">
        <f>VLOOKUP(A257,'Billing Dimensions'!$A:$N,4,FALSE)-VLOOKUP(A257,'Audit Dimensions'!$A:$N,4,FALSE)</f>
        <v>0</v>
      </c>
      <c r="E257" s="59">
        <f>VLOOKUP(A257,'Billing Dimensions'!$A:$N,5,FALSE)-VLOOKUP(A257,'Audit Dimensions'!$A:$N,5,FALSE)</f>
        <v>0</v>
      </c>
      <c r="F257" s="137">
        <f>VLOOKUP(A257,'Billing Dimensions'!$A:$N,6,FALSE)-VLOOKUP(A257,'Audit Dimensions'!$A:$N,6,FALSE)</f>
        <v>0</v>
      </c>
      <c r="G257" s="65">
        <f>VLOOKUP(A257,'Billing Dimensions'!$A:$N,7,FALSE)-VLOOKUP(A257,'Audit Dimensions'!$A:$N,7,FALSE)</f>
        <v>0</v>
      </c>
      <c r="H257" s="65">
        <f>VLOOKUP(A257,'Billing Dimensions'!$A:$N,8,FALSE)-VLOOKUP(A257,'Audit Dimensions'!$A:$N,8,FALSE)</f>
        <v>0</v>
      </c>
      <c r="I257" s="65">
        <f>VLOOKUP(A257,'Billing Dimensions'!$A:$N,9,FALSE)-VLOOKUP(A257,'Audit Dimensions'!$A:$N,9,FALSE)</f>
        <v>0</v>
      </c>
      <c r="J257" s="61">
        <f>VLOOKUP(A257,'Billing Dimensions'!$A:$N,10,FALSE)-VLOOKUP(A257,'Audit Dimensions'!$A:$N,10,FALSE)</f>
        <v>0</v>
      </c>
      <c r="K257" s="63">
        <f>VLOOKUP(A257,'Billing Dimensions'!$A:$N,11,FALSE)-VLOOKUP(A257,'Audit Dimensions'!$A:$N,11,FALSE)</f>
        <v>0</v>
      </c>
      <c r="L257" s="63">
        <f>VLOOKUP(A257,'Billing Dimensions'!$A:$N,12,FALSE)-VLOOKUP(A257,'Audit Dimensions'!$A:$N,12,FALSE)</f>
        <v>0</v>
      </c>
      <c r="M257" s="63">
        <f>VLOOKUP(A257,'Billing Dimensions'!$A:$N,13,FALSE)-VLOOKUP(A257,'Audit Dimensions'!$A:$N,13,FALSE)</f>
        <v>0</v>
      </c>
      <c r="N257" s="140">
        <f>VLOOKUP(A257,'Billing Dimensions'!$A:$N,14,FALSE)-VLOOKUP(A257,'Audit Dimensions'!$A:$N,14,FALSE)</f>
        <v>0</v>
      </c>
      <c r="O257" s="145">
        <f>VLOOKUP('Audit VAR'!A257,'Audit Dimensions'!A:P,16,FALSE)</f>
        <v>8900</v>
      </c>
      <c r="P257" s="143">
        <f>VLOOKUP(A257,'Billing Dimensions'!A:Q,17,FALSE)-VLOOKUP('Audit VAR'!A257,'Audit Dimensions'!A:P,16,FALSE)</f>
        <v>0</v>
      </c>
      <c r="Q257" s="148">
        <f t="shared" si="4"/>
        <v>0</v>
      </c>
    </row>
    <row r="258" spans="1:17">
      <c r="A258" s="58" t="str">
        <f>'Audit Dimensions'!A257</f>
        <v>CT-ATD-ST</v>
      </c>
      <c r="B258" s="2" t="str">
        <f>VLOOKUP(A258,'Billing Dimensions'!A:B,2,FALSE)</f>
        <v>SB</v>
      </c>
      <c r="C258" s="59">
        <f>VLOOKUP(A258,'Billing Dimensions'!$A:$N,3,FALSE)-VLOOKUP(A258,'Audit Dimensions'!$A:$N,3,FALSE)</f>
        <v>17</v>
      </c>
      <c r="D258" s="59">
        <f>VLOOKUP(A258,'Billing Dimensions'!$A:$N,4,FALSE)-VLOOKUP(A258,'Audit Dimensions'!$A:$N,4,FALSE)</f>
        <v>6</v>
      </c>
      <c r="E258" s="59">
        <f>VLOOKUP(A258,'Billing Dimensions'!$A:$N,5,FALSE)-VLOOKUP(A258,'Audit Dimensions'!$A:$N,5,FALSE)</f>
        <v>-3</v>
      </c>
      <c r="F258" s="137">
        <f>VLOOKUP(A258,'Billing Dimensions'!$A:$N,6,FALSE)-VLOOKUP(A258,'Audit Dimensions'!$A:$N,6,FALSE)</f>
        <v>3550</v>
      </c>
      <c r="G258" s="65">
        <f>VLOOKUP(A258,'Billing Dimensions'!$A:$N,7,FALSE)-VLOOKUP(A258,'Audit Dimensions'!$A:$N,7,FALSE)</f>
        <v>0</v>
      </c>
      <c r="H258" s="65">
        <f>VLOOKUP(A258,'Billing Dimensions'!$A:$N,8,FALSE)-VLOOKUP(A258,'Audit Dimensions'!$A:$N,8,FALSE)</f>
        <v>0</v>
      </c>
      <c r="I258" s="65">
        <f>VLOOKUP(A258,'Billing Dimensions'!$A:$N,9,FALSE)-VLOOKUP(A258,'Audit Dimensions'!$A:$N,9,FALSE)</f>
        <v>0</v>
      </c>
      <c r="J258" s="61">
        <f>VLOOKUP(A258,'Billing Dimensions'!$A:$N,10,FALSE)-VLOOKUP(A258,'Audit Dimensions'!$A:$N,10,FALSE)</f>
        <v>0</v>
      </c>
      <c r="K258" s="63">
        <f>VLOOKUP(A258,'Billing Dimensions'!$A:$N,11,FALSE)-VLOOKUP(A258,'Audit Dimensions'!$A:$N,11,FALSE)</f>
        <v>0</v>
      </c>
      <c r="L258" s="63">
        <f>VLOOKUP(A258,'Billing Dimensions'!$A:$N,12,FALSE)-VLOOKUP(A258,'Audit Dimensions'!$A:$N,12,FALSE)</f>
        <v>0</v>
      </c>
      <c r="M258" s="63">
        <f>VLOOKUP(A258,'Billing Dimensions'!$A:$N,13,FALSE)-VLOOKUP(A258,'Audit Dimensions'!$A:$N,13,FALSE)</f>
        <v>0</v>
      </c>
      <c r="N258" s="140">
        <f>VLOOKUP(A258,'Billing Dimensions'!$A:$N,14,FALSE)-VLOOKUP(A258,'Audit Dimensions'!$A:$N,14,FALSE)</f>
        <v>0</v>
      </c>
      <c r="O258" s="145">
        <f>VLOOKUP('Audit VAR'!A258,'Audit Dimensions'!A:P,16,FALSE)</f>
        <v>11250</v>
      </c>
      <c r="P258" s="143">
        <f>VLOOKUP(A258,'Billing Dimensions'!A:Q,17,FALSE)-VLOOKUP('Audit VAR'!A258,'Audit Dimensions'!A:P,16,FALSE)</f>
        <v>3550</v>
      </c>
      <c r="Q258" s="148">
        <f t="shared" si="4"/>
        <v>0.31555555555555553</v>
      </c>
    </row>
    <row r="259" spans="1:17">
      <c r="A259" s="58" t="e">
        <f>'Audit Dimensions'!#REF!</f>
        <v>#REF!</v>
      </c>
      <c r="B259" s="2" t="e">
        <f>VLOOKUP(A259,'Billing Dimensions'!A:B,2,FALSE)</f>
        <v>#REF!</v>
      </c>
      <c r="C259" s="59" t="e">
        <f>VLOOKUP(A259,'Billing Dimensions'!$A:$N,3,FALSE)-VLOOKUP(A259,'Audit Dimensions'!$A:$N,3,FALSE)</f>
        <v>#REF!</v>
      </c>
      <c r="D259" s="59" t="e">
        <f>VLOOKUP(A259,'Billing Dimensions'!$A:$N,4,FALSE)-VLOOKUP(A259,'Audit Dimensions'!$A:$N,4,FALSE)</f>
        <v>#REF!</v>
      </c>
      <c r="E259" s="59" t="e">
        <f>VLOOKUP(A259,'Billing Dimensions'!$A:$N,5,FALSE)-VLOOKUP(A259,'Audit Dimensions'!$A:$N,5,FALSE)</f>
        <v>#REF!</v>
      </c>
      <c r="F259" s="137" t="e">
        <f>VLOOKUP(A259,'Billing Dimensions'!$A:$N,6,FALSE)-VLOOKUP(A259,'Audit Dimensions'!$A:$N,6,FALSE)</f>
        <v>#REF!</v>
      </c>
      <c r="G259" s="65" t="e">
        <f>VLOOKUP(A259,'Billing Dimensions'!$A:$N,7,FALSE)-VLOOKUP(A259,'Audit Dimensions'!$A:$N,7,FALSE)</f>
        <v>#REF!</v>
      </c>
      <c r="H259" s="65" t="e">
        <f>VLOOKUP(A259,'Billing Dimensions'!$A:$N,8,FALSE)-VLOOKUP(A259,'Audit Dimensions'!$A:$N,8,FALSE)</f>
        <v>#REF!</v>
      </c>
      <c r="I259" s="65" t="e">
        <f>VLOOKUP(A259,'Billing Dimensions'!$A:$N,9,FALSE)-VLOOKUP(A259,'Audit Dimensions'!$A:$N,9,FALSE)</f>
        <v>#REF!</v>
      </c>
      <c r="J259" s="61" t="e">
        <f>VLOOKUP(A259,'Billing Dimensions'!$A:$N,10,FALSE)-VLOOKUP(A259,'Audit Dimensions'!$A:$N,10,FALSE)</f>
        <v>#REF!</v>
      </c>
      <c r="K259" s="63" t="e">
        <f>VLOOKUP(A259,'Billing Dimensions'!$A:$N,11,FALSE)-VLOOKUP(A259,'Audit Dimensions'!$A:$N,11,FALSE)</f>
        <v>#REF!</v>
      </c>
      <c r="L259" s="63" t="e">
        <f>VLOOKUP(A259,'Billing Dimensions'!$A:$N,12,FALSE)-VLOOKUP(A259,'Audit Dimensions'!$A:$N,12,FALSE)</f>
        <v>#REF!</v>
      </c>
      <c r="M259" s="63" t="e">
        <f>VLOOKUP(A259,'Billing Dimensions'!$A:$N,13,FALSE)-VLOOKUP(A259,'Audit Dimensions'!$A:$N,13,FALSE)</f>
        <v>#REF!</v>
      </c>
      <c r="N259" s="140" t="e">
        <f>VLOOKUP(A259,'Billing Dimensions'!$A:$N,14,FALSE)-VLOOKUP(A259,'Audit Dimensions'!$A:$N,14,FALSE)</f>
        <v>#REF!</v>
      </c>
      <c r="O259" s="145" t="e">
        <f>VLOOKUP('Audit VAR'!A259,'Audit Dimensions'!A:P,16,FALSE)</f>
        <v>#REF!</v>
      </c>
      <c r="P259" s="143" t="e">
        <f>VLOOKUP(A259,'Billing Dimensions'!A:Q,17,FALSE)-VLOOKUP('Audit VAR'!A259,'Audit Dimensions'!A:P,16,FALSE)</f>
        <v>#REF!</v>
      </c>
      <c r="Q259" s="148" t="e">
        <f t="shared" si="4"/>
        <v>#REF!</v>
      </c>
    </row>
    <row r="260" spans="1:17">
      <c r="A260" s="58" t="str">
        <f>'Audit Dimensions'!A258</f>
        <v>KH-VD</v>
      </c>
      <c r="B260" s="2" t="str">
        <f>VLOOKUP(A260,'Billing Dimensions'!A:B,2,FALSE)</f>
        <v>SB</v>
      </c>
      <c r="C260" s="59">
        <f>VLOOKUP(A260,'Billing Dimensions'!$A:$N,3,FALSE)-VLOOKUP(A260,'Audit Dimensions'!$A:$N,3,FALSE)</f>
        <v>0</v>
      </c>
      <c r="D260" s="59">
        <f>VLOOKUP(A260,'Billing Dimensions'!$A:$N,4,FALSE)-VLOOKUP(A260,'Audit Dimensions'!$A:$N,4,FALSE)</f>
        <v>0</v>
      </c>
      <c r="E260" s="59">
        <f>VLOOKUP(A260,'Billing Dimensions'!$A:$N,5,FALSE)-VLOOKUP(A260,'Audit Dimensions'!$A:$N,5,FALSE)</f>
        <v>0</v>
      </c>
      <c r="F260" s="137">
        <f>VLOOKUP(A260,'Billing Dimensions'!$A:$N,6,FALSE)-VLOOKUP(A260,'Audit Dimensions'!$A:$N,6,FALSE)</f>
        <v>-10</v>
      </c>
      <c r="G260" s="65">
        <f>VLOOKUP(A260,'Billing Dimensions'!$A:$N,7,FALSE)-VLOOKUP(A260,'Audit Dimensions'!$A:$N,7,FALSE)</f>
        <v>0</v>
      </c>
      <c r="H260" s="65">
        <f>VLOOKUP(A260,'Billing Dimensions'!$A:$N,8,FALSE)-VLOOKUP(A260,'Audit Dimensions'!$A:$N,8,FALSE)</f>
        <v>0</v>
      </c>
      <c r="I260" s="65">
        <f>VLOOKUP(A260,'Billing Dimensions'!$A:$N,9,FALSE)-VLOOKUP(A260,'Audit Dimensions'!$A:$N,9,FALSE)</f>
        <v>0</v>
      </c>
      <c r="J260" s="61">
        <f>VLOOKUP(A260,'Billing Dimensions'!$A:$N,10,FALSE)-VLOOKUP(A260,'Audit Dimensions'!$A:$N,10,FALSE)</f>
        <v>0</v>
      </c>
      <c r="K260" s="63">
        <f>VLOOKUP(A260,'Billing Dimensions'!$A:$N,11,FALSE)-VLOOKUP(A260,'Audit Dimensions'!$A:$N,11,FALSE)</f>
        <v>0</v>
      </c>
      <c r="L260" s="63">
        <f>VLOOKUP(A260,'Billing Dimensions'!$A:$N,12,FALSE)-VLOOKUP(A260,'Audit Dimensions'!$A:$N,12,FALSE)</f>
        <v>0</v>
      </c>
      <c r="M260" s="63">
        <f>VLOOKUP(A260,'Billing Dimensions'!$A:$N,13,FALSE)-VLOOKUP(A260,'Audit Dimensions'!$A:$N,13,FALSE)</f>
        <v>0</v>
      </c>
      <c r="N260" s="140">
        <f>VLOOKUP(A260,'Billing Dimensions'!$A:$N,14,FALSE)-VLOOKUP(A260,'Audit Dimensions'!$A:$N,14,FALSE)</f>
        <v>0</v>
      </c>
      <c r="O260" s="145">
        <f>VLOOKUP('Audit VAR'!A260,'Audit Dimensions'!A:P,16,FALSE)</f>
        <v>440</v>
      </c>
      <c r="P260" s="143">
        <f>VLOOKUP(A260,'Billing Dimensions'!A:Q,17,FALSE)-VLOOKUP('Audit VAR'!A260,'Audit Dimensions'!A:P,16,FALSE)</f>
        <v>-10</v>
      </c>
      <c r="Q260" s="148">
        <f t="shared" si="4"/>
        <v>-2.2727272727272728E-2</v>
      </c>
    </row>
    <row r="261" spans="1:17">
      <c r="A261" s="58" t="str">
        <f>'Audit Dimensions'!A259</f>
        <v>SB-SRA</v>
      </c>
      <c r="B261" s="2" t="str">
        <f>VLOOKUP(A261,'Billing Dimensions'!A:B,2,FALSE)</f>
        <v>SB</v>
      </c>
      <c r="C261" s="59">
        <f>VLOOKUP(A261,'Billing Dimensions'!$A:$N,3,FALSE)-VLOOKUP(A261,'Audit Dimensions'!$A:$N,3,FALSE)</f>
        <v>0</v>
      </c>
      <c r="D261" s="59">
        <f>VLOOKUP(A261,'Billing Dimensions'!$A:$N,4,FALSE)-VLOOKUP(A261,'Audit Dimensions'!$A:$N,4,FALSE)</f>
        <v>0</v>
      </c>
      <c r="E261" s="59">
        <f>VLOOKUP(A261,'Billing Dimensions'!$A:$N,5,FALSE)-VLOOKUP(A261,'Audit Dimensions'!$A:$N,5,FALSE)</f>
        <v>0</v>
      </c>
      <c r="F261" s="137">
        <f>VLOOKUP(A261,'Billing Dimensions'!$A:$N,6,FALSE)-VLOOKUP(A261,'Audit Dimensions'!$A:$N,6,FALSE)</f>
        <v>0</v>
      </c>
      <c r="G261" s="65">
        <f>VLOOKUP(A261,'Billing Dimensions'!$A:$N,7,FALSE)-VLOOKUP(A261,'Audit Dimensions'!$A:$N,7,FALSE)</f>
        <v>0</v>
      </c>
      <c r="H261" s="65">
        <f>VLOOKUP(A261,'Billing Dimensions'!$A:$N,8,FALSE)-VLOOKUP(A261,'Audit Dimensions'!$A:$N,8,FALSE)</f>
        <v>0</v>
      </c>
      <c r="I261" s="65">
        <f>VLOOKUP(A261,'Billing Dimensions'!$A:$N,9,FALSE)-VLOOKUP(A261,'Audit Dimensions'!$A:$N,9,FALSE)</f>
        <v>0</v>
      </c>
      <c r="J261" s="61">
        <f>VLOOKUP(A261,'Billing Dimensions'!$A:$N,10,FALSE)-VLOOKUP(A261,'Audit Dimensions'!$A:$N,10,FALSE)</f>
        <v>0</v>
      </c>
      <c r="K261" s="63">
        <f>VLOOKUP(A261,'Billing Dimensions'!$A:$N,11,FALSE)-VLOOKUP(A261,'Audit Dimensions'!$A:$N,11,FALSE)</f>
        <v>0</v>
      </c>
      <c r="L261" s="63">
        <f>VLOOKUP(A261,'Billing Dimensions'!$A:$N,12,FALSE)-VLOOKUP(A261,'Audit Dimensions'!$A:$N,12,FALSE)</f>
        <v>0</v>
      </c>
      <c r="M261" s="63">
        <f>VLOOKUP(A261,'Billing Dimensions'!$A:$N,13,FALSE)-VLOOKUP(A261,'Audit Dimensions'!$A:$N,13,FALSE)</f>
        <v>0</v>
      </c>
      <c r="N261" s="140">
        <f>VLOOKUP(A261,'Billing Dimensions'!$A:$N,14,FALSE)-VLOOKUP(A261,'Audit Dimensions'!$A:$N,14,FALSE)</f>
        <v>0</v>
      </c>
      <c r="O261" s="145">
        <f>VLOOKUP('Audit VAR'!A261,'Audit Dimensions'!A:P,16,FALSE)</f>
        <v>4800</v>
      </c>
      <c r="P261" s="143">
        <f>VLOOKUP(A261,'Billing Dimensions'!A:Q,17,FALSE)-VLOOKUP('Audit VAR'!A261,'Audit Dimensions'!A:P,16,FALSE)</f>
        <v>0</v>
      </c>
      <c r="Q261" s="148">
        <f t="shared" si="4"/>
        <v>0</v>
      </c>
    </row>
    <row r="262" spans="1:17">
      <c r="A262" s="58" t="str">
        <f>'Audit Dimensions'!A260</f>
        <v>S-ERA</v>
      </c>
      <c r="B262" s="2" t="str">
        <f>VLOOKUP(A262,'Billing Dimensions'!A:B,2,FALSE)</f>
        <v>SB</v>
      </c>
      <c r="C262" s="59">
        <f>VLOOKUP(A262,'Billing Dimensions'!$A:$N,3,FALSE)-VLOOKUP(A262,'Audit Dimensions'!$A:$N,3,FALSE)</f>
        <v>0</v>
      </c>
      <c r="D262" s="59">
        <f>VLOOKUP(A262,'Billing Dimensions'!$A:$N,4,FALSE)-VLOOKUP(A262,'Audit Dimensions'!$A:$N,4,FALSE)</f>
        <v>0</v>
      </c>
      <c r="E262" s="59">
        <f>VLOOKUP(A262,'Billing Dimensions'!$A:$N,5,FALSE)-VLOOKUP(A262,'Audit Dimensions'!$A:$N,5,FALSE)</f>
        <v>-1</v>
      </c>
      <c r="F262" s="137">
        <f>VLOOKUP(A262,'Billing Dimensions'!$A:$N,6,FALSE)-VLOOKUP(A262,'Audit Dimensions'!$A:$N,6,FALSE)</f>
        <v>-510</v>
      </c>
      <c r="G262" s="65">
        <f>VLOOKUP(A262,'Billing Dimensions'!$A:$N,7,FALSE)-VLOOKUP(A262,'Audit Dimensions'!$A:$N,7,FALSE)</f>
        <v>0</v>
      </c>
      <c r="H262" s="65">
        <f>VLOOKUP(A262,'Billing Dimensions'!$A:$N,8,FALSE)-VLOOKUP(A262,'Audit Dimensions'!$A:$N,8,FALSE)</f>
        <v>0</v>
      </c>
      <c r="I262" s="65">
        <f>VLOOKUP(A262,'Billing Dimensions'!$A:$N,9,FALSE)-VLOOKUP(A262,'Audit Dimensions'!$A:$N,9,FALSE)</f>
        <v>0</v>
      </c>
      <c r="J262" s="61">
        <f>VLOOKUP(A262,'Billing Dimensions'!$A:$N,10,FALSE)-VLOOKUP(A262,'Audit Dimensions'!$A:$N,10,FALSE)</f>
        <v>0</v>
      </c>
      <c r="K262" s="63">
        <f>VLOOKUP(A262,'Billing Dimensions'!$A:$N,11,FALSE)-VLOOKUP(A262,'Audit Dimensions'!$A:$N,11,FALSE)</f>
        <v>0</v>
      </c>
      <c r="L262" s="63">
        <f>VLOOKUP(A262,'Billing Dimensions'!$A:$N,12,FALSE)-VLOOKUP(A262,'Audit Dimensions'!$A:$N,12,FALSE)</f>
        <v>0</v>
      </c>
      <c r="M262" s="63">
        <f>VLOOKUP(A262,'Billing Dimensions'!$A:$N,13,FALSE)-VLOOKUP(A262,'Audit Dimensions'!$A:$N,13,FALSE)</f>
        <v>0</v>
      </c>
      <c r="N262" s="140">
        <f>VLOOKUP(A262,'Billing Dimensions'!$A:$N,14,FALSE)-VLOOKUP(A262,'Audit Dimensions'!$A:$N,14,FALSE)</f>
        <v>0</v>
      </c>
      <c r="O262" s="145">
        <f>VLOOKUP('Audit VAR'!A262,'Audit Dimensions'!A:P,16,FALSE)</f>
        <v>10400</v>
      </c>
      <c r="P262" s="143">
        <f>VLOOKUP(A262,'Billing Dimensions'!A:Q,17,FALSE)-VLOOKUP('Audit VAR'!A262,'Audit Dimensions'!A:P,16,FALSE)</f>
        <v>-510</v>
      </c>
      <c r="Q262" s="148">
        <f t="shared" si="4"/>
        <v>-4.9038461538461538E-2</v>
      </c>
    </row>
    <row r="263" spans="1:17">
      <c r="A263" s="58" t="str">
        <f>'Audit Dimensions'!A261</f>
        <v>SF-WBR-4LI</v>
      </c>
      <c r="B263" s="2" t="str">
        <f>VLOOKUP(A263,'Billing Dimensions'!A:B,2,FALSE)</f>
        <v>SB</v>
      </c>
      <c r="C263" s="59">
        <f>VLOOKUP(A263,'Billing Dimensions'!$A:$N,3,FALSE)-VLOOKUP(A263,'Audit Dimensions'!$A:$N,3,FALSE)</f>
        <v>0</v>
      </c>
      <c r="D263" s="59">
        <f>VLOOKUP(A263,'Billing Dimensions'!$A:$N,4,FALSE)-VLOOKUP(A263,'Audit Dimensions'!$A:$N,4,FALSE)</f>
        <v>0</v>
      </c>
      <c r="E263" s="59">
        <f>VLOOKUP(A263,'Billing Dimensions'!$A:$N,5,FALSE)-VLOOKUP(A263,'Audit Dimensions'!$A:$N,5,FALSE)</f>
        <v>0</v>
      </c>
      <c r="F263" s="137">
        <f>VLOOKUP(A263,'Billing Dimensions'!$A:$N,6,FALSE)-VLOOKUP(A263,'Audit Dimensions'!$A:$N,6,FALSE)</f>
        <v>-2400</v>
      </c>
      <c r="G263" s="65">
        <f>VLOOKUP(A263,'Billing Dimensions'!$A:$N,7,FALSE)-VLOOKUP(A263,'Audit Dimensions'!$A:$N,7,FALSE)</f>
        <v>0</v>
      </c>
      <c r="H263" s="65">
        <f>VLOOKUP(A263,'Billing Dimensions'!$A:$N,8,FALSE)-VLOOKUP(A263,'Audit Dimensions'!$A:$N,8,FALSE)</f>
        <v>0</v>
      </c>
      <c r="I263" s="65">
        <f>VLOOKUP(A263,'Billing Dimensions'!$A:$N,9,FALSE)-VLOOKUP(A263,'Audit Dimensions'!$A:$N,9,FALSE)</f>
        <v>0</v>
      </c>
      <c r="J263" s="61">
        <f>VLOOKUP(A263,'Billing Dimensions'!$A:$N,10,FALSE)-VLOOKUP(A263,'Audit Dimensions'!$A:$N,10,FALSE)</f>
        <v>0</v>
      </c>
      <c r="K263" s="63">
        <f>VLOOKUP(A263,'Billing Dimensions'!$A:$N,11,FALSE)-VLOOKUP(A263,'Audit Dimensions'!$A:$N,11,FALSE)</f>
        <v>0</v>
      </c>
      <c r="L263" s="63">
        <f>VLOOKUP(A263,'Billing Dimensions'!$A:$N,12,FALSE)-VLOOKUP(A263,'Audit Dimensions'!$A:$N,12,FALSE)</f>
        <v>0</v>
      </c>
      <c r="M263" s="63">
        <f>VLOOKUP(A263,'Billing Dimensions'!$A:$N,13,FALSE)-VLOOKUP(A263,'Audit Dimensions'!$A:$N,13,FALSE)</f>
        <v>0</v>
      </c>
      <c r="N263" s="140">
        <f>VLOOKUP(A263,'Billing Dimensions'!$A:$N,14,FALSE)-VLOOKUP(A263,'Audit Dimensions'!$A:$N,14,FALSE)</f>
        <v>0</v>
      </c>
      <c r="O263" s="145">
        <f>VLOOKUP('Audit VAR'!A263,'Audit Dimensions'!A:P,16,FALSE)</f>
        <v>56000</v>
      </c>
      <c r="P263" s="143">
        <f>VLOOKUP(A263,'Billing Dimensions'!A:Q,17,FALSE)-VLOOKUP('Audit VAR'!A263,'Audit Dimensions'!A:P,16,FALSE)</f>
        <v>-2400</v>
      </c>
      <c r="Q263" s="148">
        <f t="shared" si="4"/>
        <v>-4.2857142857142858E-2</v>
      </c>
    </row>
    <row r="264" spans="1:17">
      <c r="A264" s="58" t="str">
        <f>'Audit Dimensions'!A262</f>
        <v>SR-ADS-3</v>
      </c>
      <c r="B264" s="2">
        <f>VLOOKUP(A264,'Billing Dimensions'!A:B,2,FALSE)</f>
        <v>0</v>
      </c>
      <c r="C264" s="59">
        <f>VLOOKUP(A264,'Billing Dimensions'!$A:$N,3,FALSE)-VLOOKUP(A264,'Audit Dimensions'!$A:$N,3,FALSE)</f>
        <v>0</v>
      </c>
      <c r="D264" s="59">
        <f>VLOOKUP(A264,'Billing Dimensions'!$A:$N,4,FALSE)-VLOOKUP(A264,'Audit Dimensions'!$A:$N,4,FALSE)</f>
        <v>0</v>
      </c>
      <c r="E264" s="59">
        <f>VLOOKUP(A264,'Billing Dimensions'!$A:$N,5,FALSE)-VLOOKUP(A264,'Audit Dimensions'!$A:$N,5,FALSE)</f>
        <v>0</v>
      </c>
      <c r="F264" s="137">
        <f>VLOOKUP(A264,'Billing Dimensions'!$A:$N,6,FALSE)-VLOOKUP(A264,'Audit Dimensions'!$A:$N,6,FALSE)</f>
        <v>0</v>
      </c>
      <c r="G264" s="65">
        <f>VLOOKUP(A264,'Billing Dimensions'!$A:$N,7,FALSE)-VLOOKUP(A264,'Audit Dimensions'!$A:$N,7,FALSE)</f>
        <v>0</v>
      </c>
      <c r="H264" s="65">
        <f>VLOOKUP(A264,'Billing Dimensions'!$A:$N,8,FALSE)-VLOOKUP(A264,'Audit Dimensions'!$A:$N,8,FALSE)</f>
        <v>0</v>
      </c>
      <c r="I264" s="65">
        <f>VLOOKUP(A264,'Billing Dimensions'!$A:$N,9,FALSE)-VLOOKUP(A264,'Audit Dimensions'!$A:$N,9,FALSE)</f>
        <v>0</v>
      </c>
      <c r="J264" s="61">
        <f>VLOOKUP(A264,'Billing Dimensions'!$A:$N,10,FALSE)-VLOOKUP(A264,'Audit Dimensions'!$A:$N,10,FALSE)</f>
        <v>0</v>
      </c>
      <c r="K264" s="63">
        <f>VLOOKUP(A264,'Billing Dimensions'!$A:$N,11,FALSE)-VLOOKUP(A264,'Audit Dimensions'!$A:$N,11,FALSE)</f>
        <v>0</v>
      </c>
      <c r="L264" s="63">
        <f>VLOOKUP(A264,'Billing Dimensions'!$A:$N,12,FALSE)-VLOOKUP(A264,'Audit Dimensions'!$A:$N,12,FALSE)</f>
        <v>0</v>
      </c>
      <c r="M264" s="63">
        <f>VLOOKUP(A264,'Billing Dimensions'!$A:$N,13,FALSE)-VLOOKUP(A264,'Audit Dimensions'!$A:$N,13,FALSE)</f>
        <v>0</v>
      </c>
      <c r="N264" s="140">
        <f>VLOOKUP(A264,'Billing Dimensions'!$A:$N,14,FALSE)-VLOOKUP(A264,'Audit Dimensions'!$A:$N,14,FALSE)</f>
        <v>0</v>
      </c>
      <c r="O264" s="145">
        <f>VLOOKUP('Audit VAR'!A264,'Audit Dimensions'!A:P,16,FALSE)</f>
        <v>0</v>
      </c>
      <c r="P264" s="143">
        <f>VLOOKUP(A264,'Billing Dimensions'!A:Q,17,FALSE)-VLOOKUP('Audit VAR'!A264,'Audit Dimensions'!A:P,16,FALSE)</f>
        <v>0</v>
      </c>
      <c r="Q264" s="148" t="e">
        <f t="shared" si="4"/>
        <v>#DIV/0!</v>
      </c>
    </row>
    <row r="265" spans="1:17">
      <c r="A265" s="58" t="str">
        <f>'Audit Dimensions'!A263</f>
        <v>ST-DZL</v>
      </c>
      <c r="B265" s="3" t="s">
        <v>48</v>
      </c>
      <c r="C265" s="59">
        <f>VLOOKUP(A265,'Billing Dimensions'!$A:$N,3,FALSE)-VLOOKUP(A265,'Audit Dimensions'!$A:$N,3,FALSE)</f>
        <v>0</v>
      </c>
      <c r="D265" s="59">
        <f>VLOOKUP(A265,'Billing Dimensions'!$A:$N,4,FALSE)-VLOOKUP(A265,'Audit Dimensions'!$A:$N,4,FALSE)</f>
        <v>0</v>
      </c>
      <c r="E265" s="59">
        <f>VLOOKUP(A265,'Billing Dimensions'!$A:$N,5,FALSE)-VLOOKUP(A265,'Audit Dimensions'!$A:$N,5,FALSE)</f>
        <v>0</v>
      </c>
      <c r="F265" s="137">
        <f>VLOOKUP(A265,'Billing Dimensions'!$A:$N,6,FALSE)-VLOOKUP(A265,'Audit Dimensions'!$A:$N,6,FALSE)</f>
        <v>0</v>
      </c>
      <c r="G265" s="65">
        <f>VLOOKUP(A265,'Billing Dimensions'!$A:$N,7,FALSE)-VLOOKUP(A265,'Audit Dimensions'!$A:$N,7,FALSE)</f>
        <v>0</v>
      </c>
      <c r="H265" s="65">
        <f>VLOOKUP(A265,'Billing Dimensions'!$A:$N,8,FALSE)-VLOOKUP(A265,'Audit Dimensions'!$A:$N,8,FALSE)</f>
        <v>0</v>
      </c>
      <c r="I265" s="65">
        <f>VLOOKUP(A265,'Billing Dimensions'!$A:$N,9,FALSE)-VLOOKUP(A265,'Audit Dimensions'!$A:$N,9,FALSE)</f>
        <v>0</v>
      </c>
      <c r="J265" s="61">
        <f>VLOOKUP(A265,'Billing Dimensions'!$A:$N,10,FALSE)-VLOOKUP(A265,'Audit Dimensions'!$A:$N,10,FALSE)</f>
        <v>0</v>
      </c>
      <c r="K265" s="63">
        <f>VLOOKUP(A265,'Billing Dimensions'!$A:$N,11,FALSE)-VLOOKUP(A265,'Audit Dimensions'!$A:$N,11,FALSE)</f>
        <v>0</v>
      </c>
      <c r="L265" s="63">
        <f>VLOOKUP(A265,'Billing Dimensions'!$A:$N,12,FALSE)-VLOOKUP(A265,'Audit Dimensions'!$A:$N,12,FALSE)</f>
        <v>0</v>
      </c>
      <c r="M265" s="63">
        <f>VLOOKUP(A265,'Billing Dimensions'!$A:$N,13,FALSE)-VLOOKUP(A265,'Audit Dimensions'!$A:$N,13,FALSE)</f>
        <v>0</v>
      </c>
      <c r="N265" s="140">
        <f>VLOOKUP(A265,'Billing Dimensions'!$A:$N,14,FALSE)-VLOOKUP(A265,'Audit Dimensions'!$A:$N,14,FALSE)</f>
        <v>0</v>
      </c>
      <c r="O265" s="145">
        <f>VLOOKUP('Audit VAR'!A265,'Audit Dimensions'!A:P,16,FALSE)</f>
        <v>0</v>
      </c>
      <c r="P265" s="143">
        <f>VLOOKUP(A265,'Billing Dimensions'!A:Q,17,FALSE)-VLOOKUP('Audit VAR'!A265,'Audit Dimensions'!A:P,16,FALSE)</f>
        <v>0</v>
      </c>
      <c r="Q265" s="148" t="e">
        <f t="shared" si="4"/>
        <v>#DIV/0!</v>
      </c>
    </row>
    <row r="266" spans="1:17">
      <c r="A266" s="58" t="str">
        <f>'Audit Dimensions'!A264</f>
        <v>ST-GSE-LA</v>
      </c>
      <c r="B266" s="3" t="s">
        <v>48</v>
      </c>
      <c r="C266" s="59">
        <f>VLOOKUP(A266,'Billing Dimensions'!$A:$N,3,FALSE)-VLOOKUP(A266,'Audit Dimensions'!$A:$N,3,FALSE)</f>
        <v>121</v>
      </c>
      <c r="D266" s="59">
        <f>VLOOKUP(A266,'Billing Dimensions'!$A:$N,4,FALSE)-VLOOKUP(A266,'Audit Dimensions'!$A:$N,4,FALSE)</f>
        <v>63</v>
      </c>
      <c r="E266" s="59">
        <f>VLOOKUP(A266,'Billing Dimensions'!$A:$N,5,FALSE)-VLOOKUP(A266,'Audit Dimensions'!$A:$N,5,FALSE)</f>
        <v>5</v>
      </c>
      <c r="F266" s="137">
        <f>VLOOKUP(A266,'Billing Dimensions'!$A:$N,6,FALSE)-VLOOKUP(A266,'Audit Dimensions'!$A:$N,6,FALSE)</f>
        <v>13215</v>
      </c>
      <c r="G266" s="65">
        <f>VLOOKUP(A266,'Billing Dimensions'!$A:$N,7,FALSE)-VLOOKUP(A266,'Audit Dimensions'!$A:$N,7,FALSE)</f>
        <v>0</v>
      </c>
      <c r="H266" s="65">
        <f>VLOOKUP(A266,'Billing Dimensions'!$A:$N,8,FALSE)-VLOOKUP(A266,'Audit Dimensions'!$A:$N,8,FALSE)</f>
        <v>0</v>
      </c>
      <c r="I266" s="65">
        <f>VLOOKUP(A266,'Billing Dimensions'!$A:$N,9,FALSE)-VLOOKUP(A266,'Audit Dimensions'!$A:$N,9,FALSE)</f>
        <v>0</v>
      </c>
      <c r="J266" s="61">
        <f>VLOOKUP(A266,'Billing Dimensions'!$A:$N,10,FALSE)-VLOOKUP(A266,'Audit Dimensions'!$A:$N,10,FALSE)</f>
        <v>0</v>
      </c>
      <c r="K266" s="63">
        <f>VLOOKUP(A266,'Billing Dimensions'!$A:$N,11,FALSE)-VLOOKUP(A266,'Audit Dimensions'!$A:$N,11,FALSE)</f>
        <v>0</v>
      </c>
      <c r="L266" s="63">
        <f>VLOOKUP(A266,'Billing Dimensions'!$A:$N,12,FALSE)-VLOOKUP(A266,'Audit Dimensions'!$A:$N,12,FALSE)</f>
        <v>0</v>
      </c>
      <c r="M266" s="63">
        <f>VLOOKUP(A266,'Billing Dimensions'!$A:$N,13,FALSE)-VLOOKUP(A266,'Audit Dimensions'!$A:$N,13,FALSE)</f>
        <v>0</v>
      </c>
      <c r="N266" s="140">
        <f>VLOOKUP(A266,'Billing Dimensions'!$A:$N,14,FALSE)-VLOOKUP(A266,'Audit Dimensions'!$A:$N,14,FALSE)</f>
        <v>0</v>
      </c>
      <c r="O266" s="145">
        <f>VLOOKUP('Audit VAR'!A266,'Audit Dimensions'!A:P,16,FALSE)</f>
        <v>0</v>
      </c>
      <c r="P266" s="143">
        <f>VLOOKUP(A266,'Billing Dimensions'!A:Q,17,FALSE)-VLOOKUP('Audit VAR'!A266,'Audit Dimensions'!A:P,16,FALSE)</f>
        <v>13215</v>
      </c>
      <c r="Q266" s="148" t="e">
        <f t="shared" si="4"/>
        <v>#DIV/0!</v>
      </c>
    </row>
    <row r="267" spans="1:17">
      <c r="A267" s="58" t="str">
        <f>'Audit Dimensions'!A265</f>
        <v>ST-GSE-ST</v>
      </c>
      <c r="B267" s="3" t="s">
        <v>48</v>
      </c>
      <c r="C267" s="59">
        <f>VLOOKUP(A267,'Billing Dimensions'!$A:$N,3,FALSE)-VLOOKUP(A267,'Audit Dimensions'!$A:$N,3,FALSE)</f>
        <v>0</v>
      </c>
      <c r="D267" s="59">
        <f>VLOOKUP(A267,'Billing Dimensions'!$A:$N,4,FALSE)-VLOOKUP(A267,'Audit Dimensions'!$A:$N,4,FALSE)</f>
        <v>-2</v>
      </c>
      <c r="E267" s="59">
        <f>VLOOKUP(A267,'Billing Dimensions'!$A:$N,5,FALSE)-VLOOKUP(A267,'Audit Dimensions'!$A:$N,5,FALSE)</f>
        <v>-1</v>
      </c>
      <c r="F267" s="137">
        <f>VLOOKUP(A267,'Billing Dimensions'!$A:$N,6,FALSE)-VLOOKUP(A267,'Audit Dimensions'!$A:$N,6,FALSE)</f>
        <v>-1255</v>
      </c>
      <c r="G267" s="65">
        <f>VLOOKUP(A267,'Billing Dimensions'!$A:$N,7,FALSE)-VLOOKUP(A267,'Audit Dimensions'!$A:$N,7,FALSE)</f>
        <v>0</v>
      </c>
      <c r="H267" s="65">
        <f>VLOOKUP(A267,'Billing Dimensions'!$A:$N,8,FALSE)-VLOOKUP(A267,'Audit Dimensions'!$A:$N,8,FALSE)</f>
        <v>0</v>
      </c>
      <c r="I267" s="65">
        <f>VLOOKUP(A267,'Billing Dimensions'!$A:$N,9,FALSE)-VLOOKUP(A267,'Audit Dimensions'!$A:$N,9,FALSE)</f>
        <v>0</v>
      </c>
      <c r="J267" s="61">
        <f>VLOOKUP(A267,'Billing Dimensions'!$A:$N,10,FALSE)-VLOOKUP(A267,'Audit Dimensions'!$A:$N,10,FALSE)</f>
        <v>0</v>
      </c>
      <c r="K267" s="63">
        <f>VLOOKUP(A267,'Billing Dimensions'!$A:$N,11,FALSE)-VLOOKUP(A267,'Audit Dimensions'!$A:$N,11,FALSE)</f>
        <v>0</v>
      </c>
      <c r="L267" s="63">
        <f>VLOOKUP(A267,'Billing Dimensions'!$A:$N,12,FALSE)-VLOOKUP(A267,'Audit Dimensions'!$A:$N,12,FALSE)</f>
        <v>0</v>
      </c>
      <c r="M267" s="63">
        <f>VLOOKUP(A267,'Billing Dimensions'!$A:$N,13,FALSE)-VLOOKUP(A267,'Audit Dimensions'!$A:$N,13,FALSE)</f>
        <v>0</v>
      </c>
      <c r="N267" s="140">
        <f>VLOOKUP(A267,'Billing Dimensions'!$A:$N,14,FALSE)-VLOOKUP(A267,'Audit Dimensions'!$A:$N,14,FALSE)</f>
        <v>0</v>
      </c>
      <c r="O267" s="145">
        <f>VLOOKUP('Audit VAR'!A267,'Audit Dimensions'!A:P,16,FALSE)</f>
        <v>10805</v>
      </c>
      <c r="P267" s="143">
        <f>VLOOKUP(A267,'Billing Dimensions'!A:Q,17,FALSE)-VLOOKUP('Audit VAR'!A267,'Audit Dimensions'!A:P,16,FALSE)</f>
        <v>-1255</v>
      </c>
      <c r="Q267" s="148">
        <f t="shared" si="4"/>
        <v>-0.11614993058769088</v>
      </c>
    </row>
    <row r="268" spans="1:17">
      <c r="A268" s="58" t="str">
        <f>'Audit Dimensions'!A266</f>
        <v>ST-HES</v>
      </c>
      <c r="B268" s="3" t="s">
        <v>48</v>
      </c>
      <c r="C268" s="59">
        <f>VLOOKUP(A268,'Billing Dimensions'!$A:$N,3,FALSE)-VLOOKUP(A268,'Audit Dimensions'!$A:$N,3,FALSE)</f>
        <v>-2</v>
      </c>
      <c r="D268" s="59">
        <f>VLOOKUP(A268,'Billing Dimensions'!$A:$N,4,FALSE)-VLOOKUP(A268,'Audit Dimensions'!$A:$N,4,FALSE)</f>
        <v>1</v>
      </c>
      <c r="E268" s="59">
        <f>VLOOKUP(A268,'Billing Dimensions'!$A:$N,5,FALSE)-VLOOKUP(A268,'Audit Dimensions'!$A:$N,5,FALSE)</f>
        <v>0</v>
      </c>
      <c r="F268" s="137">
        <f>VLOOKUP(A268,'Billing Dimensions'!$A:$N,6,FALSE)-VLOOKUP(A268,'Audit Dimensions'!$A:$N,6,FALSE)</f>
        <v>650</v>
      </c>
      <c r="G268" s="65">
        <f>VLOOKUP(A268,'Billing Dimensions'!$A:$N,7,FALSE)-VLOOKUP(A268,'Audit Dimensions'!$A:$N,7,FALSE)</f>
        <v>0</v>
      </c>
      <c r="H268" s="65">
        <f>VLOOKUP(A268,'Billing Dimensions'!$A:$N,8,FALSE)-VLOOKUP(A268,'Audit Dimensions'!$A:$N,8,FALSE)</f>
        <v>0</v>
      </c>
      <c r="I268" s="65">
        <f>VLOOKUP(A268,'Billing Dimensions'!$A:$N,9,FALSE)-VLOOKUP(A268,'Audit Dimensions'!$A:$N,9,FALSE)</f>
        <v>0</v>
      </c>
      <c r="J268" s="61">
        <f>VLOOKUP(A268,'Billing Dimensions'!$A:$N,10,FALSE)-VLOOKUP(A268,'Audit Dimensions'!$A:$N,10,FALSE)</f>
        <v>0</v>
      </c>
      <c r="K268" s="63">
        <f>VLOOKUP(A268,'Billing Dimensions'!$A:$N,11,FALSE)-VLOOKUP(A268,'Audit Dimensions'!$A:$N,11,FALSE)</f>
        <v>0</v>
      </c>
      <c r="L268" s="63">
        <f>VLOOKUP(A268,'Billing Dimensions'!$A:$N,12,FALSE)-VLOOKUP(A268,'Audit Dimensions'!$A:$N,12,FALSE)</f>
        <v>0</v>
      </c>
      <c r="M268" s="63">
        <f>VLOOKUP(A268,'Billing Dimensions'!$A:$N,13,FALSE)-VLOOKUP(A268,'Audit Dimensions'!$A:$N,13,FALSE)</f>
        <v>0</v>
      </c>
      <c r="N268" s="140">
        <f>VLOOKUP(A268,'Billing Dimensions'!$A:$N,14,FALSE)-VLOOKUP(A268,'Audit Dimensions'!$A:$N,14,FALSE)</f>
        <v>0</v>
      </c>
      <c r="O268" s="145">
        <f>VLOOKUP('Audit VAR'!A268,'Audit Dimensions'!A:P,16,FALSE)</f>
        <v>10100</v>
      </c>
      <c r="P268" s="143">
        <f>VLOOKUP(A268,'Billing Dimensions'!A:Q,17,FALSE)-VLOOKUP('Audit VAR'!A268,'Audit Dimensions'!A:P,16,FALSE)</f>
        <v>650</v>
      </c>
      <c r="Q268" s="148">
        <f t="shared" si="4"/>
        <v>6.4356435643564358E-2</v>
      </c>
    </row>
    <row r="269" spans="1:17">
      <c r="A269" s="58" t="str">
        <f>'Audit Dimensions'!A267</f>
        <v>ST-NFN</v>
      </c>
      <c r="B269" s="3" t="s">
        <v>48</v>
      </c>
      <c r="C269" s="59">
        <f>VLOOKUP(A269,'Billing Dimensions'!$A:$N,3,FALSE)-VLOOKUP(A269,'Audit Dimensions'!$A:$N,3,FALSE)</f>
        <v>0</v>
      </c>
      <c r="D269" s="59">
        <f>VLOOKUP(A269,'Billing Dimensions'!$A:$N,4,FALSE)-VLOOKUP(A269,'Audit Dimensions'!$A:$N,4,FALSE)</f>
        <v>0</v>
      </c>
      <c r="E269" s="59">
        <f>VLOOKUP(A269,'Billing Dimensions'!$A:$N,5,FALSE)-VLOOKUP(A269,'Audit Dimensions'!$A:$N,5,FALSE)</f>
        <v>0</v>
      </c>
      <c r="F269" s="137">
        <f>VLOOKUP(A269,'Billing Dimensions'!$A:$N,6,FALSE)-VLOOKUP(A269,'Audit Dimensions'!$A:$N,6,FALSE)</f>
        <v>0</v>
      </c>
      <c r="G269" s="65">
        <f>VLOOKUP(A269,'Billing Dimensions'!$A:$N,7,FALSE)-VLOOKUP(A269,'Audit Dimensions'!$A:$N,7,FALSE)</f>
        <v>0</v>
      </c>
      <c r="H269" s="65">
        <f>VLOOKUP(A269,'Billing Dimensions'!$A:$N,8,FALSE)-VLOOKUP(A269,'Audit Dimensions'!$A:$N,8,FALSE)</f>
        <v>0</v>
      </c>
      <c r="I269" s="65">
        <f>VLOOKUP(A269,'Billing Dimensions'!$A:$N,9,FALSE)-VLOOKUP(A269,'Audit Dimensions'!$A:$N,9,FALSE)</f>
        <v>0</v>
      </c>
      <c r="J269" s="61">
        <f>VLOOKUP(A269,'Billing Dimensions'!$A:$N,10,FALSE)-VLOOKUP(A269,'Audit Dimensions'!$A:$N,10,FALSE)</f>
        <v>0</v>
      </c>
      <c r="K269" s="63">
        <f>VLOOKUP(A269,'Billing Dimensions'!$A:$N,11,FALSE)-VLOOKUP(A269,'Audit Dimensions'!$A:$N,11,FALSE)</f>
        <v>0</v>
      </c>
      <c r="L269" s="63">
        <f>VLOOKUP(A269,'Billing Dimensions'!$A:$N,12,FALSE)-VLOOKUP(A269,'Audit Dimensions'!$A:$N,12,FALSE)</f>
        <v>0</v>
      </c>
      <c r="M269" s="63">
        <f>VLOOKUP(A269,'Billing Dimensions'!$A:$N,13,FALSE)-VLOOKUP(A269,'Audit Dimensions'!$A:$N,13,FALSE)</f>
        <v>0</v>
      </c>
      <c r="N269" s="140">
        <f>VLOOKUP(A269,'Billing Dimensions'!$A:$N,14,FALSE)-VLOOKUP(A269,'Audit Dimensions'!$A:$N,14,FALSE)</f>
        <v>0</v>
      </c>
      <c r="O269" s="145">
        <f>VLOOKUP('Audit VAR'!A269,'Audit Dimensions'!A:P,16,FALSE)</f>
        <v>0</v>
      </c>
      <c r="P269" s="143">
        <f>VLOOKUP(A269,'Billing Dimensions'!A:Q,17,FALSE)-VLOOKUP('Audit VAR'!A269,'Audit Dimensions'!A:P,16,FALSE)</f>
        <v>0</v>
      </c>
      <c r="Q269" s="148" t="e">
        <f t="shared" si="4"/>
        <v>#DIV/0!</v>
      </c>
    </row>
    <row r="270" spans="1:17">
      <c r="A270" s="58" t="str">
        <f>'Audit Dimensions'!A268</f>
        <v>KH-TO-40</v>
      </c>
      <c r="B270" s="3" t="s">
        <v>48</v>
      </c>
      <c r="C270" s="59">
        <f>VLOOKUP(A270,'Billing Dimensions'!$A:$N,3,FALSE)-VLOOKUP(A270,'Audit Dimensions'!$A:$N,3,FALSE)</f>
        <v>0</v>
      </c>
      <c r="D270" s="59">
        <f>VLOOKUP(A270,'Billing Dimensions'!$A:$N,4,FALSE)-VLOOKUP(A270,'Audit Dimensions'!$A:$N,4,FALSE)</f>
        <v>0</v>
      </c>
      <c r="E270" s="59">
        <f>VLOOKUP(A270,'Billing Dimensions'!$A:$N,5,FALSE)-VLOOKUP(A270,'Audit Dimensions'!$A:$N,5,FALSE)</f>
        <v>0</v>
      </c>
      <c r="F270" s="137">
        <f>VLOOKUP(A270,'Billing Dimensions'!$A:$N,6,FALSE)-VLOOKUP(A270,'Audit Dimensions'!$A:$N,6,FALSE)</f>
        <v>0</v>
      </c>
      <c r="G270" s="65">
        <f>VLOOKUP(A270,'Billing Dimensions'!$A:$N,7,FALSE)-VLOOKUP(A270,'Audit Dimensions'!$A:$N,7,FALSE)</f>
        <v>0</v>
      </c>
      <c r="H270" s="65">
        <f>VLOOKUP(A270,'Billing Dimensions'!$A:$N,8,FALSE)-VLOOKUP(A270,'Audit Dimensions'!$A:$N,8,FALSE)</f>
        <v>0</v>
      </c>
      <c r="I270" s="65">
        <f>VLOOKUP(A270,'Billing Dimensions'!$A:$N,9,FALSE)-VLOOKUP(A270,'Audit Dimensions'!$A:$N,9,FALSE)</f>
        <v>0</v>
      </c>
      <c r="J270" s="61">
        <f>VLOOKUP(A270,'Billing Dimensions'!$A:$N,10,FALSE)-VLOOKUP(A270,'Audit Dimensions'!$A:$N,10,FALSE)</f>
        <v>0</v>
      </c>
      <c r="K270" s="63">
        <f>VLOOKUP(A270,'Billing Dimensions'!$A:$N,11,FALSE)-VLOOKUP(A270,'Audit Dimensions'!$A:$N,11,FALSE)</f>
        <v>0</v>
      </c>
      <c r="L270" s="63">
        <f>VLOOKUP(A270,'Billing Dimensions'!$A:$N,12,FALSE)-VLOOKUP(A270,'Audit Dimensions'!$A:$N,12,FALSE)</f>
        <v>0</v>
      </c>
      <c r="M270" s="63">
        <f>VLOOKUP(A270,'Billing Dimensions'!$A:$N,13,FALSE)-VLOOKUP(A270,'Audit Dimensions'!$A:$N,13,FALSE)</f>
        <v>0</v>
      </c>
      <c r="N270" s="140">
        <f>VLOOKUP(A270,'Billing Dimensions'!$A:$N,14,FALSE)-VLOOKUP(A270,'Audit Dimensions'!$A:$N,14,FALSE)</f>
        <v>0</v>
      </c>
      <c r="O270" s="145">
        <f>VLOOKUP('Audit VAR'!A270,'Audit Dimensions'!A:P,16,FALSE)</f>
        <v>5850</v>
      </c>
      <c r="P270" s="143">
        <f>VLOOKUP(A270,'Billing Dimensions'!A:Q,17,FALSE)-VLOOKUP('Audit VAR'!A270,'Audit Dimensions'!A:P,16,FALSE)</f>
        <v>0</v>
      </c>
      <c r="Q270" s="148">
        <f t="shared" si="4"/>
        <v>0</v>
      </c>
    </row>
    <row r="271" spans="1:17">
      <c r="A271" s="58" t="str">
        <f>'Audit Dimensions'!A269</f>
        <v>WA-BLS</v>
      </c>
      <c r="B271" s="3" t="s">
        <v>48</v>
      </c>
      <c r="C271" s="59">
        <f>VLOOKUP(A271,'Billing Dimensions'!$A:$N,3,FALSE)-VLOOKUP(A271,'Audit Dimensions'!$A:$N,3,FALSE)</f>
        <v>0</v>
      </c>
      <c r="D271" s="59">
        <f>VLOOKUP(A271,'Billing Dimensions'!$A:$N,4,FALSE)-VLOOKUP(A271,'Audit Dimensions'!$A:$N,4,FALSE)</f>
        <v>0</v>
      </c>
      <c r="E271" s="59">
        <f>VLOOKUP(A271,'Billing Dimensions'!$A:$N,5,FALSE)-VLOOKUP(A271,'Audit Dimensions'!$A:$N,5,FALSE)</f>
        <v>0</v>
      </c>
      <c r="F271" s="137">
        <f>VLOOKUP(A271,'Billing Dimensions'!$A:$N,6,FALSE)-VLOOKUP(A271,'Audit Dimensions'!$A:$N,6,FALSE)</f>
        <v>0</v>
      </c>
      <c r="G271" s="65">
        <f>VLOOKUP(A271,'Billing Dimensions'!$A:$N,7,FALSE)-VLOOKUP(A271,'Audit Dimensions'!$A:$N,7,FALSE)</f>
        <v>0</v>
      </c>
      <c r="H271" s="65">
        <f>VLOOKUP(A271,'Billing Dimensions'!$A:$N,8,FALSE)-VLOOKUP(A271,'Audit Dimensions'!$A:$N,8,FALSE)</f>
        <v>0</v>
      </c>
      <c r="I271" s="65">
        <f>VLOOKUP(A271,'Billing Dimensions'!$A:$N,9,FALSE)-VLOOKUP(A271,'Audit Dimensions'!$A:$N,9,FALSE)</f>
        <v>0</v>
      </c>
      <c r="J271" s="61">
        <f>VLOOKUP(A271,'Billing Dimensions'!$A:$N,10,FALSE)-VLOOKUP(A271,'Audit Dimensions'!$A:$N,10,FALSE)</f>
        <v>0</v>
      </c>
      <c r="K271" s="63">
        <f>VLOOKUP(A271,'Billing Dimensions'!$A:$N,11,FALSE)-VLOOKUP(A271,'Audit Dimensions'!$A:$N,11,FALSE)</f>
        <v>0</v>
      </c>
      <c r="L271" s="63">
        <f>VLOOKUP(A271,'Billing Dimensions'!$A:$N,12,FALSE)-VLOOKUP(A271,'Audit Dimensions'!$A:$N,12,FALSE)</f>
        <v>0</v>
      </c>
      <c r="M271" s="63">
        <f>VLOOKUP(A271,'Billing Dimensions'!$A:$N,13,FALSE)-VLOOKUP(A271,'Audit Dimensions'!$A:$N,13,FALSE)</f>
        <v>0</v>
      </c>
      <c r="N271" s="140">
        <f>VLOOKUP(A271,'Billing Dimensions'!$A:$N,14,FALSE)-VLOOKUP(A271,'Audit Dimensions'!$A:$N,14,FALSE)</f>
        <v>0</v>
      </c>
      <c r="O271" s="145">
        <f>VLOOKUP('Audit VAR'!A271,'Audit Dimensions'!A:P,16,FALSE)</f>
        <v>0</v>
      </c>
      <c r="P271" s="143">
        <f>VLOOKUP(A271,'Billing Dimensions'!A:Q,17,FALSE)-VLOOKUP('Audit VAR'!A271,'Audit Dimensions'!A:P,16,FALSE)</f>
        <v>0</v>
      </c>
      <c r="Q271" s="148" t="e">
        <f t="shared" si="4"/>
        <v>#DIV/0!</v>
      </c>
    </row>
    <row r="272" spans="1:17">
      <c r="A272" s="58">
        <f>'Audit Dimensions'!A270</f>
        <v>0</v>
      </c>
      <c r="B272" s="3" t="s">
        <v>48</v>
      </c>
      <c r="C272" s="59" t="e">
        <f>VLOOKUP(A272,'Billing Dimensions'!$A:$N,3,FALSE)-VLOOKUP(A272,'Audit Dimensions'!$A:$N,3,FALSE)</f>
        <v>#N/A</v>
      </c>
      <c r="D272" s="59" t="e">
        <f>VLOOKUP(A272,'Billing Dimensions'!$A:$N,4,FALSE)-VLOOKUP(A272,'Audit Dimensions'!$A:$N,4,FALSE)</f>
        <v>#N/A</v>
      </c>
      <c r="E272" s="59" t="e">
        <f>VLOOKUP(A272,'Billing Dimensions'!$A:$N,5,FALSE)-VLOOKUP(A272,'Audit Dimensions'!$A:$N,5,FALSE)</f>
        <v>#N/A</v>
      </c>
      <c r="F272" s="137" t="e">
        <f>VLOOKUP(A272,'Billing Dimensions'!$A:$N,6,FALSE)-VLOOKUP(A272,'Audit Dimensions'!$A:$N,6,FALSE)</f>
        <v>#N/A</v>
      </c>
      <c r="G272" s="65" t="e">
        <f>VLOOKUP(A272,'Billing Dimensions'!$A:$N,7,FALSE)-VLOOKUP(A272,'Audit Dimensions'!$A:$N,7,FALSE)</f>
        <v>#N/A</v>
      </c>
      <c r="H272" s="65" t="e">
        <f>VLOOKUP(A272,'Billing Dimensions'!$A:$N,8,FALSE)-VLOOKUP(A272,'Audit Dimensions'!$A:$N,8,FALSE)</f>
        <v>#N/A</v>
      </c>
      <c r="I272" s="65" t="e">
        <f>VLOOKUP(A272,'Billing Dimensions'!$A:$N,9,FALSE)-VLOOKUP(A272,'Audit Dimensions'!$A:$N,9,FALSE)</f>
        <v>#N/A</v>
      </c>
      <c r="J272" s="61" t="e">
        <f>VLOOKUP(A272,'Billing Dimensions'!$A:$N,10,FALSE)-VLOOKUP(A272,'Audit Dimensions'!$A:$N,10,FALSE)</f>
        <v>#N/A</v>
      </c>
      <c r="K272" s="63" t="e">
        <f>VLOOKUP(A272,'Billing Dimensions'!$A:$N,11,FALSE)-VLOOKUP(A272,'Audit Dimensions'!$A:$N,11,FALSE)</f>
        <v>#N/A</v>
      </c>
      <c r="L272" s="63" t="e">
        <f>VLOOKUP(A272,'Billing Dimensions'!$A:$N,12,FALSE)-VLOOKUP(A272,'Audit Dimensions'!$A:$N,12,FALSE)</f>
        <v>#N/A</v>
      </c>
      <c r="M272" s="63" t="e">
        <f>VLOOKUP(A272,'Billing Dimensions'!$A:$N,13,FALSE)-VLOOKUP(A272,'Audit Dimensions'!$A:$N,13,FALSE)</f>
        <v>#N/A</v>
      </c>
      <c r="N272" s="140" t="e">
        <f>VLOOKUP(A272,'Billing Dimensions'!$A:$N,14,FALSE)-VLOOKUP(A272,'Audit Dimensions'!$A:$N,14,FALSE)</f>
        <v>#N/A</v>
      </c>
      <c r="O272" s="145" t="e">
        <f>VLOOKUP('Audit VAR'!A272,'Audit Dimensions'!A:P,16,FALSE)</f>
        <v>#N/A</v>
      </c>
      <c r="P272" s="143" t="e">
        <f>VLOOKUP(A272,'Billing Dimensions'!A:Q,17,FALSE)-VLOOKUP('Audit VAR'!A272,'Audit Dimensions'!A:P,16,FALSE)</f>
        <v>#N/A</v>
      </c>
      <c r="Q272" s="148" t="e">
        <f t="shared" si="4"/>
        <v>#N/A</v>
      </c>
    </row>
    <row r="273" spans="1:17">
      <c r="A273" s="58">
        <f>'Audit Dimensions'!A271</f>
        <v>0</v>
      </c>
      <c r="B273" s="3" t="s">
        <v>48</v>
      </c>
      <c r="C273" s="59" t="e">
        <f>VLOOKUP(A273,'Billing Dimensions'!$A:$N,3,FALSE)-VLOOKUP(A273,'Audit Dimensions'!$A:$N,3,FALSE)</f>
        <v>#N/A</v>
      </c>
      <c r="D273" s="59" t="e">
        <f>VLOOKUP(A273,'Billing Dimensions'!$A:$N,4,FALSE)-VLOOKUP(A273,'Audit Dimensions'!$A:$N,4,FALSE)</f>
        <v>#N/A</v>
      </c>
      <c r="E273" s="59" t="e">
        <f>VLOOKUP(A273,'Billing Dimensions'!$A:$N,5,FALSE)-VLOOKUP(A273,'Audit Dimensions'!$A:$N,5,FALSE)</f>
        <v>#N/A</v>
      </c>
      <c r="F273" s="137" t="e">
        <f>VLOOKUP(A273,'Billing Dimensions'!$A:$N,6,FALSE)-VLOOKUP(A273,'Audit Dimensions'!$A:$N,6,FALSE)</f>
        <v>#N/A</v>
      </c>
      <c r="G273" s="65" t="e">
        <f>VLOOKUP(A273,'Billing Dimensions'!$A:$N,7,FALSE)-VLOOKUP(A273,'Audit Dimensions'!$A:$N,7,FALSE)</f>
        <v>#N/A</v>
      </c>
      <c r="H273" s="65" t="e">
        <f>VLOOKUP(A273,'Billing Dimensions'!$A:$N,8,FALSE)-VLOOKUP(A273,'Audit Dimensions'!$A:$N,8,FALSE)</f>
        <v>#N/A</v>
      </c>
      <c r="I273" s="65" t="e">
        <f>VLOOKUP(A273,'Billing Dimensions'!$A:$N,9,FALSE)-VLOOKUP(A273,'Audit Dimensions'!$A:$N,9,FALSE)</f>
        <v>#N/A</v>
      </c>
      <c r="J273" s="61" t="e">
        <f>VLOOKUP(A273,'Billing Dimensions'!$A:$N,10,FALSE)-VLOOKUP(A273,'Audit Dimensions'!$A:$N,10,FALSE)</f>
        <v>#N/A</v>
      </c>
      <c r="K273" s="63" t="e">
        <f>VLOOKUP(A273,'Billing Dimensions'!$A:$N,11,FALSE)-VLOOKUP(A273,'Audit Dimensions'!$A:$N,11,FALSE)</f>
        <v>#N/A</v>
      </c>
      <c r="L273" s="63" t="e">
        <f>VLOOKUP(A273,'Billing Dimensions'!$A:$N,12,FALSE)-VLOOKUP(A273,'Audit Dimensions'!$A:$N,12,FALSE)</f>
        <v>#N/A</v>
      </c>
      <c r="M273" s="63" t="e">
        <f>VLOOKUP(A273,'Billing Dimensions'!$A:$N,13,FALSE)-VLOOKUP(A273,'Audit Dimensions'!$A:$N,13,FALSE)</f>
        <v>#N/A</v>
      </c>
      <c r="N273" s="140" t="e">
        <f>VLOOKUP(A273,'Billing Dimensions'!$A:$N,14,FALSE)-VLOOKUP(A273,'Audit Dimensions'!$A:$N,14,FALSE)</f>
        <v>#N/A</v>
      </c>
      <c r="O273" s="145" t="e">
        <f>VLOOKUP('Audit VAR'!A273,'Audit Dimensions'!A:P,16,FALSE)</f>
        <v>#N/A</v>
      </c>
      <c r="P273" s="143" t="e">
        <f>VLOOKUP(A273,'Billing Dimensions'!A:Q,17,FALSE)-VLOOKUP('Audit VAR'!A273,'Audit Dimensions'!A:P,16,FALSE)</f>
        <v>#N/A</v>
      </c>
      <c r="Q273" s="148" t="e">
        <f t="shared" si="4"/>
        <v>#N/A</v>
      </c>
    </row>
    <row r="274" spans="1:17">
      <c r="A274" s="58">
        <f>'Audit Dimensions'!A272</f>
        <v>0</v>
      </c>
      <c r="B274" s="3" t="s">
        <v>48</v>
      </c>
      <c r="C274" s="59" t="e">
        <f>VLOOKUP(A274,'Billing Dimensions'!$A:$N,3,FALSE)-VLOOKUP(A274,'Audit Dimensions'!$A:$N,3,FALSE)</f>
        <v>#N/A</v>
      </c>
      <c r="D274" s="59" t="e">
        <f>VLOOKUP(A274,'Billing Dimensions'!$A:$N,4,FALSE)-VLOOKUP(A274,'Audit Dimensions'!$A:$N,4,FALSE)</f>
        <v>#N/A</v>
      </c>
      <c r="E274" s="59" t="e">
        <f>VLOOKUP(A274,'Billing Dimensions'!$A:$N,5,FALSE)-VLOOKUP(A274,'Audit Dimensions'!$A:$N,5,FALSE)</f>
        <v>#N/A</v>
      </c>
      <c r="F274" s="137" t="e">
        <f>VLOOKUP(A274,'Billing Dimensions'!$A:$N,6,FALSE)-VLOOKUP(A274,'Audit Dimensions'!$A:$N,6,FALSE)</f>
        <v>#N/A</v>
      </c>
      <c r="G274" s="65" t="e">
        <f>VLOOKUP(A274,'Billing Dimensions'!$A:$N,7,FALSE)-VLOOKUP(A274,'Audit Dimensions'!$A:$N,7,FALSE)</f>
        <v>#N/A</v>
      </c>
      <c r="H274" s="65" t="e">
        <f>VLOOKUP(A274,'Billing Dimensions'!$A:$N,8,FALSE)-VLOOKUP(A274,'Audit Dimensions'!$A:$N,8,FALSE)</f>
        <v>#N/A</v>
      </c>
      <c r="I274" s="65" t="e">
        <f>VLOOKUP(A274,'Billing Dimensions'!$A:$N,9,FALSE)-VLOOKUP(A274,'Audit Dimensions'!$A:$N,9,FALSE)</f>
        <v>#N/A</v>
      </c>
      <c r="J274" s="61" t="e">
        <f>VLOOKUP(A274,'Billing Dimensions'!$A:$N,10,FALSE)-VLOOKUP(A274,'Audit Dimensions'!$A:$N,10,FALSE)</f>
        <v>#N/A</v>
      </c>
      <c r="K274" s="63" t="e">
        <f>VLOOKUP(A274,'Billing Dimensions'!$A:$N,11,FALSE)-VLOOKUP(A274,'Audit Dimensions'!$A:$N,11,FALSE)</f>
        <v>#N/A</v>
      </c>
      <c r="L274" s="63" t="e">
        <f>VLOOKUP(A274,'Billing Dimensions'!$A:$N,12,FALSE)-VLOOKUP(A274,'Audit Dimensions'!$A:$N,12,FALSE)</f>
        <v>#N/A</v>
      </c>
      <c r="M274" s="63" t="e">
        <f>VLOOKUP(A274,'Billing Dimensions'!$A:$N,13,FALSE)-VLOOKUP(A274,'Audit Dimensions'!$A:$N,13,FALSE)</f>
        <v>#N/A</v>
      </c>
      <c r="N274" s="140" t="e">
        <f>VLOOKUP(A274,'Billing Dimensions'!$A:$N,14,FALSE)-VLOOKUP(A274,'Audit Dimensions'!$A:$N,14,FALSE)</f>
        <v>#N/A</v>
      </c>
      <c r="O274" s="145" t="e">
        <f>VLOOKUP('Audit VAR'!A274,'Audit Dimensions'!A:P,16,FALSE)</f>
        <v>#N/A</v>
      </c>
      <c r="P274" s="143" t="e">
        <f>VLOOKUP(A274,'Billing Dimensions'!A:Q,17,FALSE)-VLOOKUP('Audit VAR'!A274,'Audit Dimensions'!A:P,16,FALSE)</f>
        <v>#N/A</v>
      </c>
      <c r="Q274" s="148" t="e">
        <f t="shared" si="4"/>
        <v>#N/A</v>
      </c>
    </row>
    <row r="275" spans="1:17">
      <c r="A275" s="58">
        <f>'Audit Dimensions'!A273</f>
        <v>0</v>
      </c>
      <c r="B275" s="3" t="s">
        <v>48</v>
      </c>
      <c r="C275" s="59" t="e">
        <f>VLOOKUP(A275,'Billing Dimensions'!$A:$N,3,FALSE)-VLOOKUP(A275,'Audit Dimensions'!$A:$N,3,FALSE)</f>
        <v>#N/A</v>
      </c>
      <c r="D275" s="59" t="e">
        <f>VLOOKUP(A275,'Billing Dimensions'!$A:$N,4,FALSE)-VLOOKUP(A275,'Audit Dimensions'!$A:$N,4,FALSE)</f>
        <v>#N/A</v>
      </c>
      <c r="E275" s="59" t="e">
        <f>VLOOKUP(A275,'Billing Dimensions'!$A:$N,5,FALSE)-VLOOKUP(A275,'Audit Dimensions'!$A:$N,5,FALSE)</f>
        <v>#N/A</v>
      </c>
      <c r="F275" s="137" t="e">
        <f>VLOOKUP(A275,'Billing Dimensions'!$A:$N,6,FALSE)-VLOOKUP(A275,'Audit Dimensions'!$A:$N,6,FALSE)</f>
        <v>#N/A</v>
      </c>
      <c r="G275" s="65" t="e">
        <f>VLOOKUP(A275,'Billing Dimensions'!$A:$N,7,FALSE)-VLOOKUP(A275,'Audit Dimensions'!$A:$N,7,FALSE)</f>
        <v>#N/A</v>
      </c>
      <c r="H275" s="65" t="e">
        <f>VLOOKUP(A275,'Billing Dimensions'!$A:$N,8,FALSE)-VLOOKUP(A275,'Audit Dimensions'!$A:$N,8,FALSE)</f>
        <v>#N/A</v>
      </c>
      <c r="I275" s="65" t="e">
        <f>VLOOKUP(A275,'Billing Dimensions'!$A:$N,9,FALSE)-VLOOKUP(A275,'Audit Dimensions'!$A:$N,9,FALSE)</f>
        <v>#N/A</v>
      </c>
      <c r="J275" s="61" t="e">
        <f>VLOOKUP(A275,'Billing Dimensions'!$A:$N,10,FALSE)-VLOOKUP(A275,'Audit Dimensions'!$A:$N,10,FALSE)</f>
        <v>#N/A</v>
      </c>
      <c r="K275" s="63" t="e">
        <f>VLOOKUP(A275,'Billing Dimensions'!$A:$N,11,FALSE)-VLOOKUP(A275,'Audit Dimensions'!$A:$N,11,FALSE)</f>
        <v>#N/A</v>
      </c>
      <c r="L275" s="63" t="e">
        <f>VLOOKUP(A275,'Billing Dimensions'!$A:$N,12,FALSE)-VLOOKUP(A275,'Audit Dimensions'!$A:$N,12,FALSE)</f>
        <v>#N/A</v>
      </c>
      <c r="M275" s="63" t="e">
        <f>VLOOKUP(A275,'Billing Dimensions'!$A:$N,13,FALSE)-VLOOKUP(A275,'Audit Dimensions'!$A:$N,13,FALSE)</f>
        <v>#N/A</v>
      </c>
      <c r="N275" s="140" t="e">
        <f>VLOOKUP(A275,'Billing Dimensions'!$A:$N,14,FALSE)-VLOOKUP(A275,'Audit Dimensions'!$A:$N,14,FALSE)</f>
        <v>#N/A</v>
      </c>
      <c r="O275" s="145" t="e">
        <f>VLOOKUP('Audit VAR'!A275,'Audit Dimensions'!A:P,16,FALSE)</f>
        <v>#N/A</v>
      </c>
      <c r="P275" s="143" t="e">
        <f>VLOOKUP(A275,'Billing Dimensions'!A:Q,17,FALSE)-VLOOKUP('Audit VAR'!A275,'Audit Dimensions'!A:P,16,FALSE)</f>
        <v>#N/A</v>
      </c>
      <c r="Q275" s="148" t="e">
        <f t="shared" si="4"/>
        <v>#N/A</v>
      </c>
    </row>
    <row r="276" spans="1:17">
      <c r="A276" s="58">
        <f>'Audit Dimensions'!A274</f>
        <v>0</v>
      </c>
      <c r="B276" s="3" t="s">
        <v>48</v>
      </c>
      <c r="C276" s="59" t="e">
        <f>VLOOKUP(A276,'Billing Dimensions'!$A:$N,3,FALSE)-VLOOKUP(A276,'Audit Dimensions'!$A:$N,3,FALSE)</f>
        <v>#N/A</v>
      </c>
      <c r="D276" s="59" t="e">
        <f>VLOOKUP(A276,'Billing Dimensions'!$A:$N,4,FALSE)-VLOOKUP(A276,'Audit Dimensions'!$A:$N,4,FALSE)</f>
        <v>#N/A</v>
      </c>
      <c r="E276" s="59" t="e">
        <f>VLOOKUP(A276,'Billing Dimensions'!$A:$N,5,FALSE)-VLOOKUP(A276,'Audit Dimensions'!$A:$N,5,FALSE)</f>
        <v>#N/A</v>
      </c>
      <c r="F276" s="137" t="e">
        <f>VLOOKUP(A276,'Billing Dimensions'!$A:$N,6,FALSE)-VLOOKUP(A276,'Audit Dimensions'!$A:$N,6,FALSE)</f>
        <v>#N/A</v>
      </c>
      <c r="G276" s="65" t="e">
        <f>VLOOKUP(A276,'Billing Dimensions'!$A:$N,7,FALSE)-VLOOKUP(A276,'Audit Dimensions'!$A:$N,7,FALSE)</f>
        <v>#N/A</v>
      </c>
      <c r="H276" s="65" t="e">
        <f>VLOOKUP(A276,'Billing Dimensions'!$A:$N,8,FALSE)-VLOOKUP(A276,'Audit Dimensions'!$A:$N,8,FALSE)</f>
        <v>#N/A</v>
      </c>
      <c r="I276" s="65" t="e">
        <f>VLOOKUP(A276,'Billing Dimensions'!$A:$N,9,FALSE)-VLOOKUP(A276,'Audit Dimensions'!$A:$N,9,FALSE)</f>
        <v>#N/A</v>
      </c>
      <c r="J276" s="61" t="e">
        <f>VLOOKUP(A276,'Billing Dimensions'!$A:$N,10,FALSE)-VLOOKUP(A276,'Audit Dimensions'!$A:$N,10,FALSE)</f>
        <v>#N/A</v>
      </c>
      <c r="K276" s="63" t="e">
        <f>VLOOKUP(A276,'Billing Dimensions'!$A:$N,11,FALSE)-VLOOKUP(A276,'Audit Dimensions'!$A:$N,11,FALSE)</f>
        <v>#N/A</v>
      </c>
      <c r="L276" s="63" t="e">
        <f>VLOOKUP(A276,'Billing Dimensions'!$A:$N,12,FALSE)-VLOOKUP(A276,'Audit Dimensions'!$A:$N,12,FALSE)</f>
        <v>#N/A</v>
      </c>
      <c r="M276" s="63" t="e">
        <f>VLOOKUP(A276,'Billing Dimensions'!$A:$N,13,FALSE)-VLOOKUP(A276,'Audit Dimensions'!$A:$N,13,FALSE)</f>
        <v>#N/A</v>
      </c>
      <c r="N276" s="140" t="e">
        <f>VLOOKUP(A276,'Billing Dimensions'!$A:$N,14,FALSE)-VLOOKUP(A276,'Audit Dimensions'!$A:$N,14,FALSE)</f>
        <v>#N/A</v>
      </c>
      <c r="O276" s="145" t="e">
        <f>VLOOKUP('Audit VAR'!A276,'Audit Dimensions'!A:P,16,FALSE)</f>
        <v>#N/A</v>
      </c>
      <c r="P276" s="143" t="e">
        <f>VLOOKUP(A276,'Billing Dimensions'!A:Q,17,FALSE)-VLOOKUP('Audit VAR'!A276,'Audit Dimensions'!A:P,16,FALSE)</f>
        <v>#N/A</v>
      </c>
      <c r="Q276" s="148" t="e">
        <f t="shared" si="4"/>
        <v>#N/A</v>
      </c>
    </row>
    <row r="277" spans="1:17">
      <c r="A277" s="58">
        <f>'Audit Dimensions'!A275</f>
        <v>0</v>
      </c>
      <c r="B277" s="3" t="s">
        <v>48</v>
      </c>
      <c r="C277" s="59" t="e">
        <f>VLOOKUP(A277,'Billing Dimensions'!$A:$N,3,FALSE)-VLOOKUP(A277,'Audit Dimensions'!$A:$N,3,FALSE)</f>
        <v>#N/A</v>
      </c>
      <c r="D277" s="59" t="e">
        <f>VLOOKUP(A277,'Billing Dimensions'!$A:$N,4,FALSE)-VLOOKUP(A277,'Audit Dimensions'!$A:$N,4,FALSE)</f>
        <v>#N/A</v>
      </c>
      <c r="E277" s="59" t="e">
        <f>VLOOKUP(A277,'Billing Dimensions'!$A:$N,5,FALSE)-VLOOKUP(A277,'Audit Dimensions'!$A:$N,5,FALSE)</f>
        <v>#N/A</v>
      </c>
      <c r="F277" s="137" t="e">
        <f>VLOOKUP(A277,'Billing Dimensions'!$A:$N,6,FALSE)-VLOOKUP(A277,'Audit Dimensions'!$A:$N,6,FALSE)</f>
        <v>#N/A</v>
      </c>
      <c r="G277" s="65" t="e">
        <f>VLOOKUP(A277,'Billing Dimensions'!$A:$N,7,FALSE)-VLOOKUP(A277,'Audit Dimensions'!$A:$N,7,FALSE)</f>
        <v>#N/A</v>
      </c>
      <c r="H277" s="65" t="e">
        <f>VLOOKUP(A277,'Billing Dimensions'!$A:$N,8,FALSE)-VLOOKUP(A277,'Audit Dimensions'!$A:$N,8,FALSE)</f>
        <v>#N/A</v>
      </c>
      <c r="I277" s="65" t="e">
        <f>VLOOKUP(A277,'Billing Dimensions'!$A:$N,9,FALSE)-VLOOKUP(A277,'Audit Dimensions'!$A:$N,9,FALSE)</f>
        <v>#N/A</v>
      </c>
      <c r="J277" s="61" t="e">
        <f>VLOOKUP(A277,'Billing Dimensions'!$A:$N,10,FALSE)-VLOOKUP(A277,'Audit Dimensions'!$A:$N,10,FALSE)</f>
        <v>#N/A</v>
      </c>
      <c r="K277" s="63" t="e">
        <f>VLOOKUP(A277,'Billing Dimensions'!$A:$N,11,FALSE)-VLOOKUP(A277,'Audit Dimensions'!$A:$N,11,FALSE)</f>
        <v>#N/A</v>
      </c>
      <c r="L277" s="63" t="e">
        <f>VLOOKUP(A277,'Billing Dimensions'!$A:$N,12,FALSE)-VLOOKUP(A277,'Audit Dimensions'!$A:$N,12,FALSE)</f>
        <v>#N/A</v>
      </c>
      <c r="M277" s="63" t="e">
        <f>VLOOKUP(A277,'Billing Dimensions'!$A:$N,13,FALSE)-VLOOKUP(A277,'Audit Dimensions'!$A:$N,13,FALSE)</f>
        <v>#N/A</v>
      </c>
      <c r="N277" s="140" t="e">
        <f>VLOOKUP(A277,'Billing Dimensions'!$A:$N,14,FALSE)-VLOOKUP(A277,'Audit Dimensions'!$A:$N,14,FALSE)</f>
        <v>#N/A</v>
      </c>
      <c r="O277" s="145" t="e">
        <f>VLOOKUP('Audit VAR'!A277,'Audit Dimensions'!A:P,16,FALSE)</f>
        <v>#N/A</v>
      </c>
      <c r="P277" s="143" t="e">
        <f>VLOOKUP(A277,'Billing Dimensions'!A:Q,17,FALSE)-VLOOKUP('Audit VAR'!A277,'Audit Dimensions'!A:P,16,FALSE)</f>
        <v>#N/A</v>
      </c>
      <c r="Q277" s="148" t="e">
        <f t="shared" si="4"/>
        <v>#N/A</v>
      </c>
    </row>
    <row r="278" spans="1:17">
      <c r="A278" s="58">
        <f>'Audit Dimensions'!A276</f>
        <v>0</v>
      </c>
      <c r="B278" s="3" t="s">
        <v>48</v>
      </c>
      <c r="C278" s="59" t="e">
        <f>VLOOKUP(A278,'Billing Dimensions'!$A:$N,3,FALSE)-VLOOKUP(A278,'Audit Dimensions'!$A:$N,3,FALSE)</f>
        <v>#N/A</v>
      </c>
      <c r="D278" s="59" t="e">
        <f>VLOOKUP(A278,'Billing Dimensions'!$A:$N,4,FALSE)-VLOOKUP(A278,'Audit Dimensions'!$A:$N,4,FALSE)</f>
        <v>#N/A</v>
      </c>
      <c r="E278" s="59" t="e">
        <f>VLOOKUP(A278,'Billing Dimensions'!$A:$N,5,FALSE)-VLOOKUP(A278,'Audit Dimensions'!$A:$N,5,FALSE)</f>
        <v>#N/A</v>
      </c>
      <c r="F278" s="137" t="e">
        <f>VLOOKUP(A278,'Billing Dimensions'!$A:$N,6,FALSE)-VLOOKUP(A278,'Audit Dimensions'!$A:$N,6,FALSE)</f>
        <v>#N/A</v>
      </c>
      <c r="G278" s="65" t="e">
        <f>VLOOKUP(A278,'Billing Dimensions'!$A:$N,7,FALSE)-VLOOKUP(A278,'Audit Dimensions'!$A:$N,7,FALSE)</f>
        <v>#N/A</v>
      </c>
      <c r="H278" s="65" t="e">
        <f>VLOOKUP(A278,'Billing Dimensions'!$A:$N,8,FALSE)-VLOOKUP(A278,'Audit Dimensions'!$A:$N,8,FALSE)</f>
        <v>#N/A</v>
      </c>
      <c r="I278" s="65" t="e">
        <f>VLOOKUP(A278,'Billing Dimensions'!$A:$N,9,FALSE)-VLOOKUP(A278,'Audit Dimensions'!$A:$N,9,FALSE)</f>
        <v>#N/A</v>
      </c>
      <c r="J278" s="61" t="e">
        <f>VLOOKUP(A278,'Billing Dimensions'!$A:$N,10,FALSE)-VLOOKUP(A278,'Audit Dimensions'!$A:$N,10,FALSE)</f>
        <v>#N/A</v>
      </c>
      <c r="K278" s="63" t="e">
        <f>VLOOKUP(A278,'Billing Dimensions'!$A:$N,11,FALSE)-VLOOKUP(A278,'Audit Dimensions'!$A:$N,11,FALSE)</f>
        <v>#N/A</v>
      </c>
      <c r="L278" s="63" t="e">
        <f>VLOOKUP(A278,'Billing Dimensions'!$A:$N,12,FALSE)-VLOOKUP(A278,'Audit Dimensions'!$A:$N,12,FALSE)</f>
        <v>#N/A</v>
      </c>
      <c r="M278" s="63" t="e">
        <f>VLOOKUP(A278,'Billing Dimensions'!$A:$N,13,FALSE)-VLOOKUP(A278,'Audit Dimensions'!$A:$N,13,FALSE)</f>
        <v>#N/A</v>
      </c>
      <c r="N278" s="140" t="e">
        <f>VLOOKUP(A278,'Billing Dimensions'!$A:$N,14,FALSE)-VLOOKUP(A278,'Audit Dimensions'!$A:$N,14,FALSE)</f>
        <v>#N/A</v>
      </c>
      <c r="O278" s="145" t="e">
        <f>VLOOKUP('Audit VAR'!A278,'Audit Dimensions'!A:P,16,FALSE)</f>
        <v>#N/A</v>
      </c>
      <c r="P278" s="143" t="e">
        <f>VLOOKUP(A278,'Billing Dimensions'!A:Q,17,FALSE)-VLOOKUP('Audit VAR'!A278,'Audit Dimensions'!A:P,16,FALSE)</f>
        <v>#N/A</v>
      </c>
      <c r="Q278" s="148" t="e">
        <f t="shared" si="4"/>
        <v>#N/A</v>
      </c>
    </row>
    <row r="279" spans="1:17">
      <c r="A279" s="58">
        <f>'Audit Dimensions'!A277</f>
        <v>0</v>
      </c>
      <c r="B279" s="3" t="s">
        <v>48</v>
      </c>
      <c r="C279" s="59" t="e">
        <f>VLOOKUP(A279,'Billing Dimensions'!$A:$N,3,FALSE)-VLOOKUP(A279,'Audit Dimensions'!$A:$N,3,FALSE)</f>
        <v>#N/A</v>
      </c>
      <c r="D279" s="59" t="e">
        <f>VLOOKUP(A279,'Billing Dimensions'!$A:$N,4,FALSE)-VLOOKUP(A279,'Audit Dimensions'!$A:$N,4,FALSE)</f>
        <v>#N/A</v>
      </c>
      <c r="E279" s="59" t="e">
        <f>VLOOKUP(A279,'Billing Dimensions'!$A:$N,5,FALSE)-VLOOKUP(A279,'Audit Dimensions'!$A:$N,5,FALSE)</f>
        <v>#N/A</v>
      </c>
      <c r="F279" s="137" t="e">
        <f>VLOOKUP(A279,'Billing Dimensions'!$A:$N,6,FALSE)-VLOOKUP(A279,'Audit Dimensions'!$A:$N,6,FALSE)</f>
        <v>#N/A</v>
      </c>
      <c r="G279" s="65" t="e">
        <f>VLOOKUP(A279,'Billing Dimensions'!$A:$N,7,FALSE)-VLOOKUP(A279,'Audit Dimensions'!$A:$N,7,FALSE)</f>
        <v>#N/A</v>
      </c>
      <c r="H279" s="65" t="e">
        <f>VLOOKUP(A279,'Billing Dimensions'!$A:$N,8,FALSE)-VLOOKUP(A279,'Audit Dimensions'!$A:$N,8,FALSE)</f>
        <v>#N/A</v>
      </c>
      <c r="I279" s="65" t="e">
        <f>VLOOKUP(A279,'Billing Dimensions'!$A:$N,9,FALSE)-VLOOKUP(A279,'Audit Dimensions'!$A:$N,9,FALSE)</f>
        <v>#N/A</v>
      </c>
      <c r="J279" s="61" t="e">
        <f>VLOOKUP(A279,'Billing Dimensions'!$A:$N,10,FALSE)-VLOOKUP(A279,'Audit Dimensions'!$A:$N,10,FALSE)</f>
        <v>#N/A</v>
      </c>
      <c r="K279" s="63" t="e">
        <f>VLOOKUP(A279,'Billing Dimensions'!$A:$N,11,FALSE)-VLOOKUP(A279,'Audit Dimensions'!$A:$N,11,FALSE)</f>
        <v>#N/A</v>
      </c>
      <c r="L279" s="63" t="e">
        <f>VLOOKUP(A279,'Billing Dimensions'!$A:$N,12,FALSE)-VLOOKUP(A279,'Audit Dimensions'!$A:$N,12,FALSE)</f>
        <v>#N/A</v>
      </c>
      <c r="M279" s="63" t="e">
        <f>VLOOKUP(A279,'Billing Dimensions'!$A:$N,13,FALSE)-VLOOKUP(A279,'Audit Dimensions'!$A:$N,13,FALSE)</f>
        <v>#N/A</v>
      </c>
      <c r="N279" s="140" t="e">
        <f>VLOOKUP(A279,'Billing Dimensions'!$A:$N,14,FALSE)-VLOOKUP(A279,'Audit Dimensions'!$A:$N,14,FALSE)</f>
        <v>#N/A</v>
      </c>
      <c r="O279" s="145" t="e">
        <f>VLOOKUP('Audit VAR'!A279,'Audit Dimensions'!A:P,16,FALSE)</f>
        <v>#N/A</v>
      </c>
      <c r="P279" s="143" t="e">
        <f>VLOOKUP(A279,'Billing Dimensions'!A:Q,17,FALSE)-VLOOKUP('Audit VAR'!A279,'Audit Dimensions'!A:P,16,FALSE)</f>
        <v>#N/A</v>
      </c>
      <c r="Q279" s="148" t="e">
        <f t="shared" si="4"/>
        <v>#N/A</v>
      </c>
    </row>
    <row r="280" spans="1:17">
      <c r="A280" s="58">
        <f>'Audit Dimensions'!A278</f>
        <v>0</v>
      </c>
      <c r="B280" s="3" t="s">
        <v>48</v>
      </c>
      <c r="C280" s="59" t="e">
        <f>VLOOKUP(A280,'Billing Dimensions'!$A:$N,3,FALSE)-VLOOKUP(A280,'Audit Dimensions'!$A:$N,3,FALSE)</f>
        <v>#N/A</v>
      </c>
      <c r="D280" s="59" t="e">
        <f>VLOOKUP(A280,'Billing Dimensions'!$A:$N,4,FALSE)-VLOOKUP(A280,'Audit Dimensions'!$A:$N,4,FALSE)</f>
        <v>#N/A</v>
      </c>
      <c r="E280" s="59" t="e">
        <f>VLOOKUP(A280,'Billing Dimensions'!$A:$N,5,FALSE)-VLOOKUP(A280,'Audit Dimensions'!$A:$N,5,FALSE)</f>
        <v>#N/A</v>
      </c>
      <c r="F280" s="137" t="e">
        <f>VLOOKUP(A280,'Billing Dimensions'!$A:$N,6,FALSE)-VLOOKUP(A280,'Audit Dimensions'!$A:$N,6,FALSE)</f>
        <v>#N/A</v>
      </c>
      <c r="G280" s="65" t="e">
        <f>VLOOKUP(A280,'Billing Dimensions'!$A:$N,7,FALSE)-VLOOKUP(A280,'Audit Dimensions'!$A:$N,7,FALSE)</f>
        <v>#N/A</v>
      </c>
      <c r="H280" s="65" t="e">
        <f>VLOOKUP(A280,'Billing Dimensions'!$A:$N,8,FALSE)-VLOOKUP(A280,'Audit Dimensions'!$A:$N,8,FALSE)</f>
        <v>#N/A</v>
      </c>
      <c r="I280" s="65" t="e">
        <f>VLOOKUP(A280,'Billing Dimensions'!$A:$N,9,FALSE)-VLOOKUP(A280,'Audit Dimensions'!$A:$N,9,FALSE)</f>
        <v>#N/A</v>
      </c>
      <c r="J280" s="61" t="e">
        <f>VLOOKUP(A280,'Billing Dimensions'!$A:$N,10,FALSE)-VLOOKUP(A280,'Audit Dimensions'!$A:$N,10,FALSE)</f>
        <v>#N/A</v>
      </c>
      <c r="K280" s="63" t="e">
        <f>VLOOKUP(A280,'Billing Dimensions'!$A:$N,11,FALSE)-VLOOKUP(A280,'Audit Dimensions'!$A:$N,11,FALSE)</f>
        <v>#N/A</v>
      </c>
      <c r="L280" s="63" t="e">
        <f>VLOOKUP(A280,'Billing Dimensions'!$A:$N,12,FALSE)-VLOOKUP(A280,'Audit Dimensions'!$A:$N,12,FALSE)</f>
        <v>#N/A</v>
      </c>
      <c r="M280" s="63" t="e">
        <f>VLOOKUP(A280,'Billing Dimensions'!$A:$N,13,FALSE)-VLOOKUP(A280,'Audit Dimensions'!$A:$N,13,FALSE)</f>
        <v>#N/A</v>
      </c>
      <c r="N280" s="140" t="e">
        <f>VLOOKUP(A280,'Billing Dimensions'!$A:$N,14,FALSE)-VLOOKUP(A280,'Audit Dimensions'!$A:$N,14,FALSE)</f>
        <v>#N/A</v>
      </c>
      <c r="O280" s="145" t="e">
        <f>VLOOKUP('Audit VAR'!A280,'Audit Dimensions'!A:P,16,FALSE)</f>
        <v>#N/A</v>
      </c>
      <c r="P280" s="143" t="e">
        <f>VLOOKUP(A280,'Billing Dimensions'!A:Q,17,FALSE)-VLOOKUP('Audit VAR'!A280,'Audit Dimensions'!A:P,16,FALSE)</f>
        <v>#N/A</v>
      </c>
      <c r="Q280" s="148" t="e">
        <f t="shared" si="4"/>
        <v>#N/A</v>
      </c>
    </row>
    <row r="281" spans="1:17">
      <c r="A281" s="58">
        <f>'Audit Dimensions'!A279</f>
        <v>0</v>
      </c>
      <c r="B281" s="3" t="s">
        <v>48</v>
      </c>
      <c r="C281" s="59" t="e">
        <f>VLOOKUP(A281,'Billing Dimensions'!$A:$N,3,FALSE)-VLOOKUP(A281,'Audit Dimensions'!$A:$N,3,FALSE)</f>
        <v>#N/A</v>
      </c>
      <c r="D281" s="59" t="e">
        <f>VLOOKUP(A281,'Billing Dimensions'!$A:$N,4,FALSE)-VLOOKUP(A281,'Audit Dimensions'!$A:$N,4,FALSE)</f>
        <v>#N/A</v>
      </c>
      <c r="E281" s="59" t="e">
        <f>VLOOKUP(A281,'Billing Dimensions'!$A:$N,5,FALSE)-VLOOKUP(A281,'Audit Dimensions'!$A:$N,5,FALSE)</f>
        <v>#N/A</v>
      </c>
      <c r="F281" s="137" t="e">
        <f>VLOOKUP(A281,'Billing Dimensions'!$A:$N,6,FALSE)-VLOOKUP(A281,'Audit Dimensions'!$A:$N,6,FALSE)</f>
        <v>#N/A</v>
      </c>
      <c r="G281" s="65" t="e">
        <f>VLOOKUP(A281,'Billing Dimensions'!$A:$N,7,FALSE)-VLOOKUP(A281,'Audit Dimensions'!$A:$N,7,FALSE)</f>
        <v>#N/A</v>
      </c>
      <c r="H281" s="65" t="e">
        <f>VLOOKUP(A281,'Billing Dimensions'!$A:$N,8,FALSE)-VLOOKUP(A281,'Audit Dimensions'!$A:$N,8,FALSE)</f>
        <v>#N/A</v>
      </c>
      <c r="I281" s="65" t="e">
        <f>VLOOKUP(A281,'Billing Dimensions'!$A:$N,9,FALSE)-VLOOKUP(A281,'Audit Dimensions'!$A:$N,9,FALSE)</f>
        <v>#N/A</v>
      </c>
      <c r="J281" s="61" t="e">
        <f>VLOOKUP(A281,'Billing Dimensions'!$A:$N,10,FALSE)-VLOOKUP(A281,'Audit Dimensions'!$A:$N,10,FALSE)</f>
        <v>#N/A</v>
      </c>
      <c r="K281" s="63" t="e">
        <f>VLOOKUP(A281,'Billing Dimensions'!$A:$N,11,FALSE)-VLOOKUP(A281,'Audit Dimensions'!$A:$N,11,FALSE)</f>
        <v>#N/A</v>
      </c>
      <c r="L281" s="63" t="e">
        <f>VLOOKUP(A281,'Billing Dimensions'!$A:$N,12,FALSE)-VLOOKUP(A281,'Audit Dimensions'!$A:$N,12,FALSE)</f>
        <v>#N/A</v>
      </c>
      <c r="M281" s="63" t="e">
        <f>VLOOKUP(A281,'Billing Dimensions'!$A:$N,13,FALSE)-VLOOKUP(A281,'Audit Dimensions'!$A:$N,13,FALSE)</f>
        <v>#N/A</v>
      </c>
      <c r="N281" s="140" t="e">
        <f>VLOOKUP(A281,'Billing Dimensions'!$A:$N,14,FALSE)-VLOOKUP(A281,'Audit Dimensions'!$A:$N,14,FALSE)</f>
        <v>#N/A</v>
      </c>
      <c r="O281" s="145" t="e">
        <f>VLOOKUP('Audit VAR'!A281,'Audit Dimensions'!A:P,16,FALSE)</f>
        <v>#N/A</v>
      </c>
      <c r="P281" s="143" t="e">
        <f>VLOOKUP(A281,'Billing Dimensions'!A:Q,17,FALSE)-VLOOKUP('Audit VAR'!A281,'Audit Dimensions'!A:P,16,FALSE)</f>
        <v>#N/A</v>
      </c>
      <c r="Q281" s="148" t="e">
        <f t="shared" si="4"/>
        <v>#N/A</v>
      </c>
    </row>
    <row r="282" spans="1:17">
      <c r="A282" s="58">
        <f>'Audit Dimensions'!A280</f>
        <v>0</v>
      </c>
      <c r="B282" s="3" t="s">
        <v>48</v>
      </c>
      <c r="C282" s="59" t="e">
        <f>VLOOKUP(A282,'Billing Dimensions'!$A:$N,3,FALSE)-VLOOKUP(A282,'Audit Dimensions'!$A:$N,3,FALSE)</f>
        <v>#N/A</v>
      </c>
      <c r="D282" s="59" t="e">
        <f>VLOOKUP(A282,'Billing Dimensions'!$A:$N,4,FALSE)-VLOOKUP(A282,'Audit Dimensions'!$A:$N,4,FALSE)</f>
        <v>#N/A</v>
      </c>
      <c r="E282" s="59" t="e">
        <f>VLOOKUP(A282,'Billing Dimensions'!$A:$N,5,FALSE)-VLOOKUP(A282,'Audit Dimensions'!$A:$N,5,FALSE)</f>
        <v>#N/A</v>
      </c>
      <c r="F282" s="137" t="e">
        <f>VLOOKUP(A282,'Billing Dimensions'!$A:$N,6,FALSE)-VLOOKUP(A282,'Audit Dimensions'!$A:$N,6,FALSE)</f>
        <v>#N/A</v>
      </c>
      <c r="G282" s="65" t="e">
        <f>VLOOKUP(A282,'Billing Dimensions'!$A:$N,7,FALSE)-VLOOKUP(A282,'Audit Dimensions'!$A:$N,7,FALSE)</f>
        <v>#N/A</v>
      </c>
      <c r="H282" s="65" t="e">
        <f>VLOOKUP(A282,'Billing Dimensions'!$A:$N,8,FALSE)-VLOOKUP(A282,'Audit Dimensions'!$A:$N,8,FALSE)</f>
        <v>#N/A</v>
      </c>
      <c r="I282" s="65" t="e">
        <f>VLOOKUP(A282,'Billing Dimensions'!$A:$N,9,FALSE)-VLOOKUP(A282,'Audit Dimensions'!$A:$N,9,FALSE)</f>
        <v>#N/A</v>
      </c>
      <c r="J282" s="61" t="e">
        <f>VLOOKUP(A282,'Billing Dimensions'!$A:$N,10,FALSE)-VLOOKUP(A282,'Audit Dimensions'!$A:$N,10,FALSE)</f>
        <v>#N/A</v>
      </c>
      <c r="K282" s="63" t="e">
        <f>VLOOKUP(A282,'Billing Dimensions'!$A:$N,11,FALSE)-VLOOKUP(A282,'Audit Dimensions'!$A:$N,11,FALSE)</f>
        <v>#N/A</v>
      </c>
      <c r="L282" s="63" t="e">
        <f>VLOOKUP(A282,'Billing Dimensions'!$A:$N,12,FALSE)-VLOOKUP(A282,'Audit Dimensions'!$A:$N,12,FALSE)</f>
        <v>#N/A</v>
      </c>
      <c r="M282" s="63" t="e">
        <f>VLOOKUP(A282,'Billing Dimensions'!$A:$N,13,FALSE)-VLOOKUP(A282,'Audit Dimensions'!$A:$N,13,FALSE)</f>
        <v>#N/A</v>
      </c>
      <c r="N282" s="140" t="e">
        <f>VLOOKUP(A282,'Billing Dimensions'!$A:$N,14,FALSE)-VLOOKUP(A282,'Audit Dimensions'!$A:$N,14,FALSE)</f>
        <v>#N/A</v>
      </c>
      <c r="O282" s="145" t="e">
        <f>VLOOKUP('Audit VAR'!A282,'Audit Dimensions'!A:P,16,FALSE)</f>
        <v>#N/A</v>
      </c>
      <c r="P282" s="143" t="e">
        <f>VLOOKUP(A282,'Billing Dimensions'!A:Q,17,FALSE)-VLOOKUP('Audit VAR'!A282,'Audit Dimensions'!A:P,16,FALSE)</f>
        <v>#N/A</v>
      </c>
      <c r="Q282" s="148" t="e">
        <f t="shared" si="4"/>
        <v>#N/A</v>
      </c>
    </row>
    <row r="283" spans="1:17">
      <c r="A283" s="58">
        <f>'Audit Dimensions'!A281</f>
        <v>0</v>
      </c>
      <c r="B283" s="3" t="s">
        <v>48</v>
      </c>
      <c r="C283" s="59" t="e">
        <f>VLOOKUP(A283,'Billing Dimensions'!$A:$N,3,FALSE)-VLOOKUP(A283,'Audit Dimensions'!$A:$N,3,FALSE)</f>
        <v>#N/A</v>
      </c>
      <c r="D283" s="59" t="e">
        <f>VLOOKUP(A283,'Billing Dimensions'!$A:$N,4,FALSE)-VLOOKUP(A283,'Audit Dimensions'!$A:$N,4,FALSE)</f>
        <v>#N/A</v>
      </c>
      <c r="E283" s="59" t="e">
        <f>VLOOKUP(A283,'Billing Dimensions'!$A:$N,5,FALSE)-VLOOKUP(A283,'Audit Dimensions'!$A:$N,5,FALSE)</f>
        <v>#N/A</v>
      </c>
      <c r="F283" s="137" t="e">
        <f>VLOOKUP(A283,'Billing Dimensions'!$A:$N,6,FALSE)-VLOOKUP(A283,'Audit Dimensions'!$A:$N,6,FALSE)</f>
        <v>#N/A</v>
      </c>
      <c r="G283" s="65" t="e">
        <f>VLOOKUP(A283,'Billing Dimensions'!$A:$N,7,FALSE)-VLOOKUP(A283,'Audit Dimensions'!$A:$N,7,FALSE)</f>
        <v>#N/A</v>
      </c>
      <c r="H283" s="65" t="e">
        <f>VLOOKUP(A283,'Billing Dimensions'!$A:$N,8,FALSE)-VLOOKUP(A283,'Audit Dimensions'!$A:$N,8,FALSE)</f>
        <v>#N/A</v>
      </c>
      <c r="I283" s="65" t="e">
        <f>VLOOKUP(A283,'Billing Dimensions'!$A:$N,9,FALSE)-VLOOKUP(A283,'Audit Dimensions'!$A:$N,9,FALSE)</f>
        <v>#N/A</v>
      </c>
      <c r="J283" s="61" t="e">
        <f>VLOOKUP(A283,'Billing Dimensions'!$A:$N,10,FALSE)-VLOOKUP(A283,'Audit Dimensions'!$A:$N,10,FALSE)</f>
        <v>#N/A</v>
      </c>
      <c r="K283" s="63" t="e">
        <f>VLOOKUP(A283,'Billing Dimensions'!$A:$N,11,FALSE)-VLOOKUP(A283,'Audit Dimensions'!$A:$N,11,FALSE)</f>
        <v>#N/A</v>
      </c>
      <c r="L283" s="63" t="e">
        <f>VLOOKUP(A283,'Billing Dimensions'!$A:$N,12,FALSE)-VLOOKUP(A283,'Audit Dimensions'!$A:$N,12,FALSE)</f>
        <v>#N/A</v>
      </c>
      <c r="M283" s="63" t="e">
        <f>VLOOKUP(A283,'Billing Dimensions'!$A:$N,13,FALSE)-VLOOKUP(A283,'Audit Dimensions'!$A:$N,13,FALSE)</f>
        <v>#N/A</v>
      </c>
      <c r="N283" s="140" t="e">
        <f>VLOOKUP(A283,'Billing Dimensions'!$A:$N,14,FALSE)-VLOOKUP(A283,'Audit Dimensions'!$A:$N,14,FALSE)</f>
        <v>#N/A</v>
      </c>
      <c r="O283" s="145" t="e">
        <f>VLOOKUP('Audit VAR'!A283,'Audit Dimensions'!A:P,16,FALSE)</f>
        <v>#N/A</v>
      </c>
      <c r="P283" s="143" t="e">
        <f>VLOOKUP(A283,'Billing Dimensions'!A:Q,17,FALSE)-VLOOKUP('Audit VAR'!A283,'Audit Dimensions'!A:P,16,FALSE)</f>
        <v>#N/A</v>
      </c>
      <c r="Q283" s="148" t="e">
        <f t="shared" si="4"/>
        <v>#N/A</v>
      </c>
    </row>
    <row r="284" spans="1:17">
      <c r="A284" s="58">
        <f>'Audit Dimensions'!A282</f>
        <v>0</v>
      </c>
      <c r="B284" s="3" t="s">
        <v>48</v>
      </c>
      <c r="C284" s="59" t="e">
        <f>VLOOKUP(A284,'Billing Dimensions'!$A:$N,3,FALSE)-VLOOKUP(A284,'Audit Dimensions'!$A:$N,3,FALSE)</f>
        <v>#N/A</v>
      </c>
      <c r="D284" s="59" t="e">
        <f>VLOOKUP(A284,'Billing Dimensions'!$A:$N,4,FALSE)-VLOOKUP(A284,'Audit Dimensions'!$A:$N,4,FALSE)</f>
        <v>#N/A</v>
      </c>
      <c r="E284" s="59" t="e">
        <f>VLOOKUP(A284,'Billing Dimensions'!$A:$N,5,FALSE)-VLOOKUP(A284,'Audit Dimensions'!$A:$N,5,FALSE)</f>
        <v>#N/A</v>
      </c>
      <c r="F284" s="137" t="e">
        <f>VLOOKUP(A284,'Billing Dimensions'!$A:$N,6,FALSE)-VLOOKUP(A284,'Audit Dimensions'!$A:$N,6,FALSE)</f>
        <v>#N/A</v>
      </c>
      <c r="G284" s="65" t="e">
        <f>VLOOKUP(A284,'Billing Dimensions'!$A:$N,7,FALSE)-VLOOKUP(A284,'Audit Dimensions'!$A:$N,7,FALSE)</f>
        <v>#N/A</v>
      </c>
      <c r="H284" s="65" t="e">
        <f>VLOOKUP(A284,'Billing Dimensions'!$A:$N,8,FALSE)-VLOOKUP(A284,'Audit Dimensions'!$A:$N,8,FALSE)</f>
        <v>#N/A</v>
      </c>
      <c r="I284" s="65" t="e">
        <f>VLOOKUP(A284,'Billing Dimensions'!$A:$N,9,FALSE)-VLOOKUP(A284,'Audit Dimensions'!$A:$N,9,FALSE)</f>
        <v>#N/A</v>
      </c>
      <c r="J284" s="61" t="e">
        <f>VLOOKUP(A284,'Billing Dimensions'!$A:$N,10,FALSE)-VLOOKUP(A284,'Audit Dimensions'!$A:$N,10,FALSE)</f>
        <v>#N/A</v>
      </c>
      <c r="K284" s="63" t="e">
        <f>VLOOKUP(A284,'Billing Dimensions'!$A:$N,11,FALSE)-VLOOKUP(A284,'Audit Dimensions'!$A:$N,11,FALSE)</f>
        <v>#N/A</v>
      </c>
      <c r="L284" s="63" t="e">
        <f>VLOOKUP(A284,'Billing Dimensions'!$A:$N,12,FALSE)-VLOOKUP(A284,'Audit Dimensions'!$A:$N,12,FALSE)</f>
        <v>#N/A</v>
      </c>
      <c r="M284" s="63" t="e">
        <f>VLOOKUP(A284,'Billing Dimensions'!$A:$N,13,FALSE)-VLOOKUP(A284,'Audit Dimensions'!$A:$N,13,FALSE)</f>
        <v>#N/A</v>
      </c>
      <c r="N284" s="140" t="e">
        <f>VLOOKUP(A284,'Billing Dimensions'!$A:$N,14,FALSE)-VLOOKUP(A284,'Audit Dimensions'!$A:$N,14,FALSE)</f>
        <v>#N/A</v>
      </c>
      <c r="O284" s="145" t="e">
        <f>VLOOKUP('Audit VAR'!A284,'Audit Dimensions'!A:P,16,FALSE)</f>
        <v>#N/A</v>
      </c>
      <c r="P284" s="143" t="e">
        <f>VLOOKUP(A284,'Billing Dimensions'!A:Q,17,FALSE)-VLOOKUP('Audit VAR'!A284,'Audit Dimensions'!A:P,16,FALSE)</f>
        <v>#N/A</v>
      </c>
      <c r="Q284" s="148" t="e">
        <f t="shared" si="4"/>
        <v>#N/A</v>
      </c>
    </row>
    <row r="285" spans="1:17">
      <c r="A285" s="58">
        <f>'Audit Dimensions'!A283</f>
        <v>0</v>
      </c>
      <c r="B285" s="3" t="s">
        <v>48</v>
      </c>
      <c r="C285" s="59" t="e">
        <f>VLOOKUP(A285,'Billing Dimensions'!$A:$N,3,FALSE)-VLOOKUP(A285,'Audit Dimensions'!$A:$N,3,FALSE)</f>
        <v>#N/A</v>
      </c>
      <c r="D285" s="59" t="e">
        <f>VLOOKUP(A285,'Billing Dimensions'!$A:$N,4,FALSE)-VLOOKUP(A285,'Audit Dimensions'!$A:$N,4,FALSE)</f>
        <v>#N/A</v>
      </c>
      <c r="E285" s="59" t="e">
        <f>VLOOKUP(A285,'Billing Dimensions'!$A:$N,5,FALSE)-VLOOKUP(A285,'Audit Dimensions'!$A:$N,5,FALSE)</f>
        <v>#N/A</v>
      </c>
      <c r="F285" s="137" t="e">
        <f>VLOOKUP(A285,'Billing Dimensions'!$A:$N,6,FALSE)-VLOOKUP(A285,'Audit Dimensions'!$A:$N,6,FALSE)</f>
        <v>#N/A</v>
      </c>
      <c r="G285" s="65" t="e">
        <f>VLOOKUP(A285,'Billing Dimensions'!$A:$N,7,FALSE)-VLOOKUP(A285,'Audit Dimensions'!$A:$N,7,FALSE)</f>
        <v>#N/A</v>
      </c>
      <c r="H285" s="65" t="e">
        <f>VLOOKUP(A285,'Billing Dimensions'!$A:$N,8,FALSE)-VLOOKUP(A285,'Audit Dimensions'!$A:$N,8,FALSE)</f>
        <v>#N/A</v>
      </c>
      <c r="I285" s="65" t="e">
        <f>VLOOKUP(A285,'Billing Dimensions'!$A:$N,9,FALSE)-VLOOKUP(A285,'Audit Dimensions'!$A:$N,9,FALSE)</f>
        <v>#N/A</v>
      </c>
      <c r="J285" s="61" t="e">
        <f>VLOOKUP(A285,'Billing Dimensions'!$A:$N,10,FALSE)-VLOOKUP(A285,'Audit Dimensions'!$A:$N,10,FALSE)</f>
        <v>#N/A</v>
      </c>
      <c r="K285" s="63" t="e">
        <f>VLOOKUP(A285,'Billing Dimensions'!$A:$N,11,FALSE)-VLOOKUP(A285,'Audit Dimensions'!$A:$N,11,FALSE)</f>
        <v>#N/A</v>
      </c>
      <c r="L285" s="63" t="e">
        <f>VLOOKUP(A285,'Billing Dimensions'!$A:$N,12,FALSE)-VLOOKUP(A285,'Audit Dimensions'!$A:$N,12,FALSE)</f>
        <v>#N/A</v>
      </c>
      <c r="M285" s="63" t="e">
        <f>VLOOKUP(A285,'Billing Dimensions'!$A:$N,13,FALSE)-VLOOKUP(A285,'Audit Dimensions'!$A:$N,13,FALSE)</f>
        <v>#N/A</v>
      </c>
      <c r="N285" s="140" t="e">
        <f>VLOOKUP(A285,'Billing Dimensions'!$A:$N,14,FALSE)-VLOOKUP(A285,'Audit Dimensions'!$A:$N,14,FALSE)</f>
        <v>#N/A</v>
      </c>
      <c r="O285" s="145" t="e">
        <f>VLOOKUP('Audit VAR'!A285,'Audit Dimensions'!A:P,16,FALSE)</f>
        <v>#N/A</v>
      </c>
      <c r="P285" s="143" t="e">
        <f>VLOOKUP(A285,'Billing Dimensions'!A:Q,17,FALSE)-VLOOKUP('Audit VAR'!A285,'Audit Dimensions'!A:P,16,FALSE)</f>
        <v>#N/A</v>
      </c>
      <c r="Q285" s="148" t="e">
        <f t="shared" si="4"/>
        <v>#N/A</v>
      </c>
    </row>
    <row r="286" spans="1:17">
      <c r="A286" s="58">
        <f>'Audit Dimensions'!A284</f>
        <v>0</v>
      </c>
      <c r="B286" s="3" t="s">
        <v>48</v>
      </c>
      <c r="C286" s="59" t="e">
        <f>VLOOKUP(A286,'Billing Dimensions'!$A:$N,3,FALSE)-VLOOKUP(A286,'Audit Dimensions'!$A:$N,3,FALSE)</f>
        <v>#N/A</v>
      </c>
      <c r="D286" s="59" t="e">
        <f>VLOOKUP(A286,'Billing Dimensions'!$A:$N,4,FALSE)-VLOOKUP(A286,'Audit Dimensions'!$A:$N,4,FALSE)</f>
        <v>#N/A</v>
      </c>
      <c r="E286" s="59" t="e">
        <f>VLOOKUP(A286,'Billing Dimensions'!$A:$N,5,FALSE)-VLOOKUP(A286,'Audit Dimensions'!$A:$N,5,FALSE)</f>
        <v>#N/A</v>
      </c>
      <c r="F286" s="137" t="e">
        <f>VLOOKUP(A286,'Billing Dimensions'!$A:$N,6,FALSE)-VLOOKUP(A286,'Audit Dimensions'!$A:$N,6,FALSE)</f>
        <v>#N/A</v>
      </c>
      <c r="G286" s="65" t="e">
        <f>VLOOKUP(A286,'Billing Dimensions'!$A:$N,7,FALSE)-VLOOKUP(A286,'Audit Dimensions'!$A:$N,7,FALSE)</f>
        <v>#N/A</v>
      </c>
      <c r="H286" s="65" t="e">
        <f>VLOOKUP(A286,'Billing Dimensions'!$A:$N,8,FALSE)-VLOOKUP(A286,'Audit Dimensions'!$A:$N,8,FALSE)</f>
        <v>#N/A</v>
      </c>
      <c r="I286" s="65" t="e">
        <f>VLOOKUP(A286,'Billing Dimensions'!$A:$N,9,FALSE)-VLOOKUP(A286,'Audit Dimensions'!$A:$N,9,FALSE)</f>
        <v>#N/A</v>
      </c>
      <c r="J286" s="61" t="e">
        <f>VLOOKUP(A286,'Billing Dimensions'!$A:$N,10,FALSE)-VLOOKUP(A286,'Audit Dimensions'!$A:$N,10,FALSE)</f>
        <v>#N/A</v>
      </c>
      <c r="K286" s="63" t="e">
        <f>VLOOKUP(A286,'Billing Dimensions'!$A:$N,11,FALSE)-VLOOKUP(A286,'Audit Dimensions'!$A:$N,11,FALSE)</f>
        <v>#N/A</v>
      </c>
      <c r="L286" s="63" t="e">
        <f>VLOOKUP(A286,'Billing Dimensions'!$A:$N,12,FALSE)-VLOOKUP(A286,'Audit Dimensions'!$A:$N,12,FALSE)</f>
        <v>#N/A</v>
      </c>
      <c r="M286" s="63" t="e">
        <f>VLOOKUP(A286,'Billing Dimensions'!$A:$N,13,FALSE)-VLOOKUP(A286,'Audit Dimensions'!$A:$N,13,FALSE)</f>
        <v>#N/A</v>
      </c>
      <c r="N286" s="140" t="e">
        <f>VLOOKUP(A286,'Billing Dimensions'!$A:$N,14,FALSE)-VLOOKUP(A286,'Audit Dimensions'!$A:$N,14,FALSE)</f>
        <v>#N/A</v>
      </c>
      <c r="O286" s="145" t="e">
        <f>VLOOKUP('Audit VAR'!A286,'Audit Dimensions'!A:P,16,FALSE)</f>
        <v>#N/A</v>
      </c>
      <c r="P286" s="143" t="e">
        <f>VLOOKUP(A286,'Billing Dimensions'!A:Q,17,FALSE)-VLOOKUP('Audit VAR'!A286,'Audit Dimensions'!A:P,16,FALSE)</f>
        <v>#N/A</v>
      </c>
      <c r="Q286" s="148" t="e">
        <f t="shared" si="4"/>
        <v>#N/A</v>
      </c>
    </row>
    <row r="287" spans="1:17">
      <c r="A287" s="58">
        <f>'Audit Dimensions'!A285</f>
        <v>0</v>
      </c>
      <c r="B287" s="3" t="s">
        <v>48</v>
      </c>
      <c r="C287" s="59" t="e">
        <f>VLOOKUP(A287,'Billing Dimensions'!$A:$N,3,FALSE)-VLOOKUP(A287,'Audit Dimensions'!$A:$N,3,FALSE)</f>
        <v>#N/A</v>
      </c>
      <c r="D287" s="59" t="e">
        <f>VLOOKUP(A287,'Billing Dimensions'!$A:$N,4,FALSE)-VLOOKUP(A287,'Audit Dimensions'!$A:$N,4,FALSE)</f>
        <v>#N/A</v>
      </c>
      <c r="E287" s="59" t="e">
        <f>VLOOKUP(A287,'Billing Dimensions'!$A:$N,5,FALSE)-VLOOKUP(A287,'Audit Dimensions'!$A:$N,5,FALSE)</f>
        <v>#N/A</v>
      </c>
      <c r="F287" s="137" t="e">
        <f>VLOOKUP(A287,'Billing Dimensions'!$A:$N,6,FALSE)-VLOOKUP(A287,'Audit Dimensions'!$A:$N,6,FALSE)</f>
        <v>#N/A</v>
      </c>
      <c r="G287" s="65" t="e">
        <f>VLOOKUP(A287,'Billing Dimensions'!$A:$N,7,FALSE)-VLOOKUP(A287,'Audit Dimensions'!$A:$N,7,FALSE)</f>
        <v>#N/A</v>
      </c>
      <c r="H287" s="65" t="e">
        <f>VLOOKUP(A287,'Billing Dimensions'!$A:$N,8,FALSE)-VLOOKUP(A287,'Audit Dimensions'!$A:$N,8,FALSE)</f>
        <v>#N/A</v>
      </c>
      <c r="I287" s="65" t="e">
        <f>VLOOKUP(A287,'Billing Dimensions'!$A:$N,9,FALSE)-VLOOKUP(A287,'Audit Dimensions'!$A:$N,9,FALSE)</f>
        <v>#N/A</v>
      </c>
      <c r="J287" s="61" t="e">
        <f>VLOOKUP(A287,'Billing Dimensions'!$A:$N,10,FALSE)-VLOOKUP(A287,'Audit Dimensions'!$A:$N,10,FALSE)</f>
        <v>#N/A</v>
      </c>
      <c r="K287" s="63" t="e">
        <f>VLOOKUP(A287,'Billing Dimensions'!$A:$N,11,FALSE)-VLOOKUP(A287,'Audit Dimensions'!$A:$N,11,FALSE)</f>
        <v>#N/A</v>
      </c>
      <c r="L287" s="63" t="e">
        <f>VLOOKUP(A287,'Billing Dimensions'!$A:$N,12,FALSE)-VLOOKUP(A287,'Audit Dimensions'!$A:$N,12,FALSE)</f>
        <v>#N/A</v>
      </c>
      <c r="M287" s="63" t="e">
        <f>VLOOKUP(A287,'Billing Dimensions'!$A:$N,13,FALSE)-VLOOKUP(A287,'Audit Dimensions'!$A:$N,13,FALSE)</f>
        <v>#N/A</v>
      </c>
      <c r="N287" s="140" t="e">
        <f>VLOOKUP(A287,'Billing Dimensions'!$A:$N,14,FALSE)-VLOOKUP(A287,'Audit Dimensions'!$A:$N,14,FALSE)</f>
        <v>#N/A</v>
      </c>
      <c r="O287" s="145" t="e">
        <f>VLOOKUP('Audit VAR'!A287,'Audit Dimensions'!A:P,16,FALSE)</f>
        <v>#N/A</v>
      </c>
      <c r="P287" s="143" t="e">
        <f>VLOOKUP(A287,'Billing Dimensions'!A:Q,17,FALSE)-VLOOKUP('Audit VAR'!A287,'Audit Dimensions'!A:P,16,FALSE)</f>
        <v>#N/A</v>
      </c>
      <c r="Q287" s="148" t="e">
        <f t="shared" si="4"/>
        <v>#N/A</v>
      </c>
    </row>
    <row r="288" spans="1:17">
      <c r="A288" s="58">
        <f>'Audit Dimensions'!A286</f>
        <v>0</v>
      </c>
      <c r="B288" s="3" t="s">
        <v>48</v>
      </c>
      <c r="C288" s="59" t="e">
        <f>VLOOKUP(A288,'Billing Dimensions'!$A:$N,3,FALSE)-VLOOKUP(A288,'Audit Dimensions'!$A:$N,3,FALSE)</f>
        <v>#N/A</v>
      </c>
      <c r="D288" s="59" t="e">
        <f>VLOOKUP(A288,'Billing Dimensions'!$A:$N,4,FALSE)-VLOOKUP(A288,'Audit Dimensions'!$A:$N,4,FALSE)</f>
        <v>#N/A</v>
      </c>
      <c r="E288" s="59" t="e">
        <f>VLOOKUP(A288,'Billing Dimensions'!$A:$N,5,FALSE)-VLOOKUP(A288,'Audit Dimensions'!$A:$N,5,FALSE)</f>
        <v>#N/A</v>
      </c>
      <c r="F288" s="137" t="e">
        <f>VLOOKUP(A288,'Billing Dimensions'!$A:$N,6,FALSE)-VLOOKUP(A288,'Audit Dimensions'!$A:$N,6,FALSE)</f>
        <v>#N/A</v>
      </c>
      <c r="G288" s="65" t="e">
        <f>VLOOKUP(A288,'Billing Dimensions'!$A:$N,7,FALSE)-VLOOKUP(A288,'Audit Dimensions'!$A:$N,7,FALSE)</f>
        <v>#N/A</v>
      </c>
      <c r="H288" s="65" t="e">
        <f>VLOOKUP(A288,'Billing Dimensions'!$A:$N,8,FALSE)-VLOOKUP(A288,'Audit Dimensions'!$A:$N,8,FALSE)</f>
        <v>#N/A</v>
      </c>
      <c r="I288" s="65" t="e">
        <f>VLOOKUP(A288,'Billing Dimensions'!$A:$N,9,FALSE)-VLOOKUP(A288,'Audit Dimensions'!$A:$N,9,FALSE)</f>
        <v>#N/A</v>
      </c>
      <c r="J288" s="61" t="e">
        <f>VLOOKUP(A288,'Billing Dimensions'!$A:$N,10,FALSE)-VLOOKUP(A288,'Audit Dimensions'!$A:$N,10,FALSE)</f>
        <v>#N/A</v>
      </c>
      <c r="K288" s="63" t="e">
        <f>VLOOKUP(A288,'Billing Dimensions'!$A:$N,11,FALSE)-VLOOKUP(A288,'Audit Dimensions'!$A:$N,11,FALSE)</f>
        <v>#N/A</v>
      </c>
      <c r="L288" s="63" t="e">
        <f>VLOOKUP(A288,'Billing Dimensions'!$A:$N,12,FALSE)-VLOOKUP(A288,'Audit Dimensions'!$A:$N,12,FALSE)</f>
        <v>#N/A</v>
      </c>
      <c r="M288" s="63" t="e">
        <f>VLOOKUP(A288,'Billing Dimensions'!$A:$N,13,FALSE)-VLOOKUP(A288,'Audit Dimensions'!$A:$N,13,FALSE)</f>
        <v>#N/A</v>
      </c>
      <c r="N288" s="140" t="e">
        <f>VLOOKUP(A288,'Billing Dimensions'!$A:$N,14,FALSE)-VLOOKUP(A288,'Audit Dimensions'!$A:$N,14,FALSE)</f>
        <v>#N/A</v>
      </c>
      <c r="O288" s="145" t="e">
        <f>VLOOKUP('Audit VAR'!A288,'Audit Dimensions'!A:P,16,FALSE)</f>
        <v>#N/A</v>
      </c>
      <c r="P288" s="143" t="e">
        <f>VLOOKUP(A288,'Billing Dimensions'!A:Q,17,FALSE)-VLOOKUP('Audit VAR'!A288,'Audit Dimensions'!A:P,16,FALSE)</f>
        <v>#N/A</v>
      </c>
      <c r="Q288" s="148" t="e">
        <f t="shared" si="4"/>
        <v>#N/A</v>
      </c>
    </row>
    <row r="289" spans="1:17">
      <c r="A289" s="58">
        <f>'Audit Dimensions'!A287</f>
        <v>0</v>
      </c>
      <c r="B289" s="3" t="s">
        <v>48</v>
      </c>
      <c r="C289" s="59" t="e">
        <f>VLOOKUP(A289,'Billing Dimensions'!$A:$N,3,FALSE)-VLOOKUP(A289,'Audit Dimensions'!$A:$N,3,FALSE)</f>
        <v>#N/A</v>
      </c>
      <c r="D289" s="59" t="e">
        <f>VLOOKUP(A289,'Billing Dimensions'!$A:$N,4,FALSE)-VLOOKUP(A289,'Audit Dimensions'!$A:$N,4,FALSE)</f>
        <v>#N/A</v>
      </c>
      <c r="E289" s="59" t="e">
        <f>VLOOKUP(A289,'Billing Dimensions'!$A:$N,5,FALSE)-VLOOKUP(A289,'Audit Dimensions'!$A:$N,5,FALSE)</f>
        <v>#N/A</v>
      </c>
      <c r="F289" s="137" t="e">
        <f>VLOOKUP(A289,'Billing Dimensions'!$A:$N,6,FALSE)-VLOOKUP(A289,'Audit Dimensions'!$A:$N,6,FALSE)</f>
        <v>#N/A</v>
      </c>
      <c r="G289" s="65" t="e">
        <f>VLOOKUP(A289,'Billing Dimensions'!$A:$N,7,FALSE)-VLOOKUP(A289,'Audit Dimensions'!$A:$N,7,FALSE)</f>
        <v>#N/A</v>
      </c>
      <c r="H289" s="65" t="e">
        <f>VLOOKUP(A289,'Billing Dimensions'!$A:$N,8,FALSE)-VLOOKUP(A289,'Audit Dimensions'!$A:$N,8,FALSE)</f>
        <v>#N/A</v>
      </c>
      <c r="I289" s="65" t="e">
        <f>VLOOKUP(A289,'Billing Dimensions'!$A:$N,9,FALSE)-VLOOKUP(A289,'Audit Dimensions'!$A:$N,9,FALSE)</f>
        <v>#N/A</v>
      </c>
      <c r="J289" s="61" t="e">
        <f>VLOOKUP(A289,'Billing Dimensions'!$A:$N,10,FALSE)-VLOOKUP(A289,'Audit Dimensions'!$A:$N,10,FALSE)</f>
        <v>#N/A</v>
      </c>
      <c r="K289" s="63" t="e">
        <f>VLOOKUP(A289,'Billing Dimensions'!$A:$N,11,FALSE)-VLOOKUP(A289,'Audit Dimensions'!$A:$N,11,FALSE)</f>
        <v>#N/A</v>
      </c>
      <c r="L289" s="63" t="e">
        <f>VLOOKUP(A289,'Billing Dimensions'!$A:$N,12,FALSE)-VLOOKUP(A289,'Audit Dimensions'!$A:$N,12,FALSE)</f>
        <v>#N/A</v>
      </c>
      <c r="M289" s="63" t="e">
        <f>VLOOKUP(A289,'Billing Dimensions'!$A:$N,13,FALSE)-VLOOKUP(A289,'Audit Dimensions'!$A:$N,13,FALSE)</f>
        <v>#N/A</v>
      </c>
      <c r="N289" s="140" t="e">
        <f>VLOOKUP(A289,'Billing Dimensions'!$A:$N,14,FALSE)-VLOOKUP(A289,'Audit Dimensions'!$A:$N,14,FALSE)</f>
        <v>#N/A</v>
      </c>
      <c r="O289" s="145" t="e">
        <f>VLOOKUP('Audit VAR'!A289,'Audit Dimensions'!A:P,16,FALSE)</f>
        <v>#N/A</v>
      </c>
      <c r="P289" s="143" t="e">
        <f>VLOOKUP(A289,'Billing Dimensions'!A:Q,17,FALSE)-VLOOKUP('Audit VAR'!A289,'Audit Dimensions'!A:P,16,FALSE)</f>
        <v>#N/A</v>
      </c>
      <c r="Q289" s="148" t="e">
        <f t="shared" si="4"/>
        <v>#N/A</v>
      </c>
    </row>
    <row r="290" spans="1:17">
      <c r="A290" s="58">
        <f>'Audit Dimensions'!A288</f>
        <v>0</v>
      </c>
      <c r="B290" s="3" t="s">
        <v>48</v>
      </c>
      <c r="C290" s="59" t="e">
        <f>VLOOKUP(A290,'Billing Dimensions'!$A:$N,3,FALSE)-VLOOKUP(A290,'Audit Dimensions'!$A:$N,3,FALSE)</f>
        <v>#N/A</v>
      </c>
      <c r="D290" s="59" t="e">
        <f>VLOOKUP(A290,'Billing Dimensions'!$A:$N,4,FALSE)-VLOOKUP(A290,'Audit Dimensions'!$A:$N,4,FALSE)</f>
        <v>#N/A</v>
      </c>
      <c r="E290" s="59" t="e">
        <f>VLOOKUP(A290,'Billing Dimensions'!$A:$N,5,FALSE)-VLOOKUP(A290,'Audit Dimensions'!$A:$N,5,FALSE)</f>
        <v>#N/A</v>
      </c>
      <c r="F290" s="137" t="e">
        <f>VLOOKUP(A290,'Billing Dimensions'!$A:$N,6,FALSE)-VLOOKUP(A290,'Audit Dimensions'!$A:$N,6,FALSE)</f>
        <v>#N/A</v>
      </c>
      <c r="G290" s="65" t="e">
        <f>VLOOKUP(A290,'Billing Dimensions'!$A:$N,7,FALSE)-VLOOKUP(A290,'Audit Dimensions'!$A:$N,7,FALSE)</f>
        <v>#N/A</v>
      </c>
      <c r="H290" s="65" t="e">
        <f>VLOOKUP(A290,'Billing Dimensions'!$A:$N,8,FALSE)-VLOOKUP(A290,'Audit Dimensions'!$A:$N,8,FALSE)</f>
        <v>#N/A</v>
      </c>
      <c r="I290" s="65" t="e">
        <f>VLOOKUP(A290,'Billing Dimensions'!$A:$N,9,FALSE)-VLOOKUP(A290,'Audit Dimensions'!$A:$N,9,FALSE)</f>
        <v>#N/A</v>
      </c>
      <c r="J290" s="61" t="e">
        <f>VLOOKUP(A290,'Billing Dimensions'!$A:$N,10,FALSE)-VLOOKUP(A290,'Audit Dimensions'!$A:$N,10,FALSE)</f>
        <v>#N/A</v>
      </c>
      <c r="K290" s="63" t="e">
        <f>VLOOKUP(A290,'Billing Dimensions'!$A:$N,11,FALSE)-VLOOKUP(A290,'Audit Dimensions'!$A:$N,11,FALSE)</f>
        <v>#N/A</v>
      </c>
      <c r="L290" s="63" t="e">
        <f>VLOOKUP(A290,'Billing Dimensions'!$A:$N,12,FALSE)-VLOOKUP(A290,'Audit Dimensions'!$A:$N,12,FALSE)</f>
        <v>#N/A</v>
      </c>
      <c r="M290" s="63" t="e">
        <f>VLOOKUP(A290,'Billing Dimensions'!$A:$N,13,FALSE)-VLOOKUP(A290,'Audit Dimensions'!$A:$N,13,FALSE)</f>
        <v>#N/A</v>
      </c>
      <c r="N290" s="140" t="e">
        <f>VLOOKUP(A290,'Billing Dimensions'!$A:$N,14,FALSE)-VLOOKUP(A290,'Audit Dimensions'!$A:$N,14,FALSE)</f>
        <v>#N/A</v>
      </c>
      <c r="O290" s="145" t="e">
        <f>VLOOKUP('Audit VAR'!A290,'Audit Dimensions'!A:P,16,FALSE)</f>
        <v>#N/A</v>
      </c>
      <c r="P290" s="143" t="e">
        <f>VLOOKUP(A290,'Billing Dimensions'!A:Q,17,FALSE)-VLOOKUP('Audit VAR'!A290,'Audit Dimensions'!A:P,16,FALSE)</f>
        <v>#N/A</v>
      </c>
      <c r="Q290" s="148" t="e">
        <f t="shared" si="4"/>
        <v>#N/A</v>
      </c>
    </row>
    <row r="291" spans="1:17">
      <c r="A291" s="58">
        <f>'Audit Dimensions'!A289</f>
        <v>0</v>
      </c>
      <c r="B291" s="3" t="s">
        <v>48</v>
      </c>
      <c r="C291" s="59" t="e">
        <f>VLOOKUP(A291,'Billing Dimensions'!$A:$N,3,FALSE)-VLOOKUP(A291,'Audit Dimensions'!$A:$N,3,FALSE)</f>
        <v>#N/A</v>
      </c>
      <c r="D291" s="59" t="e">
        <f>VLOOKUP(A291,'Billing Dimensions'!$A:$N,4,FALSE)-VLOOKUP(A291,'Audit Dimensions'!$A:$N,4,FALSE)</f>
        <v>#N/A</v>
      </c>
      <c r="E291" s="59" t="e">
        <f>VLOOKUP(A291,'Billing Dimensions'!$A:$N,5,FALSE)-VLOOKUP(A291,'Audit Dimensions'!$A:$N,5,FALSE)</f>
        <v>#N/A</v>
      </c>
      <c r="F291" s="137" t="e">
        <f>VLOOKUP(A291,'Billing Dimensions'!$A:$N,6,FALSE)-VLOOKUP(A291,'Audit Dimensions'!$A:$N,6,FALSE)</f>
        <v>#N/A</v>
      </c>
      <c r="G291" s="65" t="e">
        <f>VLOOKUP(A291,'Billing Dimensions'!$A:$N,7,FALSE)-VLOOKUP(A291,'Audit Dimensions'!$A:$N,7,FALSE)</f>
        <v>#N/A</v>
      </c>
      <c r="H291" s="65" t="e">
        <f>VLOOKUP(A291,'Billing Dimensions'!$A:$N,8,FALSE)-VLOOKUP(A291,'Audit Dimensions'!$A:$N,8,FALSE)</f>
        <v>#N/A</v>
      </c>
      <c r="I291" s="65" t="e">
        <f>VLOOKUP(A291,'Billing Dimensions'!$A:$N,9,FALSE)-VLOOKUP(A291,'Audit Dimensions'!$A:$N,9,FALSE)</f>
        <v>#N/A</v>
      </c>
      <c r="J291" s="61" t="e">
        <f>VLOOKUP(A291,'Billing Dimensions'!$A:$N,10,FALSE)-VLOOKUP(A291,'Audit Dimensions'!$A:$N,10,FALSE)</f>
        <v>#N/A</v>
      </c>
      <c r="K291" s="63" t="e">
        <f>VLOOKUP(A291,'Billing Dimensions'!$A:$N,11,FALSE)-VLOOKUP(A291,'Audit Dimensions'!$A:$N,11,FALSE)</f>
        <v>#N/A</v>
      </c>
      <c r="L291" s="63" t="e">
        <f>VLOOKUP(A291,'Billing Dimensions'!$A:$N,12,FALSE)-VLOOKUP(A291,'Audit Dimensions'!$A:$N,12,FALSE)</f>
        <v>#N/A</v>
      </c>
      <c r="M291" s="63" t="e">
        <f>VLOOKUP(A291,'Billing Dimensions'!$A:$N,13,FALSE)-VLOOKUP(A291,'Audit Dimensions'!$A:$N,13,FALSE)</f>
        <v>#N/A</v>
      </c>
      <c r="N291" s="140" t="e">
        <f>VLOOKUP(A291,'Billing Dimensions'!$A:$N,14,FALSE)-VLOOKUP(A291,'Audit Dimensions'!$A:$N,14,FALSE)</f>
        <v>#N/A</v>
      </c>
      <c r="O291" s="145" t="e">
        <f>VLOOKUP('Audit VAR'!A291,'Audit Dimensions'!A:P,16,FALSE)</f>
        <v>#N/A</v>
      </c>
      <c r="P291" s="143" t="e">
        <f>VLOOKUP(A291,'Billing Dimensions'!A:Q,17,FALSE)-VLOOKUP('Audit VAR'!A291,'Audit Dimensions'!A:P,16,FALSE)</f>
        <v>#N/A</v>
      </c>
      <c r="Q291" s="148" t="e">
        <f t="shared" si="4"/>
        <v>#N/A</v>
      </c>
    </row>
    <row r="292" spans="1:17">
      <c r="A292" s="58">
        <f>'Audit Dimensions'!A290</f>
        <v>0</v>
      </c>
      <c r="B292" s="3" t="s">
        <v>48</v>
      </c>
      <c r="C292" s="59" t="e">
        <f>VLOOKUP(A292,'Billing Dimensions'!$A:$N,3,FALSE)-VLOOKUP(A292,'Audit Dimensions'!$A:$N,3,FALSE)</f>
        <v>#N/A</v>
      </c>
      <c r="D292" s="59" t="e">
        <f>VLOOKUP(A292,'Billing Dimensions'!$A:$N,4,FALSE)-VLOOKUP(A292,'Audit Dimensions'!$A:$N,4,FALSE)</f>
        <v>#N/A</v>
      </c>
      <c r="E292" s="59" t="e">
        <f>VLOOKUP(A292,'Billing Dimensions'!$A:$N,5,FALSE)-VLOOKUP(A292,'Audit Dimensions'!$A:$N,5,FALSE)</f>
        <v>#N/A</v>
      </c>
      <c r="F292" s="137" t="e">
        <f>VLOOKUP(A292,'Billing Dimensions'!$A:$N,6,FALSE)-VLOOKUP(A292,'Audit Dimensions'!$A:$N,6,FALSE)</f>
        <v>#N/A</v>
      </c>
      <c r="G292" s="65" t="e">
        <f>VLOOKUP(A292,'Billing Dimensions'!$A:$N,7,FALSE)-VLOOKUP(A292,'Audit Dimensions'!$A:$N,7,FALSE)</f>
        <v>#N/A</v>
      </c>
      <c r="H292" s="65" t="e">
        <f>VLOOKUP(A292,'Billing Dimensions'!$A:$N,8,FALSE)-VLOOKUP(A292,'Audit Dimensions'!$A:$N,8,FALSE)</f>
        <v>#N/A</v>
      </c>
      <c r="I292" s="65" t="e">
        <f>VLOOKUP(A292,'Billing Dimensions'!$A:$N,9,FALSE)-VLOOKUP(A292,'Audit Dimensions'!$A:$N,9,FALSE)</f>
        <v>#N/A</v>
      </c>
      <c r="J292" s="61" t="e">
        <f>VLOOKUP(A292,'Billing Dimensions'!$A:$N,10,FALSE)-VLOOKUP(A292,'Audit Dimensions'!$A:$N,10,FALSE)</f>
        <v>#N/A</v>
      </c>
      <c r="K292" s="63" t="e">
        <f>VLOOKUP(A292,'Billing Dimensions'!$A:$N,11,FALSE)-VLOOKUP(A292,'Audit Dimensions'!$A:$N,11,FALSE)</f>
        <v>#N/A</v>
      </c>
      <c r="L292" s="63" t="e">
        <f>VLOOKUP(A292,'Billing Dimensions'!$A:$N,12,FALSE)-VLOOKUP(A292,'Audit Dimensions'!$A:$N,12,FALSE)</f>
        <v>#N/A</v>
      </c>
      <c r="M292" s="63" t="e">
        <f>VLOOKUP(A292,'Billing Dimensions'!$A:$N,13,FALSE)-VLOOKUP(A292,'Audit Dimensions'!$A:$N,13,FALSE)</f>
        <v>#N/A</v>
      </c>
      <c r="N292" s="140" t="e">
        <f>VLOOKUP(A292,'Billing Dimensions'!$A:$N,14,FALSE)-VLOOKUP(A292,'Audit Dimensions'!$A:$N,14,FALSE)</f>
        <v>#N/A</v>
      </c>
      <c r="O292" s="145" t="e">
        <f>VLOOKUP('Audit VAR'!A292,'Audit Dimensions'!A:P,16,FALSE)</f>
        <v>#N/A</v>
      </c>
      <c r="P292" s="143" t="e">
        <f>VLOOKUP(A292,'Billing Dimensions'!A:Q,17,FALSE)-VLOOKUP('Audit VAR'!A292,'Audit Dimensions'!A:P,16,FALSE)</f>
        <v>#N/A</v>
      </c>
      <c r="Q292" s="148" t="e">
        <f t="shared" si="4"/>
        <v>#N/A</v>
      </c>
    </row>
    <row r="293" spans="1:17">
      <c r="A293" s="58">
        <f>'Audit Dimensions'!A291</f>
        <v>0</v>
      </c>
      <c r="B293" s="3" t="s">
        <v>48</v>
      </c>
      <c r="C293" s="59" t="e">
        <f>VLOOKUP(A293,'Billing Dimensions'!$A:$N,3,FALSE)-VLOOKUP(A293,'Audit Dimensions'!$A:$N,3,FALSE)</f>
        <v>#N/A</v>
      </c>
      <c r="D293" s="59" t="e">
        <f>VLOOKUP(A293,'Billing Dimensions'!$A:$N,4,FALSE)-VLOOKUP(A293,'Audit Dimensions'!$A:$N,4,FALSE)</f>
        <v>#N/A</v>
      </c>
      <c r="E293" s="59" t="e">
        <f>VLOOKUP(A293,'Billing Dimensions'!$A:$N,5,FALSE)-VLOOKUP(A293,'Audit Dimensions'!$A:$N,5,FALSE)</f>
        <v>#N/A</v>
      </c>
      <c r="F293" s="137" t="e">
        <f>VLOOKUP(A293,'Billing Dimensions'!$A:$N,6,FALSE)-VLOOKUP(A293,'Audit Dimensions'!$A:$N,6,FALSE)</f>
        <v>#N/A</v>
      </c>
      <c r="G293" s="65" t="e">
        <f>VLOOKUP(A293,'Billing Dimensions'!$A:$N,7,FALSE)-VLOOKUP(A293,'Audit Dimensions'!$A:$N,7,FALSE)</f>
        <v>#N/A</v>
      </c>
      <c r="H293" s="65" t="e">
        <f>VLOOKUP(A293,'Billing Dimensions'!$A:$N,8,FALSE)-VLOOKUP(A293,'Audit Dimensions'!$A:$N,8,FALSE)</f>
        <v>#N/A</v>
      </c>
      <c r="I293" s="65" t="e">
        <f>VLOOKUP(A293,'Billing Dimensions'!$A:$N,9,FALSE)-VLOOKUP(A293,'Audit Dimensions'!$A:$N,9,FALSE)</f>
        <v>#N/A</v>
      </c>
      <c r="J293" s="61" t="e">
        <f>VLOOKUP(A293,'Billing Dimensions'!$A:$N,10,FALSE)-VLOOKUP(A293,'Audit Dimensions'!$A:$N,10,FALSE)</f>
        <v>#N/A</v>
      </c>
      <c r="K293" s="63" t="e">
        <f>VLOOKUP(A293,'Billing Dimensions'!$A:$N,11,FALSE)-VLOOKUP(A293,'Audit Dimensions'!$A:$N,11,FALSE)</f>
        <v>#N/A</v>
      </c>
      <c r="L293" s="63" t="e">
        <f>VLOOKUP(A293,'Billing Dimensions'!$A:$N,12,FALSE)-VLOOKUP(A293,'Audit Dimensions'!$A:$N,12,FALSE)</f>
        <v>#N/A</v>
      </c>
      <c r="M293" s="63" t="e">
        <f>VLOOKUP(A293,'Billing Dimensions'!$A:$N,13,FALSE)-VLOOKUP(A293,'Audit Dimensions'!$A:$N,13,FALSE)</f>
        <v>#N/A</v>
      </c>
      <c r="N293" s="140" t="e">
        <f>VLOOKUP(A293,'Billing Dimensions'!$A:$N,14,FALSE)-VLOOKUP(A293,'Audit Dimensions'!$A:$N,14,FALSE)</f>
        <v>#N/A</v>
      </c>
      <c r="O293" s="145" t="e">
        <f>VLOOKUP('Audit VAR'!A293,'Audit Dimensions'!A:P,16,FALSE)</f>
        <v>#N/A</v>
      </c>
      <c r="P293" s="143" t="e">
        <f>VLOOKUP(A293,'Billing Dimensions'!A:Q,17,FALSE)-VLOOKUP('Audit VAR'!A293,'Audit Dimensions'!A:P,16,FALSE)</f>
        <v>#N/A</v>
      </c>
      <c r="Q293" s="148" t="e">
        <f t="shared" si="4"/>
        <v>#N/A</v>
      </c>
    </row>
    <row r="294" spans="1:17">
      <c r="A294" s="58">
        <f>'Audit Dimensions'!A292</f>
        <v>0</v>
      </c>
      <c r="B294" s="3" t="s">
        <v>48</v>
      </c>
      <c r="C294" s="59" t="e">
        <f>VLOOKUP(A294,'Billing Dimensions'!$A:$N,3,FALSE)-VLOOKUP(A294,'Audit Dimensions'!$A:$N,3,FALSE)</f>
        <v>#N/A</v>
      </c>
      <c r="D294" s="59" t="e">
        <f>VLOOKUP(A294,'Billing Dimensions'!$A:$N,4,FALSE)-VLOOKUP(A294,'Audit Dimensions'!$A:$N,4,FALSE)</f>
        <v>#N/A</v>
      </c>
      <c r="E294" s="59" t="e">
        <f>VLOOKUP(A294,'Billing Dimensions'!$A:$N,5,FALSE)-VLOOKUP(A294,'Audit Dimensions'!$A:$N,5,FALSE)</f>
        <v>#N/A</v>
      </c>
      <c r="F294" s="137" t="e">
        <f>VLOOKUP(A294,'Billing Dimensions'!$A:$N,6,FALSE)-VLOOKUP(A294,'Audit Dimensions'!$A:$N,6,FALSE)</f>
        <v>#N/A</v>
      </c>
      <c r="G294" s="65" t="e">
        <f>VLOOKUP(A294,'Billing Dimensions'!$A:$N,7,FALSE)-VLOOKUP(A294,'Audit Dimensions'!$A:$N,7,FALSE)</f>
        <v>#N/A</v>
      </c>
      <c r="H294" s="65" t="e">
        <f>VLOOKUP(A294,'Billing Dimensions'!$A:$N,8,FALSE)-VLOOKUP(A294,'Audit Dimensions'!$A:$N,8,FALSE)</f>
        <v>#N/A</v>
      </c>
      <c r="I294" s="65" t="e">
        <f>VLOOKUP(A294,'Billing Dimensions'!$A:$N,9,FALSE)-VLOOKUP(A294,'Audit Dimensions'!$A:$N,9,FALSE)</f>
        <v>#N/A</v>
      </c>
      <c r="J294" s="61" t="e">
        <f>VLOOKUP(A294,'Billing Dimensions'!$A:$N,10,FALSE)-VLOOKUP(A294,'Audit Dimensions'!$A:$N,10,FALSE)</f>
        <v>#N/A</v>
      </c>
      <c r="K294" s="63" t="e">
        <f>VLOOKUP(A294,'Billing Dimensions'!$A:$N,11,FALSE)-VLOOKUP(A294,'Audit Dimensions'!$A:$N,11,FALSE)</f>
        <v>#N/A</v>
      </c>
      <c r="L294" s="63" t="e">
        <f>VLOOKUP(A294,'Billing Dimensions'!$A:$N,12,FALSE)-VLOOKUP(A294,'Audit Dimensions'!$A:$N,12,FALSE)</f>
        <v>#N/A</v>
      </c>
      <c r="M294" s="63" t="e">
        <f>VLOOKUP(A294,'Billing Dimensions'!$A:$N,13,FALSE)-VLOOKUP(A294,'Audit Dimensions'!$A:$N,13,FALSE)</f>
        <v>#N/A</v>
      </c>
      <c r="N294" s="140" t="e">
        <f>VLOOKUP(A294,'Billing Dimensions'!$A:$N,14,FALSE)-VLOOKUP(A294,'Audit Dimensions'!$A:$N,14,FALSE)</f>
        <v>#N/A</v>
      </c>
      <c r="O294" s="145" t="e">
        <f>VLOOKUP('Audit VAR'!A294,'Audit Dimensions'!A:P,16,FALSE)</f>
        <v>#N/A</v>
      </c>
      <c r="P294" s="143" t="e">
        <f>VLOOKUP(A294,'Billing Dimensions'!A:Q,17,FALSE)-VLOOKUP('Audit VAR'!A294,'Audit Dimensions'!A:P,16,FALSE)</f>
        <v>#N/A</v>
      </c>
      <c r="Q294" s="148" t="e">
        <f t="shared" si="4"/>
        <v>#N/A</v>
      </c>
    </row>
    <row r="295" spans="1:17">
      <c r="A295" s="58">
        <f>'Audit Dimensions'!A293</f>
        <v>0</v>
      </c>
      <c r="B295" s="2"/>
      <c r="C295" s="59"/>
      <c r="D295" s="59"/>
      <c r="E295" s="59"/>
      <c r="F295" s="137"/>
      <c r="G295" s="65"/>
      <c r="H295" s="65"/>
      <c r="I295" s="65"/>
      <c r="J295" s="61"/>
      <c r="K295" s="63"/>
      <c r="L295" s="63"/>
      <c r="M295" s="63"/>
      <c r="N295" s="140"/>
      <c r="O295" s="145" t="e">
        <f>VLOOKUP('Audit VAR'!A295,'Audit Dimensions'!A:P,16,FALSE)</f>
        <v>#N/A</v>
      </c>
      <c r="P295" s="143" t="e">
        <f>VLOOKUP(A295,'Billing Dimensions'!A:Q,17,FALSE)-VLOOKUP('Audit VAR'!A295,'Audit Dimensions'!A:P,16,FALSE)</f>
        <v>#N/A</v>
      </c>
      <c r="Q295" s="148" t="e">
        <f t="shared" si="4"/>
        <v>#N/A</v>
      </c>
    </row>
    <row r="296" spans="1:17">
      <c r="A296" s="58">
        <f>'Audit Dimensions'!A294</f>
        <v>0</v>
      </c>
      <c r="B296" s="2"/>
      <c r="C296" s="59"/>
      <c r="D296" s="59"/>
      <c r="E296" s="59"/>
      <c r="F296" s="137"/>
      <c r="G296" s="65"/>
      <c r="H296" s="65"/>
      <c r="I296" s="65"/>
      <c r="J296" s="61"/>
      <c r="K296" s="63"/>
      <c r="L296" s="63"/>
      <c r="M296" s="63"/>
      <c r="N296" s="140"/>
      <c r="O296" s="145" t="e">
        <f>VLOOKUP('Audit VAR'!A296,'Audit Dimensions'!A:P,16,FALSE)</f>
        <v>#N/A</v>
      </c>
      <c r="P296" s="143" t="e">
        <f>VLOOKUP(A296,'Billing Dimensions'!A:Q,17,FALSE)-VLOOKUP('Audit VAR'!A296,'Audit Dimensions'!A:P,16,FALSE)</f>
        <v>#N/A</v>
      </c>
      <c r="Q296" s="148" t="e">
        <f t="shared" si="4"/>
        <v>#N/A</v>
      </c>
    </row>
    <row r="297" spans="1:17">
      <c r="A297" s="58">
        <f>'Audit Dimensions'!A295</f>
        <v>0</v>
      </c>
      <c r="B297" s="2"/>
      <c r="C297" s="59"/>
      <c r="D297" s="59"/>
      <c r="E297" s="59"/>
      <c r="F297" s="137"/>
      <c r="G297" s="65"/>
      <c r="H297" s="65"/>
      <c r="I297" s="65"/>
      <c r="J297" s="61"/>
      <c r="K297" s="63"/>
      <c r="L297" s="63"/>
      <c r="M297" s="63"/>
      <c r="N297" s="140"/>
      <c r="O297" s="145" t="e">
        <f>VLOOKUP('Audit VAR'!A297,'Audit Dimensions'!A:P,16,FALSE)</f>
        <v>#N/A</v>
      </c>
      <c r="P297" s="143" t="e">
        <f>VLOOKUP(A297,'Billing Dimensions'!A:Q,17,FALSE)-VLOOKUP('Audit VAR'!A297,'Audit Dimensions'!A:P,16,FALSE)</f>
        <v>#N/A</v>
      </c>
      <c r="Q297" s="148" t="e">
        <f t="shared" si="4"/>
        <v>#N/A</v>
      </c>
    </row>
    <row r="298" spans="1:17">
      <c r="A298" s="58">
        <f>'Audit Dimensions'!A296</f>
        <v>0</v>
      </c>
      <c r="B298" s="2"/>
      <c r="C298" s="59"/>
      <c r="D298" s="59"/>
      <c r="E298" s="59"/>
      <c r="F298" s="137"/>
      <c r="G298" s="65"/>
      <c r="H298" s="65"/>
      <c r="I298" s="65"/>
      <c r="J298" s="61"/>
      <c r="K298" s="63"/>
      <c r="L298" s="63"/>
      <c r="M298" s="63"/>
      <c r="N298" s="140"/>
      <c r="O298" s="145" t="e">
        <f>VLOOKUP('Audit VAR'!A298,'Audit Dimensions'!A:P,16,FALSE)</f>
        <v>#N/A</v>
      </c>
      <c r="P298" s="143" t="e">
        <f>VLOOKUP(A298,'Billing Dimensions'!A:Q,17,FALSE)-VLOOKUP('Audit VAR'!A298,'Audit Dimensions'!A:P,16,FALSE)</f>
        <v>#N/A</v>
      </c>
      <c r="Q298" s="148" t="e">
        <f t="shared" si="4"/>
        <v>#N/A</v>
      </c>
    </row>
    <row r="299" spans="1:17">
      <c r="A299" s="58">
        <f>'Audit Dimensions'!A297</f>
        <v>0</v>
      </c>
      <c r="B299" s="2"/>
      <c r="C299" s="59"/>
      <c r="D299" s="59"/>
      <c r="E299" s="59"/>
      <c r="F299" s="137"/>
      <c r="G299" s="65"/>
      <c r="H299" s="65"/>
      <c r="I299" s="65"/>
      <c r="J299" s="61"/>
      <c r="K299" s="63"/>
      <c r="L299" s="63"/>
      <c r="M299" s="63"/>
      <c r="N299" s="140"/>
      <c r="O299" s="145" t="e">
        <f>VLOOKUP('Audit VAR'!A299,'Audit Dimensions'!A:P,16,FALSE)</f>
        <v>#N/A</v>
      </c>
      <c r="P299" s="143" t="e">
        <f>VLOOKUP(A299,'Billing Dimensions'!A:Q,17,FALSE)-VLOOKUP('Audit VAR'!A299,'Audit Dimensions'!A:P,16,FALSE)</f>
        <v>#N/A</v>
      </c>
      <c r="Q299" s="148" t="e">
        <f t="shared" si="4"/>
        <v>#N/A</v>
      </c>
    </row>
    <row r="300" spans="1:17">
      <c r="A300" s="58">
        <f>'Audit Dimensions'!A298</f>
        <v>0</v>
      </c>
      <c r="B300" s="2"/>
      <c r="C300" s="59"/>
      <c r="D300" s="59"/>
      <c r="E300" s="59"/>
      <c r="F300" s="137"/>
      <c r="G300" s="65"/>
      <c r="H300" s="65"/>
      <c r="I300" s="65"/>
      <c r="J300" s="61"/>
      <c r="K300" s="63"/>
      <c r="L300" s="63"/>
      <c r="M300" s="63"/>
      <c r="N300" s="140"/>
      <c r="O300" s="145" t="e">
        <f>VLOOKUP('Audit VAR'!A300,'Audit Dimensions'!A:P,16,FALSE)</f>
        <v>#N/A</v>
      </c>
      <c r="P300" s="143" t="e">
        <f>VLOOKUP(A300,'Billing Dimensions'!A:Q,17,FALSE)-VLOOKUP('Audit VAR'!A300,'Audit Dimensions'!A:P,16,FALSE)</f>
        <v>#N/A</v>
      </c>
      <c r="Q300" s="148" t="e">
        <f t="shared" si="4"/>
        <v>#N/A</v>
      </c>
    </row>
    <row r="301" spans="1:17">
      <c r="A301" s="58">
        <f>'Audit Dimensions'!A299</f>
        <v>0</v>
      </c>
      <c r="B301" s="2"/>
      <c r="C301" s="59"/>
      <c r="D301" s="59"/>
      <c r="E301" s="59"/>
      <c r="F301" s="137"/>
      <c r="G301" s="65"/>
      <c r="H301" s="65"/>
      <c r="I301" s="65"/>
      <c r="J301" s="61"/>
      <c r="K301" s="63"/>
      <c r="L301" s="63"/>
      <c r="M301" s="63"/>
      <c r="N301" s="140"/>
      <c r="O301" s="145" t="e">
        <f>VLOOKUP('Audit VAR'!A301,'Audit Dimensions'!A:P,16,FALSE)</f>
        <v>#N/A</v>
      </c>
      <c r="P301" s="143" t="e">
        <f>VLOOKUP(A301,'Billing Dimensions'!A:Q,17,FALSE)-VLOOKUP('Audit VAR'!A301,'Audit Dimensions'!A:P,16,FALSE)</f>
        <v>#N/A</v>
      </c>
      <c r="Q301" s="148" t="e">
        <f t="shared" si="4"/>
        <v>#N/A</v>
      </c>
    </row>
    <row r="302" spans="1:17">
      <c r="A302" s="58">
        <f>'Audit Dimensions'!A300</f>
        <v>0</v>
      </c>
      <c r="B302" s="2"/>
      <c r="C302" s="59"/>
      <c r="D302" s="59"/>
      <c r="E302" s="59"/>
      <c r="F302" s="137"/>
      <c r="G302" s="65"/>
      <c r="H302" s="65"/>
      <c r="I302" s="65"/>
      <c r="J302" s="61"/>
      <c r="K302" s="63"/>
      <c r="L302" s="63"/>
      <c r="M302" s="63"/>
      <c r="N302" s="140"/>
      <c r="O302" s="145" t="e">
        <f>VLOOKUP('Audit VAR'!A302,'Audit Dimensions'!A:P,16,FALSE)</f>
        <v>#N/A</v>
      </c>
      <c r="P302" s="143" t="e">
        <f>VLOOKUP(A302,'Billing Dimensions'!A:Q,17,FALSE)-VLOOKUP('Audit VAR'!A302,'Audit Dimensions'!A:P,16,FALSE)</f>
        <v>#N/A</v>
      </c>
      <c r="Q302" s="148" t="e">
        <f t="shared" si="4"/>
        <v>#N/A</v>
      </c>
    </row>
    <row r="303" spans="1:17">
      <c r="A303" s="58">
        <f>'Audit Dimensions'!A301</f>
        <v>0</v>
      </c>
      <c r="B303" s="2"/>
      <c r="C303" s="59"/>
      <c r="D303" s="59"/>
      <c r="E303" s="59"/>
      <c r="F303" s="137"/>
      <c r="G303" s="65"/>
      <c r="H303" s="65"/>
      <c r="I303" s="65"/>
      <c r="J303" s="61"/>
      <c r="K303" s="63"/>
      <c r="L303" s="63"/>
      <c r="M303" s="63"/>
      <c r="N303" s="140"/>
      <c r="O303" s="145" t="e">
        <f>VLOOKUP('Audit VAR'!A303,'Audit Dimensions'!A:P,16,FALSE)</f>
        <v>#N/A</v>
      </c>
      <c r="P303" s="143" t="e">
        <f>VLOOKUP(A303,'Billing Dimensions'!A:Q,17,FALSE)-VLOOKUP('Audit VAR'!A303,'Audit Dimensions'!A:P,16,FALSE)</f>
        <v>#N/A</v>
      </c>
      <c r="Q303" s="148" t="e">
        <f t="shared" si="4"/>
        <v>#N/A</v>
      </c>
    </row>
    <row r="304" spans="1:17">
      <c r="A304" s="58">
        <f>'Audit Dimensions'!A302</f>
        <v>0</v>
      </c>
      <c r="B304" s="2"/>
      <c r="C304" s="59"/>
      <c r="D304" s="59"/>
      <c r="E304" s="59"/>
      <c r="F304" s="137"/>
      <c r="G304" s="65"/>
      <c r="H304" s="65"/>
      <c r="I304" s="65"/>
      <c r="J304" s="61"/>
      <c r="K304" s="63"/>
      <c r="L304" s="63"/>
      <c r="M304" s="63"/>
      <c r="N304" s="140"/>
      <c r="O304" s="145" t="e">
        <f>VLOOKUP('Audit VAR'!A304,'Audit Dimensions'!A:P,16,FALSE)</f>
        <v>#N/A</v>
      </c>
      <c r="P304" s="143" t="e">
        <f>VLOOKUP(A304,'Billing Dimensions'!A:Q,17,FALSE)-VLOOKUP('Audit VAR'!A304,'Audit Dimensions'!A:P,16,FALSE)</f>
        <v>#N/A</v>
      </c>
      <c r="Q304" s="148" t="e">
        <f t="shared" si="4"/>
        <v>#N/A</v>
      </c>
    </row>
    <row r="305" spans="1:17">
      <c r="A305" s="58">
        <f>'Audit Dimensions'!A303</f>
        <v>0</v>
      </c>
      <c r="B305" s="2"/>
      <c r="C305" s="59"/>
      <c r="D305" s="59"/>
      <c r="E305" s="59"/>
      <c r="F305" s="137"/>
      <c r="G305" s="65"/>
      <c r="H305" s="65"/>
      <c r="I305" s="65"/>
      <c r="J305" s="61"/>
      <c r="K305" s="63"/>
      <c r="L305" s="63"/>
      <c r="M305" s="63"/>
      <c r="N305" s="140"/>
      <c r="O305" s="145" t="e">
        <f>VLOOKUP('Audit VAR'!A305,'Audit Dimensions'!A:P,16,FALSE)</f>
        <v>#N/A</v>
      </c>
      <c r="P305" s="143" t="e">
        <f>VLOOKUP(A305,'Billing Dimensions'!A:Q,17,FALSE)-VLOOKUP('Audit VAR'!A305,'Audit Dimensions'!A:P,16,FALSE)</f>
        <v>#N/A</v>
      </c>
      <c r="Q305" s="148" t="e">
        <f t="shared" si="4"/>
        <v>#N/A</v>
      </c>
    </row>
    <row r="306" spans="1:17">
      <c r="A306" s="58">
        <f>'Audit Dimensions'!A304</f>
        <v>0</v>
      </c>
      <c r="B306" s="2"/>
      <c r="C306" s="59"/>
      <c r="D306" s="59"/>
      <c r="E306" s="59"/>
      <c r="F306" s="137"/>
      <c r="G306" s="65"/>
      <c r="H306" s="65"/>
      <c r="I306" s="65"/>
      <c r="J306" s="61"/>
      <c r="K306" s="63"/>
      <c r="L306" s="63"/>
      <c r="M306" s="63"/>
      <c r="N306" s="140"/>
      <c r="O306" s="145" t="e">
        <f>VLOOKUP('Audit VAR'!A306,'Audit Dimensions'!A:P,16,FALSE)</f>
        <v>#N/A</v>
      </c>
      <c r="P306" s="143" t="e">
        <f>VLOOKUP(A306,'Billing Dimensions'!A:Q,17,FALSE)-VLOOKUP('Audit VAR'!A306,'Audit Dimensions'!A:P,16,FALSE)</f>
        <v>#N/A</v>
      </c>
      <c r="Q306" s="148" t="e">
        <f t="shared" si="4"/>
        <v>#N/A</v>
      </c>
    </row>
    <row r="307" spans="1:17">
      <c r="A307" s="58">
        <f>'Audit Dimensions'!A305</f>
        <v>0</v>
      </c>
      <c r="B307" s="2"/>
      <c r="C307" s="59"/>
      <c r="D307" s="59"/>
      <c r="E307" s="59"/>
      <c r="F307" s="137"/>
      <c r="G307" s="65"/>
      <c r="H307" s="65"/>
      <c r="I307" s="65"/>
      <c r="J307" s="61"/>
      <c r="K307" s="63"/>
      <c r="L307" s="63"/>
      <c r="M307" s="63"/>
      <c r="N307" s="140"/>
      <c r="O307" s="145" t="e">
        <f>VLOOKUP('Audit VAR'!A307,'Audit Dimensions'!A:P,16,FALSE)</f>
        <v>#N/A</v>
      </c>
      <c r="P307" s="143" t="e">
        <f>VLOOKUP(A307,'Billing Dimensions'!A:Q,17,FALSE)-VLOOKUP('Audit VAR'!A307,'Audit Dimensions'!A:P,16,FALSE)</f>
        <v>#N/A</v>
      </c>
      <c r="Q307" s="148" t="e">
        <f t="shared" si="4"/>
        <v>#N/A</v>
      </c>
    </row>
    <row r="308" spans="1:17">
      <c r="A308" s="58">
        <f>'Audit Dimensions'!A306</f>
        <v>0</v>
      </c>
      <c r="B308" s="2"/>
      <c r="C308" s="59"/>
      <c r="D308" s="59"/>
      <c r="E308" s="59"/>
      <c r="F308" s="137"/>
      <c r="G308" s="65"/>
      <c r="H308" s="65"/>
      <c r="I308" s="65"/>
      <c r="J308" s="61"/>
      <c r="K308" s="63"/>
      <c r="L308" s="63"/>
      <c r="M308" s="63"/>
      <c r="N308" s="140"/>
      <c r="O308" s="145" t="e">
        <f>VLOOKUP('Audit VAR'!A308,'Audit Dimensions'!A:P,16,FALSE)</f>
        <v>#N/A</v>
      </c>
      <c r="P308" s="143" t="e">
        <f>VLOOKUP(A308,'Billing Dimensions'!A:Q,17,FALSE)-VLOOKUP('Audit VAR'!A308,'Audit Dimensions'!A:P,16,FALSE)</f>
        <v>#N/A</v>
      </c>
      <c r="Q308" s="148" t="e">
        <f t="shared" si="4"/>
        <v>#N/A</v>
      </c>
    </row>
    <row r="309" spans="1:17">
      <c r="A309" s="58">
        <f>'Audit Dimensions'!A307</f>
        <v>0</v>
      </c>
      <c r="B309" s="2"/>
      <c r="C309" s="59"/>
      <c r="D309" s="59"/>
      <c r="E309" s="59"/>
      <c r="F309" s="137"/>
      <c r="G309" s="65"/>
      <c r="H309" s="65"/>
      <c r="I309" s="65"/>
      <c r="J309" s="61"/>
      <c r="K309" s="63"/>
      <c r="L309" s="63"/>
      <c r="M309" s="63"/>
      <c r="N309" s="140"/>
      <c r="O309" s="145" t="e">
        <f>VLOOKUP('Audit VAR'!A309,'Audit Dimensions'!A:P,16,FALSE)</f>
        <v>#N/A</v>
      </c>
      <c r="P309" s="143" t="e">
        <f>VLOOKUP(A309,'Billing Dimensions'!A:Q,17,FALSE)-VLOOKUP('Audit VAR'!A309,'Audit Dimensions'!A:P,16,FALSE)</f>
        <v>#N/A</v>
      </c>
      <c r="Q309" s="148" t="e">
        <f t="shared" si="4"/>
        <v>#N/A</v>
      </c>
    </row>
    <row r="310" spans="1:17">
      <c r="A310" s="58">
        <f>'Audit Dimensions'!A308</f>
        <v>0</v>
      </c>
      <c r="B310" s="2"/>
      <c r="C310" s="59"/>
      <c r="D310" s="59"/>
      <c r="E310" s="59"/>
      <c r="F310" s="137"/>
      <c r="G310" s="65"/>
      <c r="H310" s="65"/>
      <c r="I310" s="65"/>
      <c r="J310" s="61"/>
      <c r="K310" s="63"/>
      <c r="L310" s="63"/>
      <c r="M310" s="63"/>
      <c r="N310" s="140"/>
      <c r="O310" s="145" t="e">
        <f>VLOOKUP('Audit VAR'!A310,'Audit Dimensions'!A:P,16,FALSE)</f>
        <v>#N/A</v>
      </c>
      <c r="P310" s="143" t="e">
        <f>VLOOKUP(A310,'Billing Dimensions'!A:Q,17,FALSE)-VLOOKUP('Audit VAR'!A310,'Audit Dimensions'!A:P,16,FALSE)</f>
        <v>#N/A</v>
      </c>
      <c r="Q310" s="148" t="e">
        <f t="shared" si="4"/>
        <v>#N/A</v>
      </c>
    </row>
    <row r="311" spans="1:17">
      <c r="A311" s="58">
        <f>'Audit Dimensions'!A309</f>
        <v>0</v>
      </c>
      <c r="B311" s="2"/>
      <c r="C311" s="59"/>
      <c r="D311" s="59"/>
      <c r="E311" s="59"/>
      <c r="F311" s="137"/>
      <c r="G311" s="65"/>
      <c r="H311" s="65"/>
      <c r="I311" s="65"/>
      <c r="J311" s="61"/>
      <c r="K311" s="63"/>
      <c r="L311" s="63"/>
      <c r="M311" s="63"/>
      <c r="N311" s="140"/>
      <c r="O311" s="145" t="e">
        <f>VLOOKUP('Audit VAR'!A311,'Audit Dimensions'!A:P,16,FALSE)</f>
        <v>#N/A</v>
      </c>
      <c r="P311" s="143" t="e">
        <f>VLOOKUP(A311,'Billing Dimensions'!A:Q,17,FALSE)-VLOOKUP('Audit VAR'!A311,'Audit Dimensions'!A:P,16,FALSE)</f>
        <v>#N/A</v>
      </c>
      <c r="Q311" s="148" t="e">
        <f t="shared" si="4"/>
        <v>#N/A</v>
      </c>
    </row>
    <row r="312" spans="1:17">
      <c r="A312" s="58">
        <f>'Audit Dimensions'!A310</f>
        <v>0</v>
      </c>
      <c r="B312" s="2"/>
      <c r="C312" s="59"/>
      <c r="D312" s="59"/>
      <c r="E312" s="59"/>
      <c r="F312" s="137"/>
      <c r="G312" s="65"/>
      <c r="H312" s="65"/>
      <c r="I312" s="65"/>
      <c r="J312" s="61"/>
      <c r="K312" s="63"/>
      <c r="L312" s="63"/>
      <c r="M312" s="63"/>
      <c r="N312" s="140"/>
      <c r="O312" s="145" t="e">
        <f>VLOOKUP('Audit VAR'!A312,'Audit Dimensions'!A:P,16,FALSE)</f>
        <v>#N/A</v>
      </c>
      <c r="P312" s="143" t="e">
        <f>VLOOKUP(A312,'Billing Dimensions'!A:Q,17,FALSE)-VLOOKUP('Audit VAR'!A312,'Audit Dimensions'!A:P,16,FALSE)</f>
        <v>#N/A</v>
      </c>
      <c r="Q312" s="148" t="e">
        <f t="shared" si="4"/>
        <v>#N/A</v>
      </c>
    </row>
    <row r="313" spans="1:17">
      <c r="A313" s="58">
        <f>'Audit Dimensions'!A311</f>
        <v>0</v>
      </c>
      <c r="B313" s="2"/>
      <c r="C313" s="59"/>
      <c r="D313" s="59"/>
      <c r="E313" s="59"/>
      <c r="F313" s="137"/>
      <c r="G313" s="65"/>
      <c r="H313" s="65"/>
      <c r="I313" s="65"/>
      <c r="J313" s="61"/>
      <c r="K313" s="63"/>
      <c r="L313" s="63"/>
      <c r="M313" s="63"/>
      <c r="N313" s="140"/>
      <c r="O313" s="145" t="e">
        <f>VLOOKUP('Audit VAR'!A313,'Audit Dimensions'!A:P,16,FALSE)</f>
        <v>#N/A</v>
      </c>
      <c r="P313" s="143" t="e">
        <f>VLOOKUP(A313,'Billing Dimensions'!A:Q,17,FALSE)-VLOOKUP('Audit VAR'!A313,'Audit Dimensions'!A:P,16,FALSE)</f>
        <v>#N/A</v>
      </c>
      <c r="Q313" s="148" t="e">
        <f t="shared" si="4"/>
        <v>#N/A</v>
      </c>
    </row>
    <row r="314" spans="1:17">
      <c r="A314" s="58">
        <f>'Audit Dimensions'!A312</f>
        <v>0</v>
      </c>
      <c r="B314" s="2"/>
      <c r="C314" s="59"/>
      <c r="D314" s="59"/>
      <c r="E314" s="59"/>
      <c r="F314" s="137"/>
      <c r="G314" s="65"/>
      <c r="H314" s="65"/>
      <c r="I314" s="65"/>
      <c r="J314" s="61"/>
      <c r="K314" s="63"/>
      <c r="L314" s="63"/>
      <c r="M314" s="63"/>
      <c r="N314" s="140"/>
      <c r="O314" s="145" t="e">
        <f>VLOOKUP('Audit VAR'!A314,'Audit Dimensions'!A:P,16,FALSE)</f>
        <v>#N/A</v>
      </c>
      <c r="P314" s="143" t="e">
        <f>VLOOKUP(A314,'Billing Dimensions'!A:Q,17,FALSE)-VLOOKUP('Audit VAR'!A314,'Audit Dimensions'!A:P,16,FALSE)</f>
        <v>#N/A</v>
      </c>
      <c r="Q314" s="148" t="e">
        <f t="shared" si="4"/>
        <v>#N/A</v>
      </c>
    </row>
    <row r="315" spans="1:17">
      <c r="A315" s="58">
        <f>'Audit Dimensions'!A313</f>
        <v>0</v>
      </c>
      <c r="B315" s="2"/>
      <c r="C315" s="59"/>
      <c r="D315" s="59"/>
      <c r="E315" s="59"/>
      <c r="F315" s="137"/>
      <c r="G315" s="65"/>
      <c r="H315" s="65"/>
      <c r="I315" s="65"/>
      <c r="J315" s="61"/>
      <c r="K315" s="63"/>
      <c r="L315" s="63"/>
      <c r="M315" s="63"/>
      <c r="N315" s="140"/>
      <c r="O315" s="145" t="e">
        <f>VLOOKUP('Audit VAR'!A315,'Audit Dimensions'!A:P,16,FALSE)</f>
        <v>#N/A</v>
      </c>
      <c r="P315" s="143" t="e">
        <f>VLOOKUP(A315,'Billing Dimensions'!A:Q,17,FALSE)-VLOOKUP('Audit VAR'!A315,'Audit Dimensions'!A:P,16,FALSE)</f>
        <v>#N/A</v>
      </c>
      <c r="Q315" s="148" t="e">
        <f t="shared" si="4"/>
        <v>#N/A</v>
      </c>
    </row>
    <row r="316" spans="1:17">
      <c r="A316" s="58">
        <f>'Audit Dimensions'!A314</f>
        <v>0</v>
      </c>
      <c r="B316" s="2"/>
      <c r="C316" s="59"/>
      <c r="D316" s="59"/>
      <c r="E316" s="59"/>
      <c r="F316" s="137"/>
      <c r="G316" s="65"/>
      <c r="H316" s="65"/>
      <c r="I316" s="65"/>
      <c r="J316" s="61"/>
      <c r="K316" s="63"/>
      <c r="L316" s="63"/>
      <c r="M316" s="63"/>
      <c r="N316" s="140"/>
      <c r="O316" s="145" t="e">
        <f>VLOOKUP('Audit VAR'!A316,'Audit Dimensions'!A:P,16,FALSE)</f>
        <v>#N/A</v>
      </c>
      <c r="P316" s="143" t="e">
        <f>VLOOKUP(A316,'Billing Dimensions'!A:Q,17,FALSE)-VLOOKUP('Audit VAR'!A316,'Audit Dimensions'!A:P,16,FALSE)</f>
        <v>#N/A</v>
      </c>
      <c r="Q316" s="148" t="e">
        <f t="shared" si="4"/>
        <v>#N/A</v>
      </c>
    </row>
    <row r="317" spans="1:17">
      <c r="A317" s="58">
        <f>'Audit Dimensions'!A315</f>
        <v>0</v>
      </c>
      <c r="B317" s="2"/>
      <c r="C317" s="59"/>
      <c r="D317" s="59"/>
      <c r="E317" s="59"/>
      <c r="F317" s="137"/>
      <c r="G317" s="65"/>
      <c r="H317" s="65"/>
      <c r="I317" s="65"/>
      <c r="J317" s="61"/>
      <c r="K317" s="63"/>
      <c r="L317" s="63"/>
      <c r="M317" s="63"/>
      <c r="N317" s="140"/>
      <c r="O317" s="145" t="e">
        <f>VLOOKUP('Audit VAR'!A317,'Audit Dimensions'!A:P,16,FALSE)</f>
        <v>#N/A</v>
      </c>
      <c r="P317" s="143" t="e">
        <f>VLOOKUP(A317,'Billing Dimensions'!A:Q,17,FALSE)-VLOOKUP('Audit VAR'!A317,'Audit Dimensions'!A:P,16,FALSE)</f>
        <v>#N/A</v>
      </c>
      <c r="Q317" s="148" t="e">
        <f t="shared" si="4"/>
        <v>#N/A</v>
      </c>
    </row>
    <row r="318" spans="1:17">
      <c r="A318" s="58">
        <f>'Audit Dimensions'!A316</f>
        <v>0</v>
      </c>
      <c r="B318" s="2"/>
      <c r="C318" s="59"/>
      <c r="D318" s="59"/>
      <c r="E318" s="59"/>
      <c r="F318" s="137"/>
      <c r="G318" s="65"/>
      <c r="H318" s="65"/>
      <c r="I318" s="65"/>
      <c r="J318" s="61"/>
      <c r="K318" s="63"/>
      <c r="L318" s="63"/>
      <c r="M318" s="63"/>
      <c r="N318" s="140"/>
      <c r="O318" s="145" t="e">
        <f>VLOOKUP('Audit VAR'!A318,'Audit Dimensions'!A:P,16,FALSE)</f>
        <v>#N/A</v>
      </c>
      <c r="P318" s="143" t="e">
        <f>VLOOKUP(A318,'Billing Dimensions'!A:Q,17,FALSE)-VLOOKUP('Audit VAR'!A318,'Audit Dimensions'!A:P,16,FALSE)</f>
        <v>#N/A</v>
      </c>
      <c r="Q318" s="148" t="e">
        <f t="shared" si="4"/>
        <v>#N/A</v>
      </c>
    </row>
    <row r="319" spans="1:17">
      <c r="A319" s="58">
        <f>'Audit Dimensions'!A317</f>
        <v>0</v>
      </c>
      <c r="B319" s="2"/>
      <c r="C319" s="59"/>
      <c r="D319" s="59"/>
      <c r="E319" s="59"/>
      <c r="F319" s="137"/>
      <c r="G319" s="65"/>
      <c r="H319" s="65"/>
      <c r="I319" s="65"/>
      <c r="J319" s="61"/>
      <c r="K319" s="63"/>
      <c r="L319" s="63"/>
      <c r="M319" s="63"/>
      <c r="N319" s="140"/>
      <c r="O319" s="145" t="e">
        <f>VLOOKUP('Audit VAR'!A319,'Audit Dimensions'!A:P,16,FALSE)</f>
        <v>#N/A</v>
      </c>
      <c r="P319" s="143" t="e">
        <f>VLOOKUP(A319,'Billing Dimensions'!A:Q,17,FALSE)-VLOOKUP('Audit VAR'!A319,'Audit Dimensions'!A:P,16,FALSE)</f>
        <v>#N/A</v>
      </c>
      <c r="Q319" s="148" t="e">
        <f t="shared" si="4"/>
        <v>#N/A</v>
      </c>
    </row>
    <row r="320" spans="1:17">
      <c r="A320" s="58">
        <f>'Audit Dimensions'!A318</f>
        <v>0</v>
      </c>
      <c r="B320" s="2"/>
      <c r="C320" s="59"/>
      <c r="D320" s="59"/>
      <c r="E320" s="59"/>
      <c r="F320" s="137"/>
      <c r="G320" s="65"/>
      <c r="H320" s="65"/>
      <c r="I320" s="65"/>
      <c r="J320" s="61"/>
      <c r="K320" s="63"/>
      <c r="L320" s="63"/>
      <c r="M320" s="63"/>
      <c r="N320" s="140"/>
      <c r="O320" s="145" t="e">
        <f>VLOOKUP('Audit VAR'!A320,'Audit Dimensions'!A:P,16,FALSE)</f>
        <v>#N/A</v>
      </c>
      <c r="P320" s="143" t="e">
        <f>VLOOKUP(A320,'Billing Dimensions'!A:Q,17,FALSE)-VLOOKUP('Audit VAR'!A320,'Audit Dimensions'!A:P,16,FALSE)</f>
        <v>#N/A</v>
      </c>
      <c r="Q320" s="148" t="e">
        <f t="shared" ref="Q320:Q344" si="5">P320/O320</f>
        <v>#N/A</v>
      </c>
    </row>
    <row r="321" spans="1:17">
      <c r="A321" s="58">
        <f>'Audit Dimensions'!A319</f>
        <v>0</v>
      </c>
      <c r="B321" s="2"/>
      <c r="C321" s="59"/>
      <c r="D321" s="59"/>
      <c r="E321" s="59"/>
      <c r="F321" s="137"/>
      <c r="G321" s="65"/>
      <c r="H321" s="65"/>
      <c r="I321" s="65"/>
      <c r="J321" s="61"/>
      <c r="K321" s="63"/>
      <c r="L321" s="63"/>
      <c r="M321" s="63"/>
      <c r="N321" s="140"/>
      <c r="O321" s="145" t="e">
        <f>VLOOKUP('Audit VAR'!A321,'Audit Dimensions'!A:P,16,FALSE)</f>
        <v>#N/A</v>
      </c>
      <c r="P321" s="143" t="e">
        <f>VLOOKUP(A321,'Billing Dimensions'!A:Q,17,FALSE)-VLOOKUP('Audit VAR'!A321,'Audit Dimensions'!A:P,16,FALSE)</f>
        <v>#N/A</v>
      </c>
      <c r="Q321" s="148" t="e">
        <f t="shared" si="5"/>
        <v>#N/A</v>
      </c>
    </row>
    <row r="322" spans="1:17">
      <c r="A322" s="58">
        <f>'Audit Dimensions'!A320</f>
        <v>0</v>
      </c>
      <c r="B322" s="2"/>
      <c r="C322" s="59"/>
      <c r="D322" s="59"/>
      <c r="E322" s="59"/>
      <c r="F322" s="137"/>
      <c r="G322" s="65"/>
      <c r="H322" s="65"/>
      <c r="I322" s="65"/>
      <c r="J322" s="61"/>
      <c r="K322" s="63"/>
      <c r="L322" s="63"/>
      <c r="M322" s="63"/>
      <c r="N322" s="140"/>
      <c r="O322" s="145" t="e">
        <f>VLOOKUP('Audit VAR'!A322,'Audit Dimensions'!A:P,16,FALSE)</f>
        <v>#N/A</v>
      </c>
      <c r="P322" s="143" t="e">
        <f>VLOOKUP(A322,'Billing Dimensions'!A:Q,17,FALSE)-VLOOKUP('Audit VAR'!A322,'Audit Dimensions'!A:P,16,FALSE)</f>
        <v>#N/A</v>
      </c>
      <c r="Q322" s="148" t="e">
        <f t="shared" si="5"/>
        <v>#N/A</v>
      </c>
    </row>
    <row r="323" spans="1:17">
      <c r="A323" s="58">
        <f>'Audit Dimensions'!A321</f>
        <v>0</v>
      </c>
      <c r="B323" s="2"/>
      <c r="C323" s="59"/>
      <c r="D323" s="59"/>
      <c r="E323" s="59"/>
      <c r="F323" s="137"/>
      <c r="G323" s="65"/>
      <c r="H323" s="65"/>
      <c r="I323" s="65"/>
      <c r="J323" s="61"/>
      <c r="K323" s="63"/>
      <c r="L323" s="63"/>
      <c r="M323" s="63"/>
      <c r="N323" s="140"/>
      <c r="O323" s="145" t="e">
        <f>VLOOKUP('Audit VAR'!A323,'Audit Dimensions'!A:P,16,FALSE)</f>
        <v>#N/A</v>
      </c>
      <c r="P323" s="143" t="e">
        <f>VLOOKUP(A323,'Billing Dimensions'!A:Q,17,FALSE)-VLOOKUP('Audit VAR'!A323,'Audit Dimensions'!A:P,16,FALSE)</f>
        <v>#N/A</v>
      </c>
      <c r="Q323" s="148" t="e">
        <f t="shared" si="5"/>
        <v>#N/A</v>
      </c>
    </row>
    <row r="324" spans="1:17">
      <c r="A324" s="58">
        <f>'Audit Dimensions'!A322</f>
        <v>0</v>
      </c>
      <c r="B324" s="2"/>
      <c r="C324" s="59"/>
      <c r="D324" s="59"/>
      <c r="E324" s="59"/>
      <c r="F324" s="137"/>
      <c r="G324" s="65"/>
      <c r="H324" s="65"/>
      <c r="I324" s="65"/>
      <c r="J324" s="61"/>
      <c r="K324" s="63"/>
      <c r="L324" s="63"/>
      <c r="M324" s="63"/>
      <c r="N324" s="140"/>
      <c r="O324" s="145" t="e">
        <f>VLOOKUP('Audit VAR'!A324,'Audit Dimensions'!A:P,16,FALSE)</f>
        <v>#N/A</v>
      </c>
      <c r="P324" s="143" t="e">
        <f>VLOOKUP(A324,'Billing Dimensions'!A:Q,17,FALSE)-VLOOKUP('Audit VAR'!A324,'Audit Dimensions'!A:P,16,FALSE)</f>
        <v>#N/A</v>
      </c>
      <c r="Q324" s="148" t="e">
        <f t="shared" si="5"/>
        <v>#N/A</v>
      </c>
    </row>
    <row r="325" spans="1:17">
      <c r="A325" s="58">
        <f>'Audit Dimensions'!A323</f>
        <v>0</v>
      </c>
      <c r="B325" s="2"/>
      <c r="C325" s="59"/>
      <c r="D325" s="59"/>
      <c r="E325" s="59"/>
      <c r="F325" s="137"/>
      <c r="G325" s="65"/>
      <c r="H325" s="65"/>
      <c r="I325" s="65"/>
      <c r="J325" s="61"/>
      <c r="K325" s="63"/>
      <c r="L325" s="63"/>
      <c r="M325" s="63"/>
      <c r="N325" s="140"/>
      <c r="O325" s="145" t="e">
        <f>VLOOKUP('Audit VAR'!A325,'Audit Dimensions'!A:P,16,FALSE)</f>
        <v>#N/A</v>
      </c>
      <c r="P325" s="143" t="e">
        <f>VLOOKUP(A325,'Billing Dimensions'!A:Q,17,FALSE)-VLOOKUP('Audit VAR'!A325,'Audit Dimensions'!A:P,16,FALSE)</f>
        <v>#N/A</v>
      </c>
      <c r="Q325" s="148" t="e">
        <f t="shared" si="5"/>
        <v>#N/A</v>
      </c>
    </row>
    <row r="326" spans="1:17">
      <c r="A326" s="58">
        <f>'Audit Dimensions'!A324</f>
        <v>0</v>
      </c>
      <c r="B326" s="2"/>
      <c r="C326" s="59"/>
      <c r="D326" s="59"/>
      <c r="E326" s="59"/>
      <c r="F326" s="137"/>
      <c r="G326" s="65"/>
      <c r="H326" s="65"/>
      <c r="I326" s="65"/>
      <c r="J326" s="61"/>
      <c r="K326" s="63"/>
      <c r="L326" s="63"/>
      <c r="M326" s="63"/>
      <c r="N326" s="140"/>
      <c r="O326" s="145" t="e">
        <f>VLOOKUP('Audit VAR'!A326,'Audit Dimensions'!A:P,16,FALSE)</f>
        <v>#N/A</v>
      </c>
      <c r="P326" s="143" t="e">
        <f>VLOOKUP(A326,'Billing Dimensions'!A:Q,17,FALSE)-VLOOKUP('Audit VAR'!A326,'Audit Dimensions'!A:P,16,FALSE)</f>
        <v>#N/A</v>
      </c>
      <c r="Q326" s="148" t="e">
        <f t="shared" si="5"/>
        <v>#N/A</v>
      </c>
    </row>
    <row r="327" spans="1:17">
      <c r="A327" s="58">
        <f>'Audit Dimensions'!A325</f>
        <v>0</v>
      </c>
      <c r="B327" s="2"/>
      <c r="C327" s="59"/>
      <c r="D327" s="59"/>
      <c r="E327" s="59"/>
      <c r="F327" s="137"/>
      <c r="G327" s="65"/>
      <c r="H327" s="65"/>
      <c r="I327" s="65"/>
      <c r="J327" s="61"/>
      <c r="K327" s="63"/>
      <c r="L327" s="63"/>
      <c r="M327" s="63"/>
      <c r="N327" s="140"/>
      <c r="O327" s="145" t="e">
        <f>VLOOKUP('Audit VAR'!A327,'Audit Dimensions'!A:P,16,FALSE)</f>
        <v>#N/A</v>
      </c>
      <c r="P327" s="143" t="e">
        <f>VLOOKUP(A327,'Billing Dimensions'!A:Q,17,FALSE)-VLOOKUP('Audit VAR'!A327,'Audit Dimensions'!A:P,16,FALSE)</f>
        <v>#N/A</v>
      </c>
      <c r="Q327" s="148" t="e">
        <f t="shared" si="5"/>
        <v>#N/A</v>
      </c>
    </row>
    <row r="328" spans="1:17">
      <c r="A328" s="58">
        <f>'Audit Dimensions'!A326</f>
        <v>0</v>
      </c>
      <c r="B328" s="2"/>
      <c r="C328" s="59"/>
      <c r="D328" s="59"/>
      <c r="E328" s="59"/>
      <c r="F328" s="137"/>
      <c r="G328" s="65"/>
      <c r="H328" s="65"/>
      <c r="I328" s="65"/>
      <c r="J328" s="61"/>
      <c r="K328" s="63"/>
      <c r="L328" s="63"/>
      <c r="M328" s="63"/>
      <c r="N328" s="140"/>
      <c r="O328" s="145" t="e">
        <f>VLOOKUP('Audit VAR'!A328,'Audit Dimensions'!A:P,16,FALSE)</f>
        <v>#N/A</v>
      </c>
      <c r="P328" s="143" t="e">
        <f>VLOOKUP(A328,'Billing Dimensions'!A:Q,17,FALSE)-VLOOKUP('Audit VAR'!A328,'Audit Dimensions'!A:P,16,FALSE)</f>
        <v>#N/A</v>
      </c>
      <c r="Q328" s="148" t="e">
        <f t="shared" si="5"/>
        <v>#N/A</v>
      </c>
    </row>
    <row r="329" spans="1:17">
      <c r="A329" s="58">
        <f>'Audit Dimensions'!A327</f>
        <v>0</v>
      </c>
      <c r="B329" s="2"/>
      <c r="C329" s="59"/>
      <c r="D329" s="59"/>
      <c r="E329" s="59"/>
      <c r="F329" s="137"/>
      <c r="G329" s="65"/>
      <c r="H329" s="65"/>
      <c r="I329" s="65"/>
      <c r="J329" s="61"/>
      <c r="K329" s="63"/>
      <c r="L329" s="63"/>
      <c r="M329" s="63"/>
      <c r="N329" s="140"/>
      <c r="O329" s="145" t="e">
        <f>VLOOKUP('Audit VAR'!A329,'Audit Dimensions'!A:P,16,FALSE)</f>
        <v>#N/A</v>
      </c>
      <c r="P329" s="143" t="e">
        <f>VLOOKUP(A329,'Billing Dimensions'!A:Q,17,FALSE)-VLOOKUP('Audit VAR'!A329,'Audit Dimensions'!A:P,16,FALSE)</f>
        <v>#N/A</v>
      </c>
      <c r="Q329" s="148" t="e">
        <f t="shared" si="5"/>
        <v>#N/A</v>
      </c>
    </row>
    <row r="330" spans="1:17">
      <c r="A330" s="58">
        <f>'Audit Dimensions'!A328</f>
        <v>0</v>
      </c>
      <c r="B330" s="2"/>
      <c r="C330" s="59"/>
      <c r="D330" s="59"/>
      <c r="E330" s="59"/>
      <c r="F330" s="137"/>
      <c r="G330" s="65"/>
      <c r="H330" s="65"/>
      <c r="I330" s="65"/>
      <c r="J330" s="61"/>
      <c r="K330" s="63"/>
      <c r="L330" s="63"/>
      <c r="M330" s="63"/>
      <c r="N330" s="140"/>
      <c r="O330" s="145" t="e">
        <f>VLOOKUP('Audit VAR'!A330,'Audit Dimensions'!A:P,16,FALSE)</f>
        <v>#N/A</v>
      </c>
      <c r="P330" s="143" t="e">
        <f>VLOOKUP(A330,'Billing Dimensions'!A:Q,17,FALSE)-VLOOKUP('Audit VAR'!A330,'Audit Dimensions'!A:P,16,FALSE)</f>
        <v>#N/A</v>
      </c>
      <c r="Q330" s="148" t="e">
        <f t="shared" si="5"/>
        <v>#N/A</v>
      </c>
    </row>
    <row r="331" spans="1:17">
      <c r="A331" s="58">
        <f>'Audit Dimensions'!A329</f>
        <v>0</v>
      </c>
      <c r="B331" s="2"/>
      <c r="C331" s="59"/>
      <c r="D331" s="59"/>
      <c r="E331" s="59"/>
      <c r="F331" s="137"/>
      <c r="G331" s="65"/>
      <c r="H331" s="65"/>
      <c r="I331" s="65"/>
      <c r="J331" s="61"/>
      <c r="K331" s="63"/>
      <c r="L331" s="63"/>
      <c r="M331" s="63"/>
      <c r="N331" s="140"/>
      <c r="O331" s="145" t="e">
        <f>VLOOKUP('Audit VAR'!A331,'Audit Dimensions'!A:P,16,FALSE)</f>
        <v>#N/A</v>
      </c>
      <c r="P331" s="143" t="e">
        <f>VLOOKUP(A331,'Billing Dimensions'!A:Q,17,FALSE)-VLOOKUP('Audit VAR'!A331,'Audit Dimensions'!A:P,16,FALSE)</f>
        <v>#N/A</v>
      </c>
      <c r="Q331" s="148" t="e">
        <f t="shared" si="5"/>
        <v>#N/A</v>
      </c>
    </row>
    <row r="332" spans="1:17">
      <c r="A332" s="58">
        <f>'Audit Dimensions'!A330</f>
        <v>0</v>
      </c>
      <c r="B332" s="2"/>
      <c r="C332" s="59"/>
      <c r="D332" s="59"/>
      <c r="E332" s="59"/>
      <c r="F332" s="137"/>
      <c r="G332" s="65"/>
      <c r="H332" s="65"/>
      <c r="I332" s="65"/>
      <c r="J332" s="61"/>
      <c r="K332" s="63"/>
      <c r="L332" s="63"/>
      <c r="M332" s="63"/>
      <c r="N332" s="140"/>
      <c r="O332" s="145" t="e">
        <f>VLOOKUP('Audit VAR'!A332,'Audit Dimensions'!A:P,16,FALSE)</f>
        <v>#N/A</v>
      </c>
      <c r="P332" s="143" t="e">
        <f>VLOOKUP(A332,'Billing Dimensions'!A:Q,17,FALSE)-VLOOKUP('Audit VAR'!A332,'Audit Dimensions'!A:P,16,FALSE)</f>
        <v>#N/A</v>
      </c>
      <c r="Q332" s="148" t="e">
        <f t="shared" si="5"/>
        <v>#N/A</v>
      </c>
    </row>
    <row r="333" spans="1:17">
      <c r="A333" s="58">
        <f>'Audit Dimensions'!A331</f>
        <v>0</v>
      </c>
      <c r="B333" s="2"/>
      <c r="C333" s="59"/>
      <c r="D333" s="59"/>
      <c r="E333" s="59"/>
      <c r="F333" s="137"/>
      <c r="G333" s="65"/>
      <c r="H333" s="65"/>
      <c r="I333" s="65"/>
      <c r="J333" s="61"/>
      <c r="K333" s="63"/>
      <c r="L333" s="63"/>
      <c r="M333" s="63"/>
      <c r="N333" s="140"/>
      <c r="O333" s="145" t="e">
        <f>VLOOKUP('Audit VAR'!A333,'Audit Dimensions'!A:P,16,FALSE)</f>
        <v>#N/A</v>
      </c>
      <c r="P333" s="143" t="e">
        <f>VLOOKUP(A333,'Billing Dimensions'!A:Q,17,FALSE)-VLOOKUP('Audit VAR'!A333,'Audit Dimensions'!A:P,16,FALSE)</f>
        <v>#N/A</v>
      </c>
      <c r="Q333" s="148" t="e">
        <f t="shared" si="5"/>
        <v>#N/A</v>
      </c>
    </row>
    <row r="334" spans="1:17">
      <c r="A334" s="58">
        <f>'Audit Dimensions'!A332</f>
        <v>0</v>
      </c>
      <c r="B334" s="2"/>
      <c r="C334" s="59"/>
      <c r="D334" s="59"/>
      <c r="E334" s="59"/>
      <c r="F334" s="137"/>
      <c r="G334" s="65"/>
      <c r="H334" s="65"/>
      <c r="I334" s="65"/>
      <c r="J334" s="61"/>
      <c r="K334" s="63"/>
      <c r="L334" s="63"/>
      <c r="M334" s="63"/>
      <c r="N334" s="140"/>
      <c r="O334" s="145" t="e">
        <f>VLOOKUP('Audit VAR'!A334,'Audit Dimensions'!A:P,16,FALSE)</f>
        <v>#N/A</v>
      </c>
      <c r="P334" s="143" t="e">
        <f>VLOOKUP(A334,'Billing Dimensions'!A:Q,17,FALSE)-VLOOKUP('Audit VAR'!A334,'Audit Dimensions'!A:P,16,FALSE)</f>
        <v>#N/A</v>
      </c>
      <c r="Q334" s="148" t="e">
        <f t="shared" si="5"/>
        <v>#N/A</v>
      </c>
    </row>
    <row r="335" spans="1:17">
      <c r="A335" s="58">
        <f>'Audit Dimensions'!A333</f>
        <v>0</v>
      </c>
      <c r="B335" s="2"/>
      <c r="C335" s="59"/>
      <c r="D335" s="59"/>
      <c r="E335" s="59"/>
      <c r="F335" s="137"/>
      <c r="G335" s="65"/>
      <c r="H335" s="65"/>
      <c r="I335" s="65"/>
      <c r="J335" s="61"/>
      <c r="K335" s="63"/>
      <c r="L335" s="63"/>
      <c r="M335" s="63"/>
      <c r="N335" s="140"/>
      <c r="O335" s="145" t="e">
        <f>VLOOKUP('Audit VAR'!A335,'Audit Dimensions'!A:P,16,FALSE)</f>
        <v>#N/A</v>
      </c>
      <c r="P335" s="143" t="e">
        <f>VLOOKUP(A335,'Billing Dimensions'!A:Q,17,FALSE)-VLOOKUP('Audit VAR'!A335,'Audit Dimensions'!A:P,16,FALSE)</f>
        <v>#N/A</v>
      </c>
      <c r="Q335" s="148" t="e">
        <f t="shared" si="5"/>
        <v>#N/A</v>
      </c>
    </row>
    <row r="336" spans="1:17">
      <c r="A336" s="58">
        <f>'Audit Dimensions'!A334</f>
        <v>0</v>
      </c>
      <c r="B336" s="2"/>
      <c r="C336" s="59"/>
      <c r="D336" s="59"/>
      <c r="E336" s="59"/>
      <c r="F336" s="137"/>
      <c r="G336" s="65"/>
      <c r="H336" s="65"/>
      <c r="I336" s="65"/>
      <c r="J336" s="61"/>
      <c r="K336" s="63"/>
      <c r="L336" s="63"/>
      <c r="M336" s="63"/>
      <c r="N336" s="140"/>
      <c r="O336" s="145" t="e">
        <f>VLOOKUP('Audit VAR'!A336,'Audit Dimensions'!A:P,16,FALSE)</f>
        <v>#N/A</v>
      </c>
      <c r="P336" s="143" t="e">
        <f>VLOOKUP(A336,'Billing Dimensions'!A:Q,17,FALSE)-VLOOKUP('Audit VAR'!A336,'Audit Dimensions'!A:P,16,FALSE)</f>
        <v>#N/A</v>
      </c>
      <c r="Q336" s="148" t="e">
        <f t="shared" si="5"/>
        <v>#N/A</v>
      </c>
    </row>
    <row r="337" spans="1:17">
      <c r="A337" s="58">
        <f>'Audit Dimensions'!A335</f>
        <v>0</v>
      </c>
      <c r="B337" s="2"/>
      <c r="C337" s="59"/>
      <c r="D337" s="59"/>
      <c r="E337" s="59"/>
      <c r="F337" s="137"/>
      <c r="G337" s="65"/>
      <c r="H337" s="65"/>
      <c r="I337" s="65"/>
      <c r="J337" s="61"/>
      <c r="K337" s="63"/>
      <c r="L337" s="63"/>
      <c r="M337" s="63"/>
      <c r="N337" s="140"/>
      <c r="O337" s="145" t="e">
        <f>VLOOKUP('Audit VAR'!A337,'Audit Dimensions'!A:P,16,FALSE)</f>
        <v>#N/A</v>
      </c>
      <c r="P337" s="143" t="e">
        <f>VLOOKUP(A337,'Billing Dimensions'!A:Q,17,FALSE)-VLOOKUP('Audit VAR'!A337,'Audit Dimensions'!A:P,16,FALSE)</f>
        <v>#N/A</v>
      </c>
      <c r="Q337" s="148" t="e">
        <f t="shared" si="5"/>
        <v>#N/A</v>
      </c>
    </row>
    <row r="338" spans="1:17">
      <c r="A338" s="58">
        <f>'Audit Dimensions'!A336</f>
        <v>0</v>
      </c>
      <c r="B338" s="2"/>
      <c r="C338" s="59"/>
      <c r="D338" s="59"/>
      <c r="E338" s="59"/>
      <c r="F338" s="137"/>
      <c r="G338" s="65"/>
      <c r="H338" s="65"/>
      <c r="I338" s="65"/>
      <c r="J338" s="61"/>
      <c r="K338" s="63"/>
      <c r="L338" s="63"/>
      <c r="M338" s="63"/>
      <c r="N338" s="140"/>
      <c r="O338" s="145" t="e">
        <f>VLOOKUP('Audit VAR'!A338,'Audit Dimensions'!A:P,16,FALSE)</f>
        <v>#N/A</v>
      </c>
      <c r="P338" s="143" t="e">
        <f>VLOOKUP(A338,'Billing Dimensions'!A:Q,17,FALSE)-VLOOKUP('Audit VAR'!A338,'Audit Dimensions'!A:P,16,FALSE)</f>
        <v>#N/A</v>
      </c>
      <c r="Q338" s="148" t="e">
        <f t="shared" si="5"/>
        <v>#N/A</v>
      </c>
    </row>
    <row r="339" spans="1:17">
      <c r="A339" s="58">
        <f>'Audit Dimensions'!A337</f>
        <v>0</v>
      </c>
      <c r="B339" s="2"/>
      <c r="C339" s="59"/>
      <c r="D339" s="59"/>
      <c r="E339" s="59"/>
      <c r="F339" s="137"/>
      <c r="G339" s="65"/>
      <c r="H339" s="65"/>
      <c r="I339" s="65"/>
      <c r="J339" s="61"/>
      <c r="K339" s="63"/>
      <c r="L339" s="63"/>
      <c r="M339" s="63"/>
      <c r="N339" s="140"/>
      <c r="O339" s="145" t="e">
        <f>VLOOKUP('Audit VAR'!A339,'Audit Dimensions'!A:P,16,FALSE)</f>
        <v>#N/A</v>
      </c>
      <c r="P339" s="143" t="e">
        <f>VLOOKUP(A339,'Billing Dimensions'!A:Q,17,FALSE)-VLOOKUP('Audit VAR'!A339,'Audit Dimensions'!A:P,16,FALSE)</f>
        <v>#N/A</v>
      </c>
      <c r="Q339" s="148" t="e">
        <f t="shared" si="5"/>
        <v>#N/A</v>
      </c>
    </row>
    <row r="340" spans="1:17">
      <c r="A340" s="58">
        <f>'Audit Dimensions'!A338</f>
        <v>0</v>
      </c>
      <c r="B340" s="2"/>
      <c r="C340" s="59"/>
      <c r="D340" s="59"/>
      <c r="E340" s="59"/>
      <c r="F340" s="137"/>
      <c r="G340" s="65"/>
      <c r="H340" s="65"/>
      <c r="I340" s="65"/>
      <c r="J340" s="61"/>
      <c r="K340" s="63"/>
      <c r="L340" s="63"/>
      <c r="M340" s="63"/>
      <c r="N340" s="140"/>
      <c r="O340" s="145" t="e">
        <f>VLOOKUP('Audit VAR'!A340,'Audit Dimensions'!A:P,16,FALSE)</f>
        <v>#N/A</v>
      </c>
      <c r="P340" s="143" t="e">
        <f>VLOOKUP(A340,'Billing Dimensions'!A:Q,17,FALSE)-VLOOKUP('Audit VAR'!A340,'Audit Dimensions'!A:P,16,FALSE)</f>
        <v>#N/A</v>
      </c>
      <c r="Q340" s="148" t="e">
        <f t="shared" si="5"/>
        <v>#N/A</v>
      </c>
    </row>
    <row r="341" spans="1:17">
      <c r="A341" s="58">
        <f>'Audit Dimensions'!A339</f>
        <v>0</v>
      </c>
      <c r="B341" s="2"/>
      <c r="C341" s="59"/>
      <c r="D341" s="59"/>
      <c r="E341" s="59"/>
      <c r="F341" s="137"/>
      <c r="G341" s="65"/>
      <c r="H341" s="65"/>
      <c r="I341" s="65"/>
      <c r="J341" s="61"/>
      <c r="K341" s="63"/>
      <c r="L341" s="63"/>
      <c r="M341" s="63"/>
      <c r="N341" s="140"/>
      <c r="O341" s="145" t="e">
        <f>VLOOKUP('Audit VAR'!A341,'Audit Dimensions'!A:P,16,FALSE)</f>
        <v>#N/A</v>
      </c>
      <c r="P341" s="143" t="e">
        <f>VLOOKUP(A341,'Billing Dimensions'!A:Q,17,FALSE)-VLOOKUP('Audit VAR'!A341,'Audit Dimensions'!A:P,16,FALSE)</f>
        <v>#N/A</v>
      </c>
      <c r="Q341" s="148" t="e">
        <f t="shared" si="5"/>
        <v>#N/A</v>
      </c>
    </row>
    <row r="342" spans="1:17">
      <c r="A342" s="58">
        <f>'Audit Dimensions'!A340</f>
        <v>0</v>
      </c>
      <c r="B342" s="2"/>
      <c r="C342" s="59"/>
      <c r="D342" s="59"/>
      <c r="E342" s="59"/>
      <c r="F342" s="137"/>
      <c r="G342" s="65"/>
      <c r="H342" s="65"/>
      <c r="I342" s="65"/>
      <c r="J342" s="61"/>
      <c r="K342" s="63"/>
      <c r="L342" s="63"/>
      <c r="M342" s="63"/>
      <c r="N342" s="140"/>
      <c r="O342" s="145" t="e">
        <f>VLOOKUP('Audit VAR'!A342,'Audit Dimensions'!A:P,16,FALSE)</f>
        <v>#N/A</v>
      </c>
      <c r="P342" s="143" t="e">
        <f>VLOOKUP(A342,'Billing Dimensions'!A:Q,17,FALSE)-VLOOKUP('Audit VAR'!A342,'Audit Dimensions'!A:P,16,FALSE)</f>
        <v>#N/A</v>
      </c>
      <c r="Q342" s="148" t="e">
        <f t="shared" si="5"/>
        <v>#N/A</v>
      </c>
    </row>
    <row r="343" spans="1:17">
      <c r="A343" s="58">
        <f>'Audit Dimensions'!A341</f>
        <v>0</v>
      </c>
      <c r="B343" s="2"/>
      <c r="C343" s="59"/>
      <c r="D343" s="59"/>
      <c r="E343" s="59"/>
      <c r="F343" s="137"/>
      <c r="G343" s="65"/>
      <c r="H343" s="65"/>
      <c r="I343" s="65"/>
      <c r="J343" s="61"/>
      <c r="K343" s="63"/>
      <c r="L343" s="63"/>
      <c r="M343" s="63"/>
      <c r="N343" s="140"/>
      <c r="O343" s="145" t="e">
        <f>VLOOKUP('Audit VAR'!A343,'Audit Dimensions'!A:P,16,FALSE)</f>
        <v>#N/A</v>
      </c>
      <c r="P343" s="143" t="e">
        <f>VLOOKUP(A343,'Billing Dimensions'!A:Q,17,FALSE)-VLOOKUP('Audit VAR'!A343,'Audit Dimensions'!A:P,16,FALSE)</f>
        <v>#N/A</v>
      </c>
      <c r="Q343" s="148" t="e">
        <f t="shared" si="5"/>
        <v>#N/A</v>
      </c>
    </row>
    <row r="344" spans="1:17">
      <c r="A344" s="58">
        <f>'Audit Dimensions'!A342</f>
        <v>0</v>
      </c>
      <c r="B344" s="2"/>
      <c r="C344" s="59"/>
      <c r="D344" s="59"/>
      <c r="E344" s="59"/>
      <c r="F344" s="137"/>
      <c r="G344" s="65"/>
      <c r="H344" s="65"/>
      <c r="I344" s="65"/>
      <c r="J344" s="61"/>
      <c r="K344" s="63"/>
      <c r="L344" s="63"/>
      <c r="M344" s="63"/>
      <c r="N344" s="140"/>
      <c r="O344" s="145" t="e">
        <f>VLOOKUP('Audit VAR'!A344,'Audit Dimensions'!A:P,16,FALSE)</f>
        <v>#N/A</v>
      </c>
      <c r="P344" s="143" t="e">
        <f>VLOOKUP(A344,'Billing Dimensions'!A:Q,17,FALSE)-VLOOKUP('Audit VAR'!A344,'Audit Dimensions'!A:P,16,FALSE)</f>
        <v>#N/A</v>
      </c>
      <c r="Q344" s="148" t="e">
        <f t="shared" si="5"/>
        <v>#N/A</v>
      </c>
    </row>
  </sheetData>
  <autoFilter ref="A3:Q338" xr:uid="{CF1C0DE1-ED9E-492F-B600-F03071945CFE}"/>
  <mergeCells count="4">
    <mergeCell ref="C1:F1"/>
    <mergeCell ref="G1:J1"/>
    <mergeCell ref="K1:N1"/>
    <mergeCell ref="P1:Q1"/>
  </mergeCells>
  <conditionalFormatting sqref="A1:A1048576">
    <cfRule type="duplicateValues" dxfId="93" priority="94"/>
  </conditionalFormatting>
  <conditionalFormatting sqref="A4:A344">
    <cfRule type="duplicateValues" dxfId="92" priority="222"/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F5DE-A081-44D6-8D21-DB0023350BB1}">
  <dimension ref="A1:AI322"/>
  <sheetViews>
    <sheetView workbookViewId="0">
      <pane ySplit="3" topLeftCell="A4" activePane="bottomLeft" state="frozen"/>
      <selection pane="bottomLeft" activeCell="F5" sqref="F5"/>
    </sheetView>
  </sheetViews>
  <sheetFormatPr defaultColWidth="8.85546875" defaultRowHeight="12.75"/>
  <cols>
    <col min="1" max="1" width="14.85546875" style="25" customWidth="1"/>
    <col min="2" max="2" width="6.7109375" style="6" customWidth="1"/>
    <col min="3" max="5" width="6.140625" style="33" customWidth="1"/>
    <col min="6" max="6" width="7.42578125" style="37" customWidth="1"/>
    <col min="7" max="10" width="6.5703125" style="18" customWidth="1"/>
    <col min="11" max="14" width="7.140625" style="34" customWidth="1"/>
    <col min="15" max="15" width="8.42578125" style="121" customWidth="1"/>
    <col min="16" max="16" width="10.5703125" style="126" customWidth="1"/>
    <col min="17" max="17" width="8.42578125" style="20" customWidth="1"/>
    <col min="18" max="18" width="11.7109375" style="20" bestFit="1" customWidth="1"/>
    <col min="19" max="19" width="10" style="20" customWidth="1"/>
    <col min="20" max="20" width="7.28515625" style="5" customWidth="1"/>
    <col min="21" max="22" width="9.140625" style="6"/>
    <col min="23" max="23" width="9.140625" style="164"/>
    <col min="24" max="25" width="9.140625" style="6"/>
    <col min="26" max="26" width="9.140625" style="164"/>
    <col min="27" max="27" width="9.140625" style="6"/>
    <col min="28" max="28" width="9.140625" style="5"/>
    <col min="29" max="29" width="9.140625" style="167"/>
    <col min="30" max="30" width="8.5703125" style="188" customWidth="1"/>
    <col min="31" max="31" width="9.140625" style="6"/>
    <col min="32" max="34" width="9.140625" style="5"/>
    <col min="35" max="16384" width="8.85546875" style="5"/>
  </cols>
  <sheetData>
    <row r="1" spans="1:31">
      <c r="A1" s="30" t="s">
        <v>0</v>
      </c>
      <c r="B1" s="27"/>
      <c r="C1" s="196" t="s">
        <v>1</v>
      </c>
      <c r="D1" s="196"/>
      <c r="E1" s="196"/>
      <c r="F1" s="196"/>
      <c r="G1" s="197" t="s">
        <v>2</v>
      </c>
      <c r="H1" s="197"/>
      <c r="I1" s="197"/>
      <c r="J1" s="197"/>
      <c r="K1" s="198" t="s">
        <v>3</v>
      </c>
      <c r="L1" s="198"/>
      <c r="M1" s="198"/>
      <c r="N1" s="198"/>
      <c r="O1" s="115" t="s">
        <v>4</v>
      </c>
      <c r="P1" s="122" t="s">
        <v>5</v>
      </c>
      <c r="Q1" s="199" t="s">
        <v>6</v>
      </c>
      <c r="R1" s="199"/>
      <c r="S1" s="35" t="s">
        <v>7</v>
      </c>
      <c r="U1" s="200" t="s">
        <v>8</v>
      </c>
      <c r="V1" s="200"/>
      <c r="W1" s="200"/>
      <c r="X1" s="200"/>
      <c r="Y1" s="200"/>
      <c r="Z1" s="200"/>
      <c r="AA1" s="200"/>
      <c r="AB1" s="200"/>
      <c r="AC1" s="200"/>
      <c r="AD1" s="187"/>
      <c r="AE1" s="104"/>
    </row>
    <row r="2" spans="1:31">
      <c r="A2" s="26"/>
      <c r="B2" s="27"/>
      <c r="C2" s="31" t="s">
        <v>9</v>
      </c>
      <c r="D2" s="31" t="s">
        <v>10</v>
      </c>
      <c r="E2" s="31" t="s">
        <v>11</v>
      </c>
      <c r="F2" s="36" t="s">
        <v>12</v>
      </c>
      <c r="G2" s="28" t="s">
        <v>9</v>
      </c>
      <c r="H2" s="28" t="s">
        <v>10</v>
      </c>
      <c r="I2" s="28" t="s">
        <v>11</v>
      </c>
      <c r="J2" s="28" t="s">
        <v>12</v>
      </c>
      <c r="K2" s="32" t="s">
        <v>9</v>
      </c>
      <c r="L2" s="32" t="s">
        <v>10</v>
      </c>
      <c r="M2" s="32" t="s">
        <v>11</v>
      </c>
      <c r="N2" s="32" t="s">
        <v>12</v>
      </c>
      <c r="O2" s="116" t="s">
        <v>13</v>
      </c>
      <c r="P2" s="123">
        <v>6</v>
      </c>
      <c r="Q2" s="35" t="s">
        <v>14</v>
      </c>
      <c r="R2" s="35" t="s">
        <v>15</v>
      </c>
      <c r="S2" s="35"/>
      <c r="U2" s="5"/>
      <c r="V2" s="5"/>
      <c r="W2" s="167"/>
      <c r="X2" s="5"/>
      <c r="Y2" s="5"/>
      <c r="Z2" s="167"/>
      <c r="AA2" s="5"/>
      <c r="AE2" s="164"/>
    </row>
    <row r="3" spans="1:31">
      <c r="A3" s="51" t="s">
        <v>16</v>
      </c>
      <c r="B3" s="52" t="s">
        <v>17</v>
      </c>
      <c r="C3" s="80" t="s">
        <v>18</v>
      </c>
      <c r="D3" s="80" t="s">
        <v>19</v>
      </c>
      <c r="E3" s="80" t="s">
        <v>20</v>
      </c>
      <c r="F3" s="81" t="s">
        <v>21</v>
      </c>
      <c r="G3" s="80" t="s">
        <v>22</v>
      </c>
      <c r="H3" s="80" t="s">
        <v>23</v>
      </c>
      <c r="I3" s="80" t="s">
        <v>24</v>
      </c>
      <c r="J3" s="82" t="s">
        <v>25</v>
      </c>
      <c r="K3" s="80" t="s">
        <v>26</v>
      </c>
      <c r="L3" s="80" t="s">
        <v>27</v>
      </c>
      <c r="M3" s="80" t="s">
        <v>28</v>
      </c>
      <c r="N3" s="82" t="s">
        <v>29</v>
      </c>
      <c r="O3" s="117" t="s">
        <v>30</v>
      </c>
      <c r="P3" s="124" t="s">
        <v>31</v>
      </c>
      <c r="Q3" s="83" t="s">
        <v>32</v>
      </c>
      <c r="R3" s="83" t="s">
        <v>33</v>
      </c>
      <c r="S3" s="83" t="s">
        <v>34</v>
      </c>
      <c r="T3" s="5" t="s">
        <v>35</v>
      </c>
      <c r="U3" s="6" t="s">
        <v>36</v>
      </c>
      <c r="V3" s="6" t="s">
        <v>37</v>
      </c>
      <c r="W3" s="6" t="s">
        <v>38</v>
      </c>
      <c r="X3" s="6" t="s">
        <v>39</v>
      </c>
      <c r="Y3" s="6" t="s">
        <v>40</v>
      </c>
      <c r="Z3" s="164" t="s">
        <v>41</v>
      </c>
      <c r="AA3" s="6" t="s">
        <v>42</v>
      </c>
      <c r="AB3" s="5" t="s">
        <v>43</v>
      </c>
      <c r="AC3" s="167" t="s">
        <v>44</v>
      </c>
      <c r="AD3" s="188" t="s">
        <v>45</v>
      </c>
      <c r="AE3" s="164" t="s">
        <v>46</v>
      </c>
    </row>
    <row r="4" spans="1:31" ht="12.4" customHeight="1">
      <c r="A4" s="68" t="s">
        <v>192</v>
      </c>
      <c r="B4" s="84" t="s">
        <v>48</v>
      </c>
      <c r="C4" s="84">
        <v>108</v>
      </c>
      <c r="D4" s="85">
        <v>27</v>
      </c>
      <c r="E4" s="85">
        <v>3</v>
      </c>
      <c r="F4" s="89">
        <v>4000</v>
      </c>
      <c r="G4" s="85"/>
      <c r="H4" s="85"/>
      <c r="I4" s="85"/>
      <c r="J4" s="85"/>
      <c r="K4" s="85"/>
      <c r="L4" s="85"/>
      <c r="M4" s="85"/>
      <c r="N4" s="85"/>
      <c r="O4" s="118">
        <f>((IFERROR((C4*D4*E4),0)+IFERROR((G4*H4*I4),0)+IFERROR((K4*L4*M4),0))/1000000)*35.32</f>
        <v>0.30897936000000004</v>
      </c>
      <c r="P4" s="125">
        <f>Table13[[#This Row],[Column15]]*$P$2*1000</f>
        <v>1853.8761600000003</v>
      </c>
      <c r="Q4" s="87">
        <f>F4+J4+N4</f>
        <v>4000</v>
      </c>
      <c r="R4" s="86">
        <f>MAX(Q4,O4)</f>
        <v>4000</v>
      </c>
      <c r="S4" s="86">
        <f>MAX(R4,P4)</f>
        <v>4000</v>
      </c>
      <c r="T4" s="156" t="str">
        <f>VLOOKUP(A4,'[1]MTP SKUs - Master Data'!$A:$B,2,FALSE)</f>
        <v>Y</v>
      </c>
      <c r="U4" s="162">
        <f>_xlfn.IFNA(VLOOKUP(Table13[[#This Row],[MTP SKU Code]],'Audit Dimensions'!A:N,6,FALSE),"ARC")</f>
        <v>2127</v>
      </c>
      <c r="V4" s="162">
        <f>IFERROR(Table13[[#This Row],[B1.Aud]]-Table13[[#This Row],[PW(gm)]],"ERR")</f>
        <v>-1873</v>
      </c>
      <c r="W4" s="165">
        <f>IFERROR(Table13[[#This Row],[B1.Diff]]/Table13[[#This Row],[B1.Aud]],"ERR")</f>
        <v>-0.88058298072402441</v>
      </c>
      <c r="X4" s="162">
        <f>_xlfn.IFNA(VLOOKUP(Table13[[#This Row],[MTP SKU Code]],'Audit Dimensions'!A:N,10,FALSE),"ARC")</f>
        <v>0</v>
      </c>
      <c r="Y4" s="163">
        <f>IFERROR(Table13[[#This Row],[B2.Aud]]-Table13[[#This Row],[PW(gm)5]],"ERR")</f>
        <v>0</v>
      </c>
      <c r="Z4" s="165" t="str">
        <f>IFERROR(Table13[[#This Row],[B2.Diff]]/Table13[[#This Row],[B2.Aud]],"ERR")</f>
        <v>ERR</v>
      </c>
      <c r="AA4" s="162">
        <f>_xlfn.IFNA(VLOOKUP(Table13[[#This Row],[MTP SKU Code]],'Audit Dimensions'!A:N,14,FALSE),"ARC")</f>
        <v>0</v>
      </c>
      <c r="AB4" s="161">
        <f>IFERROR(Table13[[#This Row],[B3.Aud]]-Table13[[#This Row],[PW(gm)9]],"ERR")</f>
        <v>0</v>
      </c>
      <c r="AC4" s="168">
        <f>IFERROR(Table13[[#This Row],[B3.Diff]]/Table13[[#This Row],[BaLL.Aud]],"ERR")</f>
        <v>0</v>
      </c>
      <c r="AD4" s="189">
        <f>_xlfn.IFNA(VLOOKUP(Table13[[#This Row],[MTP SKU Code]],'Audit Dimensions'!A:U,16,FALSE),"ARC")</f>
        <v>2127</v>
      </c>
      <c r="AE4" s="165">
        <f>IFERROR(1-Table13[[#This Row],[Gms]]/Table13[[#This Row],[BaLL.Aud]],"ERR")</f>
        <v>-0.88058298072402441</v>
      </c>
    </row>
    <row r="5" spans="1:31">
      <c r="A5" s="70" t="s">
        <v>52</v>
      </c>
      <c r="B5" s="84" t="s">
        <v>48</v>
      </c>
      <c r="C5" s="84">
        <v>33</v>
      </c>
      <c r="D5" s="84">
        <v>31</v>
      </c>
      <c r="E5" s="84">
        <v>4</v>
      </c>
      <c r="F5" s="89">
        <v>1250</v>
      </c>
      <c r="G5" s="85"/>
      <c r="H5" s="85"/>
      <c r="I5" s="85"/>
      <c r="J5" s="85"/>
      <c r="K5" s="85"/>
      <c r="L5" s="85"/>
      <c r="M5" s="85"/>
      <c r="N5" s="85"/>
      <c r="O5" s="118">
        <f>((IFERROR((C5*D5*E5),0)+IFERROR((G5*H5*I5),0)+IFERROR((K5*L5*M5),0))/1000000)*35.32</f>
        <v>0.14452944000000001</v>
      </c>
      <c r="P5" s="125">
        <f>Table13[[#This Row],[Column15]]*$P$2*1000</f>
        <v>867.17664000000002</v>
      </c>
      <c r="Q5" s="87">
        <f>F5+J5+N5</f>
        <v>1250</v>
      </c>
      <c r="R5" s="86">
        <f>MAX(Q5,O5)</f>
        <v>1250</v>
      </c>
      <c r="S5" s="86">
        <f>MAX(R5,P5)</f>
        <v>1250</v>
      </c>
      <c r="T5" s="156" t="str">
        <f>VLOOKUP(A5,'[1]MTP SKUs - Master Data'!$A:$B,2,FALSE)</f>
        <v>Y</v>
      </c>
      <c r="U5" s="162">
        <f>_xlfn.IFNA(VLOOKUP(Table13[[#This Row],[MTP SKU Code]],'Audit Dimensions'!A:N,6,FALSE),"ARC")</f>
        <v>750</v>
      </c>
      <c r="V5" s="162">
        <f>IFERROR(Table13[[#This Row],[B1.Aud]]-Table13[[#This Row],[PW(gm)]],"ERR")</f>
        <v>-500</v>
      </c>
      <c r="W5" s="165">
        <f>IFERROR(Table13[[#This Row],[B1.Diff]]/Table13[[#This Row],[B1.Aud]],"ERR")</f>
        <v>-0.66666666666666663</v>
      </c>
      <c r="X5" s="162">
        <f>_xlfn.IFNA(VLOOKUP(Table13[[#This Row],[MTP SKU Code]],'Audit Dimensions'!A:N,10,FALSE),"ARC")</f>
        <v>0</v>
      </c>
      <c r="Y5" s="163">
        <f>IFERROR(Table13[[#This Row],[B2.Aud]]-Table13[[#This Row],[PW(gm)5]],"ERR")</f>
        <v>0</v>
      </c>
      <c r="Z5" s="165" t="str">
        <f>IFERROR(Table13[[#This Row],[B2.Diff]]/Table13[[#This Row],[B2.Aud]],"ERR")</f>
        <v>ERR</v>
      </c>
      <c r="AA5" s="162">
        <f>_xlfn.IFNA(VLOOKUP(Table13[[#This Row],[MTP SKU Code]],'Audit Dimensions'!A:N,14,FALSE),"ARC")</f>
        <v>0</v>
      </c>
      <c r="AB5" s="161">
        <f>IFERROR(Table13[[#This Row],[B3.Aud]]-Table13[[#This Row],[PW(gm)9]],"ERR")</f>
        <v>0</v>
      </c>
      <c r="AC5" s="168">
        <f>IFERROR(Table13[[#This Row],[B3.Diff]]/Table13[[#This Row],[BaLL.Aud]],"ERR")</f>
        <v>0</v>
      </c>
      <c r="AD5" s="189">
        <f>_xlfn.IFNA(VLOOKUP(Table13[[#This Row],[MTP SKU Code]],'Audit Dimensions'!A:U,16,FALSE),"ARC")</f>
        <v>750</v>
      </c>
      <c r="AE5" s="165">
        <f>IFERROR(1-Table13[[#This Row],[Gms]]/Table13[[#This Row],[BaLL.Aud]],"ERR")</f>
        <v>-0.66666666666666674</v>
      </c>
    </row>
    <row r="6" spans="1:31">
      <c r="A6" s="70" t="s">
        <v>64</v>
      </c>
      <c r="B6" s="84" t="s">
        <v>48</v>
      </c>
      <c r="C6" s="84">
        <v>25</v>
      </c>
      <c r="D6" s="84">
        <v>25</v>
      </c>
      <c r="E6" s="84">
        <v>6</v>
      </c>
      <c r="F6" s="89">
        <v>700</v>
      </c>
      <c r="G6" s="85"/>
      <c r="H6" s="85"/>
      <c r="I6" s="85"/>
      <c r="J6" s="85"/>
      <c r="K6" s="85"/>
      <c r="L6" s="85"/>
      <c r="M6" s="85"/>
      <c r="N6" s="85"/>
      <c r="O6" s="118">
        <f>((IFERROR((C6*D6*E6),0)+IFERROR((G6*H6*I6),0)+IFERROR((K6*L6*M6),0))/1000000)*35.32</f>
        <v>0.13244999999999998</v>
      </c>
      <c r="P6" s="125">
        <f>Table13[[#This Row],[Column15]]*$P$2*1000</f>
        <v>794.69999999999993</v>
      </c>
      <c r="Q6" s="87">
        <f>F6+J6+N6</f>
        <v>700</v>
      </c>
      <c r="R6" s="86">
        <f>MAX(Q6,O6)</f>
        <v>700</v>
      </c>
      <c r="S6" s="86">
        <f>MAX(R6,P6)</f>
        <v>794.69999999999993</v>
      </c>
      <c r="T6" s="156" t="str">
        <f>VLOOKUP(A6,'[1]MTP SKUs - Master Data'!$A:$B,2,FALSE)</f>
        <v>Y</v>
      </c>
      <c r="U6" s="162">
        <f>_xlfn.IFNA(VLOOKUP(Table13[[#This Row],[MTP SKU Code]],'Audit Dimensions'!A:N,6,FALSE),"ARC")</f>
        <v>400</v>
      </c>
      <c r="V6" s="162">
        <f>IFERROR(Table13[[#This Row],[B1.Aud]]-Table13[[#This Row],[PW(gm)]],"ERR")</f>
        <v>-300</v>
      </c>
      <c r="W6" s="165">
        <f>IFERROR(Table13[[#This Row],[B1.Diff]]/Table13[[#This Row],[B1.Aud]],"ERR")</f>
        <v>-0.75</v>
      </c>
      <c r="X6" s="162">
        <f>_xlfn.IFNA(VLOOKUP(Table13[[#This Row],[MTP SKU Code]],'Audit Dimensions'!A:N,10,FALSE),"ARC")</f>
        <v>0</v>
      </c>
      <c r="Y6" s="163">
        <f>IFERROR(Table13[[#This Row],[B2.Aud]]-Table13[[#This Row],[PW(gm)5]],"ERR")</f>
        <v>0</v>
      </c>
      <c r="Z6" s="165" t="str">
        <f>IFERROR(Table13[[#This Row],[B2.Diff]]/Table13[[#This Row],[B2.Aud]],"ERR")</f>
        <v>ERR</v>
      </c>
      <c r="AA6" s="162">
        <f>_xlfn.IFNA(VLOOKUP(Table13[[#This Row],[MTP SKU Code]],'Audit Dimensions'!A:N,14,FALSE),"ARC")</f>
        <v>0</v>
      </c>
      <c r="AB6" s="161">
        <f>IFERROR(Table13[[#This Row],[B3.Aud]]-Table13[[#This Row],[PW(gm)9]],"ERR")</f>
        <v>0</v>
      </c>
      <c r="AC6" s="168">
        <f>IFERROR(Table13[[#This Row],[B3.Diff]]/Table13[[#This Row],[BaLL.Aud]],"ERR")</f>
        <v>0</v>
      </c>
      <c r="AD6" s="189">
        <f>_xlfn.IFNA(VLOOKUP(Table13[[#This Row],[MTP SKU Code]],'Audit Dimensions'!A:U,16,FALSE),"ARC")</f>
        <v>400</v>
      </c>
      <c r="AE6" s="165">
        <f>IFERROR(1-Table13[[#This Row],[Gms]]/Table13[[#This Row],[BaLL.Aud]],"ERR")</f>
        <v>-0.75</v>
      </c>
    </row>
    <row r="7" spans="1:31">
      <c r="A7" s="68" t="s">
        <v>256</v>
      </c>
      <c r="B7" s="84" t="s">
        <v>48</v>
      </c>
      <c r="C7" s="84">
        <v>40</v>
      </c>
      <c r="D7" s="85">
        <v>20</v>
      </c>
      <c r="E7" s="85">
        <v>5</v>
      </c>
      <c r="F7" s="89">
        <v>1700</v>
      </c>
      <c r="G7" s="85"/>
      <c r="H7" s="85"/>
      <c r="I7" s="85"/>
      <c r="J7" s="85"/>
      <c r="K7" s="85"/>
      <c r="L7" s="85"/>
      <c r="M7" s="85"/>
      <c r="N7" s="85"/>
      <c r="O7" s="118">
        <f>((IFERROR((C7*D7*E7),0)+IFERROR((G7*H7*I7),0)+IFERROR((K7*L7*M7),0))/1000000)*35.32</f>
        <v>0.14128000000000002</v>
      </c>
      <c r="P7" s="125">
        <f>Table13[[#This Row],[Column15]]*$P$2*1000</f>
        <v>847.68000000000006</v>
      </c>
      <c r="Q7" s="87">
        <f>F7+J7+N7</f>
        <v>1700</v>
      </c>
      <c r="R7" s="86">
        <f>MAX(Q7,O7)</f>
        <v>1700</v>
      </c>
      <c r="S7" s="86">
        <f>MAX(R7,P7)</f>
        <v>1700</v>
      </c>
      <c r="T7" s="156" t="str">
        <f>VLOOKUP(A7,'[1]MTP SKUs - Master Data'!$A:$B,2,FALSE)</f>
        <v>Y</v>
      </c>
      <c r="U7" s="162">
        <f>_xlfn.IFNA(VLOOKUP(Table13[[#This Row],[MTP SKU Code]],'Audit Dimensions'!A:N,6,FALSE),"ARC")</f>
        <v>1050</v>
      </c>
      <c r="V7" s="162">
        <f>IFERROR(Table13[[#This Row],[B1.Aud]]-Table13[[#This Row],[PW(gm)]],"ERR")</f>
        <v>-650</v>
      </c>
      <c r="W7" s="165">
        <f>IFERROR(Table13[[#This Row],[B1.Diff]]/Table13[[#This Row],[B1.Aud]],"ERR")</f>
        <v>-0.61904761904761907</v>
      </c>
      <c r="X7" s="162">
        <f>_xlfn.IFNA(VLOOKUP(Table13[[#This Row],[MTP SKU Code]],'Audit Dimensions'!A:N,10,FALSE),"ARC")</f>
        <v>0</v>
      </c>
      <c r="Y7" s="163">
        <f>IFERROR(Table13[[#This Row],[B2.Aud]]-Table13[[#This Row],[PW(gm)5]],"ERR")</f>
        <v>0</v>
      </c>
      <c r="Z7" s="165" t="str">
        <f>IFERROR(Table13[[#This Row],[B2.Diff]]/Table13[[#This Row],[B2.Aud]],"ERR")</f>
        <v>ERR</v>
      </c>
      <c r="AA7" s="162">
        <f>_xlfn.IFNA(VLOOKUP(Table13[[#This Row],[MTP SKU Code]],'Audit Dimensions'!A:N,14,FALSE),"ARC")</f>
        <v>0</v>
      </c>
      <c r="AB7" s="161">
        <f>IFERROR(Table13[[#This Row],[B3.Aud]]-Table13[[#This Row],[PW(gm)9]],"ERR")</f>
        <v>0</v>
      </c>
      <c r="AC7" s="168">
        <f>IFERROR(Table13[[#This Row],[B3.Diff]]/Table13[[#This Row],[BaLL.Aud]],"ERR")</f>
        <v>0</v>
      </c>
      <c r="AD7" s="189">
        <f>_xlfn.IFNA(VLOOKUP(Table13[[#This Row],[MTP SKU Code]],'Audit Dimensions'!A:U,16,FALSE),"ARC")</f>
        <v>1050</v>
      </c>
      <c r="AE7" s="165">
        <f>IFERROR(1-Table13[[#This Row],[Gms]]/Table13[[#This Row],[BaLL.Aud]],"ERR")</f>
        <v>-0.61904761904761907</v>
      </c>
    </row>
    <row r="8" spans="1:31">
      <c r="A8" s="68" t="s">
        <v>142</v>
      </c>
      <c r="B8" s="84" t="s">
        <v>48</v>
      </c>
      <c r="C8" s="84">
        <v>152</v>
      </c>
      <c r="D8" s="85">
        <v>58</v>
      </c>
      <c r="E8" s="85">
        <v>9</v>
      </c>
      <c r="F8" s="89">
        <v>25000</v>
      </c>
      <c r="G8" s="85"/>
      <c r="H8" s="85"/>
      <c r="I8" s="85"/>
      <c r="J8" s="85"/>
      <c r="K8" s="85"/>
      <c r="L8" s="85"/>
      <c r="M8" s="85"/>
      <c r="N8" s="85"/>
      <c r="O8" s="118">
        <f>((IFERROR((C8*D8*E8),0)+IFERROR((G8*H8*I8),0)+IFERROR((K8*L8*M8),0))/1000000)*35.32</f>
        <v>2.8024300800000002</v>
      </c>
      <c r="P8" s="125">
        <f>Table13[[#This Row],[Column15]]*$P$2*1000</f>
        <v>16814.580480000001</v>
      </c>
      <c r="Q8" s="87">
        <f>F8+J8+N8</f>
        <v>25000</v>
      </c>
      <c r="R8" s="86">
        <f>MAX(Q8,O8)</f>
        <v>25000</v>
      </c>
      <c r="S8" s="86">
        <f>MAX(R8,P8)</f>
        <v>25000</v>
      </c>
      <c r="T8" s="156" t="str">
        <f>VLOOKUP(A8,'[1]MTP SKUs - Master Data'!$A:$B,2,FALSE)</f>
        <v>Y</v>
      </c>
      <c r="U8" s="162">
        <f>_xlfn.IFNA(VLOOKUP(Table13[[#This Row],[MTP SKU Code]],'Audit Dimensions'!A:N,6,FALSE),"ARC")</f>
        <v>16510</v>
      </c>
      <c r="V8" s="162">
        <f>IFERROR(Table13[[#This Row],[B1.Aud]]-Table13[[#This Row],[PW(gm)]],"ERR")</f>
        <v>-8490</v>
      </c>
      <c r="W8" s="165">
        <f>IFERROR(Table13[[#This Row],[B1.Diff]]/Table13[[#This Row],[B1.Aud]],"ERR")</f>
        <v>-0.51423379769836464</v>
      </c>
      <c r="X8" s="162">
        <f>_xlfn.IFNA(VLOOKUP(Table13[[#This Row],[MTP SKU Code]],'Audit Dimensions'!A:N,10,FALSE),"ARC")</f>
        <v>0</v>
      </c>
      <c r="Y8" s="163">
        <f>IFERROR(Table13[[#This Row],[B2.Aud]]-Table13[[#This Row],[PW(gm)5]],"ERR")</f>
        <v>0</v>
      </c>
      <c r="Z8" s="165" t="str">
        <f>IFERROR(Table13[[#This Row],[B2.Diff]]/Table13[[#This Row],[B2.Aud]],"ERR")</f>
        <v>ERR</v>
      </c>
      <c r="AA8" s="162">
        <f>_xlfn.IFNA(VLOOKUP(Table13[[#This Row],[MTP SKU Code]],'Audit Dimensions'!A:N,14,FALSE),"ARC")</f>
        <v>0</v>
      </c>
      <c r="AB8" s="161">
        <f>IFERROR(Table13[[#This Row],[B3.Aud]]-Table13[[#This Row],[PW(gm)9]],"ERR")</f>
        <v>0</v>
      </c>
      <c r="AC8" s="168">
        <f>IFERROR(Table13[[#This Row],[B3.Diff]]/Table13[[#This Row],[BaLL.Aud]],"ERR")</f>
        <v>0</v>
      </c>
      <c r="AD8" s="189">
        <f>_xlfn.IFNA(VLOOKUP(Table13[[#This Row],[MTP SKU Code]],'Audit Dimensions'!A:U,16,FALSE),"ARC")</f>
        <v>16510</v>
      </c>
      <c r="AE8" s="165">
        <f>IFERROR(1-Table13[[#This Row],[Gms]]/Table13[[#This Row],[BaLL.Aud]],"ERR")</f>
        <v>-0.51423379769836464</v>
      </c>
    </row>
    <row r="9" spans="1:31">
      <c r="A9" s="69" t="s">
        <v>231</v>
      </c>
      <c r="B9" s="84" t="s">
        <v>74</v>
      </c>
      <c r="C9" s="85">
        <v>70</v>
      </c>
      <c r="D9" s="85">
        <v>68</v>
      </c>
      <c r="E9" s="85">
        <v>5</v>
      </c>
      <c r="F9" s="89">
        <v>6920</v>
      </c>
      <c r="G9" s="85">
        <v>52</v>
      </c>
      <c r="H9" s="85">
        <v>10</v>
      </c>
      <c r="I9" s="85">
        <v>10</v>
      </c>
      <c r="J9" s="85">
        <v>1200</v>
      </c>
      <c r="K9" s="85"/>
      <c r="L9" s="85"/>
      <c r="M9" s="85"/>
      <c r="N9" s="85"/>
      <c r="O9" s="118">
        <f>((IFERROR((C9*D9*E9),0)+IFERROR((G9*H9*I9),0)+IFERROR((K9*L9*M9),0))/1000000)*35.32</f>
        <v>1.0242800000000001</v>
      </c>
      <c r="P9" s="125">
        <f>Table13[[#This Row],[Column15]]*$P$2*1000</f>
        <v>6145.68</v>
      </c>
      <c r="Q9" s="87">
        <f>F9+J9+N9</f>
        <v>8120</v>
      </c>
      <c r="R9" s="86">
        <f>MAX(Q9,O9)</f>
        <v>8120</v>
      </c>
      <c r="S9" s="86">
        <f>MAX(R9,P9)</f>
        <v>8120</v>
      </c>
      <c r="T9" s="156" t="str">
        <f>VLOOKUP(A9,'[1]MTP SKUs - Master Data'!$A:$B,2,FALSE)</f>
        <v>Y</v>
      </c>
      <c r="U9" s="162">
        <f>_xlfn.IFNA(VLOOKUP(Table13[[#This Row],[MTP SKU Code]],'Audit Dimensions'!A:N,6,FALSE),"ARC")</f>
        <v>4200</v>
      </c>
      <c r="V9" s="162">
        <f>IFERROR(Table13[[#This Row],[B1.Aud]]-Table13[[#This Row],[PW(gm)]],"ERR")</f>
        <v>-2720</v>
      </c>
      <c r="W9" s="165">
        <f>IFERROR(Table13[[#This Row],[B1.Diff]]/Table13[[#This Row],[B1.Aud]],"ERR")</f>
        <v>-0.64761904761904765</v>
      </c>
      <c r="X9" s="162">
        <f>_xlfn.IFNA(VLOOKUP(Table13[[#This Row],[MTP SKU Code]],'Audit Dimensions'!A:N,10,FALSE),"ARC")</f>
        <v>1350</v>
      </c>
      <c r="Y9" s="163">
        <f>IFERROR(Table13[[#This Row],[B2.Aud]]-Table13[[#This Row],[PW(gm)5]],"ERR")</f>
        <v>150</v>
      </c>
      <c r="Z9" s="165">
        <f>IFERROR(Table13[[#This Row],[B2.Diff]]/Table13[[#This Row],[B2.Aud]],"ERR")</f>
        <v>0.1111111111111111</v>
      </c>
      <c r="AA9" s="162">
        <f>_xlfn.IFNA(VLOOKUP(Table13[[#This Row],[MTP SKU Code]],'Audit Dimensions'!A:N,14,FALSE),"ARC")</f>
        <v>0</v>
      </c>
      <c r="AB9" s="161">
        <f>IFERROR(Table13[[#This Row],[B3.Aud]]-Table13[[#This Row],[PW(gm)9]],"ERR")</f>
        <v>0</v>
      </c>
      <c r="AC9" s="168">
        <f>IFERROR(Table13[[#This Row],[B3.Diff]]/Table13[[#This Row],[BaLL.Aud]],"ERR")</f>
        <v>0</v>
      </c>
      <c r="AD9" s="189">
        <f>_xlfn.IFNA(VLOOKUP(Table13[[#This Row],[MTP SKU Code]],'Audit Dimensions'!A:U,16,FALSE),"ARC")</f>
        <v>5550</v>
      </c>
      <c r="AE9" s="165">
        <f>IFERROR(1-Table13[[#This Row],[Gms]]/Table13[[#This Row],[BaLL.Aud]],"ERR")</f>
        <v>-0.463063063063063</v>
      </c>
    </row>
    <row r="10" spans="1:31" ht="12.4" customHeight="1">
      <c r="A10" s="70" t="s">
        <v>53</v>
      </c>
      <c r="B10" s="84" t="s">
        <v>48</v>
      </c>
      <c r="C10" s="84">
        <v>24</v>
      </c>
      <c r="D10" s="84">
        <v>11</v>
      </c>
      <c r="E10" s="84">
        <v>5</v>
      </c>
      <c r="F10" s="89">
        <v>300</v>
      </c>
      <c r="G10" s="85"/>
      <c r="H10" s="85"/>
      <c r="I10" s="85"/>
      <c r="J10" s="85"/>
      <c r="K10" s="85"/>
      <c r="L10" s="85"/>
      <c r="M10" s="85"/>
      <c r="N10" s="85"/>
      <c r="O10" s="118">
        <f>((IFERROR((C10*D10*E10),0)+IFERROR((G10*H10*I10),0)+IFERROR((K10*L10*M10),0))/1000000)*35.32</f>
        <v>4.6622400000000001E-2</v>
      </c>
      <c r="P10" s="125">
        <f>Table13[[#This Row],[Column15]]*$P$2*1000</f>
        <v>279.73439999999999</v>
      </c>
      <c r="Q10" s="87">
        <f>F10+J10+N10</f>
        <v>300</v>
      </c>
      <c r="R10" s="86">
        <f>MAX(Q10,O10)</f>
        <v>300</v>
      </c>
      <c r="S10" s="86">
        <f>MAX(R10,P10)</f>
        <v>300</v>
      </c>
      <c r="T10" s="156" t="str">
        <f>VLOOKUP(A10,'[1]MTP SKUs - Master Data'!$A:$B,2,FALSE)</f>
        <v>Y</v>
      </c>
      <c r="U10" s="162">
        <f>_xlfn.IFNA(VLOOKUP(Table13[[#This Row],[MTP SKU Code]],'Audit Dimensions'!A:N,6,FALSE),"ARC")</f>
        <v>202</v>
      </c>
      <c r="V10" s="162">
        <f>IFERROR(Table13[[#This Row],[B1.Aud]]-Table13[[#This Row],[PW(gm)]],"ERR")</f>
        <v>-98</v>
      </c>
      <c r="W10" s="165">
        <f>IFERROR(Table13[[#This Row],[B1.Diff]]/Table13[[#This Row],[B1.Aud]],"ERR")</f>
        <v>-0.48514851485148514</v>
      </c>
      <c r="X10" s="162">
        <f>_xlfn.IFNA(VLOOKUP(Table13[[#This Row],[MTP SKU Code]],'Audit Dimensions'!A:N,10,FALSE),"ARC")</f>
        <v>0</v>
      </c>
      <c r="Y10" s="163">
        <f>IFERROR(Table13[[#This Row],[B2.Aud]]-Table13[[#This Row],[PW(gm)5]],"ERR")</f>
        <v>0</v>
      </c>
      <c r="Z10" s="165" t="str">
        <f>IFERROR(Table13[[#This Row],[B2.Diff]]/Table13[[#This Row],[B2.Aud]],"ERR")</f>
        <v>ERR</v>
      </c>
      <c r="AA10" s="162">
        <f>_xlfn.IFNA(VLOOKUP(Table13[[#This Row],[MTP SKU Code]],'Audit Dimensions'!A:N,14,FALSE),"ARC")</f>
        <v>0</v>
      </c>
      <c r="AB10" s="161">
        <f>IFERROR(Table13[[#This Row],[B3.Aud]]-Table13[[#This Row],[PW(gm)9]],"ERR")</f>
        <v>0</v>
      </c>
      <c r="AC10" s="168">
        <f>IFERROR(Table13[[#This Row],[B3.Diff]]/Table13[[#This Row],[BaLL.Aud]],"ERR")</f>
        <v>0</v>
      </c>
      <c r="AD10" s="189">
        <f>_xlfn.IFNA(VLOOKUP(Table13[[#This Row],[MTP SKU Code]],'Audit Dimensions'!A:U,16,FALSE),"ARC")</f>
        <v>202</v>
      </c>
      <c r="AE10" s="165">
        <f>IFERROR(1-Table13[[#This Row],[Gms]]/Table13[[#This Row],[BaLL.Aud]],"ERR")</f>
        <v>-0.48514851485148514</v>
      </c>
    </row>
    <row r="11" spans="1:31" ht="12.4" customHeight="1">
      <c r="A11" s="68" t="s">
        <v>190</v>
      </c>
      <c r="B11" s="84" t="s">
        <v>48</v>
      </c>
      <c r="C11" s="85">
        <v>162</v>
      </c>
      <c r="D11" s="85">
        <v>73</v>
      </c>
      <c r="E11" s="85">
        <v>8</v>
      </c>
      <c r="F11" s="89">
        <v>24450</v>
      </c>
      <c r="G11" s="85"/>
      <c r="H11" s="85"/>
      <c r="I11" s="85"/>
      <c r="J11" s="85"/>
      <c r="K11" s="85"/>
      <c r="L11" s="85"/>
      <c r="M11" s="85"/>
      <c r="N11" s="85"/>
      <c r="O11" s="118">
        <f>((IFERROR((C11*D11*E11),0)+IFERROR((G11*H11*I11),0)+IFERROR((K11*L11*M11),0))/1000000)*35.32</f>
        <v>3.3415545600000001</v>
      </c>
      <c r="P11" s="125">
        <f>Table13[[#This Row],[Column15]]*$P$2*1000</f>
        <v>20049.327359999999</v>
      </c>
      <c r="Q11" s="87">
        <f>F11+J11+N11</f>
        <v>24450</v>
      </c>
      <c r="R11" s="86">
        <f>MAX(Q11,O11)</f>
        <v>24450</v>
      </c>
      <c r="S11" s="86">
        <f>MAX(R11,P11)</f>
        <v>24450</v>
      </c>
      <c r="T11" s="156" t="str">
        <f>VLOOKUP(A11,'[1]MTP SKUs - Master Data'!$A:$B,2,FALSE)</f>
        <v>Y</v>
      </c>
      <c r="U11" s="162">
        <f>_xlfn.IFNA(VLOOKUP(Table13[[#This Row],[MTP SKU Code]],'Audit Dimensions'!A:N,6,FALSE),"ARC")</f>
        <v>16650</v>
      </c>
      <c r="V11" s="162">
        <f>IFERROR(Table13[[#This Row],[B1.Aud]]-Table13[[#This Row],[PW(gm)]],"ERR")</f>
        <v>-7800</v>
      </c>
      <c r="W11" s="165">
        <f>IFERROR(Table13[[#This Row],[B1.Diff]]/Table13[[#This Row],[B1.Aud]],"ERR")</f>
        <v>-0.46846846846846846</v>
      </c>
      <c r="X11" s="162">
        <f>_xlfn.IFNA(VLOOKUP(Table13[[#This Row],[MTP SKU Code]],'Audit Dimensions'!A:N,10,FALSE),"ARC")</f>
        <v>0</v>
      </c>
      <c r="Y11" s="163">
        <f>IFERROR(Table13[[#This Row],[B2.Aud]]-Table13[[#This Row],[PW(gm)5]],"ERR")</f>
        <v>0</v>
      </c>
      <c r="Z11" s="165" t="str">
        <f>IFERROR(Table13[[#This Row],[B2.Diff]]/Table13[[#This Row],[B2.Aud]],"ERR")</f>
        <v>ERR</v>
      </c>
      <c r="AA11" s="162">
        <f>_xlfn.IFNA(VLOOKUP(Table13[[#This Row],[MTP SKU Code]],'Audit Dimensions'!A:N,14,FALSE),"ARC")</f>
        <v>0</v>
      </c>
      <c r="AB11" s="161">
        <f>IFERROR(Table13[[#This Row],[B3.Aud]]-Table13[[#This Row],[PW(gm)9]],"ERR")</f>
        <v>0</v>
      </c>
      <c r="AC11" s="168">
        <f>IFERROR(Table13[[#This Row],[B3.Diff]]/Table13[[#This Row],[BaLL.Aud]],"ERR")</f>
        <v>0</v>
      </c>
      <c r="AD11" s="189">
        <f>_xlfn.IFNA(VLOOKUP(Table13[[#This Row],[MTP SKU Code]],'Audit Dimensions'!A:U,16,FALSE),"ARC")</f>
        <v>16650</v>
      </c>
      <c r="AE11" s="165">
        <f>IFERROR(1-Table13[[#This Row],[Gms]]/Table13[[#This Row],[BaLL.Aud]],"ERR")</f>
        <v>-0.46846846846846857</v>
      </c>
    </row>
    <row r="12" spans="1:31" s="48" customFormat="1" ht="12.4" customHeight="1">
      <c r="A12" s="68" t="s">
        <v>54</v>
      </c>
      <c r="B12" s="84" t="s">
        <v>48</v>
      </c>
      <c r="C12" s="85">
        <v>35</v>
      </c>
      <c r="D12" s="85">
        <v>14</v>
      </c>
      <c r="E12" s="85">
        <v>4</v>
      </c>
      <c r="F12" s="89">
        <v>390</v>
      </c>
      <c r="G12" s="85"/>
      <c r="H12" s="85"/>
      <c r="I12" s="85"/>
      <c r="J12" s="85"/>
      <c r="K12" s="85"/>
      <c r="L12" s="85"/>
      <c r="M12" s="85"/>
      <c r="N12" s="85"/>
      <c r="O12" s="118">
        <f>((IFERROR((C12*D12*E12),0)+IFERROR((G12*H12*I12),0)+IFERROR((K12*L12*M12),0))/1000000)*35.32</f>
        <v>6.9227200000000003E-2</v>
      </c>
      <c r="P12" s="125">
        <f>Table13[[#This Row],[Column15]]*$P$2*1000</f>
        <v>415.36320000000006</v>
      </c>
      <c r="Q12" s="87">
        <f>F12+J12+N12</f>
        <v>390</v>
      </c>
      <c r="R12" s="86">
        <f>MAX(Q12,O12)</f>
        <v>390</v>
      </c>
      <c r="S12" s="86">
        <f>MAX(R12,P12)</f>
        <v>415.36320000000006</v>
      </c>
      <c r="T12" s="156" t="str">
        <f>VLOOKUP(A12,'[1]MTP SKUs - Master Data'!$A:$B,2,FALSE)</f>
        <v>RL</v>
      </c>
      <c r="U12" s="162">
        <f>_xlfn.IFNA(VLOOKUP(Table13[[#This Row],[MTP SKU Code]],'Audit Dimensions'!A:N,6,FALSE),"ARC")</f>
        <v>266</v>
      </c>
      <c r="V12" s="162">
        <f>IFERROR(Table13[[#This Row],[B1.Aud]]-Table13[[#This Row],[PW(gm)]],"ERR")</f>
        <v>-124</v>
      </c>
      <c r="W12" s="165">
        <f>IFERROR(Table13[[#This Row],[B1.Diff]]/Table13[[#This Row],[B1.Aud]],"ERR")</f>
        <v>-0.46616541353383456</v>
      </c>
      <c r="X12" s="162">
        <f>_xlfn.IFNA(VLOOKUP(Table13[[#This Row],[MTP SKU Code]],'Audit Dimensions'!A:N,10,FALSE),"ARC")</f>
        <v>0</v>
      </c>
      <c r="Y12" s="163">
        <f>IFERROR(Table13[[#This Row],[B2.Aud]]-Table13[[#This Row],[PW(gm)5]],"ERR")</f>
        <v>0</v>
      </c>
      <c r="Z12" s="165" t="str">
        <f>IFERROR(Table13[[#This Row],[B2.Diff]]/Table13[[#This Row],[B2.Aud]],"ERR")</f>
        <v>ERR</v>
      </c>
      <c r="AA12" s="162">
        <f>_xlfn.IFNA(VLOOKUP(Table13[[#This Row],[MTP SKU Code]],'Audit Dimensions'!A:N,14,FALSE),"ARC")</f>
        <v>0</v>
      </c>
      <c r="AB12" s="161">
        <f>IFERROR(Table13[[#This Row],[B3.Aud]]-Table13[[#This Row],[PW(gm)9]],"ERR")</f>
        <v>0</v>
      </c>
      <c r="AC12" s="168">
        <f>IFERROR(Table13[[#This Row],[B3.Diff]]/Table13[[#This Row],[BaLL.Aud]],"ERR")</f>
        <v>0</v>
      </c>
      <c r="AD12" s="189">
        <f>_xlfn.IFNA(VLOOKUP(Table13[[#This Row],[MTP SKU Code]],'Audit Dimensions'!A:U,16,FALSE),"ARC")</f>
        <v>266</v>
      </c>
      <c r="AE12" s="165">
        <f>IFERROR(1-Table13[[#This Row],[Gms]]/Table13[[#This Row],[BaLL.Aud]],"ERR")</f>
        <v>-0.46616541353383467</v>
      </c>
    </row>
    <row r="13" spans="1:31">
      <c r="A13" s="69" t="s">
        <v>227</v>
      </c>
      <c r="B13" s="84" t="s">
        <v>48</v>
      </c>
      <c r="C13" s="84">
        <v>95</v>
      </c>
      <c r="D13" s="85">
        <v>45</v>
      </c>
      <c r="E13" s="85">
        <v>8</v>
      </c>
      <c r="F13" s="89">
        <v>15800</v>
      </c>
      <c r="G13" s="85"/>
      <c r="H13" s="85"/>
      <c r="I13" s="85"/>
      <c r="J13" s="85"/>
      <c r="K13" s="85"/>
      <c r="L13" s="85"/>
      <c r="M13" s="85"/>
      <c r="N13" s="85"/>
      <c r="O13" s="118">
        <f>((IFERROR((C13*D13*E13),0)+IFERROR((G13*H13*I13),0)+IFERROR((K13*L13*M13),0))/1000000)*35.32</f>
        <v>1.2079440000000001</v>
      </c>
      <c r="P13" s="125">
        <f>Table13[[#This Row],[Column15]]*$P$2*1000</f>
        <v>7247.6640000000007</v>
      </c>
      <c r="Q13" s="87">
        <f>F13+J13+N13</f>
        <v>15800</v>
      </c>
      <c r="R13" s="86">
        <f>MAX(Q13,O13)</f>
        <v>15800</v>
      </c>
      <c r="S13" s="86">
        <f>MAX(R13,P13)</f>
        <v>15800</v>
      </c>
      <c r="T13" s="156" t="str">
        <f>VLOOKUP(A13,'[1]MTP SKUs - Master Data'!$A:$B,2,FALSE)</f>
        <v>Y</v>
      </c>
      <c r="U13" s="162">
        <f>_xlfn.IFNA(VLOOKUP(Table13[[#This Row],[MTP SKU Code]],'Audit Dimensions'!A:N,6,FALSE),"ARC")</f>
        <v>11200</v>
      </c>
      <c r="V13" s="162">
        <f>IFERROR(Table13[[#This Row],[B1.Aud]]-Table13[[#This Row],[PW(gm)]],"ERR")</f>
        <v>-4600</v>
      </c>
      <c r="W13" s="165">
        <f>IFERROR(Table13[[#This Row],[B1.Diff]]/Table13[[#This Row],[B1.Aud]],"ERR")</f>
        <v>-0.4107142857142857</v>
      </c>
      <c r="X13" s="162">
        <f>_xlfn.IFNA(VLOOKUP(Table13[[#This Row],[MTP SKU Code]],'Audit Dimensions'!A:N,10,FALSE),"ARC")</f>
        <v>0</v>
      </c>
      <c r="Y13" s="163">
        <f>IFERROR(Table13[[#This Row],[B2.Aud]]-Table13[[#This Row],[PW(gm)5]],"ERR")</f>
        <v>0</v>
      </c>
      <c r="Z13" s="165" t="str">
        <f>IFERROR(Table13[[#This Row],[B2.Diff]]/Table13[[#This Row],[B2.Aud]],"ERR")</f>
        <v>ERR</v>
      </c>
      <c r="AA13" s="162">
        <f>_xlfn.IFNA(VLOOKUP(Table13[[#This Row],[MTP SKU Code]],'Audit Dimensions'!A:N,14,FALSE),"ARC")</f>
        <v>0</v>
      </c>
      <c r="AB13" s="161">
        <f>IFERROR(Table13[[#This Row],[B3.Aud]]-Table13[[#This Row],[PW(gm)9]],"ERR")</f>
        <v>0</v>
      </c>
      <c r="AC13" s="168">
        <f>IFERROR(Table13[[#This Row],[B3.Diff]]/Table13[[#This Row],[BaLL.Aud]],"ERR")</f>
        <v>0</v>
      </c>
      <c r="AD13" s="189">
        <f>_xlfn.IFNA(VLOOKUP(Table13[[#This Row],[MTP SKU Code]],'Audit Dimensions'!A:U,16,FALSE),"ARC")</f>
        <v>11200</v>
      </c>
      <c r="AE13" s="165">
        <f>IFERROR(1-Table13[[#This Row],[Gms]]/Table13[[#This Row],[BaLL.Aud]],"ERR")</f>
        <v>-0.41071428571428581</v>
      </c>
    </row>
    <row r="14" spans="1:31" hidden="1">
      <c r="A14" s="69" t="s">
        <v>58</v>
      </c>
      <c r="B14" s="84" t="s">
        <v>48</v>
      </c>
      <c r="C14" s="85">
        <v>112</v>
      </c>
      <c r="D14" s="85">
        <v>51</v>
      </c>
      <c r="E14" s="85">
        <v>5</v>
      </c>
      <c r="F14" s="89">
        <v>14800</v>
      </c>
      <c r="G14" s="85"/>
      <c r="H14" s="85"/>
      <c r="I14" s="85"/>
      <c r="J14" s="85"/>
      <c r="K14" s="85"/>
      <c r="L14" s="85"/>
      <c r="M14" s="85"/>
      <c r="N14" s="85"/>
      <c r="O14" s="118">
        <f>((IFERROR((C14*D14*E14),0)+IFERROR((G14*H14*I14),0)+IFERROR((K14*L14*M14),0))/1000000)*35.32</f>
        <v>1.0087391999999999</v>
      </c>
      <c r="P14" s="125">
        <f>Table13[[#This Row],[Column15]]*$P$2*1000</f>
        <v>6052.4351999999999</v>
      </c>
      <c r="Q14" s="87">
        <f>F14+J14+N14</f>
        <v>14800</v>
      </c>
      <c r="R14" s="86">
        <f>MAX(Q14,O14)</f>
        <v>14800</v>
      </c>
      <c r="S14" s="86">
        <f>MAX(R14,P14)</f>
        <v>14800</v>
      </c>
      <c r="T14" s="156" t="str">
        <f>VLOOKUP(A14,'[1]MTP SKUs - Master Data'!$A:$B,2,FALSE)</f>
        <v>DI</v>
      </c>
      <c r="U14" s="162">
        <f>_xlfn.IFNA(VLOOKUP(Table13[[#This Row],[MTP SKU Code]],'Audit Dimensions'!A:N,6,FALSE),"ARC")</f>
        <v>11250</v>
      </c>
      <c r="V14" s="162">
        <f>IFERROR(Table13[[#This Row],[B1.Aud]]-Table13[[#This Row],[PW(gm)]],"ERR")</f>
        <v>-3550</v>
      </c>
      <c r="W14" s="165">
        <f>IFERROR(Table13[[#This Row],[B1.Diff]]/Table13[[#This Row],[B1.Aud]],"ERR")</f>
        <v>-0.31555555555555553</v>
      </c>
      <c r="X14" s="162" t="str">
        <f>_xlfn.IFNA(VLOOKUP(Table13[[#This Row],[MTP SKU Code]],'Audit Dimensions'!A:N,10,FALSE),"ARC")</f>
        <v>0</v>
      </c>
      <c r="Y14" s="163">
        <f>IFERROR(Table13[[#This Row],[B2.Aud]]-Table13[[#This Row],[PW(gm)5]],"ERR")</f>
        <v>0</v>
      </c>
      <c r="Z14" s="165" t="str">
        <f>IFERROR(Table13[[#This Row],[B2.Diff]]/Table13[[#This Row],[B2.Aud]],"ERR")</f>
        <v>ERR</v>
      </c>
      <c r="AA14" s="162" t="str">
        <f>_xlfn.IFNA(VLOOKUP(Table13[[#This Row],[MTP SKU Code]],'Audit Dimensions'!A:N,14,FALSE),"ARC")</f>
        <v>0</v>
      </c>
      <c r="AB14" s="161">
        <f>IFERROR(Table13[[#This Row],[B3.Aud]]-Table13[[#This Row],[PW(gm)9]],"ERR")</f>
        <v>0</v>
      </c>
      <c r="AC14" s="168">
        <f>IFERROR(Table13[[#This Row],[B3.Diff]]/Table13[[#This Row],[BaLL.Aud]],"ERR")</f>
        <v>0</v>
      </c>
      <c r="AD14" s="162">
        <f>_xlfn.IFNA(VLOOKUP(Table13[[#This Row],[MTP SKU Code]],'Audit Dimensions'!A:U,16,FALSE),"ARC")</f>
        <v>11250</v>
      </c>
      <c r="AE14" s="165">
        <f>IFERROR(1-Table13[[#This Row],[Gms]]/Table13[[#This Row],[BaLL.Aud]],"ERR")</f>
        <v>-0.31555555555555559</v>
      </c>
    </row>
    <row r="15" spans="1:31" hidden="1">
      <c r="A15" s="68" t="s">
        <v>59</v>
      </c>
      <c r="B15" s="84" t="s">
        <v>48</v>
      </c>
      <c r="C15" s="85">
        <v>50</v>
      </c>
      <c r="D15" s="85">
        <v>29</v>
      </c>
      <c r="E15" s="85">
        <v>8</v>
      </c>
      <c r="F15" s="89">
        <v>1890</v>
      </c>
      <c r="G15" s="85"/>
      <c r="H15" s="85"/>
      <c r="I15" s="85"/>
      <c r="J15" s="85"/>
      <c r="K15" s="85"/>
      <c r="L15" s="85"/>
      <c r="M15" s="85"/>
      <c r="N15" s="85"/>
      <c r="O15" s="118">
        <f>((IFERROR((C15*D15*E15),0)+IFERROR((G15*H15*I15),0)+IFERROR((K15*L15*M15),0))/1000000)*35.32</f>
        <v>0.40971199999999997</v>
      </c>
      <c r="P15" s="125">
        <f>Table13[[#This Row],[Column15]]*$P$2*1000</f>
        <v>2458.2719999999999</v>
      </c>
      <c r="Q15" s="87">
        <f>F15+J15+N15</f>
        <v>1890</v>
      </c>
      <c r="R15" s="86">
        <f>MAX(Q15,O15)</f>
        <v>1890</v>
      </c>
      <c r="S15" s="86">
        <f>MAX(R15,P15)</f>
        <v>2458.2719999999999</v>
      </c>
      <c r="T15" s="156" t="str">
        <f>VLOOKUP(A15,'[1]MTP SKUs - Master Data'!$A:$B,2,FALSE)</f>
        <v>DI</v>
      </c>
      <c r="U15" s="162">
        <f>_xlfn.IFNA(VLOOKUP(Table13[[#This Row],[MTP SKU Code]],'Audit Dimensions'!A:N,6,FALSE),"ARC")</f>
        <v>1500</v>
      </c>
      <c r="V15" s="162">
        <f>IFERROR(Table13[[#This Row],[B1.Aud]]-Table13[[#This Row],[PW(gm)]],"ERR")</f>
        <v>-390</v>
      </c>
      <c r="W15" s="165">
        <f>IFERROR(Table13[[#This Row],[B1.Diff]]/Table13[[#This Row],[B1.Aud]],"ERR")</f>
        <v>-0.26</v>
      </c>
      <c r="X15" s="162">
        <f>_xlfn.IFNA(VLOOKUP(Table13[[#This Row],[MTP SKU Code]],'Audit Dimensions'!A:N,10,FALSE),"ARC")</f>
        <v>0</v>
      </c>
      <c r="Y15" s="163">
        <f>IFERROR(Table13[[#This Row],[B2.Aud]]-Table13[[#This Row],[PW(gm)5]],"ERR")</f>
        <v>0</v>
      </c>
      <c r="Z15" s="165" t="str">
        <f>IFERROR(Table13[[#This Row],[B2.Diff]]/Table13[[#This Row],[B2.Aud]],"ERR")</f>
        <v>ERR</v>
      </c>
      <c r="AA15" s="162">
        <f>_xlfn.IFNA(VLOOKUP(Table13[[#This Row],[MTP SKU Code]],'Audit Dimensions'!A:N,14,FALSE),"ARC")</f>
        <v>0</v>
      </c>
      <c r="AB15" s="161">
        <f>IFERROR(Table13[[#This Row],[B3.Aud]]-Table13[[#This Row],[PW(gm)9]],"ERR")</f>
        <v>0</v>
      </c>
      <c r="AC15" s="168">
        <f>IFERROR(Table13[[#This Row],[B3.Diff]]/Table13[[#This Row],[BaLL.Aud]],"ERR")</f>
        <v>0</v>
      </c>
      <c r="AD15" s="162">
        <f>_xlfn.IFNA(VLOOKUP(Table13[[#This Row],[MTP SKU Code]],'Audit Dimensions'!A:U,16,FALSE),"ARC")</f>
        <v>1500</v>
      </c>
      <c r="AE15" s="165">
        <f>IFERROR(1-Table13[[#This Row],[Gms]]/Table13[[#This Row],[BaLL.Aud]],"ERR")</f>
        <v>-0.26</v>
      </c>
    </row>
    <row r="16" spans="1:31">
      <c r="A16" s="91" t="s">
        <v>70</v>
      </c>
      <c r="B16" s="84" t="s">
        <v>48</v>
      </c>
      <c r="C16" s="85">
        <v>165</v>
      </c>
      <c r="D16" s="85">
        <v>36</v>
      </c>
      <c r="E16" s="85">
        <v>9</v>
      </c>
      <c r="F16" s="89">
        <v>24450</v>
      </c>
      <c r="G16" s="85"/>
      <c r="H16" s="85"/>
      <c r="I16" s="85"/>
      <c r="J16" s="85"/>
      <c r="K16" s="85"/>
      <c r="L16" s="85"/>
      <c r="M16" s="85"/>
      <c r="N16" s="85"/>
      <c r="O16" s="118">
        <f>((IFERROR((C16*D16*E16),0)+IFERROR((G16*H16*I16),0)+IFERROR((K16*L16*M16),0))/1000000)*35.32</f>
        <v>1.8882072000000001</v>
      </c>
      <c r="P16" s="125">
        <f>Table13[[#This Row],[Column15]]*$P$2*1000</f>
        <v>11329.243200000001</v>
      </c>
      <c r="Q16" s="87">
        <f>F16+J16+N16</f>
        <v>24450</v>
      </c>
      <c r="R16" s="86">
        <f>MAX(Q16,O16)</f>
        <v>24450</v>
      </c>
      <c r="S16" s="86">
        <f>MAX(R16,P16)</f>
        <v>24450</v>
      </c>
      <c r="T16" s="156" t="str">
        <f>VLOOKUP(A16,'[1]MTP SKUs - Master Data'!$A:$B,2,FALSE)</f>
        <v>Y</v>
      </c>
      <c r="U16" s="162">
        <f>_xlfn.IFNA(VLOOKUP(Table13[[#This Row],[MTP SKU Code]],'Audit Dimensions'!A:N,6,FALSE),"ARC")</f>
        <v>20000</v>
      </c>
      <c r="V16" s="162">
        <f>IFERROR(Table13[[#This Row],[B1.Aud]]-Table13[[#This Row],[PW(gm)]],"ERR")</f>
        <v>-4450</v>
      </c>
      <c r="W16" s="165">
        <f>IFERROR(Table13[[#This Row],[B1.Diff]]/Table13[[#This Row],[B1.Aud]],"ERR")</f>
        <v>-0.2225</v>
      </c>
      <c r="X16" s="162">
        <f>_xlfn.IFNA(VLOOKUP(Table13[[#This Row],[MTP SKU Code]],'Audit Dimensions'!A:N,10,FALSE),"ARC")</f>
        <v>0</v>
      </c>
      <c r="Y16" s="163">
        <f>IFERROR(Table13[[#This Row],[B2.Aud]]-Table13[[#This Row],[PW(gm)5]],"ERR")</f>
        <v>0</v>
      </c>
      <c r="Z16" s="165" t="str">
        <f>IFERROR(Table13[[#This Row],[B2.Diff]]/Table13[[#This Row],[B2.Aud]],"ERR")</f>
        <v>ERR</v>
      </c>
      <c r="AA16" s="162">
        <f>_xlfn.IFNA(VLOOKUP(Table13[[#This Row],[MTP SKU Code]],'Audit Dimensions'!A:N,14,FALSE),"ARC")</f>
        <v>0</v>
      </c>
      <c r="AB16" s="161">
        <f>IFERROR(Table13[[#This Row],[B3.Aud]]-Table13[[#This Row],[PW(gm)9]],"ERR")</f>
        <v>0</v>
      </c>
      <c r="AC16" s="168">
        <f>IFERROR(Table13[[#This Row],[B3.Diff]]/Table13[[#This Row],[BaLL.Aud]],"ERR")</f>
        <v>0</v>
      </c>
      <c r="AD16" s="189">
        <f>_xlfn.IFNA(VLOOKUP(Table13[[#This Row],[MTP SKU Code]],'Audit Dimensions'!A:U,16,FALSE),"ARC")</f>
        <v>20000</v>
      </c>
      <c r="AE16" s="165">
        <f>IFERROR(1-Table13[[#This Row],[Gms]]/Table13[[#This Row],[BaLL.Aud]],"ERR")</f>
        <v>-0.22249999999999992</v>
      </c>
    </row>
    <row r="17" spans="1:31">
      <c r="A17" s="68" t="s">
        <v>66</v>
      </c>
      <c r="B17" s="84" t="s">
        <v>48</v>
      </c>
      <c r="C17" s="84">
        <v>70</v>
      </c>
      <c r="D17" s="85">
        <v>25</v>
      </c>
      <c r="E17" s="85">
        <v>5</v>
      </c>
      <c r="F17" s="89">
        <v>2500</v>
      </c>
      <c r="G17" s="85"/>
      <c r="H17" s="85"/>
      <c r="I17" s="85"/>
      <c r="J17" s="85"/>
      <c r="K17" s="85"/>
      <c r="L17" s="85"/>
      <c r="M17" s="85"/>
      <c r="N17" s="85"/>
      <c r="O17" s="118">
        <f>((IFERROR((C17*D17*E17),0)+IFERROR((G17*H17*I17),0)+IFERROR((K17*L17*M17),0))/1000000)*35.32</f>
        <v>0.30905000000000005</v>
      </c>
      <c r="P17" s="125">
        <f>Table13[[#This Row],[Column15]]*$P$2*1000</f>
        <v>1854.3000000000002</v>
      </c>
      <c r="Q17" s="87">
        <f>F17+J17+N17</f>
        <v>2500</v>
      </c>
      <c r="R17" s="86">
        <f>MAX(Q17,O17)</f>
        <v>2500</v>
      </c>
      <c r="S17" s="86">
        <f>MAX(R17,P17)</f>
        <v>2500</v>
      </c>
      <c r="T17" s="156" t="str">
        <f>VLOOKUP(A17,'[1]MTP SKUs - Master Data'!$A:$B,2,FALSE)</f>
        <v>Y</v>
      </c>
      <c r="U17" s="162">
        <f>_xlfn.IFNA(VLOOKUP(Table13[[#This Row],[MTP SKU Code]],'Audit Dimensions'!A:N,6,FALSE),"ARC")</f>
        <v>1940</v>
      </c>
      <c r="V17" s="162">
        <f>IFERROR(Table13[[#This Row],[B1.Aud]]-Table13[[#This Row],[PW(gm)]],"ERR")</f>
        <v>-560</v>
      </c>
      <c r="W17" s="165">
        <f>IFERROR(Table13[[#This Row],[B1.Diff]]/Table13[[#This Row],[B1.Aud]],"ERR")</f>
        <v>-0.28865979381443296</v>
      </c>
      <c r="X17" s="162">
        <f>_xlfn.IFNA(VLOOKUP(Table13[[#This Row],[MTP SKU Code]],'Audit Dimensions'!A:N,10,FALSE),"ARC")</f>
        <v>0</v>
      </c>
      <c r="Y17" s="163">
        <f>IFERROR(Table13[[#This Row],[B2.Aud]]-Table13[[#This Row],[PW(gm)5]],"ERR")</f>
        <v>0</v>
      </c>
      <c r="Z17" s="165" t="str">
        <f>IFERROR(Table13[[#This Row],[B2.Diff]]/Table13[[#This Row],[B2.Aud]],"ERR")</f>
        <v>ERR</v>
      </c>
      <c r="AA17" s="162">
        <f>_xlfn.IFNA(VLOOKUP(Table13[[#This Row],[MTP SKU Code]],'Audit Dimensions'!A:N,14,FALSE),"ARC")</f>
        <v>0</v>
      </c>
      <c r="AB17" s="161">
        <f>IFERROR(Table13[[#This Row],[B3.Aud]]-Table13[[#This Row],[PW(gm)9]],"ERR")</f>
        <v>0</v>
      </c>
      <c r="AC17" s="168">
        <f>IFERROR(Table13[[#This Row],[B3.Diff]]/Table13[[#This Row],[BaLL.Aud]],"ERR")</f>
        <v>0</v>
      </c>
      <c r="AD17" s="189">
        <f>_xlfn.IFNA(VLOOKUP(Table13[[#This Row],[MTP SKU Code]],'Audit Dimensions'!A:U,16,FALSE),"ARC")</f>
        <v>1940</v>
      </c>
      <c r="AE17" s="165">
        <f>IFERROR(1-Table13[[#This Row],[Gms]]/Table13[[#This Row],[BaLL.Aud]],"ERR")</f>
        <v>-0.28865979381443307</v>
      </c>
    </row>
    <row r="18" spans="1:31">
      <c r="A18" s="91" t="s">
        <v>55</v>
      </c>
      <c r="B18" s="84" t="s">
        <v>48</v>
      </c>
      <c r="C18" s="85">
        <v>22</v>
      </c>
      <c r="D18" s="85">
        <v>22</v>
      </c>
      <c r="E18" s="85">
        <v>3</v>
      </c>
      <c r="F18" s="89">
        <v>400</v>
      </c>
      <c r="G18" s="85"/>
      <c r="H18" s="85"/>
      <c r="I18" s="85"/>
      <c r="J18" s="85"/>
      <c r="K18" s="85"/>
      <c r="L18" s="85"/>
      <c r="M18" s="85"/>
      <c r="N18" s="85"/>
      <c r="O18" s="118">
        <f>((IFERROR((C18*D18*E18),0)+IFERROR((G18*H18*I18),0)+IFERROR((K18*L18*M18),0))/1000000)*35.32</f>
        <v>5.1284639999999999E-2</v>
      </c>
      <c r="P18" s="125">
        <f>Table13[[#This Row],[Column15]]*$P$2*1000</f>
        <v>307.70784000000003</v>
      </c>
      <c r="Q18" s="87">
        <f>F18+J18+N18</f>
        <v>400</v>
      </c>
      <c r="R18" s="86">
        <f>MAX(Q18,O18)</f>
        <v>400</v>
      </c>
      <c r="S18" s="86">
        <f>MAX(R18,P18)</f>
        <v>400</v>
      </c>
      <c r="T18" s="156" t="str">
        <f>VLOOKUP(A18,'[1]MTP SKUs - Master Data'!$A:$B,2,FALSE)</f>
        <v>Y</v>
      </c>
      <c r="U18" s="162">
        <f>_xlfn.IFNA(VLOOKUP(Table13[[#This Row],[MTP SKU Code]],'Audit Dimensions'!A:N,6,FALSE),"ARC")</f>
        <v>340</v>
      </c>
      <c r="V18" s="162">
        <f>IFERROR(Table13[[#This Row],[B1.Aud]]-Table13[[#This Row],[PW(gm)]],"ERR")</f>
        <v>-60</v>
      </c>
      <c r="W18" s="165">
        <f>IFERROR(Table13[[#This Row],[B1.Diff]]/Table13[[#This Row],[B1.Aud]],"ERR")</f>
        <v>-0.17647058823529413</v>
      </c>
      <c r="X18" s="162">
        <f>_xlfn.IFNA(VLOOKUP(Table13[[#This Row],[MTP SKU Code]],'Audit Dimensions'!A:N,10,FALSE),"ARC")</f>
        <v>0</v>
      </c>
      <c r="Y18" s="163">
        <f>IFERROR(Table13[[#This Row],[B2.Aud]]-Table13[[#This Row],[PW(gm)5]],"ERR")</f>
        <v>0</v>
      </c>
      <c r="Z18" s="165" t="str">
        <f>IFERROR(Table13[[#This Row],[B2.Diff]]/Table13[[#This Row],[B2.Aud]],"ERR")</f>
        <v>ERR</v>
      </c>
      <c r="AA18" s="162">
        <f>_xlfn.IFNA(VLOOKUP(Table13[[#This Row],[MTP SKU Code]],'Audit Dimensions'!A:N,14,FALSE),"ARC")</f>
        <v>0</v>
      </c>
      <c r="AB18" s="161">
        <f>IFERROR(Table13[[#This Row],[B3.Aud]]-Table13[[#This Row],[PW(gm)9]],"ERR")</f>
        <v>0</v>
      </c>
      <c r="AC18" s="168">
        <f>IFERROR(Table13[[#This Row],[B3.Diff]]/Table13[[#This Row],[BaLL.Aud]],"ERR")</f>
        <v>0</v>
      </c>
      <c r="AD18" s="189">
        <f>_xlfn.IFNA(VLOOKUP(Table13[[#This Row],[MTP SKU Code]],'Audit Dimensions'!A:U,16,FALSE),"ARC")</f>
        <v>340</v>
      </c>
      <c r="AE18" s="165">
        <f>IFERROR(1-Table13[[#This Row],[Gms]]/Table13[[#This Row],[BaLL.Aud]],"ERR")</f>
        <v>-0.17647058823529416</v>
      </c>
    </row>
    <row r="19" spans="1:31">
      <c r="A19" s="91" t="s">
        <v>218</v>
      </c>
      <c r="B19" s="84" t="s">
        <v>48</v>
      </c>
      <c r="C19" s="85">
        <v>107</v>
      </c>
      <c r="D19" s="85">
        <v>59</v>
      </c>
      <c r="E19" s="85">
        <v>8</v>
      </c>
      <c r="F19" s="89">
        <v>12700</v>
      </c>
      <c r="G19" s="85"/>
      <c r="H19" s="85"/>
      <c r="I19" s="85"/>
      <c r="J19" s="85"/>
      <c r="K19" s="85"/>
      <c r="L19" s="85"/>
      <c r="M19" s="85"/>
      <c r="N19" s="85"/>
      <c r="O19" s="118">
        <f>((IFERROR((C19*D19*E19),0)+IFERROR((G19*H19*I19),0)+IFERROR((K19*L19*M19),0))/1000000)*35.32</f>
        <v>1.78380128</v>
      </c>
      <c r="P19" s="125">
        <f>Table13[[#This Row],[Column15]]*$P$2*1000</f>
        <v>10702.80768</v>
      </c>
      <c r="Q19" s="87">
        <f>F19+J19+N19</f>
        <v>12700</v>
      </c>
      <c r="R19" s="86">
        <f>MAX(Q19,O19)</f>
        <v>12700</v>
      </c>
      <c r="S19" s="86">
        <f>MAX(R19,P19)</f>
        <v>12700</v>
      </c>
      <c r="T19" s="156" t="str">
        <f>VLOOKUP(A19,'[1]MTP SKUs - Master Data'!$A:$B,2,FALSE)</f>
        <v>RL</v>
      </c>
      <c r="U19" s="162">
        <f>_xlfn.IFNA(VLOOKUP(Table13[[#This Row],[MTP SKU Code]],'Audit Dimensions'!A:N,6,FALSE),"ARC")</f>
        <v>11150</v>
      </c>
      <c r="V19" s="162">
        <f>IFERROR(Table13[[#This Row],[B1.Aud]]-Table13[[#This Row],[PW(gm)]],"ERR")</f>
        <v>-1550</v>
      </c>
      <c r="W19" s="165">
        <f>IFERROR(Table13[[#This Row],[B1.Diff]]/Table13[[#This Row],[B1.Aud]],"ERR")</f>
        <v>-0.13901345291479822</v>
      </c>
      <c r="X19" s="162">
        <f>_xlfn.IFNA(VLOOKUP(Table13[[#This Row],[MTP SKU Code]],'Audit Dimensions'!A:N,10,FALSE),"ARC")</f>
        <v>0</v>
      </c>
      <c r="Y19" s="163">
        <f>IFERROR(Table13[[#This Row],[B2.Aud]]-Table13[[#This Row],[PW(gm)5]],"ERR")</f>
        <v>0</v>
      </c>
      <c r="Z19" s="165" t="str">
        <f>IFERROR(Table13[[#This Row],[B2.Diff]]/Table13[[#This Row],[B2.Aud]],"ERR")</f>
        <v>ERR</v>
      </c>
      <c r="AA19" s="162">
        <f>_xlfn.IFNA(VLOOKUP(Table13[[#This Row],[MTP SKU Code]],'Audit Dimensions'!A:N,14,FALSE),"ARC")</f>
        <v>0</v>
      </c>
      <c r="AB19" s="161">
        <f>IFERROR(Table13[[#This Row],[B3.Aud]]-Table13[[#This Row],[PW(gm)9]],"ERR")</f>
        <v>0</v>
      </c>
      <c r="AC19" s="168">
        <f>IFERROR(Table13[[#This Row],[B3.Diff]]/Table13[[#This Row],[BaLL.Aud]],"ERR")</f>
        <v>0</v>
      </c>
      <c r="AD19" s="189">
        <f>_xlfn.IFNA(VLOOKUP(Table13[[#This Row],[MTP SKU Code]],'Audit Dimensions'!A:U,16,FALSE),"ARC")</f>
        <v>11150</v>
      </c>
      <c r="AE19" s="165">
        <f>IFERROR(1-Table13[[#This Row],[Gms]]/Table13[[#This Row],[BaLL.Aud]],"ERR")</f>
        <v>-0.13901345291479816</v>
      </c>
    </row>
    <row r="20" spans="1:31">
      <c r="A20" s="98" t="s">
        <v>297</v>
      </c>
      <c r="B20" s="84" t="s">
        <v>48</v>
      </c>
      <c r="C20" s="84">
        <v>37</v>
      </c>
      <c r="D20" s="85">
        <v>10</v>
      </c>
      <c r="E20" s="85">
        <v>6</v>
      </c>
      <c r="F20" s="89">
        <v>600</v>
      </c>
      <c r="G20" s="85"/>
      <c r="H20" s="85"/>
      <c r="I20" s="85"/>
      <c r="J20" s="85"/>
      <c r="K20" s="85"/>
      <c r="L20" s="85"/>
      <c r="M20" s="85"/>
      <c r="N20" s="85"/>
      <c r="O20" s="118">
        <f>((IFERROR((C20*D20*E20),0)+IFERROR((G20*H20*I20),0)+IFERROR((K20*L20*M20),0))/1000000)*35.32</f>
        <v>7.8410400000000005E-2</v>
      </c>
      <c r="P20" s="125">
        <f>Table13[[#This Row],[Column15]]*$P$2*1000</f>
        <v>470.46240000000006</v>
      </c>
      <c r="Q20" s="87">
        <f>F20+J20+N20</f>
        <v>600</v>
      </c>
      <c r="R20" s="88">
        <f>MAX(Q20,O20)</f>
        <v>600</v>
      </c>
      <c r="S20" s="86">
        <f>MAX(R20,P20)</f>
        <v>600</v>
      </c>
      <c r="T20" s="156" t="str">
        <f>VLOOKUP(A20,'[1]MTP SKUs - Master Data'!$A:$B,2,FALSE)</f>
        <v>Y</v>
      </c>
      <c r="U20" s="162">
        <f>_xlfn.IFNA(VLOOKUP(Table13[[#This Row],[MTP SKU Code]],'Audit Dimensions'!A:N,6,FALSE),"ARC")</f>
        <v>550</v>
      </c>
      <c r="V20" s="162">
        <f>IFERROR(Table13[[#This Row],[B1.Aud]]-Table13[[#This Row],[PW(gm)]],"ERR")</f>
        <v>-50</v>
      </c>
      <c r="W20" s="165">
        <f>IFERROR(Table13[[#This Row],[B1.Diff]]/Table13[[#This Row],[B1.Aud]],"ERR")</f>
        <v>-9.0909090909090912E-2</v>
      </c>
      <c r="X20" s="162">
        <f>_xlfn.IFNA(VLOOKUP(Table13[[#This Row],[MTP SKU Code]],'Audit Dimensions'!A:N,10,FALSE),"ARC")</f>
        <v>0</v>
      </c>
      <c r="Y20" s="163">
        <f>IFERROR(Table13[[#This Row],[B2.Aud]]-Table13[[#This Row],[PW(gm)5]],"ERR")</f>
        <v>0</v>
      </c>
      <c r="Z20" s="165" t="str">
        <f>IFERROR(Table13[[#This Row],[B2.Diff]]/Table13[[#This Row],[B2.Aud]],"ERR")</f>
        <v>ERR</v>
      </c>
      <c r="AA20" s="162">
        <f>_xlfn.IFNA(VLOOKUP(Table13[[#This Row],[MTP SKU Code]],'Audit Dimensions'!A:N,14,FALSE),"ARC")</f>
        <v>0</v>
      </c>
      <c r="AB20" s="161">
        <f>IFERROR(Table13[[#This Row],[B3.Aud]]-Table13[[#This Row],[PW(gm)9]],"ERR")</f>
        <v>0</v>
      </c>
      <c r="AC20" s="168">
        <f>IFERROR(Table13[[#This Row],[B3.Diff]]/Table13[[#This Row],[BaLL.Aud]],"ERR")</f>
        <v>0</v>
      </c>
      <c r="AD20" s="189">
        <f>_xlfn.IFNA(VLOOKUP(Table13[[#This Row],[MTP SKU Code]],'Audit Dimensions'!A:U,16,FALSE),"ARC")</f>
        <v>550</v>
      </c>
      <c r="AE20" s="165">
        <f>IFERROR(1-Table13[[#This Row],[Gms]]/Table13[[#This Row],[BaLL.Aud]],"ERR")</f>
        <v>-9.0909090909090828E-2</v>
      </c>
    </row>
    <row r="21" spans="1:31">
      <c r="A21" s="68" t="s">
        <v>252</v>
      </c>
      <c r="B21" s="84" t="s">
        <v>48</v>
      </c>
      <c r="C21" s="85">
        <v>101</v>
      </c>
      <c r="D21" s="85">
        <v>47</v>
      </c>
      <c r="E21" s="85">
        <v>5</v>
      </c>
      <c r="F21" s="89">
        <v>12400</v>
      </c>
      <c r="G21" s="85"/>
      <c r="H21" s="85"/>
      <c r="I21" s="85"/>
      <c r="J21" s="85"/>
      <c r="K21" s="85"/>
      <c r="L21" s="85"/>
      <c r="M21" s="85"/>
      <c r="N21" s="85"/>
      <c r="O21" s="118">
        <f>((IFERROR((C21*D21*E21),0)+IFERROR((G21*H21*I21),0)+IFERROR((K21*L21*M21),0))/1000000)*35.32</f>
        <v>0.83832019999999996</v>
      </c>
      <c r="P21" s="125">
        <f>Table13[[#This Row],[Column15]]*$P$2*1000</f>
        <v>5029.9211999999998</v>
      </c>
      <c r="Q21" s="87">
        <f>F21+J21+N21</f>
        <v>12400</v>
      </c>
      <c r="R21" s="86">
        <f>MAX(Q21,O21)</f>
        <v>12400</v>
      </c>
      <c r="S21" s="86">
        <f>MAX(R21,P21)</f>
        <v>12400</v>
      </c>
      <c r="T21" s="156" t="str">
        <f>VLOOKUP(A21,'[1]MTP SKUs - Master Data'!$A:$B,2,FALSE)</f>
        <v>Y</v>
      </c>
      <c r="U21" s="162">
        <f>_xlfn.IFNA(VLOOKUP(Table13[[#This Row],[MTP SKU Code]],'Audit Dimensions'!A:N,6,FALSE),"ARC")</f>
        <v>11400</v>
      </c>
      <c r="V21" s="162">
        <f>IFERROR(Table13[[#This Row],[B1.Aud]]-Table13[[#This Row],[PW(gm)]],"ERR")</f>
        <v>-1000</v>
      </c>
      <c r="W21" s="165">
        <f>IFERROR(Table13[[#This Row],[B1.Diff]]/Table13[[#This Row],[B1.Aud]],"ERR")</f>
        <v>-8.771929824561403E-2</v>
      </c>
      <c r="X21" s="162">
        <f>_xlfn.IFNA(VLOOKUP(Table13[[#This Row],[MTP SKU Code]],'Audit Dimensions'!A:N,10,FALSE),"ARC")</f>
        <v>0</v>
      </c>
      <c r="Y21" s="163">
        <f>IFERROR(Table13[[#This Row],[B2.Aud]]-Table13[[#This Row],[PW(gm)5]],"ERR")</f>
        <v>0</v>
      </c>
      <c r="Z21" s="165" t="str">
        <f>IFERROR(Table13[[#This Row],[B2.Diff]]/Table13[[#This Row],[B2.Aud]],"ERR")</f>
        <v>ERR</v>
      </c>
      <c r="AA21" s="162">
        <f>_xlfn.IFNA(VLOOKUP(Table13[[#This Row],[MTP SKU Code]],'Audit Dimensions'!A:N,14,FALSE),"ARC")</f>
        <v>0</v>
      </c>
      <c r="AB21" s="161">
        <f>IFERROR(Table13[[#This Row],[B3.Aud]]-Table13[[#This Row],[PW(gm)9]],"ERR")</f>
        <v>0</v>
      </c>
      <c r="AC21" s="168">
        <f>IFERROR(Table13[[#This Row],[B3.Diff]]/Table13[[#This Row],[BaLL.Aud]],"ERR")</f>
        <v>0</v>
      </c>
      <c r="AD21" s="189">
        <f>_xlfn.IFNA(VLOOKUP(Table13[[#This Row],[MTP SKU Code]],'Audit Dimensions'!A:U,16,FALSE),"ARC")</f>
        <v>11400</v>
      </c>
      <c r="AE21" s="165">
        <f>IFERROR(1-Table13[[#This Row],[Gms]]/Table13[[#This Row],[BaLL.Aud]],"ERR")</f>
        <v>-8.7719298245614086E-2</v>
      </c>
    </row>
    <row r="22" spans="1:31" ht="12.4" customHeight="1">
      <c r="A22" s="68" t="s">
        <v>285</v>
      </c>
      <c r="B22" s="84" t="s">
        <v>48</v>
      </c>
      <c r="C22" s="84">
        <v>55</v>
      </c>
      <c r="D22" s="85">
        <v>17</v>
      </c>
      <c r="E22" s="85">
        <v>8</v>
      </c>
      <c r="F22" s="89">
        <v>2500</v>
      </c>
      <c r="G22" s="85"/>
      <c r="H22" s="85"/>
      <c r="I22" s="85"/>
      <c r="J22" s="85"/>
      <c r="K22" s="85"/>
      <c r="L22" s="85"/>
      <c r="M22" s="85"/>
      <c r="N22" s="85"/>
      <c r="O22" s="118">
        <f>((IFERROR((C22*D22*E22),0)+IFERROR((G22*H22*I22),0)+IFERROR((K22*L22*M22),0))/1000000)*35.32</f>
        <v>0.26419359999999997</v>
      </c>
      <c r="P22" s="125">
        <f>Table13[[#This Row],[Column15]]*$P$2*1000</f>
        <v>1585.1615999999997</v>
      </c>
      <c r="Q22" s="87">
        <f>F22+J22+N22</f>
        <v>2500</v>
      </c>
      <c r="R22" s="86">
        <f>MAX(Q22,O22)</f>
        <v>2500</v>
      </c>
      <c r="S22" s="86">
        <f>MAX(R22,P22)</f>
        <v>2500</v>
      </c>
      <c r="T22" s="156" t="str">
        <f>VLOOKUP(A22,'[1]MTP SKUs - Master Data'!$A:$B,2,FALSE)</f>
        <v>Y</v>
      </c>
      <c r="U22" s="162">
        <f>_xlfn.IFNA(VLOOKUP(Table13[[#This Row],[MTP SKU Code]],'Audit Dimensions'!A:N,6,FALSE),"ARC")</f>
        <v>2300</v>
      </c>
      <c r="V22" s="162">
        <f>IFERROR(Table13[[#This Row],[B1.Aud]]-Table13[[#This Row],[PW(gm)]],"ERR")</f>
        <v>-200</v>
      </c>
      <c r="W22" s="165">
        <f>IFERROR(Table13[[#This Row],[B1.Diff]]/Table13[[#This Row],[B1.Aud]],"ERR")</f>
        <v>-8.6956521739130432E-2</v>
      </c>
      <c r="X22" s="162">
        <f>_xlfn.IFNA(VLOOKUP(Table13[[#This Row],[MTP SKU Code]],'Audit Dimensions'!A:N,10,FALSE),"ARC")</f>
        <v>0</v>
      </c>
      <c r="Y22" s="163">
        <f>IFERROR(Table13[[#This Row],[B2.Aud]]-Table13[[#This Row],[PW(gm)5]],"ERR")</f>
        <v>0</v>
      </c>
      <c r="Z22" s="165" t="str">
        <f>IFERROR(Table13[[#This Row],[B2.Diff]]/Table13[[#This Row],[B2.Aud]],"ERR")</f>
        <v>ERR</v>
      </c>
      <c r="AA22" s="162">
        <f>_xlfn.IFNA(VLOOKUP(Table13[[#This Row],[MTP SKU Code]],'Audit Dimensions'!A:N,14,FALSE),"ARC")</f>
        <v>0</v>
      </c>
      <c r="AB22" s="161">
        <f>IFERROR(Table13[[#This Row],[B3.Aud]]-Table13[[#This Row],[PW(gm)9]],"ERR")</f>
        <v>0</v>
      </c>
      <c r="AC22" s="168">
        <f>IFERROR(Table13[[#This Row],[B3.Diff]]/Table13[[#This Row],[BaLL.Aud]],"ERR")</f>
        <v>0</v>
      </c>
      <c r="AD22" s="189">
        <f>_xlfn.IFNA(VLOOKUP(Table13[[#This Row],[MTP SKU Code]],'Audit Dimensions'!A:U,16,FALSE),"ARC")</f>
        <v>2300</v>
      </c>
      <c r="AE22" s="165">
        <f>IFERROR(1-Table13[[#This Row],[Gms]]/Table13[[#This Row],[BaLL.Aud]],"ERR")</f>
        <v>-8.6956521739130377E-2</v>
      </c>
    </row>
    <row r="23" spans="1:31">
      <c r="A23" s="68" t="s">
        <v>281</v>
      </c>
      <c r="B23" s="84" t="s">
        <v>48</v>
      </c>
      <c r="C23" s="85">
        <v>95</v>
      </c>
      <c r="D23" s="85">
        <v>50</v>
      </c>
      <c r="E23" s="85">
        <v>7</v>
      </c>
      <c r="F23" s="89">
        <v>12850</v>
      </c>
      <c r="G23" s="85"/>
      <c r="H23" s="85"/>
      <c r="I23" s="85"/>
      <c r="J23" s="85"/>
      <c r="K23" s="85"/>
      <c r="L23" s="85"/>
      <c r="M23" s="85"/>
      <c r="N23" s="85"/>
      <c r="O23" s="118">
        <f>((IFERROR((C23*D23*E23),0)+IFERROR((G23*H23*I23),0)+IFERROR((K23*L23*M23),0))/1000000)*35.32</f>
        <v>1.17439</v>
      </c>
      <c r="P23" s="125">
        <f>Table13[[#This Row],[Column15]]*$P$2*1000</f>
        <v>7046.3400000000011</v>
      </c>
      <c r="Q23" s="87">
        <f>F23+J23+N23</f>
        <v>12850</v>
      </c>
      <c r="R23" s="86">
        <f>MAX(Q23,O23)</f>
        <v>12850</v>
      </c>
      <c r="S23" s="86">
        <f>MAX(R23,P23)</f>
        <v>12850</v>
      </c>
      <c r="T23" s="157" t="str">
        <f>VLOOKUP(A23,'[1]MTP SKUs - Master Data'!$A:$B,2,FALSE)</f>
        <v>Y</v>
      </c>
      <c r="U23" s="162">
        <f>_xlfn.IFNA(VLOOKUP(Table13[[#This Row],[MTP SKU Code]],'Audit Dimensions'!A:N,6,FALSE),"ARC")</f>
        <v>11850</v>
      </c>
      <c r="V23" s="162">
        <f>IFERROR(Table13[[#This Row],[B1.Aud]]-Table13[[#This Row],[PW(gm)]],"ERR")</f>
        <v>-1000</v>
      </c>
      <c r="W23" s="165">
        <f>IFERROR(Table13[[#This Row],[B1.Diff]]/Table13[[#This Row],[B1.Aud]],"ERR")</f>
        <v>-8.4388185654008435E-2</v>
      </c>
      <c r="X23" s="162">
        <f>_xlfn.IFNA(VLOOKUP(Table13[[#This Row],[MTP SKU Code]],'Audit Dimensions'!A:N,10,FALSE),"ARC")</f>
        <v>0</v>
      </c>
      <c r="Y23" s="163">
        <f>IFERROR(Table13[[#This Row],[B2.Aud]]-Table13[[#This Row],[PW(gm)5]],"ERR")</f>
        <v>0</v>
      </c>
      <c r="Z23" s="165" t="str">
        <f>IFERROR(Table13[[#This Row],[B2.Diff]]/Table13[[#This Row],[B2.Aud]],"ERR")</f>
        <v>ERR</v>
      </c>
      <c r="AA23" s="162">
        <f>_xlfn.IFNA(VLOOKUP(Table13[[#This Row],[MTP SKU Code]],'Audit Dimensions'!A:N,14,FALSE),"ARC")</f>
        <v>0</v>
      </c>
      <c r="AB23" s="161">
        <f>IFERROR(Table13[[#This Row],[B3.Aud]]-Table13[[#This Row],[PW(gm)9]],"ERR")</f>
        <v>0</v>
      </c>
      <c r="AC23" s="169">
        <f>IFERROR(Table13[[#This Row],[B3.Diff]]/Table13[[#This Row],[BaLL.Aud]],"ERR")</f>
        <v>0</v>
      </c>
      <c r="AD23" s="189">
        <f>_xlfn.IFNA(VLOOKUP(Table13[[#This Row],[MTP SKU Code]],'Audit Dimensions'!A:U,16,FALSE),"ARC")</f>
        <v>11850</v>
      </c>
      <c r="AE23" s="170">
        <f>IFERROR(1-Table13[[#This Row],[Gms]]/Table13[[#This Row],[BaLL.Aud]],"ERR")</f>
        <v>-8.4388185654008518E-2</v>
      </c>
    </row>
    <row r="24" spans="1:31" ht="12.4" customHeight="1">
      <c r="A24" s="92" t="s">
        <v>72</v>
      </c>
      <c r="B24" s="93" t="s">
        <v>48</v>
      </c>
      <c r="C24" s="94">
        <v>100</v>
      </c>
      <c r="D24" s="94">
        <v>50</v>
      </c>
      <c r="E24" s="94">
        <v>5</v>
      </c>
      <c r="F24" s="95">
        <v>9000</v>
      </c>
      <c r="G24" s="94"/>
      <c r="H24" s="94"/>
      <c r="I24" s="94"/>
      <c r="J24" s="94"/>
      <c r="K24" s="94"/>
      <c r="L24" s="94"/>
      <c r="M24" s="94"/>
      <c r="N24" s="94"/>
      <c r="O24" s="119">
        <f>((IFERROR((C24*D24*E24),0)+IFERROR((G24*H24*I24),0)+IFERROR((K24*L24*M24),0))/1000000)*35.32</f>
        <v>0.88300000000000001</v>
      </c>
      <c r="P24" s="125">
        <f>Table13[[#This Row],[Column15]]*$P$2*1000</f>
        <v>5298</v>
      </c>
      <c r="Q24" s="96">
        <f>F24+J24+N24</f>
        <v>9000</v>
      </c>
      <c r="R24" s="97">
        <f>MAX(Q24,O24)</f>
        <v>9000</v>
      </c>
      <c r="S24" s="97">
        <f>MAX(R24,P24)</f>
        <v>9000</v>
      </c>
      <c r="T24" s="156" t="str">
        <f>VLOOKUP(A24,'[1]MTP SKUs - Master Data'!$A:$B,2,FALSE)</f>
        <v>Y</v>
      </c>
      <c r="U24" s="162">
        <f>_xlfn.IFNA(VLOOKUP(Table13[[#This Row],[MTP SKU Code]],'Audit Dimensions'!A:N,6,FALSE),"ARC")</f>
        <v>8310</v>
      </c>
      <c r="V24" s="162">
        <f>IFERROR(Table13[[#This Row],[B1.Aud]]-Table13[[#This Row],[PW(gm)]],"ERR")</f>
        <v>-690</v>
      </c>
      <c r="W24" s="165">
        <f>IFERROR(Table13[[#This Row],[B1.Diff]]/Table13[[#This Row],[B1.Aud]],"ERR")</f>
        <v>-8.3032490974729242E-2</v>
      </c>
      <c r="X24" s="162">
        <f>_xlfn.IFNA(VLOOKUP(Table13[[#This Row],[MTP SKU Code]],'Audit Dimensions'!A:N,10,FALSE),"ARC")</f>
        <v>0</v>
      </c>
      <c r="Y24" s="163">
        <f>IFERROR(Table13[[#This Row],[B2.Aud]]-Table13[[#This Row],[PW(gm)5]],"ERR")</f>
        <v>0</v>
      </c>
      <c r="Z24" s="165" t="str">
        <f>IFERROR(Table13[[#This Row],[B2.Diff]]/Table13[[#This Row],[B2.Aud]],"ERR")</f>
        <v>ERR</v>
      </c>
      <c r="AA24" s="162">
        <f>_xlfn.IFNA(VLOOKUP(Table13[[#This Row],[MTP SKU Code]],'Audit Dimensions'!A:N,14,FALSE),"ARC")</f>
        <v>0</v>
      </c>
      <c r="AB24" s="161">
        <f>IFERROR(Table13[[#This Row],[B3.Aud]]-Table13[[#This Row],[PW(gm)9]],"ERR")</f>
        <v>0</v>
      </c>
      <c r="AC24" s="168">
        <f>IFERROR(Table13[[#This Row],[B3.Diff]]/Table13[[#This Row],[BaLL.Aud]],"ERR")</f>
        <v>0</v>
      </c>
      <c r="AD24" s="189">
        <f>_xlfn.IFNA(VLOOKUP(Table13[[#This Row],[MTP SKU Code]],'Audit Dimensions'!A:U,16,FALSE),"ARC")</f>
        <v>8310</v>
      </c>
      <c r="AE24" s="165">
        <f>IFERROR(1-Table13[[#This Row],[Gms]]/Table13[[#This Row],[BaLL.Aud]],"ERR")</f>
        <v>-8.3032490974729312E-2</v>
      </c>
    </row>
    <row r="25" spans="1:31" hidden="1">
      <c r="A25" s="68" t="s">
        <v>69</v>
      </c>
      <c r="B25" s="84" t="s">
        <v>48</v>
      </c>
      <c r="C25" s="85">
        <v>85</v>
      </c>
      <c r="D25" s="85">
        <v>66</v>
      </c>
      <c r="E25" s="85">
        <v>5</v>
      </c>
      <c r="F25" s="89">
        <v>10750</v>
      </c>
      <c r="G25" s="85"/>
      <c r="H25" s="85"/>
      <c r="I25" s="85"/>
      <c r="J25" s="85"/>
      <c r="K25" s="85"/>
      <c r="L25" s="85"/>
      <c r="M25" s="85"/>
      <c r="N25" s="85"/>
      <c r="O25" s="118">
        <f>((IFERROR((C25*D25*E25),0)+IFERROR((G25*H25*I25),0)+IFERROR((K25*L25*M25),0))/1000000)*35.32</f>
        <v>0.990726</v>
      </c>
      <c r="P25" s="125">
        <f>Table13[[#This Row],[Column15]]*$P$2*1000</f>
        <v>5944.3559999999998</v>
      </c>
      <c r="Q25" s="87">
        <f>F25+J25+N25</f>
        <v>10750</v>
      </c>
      <c r="R25" s="86">
        <f>MAX(Q25,O25)</f>
        <v>10750</v>
      </c>
      <c r="S25" s="86">
        <f>MAX(R25,P25)</f>
        <v>10750</v>
      </c>
      <c r="T25" s="156" t="str">
        <f>VLOOKUP(A25,'[1]MTP SKUs - Master Data'!$A:$B,2,FALSE)</f>
        <v>DI</v>
      </c>
      <c r="U25" s="162">
        <f>_xlfn.IFNA(VLOOKUP(Table13[[#This Row],[MTP SKU Code]],'Audit Dimensions'!A:N,6,FALSE),"ARC")</f>
        <v>10100</v>
      </c>
      <c r="V25" s="162">
        <f>IFERROR(Table13[[#This Row],[B1.Aud]]-Table13[[#This Row],[PW(gm)]],"ERR")</f>
        <v>-650</v>
      </c>
      <c r="W25" s="165">
        <f>IFERROR(Table13[[#This Row],[B1.Diff]]/Table13[[#This Row],[B1.Aud]],"ERR")</f>
        <v>-6.4356435643564358E-2</v>
      </c>
      <c r="X25" s="162">
        <f>_xlfn.IFNA(VLOOKUP(Table13[[#This Row],[MTP SKU Code]],'Audit Dimensions'!A:N,10,FALSE),"ARC")</f>
        <v>0</v>
      </c>
      <c r="Y25" s="163">
        <f>IFERROR(Table13[[#This Row],[B2.Aud]]-Table13[[#This Row],[PW(gm)5]],"ERR")</f>
        <v>0</v>
      </c>
      <c r="Z25" s="165" t="str">
        <f>IFERROR(Table13[[#This Row],[B2.Diff]]/Table13[[#This Row],[B2.Aud]],"ERR")</f>
        <v>ERR</v>
      </c>
      <c r="AA25" s="162">
        <f>_xlfn.IFNA(VLOOKUP(Table13[[#This Row],[MTP SKU Code]],'Audit Dimensions'!A:N,14,FALSE),"ARC")</f>
        <v>0</v>
      </c>
      <c r="AB25" s="161">
        <f>IFERROR(Table13[[#This Row],[B3.Aud]]-Table13[[#This Row],[PW(gm)9]],"ERR")</f>
        <v>0</v>
      </c>
      <c r="AC25" s="168">
        <f>IFERROR(Table13[[#This Row],[B3.Diff]]/Table13[[#This Row],[BaLL.Aud]],"ERR")</f>
        <v>0</v>
      </c>
      <c r="AD25" s="162">
        <f>_xlfn.IFNA(VLOOKUP(Table13[[#This Row],[MTP SKU Code]],'Audit Dimensions'!A:U,16,FALSE),"ARC")</f>
        <v>10100</v>
      </c>
      <c r="AE25" s="165">
        <f>IFERROR(1-Table13[[#This Row],[Gms]]/Table13[[#This Row],[BaLL.Aud]],"ERR")</f>
        <v>-6.4356435643564414E-2</v>
      </c>
    </row>
    <row r="26" spans="1:31">
      <c r="A26" s="68" t="s">
        <v>56</v>
      </c>
      <c r="B26" s="84" t="s">
        <v>48</v>
      </c>
      <c r="C26" s="85">
        <v>25</v>
      </c>
      <c r="D26" s="85">
        <v>24</v>
      </c>
      <c r="E26" s="85">
        <v>5</v>
      </c>
      <c r="F26" s="89">
        <v>700</v>
      </c>
      <c r="G26" s="85"/>
      <c r="H26" s="85"/>
      <c r="I26" s="85"/>
      <c r="J26" s="85"/>
      <c r="K26" s="85"/>
      <c r="L26" s="85"/>
      <c r="M26" s="85"/>
      <c r="N26" s="85"/>
      <c r="O26" s="118">
        <f>((IFERROR((C26*D26*E26),0)+IFERROR((G26*H26*I26),0)+IFERROR((K26*L26*M26),0))/1000000)*35.32</f>
        <v>0.10596</v>
      </c>
      <c r="P26" s="125">
        <f>Table13[[#This Row],[Column15]]*$P$2*1000</f>
        <v>635.76</v>
      </c>
      <c r="Q26" s="87">
        <f>F26+J26+N26</f>
        <v>700</v>
      </c>
      <c r="R26" s="86">
        <f>MAX(Q26,O26)</f>
        <v>700</v>
      </c>
      <c r="S26" s="86">
        <f>MAX(R26,P26)</f>
        <v>700</v>
      </c>
      <c r="T26" s="156" t="str">
        <f>VLOOKUP(A26,'[1]MTP SKUs - Master Data'!$A:$B,2,FALSE)</f>
        <v>Y</v>
      </c>
      <c r="U26" s="162">
        <f>_xlfn.IFNA(VLOOKUP(Table13[[#This Row],[MTP SKU Code]],'Audit Dimensions'!A:N,6,FALSE),"ARC")</f>
        <v>660</v>
      </c>
      <c r="V26" s="162">
        <f>IFERROR(Table13[[#This Row],[B1.Aud]]-Table13[[#This Row],[PW(gm)]],"ERR")</f>
        <v>-40</v>
      </c>
      <c r="W26" s="165">
        <f>IFERROR(Table13[[#This Row],[B1.Diff]]/Table13[[#This Row],[B1.Aud]],"ERR")</f>
        <v>-6.0606060606060608E-2</v>
      </c>
      <c r="X26" s="162">
        <f>_xlfn.IFNA(VLOOKUP(Table13[[#This Row],[MTP SKU Code]],'Audit Dimensions'!A:N,10,FALSE),"ARC")</f>
        <v>0</v>
      </c>
      <c r="Y26" s="163">
        <f>IFERROR(Table13[[#This Row],[B2.Aud]]-Table13[[#This Row],[PW(gm)5]],"ERR")</f>
        <v>0</v>
      </c>
      <c r="Z26" s="165" t="str">
        <f>IFERROR(Table13[[#This Row],[B2.Diff]]/Table13[[#This Row],[B2.Aud]],"ERR")</f>
        <v>ERR</v>
      </c>
      <c r="AA26" s="162">
        <f>_xlfn.IFNA(VLOOKUP(Table13[[#This Row],[MTP SKU Code]],'Audit Dimensions'!A:N,14,FALSE),"ARC")</f>
        <v>0</v>
      </c>
      <c r="AB26" s="161">
        <f>IFERROR(Table13[[#This Row],[B3.Aud]]-Table13[[#This Row],[PW(gm)9]],"ERR")</f>
        <v>0</v>
      </c>
      <c r="AC26" s="168">
        <f>IFERROR(Table13[[#This Row],[B3.Diff]]/Table13[[#This Row],[BaLL.Aud]],"ERR")</f>
        <v>0</v>
      </c>
      <c r="AD26" s="189">
        <f>_xlfn.IFNA(VLOOKUP(Table13[[#This Row],[MTP SKU Code]],'Audit Dimensions'!A:U,16,FALSE),"ARC")</f>
        <v>660</v>
      </c>
      <c r="AE26" s="165">
        <f>IFERROR(1-Table13[[#This Row],[Gms]]/Table13[[#This Row],[BaLL.Aud]],"ERR")</f>
        <v>-6.0606060606060552E-2</v>
      </c>
    </row>
    <row r="27" spans="1:31" ht="12.4" hidden="1" customHeight="1">
      <c r="A27" s="99" t="s">
        <v>71</v>
      </c>
      <c r="B27" s="84" t="s">
        <v>48</v>
      </c>
      <c r="C27" s="85">
        <v>36</v>
      </c>
      <c r="D27" s="85">
        <v>25</v>
      </c>
      <c r="E27" s="85">
        <v>5</v>
      </c>
      <c r="F27" s="89">
        <v>1515</v>
      </c>
      <c r="G27" s="85"/>
      <c r="H27" s="85"/>
      <c r="I27" s="85"/>
      <c r="J27" s="85"/>
      <c r="K27" s="85"/>
      <c r="L27" s="85"/>
      <c r="M27" s="85"/>
      <c r="N27" s="85"/>
      <c r="O27" s="118">
        <f>((IFERROR((C27*D27*E27),0)+IFERROR((G27*H27*I27),0)+IFERROR((K27*L27*M27),0))/1000000)*35.32</f>
        <v>0.15894</v>
      </c>
      <c r="P27" s="125">
        <f>Table13[[#This Row],[Column15]]*$P$2*1000</f>
        <v>953.6400000000001</v>
      </c>
      <c r="Q27" s="87">
        <f>F27+J27+N27</f>
        <v>1515</v>
      </c>
      <c r="R27" s="86">
        <f>MAX(Q27,O27)</f>
        <v>1515</v>
      </c>
      <c r="S27" s="86">
        <f>MAX(R27,P27)</f>
        <v>1515</v>
      </c>
      <c r="T27" s="156" t="str">
        <f>VLOOKUP(A27,'[1]MTP SKUs - Master Data'!$A:$B,2,FALSE)</f>
        <v>DI</v>
      </c>
      <c r="U27" s="162">
        <f>_xlfn.IFNA(VLOOKUP(Table13[[#This Row],[MTP SKU Code]],'Audit Dimensions'!A:N,6,FALSE),"ARC")</f>
        <v>1430</v>
      </c>
      <c r="V27" s="162">
        <f>IFERROR(Table13[[#This Row],[B1.Aud]]-Table13[[#This Row],[PW(gm)]],"ERR")</f>
        <v>-85</v>
      </c>
      <c r="W27" s="165">
        <f>IFERROR(Table13[[#This Row],[B1.Diff]]/Table13[[#This Row],[B1.Aud]],"ERR")</f>
        <v>-5.944055944055944E-2</v>
      </c>
      <c r="X27" s="162">
        <f>_xlfn.IFNA(VLOOKUP(Table13[[#This Row],[MTP SKU Code]],'Audit Dimensions'!A:N,10,FALSE),"ARC")</f>
        <v>0</v>
      </c>
      <c r="Y27" s="163">
        <f>IFERROR(Table13[[#This Row],[B2.Aud]]-Table13[[#This Row],[PW(gm)5]],"ERR")</f>
        <v>0</v>
      </c>
      <c r="Z27" s="165" t="str">
        <f>IFERROR(Table13[[#This Row],[B2.Diff]]/Table13[[#This Row],[B2.Aud]],"ERR")</f>
        <v>ERR</v>
      </c>
      <c r="AA27" s="162">
        <f>_xlfn.IFNA(VLOOKUP(Table13[[#This Row],[MTP SKU Code]],'Audit Dimensions'!A:N,14,FALSE),"ARC")</f>
        <v>0</v>
      </c>
      <c r="AB27" s="161">
        <f>IFERROR(Table13[[#This Row],[B3.Aud]]-Table13[[#This Row],[PW(gm)9]],"ERR")</f>
        <v>0</v>
      </c>
      <c r="AC27" s="168">
        <f>IFERROR(Table13[[#This Row],[B3.Diff]]/Table13[[#This Row],[BaLL.Aud]],"ERR")</f>
        <v>0</v>
      </c>
      <c r="AD27" s="162">
        <f>_xlfn.IFNA(VLOOKUP(Table13[[#This Row],[MTP SKU Code]],'Audit Dimensions'!A:U,16,FALSE),"ARC")</f>
        <v>1430</v>
      </c>
      <c r="AE27" s="165">
        <f>IFERROR(1-Table13[[#This Row],[Gms]]/Table13[[#This Row],[BaLL.Aud]],"ERR")</f>
        <v>-5.9440559440559371E-2</v>
      </c>
    </row>
    <row r="28" spans="1:31">
      <c r="A28" s="68" t="s">
        <v>89</v>
      </c>
      <c r="B28" s="84" t="s">
        <v>48</v>
      </c>
      <c r="C28" s="84">
        <v>87</v>
      </c>
      <c r="D28" s="85">
        <v>45</v>
      </c>
      <c r="E28" s="85">
        <v>8</v>
      </c>
      <c r="F28" s="89">
        <v>14700</v>
      </c>
      <c r="G28" s="85"/>
      <c r="H28" s="85"/>
      <c r="I28" s="85"/>
      <c r="J28" s="85"/>
      <c r="K28" s="85"/>
      <c r="L28" s="85"/>
      <c r="M28" s="85"/>
      <c r="N28" s="85"/>
      <c r="O28" s="118">
        <f>((IFERROR((C28*D28*E28),0)+IFERROR((G28*H28*I28),0)+IFERROR((K28*L28*M28),0))/1000000)*35.32</f>
        <v>1.1062224000000001</v>
      </c>
      <c r="P28" s="125">
        <f>Table13[[#This Row],[Column15]]*$P$2*1000</f>
        <v>6637.3344000000006</v>
      </c>
      <c r="Q28" s="87">
        <f>F28+J28+N28</f>
        <v>14700</v>
      </c>
      <c r="R28" s="88">
        <f>MAX(Q28,O28)</f>
        <v>14700</v>
      </c>
      <c r="S28" s="86">
        <f>MAX(R28,P28)</f>
        <v>14700</v>
      </c>
      <c r="T28" s="156" t="str">
        <f>VLOOKUP(A28,'[1]MTP SKUs - Master Data'!$A:$B,2,FALSE)</f>
        <v>Y</v>
      </c>
      <c r="U28" s="162">
        <f>_xlfn.IFNA(VLOOKUP(Table13[[#This Row],[MTP SKU Code]],'Audit Dimensions'!A:N,6,FALSE),"ARC")</f>
        <v>13970</v>
      </c>
      <c r="V28" s="162">
        <f>IFERROR(Table13[[#This Row],[B1.Aud]]-Table13[[#This Row],[PW(gm)]],"ERR")</f>
        <v>-730</v>
      </c>
      <c r="W28" s="165">
        <f>IFERROR(Table13[[#This Row],[B1.Diff]]/Table13[[#This Row],[B1.Aud]],"ERR")</f>
        <v>-5.2254831782390834E-2</v>
      </c>
      <c r="X28" s="162">
        <f>_xlfn.IFNA(VLOOKUP(Table13[[#This Row],[MTP SKU Code]],'Audit Dimensions'!A:N,10,FALSE),"ARC")</f>
        <v>0</v>
      </c>
      <c r="Y28" s="163">
        <f>IFERROR(Table13[[#This Row],[B2.Aud]]-Table13[[#This Row],[PW(gm)5]],"ERR")</f>
        <v>0</v>
      </c>
      <c r="Z28" s="165" t="str">
        <f>IFERROR(Table13[[#This Row],[B2.Diff]]/Table13[[#This Row],[B2.Aud]],"ERR")</f>
        <v>ERR</v>
      </c>
      <c r="AA28" s="162">
        <f>_xlfn.IFNA(VLOOKUP(Table13[[#This Row],[MTP SKU Code]],'Audit Dimensions'!A:N,14,FALSE),"ARC")</f>
        <v>0</v>
      </c>
      <c r="AB28" s="161">
        <f>IFERROR(Table13[[#This Row],[B3.Aud]]-Table13[[#This Row],[PW(gm)9]],"ERR")</f>
        <v>0</v>
      </c>
      <c r="AC28" s="168">
        <f>IFERROR(Table13[[#This Row],[B3.Diff]]/Table13[[#This Row],[BaLL.Aud]],"ERR")</f>
        <v>0</v>
      </c>
      <c r="AD28" s="189">
        <f>_xlfn.IFNA(VLOOKUP(Table13[[#This Row],[MTP SKU Code]],'Audit Dimensions'!A:U,16,FALSE),"ARC")</f>
        <v>13970</v>
      </c>
      <c r="AE28" s="165">
        <f>IFERROR(1-Table13[[#This Row],[Gms]]/Table13[[#This Row],[BaLL.Aud]],"ERR")</f>
        <v>-5.2254831782390765E-2</v>
      </c>
    </row>
    <row r="29" spans="1:31" ht="12.4" customHeight="1">
      <c r="A29" s="68" t="s">
        <v>87</v>
      </c>
      <c r="B29" s="84" t="s">
        <v>48</v>
      </c>
      <c r="C29" s="84">
        <v>1</v>
      </c>
      <c r="D29" s="85">
        <v>1</v>
      </c>
      <c r="E29" s="85">
        <v>1</v>
      </c>
      <c r="F29" s="89">
        <v>30500</v>
      </c>
      <c r="G29" s="85"/>
      <c r="H29" s="85"/>
      <c r="I29" s="85"/>
      <c r="J29" s="85"/>
      <c r="K29" s="85"/>
      <c r="L29" s="85"/>
      <c r="M29" s="85"/>
      <c r="N29" s="85"/>
      <c r="O29" s="118">
        <f>((IFERROR((C29*D29*E29),0)+IFERROR((G29*H29*I29),0)+IFERROR((K29*L29*M29),0))/1000000)*35.32</f>
        <v>3.5320000000000001E-5</v>
      </c>
      <c r="P29" s="125">
        <f>Table13[[#This Row],[Column15]]*$P$2*1000</f>
        <v>0.21192</v>
      </c>
      <c r="Q29" s="87">
        <f>F29+J29+N29</f>
        <v>30500</v>
      </c>
      <c r="R29" s="88">
        <f>MAX(Q29,O29)</f>
        <v>30500</v>
      </c>
      <c r="S29" s="86">
        <f>MAX(R29,P29)</f>
        <v>30500</v>
      </c>
      <c r="T29" s="156" t="str">
        <f>VLOOKUP(A29,'[1]MTP SKUs - Master Data'!$A:$B,2,FALSE)</f>
        <v>Y</v>
      </c>
      <c r="U29" s="162">
        <f>_xlfn.IFNA(VLOOKUP(Table13[[#This Row],[MTP SKU Code]],'Audit Dimensions'!A:N,6,FALSE),"ARC")</f>
        <v>29220</v>
      </c>
      <c r="V29" s="162">
        <f>IFERROR(Table13[[#This Row],[B1.Aud]]-Table13[[#This Row],[PW(gm)]],"ERR")</f>
        <v>-1280</v>
      </c>
      <c r="W29" s="165">
        <f>IFERROR(Table13[[#This Row],[B1.Diff]]/Table13[[#This Row],[B1.Aud]],"ERR")</f>
        <v>-4.380561259411362E-2</v>
      </c>
      <c r="X29" s="162">
        <f>_xlfn.IFNA(VLOOKUP(Table13[[#This Row],[MTP SKU Code]],'Audit Dimensions'!A:N,10,FALSE),"ARC")</f>
        <v>0</v>
      </c>
      <c r="Y29" s="163">
        <f>IFERROR(Table13[[#This Row],[B2.Aud]]-Table13[[#This Row],[PW(gm)5]],"ERR")</f>
        <v>0</v>
      </c>
      <c r="Z29" s="165" t="str">
        <f>IFERROR(Table13[[#This Row],[B2.Diff]]/Table13[[#This Row],[B2.Aud]],"ERR")</f>
        <v>ERR</v>
      </c>
      <c r="AA29" s="162">
        <f>_xlfn.IFNA(VLOOKUP(Table13[[#This Row],[MTP SKU Code]],'Audit Dimensions'!A:N,14,FALSE),"ARC")</f>
        <v>0</v>
      </c>
      <c r="AB29" s="161">
        <f>IFERROR(Table13[[#This Row],[B3.Aud]]-Table13[[#This Row],[PW(gm)9]],"ERR")</f>
        <v>0</v>
      </c>
      <c r="AC29" s="168">
        <f>IFERROR(Table13[[#This Row],[B3.Diff]]/Table13[[#This Row],[BaLL.Aud]],"ERR")</f>
        <v>0</v>
      </c>
      <c r="AD29" s="189">
        <f>_xlfn.IFNA(VLOOKUP(Table13[[#This Row],[MTP SKU Code]],'Audit Dimensions'!A:U,16,FALSE),"ARC")</f>
        <v>29220</v>
      </c>
      <c r="AE29" s="165">
        <f>IFERROR(1-Table13[[#This Row],[Gms]]/Table13[[#This Row],[BaLL.Aud]],"ERR")</f>
        <v>-4.380561259411353E-2</v>
      </c>
    </row>
    <row r="30" spans="1:31">
      <c r="A30" s="98" t="s">
        <v>96</v>
      </c>
      <c r="B30" s="84" t="s">
        <v>74</v>
      </c>
      <c r="C30" s="85">
        <v>157</v>
      </c>
      <c r="D30" s="85">
        <v>47</v>
      </c>
      <c r="E30" s="85">
        <v>9</v>
      </c>
      <c r="F30" s="89">
        <v>32000</v>
      </c>
      <c r="G30" s="85">
        <v>179</v>
      </c>
      <c r="H30" s="85">
        <v>41</v>
      </c>
      <c r="I30" s="85">
        <v>10</v>
      </c>
      <c r="J30" s="85">
        <v>39000</v>
      </c>
      <c r="K30" s="85">
        <v>185</v>
      </c>
      <c r="L30" s="85">
        <v>46</v>
      </c>
      <c r="M30" s="85">
        <v>8</v>
      </c>
      <c r="N30" s="85">
        <v>40000</v>
      </c>
      <c r="O30" s="118">
        <f>((IFERROR((C30*D30*E30),0)+IFERROR((G30*H30*I30),0)+IFERROR((K30*L30*M30),0))/1000000)*35.32</f>
        <v>7.3423569200000003</v>
      </c>
      <c r="P30" s="125">
        <f>Table13[[#This Row],[Column15]]*$P$2*1000</f>
        <v>44054.141520000005</v>
      </c>
      <c r="Q30" s="87">
        <f>F30+J30+N30</f>
        <v>111000</v>
      </c>
      <c r="R30" s="86">
        <f>MAX(Q30,O30)</f>
        <v>111000</v>
      </c>
      <c r="S30" s="86">
        <f>MAX(R30,P30)</f>
        <v>111000</v>
      </c>
      <c r="T30" s="156" t="str">
        <f>VLOOKUP(A30,'[1]MTP SKUs - Master Data'!$A:$B,2,FALSE)</f>
        <v>RL</v>
      </c>
      <c r="U30" s="162">
        <f>_xlfn.IFNA(VLOOKUP(Table13[[#This Row],[MTP SKU Code]],'Audit Dimensions'!A:N,6,FALSE),"ARC")</f>
        <v>27350</v>
      </c>
      <c r="V30" s="162">
        <f>IFERROR(Table13[[#This Row],[B1.Aud]]-Table13[[#This Row],[PW(gm)]],"ERR")</f>
        <v>-4650</v>
      </c>
      <c r="W30" s="165">
        <f>IFERROR(Table13[[#This Row],[B1.Diff]]/Table13[[#This Row],[B1.Aud]],"ERR")</f>
        <v>-0.17001828153564899</v>
      </c>
      <c r="X30" s="162">
        <f>_xlfn.IFNA(VLOOKUP(Table13[[#This Row],[MTP SKU Code]],'Audit Dimensions'!A:N,10,FALSE),"ARC")</f>
        <v>38300</v>
      </c>
      <c r="Y30" s="163">
        <f>IFERROR(Table13[[#This Row],[B2.Aud]]-Table13[[#This Row],[PW(gm)5]],"ERR")</f>
        <v>-700</v>
      </c>
      <c r="Z30" s="165">
        <f>IFERROR(Table13[[#This Row],[B2.Diff]]/Table13[[#This Row],[B2.Aud]],"ERR")</f>
        <v>-1.8276762402088774E-2</v>
      </c>
      <c r="AA30" s="162">
        <f>_xlfn.IFNA(VLOOKUP(Table13[[#This Row],[MTP SKU Code]],'Audit Dimensions'!A:N,14,FALSE),"ARC")</f>
        <v>41050</v>
      </c>
      <c r="AB30" s="161">
        <f>IFERROR(Table13[[#This Row],[B3.Aud]]-Table13[[#This Row],[PW(gm)9]],"ERR")</f>
        <v>1050</v>
      </c>
      <c r="AC30" s="168">
        <f>IFERROR(Table13[[#This Row],[B3.Diff]]/Table13[[#This Row],[BaLL.Aud]],"ERR")</f>
        <v>9.840674789128397E-3</v>
      </c>
      <c r="AD30" s="189">
        <f>_xlfn.IFNA(VLOOKUP(Table13[[#This Row],[MTP SKU Code]],'Audit Dimensions'!A:U,16,FALSE),"ARC")</f>
        <v>106700</v>
      </c>
      <c r="AE30" s="165">
        <f>IFERROR(1-Table13[[#This Row],[Gms]]/Table13[[#This Row],[BaLL.Aud]],"ERR")</f>
        <v>-4.0299906279287701E-2</v>
      </c>
    </row>
    <row r="31" spans="1:31" ht="12.4" customHeight="1">
      <c r="A31" s="68" t="s">
        <v>57</v>
      </c>
      <c r="B31" s="84" t="s">
        <v>48</v>
      </c>
      <c r="C31" s="85">
        <v>28</v>
      </c>
      <c r="D31" s="85">
        <v>20</v>
      </c>
      <c r="E31" s="85">
        <v>6</v>
      </c>
      <c r="F31" s="89">
        <v>840</v>
      </c>
      <c r="G31" s="85"/>
      <c r="H31" s="85"/>
      <c r="I31" s="85"/>
      <c r="J31" s="85"/>
      <c r="K31" s="85"/>
      <c r="L31" s="85"/>
      <c r="M31" s="85"/>
      <c r="N31" s="85"/>
      <c r="O31" s="118">
        <f>((IFERROR((C31*D31*E31),0)+IFERROR((G31*H31*I31),0)+IFERROR((K31*L31*M31),0))/1000000)*35.32</f>
        <v>0.11867520000000001</v>
      </c>
      <c r="P31" s="125">
        <f>Table13[[#This Row],[Column15]]*$P$2*1000</f>
        <v>712.05120000000011</v>
      </c>
      <c r="Q31" s="87">
        <f>F31+J31+N31</f>
        <v>840</v>
      </c>
      <c r="R31" s="86">
        <f>MAX(Q31,O31)</f>
        <v>840</v>
      </c>
      <c r="S31" s="86">
        <f>MAX(R31,P31)</f>
        <v>840</v>
      </c>
      <c r="T31" s="156" t="str">
        <f>VLOOKUP(A31,'[1]MTP SKUs - Master Data'!$A:$B,2,FALSE)</f>
        <v>Y</v>
      </c>
      <c r="U31" s="162">
        <f>_xlfn.IFNA(VLOOKUP(Table13[[#This Row],[MTP SKU Code]],'Audit Dimensions'!A:N,6,FALSE),"ARC")</f>
        <v>810</v>
      </c>
      <c r="V31" s="162">
        <f>IFERROR(Table13[[#This Row],[B1.Aud]]-Table13[[#This Row],[PW(gm)]],"ERR")</f>
        <v>-30</v>
      </c>
      <c r="W31" s="165">
        <f>IFERROR(Table13[[#This Row],[B1.Diff]]/Table13[[#This Row],[B1.Aud]],"ERR")</f>
        <v>-3.7037037037037035E-2</v>
      </c>
      <c r="X31" s="162">
        <f>_xlfn.IFNA(VLOOKUP(Table13[[#This Row],[MTP SKU Code]],'Audit Dimensions'!A:N,10,FALSE),"ARC")</f>
        <v>0</v>
      </c>
      <c r="Y31" s="163">
        <f>IFERROR(Table13[[#This Row],[B2.Aud]]-Table13[[#This Row],[PW(gm)5]],"ERR")</f>
        <v>0</v>
      </c>
      <c r="Z31" s="165" t="str">
        <f>IFERROR(Table13[[#This Row],[B2.Diff]]/Table13[[#This Row],[B2.Aud]],"ERR")</f>
        <v>ERR</v>
      </c>
      <c r="AA31" s="162">
        <f>_xlfn.IFNA(VLOOKUP(Table13[[#This Row],[MTP SKU Code]],'Audit Dimensions'!A:N,14,FALSE),"ARC")</f>
        <v>0</v>
      </c>
      <c r="AB31" s="161">
        <f>IFERROR(Table13[[#This Row],[B3.Aud]]-Table13[[#This Row],[PW(gm)9]],"ERR")</f>
        <v>0</v>
      </c>
      <c r="AC31" s="168">
        <f>IFERROR(Table13[[#This Row],[B3.Diff]]/Table13[[#This Row],[BaLL.Aud]],"ERR")</f>
        <v>0</v>
      </c>
      <c r="AD31" s="189">
        <f>_xlfn.IFNA(VLOOKUP(Table13[[#This Row],[MTP SKU Code]],'Audit Dimensions'!A:U,16,FALSE),"ARC")</f>
        <v>810</v>
      </c>
      <c r="AE31" s="165">
        <f>IFERROR(1-Table13[[#This Row],[Gms]]/Table13[[#This Row],[BaLL.Aud]],"ERR")</f>
        <v>-3.7037037037036979E-2</v>
      </c>
    </row>
    <row r="32" spans="1:31">
      <c r="A32" s="91" t="s">
        <v>120</v>
      </c>
      <c r="B32" s="84" t="s">
        <v>48</v>
      </c>
      <c r="C32" s="85">
        <v>85</v>
      </c>
      <c r="D32" s="85">
        <v>50</v>
      </c>
      <c r="E32" s="85">
        <v>18</v>
      </c>
      <c r="F32" s="89">
        <v>40840</v>
      </c>
      <c r="G32" s="85"/>
      <c r="H32" s="85"/>
      <c r="I32" s="85"/>
      <c r="J32" s="85"/>
      <c r="K32" s="85"/>
      <c r="L32" s="85"/>
      <c r="M32" s="85"/>
      <c r="N32" s="85"/>
      <c r="O32" s="118">
        <f>((IFERROR((C32*D32*E32),0)+IFERROR((G32*H32*I32),0)+IFERROR((K32*L32*M32),0))/1000000)*35.32</f>
        <v>2.7019799999999998</v>
      </c>
      <c r="P32" s="125">
        <f>Table13[[#This Row],[Column15]]*$P$2*1000</f>
        <v>16211.880000000001</v>
      </c>
      <c r="Q32" s="87">
        <f>F32+J32+N32</f>
        <v>40840</v>
      </c>
      <c r="R32" s="86">
        <f>MAX(Q32,O32)</f>
        <v>40840</v>
      </c>
      <c r="S32" s="86">
        <f>MAX(R32,P32)</f>
        <v>40840</v>
      </c>
      <c r="T32" s="156" t="str">
        <f>VLOOKUP(A32,'[1]MTP SKUs - Master Data'!$A:$B,2,FALSE)</f>
        <v>Y</v>
      </c>
      <c r="U32" s="162">
        <f>_xlfn.IFNA(VLOOKUP(Table13[[#This Row],[MTP SKU Code]],'Audit Dimensions'!A:N,6,FALSE),"ARC")</f>
        <v>39520</v>
      </c>
      <c r="V32" s="162">
        <f>IFERROR(Table13[[#This Row],[B1.Aud]]-Table13[[#This Row],[PW(gm)]],"ERR")</f>
        <v>-1320</v>
      </c>
      <c r="W32" s="165">
        <f>IFERROR(Table13[[#This Row],[B1.Diff]]/Table13[[#This Row],[B1.Aud]],"ERR")</f>
        <v>-3.3400809716599193E-2</v>
      </c>
      <c r="X32" s="162">
        <f>_xlfn.IFNA(VLOOKUP(Table13[[#This Row],[MTP SKU Code]],'Audit Dimensions'!A:N,10,FALSE),"ARC")</f>
        <v>0</v>
      </c>
      <c r="Y32" s="163">
        <f>IFERROR(Table13[[#This Row],[B2.Aud]]-Table13[[#This Row],[PW(gm)5]],"ERR")</f>
        <v>0</v>
      </c>
      <c r="Z32" s="165" t="str">
        <f>IFERROR(Table13[[#This Row],[B2.Diff]]/Table13[[#This Row],[B2.Aud]],"ERR")</f>
        <v>ERR</v>
      </c>
      <c r="AA32" s="162">
        <f>_xlfn.IFNA(VLOOKUP(Table13[[#This Row],[MTP SKU Code]],'Audit Dimensions'!A:N,14,FALSE),"ARC")</f>
        <v>0</v>
      </c>
      <c r="AB32" s="161">
        <f>IFERROR(Table13[[#This Row],[B3.Aud]]-Table13[[#This Row],[PW(gm)9]],"ERR")</f>
        <v>0</v>
      </c>
      <c r="AC32" s="168">
        <f>IFERROR(Table13[[#This Row],[B3.Diff]]/Table13[[#This Row],[BaLL.Aud]],"ERR")</f>
        <v>0</v>
      </c>
      <c r="AD32" s="189">
        <f>_xlfn.IFNA(VLOOKUP(Table13[[#This Row],[MTP SKU Code]],'Audit Dimensions'!A:U,16,FALSE),"ARC")</f>
        <v>39520</v>
      </c>
      <c r="AE32" s="165">
        <f>IFERROR(1-Table13[[#This Row],[Gms]]/Table13[[#This Row],[BaLL.Aud]],"ERR")</f>
        <v>-3.34008097165992E-2</v>
      </c>
    </row>
    <row r="33" spans="1:31">
      <c r="A33" s="68" t="s">
        <v>110</v>
      </c>
      <c r="B33" s="84" t="s">
        <v>48</v>
      </c>
      <c r="C33" s="85">
        <v>135</v>
      </c>
      <c r="D33" s="85">
        <v>36</v>
      </c>
      <c r="E33" s="85">
        <v>7</v>
      </c>
      <c r="F33" s="89">
        <v>8735</v>
      </c>
      <c r="G33" s="85"/>
      <c r="H33" s="85"/>
      <c r="I33" s="85"/>
      <c r="J33" s="85"/>
      <c r="K33" s="85"/>
      <c r="L33" s="85"/>
      <c r="M33" s="85"/>
      <c r="N33" s="85"/>
      <c r="O33" s="118">
        <f>((IFERROR((C33*D33*E33),0)+IFERROR((G33*H33*I33),0)+IFERROR((K33*L33*M33),0))/1000000)*35.32</f>
        <v>1.2015864000000001</v>
      </c>
      <c r="P33" s="125">
        <f>Table13[[#This Row],[Column15]]*$P$2*1000</f>
        <v>7209.5183999999999</v>
      </c>
      <c r="Q33" s="87">
        <f>F33+J33+N33</f>
        <v>8735</v>
      </c>
      <c r="R33" s="86">
        <f>MAX(Q33,O33)</f>
        <v>8735</v>
      </c>
      <c r="S33" s="86">
        <f>MAX(R33,P33)</f>
        <v>8735</v>
      </c>
      <c r="T33" s="156" t="str">
        <f>VLOOKUP(A33,'[1]MTP SKUs - Master Data'!$A:$B,2,FALSE)</f>
        <v>Y</v>
      </c>
      <c r="U33" s="162">
        <f>_xlfn.IFNA(VLOOKUP(Table13[[#This Row],[MTP SKU Code]],'Audit Dimensions'!A:N,6,FALSE),"ARC")</f>
        <v>8460</v>
      </c>
      <c r="V33" s="162">
        <f>IFERROR(Table13[[#This Row],[B1.Aud]]-Table13[[#This Row],[PW(gm)]],"ERR")</f>
        <v>-275</v>
      </c>
      <c r="W33" s="165">
        <f>IFERROR(Table13[[#This Row],[B1.Diff]]/Table13[[#This Row],[B1.Aud]],"ERR")</f>
        <v>-3.2505910165484632E-2</v>
      </c>
      <c r="X33" s="162">
        <f>_xlfn.IFNA(VLOOKUP(Table13[[#This Row],[MTP SKU Code]],'Audit Dimensions'!A:N,10,FALSE),"ARC")</f>
        <v>0</v>
      </c>
      <c r="Y33" s="163">
        <f>IFERROR(Table13[[#This Row],[B2.Aud]]-Table13[[#This Row],[PW(gm)5]],"ERR")</f>
        <v>0</v>
      </c>
      <c r="Z33" s="165" t="str">
        <f>IFERROR(Table13[[#This Row],[B2.Diff]]/Table13[[#This Row],[B2.Aud]],"ERR")</f>
        <v>ERR</v>
      </c>
      <c r="AA33" s="162">
        <f>_xlfn.IFNA(VLOOKUP(Table13[[#This Row],[MTP SKU Code]],'Audit Dimensions'!A:N,14,FALSE),"ARC")</f>
        <v>0</v>
      </c>
      <c r="AB33" s="161">
        <f>IFERROR(Table13[[#This Row],[B3.Aud]]-Table13[[#This Row],[PW(gm)9]],"ERR")</f>
        <v>0</v>
      </c>
      <c r="AC33" s="168">
        <f>IFERROR(Table13[[#This Row],[B3.Diff]]/Table13[[#This Row],[BaLL.Aud]],"ERR")</f>
        <v>0</v>
      </c>
      <c r="AD33" s="189">
        <f>_xlfn.IFNA(VLOOKUP(Table13[[#This Row],[MTP SKU Code]],'Audit Dimensions'!A:U,16,FALSE),"ARC")</f>
        <v>8460</v>
      </c>
      <c r="AE33" s="165">
        <f>IFERROR(1-Table13[[#This Row],[Gms]]/Table13[[#This Row],[BaLL.Aud]],"ERR")</f>
        <v>-3.2505910165484542E-2</v>
      </c>
    </row>
    <row r="34" spans="1:31">
      <c r="A34" s="68" t="s">
        <v>135</v>
      </c>
      <c r="B34" s="84" t="s">
        <v>48</v>
      </c>
      <c r="C34" s="85">
        <v>97</v>
      </c>
      <c r="D34" s="85">
        <v>31</v>
      </c>
      <c r="E34" s="85">
        <v>8</v>
      </c>
      <c r="F34" s="89">
        <v>11500</v>
      </c>
      <c r="G34" s="85"/>
      <c r="H34" s="85"/>
      <c r="I34" s="85"/>
      <c r="J34" s="85"/>
      <c r="K34" s="85"/>
      <c r="L34" s="85"/>
      <c r="M34" s="85"/>
      <c r="N34" s="85"/>
      <c r="O34" s="118">
        <f>((IFERROR((C34*D34*E34),0)+IFERROR((G34*H34*I34),0)+IFERROR((K34*L34*M34),0))/1000000)*35.32</f>
        <v>0.84965792000000007</v>
      </c>
      <c r="P34" s="125">
        <f>Table13[[#This Row],[Column15]]*$P$2*1000</f>
        <v>5097.9475199999997</v>
      </c>
      <c r="Q34" s="87">
        <f>F34+J34+N34</f>
        <v>11500</v>
      </c>
      <c r="R34" s="86">
        <f>MAX(Q34,O34)</f>
        <v>11500</v>
      </c>
      <c r="S34" s="86">
        <f>MAX(R34,P34)</f>
        <v>11500</v>
      </c>
      <c r="T34" s="156" t="str">
        <f>VLOOKUP(A34,'[1]MTP SKUs - Master Data'!$A:$B,2,FALSE)</f>
        <v>Y</v>
      </c>
      <c r="U34" s="162">
        <f>_xlfn.IFNA(VLOOKUP(Table13[[#This Row],[MTP SKU Code]],'Audit Dimensions'!A:N,6,FALSE),"ARC")</f>
        <v>10870</v>
      </c>
      <c r="V34" s="162">
        <f>IFERROR(Table13[[#This Row],[B1.Aud]]-Table13[[#This Row],[PW(gm)]],"ERR")</f>
        <v>-630</v>
      </c>
      <c r="W34" s="165">
        <f>IFERROR(Table13[[#This Row],[B1.Diff]]/Table13[[#This Row],[B1.Aud]],"ERR")</f>
        <v>-5.7957681692732292E-2</v>
      </c>
      <c r="X34" s="162">
        <f>_xlfn.IFNA(VLOOKUP(Table13[[#This Row],[MTP SKU Code]],'Audit Dimensions'!A:N,10,FALSE),"ARC")</f>
        <v>0</v>
      </c>
      <c r="Y34" s="163">
        <f>IFERROR(Table13[[#This Row],[B2.Aud]]-Table13[[#This Row],[PW(gm)5]],"ERR")</f>
        <v>0</v>
      </c>
      <c r="Z34" s="165" t="str">
        <f>IFERROR(Table13[[#This Row],[B2.Diff]]/Table13[[#This Row],[B2.Aud]],"ERR")</f>
        <v>ERR</v>
      </c>
      <c r="AA34" s="162">
        <f>_xlfn.IFNA(VLOOKUP(Table13[[#This Row],[MTP SKU Code]],'Audit Dimensions'!A:N,14,FALSE),"ARC")</f>
        <v>0</v>
      </c>
      <c r="AB34" s="161">
        <f>IFERROR(Table13[[#This Row],[B3.Aud]]-Table13[[#This Row],[PW(gm)9]],"ERR")</f>
        <v>0</v>
      </c>
      <c r="AC34" s="168">
        <f>IFERROR(Table13[[#This Row],[B3.Diff]]/Table13[[#This Row],[BaLL.Aud]],"ERR")</f>
        <v>0</v>
      </c>
      <c r="AD34" s="189">
        <f>_xlfn.IFNA(VLOOKUP(Table13[[#This Row],[MTP SKU Code]],'Audit Dimensions'!A:U,16,FALSE),"ARC")</f>
        <v>10870</v>
      </c>
      <c r="AE34" s="165">
        <f>IFERROR(1-Table13[[#This Row],[Gms]]/Table13[[#This Row],[BaLL.Aud]],"ERR")</f>
        <v>-5.7957681692732299E-2</v>
      </c>
    </row>
    <row r="35" spans="1:31">
      <c r="A35" s="68" t="s">
        <v>115</v>
      </c>
      <c r="B35" s="84" t="s">
        <v>48</v>
      </c>
      <c r="C35" s="84">
        <v>120</v>
      </c>
      <c r="D35" s="85">
        <v>50</v>
      </c>
      <c r="E35" s="85">
        <v>18</v>
      </c>
      <c r="F35" s="89">
        <v>47000</v>
      </c>
      <c r="G35" s="85"/>
      <c r="H35" s="85"/>
      <c r="I35" s="85"/>
      <c r="J35" s="85"/>
      <c r="K35" s="85"/>
      <c r="L35" s="85"/>
      <c r="M35" s="85"/>
      <c r="N35" s="85"/>
      <c r="O35" s="118">
        <f>((IFERROR((C35*D35*E35),0)+IFERROR((G35*H35*I35),0)+IFERROR((K35*L35*M35),0))/1000000)*35.32</f>
        <v>3.8145600000000002</v>
      </c>
      <c r="P35" s="125">
        <f>Table13[[#This Row],[Column15]]*$P$2*1000</f>
        <v>22887.360000000001</v>
      </c>
      <c r="Q35" s="87">
        <f>F35+J35+N35</f>
        <v>47000</v>
      </c>
      <c r="R35" s="88">
        <f>MAX(Q35,O35)</f>
        <v>47000</v>
      </c>
      <c r="S35" s="86">
        <f>MAX(R35,P35)</f>
        <v>47000</v>
      </c>
      <c r="T35" s="156" t="str">
        <f>VLOOKUP(A35,'[1]MTP SKUs - Master Data'!$A:$B,2,FALSE)</f>
        <v>Y</v>
      </c>
      <c r="U35" s="162">
        <f>_xlfn.IFNA(VLOOKUP(Table13[[#This Row],[MTP SKU Code]],'Audit Dimensions'!A:N,6,FALSE),"ARC")</f>
        <v>45720</v>
      </c>
      <c r="V35" s="162">
        <f>IFERROR(Table13[[#This Row],[B1.Aud]]-Table13[[#This Row],[PW(gm)]],"ERR")</f>
        <v>-1280</v>
      </c>
      <c r="W35" s="165">
        <f>IFERROR(Table13[[#This Row],[B1.Diff]]/Table13[[#This Row],[B1.Aud]],"ERR")</f>
        <v>-2.799650043744532E-2</v>
      </c>
      <c r="X35" s="162">
        <f>_xlfn.IFNA(VLOOKUP(Table13[[#This Row],[MTP SKU Code]],'Audit Dimensions'!A:N,10,FALSE),"ARC")</f>
        <v>0</v>
      </c>
      <c r="Y35" s="163">
        <f>IFERROR(Table13[[#This Row],[B2.Aud]]-Table13[[#This Row],[PW(gm)5]],"ERR")</f>
        <v>0</v>
      </c>
      <c r="Z35" s="165" t="str">
        <f>IFERROR(Table13[[#This Row],[B2.Diff]]/Table13[[#This Row],[B2.Aud]],"ERR")</f>
        <v>ERR</v>
      </c>
      <c r="AA35" s="162">
        <f>_xlfn.IFNA(VLOOKUP(Table13[[#This Row],[MTP SKU Code]],'Audit Dimensions'!A:N,14,FALSE),"ARC")</f>
        <v>0</v>
      </c>
      <c r="AB35" s="161">
        <f>IFERROR(Table13[[#This Row],[B3.Aud]]-Table13[[#This Row],[PW(gm)9]],"ERR")</f>
        <v>0</v>
      </c>
      <c r="AC35" s="168">
        <f>IFERROR(Table13[[#This Row],[B3.Diff]]/Table13[[#This Row],[BaLL.Aud]],"ERR")</f>
        <v>0</v>
      </c>
      <c r="AD35" s="189">
        <f>_xlfn.IFNA(VLOOKUP(Table13[[#This Row],[MTP SKU Code]],'Audit Dimensions'!A:U,16,FALSE),"ARC")</f>
        <v>45720</v>
      </c>
      <c r="AE35" s="165">
        <f>IFERROR(1-Table13[[#This Row],[Gms]]/Table13[[#This Row],[BaLL.Aud]],"ERR")</f>
        <v>-2.7996500437445393E-2</v>
      </c>
    </row>
    <row r="36" spans="1:31">
      <c r="A36" s="91" t="s">
        <v>107</v>
      </c>
      <c r="B36" s="84" t="s">
        <v>48</v>
      </c>
      <c r="C36" s="85">
        <v>150</v>
      </c>
      <c r="D36" s="85">
        <v>34</v>
      </c>
      <c r="E36" s="85">
        <v>5</v>
      </c>
      <c r="F36" s="89">
        <v>15500</v>
      </c>
      <c r="G36" s="85"/>
      <c r="H36" s="85"/>
      <c r="I36" s="85"/>
      <c r="J36" s="85"/>
      <c r="K36" s="85"/>
      <c r="L36" s="85"/>
      <c r="M36" s="85"/>
      <c r="N36" s="85"/>
      <c r="O36" s="118">
        <f>((IFERROR((C36*D36*E36),0)+IFERROR((G36*H36*I36),0)+IFERROR((K36*L36*M36),0))/1000000)*35.32</f>
        <v>0.90065999999999991</v>
      </c>
      <c r="P36" s="125">
        <f>Table13[[#This Row],[Column15]]*$P$2*1000</f>
        <v>5403.96</v>
      </c>
      <c r="Q36" s="87">
        <f>F36+J36+N36</f>
        <v>15500</v>
      </c>
      <c r="R36" s="86">
        <f>MAX(Q36,O36)</f>
        <v>15500</v>
      </c>
      <c r="S36" s="86">
        <f>MAX(R36,P36)</f>
        <v>15500</v>
      </c>
      <c r="T36" s="156" t="str">
        <f>VLOOKUP(A36,'[1]MTP SKUs - Master Data'!$A:$B,2,FALSE)</f>
        <v>Y</v>
      </c>
      <c r="U36" s="162">
        <f>_xlfn.IFNA(VLOOKUP(Table13[[#This Row],[MTP SKU Code]],'Audit Dimensions'!A:N,6,FALSE),"ARC")</f>
        <v>15150</v>
      </c>
      <c r="V36" s="162">
        <f>IFERROR(Table13[[#This Row],[B1.Aud]]-Table13[[#This Row],[PW(gm)]],"ERR")</f>
        <v>-350</v>
      </c>
      <c r="W36" s="165">
        <f>IFERROR(Table13[[#This Row],[B1.Diff]]/Table13[[#This Row],[B1.Aud]],"ERR")</f>
        <v>-2.3102310231023101E-2</v>
      </c>
      <c r="X36" s="162">
        <f>_xlfn.IFNA(VLOOKUP(Table13[[#This Row],[MTP SKU Code]],'Audit Dimensions'!A:N,10,FALSE),"ARC")</f>
        <v>0</v>
      </c>
      <c r="Y36" s="163">
        <f>IFERROR(Table13[[#This Row],[B2.Aud]]-Table13[[#This Row],[PW(gm)5]],"ERR")</f>
        <v>0</v>
      </c>
      <c r="Z36" s="165" t="str">
        <f>IFERROR(Table13[[#This Row],[B2.Diff]]/Table13[[#This Row],[B2.Aud]],"ERR")</f>
        <v>ERR</v>
      </c>
      <c r="AA36" s="162">
        <f>_xlfn.IFNA(VLOOKUP(Table13[[#This Row],[MTP SKU Code]],'Audit Dimensions'!A:N,14,FALSE),"ARC")</f>
        <v>0</v>
      </c>
      <c r="AB36" s="161">
        <f>IFERROR(Table13[[#This Row],[B3.Aud]]-Table13[[#This Row],[PW(gm)9]],"ERR")</f>
        <v>0</v>
      </c>
      <c r="AC36" s="168">
        <f>IFERROR(Table13[[#This Row],[B3.Diff]]/Table13[[#This Row],[BaLL.Aud]],"ERR")</f>
        <v>0</v>
      </c>
      <c r="AD36" s="189">
        <f>_xlfn.IFNA(VLOOKUP(Table13[[#This Row],[MTP SKU Code]],'Audit Dimensions'!A:U,16,FALSE),"ARC")</f>
        <v>15150</v>
      </c>
      <c r="AE36" s="165">
        <f>IFERROR(1-Table13[[#This Row],[Gms]]/Table13[[#This Row],[BaLL.Aud]],"ERR")</f>
        <v>-2.3102310231023049E-2</v>
      </c>
    </row>
    <row r="37" spans="1:31">
      <c r="A37" s="68" t="s">
        <v>283</v>
      </c>
      <c r="B37" s="84" t="s">
        <v>48</v>
      </c>
      <c r="C37" s="85">
        <v>74</v>
      </c>
      <c r="D37" s="85">
        <v>17</v>
      </c>
      <c r="E37" s="85">
        <v>5</v>
      </c>
      <c r="F37" s="89">
        <v>2350</v>
      </c>
      <c r="G37" s="85"/>
      <c r="H37" s="85"/>
      <c r="I37" s="85"/>
      <c r="J37" s="85"/>
      <c r="K37" s="85"/>
      <c r="L37" s="85"/>
      <c r="M37" s="85"/>
      <c r="N37" s="85"/>
      <c r="O37" s="118">
        <f>((IFERROR((C37*D37*E37),0)+IFERROR((G37*H37*I37),0)+IFERROR((K37*L37*M37),0))/1000000)*35.32</f>
        <v>0.22216279999999999</v>
      </c>
      <c r="P37" s="125">
        <f>Table13[[#This Row],[Column15]]*$P$2*1000</f>
        <v>1332.9767999999999</v>
      </c>
      <c r="Q37" s="87">
        <f>F37+J37+N37</f>
        <v>2350</v>
      </c>
      <c r="R37" s="86">
        <f>MAX(Q37,O37)</f>
        <v>2350</v>
      </c>
      <c r="S37" s="86">
        <f>MAX(R37,P37)</f>
        <v>2350</v>
      </c>
      <c r="T37" s="156" t="str">
        <f>VLOOKUP(A37,'[1]MTP SKUs - Master Data'!$A:$B,2,FALSE)</f>
        <v>Y</v>
      </c>
      <c r="U37" s="162">
        <f>_xlfn.IFNA(VLOOKUP(Table13[[#This Row],[MTP SKU Code]],'Audit Dimensions'!A:N,6,FALSE),"ARC")</f>
        <v>2300</v>
      </c>
      <c r="V37" s="162">
        <f>IFERROR(Table13[[#This Row],[B1.Aud]]-Table13[[#This Row],[PW(gm)]],"ERR")</f>
        <v>-50</v>
      </c>
      <c r="W37" s="165">
        <f>IFERROR(Table13[[#This Row],[B1.Diff]]/Table13[[#This Row],[B1.Aud]],"ERR")</f>
        <v>-2.1739130434782608E-2</v>
      </c>
      <c r="X37" s="162">
        <f>_xlfn.IFNA(VLOOKUP(Table13[[#This Row],[MTP SKU Code]],'Audit Dimensions'!A:N,10,FALSE),"ARC")</f>
        <v>0</v>
      </c>
      <c r="Y37" s="163">
        <f>IFERROR(Table13[[#This Row],[B2.Aud]]-Table13[[#This Row],[PW(gm)5]],"ERR")</f>
        <v>0</v>
      </c>
      <c r="Z37" s="165" t="str">
        <f>IFERROR(Table13[[#This Row],[B2.Diff]]/Table13[[#This Row],[B2.Aud]],"ERR")</f>
        <v>ERR</v>
      </c>
      <c r="AA37" s="162">
        <f>_xlfn.IFNA(VLOOKUP(Table13[[#This Row],[MTP SKU Code]],'Audit Dimensions'!A:N,14,FALSE),"ARC")</f>
        <v>0</v>
      </c>
      <c r="AB37" s="161">
        <f>IFERROR(Table13[[#This Row],[B3.Aud]]-Table13[[#This Row],[PW(gm)9]],"ERR")</f>
        <v>0</v>
      </c>
      <c r="AC37" s="168">
        <f>IFERROR(Table13[[#This Row],[B3.Diff]]/Table13[[#This Row],[BaLL.Aud]],"ERR")</f>
        <v>0</v>
      </c>
      <c r="AD37" s="189">
        <f>_xlfn.IFNA(VLOOKUP(Table13[[#This Row],[MTP SKU Code]],'Audit Dimensions'!A:U,16,FALSE),"ARC")</f>
        <v>2300</v>
      </c>
      <c r="AE37" s="165">
        <f>IFERROR(1-Table13[[#This Row],[Gms]]/Table13[[#This Row],[BaLL.Aud]],"ERR")</f>
        <v>-2.1739130434782705E-2</v>
      </c>
    </row>
    <row r="38" spans="1:31" ht="12.4" customHeight="1">
      <c r="A38" s="68" t="s">
        <v>214</v>
      </c>
      <c r="B38" s="84" t="s">
        <v>48</v>
      </c>
      <c r="C38" s="85">
        <v>116</v>
      </c>
      <c r="D38" s="85">
        <v>40</v>
      </c>
      <c r="E38" s="85">
        <v>7</v>
      </c>
      <c r="F38" s="89">
        <v>12500</v>
      </c>
      <c r="G38" s="85"/>
      <c r="H38" s="85"/>
      <c r="I38" s="85"/>
      <c r="J38" s="85"/>
      <c r="K38" s="85"/>
      <c r="L38" s="85"/>
      <c r="M38" s="85"/>
      <c r="N38" s="85"/>
      <c r="O38" s="118">
        <f>((IFERROR((C38*D38*E38),0)+IFERROR((G38*H38*I38),0)+IFERROR((K38*L38*M38),0))/1000000)*35.32</f>
        <v>1.1471936</v>
      </c>
      <c r="P38" s="125">
        <f>Table13[[#This Row],[Column15]]*$P$2*1000</f>
        <v>6883.1616000000004</v>
      </c>
      <c r="Q38" s="87">
        <f>F38+J38+N38</f>
        <v>12500</v>
      </c>
      <c r="R38" s="86">
        <f>MAX(Q38,O38)</f>
        <v>12500</v>
      </c>
      <c r="S38" s="86">
        <f>MAX(R38,P38)</f>
        <v>12500</v>
      </c>
      <c r="T38" s="156" t="str">
        <f>VLOOKUP(A38,'[1]MTP SKUs - Master Data'!$A:$B,2,FALSE)</f>
        <v>Y</v>
      </c>
      <c r="U38" s="162">
        <f>_xlfn.IFNA(VLOOKUP(Table13[[#This Row],[MTP SKU Code]],'Audit Dimensions'!A:N,6,FALSE),"ARC")</f>
        <v>12270</v>
      </c>
      <c r="V38" s="162">
        <f>IFERROR(Table13[[#This Row],[B1.Aud]]-Table13[[#This Row],[PW(gm)]],"ERR")</f>
        <v>-230</v>
      </c>
      <c r="W38" s="165">
        <f>IFERROR(Table13[[#This Row],[B1.Diff]]/Table13[[#This Row],[B1.Aud]],"ERR")</f>
        <v>-1.8744906275468622E-2</v>
      </c>
      <c r="X38" s="162">
        <f>_xlfn.IFNA(VLOOKUP(Table13[[#This Row],[MTP SKU Code]],'Audit Dimensions'!A:N,10,FALSE),"ARC")</f>
        <v>0</v>
      </c>
      <c r="Y38" s="163">
        <f>IFERROR(Table13[[#This Row],[B2.Aud]]-Table13[[#This Row],[PW(gm)5]],"ERR")</f>
        <v>0</v>
      </c>
      <c r="Z38" s="165" t="str">
        <f>IFERROR(Table13[[#This Row],[B2.Diff]]/Table13[[#This Row],[B2.Aud]],"ERR")</f>
        <v>ERR</v>
      </c>
      <c r="AA38" s="162">
        <f>_xlfn.IFNA(VLOOKUP(Table13[[#This Row],[MTP SKU Code]],'Audit Dimensions'!A:N,14,FALSE),"ARC")</f>
        <v>0</v>
      </c>
      <c r="AB38" s="161">
        <f>IFERROR(Table13[[#This Row],[B3.Aud]]-Table13[[#This Row],[PW(gm)9]],"ERR")</f>
        <v>0</v>
      </c>
      <c r="AC38" s="168">
        <f>IFERROR(Table13[[#This Row],[B3.Diff]]/Table13[[#This Row],[BaLL.Aud]],"ERR")</f>
        <v>0</v>
      </c>
      <c r="AD38" s="189">
        <f>_xlfn.IFNA(VLOOKUP(Table13[[#This Row],[MTP SKU Code]],'Audit Dimensions'!A:U,16,FALSE),"ARC")</f>
        <v>12270</v>
      </c>
      <c r="AE38" s="165">
        <f>IFERROR(1-Table13[[#This Row],[Gms]]/Table13[[#This Row],[BaLL.Aud]],"ERR")</f>
        <v>-1.8744906275468542E-2</v>
      </c>
    </row>
    <row r="39" spans="1:31">
      <c r="A39" s="70" t="s">
        <v>68</v>
      </c>
      <c r="B39" s="84" t="s">
        <v>48</v>
      </c>
      <c r="C39" s="84">
        <v>187</v>
      </c>
      <c r="D39" s="85">
        <v>43</v>
      </c>
      <c r="E39" s="85">
        <v>14</v>
      </c>
      <c r="F39" s="89">
        <v>59900</v>
      </c>
      <c r="G39" s="85"/>
      <c r="H39" s="85"/>
      <c r="I39" s="85"/>
      <c r="J39" s="85"/>
      <c r="K39" s="85"/>
      <c r="L39" s="85"/>
      <c r="M39" s="85"/>
      <c r="N39" s="85"/>
      <c r="O39" s="118">
        <f>((IFERROR((C39*D39*E39),0)+IFERROR((G39*H39*I39),0)+IFERROR((K39*L39*M39),0))/1000000)*35.32</f>
        <v>3.9761136799999997</v>
      </c>
      <c r="P39" s="125">
        <f>Table13[[#This Row],[Column15]]*$P$2*1000</f>
        <v>23856.682079999999</v>
      </c>
      <c r="Q39" s="87">
        <f>F39+J39+N39</f>
        <v>59900</v>
      </c>
      <c r="R39" s="86">
        <f>MAX(Q39,O39)</f>
        <v>59900</v>
      </c>
      <c r="S39" s="86">
        <f>MAX(R39,P39)</f>
        <v>59900</v>
      </c>
      <c r="T39" s="156" t="str">
        <f>VLOOKUP(A39,'[1]MTP SKUs - Master Data'!$A:$B,2,FALSE)</f>
        <v>Y</v>
      </c>
      <c r="U39" s="162">
        <f>_xlfn.IFNA(VLOOKUP(Table13[[#This Row],[MTP SKU Code]],'Audit Dimensions'!A:N,6,FALSE),"ARC")</f>
        <v>58920</v>
      </c>
      <c r="V39" s="162">
        <f>IFERROR(Table13[[#This Row],[B1.Aud]]-Table13[[#This Row],[PW(gm)]],"ERR")</f>
        <v>-980</v>
      </c>
      <c r="W39" s="165">
        <f>IFERROR(Table13[[#This Row],[B1.Diff]]/Table13[[#This Row],[B1.Aud]],"ERR")</f>
        <v>-1.6632722335369995E-2</v>
      </c>
      <c r="X39" s="162">
        <f>_xlfn.IFNA(VLOOKUP(Table13[[#This Row],[MTP SKU Code]],'Audit Dimensions'!A:N,10,FALSE),"ARC")</f>
        <v>0</v>
      </c>
      <c r="Y39" s="163">
        <f>IFERROR(Table13[[#This Row],[B2.Aud]]-Table13[[#This Row],[PW(gm)5]],"ERR")</f>
        <v>0</v>
      </c>
      <c r="Z39" s="165" t="str">
        <f>IFERROR(Table13[[#This Row],[B2.Diff]]/Table13[[#This Row],[B2.Aud]],"ERR")</f>
        <v>ERR</v>
      </c>
      <c r="AA39" s="162">
        <f>_xlfn.IFNA(VLOOKUP(Table13[[#This Row],[MTP SKU Code]],'Audit Dimensions'!A:N,14,FALSE),"ARC")</f>
        <v>0</v>
      </c>
      <c r="AB39" s="161">
        <f>IFERROR(Table13[[#This Row],[B3.Aud]]-Table13[[#This Row],[PW(gm)9]],"ERR")</f>
        <v>0</v>
      </c>
      <c r="AC39" s="168">
        <f>IFERROR(Table13[[#This Row],[B3.Diff]]/Table13[[#This Row],[BaLL.Aud]],"ERR")</f>
        <v>0</v>
      </c>
      <c r="AD39" s="189">
        <f>_xlfn.IFNA(VLOOKUP(Table13[[#This Row],[MTP SKU Code]],'Audit Dimensions'!A:U,16,FALSE),"ARC")</f>
        <v>58920</v>
      </c>
      <c r="AE39" s="165">
        <f>IFERROR(1-Table13[[#This Row],[Gms]]/Table13[[#This Row],[BaLL.Aud]],"ERR")</f>
        <v>-1.6632722335369943E-2</v>
      </c>
    </row>
    <row r="40" spans="1:31" ht="12.4" customHeight="1">
      <c r="A40" s="68" t="s">
        <v>322</v>
      </c>
      <c r="B40" s="84" t="s">
        <v>48</v>
      </c>
      <c r="C40" s="85">
        <v>20</v>
      </c>
      <c r="D40" s="85">
        <v>17</v>
      </c>
      <c r="E40" s="85">
        <v>12</v>
      </c>
      <c r="F40" s="89">
        <v>710</v>
      </c>
      <c r="G40" s="85"/>
      <c r="H40" s="85"/>
      <c r="I40" s="85"/>
      <c r="J40" s="85"/>
      <c r="K40" s="85"/>
      <c r="L40" s="85"/>
      <c r="M40" s="85"/>
      <c r="N40" s="85"/>
      <c r="O40" s="118">
        <f>((IFERROR((C40*D40*E40),0)+IFERROR((G40*H40*I40),0)+IFERROR((K40*L40*M40),0))/1000000)*35.32</f>
        <v>0.1441056</v>
      </c>
      <c r="P40" s="125">
        <f>Table13[[#This Row],[Column15]]*$P$2*1000</f>
        <v>864.6336</v>
      </c>
      <c r="Q40" s="87">
        <f>F40+J40+N40</f>
        <v>710</v>
      </c>
      <c r="R40" s="86">
        <f>MAX(Q40,O40)</f>
        <v>710</v>
      </c>
      <c r="S40" s="86">
        <f>MAX(R40,P40)</f>
        <v>864.6336</v>
      </c>
      <c r="T40" s="156" t="str">
        <f>VLOOKUP(A40,'[1]MTP SKUs - Master Data'!$A:$B,2,FALSE)</f>
        <v>Y</v>
      </c>
      <c r="U40" s="162">
        <f>_xlfn.IFNA(VLOOKUP(Table13[[#This Row],[MTP SKU Code]],'Audit Dimensions'!A:N,6,FALSE),"ARC")</f>
        <v>700</v>
      </c>
      <c r="V40" s="162">
        <f>IFERROR(Table13[[#This Row],[B1.Aud]]-Table13[[#This Row],[PW(gm)]],"ERR")</f>
        <v>-10</v>
      </c>
      <c r="W40" s="165">
        <f>IFERROR(Table13[[#This Row],[B1.Diff]]/Table13[[#This Row],[B1.Aud]],"ERR")</f>
        <v>-1.4285714285714285E-2</v>
      </c>
      <c r="X40" s="162">
        <f>_xlfn.IFNA(VLOOKUP(Table13[[#This Row],[MTP SKU Code]],'Audit Dimensions'!A:N,10,FALSE),"ARC")</f>
        <v>0</v>
      </c>
      <c r="Y40" s="163">
        <f>IFERROR(Table13[[#This Row],[B2.Aud]]-Table13[[#This Row],[PW(gm)5]],"ERR")</f>
        <v>0</v>
      </c>
      <c r="Z40" s="165" t="str">
        <f>IFERROR(Table13[[#This Row],[B2.Diff]]/Table13[[#This Row],[B2.Aud]],"ERR")</f>
        <v>ERR</v>
      </c>
      <c r="AA40" s="162">
        <f>_xlfn.IFNA(VLOOKUP(Table13[[#This Row],[MTP SKU Code]],'Audit Dimensions'!A:N,14,FALSE),"ARC")</f>
        <v>0</v>
      </c>
      <c r="AB40" s="161">
        <f>IFERROR(Table13[[#This Row],[B3.Aud]]-Table13[[#This Row],[PW(gm)9]],"ERR")</f>
        <v>0</v>
      </c>
      <c r="AC40" s="168">
        <f>IFERROR(Table13[[#This Row],[B3.Diff]]/Table13[[#This Row],[BaLL.Aud]],"ERR")</f>
        <v>0</v>
      </c>
      <c r="AD40" s="189">
        <f>_xlfn.IFNA(VLOOKUP(Table13[[#This Row],[MTP SKU Code]],'Audit Dimensions'!A:U,16,FALSE),"ARC")</f>
        <v>700</v>
      </c>
      <c r="AE40" s="165">
        <f>IFERROR(1-Table13[[#This Row],[Gms]]/Table13[[#This Row],[BaLL.Aud]],"ERR")</f>
        <v>-1.4285714285714235E-2</v>
      </c>
    </row>
    <row r="41" spans="1:31">
      <c r="A41" s="68" t="s">
        <v>108</v>
      </c>
      <c r="B41" s="84" t="s">
        <v>48</v>
      </c>
      <c r="C41" s="85">
        <v>103</v>
      </c>
      <c r="D41" s="85">
        <v>57</v>
      </c>
      <c r="E41" s="85">
        <v>7</v>
      </c>
      <c r="F41" s="89">
        <v>10800</v>
      </c>
      <c r="G41" s="85"/>
      <c r="H41" s="85"/>
      <c r="I41" s="85"/>
      <c r="J41" s="85"/>
      <c r="K41" s="85"/>
      <c r="L41" s="85"/>
      <c r="M41" s="85"/>
      <c r="N41" s="85"/>
      <c r="O41" s="118">
        <f>((IFERROR((C41*D41*E41),0)+IFERROR((G41*H41*I41),0)+IFERROR((K41*L41*M41),0))/1000000)*35.32</f>
        <v>1.45154604</v>
      </c>
      <c r="P41" s="125">
        <f>Table13[[#This Row],[Column15]]*$P$2*1000</f>
        <v>8709.2762399999992</v>
      </c>
      <c r="Q41" s="87">
        <f>F41+J41+N41</f>
        <v>10800</v>
      </c>
      <c r="R41" s="86">
        <f>MAX(Q41,O41)</f>
        <v>10800</v>
      </c>
      <c r="S41" s="86">
        <f>MAX(R41,P41)</f>
        <v>10800</v>
      </c>
      <c r="T41" s="156" t="str">
        <f>VLOOKUP(A41,'[1]MTP SKUs - Master Data'!$A:$B,2,FALSE)</f>
        <v>Y</v>
      </c>
      <c r="U41" s="162">
        <f>_xlfn.IFNA(VLOOKUP(Table13[[#This Row],[MTP SKU Code]],'Audit Dimensions'!A:N,6,FALSE),"ARC")</f>
        <v>10650</v>
      </c>
      <c r="V41" s="162">
        <f>IFERROR(Table13[[#This Row],[B1.Aud]]-Table13[[#This Row],[PW(gm)]],"ERR")</f>
        <v>-150</v>
      </c>
      <c r="W41" s="165">
        <f>IFERROR(Table13[[#This Row],[B1.Diff]]/Table13[[#This Row],[B1.Aud]],"ERR")</f>
        <v>-1.4084507042253521E-2</v>
      </c>
      <c r="X41" s="162">
        <f>_xlfn.IFNA(VLOOKUP(Table13[[#This Row],[MTP SKU Code]],'Audit Dimensions'!A:N,10,FALSE),"ARC")</f>
        <v>0</v>
      </c>
      <c r="Y41" s="163">
        <f>IFERROR(Table13[[#This Row],[B2.Aud]]-Table13[[#This Row],[PW(gm)5]],"ERR")</f>
        <v>0</v>
      </c>
      <c r="Z41" s="165" t="str">
        <f>IFERROR(Table13[[#This Row],[B2.Diff]]/Table13[[#This Row],[B2.Aud]],"ERR")</f>
        <v>ERR</v>
      </c>
      <c r="AA41" s="162">
        <f>_xlfn.IFNA(VLOOKUP(Table13[[#This Row],[MTP SKU Code]],'Audit Dimensions'!A:N,14,FALSE),"ARC")</f>
        <v>0</v>
      </c>
      <c r="AB41" s="161">
        <f>IFERROR(Table13[[#This Row],[B3.Aud]]-Table13[[#This Row],[PW(gm)9]],"ERR")</f>
        <v>0</v>
      </c>
      <c r="AC41" s="168">
        <f>IFERROR(Table13[[#This Row],[B3.Diff]]/Table13[[#This Row],[BaLL.Aud]],"ERR")</f>
        <v>0</v>
      </c>
      <c r="AD41" s="189">
        <f>_xlfn.IFNA(VLOOKUP(Table13[[#This Row],[MTP SKU Code]],'Audit Dimensions'!A:U,16,FALSE),"ARC")</f>
        <v>10650</v>
      </c>
      <c r="AE41" s="165">
        <f>IFERROR(1-Table13[[#This Row],[Gms]]/Table13[[#This Row],[BaLL.Aud]],"ERR")</f>
        <v>-1.4084507042253502E-2</v>
      </c>
    </row>
    <row r="42" spans="1:31">
      <c r="A42" s="70" t="s">
        <v>75</v>
      </c>
      <c r="B42" s="84" t="s">
        <v>48</v>
      </c>
      <c r="C42" s="84">
        <v>78</v>
      </c>
      <c r="D42" s="85">
        <v>36</v>
      </c>
      <c r="E42" s="85">
        <v>15</v>
      </c>
      <c r="F42" s="89">
        <v>16100</v>
      </c>
      <c r="G42" s="85"/>
      <c r="H42" s="85"/>
      <c r="I42" s="85"/>
      <c r="J42" s="85"/>
      <c r="K42" s="85"/>
      <c r="L42" s="85"/>
      <c r="M42" s="85"/>
      <c r="N42" s="85"/>
      <c r="O42" s="118">
        <f>((IFERROR((C42*D42*E42),0)+IFERROR((G42*H42*I42),0)+IFERROR((K42*L42*M42),0))/1000000)*35.32</f>
        <v>1.4876783999999998</v>
      </c>
      <c r="P42" s="125">
        <f>Table13[[#This Row],[Column15]]*$P$2*1000</f>
        <v>8926.0703999999987</v>
      </c>
      <c r="Q42" s="87">
        <f>F42+J42+N42</f>
        <v>16100</v>
      </c>
      <c r="R42" s="86">
        <f>MAX(Q42,O42)</f>
        <v>16100</v>
      </c>
      <c r="S42" s="86">
        <f>MAX(R42,P42)</f>
        <v>16100</v>
      </c>
      <c r="T42" s="156" t="str">
        <f>VLOOKUP(A42,'[1]MTP SKUs - Master Data'!$A:$B,2,FALSE)</f>
        <v>Y</v>
      </c>
      <c r="U42" s="162">
        <f>_xlfn.IFNA(VLOOKUP(Table13[[#This Row],[MTP SKU Code]],'Audit Dimensions'!A:N,6,FALSE),"ARC")</f>
        <v>15880</v>
      </c>
      <c r="V42" s="162">
        <f>IFERROR(Table13[[#This Row],[B1.Aud]]-Table13[[#This Row],[PW(gm)]],"ERR")</f>
        <v>-220</v>
      </c>
      <c r="W42" s="165">
        <f>IFERROR(Table13[[#This Row],[B1.Diff]]/Table13[[#This Row],[B1.Aud]],"ERR")</f>
        <v>-1.3853904282115869E-2</v>
      </c>
      <c r="X42" s="162">
        <f>_xlfn.IFNA(VLOOKUP(Table13[[#This Row],[MTP SKU Code]],'Audit Dimensions'!A:N,10,FALSE),"ARC")</f>
        <v>0</v>
      </c>
      <c r="Y42" s="163">
        <f>IFERROR(Table13[[#This Row],[B2.Aud]]-Table13[[#This Row],[PW(gm)5]],"ERR")</f>
        <v>0</v>
      </c>
      <c r="Z42" s="165" t="str">
        <f>IFERROR(Table13[[#This Row],[B2.Diff]]/Table13[[#This Row],[B2.Aud]],"ERR")</f>
        <v>ERR</v>
      </c>
      <c r="AA42" s="162">
        <f>_xlfn.IFNA(VLOOKUP(Table13[[#This Row],[MTP SKU Code]],'Audit Dimensions'!A:N,14,FALSE),"ARC")</f>
        <v>0</v>
      </c>
      <c r="AB42" s="161">
        <f>IFERROR(Table13[[#This Row],[B3.Aud]]-Table13[[#This Row],[PW(gm)9]],"ERR")</f>
        <v>0</v>
      </c>
      <c r="AC42" s="168">
        <f>IFERROR(Table13[[#This Row],[B3.Diff]]/Table13[[#This Row],[BaLL.Aud]],"ERR")</f>
        <v>0</v>
      </c>
      <c r="AD42" s="189">
        <f>_xlfn.IFNA(VLOOKUP(Table13[[#This Row],[MTP SKU Code]],'Audit Dimensions'!A:U,16,FALSE),"ARC")</f>
        <v>15880</v>
      </c>
      <c r="AE42" s="165">
        <f>IFERROR(1-Table13[[#This Row],[Gms]]/Table13[[#This Row],[BaLL.Aud]],"ERR")</f>
        <v>-1.385390428211597E-2</v>
      </c>
    </row>
    <row r="43" spans="1:31">
      <c r="A43" s="91" t="s">
        <v>147</v>
      </c>
      <c r="B43" s="84" t="s">
        <v>48</v>
      </c>
      <c r="C43" s="85">
        <v>60</v>
      </c>
      <c r="D43" s="85">
        <v>44</v>
      </c>
      <c r="E43" s="85">
        <v>7</v>
      </c>
      <c r="F43" s="89">
        <v>10490</v>
      </c>
      <c r="G43" s="85"/>
      <c r="H43" s="85"/>
      <c r="I43" s="85"/>
      <c r="J43" s="85"/>
      <c r="K43" s="85"/>
      <c r="L43" s="85"/>
      <c r="M43" s="85"/>
      <c r="N43" s="85"/>
      <c r="O43" s="118">
        <f>((IFERROR((C43*D43*E43),0)+IFERROR((G43*H43*I43),0)+IFERROR((K43*L43*M43),0))/1000000)*35.32</f>
        <v>0.6527136</v>
      </c>
      <c r="P43" s="125">
        <f>Table13[[#This Row],[Column15]]*$P$2*1000</f>
        <v>3916.2816000000003</v>
      </c>
      <c r="Q43" s="87">
        <f>F43+J43+N43</f>
        <v>10490</v>
      </c>
      <c r="R43" s="86">
        <f>MAX(Q43,O43)</f>
        <v>10490</v>
      </c>
      <c r="S43" s="86">
        <f>MAX(R43,P43)</f>
        <v>10490</v>
      </c>
      <c r="T43" s="156" t="str">
        <f>VLOOKUP(A43,'[1]MTP SKUs - Master Data'!$A:$B,2,FALSE)</f>
        <v>Y</v>
      </c>
      <c r="U43" s="162">
        <f>_xlfn.IFNA(VLOOKUP(Table13[[#This Row],[MTP SKU Code]],'Audit Dimensions'!A:N,6,FALSE),"ARC")</f>
        <v>10350</v>
      </c>
      <c r="V43" s="162">
        <f>IFERROR(Table13[[#This Row],[B1.Aud]]-Table13[[#This Row],[PW(gm)]],"ERR")</f>
        <v>-140</v>
      </c>
      <c r="W43" s="165">
        <f>IFERROR(Table13[[#This Row],[B1.Diff]]/Table13[[#This Row],[B1.Aud]],"ERR")</f>
        <v>-1.3526570048309179E-2</v>
      </c>
      <c r="X43" s="162">
        <f>_xlfn.IFNA(VLOOKUP(Table13[[#This Row],[MTP SKU Code]],'Audit Dimensions'!A:N,10,FALSE),"ARC")</f>
        <v>0</v>
      </c>
      <c r="Y43" s="163">
        <f>IFERROR(Table13[[#This Row],[B2.Aud]]-Table13[[#This Row],[PW(gm)5]],"ERR")</f>
        <v>0</v>
      </c>
      <c r="Z43" s="165" t="str">
        <f>IFERROR(Table13[[#This Row],[B2.Diff]]/Table13[[#This Row],[B2.Aud]],"ERR")</f>
        <v>ERR</v>
      </c>
      <c r="AA43" s="162">
        <f>_xlfn.IFNA(VLOOKUP(Table13[[#This Row],[MTP SKU Code]],'Audit Dimensions'!A:N,14,FALSE),"ARC")</f>
        <v>0</v>
      </c>
      <c r="AB43" s="161">
        <f>IFERROR(Table13[[#This Row],[B3.Aud]]-Table13[[#This Row],[PW(gm)9]],"ERR")</f>
        <v>0</v>
      </c>
      <c r="AC43" s="168">
        <f>IFERROR(Table13[[#This Row],[B3.Diff]]/Table13[[#This Row],[BaLL.Aud]],"ERR")</f>
        <v>0</v>
      </c>
      <c r="AD43" s="189">
        <f>_xlfn.IFNA(VLOOKUP(Table13[[#This Row],[MTP SKU Code]],'Audit Dimensions'!A:U,16,FALSE),"ARC")</f>
        <v>10350</v>
      </c>
      <c r="AE43" s="165">
        <f>IFERROR(1-Table13[[#This Row],[Gms]]/Table13[[#This Row],[BaLL.Aud]],"ERR")</f>
        <v>-1.352657004830915E-2</v>
      </c>
    </row>
    <row r="44" spans="1:31" s="49" customFormat="1">
      <c r="A44" s="70" t="s">
        <v>67</v>
      </c>
      <c r="B44" s="84" t="s">
        <v>48</v>
      </c>
      <c r="C44" s="84">
        <v>39</v>
      </c>
      <c r="D44" s="85">
        <v>30</v>
      </c>
      <c r="E44" s="85">
        <v>8</v>
      </c>
      <c r="F44" s="89">
        <v>3000</v>
      </c>
      <c r="G44" s="85"/>
      <c r="H44" s="85"/>
      <c r="I44" s="85"/>
      <c r="J44" s="85"/>
      <c r="K44" s="85"/>
      <c r="L44" s="85"/>
      <c r="M44" s="85"/>
      <c r="N44" s="85"/>
      <c r="O44" s="118">
        <f>((IFERROR((C44*D44*E44),0)+IFERROR((G44*H44*I44),0)+IFERROR((K44*L44*M44),0))/1000000)*35.32</f>
        <v>0.33059520000000003</v>
      </c>
      <c r="P44" s="125">
        <f>Table13[[#This Row],[Column15]]*$P$2*1000</f>
        <v>1983.5712000000001</v>
      </c>
      <c r="Q44" s="87">
        <f>F44+J44+N44</f>
        <v>3000</v>
      </c>
      <c r="R44" s="86">
        <f>MAX(Q44,O44)</f>
        <v>3000</v>
      </c>
      <c r="S44" s="86">
        <f>MAX(R44,P44)</f>
        <v>3000</v>
      </c>
      <c r="T44" s="156" t="str">
        <f>VLOOKUP(A44,'[1]MTP SKUs - Master Data'!$A:$B,2,FALSE)</f>
        <v>Y</v>
      </c>
      <c r="U44" s="162">
        <f>_xlfn.IFNA(VLOOKUP(Table13[[#This Row],[MTP SKU Code]],'Audit Dimensions'!A:N,6,FALSE),"ARC")</f>
        <v>2960</v>
      </c>
      <c r="V44" s="162">
        <f>IFERROR(Table13[[#This Row],[B1.Aud]]-Table13[[#This Row],[PW(gm)]],"ERR")</f>
        <v>-40</v>
      </c>
      <c r="W44" s="165">
        <f>IFERROR(Table13[[#This Row],[B1.Diff]]/Table13[[#This Row],[B1.Aud]],"ERR")</f>
        <v>-1.3513513513513514E-2</v>
      </c>
      <c r="X44" s="162">
        <f>_xlfn.IFNA(VLOOKUP(Table13[[#This Row],[MTP SKU Code]],'Audit Dimensions'!A:N,10,FALSE),"ARC")</f>
        <v>0</v>
      </c>
      <c r="Y44" s="163">
        <f>IFERROR(Table13[[#This Row],[B2.Aud]]-Table13[[#This Row],[PW(gm)5]],"ERR")</f>
        <v>0</v>
      </c>
      <c r="Z44" s="165" t="str">
        <f>IFERROR(Table13[[#This Row],[B2.Diff]]/Table13[[#This Row],[B2.Aud]],"ERR")</f>
        <v>ERR</v>
      </c>
      <c r="AA44" s="162">
        <f>_xlfn.IFNA(VLOOKUP(Table13[[#This Row],[MTP SKU Code]],'Audit Dimensions'!A:N,14,FALSE),"ARC")</f>
        <v>0</v>
      </c>
      <c r="AB44" s="161">
        <f>IFERROR(Table13[[#This Row],[B3.Aud]]-Table13[[#This Row],[PW(gm)9]],"ERR")</f>
        <v>0</v>
      </c>
      <c r="AC44" s="168">
        <f>IFERROR(Table13[[#This Row],[B3.Diff]]/Table13[[#This Row],[BaLL.Aud]],"ERR")</f>
        <v>0</v>
      </c>
      <c r="AD44" s="189">
        <f>_xlfn.IFNA(VLOOKUP(Table13[[#This Row],[MTP SKU Code]],'Audit Dimensions'!A:U,16,FALSE),"ARC")</f>
        <v>2960</v>
      </c>
      <c r="AE44" s="165">
        <f>IFERROR(1-Table13[[#This Row],[Gms]]/Table13[[#This Row],[BaLL.Aud]],"ERR")</f>
        <v>-1.3513513513513598E-2</v>
      </c>
    </row>
    <row r="45" spans="1:31">
      <c r="A45" s="68" t="s">
        <v>134</v>
      </c>
      <c r="B45" s="84" t="s">
        <v>48</v>
      </c>
      <c r="C45" s="84">
        <v>78</v>
      </c>
      <c r="D45" s="85">
        <v>36</v>
      </c>
      <c r="E45" s="85">
        <v>15</v>
      </c>
      <c r="F45" s="89">
        <v>16100</v>
      </c>
      <c r="G45" s="85">
        <v>78</v>
      </c>
      <c r="H45" s="85">
        <v>36</v>
      </c>
      <c r="I45" s="85">
        <v>15</v>
      </c>
      <c r="J45" s="85">
        <v>16100</v>
      </c>
      <c r="K45" s="85"/>
      <c r="L45" s="85"/>
      <c r="M45" s="85"/>
      <c r="N45" s="85"/>
      <c r="O45" s="118">
        <f>((IFERROR((C45*D45*E45),0)+IFERROR((G45*H45*I45),0)+IFERROR((K45*L45*M45),0))/1000000)*35.32</f>
        <v>2.9753567999999997</v>
      </c>
      <c r="P45" s="125">
        <f>Table13[[#This Row],[Column15]]*$P$2*1000</f>
        <v>17852.140799999997</v>
      </c>
      <c r="Q45" s="87">
        <f>F45+J45+N45</f>
        <v>32200</v>
      </c>
      <c r="R45" s="88">
        <f>MAX(Q45,O45)</f>
        <v>32200</v>
      </c>
      <c r="S45" s="86">
        <f>MAX(R45,P45)</f>
        <v>32200</v>
      </c>
      <c r="T45" s="156" t="str">
        <f>VLOOKUP(A45,'[1]MTP SKUs - Master Data'!$A:$B,2,FALSE)</f>
        <v>Y</v>
      </c>
      <c r="U45" s="162">
        <f>_xlfn.IFNA(VLOOKUP(Table13[[#This Row],[MTP SKU Code]],'Audit Dimensions'!A:N,6,FALSE),"ARC")</f>
        <v>31800</v>
      </c>
      <c r="V45" s="162">
        <f>IFERROR(Table13[[#This Row],[B1.Aud]]-Table13[[#This Row],[PW(gm)]],"ERR")</f>
        <v>15700</v>
      </c>
      <c r="W45" s="165">
        <f>IFERROR(Table13[[#This Row],[B1.Diff]]/Table13[[#This Row],[B1.Aud]],"ERR")</f>
        <v>0.49371069182389937</v>
      </c>
      <c r="X45" s="162">
        <f>_xlfn.IFNA(VLOOKUP(Table13[[#This Row],[MTP SKU Code]],'Audit Dimensions'!A:N,10,FALSE),"ARC")</f>
        <v>0</v>
      </c>
      <c r="Y45" s="163">
        <f>IFERROR(Table13[[#This Row],[B2.Aud]]-Table13[[#This Row],[PW(gm)5]],"ERR")</f>
        <v>-16100</v>
      </c>
      <c r="Z45" s="165" t="str">
        <f>IFERROR(Table13[[#This Row],[B2.Diff]]/Table13[[#This Row],[B2.Aud]],"ERR")</f>
        <v>ERR</v>
      </c>
      <c r="AA45" s="162">
        <f>_xlfn.IFNA(VLOOKUP(Table13[[#This Row],[MTP SKU Code]],'Audit Dimensions'!A:N,14,FALSE),"ARC")</f>
        <v>0</v>
      </c>
      <c r="AB45" s="161">
        <f>IFERROR(Table13[[#This Row],[B3.Aud]]-Table13[[#This Row],[PW(gm)9]],"ERR")</f>
        <v>0</v>
      </c>
      <c r="AC45" s="168">
        <f>IFERROR(Table13[[#This Row],[B3.Diff]]/Table13[[#This Row],[BaLL.Aud]],"ERR")</f>
        <v>0</v>
      </c>
      <c r="AD45" s="189">
        <f>_xlfn.IFNA(VLOOKUP(Table13[[#This Row],[MTP SKU Code]],'Audit Dimensions'!A:U,16,FALSE),"ARC")</f>
        <v>31800</v>
      </c>
      <c r="AE45" s="165">
        <f>IFERROR(1-Table13[[#This Row],[Gms]]/Table13[[#This Row],[BaLL.Aud]],"ERR")</f>
        <v>-1.2578616352201255E-2</v>
      </c>
    </row>
    <row r="46" spans="1:31">
      <c r="A46" s="69" t="s">
        <v>123</v>
      </c>
      <c r="B46" s="84" t="s">
        <v>74</v>
      </c>
      <c r="C46" s="85">
        <v>100</v>
      </c>
      <c r="D46" s="85">
        <v>54</v>
      </c>
      <c r="E46" s="85">
        <v>4</v>
      </c>
      <c r="F46" s="89">
        <v>5400</v>
      </c>
      <c r="G46" s="85">
        <v>52</v>
      </c>
      <c r="H46" s="85">
        <v>10</v>
      </c>
      <c r="I46" s="85">
        <v>10</v>
      </c>
      <c r="J46" s="85">
        <v>1200</v>
      </c>
      <c r="K46" s="85"/>
      <c r="L46" s="85"/>
      <c r="M46" s="85"/>
      <c r="N46" s="85"/>
      <c r="O46" s="118">
        <f>((IFERROR((C46*D46*E46),0)+IFERROR((G46*H46*I46),0)+IFERROR((K46*L46*M46),0))/1000000)*35.32</f>
        <v>0.94657600000000008</v>
      </c>
      <c r="P46" s="125">
        <f>Table13[[#This Row],[Column15]]*$P$2*1000</f>
        <v>5679.4560000000001</v>
      </c>
      <c r="Q46" s="87">
        <f>F46+J46+N46</f>
        <v>6600</v>
      </c>
      <c r="R46" s="86">
        <f>MAX(Q46,O46)</f>
        <v>6600</v>
      </c>
      <c r="S46" s="86">
        <f>MAX(R46,P46)</f>
        <v>6600</v>
      </c>
      <c r="T46" s="156" t="str">
        <f>VLOOKUP(A46,'[1]MTP SKUs - Master Data'!$A:$B,2,FALSE)</f>
        <v>Y</v>
      </c>
      <c r="U46" s="162">
        <f>_xlfn.IFNA(VLOOKUP(Table13[[#This Row],[MTP SKU Code]],'Audit Dimensions'!A:N,6,FALSE),"ARC")</f>
        <v>4850</v>
      </c>
      <c r="V46" s="162">
        <f>IFERROR(Table13[[#This Row],[B1.Aud]]-Table13[[#This Row],[PW(gm)]],"ERR")</f>
        <v>-550</v>
      </c>
      <c r="W46" s="165">
        <f>IFERROR(Table13[[#This Row],[B1.Diff]]/Table13[[#This Row],[B1.Aud]],"ERR")</f>
        <v>-0.1134020618556701</v>
      </c>
      <c r="X46" s="162">
        <f>_xlfn.IFNA(VLOOKUP(Table13[[#This Row],[MTP SKU Code]],'Audit Dimensions'!A:N,10,FALSE),"ARC")</f>
        <v>1670</v>
      </c>
      <c r="Y46" s="163">
        <f>IFERROR(Table13[[#This Row],[B2.Aud]]-Table13[[#This Row],[PW(gm)5]],"ERR")</f>
        <v>470</v>
      </c>
      <c r="Z46" s="165">
        <f>IFERROR(Table13[[#This Row],[B2.Diff]]/Table13[[#This Row],[B2.Aud]],"ERR")</f>
        <v>0.28143712574850299</v>
      </c>
      <c r="AA46" s="162">
        <f>_xlfn.IFNA(VLOOKUP(Table13[[#This Row],[MTP SKU Code]],'Audit Dimensions'!A:N,14,FALSE),"ARC")</f>
        <v>0</v>
      </c>
      <c r="AB46" s="161">
        <f>IFERROR(Table13[[#This Row],[B3.Aud]]-Table13[[#This Row],[PW(gm)9]],"ERR")</f>
        <v>0</v>
      </c>
      <c r="AC46" s="168">
        <f>IFERROR(Table13[[#This Row],[B3.Diff]]/Table13[[#This Row],[BaLL.Aud]],"ERR")</f>
        <v>0</v>
      </c>
      <c r="AD46" s="189">
        <f>_xlfn.IFNA(VLOOKUP(Table13[[#This Row],[MTP SKU Code]],'Audit Dimensions'!A:U,16,FALSE),"ARC")</f>
        <v>6520</v>
      </c>
      <c r="AE46" s="165">
        <f>IFERROR(1-Table13[[#This Row],[Gms]]/Table13[[#This Row],[BaLL.Aud]],"ERR")</f>
        <v>-1.2269938650306678E-2</v>
      </c>
    </row>
    <row r="47" spans="1:31">
      <c r="A47" s="91" t="s">
        <v>97</v>
      </c>
      <c r="B47" s="84" t="s">
        <v>48</v>
      </c>
      <c r="C47" s="85">
        <v>140</v>
      </c>
      <c r="D47" s="85">
        <v>49</v>
      </c>
      <c r="E47" s="85">
        <v>12</v>
      </c>
      <c r="F47" s="89">
        <v>35720</v>
      </c>
      <c r="G47" s="85"/>
      <c r="H47" s="85"/>
      <c r="I47" s="85"/>
      <c r="J47" s="85"/>
      <c r="K47" s="85"/>
      <c r="L47" s="85"/>
      <c r="M47" s="85"/>
      <c r="N47" s="85"/>
      <c r="O47" s="118">
        <f>((IFERROR((C47*D47*E47),0)+IFERROR((G47*H47*I47),0)+IFERROR((K47*L47*M47),0))/1000000)*35.32</f>
        <v>2.9075424000000001</v>
      </c>
      <c r="P47" s="125">
        <f>Table13[[#This Row],[Column15]]*$P$2*1000</f>
        <v>17445.254399999998</v>
      </c>
      <c r="Q47" s="87">
        <f>F47+J47+N47</f>
        <v>35720</v>
      </c>
      <c r="R47" s="86">
        <f>MAX(Q47,O47)</f>
        <v>35720</v>
      </c>
      <c r="S47" s="86">
        <f>MAX(R47,P47)</f>
        <v>35720</v>
      </c>
      <c r="T47" s="156" t="str">
        <f>VLOOKUP(A47,'[1]MTP SKUs - Master Data'!$A:$B,2,FALSE)</f>
        <v>Y</v>
      </c>
      <c r="U47" s="162">
        <f>_xlfn.IFNA(VLOOKUP(Table13[[#This Row],[MTP SKU Code]],'Audit Dimensions'!A:N,6,FALSE),"ARC")</f>
        <v>35800</v>
      </c>
      <c r="V47" s="162">
        <f>IFERROR(Table13[[#This Row],[B1.Aud]]-Table13[[#This Row],[PW(gm)]],"ERR")</f>
        <v>80</v>
      </c>
      <c r="W47" s="165">
        <f>IFERROR(Table13[[#This Row],[B1.Diff]]/Table13[[#This Row],[B1.Aud]],"ERR")</f>
        <v>2.2346368715083797E-3</v>
      </c>
      <c r="X47" s="162">
        <f>_xlfn.IFNA(VLOOKUP(Table13[[#This Row],[MTP SKU Code]],'Audit Dimensions'!A:N,10,FALSE),"ARC")</f>
        <v>0</v>
      </c>
      <c r="Y47" s="163">
        <f>IFERROR(Table13[[#This Row],[B2.Aud]]-Table13[[#This Row],[PW(gm)5]],"ERR")</f>
        <v>0</v>
      </c>
      <c r="Z47" s="165" t="str">
        <f>IFERROR(Table13[[#This Row],[B2.Diff]]/Table13[[#This Row],[B2.Aud]],"ERR")</f>
        <v>ERR</v>
      </c>
      <c r="AA47" s="162">
        <f>_xlfn.IFNA(VLOOKUP(Table13[[#This Row],[MTP SKU Code]],'Audit Dimensions'!A:N,14,FALSE),"ARC")</f>
        <v>0</v>
      </c>
      <c r="AB47" s="161">
        <f>IFERROR(Table13[[#This Row],[B3.Aud]]-Table13[[#This Row],[PW(gm)9]],"ERR")</f>
        <v>0</v>
      </c>
      <c r="AC47" s="168">
        <f>IFERROR(Table13[[#This Row],[B3.Diff]]/Table13[[#This Row],[BaLL.Aud]],"ERR")</f>
        <v>0</v>
      </c>
      <c r="AD47" s="189">
        <f>_xlfn.IFNA(VLOOKUP(Table13[[#This Row],[MTP SKU Code]],'Audit Dimensions'!A:U,16,FALSE),"ARC")</f>
        <v>35800</v>
      </c>
      <c r="AE47" s="165">
        <f>IFERROR(1-Table13[[#This Row],[Gms]]/Table13[[#This Row],[BaLL.Aud]],"ERR")</f>
        <v>2.2346368715083775E-3</v>
      </c>
    </row>
    <row r="48" spans="1:31">
      <c r="A48" s="68" t="s">
        <v>60</v>
      </c>
      <c r="B48" s="84" t="s">
        <v>48</v>
      </c>
      <c r="C48" s="85">
        <v>67</v>
      </c>
      <c r="D48" s="85">
        <v>19</v>
      </c>
      <c r="E48" s="85">
        <v>9</v>
      </c>
      <c r="F48" s="89">
        <v>3890</v>
      </c>
      <c r="G48" s="85"/>
      <c r="H48" s="85"/>
      <c r="I48" s="85"/>
      <c r="J48" s="85"/>
      <c r="K48" s="85"/>
      <c r="L48" s="85"/>
      <c r="M48" s="85"/>
      <c r="N48" s="85"/>
      <c r="O48" s="118">
        <f>((IFERROR((C48*D48*E48),0)+IFERROR((G48*H48*I48),0)+IFERROR((K48*L48*M48),0))/1000000)*35.32</f>
        <v>0.40466124000000003</v>
      </c>
      <c r="P48" s="125">
        <f>Table13[[#This Row],[Column15]]*$P$2*1000</f>
        <v>2427.9674400000004</v>
      </c>
      <c r="Q48" s="87">
        <f>F48+J48+N48</f>
        <v>3890</v>
      </c>
      <c r="R48" s="86">
        <f>MAX(Q48,O48)</f>
        <v>3890</v>
      </c>
      <c r="S48" s="86">
        <f>MAX(R48,P48)</f>
        <v>3890</v>
      </c>
      <c r="T48" s="156" t="str">
        <f>VLOOKUP(A48,'[1]MTP SKUs - Master Data'!$A:$B,2,FALSE)</f>
        <v>Y</v>
      </c>
      <c r="U48" s="162">
        <f>_xlfn.IFNA(VLOOKUP(Table13[[#This Row],[MTP SKU Code]],'Audit Dimensions'!A:N,6,FALSE),"ARC")</f>
        <v>3850</v>
      </c>
      <c r="V48" s="162">
        <f>IFERROR(Table13[[#This Row],[B1.Aud]]-Table13[[#This Row],[PW(gm)]],"ERR")</f>
        <v>-40</v>
      </c>
      <c r="W48" s="165">
        <f>IFERROR(Table13[[#This Row],[B1.Diff]]/Table13[[#This Row],[B1.Aud]],"ERR")</f>
        <v>-1.038961038961039E-2</v>
      </c>
      <c r="X48" s="162">
        <f>_xlfn.IFNA(VLOOKUP(Table13[[#This Row],[MTP SKU Code]],'Audit Dimensions'!A:N,10,FALSE),"ARC")</f>
        <v>0</v>
      </c>
      <c r="Y48" s="163">
        <f>IFERROR(Table13[[#This Row],[B2.Aud]]-Table13[[#This Row],[PW(gm)5]],"ERR")</f>
        <v>0</v>
      </c>
      <c r="Z48" s="165" t="str">
        <f>IFERROR(Table13[[#This Row],[B2.Diff]]/Table13[[#This Row],[B2.Aud]],"ERR")</f>
        <v>ERR</v>
      </c>
      <c r="AA48" s="162">
        <f>_xlfn.IFNA(VLOOKUP(Table13[[#This Row],[MTP SKU Code]],'Audit Dimensions'!A:N,14,FALSE),"ARC")</f>
        <v>0</v>
      </c>
      <c r="AB48" s="161">
        <f>IFERROR(Table13[[#This Row],[B3.Aud]]-Table13[[#This Row],[PW(gm)9]],"ERR")</f>
        <v>0</v>
      </c>
      <c r="AC48" s="168">
        <f>IFERROR(Table13[[#This Row],[B3.Diff]]/Table13[[#This Row],[BaLL.Aud]],"ERR")</f>
        <v>0</v>
      </c>
      <c r="AD48" s="189">
        <f>_xlfn.IFNA(VLOOKUP(Table13[[#This Row],[MTP SKU Code]],'Audit Dimensions'!A:U,16,FALSE),"ARC")</f>
        <v>3850</v>
      </c>
      <c r="AE48" s="165">
        <f>IFERROR(1-Table13[[#This Row],[Gms]]/Table13[[#This Row],[BaLL.Aud]],"ERR")</f>
        <v>-1.0389610389610393E-2</v>
      </c>
    </row>
    <row r="49" spans="1:31">
      <c r="A49" s="68" t="s">
        <v>247</v>
      </c>
      <c r="B49" s="84" t="s">
        <v>48</v>
      </c>
      <c r="C49" s="85">
        <v>109</v>
      </c>
      <c r="D49" s="85">
        <v>47</v>
      </c>
      <c r="E49" s="85">
        <v>9</v>
      </c>
      <c r="F49" s="89">
        <v>18300</v>
      </c>
      <c r="G49" s="85"/>
      <c r="H49" s="85"/>
      <c r="I49" s="85"/>
      <c r="J49" s="85"/>
      <c r="K49" s="85"/>
      <c r="L49" s="85"/>
      <c r="M49" s="85"/>
      <c r="N49" s="85"/>
      <c r="O49" s="118">
        <f>((IFERROR((C49*D49*E49),0)+IFERROR((G49*H49*I49),0)+IFERROR((K49*L49*M49),0))/1000000)*35.32</f>
        <v>1.62849924</v>
      </c>
      <c r="P49" s="125">
        <f>Table13[[#This Row],[Column15]]*$P$2*1000</f>
        <v>9770.9954400000006</v>
      </c>
      <c r="Q49" s="87">
        <f>F49+J49+N49</f>
        <v>18300</v>
      </c>
      <c r="R49" s="86">
        <f>MAX(Q49,O49)</f>
        <v>18300</v>
      </c>
      <c r="S49" s="86">
        <f>MAX(R49,P49)</f>
        <v>18300</v>
      </c>
      <c r="T49" s="156" t="str">
        <f>VLOOKUP(A49,'[1]MTP SKUs - Master Data'!$A:$B,2,FALSE)</f>
        <v>Y</v>
      </c>
      <c r="U49" s="162">
        <f>_xlfn.IFNA(VLOOKUP(Table13[[#This Row],[MTP SKU Code]],'Audit Dimensions'!A:N,6,FALSE),"ARC")</f>
        <v>18130</v>
      </c>
      <c r="V49" s="162">
        <f>IFERROR(Table13[[#This Row],[B1.Aud]]-Table13[[#This Row],[PW(gm)]],"ERR")</f>
        <v>-170</v>
      </c>
      <c r="W49" s="165">
        <f>IFERROR(Table13[[#This Row],[B1.Diff]]/Table13[[#This Row],[B1.Aud]],"ERR")</f>
        <v>-9.3767236624379482E-3</v>
      </c>
      <c r="X49" s="162">
        <f>_xlfn.IFNA(VLOOKUP(Table13[[#This Row],[MTP SKU Code]],'Audit Dimensions'!A:N,10,FALSE),"ARC")</f>
        <v>0</v>
      </c>
      <c r="Y49" s="163">
        <f>IFERROR(Table13[[#This Row],[B2.Aud]]-Table13[[#This Row],[PW(gm)5]],"ERR")</f>
        <v>0</v>
      </c>
      <c r="Z49" s="165" t="str">
        <f>IFERROR(Table13[[#This Row],[B2.Diff]]/Table13[[#This Row],[B2.Aud]],"ERR")</f>
        <v>ERR</v>
      </c>
      <c r="AA49" s="162">
        <f>_xlfn.IFNA(VLOOKUP(Table13[[#This Row],[MTP SKU Code]],'Audit Dimensions'!A:N,14,FALSE),"ARC")</f>
        <v>0</v>
      </c>
      <c r="AB49" s="161">
        <f>IFERROR(Table13[[#This Row],[B3.Aud]]-Table13[[#This Row],[PW(gm)9]],"ERR")</f>
        <v>0</v>
      </c>
      <c r="AC49" s="168">
        <f>IFERROR(Table13[[#This Row],[B3.Diff]]/Table13[[#This Row],[BaLL.Aud]],"ERR")</f>
        <v>0</v>
      </c>
      <c r="AD49" s="189">
        <f>_xlfn.IFNA(VLOOKUP(Table13[[#This Row],[MTP SKU Code]],'Audit Dimensions'!A:U,16,FALSE),"ARC")</f>
        <v>18130</v>
      </c>
      <c r="AE49" s="165">
        <f>IFERROR(1-Table13[[#This Row],[Gms]]/Table13[[#This Row],[BaLL.Aud]],"ERR")</f>
        <v>-9.3767236624380246E-3</v>
      </c>
    </row>
    <row r="50" spans="1:31" s="49" customFormat="1">
      <c r="A50" s="68" t="s">
        <v>207</v>
      </c>
      <c r="B50" s="84" t="s">
        <v>48</v>
      </c>
      <c r="C50" s="84">
        <v>36</v>
      </c>
      <c r="D50" s="85">
        <v>25</v>
      </c>
      <c r="E50" s="85">
        <v>5</v>
      </c>
      <c r="F50" s="89">
        <v>3875</v>
      </c>
      <c r="G50" s="85"/>
      <c r="H50" s="85"/>
      <c r="I50" s="85"/>
      <c r="J50" s="85"/>
      <c r="K50" s="85"/>
      <c r="L50" s="85"/>
      <c r="M50" s="85"/>
      <c r="N50" s="85"/>
      <c r="O50" s="118">
        <f>((IFERROR((C50*D50*E50),0)+IFERROR((G50*H50*I50),0)+IFERROR((K50*L50*M50),0))/1000000)*35.32</f>
        <v>0.15894</v>
      </c>
      <c r="P50" s="125">
        <f>Table13[[#This Row],[Column15]]*$P$2*1000</f>
        <v>953.6400000000001</v>
      </c>
      <c r="Q50" s="87">
        <f>F50+J50+N50</f>
        <v>3875</v>
      </c>
      <c r="R50" s="86">
        <f>MAX(Q50,O50)</f>
        <v>3875</v>
      </c>
      <c r="S50" s="86">
        <f>MAX(R50,P50)</f>
        <v>3875</v>
      </c>
      <c r="T50" s="156" t="str">
        <f>VLOOKUP(A50,'[1]MTP SKUs - Master Data'!$A:$B,2,FALSE)</f>
        <v>Y</v>
      </c>
      <c r="U50" s="162">
        <f>_xlfn.IFNA(VLOOKUP(Table13[[#This Row],[MTP SKU Code]],'Audit Dimensions'!A:N,6,FALSE),"ARC")</f>
        <v>3850</v>
      </c>
      <c r="V50" s="162">
        <f>IFERROR(Table13[[#This Row],[B1.Aud]]-Table13[[#This Row],[PW(gm)]],"ERR")</f>
        <v>-25</v>
      </c>
      <c r="W50" s="165">
        <f>IFERROR(Table13[[#This Row],[B1.Diff]]/Table13[[#This Row],[B1.Aud]],"ERR")</f>
        <v>-6.4935064935064939E-3</v>
      </c>
      <c r="X50" s="162">
        <f>_xlfn.IFNA(VLOOKUP(Table13[[#This Row],[MTP SKU Code]],'Audit Dimensions'!A:N,10,FALSE),"ARC")</f>
        <v>0</v>
      </c>
      <c r="Y50" s="163">
        <f>IFERROR(Table13[[#This Row],[B2.Aud]]-Table13[[#This Row],[PW(gm)5]],"ERR")</f>
        <v>0</v>
      </c>
      <c r="Z50" s="165" t="str">
        <f>IFERROR(Table13[[#This Row],[B2.Diff]]/Table13[[#This Row],[B2.Aud]],"ERR")</f>
        <v>ERR</v>
      </c>
      <c r="AA50" s="162">
        <f>_xlfn.IFNA(VLOOKUP(Table13[[#This Row],[MTP SKU Code]],'Audit Dimensions'!A:N,14,FALSE),"ARC")</f>
        <v>0</v>
      </c>
      <c r="AB50" s="161">
        <f>IFERROR(Table13[[#This Row],[B3.Aud]]-Table13[[#This Row],[PW(gm)9]],"ERR")</f>
        <v>0</v>
      </c>
      <c r="AC50" s="168">
        <f>IFERROR(Table13[[#This Row],[B3.Diff]]/Table13[[#This Row],[BaLL.Aud]],"ERR")</f>
        <v>0</v>
      </c>
      <c r="AD50" s="189">
        <f>_xlfn.IFNA(VLOOKUP(Table13[[#This Row],[MTP SKU Code]],'Audit Dimensions'!A:U,16,FALSE),"ARC")</f>
        <v>3850</v>
      </c>
      <c r="AE50" s="165">
        <f>IFERROR(1-Table13[[#This Row],[Gms]]/Table13[[#This Row],[BaLL.Aud]],"ERR")</f>
        <v>-6.4935064935065512E-3</v>
      </c>
    </row>
    <row r="51" spans="1:31" s="49" customFormat="1">
      <c r="A51" s="68" t="s">
        <v>209</v>
      </c>
      <c r="B51" s="84" t="s">
        <v>48</v>
      </c>
      <c r="C51" s="84">
        <v>52</v>
      </c>
      <c r="D51" s="85">
        <v>32</v>
      </c>
      <c r="E51" s="85">
        <v>10</v>
      </c>
      <c r="F51" s="89">
        <v>3650</v>
      </c>
      <c r="G51" s="85"/>
      <c r="H51" s="85"/>
      <c r="I51" s="85"/>
      <c r="J51" s="85"/>
      <c r="K51" s="85"/>
      <c r="L51" s="85"/>
      <c r="M51" s="85"/>
      <c r="N51" s="85"/>
      <c r="O51" s="118">
        <f>((IFERROR((C51*D51*E51),0)+IFERROR((G51*H51*I51),0)+IFERROR((K51*L51*M51),0))/1000000)*35.32</f>
        <v>0.58772479999999994</v>
      </c>
      <c r="P51" s="125">
        <f>Table13[[#This Row],[Column15]]*$P$2*1000</f>
        <v>3526.3487999999998</v>
      </c>
      <c r="Q51" s="87">
        <f>F51+J51+N51</f>
        <v>3650</v>
      </c>
      <c r="R51" s="88">
        <f>MAX(Q51,O51)</f>
        <v>3650</v>
      </c>
      <c r="S51" s="86">
        <f>MAX(R51,P51)</f>
        <v>3650</v>
      </c>
      <c r="T51" s="156" t="str">
        <f>VLOOKUP(A51,'[1]MTP SKUs - Master Data'!$A:$B,2,FALSE)</f>
        <v>Y</v>
      </c>
      <c r="U51" s="162">
        <f>_xlfn.IFNA(VLOOKUP(Table13[[#This Row],[MTP SKU Code]],'Audit Dimensions'!A:N,6,FALSE),"ARC")</f>
        <v>3630</v>
      </c>
      <c r="V51" s="162">
        <f>IFERROR(Table13[[#This Row],[B1.Aud]]-Table13[[#This Row],[PW(gm)]],"ERR")</f>
        <v>-20</v>
      </c>
      <c r="W51" s="165">
        <f>IFERROR(Table13[[#This Row],[B1.Diff]]/Table13[[#This Row],[B1.Aud]],"ERR")</f>
        <v>-5.5096418732782371E-3</v>
      </c>
      <c r="X51" s="162">
        <f>_xlfn.IFNA(VLOOKUP(Table13[[#This Row],[MTP SKU Code]],'Audit Dimensions'!A:N,10,FALSE),"ARC")</f>
        <v>0</v>
      </c>
      <c r="Y51" s="163">
        <f>IFERROR(Table13[[#This Row],[B2.Aud]]-Table13[[#This Row],[PW(gm)5]],"ERR")</f>
        <v>0</v>
      </c>
      <c r="Z51" s="165" t="str">
        <f>IFERROR(Table13[[#This Row],[B2.Diff]]/Table13[[#This Row],[B2.Aud]],"ERR")</f>
        <v>ERR</v>
      </c>
      <c r="AA51" s="162">
        <f>_xlfn.IFNA(VLOOKUP(Table13[[#This Row],[MTP SKU Code]],'Audit Dimensions'!A:N,14,FALSE),"ARC")</f>
        <v>0</v>
      </c>
      <c r="AB51" s="161">
        <f>IFERROR(Table13[[#This Row],[B3.Aud]]-Table13[[#This Row],[PW(gm)9]],"ERR")</f>
        <v>0</v>
      </c>
      <c r="AC51" s="168">
        <f>IFERROR(Table13[[#This Row],[B3.Diff]]/Table13[[#This Row],[BaLL.Aud]],"ERR")</f>
        <v>0</v>
      </c>
      <c r="AD51" s="189">
        <f>_xlfn.IFNA(VLOOKUP(Table13[[#This Row],[MTP SKU Code]],'Audit Dimensions'!A:U,16,FALSE),"ARC")</f>
        <v>3630</v>
      </c>
      <c r="AE51" s="165">
        <f>IFERROR(1-Table13[[#This Row],[Gms]]/Table13[[#This Row],[BaLL.Aud]],"ERR")</f>
        <v>-5.5096418732782926E-3</v>
      </c>
    </row>
    <row r="52" spans="1:31">
      <c r="A52" s="70" t="s">
        <v>205</v>
      </c>
      <c r="B52" s="84" t="s">
        <v>48</v>
      </c>
      <c r="C52" s="84">
        <v>106</v>
      </c>
      <c r="D52" s="85">
        <v>44</v>
      </c>
      <c r="E52" s="85">
        <v>10</v>
      </c>
      <c r="F52" s="89">
        <v>19000</v>
      </c>
      <c r="G52" s="85"/>
      <c r="H52" s="85"/>
      <c r="I52" s="85"/>
      <c r="J52" s="85"/>
      <c r="K52" s="85"/>
      <c r="L52" s="85"/>
      <c r="M52" s="85"/>
      <c r="N52" s="85"/>
      <c r="O52" s="118">
        <f>((IFERROR((C52*D52*E52),0)+IFERROR((G52*H52*I52),0)+IFERROR((K52*L52*M52),0))/1000000)*35.32</f>
        <v>1.6473248</v>
      </c>
      <c r="P52" s="125">
        <f>Table13[[#This Row],[Column15]]*$P$2*1000</f>
        <v>9883.9488000000001</v>
      </c>
      <c r="Q52" s="87">
        <f>F52+J52+N52</f>
        <v>19000</v>
      </c>
      <c r="R52" s="86">
        <f>MAX(Q52,O52)</f>
        <v>19000</v>
      </c>
      <c r="S52" s="86">
        <f>MAX(R52,P52)</f>
        <v>19000</v>
      </c>
      <c r="T52" s="156" t="str">
        <f>VLOOKUP(A52,'[1]MTP SKUs - Master Data'!$A:$B,2,FALSE)</f>
        <v>Y</v>
      </c>
      <c r="U52" s="162">
        <f>_xlfn.IFNA(VLOOKUP(Table13[[#This Row],[MTP SKU Code]],'Audit Dimensions'!A:N,6,FALSE),"ARC")</f>
        <v>18900</v>
      </c>
      <c r="V52" s="162">
        <f>IFERROR(Table13[[#This Row],[B1.Aud]]-Table13[[#This Row],[PW(gm)]],"ERR")</f>
        <v>-100</v>
      </c>
      <c r="W52" s="165">
        <f>IFERROR(Table13[[#This Row],[B1.Diff]]/Table13[[#This Row],[B1.Aud]],"ERR")</f>
        <v>-5.2910052910052907E-3</v>
      </c>
      <c r="X52" s="162">
        <f>_xlfn.IFNA(VLOOKUP(Table13[[#This Row],[MTP SKU Code]],'Audit Dimensions'!A:N,10,FALSE),"ARC")</f>
        <v>0</v>
      </c>
      <c r="Y52" s="163">
        <f>IFERROR(Table13[[#This Row],[B2.Aud]]-Table13[[#This Row],[PW(gm)5]],"ERR")</f>
        <v>0</v>
      </c>
      <c r="Z52" s="165" t="str">
        <f>IFERROR(Table13[[#This Row],[B2.Diff]]/Table13[[#This Row],[B2.Aud]],"ERR")</f>
        <v>ERR</v>
      </c>
      <c r="AA52" s="162">
        <f>_xlfn.IFNA(VLOOKUP(Table13[[#This Row],[MTP SKU Code]],'Audit Dimensions'!A:N,14,FALSE),"ARC")</f>
        <v>0</v>
      </c>
      <c r="AB52" s="161">
        <f>IFERROR(Table13[[#This Row],[B3.Aud]]-Table13[[#This Row],[PW(gm)9]],"ERR")</f>
        <v>0</v>
      </c>
      <c r="AC52" s="168">
        <f>IFERROR(Table13[[#This Row],[B3.Diff]]/Table13[[#This Row],[BaLL.Aud]],"ERR")</f>
        <v>0</v>
      </c>
      <c r="AD52" s="189">
        <f>_xlfn.IFNA(VLOOKUP(Table13[[#This Row],[MTP SKU Code]],'Audit Dimensions'!A:U,16,FALSE),"ARC")</f>
        <v>18900</v>
      </c>
      <c r="AE52" s="165">
        <f>IFERROR(1-Table13[[#This Row],[Gms]]/Table13[[#This Row],[BaLL.Aud]],"ERR")</f>
        <v>-5.2910052910053462E-3</v>
      </c>
    </row>
    <row r="53" spans="1:31">
      <c r="A53" s="68" t="s">
        <v>93</v>
      </c>
      <c r="B53" s="84" t="s">
        <v>74</v>
      </c>
      <c r="C53" s="85">
        <v>202</v>
      </c>
      <c r="D53" s="85">
        <v>40</v>
      </c>
      <c r="E53" s="85">
        <v>9</v>
      </c>
      <c r="F53" s="89">
        <v>34290</v>
      </c>
      <c r="G53" s="85">
        <v>162</v>
      </c>
      <c r="H53" s="85">
        <v>40</v>
      </c>
      <c r="I53" s="85">
        <v>6</v>
      </c>
      <c r="J53" s="85">
        <v>18850</v>
      </c>
      <c r="K53" s="85">
        <v>104</v>
      </c>
      <c r="L53" s="85">
        <v>82</v>
      </c>
      <c r="M53" s="85">
        <v>7</v>
      </c>
      <c r="N53" s="85">
        <v>37400</v>
      </c>
      <c r="O53" s="118">
        <f>((IFERROR((C53*D53*E53),0)+IFERROR((G53*H53*I53),0)+IFERROR((K53*L53*M53),0))/1000000)*35.32</f>
        <v>6.0501747200000002</v>
      </c>
      <c r="P53" s="125">
        <f>Table13[[#This Row],[Column15]]*$P$2*1000</f>
        <v>36301.048320000002</v>
      </c>
      <c r="Q53" s="87">
        <f>F53+J53+N53</f>
        <v>90540</v>
      </c>
      <c r="R53" s="86">
        <f>MAX(Q53,O53)</f>
        <v>90540</v>
      </c>
      <c r="S53" s="86">
        <f>MAX(R53,P53)</f>
        <v>90540</v>
      </c>
      <c r="T53" s="156" t="str">
        <f>VLOOKUP(A53,'[1]MTP SKUs - Master Data'!$A:$B,2,FALSE)</f>
        <v>Y</v>
      </c>
      <c r="U53" s="162">
        <f>_xlfn.IFNA(VLOOKUP(Table13[[#This Row],[MTP SKU Code]],'Audit Dimensions'!A:N,6,FALSE),"ARC")</f>
        <v>34200</v>
      </c>
      <c r="V53" s="162">
        <f>IFERROR(Table13[[#This Row],[B1.Aud]]-Table13[[#This Row],[PW(gm)]],"ERR")</f>
        <v>-90</v>
      </c>
      <c r="W53" s="165">
        <f>IFERROR(Table13[[#This Row],[B1.Diff]]/Table13[[#This Row],[B1.Aud]],"ERR")</f>
        <v>-2.631578947368421E-3</v>
      </c>
      <c r="X53" s="162">
        <f>_xlfn.IFNA(VLOOKUP(Table13[[#This Row],[MTP SKU Code]],'Audit Dimensions'!A:N,10,FALSE),"ARC")</f>
        <v>21650</v>
      </c>
      <c r="Y53" s="163">
        <f>IFERROR(Table13[[#This Row],[B2.Aud]]-Table13[[#This Row],[PW(gm)5]],"ERR")</f>
        <v>2800</v>
      </c>
      <c r="Z53" s="165">
        <f>IFERROR(Table13[[#This Row],[B2.Diff]]/Table13[[#This Row],[B2.Aud]],"ERR")</f>
        <v>0.12933025404157045</v>
      </c>
      <c r="AA53" s="162">
        <f>_xlfn.IFNA(VLOOKUP(Table13[[#This Row],[MTP SKU Code]],'Audit Dimensions'!A:N,14,FALSE),"ARC")</f>
        <v>34300</v>
      </c>
      <c r="AB53" s="161">
        <f>IFERROR(Table13[[#This Row],[B3.Aud]]-Table13[[#This Row],[PW(gm)9]],"ERR")</f>
        <v>-3100</v>
      </c>
      <c r="AC53" s="168">
        <f>IFERROR(Table13[[#This Row],[B3.Diff]]/Table13[[#This Row],[BaLL.Aud]],"ERR")</f>
        <v>-3.4387132556849692E-2</v>
      </c>
      <c r="AD53" s="189">
        <f>_xlfn.IFNA(VLOOKUP(Table13[[#This Row],[MTP SKU Code]],'Audit Dimensions'!A:U,16,FALSE),"ARC")</f>
        <v>90150</v>
      </c>
      <c r="AE53" s="165">
        <f>IFERROR(1-Table13[[#This Row],[Gms]]/Table13[[#This Row],[BaLL.Aud]],"ERR")</f>
        <v>-4.3261231281197521E-3</v>
      </c>
    </row>
    <row r="54" spans="1:31">
      <c r="A54" s="68" t="s">
        <v>269</v>
      </c>
      <c r="B54" s="84" t="s">
        <v>48</v>
      </c>
      <c r="C54" s="85">
        <v>80</v>
      </c>
      <c r="D54" s="85">
        <v>66</v>
      </c>
      <c r="E54" s="85">
        <v>8</v>
      </c>
      <c r="F54" s="89">
        <v>11850</v>
      </c>
      <c r="G54" s="85"/>
      <c r="H54" s="85"/>
      <c r="I54" s="85"/>
      <c r="J54" s="85"/>
      <c r="K54" s="85"/>
      <c r="L54" s="85"/>
      <c r="M54" s="85"/>
      <c r="N54" s="85"/>
      <c r="O54" s="118">
        <f>((IFERROR((C54*D54*E54),0)+IFERROR((G54*H54*I54),0)+IFERROR((K54*L54*M54),0))/1000000)*35.32</f>
        <v>1.4919168</v>
      </c>
      <c r="P54" s="125">
        <f>Table13[[#This Row],[Column15]]*$P$2*1000</f>
        <v>8951.5007999999998</v>
      </c>
      <c r="Q54" s="87">
        <f>F54+J54+N54</f>
        <v>11850</v>
      </c>
      <c r="R54" s="86">
        <f>MAX(Q54,O54)</f>
        <v>11850</v>
      </c>
      <c r="S54" s="86">
        <f>MAX(R54,P54)</f>
        <v>11850</v>
      </c>
      <c r="T54" s="157" t="str">
        <f>VLOOKUP(A54,'[1]MTP SKUs - Master Data'!$A:$B,2,FALSE)</f>
        <v>Y</v>
      </c>
      <c r="U54" s="162">
        <f>_xlfn.IFNA(VLOOKUP(Table13[[#This Row],[MTP SKU Code]],'Audit Dimensions'!A:N,6,FALSE),"ARC")</f>
        <v>11540</v>
      </c>
      <c r="V54" s="162">
        <f>IFERROR(Table13[[#This Row],[B1.Aud]]-Table13[[#This Row],[PW(gm)]],"ERR")</f>
        <v>-310</v>
      </c>
      <c r="W54" s="165">
        <f>IFERROR(Table13[[#This Row],[B1.Diff]]/Table13[[#This Row],[B1.Aud]],"ERR")</f>
        <v>-2.6863084922010397E-2</v>
      </c>
      <c r="X54" s="162">
        <f>_xlfn.IFNA(VLOOKUP(Table13[[#This Row],[MTP SKU Code]],'Audit Dimensions'!A:N,10,FALSE),"ARC")</f>
        <v>0</v>
      </c>
      <c r="Y54" s="163">
        <f>IFERROR(Table13[[#This Row],[B2.Aud]]-Table13[[#This Row],[PW(gm)5]],"ERR")</f>
        <v>0</v>
      </c>
      <c r="Z54" s="165" t="str">
        <f>IFERROR(Table13[[#This Row],[B2.Diff]]/Table13[[#This Row],[B2.Aud]],"ERR")</f>
        <v>ERR</v>
      </c>
      <c r="AA54" s="162">
        <f>_xlfn.IFNA(VLOOKUP(Table13[[#This Row],[MTP SKU Code]],'Audit Dimensions'!A:N,14,FALSE),"ARC")</f>
        <v>0</v>
      </c>
      <c r="AB54" s="161">
        <f>IFERROR(Table13[[#This Row],[B3.Aud]]-Table13[[#This Row],[PW(gm)9]],"ERR")</f>
        <v>0</v>
      </c>
      <c r="AC54" s="169">
        <f>IFERROR(Table13[[#This Row],[B3.Diff]]/Table13[[#This Row],[BaLL.Aud]],"ERR")</f>
        <v>0</v>
      </c>
      <c r="AD54" s="189">
        <f>_xlfn.IFNA(VLOOKUP(Table13[[#This Row],[MTP SKU Code]],'Audit Dimensions'!A:U,16,FALSE),"ARC")</f>
        <v>11540</v>
      </c>
      <c r="AE54" s="170">
        <f>IFERROR(1-Table13[[#This Row],[Gms]]/Table13[[#This Row],[BaLL.Aud]],"ERR")</f>
        <v>-2.6863084922010394E-2</v>
      </c>
    </row>
    <row r="55" spans="1:31" ht="12.4" customHeight="1">
      <c r="A55" s="68" t="s">
        <v>138</v>
      </c>
      <c r="B55" s="84" t="s">
        <v>48</v>
      </c>
      <c r="C55" s="85">
        <v>181</v>
      </c>
      <c r="D55" s="85">
        <v>32</v>
      </c>
      <c r="E55" s="85">
        <v>9</v>
      </c>
      <c r="F55" s="89">
        <v>31750</v>
      </c>
      <c r="G55" s="85"/>
      <c r="H55" s="85"/>
      <c r="I55" s="85"/>
      <c r="J55" s="85"/>
      <c r="K55" s="85"/>
      <c r="L55" s="85"/>
      <c r="M55" s="85"/>
      <c r="N55" s="85"/>
      <c r="O55" s="118">
        <f>((IFERROR((C55*D55*E55),0)+IFERROR((G55*H55*I55),0)+IFERROR((K55*L55*M55),0))/1000000)*35.32</f>
        <v>1.8411609600000001</v>
      </c>
      <c r="P55" s="125">
        <f>Table13[[#This Row],[Column15]]*$P$2*1000</f>
        <v>11046.965760000001</v>
      </c>
      <c r="Q55" s="87">
        <f>F55+J55+N55</f>
        <v>31750</v>
      </c>
      <c r="R55" s="86">
        <f>MAX(Q55,O55)</f>
        <v>31750</v>
      </c>
      <c r="S55" s="86">
        <f>MAX(R55,P55)</f>
        <v>31750</v>
      </c>
      <c r="T55" s="156" t="str">
        <f>VLOOKUP(A55,'[1]MTP SKUs - Master Data'!$A:$B,2,FALSE)</f>
        <v>Y</v>
      </c>
      <c r="U55" s="162">
        <f>_xlfn.IFNA(VLOOKUP(Table13[[#This Row],[MTP SKU Code]],'Audit Dimensions'!A:N,6,FALSE),"ARC")</f>
        <v>31650</v>
      </c>
      <c r="V55" s="162">
        <f>IFERROR(Table13[[#This Row],[B1.Aud]]-Table13[[#This Row],[PW(gm)]],"ERR")</f>
        <v>-100</v>
      </c>
      <c r="W55" s="165">
        <f>IFERROR(Table13[[#This Row],[B1.Diff]]/Table13[[#This Row],[B1.Aud]],"ERR")</f>
        <v>-3.1595576619273301E-3</v>
      </c>
      <c r="X55" s="162">
        <f>_xlfn.IFNA(VLOOKUP(Table13[[#This Row],[MTP SKU Code]],'Audit Dimensions'!A:N,10,FALSE),"ARC")</f>
        <v>0</v>
      </c>
      <c r="Y55" s="163">
        <f>IFERROR(Table13[[#This Row],[B2.Aud]]-Table13[[#This Row],[PW(gm)5]],"ERR")</f>
        <v>0</v>
      </c>
      <c r="Z55" s="165" t="str">
        <f>IFERROR(Table13[[#This Row],[B2.Diff]]/Table13[[#This Row],[B2.Aud]],"ERR")</f>
        <v>ERR</v>
      </c>
      <c r="AA55" s="162">
        <f>_xlfn.IFNA(VLOOKUP(Table13[[#This Row],[MTP SKU Code]],'Audit Dimensions'!A:N,14,FALSE),"ARC")</f>
        <v>0</v>
      </c>
      <c r="AB55" s="161">
        <f>IFERROR(Table13[[#This Row],[B3.Aud]]-Table13[[#This Row],[PW(gm)9]],"ERR")</f>
        <v>0</v>
      </c>
      <c r="AC55" s="168">
        <f>IFERROR(Table13[[#This Row],[B3.Diff]]/Table13[[#This Row],[BaLL.Aud]],"ERR")</f>
        <v>0</v>
      </c>
      <c r="AD55" s="189">
        <f>_xlfn.IFNA(VLOOKUP(Table13[[#This Row],[MTP SKU Code]],'Audit Dimensions'!A:U,16,FALSE),"ARC")</f>
        <v>31650</v>
      </c>
      <c r="AE55" s="165">
        <f>IFERROR(1-Table13[[#This Row],[Gms]]/Table13[[#This Row],[BaLL.Aud]],"ERR")</f>
        <v>-3.1595576619274368E-3</v>
      </c>
    </row>
    <row r="56" spans="1:31">
      <c r="A56" s="91" t="s">
        <v>272</v>
      </c>
      <c r="B56" s="84" t="s">
        <v>48</v>
      </c>
      <c r="C56" s="85">
        <v>195</v>
      </c>
      <c r="D56" s="85">
        <v>40</v>
      </c>
      <c r="E56" s="85">
        <v>10</v>
      </c>
      <c r="F56" s="89">
        <v>32700</v>
      </c>
      <c r="G56" s="85"/>
      <c r="H56" s="85"/>
      <c r="I56" s="85"/>
      <c r="J56" s="85"/>
      <c r="K56" s="85"/>
      <c r="L56" s="85"/>
      <c r="M56" s="85"/>
      <c r="N56" s="85"/>
      <c r="O56" s="118">
        <f>((IFERROR((C56*D56*E56),0)+IFERROR((G56*H56*I56),0)+IFERROR((K56*L56*M56),0))/1000000)*35.32</f>
        <v>2.7549600000000001</v>
      </c>
      <c r="P56" s="125">
        <f>Table13[[#This Row],[Column15]]*$P$2*1000</f>
        <v>16529.759999999998</v>
      </c>
      <c r="Q56" s="87">
        <f>F56+J56+N56</f>
        <v>32700</v>
      </c>
      <c r="R56" s="86">
        <f>MAX(Q56,O56)</f>
        <v>32700</v>
      </c>
      <c r="S56" s="86">
        <f>MAX(R56,P56)</f>
        <v>32700</v>
      </c>
      <c r="T56" s="156" t="str">
        <f>VLOOKUP(A56,'[1]MTP SKUs - Master Data'!$A:$B,2,FALSE)</f>
        <v>Y</v>
      </c>
      <c r="U56" s="162">
        <f>_xlfn.IFNA(VLOOKUP(Table13[[#This Row],[MTP SKU Code]],'Audit Dimensions'!A:N,6,FALSE),"ARC")</f>
        <v>32650</v>
      </c>
      <c r="V56" s="162">
        <f>IFERROR(Table13[[#This Row],[B1.Aud]]-Table13[[#This Row],[PW(gm)]],"ERR")</f>
        <v>-50</v>
      </c>
      <c r="W56" s="165">
        <f>IFERROR(Table13[[#This Row],[B1.Diff]]/Table13[[#This Row],[B1.Aud]],"ERR")</f>
        <v>-1.5313935681470138E-3</v>
      </c>
      <c r="X56" s="162">
        <f>_xlfn.IFNA(VLOOKUP(Table13[[#This Row],[MTP SKU Code]],'Audit Dimensions'!A:N,10,FALSE),"ARC")</f>
        <v>0</v>
      </c>
      <c r="Y56" s="163">
        <f>IFERROR(Table13[[#This Row],[B2.Aud]]-Table13[[#This Row],[PW(gm)5]],"ERR")</f>
        <v>0</v>
      </c>
      <c r="Z56" s="165" t="str">
        <f>IFERROR(Table13[[#This Row],[B2.Diff]]/Table13[[#This Row],[B2.Aud]],"ERR")</f>
        <v>ERR</v>
      </c>
      <c r="AA56" s="162">
        <f>_xlfn.IFNA(VLOOKUP(Table13[[#This Row],[MTP SKU Code]],'Audit Dimensions'!A:N,14,FALSE),"ARC")</f>
        <v>0</v>
      </c>
      <c r="AB56" s="161">
        <f>IFERROR(Table13[[#This Row],[B3.Aud]]-Table13[[#This Row],[PW(gm)9]],"ERR")</f>
        <v>0</v>
      </c>
      <c r="AC56" s="168">
        <f>IFERROR(Table13[[#This Row],[B3.Diff]]/Table13[[#This Row],[BaLL.Aud]],"ERR")</f>
        <v>0</v>
      </c>
      <c r="AD56" s="189">
        <f>_xlfn.IFNA(VLOOKUP(Table13[[#This Row],[MTP SKU Code]],'Audit Dimensions'!A:U,16,FALSE),"ARC")</f>
        <v>32650</v>
      </c>
      <c r="AE56" s="165">
        <f>IFERROR(1-Table13[[#This Row],[Gms]]/Table13[[#This Row],[BaLL.Aud]],"ERR")</f>
        <v>-1.5313935681469104E-3</v>
      </c>
    </row>
    <row r="57" spans="1:31">
      <c r="A57" s="68" t="s">
        <v>109</v>
      </c>
      <c r="B57" s="84" t="s">
        <v>74</v>
      </c>
      <c r="C57" s="85">
        <v>123</v>
      </c>
      <c r="D57" s="85">
        <v>53</v>
      </c>
      <c r="E57" s="85">
        <v>11</v>
      </c>
      <c r="F57" s="89">
        <v>33901</v>
      </c>
      <c r="G57" s="85">
        <v>186</v>
      </c>
      <c r="H57" s="85">
        <v>51</v>
      </c>
      <c r="I57" s="85">
        <v>10</v>
      </c>
      <c r="J57" s="85">
        <v>44100</v>
      </c>
      <c r="K57" s="85"/>
      <c r="L57" s="85"/>
      <c r="M57" s="85"/>
      <c r="N57" s="85"/>
      <c r="O57" s="118">
        <f>((IFERROR((C57*D57*E57),0)+IFERROR((G57*H57*I57),0)+IFERROR((K57*L57*M57),0))/1000000)*35.32</f>
        <v>5.8832170799999997</v>
      </c>
      <c r="P57" s="125">
        <f>Table13[[#This Row],[Column15]]*$P$2*1000</f>
        <v>35299.302479999991</v>
      </c>
      <c r="Q57" s="87">
        <f>F57+J57+N57</f>
        <v>78001</v>
      </c>
      <c r="R57" s="86">
        <f>MAX(Q57,O57)</f>
        <v>78001</v>
      </c>
      <c r="S57" s="86">
        <f>MAX(R57,P57)</f>
        <v>78001</v>
      </c>
      <c r="T57" s="156" t="str">
        <f>VLOOKUP(A57,'[1]MTP SKUs - Master Data'!$A:$B,2,FALSE)</f>
        <v>Y</v>
      </c>
      <c r="U57" s="162">
        <f>_xlfn.IFNA(VLOOKUP(Table13[[#This Row],[MTP SKU Code]],'Audit Dimensions'!A:N,6,FALSE),"ARC")</f>
        <v>34650</v>
      </c>
      <c r="V57" s="162">
        <f>IFERROR(Table13[[#This Row],[B1.Aud]]-Table13[[#This Row],[PW(gm)]],"ERR")</f>
        <v>749</v>
      </c>
      <c r="W57" s="165">
        <f>IFERROR(Table13[[#This Row],[B1.Diff]]/Table13[[#This Row],[B1.Aud]],"ERR")</f>
        <v>2.1616161616161617E-2</v>
      </c>
      <c r="X57" s="162">
        <f>_xlfn.IFNA(VLOOKUP(Table13[[#This Row],[MTP SKU Code]],'Audit Dimensions'!A:N,10,FALSE),"ARC")</f>
        <v>43310</v>
      </c>
      <c r="Y57" s="163">
        <f>IFERROR(Table13[[#This Row],[B2.Aud]]-Table13[[#This Row],[PW(gm)5]],"ERR")</f>
        <v>-790</v>
      </c>
      <c r="Z57" s="165">
        <f>IFERROR(Table13[[#This Row],[B2.Diff]]/Table13[[#This Row],[B2.Aud]],"ERR")</f>
        <v>-1.8240591087508657E-2</v>
      </c>
      <c r="AA57" s="162">
        <f>_xlfn.IFNA(VLOOKUP(Table13[[#This Row],[MTP SKU Code]],'Audit Dimensions'!A:N,14,FALSE),"ARC")</f>
        <v>0</v>
      </c>
      <c r="AB57" s="161">
        <f>IFERROR(Table13[[#This Row],[B3.Aud]]-Table13[[#This Row],[PW(gm)9]],"ERR")</f>
        <v>0</v>
      </c>
      <c r="AC57" s="168">
        <f>IFERROR(Table13[[#This Row],[B3.Diff]]/Table13[[#This Row],[BaLL.Aud]],"ERR")</f>
        <v>0</v>
      </c>
      <c r="AD57" s="189">
        <f>_xlfn.IFNA(VLOOKUP(Table13[[#This Row],[MTP SKU Code]],'Audit Dimensions'!A:U,16,FALSE),"ARC")</f>
        <v>77960</v>
      </c>
      <c r="AE57" s="165">
        <f>IFERROR(1-Table13[[#This Row],[Gms]]/Table13[[#This Row],[BaLL.Aud]],"ERR")</f>
        <v>-5.2591072344787548E-4</v>
      </c>
    </row>
    <row r="58" spans="1:31">
      <c r="A58" s="68" t="s">
        <v>208</v>
      </c>
      <c r="B58" s="84" t="s">
        <v>48</v>
      </c>
      <c r="C58" s="85">
        <v>48</v>
      </c>
      <c r="D58" s="85">
        <v>45</v>
      </c>
      <c r="E58" s="85">
        <v>5</v>
      </c>
      <c r="F58" s="89">
        <v>7700</v>
      </c>
      <c r="G58" s="85"/>
      <c r="H58" s="85"/>
      <c r="I58" s="85"/>
      <c r="J58" s="85"/>
      <c r="K58" s="85"/>
      <c r="L58" s="85"/>
      <c r="M58" s="85"/>
      <c r="N58" s="85"/>
      <c r="O58" s="118">
        <f>((IFERROR((C58*D58*E58),0)+IFERROR((G58*H58*I58),0)+IFERROR((K58*L58*M58),0))/1000000)*35.32</f>
        <v>0.38145600000000002</v>
      </c>
      <c r="P58" s="125">
        <f>Table13[[#This Row],[Column15]]*$P$2*1000</f>
        <v>2288.7359999999999</v>
      </c>
      <c r="Q58" s="87">
        <f>F58+J58+N58</f>
        <v>7700</v>
      </c>
      <c r="R58" s="86">
        <f>MAX(Q58,O58)</f>
        <v>7700</v>
      </c>
      <c r="S58" s="86">
        <f>MAX(R58,P58)</f>
        <v>7700</v>
      </c>
      <c r="T58" s="156" t="str">
        <f>VLOOKUP(A58,'[1]MTP SKUs - Master Data'!$A:$B,2,FALSE)</f>
        <v>Y</v>
      </c>
      <c r="U58" s="162">
        <f>_xlfn.IFNA(VLOOKUP(Table13[[#This Row],[MTP SKU Code]],'Audit Dimensions'!A:N,6,FALSE),"ARC")</f>
        <v>7700</v>
      </c>
      <c r="V58" s="162">
        <f>IFERROR(Table13[[#This Row],[B1.Aud]]-Table13[[#This Row],[PW(gm)]],"ERR")</f>
        <v>0</v>
      </c>
      <c r="W58" s="165">
        <f>IFERROR(Table13[[#This Row],[B1.Diff]]/Table13[[#This Row],[B1.Aud]],"ERR")</f>
        <v>0</v>
      </c>
      <c r="X58" s="162">
        <f>_xlfn.IFNA(VLOOKUP(Table13[[#This Row],[MTP SKU Code]],'Audit Dimensions'!A:N,10,FALSE),"ARC")</f>
        <v>0</v>
      </c>
      <c r="Y58" s="163">
        <f>IFERROR(Table13[[#This Row],[B2.Aud]]-Table13[[#This Row],[PW(gm)5]],"ERR")</f>
        <v>0</v>
      </c>
      <c r="Z58" s="165" t="str">
        <f>IFERROR(Table13[[#This Row],[B2.Diff]]/Table13[[#This Row],[B2.Aud]],"ERR")</f>
        <v>ERR</v>
      </c>
      <c r="AA58" s="162">
        <f>_xlfn.IFNA(VLOOKUP(Table13[[#This Row],[MTP SKU Code]],'Audit Dimensions'!A:N,14,FALSE),"ARC")</f>
        <v>0</v>
      </c>
      <c r="AB58" s="161">
        <f>IFERROR(Table13[[#This Row],[B3.Aud]]-Table13[[#This Row],[PW(gm)9]],"ERR")</f>
        <v>0</v>
      </c>
      <c r="AC58" s="168">
        <f>IFERROR(Table13[[#This Row],[B3.Diff]]/Table13[[#This Row],[BaLL.Aud]],"ERR")</f>
        <v>0</v>
      </c>
      <c r="AD58" s="189">
        <f>_xlfn.IFNA(VLOOKUP(Table13[[#This Row],[MTP SKU Code]],'Audit Dimensions'!A:U,16,FALSE),"ARC")</f>
        <v>7700</v>
      </c>
      <c r="AE58" s="165">
        <f>IFERROR(1-Table13[[#This Row],[Gms]]/Table13[[#This Row],[BaLL.Aud]],"ERR")</f>
        <v>0</v>
      </c>
    </row>
    <row r="59" spans="1:31" hidden="1">
      <c r="A59" s="68" t="s">
        <v>104</v>
      </c>
      <c r="B59" s="84" t="s">
        <v>48</v>
      </c>
      <c r="C59" s="85">
        <v>123</v>
      </c>
      <c r="D59" s="85">
        <v>56</v>
      </c>
      <c r="E59" s="85">
        <v>5</v>
      </c>
      <c r="F59" s="89">
        <v>24490</v>
      </c>
      <c r="G59" s="85"/>
      <c r="H59" s="85"/>
      <c r="I59" s="85"/>
      <c r="J59" s="85"/>
      <c r="K59" s="85"/>
      <c r="L59" s="85"/>
      <c r="M59" s="85"/>
      <c r="N59" s="85"/>
      <c r="O59" s="118">
        <f>((IFERROR((C59*D59*E59),0)+IFERROR((G59*H59*I59),0)+IFERROR((K59*L59*M59),0))/1000000)*35.32</f>
        <v>1.2164207999999999</v>
      </c>
      <c r="P59" s="125">
        <f>Table13[[#This Row],[Column15]]*$P$2*1000</f>
        <v>7298.5247999999992</v>
      </c>
      <c r="Q59" s="87">
        <f>F59+J59+N59</f>
        <v>24490</v>
      </c>
      <c r="R59" s="86">
        <f>MAX(Q59,O59)</f>
        <v>24490</v>
      </c>
      <c r="S59" s="86">
        <f>MAX(R59,P59)</f>
        <v>24490</v>
      </c>
      <c r="T59" s="156" t="str">
        <f>VLOOKUP(A59,'[1]MTP SKUs - Master Data'!$A:$B,2,FALSE)</f>
        <v>DI</v>
      </c>
      <c r="U59" s="162">
        <f>_xlfn.IFNA(VLOOKUP(Table13[[#This Row],[MTP SKU Code]],'Audit Dimensions'!A:N,6,FALSE),"ARC")</f>
        <v>24490</v>
      </c>
      <c r="V59" s="162">
        <f>IFERROR(Table13[[#This Row],[B1.Aud]]-Table13[[#This Row],[PW(gm)]],"ERR")</f>
        <v>0</v>
      </c>
      <c r="W59" s="165">
        <f>IFERROR(Table13[[#This Row],[B1.Diff]]/Table13[[#This Row],[B1.Aud]],"ERR")</f>
        <v>0</v>
      </c>
      <c r="X59" s="162">
        <f>_xlfn.IFNA(VLOOKUP(Table13[[#This Row],[MTP SKU Code]],'Audit Dimensions'!A:N,10,FALSE),"ARC")</f>
        <v>0</v>
      </c>
      <c r="Y59" s="163">
        <f>IFERROR(Table13[[#This Row],[B2.Aud]]-Table13[[#This Row],[PW(gm)5]],"ERR")</f>
        <v>0</v>
      </c>
      <c r="Z59" s="165" t="str">
        <f>IFERROR(Table13[[#This Row],[B2.Diff]]/Table13[[#This Row],[B2.Aud]],"ERR")</f>
        <v>ERR</v>
      </c>
      <c r="AA59" s="162">
        <f>_xlfn.IFNA(VLOOKUP(Table13[[#This Row],[MTP SKU Code]],'Audit Dimensions'!A:N,14,FALSE),"ARC")</f>
        <v>0</v>
      </c>
      <c r="AB59" s="161">
        <f>IFERROR(Table13[[#This Row],[B3.Aud]]-Table13[[#This Row],[PW(gm)9]],"ERR")</f>
        <v>0</v>
      </c>
      <c r="AC59" s="168">
        <f>IFERROR(Table13[[#This Row],[B3.Diff]]/Table13[[#This Row],[BaLL.Aud]],"ERR")</f>
        <v>0</v>
      </c>
      <c r="AD59" s="162">
        <f>_xlfn.IFNA(VLOOKUP(Table13[[#This Row],[MTP SKU Code]],'Audit Dimensions'!A:U,16,FALSE),"ARC")</f>
        <v>24490</v>
      </c>
      <c r="AE59" s="165">
        <f>IFERROR(1-Table13[[#This Row],[Gms]]/Table13[[#This Row],[BaLL.Aud]],"ERR")</f>
        <v>0</v>
      </c>
    </row>
    <row r="60" spans="1:31" hidden="1">
      <c r="A60" s="68" t="s">
        <v>105</v>
      </c>
      <c r="B60" s="84" t="s">
        <v>48</v>
      </c>
      <c r="C60" s="85">
        <v>67</v>
      </c>
      <c r="D60" s="85">
        <v>19</v>
      </c>
      <c r="E60" s="85">
        <v>10</v>
      </c>
      <c r="F60" s="89">
        <v>4300</v>
      </c>
      <c r="G60" s="85"/>
      <c r="H60" s="85"/>
      <c r="I60" s="85"/>
      <c r="J60" s="85"/>
      <c r="K60" s="85"/>
      <c r="L60" s="85"/>
      <c r="M60" s="85"/>
      <c r="N60" s="85"/>
      <c r="O60" s="118">
        <f>((IFERROR((C60*D60*E60),0)+IFERROR((G60*H60*I60),0)+IFERROR((K60*L60*M60),0))/1000000)*35.32</f>
        <v>0.44962360000000001</v>
      </c>
      <c r="P60" s="125">
        <f>Table13[[#This Row],[Column15]]*$P$2*1000</f>
        <v>2697.7416000000003</v>
      </c>
      <c r="Q60" s="87">
        <f>F60+J60+N60</f>
        <v>4300</v>
      </c>
      <c r="R60" s="86">
        <f>MAX(Q60,O60)</f>
        <v>4300</v>
      </c>
      <c r="S60" s="86">
        <f>MAX(R60,P60)</f>
        <v>4300</v>
      </c>
      <c r="T60" s="156" t="str">
        <f>VLOOKUP(A60,'[1]MTP SKUs - Master Data'!$A:$B,2,FALSE)</f>
        <v>DI</v>
      </c>
      <c r="U60" s="162">
        <f>_xlfn.IFNA(VLOOKUP(Table13[[#This Row],[MTP SKU Code]],'Audit Dimensions'!A:N,6,FALSE),"ARC")</f>
        <v>4300</v>
      </c>
      <c r="V60" s="162">
        <f>IFERROR(Table13[[#This Row],[B1.Aud]]-Table13[[#This Row],[PW(gm)]],"ERR")</f>
        <v>0</v>
      </c>
      <c r="W60" s="165">
        <f>IFERROR(Table13[[#This Row],[B1.Diff]]/Table13[[#This Row],[B1.Aud]],"ERR")</f>
        <v>0</v>
      </c>
      <c r="X60" s="162">
        <f>_xlfn.IFNA(VLOOKUP(Table13[[#This Row],[MTP SKU Code]],'Audit Dimensions'!A:N,10,FALSE),"ARC")</f>
        <v>0</v>
      </c>
      <c r="Y60" s="163">
        <f>IFERROR(Table13[[#This Row],[B2.Aud]]-Table13[[#This Row],[PW(gm)5]],"ERR")</f>
        <v>0</v>
      </c>
      <c r="Z60" s="165" t="str">
        <f>IFERROR(Table13[[#This Row],[B2.Diff]]/Table13[[#This Row],[B2.Aud]],"ERR")</f>
        <v>ERR</v>
      </c>
      <c r="AA60" s="162">
        <f>_xlfn.IFNA(VLOOKUP(Table13[[#This Row],[MTP SKU Code]],'Audit Dimensions'!A:N,14,FALSE),"ARC")</f>
        <v>0</v>
      </c>
      <c r="AB60" s="161">
        <f>IFERROR(Table13[[#This Row],[B3.Aud]]-Table13[[#This Row],[PW(gm)9]],"ERR")</f>
        <v>0</v>
      </c>
      <c r="AC60" s="168">
        <f>IFERROR(Table13[[#This Row],[B3.Diff]]/Table13[[#This Row],[BaLL.Aud]],"ERR")</f>
        <v>0</v>
      </c>
      <c r="AD60" s="162">
        <f>_xlfn.IFNA(VLOOKUP(Table13[[#This Row],[MTP SKU Code]],'Audit Dimensions'!A:U,16,FALSE),"ARC")</f>
        <v>4300</v>
      </c>
      <c r="AE60" s="165">
        <f>IFERROR(1-Table13[[#This Row],[Gms]]/Table13[[#This Row],[BaLL.Aud]],"ERR")</f>
        <v>0</v>
      </c>
    </row>
    <row r="61" spans="1:31" hidden="1">
      <c r="A61" s="68" t="s">
        <v>106</v>
      </c>
      <c r="B61" s="84" t="s">
        <v>48</v>
      </c>
      <c r="C61" s="85">
        <v>75</v>
      </c>
      <c r="D61" s="85">
        <v>36</v>
      </c>
      <c r="E61" s="85">
        <v>5</v>
      </c>
      <c r="F61" s="89">
        <v>3725</v>
      </c>
      <c r="G61" s="85"/>
      <c r="H61" s="85"/>
      <c r="I61" s="85"/>
      <c r="J61" s="85"/>
      <c r="K61" s="85"/>
      <c r="L61" s="85"/>
      <c r="M61" s="85"/>
      <c r="N61" s="85"/>
      <c r="O61" s="118">
        <f>((IFERROR((C61*D61*E61),0)+IFERROR((G61*H61*I61),0)+IFERROR((K61*L61*M61),0))/1000000)*35.32</f>
        <v>0.47682000000000002</v>
      </c>
      <c r="P61" s="125">
        <f>Table13[[#This Row],[Column15]]*$P$2*1000</f>
        <v>2860.92</v>
      </c>
      <c r="Q61" s="87">
        <f>F61+J61+N61</f>
        <v>3725</v>
      </c>
      <c r="R61" s="86">
        <f>MAX(Q61,O61)</f>
        <v>3725</v>
      </c>
      <c r="S61" s="86">
        <f>MAX(R61,P61)</f>
        <v>3725</v>
      </c>
      <c r="T61" s="156" t="str">
        <f>VLOOKUP(A61,'[1]MTP SKUs - Master Data'!$A:$B,2,FALSE)</f>
        <v>DI</v>
      </c>
      <c r="U61" s="162">
        <f>_xlfn.IFNA(VLOOKUP(Table13[[#This Row],[MTP SKU Code]],'Audit Dimensions'!A:N,6,FALSE),"ARC")</f>
        <v>3725</v>
      </c>
      <c r="V61" s="162">
        <f>IFERROR(Table13[[#This Row],[B1.Aud]]-Table13[[#This Row],[PW(gm)]],"ERR")</f>
        <v>0</v>
      </c>
      <c r="W61" s="165">
        <f>IFERROR(Table13[[#This Row],[B1.Diff]]/Table13[[#This Row],[B1.Aud]],"ERR")</f>
        <v>0</v>
      </c>
      <c r="X61" s="162">
        <f>_xlfn.IFNA(VLOOKUP(Table13[[#This Row],[MTP SKU Code]],'Audit Dimensions'!A:N,10,FALSE),"ARC")</f>
        <v>0</v>
      </c>
      <c r="Y61" s="163">
        <f>IFERROR(Table13[[#This Row],[B2.Aud]]-Table13[[#This Row],[PW(gm)5]],"ERR")</f>
        <v>0</v>
      </c>
      <c r="Z61" s="165" t="str">
        <f>IFERROR(Table13[[#This Row],[B2.Diff]]/Table13[[#This Row],[B2.Aud]],"ERR")</f>
        <v>ERR</v>
      </c>
      <c r="AA61" s="162">
        <f>_xlfn.IFNA(VLOOKUP(Table13[[#This Row],[MTP SKU Code]],'Audit Dimensions'!A:N,14,FALSE),"ARC")</f>
        <v>0</v>
      </c>
      <c r="AB61" s="161">
        <f>IFERROR(Table13[[#This Row],[B3.Aud]]-Table13[[#This Row],[PW(gm)9]],"ERR")</f>
        <v>0</v>
      </c>
      <c r="AC61" s="168">
        <f>IFERROR(Table13[[#This Row],[B3.Diff]]/Table13[[#This Row],[BaLL.Aud]],"ERR")</f>
        <v>0</v>
      </c>
      <c r="AD61" s="162">
        <f>_xlfn.IFNA(VLOOKUP(Table13[[#This Row],[MTP SKU Code]],'Audit Dimensions'!A:U,16,FALSE),"ARC")</f>
        <v>3725</v>
      </c>
      <c r="AE61" s="165">
        <f>IFERROR(1-Table13[[#This Row],[Gms]]/Table13[[#This Row],[BaLL.Aud]],"ERR")</f>
        <v>0</v>
      </c>
    </row>
    <row r="62" spans="1:31">
      <c r="A62" s="68" t="s">
        <v>128</v>
      </c>
      <c r="B62" s="84" t="s">
        <v>48</v>
      </c>
      <c r="C62" s="84">
        <v>1</v>
      </c>
      <c r="D62" s="85">
        <v>1</v>
      </c>
      <c r="E62" s="85">
        <v>1</v>
      </c>
      <c r="F62" s="89">
        <v>56000</v>
      </c>
      <c r="G62" s="85"/>
      <c r="H62" s="85"/>
      <c r="I62" s="85"/>
      <c r="J62" s="85"/>
      <c r="K62" s="85"/>
      <c r="L62" s="85"/>
      <c r="M62" s="85"/>
      <c r="N62" s="85"/>
      <c r="O62" s="118">
        <f>((IFERROR((C62*D62*E62),0)+IFERROR((G62*H62*I62),0)+IFERROR((K62*L62*M62),0))/1000000)*35.32</f>
        <v>3.5320000000000001E-5</v>
      </c>
      <c r="P62" s="125">
        <f>Table13[[#This Row],[Column15]]*$P$2*1000</f>
        <v>0.21192</v>
      </c>
      <c r="Q62" s="87">
        <f>F62+J62+N62</f>
        <v>56000</v>
      </c>
      <c r="R62" s="88">
        <f>MAX(Q62,O62)</f>
        <v>56000</v>
      </c>
      <c r="S62" s="86">
        <f>MAX(R62,P62)</f>
        <v>56000</v>
      </c>
      <c r="T62" s="156" t="str">
        <f>VLOOKUP(A62,'[1]MTP SKUs - Master Data'!$A:$B,2,FALSE)</f>
        <v>Y</v>
      </c>
      <c r="U62" s="162">
        <f>_xlfn.IFNA(VLOOKUP(Table13[[#This Row],[MTP SKU Code]],'Audit Dimensions'!A:N,6,FALSE),"ARC")</f>
        <v>56000</v>
      </c>
      <c r="V62" s="162">
        <f>IFERROR(Table13[[#This Row],[B1.Aud]]-Table13[[#This Row],[PW(gm)]],"ERR")</f>
        <v>0</v>
      </c>
      <c r="W62" s="165">
        <f>IFERROR(Table13[[#This Row],[B1.Diff]]/Table13[[#This Row],[B1.Aud]],"ERR")</f>
        <v>0</v>
      </c>
      <c r="X62" s="162">
        <f>_xlfn.IFNA(VLOOKUP(Table13[[#This Row],[MTP SKU Code]],'Audit Dimensions'!A:N,10,FALSE),"ARC")</f>
        <v>0</v>
      </c>
      <c r="Y62" s="163">
        <f>IFERROR(Table13[[#This Row],[B2.Aud]]-Table13[[#This Row],[PW(gm)5]],"ERR")</f>
        <v>0</v>
      </c>
      <c r="Z62" s="165" t="str">
        <f>IFERROR(Table13[[#This Row],[B2.Diff]]/Table13[[#This Row],[B2.Aud]],"ERR")</f>
        <v>ERR</v>
      </c>
      <c r="AA62" s="162">
        <f>_xlfn.IFNA(VLOOKUP(Table13[[#This Row],[MTP SKU Code]],'Audit Dimensions'!A:N,14,FALSE),"ARC")</f>
        <v>0</v>
      </c>
      <c r="AB62" s="161">
        <f>IFERROR(Table13[[#This Row],[B3.Aud]]-Table13[[#This Row],[PW(gm)9]],"ERR")</f>
        <v>0</v>
      </c>
      <c r="AC62" s="168">
        <f>IFERROR(Table13[[#This Row],[B3.Diff]]/Table13[[#This Row],[BaLL.Aud]],"ERR")</f>
        <v>0</v>
      </c>
      <c r="AD62" s="189">
        <f>_xlfn.IFNA(VLOOKUP(Table13[[#This Row],[MTP SKU Code]],'Audit Dimensions'!A:U,16,FALSE),"ARC")</f>
        <v>56000</v>
      </c>
      <c r="AE62" s="165">
        <f>IFERROR(1-Table13[[#This Row],[Gms]]/Table13[[#This Row],[BaLL.Aud]],"ERR")</f>
        <v>0</v>
      </c>
    </row>
    <row r="63" spans="1:31">
      <c r="A63" s="68" t="s">
        <v>159</v>
      </c>
      <c r="B63" s="84" t="s">
        <v>48</v>
      </c>
      <c r="C63" s="84">
        <v>150</v>
      </c>
      <c r="D63" s="85">
        <v>42</v>
      </c>
      <c r="E63" s="85">
        <v>14</v>
      </c>
      <c r="F63" s="89">
        <v>40000</v>
      </c>
      <c r="G63" s="85"/>
      <c r="H63" s="85"/>
      <c r="I63" s="85"/>
      <c r="J63" s="85"/>
      <c r="K63" s="85"/>
      <c r="L63" s="85"/>
      <c r="M63" s="85"/>
      <c r="N63" s="85"/>
      <c r="O63" s="118">
        <f>((IFERROR((C63*D63*E63),0)+IFERROR((G63*H63*I63),0)+IFERROR((K63*L63*M63),0))/1000000)*35.32</f>
        <v>3.115224</v>
      </c>
      <c r="P63" s="125">
        <f>Table13[[#This Row],[Column15]]*$P$2*1000</f>
        <v>18691.344000000001</v>
      </c>
      <c r="Q63" s="87">
        <f>F63+J63+N63</f>
        <v>40000</v>
      </c>
      <c r="R63" s="86">
        <f>MAX(Q63,O63)</f>
        <v>40000</v>
      </c>
      <c r="S63" s="86">
        <f>MAX(R63,P63)</f>
        <v>40000</v>
      </c>
      <c r="T63" s="156" t="str">
        <f>VLOOKUP(A63,'[1]MTP SKUs - Master Data'!$A:$B,2,FALSE)</f>
        <v>Y</v>
      </c>
      <c r="U63" s="162">
        <f>_xlfn.IFNA(VLOOKUP(Table13[[#This Row],[MTP SKU Code]],'Audit Dimensions'!A:N,6,FALSE),"ARC")</f>
        <v>39630</v>
      </c>
      <c r="V63" s="162">
        <f>IFERROR(Table13[[#This Row],[B1.Aud]]-Table13[[#This Row],[PW(gm)]],"ERR")</f>
        <v>-370</v>
      </c>
      <c r="W63" s="165">
        <f>IFERROR(Table13[[#This Row],[B1.Diff]]/Table13[[#This Row],[B1.Aud]],"ERR")</f>
        <v>-9.3363613424173614E-3</v>
      </c>
      <c r="X63" s="162">
        <f>_xlfn.IFNA(VLOOKUP(Table13[[#This Row],[MTP SKU Code]],'Audit Dimensions'!A:N,10,FALSE),"ARC")</f>
        <v>0</v>
      </c>
      <c r="Y63" s="163">
        <f>IFERROR(Table13[[#This Row],[B2.Aud]]-Table13[[#This Row],[PW(gm)5]],"ERR")</f>
        <v>0</v>
      </c>
      <c r="Z63" s="165" t="str">
        <f>IFERROR(Table13[[#This Row],[B2.Diff]]/Table13[[#This Row],[B2.Aud]],"ERR")</f>
        <v>ERR</v>
      </c>
      <c r="AA63" s="162">
        <f>_xlfn.IFNA(VLOOKUP(Table13[[#This Row],[MTP SKU Code]],'Audit Dimensions'!A:N,14,FALSE),"ARC")</f>
        <v>0</v>
      </c>
      <c r="AB63" s="161">
        <f>IFERROR(Table13[[#This Row],[B3.Aud]]-Table13[[#This Row],[PW(gm)9]],"ERR")</f>
        <v>0</v>
      </c>
      <c r="AC63" s="168">
        <f>IFERROR(Table13[[#This Row],[B3.Diff]]/Table13[[#This Row],[BaLL.Aud]],"ERR")</f>
        <v>0</v>
      </c>
      <c r="AD63" s="189">
        <f>_xlfn.IFNA(VLOOKUP(Table13[[#This Row],[MTP SKU Code]],'Audit Dimensions'!A:U,16,FALSE),"ARC")</f>
        <v>39630</v>
      </c>
      <c r="AE63" s="165">
        <f>IFERROR(1-Table13[[#This Row],[Gms]]/Table13[[#This Row],[BaLL.Aud]],"ERR")</f>
        <v>-9.336361342417332E-3</v>
      </c>
    </row>
    <row r="64" spans="1:31" ht="12.4" customHeight="1">
      <c r="A64" s="68" t="s">
        <v>116</v>
      </c>
      <c r="B64" s="84" t="s">
        <v>48</v>
      </c>
      <c r="C64" s="85">
        <v>98</v>
      </c>
      <c r="D64" s="85">
        <v>25</v>
      </c>
      <c r="E64" s="85">
        <v>10</v>
      </c>
      <c r="F64" s="89">
        <v>9700</v>
      </c>
      <c r="G64" s="85"/>
      <c r="H64" s="85"/>
      <c r="I64" s="85"/>
      <c r="J64" s="85"/>
      <c r="K64" s="85"/>
      <c r="L64" s="85"/>
      <c r="M64" s="85"/>
      <c r="N64" s="85"/>
      <c r="O64" s="118">
        <f>((IFERROR((C64*D64*E64),0)+IFERROR((G64*H64*I64),0)+IFERROR((K64*L64*M64),0))/1000000)*35.32</f>
        <v>0.86534</v>
      </c>
      <c r="P64" s="125">
        <f>Table13[[#This Row],[Column15]]*$P$2*1000</f>
        <v>5192.0400000000009</v>
      </c>
      <c r="Q64" s="87">
        <f>F64+J64+N64</f>
        <v>9700</v>
      </c>
      <c r="R64" s="86">
        <f>MAX(Q64,O64)</f>
        <v>9700</v>
      </c>
      <c r="S64" s="86">
        <f>MAX(R64,P64)</f>
        <v>9700</v>
      </c>
      <c r="T64" s="156" t="str">
        <f>VLOOKUP(A64,'[1]MTP SKUs - Master Data'!$A:$B,2,FALSE)</f>
        <v>Y</v>
      </c>
      <c r="U64" s="162">
        <f>_xlfn.IFNA(VLOOKUP(Table13[[#This Row],[MTP SKU Code]],'Audit Dimensions'!A:N,6,FALSE),"ARC")</f>
        <v>9700</v>
      </c>
      <c r="V64" s="162">
        <f>IFERROR(Table13[[#This Row],[B1.Aud]]-Table13[[#This Row],[PW(gm)]],"ERR")</f>
        <v>0</v>
      </c>
      <c r="W64" s="165">
        <f>IFERROR(Table13[[#This Row],[B1.Diff]]/Table13[[#This Row],[B1.Aud]],"ERR")</f>
        <v>0</v>
      </c>
      <c r="X64" s="162">
        <f>_xlfn.IFNA(VLOOKUP(Table13[[#This Row],[MTP SKU Code]],'Audit Dimensions'!A:N,10,FALSE),"ARC")</f>
        <v>0</v>
      </c>
      <c r="Y64" s="163">
        <f>IFERROR(Table13[[#This Row],[B2.Aud]]-Table13[[#This Row],[PW(gm)5]],"ERR")</f>
        <v>0</v>
      </c>
      <c r="Z64" s="165" t="str">
        <f>IFERROR(Table13[[#This Row],[B2.Diff]]/Table13[[#This Row],[B2.Aud]],"ERR")</f>
        <v>ERR</v>
      </c>
      <c r="AA64" s="162">
        <f>_xlfn.IFNA(VLOOKUP(Table13[[#This Row],[MTP SKU Code]],'Audit Dimensions'!A:N,14,FALSE),"ARC")</f>
        <v>0</v>
      </c>
      <c r="AB64" s="161">
        <f>IFERROR(Table13[[#This Row],[B3.Aud]]-Table13[[#This Row],[PW(gm)9]],"ERR")</f>
        <v>0</v>
      </c>
      <c r="AC64" s="168">
        <f>IFERROR(Table13[[#This Row],[B3.Diff]]/Table13[[#This Row],[BaLL.Aud]],"ERR")</f>
        <v>0</v>
      </c>
      <c r="AD64" s="189">
        <f>_xlfn.IFNA(VLOOKUP(Table13[[#This Row],[MTP SKU Code]],'Audit Dimensions'!A:U,16,FALSE),"ARC")</f>
        <v>9700</v>
      </c>
      <c r="AE64" s="165">
        <f>IFERROR(1-Table13[[#This Row],[Gms]]/Table13[[#This Row],[BaLL.Aud]],"ERR")</f>
        <v>0</v>
      </c>
    </row>
    <row r="65" spans="1:31">
      <c r="A65" s="91" t="s">
        <v>80</v>
      </c>
      <c r="B65" s="84" t="s">
        <v>74</v>
      </c>
      <c r="C65" s="85">
        <v>127</v>
      </c>
      <c r="D65" s="85">
        <v>45</v>
      </c>
      <c r="E65" s="85">
        <v>13</v>
      </c>
      <c r="F65" s="89">
        <v>43220</v>
      </c>
      <c r="G65" s="85">
        <v>79</v>
      </c>
      <c r="H65" s="85">
        <v>45</v>
      </c>
      <c r="I65" s="85">
        <v>15</v>
      </c>
      <c r="J65" s="85">
        <v>24545</v>
      </c>
      <c r="K65" s="85"/>
      <c r="L65" s="85"/>
      <c r="M65" s="85"/>
      <c r="N65" s="85"/>
      <c r="O65" s="118">
        <f>((IFERROR((C65*D65*E65),0)+IFERROR((G65*H65*I65),0)+IFERROR((K65*L65*M65),0))/1000000)*35.32</f>
        <v>4.5075384000000005</v>
      </c>
      <c r="P65" s="125">
        <f>Table13[[#This Row],[Column15]]*$P$2*1000</f>
        <v>27045.2304</v>
      </c>
      <c r="Q65" s="87">
        <f>F65+J65+N65</f>
        <v>67765</v>
      </c>
      <c r="R65" s="86">
        <f>MAX(Q65,O65)</f>
        <v>67765</v>
      </c>
      <c r="S65" s="86">
        <f>MAX(R65,P65)</f>
        <v>67765</v>
      </c>
      <c r="T65" s="156" t="str">
        <f>VLOOKUP(A65,'[1]MTP SKUs - Master Data'!$A:$B,2,FALSE)</f>
        <v>Y</v>
      </c>
      <c r="U65" s="162">
        <f>_xlfn.IFNA(VLOOKUP(Table13[[#This Row],[MTP SKU Code]],'Audit Dimensions'!A:N,6,FALSE),"ARC")</f>
        <v>43600</v>
      </c>
      <c r="V65" s="162">
        <f>IFERROR(Table13[[#This Row],[B1.Aud]]-Table13[[#This Row],[PW(gm)]],"ERR")</f>
        <v>380</v>
      </c>
      <c r="W65" s="165">
        <f>IFERROR(Table13[[#This Row],[B1.Diff]]/Table13[[#This Row],[B1.Aud]],"ERR")</f>
        <v>8.7155963302752298E-3</v>
      </c>
      <c r="X65" s="162">
        <f>_xlfn.IFNA(VLOOKUP(Table13[[#This Row],[MTP SKU Code]],'Audit Dimensions'!A:N,10,FALSE),"ARC")</f>
        <v>24330</v>
      </c>
      <c r="Y65" s="163">
        <f>IFERROR(Table13[[#This Row],[B2.Aud]]-Table13[[#This Row],[PW(gm)5]],"ERR")</f>
        <v>-215</v>
      </c>
      <c r="Z65" s="165">
        <f>IFERROR(Table13[[#This Row],[B2.Diff]]/Table13[[#This Row],[B2.Aud]],"ERR")</f>
        <v>-8.8368269625976169E-3</v>
      </c>
      <c r="AA65" s="162">
        <f>_xlfn.IFNA(VLOOKUP(Table13[[#This Row],[MTP SKU Code]],'Audit Dimensions'!A:N,14,FALSE),"ARC")</f>
        <v>0</v>
      </c>
      <c r="AB65" s="161">
        <f>IFERROR(Table13[[#This Row],[B3.Aud]]-Table13[[#This Row],[PW(gm)9]],"ERR")</f>
        <v>0</v>
      </c>
      <c r="AC65" s="168">
        <f>IFERROR(Table13[[#This Row],[B3.Diff]]/Table13[[#This Row],[BaLL.Aud]],"ERR")</f>
        <v>0</v>
      </c>
      <c r="AD65" s="189">
        <f>_xlfn.IFNA(VLOOKUP(Table13[[#This Row],[MTP SKU Code]],'Audit Dimensions'!A:U,16,FALSE),"ARC")</f>
        <v>67930</v>
      </c>
      <c r="AE65" s="165">
        <f>IFERROR(1-Table13[[#This Row],[Gms]]/Table13[[#This Row],[BaLL.Aud]],"ERR")</f>
        <v>2.4289709995584108E-3</v>
      </c>
    </row>
    <row r="66" spans="1:31">
      <c r="A66" s="68" t="s">
        <v>132</v>
      </c>
      <c r="B66" s="84" t="s">
        <v>74</v>
      </c>
      <c r="C66" s="85">
        <v>204</v>
      </c>
      <c r="D66" s="85">
        <v>39</v>
      </c>
      <c r="E66" s="85">
        <v>6</v>
      </c>
      <c r="F66" s="89">
        <v>26800</v>
      </c>
      <c r="G66" s="85">
        <v>190</v>
      </c>
      <c r="H66" s="85">
        <v>80</v>
      </c>
      <c r="I66" s="85">
        <v>6</v>
      </c>
      <c r="J66" s="85">
        <v>32100</v>
      </c>
      <c r="K66" s="85">
        <v>107</v>
      </c>
      <c r="L66" s="85">
        <v>96</v>
      </c>
      <c r="M66" s="85">
        <v>7</v>
      </c>
      <c r="N66" s="85">
        <v>40400</v>
      </c>
      <c r="O66" s="118">
        <f>((IFERROR((C66*D66*E66),0)+IFERROR((G66*H66*I66),0)+IFERROR((K66*L66*M66),0))/1000000)*35.32</f>
        <v>7.4468687999999998</v>
      </c>
      <c r="P66" s="125">
        <f>Table13[[#This Row],[Column15]]*$P$2*1000</f>
        <v>44681.212799999994</v>
      </c>
      <c r="Q66" s="87">
        <f>F66+J66+N66</f>
        <v>99300</v>
      </c>
      <c r="R66" s="86">
        <f>MAX(Q66,O66)</f>
        <v>99300</v>
      </c>
      <c r="S66" s="86">
        <f>MAX(R66,P66)</f>
        <v>99300</v>
      </c>
      <c r="T66" s="156" t="str">
        <f>VLOOKUP(A66,'[1]MTP SKUs - Master Data'!$A:$B,2,FALSE)</f>
        <v>Y</v>
      </c>
      <c r="U66" s="162">
        <f>_xlfn.IFNA(VLOOKUP(Table13[[#This Row],[MTP SKU Code]],'Audit Dimensions'!A:N,6,FALSE),"ARC")</f>
        <v>27480</v>
      </c>
      <c r="V66" s="162">
        <f>IFERROR(Table13[[#This Row],[B1.Aud]]-Table13[[#This Row],[PW(gm)]],"ERR")</f>
        <v>680</v>
      </c>
      <c r="W66" s="165">
        <f>IFERROR(Table13[[#This Row],[B1.Diff]]/Table13[[#This Row],[B1.Aud]],"ERR")</f>
        <v>2.4745269286754003E-2</v>
      </c>
      <c r="X66" s="162">
        <f>_xlfn.IFNA(VLOOKUP(Table13[[#This Row],[MTP SKU Code]],'Audit Dimensions'!A:N,10,FALSE),"ARC")</f>
        <v>33500</v>
      </c>
      <c r="Y66" s="163">
        <f>IFERROR(Table13[[#This Row],[B2.Aud]]-Table13[[#This Row],[PW(gm)5]],"ERR")</f>
        <v>1400</v>
      </c>
      <c r="Z66" s="165">
        <f>IFERROR(Table13[[#This Row],[B2.Diff]]/Table13[[#This Row],[B2.Aud]],"ERR")</f>
        <v>4.1791044776119404E-2</v>
      </c>
      <c r="AA66" s="162">
        <f>_xlfn.IFNA(VLOOKUP(Table13[[#This Row],[MTP SKU Code]],'Audit Dimensions'!A:N,14,FALSE),"ARC")</f>
        <v>38600</v>
      </c>
      <c r="AB66" s="161">
        <f>IFERROR(Table13[[#This Row],[B3.Aud]]-Table13[[#This Row],[PW(gm)9]],"ERR")</f>
        <v>-1800</v>
      </c>
      <c r="AC66" s="168">
        <f>IFERROR(Table13[[#This Row],[B3.Diff]]/Table13[[#This Row],[BaLL.Aud]],"ERR")</f>
        <v>-1.8075918859208676E-2</v>
      </c>
      <c r="AD66" s="189">
        <f>_xlfn.IFNA(VLOOKUP(Table13[[#This Row],[MTP SKU Code]],'Audit Dimensions'!A:U,16,FALSE),"ARC")</f>
        <v>99580</v>
      </c>
      <c r="AE66" s="165">
        <f>IFERROR(1-Table13[[#This Row],[Gms]]/Table13[[#This Row],[BaLL.Aud]],"ERR")</f>
        <v>2.8118096003213466E-3</v>
      </c>
    </row>
    <row r="67" spans="1:31">
      <c r="A67" s="68" t="s">
        <v>73</v>
      </c>
      <c r="B67" s="84" t="s">
        <v>74</v>
      </c>
      <c r="C67" s="85">
        <v>205</v>
      </c>
      <c r="D67" s="85">
        <v>50</v>
      </c>
      <c r="E67" s="85">
        <v>8</v>
      </c>
      <c r="F67" s="89">
        <v>41950</v>
      </c>
      <c r="G67" s="85">
        <v>104</v>
      </c>
      <c r="H67" s="85">
        <v>84</v>
      </c>
      <c r="I67" s="85">
        <v>5</v>
      </c>
      <c r="J67" s="85">
        <v>23100</v>
      </c>
      <c r="K67" s="85"/>
      <c r="L67" s="85"/>
      <c r="M67" s="85"/>
      <c r="N67" s="85"/>
      <c r="O67" s="118">
        <f>((IFERROR((C67*D67*E67),0)+IFERROR((G67*H67*I67),0)+IFERROR((K67*L67*M67),0))/1000000)*35.32</f>
        <v>4.4390175999999997</v>
      </c>
      <c r="P67" s="125">
        <f>Table13[[#This Row],[Column15]]*$P$2*1000</f>
        <v>26634.105599999999</v>
      </c>
      <c r="Q67" s="87">
        <f>F67+J67+N67</f>
        <v>65050</v>
      </c>
      <c r="R67" s="86">
        <f>MAX(Q67,O67)</f>
        <v>65050</v>
      </c>
      <c r="S67" s="86">
        <f>MAX(R67,P67)</f>
        <v>65050</v>
      </c>
      <c r="T67" s="156" t="str">
        <f>VLOOKUP(A67,'[1]MTP SKUs - Master Data'!$A:$B,2,FALSE)</f>
        <v>Y</v>
      </c>
      <c r="U67" s="162">
        <f>_xlfn.IFNA(VLOOKUP(Table13[[#This Row],[MTP SKU Code]],'Audit Dimensions'!A:N,6,FALSE),"ARC")</f>
        <v>41430</v>
      </c>
      <c r="V67" s="162">
        <f>IFERROR(Table13[[#This Row],[B1.Aud]]-Table13[[#This Row],[PW(gm)]],"ERR")</f>
        <v>-520</v>
      </c>
      <c r="W67" s="165">
        <f>IFERROR(Table13[[#This Row],[B1.Diff]]/Table13[[#This Row],[B1.Aud]],"ERR")</f>
        <v>-1.2551291334781559E-2</v>
      </c>
      <c r="X67" s="162">
        <f>_xlfn.IFNA(VLOOKUP(Table13[[#This Row],[MTP SKU Code]],'Audit Dimensions'!A:N,10,FALSE),"ARC")</f>
        <v>23820</v>
      </c>
      <c r="Y67" s="163">
        <f>IFERROR(Table13[[#This Row],[B2.Aud]]-Table13[[#This Row],[PW(gm)5]],"ERR")</f>
        <v>720</v>
      </c>
      <c r="Z67" s="165">
        <f>IFERROR(Table13[[#This Row],[B2.Diff]]/Table13[[#This Row],[B2.Aud]],"ERR")</f>
        <v>3.0226700251889168E-2</v>
      </c>
      <c r="AA67" s="162">
        <f>_xlfn.IFNA(VLOOKUP(Table13[[#This Row],[MTP SKU Code]],'Audit Dimensions'!A:N,14,FALSE),"ARC")</f>
        <v>0</v>
      </c>
      <c r="AB67" s="161">
        <f>IFERROR(Table13[[#This Row],[B3.Aud]]-Table13[[#This Row],[PW(gm)9]],"ERR")</f>
        <v>0</v>
      </c>
      <c r="AC67" s="168">
        <f>IFERROR(Table13[[#This Row],[B3.Diff]]/Table13[[#This Row],[BaLL.Aud]],"ERR")</f>
        <v>0</v>
      </c>
      <c r="AD67" s="189">
        <f>_xlfn.IFNA(VLOOKUP(Table13[[#This Row],[MTP SKU Code]],'Audit Dimensions'!A:U,16,FALSE),"ARC")</f>
        <v>65250</v>
      </c>
      <c r="AE67" s="165">
        <f>IFERROR(1-Table13[[#This Row],[Gms]]/Table13[[#This Row],[BaLL.Aud]],"ERR")</f>
        <v>3.0651340996168397E-3</v>
      </c>
    </row>
    <row r="68" spans="1:31">
      <c r="A68" s="68" t="s">
        <v>254</v>
      </c>
      <c r="B68" s="84" t="s">
        <v>48</v>
      </c>
      <c r="C68" s="85">
        <v>111</v>
      </c>
      <c r="D68" s="85">
        <v>48</v>
      </c>
      <c r="E68" s="85">
        <v>10</v>
      </c>
      <c r="F68" s="89">
        <v>20500</v>
      </c>
      <c r="G68" s="85"/>
      <c r="H68" s="85"/>
      <c r="I68" s="85"/>
      <c r="J68" s="85"/>
      <c r="K68" s="85"/>
      <c r="L68" s="85"/>
      <c r="M68" s="85"/>
      <c r="N68" s="85"/>
      <c r="O68" s="118">
        <f>((IFERROR((C68*D68*E68),0)+IFERROR((G68*H68*I68),0)+IFERROR((K68*L68*M68),0))/1000000)*35.32</f>
        <v>1.8818496</v>
      </c>
      <c r="P68" s="125">
        <f>Table13[[#This Row],[Column15]]*$P$2*1000</f>
        <v>11291.097600000001</v>
      </c>
      <c r="Q68" s="87">
        <f>F68+J68+N68</f>
        <v>20500</v>
      </c>
      <c r="R68" s="86">
        <f>MAX(Q68,O68)</f>
        <v>20500</v>
      </c>
      <c r="S68" s="86">
        <f>MAX(R68,P68)</f>
        <v>20500</v>
      </c>
      <c r="T68" s="156" t="str">
        <f>VLOOKUP(A68,'[1]MTP SKUs - Master Data'!$A:$B,2,FALSE)</f>
        <v>Y</v>
      </c>
      <c r="U68" s="162">
        <f>_xlfn.IFNA(VLOOKUP(Table13[[#This Row],[MTP SKU Code]],'Audit Dimensions'!A:N,6,FALSE),"ARC")</f>
        <v>20580</v>
      </c>
      <c r="V68" s="162">
        <f>IFERROR(Table13[[#This Row],[B1.Aud]]-Table13[[#This Row],[PW(gm)]],"ERR")</f>
        <v>80</v>
      </c>
      <c r="W68" s="165">
        <f>IFERROR(Table13[[#This Row],[B1.Diff]]/Table13[[#This Row],[B1.Aud]],"ERR")</f>
        <v>3.8872691933916422E-3</v>
      </c>
      <c r="X68" s="162">
        <f>_xlfn.IFNA(VLOOKUP(Table13[[#This Row],[MTP SKU Code]],'Audit Dimensions'!A:N,10,FALSE),"ARC")</f>
        <v>0</v>
      </c>
      <c r="Y68" s="163">
        <f>IFERROR(Table13[[#This Row],[B2.Aud]]-Table13[[#This Row],[PW(gm)5]],"ERR")</f>
        <v>0</v>
      </c>
      <c r="Z68" s="165" t="str">
        <f>IFERROR(Table13[[#This Row],[B2.Diff]]/Table13[[#This Row],[B2.Aud]],"ERR")</f>
        <v>ERR</v>
      </c>
      <c r="AA68" s="162">
        <f>_xlfn.IFNA(VLOOKUP(Table13[[#This Row],[MTP SKU Code]],'Audit Dimensions'!A:N,14,FALSE),"ARC")</f>
        <v>0</v>
      </c>
      <c r="AB68" s="161">
        <f>IFERROR(Table13[[#This Row],[B3.Aud]]-Table13[[#This Row],[PW(gm)9]],"ERR")</f>
        <v>0</v>
      </c>
      <c r="AC68" s="168">
        <f>IFERROR(Table13[[#This Row],[B3.Diff]]/Table13[[#This Row],[BaLL.Aud]],"ERR")</f>
        <v>0</v>
      </c>
      <c r="AD68" s="189">
        <f>_xlfn.IFNA(VLOOKUP(Table13[[#This Row],[MTP SKU Code]],'Audit Dimensions'!A:U,16,FALSE),"ARC")</f>
        <v>20580</v>
      </c>
      <c r="AE68" s="165">
        <f>IFERROR(1-Table13[[#This Row],[Gms]]/Table13[[#This Row],[BaLL.Aud]],"ERR")</f>
        <v>3.8872691933916625E-3</v>
      </c>
    </row>
    <row r="69" spans="1:31">
      <c r="A69" s="68" t="s">
        <v>76</v>
      </c>
      <c r="B69" s="84" t="s">
        <v>74</v>
      </c>
      <c r="C69" s="85">
        <v>204</v>
      </c>
      <c r="D69" s="85">
        <v>39</v>
      </c>
      <c r="E69" s="85">
        <v>7</v>
      </c>
      <c r="F69" s="89">
        <v>25770</v>
      </c>
      <c r="G69" s="85">
        <v>162</v>
      </c>
      <c r="H69" s="85">
        <v>81</v>
      </c>
      <c r="I69" s="85">
        <v>5</v>
      </c>
      <c r="J69" s="85">
        <v>28000</v>
      </c>
      <c r="K69" s="85">
        <v>104</v>
      </c>
      <c r="L69" s="85">
        <v>80</v>
      </c>
      <c r="M69" s="85">
        <v>7</v>
      </c>
      <c r="N69" s="85">
        <v>35000</v>
      </c>
      <c r="O69" s="118">
        <f>((IFERROR((C69*D69*E69),0)+IFERROR((G69*H69*I69),0)+IFERROR((K69*L69*M69),0))/1000000)*35.32</f>
        <v>6.3414234400000007</v>
      </c>
      <c r="P69" s="125">
        <f>Table13[[#This Row],[Column15]]*$P$2*1000</f>
        <v>38048.540640000007</v>
      </c>
      <c r="Q69" s="87">
        <f>F69+J69+N69</f>
        <v>88770</v>
      </c>
      <c r="R69" s="86">
        <f>MAX(Q69,O69)</f>
        <v>88770</v>
      </c>
      <c r="S69" s="86">
        <f>MAX(R69,P69)</f>
        <v>88770</v>
      </c>
      <c r="T69" s="156" t="str">
        <f>VLOOKUP(A69,'[1]MTP SKUs - Master Data'!$A:$B,2,FALSE)</f>
        <v>Y</v>
      </c>
      <c r="U69" s="162">
        <f>_xlfn.IFNA(VLOOKUP(Table13[[#This Row],[MTP SKU Code]],'Audit Dimensions'!A:N,6,FALSE),"ARC")</f>
        <v>28400</v>
      </c>
      <c r="V69" s="162">
        <f>IFERROR(Table13[[#This Row],[B1.Aud]]-Table13[[#This Row],[PW(gm)]],"ERR")</f>
        <v>2630</v>
      </c>
      <c r="W69" s="165">
        <f>IFERROR(Table13[[#This Row],[B1.Diff]]/Table13[[#This Row],[B1.Aud]],"ERR")</f>
        <v>9.2605633802816903E-2</v>
      </c>
      <c r="X69" s="162">
        <f>_xlfn.IFNA(VLOOKUP(Table13[[#This Row],[MTP SKU Code]],'Audit Dimensions'!A:N,10,FALSE),"ARC")</f>
        <v>27300</v>
      </c>
      <c r="Y69" s="163">
        <f>IFERROR(Table13[[#This Row],[B2.Aud]]-Table13[[#This Row],[PW(gm)5]],"ERR")</f>
        <v>-700</v>
      </c>
      <c r="Z69" s="165">
        <f>IFERROR(Table13[[#This Row],[B2.Diff]]/Table13[[#This Row],[B2.Aud]],"ERR")</f>
        <v>-2.564102564102564E-2</v>
      </c>
      <c r="AA69" s="162">
        <f>_xlfn.IFNA(VLOOKUP(Table13[[#This Row],[MTP SKU Code]],'Audit Dimensions'!A:N,14,FALSE),"ARC")</f>
        <v>33540</v>
      </c>
      <c r="AB69" s="161">
        <f>IFERROR(Table13[[#This Row],[B3.Aud]]-Table13[[#This Row],[PW(gm)9]],"ERR")</f>
        <v>-1460</v>
      </c>
      <c r="AC69" s="168">
        <f>IFERROR(Table13[[#This Row],[B3.Diff]]/Table13[[#This Row],[BaLL.Aud]],"ERR")</f>
        <v>-1.6360376512774541E-2</v>
      </c>
      <c r="AD69" s="189">
        <f>_xlfn.IFNA(VLOOKUP(Table13[[#This Row],[MTP SKU Code]],'Audit Dimensions'!A:U,16,FALSE),"ARC")</f>
        <v>89240</v>
      </c>
      <c r="AE69" s="165">
        <f>IFERROR(1-Table13[[#This Row],[Gms]]/Table13[[#This Row],[BaLL.Aud]],"ERR")</f>
        <v>5.2666965486328765E-3</v>
      </c>
    </row>
    <row r="70" spans="1:31">
      <c r="A70" s="68" t="s">
        <v>201</v>
      </c>
      <c r="B70" s="84" t="s">
        <v>48</v>
      </c>
      <c r="C70" s="84">
        <v>82</v>
      </c>
      <c r="D70" s="85">
        <v>42</v>
      </c>
      <c r="E70" s="85">
        <v>11</v>
      </c>
      <c r="F70" s="89">
        <v>13200</v>
      </c>
      <c r="G70" s="85"/>
      <c r="H70" s="85"/>
      <c r="I70" s="85"/>
      <c r="J70" s="85"/>
      <c r="K70" s="85"/>
      <c r="L70" s="85"/>
      <c r="M70" s="85"/>
      <c r="N70" s="85"/>
      <c r="O70" s="118">
        <f>((IFERROR((C70*D70*E70),0)+IFERROR((G70*H70*I70),0)+IFERROR((K70*L70*M70),0))/1000000)*35.32</f>
        <v>1.3380628800000001</v>
      </c>
      <c r="P70" s="125">
        <f>Table13[[#This Row],[Column15]]*$P$2*1000</f>
        <v>8028.3772800000006</v>
      </c>
      <c r="Q70" s="87">
        <f>F70+J70+N70</f>
        <v>13200</v>
      </c>
      <c r="R70" s="88">
        <f>MAX(Q70,O70)</f>
        <v>13200</v>
      </c>
      <c r="S70" s="86">
        <f>MAX(R70,P70)</f>
        <v>13200</v>
      </c>
      <c r="T70" s="156" t="str">
        <f>VLOOKUP(A70,'[1]MTP SKUs - Master Data'!$A:$B,2,FALSE)</f>
        <v>Y</v>
      </c>
      <c r="U70" s="162">
        <f>_xlfn.IFNA(VLOOKUP(Table13[[#This Row],[MTP SKU Code]],'Audit Dimensions'!A:N,6,FALSE),"ARC")</f>
        <v>13270</v>
      </c>
      <c r="V70" s="162">
        <f>IFERROR(Table13[[#This Row],[B1.Aud]]-Table13[[#This Row],[PW(gm)]],"ERR")</f>
        <v>70</v>
      </c>
      <c r="W70" s="165">
        <f>IFERROR(Table13[[#This Row],[B1.Diff]]/Table13[[#This Row],[B1.Aud]],"ERR")</f>
        <v>5.2750565184626974E-3</v>
      </c>
      <c r="X70" s="162">
        <f>_xlfn.IFNA(VLOOKUP(Table13[[#This Row],[MTP SKU Code]],'Audit Dimensions'!A:N,10,FALSE),"ARC")</f>
        <v>0</v>
      </c>
      <c r="Y70" s="163">
        <f>IFERROR(Table13[[#This Row],[B2.Aud]]-Table13[[#This Row],[PW(gm)5]],"ERR")</f>
        <v>0</v>
      </c>
      <c r="Z70" s="165" t="str">
        <f>IFERROR(Table13[[#This Row],[B2.Diff]]/Table13[[#This Row],[B2.Aud]],"ERR")</f>
        <v>ERR</v>
      </c>
      <c r="AA70" s="162">
        <f>_xlfn.IFNA(VLOOKUP(Table13[[#This Row],[MTP SKU Code]],'Audit Dimensions'!A:N,14,FALSE),"ARC")</f>
        <v>0</v>
      </c>
      <c r="AB70" s="161">
        <f>IFERROR(Table13[[#This Row],[B3.Aud]]-Table13[[#This Row],[PW(gm)9]],"ERR")</f>
        <v>0</v>
      </c>
      <c r="AC70" s="168">
        <f>IFERROR(Table13[[#This Row],[B3.Diff]]/Table13[[#This Row],[BaLL.Aud]],"ERR")</f>
        <v>0</v>
      </c>
      <c r="AD70" s="189">
        <f>_xlfn.IFNA(VLOOKUP(Table13[[#This Row],[MTP SKU Code]],'Audit Dimensions'!A:U,16,FALSE),"ARC")</f>
        <v>13270</v>
      </c>
      <c r="AE70" s="165">
        <f>IFERROR(1-Table13[[#This Row],[Gms]]/Table13[[#This Row],[BaLL.Aud]],"ERR")</f>
        <v>5.2750565184627174E-3</v>
      </c>
    </row>
    <row r="71" spans="1:31">
      <c r="A71" s="68" t="s">
        <v>94</v>
      </c>
      <c r="B71" s="84" t="s">
        <v>74</v>
      </c>
      <c r="C71" s="85">
        <v>130</v>
      </c>
      <c r="D71" s="85">
        <v>54</v>
      </c>
      <c r="E71" s="85">
        <v>9</v>
      </c>
      <c r="F71" s="89">
        <v>29140</v>
      </c>
      <c r="G71" s="85">
        <v>182</v>
      </c>
      <c r="H71" s="85">
        <v>49</v>
      </c>
      <c r="I71" s="85">
        <v>10</v>
      </c>
      <c r="J71" s="85">
        <v>40230</v>
      </c>
      <c r="K71" s="85">
        <v>188</v>
      </c>
      <c r="L71" s="85">
        <v>51</v>
      </c>
      <c r="M71" s="85">
        <v>8</v>
      </c>
      <c r="N71" s="85">
        <v>35650</v>
      </c>
      <c r="O71" s="118">
        <f>((IFERROR((C71*D71*E71),0)+IFERROR((G71*H71*I71),0)+IFERROR((K71*L71*M71),0))/1000000)*35.32</f>
        <v>8.0905404799999996</v>
      </c>
      <c r="P71" s="125">
        <f>Table13[[#This Row],[Column15]]*$P$2*1000</f>
        <v>48543.242879999991</v>
      </c>
      <c r="Q71" s="87">
        <f>F71+J71+N71</f>
        <v>105020</v>
      </c>
      <c r="R71" s="86">
        <f>MAX(Q71,O71)</f>
        <v>105020</v>
      </c>
      <c r="S71" s="86">
        <f>MAX(R71,P71)</f>
        <v>105020</v>
      </c>
      <c r="T71" s="156" t="str">
        <f>VLOOKUP(A71,'[1]MTP SKUs - Master Data'!$A:$B,2,FALSE)</f>
        <v>Y</v>
      </c>
      <c r="U71" s="162">
        <f>_xlfn.IFNA(VLOOKUP(Table13[[#This Row],[MTP SKU Code]],'Audit Dimensions'!A:N,6,FALSE),"ARC")</f>
        <v>29170</v>
      </c>
      <c r="V71" s="162">
        <f>IFERROR(Table13[[#This Row],[B1.Aud]]-Table13[[#This Row],[PW(gm)]],"ERR")</f>
        <v>30</v>
      </c>
      <c r="W71" s="165">
        <f>IFERROR(Table13[[#This Row],[B1.Diff]]/Table13[[#This Row],[B1.Aud]],"ERR")</f>
        <v>1.0284538909838875E-3</v>
      </c>
      <c r="X71" s="162">
        <f>_xlfn.IFNA(VLOOKUP(Table13[[#This Row],[MTP SKU Code]],'Audit Dimensions'!A:N,10,FALSE),"ARC")</f>
        <v>39000</v>
      </c>
      <c r="Y71" s="163">
        <f>IFERROR(Table13[[#This Row],[B2.Aud]]-Table13[[#This Row],[PW(gm)5]],"ERR")</f>
        <v>-1230</v>
      </c>
      <c r="Z71" s="165">
        <f>IFERROR(Table13[[#This Row],[B2.Diff]]/Table13[[#This Row],[B2.Aud]],"ERR")</f>
        <v>-3.1538461538461536E-2</v>
      </c>
      <c r="AA71" s="162">
        <f>_xlfn.IFNA(VLOOKUP(Table13[[#This Row],[MTP SKU Code]],'Audit Dimensions'!A:N,14,FALSE),"ARC")</f>
        <v>37600</v>
      </c>
      <c r="AB71" s="161">
        <f>IFERROR(Table13[[#This Row],[B3.Aud]]-Table13[[#This Row],[PW(gm)9]],"ERR")</f>
        <v>1950</v>
      </c>
      <c r="AC71" s="168">
        <f>IFERROR(Table13[[#This Row],[B3.Diff]]/Table13[[#This Row],[BaLL.Aud]],"ERR")</f>
        <v>1.8436229554694147E-2</v>
      </c>
      <c r="AD71" s="189">
        <f>_xlfn.IFNA(VLOOKUP(Table13[[#This Row],[MTP SKU Code]],'Audit Dimensions'!A:U,16,FALSE),"ARC")</f>
        <v>105770</v>
      </c>
      <c r="AE71" s="165">
        <f>IFERROR(1-Table13[[#This Row],[Gms]]/Table13[[#This Row],[BaLL.Aud]],"ERR")</f>
        <v>7.0908575210362201E-3</v>
      </c>
    </row>
    <row r="72" spans="1:31">
      <c r="A72" s="90" t="s">
        <v>83</v>
      </c>
      <c r="B72" s="84" t="s">
        <v>48</v>
      </c>
      <c r="C72" s="85">
        <v>185</v>
      </c>
      <c r="D72" s="85">
        <v>50</v>
      </c>
      <c r="E72" s="85">
        <v>9</v>
      </c>
      <c r="F72" s="89">
        <v>45000</v>
      </c>
      <c r="G72" s="85"/>
      <c r="H72" s="85"/>
      <c r="I72" s="85"/>
      <c r="J72" s="85"/>
      <c r="K72" s="85"/>
      <c r="L72" s="85"/>
      <c r="M72" s="85"/>
      <c r="N72" s="85"/>
      <c r="O72" s="118">
        <f>((IFERROR((C72*D72*E72),0)+IFERROR((G72*H72*I72),0)+IFERROR((K72*L72*M72),0))/1000000)*35.32</f>
        <v>2.9403900000000003</v>
      </c>
      <c r="P72" s="125">
        <f>Table13[[#This Row],[Column15]]*$P$2*1000</f>
        <v>17642.34</v>
      </c>
      <c r="Q72" s="87">
        <f>F72+J72+N72</f>
        <v>45000</v>
      </c>
      <c r="R72" s="86">
        <f>MAX(Q72,O72)</f>
        <v>45000</v>
      </c>
      <c r="S72" s="86">
        <f>MAX(R72,P72)</f>
        <v>45000</v>
      </c>
      <c r="T72" s="156" t="str">
        <f>VLOOKUP(A72,'[1]MTP SKUs - Master Data'!$A:$B,2,FALSE)</f>
        <v>Y</v>
      </c>
      <c r="U72" s="162">
        <f>_xlfn.IFNA(VLOOKUP(Table13[[#This Row],[MTP SKU Code]],'Audit Dimensions'!A:N,6,FALSE),"ARC")</f>
        <v>45330</v>
      </c>
      <c r="V72" s="162">
        <f>IFERROR(Table13[[#This Row],[B1.Aud]]-Table13[[#This Row],[PW(gm)]],"ERR")</f>
        <v>330</v>
      </c>
      <c r="W72" s="165">
        <f>IFERROR(Table13[[#This Row],[B1.Diff]]/Table13[[#This Row],[B1.Aud]],"ERR")</f>
        <v>7.2799470549305099E-3</v>
      </c>
      <c r="X72" s="162">
        <f>_xlfn.IFNA(VLOOKUP(Table13[[#This Row],[MTP SKU Code]],'Audit Dimensions'!A:N,10,FALSE),"ARC")</f>
        <v>0</v>
      </c>
      <c r="Y72" s="163">
        <f>IFERROR(Table13[[#This Row],[B2.Aud]]-Table13[[#This Row],[PW(gm)5]],"ERR")</f>
        <v>0</v>
      </c>
      <c r="Z72" s="165" t="str">
        <f>IFERROR(Table13[[#This Row],[B2.Diff]]/Table13[[#This Row],[B2.Aud]],"ERR")</f>
        <v>ERR</v>
      </c>
      <c r="AA72" s="162">
        <f>_xlfn.IFNA(VLOOKUP(Table13[[#This Row],[MTP SKU Code]],'Audit Dimensions'!A:N,14,FALSE),"ARC")</f>
        <v>0</v>
      </c>
      <c r="AB72" s="161">
        <f>IFERROR(Table13[[#This Row],[B3.Aud]]-Table13[[#This Row],[PW(gm)9]],"ERR")</f>
        <v>0</v>
      </c>
      <c r="AC72" s="168">
        <f>IFERROR(Table13[[#This Row],[B3.Diff]]/Table13[[#This Row],[BaLL.Aud]],"ERR")</f>
        <v>0</v>
      </c>
      <c r="AD72" s="189">
        <f>_xlfn.IFNA(VLOOKUP(Table13[[#This Row],[MTP SKU Code]],'Audit Dimensions'!A:U,16,FALSE),"ARC")</f>
        <v>45330</v>
      </c>
      <c r="AE72" s="165">
        <f>IFERROR(1-Table13[[#This Row],[Gms]]/Table13[[#This Row],[BaLL.Aud]],"ERR")</f>
        <v>7.2799470549305134E-3</v>
      </c>
    </row>
    <row r="73" spans="1:31" ht="12.75" customHeight="1">
      <c r="A73" s="68" t="s">
        <v>91</v>
      </c>
      <c r="B73" s="84" t="s">
        <v>48</v>
      </c>
      <c r="C73" s="85">
        <v>160</v>
      </c>
      <c r="D73" s="85">
        <v>34</v>
      </c>
      <c r="E73" s="85">
        <v>10</v>
      </c>
      <c r="F73" s="89">
        <v>25790</v>
      </c>
      <c r="G73" s="85"/>
      <c r="H73" s="85"/>
      <c r="I73" s="85"/>
      <c r="J73" s="85"/>
      <c r="K73" s="85"/>
      <c r="L73" s="85"/>
      <c r="M73" s="85"/>
      <c r="N73" s="85"/>
      <c r="O73" s="118">
        <f>((IFERROR((C73*D73*E73),0)+IFERROR((G73*H73*I73),0)+IFERROR((K73*L73*M73),0))/1000000)*35.32</f>
        <v>1.921408</v>
      </c>
      <c r="P73" s="125">
        <f>Table13[[#This Row],[Column15]]*$P$2*1000</f>
        <v>11528.448</v>
      </c>
      <c r="Q73" s="87">
        <f>F73+J73+N73</f>
        <v>25790</v>
      </c>
      <c r="R73" s="86">
        <f>MAX(Q73,O73)</f>
        <v>25790</v>
      </c>
      <c r="S73" s="86">
        <f>MAX(R73,P73)</f>
        <v>25790</v>
      </c>
      <c r="T73" s="156" t="str">
        <f>VLOOKUP(A73,'[1]MTP SKUs - Master Data'!$A:$B,2,FALSE)</f>
        <v>Y</v>
      </c>
      <c r="U73" s="162">
        <f>_xlfn.IFNA(VLOOKUP(Table13[[#This Row],[MTP SKU Code]],'Audit Dimensions'!A:N,6,FALSE),"ARC")</f>
        <v>26000</v>
      </c>
      <c r="V73" s="162">
        <f>IFERROR(Table13[[#This Row],[B1.Aud]]-Table13[[#This Row],[PW(gm)]],"ERR")</f>
        <v>210</v>
      </c>
      <c r="W73" s="165">
        <f>IFERROR(Table13[[#This Row],[B1.Diff]]/Table13[[#This Row],[B1.Aud]],"ERR")</f>
        <v>8.076923076923077E-3</v>
      </c>
      <c r="X73" s="162">
        <f>_xlfn.IFNA(VLOOKUP(Table13[[#This Row],[MTP SKU Code]],'Audit Dimensions'!A:N,10,FALSE),"ARC")</f>
        <v>0</v>
      </c>
      <c r="Y73" s="163">
        <f>IFERROR(Table13[[#This Row],[B2.Aud]]-Table13[[#This Row],[PW(gm)5]],"ERR")</f>
        <v>0</v>
      </c>
      <c r="Z73" s="165" t="str">
        <f>IFERROR(Table13[[#This Row],[B2.Diff]]/Table13[[#This Row],[B2.Aud]],"ERR")</f>
        <v>ERR</v>
      </c>
      <c r="AA73" s="162">
        <f>_xlfn.IFNA(VLOOKUP(Table13[[#This Row],[MTP SKU Code]],'Audit Dimensions'!A:N,14,FALSE),"ARC")</f>
        <v>0</v>
      </c>
      <c r="AB73" s="161">
        <f>IFERROR(Table13[[#This Row],[B3.Aud]]-Table13[[#This Row],[PW(gm)9]],"ERR")</f>
        <v>0</v>
      </c>
      <c r="AC73" s="168">
        <f>IFERROR(Table13[[#This Row],[B3.Diff]]/Table13[[#This Row],[BaLL.Aud]],"ERR")</f>
        <v>0</v>
      </c>
      <c r="AD73" s="189">
        <f>_xlfn.IFNA(VLOOKUP(Table13[[#This Row],[MTP SKU Code]],'Audit Dimensions'!A:U,16,FALSE),"ARC")</f>
        <v>26000</v>
      </c>
      <c r="AE73" s="165">
        <f>IFERROR(1-Table13[[#This Row],[Gms]]/Table13[[#This Row],[BaLL.Aud]],"ERR")</f>
        <v>8.0769230769230926E-3</v>
      </c>
    </row>
    <row r="74" spans="1:31">
      <c r="A74" s="68" t="s">
        <v>156</v>
      </c>
      <c r="B74" s="84" t="s">
        <v>48</v>
      </c>
      <c r="C74" s="85">
        <v>158</v>
      </c>
      <c r="D74" s="85">
        <v>45</v>
      </c>
      <c r="E74" s="85">
        <v>13</v>
      </c>
      <c r="F74" s="89">
        <v>42600</v>
      </c>
      <c r="G74" s="85"/>
      <c r="H74" s="85"/>
      <c r="I74" s="85"/>
      <c r="J74" s="85"/>
      <c r="K74" s="85"/>
      <c r="L74" s="85"/>
      <c r="M74" s="85"/>
      <c r="N74" s="85"/>
      <c r="O74" s="118">
        <f>((IFERROR((C74*D74*E74),0)+IFERROR((G74*H74*I74),0)+IFERROR((K74*L74*M74),0))/1000000)*35.32</f>
        <v>3.2646275999999999</v>
      </c>
      <c r="P74" s="125">
        <f>Table13[[#This Row],[Column15]]*$P$2*1000</f>
        <v>19587.765599999999</v>
      </c>
      <c r="Q74" s="87">
        <f>F74+J74+N74</f>
        <v>42600</v>
      </c>
      <c r="R74" s="86">
        <f>MAX(Q74,O74)</f>
        <v>42600</v>
      </c>
      <c r="S74" s="86">
        <f>MAX(R74,P74)</f>
        <v>42600</v>
      </c>
      <c r="T74" s="156" t="str">
        <f>VLOOKUP(A74,'[1]MTP SKUs - Master Data'!$A:$B,2,FALSE)</f>
        <v>Y</v>
      </c>
      <c r="U74" s="162">
        <f>_xlfn.IFNA(VLOOKUP(Table13[[#This Row],[MTP SKU Code]],'Audit Dimensions'!A:N,6,FALSE),"ARC")</f>
        <v>42950</v>
      </c>
      <c r="V74" s="162">
        <f>IFERROR(Table13[[#This Row],[B1.Aud]]-Table13[[#This Row],[PW(gm)]],"ERR")</f>
        <v>350</v>
      </c>
      <c r="W74" s="165">
        <f>IFERROR(Table13[[#This Row],[B1.Diff]]/Table13[[#This Row],[B1.Aud]],"ERR")</f>
        <v>8.1490104772991845E-3</v>
      </c>
      <c r="X74" s="162">
        <f>_xlfn.IFNA(VLOOKUP(Table13[[#This Row],[MTP SKU Code]],'Audit Dimensions'!A:N,10,FALSE),"ARC")</f>
        <v>0</v>
      </c>
      <c r="Y74" s="163">
        <f>IFERROR(Table13[[#This Row],[B2.Aud]]-Table13[[#This Row],[PW(gm)5]],"ERR")</f>
        <v>0</v>
      </c>
      <c r="Z74" s="165" t="str">
        <f>IFERROR(Table13[[#This Row],[B2.Diff]]/Table13[[#This Row],[B2.Aud]],"ERR")</f>
        <v>ERR</v>
      </c>
      <c r="AA74" s="162">
        <f>_xlfn.IFNA(VLOOKUP(Table13[[#This Row],[MTP SKU Code]],'Audit Dimensions'!A:N,14,FALSE),"ARC")</f>
        <v>0</v>
      </c>
      <c r="AB74" s="161">
        <f>IFERROR(Table13[[#This Row],[B3.Aud]]-Table13[[#This Row],[PW(gm)9]],"ERR")</f>
        <v>0</v>
      </c>
      <c r="AC74" s="168">
        <f>IFERROR(Table13[[#This Row],[B3.Diff]]/Table13[[#This Row],[BaLL.Aud]],"ERR")</f>
        <v>0</v>
      </c>
      <c r="AD74" s="189">
        <f>_xlfn.IFNA(VLOOKUP(Table13[[#This Row],[MTP SKU Code]],'Audit Dimensions'!A:U,16,FALSE),"ARC")</f>
        <v>42950</v>
      </c>
      <c r="AE74" s="165">
        <f>IFERROR(1-Table13[[#This Row],[Gms]]/Table13[[#This Row],[BaLL.Aud]],"ERR")</f>
        <v>8.1490104772992122E-3</v>
      </c>
    </row>
    <row r="75" spans="1:31">
      <c r="A75" s="70" t="s">
        <v>65</v>
      </c>
      <c r="B75" s="84" t="s">
        <v>48</v>
      </c>
      <c r="C75" s="84">
        <v>56</v>
      </c>
      <c r="D75" s="85">
        <v>30</v>
      </c>
      <c r="E75" s="85">
        <v>11</v>
      </c>
      <c r="F75" s="89">
        <v>5700</v>
      </c>
      <c r="G75" s="85"/>
      <c r="H75" s="85"/>
      <c r="I75" s="85"/>
      <c r="J75" s="85"/>
      <c r="K75" s="85"/>
      <c r="L75" s="85"/>
      <c r="M75" s="85"/>
      <c r="N75" s="85"/>
      <c r="O75" s="118">
        <f>((IFERROR((C75*D75*E75),0)+IFERROR((G75*H75*I75),0)+IFERROR((K75*L75*M75),0))/1000000)*35.32</f>
        <v>0.6527136</v>
      </c>
      <c r="P75" s="125">
        <f>Table13[[#This Row],[Column15]]*$P$2*1000</f>
        <v>3916.2816000000003</v>
      </c>
      <c r="Q75" s="87">
        <f>F75+J75+N75</f>
        <v>5700</v>
      </c>
      <c r="R75" s="86">
        <f>MAX(Q75,O75)</f>
        <v>5700</v>
      </c>
      <c r="S75" s="86">
        <f>MAX(R75,P75)</f>
        <v>5700</v>
      </c>
      <c r="T75" s="156" t="str">
        <f>VLOOKUP(A75,'[1]MTP SKUs - Master Data'!$A:$B,2,FALSE)</f>
        <v>Y</v>
      </c>
      <c r="U75" s="162">
        <f>_xlfn.IFNA(VLOOKUP(Table13[[#This Row],[MTP SKU Code]],'Audit Dimensions'!A:N,6,FALSE),"ARC")</f>
        <v>5010</v>
      </c>
      <c r="V75" s="162">
        <f>IFERROR(Table13[[#This Row],[B1.Aud]]-Table13[[#This Row],[PW(gm)]],"ERR")</f>
        <v>-690</v>
      </c>
      <c r="W75" s="165">
        <f>IFERROR(Table13[[#This Row],[B1.Diff]]/Table13[[#This Row],[B1.Aud]],"ERR")</f>
        <v>-0.1377245508982036</v>
      </c>
      <c r="X75" s="162">
        <f>_xlfn.IFNA(VLOOKUP(Table13[[#This Row],[MTP SKU Code]],'Audit Dimensions'!A:N,10,FALSE),"ARC")</f>
        <v>0</v>
      </c>
      <c r="Y75" s="163">
        <f>IFERROR(Table13[[#This Row],[B2.Aud]]-Table13[[#This Row],[PW(gm)5]],"ERR")</f>
        <v>0</v>
      </c>
      <c r="Z75" s="165" t="str">
        <f>IFERROR(Table13[[#This Row],[B2.Diff]]/Table13[[#This Row],[B2.Aud]],"ERR")</f>
        <v>ERR</v>
      </c>
      <c r="AA75" s="162">
        <f>_xlfn.IFNA(VLOOKUP(Table13[[#This Row],[MTP SKU Code]],'Audit Dimensions'!A:N,14,FALSE),"ARC")</f>
        <v>0</v>
      </c>
      <c r="AB75" s="161">
        <f>IFERROR(Table13[[#This Row],[B3.Aud]]-Table13[[#This Row],[PW(gm)9]],"ERR")</f>
        <v>0</v>
      </c>
      <c r="AC75" s="168">
        <f>IFERROR(Table13[[#This Row],[B3.Diff]]/Table13[[#This Row],[BaLL.Aud]],"ERR")</f>
        <v>0</v>
      </c>
      <c r="AD75" s="189">
        <f>_xlfn.IFNA(VLOOKUP(Table13[[#This Row],[MTP SKU Code]],'Audit Dimensions'!A:U,16,FALSE),"ARC")</f>
        <v>5010</v>
      </c>
      <c r="AE75" s="165">
        <f>IFERROR(1-Table13[[#This Row],[Gms]]/Table13[[#This Row],[BaLL.Aud]],"ERR")</f>
        <v>-0.13772455089820368</v>
      </c>
    </row>
    <row r="76" spans="1:31" ht="12.75" customHeight="1">
      <c r="A76" s="68" t="s">
        <v>77</v>
      </c>
      <c r="B76" s="84" t="s">
        <v>74</v>
      </c>
      <c r="C76" s="85">
        <v>130</v>
      </c>
      <c r="D76" s="85">
        <v>54</v>
      </c>
      <c r="E76" s="85">
        <v>9</v>
      </c>
      <c r="F76" s="89">
        <v>29140</v>
      </c>
      <c r="G76" s="85">
        <v>180</v>
      </c>
      <c r="H76" s="85">
        <v>48</v>
      </c>
      <c r="I76" s="85">
        <v>10</v>
      </c>
      <c r="J76" s="85">
        <v>37000</v>
      </c>
      <c r="K76" s="85">
        <v>188</v>
      </c>
      <c r="L76" s="85">
        <v>51</v>
      </c>
      <c r="M76" s="85">
        <v>8</v>
      </c>
      <c r="N76" s="85">
        <v>35650</v>
      </c>
      <c r="O76" s="118">
        <f>((IFERROR((C76*D76*E76),0)+IFERROR((G76*H76*I76),0)+IFERROR((K76*L76*M76),0))/1000000)*35.32</f>
        <v>7.9923508800000009</v>
      </c>
      <c r="P76" s="125">
        <f>Table13[[#This Row],[Column15]]*$P$2*1000</f>
        <v>47954.105280000011</v>
      </c>
      <c r="Q76" s="87">
        <f>F76+J76+N76</f>
        <v>101790</v>
      </c>
      <c r="R76" s="86">
        <f>MAX(Q76,O76)</f>
        <v>101790</v>
      </c>
      <c r="S76" s="86">
        <f>MAX(R76,P76)</f>
        <v>101790</v>
      </c>
      <c r="T76" s="156" t="str">
        <f>VLOOKUP(A76,'[1]MTP SKUs - Master Data'!$A:$B,2,FALSE)</f>
        <v>Y</v>
      </c>
      <c r="U76" s="162">
        <f>_xlfn.IFNA(VLOOKUP(Table13[[#This Row],[MTP SKU Code]],'Audit Dimensions'!A:N,6,FALSE),"ARC")</f>
        <v>29170</v>
      </c>
      <c r="V76" s="162">
        <f>IFERROR(Table13[[#This Row],[B1.Aud]]-Table13[[#This Row],[PW(gm)]],"ERR")</f>
        <v>30</v>
      </c>
      <c r="W76" s="165">
        <f>IFERROR(Table13[[#This Row],[B1.Diff]]/Table13[[#This Row],[B1.Aud]],"ERR")</f>
        <v>1.0284538909838875E-3</v>
      </c>
      <c r="X76" s="162">
        <f>_xlfn.IFNA(VLOOKUP(Table13[[#This Row],[MTP SKU Code]],'Audit Dimensions'!A:N,10,FALSE),"ARC")</f>
        <v>36000</v>
      </c>
      <c r="Y76" s="163">
        <f>IFERROR(Table13[[#This Row],[B2.Aud]]-Table13[[#This Row],[PW(gm)5]],"ERR")</f>
        <v>-1000</v>
      </c>
      <c r="Z76" s="165">
        <f>IFERROR(Table13[[#This Row],[B2.Diff]]/Table13[[#This Row],[B2.Aud]],"ERR")</f>
        <v>-2.7777777777777776E-2</v>
      </c>
      <c r="AA76" s="162">
        <f>_xlfn.IFNA(VLOOKUP(Table13[[#This Row],[MTP SKU Code]],'Audit Dimensions'!A:N,14,FALSE),"ARC")</f>
        <v>37600</v>
      </c>
      <c r="AB76" s="161">
        <f>IFERROR(Table13[[#This Row],[B3.Aud]]-Table13[[#This Row],[PW(gm)9]],"ERR")</f>
        <v>1950</v>
      </c>
      <c r="AC76" s="168">
        <f>IFERROR(Table13[[#This Row],[B3.Diff]]/Table13[[#This Row],[BaLL.Aud]],"ERR")</f>
        <v>1.8974408874185073E-2</v>
      </c>
      <c r="AD76" s="189">
        <f>_xlfn.IFNA(VLOOKUP(Table13[[#This Row],[MTP SKU Code]],'Audit Dimensions'!A:U,16,FALSE),"ARC")</f>
        <v>102770</v>
      </c>
      <c r="AE76" s="165">
        <f>IFERROR(1-Table13[[#This Row],[Gms]]/Table13[[#This Row],[BaLL.Aud]],"ERR")</f>
        <v>9.5358567675392081E-3</v>
      </c>
    </row>
    <row r="77" spans="1:31" ht="12.75" customHeight="1">
      <c r="A77" s="91" t="s">
        <v>223</v>
      </c>
      <c r="B77" s="84" t="s">
        <v>48</v>
      </c>
      <c r="C77" s="85">
        <v>68</v>
      </c>
      <c r="D77" s="85">
        <v>46</v>
      </c>
      <c r="E77" s="85">
        <v>5</v>
      </c>
      <c r="F77" s="89">
        <v>8810</v>
      </c>
      <c r="G77" s="85"/>
      <c r="H77" s="85"/>
      <c r="I77" s="85"/>
      <c r="J77" s="85"/>
      <c r="K77" s="85"/>
      <c r="L77" s="85"/>
      <c r="M77" s="85"/>
      <c r="N77" s="85"/>
      <c r="O77" s="118">
        <f>((IFERROR((C77*D77*E77),0)+IFERROR((G77*H77*I77),0)+IFERROR((K77*L77*M77),0))/1000000)*35.32</f>
        <v>0.55240480000000003</v>
      </c>
      <c r="P77" s="125">
        <f>Table13[[#This Row],[Column15]]*$P$2*1000</f>
        <v>3314.4288000000001</v>
      </c>
      <c r="Q77" s="87">
        <f>F77+J77+N77</f>
        <v>8810</v>
      </c>
      <c r="R77" s="86">
        <f>MAX(Q77,O77)</f>
        <v>8810</v>
      </c>
      <c r="S77" s="86">
        <f>MAX(R77,P77)</f>
        <v>8810</v>
      </c>
      <c r="T77" s="156" t="str">
        <f>VLOOKUP(A77,'[1]MTP SKUs - Master Data'!$A:$B,2,FALSE)</f>
        <v>Y</v>
      </c>
      <c r="U77" s="162">
        <f>_xlfn.IFNA(VLOOKUP(Table13[[#This Row],[MTP SKU Code]],'Audit Dimensions'!A:N,6,FALSE),"ARC")</f>
        <v>8900</v>
      </c>
      <c r="V77" s="162">
        <f>IFERROR(Table13[[#This Row],[B1.Aud]]-Table13[[#This Row],[PW(gm)]],"ERR")</f>
        <v>90</v>
      </c>
      <c r="W77" s="165">
        <f>IFERROR(Table13[[#This Row],[B1.Diff]]/Table13[[#This Row],[B1.Aud]],"ERR")</f>
        <v>1.0112359550561797E-2</v>
      </c>
      <c r="X77" s="162">
        <f>_xlfn.IFNA(VLOOKUP(Table13[[#This Row],[MTP SKU Code]],'Audit Dimensions'!A:N,10,FALSE),"ARC")</f>
        <v>0</v>
      </c>
      <c r="Y77" s="163">
        <f>IFERROR(Table13[[#This Row],[B2.Aud]]-Table13[[#This Row],[PW(gm)5]],"ERR")</f>
        <v>0</v>
      </c>
      <c r="Z77" s="165" t="str">
        <f>IFERROR(Table13[[#This Row],[B2.Diff]]/Table13[[#This Row],[B2.Aud]],"ERR")</f>
        <v>ERR</v>
      </c>
      <c r="AA77" s="162">
        <f>_xlfn.IFNA(VLOOKUP(Table13[[#This Row],[MTP SKU Code]],'Audit Dimensions'!A:N,14,FALSE),"ARC")</f>
        <v>0</v>
      </c>
      <c r="AB77" s="161">
        <f>IFERROR(Table13[[#This Row],[B3.Aud]]-Table13[[#This Row],[PW(gm)9]],"ERR")</f>
        <v>0</v>
      </c>
      <c r="AC77" s="168">
        <f>IFERROR(Table13[[#This Row],[B3.Diff]]/Table13[[#This Row],[BaLL.Aud]],"ERR")</f>
        <v>0</v>
      </c>
      <c r="AD77" s="189">
        <f>_xlfn.IFNA(VLOOKUP(Table13[[#This Row],[MTP SKU Code]],'Audit Dimensions'!A:U,16,FALSE),"ARC")</f>
        <v>8900</v>
      </c>
      <c r="AE77" s="165">
        <f>IFERROR(1-Table13[[#This Row],[Gms]]/Table13[[#This Row],[BaLL.Aud]],"ERR")</f>
        <v>1.0112359550561778E-2</v>
      </c>
    </row>
    <row r="78" spans="1:31" ht="13.5" customHeight="1">
      <c r="A78" s="68" t="s">
        <v>240</v>
      </c>
      <c r="B78" s="84" t="s">
        <v>74</v>
      </c>
      <c r="C78" s="85">
        <v>199</v>
      </c>
      <c r="D78" s="85">
        <v>38</v>
      </c>
      <c r="E78" s="85">
        <v>9</v>
      </c>
      <c r="F78" s="89">
        <v>30460</v>
      </c>
      <c r="G78" s="85">
        <v>99</v>
      </c>
      <c r="H78" s="85">
        <v>54</v>
      </c>
      <c r="I78" s="85">
        <v>5</v>
      </c>
      <c r="J78" s="85">
        <v>16000</v>
      </c>
      <c r="K78" s="85"/>
      <c r="L78" s="85"/>
      <c r="M78" s="85"/>
      <c r="N78" s="85"/>
      <c r="O78" s="118">
        <f>((IFERROR((C78*D78*E78),0)+IFERROR((G78*H78*I78),0)+IFERROR((K78*L78*M78),0))/1000000)*35.32</f>
        <v>3.3479121599999999</v>
      </c>
      <c r="P78" s="125">
        <f>Table13[[#This Row],[Column15]]*$P$2*1000</f>
        <v>20087.472959999999</v>
      </c>
      <c r="Q78" s="87">
        <f>F78+J78+N78</f>
        <v>46460</v>
      </c>
      <c r="R78" s="86">
        <f>MAX(Q78,O78)</f>
        <v>46460</v>
      </c>
      <c r="S78" s="86">
        <f>MAX(R78,P78)</f>
        <v>46460</v>
      </c>
      <c r="T78" s="156" t="str">
        <f>VLOOKUP(A78,'[1]MTP SKUs - Master Data'!$A:$B,2,FALSE)</f>
        <v>Y</v>
      </c>
      <c r="U78" s="162">
        <f>_xlfn.IFNA(VLOOKUP(Table13[[#This Row],[MTP SKU Code]],'Audit Dimensions'!A:N,6,FALSE),"ARC")</f>
        <v>32970</v>
      </c>
      <c r="V78" s="162">
        <f>IFERROR(Table13[[#This Row],[B1.Aud]]-Table13[[#This Row],[PW(gm)]],"ERR")</f>
        <v>2510</v>
      </c>
      <c r="W78" s="165">
        <f>IFERROR(Table13[[#This Row],[B1.Diff]]/Table13[[#This Row],[B1.Aud]],"ERR")</f>
        <v>7.6129814983318167E-2</v>
      </c>
      <c r="X78" s="162">
        <f>_xlfn.IFNA(VLOOKUP(Table13[[#This Row],[MTP SKU Code]],'Audit Dimensions'!A:N,10,FALSE),"ARC")</f>
        <v>14620</v>
      </c>
      <c r="Y78" s="163">
        <f>IFERROR(Table13[[#This Row],[B2.Aud]]-Table13[[#This Row],[PW(gm)5]],"ERR")</f>
        <v>-1380</v>
      </c>
      <c r="Z78" s="165">
        <f>IFERROR(Table13[[#This Row],[B2.Diff]]/Table13[[#This Row],[B2.Aud]],"ERR")</f>
        <v>-9.4391244870041038E-2</v>
      </c>
      <c r="AA78" s="162">
        <f>_xlfn.IFNA(VLOOKUP(Table13[[#This Row],[MTP SKU Code]],'Audit Dimensions'!A:N,14,FALSE),"ARC")</f>
        <v>0</v>
      </c>
      <c r="AB78" s="161">
        <f>IFERROR(Table13[[#This Row],[B3.Aud]]-Table13[[#This Row],[PW(gm)9]],"ERR")</f>
        <v>0</v>
      </c>
      <c r="AC78" s="168">
        <f>IFERROR(Table13[[#This Row],[B3.Diff]]/Table13[[#This Row],[BaLL.Aud]],"ERR")</f>
        <v>0</v>
      </c>
      <c r="AD78" s="189">
        <f>_xlfn.IFNA(VLOOKUP(Table13[[#This Row],[MTP SKU Code]],'Audit Dimensions'!A:U,16,FALSE),"ARC")</f>
        <v>47590</v>
      </c>
      <c r="AE78" s="165">
        <f>IFERROR(1-Table13[[#This Row],[Gms]]/Table13[[#This Row],[BaLL.Aud]],"ERR")</f>
        <v>2.3744484135322597E-2</v>
      </c>
    </row>
    <row r="79" spans="1:31" ht="12.75" customHeight="1">
      <c r="A79" s="98" t="s">
        <v>101</v>
      </c>
      <c r="B79" s="84" t="s">
        <v>74</v>
      </c>
      <c r="C79" s="85">
        <v>192</v>
      </c>
      <c r="D79" s="85">
        <v>46</v>
      </c>
      <c r="E79" s="85">
        <v>12</v>
      </c>
      <c r="F79" s="89">
        <v>48550</v>
      </c>
      <c r="G79" s="85">
        <v>178</v>
      </c>
      <c r="H79" s="85">
        <v>40</v>
      </c>
      <c r="I79" s="85">
        <v>8</v>
      </c>
      <c r="J79" s="85">
        <v>28500</v>
      </c>
      <c r="K79" s="85"/>
      <c r="L79" s="85"/>
      <c r="M79" s="85"/>
      <c r="N79" s="85"/>
      <c r="O79" s="118">
        <f>((IFERROR((C79*D79*E79),0)+IFERROR((G79*H79*I79),0)+IFERROR((K79*L79*M79),0))/1000000)*35.32</f>
        <v>5.75518208</v>
      </c>
      <c r="P79" s="125">
        <f>Table13[[#This Row],[Column15]]*$P$2*1000</f>
        <v>34531.092479999999</v>
      </c>
      <c r="Q79" s="87">
        <f>F79+J79+N79</f>
        <v>77050</v>
      </c>
      <c r="R79" s="86">
        <f>MAX(Q79,O79)</f>
        <v>77050</v>
      </c>
      <c r="S79" s="86">
        <f>MAX(R79,P79)</f>
        <v>77050</v>
      </c>
      <c r="T79" s="156" t="str">
        <f>VLOOKUP(A79,'[1]MTP SKUs - Master Data'!$A:$B,2,FALSE)</f>
        <v>Y</v>
      </c>
      <c r="U79" s="162">
        <f>_xlfn.IFNA(VLOOKUP(Table13[[#This Row],[MTP SKU Code]],'Audit Dimensions'!A:N,6,FALSE),"ARC")</f>
        <v>49000</v>
      </c>
      <c r="V79" s="162">
        <f>IFERROR(Table13[[#This Row],[B1.Aud]]-Table13[[#This Row],[PW(gm)]],"ERR")</f>
        <v>450</v>
      </c>
      <c r="W79" s="165">
        <f>IFERROR(Table13[[#This Row],[B1.Diff]]/Table13[[#This Row],[B1.Aud]],"ERR")</f>
        <v>9.1836734693877559E-3</v>
      </c>
      <c r="X79" s="162">
        <f>_xlfn.IFNA(VLOOKUP(Table13[[#This Row],[MTP SKU Code]],'Audit Dimensions'!A:N,10,FALSE),"ARC")</f>
        <v>28900</v>
      </c>
      <c r="Y79" s="163">
        <f>IFERROR(Table13[[#This Row],[B2.Aud]]-Table13[[#This Row],[PW(gm)5]],"ERR")</f>
        <v>400</v>
      </c>
      <c r="Z79" s="165">
        <f>IFERROR(Table13[[#This Row],[B2.Diff]]/Table13[[#This Row],[B2.Aud]],"ERR")</f>
        <v>1.384083044982699E-2</v>
      </c>
      <c r="AA79" s="162">
        <f>_xlfn.IFNA(VLOOKUP(Table13[[#This Row],[MTP SKU Code]],'Audit Dimensions'!A:N,14,FALSE),"ARC")</f>
        <v>0</v>
      </c>
      <c r="AB79" s="161">
        <f>IFERROR(Table13[[#This Row],[B3.Aud]]-Table13[[#This Row],[PW(gm)9]],"ERR")</f>
        <v>0</v>
      </c>
      <c r="AC79" s="168">
        <f>IFERROR(Table13[[#This Row],[B3.Diff]]/Table13[[#This Row],[BaLL.Aud]],"ERR")</f>
        <v>0</v>
      </c>
      <c r="AD79" s="189">
        <f>_xlfn.IFNA(VLOOKUP(Table13[[#This Row],[MTP SKU Code]],'Audit Dimensions'!A:U,16,FALSE),"ARC")</f>
        <v>77900</v>
      </c>
      <c r="AE79" s="165">
        <f>IFERROR(1-Table13[[#This Row],[Gms]]/Table13[[#This Row],[BaLL.Aud]],"ERR")</f>
        <v>1.0911424903722766E-2</v>
      </c>
    </row>
    <row r="80" spans="1:31">
      <c r="A80" s="70" t="s">
        <v>165</v>
      </c>
      <c r="B80" s="84" t="s">
        <v>48</v>
      </c>
      <c r="C80" s="84">
        <v>136</v>
      </c>
      <c r="D80" s="85">
        <v>44</v>
      </c>
      <c r="E80" s="85">
        <v>14</v>
      </c>
      <c r="F80" s="89">
        <v>40000</v>
      </c>
      <c r="G80" s="85"/>
      <c r="H80" s="85"/>
      <c r="I80" s="85"/>
      <c r="J80" s="85"/>
      <c r="K80" s="85"/>
      <c r="L80" s="85"/>
      <c r="M80" s="85"/>
      <c r="N80" s="85"/>
      <c r="O80" s="118">
        <f>((IFERROR((C80*D80*E80),0)+IFERROR((G80*H80*I80),0)+IFERROR((K80*L80*M80),0))/1000000)*35.32</f>
        <v>2.9589683200000003</v>
      </c>
      <c r="P80" s="125">
        <f>Table13[[#This Row],[Column15]]*$P$2*1000</f>
        <v>17753.809920000003</v>
      </c>
      <c r="Q80" s="87">
        <f>F80+J80+N80</f>
        <v>40000</v>
      </c>
      <c r="R80" s="86">
        <f>MAX(Q80,O80)</f>
        <v>40000</v>
      </c>
      <c r="S80" s="86">
        <f>MAX(R80,P80)</f>
        <v>40000</v>
      </c>
      <c r="T80" s="156" t="str">
        <f>VLOOKUP(A80,'[1]MTP SKUs - Master Data'!$A:$B,2,FALSE)</f>
        <v>Y</v>
      </c>
      <c r="U80" s="162">
        <f>_xlfn.IFNA(VLOOKUP(Table13[[#This Row],[MTP SKU Code]],'Audit Dimensions'!A:N,6,FALSE),"ARC")</f>
        <v>40470</v>
      </c>
      <c r="V80" s="162">
        <f>IFERROR(Table13[[#This Row],[B1.Aud]]-Table13[[#This Row],[PW(gm)]],"ERR")</f>
        <v>470</v>
      </c>
      <c r="W80" s="165">
        <f>IFERROR(Table13[[#This Row],[B1.Diff]]/Table13[[#This Row],[B1.Aud]],"ERR")</f>
        <v>1.1613540894489745E-2</v>
      </c>
      <c r="X80" s="162">
        <f>_xlfn.IFNA(VLOOKUP(Table13[[#This Row],[MTP SKU Code]],'Audit Dimensions'!A:N,10,FALSE),"ARC")</f>
        <v>0</v>
      </c>
      <c r="Y80" s="163">
        <f>IFERROR(Table13[[#This Row],[B2.Aud]]-Table13[[#This Row],[PW(gm)5]],"ERR")</f>
        <v>0</v>
      </c>
      <c r="Z80" s="165" t="str">
        <f>IFERROR(Table13[[#This Row],[B2.Diff]]/Table13[[#This Row],[B2.Aud]],"ERR")</f>
        <v>ERR</v>
      </c>
      <c r="AA80" s="162">
        <f>_xlfn.IFNA(VLOOKUP(Table13[[#This Row],[MTP SKU Code]],'Audit Dimensions'!A:N,14,FALSE),"ARC")</f>
        <v>0</v>
      </c>
      <c r="AB80" s="161">
        <f>IFERROR(Table13[[#This Row],[B3.Aud]]-Table13[[#This Row],[PW(gm)9]],"ERR")</f>
        <v>0</v>
      </c>
      <c r="AC80" s="168">
        <f>IFERROR(Table13[[#This Row],[B3.Diff]]/Table13[[#This Row],[BaLL.Aud]],"ERR")</f>
        <v>0</v>
      </c>
      <c r="AD80" s="189">
        <f>_xlfn.IFNA(VLOOKUP(Table13[[#This Row],[MTP SKU Code]],'Audit Dimensions'!A:U,16,FALSE),"ARC")</f>
        <v>40470</v>
      </c>
      <c r="AE80" s="165">
        <f>IFERROR(1-Table13[[#This Row],[Gms]]/Table13[[#This Row],[BaLL.Aud]],"ERR")</f>
        <v>1.1613540894489738E-2</v>
      </c>
    </row>
    <row r="81" spans="1:31" ht="12.4" customHeight="1">
      <c r="A81" s="68" t="s">
        <v>86</v>
      </c>
      <c r="B81" s="84" t="s">
        <v>48</v>
      </c>
      <c r="C81" s="84">
        <v>185</v>
      </c>
      <c r="D81" s="85">
        <v>46</v>
      </c>
      <c r="E81" s="85">
        <v>12</v>
      </c>
      <c r="F81" s="89">
        <v>50000</v>
      </c>
      <c r="G81" s="85"/>
      <c r="H81" s="85"/>
      <c r="I81" s="85"/>
      <c r="J81" s="85"/>
      <c r="K81" s="85"/>
      <c r="L81" s="85"/>
      <c r="M81" s="85"/>
      <c r="N81" s="85"/>
      <c r="O81" s="118">
        <f>((IFERROR((C81*D81*E81),0)+IFERROR((G81*H81*I81),0)+IFERROR((K81*L81*M81),0))/1000000)*35.32</f>
        <v>3.6068784000000003</v>
      </c>
      <c r="P81" s="125">
        <f>Table13[[#This Row],[Column15]]*$P$2*1000</f>
        <v>21641.270400000005</v>
      </c>
      <c r="Q81" s="87">
        <f>F81+J81+N81</f>
        <v>50000</v>
      </c>
      <c r="R81" s="86">
        <f>MAX(Q81,O81)</f>
        <v>50000</v>
      </c>
      <c r="S81" s="86">
        <f>MAX(R81,P81)</f>
        <v>50000</v>
      </c>
      <c r="T81" s="156" t="str">
        <f>VLOOKUP(A81,'[1]MTP SKUs - Master Data'!$A:$B,2,FALSE)</f>
        <v>Y</v>
      </c>
      <c r="U81" s="162">
        <f>_xlfn.IFNA(VLOOKUP(Table13[[#This Row],[MTP SKU Code]],'Audit Dimensions'!A:N,6,FALSE),"ARC")</f>
        <v>50670</v>
      </c>
      <c r="V81" s="162">
        <f>IFERROR(Table13[[#This Row],[B1.Aud]]-Table13[[#This Row],[PW(gm)]],"ERR")</f>
        <v>670</v>
      </c>
      <c r="W81" s="165">
        <f>IFERROR(Table13[[#This Row],[B1.Diff]]/Table13[[#This Row],[B1.Aud]],"ERR")</f>
        <v>1.3222814288533649E-2</v>
      </c>
      <c r="X81" s="162">
        <f>_xlfn.IFNA(VLOOKUP(Table13[[#This Row],[MTP SKU Code]],'Audit Dimensions'!A:N,10,FALSE),"ARC")</f>
        <v>0</v>
      </c>
      <c r="Y81" s="163">
        <f>IFERROR(Table13[[#This Row],[B2.Aud]]-Table13[[#This Row],[PW(gm)5]],"ERR")</f>
        <v>0</v>
      </c>
      <c r="Z81" s="165" t="str">
        <f>IFERROR(Table13[[#This Row],[B2.Diff]]/Table13[[#This Row],[B2.Aud]],"ERR")</f>
        <v>ERR</v>
      </c>
      <c r="AA81" s="162">
        <f>_xlfn.IFNA(VLOOKUP(Table13[[#This Row],[MTP SKU Code]],'Audit Dimensions'!A:N,14,FALSE),"ARC")</f>
        <v>0</v>
      </c>
      <c r="AB81" s="161">
        <f>IFERROR(Table13[[#This Row],[B3.Aud]]-Table13[[#This Row],[PW(gm)9]],"ERR")</f>
        <v>0</v>
      </c>
      <c r="AC81" s="168">
        <f>IFERROR(Table13[[#This Row],[B3.Diff]]/Table13[[#This Row],[BaLL.Aud]],"ERR")</f>
        <v>0</v>
      </c>
      <c r="AD81" s="189">
        <f>_xlfn.IFNA(VLOOKUP(Table13[[#This Row],[MTP SKU Code]],'Audit Dimensions'!A:U,16,FALSE),"ARC")</f>
        <v>50670</v>
      </c>
      <c r="AE81" s="165">
        <f>IFERROR(1-Table13[[#This Row],[Gms]]/Table13[[#This Row],[BaLL.Aud]],"ERR")</f>
        <v>1.3222814288533669E-2</v>
      </c>
    </row>
    <row r="82" spans="1:31" hidden="1">
      <c r="A82" s="68" t="s">
        <v>127</v>
      </c>
      <c r="B82" s="84" t="s">
        <v>48</v>
      </c>
      <c r="C82" s="85">
        <v>76</v>
      </c>
      <c r="D82" s="85">
        <v>76</v>
      </c>
      <c r="E82" s="85">
        <v>4</v>
      </c>
      <c r="F82" s="89">
        <v>12200</v>
      </c>
      <c r="G82" s="85"/>
      <c r="H82" s="85"/>
      <c r="I82" s="85"/>
      <c r="J82" s="85"/>
      <c r="K82" s="85"/>
      <c r="L82" s="85"/>
      <c r="M82" s="85"/>
      <c r="N82" s="85"/>
      <c r="O82" s="118">
        <f>((IFERROR((C82*D82*E82),0)+IFERROR((G82*H82*I82),0)+IFERROR((K82*L82*M82),0))/1000000)*35.32</f>
        <v>0.81603327999999997</v>
      </c>
      <c r="P82" s="125">
        <f>Table13[[#This Row],[Column15]]*$P$2*1000</f>
        <v>4896.1996799999997</v>
      </c>
      <c r="Q82" s="87">
        <f>F82+J82+N82</f>
        <v>12200</v>
      </c>
      <c r="R82" s="86">
        <f>MAX(Q82,O82)</f>
        <v>12200</v>
      </c>
      <c r="S82" s="86">
        <f>MAX(R82,P82)</f>
        <v>12200</v>
      </c>
      <c r="T82" s="156" t="str">
        <f>VLOOKUP(A82,'[1]MTP SKUs - Master Data'!$A:$B,2,FALSE)</f>
        <v>DI</v>
      </c>
      <c r="U82" s="162">
        <f>_xlfn.IFNA(VLOOKUP(Table13[[#This Row],[MTP SKU Code]],'Audit Dimensions'!A:N,6,FALSE),"ARC")</f>
        <v>12400</v>
      </c>
      <c r="V82" s="162">
        <f>IFERROR(Table13[[#This Row],[B1.Aud]]-Table13[[#This Row],[PW(gm)]],"ERR")</f>
        <v>200</v>
      </c>
      <c r="W82" s="165">
        <f>IFERROR(Table13[[#This Row],[B1.Diff]]/Table13[[#This Row],[B1.Aud]],"ERR")</f>
        <v>1.6129032258064516E-2</v>
      </c>
      <c r="X82" s="162">
        <f>_xlfn.IFNA(VLOOKUP(Table13[[#This Row],[MTP SKU Code]],'Audit Dimensions'!A:N,10,FALSE),"ARC")</f>
        <v>0</v>
      </c>
      <c r="Y82" s="163">
        <f>IFERROR(Table13[[#This Row],[B2.Aud]]-Table13[[#This Row],[PW(gm)5]],"ERR")</f>
        <v>0</v>
      </c>
      <c r="Z82" s="165" t="str">
        <f>IFERROR(Table13[[#This Row],[B2.Diff]]/Table13[[#This Row],[B2.Aud]],"ERR")</f>
        <v>ERR</v>
      </c>
      <c r="AA82" s="162">
        <f>_xlfn.IFNA(VLOOKUP(Table13[[#This Row],[MTP SKU Code]],'Audit Dimensions'!A:N,14,FALSE),"ARC")</f>
        <v>0</v>
      </c>
      <c r="AB82" s="161">
        <f>IFERROR(Table13[[#This Row],[B3.Aud]]-Table13[[#This Row],[PW(gm)9]],"ERR")</f>
        <v>0</v>
      </c>
      <c r="AC82" s="168">
        <f>IFERROR(Table13[[#This Row],[B3.Diff]]/Table13[[#This Row],[BaLL.Aud]],"ERR")</f>
        <v>0</v>
      </c>
      <c r="AD82" s="162">
        <f>_xlfn.IFNA(VLOOKUP(Table13[[#This Row],[MTP SKU Code]],'Audit Dimensions'!A:U,16,FALSE),"ARC")</f>
        <v>12400</v>
      </c>
      <c r="AE82" s="165">
        <f>IFERROR(1-Table13[[#This Row],[Gms]]/Table13[[#This Row],[BaLL.Aud]],"ERR")</f>
        <v>1.6129032258064502E-2</v>
      </c>
    </row>
    <row r="83" spans="1:31">
      <c r="A83" s="68" t="s">
        <v>78</v>
      </c>
      <c r="B83" s="84" t="s">
        <v>74</v>
      </c>
      <c r="C83" s="85">
        <v>207</v>
      </c>
      <c r="D83" s="85">
        <v>38</v>
      </c>
      <c r="E83" s="85">
        <v>8</v>
      </c>
      <c r="F83" s="89">
        <v>34800</v>
      </c>
      <c r="G83" s="85">
        <v>192</v>
      </c>
      <c r="H83" s="85">
        <v>40</v>
      </c>
      <c r="I83" s="85">
        <v>6</v>
      </c>
      <c r="J83" s="85">
        <v>22700</v>
      </c>
      <c r="K83" s="85">
        <v>105</v>
      </c>
      <c r="L83" s="85">
        <v>96</v>
      </c>
      <c r="M83" s="85">
        <v>7</v>
      </c>
      <c r="N83" s="85">
        <v>38800</v>
      </c>
      <c r="O83" s="118">
        <f>((IFERROR((C83*D83*E83),0)+IFERROR((G83*H83*I83),0)+IFERROR((K83*L83*M83),0))/1000000)*35.32</f>
        <v>6.3423417600000001</v>
      </c>
      <c r="P83" s="125">
        <f>Table13[[#This Row],[Column15]]*$P$2*1000</f>
        <v>38054.050560000003</v>
      </c>
      <c r="Q83" s="87">
        <f>F83+J83+N83</f>
        <v>96300</v>
      </c>
      <c r="R83" s="86">
        <f>MAX(Q83,O83)</f>
        <v>96300</v>
      </c>
      <c r="S83" s="86">
        <f>MAX(R83,P83)</f>
        <v>96300</v>
      </c>
      <c r="T83" s="156" t="str">
        <f>VLOOKUP(A83,'[1]MTP SKUs - Master Data'!$A:$B,2,FALSE)</f>
        <v>Y</v>
      </c>
      <c r="U83" s="162">
        <f>_xlfn.IFNA(VLOOKUP(Table13[[#This Row],[MTP SKU Code]],'Audit Dimensions'!A:N,6,FALSE),"ARC")</f>
        <v>36430</v>
      </c>
      <c r="V83" s="162">
        <f>IFERROR(Table13[[#This Row],[B1.Aud]]-Table13[[#This Row],[PW(gm)]],"ERR")</f>
        <v>1630</v>
      </c>
      <c r="W83" s="165">
        <f>IFERROR(Table13[[#This Row],[B1.Diff]]/Table13[[#This Row],[B1.Aud]],"ERR")</f>
        <v>4.4743343398298108E-2</v>
      </c>
      <c r="X83" s="162">
        <f>_xlfn.IFNA(VLOOKUP(Table13[[#This Row],[MTP SKU Code]],'Audit Dimensions'!A:N,10,FALSE),"ARC")</f>
        <v>23900</v>
      </c>
      <c r="Y83" s="163">
        <f>IFERROR(Table13[[#This Row],[B2.Aud]]-Table13[[#This Row],[PW(gm)5]],"ERR")</f>
        <v>1200</v>
      </c>
      <c r="Z83" s="165">
        <f>IFERROR(Table13[[#This Row],[B2.Diff]]/Table13[[#This Row],[B2.Aud]],"ERR")</f>
        <v>5.0209205020920501E-2</v>
      </c>
      <c r="AA83" s="162">
        <f>_xlfn.IFNA(VLOOKUP(Table13[[#This Row],[MTP SKU Code]],'Audit Dimensions'!A:N,14,FALSE),"ARC")</f>
        <v>38300</v>
      </c>
      <c r="AB83" s="161">
        <f>IFERROR(Table13[[#This Row],[B3.Aud]]-Table13[[#This Row],[PW(gm)9]],"ERR")</f>
        <v>-500</v>
      </c>
      <c r="AC83" s="168">
        <f>IFERROR(Table13[[#This Row],[B3.Diff]]/Table13[[#This Row],[BaLL.Aud]],"ERR")</f>
        <v>-5.0694514853492851E-3</v>
      </c>
      <c r="AD83" s="189">
        <f>_xlfn.IFNA(VLOOKUP(Table13[[#This Row],[MTP SKU Code]],'Audit Dimensions'!A:U,16,FALSE),"ARC")</f>
        <v>98630</v>
      </c>
      <c r="AE83" s="165">
        <f>IFERROR(1-Table13[[#This Row],[Gms]]/Table13[[#This Row],[BaLL.Aud]],"ERR")</f>
        <v>2.3623643921727666E-2</v>
      </c>
    </row>
    <row r="84" spans="1:31" hidden="1">
      <c r="A84" s="68" t="s">
        <v>129</v>
      </c>
      <c r="B84" s="84" t="s">
        <v>48</v>
      </c>
      <c r="C84" s="85">
        <v>75</v>
      </c>
      <c r="D84" s="85">
        <v>75</v>
      </c>
      <c r="E84" s="85">
        <v>4</v>
      </c>
      <c r="F84" s="89">
        <v>8200</v>
      </c>
      <c r="G84" s="85"/>
      <c r="H84" s="85"/>
      <c r="I84" s="85"/>
      <c r="J84" s="85"/>
      <c r="K84" s="85"/>
      <c r="L84" s="85"/>
      <c r="M84" s="85"/>
      <c r="N84" s="85"/>
      <c r="O84" s="118">
        <f>((IFERROR((C84*D84*E84),0)+IFERROR((G84*H84*I84),0)+IFERROR((K84*L84*M84),0))/1000000)*35.32</f>
        <v>0.79469999999999996</v>
      </c>
      <c r="P84" s="125">
        <f>Table13[[#This Row],[Column15]]*$P$2*1000</f>
        <v>4768.2</v>
      </c>
      <c r="Q84" s="87">
        <f>F84+J84+N84</f>
        <v>8200</v>
      </c>
      <c r="R84" s="86">
        <f>MAX(Q84,O84)</f>
        <v>8200</v>
      </c>
      <c r="S84" s="86">
        <f>MAX(R84,P84)</f>
        <v>8200</v>
      </c>
      <c r="T84" s="156" t="str">
        <f>VLOOKUP(A84,'[1]MTP SKUs - Master Data'!$A:$B,2,FALSE)</f>
        <v>DI</v>
      </c>
      <c r="U84" s="162">
        <f>_xlfn.IFNA(VLOOKUP(Table13[[#This Row],[MTP SKU Code]],'Audit Dimensions'!A:N,6,FALSE),"ARC")</f>
        <v>8350</v>
      </c>
      <c r="V84" s="162">
        <f>IFERROR(Table13[[#This Row],[B1.Aud]]-Table13[[#This Row],[PW(gm)]],"ERR")</f>
        <v>150</v>
      </c>
      <c r="W84" s="165">
        <f>IFERROR(Table13[[#This Row],[B1.Diff]]/Table13[[#This Row],[B1.Aud]],"ERR")</f>
        <v>1.7964071856287425E-2</v>
      </c>
      <c r="X84" s="162">
        <f>_xlfn.IFNA(VLOOKUP(Table13[[#This Row],[MTP SKU Code]],'Audit Dimensions'!A:N,10,FALSE),"ARC")</f>
        <v>0</v>
      </c>
      <c r="Y84" s="163">
        <f>IFERROR(Table13[[#This Row],[B2.Aud]]-Table13[[#This Row],[PW(gm)5]],"ERR")</f>
        <v>0</v>
      </c>
      <c r="Z84" s="165" t="str">
        <f>IFERROR(Table13[[#This Row],[B2.Diff]]/Table13[[#This Row],[B2.Aud]],"ERR")</f>
        <v>ERR</v>
      </c>
      <c r="AA84" s="162">
        <f>_xlfn.IFNA(VLOOKUP(Table13[[#This Row],[MTP SKU Code]],'Audit Dimensions'!A:N,14,FALSE),"ARC")</f>
        <v>0</v>
      </c>
      <c r="AB84" s="161">
        <f>IFERROR(Table13[[#This Row],[B3.Aud]]-Table13[[#This Row],[PW(gm)9]],"ERR")</f>
        <v>0</v>
      </c>
      <c r="AC84" s="168">
        <f>IFERROR(Table13[[#This Row],[B3.Diff]]/Table13[[#This Row],[BaLL.Aud]],"ERR")</f>
        <v>0</v>
      </c>
      <c r="AD84" s="162">
        <f>_xlfn.IFNA(VLOOKUP(Table13[[#This Row],[MTP SKU Code]],'Audit Dimensions'!A:U,16,FALSE),"ARC")</f>
        <v>8350</v>
      </c>
      <c r="AE84" s="165">
        <f>IFERROR(1-Table13[[#This Row],[Gms]]/Table13[[#This Row],[BaLL.Aud]],"ERR")</f>
        <v>1.7964071856287456E-2</v>
      </c>
    </row>
    <row r="85" spans="1:31">
      <c r="A85" s="68" t="s">
        <v>197</v>
      </c>
      <c r="B85" s="84" t="s">
        <v>48</v>
      </c>
      <c r="C85" s="85">
        <v>85</v>
      </c>
      <c r="D85" s="85">
        <v>45</v>
      </c>
      <c r="E85" s="85">
        <v>6</v>
      </c>
      <c r="F85" s="89">
        <v>10800</v>
      </c>
      <c r="G85" s="85"/>
      <c r="H85" s="85"/>
      <c r="I85" s="85"/>
      <c r="J85" s="85"/>
      <c r="K85" s="85"/>
      <c r="L85" s="85"/>
      <c r="M85" s="85"/>
      <c r="N85" s="85"/>
      <c r="O85" s="118">
        <f>((IFERROR((C85*D85*E85),0)+IFERROR((G85*H85*I85),0)+IFERROR((K85*L85*M85),0))/1000000)*35.32</f>
        <v>0.81059400000000004</v>
      </c>
      <c r="P85" s="125">
        <f>Table13[[#This Row],[Column15]]*$P$2*1000</f>
        <v>4863.5640000000003</v>
      </c>
      <c r="Q85" s="87">
        <f>F85+J85+N85</f>
        <v>10800</v>
      </c>
      <c r="R85" s="86">
        <f>MAX(Q85,O85)</f>
        <v>10800</v>
      </c>
      <c r="S85" s="86">
        <f>MAX(R85,P85)</f>
        <v>10800</v>
      </c>
      <c r="T85" s="157" t="str">
        <f>VLOOKUP(A85,'[1]MTP SKUs - Master Data'!$A:$B,2,FALSE)</f>
        <v>Y</v>
      </c>
      <c r="U85" s="162">
        <f>_xlfn.IFNA(VLOOKUP(Table13[[#This Row],[MTP SKU Code]],'Audit Dimensions'!A:N,6,FALSE),"ARC")</f>
        <v>11000</v>
      </c>
      <c r="V85" s="162">
        <f>IFERROR(Table13[[#This Row],[B1.Aud]]-Table13[[#This Row],[PW(gm)]],"ERR")</f>
        <v>200</v>
      </c>
      <c r="W85" s="165">
        <f>IFERROR(Table13[[#This Row],[B1.Diff]]/Table13[[#This Row],[B1.Aud]],"ERR")</f>
        <v>1.8181818181818181E-2</v>
      </c>
      <c r="X85" s="162">
        <f>_xlfn.IFNA(VLOOKUP(Table13[[#This Row],[MTP SKU Code]],'Audit Dimensions'!A:N,10,FALSE),"ARC")</f>
        <v>0</v>
      </c>
      <c r="Y85" s="163">
        <f>IFERROR(Table13[[#This Row],[B2.Aud]]-Table13[[#This Row],[PW(gm)5]],"ERR")</f>
        <v>0</v>
      </c>
      <c r="Z85" s="165" t="str">
        <f>IFERROR(Table13[[#This Row],[B2.Diff]]/Table13[[#This Row],[B2.Aud]],"ERR")</f>
        <v>ERR</v>
      </c>
      <c r="AA85" s="162">
        <f>_xlfn.IFNA(VLOOKUP(Table13[[#This Row],[MTP SKU Code]],'Audit Dimensions'!A:N,14,FALSE),"ARC")</f>
        <v>0</v>
      </c>
      <c r="AB85" s="161">
        <f>IFERROR(Table13[[#This Row],[B3.Aud]]-Table13[[#This Row],[PW(gm)9]],"ERR")</f>
        <v>0</v>
      </c>
      <c r="AC85" s="169">
        <f>IFERROR(Table13[[#This Row],[B3.Diff]]/Table13[[#This Row],[BaLL.Aud]],"ERR")</f>
        <v>0</v>
      </c>
      <c r="AD85" s="189">
        <f>_xlfn.IFNA(VLOOKUP(Table13[[#This Row],[MTP SKU Code]],'Audit Dimensions'!A:U,16,FALSE),"ARC")</f>
        <v>11000</v>
      </c>
      <c r="AE85" s="170">
        <f>IFERROR(1-Table13[[#This Row],[Gms]]/Table13[[#This Row],[BaLL.Aud]],"ERR")</f>
        <v>1.8181818181818188E-2</v>
      </c>
    </row>
    <row r="86" spans="1:31">
      <c r="A86" s="68" t="s">
        <v>215</v>
      </c>
      <c r="B86" s="84" t="s">
        <v>74</v>
      </c>
      <c r="C86" s="85">
        <v>166</v>
      </c>
      <c r="D86" s="85">
        <v>53</v>
      </c>
      <c r="E86" s="85">
        <v>10</v>
      </c>
      <c r="F86" s="89">
        <v>44650</v>
      </c>
      <c r="G86" s="85">
        <v>180</v>
      </c>
      <c r="H86" s="85">
        <v>48</v>
      </c>
      <c r="I86" s="85">
        <v>10</v>
      </c>
      <c r="J86" s="85">
        <v>44300</v>
      </c>
      <c r="K86" s="85">
        <v>186</v>
      </c>
      <c r="L86" s="85">
        <v>50</v>
      </c>
      <c r="M86" s="85">
        <v>9</v>
      </c>
      <c r="N86" s="85">
        <v>42900</v>
      </c>
      <c r="O86" s="118">
        <f>((IFERROR((C86*D86*E86),0)+IFERROR((G86*H86*I86),0)+IFERROR((K86*L86*M86),0))/1000000)*35.32</f>
        <v>9.1153855999999998</v>
      </c>
      <c r="P86" s="125">
        <f>Table13[[#This Row],[Column15]]*$P$2*1000</f>
        <v>54692.313600000001</v>
      </c>
      <c r="Q86" s="87">
        <f>F86+J86+N86</f>
        <v>131850</v>
      </c>
      <c r="R86" s="86">
        <f>MAX(Q86,O86)</f>
        <v>131850</v>
      </c>
      <c r="S86" s="86">
        <f>MAX(R86,P86)</f>
        <v>131850</v>
      </c>
      <c r="T86" s="156" t="str">
        <f>VLOOKUP(A86,'[1]MTP SKUs - Master Data'!$A:$B,2,FALSE)</f>
        <v>Y</v>
      </c>
      <c r="U86" s="162">
        <f>_xlfn.IFNA(VLOOKUP(Table13[[#This Row],[MTP SKU Code]],'Audit Dimensions'!A:N,6,FALSE),"ARC")</f>
        <v>45210</v>
      </c>
      <c r="V86" s="162">
        <f>IFERROR(Table13[[#This Row],[B1.Aud]]-Table13[[#This Row],[PW(gm)]],"ERR")</f>
        <v>560</v>
      </c>
      <c r="W86" s="165">
        <f>IFERROR(Table13[[#This Row],[B1.Diff]]/Table13[[#This Row],[B1.Aud]],"ERR")</f>
        <v>1.2386640123866401E-2</v>
      </c>
      <c r="X86" s="162">
        <f>_xlfn.IFNA(VLOOKUP(Table13[[#This Row],[MTP SKU Code]],'Audit Dimensions'!A:N,10,FALSE),"ARC")</f>
        <v>47290</v>
      </c>
      <c r="Y86" s="163">
        <f>IFERROR(Table13[[#This Row],[B2.Aud]]-Table13[[#This Row],[PW(gm)5]],"ERR")</f>
        <v>2990</v>
      </c>
      <c r="Z86" s="165">
        <f>IFERROR(Table13[[#This Row],[B2.Diff]]/Table13[[#This Row],[B2.Aud]],"ERR")</f>
        <v>6.3226897864241918E-2</v>
      </c>
      <c r="AA86" s="162">
        <f>_xlfn.IFNA(VLOOKUP(Table13[[#This Row],[MTP SKU Code]],'Audit Dimensions'!A:N,14,FALSE),"ARC")</f>
        <v>46180</v>
      </c>
      <c r="AB86" s="161">
        <f>IFERROR(Table13[[#This Row],[B3.Aud]]-Table13[[#This Row],[PW(gm)9]],"ERR")</f>
        <v>3280</v>
      </c>
      <c r="AC86" s="168">
        <f>IFERROR(Table13[[#This Row],[B3.Diff]]/Table13[[#This Row],[BaLL.Aud]],"ERR")</f>
        <v>2.365157196423421E-2</v>
      </c>
      <c r="AD86" s="189">
        <f>_xlfn.IFNA(VLOOKUP(Table13[[#This Row],[MTP SKU Code]],'Audit Dimensions'!A:U,16,FALSE),"ARC")</f>
        <v>138680</v>
      </c>
      <c r="AE86" s="165">
        <f>IFERROR(1-Table13[[#This Row],[Gms]]/Table13[[#This Row],[BaLL.Aud]],"ERR")</f>
        <v>4.9250072108451115E-2</v>
      </c>
    </row>
    <row r="87" spans="1:31">
      <c r="A87" s="98" t="s">
        <v>125</v>
      </c>
      <c r="B87" s="84" t="s">
        <v>74</v>
      </c>
      <c r="C87" s="85">
        <v>185</v>
      </c>
      <c r="D87" s="85">
        <v>49</v>
      </c>
      <c r="E87" s="85">
        <v>13</v>
      </c>
      <c r="F87" s="89">
        <v>51900</v>
      </c>
      <c r="G87" s="85"/>
      <c r="H87" s="85"/>
      <c r="I87" s="85"/>
      <c r="J87" s="85"/>
      <c r="K87" s="85"/>
      <c r="L87" s="85"/>
      <c r="M87" s="85"/>
      <c r="N87" s="85"/>
      <c r="O87" s="118">
        <f>((IFERROR((C87*D87*E87),0)+IFERROR((G87*H87*I87),0)+IFERROR((K87*L87*M87),0))/1000000)*35.32</f>
        <v>4.1622854</v>
      </c>
      <c r="P87" s="125">
        <f>Table13[[#This Row],[Column15]]*$P$2*1000</f>
        <v>24973.7124</v>
      </c>
      <c r="Q87" s="87">
        <f>F87+J87+N87</f>
        <v>51900</v>
      </c>
      <c r="R87" s="86">
        <f>MAX(Q87,O87)</f>
        <v>51900</v>
      </c>
      <c r="S87" s="86">
        <f>MAX(R87,P87)</f>
        <v>51900</v>
      </c>
      <c r="T87" s="156" t="str">
        <f>VLOOKUP(A87,'[1]MTP SKUs - Master Data'!$A:$B,2,FALSE)</f>
        <v>Y</v>
      </c>
      <c r="U87" s="162">
        <f>_xlfn.IFNA(VLOOKUP(Table13[[#This Row],[MTP SKU Code]],'Audit Dimensions'!A:N,6,FALSE),"ARC")</f>
        <v>52880</v>
      </c>
      <c r="V87" s="162">
        <f>IFERROR(Table13[[#This Row],[B1.Aud]]-Table13[[#This Row],[PW(gm)]],"ERR")</f>
        <v>980</v>
      </c>
      <c r="W87" s="165">
        <f>IFERROR(Table13[[#This Row],[B1.Diff]]/Table13[[#This Row],[B1.Aud]],"ERR")</f>
        <v>1.8532526475037822E-2</v>
      </c>
      <c r="X87" s="162">
        <f>_xlfn.IFNA(VLOOKUP(Table13[[#This Row],[MTP SKU Code]],'Audit Dimensions'!A:N,10,FALSE),"ARC")</f>
        <v>0</v>
      </c>
      <c r="Y87" s="163">
        <f>IFERROR(Table13[[#This Row],[B2.Aud]]-Table13[[#This Row],[PW(gm)5]],"ERR")</f>
        <v>0</v>
      </c>
      <c r="Z87" s="165" t="str">
        <f>IFERROR(Table13[[#This Row],[B2.Diff]]/Table13[[#This Row],[B2.Aud]],"ERR")</f>
        <v>ERR</v>
      </c>
      <c r="AA87" s="162">
        <f>_xlfn.IFNA(VLOOKUP(Table13[[#This Row],[MTP SKU Code]],'Audit Dimensions'!A:N,14,FALSE),"ARC")</f>
        <v>0</v>
      </c>
      <c r="AB87" s="161">
        <f>IFERROR(Table13[[#This Row],[B3.Aud]]-Table13[[#This Row],[PW(gm)9]],"ERR")</f>
        <v>0</v>
      </c>
      <c r="AC87" s="168">
        <f>IFERROR(Table13[[#This Row],[B3.Diff]]/Table13[[#This Row],[BaLL.Aud]],"ERR")</f>
        <v>0</v>
      </c>
      <c r="AD87" s="189">
        <f>_xlfn.IFNA(VLOOKUP(Table13[[#This Row],[MTP SKU Code]],'Audit Dimensions'!A:U,16,FALSE),"ARC")</f>
        <v>52880</v>
      </c>
      <c r="AE87" s="165">
        <f>IFERROR(1-Table13[[#This Row],[Gms]]/Table13[[#This Row],[BaLL.Aud]],"ERR")</f>
        <v>1.8532526475037781E-2</v>
      </c>
    </row>
    <row r="88" spans="1:31">
      <c r="A88" s="68" t="s">
        <v>189</v>
      </c>
      <c r="B88" s="84" t="s">
        <v>48</v>
      </c>
      <c r="C88" s="84">
        <v>158</v>
      </c>
      <c r="D88" s="85">
        <v>38</v>
      </c>
      <c r="E88" s="85">
        <v>9</v>
      </c>
      <c r="F88" s="89">
        <v>22900</v>
      </c>
      <c r="G88" s="85"/>
      <c r="H88" s="85"/>
      <c r="I88" s="85"/>
      <c r="J88" s="85"/>
      <c r="K88" s="85"/>
      <c r="L88" s="85"/>
      <c r="M88" s="85"/>
      <c r="N88" s="85"/>
      <c r="O88" s="118">
        <f>((IFERROR((C88*D88*E88),0)+IFERROR((G88*H88*I88),0)+IFERROR((K88*L88*M88),0))/1000000)*35.32</f>
        <v>1.9085515200000001</v>
      </c>
      <c r="P88" s="125">
        <f>Table13[[#This Row],[Column15]]*$P$2*1000</f>
        <v>11451.309120000002</v>
      </c>
      <c r="Q88" s="87">
        <f>F88+J88+N88</f>
        <v>22900</v>
      </c>
      <c r="R88" s="88">
        <f>MAX(Q88,O88)</f>
        <v>22900</v>
      </c>
      <c r="S88" s="86">
        <f>MAX(R88,P88)</f>
        <v>22900</v>
      </c>
      <c r="T88" s="156" t="str">
        <f>VLOOKUP(A88,'[1]MTP SKUs - Master Data'!$A:$B,2,FALSE)</f>
        <v>Y</v>
      </c>
      <c r="U88" s="162">
        <f>_xlfn.IFNA(VLOOKUP(Table13[[#This Row],[MTP SKU Code]],'Audit Dimensions'!A:N,6,FALSE),"ARC")</f>
        <v>23340</v>
      </c>
      <c r="V88" s="162">
        <f>IFERROR(Table13[[#This Row],[B1.Aud]]-Table13[[#This Row],[PW(gm)]],"ERR")</f>
        <v>440</v>
      </c>
      <c r="W88" s="165">
        <f>IFERROR(Table13[[#This Row],[B1.Diff]]/Table13[[#This Row],[B1.Aud]],"ERR")</f>
        <v>1.8851756640959727E-2</v>
      </c>
      <c r="X88" s="162">
        <f>_xlfn.IFNA(VLOOKUP(Table13[[#This Row],[MTP SKU Code]],'Audit Dimensions'!A:N,10,FALSE),"ARC")</f>
        <v>0</v>
      </c>
      <c r="Y88" s="163">
        <f>IFERROR(Table13[[#This Row],[B2.Aud]]-Table13[[#This Row],[PW(gm)5]],"ERR")</f>
        <v>0</v>
      </c>
      <c r="Z88" s="165" t="str">
        <f>IFERROR(Table13[[#This Row],[B2.Diff]]/Table13[[#This Row],[B2.Aud]],"ERR")</f>
        <v>ERR</v>
      </c>
      <c r="AA88" s="162">
        <f>_xlfn.IFNA(VLOOKUP(Table13[[#This Row],[MTP SKU Code]],'Audit Dimensions'!A:N,14,FALSE),"ARC")</f>
        <v>0</v>
      </c>
      <c r="AB88" s="161">
        <f>IFERROR(Table13[[#This Row],[B3.Aud]]-Table13[[#This Row],[PW(gm)9]],"ERR")</f>
        <v>0</v>
      </c>
      <c r="AC88" s="168">
        <f>IFERROR(Table13[[#This Row],[B3.Diff]]/Table13[[#This Row],[BaLL.Aud]],"ERR")</f>
        <v>0</v>
      </c>
      <c r="AD88" s="189">
        <f>_xlfn.IFNA(VLOOKUP(Table13[[#This Row],[MTP SKU Code]],'Audit Dimensions'!A:U,16,FALSE),"ARC")</f>
        <v>23340</v>
      </c>
      <c r="AE88" s="165">
        <f>IFERROR(1-Table13[[#This Row],[Gms]]/Table13[[#This Row],[BaLL.Aud]],"ERR")</f>
        <v>1.8851756640959727E-2</v>
      </c>
    </row>
    <row r="89" spans="1:31">
      <c r="A89" s="92" t="s">
        <v>249</v>
      </c>
      <c r="B89" s="93" t="s">
        <v>48</v>
      </c>
      <c r="C89" s="94">
        <v>88</v>
      </c>
      <c r="D89" s="94">
        <v>45</v>
      </c>
      <c r="E89" s="94">
        <v>9</v>
      </c>
      <c r="F89" s="95">
        <v>15400</v>
      </c>
      <c r="G89" s="94"/>
      <c r="H89" s="94"/>
      <c r="I89" s="94"/>
      <c r="J89" s="94"/>
      <c r="K89" s="94"/>
      <c r="L89" s="94"/>
      <c r="M89" s="94"/>
      <c r="N89" s="94"/>
      <c r="O89" s="119">
        <f>((IFERROR((C89*D89*E89),0)+IFERROR((G89*H89*I89),0)+IFERROR((K89*L89*M89),0))/1000000)*35.32</f>
        <v>1.2588047999999998</v>
      </c>
      <c r="P89" s="125">
        <f>Table13[[#This Row],[Column15]]*$P$2*1000</f>
        <v>7552.8287999999984</v>
      </c>
      <c r="Q89" s="96">
        <f>F89+J89+N89</f>
        <v>15400</v>
      </c>
      <c r="R89" s="97">
        <f>MAX(Q89,O89)</f>
        <v>15400</v>
      </c>
      <c r="S89" s="97">
        <f>MAX(R89,P89)</f>
        <v>15400</v>
      </c>
      <c r="T89" s="156" t="str">
        <f>VLOOKUP(A89,'[1]MTP SKUs - Master Data'!$A:$B,2,FALSE)</f>
        <v>Y</v>
      </c>
      <c r="U89" s="162">
        <f>_xlfn.IFNA(VLOOKUP(Table13[[#This Row],[MTP SKU Code]],'Audit Dimensions'!A:N,6,FALSE),"ARC")</f>
        <v>15710</v>
      </c>
      <c r="V89" s="162">
        <f>IFERROR(Table13[[#This Row],[B1.Aud]]-Table13[[#This Row],[PW(gm)]],"ERR")</f>
        <v>310</v>
      </c>
      <c r="W89" s="165">
        <f>IFERROR(Table13[[#This Row],[B1.Diff]]/Table13[[#This Row],[B1.Aud]],"ERR")</f>
        <v>1.9732654360280075E-2</v>
      </c>
      <c r="X89" s="162">
        <f>_xlfn.IFNA(VLOOKUP(Table13[[#This Row],[MTP SKU Code]],'Audit Dimensions'!A:N,10,FALSE),"ARC")</f>
        <v>0</v>
      </c>
      <c r="Y89" s="163">
        <f>IFERROR(Table13[[#This Row],[B2.Aud]]-Table13[[#This Row],[PW(gm)5]],"ERR")</f>
        <v>0</v>
      </c>
      <c r="Z89" s="165" t="str">
        <f>IFERROR(Table13[[#This Row],[B2.Diff]]/Table13[[#This Row],[B2.Aud]],"ERR")</f>
        <v>ERR</v>
      </c>
      <c r="AA89" s="162">
        <f>_xlfn.IFNA(VLOOKUP(Table13[[#This Row],[MTP SKU Code]],'Audit Dimensions'!A:N,14,FALSE),"ARC")</f>
        <v>0</v>
      </c>
      <c r="AB89" s="161">
        <f>IFERROR(Table13[[#This Row],[B3.Aud]]-Table13[[#This Row],[PW(gm)9]],"ERR")</f>
        <v>0</v>
      </c>
      <c r="AC89" s="168">
        <f>IFERROR(Table13[[#This Row],[B3.Diff]]/Table13[[#This Row],[BaLL.Aud]],"ERR")</f>
        <v>0</v>
      </c>
      <c r="AD89" s="189">
        <f>_xlfn.IFNA(VLOOKUP(Table13[[#This Row],[MTP SKU Code]],'Audit Dimensions'!A:U,16,FALSE),"ARC")</f>
        <v>15710</v>
      </c>
      <c r="AE89" s="165">
        <f>IFERROR(1-Table13[[#This Row],[Gms]]/Table13[[#This Row],[BaLL.Aud]],"ERR")</f>
        <v>1.9732654360280044E-2</v>
      </c>
    </row>
    <row r="90" spans="1:31">
      <c r="A90" s="68" t="s">
        <v>146</v>
      </c>
      <c r="B90" s="84" t="s">
        <v>48</v>
      </c>
      <c r="C90" s="84">
        <v>146</v>
      </c>
      <c r="D90" s="85">
        <v>48</v>
      </c>
      <c r="E90" s="85">
        <v>10</v>
      </c>
      <c r="F90" s="89">
        <v>29000</v>
      </c>
      <c r="G90" s="85"/>
      <c r="H90" s="85"/>
      <c r="I90" s="85"/>
      <c r="J90" s="85"/>
      <c r="K90" s="85"/>
      <c r="L90" s="85"/>
      <c r="M90" s="85"/>
      <c r="N90" s="85"/>
      <c r="O90" s="118">
        <f>((IFERROR((C90*D90*E90),0)+IFERROR((G90*H90*I90),0)+IFERROR((K90*L90*M90),0))/1000000)*35.32</f>
        <v>2.4752256000000004</v>
      </c>
      <c r="P90" s="125">
        <f>Table13[[#This Row],[Column15]]*$P$2*1000</f>
        <v>14851.353600000002</v>
      </c>
      <c r="Q90" s="87">
        <f>F90+J90+N90</f>
        <v>29000</v>
      </c>
      <c r="R90" s="88">
        <f>MAX(Q90,O90)</f>
        <v>29000</v>
      </c>
      <c r="S90" s="86">
        <f>MAX(R90,P90)</f>
        <v>29000</v>
      </c>
      <c r="T90" s="156" t="str">
        <f>VLOOKUP(A90,'[1]MTP SKUs - Master Data'!$A:$B,2,FALSE)</f>
        <v>Y</v>
      </c>
      <c r="U90" s="162">
        <f>_xlfn.IFNA(VLOOKUP(Table13[[#This Row],[MTP SKU Code]],'Audit Dimensions'!A:N,6,FALSE),"ARC")</f>
        <v>29600</v>
      </c>
      <c r="V90" s="162">
        <f>IFERROR(Table13[[#This Row],[B1.Aud]]-Table13[[#This Row],[PW(gm)]],"ERR")</f>
        <v>600</v>
      </c>
      <c r="W90" s="165">
        <f>IFERROR(Table13[[#This Row],[B1.Diff]]/Table13[[#This Row],[B1.Aud]],"ERR")</f>
        <v>2.0270270270270271E-2</v>
      </c>
      <c r="X90" s="162">
        <f>_xlfn.IFNA(VLOOKUP(Table13[[#This Row],[MTP SKU Code]],'Audit Dimensions'!A:N,10,FALSE),"ARC")</f>
        <v>0</v>
      </c>
      <c r="Y90" s="163">
        <f>IFERROR(Table13[[#This Row],[B2.Aud]]-Table13[[#This Row],[PW(gm)5]],"ERR")</f>
        <v>0</v>
      </c>
      <c r="Z90" s="165" t="str">
        <f>IFERROR(Table13[[#This Row],[B2.Diff]]/Table13[[#This Row],[B2.Aud]],"ERR")</f>
        <v>ERR</v>
      </c>
      <c r="AA90" s="162">
        <f>_xlfn.IFNA(VLOOKUP(Table13[[#This Row],[MTP SKU Code]],'Audit Dimensions'!A:N,14,FALSE),"ARC")</f>
        <v>0</v>
      </c>
      <c r="AB90" s="161">
        <f>IFERROR(Table13[[#This Row],[B3.Aud]]-Table13[[#This Row],[PW(gm)9]],"ERR")</f>
        <v>0</v>
      </c>
      <c r="AC90" s="168">
        <f>IFERROR(Table13[[#This Row],[B3.Diff]]/Table13[[#This Row],[BaLL.Aud]],"ERR")</f>
        <v>0</v>
      </c>
      <c r="AD90" s="189">
        <f>_xlfn.IFNA(VLOOKUP(Table13[[#This Row],[MTP SKU Code]],'Audit Dimensions'!A:U,16,FALSE),"ARC")</f>
        <v>29600</v>
      </c>
      <c r="AE90" s="165">
        <f>IFERROR(1-Table13[[#This Row],[Gms]]/Table13[[#This Row],[BaLL.Aud]],"ERR")</f>
        <v>2.0270270270270285E-2</v>
      </c>
    </row>
    <row r="91" spans="1:31">
      <c r="A91" s="68" t="s">
        <v>79</v>
      </c>
      <c r="B91" s="84" t="s">
        <v>48</v>
      </c>
      <c r="C91" s="84">
        <v>145</v>
      </c>
      <c r="D91" s="85">
        <v>44</v>
      </c>
      <c r="E91" s="85">
        <v>9</v>
      </c>
      <c r="F91" s="89">
        <v>25800</v>
      </c>
      <c r="G91" s="85"/>
      <c r="H91" s="85"/>
      <c r="I91" s="85"/>
      <c r="J91" s="85"/>
      <c r="K91" s="85"/>
      <c r="L91" s="85"/>
      <c r="M91" s="85"/>
      <c r="N91" s="85"/>
      <c r="O91" s="118">
        <f>((IFERROR((C91*D91*E91),0)+IFERROR((G91*H91*I91),0)+IFERROR((K91*L91*M91),0))/1000000)*35.32</f>
        <v>2.0280743999999999</v>
      </c>
      <c r="P91" s="125">
        <f>Table13[[#This Row],[Column15]]*$P$2*1000</f>
        <v>12168.446400000001</v>
      </c>
      <c r="Q91" s="87">
        <f>F91+J91+N91</f>
        <v>25800</v>
      </c>
      <c r="R91" s="86">
        <f>MAX(Q91,O91)</f>
        <v>25800</v>
      </c>
      <c r="S91" s="86">
        <f>MAX(R91,P91)</f>
        <v>25800</v>
      </c>
      <c r="T91" s="156" t="str">
        <f>VLOOKUP(A91,'[1]MTP SKUs - Master Data'!$A:$B,2,FALSE)</f>
        <v>Y</v>
      </c>
      <c r="U91" s="162">
        <f>_xlfn.IFNA(VLOOKUP(Table13[[#This Row],[MTP SKU Code]],'Audit Dimensions'!A:N,6,FALSE),"ARC")</f>
        <v>26350</v>
      </c>
      <c r="V91" s="162">
        <f>IFERROR(Table13[[#This Row],[B1.Aud]]-Table13[[#This Row],[PW(gm)]],"ERR")</f>
        <v>550</v>
      </c>
      <c r="W91" s="165">
        <f>IFERROR(Table13[[#This Row],[B1.Diff]]/Table13[[#This Row],[B1.Aud]],"ERR")</f>
        <v>2.0872865275142316E-2</v>
      </c>
      <c r="X91" s="162">
        <f>_xlfn.IFNA(VLOOKUP(Table13[[#This Row],[MTP SKU Code]],'Audit Dimensions'!A:N,10,FALSE),"ARC")</f>
        <v>0</v>
      </c>
      <c r="Y91" s="163">
        <f>IFERROR(Table13[[#This Row],[B2.Aud]]-Table13[[#This Row],[PW(gm)5]],"ERR")</f>
        <v>0</v>
      </c>
      <c r="Z91" s="165" t="str">
        <f>IFERROR(Table13[[#This Row],[B2.Diff]]/Table13[[#This Row],[B2.Aud]],"ERR")</f>
        <v>ERR</v>
      </c>
      <c r="AA91" s="162">
        <f>_xlfn.IFNA(VLOOKUP(Table13[[#This Row],[MTP SKU Code]],'Audit Dimensions'!A:N,14,FALSE),"ARC")</f>
        <v>0</v>
      </c>
      <c r="AB91" s="161">
        <f>IFERROR(Table13[[#This Row],[B3.Aud]]-Table13[[#This Row],[PW(gm)9]],"ERR")</f>
        <v>0</v>
      </c>
      <c r="AC91" s="168">
        <f>IFERROR(Table13[[#This Row],[B3.Diff]]/Table13[[#This Row],[BaLL.Aud]],"ERR")</f>
        <v>0</v>
      </c>
      <c r="AD91" s="189">
        <f>_xlfn.IFNA(VLOOKUP(Table13[[#This Row],[MTP SKU Code]],'Audit Dimensions'!A:U,16,FALSE),"ARC")</f>
        <v>26350</v>
      </c>
      <c r="AE91" s="165">
        <f>IFERROR(1-Table13[[#This Row],[Gms]]/Table13[[#This Row],[BaLL.Aud]],"ERR")</f>
        <v>2.0872865275142316E-2</v>
      </c>
    </row>
    <row r="92" spans="1:31">
      <c r="A92" s="70" t="s">
        <v>264</v>
      </c>
      <c r="B92" s="84" t="s">
        <v>48</v>
      </c>
      <c r="C92" s="84">
        <v>86</v>
      </c>
      <c r="D92" s="85">
        <v>36</v>
      </c>
      <c r="E92" s="85">
        <v>15</v>
      </c>
      <c r="F92" s="89">
        <v>18000</v>
      </c>
      <c r="G92" s="85"/>
      <c r="H92" s="85"/>
      <c r="I92" s="85"/>
      <c r="J92" s="85"/>
      <c r="K92" s="85"/>
      <c r="L92" s="85"/>
      <c r="M92" s="85"/>
      <c r="N92" s="85"/>
      <c r="O92" s="118">
        <f>((IFERROR((C92*D92*E92),0)+IFERROR((G92*H92*I92),0)+IFERROR((K92*L92*M92),0))/1000000)*35.32</f>
        <v>1.6402608000000001</v>
      </c>
      <c r="P92" s="125">
        <f>Table13[[#This Row],[Column15]]*$P$2*1000</f>
        <v>9841.5648000000001</v>
      </c>
      <c r="Q92" s="87">
        <f>F92+J92+N92</f>
        <v>18000</v>
      </c>
      <c r="R92" s="86">
        <f>MAX(Q92,O92)</f>
        <v>18000</v>
      </c>
      <c r="S92" s="86">
        <f>MAX(R92,P92)</f>
        <v>18000</v>
      </c>
      <c r="T92" s="156" t="str">
        <f>VLOOKUP(A92,'[1]MTP SKUs - Master Data'!$A:$B,2,FALSE)</f>
        <v>Y</v>
      </c>
      <c r="U92" s="162">
        <f>_xlfn.IFNA(VLOOKUP(Table13[[#This Row],[MTP SKU Code]],'Audit Dimensions'!A:N,6,FALSE),"ARC")</f>
        <v>18400</v>
      </c>
      <c r="V92" s="162">
        <f>IFERROR(Table13[[#This Row],[B1.Aud]]-Table13[[#This Row],[PW(gm)]],"ERR")</f>
        <v>400</v>
      </c>
      <c r="W92" s="165">
        <f>IFERROR(Table13[[#This Row],[B1.Diff]]/Table13[[#This Row],[B1.Aud]],"ERR")</f>
        <v>2.1739130434782608E-2</v>
      </c>
      <c r="X92" s="162">
        <f>_xlfn.IFNA(VLOOKUP(Table13[[#This Row],[MTP SKU Code]],'Audit Dimensions'!A:N,10,FALSE),"ARC")</f>
        <v>0</v>
      </c>
      <c r="Y92" s="163">
        <f>IFERROR(Table13[[#This Row],[B2.Aud]]-Table13[[#This Row],[PW(gm)5]],"ERR")</f>
        <v>0</v>
      </c>
      <c r="Z92" s="165" t="str">
        <f>IFERROR(Table13[[#This Row],[B2.Diff]]/Table13[[#This Row],[B2.Aud]],"ERR")</f>
        <v>ERR</v>
      </c>
      <c r="AA92" s="162">
        <f>_xlfn.IFNA(VLOOKUP(Table13[[#This Row],[MTP SKU Code]],'Audit Dimensions'!A:N,14,FALSE),"ARC")</f>
        <v>0</v>
      </c>
      <c r="AB92" s="161">
        <f>IFERROR(Table13[[#This Row],[B3.Aud]]-Table13[[#This Row],[PW(gm)9]],"ERR")</f>
        <v>0</v>
      </c>
      <c r="AC92" s="168">
        <f>IFERROR(Table13[[#This Row],[B3.Diff]]/Table13[[#This Row],[BaLL.Aud]],"ERR")</f>
        <v>0</v>
      </c>
      <c r="AD92" s="189">
        <f>_xlfn.IFNA(VLOOKUP(Table13[[#This Row],[MTP SKU Code]],'Audit Dimensions'!A:U,16,FALSE),"ARC")</f>
        <v>18400</v>
      </c>
      <c r="AE92" s="165">
        <f>IFERROR(1-Table13[[#This Row],[Gms]]/Table13[[#This Row],[BaLL.Aud]],"ERR")</f>
        <v>2.1739130434782594E-2</v>
      </c>
    </row>
    <row r="93" spans="1:31">
      <c r="A93" s="68" t="s">
        <v>99</v>
      </c>
      <c r="B93" s="84" t="s">
        <v>48</v>
      </c>
      <c r="C93" s="84">
        <v>86</v>
      </c>
      <c r="D93" s="85">
        <v>36</v>
      </c>
      <c r="E93" s="85">
        <v>15</v>
      </c>
      <c r="F93" s="89">
        <v>18000</v>
      </c>
      <c r="G93" s="85">
        <v>86</v>
      </c>
      <c r="H93" s="85">
        <v>36</v>
      </c>
      <c r="I93" s="85">
        <v>15</v>
      </c>
      <c r="J93" s="85">
        <v>18000</v>
      </c>
      <c r="K93" s="85"/>
      <c r="L93" s="85"/>
      <c r="M93" s="85"/>
      <c r="N93" s="85"/>
      <c r="O93" s="118">
        <f>((IFERROR((C93*D93*E93),0)+IFERROR((G93*H93*I93),0)+IFERROR((K93*L93*M93),0))/1000000)*35.32</f>
        <v>3.2805216000000001</v>
      </c>
      <c r="P93" s="125">
        <f>Table13[[#This Row],[Column15]]*$P$2*1000</f>
        <v>19683.1296</v>
      </c>
      <c r="Q93" s="87">
        <f>F93+J93+N93</f>
        <v>36000</v>
      </c>
      <c r="R93" s="88">
        <f>MAX(Q93,O93)</f>
        <v>36000</v>
      </c>
      <c r="S93" s="86">
        <f>MAX(R93,P93)</f>
        <v>36000</v>
      </c>
      <c r="T93" s="156" t="str">
        <f>VLOOKUP(A93,'[1]MTP SKUs - Master Data'!$A:$B,2,FALSE)</f>
        <v>Y</v>
      </c>
      <c r="U93" s="162">
        <f>_xlfn.IFNA(VLOOKUP(Table13[[#This Row],[MTP SKU Code]],'Audit Dimensions'!A:N,6,FALSE),"ARC")</f>
        <v>36800</v>
      </c>
      <c r="V93" s="162">
        <f>IFERROR(Table13[[#This Row],[B1.Aud]]-Table13[[#This Row],[PW(gm)]],"ERR")</f>
        <v>18800</v>
      </c>
      <c r="W93" s="165">
        <f>IFERROR(Table13[[#This Row],[B1.Diff]]/Table13[[#This Row],[B1.Aud]],"ERR")</f>
        <v>0.51086956521739135</v>
      </c>
      <c r="X93" s="162">
        <f>_xlfn.IFNA(VLOOKUP(Table13[[#This Row],[MTP SKU Code]],'Audit Dimensions'!A:N,10,FALSE),"ARC")</f>
        <v>0</v>
      </c>
      <c r="Y93" s="163">
        <f>IFERROR(Table13[[#This Row],[B2.Aud]]-Table13[[#This Row],[PW(gm)5]],"ERR")</f>
        <v>-18000</v>
      </c>
      <c r="Z93" s="165" t="str">
        <f>IFERROR(Table13[[#This Row],[B2.Diff]]/Table13[[#This Row],[B2.Aud]],"ERR")</f>
        <v>ERR</v>
      </c>
      <c r="AA93" s="162">
        <f>_xlfn.IFNA(VLOOKUP(Table13[[#This Row],[MTP SKU Code]],'Audit Dimensions'!A:N,14,FALSE),"ARC")</f>
        <v>0</v>
      </c>
      <c r="AB93" s="161">
        <f>IFERROR(Table13[[#This Row],[B3.Aud]]-Table13[[#This Row],[PW(gm)9]],"ERR")</f>
        <v>0</v>
      </c>
      <c r="AC93" s="168">
        <f>IFERROR(Table13[[#This Row],[B3.Diff]]/Table13[[#This Row],[BaLL.Aud]],"ERR")</f>
        <v>0</v>
      </c>
      <c r="AD93" s="189">
        <f>_xlfn.IFNA(VLOOKUP(Table13[[#This Row],[MTP SKU Code]],'Audit Dimensions'!A:U,16,FALSE),"ARC")</f>
        <v>36800</v>
      </c>
      <c r="AE93" s="165">
        <f>IFERROR(1-Table13[[#This Row],[Gms]]/Table13[[#This Row],[BaLL.Aud]],"ERR")</f>
        <v>2.1739130434782594E-2</v>
      </c>
    </row>
    <row r="94" spans="1:31" hidden="1">
      <c r="A94" s="68" t="s">
        <v>139</v>
      </c>
      <c r="B94" s="84" t="s">
        <v>48</v>
      </c>
      <c r="C94" s="85">
        <v>25</v>
      </c>
      <c r="D94" s="85">
        <v>20</v>
      </c>
      <c r="E94" s="85">
        <v>5</v>
      </c>
      <c r="F94" s="89">
        <v>430</v>
      </c>
      <c r="G94" s="85"/>
      <c r="H94" s="85"/>
      <c r="I94" s="85"/>
      <c r="J94" s="85"/>
      <c r="K94" s="85"/>
      <c r="L94" s="85"/>
      <c r="M94" s="85"/>
      <c r="N94" s="85"/>
      <c r="O94" s="118">
        <f>((IFERROR((C94*D94*E94),0)+IFERROR((G94*H94*I94),0)+IFERROR((K94*L94*M94),0))/1000000)*35.32</f>
        <v>8.8300000000000003E-2</v>
      </c>
      <c r="P94" s="125">
        <f>Table13[[#This Row],[Column15]]*$P$2*1000</f>
        <v>529.80000000000007</v>
      </c>
      <c r="Q94" s="87">
        <f>F94+J94+N94</f>
        <v>430</v>
      </c>
      <c r="R94" s="86">
        <f>MAX(Q94,O94)</f>
        <v>430</v>
      </c>
      <c r="S94" s="86">
        <f>MAX(R94,P94)</f>
        <v>529.80000000000007</v>
      </c>
      <c r="T94" s="156" t="str">
        <f>VLOOKUP(A94,'[1]MTP SKUs - Master Data'!$A:$B,2,FALSE)</f>
        <v>DI</v>
      </c>
      <c r="U94" s="162">
        <f>_xlfn.IFNA(VLOOKUP(Table13[[#This Row],[MTP SKU Code]],'Audit Dimensions'!A:N,6,FALSE),"ARC")</f>
        <v>440</v>
      </c>
      <c r="V94" s="162">
        <f>IFERROR(Table13[[#This Row],[B1.Aud]]-Table13[[#This Row],[PW(gm)]],"ERR")</f>
        <v>10</v>
      </c>
      <c r="W94" s="165">
        <f>IFERROR(Table13[[#This Row],[B1.Diff]]/Table13[[#This Row],[B1.Aud]],"ERR")</f>
        <v>2.2727272727272728E-2</v>
      </c>
      <c r="X94" s="162">
        <f>_xlfn.IFNA(VLOOKUP(Table13[[#This Row],[MTP SKU Code]],'Audit Dimensions'!A:N,10,FALSE),"ARC")</f>
        <v>0</v>
      </c>
      <c r="Y94" s="163">
        <f>IFERROR(Table13[[#This Row],[B2.Aud]]-Table13[[#This Row],[PW(gm)5]],"ERR")</f>
        <v>0</v>
      </c>
      <c r="Z94" s="165" t="str">
        <f>IFERROR(Table13[[#This Row],[B2.Diff]]/Table13[[#This Row],[B2.Aud]],"ERR")</f>
        <v>ERR</v>
      </c>
      <c r="AA94" s="162">
        <f>_xlfn.IFNA(VLOOKUP(Table13[[#This Row],[MTP SKU Code]],'Audit Dimensions'!A:N,14,FALSE),"ARC")</f>
        <v>0</v>
      </c>
      <c r="AB94" s="161">
        <f>IFERROR(Table13[[#This Row],[B3.Aud]]-Table13[[#This Row],[PW(gm)9]],"ERR")</f>
        <v>0</v>
      </c>
      <c r="AC94" s="168">
        <f>IFERROR(Table13[[#This Row],[B3.Diff]]/Table13[[#This Row],[BaLL.Aud]],"ERR")</f>
        <v>0</v>
      </c>
      <c r="AD94" s="162">
        <f>_xlfn.IFNA(VLOOKUP(Table13[[#This Row],[MTP SKU Code]],'Audit Dimensions'!A:U,16,FALSE),"ARC")</f>
        <v>440</v>
      </c>
      <c r="AE94" s="165">
        <f>IFERROR(1-Table13[[#This Row],[Gms]]/Table13[[#This Row],[BaLL.Aud]],"ERR")</f>
        <v>2.2727272727272707E-2</v>
      </c>
    </row>
    <row r="95" spans="1:31" ht="12.4" customHeight="1">
      <c r="A95" s="68" t="s">
        <v>81</v>
      </c>
      <c r="B95" s="84" t="s">
        <v>74</v>
      </c>
      <c r="C95" s="85">
        <v>123</v>
      </c>
      <c r="D95" s="85">
        <v>53</v>
      </c>
      <c r="E95" s="85">
        <v>11</v>
      </c>
      <c r="F95" s="89">
        <v>33900</v>
      </c>
      <c r="G95" s="85">
        <v>186</v>
      </c>
      <c r="H95" s="85">
        <v>51</v>
      </c>
      <c r="I95" s="85">
        <v>10</v>
      </c>
      <c r="J95" s="85">
        <v>44100</v>
      </c>
      <c r="K95" s="85"/>
      <c r="L95" s="85"/>
      <c r="M95" s="85"/>
      <c r="N95" s="85"/>
      <c r="O95" s="118">
        <f>((IFERROR((C95*D95*E95),0)+IFERROR((G95*H95*I95),0)+IFERROR((K95*L95*M95),0))/1000000)*35.32</f>
        <v>5.8832170799999997</v>
      </c>
      <c r="P95" s="125">
        <f>Table13[[#This Row],[Column15]]*$P$2*1000</f>
        <v>35299.302479999991</v>
      </c>
      <c r="Q95" s="87">
        <f>F95+J95+N95</f>
        <v>78000</v>
      </c>
      <c r="R95" s="86">
        <f>MAX(Q95,O95)</f>
        <v>78000</v>
      </c>
      <c r="S95" s="86">
        <f>MAX(R95,P95)</f>
        <v>78000</v>
      </c>
      <c r="T95" s="156" t="str">
        <f>VLOOKUP(A95,'[1]MTP SKUs - Master Data'!$A:$B,2,FALSE)</f>
        <v>Y</v>
      </c>
      <c r="U95" s="162">
        <f>_xlfn.IFNA(VLOOKUP(Table13[[#This Row],[MTP SKU Code]],'Audit Dimensions'!A:N,6,FALSE),"ARC")</f>
        <v>33080</v>
      </c>
      <c r="V95" s="162">
        <f>IFERROR(Table13[[#This Row],[B1.Aud]]-Table13[[#This Row],[PW(gm)]],"ERR")</f>
        <v>-820</v>
      </c>
      <c r="W95" s="165">
        <f>IFERROR(Table13[[#This Row],[B1.Diff]]/Table13[[#This Row],[B1.Aud]],"ERR")</f>
        <v>-2.4788391777509067E-2</v>
      </c>
      <c r="X95" s="162">
        <f>_xlfn.IFNA(VLOOKUP(Table13[[#This Row],[MTP SKU Code]],'Audit Dimensions'!A:N,10,FALSE),"ARC")</f>
        <v>46770</v>
      </c>
      <c r="Y95" s="163">
        <f>IFERROR(Table13[[#This Row],[B2.Aud]]-Table13[[#This Row],[PW(gm)5]],"ERR")</f>
        <v>2670</v>
      </c>
      <c r="Z95" s="165">
        <f>IFERROR(Table13[[#This Row],[B2.Diff]]/Table13[[#This Row],[B2.Aud]],"ERR")</f>
        <v>5.7087876844130851E-2</v>
      </c>
      <c r="AA95" s="162">
        <f>_xlfn.IFNA(VLOOKUP(Table13[[#This Row],[MTP SKU Code]],'Audit Dimensions'!A:N,14,FALSE),"ARC")</f>
        <v>0</v>
      </c>
      <c r="AB95" s="161">
        <f>IFERROR(Table13[[#This Row],[B3.Aud]]-Table13[[#This Row],[PW(gm)9]],"ERR")</f>
        <v>0</v>
      </c>
      <c r="AC95" s="168">
        <f>IFERROR(Table13[[#This Row],[B3.Diff]]/Table13[[#This Row],[BaLL.Aud]],"ERR")</f>
        <v>0</v>
      </c>
      <c r="AD95" s="189">
        <f>_xlfn.IFNA(VLOOKUP(Table13[[#This Row],[MTP SKU Code]],'Audit Dimensions'!A:U,16,FALSE),"ARC")</f>
        <v>79850</v>
      </c>
      <c r="AE95" s="165">
        <f>IFERROR(1-Table13[[#This Row],[Gms]]/Table13[[#This Row],[BaLL.Aud]],"ERR")</f>
        <v>2.3168440826549785E-2</v>
      </c>
    </row>
    <row r="96" spans="1:31" ht="14.45" customHeight="1">
      <c r="A96" s="91" t="s">
        <v>213</v>
      </c>
      <c r="B96" s="84" t="s">
        <v>48</v>
      </c>
      <c r="C96" s="85">
        <v>81</v>
      </c>
      <c r="D96" s="85">
        <v>43</v>
      </c>
      <c r="E96" s="85">
        <v>14</v>
      </c>
      <c r="F96" s="89">
        <v>20800</v>
      </c>
      <c r="G96" s="85"/>
      <c r="H96" s="85"/>
      <c r="I96" s="85"/>
      <c r="J96" s="85"/>
      <c r="K96" s="85"/>
      <c r="L96" s="85"/>
      <c r="M96" s="85"/>
      <c r="N96" s="85"/>
      <c r="O96" s="118">
        <f>((IFERROR((C96*D96*E96),0)+IFERROR((G96*H96*I96),0)+IFERROR((K96*L96*M96),0))/1000000)*35.32</f>
        <v>1.7222738399999999</v>
      </c>
      <c r="P96" s="125">
        <f>Table13[[#This Row],[Column15]]*$P$2*1000</f>
        <v>10333.643040000001</v>
      </c>
      <c r="Q96" s="87">
        <f>F96+J96+N96</f>
        <v>20800</v>
      </c>
      <c r="R96" s="86">
        <f>MAX(Q96,O96)</f>
        <v>20800</v>
      </c>
      <c r="S96" s="86">
        <f>MAX(R96,P96)</f>
        <v>20800</v>
      </c>
      <c r="T96" s="156" t="str">
        <f>VLOOKUP(A96,'[1]MTP SKUs - Master Data'!$A:$B,2,FALSE)</f>
        <v>Y</v>
      </c>
      <c r="U96" s="162">
        <f>_xlfn.IFNA(VLOOKUP(Table13[[#This Row],[MTP SKU Code]],'Audit Dimensions'!A:N,6,FALSE),"ARC")</f>
        <v>21300</v>
      </c>
      <c r="V96" s="162">
        <f>IFERROR(Table13[[#This Row],[B1.Aud]]-Table13[[#This Row],[PW(gm)]],"ERR")</f>
        <v>500</v>
      </c>
      <c r="W96" s="165">
        <f>IFERROR(Table13[[#This Row],[B1.Diff]]/Table13[[#This Row],[B1.Aud]],"ERR")</f>
        <v>2.3474178403755867E-2</v>
      </c>
      <c r="X96" s="162">
        <f>_xlfn.IFNA(VLOOKUP(Table13[[#This Row],[MTP SKU Code]],'Audit Dimensions'!A:N,10,FALSE),"ARC")</f>
        <v>0</v>
      </c>
      <c r="Y96" s="163">
        <f>IFERROR(Table13[[#This Row],[B2.Aud]]-Table13[[#This Row],[PW(gm)5]],"ERR")</f>
        <v>0</v>
      </c>
      <c r="Z96" s="165" t="str">
        <f>IFERROR(Table13[[#This Row],[B2.Diff]]/Table13[[#This Row],[B2.Aud]],"ERR")</f>
        <v>ERR</v>
      </c>
      <c r="AA96" s="162">
        <f>_xlfn.IFNA(VLOOKUP(Table13[[#This Row],[MTP SKU Code]],'Audit Dimensions'!A:N,14,FALSE),"ARC")</f>
        <v>0</v>
      </c>
      <c r="AB96" s="161">
        <f>IFERROR(Table13[[#This Row],[B3.Aud]]-Table13[[#This Row],[PW(gm)9]],"ERR")</f>
        <v>0</v>
      </c>
      <c r="AC96" s="168">
        <f>IFERROR(Table13[[#This Row],[B3.Diff]]/Table13[[#This Row],[BaLL.Aud]],"ERR")</f>
        <v>0</v>
      </c>
      <c r="AD96" s="189">
        <f>_xlfn.IFNA(VLOOKUP(Table13[[#This Row],[MTP SKU Code]],'Audit Dimensions'!A:U,16,FALSE),"ARC")</f>
        <v>21300</v>
      </c>
      <c r="AE96" s="165">
        <f>IFERROR(1-Table13[[#This Row],[Gms]]/Table13[[#This Row],[BaLL.Aud]],"ERR")</f>
        <v>2.3474178403755874E-2</v>
      </c>
    </row>
    <row r="97" spans="1:31">
      <c r="A97" s="91" t="s">
        <v>266</v>
      </c>
      <c r="B97" s="84" t="s">
        <v>48</v>
      </c>
      <c r="C97" s="85">
        <v>87</v>
      </c>
      <c r="D97" s="85">
        <v>29</v>
      </c>
      <c r="E97" s="85">
        <v>9</v>
      </c>
      <c r="F97" s="89">
        <v>7800</v>
      </c>
      <c r="G97" s="85"/>
      <c r="H97" s="85"/>
      <c r="I97" s="85"/>
      <c r="J97" s="85"/>
      <c r="K97" s="85"/>
      <c r="L97" s="85"/>
      <c r="M97" s="85"/>
      <c r="N97" s="85"/>
      <c r="O97" s="118">
        <f>((IFERROR((C97*D97*E97),0)+IFERROR((G97*H97*I97),0)+IFERROR((K97*L97*M97),0))/1000000)*35.32</f>
        <v>0.80201124000000001</v>
      </c>
      <c r="P97" s="125">
        <f>Table13[[#This Row],[Column15]]*$P$2*1000</f>
        <v>4812.0674399999998</v>
      </c>
      <c r="Q97" s="87">
        <f>F97+J97+N97</f>
        <v>7800</v>
      </c>
      <c r="R97" s="86">
        <f>MAX(Q97,O97)</f>
        <v>7800</v>
      </c>
      <c r="S97" s="86">
        <f>MAX(R97,P97)</f>
        <v>7800</v>
      </c>
      <c r="T97" s="156" t="str">
        <f>VLOOKUP(A97,'[1]MTP SKUs - Master Data'!$A:$B,2,FALSE)</f>
        <v>Y</v>
      </c>
      <c r="U97" s="162">
        <f>_xlfn.IFNA(VLOOKUP(Table13[[#This Row],[MTP SKU Code]],'Audit Dimensions'!A:N,6,FALSE),"ARC")</f>
        <v>7990</v>
      </c>
      <c r="V97" s="162">
        <f>IFERROR(Table13[[#This Row],[B1.Aud]]-Table13[[#This Row],[PW(gm)]],"ERR")</f>
        <v>190</v>
      </c>
      <c r="W97" s="165">
        <f>IFERROR(Table13[[#This Row],[B1.Diff]]/Table13[[#This Row],[B1.Aud]],"ERR")</f>
        <v>2.3779724655819776E-2</v>
      </c>
      <c r="X97" s="162">
        <f>_xlfn.IFNA(VLOOKUP(Table13[[#This Row],[MTP SKU Code]],'Audit Dimensions'!A:N,10,FALSE),"ARC")</f>
        <v>0</v>
      </c>
      <c r="Y97" s="163">
        <f>IFERROR(Table13[[#This Row],[B2.Aud]]-Table13[[#This Row],[PW(gm)5]],"ERR")</f>
        <v>0</v>
      </c>
      <c r="Z97" s="165" t="str">
        <f>IFERROR(Table13[[#This Row],[B2.Diff]]/Table13[[#This Row],[B2.Aud]],"ERR")</f>
        <v>ERR</v>
      </c>
      <c r="AA97" s="162">
        <f>_xlfn.IFNA(VLOOKUP(Table13[[#This Row],[MTP SKU Code]],'Audit Dimensions'!A:N,14,FALSE),"ARC")</f>
        <v>0</v>
      </c>
      <c r="AB97" s="161">
        <f>IFERROR(Table13[[#This Row],[B3.Aud]]-Table13[[#This Row],[PW(gm)9]],"ERR")</f>
        <v>0</v>
      </c>
      <c r="AC97" s="168">
        <f>IFERROR(Table13[[#This Row],[B3.Diff]]/Table13[[#This Row],[BaLL.Aud]],"ERR")</f>
        <v>0</v>
      </c>
      <c r="AD97" s="189">
        <f>_xlfn.IFNA(VLOOKUP(Table13[[#This Row],[MTP SKU Code]],'Audit Dimensions'!A:U,16,FALSE),"ARC")</f>
        <v>7990</v>
      </c>
      <c r="AE97" s="165">
        <f>IFERROR(1-Table13[[#This Row],[Gms]]/Table13[[#This Row],[BaLL.Aud]],"ERR")</f>
        <v>2.3779724655819789E-2</v>
      </c>
    </row>
    <row r="98" spans="1:31">
      <c r="A98" s="91" t="s">
        <v>117</v>
      </c>
      <c r="B98" s="84" t="s">
        <v>48</v>
      </c>
      <c r="C98" s="85">
        <v>196</v>
      </c>
      <c r="D98" s="85">
        <v>43</v>
      </c>
      <c r="E98" s="85">
        <v>8</v>
      </c>
      <c r="F98" s="89">
        <v>31955</v>
      </c>
      <c r="G98" s="85"/>
      <c r="H98" s="85"/>
      <c r="I98" s="85"/>
      <c r="J98" s="85"/>
      <c r="K98" s="85"/>
      <c r="L98" s="85"/>
      <c r="M98" s="85"/>
      <c r="N98" s="85"/>
      <c r="O98" s="118">
        <f>((IFERROR((C98*D98*E98),0)+IFERROR((G98*H98*I98),0)+IFERROR((K98*L98*M98),0))/1000000)*35.32</f>
        <v>2.3814156799999999</v>
      </c>
      <c r="P98" s="125">
        <f>Table13[[#This Row],[Column15]]*$P$2*1000</f>
        <v>14288.49408</v>
      </c>
      <c r="Q98" s="87">
        <f>F98+J98+N98</f>
        <v>31955</v>
      </c>
      <c r="R98" s="86">
        <f>MAX(Q98,O98)</f>
        <v>31955</v>
      </c>
      <c r="S98" s="86">
        <f>MAX(R98,P98)</f>
        <v>31955</v>
      </c>
      <c r="T98" s="156" t="str">
        <f>VLOOKUP(A98,'[1]MTP SKUs - Master Data'!$A:$B,2,FALSE)</f>
        <v>Y</v>
      </c>
      <c r="U98" s="162">
        <f>_xlfn.IFNA(VLOOKUP(Table13[[#This Row],[MTP SKU Code]],'Audit Dimensions'!A:N,6,FALSE),"ARC")</f>
        <v>32740</v>
      </c>
      <c r="V98" s="162">
        <f>IFERROR(Table13[[#This Row],[B1.Aud]]-Table13[[#This Row],[PW(gm)]],"ERR")</f>
        <v>785</v>
      </c>
      <c r="W98" s="165">
        <f>IFERROR(Table13[[#This Row],[B1.Diff]]/Table13[[#This Row],[B1.Aud]],"ERR")</f>
        <v>2.3976786805131337E-2</v>
      </c>
      <c r="X98" s="162">
        <f>_xlfn.IFNA(VLOOKUP(Table13[[#This Row],[MTP SKU Code]],'Audit Dimensions'!A:N,10,FALSE),"ARC")</f>
        <v>0</v>
      </c>
      <c r="Y98" s="163">
        <f>IFERROR(Table13[[#This Row],[B2.Aud]]-Table13[[#This Row],[PW(gm)5]],"ERR")</f>
        <v>0</v>
      </c>
      <c r="Z98" s="165" t="str">
        <f>IFERROR(Table13[[#This Row],[B2.Diff]]/Table13[[#This Row],[B2.Aud]],"ERR")</f>
        <v>ERR</v>
      </c>
      <c r="AA98" s="162">
        <f>_xlfn.IFNA(VLOOKUP(Table13[[#This Row],[MTP SKU Code]],'Audit Dimensions'!A:N,14,FALSE),"ARC")</f>
        <v>0</v>
      </c>
      <c r="AB98" s="161">
        <f>IFERROR(Table13[[#This Row],[B3.Aud]]-Table13[[#This Row],[PW(gm)9]],"ERR")</f>
        <v>0</v>
      </c>
      <c r="AC98" s="168">
        <f>IFERROR(Table13[[#This Row],[B3.Diff]]/Table13[[#This Row],[BaLL.Aud]],"ERR")</f>
        <v>0</v>
      </c>
      <c r="AD98" s="189">
        <f>_xlfn.IFNA(VLOOKUP(Table13[[#This Row],[MTP SKU Code]],'Audit Dimensions'!A:U,16,FALSE),"ARC")</f>
        <v>32740</v>
      </c>
      <c r="AE98" s="165">
        <f>IFERROR(1-Table13[[#This Row],[Gms]]/Table13[[#This Row],[BaLL.Aud]],"ERR")</f>
        <v>2.3976786805131378E-2</v>
      </c>
    </row>
    <row r="99" spans="1:31" ht="14.45" customHeight="1">
      <c r="A99" s="68" t="s">
        <v>204</v>
      </c>
      <c r="B99" s="84" t="s">
        <v>48</v>
      </c>
      <c r="C99" s="85">
        <v>130</v>
      </c>
      <c r="D99" s="85">
        <v>42</v>
      </c>
      <c r="E99" s="85">
        <v>5</v>
      </c>
      <c r="F99" s="89">
        <v>17400</v>
      </c>
      <c r="G99" s="85"/>
      <c r="H99" s="85"/>
      <c r="I99" s="85"/>
      <c r="J99" s="85"/>
      <c r="K99" s="85"/>
      <c r="L99" s="85"/>
      <c r="M99" s="85"/>
      <c r="N99" s="85"/>
      <c r="O99" s="118">
        <f>((IFERROR((C99*D99*E99),0)+IFERROR((G99*H99*I99),0)+IFERROR((K99*L99*M99),0))/1000000)*35.32</f>
        <v>0.96423600000000009</v>
      </c>
      <c r="P99" s="125">
        <f>Table13[[#This Row],[Column15]]*$P$2*1000</f>
        <v>5785.4160000000002</v>
      </c>
      <c r="Q99" s="87">
        <f>F99+J99+N99</f>
        <v>17400</v>
      </c>
      <c r="R99" s="86">
        <f>MAX(Q99,O99)</f>
        <v>17400</v>
      </c>
      <c r="S99" s="86">
        <f>MAX(R99,P99)</f>
        <v>17400</v>
      </c>
      <c r="T99" s="156" t="str">
        <f>VLOOKUP(A99,'[1]MTP SKUs - Master Data'!$A:$B,2,FALSE)</f>
        <v>Y</v>
      </c>
      <c r="U99" s="162">
        <f>_xlfn.IFNA(VLOOKUP(Table13[[#This Row],[MTP SKU Code]],'Audit Dimensions'!A:N,6,FALSE),"ARC")</f>
        <v>17830</v>
      </c>
      <c r="V99" s="162">
        <f>IFERROR(Table13[[#This Row],[B1.Aud]]-Table13[[#This Row],[PW(gm)]],"ERR")</f>
        <v>430</v>
      </c>
      <c r="W99" s="165">
        <f>IFERROR(Table13[[#This Row],[B1.Diff]]/Table13[[#This Row],[B1.Aud]],"ERR")</f>
        <v>2.411665731912507E-2</v>
      </c>
      <c r="X99" s="162">
        <f>_xlfn.IFNA(VLOOKUP(Table13[[#This Row],[MTP SKU Code]],'Audit Dimensions'!A:N,10,FALSE),"ARC")</f>
        <v>0</v>
      </c>
      <c r="Y99" s="163">
        <f>IFERROR(Table13[[#This Row],[B2.Aud]]-Table13[[#This Row],[PW(gm)5]],"ERR")</f>
        <v>0</v>
      </c>
      <c r="Z99" s="165" t="str">
        <f>IFERROR(Table13[[#This Row],[B2.Diff]]/Table13[[#This Row],[B2.Aud]],"ERR")</f>
        <v>ERR</v>
      </c>
      <c r="AA99" s="162">
        <f>_xlfn.IFNA(VLOOKUP(Table13[[#This Row],[MTP SKU Code]],'Audit Dimensions'!A:N,14,FALSE),"ARC")</f>
        <v>0</v>
      </c>
      <c r="AB99" s="161">
        <f>IFERROR(Table13[[#This Row],[B3.Aud]]-Table13[[#This Row],[PW(gm)9]],"ERR")</f>
        <v>0</v>
      </c>
      <c r="AC99" s="168">
        <f>IFERROR(Table13[[#This Row],[B3.Diff]]/Table13[[#This Row],[BaLL.Aud]],"ERR")</f>
        <v>0</v>
      </c>
      <c r="AD99" s="189">
        <f>_xlfn.IFNA(VLOOKUP(Table13[[#This Row],[MTP SKU Code]],'Audit Dimensions'!A:U,16,FALSE),"ARC")</f>
        <v>17830</v>
      </c>
      <c r="AE99" s="165">
        <f>IFERROR(1-Table13[[#This Row],[Gms]]/Table13[[#This Row],[BaLL.Aud]],"ERR")</f>
        <v>2.4116657319125046E-2</v>
      </c>
    </row>
    <row r="100" spans="1:31">
      <c r="A100" s="70" t="s">
        <v>90</v>
      </c>
      <c r="B100" s="84" t="s">
        <v>48</v>
      </c>
      <c r="C100" s="84">
        <v>154</v>
      </c>
      <c r="D100" s="85">
        <v>49</v>
      </c>
      <c r="E100" s="85">
        <v>13</v>
      </c>
      <c r="F100" s="89">
        <v>39000</v>
      </c>
      <c r="G100" s="85"/>
      <c r="H100" s="85"/>
      <c r="I100" s="85"/>
      <c r="J100" s="85"/>
      <c r="K100" s="85"/>
      <c r="L100" s="85"/>
      <c r="M100" s="85"/>
      <c r="N100" s="85"/>
      <c r="O100" s="118">
        <f>((IFERROR((C100*D100*E100),0)+IFERROR((G100*H100*I100),0)+IFERROR((K100*L100*M100),0))/1000000)*35.32</f>
        <v>3.4648213600000002</v>
      </c>
      <c r="P100" s="125">
        <f>Table13[[#This Row],[Column15]]*$P$2*1000</f>
        <v>20788.928159999999</v>
      </c>
      <c r="Q100" s="87">
        <f>F100+J100+N100</f>
        <v>39000</v>
      </c>
      <c r="R100" s="86">
        <f>MAX(Q100,O100)</f>
        <v>39000</v>
      </c>
      <c r="S100" s="86">
        <f>MAX(R100,P100)</f>
        <v>39000</v>
      </c>
      <c r="T100" s="156" t="str">
        <f>VLOOKUP(A100,'[1]MTP SKUs - Master Data'!$A:$B,2,FALSE)</f>
        <v>Y</v>
      </c>
      <c r="U100" s="162">
        <f>_xlfn.IFNA(VLOOKUP(Table13[[#This Row],[MTP SKU Code]],'Audit Dimensions'!A:N,6,FALSE),"ARC")</f>
        <v>39980</v>
      </c>
      <c r="V100" s="162">
        <f>IFERROR(Table13[[#This Row],[B1.Aud]]-Table13[[#This Row],[PW(gm)]],"ERR")</f>
        <v>980</v>
      </c>
      <c r="W100" s="165">
        <f>IFERROR(Table13[[#This Row],[B1.Diff]]/Table13[[#This Row],[B1.Aud]],"ERR")</f>
        <v>2.4512256128064031E-2</v>
      </c>
      <c r="X100" s="162">
        <f>_xlfn.IFNA(VLOOKUP(Table13[[#This Row],[MTP SKU Code]],'Audit Dimensions'!A:N,10,FALSE),"ARC")</f>
        <v>0</v>
      </c>
      <c r="Y100" s="163">
        <f>IFERROR(Table13[[#This Row],[B2.Aud]]-Table13[[#This Row],[PW(gm)5]],"ERR")</f>
        <v>0</v>
      </c>
      <c r="Z100" s="165" t="str">
        <f>IFERROR(Table13[[#This Row],[B2.Diff]]/Table13[[#This Row],[B2.Aud]],"ERR")</f>
        <v>ERR</v>
      </c>
      <c r="AA100" s="162">
        <f>_xlfn.IFNA(VLOOKUP(Table13[[#This Row],[MTP SKU Code]],'Audit Dimensions'!A:N,14,FALSE),"ARC")</f>
        <v>0</v>
      </c>
      <c r="AB100" s="161">
        <f>IFERROR(Table13[[#This Row],[B3.Aud]]-Table13[[#This Row],[PW(gm)9]],"ERR")</f>
        <v>0</v>
      </c>
      <c r="AC100" s="168">
        <f>IFERROR(Table13[[#This Row],[B3.Diff]]/Table13[[#This Row],[BaLL.Aud]],"ERR")</f>
        <v>0</v>
      </c>
      <c r="AD100" s="189">
        <f>_xlfn.IFNA(VLOOKUP(Table13[[#This Row],[MTP SKU Code]],'Audit Dimensions'!A:U,16,FALSE),"ARC")</f>
        <v>39980</v>
      </c>
      <c r="AE100" s="165">
        <f>IFERROR(1-Table13[[#This Row],[Gms]]/Table13[[#This Row],[BaLL.Aud]],"ERR")</f>
        <v>2.4512256128064069E-2</v>
      </c>
    </row>
    <row r="101" spans="1:31" ht="14.45" customHeight="1">
      <c r="A101" s="103" t="s">
        <v>173</v>
      </c>
      <c r="B101" s="93" t="s">
        <v>48</v>
      </c>
      <c r="C101" s="98">
        <v>87</v>
      </c>
      <c r="D101" s="98">
        <v>45</v>
      </c>
      <c r="E101" s="98">
        <v>8</v>
      </c>
      <c r="F101" s="95">
        <v>9500</v>
      </c>
      <c r="G101" s="94"/>
      <c r="H101" s="94"/>
      <c r="I101" s="94"/>
      <c r="J101" s="94"/>
      <c r="K101" s="94"/>
      <c r="L101" s="94"/>
      <c r="M101" s="94"/>
      <c r="N101" s="94"/>
      <c r="O101" s="119">
        <f>((IFERROR((C101*D101*E101),0)+IFERROR((G101*H101*I101),0)+IFERROR((K101*L101*M101),0))/1000000)*35.32</f>
        <v>1.1062224000000001</v>
      </c>
      <c r="P101" s="125">
        <f>Table13[[#This Row],[Column15]]*$P$2*1000</f>
        <v>6637.3344000000006</v>
      </c>
      <c r="Q101" s="96">
        <f>F101+J101+N101</f>
        <v>9500</v>
      </c>
      <c r="R101" s="97">
        <f>MAX(Q101,O101)</f>
        <v>9500</v>
      </c>
      <c r="S101" s="97">
        <f>MAX(R101,P101)</f>
        <v>9500</v>
      </c>
      <c r="T101" s="156" t="str">
        <f>VLOOKUP(A101,'[1]MTP SKUs - Master Data'!$A:$B,2,FALSE)</f>
        <v>Y</v>
      </c>
      <c r="U101" s="162">
        <f>_xlfn.IFNA(VLOOKUP(Table13[[#This Row],[MTP SKU Code]],'Audit Dimensions'!A:N,6,FALSE),"ARC")</f>
        <v>9740</v>
      </c>
      <c r="V101" s="162">
        <f>IFERROR(Table13[[#This Row],[B1.Aud]]-Table13[[#This Row],[PW(gm)]],"ERR")</f>
        <v>240</v>
      </c>
      <c r="W101" s="165">
        <f>IFERROR(Table13[[#This Row],[B1.Diff]]/Table13[[#This Row],[B1.Aud]],"ERR")</f>
        <v>2.4640657084188913E-2</v>
      </c>
      <c r="X101" s="162">
        <f>_xlfn.IFNA(VLOOKUP(Table13[[#This Row],[MTP SKU Code]],'Audit Dimensions'!A:N,10,FALSE),"ARC")</f>
        <v>0</v>
      </c>
      <c r="Y101" s="163">
        <f>IFERROR(Table13[[#This Row],[B2.Aud]]-Table13[[#This Row],[PW(gm)5]],"ERR")</f>
        <v>0</v>
      </c>
      <c r="Z101" s="165" t="str">
        <f>IFERROR(Table13[[#This Row],[B2.Diff]]/Table13[[#This Row],[B2.Aud]],"ERR")</f>
        <v>ERR</v>
      </c>
      <c r="AA101" s="162">
        <f>_xlfn.IFNA(VLOOKUP(Table13[[#This Row],[MTP SKU Code]],'Audit Dimensions'!A:N,14,FALSE),"ARC")</f>
        <v>0</v>
      </c>
      <c r="AB101" s="161">
        <f>IFERROR(Table13[[#This Row],[B3.Aud]]-Table13[[#This Row],[PW(gm)9]],"ERR")</f>
        <v>0</v>
      </c>
      <c r="AC101" s="168">
        <f>IFERROR(Table13[[#This Row],[B3.Diff]]/Table13[[#This Row],[BaLL.Aud]],"ERR")</f>
        <v>0</v>
      </c>
      <c r="AD101" s="189">
        <f>_xlfn.IFNA(VLOOKUP(Table13[[#This Row],[MTP SKU Code]],'Audit Dimensions'!A:U,16,FALSE),"ARC")</f>
        <v>9740</v>
      </c>
      <c r="AE101" s="165">
        <f>IFERROR(1-Table13[[#This Row],[Gms]]/Table13[[#This Row],[BaLL.Aud]],"ERR")</f>
        <v>2.4640657084188944E-2</v>
      </c>
    </row>
    <row r="102" spans="1:31" ht="14.45" customHeight="1">
      <c r="A102" s="68" t="s">
        <v>124</v>
      </c>
      <c r="B102" s="84" t="s">
        <v>48</v>
      </c>
      <c r="C102" s="85">
        <v>165</v>
      </c>
      <c r="D102" s="85">
        <v>36</v>
      </c>
      <c r="E102" s="85">
        <v>7</v>
      </c>
      <c r="F102" s="89">
        <v>15850</v>
      </c>
      <c r="G102" s="85"/>
      <c r="H102" s="85"/>
      <c r="I102" s="85"/>
      <c r="J102" s="85"/>
      <c r="K102" s="85"/>
      <c r="L102" s="85"/>
      <c r="M102" s="85"/>
      <c r="N102" s="85"/>
      <c r="O102" s="118">
        <f>((IFERROR((C102*D102*E102),0)+IFERROR((G102*H102*I102),0)+IFERROR((K102*L102*M102),0))/1000000)*35.32</f>
        <v>1.4686056000000001</v>
      </c>
      <c r="P102" s="125">
        <f>Table13[[#This Row],[Column15]]*$P$2*1000</f>
        <v>8811.633600000001</v>
      </c>
      <c r="Q102" s="87">
        <f>F102+J102+N102</f>
        <v>15850</v>
      </c>
      <c r="R102" s="86">
        <f>MAX(Q102,O102)</f>
        <v>15850</v>
      </c>
      <c r="S102" s="86">
        <f>MAX(R102,P102)</f>
        <v>15850</v>
      </c>
      <c r="T102" s="156" t="str">
        <f>VLOOKUP(A102,'[1]MTP SKUs - Master Data'!$A:$B,2,FALSE)</f>
        <v>Y</v>
      </c>
      <c r="U102" s="162">
        <f>_xlfn.IFNA(VLOOKUP(Table13[[#This Row],[MTP SKU Code]],'Audit Dimensions'!A:N,6,FALSE),"ARC")</f>
        <v>16260</v>
      </c>
      <c r="V102" s="162">
        <f>IFERROR(Table13[[#This Row],[B1.Aud]]-Table13[[#This Row],[PW(gm)]],"ERR")</f>
        <v>410</v>
      </c>
      <c r="W102" s="165">
        <f>IFERROR(Table13[[#This Row],[B1.Diff]]/Table13[[#This Row],[B1.Aud]],"ERR")</f>
        <v>2.5215252152521524E-2</v>
      </c>
      <c r="X102" s="162">
        <f>_xlfn.IFNA(VLOOKUP(Table13[[#This Row],[MTP SKU Code]],'Audit Dimensions'!A:N,10,FALSE),"ARC")</f>
        <v>0</v>
      </c>
      <c r="Y102" s="163">
        <f>IFERROR(Table13[[#This Row],[B2.Aud]]-Table13[[#This Row],[PW(gm)5]],"ERR")</f>
        <v>0</v>
      </c>
      <c r="Z102" s="165" t="str">
        <f>IFERROR(Table13[[#This Row],[B2.Diff]]/Table13[[#This Row],[B2.Aud]],"ERR")</f>
        <v>ERR</v>
      </c>
      <c r="AA102" s="162">
        <f>_xlfn.IFNA(VLOOKUP(Table13[[#This Row],[MTP SKU Code]],'Audit Dimensions'!A:N,14,FALSE),"ARC")</f>
        <v>0</v>
      </c>
      <c r="AB102" s="161">
        <f>IFERROR(Table13[[#This Row],[B3.Aud]]-Table13[[#This Row],[PW(gm)9]],"ERR")</f>
        <v>0</v>
      </c>
      <c r="AC102" s="168">
        <f>IFERROR(Table13[[#This Row],[B3.Diff]]/Table13[[#This Row],[BaLL.Aud]],"ERR")</f>
        <v>0</v>
      </c>
      <c r="AD102" s="189">
        <f>_xlfn.IFNA(VLOOKUP(Table13[[#This Row],[MTP SKU Code]],'Audit Dimensions'!A:U,16,FALSE),"ARC")</f>
        <v>16260</v>
      </c>
      <c r="AE102" s="165">
        <f>IFERROR(1-Table13[[#This Row],[Gms]]/Table13[[#This Row],[BaLL.Aud]],"ERR")</f>
        <v>2.5215252152521517E-2</v>
      </c>
    </row>
    <row r="103" spans="1:31" ht="14.45" customHeight="1">
      <c r="A103" s="68" t="s">
        <v>229</v>
      </c>
      <c r="B103" s="84" t="s">
        <v>48</v>
      </c>
      <c r="C103" s="84">
        <v>87</v>
      </c>
      <c r="D103" s="85">
        <v>42</v>
      </c>
      <c r="E103" s="85">
        <v>1</v>
      </c>
      <c r="F103" s="89">
        <v>25300</v>
      </c>
      <c r="G103" s="85"/>
      <c r="H103" s="85"/>
      <c r="I103" s="85"/>
      <c r="J103" s="85"/>
      <c r="K103" s="85"/>
      <c r="L103" s="85"/>
      <c r="M103" s="85"/>
      <c r="N103" s="85"/>
      <c r="O103" s="118">
        <f>((IFERROR((C103*D103*E103),0)+IFERROR((G103*H103*I103),0)+IFERROR((K103*L103*M103),0))/1000000)*35.32</f>
        <v>0.12905928</v>
      </c>
      <c r="P103" s="125">
        <f>Table13[[#This Row],[Column15]]*$P$2*1000</f>
        <v>774.35568000000001</v>
      </c>
      <c r="Q103" s="87">
        <f>F103+J103+N103</f>
        <v>25300</v>
      </c>
      <c r="R103" s="88">
        <f>MAX(Q103,O103)</f>
        <v>25300</v>
      </c>
      <c r="S103" s="86">
        <f>MAX(R103,P103)</f>
        <v>25300</v>
      </c>
      <c r="T103" s="156" t="str">
        <f>VLOOKUP(A103,'[1]MTP SKUs - Master Data'!$A:$B,2,FALSE)</f>
        <v>Y</v>
      </c>
      <c r="U103" s="162">
        <f>_xlfn.IFNA(VLOOKUP(Table13[[#This Row],[MTP SKU Code]],'Audit Dimensions'!A:N,6,FALSE),"ARC")</f>
        <v>25970</v>
      </c>
      <c r="V103" s="162">
        <f>IFERROR(Table13[[#This Row],[B1.Aud]]-Table13[[#This Row],[PW(gm)]],"ERR")</f>
        <v>670</v>
      </c>
      <c r="W103" s="165">
        <f>IFERROR(Table13[[#This Row],[B1.Diff]]/Table13[[#This Row],[B1.Aud]],"ERR")</f>
        <v>2.5798998844820946E-2</v>
      </c>
      <c r="X103" s="162">
        <f>_xlfn.IFNA(VLOOKUP(Table13[[#This Row],[MTP SKU Code]],'Audit Dimensions'!A:N,10,FALSE),"ARC")</f>
        <v>0</v>
      </c>
      <c r="Y103" s="163">
        <f>IFERROR(Table13[[#This Row],[B2.Aud]]-Table13[[#This Row],[PW(gm)5]],"ERR")</f>
        <v>0</v>
      </c>
      <c r="Z103" s="165" t="str">
        <f>IFERROR(Table13[[#This Row],[B2.Diff]]/Table13[[#This Row],[B2.Aud]],"ERR")</f>
        <v>ERR</v>
      </c>
      <c r="AA103" s="162">
        <f>_xlfn.IFNA(VLOOKUP(Table13[[#This Row],[MTP SKU Code]],'Audit Dimensions'!A:N,14,FALSE),"ARC")</f>
        <v>0</v>
      </c>
      <c r="AB103" s="161">
        <f>IFERROR(Table13[[#This Row],[B3.Aud]]-Table13[[#This Row],[PW(gm)9]],"ERR")</f>
        <v>0</v>
      </c>
      <c r="AC103" s="168">
        <f>IFERROR(Table13[[#This Row],[B3.Diff]]/Table13[[#This Row],[BaLL.Aud]],"ERR")</f>
        <v>0</v>
      </c>
      <c r="AD103" s="189">
        <f>_xlfn.IFNA(VLOOKUP(Table13[[#This Row],[MTP SKU Code]],'Audit Dimensions'!A:U,16,FALSE),"ARC")</f>
        <v>25970</v>
      </c>
      <c r="AE103" s="165">
        <f>IFERROR(1-Table13[[#This Row],[Gms]]/Table13[[#This Row],[BaLL.Aud]],"ERR")</f>
        <v>2.5798998844820953E-2</v>
      </c>
    </row>
    <row r="104" spans="1:31" ht="14.45" customHeight="1">
      <c r="A104" s="70" t="s">
        <v>162</v>
      </c>
      <c r="B104" s="84" t="s">
        <v>48</v>
      </c>
      <c r="C104" s="84">
        <v>146</v>
      </c>
      <c r="D104" s="85">
        <v>48</v>
      </c>
      <c r="E104" s="85">
        <v>10</v>
      </c>
      <c r="F104" s="89">
        <v>29000</v>
      </c>
      <c r="G104" s="85">
        <v>104</v>
      </c>
      <c r="H104" s="85">
        <v>42</v>
      </c>
      <c r="I104" s="85">
        <v>16</v>
      </c>
      <c r="J104" s="85">
        <v>23000</v>
      </c>
      <c r="K104" s="85"/>
      <c r="L104" s="85"/>
      <c r="M104" s="85"/>
      <c r="N104" s="85"/>
      <c r="O104" s="118">
        <f>((IFERROR((C104*D104*E104),0)+IFERROR((G104*H104*I104),0)+IFERROR((K104*L104*M104),0))/1000000)*35.32</f>
        <v>4.9436697600000006</v>
      </c>
      <c r="P104" s="125">
        <f>Table13[[#This Row],[Column15]]*$P$2*1000</f>
        <v>29662.018560000004</v>
      </c>
      <c r="Q104" s="87">
        <f>F104+J104+N104</f>
        <v>52000</v>
      </c>
      <c r="R104" s="86">
        <f>MAX(Q104,O104)</f>
        <v>52000</v>
      </c>
      <c r="S104" s="86">
        <f>MAX(R104,P104)</f>
        <v>52000</v>
      </c>
      <c r="T104" s="156" t="str">
        <f>VLOOKUP(A104,'[1]MTP SKUs - Master Data'!$A:$B,2,FALSE)</f>
        <v>Y</v>
      </c>
      <c r="U104" s="162">
        <f>_xlfn.IFNA(VLOOKUP(Table13[[#This Row],[MTP SKU Code]],'Audit Dimensions'!A:N,6,FALSE),"ARC")</f>
        <v>29600</v>
      </c>
      <c r="V104" s="162">
        <f>IFERROR(Table13[[#This Row],[B1.Aud]]-Table13[[#This Row],[PW(gm)]],"ERR")</f>
        <v>600</v>
      </c>
      <c r="W104" s="165">
        <f>IFERROR(Table13[[#This Row],[B1.Diff]]/Table13[[#This Row],[B1.Aud]],"ERR")</f>
        <v>2.0270270270270271E-2</v>
      </c>
      <c r="X104" s="162">
        <f>_xlfn.IFNA(VLOOKUP(Table13[[#This Row],[MTP SKU Code]],'Audit Dimensions'!A:N,10,FALSE),"ARC")</f>
        <v>23800</v>
      </c>
      <c r="Y104" s="163">
        <f>IFERROR(Table13[[#This Row],[B2.Aud]]-Table13[[#This Row],[PW(gm)5]],"ERR")</f>
        <v>800</v>
      </c>
      <c r="Z104" s="165">
        <f>IFERROR(Table13[[#This Row],[B2.Diff]]/Table13[[#This Row],[B2.Aud]],"ERR")</f>
        <v>3.3613445378151259E-2</v>
      </c>
      <c r="AA104" s="162">
        <f>_xlfn.IFNA(VLOOKUP(Table13[[#This Row],[MTP SKU Code]],'Audit Dimensions'!A:N,14,FALSE),"ARC")</f>
        <v>0</v>
      </c>
      <c r="AB104" s="161">
        <f>IFERROR(Table13[[#This Row],[B3.Aud]]-Table13[[#This Row],[PW(gm)9]],"ERR")</f>
        <v>0</v>
      </c>
      <c r="AC104" s="168">
        <f>IFERROR(Table13[[#This Row],[B3.Diff]]/Table13[[#This Row],[BaLL.Aud]],"ERR")</f>
        <v>0</v>
      </c>
      <c r="AD104" s="189">
        <f>_xlfn.IFNA(VLOOKUP(Table13[[#This Row],[MTP SKU Code]],'Audit Dimensions'!A:U,16,FALSE),"ARC")</f>
        <v>53400</v>
      </c>
      <c r="AE104" s="165">
        <f>IFERROR(1-Table13[[#This Row],[Gms]]/Table13[[#This Row],[BaLL.Aud]],"ERR")</f>
        <v>2.6217228464419429E-2</v>
      </c>
    </row>
    <row r="105" spans="1:31" ht="14.45" customHeight="1">
      <c r="A105" s="68" t="s">
        <v>174</v>
      </c>
      <c r="B105" s="84" t="s">
        <v>48</v>
      </c>
      <c r="C105" s="84">
        <v>48</v>
      </c>
      <c r="D105" s="85">
        <v>30</v>
      </c>
      <c r="E105" s="85">
        <v>8</v>
      </c>
      <c r="F105" s="89">
        <v>4800</v>
      </c>
      <c r="G105" s="85"/>
      <c r="H105" s="85"/>
      <c r="I105" s="85"/>
      <c r="J105" s="85"/>
      <c r="K105" s="85"/>
      <c r="L105" s="85"/>
      <c r="M105" s="85"/>
      <c r="N105" s="85"/>
      <c r="O105" s="118">
        <f>((IFERROR((C105*D105*E105),0)+IFERROR((G105*H105*I105),0)+IFERROR((K105*L105*M105),0))/1000000)*35.32</f>
        <v>0.40688640000000004</v>
      </c>
      <c r="P105" s="125">
        <f>Table13[[#This Row],[Column15]]*$P$2*1000</f>
        <v>2441.3184000000001</v>
      </c>
      <c r="Q105" s="87">
        <f>F105+J105+N105</f>
        <v>4800</v>
      </c>
      <c r="R105" s="88">
        <f>MAX(Q105,O105)</f>
        <v>4800</v>
      </c>
      <c r="S105" s="86">
        <f>MAX(R105,P105)</f>
        <v>4800</v>
      </c>
      <c r="T105" s="156" t="str">
        <f>VLOOKUP(A105,'[1]MTP SKUs - Master Data'!$A:$B,2,FALSE)</f>
        <v>Y</v>
      </c>
      <c r="U105" s="162">
        <f>_xlfn.IFNA(VLOOKUP(Table13[[#This Row],[MTP SKU Code]],'Audit Dimensions'!A:N,6,FALSE),"ARC")</f>
        <v>4930</v>
      </c>
      <c r="V105" s="162">
        <f>IFERROR(Table13[[#This Row],[B1.Aud]]-Table13[[#This Row],[PW(gm)]],"ERR")</f>
        <v>130</v>
      </c>
      <c r="W105" s="165">
        <f>IFERROR(Table13[[#This Row],[B1.Diff]]/Table13[[#This Row],[B1.Aud]],"ERR")</f>
        <v>2.6369168356997971E-2</v>
      </c>
      <c r="X105" s="162">
        <f>_xlfn.IFNA(VLOOKUP(Table13[[#This Row],[MTP SKU Code]],'Audit Dimensions'!A:N,10,FALSE),"ARC")</f>
        <v>0</v>
      </c>
      <c r="Y105" s="163">
        <f>IFERROR(Table13[[#This Row],[B2.Aud]]-Table13[[#This Row],[PW(gm)5]],"ERR")</f>
        <v>0</v>
      </c>
      <c r="Z105" s="165" t="str">
        <f>IFERROR(Table13[[#This Row],[B2.Diff]]/Table13[[#This Row],[B2.Aud]],"ERR")</f>
        <v>ERR</v>
      </c>
      <c r="AA105" s="162">
        <f>_xlfn.IFNA(VLOOKUP(Table13[[#This Row],[MTP SKU Code]],'Audit Dimensions'!A:N,14,FALSE),"ARC")</f>
        <v>0</v>
      </c>
      <c r="AB105" s="161">
        <f>IFERROR(Table13[[#This Row],[B3.Aud]]-Table13[[#This Row],[PW(gm)9]],"ERR")</f>
        <v>0</v>
      </c>
      <c r="AC105" s="168">
        <f>IFERROR(Table13[[#This Row],[B3.Diff]]/Table13[[#This Row],[BaLL.Aud]],"ERR")</f>
        <v>0</v>
      </c>
      <c r="AD105" s="189">
        <f>_xlfn.IFNA(VLOOKUP(Table13[[#This Row],[MTP SKU Code]],'Audit Dimensions'!A:U,16,FALSE),"ARC")</f>
        <v>4930</v>
      </c>
      <c r="AE105" s="165">
        <f>IFERROR(1-Table13[[#This Row],[Gms]]/Table13[[#This Row],[BaLL.Aud]],"ERR")</f>
        <v>2.6369168356997985E-2</v>
      </c>
    </row>
    <row r="106" spans="1:31" ht="14.45" customHeight="1">
      <c r="A106" s="68" t="s">
        <v>113</v>
      </c>
      <c r="B106" s="84" t="s">
        <v>48</v>
      </c>
      <c r="C106" s="85">
        <v>167</v>
      </c>
      <c r="D106" s="85">
        <v>40</v>
      </c>
      <c r="E106" s="85">
        <v>8</v>
      </c>
      <c r="F106" s="89">
        <v>28560</v>
      </c>
      <c r="G106" s="85"/>
      <c r="H106" s="85"/>
      <c r="I106" s="85"/>
      <c r="J106" s="85"/>
      <c r="K106" s="85"/>
      <c r="L106" s="85"/>
      <c r="M106" s="85"/>
      <c r="N106" s="85"/>
      <c r="O106" s="118">
        <f>((IFERROR((C106*D106*E106),0)+IFERROR((G106*H106*I106),0)+IFERROR((K106*L106*M106),0))/1000000)*35.32</f>
        <v>1.8875008</v>
      </c>
      <c r="P106" s="125">
        <f>Table13[[#This Row],[Column15]]*$P$2*1000</f>
        <v>11325.004800000001</v>
      </c>
      <c r="Q106" s="87">
        <f>F106+J106+N106</f>
        <v>28560</v>
      </c>
      <c r="R106" s="86">
        <f>MAX(Q106,O106)</f>
        <v>28560</v>
      </c>
      <c r="S106" s="86">
        <f>MAX(R106,P106)</f>
        <v>28560</v>
      </c>
      <c r="T106" s="156" t="str">
        <f>VLOOKUP(A106,'[1]MTP SKUs - Master Data'!$A:$B,2,FALSE)</f>
        <v>Y</v>
      </c>
      <c r="U106" s="162">
        <f>_xlfn.IFNA(VLOOKUP(Table13[[#This Row],[MTP SKU Code]],'Audit Dimensions'!A:N,6,FALSE),"ARC")</f>
        <v>29370</v>
      </c>
      <c r="V106" s="162">
        <f>IFERROR(Table13[[#This Row],[B1.Aud]]-Table13[[#This Row],[PW(gm)]],"ERR")</f>
        <v>810</v>
      </c>
      <c r="W106" s="165">
        <f>IFERROR(Table13[[#This Row],[B1.Diff]]/Table13[[#This Row],[B1.Aud]],"ERR")</f>
        <v>2.7579162410623085E-2</v>
      </c>
      <c r="X106" s="162">
        <f>_xlfn.IFNA(VLOOKUP(Table13[[#This Row],[MTP SKU Code]],'Audit Dimensions'!A:N,10,FALSE),"ARC")</f>
        <v>0</v>
      </c>
      <c r="Y106" s="163">
        <f>IFERROR(Table13[[#This Row],[B2.Aud]]-Table13[[#This Row],[PW(gm)5]],"ERR")</f>
        <v>0</v>
      </c>
      <c r="Z106" s="165" t="str">
        <f>IFERROR(Table13[[#This Row],[B2.Diff]]/Table13[[#This Row],[B2.Aud]],"ERR")</f>
        <v>ERR</v>
      </c>
      <c r="AA106" s="162">
        <f>_xlfn.IFNA(VLOOKUP(Table13[[#This Row],[MTP SKU Code]],'Audit Dimensions'!A:N,14,FALSE),"ARC")</f>
        <v>0</v>
      </c>
      <c r="AB106" s="161">
        <f>IFERROR(Table13[[#This Row],[B3.Aud]]-Table13[[#This Row],[PW(gm)9]],"ERR")</f>
        <v>0</v>
      </c>
      <c r="AC106" s="168">
        <f>IFERROR(Table13[[#This Row],[B3.Diff]]/Table13[[#This Row],[BaLL.Aud]],"ERR")</f>
        <v>0</v>
      </c>
      <c r="AD106" s="189">
        <f>_xlfn.IFNA(VLOOKUP(Table13[[#This Row],[MTP SKU Code]],'Audit Dimensions'!A:U,16,FALSE),"ARC")</f>
        <v>29370</v>
      </c>
      <c r="AE106" s="165">
        <f>IFERROR(1-Table13[[#This Row],[Gms]]/Table13[[#This Row],[BaLL.Aud]],"ERR")</f>
        <v>2.7579162410623081E-2</v>
      </c>
    </row>
    <row r="107" spans="1:31" ht="14.45" customHeight="1">
      <c r="A107" s="68" t="s">
        <v>121</v>
      </c>
      <c r="B107" s="84" t="s">
        <v>48</v>
      </c>
      <c r="C107" s="85">
        <v>137</v>
      </c>
      <c r="D107" s="85">
        <v>70</v>
      </c>
      <c r="E107" s="85">
        <v>9</v>
      </c>
      <c r="F107" s="89">
        <v>39450</v>
      </c>
      <c r="G107" s="85"/>
      <c r="H107" s="85"/>
      <c r="I107" s="85"/>
      <c r="J107" s="85"/>
      <c r="K107" s="85"/>
      <c r="L107" s="85"/>
      <c r="M107" s="85"/>
      <c r="N107" s="85"/>
      <c r="O107" s="118">
        <f>((IFERROR((C107*D107*E107),0)+IFERROR((G107*H107*I107),0)+IFERROR((K107*L107*M107),0))/1000000)*35.32</f>
        <v>3.0484692</v>
      </c>
      <c r="P107" s="125">
        <f>Table13[[#This Row],[Column15]]*$P$2*1000</f>
        <v>18290.815200000001</v>
      </c>
      <c r="Q107" s="87">
        <f>F107+J107+N107</f>
        <v>39450</v>
      </c>
      <c r="R107" s="86">
        <f>MAX(Q107,O107)</f>
        <v>39450</v>
      </c>
      <c r="S107" s="86">
        <f>MAX(R107,P107)</f>
        <v>39450</v>
      </c>
      <c r="T107" s="156" t="str">
        <f>VLOOKUP(A107,'[1]MTP SKUs - Master Data'!$A:$B,2,FALSE)</f>
        <v>Y</v>
      </c>
      <c r="U107" s="162">
        <f>_xlfn.IFNA(VLOOKUP(Table13[[#This Row],[MTP SKU Code]],'Audit Dimensions'!A:N,6,FALSE),"ARC")</f>
        <v>40570</v>
      </c>
      <c r="V107" s="162">
        <f>IFERROR(Table13[[#This Row],[B1.Aud]]-Table13[[#This Row],[PW(gm)]],"ERR")</f>
        <v>1120</v>
      </c>
      <c r="W107" s="165">
        <f>IFERROR(Table13[[#This Row],[B1.Diff]]/Table13[[#This Row],[B1.Aud]],"ERR")</f>
        <v>2.7606605866403747E-2</v>
      </c>
      <c r="X107" s="162">
        <f>_xlfn.IFNA(VLOOKUP(Table13[[#This Row],[MTP SKU Code]],'Audit Dimensions'!A:N,10,FALSE),"ARC")</f>
        <v>0</v>
      </c>
      <c r="Y107" s="163">
        <f>IFERROR(Table13[[#This Row],[B2.Aud]]-Table13[[#This Row],[PW(gm)5]],"ERR")</f>
        <v>0</v>
      </c>
      <c r="Z107" s="165" t="str">
        <f>IFERROR(Table13[[#This Row],[B2.Diff]]/Table13[[#This Row],[B2.Aud]],"ERR")</f>
        <v>ERR</v>
      </c>
      <c r="AA107" s="162">
        <f>_xlfn.IFNA(VLOOKUP(Table13[[#This Row],[MTP SKU Code]],'Audit Dimensions'!A:N,14,FALSE),"ARC")</f>
        <v>0</v>
      </c>
      <c r="AB107" s="161">
        <f>IFERROR(Table13[[#This Row],[B3.Aud]]-Table13[[#This Row],[PW(gm)9]],"ERR")</f>
        <v>0</v>
      </c>
      <c r="AC107" s="168">
        <f>IFERROR(Table13[[#This Row],[B3.Diff]]/Table13[[#This Row],[BaLL.Aud]],"ERR")</f>
        <v>0</v>
      </c>
      <c r="AD107" s="189">
        <f>_xlfn.IFNA(VLOOKUP(Table13[[#This Row],[MTP SKU Code]],'Audit Dimensions'!A:U,16,FALSE),"ARC")</f>
        <v>40570</v>
      </c>
      <c r="AE107" s="165">
        <f>IFERROR(1-Table13[[#This Row],[Gms]]/Table13[[#This Row],[BaLL.Aud]],"ERR")</f>
        <v>2.7606605866403733E-2</v>
      </c>
    </row>
    <row r="108" spans="1:31">
      <c r="A108" s="68" t="s">
        <v>234</v>
      </c>
      <c r="B108" s="84" t="s">
        <v>48</v>
      </c>
      <c r="C108" s="85">
        <v>65</v>
      </c>
      <c r="D108" s="85">
        <v>46</v>
      </c>
      <c r="E108" s="85">
        <v>9</v>
      </c>
      <c r="F108" s="89">
        <v>8700</v>
      </c>
      <c r="G108" s="85"/>
      <c r="H108" s="85"/>
      <c r="I108" s="85"/>
      <c r="J108" s="85"/>
      <c r="K108" s="85"/>
      <c r="L108" s="85"/>
      <c r="M108" s="85"/>
      <c r="N108" s="85"/>
      <c r="O108" s="118">
        <f>((IFERROR((C108*D108*E108),0)+IFERROR((G108*H108*I108),0)+IFERROR((K108*L108*M108),0))/1000000)*35.32</f>
        <v>0.95046120000000001</v>
      </c>
      <c r="P108" s="125">
        <f>Table13[[#This Row],[Column15]]*$P$2*1000</f>
        <v>5702.7672000000002</v>
      </c>
      <c r="Q108" s="87">
        <f>F108+J108+N108</f>
        <v>8700</v>
      </c>
      <c r="R108" s="86">
        <f>MAX(Q108,O108)</f>
        <v>8700</v>
      </c>
      <c r="S108" s="86">
        <f>MAX(R108,P108)</f>
        <v>8700</v>
      </c>
      <c r="T108" s="156" t="str">
        <f>VLOOKUP(A108,'[1]MTP SKUs - Master Data'!$A:$B,2,FALSE)</f>
        <v>Y</v>
      </c>
      <c r="U108" s="162">
        <f>_xlfn.IFNA(VLOOKUP(Table13[[#This Row],[MTP SKU Code]],'Audit Dimensions'!A:N,6,FALSE),"ARC")</f>
        <v>8950</v>
      </c>
      <c r="V108" s="162">
        <f>IFERROR(Table13[[#This Row],[B1.Aud]]-Table13[[#This Row],[PW(gm)]],"ERR")</f>
        <v>250</v>
      </c>
      <c r="W108" s="165">
        <f>IFERROR(Table13[[#This Row],[B1.Diff]]/Table13[[#This Row],[B1.Aud]],"ERR")</f>
        <v>2.7932960893854747E-2</v>
      </c>
      <c r="X108" s="162">
        <f>_xlfn.IFNA(VLOOKUP(Table13[[#This Row],[MTP SKU Code]],'Audit Dimensions'!A:N,10,FALSE),"ARC")</f>
        <v>0</v>
      </c>
      <c r="Y108" s="163">
        <f>IFERROR(Table13[[#This Row],[B2.Aud]]-Table13[[#This Row],[PW(gm)5]],"ERR")</f>
        <v>0</v>
      </c>
      <c r="Z108" s="165" t="str">
        <f>IFERROR(Table13[[#This Row],[B2.Diff]]/Table13[[#This Row],[B2.Aud]],"ERR")</f>
        <v>ERR</v>
      </c>
      <c r="AA108" s="162">
        <f>_xlfn.IFNA(VLOOKUP(Table13[[#This Row],[MTP SKU Code]],'Audit Dimensions'!A:N,14,FALSE),"ARC")</f>
        <v>0</v>
      </c>
      <c r="AB108" s="161">
        <f>IFERROR(Table13[[#This Row],[B3.Aud]]-Table13[[#This Row],[PW(gm)9]],"ERR")</f>
        <v>0</v>
      </c>
      <c r="AC108" s="168">
        <f>IFERROR(Table13[[#This Row],[B3.Diff]]/Table13[[#This Row],[BaLL.Aud]],"ERR")</f>
        <v>0</v>
      </c>
      <c r="AD108" s="189">
        <f>_xlfn.IFNA(VLOOKUP(Table13[[#This Row],[MTP SKU Code]],'Audit Dimensions'!A:U,16,FALSE),"ARC")</f>
        <v>8950</v>
      </c>
      <c r="AE108" s="165">
        <f>IFERROR(1-Table13[[#This Row],[Gms]]/Table13[[#This Row],[BaLL.Aud]],"ERR")</f>
        <v>2.7932960893854775E-2</v>
      </c>
    </row>
    <row r="109" spans="1:31" ht="14.45" customHeight="1">
      <c r="A109" s="91" t="s">
        <v>216</v>
      </c>
      <c r="B109" s="84" t="s">
        <v>48</v>
      </c>
      <c r="C109" s="85">
        <v>164</v>
      </c>
      <c r="D109" s="85">
        <v>40</v>
      </c>
      <c r="E109" s="85">
        <v>7</v>
      </c>
      <c r="F109" s="89">
        <v>17400</v>
      </c>
      <c r="G109" s="85"/>
      <c r="H109" s="85"/>
      <c r="I109" s="85"/>
      <c r="J109" s="85"/>
      <c r="K109" s="85"/>
      <c r="L109" s="85"/>
      <c r="M109" s="85"/>
      <c r="N109" s="85"/>
      <c r="O109" s="118">
        <f>((IFERROR((C109*D109*E109),0)+IFERROR((G109*H109*I109),0)+IFERROR((K109*L109*M109),0))/1000000)*35.32</f>
        <v>1.6218944000000002</v>
      </c>
      <c r="P109" s="125">
        <f>Table13[[#This Row],[Column15]]*$P$2*1000</f>
        <v>9731.3664000000008</v>
      </c>
      <c r="Q109" s="87">
        <f>F109+J109+N109</f>
        <v>17400</v>
      </c>
      <c r="R109" s="86">
        <f>MAX(Q109,O109)</f>
        <v>17400</v>
      </c>
      <c r="S109" s="86">
        <f>MAX(R109,P109)</f>
        <v>17400</v>
      </c>
      <c r="T109" s="156" t="str">
        <f>VLOOKUP(A109,'[1]MTP SKUs - Master Data'!$A:$B,2,FALSE)</f>
        <v>Y</v>
      </c>
      <c r="U109" s="162">
        <f>_xlfn.IFNA(VLOOKUP(Table13[[#This Row],[MTP SKU Code]],'Audit Dimensions'!A:N,6,FALSE),"ARC")</f>
        <v>17900</v>
      </c>
      <c r="V109" s="162">
        <f>IFERROR(Table13[[#This Row],[B1.Aud]]-Table13[[#This Row],[PW(gm)]],"ERR")</f>
        <v>500</v>
      </c>
      <c r="W109" s="165">
        <f>IFERROR(Table13[[#This Row],[B1.Diff]]/Table13[[#This Row],[B1.Aud]],"ERR")</f>
        <v>2.7932960893854747E-2</v>
      </c>
      <c r="X109" s="162">
        <f>_xlfn.IFNA(VLOOKUP(Table13[[#This Row],[MTP SKU Code]],'Audit Dimensions'!A:N,10,FALSE),"ARC")</f>
        <v>0</v>
      </c>
      <c r="Y109" s="163">
        <f>IFERROR(Table13[[#This Row],[B2.Aud]]-Table13[[#This Row],[PW(gm)5]],"ERR")</f>
        <v>0</v>
      </c>
      <c r="Z109" s="165" t="str">
        <f>IFERROR(Table13[[#This Row],[B2.Diff]]/Table13[[#This Row],[B2.Aud]],"ERR")</f>
        <v>ERR</v>
      </c>
      <c r="AA109" s="162">
        <f>_xlfn.IFNA(VLOOKUP(Table13[[#This Row],[MTP SKU Code]],'Audit Dimensions'!A:N,14,FALSE),"ARC")</f>
        <v>0</v>
      </c>
      <c r="AB109" s="161">
        <f>IFERROR(Table13[[#This Row],[B3.Aud]]-Table13[[#This Row],[PW(gm)9]],"ERR")</f>
        <v>0</v>
      </c>
      <c r="AC109" s="168">
        <f>IFERROR(Table13[[#This Row],[B3.Diff]]/Table13[[#This Row],[BaLL.Aud]],"ERR")</f>
        <v>0</v>
      </c>
      <c r="AD109" s="189">
        <f>_xlfn.IFNA(VLOOKUP(Table13[[#This Row],[MTP SKU Code]],'Audit Dimensions'!A:U,16,FALSE),"ARC")</f>
        <v>17900</v>
      </c>
      <c r="AE109" s="165">
        <f>IFERROR(1-Table13[[#This Row],[Gms]]/Table13[[#This Row],[BaLL.Aud]],"ERR")</f>
        <v>2.7932960893854775E-2</v>
      </c>
    </row>
    <row r="110" spans="1:31">
      <c r="A110" s="68" t="s">
        <v>262</v>
      </c>
      <c r="B110" s="84" t="s">
        <v>48</v>
      </c>
      <c r="C110" s="85">
        <v>84</v>
      </c>
      <c r="D110" s="85">
        <v>28</v>
      </c>
      <c r="E110" s="85">
        <v>19</v>
      </c>
      <c r="F110" s="89">
        <v>22300</v>
      </c>
      <c r="G110" s="85"/>
      <c r="H110" s="85"/>
      <c r="I110" s="85"/>
      <c r="J110" s="85"/>
      <c r="K110" s="85"/>
      <c r="L110" s="85"/>
      <c r="M110" s="85"/>
      <c r="N110" s="85"/>
      <c r="O110" s="118">
        <f>((IFERROR((C110*D110*E110),0)+IFERROR((G110*H110*I110),0)+IFERROR((K110*L110*M110),0))/1000000)*35.32</f>
        <v>1.57838016</v>
      </c>
      <c r="P110" s="125">
        <f>Table13[[#This Row],[Column15]]*$P$2*1000</f>
        <v>9470.2809600000001</v>
      </c>
      <c r="Q110" s="87">
        <f>F110+J110+N110</f>
        <v>22300</v>
      </c>
      <c r="R110" s="86">
        <f>MAX(Q110,O110)</f>
        <v>22300</v>
      </c>
      <c r="S110" s="86">
        <f>MAX(R110,P110)</f>
        <v>22300</v>
      </c>
      <c r="T110" s="156" t="str">
        <f>VLOOKUP(A110,'[1]MTP SKUs - Master Data'!$A:$B,2,FALSE)</f>
        <v>Y</v>
      </c>
      <c r="U110" s="162">
        <f>_xlfn.IFNA(VLOOKUP(Table13[[#This Row],[MTP SKU Code]],'Audit Dimensions'!A:N,6,FALSE),"ARC")</f>
        <v>22950</v>
      </c>
      <c r="V110" s="162">
        <f>IFERROR(Table13[[#This Row],[B1.Aud]]-Table13[[#This Row],[PW(gm)]],"ERR")</f>
        <v>650</v>
      </c>
      <c r="W110" s="165">
        <f>IFERROR(Table13[[#This Row],[B1.Diff]]/Table13[[#This Row],[B1.Aud]],"ERR")</f>
        <v>2.8322440087145968E-2</v>
      </c>
      <c r="X110" s="162">
        <f>_xlfn.IFNA(VLOOKUP(Table13[[#This Row],[MTP SKU Code]],'Audit Dimensions'!A:N,10,FALSE),"ARC")</f>
        <v>0</v>
      </c>
      <c r="Y110" s="163">
        <f>IFERROR(Table13[[#This Row],[B2.Aud]]-Table13[[#This Row],[PW(gm)5]],"ERR")</f>
        <v>0</v>
      </c>
      <c r="Z110" s="165" t="str">
        <f>IFERROR(Table13[[#This Row],[B2.Diff]]/Table13[[#This Row],[B2.Aud]],"ERR")</f>
        <v>ERR</v>
      </c>
      <c r="AA110" s="162">
        <f>_xlfn.IFNA(VLOOKUP(Table13[[#This Row],[MTP SKU Code]],'Audit Dimensions'!A:N,14,FALSE),"ARC")</f>
        <v>0</v>
      </c>
      <c r="AB110" s="161">
        <f>IFERROR(Table13[[#This Row],[B3.Aud]]-Table13[[#This Row],[PW(gm)9]],"ERR")</f>
        <v>0</v>
      </c>
      <c r="AC110" s="168">
        <f>IFERROR(Table13[[#This Row],[B3.Diff]]/Table13[[#This Row],[BaLL.Aud]],"ERR")</f>
        <v>0</v>
      </c>
      <c r="AD110" s="189">
        <f>_xlfn.IFNA(VLOOKUP(Table13[[#This Row],[MTP SKU Code]],'Audit Dimensions'!A:U,16,FALSE),"ARC")</f>
        <v>22950</v>
      </c>
      <c r="AE110" s="165">
        <f>IFERROR(1-Table13[[#This Row],[Gms]]/Table13[[#This Row],[BaLL.Aud]],"ERR")</f>
        <v>2.8322440087146017E-2</v>
      </c>
    </row>
    <row r="111" spans="1:31">
      <c r="A111" s="90" t="s">
        <v>145</v>
      </c>
      <c r="B111" s="84" t="s">
        <v>74</v>
      </c>
      <c r="C111" s="85">
        <v>204</v>
      </c>
      <c r="D111" s="85">
        <v>48</v>
      </c>
      <c r="E111" s="85">
        <v>6</v>
      </c>
      <c r="F111" s="89">
        <v>31000</v>
      </c>
      <c r="G111" s="85">
        <v>106</v>
      </c>
      <c r="H111" s="85">
        <v>96</v>
      </c>
      <c r="I111" s="85">
        <v>3</v>
      </c>
      <c r="J111" s="85">
        <v>15100</v>
      </c>
      <c r="K111" s="85"/>
      <c r="L111" s="85"/>
      <c r="M111" s="85"/>
      <c r="N111" s="85"/>
      <c r="O111" s="118">
        <f>((IFERROR((C111*D111*E111),0)+IFERROR((G111*H111*I111),0)+IFERROR((K111*L111*M111),0))/1000000)*35.32</f>
        <v>3.1533696</v>
      </c>
      <c r="P111" s="125">
        <f>Table13[[#This Row],[Column15]]*$P$2*1000</f>
        <v>18920.2176</v>
      </c>
      <c r="Q111" s="87">
        <f>F111+J111+N111</f>
        <v>46100</v>
      </c>
      <c r="R111" s="86">
        <f>MAX(Q111,O111)</f>
        <v>46100</v>
      </c>
      <c r="S111" s="86">
        <f>MAX(R111,P111)</f>
        <v>46100</v>
      </c>
      <c r="T111" s="156" t="str">
        <f>VLOOKUP(A111,'[1]MTP SKUs - Master Data'!$A:$B,2,FALSE)</f>
        <v>Y</v>
      </c>
      <c r="U111" s="162">
        <f>_xlfn.IFNA(VLOOKUP(Table13[[#This Row],[MTP SKU Code]],'Audit Dimensions'!A:N,6,FALSE),"ARC")</f>
        <v>31460</v>
      </c>
      <c r="V111" s="162">
        <f>IFERROR(Table13[[#This Row],[B1.Aud]]-Table13[[#This Row],[PW(gm)]],"ERR")</f>
        <v>460</v>
      </c>
      <c r="W111" s="165">
        <f>IFERROR(Table13[[#This Row],[B1.Diff]]/Table13[[#This Row],[B1.Aud]],"ERR")</f>
        <v>1.4621741894469168E-2</v>
      </c>
      <c r="X111" s="162">
        <f>_xlfn.IFNA(VLOOKUP(Table13[[#This Row],[MTP SKU Code]],'Audit Dimensions'!A:N,10,FALSE),"ARC")</f>
        <v>15050</v>
      </c>
      <c r="Y111" s="163">
        <f>IFERROR(Table13[[#This Row],[B2.Aud]]-Table13[[#This Row],[PW(gm)5]],"ERR")</f>
        <v>-50</v>
      </c>
      <c r="Z111" s="165">
        <f>IFERROR(Table13[[#This Row],[B2.Diff]]/Table13[[#This Row],[B2.Aud]],"ERR")</f>
        <v>-3.3222591362126247E-3</v>
      </c>
      <c r="AA111" s="162">
        <f>_xlfn.IFNA(VLOOKUP(Table13[[#This Row],[MTP SKU Code]],'Audit Dimensions'!A:N,14,FALSE),"ARC")</f>
        <v>0</v>
      </c>
      <c r="AB111" s="161">
        <f>IFERROR(Table13[[#This Row],[B3.Aud]]-Table13[[#This Row],[PW(gm)9]],"ERR")</f>
        <v>0</v>
      </c>
      <c r="AC111" s="168">
        <f>IFERROR(Table13[[#This Row],[B3.Diff]]/Table13[[#This Row],[BaLL.Aud]],"ERR")</f>
        <v>0</v>
      </c>
      <c r="AD111" s="189">
        <f>_xlfn.IFNA(VLOOKUP(Table13[[#This Row],[MTP SKU Code]],'Audit Dimensions'!A:U,16,FALSE),"ARC")</f>
        <v>46510</v>
      </c>
      <c r="AE111" s="165">
        <f>IFERROR(1-Table13[[#This Row],[Gms]]/Table13[[#This Row],[BaLL.Aud]],"ERR")</f>
        <v>8.8153085357987049E-3</v>
      </c>
    </row>
    <row r="112" spans="1:31">
      <c r="A112" s="68" t="s">
        <v>88</v>
      </c>
      <c r="B112" s="84" t="s">
        <v>48</v>
      </c>
      <c r="C112" s="85">
        <v>91</v>
      </c>
      <c r="D112" s="85">
        <v>54</v>
      </c>
      <c r="E112" s="85">
        <v>9</v>
      </c>
      <c r="F112" s="89">
        <v>28300</v>
      </c>
      <c r="G112" s="85"/>
      <c r="H112" s="85"/>
      <c r="I112" s="85"/>
      <c r="J112" s="85"/>
      <c r="K112" s="85"/>
      <c r="L112" s="85"/>
      <c r="M112" s="85"/>
      <c r="N112" s="85"/>
      <c r="O112" s="118">
        <f>((IFERROR((C112*D112*E112),0)+IFERROR((G112*H112*I112),0)+IFERROR((K112*L112*M112),0))/1000000)*35.32</f>
        <v>1.5620623200000001</v>
      </c>
      <c r="P112" s="125">
        <f>Table13[[#This Row],[Column15]]*$P$2*1000</f>
        <v>9372.3739200000018</v>
      </c>
      <c r="Q112" s="87">
        <f>F112+J112+N112</f>
        <v>28300</v>
      </c>
      <c r="R112" s="86">
        <f>MAX(Q112,O112)</f>
        <v>28300</v>
      </c>
      <c r="S112" s="86">
        <f>MAX(R112,P112)</f>
        <v>28300</v>
      </c>
      <c r="T112" s="156" t="str">
        <f>VLOOKUP(A112,'[1]MTP SKUs - Master Data'!$A:$B,2,FALSE)</f>
        <v>Y</v>
      </c>
      <c r="U112" s="162">
        <f>_xlfn.IFNA(VLOOKUP(Table13[[#This Row],[MTP SKU Code]],'Audit Dimensions'!A:N,6,FALSE),"ARC")</f>
        <v>29160</v>
      </c>
      <c r="V112" s="162">
        <f>IFERROR(Table13[[#This Row],[B1.Aud]]-Table13[[#This Row],[PW(gm)]],"ERR")</f>
        <v>860</v>
      </c>
      <c r="W112" s="165">
        <f>IFERROR(Table13[[#This Row],[B1.Diff]]/Table13[[#This Row],[B1.Aud]],"ERR")</f>
        <v>2.9492455418381344E-2</v>
      </c>
      <c r="X112" s="162">
        <f>_xlfn.IFNA(VLOOKUP(Table13[[#This Row],[MTP SKU Code]],'Audit Dimensions'!A:N,10,FALSE),"ARC")</f>
        <v>0</v>
      </c>
      <c r="Y112" s="163">
        <f>IFERROR(Table13[[#This Row],[B2.Aud]]-Table13[[#This Row],[PW(gm)5]],"ERR")</f>
        <v>0</v>
      </c>
      <c r="Z112" s="165" t="str">
        <f>IFERROR(Table13[[#This Row],[B2.Diff]]/Table13[[#This Row],[B2.Aud]],"ERR")</f>
        <v>ERR</v>
      </c>
      <c r="AA112" s="162">
        <f>_xlfn.IFNA(VLOOKUP(Table13[[#This Row],[MTP SKU Code]],'Audit Dimensions'!A:N,14,FALSE),"ARC")</f>
        <v>0</v>
      </c>
      <c r="AB112" s="161">
        <f>IFERROR(Table13[[#This Row],[B3.Aud]]-Table13[[#This Row],[PW(gm)9]],"ERR")</f>
        <v>0</v>
      </c>
      <c r="AC112" s="168">
        <f>IFERROR(Table13[[#This Row],[B3.Diff]]/Table13[[#This Row],[BaLL.Aud]],"ERR")</f>
        <v>0</v>
      </c>
      <c r="AD112" s="189">
        <f>_xlfn.IFNA(VLOOKUP(Table13[[#This Row],[MTP SKU Code]],'Audit Dimensions'!A:U,16,FALSE),"ARC")</f>
        <v>29160</v>
      </c>
      <c r="AE112" s="165">
        <f>IFERROR(1-Table13[[#This Row],[Gms]]/Table13[[#This Row],[BaLL.Aud]],"ERR")</f>
        <v>2.9492455418381303E-2</v>
      </c>
    </row>
    <row r="113" spans="1:31" ht="14.45" customHeight="1">
      <c r="A113" s="68" t="s">
        <v>290</v>
      </c>
      <c r="B113" s="84" t="s">
        <v>48</v>
      </c>
      <c r="C113" s="85">
        <v>24</v>
      </c>
      <c r="D113" s="85">
        <v>19</v>
      </c>
      <c r="E113" s="85">
        <v>11</v>
      </c>
      <c r="F113" s="89">
        <v>1640</v>
      </c>
      <c r="G113" s="85"/>
      <c r="H113" s="85"/>
      <c r="I113" s="85"/>
      <c r="J113" s="85"/>
      <c r="K113" s="85"/>
      <c r="L113" s="85"/>
      <c r="M113" s="85"/>
      <c r="N113" s="85"/>
      <c r="O113" s="118">
        <f>((IFERROR((C113*D113*E113),0)+IFERROR((G113*H113*I113),0)+IFERROR((K113*L113*M113),0))/1000000)*35.32</f>
        <v>0.17716511999999998</v>
      </c>
      <c r="P113" s="125">
        <f>Table13[[#This Row],[Column15]]*$P$2*1000</f>
        <v>1062.99072</v>
      </c>
      <c r="Q113" s="87">
        <f>F113+J113+N113</f>
        <v>1640</v>
      </c>
      <c r="R113" s="86">
        <f>MAX(Q113,O113)</f>
        <v>1640</v>
      </c>
      <c r="S113" s="86">
        <f>MAX(R113,P113)</f>
        <v>1640</v>
      </c>
      <c r="T113" s="156" t="str">
        <f>VLOOKUP(A113,'[1]MTP SKUs - Master Data'!$A:$B,2,FALSE)</f>
        <v>Y</v>
      </c>
      <c r="U113" s="162">
        <f>_xlfn.IFNA(VLOOKUP(Table13[[#This Row],[MTP SKU Code]],'Audit Dimensions'!A:N,6,FALSE),"ARC")</f>
        <v>1690</v>
      </c>
      <c r="V113" s="162">
        <f>IFERROR(Table13[[#This Row],[B1.Aud]]-Table13[[#This Row],[PW(gm)]],"ERR")</f>
        <v>50</v>
      </c>
      <c r="W113" s="165">
        <f>IFERROR(Table13[[#This Row],[B1.Diff]]/Table13[[#This Row],[B1.Aud]],"ERR")</f>
        <v>2.9585798816568046E-2</v>
      </c>
      <c r="X113" s="162">
        <f>_xlfn.IFNA(VLOOKUP(Table13[[#This Row],[MTP SKU Code]],'Audit Dimensions'!A:N,10,FALSE),"ARC")</f>
        <v>0</v>
      </c>
      <c r="Y113" s="163">
        <f>IFERROR(Table13[[#This Row],[B2.Aud]]-Table13[[#This Row],[PW(gm)5]],"ERR")</f>
        <v>0</v>
      </c>
      <c r="Z113" s="165" t="str">
        <f>IFERROR(Table13[[#This Row],[B2.Diff]]/Table13[[#This Row],[B2.Aud]],"ERR")</f>
        <v>ERR</v>
      </c>
      <c r="AA113" s="162">
        <f>_xlfn.IFNA(VLOOKUP(Table13[[#This Row],[MTP SKU Code]],'Audit Dimensions'!A:N,14,FALSE),"ARC")</f>
        <v>0</v>
      </c>
      <c r="AB113" s="161">
        <f>IFERROR(Table13[[#This Row],[B3.Aud]]-Table13[[#This Row],[PW(gm)9]],"ERR")</f>
        <v>0</v>
      </c>
      <c r="AC113" s="168">
        <f>IFERROR(Table13[[#This Row],[B3.Diff]]/Table13[[#This Row],[BaLL.Aud]],"ERR")</f>
        <v>0</v>
      </c>
      <c r="AD113" s="189">
        <f>_xlfn.IFNA(VLOOKUP(Table13[[#This Row],[MTP SKU Code]],'Audit Dimensions'!A:U,16,FALSE),"ARC")</f>
        <v>1690</v>
      </c>
      <c r="AE113" s="165">
        <f>IFERROR(1-Table13[[#This Row],[Gms]]/Table13[[#This Row],[BaLL.Aud]],"ERR")</f>
        <v>2.9585798816568087E-2</v>
      </c>
    </row>
    <row r="114" spans="1:31">
      <c r="A114" s="68" t="s">
        <v>267</v>
      </c>
      <c r="B114" s="84" t="s">
        <v>48</v>
      </c>
      <c r="C114" s="85">
        <v>119</v>
      </c>
      <c r="D114" s="85">
        <v>30</v>
      </c>
      <c r="E114" s="85">
        <v>6</v>
      </c>
      <c r="F114" s="89">
        <v>6500</v>
      </c>
      <c r="G114" s="85"/>
      <c r="H114" s="85"/>
      <c r="I114" s="85"/>
      <c r="J114" s="85"/>
      <c r="K114" s="85"/>
      <c r="L114" s="85"/>
      <c r="M114" s="85"/>
      <c r="N114" s="85"/>
      <c r="O114" s="118">
        <f>((IFERROR((C114*D114*E114),0)+IFERROR((G114*H114*I114),0)+IFERROR((K114*L114*M114),0))/1000000)*35.32</f>
        <v>0.75655440000000007</v>
      </c>
      <c r="P114" s="125">
        <f>Table13[[#This Row],[Column15]]*$P$2*1000</f>
        <v>4539.3263999999999</v>
      </c>
      <c r="Q114" s="87">
        <f>F114+J114+N114</f>
        <v>6500</v>
      </c>
      <c r="R114" s="86">
        <f>MAX(Q114,O114)</f>
        <v>6500</v>
      </c>
      <c r="S114" s="86">
        <f>MAX(R114,P114)</f>
        <v>6500</v>
      </c>
      <c r="T114" s="156" t="str">
        <f>VLOOKUP(A114,'[1]MTP SKUs - Master Data'!$A:$B,2,FALSE)</f>
        <v>Y</v>
      </c>
      <c r="U114" s="162">
        <f>_xlfn.IFNA(VLOOKUP(Table13[[#This Row],[MTP SKU Code]],'Audit Dimensions'!A:N,6,FALSE),"ARC")</f>
        <v>6700</v>
      </c>
      <c r="V114" s="162">
        <f>IFERROR(Table13[[#This Row],[B1.Aud]]-Table13[[#This Row],[PW(gm)]],"ERR")</f>
        <v>200</v>
      </c>
      <c r="W114" s="165">
        <f>IFERROR(Table13[[#This Row],[B1.Diff]]/Table13[[#This Row],[B1.Aud]],"ERR")</f>
        <v>2.9850746268656716E-2</v>
      </c>
      <c r="X114" s="162">
        <f>_xlfn.IFNA(VLOOKUP(Table13[[#This Row],[MTP SKU Code]],'Audit Dimensions'!A:N,10,FALSE),"ARC")</f>
        <v>0</v>
      </c>
      <c r="Y114" s="163">
        <f>IFERROR(Table13[[#This Row],[B2.Aud]]-Table13[[#This Row],[PW(gm)5]],"ERR")</f>
        <v>0</v>
      </c>
      <c r="Z114" s="165" t="str">
        <f>IFERROR(Table13[[#This Row],[B2.Diff]]/Table13[[#This Row],[B2.Aud]],"ERR")</f>
        <v>ERR</v>
      </c>
      <c r="AA114" s="162">
        <f>_xlfn.IFNA(VLOOKUP(Table13[[#This Row],[MTP SKU Code]],'Audit Dimensions'!A:N,14,FALSE),"ARC")</f>
        <v>0</v>
      </c>
      <c r="AB114" s="161">
        <f>IFERROR(Table13[[#This Row],[B3.Aud]]-Table13[[#This Row],[PW(gm)9]],"ERR")</f>
        <v>0</v>
      </c>
      <c r="AC114" s="168">
        <f>IFERROR(Table13[[#This Row],[B3.Diff]]/Table13[[#This Row],[BaLL.Aud]],"ERR")</f>
        <v>0</v>
      </c>
      <c r="AD114" s="189">
        <f>_xlfn.IFNA(VLOOKUP(Table13[[#This Row],[MTP SKU Code]],'Audit Dimensions'!A:U,16,FALSE),"ARC")</f>
        <v>6700</v>
      </c>
      <c r="AE114" s="165">
        <f>IFERROR(1-Table13[[#This Row],[Gms]]/Table13[[#This Row],[BaLL.Aud]],"ERR")</f>
        <v>2.9850746268656692E-2</v>
      </c>
    </row>
    <row r="115" spans="1:31" ht="14.45" customHeight="1">
      <c r="A115" s="68" t="s">
        <v>238</v>
      </c>
      <c r="B115" s="84" t="s">
        <v>48</v>
      </c>
      <c r="C115" s="85">
        <v>102</v>
      </c>
      <c r="D115" s="85">
        <v>57</v>
      </c>
      <c r="E115" s="85">
        <v>6</v>
      </c>
      <c r="F115" s="89">
        <v>12000</v>
      </c>
      <c r="G115" s="85"/>
      <c r="H115" s="85"/>
      <c r="I115" s="85"/>
      <c r="J115" s="85"/>
      <c r="K115" s="85"/>
      <c r="L115" s="85"/>
      <c r="M115" s="85"/>
      <c r="N115" s="85"/>
      <c r="O115" s="118">
        <f>((IFERROR((C115*D115*E115),0)+IFERROR((G115*H115*I115),0)+IFERROR((K115*L115*M115),0))/1000000)*35.32</f>
        <v>1.23210288</v>
      </c>
      <c r="P115" s="125">
        <f>Table13[[#This Row],[Column15]]*$P$2*1000</f>
        <v>7392.6172799999995</v>
      </c>
      <c r="Q115" s="87">
        <f>F115+J115+N115</f>
        <v>12000</v>
      </c>
      <c r="R115" s="86">
        <f>MAX(Q115,O115)</f>
        <v>12000</v>
      </c>
      <c r="S115" s="86">
        <f>MAX(R115,P115)</f>
        <v>12000</v>
      </c>
      <c r="T115" s="156" t="str">
        <f>VLOOKUP(A115,'[1]MTP SKUs - Master Data'!$A:$B,2,FALSE)</f>
        <v>Y</v>
      </c>
      <c r="U115" s="162">
        <f>_xlfn.IFNA(VLOOKUP(Table13[[#This Row],[MTP SKU Code]],'Audit Dimensions'!A:N,6,FALSE),"ARC")</f>
        <v>12370</v>
      </c>
      <c r="V115" s="162">
        <f>IFERROR(Table13[[#This Row],[B1.Aud]]-Table13[[#This Row],[PW(gm)]],"ERR")</f>
        <v>370</v>
      </c>
      <c r="W115" s="165">
        <f>IFERROR(Table13[[#This Row],[B1.Diff]]/Table13[[#This Row],[B1.Aud]],"ERR")</f>
        <v>2.9911075181891674E-2</v>
      </c>
      <c r="X115" s="162">
        <f>_xlfn.IFNA(VLOOKUP(Table13[[#This Row],[MTP SKU Code]],'Audit Dimensions'!A:N,10,FALSE),"ARC")</f>
        <v>0</v>
      </c>
      <c r="Y115" s="163">
        <f>IFERROR(Table13[[#This Row],[B2.Aud]]-Table13[[#This Row],[PW(gm)5]],"ERR")</f>
        <v>0</v>
      </c>
      <c r="Z115" s="165" t="str">
        <f>IFERROR(Table13[[#This Row],[B2.Diff]]/Table13[[#This Row],[B2.Aud]],"ERR")</f>
        <v>ERR</v>
      </c>
      <c r="AA115" s="162">
        <f>_xlfn.IFNA(VLOOKUP(Table13[[#This Row],[MTP SKU Code]],'Audit Dimensions'!A:N,14,FALSE),"ARC")</f>
        <v>0</v>
      </c>
      <c r="AB115" s="161">
        <f>IFERROR(Table13[[#This Row],[B3.Aud]]-Table13[[#This Row],[PW(gm)9]],"ERR")</f>
        <v>0</v>
      </c>
      <c r="AC115" s="168">
        <f>IFERROR(Table13[[#This Row],[B3.Diff]]/Table13[[#This Row],[BaLL.Aud]],"ERR")</f>
        <v>0</v>
      </c>
      <c r="AD115" s="189">
        <f>_xlfn.IFNA(VLOOKUP(Table13[[#This Row],[MTP SKU Code]],'Audit Dimensions'!A:U,16,FALSE),"ARC")</f>
        <v>12370</v>
      </c>
      <c r="AE115" s="165">
        <f>IFERROR(1-Table13[[#This Row],[Gms]]/Table13[[#This Row],[BaLL.Aud]],"ERR")</f>
        <v>2.9911075181891622E-2</v>
      </c>
    </row>
    <row r="116" spans="1:31" ht="14.45" customHeight="1">
      <c r="A116" s="91" t="s">
        <v>126</v>
      </c>
      <c r="B116" s="84" t="s">
        <v>48</v>
      </c>
      <c r="C116" s="85">
        <v>93</v>
      </c>
      <c r="D116" s="85">
        <v>42</v>
      </c>
      <c r="E116" s="85">
        <v>9</v>
      </c>
      <c r="F116" s="89">
        <v>30650</v>
      </c>
      <c r="G116" s="85"/>
      <c r="H116" s="85"/>
      <c r="I116" s="85"/>
      <c r="J116" s="85"/>
      <c r="K116" s="85"/>
      <c r="L116" s="85"/>
      <c r="M116" s="85"/>
      <c r="N116" s="85"/>
      <c r="O116" s="118">
        <f>((IFERROR((C116*D116*E116),0)+IFERROR((G116*H116*I116),0)+IFERROR((K116*L116*M116),0))/1000000)*35.32</f>
        <v>1.24163928</v>
      </c>
      <c r="P116" s="125">
        <f>Table13[[#This Row],[Column15]]*$P$2*1000</f>
        <v>7449.8356799999992</v>
      </c>
      <c r="Q116" s="87">
        <f>F116+J116+N116</f>
        <v>30650</v>
      </c>
      <c r="R116" s="86">
        <f>MAX(Q116,O116)</f>
        <v>30650</v>
      </c>
      <c r="S116" s="86">
        <f>MAX(R116,P116)</f>
        <v>30650</v>
      </c>
      <c r="T116" s="156" t="str">
        <f>VLOOKUP(A116,'[1]MTP SKUs - Master Data'!$A:$B,2,FALSE)</f>
        <v>Y</v>
      </c>
      <c r="U116" s="162">
        <f>_xlfn.IFNA(VLOOKUP(Table13[[#This Row],[MTP SKU Code]],'Audit Dimensions'!A:N,6,FALSE),"ARC")</f>
        <v>31640</v>
      </c>
      <c r="V116" s="162">
        <f>IFERROR(Table13[[#This Row],[B1.Aud]]-Table13[[#This Row],[PW(gm)]],"ERR")</f>
        <v>990</v>
      </c>
      <c r="W116" s="165">
        <f>IFERROR(Table13[[#This Row],[B1.Diff]]/Table13[[#This Row],[B1.Aud]],"ERR")</f>
        <v>3.1289506953223765E-2</v>
      </c>
      <c r="X116" s="162">
        <f>_xlfn.IFNA(VLOOKUP(Table13[[#This Row],[MTP SKU Code]],'Audit Dimensions'!A:N,10,FALSE),"ARC")</f>
        <v>0</v>
      </c>
      <c r="Y116" s="163">
        <f>IFERROR(Table13[[#This Row],[B2.Aud]]-Table13[[#This Row],[PW(gm)5]],"ERR")</f>
        <v>0</v>
      </c>
      <c r="Z116" s="165" t="str">
        <f>IFERROR(Table13[[#This Row],[B2.Diff]]/Table13[[#This Row],[B2.Aud]],"ERR")</f>
        <v>ERR</v>
      </c>
      <c r="AA116" s="162">
        <f>_xlfn.IFNA(VLOOKUP(Table13[[#This Row],[MTP SKU Code]],'Audit Dimensions'!A:N,14,FALSE),"ARC")</f>
        <v>0</v>
      </c>
      <c r="AB116" s="161">
        <f>IFERROR(Table13[[#This Row],[B3.Aud]]-Table13[[#This Row],[PW(gm)9]],"ERR")</f>
        <v>0</v>
      </c>
      <c r="AC116" s="168">
        <f>IFERROR(Table13[[#This Row],[B3.Diff]]/Table13[[#This Row],[BaLL.Aud]],"ERR")</f>
        <v>0</v>
      </c>
      <c r="AD116" s="189">
        <f>_xlfn.IFNA(VLOOKUP(Table13[[#This Row],[MTP SKU Code]],'Audit Dimensions'!A:U,16,FALSE),"ARC")</f>
        <v>31640</v>
      </c>
      <c r="AE116" s="165">
        <f>IFERROR(1-Table13[[#This Row],[Gms]]/Table13[[#This Row],[BaLL.Aud]],"ERR")</f>
        <v>3.1289506953223745E-2</v>
      </c>
    </row>
    <row r="117" spans="1:31" ht="14.45" customHeight="1">
      <c r="A117" s="68" t="s">
        <v>163</v>
      </c>
      <c r="B117" s="84" t="s">
        <v>74</v>
      </c>
      <c r="C117" s="85">
        <v>188</v>
      </c>
      <c r="D117" s="85">
        <v>48</v>
      </c>
      <c r="E117" s="85">
        <v>9</v>
      </c>
      <c r="F117" s="89">
        <v>37800</v>
      </c>
      <c r="G117" s="85">
        <v>148</v>
      </c>
      <c r="H117" s="85">
        <v>53</v>
      </c>
      <c r="I117" s="85">
        <v>8</v>
      </c>
      <c r="J117" s="85">
        <v>30400</v>
      </c>
      <c r="K117" s="85"/>
      <c r="L117" s="85"/>
      <c r="M117" s="85"/>
      <c r="N117" s="85"/>
      <c r="O117" s="118">
        <f>((IFERROR((C117*D117*E117),0)+IFERROR((G117*H117*I117),0)+IFERROR((K117*L117*M117),0))/1000000)*35.32</f>
        <v>5.0849497600000007</v>
      </c>
      <c r="P117" s="125">
        <f>Table13[[#This Row],[Column15]]*$P$2*1000</f>
        <v>30509.698560000004</v>
      </c>
      <c r="Q117" s="87">
        <f>F117+J117+N117</f>
        <v>68200</v>
      </c>
      <c r="R117" s="86">
        <f>MAX(Q117,O117)</f>
        <v>68200</v>
      </c>
      <c r="S117" s="86">
        <f>MAX(R117,P117)</f>
        <v>68200</v>
      </c>
      <c r="T117" s="156" t="str">
        <f>VLOOKUP(A117,'[1]MTP SKUs - Master Data'!$A:$B,2,FALSE)</f>
        <v>Y</v>
      </c>
      <c r="U117" s="162">
        <f>_xlfn.IFNA(VLOOKUP(Table13[[#This Row],[MTP SKU Code]],'Audit Dimensions'!A:N,6,FALSE),"ARC")</f>
        <v>40300</v>
      </c>
      <c r="V117" s="162">
        <f>IFERROR(Table13[[#This Row],[B1.Aud]]-Table13[[#This Row],[PW(gm)]],"ERR")</f>
        <v>2500</v>
      </c>
      <c r="W117" s="165">
        <f>IFERROR(Table13[[#This Row],[B1.Diff]]/Table13[[#This Row],[B1.Aud]],"ERR")</f>
        <v>6.2034739454094295E-2</v>
      </c>
      <c r="X117" s="162">
        <f>_xlfn.IFNA(VLOOKUP(Table13[[#This Row],[MTP SKU Code]],'Audit Dimensions'!A:N,10,FALSE),"ARC")</f>
        <v>30110</v>
      </c>
      <c r="Y117" s="163">
        <f>IFERROR(Table13[[#This Row],[B2.Aud]]-Table13[[#This Row],[PW(gm)5]],"ERR")</f>
        <v>-290</v>
      </c>
      <c r="Z117" s="165">
        <f>IFERROR(Table13[[#This Row],[B2.Diff]]/Table13[[#This Row],[B2.Aud]],"ERR")</f>
        <v>-9.6313517103952181E-3</v>
      </c>
      <c r="AA117" s="162">
        <f>_xlfn.IFNA(VLOOKUP(Table13[[#This Row],[MTP SKU Code]],'Audit Dimensions'!A:N,14,FALSE),"ARC")</f>
        <v>0</v>
      </c>
      <c r="AB117" s="161">
        <f>IFERROR(Table13[[#This Row],[B3.Aud]]-Table13[[#This Row],[PW(gm)9]],"ERR")</f>
        <v>0</v>
      </c>
      <c r="AC117" s="168">
        <f>IFERROR(Table13[[#This Row],[B3.Diff]]/Table13[[#This Row],[BaLL.Aud]],"ERR")</f>
        <v>0</v>
      </c>
      <c r="AD117" s="189">
        <f>_xlfn.IFNA(VLOOKUP(Table13[[#This Row],[MTP SKU Code]],'Audit Dimensions'!A:U,16,FALSE),"ARC")</f>
        <v>70410</v>
      </c>
      <c r="AE117" s="165">
        <f>IFERROR(1-Table13[[#This Row],[Gms]]/Table13[[#This Row],[BaLL.Aud]],"ERR")</f>
        <v>3.1387586990484273E-2</v>
      </c>
    </row>
    <row r="118" spans="1:31" ht="14.45" customHeight="1">
      <c r="A118" s="68" t="s">
        <v>82</v>
      </c>
      <c r="B118" s="84" t="s">
        <v>74</v>
      </c>
      <c r="C118" s="85">
        <v>166</v>
      </c>
      <c r="D118" s="85">
        <v>53</v>
      </c>
      <c r="E118" s="85">
        <v>10</v>
      </c>
      <c r="F118" s="89">
        <v>44650</v>
      </c>
      <c r="G118" s="85">
        <v>180</v>
      </c>
      <c r="H118" s="85">
        <v>47</v>
      </c>
      <c r="I118" s="85">
        <v>10</v>
      </c>
      <c r="J118" s="85">
        <v>47370</v>
      </c>
      <c r="K118" s="85">
        <v>185</v>
      </c>
      <c r="L118" s="85">
        <v>50</v>
      </c>
      <c r="M118" s="85">
        <v>8</v>
      </c>
      <c r="N118" s="85">
        <v>44800</v>
      </c>
      <c r="O118" s="118">
        <f>((IFERROR((C118*D118*E118),0)+IFERROR((G118*H118*I118),0)+IFERROR((K118*L118*M118),0))/1000000)*35.32</f>
        <v>8.7092056000000007</v>
      </c>
      <c r="P118" s="125">
        <f>Table13[[#This Row],[Column15]]*$P$2*1000</f>
        <v>52255.233600000007</v>
      </c>
      <c r="Q118" s="87">
        <f>F118+J118+N118</f>
        <v>136820</v>
      </c>
      <c r="R118" s="86">
        <f>MAX(Q118,O118)</f>
        <v>136820</v>
      </c>
      <c r="S118" s="86">
        <f>MAX(R118,P118)</f>
        <v>136820</v>
      </c>
      <c r="T118" s="156" t="str">
        <f>VLOOKUP(A118,'[1]MTP SKUs - Master Data'!$A:$B,2,FALSE)</f>
        <v>Y</v>
      </c>
      <c r="U118" s="162">
        <f>_xlfn.IFNA(VLOOKUP(Table13[[#This Row],[MTP SKU Code]],'Audit Dimensions'!A:N,6,FALSE),"ARC")</f>
        <v>45210</v>
      </c>
      <c r="V118" s="162">
        <f>IFERROR(Table13[[#This Row],[B1.Aud]]-Table13[[#This Row],[PW(gm)]],"ERR")</f>
        <v>560</v>
      </c>
      <c r="W118" s="165">
        <f>IFERROR(Table13[[#This Row],[B1.Diff]]/Table13[[#This Row],[B1.Aud]],"ERR")</f>
        <v>1.2386640123866401E-2</v>
      </c>
      <c r="X118" s="162">
        <f>_xlfn.IFNA(VLOOKUP(Table13[[#This Row],[MTP SKU Code]],'Audit Dimensions'!A:N,10,FALSE),"ARC")</f>
        <v>49600</v>
      </c>
      <c r="Y118" s="163">
        <f>IFERROR(Table13[[#This Row],[B2.Aud]]-Table13[[#This Row],[PW(gm)5]],"ERR")</f>
        <v>2230</v>
      </c>
      <c r="Z118" s="165">
        <f>IFERROR(Table13[[#This Row],[B2.Diff]]/Table13[[#This Row],[B2.Aud]],"ERR")</f>
        <v>4.4959677419354839E-2</v>
      </c>
      <c r="AA118" s="162">
        <f>_xlfn.IFNA(VLOOKUP(Table13[[#This Row],[MTP SKU Code]],'Audit Dimensions'!A:N,14,FALSE),"ARC")</f>
        <v>46180</v>
      </c>
      <c r="AB118" s="161">
        <f>IFERROR(Table13[[#This Row],[B3.Aud]]-Table13[[#This Row],[PW(gm)9]],"ERR")</f>
        <v>1380</v>
      </c>
      <c r="AC118" s="168">
        <f>IFERROR(Table13[[#This Row],[B3.Diff]]/Table13[[#This Row],[BaLL.Aud]],"ERR")</f>
        <v>9.7879282218597055E-3</v>
      </c>
      <c r="AD118" s="189">
        <f>_xlfn.IFNA(VLOOKUP(Table13[[#This Row],[MTP SKU Code]],'Audit Dimensions'!A:U,16,FALSE),"ARC")</f>
        <v>140990</v>
      </c>
      <c r="AE118" s="165">
        <f>IFERROR(1-Table13[[#This Row],[Gms]]/Table13[[#This Row],[BaLL.Aud]],"ERR")</f>
        <v>2.9576565713880454E-2</v>
      </c>
    </row>
    <row r="119" spans="1:31" ht="14.45" customHeight="1">
      <c r="A119" s="68" t="s">
        <v>122</v>
      </c>
      <c r="B119" s="84" t="s">
        <v>48</v>
      </c>
      <c r="C119" s="85">
        <v>173</v>
      </c>
      <c r="D119" s="85">
        <v>36</v>
      </c>
      <c r="E119" s="85">
        <v>10</v>
      </c>
      <c r="F119" s="89">
        <v>30450</v>
      </c>
      <c r="G119" s="85"/>
      <c r="H119" s="85"/>
      <c r="I119" s="85"/>
      <c r="J119" s="85"/>
      <c r="K119" s="85"/>
      <c r="L119" s="85"/>
      <c r="M119" s="85"/>
      <c r="N119" s="85"/>
      <c r="O119" s="118">
        <f>((IFERROR((C119*D119*E119),0)+IFERROR((G119*H119*I119),0)+IFERROR((K119*L119*M119),0))/1000000)*35.32</f>
        <v>2.1997296</v>
      </c>
      <c r="P119" s="125">
        <f>Table13[[#This Row],[Column15]]*$P$2*1000</f>
        <v>13198.3776</v>
      </c>
      <c r="Q119" s="87">
        <f>F119+J119+N119</f>
        <v>30450</v>
      </c>
      <c r="R119" s="86">
        <f>MAX(Q119,O119)</f>
        <v>30450</v>
      </c>
      <c r="S119" s="86">
        <f>MAX(R119,P119)</f>
        <v>30450</v>
      </c>
      <c r="T119" s="156" t="str">
        <f>VLOOKUP(A119,'[1]MTP SKUs - Master Data'!$A:$B,2,FALSE)</f>
        <v>Y</v>
      </c>
      <c r="U119" s="162">
        <f>_xlfn.IFNA(VLOOKUP(Table13[[#This Row],[MTP SKU Code]],'Audit Dimensions'!A:N,6,FALSE),"ARC")</f>
        <v>31470</v>
      </c>
      <c r="V119" s="162">
        <f>IFERROR(Table13[[#This Row],[B1.Aud]]-Table13[[#This Row],[PW(gm)]],"ERR")</f>
        <v>1020</v>
      </c>
      <c r="W119" s="165">
        <f>IFERROR(Table13[[#This Row],[B1.Diff]]/Table13[[#This Row],[B1.Aud]],"ERR")</f>
        <v>3.2411820781696854E-2</v>
      </c>
      <c r="X119" s="162">
        <f>_xlfn.IFNA(VLOOKUP(Table13[[#This Row],[MTP SKU Code]],'Audit Dimensions'!A:N,10,FALSE),"ARC")</f>
        <v>0</v>
      </c>
      <c r="Y119" s="163">
        <f>IFERROR(Table13[[#This Row],[B2.Aud]]-Table13[[#This Row],[PW(gm)5]],"ERR")</f>
        <v>0</v>
      </c>
      <c r="Z119" s="165" t="str">
        <f>IFERROR(Table13[[#This Row],[B2.Diff]]/Table13[[#This Row],[B2.Aud]],"ERR")</f>
        <v>ERR</v>
      </c>
      <c r="AA119" s="162">
        <f>_xlfn.IFNA(VLOOKUP(Table13[[#This Row],[MTP SKU Code]],'Audit Dimensions'!A:N,14,FALSE),"ARC")</f>
        <v>0</v>
      </c>
      <c r="AB119" s="161">
        <f>IFERROR(Table13[[#This Row],[B3.Aud]]-Table13[[#This Row],[PW(gm)9]],"ERR")</f>
        <v>0</v>
      </c>
      <c r="AC119" s="168">
        <f>IFERROR(Table13[[#This Row],[B3.Diff]]/Table13[[#This Row],[BaLL.Aud]],"ERR")</f>
        <v>0</v>
      </c>
      <c r="AD119" s="189">
        <f>_xlfn.IFNA(VLOOKUP(Table13[[#This Row],[MTP SKU Code]],'Audit Dimensions'!A:U,16,FALSE),"ARC")</f>
        <v>31470</v>
      </c>
      <c r="AE119" s="165">
        <f>IFERROR(1-Table13[[#This Row],[Gms]]/Table13[[#This Row],[BaLL.Aud]],"ERR")</f>
        <v>3.2411820781696909E-2</v>
      </c>
    </row>
    <row r="120" spans="1:31" ht="14.45" customHeight="1">
      <c r="A120" s="68" t="s">
        <v>261</v>
      </c>
      <c r="B120" s="84" t="s">
        <v>48</v>
      </c>
      <c r="C120" s="85">
        <v>78</v>
      </c>
      <c r="D120" s="85">
        <v>62</v>
      </c>
      <c r="E120" s="85">
        <v>7</v>
      </c>
      <c r="F120" s="89">
        <v>7690</v>
      </c>
      <c r="G120" s="85"/>
      <c r="H120" s="85"/>
      <c r="I120" s="85"/>
      <c r="J120" s="85"/>
      <c r="K120" s="85"/>
      <c r="L120" s="85"/>
      <c r="M120" s="85"/>
      <c r="N120" s="85"/>
      <c r="O120" s="118">
        <f>((IFERROR((C120*D120*E120),0)+IFERROR((G120*H120*I120),0)+IFERROR((K120*L120*M120),0))/1000000)*35.32</f>
        <v>1.19565264</v>
      </c>
      <c r="P120" s="125">
        <f>Table13[[#This Row],[Column15]]*$P$2*1000</f>
        <v>7173.9158400000006</v>
      </c>
      <c r="Q120" s="87">
        <f>F120+J120+N120</f>
        <v>7690</v>
      </c>
      <c r="R120" s="86">
        <f>MAX(Q120,O120)</f>
        <v>7690</v>
      </c>
      <c r="S120" s="86">
        <f>MAX(R120,P120)</f>
        <v>7690</v>
      </c>
      <c r="T120" s="156" t="str">
        <f>VLOOKUP(A120,'[1]MTP SKUs - Master Data'!$A:$B,2,FALSE)</f>
        <v>Y</v>
      </c>
      <c r="U120" s="162">
        <f>_xlfn.IFNA(VLOOKUP(Table13[[#This Row],[MTP SKU Code]],'Audit Dimensions'!A:N,6,FALSE),"ARC")</f>
        <v>7950</v>
      </c>
      <c r="V120" s="162">
        <f>IFERROR(Table13[[#This Row],[B1.Aud]]-Table13[[#This Row],[PW(gm)]],"ERR")</f>
        <v>260</v>
      </c>
      <c r="W120" s="165">
        <f>IFERROR(Table13[[#This Row],[B1.Diff]]/Table13[[#This Row],[B1.Aud]],"ERR")</f>
        <v>3.270440251572327E-2</v>
      </c>
      <c r="X120" s="162">
        <f>_xlfn.IFNA(VLOOKUP(Table13[[#This Row],[MTP SKU Code]],'Audit Dimensions'!A:N,10,FALSE),"ARC")</f>
        <v>0</v>
      </c>
      <c r="Y120" s="163">
        <f>IFERROR(Table13[[#This Row],[B2.Aud]]-Table13[[#This Row],[PW(gm)5]],"ERR")</f>
        <v>0</v>
      </c>
      <c r="Z120" s="165" t="str">
        <f>IFERROR(Table13[[#This Row],[B2.Diff]]/Table13[[#This Row],[B2.Aud]],"ERR")</f>
        <v>ERR</v>
      </c>
      <c r="AA120" s="162">
        <f>_xlfn.IFNA(VLOOKUP(Table13[[#This Row],[MTP SKU Code]],'Audit Dimensions'!A:N,14,FALSE),"ARC")</f>
        <v>0</v>
      </c>
      <c r="AB120" s="161">
        <f>IFERROR(Table13[[#This Row],[B3.Aud]]-Table13[[#This Row],[PW(gm)9]],"ERR")</f>
        <v>0</v>
      </c>
      <c r="AC120" s="168">
        <f>IFERROR(Table13[[#This Row],[B3.Diff]]/Table13[[#This Row],[BaLL.Aud]],"ERR")</f>
        <v>0</v>
      </c>
      <c r="AD120" s="189">
        <f>_xlfn.IFNA(VLOOKUP(Table13[[#This Row],[MTP SKU Code]],'Audit Dimensions'!A:U,16,FALSE),"ARC")</f>
        <v>7950</v>
      </c>
      <c r="AE120" s="165">
        <f>IFERROR(1-Table13[[#This Row],[Gms]]/Table13[[#This Row],[BaLL.Aud]],"ERR")</f>
        <v>3.2704402515723263E-2</v>
      </c>
    </row>
    <row r="121" spans="1:31" ht="14.45" customHeight="1">
      <c r="A121" s="68" t="s">
        <v>222</v>
      </c>
      <c r="B121" s="84" t="s">
        <v>48</v>
      </c>
      <c r="C121" s="85">
        <v>147</v>
      </c>
      <c r="D121" s="85">
        <v>38</v>
      </c>
      <c r="E121" s="85">
        <v>11</v>
      </c>
      <c r="F121" s="89">
        <v>29450</v>
      </c>
      <c r="G121" s="85"/>
      <c r="H121" s="85"/>
      <c r="I121" s="85"/>
      <c r="J121" s="85"/>
      <c r="K121" s="85"/>
      <c r="L121" s="85"/>
      <c r="M121" s="85"/>
      <c r="N121" s="85"/>
      <c r="O121" s="118">
        <f>((IFERROR((C121*D121*E121),0)+IFERROR((G121*H121*I121),0)+IFERROR((K121*L121*M121),0))/1000000)*35.32</f>
        <v>2.1702727199999998</v>
      </c>
      <c r="P121" s="125">
        <f>Table13[[#This Row],[Column15]]*$P$2*1000</f>
        <v>13021.63632</v>
      </c>
      <c r="Q121" s="87">
        <f>F121+J121+N121</f>
        <v>29450</v>
      </c>
      <c r="R121" s="86">
        <f>MAX(Q121,O121)</f>
        <v>29450</v>
      </c>
      <c r="S121" s="86">
        <f>MAX(R121,P121)</f>
        <v>29450</v>
      </c>
      <c r="T121" s="156" t="str">
        <f>VLOOKUP(A121,'[1]MTP SKUs - Master Data'!$A:$B,2,FALSE)</f>
        <v>Y</v>
      </c>
      <c r="U121" s="162">
        <f>_xlfn.IFNA(VLOOKUP(Table13[[#This Row],[MTP SKU Code]],'Audit Dimensions'!A:N,6,FALSE),"ARC")</f>
        <v>30460</v>
      </c>
      <c r="V121" s="162">
        <f>IFERROR(Table13[[#This Row],[B1.Aud]]-Table13[[#This Row],[PW(gm)]],"ERR")</f>
        <v>1010</v>
      </c>
      <c r="W121" s="165">
        <f>IFERROR(Table13[[#This Row],[B1.Diff]]/Table13[[#This Row],[B1.Aud]],"ERR")</f>
        <v>3.3158240315167432E-2</v>
      </c>
      <c r="X121" s="162">
        <f>_xlfn.IFNA(VLOOKUP(Table13[[#This Row],[MTP SKU Code]],'Audit Dimensions'!A:N,10,FALSE),"ARC")</f>
        <v>0</v>
      </c>
      <c r="Y121" s="163">
        <f>IFERROR(Table13[[#This Row],[B2.Aud]]-Table13[[#This Row],[PW(gm)5]],"ERR")</f>
        <v>0</v>
      </c>
      <c r="Z121" s="165" t="str">
        <f>IFERROR(Table13[[#This Row],[B2.Diff]]/Table13[[#This Row],[B2.Aud]],"ERR")</f>
        <v>ERR</v>
      </c>
      <c r="AA121" s="162">
        <f>_xlfn.IFNA(VLOOKUP(Table13[[#This Row],[MTP SKU Code]],'Audit Dimensions'!A:N,14,FALSE),"ARC")</f>
        <v>0</v>
      </c>
      <c r="AB121" s="161">
        <f>IFERROR(Table13[[#This Row],[B3.Aud]]-Table13[[#This Row],[PW(gm)9]],"ERR")</f>
        <v>0</v>
      </c>
      <c r="AC121" s="168">
        <f>IFERROR(Table13[[#This Row],[B3.Diff]]/Table13[[#This Row],[BaLL.Aud]],"ERR")</f>
        <v>0</v>
      </c>
      <c r="AD121" s="189">
        <f>_xlfn.IFNA(VLOOKUP(Table13[[#This Row],[MTP SKU Code]],'Audit Dimensions'!A:U,16,FALSE),"ARC")</f>
        <v>30460</v>
      </c>
      <c r="AE121" s="165">
        <f>IFERROR(1-Table13[[#This Row],[Gms]]/Table13[[#This Row],[BaLL.Aud]],"ERR")</f>
        <v>3.3158240315167453E-2</v>
      </c>
    </row>
    <row r="122" spans="1:31" ht="14.45" customHeight="1">
      <c r="A122" s="91" t="s">
        <v>153</v>
      </c>
      <c r="B122" s="84" t="s">
        <v>48</v>
      </c>
      <c r="C122" s="85">
        <v>156</v>
      </c>
      <c r="D122" s="85">
        <v>40</v>
      </c>
      <c r="E122" s="85">
        <v>7</v>
      </c>
      <c r="F122" s="89">
        <v>16800</v>
      </c>
      <c r="G122" s="85"/>
      <c r="H122" s="85"/>
      <c r="I122" s="85"/>
      <c r="J122" s="85"/>
      <c r="K122" s="85"/>
      <c r="L122" s="85"/>
      <c r="M122" s="85"/>
      <c r="N122" s="85"/>
      <c r="O122" s="118">
        <f>((IFERROR((C122*D122*E122),0)+IFERROR((G122*H122*I122),0)+IFERROR((K122*L122*M122),0))/1000000)*35.32</f>
        <v>1.5427776</v>
      </c>
      <c r="P122" s="125">
        <f>Table13[[#This Row],[Column15]]*$P$2*1000</f>
        <v>9256.6656000000003</v>
      </c>
      <c r="Q122" s="87">
        <f>F122+J122+N122</f>
        <v>16800</v>
      </c>
      <c r="R122" s="86">
        <f>MAX(Q122,O122)</f>
        <v>16800</v>
      </c>
      <c r="S122" s="86">
        <f>MAX(R122,P122)</f>
        <v>16800</v>
      </c>
      <c r="T122" s="156" t="str">
        <f>VLOOKUP(A122,'[1]MTP SKUs - Master Data'!$A:$B,2,FALSE)</f>
        <v>Y</v>
      </c>
      <c r="U122" s="162">
        <f>_xlfn.IFNA(VLOOKUP(Table13[[#This Row],[MTP SKU Code]],'Audit Dimensions'!A:N,6,FALSE),"ARC")</f>
        <v>17390</v>
      </c>
      <c r="V122" s="162">
        <f>IFERROR(Table13[[#This Row],[B1.Aud]]-Table13[[#This Row],[PW(gm)]],"ERR")</f>
        <v>590</v>
      </c>
      <c r="W122" s="165">
        <f>IFERROR(Table13[[#This Row],[B1.Diff]]/Table13[[#This Row],[B1.Aud]],"ERR")</f>
        <v>3.3927544565842439E-2</v>
      </c>
      <c r="X122" s="162">
        <f>_xlfn.IFNA(VLOOKUP(Table13[[#This Row],[MTP SKU Code]],'Audit Dimensions'!A:N,10,FALSE),"ARC")</f>
        <v>0</v>
      </c>
      <c r="Y122" s="163">
        <f>IFERROR(Table13[[#This Row],[B2.Aud]]-Table13[[#This Row],[PW(gm)5]],"ERR")</f>
        <v>0</v>
      </c>
      <c r="Z122" s="165" t="str">
        <f>IFERROR(Table13[[#This Row],[B2.Diff]]/Table13[[#This Row],[B2.Aud]],"ERR")</f>
        <v>ERR</v>
      </c>
      <c r="AA122" s="162">
        <f>_xlfn.IFNA(VLOOKUP(Table13[[#This Row],[MTP SKU Code]],'Audit Dimensions'!A:N,14,FALSE),"ARC")</f>
        <v>0</v>
      </c>
      <c r="AB122" s="161">
        <f>IFERROR(Table13[[#This Row],[B3.Aud]]-Table13[[#This Row],[PW(gm)9]],"ERR")</f>
        <v>0</v>
      </c>
      <c r="AC122" s="168">
        <f>IFERROR(Table13[[#This Row],[B3.Diff]]/Table13[[#This Row],[BaLL.Aud]],"ERR")</f>
        <v>0</v>
      </c>
      <c r="AD122" s="189">
        <f>_xlfn.IFNA(VLOOKUP(Table13[[#This Row],[MTP SKU Code]],'Audit Dimensions'!A:U,16,FALSE),"ARC")</f>
        <v>17390</v>
      </c>
      <c r="AE122" s="165">
        <f>IFERROR(1-Table13[[#This Row],[Gms]]/Table13[[#This Row],[BaLL.Aud]],"ERR")</f>
        <v>3.392754456584246E-2</v>
      </c>
    </row>
    <row r="123" spans="1:31" ht="14.45" customHeight="1">
      <c r="A123" s="68" t="s">
        <v>171</v>
      </c>
      <c r="B123" s="84" t="s">
        <v>48</v>
      </c>
      <c r="C123" s="85">
        <v>127</v>
      </c>
      <c r="D123" s="85">
        <v>30</v>
      </c>
      <c r="E123" s="85">
        <v>9</v>
      </c>
      <c r="F123" s="89">
        <v>13400</v>
      </c>
      <c r="G123" s="85"/>
      <c r="H123" s="85"/>
      <c r="I123" s="85"/>
      <c r="J123" s="85"/>
      <c r="K123" s="85"/>
      <c r="L123" s="85"/>
      <c r="M123" s="85"/>
      <c r="N123" s="85"/>
      <c r="O123" s="118">
        <f>((IFERROR((C123*D123*E123),0)+IFERROR((G123*H123*I123),0)+IFERROR((K123*L123*M123),0))/1000000)*35.32</f>
        <v>1.2111228000000001</v>
      </c>
      <c r="P123" s="125">
        <f>Table13[[#This Row],[Column15]]*$P$2*1000</f>
        <v>7266.7368000000006</v>
      </c>
      <c r="Q123" s="87">
        <f>F123+J123+N123</f>
        <v>13400</v>
      </c>
      <c r="R123" s="86">
        <f>MAX(Q123,O123)</f>
        <v>13400</v>
      </c>
      <c r="S123" s="86">
        <f>MAX(R123,P123)</f>
        <v>13400</v>
      </c>
      <c r="T123" s="156" t="str">
        <f>VLOOKUP(A123,'[1]MTP SKUs - Master Data'!$A:$B,2,FALSE)</f>
        <v>Y</v>
      </c>
      <c r="U123" s="162">
        <f>_xlfn.IFNA(VLOOKUP(Table13[[#This Row],[MTP SKU Code]],'Audit Dimensions'!A:N,6,FALSE),"ARC")</f>
        <v>13880</v>
      </c>
      <c r="V123" s="162">
        <f>IFERROR(Table13[[#This Row],[B1.Aud]]-Table13[[#This Row],[PW(gm)]],"ERR")</f>
        <v>480</v>
      </c>
      <c r="W123" s="165">
        <f>IFERROR(Table13[[#This Row],[B1.Diff]]/Table13[[#This Row],[B1.Aud]],"ERR")</f>
        <v>3.4582132564841501E-2</v>
      </c>
      <c r="X123" s="162">
        <f>_xlfn.IFNA(VLOOKUP(Table13[[#This Row],[MTP SKU Code]],'Audit Dimensions'!A:N,10,FALSE),"ARC")</f>
        <v>0</v>
      </c>
      <c r="Y123" s="163">
        <f>IFERROR(Table13[[#This Row],[B2.Aud]]-Table13[[#This Row],[PW(gm)5]],"ERR")</f>
        <v>0</v>
      </c>
      <c r="Z123" s="165" t="str">
        <f>IFERROR(Table13[[#This Row],[B2.Diff]]/Table13[[#This Row],[B2.Aud]],"ERR")</f>
        <v>ERR</v>
      </c>
      <c r="AA123" s="162">
        <f>_xlfn.IFNA(VLOOKUP(Table13[[#This Row],[MTP SKU Code]],'Audit Dimensions'!A:N,14,FALSE),"ARC")</f>
        <v>0</v>
      </c>
      <c r="AB123" s="161">
        <f>IFERROR(Table13[[#This Row],[B3.Aud]]-Table13[[#This Row],[PW(gm)9]],"ERR")</f>
        <v>0</v>
      </c>
      <c r="AC123" s="168">
        <f>IFERROR(Table13[[#This Row],[B3.Diff]]/Table13[[#This Row],[BaLL.Aud]],"ERR")</f>
        <v>0</v>
      </c>
      <c r="AD123" s="189">
        <f>_xlfn.IFNA(VLOOKUP(Table13[[#This Row],[MTP SKU Code]],'Audit Dimensions'!A:U,16,FALSE),"ARC")</f>
        <v>13880</v>
      </c>
      <c r="AE123" s="165">
        <f>IFERROR(1-Table13[[#This Row],[Gms]]/Table13[[#This Row],[BaLL.Aud]],"ERR")</f>
        <v>3.458213256484155E-2</v>
      </c>
    </row>
    <row r="124" spans="1:31" ht="14.45" hidden="1" customHeight="1">
      <c r="A124" s="68" t="s">
        <v>169</v>
      </c>
      <c r="B124" s="84" t="s">
        <v>48</v>
      </c>
      <c r="C124" s="85">
        <v>98</v>
      </c>
      <c r="D124" s="85">
        <v>51</v>
      </c>
      <c r="E124" s="85">
        <v>4</v>
      </c>
      <c r="F124" s="89">
        <v>11390</v>
      </c>
      <c r="G124" s="85"/>
      <c r="H124" s="85"/>
      <c r="I124" s="85"/>
      <c r="J124" s="85"/>
      <c r="K124" s="85"/>
      <c r="L124" s="85"/>
      <c r="M124" s="85"/>
      <c r="N124" s="85"/>
      <c r="O124" s="118">
        <f>((IFERROR((C124*D124*E124),0)+IFERROR((G124*H124*I124),0)+IFERROR((K124*L124*M124),0))/1000000)*35.32</f>
        <v>0.70611743999999999</v>
      </c>
      <c r="P124" s="125">
        <f>Table13[[#This Row],[Column15]]*$P$2*1000</f>
        <v>4236.7046399999999</v>
      </c>
      <c r="Q124" s="87">
        <f>F124+J124+N124</f>
        <v>11390</v>
      </c>
      <c r="R124" s="86">
        <f>MAX(Q124,O124)</f>
        <v>11390</v>
      </c>
      <c r="S124" s="86">
        <f>MAX(R124,P124)</f>
        <v>11390</v>
      </c>
      <c r="T124" s="156" t="str">
        <f>VLOOKUP(A124,'[1]MTP SKUs - Master Data'!$A:$B,2,FALSE)</f>
        <v>DI</v>
      </c>
      <c r="U124" s="162">
        <f>_xlfn.IFNA(VLOOKUP(Table13[[#This Row],[MTP SKU Code]],'Audit Dimensions'!A:N,6,FALSE),"ARC")</f>
        <v>11820</v>
      </c>
      <c r="V124" s="162">
        <f>IFERROR(Table13[[#This Row],[B1.Aud]]-Table13[[#This Row],[PW(gm)]],"ERR")</f>
        <v>430</v>
      </c>
      <c r="W124" s="165">
        <f>IFERROR(Table13[[#This Row],[B1.Diff]]/Table13[[#This Row],[B1.Aud]],"ERR")</f>
        <v>3.6379018612521151E-2</v>
      </c>
      <c r="X124" s="162">
        <f>_xlfn.IFNA(VLOOKUP(Table13[[#This Row],[MTP SKU Code]],'Audit Dimensions'!A:N,10,FALSE),"ARC")</f>
        <v>0</v>
      </c>
      <c r="Y124" s="163">
        <f>IFERROR(Table13[[#This Row],[B2.Aud]]-Table13[[#This Row],[PW(gm)5]],"ERR")</f>
        <v>0</v>
      </c>
      <c r="Z124" s="165" t="str">
        <f>IFERROR(Table13[[#This Row],[B2.Diff]]/Table13[[#This Row],[B2.Aud]],"ERR")</f>
        <v>ERR</v>
      </c>
      <c r="AA124" s="162">
        <f>_xlfn.IFNA(VLOOKUP(Table13[[#This Row],[MTP SKU Code]],'Audit Dimensions'!A:N,14,FALSE),"ARC")</f>
        <v>0</v>
      </c>
      <c r="AB124" s="161">
        <f>IFERROR(Table13[[#This Row],[B3.Aud]]-Table13[[#This Row],[PW(gm)9]],"ERR")</f>
        <v>0</v>
      </c>
      <c r="AC124" s="168">
        <f>IFERROR(Table13[[#This Row],[B3.Diff]]/Table13[[#This Row],[BaLL.Aud]],"ERR")</f>
        <v>0</v>
      </c>
      <c r="AD124" s="162">
        <f>_xlfn.IFNA(VLOOKUP(Table13[[#This Row],[MTP SKU Code]],'Audit Dimensions'!A:U,16,FALSE),"ARC")</f>
        <v>11820</v>
      </c>
      <c r="AE124" s="165">
        <f>IFERROR(1-Table13[[#This Row],[Gms]]/Table13[[#This Row],[BaLL.Aud]],"ERR")</f>
        <v>3.637901861252113E-2</v>
      </c>
    </row>
    <row r="125" spans="1:31" ht="14.45" customHeight="1">
      <c r="A125" s="68" t="s">
        <v>278</v>
      </c>
      <c r="B125" s="84" t="s">
        <v>48</v>
      </c>
      <c r="C125" s="85">
        <v>97</v>
      </c>
      <c r="D125" s="85">
        <v>49</v>
      </c>
      <c r="E125" s="85">
        <v>8</v>
      </c>
      <c r="F125" s="89">
        <v>16992</v>
      </c>
      <c r="G125" s="85"/>
      <c r="H125" s="85"/>
      <c r="I125" s="85"/>
      <c r="J125" s="85"/>
      <c r="K125" s="85"/>
      <c r="L125" s="85"/>
      <c r="M125" s="85"/>
      <c r="N125" s="85"/>
      <c r="O125" s="118">
        <f>((IFERROR((C125*D125*E125),0)+IFERROR((G125*H125*I125),0)+IFERROR((K125*L125*M125),0))/1000000)*35.32</f>
        <v>1.3430076800000001</v>
      </c>
      <c r="P125" s="125">
        <f>Table13[[#This Row],[Column15]]*$P$2*1000</f>
        <v>8058.0460800000001</v>
      </c>
      <c r="Q125" s="87">
        <f>F125+J125+N125</f>
        <v>16992</v>
      </c>
      <c r="R125" s="86">
        <f>MAX(Q125,O125)</f>
        <v>16992</v>
      </c>
      <c r="S125" s="86">
        <f>MAX(R125,P125)</f>
        <v>16992</v>
      </c>
      <c r="T125" s="156" t="str">
        <f>VLOOKUP(A125,'[1]MTP SKUs - Master Data'!$A:$B,2,FALSE)</f>
        <v>Y</v>
      </c>
      <c r="U125" s="162">
        <f>_xlfn.IFNA(VLOOKUP(Table13[[#This Row],[MTP SKU Code]],'Audit Dimensions'!A:N,6,FALSE),"ARC")</f>
        <v>17640</v>
      </c>
      <c r="V125" s="162">
        <f>IFERROR(Table13[[#This Row],[B1.Aud]]-Table13[[#This Row],[PW(gm)]],"ERR")</f>
        <v>648</v>
      </c>
      <c r="W125" s="165">
        <f>IFERROR(Table13[[#This Row],[B1.Diff]]/Table13[[#This Row],[B1.Aud]],"ERR")</f>
        <v>3.6734693877551024E-2</v>
      </c>
      <c r="X125" s="162">
        <f>_xlfn.IFNA(VLOOKUP(Table13[[#This Row],[MTP SKU Code]],'Audit Dimensions'!A:N,10,FALSE),"ARC")</f>
        <v>0</v>
      </c>
      <c r="Y125" s="163">
        <f>IFERROR(Table13[[#This Row],[B2.Aud]]-Table13[[#This Row],[PW(gm)5]],"ERR")</f>
        <v>0</v>
      </c>
      <c r="Z125" s="165" t="str">
        <f>IFERROR(Table13[[#This Row],[B2.Diff]]/Table13[[#This Row],[B2.Aud]],"ERR")</f>
        <v>ERR</v>
      </c>
      <c r="AA125" s="162">
        <f>_xlfn.IFNA(VLOOKUP(Table13[[#This Row],[MTP SKU Code]],'Audit Dimensions'!A:N,14,FALSE),"ARC")</f>
        <v>0</v>
      </c>
      <c r="AB125" s="161">
        <f>IFERROR(Table13[[#This Row],[B3.Aud]]-Table13[[#This Row],[PW(gm)9]],"ERR")</f>
        <v>0</v>
      </c>
      <c r="AC125" s="168">
        <f>IFERROR(Table13[[#This Row],[B3.Diff]]/Table13[[#This Row],[BaLL.Aud]],"ERR")</f>
        <v>0</v>
      </c>
      <c r="AD125" s="189">
        <f>_xlfn.IFNA(VLOOKUP(Table13[[#This Row],[MTP SKU Code]],'Audit Dimensions'!A:U,16,FALSE),"ARC")</f>
        <v>17640</v>
      </c>
      <c r="AE125" s="165">
        <f>IFERROR(1-Table13[[#This Row],[Gms]]/Table13[[#This Row],[BaLL.Aud]],"ERR")</f>
        <v>3.6734693877551017E-2</v>
      </c>
    </row>
    <row r="126" spans="1:31" ht="14.45" customHeight="1">
      <c r="A126" s="68" t="s">
        <v>198</v>
      </c>
      <c r="B126" s="84" t="s">
        <v>48</v>
      </c>
      <c r="C126" s="85">
        <v>187</v>
      </c>
      <c r="D126" s="85">
        <v>43</v>
      </c>
      <c r="E126" s="85">
        <v>5</v>
      </c>
      <c r="F126" s="89">
        <v>13800</v>
      </c>
      <c r="G126" s="85"/>
      <c r="H126" s="85"/>
      <c r="I126" s="85"/>
      <c r="J126" s="85"/>
      <c r="K126" s="85"/>
      <c r="L126" s="85"/>
      <c r="M126" s="85"/>
      <c r="N126" s="85"/>
      <c r="O126" s="118">
        <f>((IFERROR((C126*D126*E126),0)+IFERROR((G126*H126*I126),0)+IFERROR((K126*L126*M126),0))/1000000)*35.32</f>
        <v>1.4200405999999999</v>
      </c>
      <c r="P126" s="125">
        <f>Table13[[#This Row],[Column15]]*$P$2*1000</f>
        <v>8520.243599999998</v>
      </c>
      <c r="Q126" s="87">
        <f>F126+J126+N126</f>
        <v>13800</v>
      </c>
      <c r="R126" s="86">
        <f>MAX(Q126,O126)</f>
        <v>13800</v>
      </c>
      <c r="S126" s="86">
        <f>MAX(R126,P126)</f>
        <v>13800</v>
      </c>
      <c r="T126" s="156" t="str">
        <f>VLOOKUP(A126,'[1]MTP SKUs - Master Data'!$A:$B,2,FALSE)</f>
        <v>Y</v>
      </c>
      <c r="U126" s="162">
        <f>_xlfn.IFNA(VLOOKUP(Table13[[#This Row],[MTP SKU Code]],'Audit Dimensions'!A:N,6,FALSE),"ARC")</f>
        <v>14330</v>
      </c>
      <c r="V126" s="162">
        <f>IFERROR(Table13[[#This Row],[B1.Aud]]-Table13[[#This Row],[PW(gm)]],"ERR")</f>
        <v>530</v>
      </c>
      <c r="W126" s="165">
        <f>IFERROR(Table13[[#This Row],[B1.Diff]]/Table13[[#This Row],[B1.Aud]],"ERR")</f>
        <v>3.6985345429169578E-2</v>
      </c>
      <c r="X126" s="162">
        <f>_xlfn.IFNA(VLOOKUP(Table13[[#This Row],[MTP SKU Code]],'Audit Dimensions'!A:N,10,FALSE),"ARC")</f>
        <v>0</v>
      </c>
      <c r="Y126" s="163">
        <f>IFERROR(Table13[[#This Row],[B2.Aud]]-Table13[[#This Row],[PW(gm)5]],"ERR")</f>
        <v>0</v>
      </c>
      <c r="Z126" s="165" t="str">
        <f>IFERROR(Table13[[#This Row],[B2.Diff]]/Table13[[#This Row],[B2.Aud]],"ERR")</f>
        <v>ERR</v>
      </c>
      <c r="AA126" s="162">
        <f>_xlfn.IFNA(VLOOKUP(Table13[[#This Row],[MTP SKU Code]],'Audit Dimensions'!A:N,14,FALSE),"ARC")</f>
        <v>0</v>
      </c>
      <c r="AB126" s="161">
        <f>IFERROR(Table13[[#This Row],[B3.Aud]]-Table13[[#This Row],[PW(gm)9]],"ERR")</f>
        <v>0</v>
      </c>
      <c r="AC126" s="168">
        <f>IFERROR(Table13[[#This Row],[B3.Diff]]/Table13[[#This Row],[BaLL.Aud]],"ERR")</f>
        <v>0</v>
      </c>
      <c r="AD126" s="189">
        <f>_xlfn.IFNA(VLOOKUP(Table13[[#This Row],[MTP SKU Code]],'Audit Dimensions'!A:U,16,FALSE),"ARC")</f>
        <v>14330</v>
      </c>
      <c r="AE126" s="165">
        <f>IFERROR(1-Table13[[#This Row],[Gms]]/Table13[[#This Row],[BaLL.Aud]],"ERR")</f>
        <v>3.6985345429169536E-2</v>
      </c>
    </row>
    <row r="127" spans="1:31" ht="14.45" customHeight="1">
      <c r="A127" s="68" t="s">
        <v>253</v>
      </c>
      <c r="B127" s="84" t="s">
        <v>48</v>
      </c>
      <c r="C127" s="85">
        <v>58</v>
      </c>
      <c r="D127" s="85">
        <v>30</v>
      </c>
      <c r="E127" s="85">
        <v>9</v>
      </c>
      <c r="F127" s="89">
        <v>6500</v>
      </c>
      <c r="G127" s="85"/>
      <c r="H127" s="85"/>
      <c r="I127" s="85"/>
      <c r="J127" s="85"/>
      <c r="K127" s="85"/>
      <c r="L127" s="85"/>
      <c r="M127" s="85"/>
      <c r="N127" s="85"/>
      <c r="O127" s="118">
        <f>((IFERROR((C127*D127*E127),0)+IFERROR((G127*H127*I127),0)+IFERROR((K127*L127*M127),0))/1000000)*35.32</f>
        <v>0.55311120000000003</v>
      </c>
      <c r="P127" s="125">
        <f>Table13[[#This Row],[Column15]]*$P$2*1000</f>
        <v>3318.6672000000003</v>
      </c>
      <c r="Q127" s="87">
        <f>F127+J127+N127</f>
        <v>6500</v>
      </c>
      <c r="R127" s="86">
        <f>MAX(Q127,O127)</f>
        <v>6500</v>
      </c>
      <c r="S127" s="86">
        <f>MAX(R127,P127)</f>
        <v>6500</v>
      </c>
      <c r="T127" s="156" t="str">
        <f>VLOOKUP(A127,'[1]MTP SKUs - Master Data'!$A:$B,2,FALSE)</f>
        <v>Y</v>
      </c>
      <c r="U127" s="162">
        <f>_xlfn.IFNA(VLOOKUP(Table13[[#This Row],[MTP SKU Code]],'Audit Dimensions'!A:N,6,FALSE),"ARC")</f>
        <v>6750</v>
      </c>
      <c r="V127" s="162">
        <f>IFERROR(Table13[[#This Row],[B1.Aud]]-Table13[[#This Row],[PW(gm)]],"ERR")</f>
        <v>250</v>
      </c>
      <c r="W127" s="165">
        <f>IFERROR(Table13[[#This Row],[B1.Diff]]/Table13[[#This Row],[B1.Aud]],"ERR")</f>
        <v>3.7037037037037035E-2</v>
      </c>
      <c r="X127" s="162">
        <f>_xlfn.IFNA(VLOOKUP(Table13[[#This Row],[MTP SKU Code]],'Audit Dimensions'!A:N,10,FALSE),"ARC")</f>
        <v>0</v>
      </c>
      <c r="Y127" s="163">
        <f>IFERROR(Table13[[#This Row],[B2.Aud]]-Table13[[#This Row],[PW(gm)5]],"ERR")</f>
        <v>0</v>
      </c>
      <c r="Z127" s="165" t="str">
        <f>IFERROR(Table13[[#This Row],[B2.Diff]]/Table13[[#This Row],[B2.Aud]],"ERR")</f>
        <v>ERR</v>
      </c>
      <c r="AA127" s="162">
        <f>_xlfn.IFNA(VLOOKUP(Table13[[#This Row],[MTP SKU Code]],'Audit Dimensions'!A:N,14,FALSE),"ARC")</f>
        <v>0</v>
      </c>
      <c r="AB127" s="161">
        <f>IFERROR(Table13[[#This Row],[B3.Aud]]-Table13[[#This Row],[PW(gm)9]],"ERR")</f>
        <v>0</v>
      </c>
      <c r="AC127" s="168">
        <f>IFERROR(Table13[[#This Row],[B3.Diff]]/Table13[[#This Row],[BaLL.Aud]],"ERR")</f>
        <v>0</v>
      </c>
      <c r="AD127" s="189">
        <f>_xlfn.IFNA(VLOOKUP(Table13[[#This Row],[MTP SKU Code]],'Audit Dimensions'!A:U,16,FALSE),"ARC")</f>
        <v>6750</v>
      </c>
      <c r="AE127" s="165">
        <f>IFERROR(1-Table13[[#This Row],[Gms]]/Table13[[#This Row],[BaLL.Aud]],"ERR")</f>
        <v>3.703703703703709E-2</v>
      </c>
    </row>
    <row r="128" spans="1:31" ht="14.45" customHeight="1">
      <c r="A128" s="68" t="s">
        <v>257</v>
      </c>
      <c r="B128" s="84" t="s">
        <v>48</v>
      </c>
      <c r="C128" s="85">
        <v>163</v>
      </c>
      <c r="D128" s="85">
        <v>30</v>
      </c>
      <c r="E128" s="85">
        <v>9</v>
      </c>
      <c r="F128" s="89">
        <v>20850</v>
      </c>
      <c r="G128" s="85"/>
      <c r="H128" s="85"/>
      <c r="I128" s="85"/>
      <c r="J128" s="85"/>
      <c r="K128" s="85"/>
      <c r="L128" s="85"/>
      <c r="M128" s="85"/>
      <c r="N128" s="85"/>
      <c r="O128" s="118">
        <f>((IFERROR((C128*D128*E128),0)+IFERROR((G128*H128*I128),0)+IFERROR((K128*L128*M128),0))/1000000)*35.32</f>
        <v>1.5544332000000001</v>
      </c>
      <c r="P128" s="125">
        <f>Table13[[#This Row],[Column15]]*$P$2*1000</f>
        <v>9326.5992000000006</v>
      </c>
      <c r="Q128" s="87">
        <f>F128+J128+N128</f>
        <v>20850</v>
      </c>
      <c r="R128" s="86">
        <f>MAX(Q128,O128)</f>
        <v>20850</v>
      </c>
      <c r="S128" s="86">
        <f>MAX(R128,P128)</f>
        <v>20850</v>
      </c>
      <c r="T128" s="156" t="str">
        <f>VLOOKUP(A128,'[1]MTP SKUs - Master Data'!$A:$B,2,FALSE)</f>
        <v>Y</v>
      </c>
      <c r="U128" s="162">
        <f>_xlfn.IFNA(VLOOKUP(Table13[[#This Row],[MTP SKU Code]],'Audit Dimensions'!A:N,6,FALSE),"ARC")</f>
        <v>21700</v>
      </c>
      <c r="V128" s="162">
        <f>IFERROR(Table13[[#This Row],[B1.Aud]]-Table13[[#This Row],[PW(gm)]],"ERR")</f>
        <v>850</v>
      </c>
      <c r="W128" s="165">
        <f>IFERROR(Table13[[#This Row],[B1.Diff]]/Table13[[#This Row],[B1.Aud]],"ERR")</f>
        <v>3.9170506912442393E-2</v>
      </c>
      <c r="X128" s="162">
        <f>_xlfn.IFNA(VLOOKUP(Table13[[#This Row],[MTP SKU Code]],'Audit Dimensions'!A:N,10,FALSE),"ARC")</f>
        <v>0</v>
      </c>
      <c r="Y128" s="163">
        <f>IFERROR(Table13[[#This Row],[B2.Aud]]-Table13[[#This Row],[PW(gm)5]],"ERR")</f>
        <v>0</v>
      </c>
      <c r="Z128" s="165" t="str">
        <f>IFERROR(Table13[[#This Row],[B2.Diff]]/Table13[[#This Row],[B2.Aud]],"ERR")</f>
        <v>ERR</v>
      </c>
      <c r="AA128" s="162">
        <f>_xlfn.IFNA(VLOOKUP(Table13[[#This Row],[MTP SKU Code]],'Audit Dimensions'!A:N,14,FALSE),"ARC")</f>
        <v>0</v>
      </c>
      <c r="AB128" s="161">
        <f>IFERROR(Table13[[#This Row],[B3.Aud]]-Table13[[#This Row],[PW(gm)9]],"ERR")</f>
        <v>0</v>
      </c>
      <c r="AC128" s="168">
        <f>IFERROR(Table13[[#This Row],[B3.Diff]]/Table13[[#This Row],[BaLL.Aud]],"ERR")</f>
        <v>0</v>
      </c>
      <c r="AD128" s="189">
        <f>_xlfn.IFNA(VLOOKUP(Table13[[#This Row],[MTP SKU Code]],'Audit Dimensions'!A:U,16,FALSE),"ARC")</f>
        <v>21700</v>
      </c>
      <c r="AE128" s="165">
        <f>IFERROR(1-Table13[[#This Row],[Gms]]/Table13[[#This Row],[BaLL.Aud]],"ERR")</f>
        <v>3.9170506912442393E-2</v>
      </c>
    </row>
    <row r="129" spans="1:31" ht="14.45" customHeight="1">
      <c r="A129" s="68" t="s">
        <v>157</v>
      </c>
      <c r="B129" s="84" t="s">
        <v>48</v>
      </c>
      <c r="C129" s="84">
        <v>90</v>
      </c>
      <c r="D129" s="85">
        <v>36</v>
      </c>
      <c r="E129" s="85">
        <v>14</v>
      </c>
      <c r="F129" s="89">
        <v>18000</v>
      </c>
      <c r="G129" s="85"/>
      <c r="H129" s="85"/>
      <c r="I129" s="85"/>
      <c r="J129" s="85"/>
      <c r="K129" s="85"/>
      <c r="L129" s="85"/>
      <c r="M129" s="85"/>
      <c r="N129" s="85"/>
      <c r="O129" s="118">
        <f>((IFERROR((C129*D129*E129),0)+IFERROR((G129*H129*I129),0)+IFERROR((K129*L129*M129),0))/1000000)*35.32</f>
        <v>1.6021151999999999</v>
      </c>
      <c r="P129" s="125">
        <f>Table13[[#This Row],[Column15]]*$P$2*1000</f>
        <v>9612.6911999999993</v>
      </c>
      <c r="Q129" s="87">
        <f>F129+J129+N129</f>
        <v>18000</v>
      </c>
      <c r="R129" s="88">
        <f>MAX(Q129,O129)</f>
        <v>18000</v>
      </c>
      <c r="S129" s="86">
        <f>MAX(R129,P129)</f>
        <v>18000</v>
      </c>
      <c r="T129" s="156" t="str">
        <f>VLOOKUP(A129,'[1]MTP SKUs - Master Data'!$A:$B,2,FALSE)</f>
        <v>Y</v>
      </c>
      <c r="U129" s="162">
        <f>_xlfn.IFNA(VLOOKUP(Table13[[#This Row],[MTP SKU Code]],'Audit Dimensions'!A:N,6,FALSE),"ARC")</f>
        <v>18750</v>
      </c>
      <c r="V129" s="162">
        <f>IFERROR(Table13[[#This Row],[B1.Aud]]-Table13[[#This Row],[PW(gm)]],"ERR")</f>
        <v>750</v>
      </c>
      <c r="W129" s="165">
        <f>IFERROR(Table13[[#This Row],[B1.Diff]]/Table13[[#This Row],[B1.Aud]],"ERR")</f>
        <v>0.04</v>
      </c>
      <c r="X129" s="162">
        <f>_xlfn.IFNA(VLOOKUP(Table13[[#This Row],[MTP SKU Code]],'Audit Dimensions'!A:N,10,FALSE),"ARC")</f>
        <v>0</v>
      </c>
      <c r="Y129" s="163">
        <f>IFERROR(Table13[[#This Row],[B2.Aud]]-Table13[[#This Row],[PW(gm)5]],"ERR")</f>
        <v>0</v>
      </c>
      <c r="Z129" s="165" t="str">
        <f>IFERROR(Table13[[#This Row],[B2.Diff]]/Table13[[#This Row],[B2.Aud]],"ERR")</f>
        <v>ERR</v>
      </c>
      <c r="AA129" s="162">
        <f>_xlfn.IFNA(VLOOKUP(Table13[[#This Row],[MTP SKU Code]],'Audit Dimensions'!A:N,14,FALSE),"ARC")</f>
        <v>0</v>
      </c>
      <c r="AB129" s="161">
        <f>IFERROR(Table13[[#This Row],[B3.Aud]]-Table13[[#This Row],[PW(gm)9]],"ERR")</f>
        <v>0</v>
      </c>
      <c r="AC129" s="168">
        <f>IFERROR(Table13[[#This Row],[B3.Diff]]/Table13[[#This Row],[BaLL.Aud]],"ERR")</f>
        <v>0</v>
      </c>
      <c r="AD129" s="189">
        <f>_xlfn.IFNA(VLOOKUP(Table13[[#This Row],[MTP SKU Code]],'Audit Dimensions'!A:U,16,FALSE),"ARC")</f>
        <v>18750</v>
      </c>
      <c r="AE129" s="165">
        <f>IFERROR(1-Table13[[#This Row],[Gms]]/Table13[[#This Row],[BaLL.Aud]],"ERR")</f>
        <v>4.0000000000000036E-2</v>
      </c>
    </row>
    <row r="130" spans="1:31" ht="14.45" customHeight="1">
      <c r="A130" s="68" t="s">
        <v>265</v>
      </c>
      <c r="B130" s="84" t="s">
        <v>48</v>
      </c>
      <c r="C130" s="85">
        <v>144</v>
      </c>
      <c r="D130" s="85">
        <v>31</v>
      </c>
      <c r="E130" s="85">
        <v>5</v>
      </c>
      <c r="F130" s="89">
        <v>7600</v>
      </c>
      <c r="G130" s="85"/>
      <c r="H130" s="85"/>
      <c r="I130" s="85"/>
      <c r="J130" s="85"/>
      <c r="K130" s="85"/>
      <c r="L130" s="85"/>
      <c r="M130" s="85"/>
      <c r="N130" s="85"/>
      <c r="O130" s="118">
        <f>((IFERROR((C130*D130*E130),0)+IFERROR((G130*H130*I130),0)+IFERROR((K130*L130*M130),0))/1000000)*35.32</f>
        <v>0.7883424</v>
      </c>
      <c r="P130" s="125">
        <f>Table13[[#This Row],[Column15]]*$P$2*1000</f>
        <v>4730.0544</v>
      </c>
      <c r="Q130" s="87">
        <f>F130+J130+N130</f>
        <v>7600</v>
      </c>
      <c r="R130" s="86">
        <f>MAX(Q130,O130)</f>
        <v>7600</v>
      </c>
      <c r="S130" s="86">
        <f>MAX(R130,P130)</f>
        <v>7600</v>
      </c>
      <c r="T130" s="156" t="str">
        <f>VLOOKUP(A130,'[1]MTP SKUs - Master Data'!$A:$B,2,FALSE)</f>
        <v>Y</v>
      </c>
      <c r="U130" s="162">
        <f>_xlfn.IFNA(VLOOKUP(Table13[[#This Row],[MTP SKU Code]],'Audit Dimensions'!A:N,6,FALSE),"ARC")</f>
        <v>7920</v>
      </c>
      <c r="V130" s="162">
        <f>IFERROR(Table13[[#This Row],[B1.Aud]]-Table13[[#This Row],[PW(gm)]],"ERR")</f>
        <v>320</v>
      </c>
      <c r="W130" s="165">
        <f>IFERROR(Table13[[#This Row],[B1.Diff]]/Table13[[#This Row],[B1.Aud]],"ERR")</f>
        <v>4.0404040404040407E-2</v>
      </c>
      <c r="X130" s="162">
        <f>_xlfn.IFNA(VLOOKUP(Table13[[#This Row],[MTP SKU Code]],'Audit Dimensions'!A:N,10,FALSE),"ARC")</f>
        <v>0</v>
      </c>
      <c r="Y130" s="163">
        <f>IFERROR(Table13[[#This Row],[B2.Aud]]-Table13[[#This Row],[PW(gm)5]],"ERR")</f>
        <v>0</v>
      </c>
      <c r="Z130" s="165" t="str">
        <f>IFERROR(Table13[[#This Row],[B2.Diff]]/Table13[[#This Row],[B2.Aud]],"ERR")</f>
        <v>ERR</v>
      </c>
      <c r="AA130" s="162">
        <f>_xlfn.IFNA(VLOOKUP(Table13[[#This Row],[MTP SKU Code]],'Audit Dimensions'!A:N,14,FALSE),"ARC")</f>
        <v>0</v>
      </c>
      <c r="AB130" s="161">
        <f>IFERROR(Table13[[#This Row],[B3.Aud]]-Table13[[#This Row],[PW(gm)9]],"ERR")</f>
        <v>0</v>
      </c>
      <c r="AC130" s="168">
        <f>IFERROR(Table13[[#This Row],[B3.Diff]]/Table13[[#This Row],[BaLL.Aud]],"ERR")</f>
        <v>0</v>
      </c>
      <c r="AD130" s="189">
        <f>_xlfn.IFNA(VLOOKUP(Table13[[#This Row],[MTP SKU Code]],'Audit Dimensions'!A:U,16,FALSE),"ARC")</f>
        <v>7920</v>
      </c>
      <c r="AE130" s="165">
        <f>IFERROR(1-Table13[[#This Row],[Gms]]/Table13[[#This Row],[BaLL.Aud]],"ERR")</f>
        <v>4.0404040404040442E-2</v>
      </c>
    </row>
    <row r="131" spans="1:31" ht="14.45" customHeight="1">
      <c r="A131" s="68" t="s">
        <v>206</v>
      </c>
      <c r="B131" s="84" t="s">
        <v>74</v>
      </c>
      <c r="C131" s="85">
        <v>206</v>
      </c>
      <c r="D131" s="85">
        <v>50</v>
      </c>
      <c r="E131" s="85">
        <v>8</v>
      </c>
      <c r="F131" s="89">
        <v>45600</v>
      </c>
      <c r="G131" s="85">
        <v>105</v>
      </c>
      <c r="H131" s="85">
        <v>96</v>
      </c>
      <c r="I131" s="85">
        <v>5</v>
      </c>
      <c r="J131" s="85">
        <v>27600</v>
      </c>
      <c r="K131" s="85"/>
      <c r="L131" s="85"/>
      <c r="M131" s="85"/>
      <c r="N131" s="85"/>
      <c r="O131" s="118">
        <f>((IFERROR((C131*D131*E131),0)+IFERROR((G131*H131*I131),0)+IFERROR((K131*L131*M131),0))/1000000)*35.32</f>
        <v>4.6904960000000004</v>
      </c>
      <c r="P131" s="125">
        <f>Table13[[#This Row],[Column15]]*$P$2*1000</f>
        <v>28142.976000000006</v>
      </c>
      <c r="Q131" s="87">
        <f>IFERROR(F131,0)+IFERROR(J131,0)+IFERROR(N131,0)</f>
        <v>73200</v>
      </c>
      <c r="R131" s="86">
        <f>MAX(Q131,O131)</f>
        <v>73200</v>
      </c>
      <c r="S131" s="86">
        <f>MAX(R131,P131)</f>
        <v>73200</v>
      </c>
      <c r="T131" s="156" t="str">
        <f>VLOOKUP(A131,'[1]MTP SKUs - Master Data'!$A:$B,2,FALSE)</f>
        <v>Y</v>
      </c>
      <c r="U131" s="162">
        <f>_xlfn.IFNA(VLOOKUP(Table13[[#This Row],[MTP SKU Code]],'Audit Dimensions'!A:N,6,FALSE),"ARC")</f>
        <v>45800</v>
      </c>
      <c r="V131" s="162">
        <f>IFERROR(Table13[[#This Row],[B1.Aud]]-Table13[[#This Row],[PW(gm)]],"ERR")</f>
        <v>200</v>
      </c>
      <c r="W131" s="165">
        <f>IFERROR(Table13[[#This Row],[B1.Diff]]/Table13[[#This Row],[B1.Aud]],"ERR")</f>
        <v>4.3668122270742356E-3</v>
      </c>
      <c r="X131" s="162">
        <f>_xlfn.IFNA(VLOOKUP(Table13[[#This Row],[MTP SKU Code]],'Audit Dimensions'!A:N,10,FALSE),"ARC")</f>
        <v>30500</v>
      </c>
      <c r="Y131" s="163">
        <f>IFERROR(Table13[[#This Row],[B2.Aud]]-Table13[[#This Row],[PW(gm)5]],"ERR")</f>
        <v>2900</v>
      </c>
      <c r="Z131" s="165">
        <f>IFERROR(Table13[[#This Row],[B2.Diff]]/Table13[[#This Row],[B2.Aud]],"ERR")</f>
        <v>9.5081967213114751E-2</v>
      </c>
      <c r="AA131" s="162">
        <f>_xlfn.IFNA(VLOOKUP(Table13[[#This Row],[MTP SKU Code]],'Audit Dimensions'!A:N,14,FALSE),"ARC")</f>
        <v>0</v>
      </c>
      <c r="AB131" s="161">
        <f>IFERROR(Table13[[#This Row],[B3.Aud]]-Table13[[#This Row],[PW(gm)9]],"ERR")</f>
        <v>0</v>
      </c>
      <c r="AC131" s="168">
        <f>IFERROR(Table13[[#This Row],[B3.Diff]]/Table13[[#This Row],[BaLL.Aud]],"ERR")</f>
        <v>0</v>
      </c>
      <c r="AD131" s="189">
        <f>_xlfn.IFNA(VLOOKUP(Table13[[#This Row],[MTP SKU Code]],'Audit Dimensions'!A:U,16,FALSE),"ARC")</f>
        <v>76300</v>
      </c>
      <c r="AE131" s="165">
        <f>IFERROR(1-Table13[[#This Row],[Gms]]/Table13[[#This Row],[BaLL.Aud]],"ERR")</f>
        <v>4.0629095674967197E-2</v>
      </c>
    </row>
    <row r="132" spans="1:31" ht="14.45" hidden="1" customHeight="1">
      <c r="A132" s="68" t="s">
        <v>177</v>
      </c>
      <c r="B132" s="84" t="s">
        <v>48</v>
      </c>
      <c r="C132" s="85">
        <v>159</v>
      </c>
      <c r="D132" s="85">
        <v>30</v>
      </c>
      <c r="E132" s="85">
        <v>10</v>
      </c>
      <c r="F132" s="89">
        <v>24450</v>
      </c>
      <c r="G132" s="85"/>
      <c r="H132" s="85"/>
      <c r="I132" s="85"/>
      <c r="J132" s="85"/>
      <c r="K132" s="85"/>
      <c r="L132" s="85"/>
      <c r="M132" s="85"/>
      <c r="N132" s="85"/>
      <c r="O132" s="118">
        <f>((IFERROR((C132*D132*E132),0)+IFERROR((G132*H132*I132),0)+IFERROR((K132*L132*M132),0))/1000000)*35.32</f>
        <v>1.6847639999999999</v>
      </c>
      <c r="P132" s="125">
        <f>Table13[[#This Row],[Column15]]*$P$2*1000</f>
        <v>10108.584000000001</v>
      </c>
      <c r="Q132" s="87">
        <f>F132+J132+N132</f>
        <v>24450</v>
      </c>
      <c r="R132" s="86">
        <f>MAX(Q132,O132)</f>
        <v>24450</v>
      </c>
      <c r="S132" s="86">
        <f>MAX(R132,P132)</f>
        <v>24450</v>
      </c>
      <c r="T132" s="156" t="str">
        <f>VLOOKUP(A132,'[1]MTP SKUs - Master Data'!$A:$B,2,FALSE)</f>
        <v>DI</v>
      </c>
      <c r="U132" s="162">
        <f>_xlfn.IFNA(VLOOKUP(Table13[[#This Row],[MTP SKU Code]],'Audit Dimensions'!A:N,6,FALSE),"ARC")</f>
        <v>25500</v>
      </c>
      <c r="V132" s="162">
        <f>IFERROR(Table13[[#This Row],[B1.Aud]]-Table13[[#This Row],[PW(gm)]],"ERR")</f>
        <v>1050</v>
      </c>
      <c r="W132" s="165">
        <f>IFERROR(Table13[[#This Row],[B1.Diff]]/Table13[[#This Row],[B1.Aud]],"ERR")</f>
        <v>4.1176470588235294E-2</v>
      </c>
      <c r="X132" s="162">
        <f>_xlfn.IFNA(VLOOKUP(Table13[[#This Row],[MTP SKU Code]],'Audit Dimensions'!A:N,10,FALSE),"ARC")</f>
        <v>0</v>
      </c>
      <c r="Y132" s="163">
        <f>IFERROR(Table13[[#This Row],[B2.Aud]]-Table13[[#This Row],[PW(gm)5]],"ERR")</f>
        <v>0</v>
      </c>
      <c r="Z132" s="165" t="str">
        <f>IFERROR(Table13[[#This Row],[B2.Diff]]/Table13[[#This Row],[B2.Aud]],"ERR")</f>
        <v>ERR</v>
      </c>
      <c r="AA132" s="162">
        <f>_xlfn.IFNA(VLOOKUP(Table13[[#This Row],[MTP SKU Code]],'Audit Dimensions'!A:N,14,FALSE),"ARC")</f>
        <v>0</v>
      </c>
      <c r="AB132" s="161">
        <f>IFERROR(Table13[[#This Row],[B3.Aud]]-Table13[[#This Row],[PW(gm)9]],"ERR")</f>
        <v>0</v>
      </c>
      <c r="AC132" s="168">
        <f>IFERROR(Table13[[#This Row],[B3.Diff]]/Table13[[#This Row],[BaLL.Aud]],"ERR")</f>
        <v>0</v>
      </c>
      <c r="AD132" s="162">
        <f>_xlfn.IFNA(VLOOKUP(Table13[[#This Row],[MTP SKU Code]],'Audit Dimensions'!A:U,16,FALSE),"ARC")</f>
        <v>25500</v>
      </c>
      <c r="AE132" s="165">
        <f>IFERROR(1-Table13[[#This Row],[Gms]]/Table13[[#This Row],[BaLL.Aud]],"ERR")</f>
        <v>4.1176470588235259E-2</v>
      </c>
    </row>
    <row r="133" spans="1:31" ht="14.45" customHeight="1">
      <c r="A133" s="91" t="s">
        <v>92</v>
      </c>
      <c r="B133" s="84" t="s">
        <v>48</v>
      </c>
      <c r="C133" s="85">
        <v>136</v>
      </c>
      <c r="D133" s="85">
        <v>77</v>
      </c>
      <c r="E133" s="85">
        <v>10</v>
      </c>
      <c r="F133" s="89">
        <v>47550</v>
      </c>
      <c r="G133" s="85"/>
      <c r="H133" s="85"/>
      <c r="I133" s="85"/>
      <c r="J133" s="85"/>
      <c r="K133" s="85"/>
      <c r="L133" s="85"/>
      <c r="M133" s="85"/>
      <c r="N133" s="85"/>
      <c r="O133" s="118">
        <f>((IFERROR((C133*D133*E133),0)+IFERROR((G133*H133*I133),0)+IFERROR((K133*L133*M133),0))/1000000)*35.32</f>
        <v>3.6987104</v>
      </c>
      <c r="P133" s="125">
        <f>Table13[[#This Row],[Column15]]*$P$2*1000</f>
        <v>22192.2624</v>
      </c>
      <c r="Q133" s="87">
        <f>F133+J133+N133</f>
        <v>47550</v>
      </c>
      <c r="R133" s="86">
        <f>MAX(Q133,O133)</f>
        <v>47550</v>
      </c>
      <c r="S133" s="86">
        <f>MAX(R133,P133)</f>
        <v>47550</v>
      </c>
      <c r="T133" s="156" t="str">
        <f>VLOOKUP(A133,'[1]MTP SKUs - Master Data'!$A:$B,2,FALSE)</f>
        <v>RL</v>
      </c>
      <c r="U133" s="162">
        <f>_xlfn.IFNA(VLOOKUP(Table13[[#This Row],[MTP SKU Code]],'Audit Dimensions'!A:N,6,FALSE),"ARC")</f>
        <v>49600</v>
      </c>
      <c r="V133" s="162">
        <f>IFERROR(Table13[[#This Row],[B1.Aud]]-Table13[[#This Row],[PW(gm)]],"ERR")</f>
        <v>2050</v>
      </c>
      <c r="W133" s="165">
        <f>IFERROR(Table13[[#This Row],[B1.Diff]]/Table13[[#This Row],[B1.Aud]],"ERR")</f>
        <v>4.1330645161290321E-2</v>
      </c>
      <c r="X133" s="162">
        <f>_xlfn.IFNA(VLOOKUP(Table13[[#This Row],[MTP SKU Code]],'Audit Dimensions'!A:N,10,FALSE),"ARC")</f>
        <v>0</v>
      </c>
      <c r="Y133" s="163">
        <f>IFERROR(Table13[[#This Row],[B2.Aud]]-Table13[[#This Row],[PW(gm)5]],"ERR")</f>
        <v>0</v>
      </c>
      <c r="Z133" s="165" t="str">
        <f>IFERROR(Table13[[#This Row],[B2.Diff]]/Table13[[#This Row],[B2.Aud]],"ERR")</f>
        <v>ERR</v>
      </c>
      <c r="AA133" s="162">
        <f>_xlfn.IFNA(VLOOKUP(Table13[[#This Row],[MTP SKU Code]],'Audit Dimensions'!A:N,14,FALSE),"ARC")</f>
        <v>0</v>
      </c>
      <c r="AB133" s="161">
        <f>IFERROR(Table13[[#This Row],[B3.Aud]]-Table13[[#This Row],[PW(gm)9]],"ERR")</f>
        <v>0</v>
      </c>
      <c r="AC133" s="168">
        <f>IFERROR(Table13[[#This Row],[B3.Diff]]/Table13[[#This Row],[BaLL.Aud]],"ERR")</f>
        <v>0</v>
      </c>
      <c r="AD133" s="189">
        <f>_xlfn.IFNA(VLOOKUP(Table13[[#This Row],[MTP SKU Code]],'Audit Dimensions'!A:U,16,FALSE),"ARC")</f>
        <v>49600</v>
      </c>
      <c r="AE133" s="165">
        <f>IFERROR(1-Table13[[#This Row],[Gms]]/Table13[[#This Row],[BaLL.Aud]],"ERR")</f>
        <v>4.1330645161290369E-2</v>
      </c>
    </row>
    <row r="134" spans="1:31" ht="14.45" customHeight="1">
      <c r="A134" s="68" t="s">
        <v>236</v>
      </c>
      <c r="B134" s="84" t="s">
        <v>48</v>
      </c>
      <c r="C134" s="85">
        <v>117</v>
      </c>
      <c r="D134" s="85">
        <v>30</v>
      </c>
      <c r="E134" s="85">
        <v>6</v>
      </c>
      <c r="F134" s="89">
        <v>8500</v>
      </c>
      <c r="G134" s="85"/>
      <c r="H134" s="85"/>
      <c r="I134" s="85"/>
      <c r="J134" s="85"/>
      <c r="K134" s="85"/>
      <c r="L134" s="85"/>
      <c r="M134" s="85"/>
      <c r="N134" s="85"/>
      <c r="O134" s="118">
        <f>((IFERROR((C134*D134*E134),0)+IFERROR((G134*H134*I134),0)+IFERROR((K134*L134*M134),0))/1000000)*35.32</f>
        <v>0.74383919999999992</v>
      </c>
      <c r="P134" s="125">
        <f>Table13[[#This Row],[Column15]]*$P$2*1000</f>
        <v>4463.0351999999993</v>
      </c>
      <c r="Q134" s="87">
        <f>F134+J134+N134</f>
        <v>8500</v>
      </c>
      <c r="R134" s="86">
        <f>MAX(Q134,O134)</f>
        <v>8500</v>
      </c>
      <c r="S134" s="86">
        <f>MAX(R134,P134)</f>
        <v>8500</v>
      </c>
      <c r="T134" s="156" t="str">
        <f>VLOOKUP(A134,'[1]MTP SKUs - Master Data'!$A:$B,2,FALSE)</f>
        <v>Y</v>
      </c>
      <c r="U134" s="162">
        <f>_xlfn.IFNA(VLOOKUP(Table13[[#This Row],[MTP SKU Code]],'Audit Dimensions'!A:N,6,FALSE),"ARC")</f>
        <v>8900</v>
      </c>
      <c r="V134" s="162">
        <f>IFERROR(Table13[[#This Row],[B1.Aud]]-Table13[[#This Row],[PW(gm)]],"ERR")</f>
        <v>400</v>
      </c>
      <c r="W134" s="165">
        <f>IFERROR(Table13[[#This Row],[B1.Diff]]/Table13[[#This Row],[B1.Aud]],"ERR")</f>
        <v>4.49438202247191E-2</v>
      </c>
      <c r="X134" s="162">
        <f>_xlfn.IFNA(VLOOKUP(Table13[[#This Row],[MTP SKU Code]],'Audit Dimensions'!A:N,10,FALSE),"ARC")</f>
        <v>0</v>
      </c>
      <c r="Y134" s="163">
        <f>IFERROR(Table13[[#This Row],[B2.Aud]]-Table13[[#This Row],[PW(gm)5]],"ERR")</f>
        <v>0</v>
      </c>
      <c r="Z134" s="165" t="str">
        <f>IFERROR(Table13[[#This Row],[B2.Diff]]/Table13[[#This Row],[B2.Aud]],"ERR")</f>
        <v>ERR</v>
      </c>
      <c r="AA134" s="162">
        <f>_xlfn.IFNA(VLOOKUP(Table13[[#This Row],[MTP SKU Code]],'Audit Dimensions'!A:N,14,FALSE),"ARC")</f>
        <v>0</v>
      </c>
      <c r="AB134" s="161">
        <f>IFERROR(Table13[[#This Row],[B3.Aud]]-Table13[[#This Row],[PW(gm)9]],"ERR")</f>
        <v>0</v>
      </c>
      <c r="AC134" s="168">
        <f>IFERROR(Table13[[#This Row],[B3.Diff]]/Table13[[#This Row],[BaLL.Aud]],"ERR")</f>
        <v>0</v>
      </c>
      <c r="AD134" s="189">
        <f>_xlfn.IFNA(VLOOKUP(Table13[[#This Row],[MTP SKU Code]],'Audit Dimensions'!A:U,16,FALSE),"ARC")</f>
        <v>8900</v>
      </c>
      <c r="AE134" s="165">
        <f>IFERROR(1-Table13[[#This Row],[Gms]]/Table13[[#This Row],[BaLL.Aud]],"ERR")</f>
        <v>4.49438202247191E-2</v>
      </c>
    </row>
    <row r="135" spans="1:31" ht="14.45" hidden="1" customHeight="1">
      <c r="A135" s="91" t="s">
        <v>180</v>
      </c>
      <c r="B135" s="84" t="s">
        <v>48</v>
      </c>
      <c r="C135" s="85">
        <v>26</v>
      </c>
      <c r="D135" s="85">
        <v>25</v>
      </c>
      <c r="E135" s="85">
        <v>5</v>
      </c>
      <c r="F135" s="89">
        <v>800</v>
      </c>
      <c r="G135" s="85"/>
      <c r="H135" s="85"/>
      <c r="I135" s="85"/>
      <c r="J135" s="85"/>
      <c r="K135" s="85"/>
      <c r="L135" s="85"/>
      <c r="M135" s="85"/>
      <c r="N135" s="85"/>
      <c r="O135" s="118">
        <f>((IFERROR((C135*D135*E135),0)+IFERROR((G135*H135*I135),0)+IFERROR((K135*L135*M135),0))/1000000)*35.32</f>
        <v>0.11478999999999999</v>
      </c>
      <c r="P135" s="125">
        <f>Table13[[#This Row],[Column15]]*$P$2*1000</f>
        <v>688.7399999999999</v>
      </c>
      <c r="Q135" s="87">
        <f>F135+J135+N135</f>
        <v>800</v>
      </c>
      <c r="R135" s="86">
        <f>MAX(Q135,O135)</f>
        <v>800</v>
      </c>
      <c r="S135" s="86">
        <f>MAX(R135,P135)</f>
        <v>800</v>
      </c>
      <c r="T135" s="156" t="str">
        <f>VLOOKUP(A135,'[1]MTP SKUs - Master Data'!$A:$B,2,FALSE)</f>
        <v>DI</v>
      </c>
      <c r="U135" s="162">
        <f>_xlfn.IFNA(VLOOKUP(Table13[[#This Row],[MTP SKU Code]],'Audit Dimensions'!A:N,6,FALSE),"ARC")</f>
        <v>840</v>
      </c>
      <c r="V135" s="162">
        <f>IFERROR(Table13[[#This Row],[B1.Aud]]-Table13[[#This Row],[PW(gm)]],"ERR")</f>
        <v>40</v>
      </c>
      <c r="W135" s="165">
        <f>IFERROR(Table13[[#This Row],[B1.Diff]]/Table13[[#This Row],[B1.Aud]],"ERR")</f>
        <v>4.7619047619047616E-2</v>
      </c>
      <c r="X135" s="162">
        <f>_xlfn.IFNA(VLOOKUP(Table13[[#This Row],[MTP SKU Code]],'Audit Dimensions'!A:N,10,FALSE),"ARC")</f>
        <v>0</v>
      </c>
      <c r="Y135" s="163">
        <f>IFERROR(Table13[[#This Row],[B2.Aud]]-Table13[[#This Row],[PW(gm)5]],"ERR")</f>
        <v>0</v>
      </c>
      <c r="Z135" s="165" t="str">
        <f>IFERROR(Table13[[#This Row],[B2.Diff]]/Table13[[#This Row],[B2.Aud]],"ERR")</f>
        <v>ERR</v>
      </c>
      <c r="AA135" s="162">
        <f>_xlfn.IFNA(VLOOKUP(Table13[[#This Row],[MTP SKU Code]],'Audit Dimensions'!A:N,14,FALSE),"ARC")</f>
        <v>0</v>
      </c>
      <c r="AB135" s="161">
        <f>IFERROR(Table13[[#This Row],[B3.Aud]]-Table13[[#This Row],[PW(gm)9]],"ERR")</f>
        <v>0</v>
      </c>
      <c r="AC135" s="168">
        <f>IFERROR(Table13[[#This Row],[B3.Diff]]/Table13[[#This Row],[BaLL.Aud]],"ERR")</f>
        <v>0</v>
      </c>
      <c r="AD135" s="162">
        <f>_xlfn.IFNA(VLOOKUP(Table13[[#This Row],[MTP SKU Code]],'Audit Dimensions'!A:U,16,FALSE),"ARC")</f>
        <v>840</v>
      </c>
      <c r="AE135" s="165">
        <f>IFERROR(1-Table13[[#This Row],[Gms]]/Table13[[#This Row],[BaLL.Aud]],"ERR")</f>
        <v>4.7619047619047672E-2</v>
      </c>
    </row>
    <row r="136" spans="1:31" ht="14.45" customHeight="1">
      <c r="A136" s="68" t="s">
        <v>195</v>
      </c>
      <c r="B136" s="84" t="s">
        <v>74</v>
      </c>
      <c r="C136" s="85">
        <v>207</v>
      </c>
      <c r="D136" s="85">
        <v>45</v>
      </c>
      <c r="E136" s="85">
        <v>10</v>
      </c>
      <c r="F136" s="89">
        <v>47400</v>
      </c>
      <c r="G136" s="85">
        <v>146</v>
      </c>
      <c r="H136" s="85">
        <v>28</v>
      </c>
      <c r="I136" s="85">
        <v>10</v>
      </c>
      <c r="J136" s="85">
        <v>20000</v>
      </c>
      <c r="K136" s="85">
        <v>158</v>
      </c>
      <c r="L136" s="85">
        <v>28</v>
      </c>
      <c r="M136" s="85">
        <v>7</v>
      </c>
      <c r="N136" s="85">
        <v>15180</v>
      </c>
      <c r="O136" s="118">
        <f>((IFERROR((C136*D136*E136),0)+IFERROR((G136*H136*I136),0)+IFERROR((K136*L136*M136),0))/1000000)*35.32</f>
        <v>5.8277293600000002</v>
      </c>
      <c r="P136" s="125">
        <f>Table13[[#This Row],[Column15]]*$P$2*1000</f>
        <v>34966.37616</v>
      </c>
      <c r="Q136" s="87">
        <f>F136+J136+N136</f>
        <v>82580</v>
      </c>
      <c r="R136" s="86">
        <f>MAX(Q136,O136)</f>
        <v>82580</v>
      </c>
      <c r="S136" s="86">
        <f>MAX(R136,P136)</f>
        <v>82580</v>
      </c>
      <c r="T136" s="156" t="str">
        <f>VLOOKUP(A136,'[1]MTP SKUs - Master Data'!$A:$B,2,FALSE)</f>
        <v>Y</v>
      </c>
      <c r="U136" s="162">
        <f>_xlfn.IFNA(VLOOKUP(Table13[[#This Row],[MTP SKU Code]],'Audit Dimensions'!A:N,6,FALSE),"ARC")</f>
        <v>47910</v>
      </c>
      <c r="V136" s="162">
        <f>IFERROR(Table13[[#This Row],[B1.Aud]]-Table13[[#This Row],[PW(gm)]],"ERR")</f>
        <v>510</v>
      </c>
      <c r="W136" s="165">
        <f>IFERROR(Table13[[#This Row],[B1.Diff]]/Table13[[#This Row],[B1.Aud]],"ERR")</f>
        <v>1.0644959298685034E-2</v>
      </c>
      <c r="X136" s="162">
        <f>_xlfn.IFNA(VLOOKUP(Table13[[#This Row],[MTP SKU Code]],'Audit Dimensions'!A:N,10,FALSE),"ARC")</f>
        <v>21820</v>
      </c>
      <c r="Y136" s="163">
        <f>IFERROR(Table13[[#This Row],[B2.Aud]]-Table13[[#This Row],[PW(gm)5]],"ERR")</f>
        <v>1820</v>
      </c>
      <c r="Z136" s="165">
        <f>IFERROR(Table13[[#This Row],[B2.Diff]]/Table13[[#This Row],[B2.Aud]],"ERR")</f>
        <v>8.3409715857011915E-2</v>
      </c>
      <c r="AA136" s="162">
        <f>_xlfn.IFNA(VLOOKUP(Table13[[#This Row],[MTP SKU Code]],'Audit Dimensions'!A:N,14,FALSE),"ARC")</f>
        <v>17080</v>
      </c>
      <c r="AB136" s="161">
        <f>IFERROR(Table13[[#This Row],[B3.Aud]]-Table13[[#This Row],[PW(gm)9]],"ERR")</f>
        <v>1900</v>
      </c>
      <c r="AC136" s="168">
        <f>IFERROR(Table13[[#This Row],[B3.Diff]]/Table13[[#This Row],[BaLL.Aud]],"ERR")</f>
        <v>2.1886879391775142E-2</v>
      </c>
      <c r="AD136" s="189">
        <f>_xlfn.IFNA(VLOOKUP(Table13[[#This Row],[MTP SKU Code]],'Audit Dimensions'!A:U,16,FALSE),"ARC")</f>
        <v>86810</v>
      </c>
      <c r="AE136" s="165">
        <f>IFERROR(1-Table13[[#This Row],[Gms]]/Table13[[#This Row],[BaLL.Aud]],"ERR")</f>
        <v>4.8727105172215235E-2</v>
      </c>
    </row>
    <row r="137" spans="1:31" hidden="1">
      <c r="A137" s="91" t="s">
        <v>182</v>
      </c>
      <c r="B137" s="84" t="s">
        <v>48</v>
      </c>
      <c r="C137" s="85">
        <v>69</v>
      </c>
      <c r="D137" s="85">
        <v>35</v>
      </c>
      <c r="E137" s="85">
        <v>8</v>
      </c>
      <c r="F137" s="89">
        <v>9890</v>
      </c>
      <c r="G137" s="85"/>
      <c r="H137" s="85"/>
      <c r="I137" s="85"/>
      <c r="J137" s="85"/>
      <c r="K137" s="85"/>
      <c r="L137" s="85"/>
      <c r="M137" s="85"/>
      <c r="N137" s="85"/>
      <c r="O137" s="118">
        <f>((IFERROR((C137*D137*E137),0)+IFERROR((G137*H137*I137),0)+IFERROR((K137*L137*M137),0))/1000000)*35.32</f>
        <v>0.68238240000000006</v>
      </c>
      <c r="P137" s="125">
        <f>Table13[[#This Row],[Column15]]*$P$2*1000</f>
        <v>4094.2944000000007</v>
      </c>
      <c r="Q137" s="87">
        <f>F137+J137+N137</f>
        <v>9890</v>
      </c>
      <c r="R137" s="86">
        <f>MAX(Q137,O137)</f>
        <v>9890</v>
      </c>
      <c r="S137" s="86">
        <f>MAX(R137,P137)</f>
        <v>9890</v>
      </c>
      <c r="T137" s="156" t="str">
        <f>VLOOKUP(A137,'[1]MTP SKUs - Master Data'!$A:$B,2,FALSE)</f>
        <v>DI</v>
      </c>
      <c r="U137" s="162">
        <f>_xlfn.IFNA(VLOOKUP(Table13[[#This Row],[MTP SKU Code]],'Audit Dimensions'!A:N,6,FALSE),"ARC")</f>
        <v>10400</v>
      </c>
      <c r="V137" s="162">
        <f>IFERROR(Table13[[#This Row],[B1.Aud]]-Table13[[#This Row],[PW(gm)]],"ERR")</f>
        <v>510</v>
      </c>
      <c r="W137" s="165">
        <f>IFERROR(Table13[[#This Row],[B1.Diff]]/Table13[[#This Row],[B1.Aud]],"ERR")</f>
        <v>4.9038461538461538E-2</v>
      </c>
      <c r="X137" s="162">
        <f>_xlfn.IFNA(VLOOKUP(Table13[[#This Row],[MTP SKU Code]],'Audit Dimensions'!A:N,10,FALSE),"ARC")</f>
        <v>0</v>
      </c>
      <c r="Y137" s="163">
        <f>IFERROR(Table13[[#This Row],[B2.Aud]]-Table13[[#This Row],[PW(gm)5]],"ERR")</f>
        <v>0</v>
      </c>
      <c r="Z137" s="165" t="str">
        <f>IFERROR(Table13[[#This Row],[B2.Diff]]/Table13[[#This Row],[B2.Aud]],"ERR")</f>
        <v>ERR</v>
      </c>
      <c r="AA137" s="162">
        <f>_xlfn.IFNA(VLOOKUP(Table13[[#This Row],[MTP SKU Code]],'Audit Dimensions'!A:N,14,FALSE),"ARC")</f>
        <v>0</v>
      </c>
      <c r="AB137" s="161">
        <f>IFERROR(Table13[[#This Row],[B3.Aud]]-Table13[[#This Row],[PW(gm)9]],"ERR")</f>
        <v>0</v>
      </c>
      <c r="AC137" s="168">
        <f>IFERROR(Table13[[#This Row],[B3.Diff]]/Table13[[#This Row],[BaLL.Aud]],"ERR")</f>
        <v>0</v>
      </c>
      <c r="AD137" s="162">
        <f>_xlfn.IFNA(VLOOKUP(Table13[[#This Row],[MTP SKU Code]],'Audit Dimensions'!A:U,16,FALSE),"ARC")</f>
        <v>10400</v>
      </c>
      <c r="AE137" s="165">
        <f>IFERROR(1-Table13[[#This Row],[Gms]]/Table13[[#This Row],[BaLL.Aud]],"ERR")</f>
        <v>4.9038461538461586E-2</v>
      </c>
    </row>
    <row r="138" spans="1:31" ht="12.4" hidden="1" customHeight="1">
      <c r="A138" s="68" t="s">
        <v>183</v>
      </c>
      <c r="B138" s="84" t="s">
        <v>48</v>
      </c>
      <c r="C138" s="85">
        <v>71.5</v>
      </c>
      <c r="D138" s="85">
        <v>16</v>
      </c>
      <c r="E138" s="85">
        <v>6</v>
      </c>
      <c r="F138" s="89">
        <v>2850</v>
      </c>
      <c r="G138" s="85"/>
      <c r="H138" s="85"/>
      <c r="I138" s="85"/>
      <c r="J138" s="85"/>
      <c r="K138" s="85"/>
      <c r="L138" s="85"/>
      <c r="M138" s="85"/>
      <c r="N138" s="85"/>
      <c r="O138" s="118">
        <f>((IFERROR((C138*D138*E138),0)+IFERROR((G138*H138*I138),0)+IFERROR((K138*L138*M138),0))/1000000)*35.32</f>
        <v>0.24243648000000001</v>
      </c>
      <c r="P138" s="125">
        <f>Table13[[#This Row],[Column15]]*$P$2*1000</f>
        <v>1454.61888</v>
      </c>
      <c r="Q138" s="87">
        <f>F138+J138+N138</f>
        <v>2850</v>
      </c>
      <c r="R138" s="86">
        <f>MAX(Q138,O138)</f>
        <v>2850</v>
      </c>
      <c r="S138" s="86">
        <f>MAX(R138,P138)</f>
        <v>2850</v>
      </c>
      <c r="T138" s="156" t="str">
        <f>VLOOKUP(A138,'[1]MTP SKUs - Master Data'!$A:$B,2,FALSE)</f>
        <v>DI</v>
      </c>
      <c r="U138" s="162">
        <f>_xlfn.IFNA(VLOOKUP(Table13[[#This Row],[MTP SKU Code]],'Audit Dimensions'!A:N,6,FALSE),"ARC")</f>
        <v>3000</v>
      </c>
      <c r="V138" s="162">
        <f>IFERROR(Table13[[#This Row],[B1.Aud]]-Table13[[#This Row],[PW(gm)]],"ERR")</f>
        <v>150</v>
      </c>
      <c r="W138" s="165">
        <f>IFERROR(Table13[[#This Row],[B1.Diff]]/Table13[[#This Row],[B1.Aud]],"ERR")</f>
        <v>0.05</v>
      </c>
      <c r="X138" s="162">
        <f>_xlfn.IFNA(VLOOKUP(Table13[[#This Row],[MTP SKU Code]],'Audit Dimensions'!A:N,10,FALSE),"ARC")</f>
        <v>0</v>
      </c>
      <c r="Y138" s="163">
        <f>IFERROR(Table13[[#This Row],[B2.Aud]]-Table13[[#This Row],[PW(gm)5]],"ERR")</f>
        <v>0</v>
      </c>
      <c r="Z138" s="165" t="str">
        <f>IFERROR(Table13[[#This Row],[B2.Diff]]/Table13[[#This Row],[B2.Aud]],"ERR")</f>
        <v>ERR</v>
      </c>
      <c r="AA138" s="162">
        <f>_xlfn.IFNA(VLOOKUP(Table13[[#This Row],[MTP SKU Code]],'Audit Dimensions'!A:N,14,FALSE),"ARC")</f>
        <v>0</v>
      </c>
      <c r="AB138" s="161">
        <f>IFERROR(Table13[[#This Row],[B3.Aud]]-Table13[[#This Row],[PW(gm)9]],"ERR")</f>
        <v>0</v>
      </c>
      <c r="AC138" s="168">
        <f>IFERROR(Table13[[#This Row],[B3.Diff]]/Table13[[#This Row],[BaLL.Aud]],"ERR")</f>
        <v>0</v>
      </c>
      <c r="AD138" s="162">
        <f>_xlfn.IFNA(VLOOKUP(Table13[[#This Row],[MTP SKU Code]],'Audit Dimensions'!A:U,16,FALSE),"ARC")</f>
        <v>3000</v>
      </c>
      <c r="AE138" s="165">
        <f>IFERROR(1-Table13[[#This Row],[Gms]]/Table13[[#This Row],[BaLL.Aud]],"ERR")</f>
        <v>5.0000000000000044E-2</v>
      </c>
    </row>
    <row r="139" spans="1:31" ht="15">
      <c r="A139" s="68" t="s">
        <v>203</v>
      </c>
      <c r="B139" s="84" t="s">
        <v>48</v>
      </c>
      <c r="C139" s="84">
        <f>VLOOKUP(Table13[[#This Row],[MTP SKU Code]],'Audit Dimensions'!$A:$N,3,FALSE)</f>
        <v>188</v>
      </c>
      <c r="D139" s="85">
        <f>VLOOKUP(Table13[[#This Row],[MTP SKU Code]],'Audit Dimensions'!$A:$N,4,FALSE)</f>
        <v>42</v>
      </c>
      <c r="E139" s="85">
        <f>VLOOKUP(Table13[[#This Row],[MTP SKU Code]],'Audit Dimensions'!$A:$N,5,FALSE)</f>
        <v>8</v>
      </c>
      <c r="F139" s="89">
        <v>29630</v>
      </c>
      <c r="G139" s="85">
        <v>97</v>
      </c>
      <c r="H139" s="85">
        <v>82</v>
      </c>
      <c r="I139" s="85">
        <v>4</v>
      </c>
      <c r="J139" s="85">
        <v>14100</v>
      </c>
      <c r="K139" s="85"/>
      <c r="L139" s="85"/>
      <c r="M139" s="85"/>
      <c r="N139" s="85"/>
      <c r="O139" s="118">
        <f>((IFERROR((C139*D139*E139),0)+IFERROR((G139*H139*I139),0)+IFERROR((K139*L139*M139),0))/1000000)*35.32</f>
        <v>3.3548348799999999</v>
      </c>
      <c r="P139" s="125">
        <f>Table13[[#This Row],[Column15]]*$P$2*1000</f>
        <v>20129.009279999998</v>
      </c>
      <c r="Q139" s="87">
        <f>F139+J139+N139</f>
        <v>43730</v>
      </c>
      <c r="R139" s="88">
        <f>MAX(Q139,O139)</f>
        <v>43730</v>
      </c>
      <c r="S139" s="86">
        <f>MAX(R139,P139)</f>
        <v>43730</v>
      </c>
      <c r="T139" s="156" t="str">
        <f>VLOOKUP(A139,'[1]MTP SKUs - Master Data'!$A:$B,2,FALSE)</f>
        <v>Y</v>
      </c>
      <c r="U139" s="162">
        <f>_xlfn.IFNA(VLOOKUP(Table13[[#This Row],[MTP SKU Code]],'Audit Dimensions'!A:N,6,FALSE),"ARC")</f>
        <v>30950</v>
      </c>
      <c r="V139" s="162">
        <f>IFERROR(Table13[[#This Row],[B1.Aud]]-Table13[[#This Row],[PW(gm)]],"ERR")</f>
        <v>1320</v>
      </c>
      <c r="W139" s="165">
        <f>IFERROR(Table13[[#This Row],[B1.Diff]]/Table13[[#This Row],[B1.Aud]],"ERR")</f>
        <v>4.2649434571890146E-2</v>
      </c>
      <c r="X139" s="162">
        <f>_xlfn.IFNA(VLOOKUP(Table13[[#This Row],[MTP SKU Code]],'Audit Dimensions'!A:N,10,FALSE),"ARC")</f>
        <v>15130</v>
      </c>
      <c r="Y139" s="163">
        <f>IFERROR(Table13[[#This Row],[B2.Aud]]-Table13[[#This Row],[PW(gm)5]],"ERR")</f>
        <v>1030</v>
      </c>
      <c r="Z139" s="166">
        <f>IFERROR(Table13[[#This Row],[B2.Diff]]/Table13[[#This Row],[B2.Aud]],"ERR")</f>
        <v>6.8076668869795104E-2</v>
      </c>
      <c r="AA139" s="162">
        <f>_xlfn.IFNA(VLOOKUP(Table13[[#This Row],[MTP SKU Code]],'Audit Dimensions'!A:N,14,FALSE),"ARC")</f>
        <v>0</v>
      </c>
      <c r="AB139" s="161">
        <f>IFERROR(Table13[[#This Row],[B3.Aud]]-Table13[[#This Row],[PW(gm)9]],"ERR")</f>
        <v>0</v>
      </c>
      <c r="AC139" s="168">
        <f>IFERROR(Table13[[#This Row],[B3.Diff]]/Table13[[#This Row],[BaLL.Aud]],"ERR")</f>
        <v>0</v>
      </c>
      <c r="AD139" s="189">
        <f>_xlfn.IFNA(VLOOKUP(Table13[[#This Row],[MTP SKU Code]],'Audit Dimensions'!A:U,16,FALSE),"ARC")</f>
        <v>46080</v>
      </c>
      <c r="AE139" s="165">
        <f>IFERROR(1-Table13[[#This Row],[Gms]]/Table13[[#This Row],[BaLL.Aud]],"ERR")</f>
        <v>5.099826388888884E-2</v>
      </c>
    </row>
    <row r="140" spans="1:31">
      <c r="A140" s="68" t="s">
        <v>193</v>
      </c>
      <c r="B140" s="84" t="s">
        <v>48</v>
      </c>
      <c r="C140" s="85">
        <v>100</v>
      </c>
      <c r="D140" s="85">
        <v>29</v>
      </c>
      <c r="E140" s="85">
        <v>8</v>
      </c>
      <c r="F140" s="89">
        <v>15800</v>
      </c>
      <c r="G140" s="85"/>
      <c r="H140" s="85"/>
      <c r="I140" s="85"/>
      <c r="J140" s="85"/>
      <c r="K140" s="85"/>
      <c r="L140" s="85"/>
      <c r="M140" s="85"/>
      <c r="N140" s="85"/>
      <c r="O140" s="118">
        <f>((IFERROR((C140*D140*E140),0)+IFERROR((G140*H140*I140),0)+IFERROR((K140*L140*M140),0))/1000000)*35.32</f>
        <v>0.81942399999999993</v>
      </c>
      <c r="P140" s="125">
        <f>Table13[[#This Row],[Column15]]*$P$2*1000</f>
        <v>4916.5439999999999</v>
      </c>
      <c r="Q140" s="87">
        <f>F140+J140+N140</f>
        <v>15800</v>
      </c>
      <c r="R140" s="86">
        <f>MAX(Q140,O140)</f>
        <v>15800</v>
      </c>
      <c r="S140" s="86">
        <f>MAX(R140,P140)</f>
        <v>15800</v>
      </c>
      <c r="T140" s="156" t="str">
        <f>VLOOKUP(A140,'[1]MTP SKUs - Master Data'!$A:$B,2,FALSE)</f>
        <v>Y</v>
      </c>
      <c r="U140" s="162">
        <f>_xlfn.IFNA(VLOOKUP(Table13[[#This Row],[MTP SKU Code]],'Audit Dimensions'!A:N,6,FALSE),"ARC")</f>
        <v>16680</v>
      </c>
      <c r="V140" s="162">
        <f>IFERROR(Table13[[#This Row],[B1.Aud]]-Table13[[#This Row],[PW(gm)]],"ERR")</f>
        <v>880</v>
      </c>
      <c r="W140" s="165">
        <f>IFERROR(Table13[[#This Row],[B1.Diff]]/Table13[[#This Row],[B1.Aud]],"ERR")</f>
        <v>5.2757793764988008E-2</v>
      </c>
      <c r="X140" s="162">
        <f>_xlfn.IFNA(VLOOKUP(Table13[[#This Row],[MTP SKU Code]],'Audit Dimensions'!A:N,10,FALSE),"ARC")</f>
        <v>0</v>
      </c>
      <c r="Y140" s="163">
        <f>IFERROR(Table13[[#This Row],[B2.Aud]]-Table13[[#This Row],[PW(gm)5]],"ERR")</f>
        <v>0</v>
      </c>
      <c r="Z140" s="165" t="str">
        <f>IFERROR(Table13[[#This Row],[B2.Diff]]/Table13[[#This Row],[B2.Aud]],"ERR")</f>
        <v>ERR</v>
      </c>
      <c r="AA140" s="162">
        <f>_xlfn.IFNA(VLOOKUP(Table13[[#This Row],[MTP SKU Code]],'Audit Dimensions'!A:N,14,FALSE),"ARC")</f>
        <v>0</v>
      </c>
      <c r="AB140" s="161">
        <f>IFERROR(Table13[[#This Row],[B3.Aud]]-Table13[[#This Row],[PW(gm)9]],"ERR")</f>
        <v>0</v>
      </c>
      <c r="AC140" s="168">
        <f>IFERROR(Table13[[#This Row],[B3.Diff]]/Table13[[#This Row],[BaLL.Aud]],"ERR")</f>
        <v>0</v>
      </c>
      <c r="AD140" s="189">
        <f>_xlfn.IFNA(VLOOKUP(Table13[[#This Row],[MTP SKU Code]],'Audit Dimensions'!A:U,16,FALSE),"ARC")</f>
        <v>16680</v>
      </c>
      <c r="AE140" s="165">
        <f>IFERROR(1-Table13[[#This Row],[Gms]]/Table13[[#This Row],[BaLL.Aud]],"ERR")</f>
        <v>5.2757793764988015E-2</v>
      </c>
    </row>
    <row r="141" spans="1:31" hidden="1">
      <c r="A141" s="68" t="s">
        <v>186</v>
      </c>
      <c r="B141" s="84" t="s">
        <v>48</v>
      </c>
      <c r="C141" s="85">
        <v>66</v>
      </c>
      <c r="D141" s="85">
        <v>29</v>
      </c>
      <c r="E141" s="85">
        <v>5</v>
      </c>
      <c r="F141" s="89">
        <v>3310</v>
      </c>
      <c r="G141" s="85"/>
      <c r="H141" s="85"/>
      <c r="I141" s="85"/>
      <c r="J141" s="85"/>
      <c r="K141" s="85"/>
      <c r="L141" s="85"/>
      <c r="M141" s="85"/>
      <c r="N141" s="85"/>
      <c r="O141" s="118">
        <f>((IFERROR((C141*D141*E141),0)+IFERROR((G141*H141*I141),0)+IFERROR((K141*L141*M141),0))/1000000)*35.32</f>
        <v>0.33801239999999999</v>
      </c>
      <c r="P141" s="125">
        <f>Table13[[#This Row],[Column15]]*$P$2*1000</f>
        <v>2028.0744</v>
      </c>
      <c r="Q141" s="87">
        <f>F141+J141+N141</f>
        <v>3310</v>
      </c>
      <c r="R141" s="86">
        <f>MAX(Q141,O141)</f>
        <v>3310</v>
      </c>
      <c r="S141" s="86">
        <f>MAX(R141,P141)</f>
        <v>3310</v>
      </c>
      <c r="T141" s="156" t="str">
        <f>VLOOKUP(A141,'[1]MTP SKUs - Master Data'!$A:$B,2,FALSE)</f>
        <v>DI</v>
      </c>
      <c r="U141" s="162">
        <f>_xlfn.IFNA(VLOOKUP(Table13[[#This Row],[MTP SKU Code]],'Audit Dimensions'!A:N,6,FALSE),"ARC")</f>
        <v>3500</v>
      </c>
      <c r="V141" s="162">
        <f>IFERROR(Table13[[#This Row],[B1.Aud]]-Table13[[#This Row],[PW(gm)]],"ERR")</f>
        <v>190</v>
      </c>
      <c r="W141" s="165">
        <f>IFERROR(Table13[[#This Row],[B1.Diff]]/Table13[[#This Row],[B1.Aud]],"ERR")</f>
        <v>5.4285714285714284E-2</v>
      </c>
      <c r="X141" s="162">
        <f>_xlfn.IFNA(VLOOKUP(Table13[[#This Row],[MTP SKU Code]],'Audit Dimensions'!A:N,10,FALSE),"ARC")</f>
        <v>0</v>
      </c>
      <c r="Y141" s="163">
        <f>IFERROR(Table13[[#This Row],[B2.Aud]]-Table13[[#This Row],[PW(gm)5]],"ERR")</f>
        <v>0</v>
      </c>
      <c r="Z141" s="165" t="str">
        <f>IFERROR(Table13[[#This Row],[B2.Diff]]/Table13[[#This Row],[B2.Aud]],"ERR")</f>
        <v>ERR</v>
      </c>
      <c r="AA141" s="162">
        <f>_xlfn.IFNA(VLOOKUP(Table13[[#This Row],[MTP SKU Code]],'Audit Dimensions'!A:N,14,FALSE),"ARC")</f>
        <v>0</v>
      </c>
      <c r="AB141" s="161">
        <f>IFERROR(Table13[[#This Row],[B3.Aud]]-Table13[[#This Row],[PW(gm)9]],"ERR")</f>
        <v>0</v>
      </c>
      <c r="AC141" s="168">
        <f>IFERROR(Table13[[#This Row],[B3.Diff]]/Table13[[#This Row],[BaLL.Aud]],"ERR")</f>
        <v>0</v>
      </c>
      <c r="AD141" s="162">
        <f>_xlfn.IFNA(VLOOKUP(Table13[[#This Row],[MTP SKU Code]],'Audit Dimensions'!A:U,16,FALSE),"ARC")</f>
        <v>3500</v>
      </c>
      <c r="AE141" s="165">
        <f>IFERROR(1-Table13[[#This Row],[Gms]]/Table13[[#This Row],[BaLL.Aud]],"ERR")</f>
        <v>5.428571428571427E-2</v>
      </c>
    </row>
    <row r="142" spans="1:31">
      <c r="A142" s="91" t="s">
        <v>288</v>
      </c>
      <c r="B142" s="84" t="s">
        <v>48</v>
      </c>
      <c r="C142" s="85">
        <v>96</v>
      </c>
      <c r="D142" s="85">
        <v>31</v>
      </c>
      <c r="E142" s="85">
        <v>4</v>
      </c>
      <c r="F142" s="89">
        <v>4500</v>
      </c>
      <c r="G142" s="85"/>
      <c r="H142" s="85"/>
      <c r="I142" s="85"/>
      <c r="J142" s="85"/>
      <c r="K142" s="85"/>
      <c r="L142" s="85"/>
      <c r="M142" s="85"/>
      <c r="N142" s="85"/>
      <c r="O142" s="118">
        <f>((IFERROR((C142*D142*E142),0)+IFERROR((G142*H142*I142),0)+IFERROR((K142*L142*M142),0))/1000000)*35.32</f>
        <v>0.42044927999999998</v>
      </c>
      <c r="P142" s="125">
        <f>Table13[[#This Row],[Column15]]*$P$2*1000</f>
        <v>2522.6956799999998</v>
      </c>
      <c r="Q142" s="87">
        <f>F142+J142+N142</f>
        <v>4500</v>
      </c>
      <c r="R142" s="86">
        <f>MAX(Q142,O142)</f>
        <v>4500</v>
      </c>
      <c r="S142" s="86">
        <f>MAX(R142,P142)</f>
        <v>4500</v>
      </c>
      <c r="T142" s="156" t="str">
        <f>VLOOKUP(A142,'[1]MTP SKUs - Master Data'!$A:$B,2,FALSE)</f>
        <v>Y</v>
      </c>
      <c r="U142" s="162">
        <f>_xlfn.IFNA(VLOOKUP(Table13[[#This Row],[MTP SKU Code]],'Audit Dimensions'!A:N,6,FALSE),"ARC")</f>
        <v>4760</v>
      </c>
      <c r="V142" s="162">
        <f>IFERROR(Table13[[#This Row],[B1.Aud]]-Table13[[#This Row],[PW(gm)]],"ERR")</f>
        <v>260</v>
      </c>
      <c r="W142" s="165">
        <f>IFERROR(Table13[[#This Row],[B1.Diff]]/Table13[[#This Row],[B1.Aud]],"ERR")</f>
        <v>5.4621848739495799E-2</v>
      </c>
      <c r="X142" s="162">
        <f>_xlfn.IFNA(VLOOKUP(Table13[[#This Row],[MTP SKU Code]],'Audit Dimensions'!A:N,10,FALSE),"ARC")</f>
        <v>0</v>
      </c>
      <c r="Y142" s="163">
        <f>IFERROR(Table13[[#This Row],[B2.Aud]]-Table13[[#This Row],[PW(gm)5]],"ERR")</f>
        <v>0</v>
      </c>
      <c r="Z142" s="165" t="str">
        <f>IFERROR(Table13[[#This Row],[B2.Diff]]/Table13[[#This Row],[B2.Aud]],"ERR")</f>
        <v>ERR</v>
      </c>
      <c r="AA142" s="162">
        <f>_xlfn.IFNA(VLOOKUP(Table13[[#This Row],[MTP SKU Code]],'Audit Dimensions'!A:N,14,FALSE),"ARC")</f>
        <v>0</v>
      </c>
      <c r="AB142" s="161">
        <f>IFERROR(Table13[[#This Row],[B3.Aud]]-Table13[[#This Row],[PW(gm)9]],"ERR")</f>
        <v>0</v>
      </c>
      <c r="AC142" s="168">
        <f>IFERROR(Table13[[#This Row],[B3.Diff]]/Table13[[#This Row],[BaLL.Aud]],"ERR")</f>
        <v>0</v>
      </c>
      <c r="AD142" s="189">
        <f>_xlfn.IFNA(VLOOKUP(Table13[[#This Row],[MTP SKU Code]],'Audit Dimensions'!A:U,16,FALSE),"ARC")</f>
        <v>4760</v>
      </c>
      <c r="AE142" s="165">
        <f>IFERROR(1-Table13[[#This Row],[Gms]]/Table13[[#This Row],[BaLL.Aud]],"ERR")</f>
        <v>5.4621848739495826E-2</v>
      </c>
    </row>
    <row r="143" spans="1:31">
      <c r="A143" s="68" t="s">
        <v>280</v>
      </c>
      <c r="B143" s="84" t="s">
        <v>48</v>
      </c>
      <c r="C143" s="85">
        <v>98</v>
      </c>
      <c r="D143" s="85">
        <v>27</v>
      </c>
      <c r="E143" s="85">
        <v>6</v>
      </c>
      <c r="F143" s="89">
        <v>6230</v>
      </c>
      <c r="G143" s="85"/>
      <c r="H143" s="85"/>
      <c r="I143" s="85"/>
      <c r="J143" s="85"/>
      <c r="K143" s="85"/>
      <c r="L143" s="85"/>
      <c r="M143" s="85"/>
      <c r="N143" s="85"/>
      <c r="O143" s="118">
        <f>((IFERROR((C143*D143*E143),0)+IFERROR((G143*H143*I143),0)+IFERROR((K143*L143*M143),0))/1000000)*35.32</f>
        <v>0.56074032000000007</v>
      </c>
      <c r="P143" s="125">
        <f>Table13[[#This Row],[Column15]]*$P$2*1000</f>
        <v>3364.4419200000002</v>
      </c>
      <c r="Q143" s="87">
        <f>F143+J143+N143</f>
        <v>6230</v>
      </c>
      <c r="R143" s="86">
        <f>MAX(Q143,O143)</f>
        <v>6230</v>
      </c>
      <c r="S143" s="86">
        <f>MAX(R143,P143)</f>
        <v>6230</v>
      </c>
      <c r="T143" s="156" t="str">
        <f>VLOOKUP(A143,'[1]MTP SKUs - Master Data'!$A:$B,2,FALSE)</f>
        <v>Y</v>
      </c>
      <c r="U143" s="162">
        <f>_xlfn.IFNA(VLOOKUP(Table13[[#This Row],[MTP SKU Code]],'Audit Dimensions'!A:N,6,FALSE),"ARC")</f>
        <v>6770</v>
      </c>
      <c r="V143" s="162">
        <f>IFERROR(Table13[[#This Row],[B1.Aud]]-Table13[[#This Row],[PW(gm)]],"ERR")</f>
        <v>540</v>
      </c>
      <c r="W143" s="165">
        <f>IFERROR(Table13[[#This Row],[B1.Diff]]/Table13[[#This Row],[B1.Aud]],"ERR")</f>
        <v>7.9763663220088626E-2</v>
      </c>
      <c r="X143" s="162">
        <f>_xlfn.IFNA(VLOOKUP(Table13[[#This Row],[MTP SKU Code]],'Audit Dimensions'!A:N,10,FALSE),"ARC")</f>
        <v>0</v>
      </c>
      <c r="Y143" s="163">
        <f>IFERROR(Table13[[#This Row],[B2.Aud]]-Table13[[#This Row],[PW(gm)5]],"ERR")</f>
        <v>0</v>
      </c>
      <c r="Z143" s="165" t="str">
        <f>IFERROR(Table13[[#This Row],[B2.Diff]]/Table13[[#This Row],[B2.Aud]],"ERR")</f>
        <v>ERR</v>
      </c>
      <c r="AA143" s="162">
        <f>_xlfn.IFNA(VLOOKUP(Table13[[#This Row],[MTP SKU Code]],'Audit Dimensions'!A:N,14,FALSE),"ARC")</f>
        <v>0</v>
      </c>
      <c r="AB143" s="161">
        <f>IFERROR(Table13[[#This Row],[B3.Aud]]-Table13[[#This Row],[PW(gm)9]],"ERR")</f>
        <v>0</v>
      </c>
      <c r="AC143" s="168">
        <f>IFERROR(Table13[[#This Row],[B3.Diff]]/Table13[[#This Row],[BaLL.Aud]],"ERR")</f>
        <v>0</v>
      </c>
      <c r="AD143" s="189">
        <f>_xlfn.IFNA(VLOOKUP(Table13[[#This Row],[MTP SKU Code]],'Audit Dimensions'!A:U,16,FALSE),"ARC")</f>
        <v>6770</v>
      </c>
      <c r="AE143" s="165">
        <f>IFERROR(1-Table13[[#This Row],[Gms]]/Table13[[#This Row],[BaLL.Aud]],"ERR")</f>
        <v>7.9763663220088654E-2</v>
      </c>
    </row>
    <row r="144" spans="1:31">
      <c r="A144" s="68" t="s">
        <v>140</v>
      </c>
      <c r="B144" s="84" t="s">
        <v>48</v>
      </c>
      <c r="C144" s="84">
        <v>153</v>
      </c>
      <c r="D144" s="85">
        <v>43</v>
      </c>
      <c r="E144" s="85">
        <v>9</v>
      </c>
      <c r="F144" s="89">
        <v>26000</v>
      </c>
      <c r="G144" s="85"/>
      <c r="H144" s="85"/>
      <c r="I144" s="85"/>
      <c r="J144" s="85"/>
      <c r="K144" s="85"/>
      <c r="L144" s="85"/>
      <c r="M144" s="85"/>
      <c r="N144" s="85"/>
      <c r="O144" s="118">
        <f>((IFERROR((C144*D144*E144),0)+IFERROR((G144*H144*I144),0)+IFERROR((K144*L144*M144),0))/1000000)*35.32</f>
        <v>2.0913325199999999</v>
      </c>
      <c r="P144" s="125">
        <f>Table13[[#This Row],[Column15]]*$P$2*1000</f>
        <v>12547.99512</v>
      </c>
      <c r="Q144" s="87">
        <f>F144+J144+N144</f>
        <v>26000</v>
      </c>
      <c r="R144" s="86">
        <f>MAX(Q144,O144)</f>
        <v>26000</v>
      </c>
      <c r="S144" s="86">
        <f>MAX(R144,P144)</f>
        <v>26000</v>
      </c>
      <c r="T144" s="156" t="str">
        <f>VLOOKUP(A144,'[1]MTP SKUs - Master Data'!$A:$B,2,FALSE)</f>
        <v>Y</v>
      </c>
      <c r="U144" s="162">
        <f>_xlfn.IFNA(VLOOKUP(Table13[[#This Row],[MTP SKU Code]],'Audit Dimensions'!A:N,6,FALSE),"ARC")</f>
        <v>27550</v>
      </c>
      <c r="V144" s="162">
        <f>IFERROR(Table13[[#This Row],[B1.Aud]]-Table13[[#This Row],[PW(gm)]],"ERR")</f>
        <v>1550</v>
      </c>
      <c r="W144" s="165">
        <f>IFERROR(Table13[[#This Row],[B1.Diff]]/Table13[[#This Row],[B1.Aud]],"ERR")</f>
        <v>5.6261343012704176E-2</v>
      </c>
      <c r="X144" s="162">
        <f>_xlfn.IFNA(VLOOKUP(Table13[[#This Row],[MTP SKU Code]],'Audit Dimensions'!A:N,10,FALSE),"ARC")</f>
        <v>0</v>
      </c>
      <c r="Y144" s="163">
        <f>IFERROR(Table13[[#This Row],[B2.Aud]]-Table13[[#This Row],[PW(gm)5]],"ERR")</f>
        <v>0</v>
      </c>
      <c r="Z144" s="165" t="str">
        <f>IFERROR(Table13[[#This Row],[B2.Diff]]/Table13[[#This Row],[B2.Aud]],"ERR")</f>
        <v>ERR</v>
      </c>
      <c r="AA144" s="162">
        <f>_xlfn.IFNA(VLOOKUP(Table13[[#This Row],[MTP SKU Code]],'Audit Dimensions'!A:N,14,FALSE),"ARC")</f>
        <v>0</v>
      </c>
      <c r="AB144" s="161">
        <f>IFERROR(Table13[[#This Row],[B3.Aud]]-Table13[[#This Row],[PW(gm)9]],"ERR")</f>
        <v>0</v>
      </c>
      <c r="AC144" s="168">
        <f>IFERROR(Table13[[#This Row],[B3.Diff]]/Table13[[#This Row],[BaLL.Aud]],"ERR")</f>
        <v>0</v>
      </c>
      <c r="AD144" s="189">
        <f>_xlfn.IFNA(VLOOKUP(Table13[[#This Row],[MTP SKU Code]],'Audit Dimensions'!A:U,16,FALSE),"ARC")</f>
        <v>27550</v>
      </c>
      <c r="AE144" s="165">
        <f>IFERROR(1-Table13[[#This Row],[Gms]]/Table13[[#This Row],[BaLL.Aud]],"ERR")</f>
        <v>5.6261343012704135E-2</v>
      </c>
    </row>
    <row r="145" spans="1:31" ht="12.95" customHeight="1">
      <c r="A145" s="91" t="s">
        <v>217</v>
      </c>
      <c r="B145" s="84" t="s">
        <v>48</v>
      </c>
      <c r="C145" s="85">
        <v>152</v>
      </c>
      <c r="D145" s="85">
        <v>58</v>
      </c>
      <c r="E145" s="85">
        <v>9</v>
      </c>
      <c r="F145" s="89">
        <v>31890</v>
      </c>
      <c r="G145" s="85"/>
      <c r="H145" s="85"/>
      <c r="I145" s="85"/>
      <c r="J145" s="85"/>
      <c r="K145" s="85"/>
      <c r="L145" s="85"/>
      <c r="M145" s="85"/>
      <c r="N145" s="85"/>
      <c r="O145" s="118">
        <f>((IFERROR((C145*D145*E145),0)+IFERROR((G145*H145*I145),0)+IFERROR((K145*L145*M145),0))/1000000)*35.32</f>
        <v>2.8024300800000002</v>
      </c>
      <c r="P145" s="125">
        <f>Table13[[#This Row],[Column15]]*$P$2*1000</f>
        <v>16814.580480000001</v>
      </c>
      <c r="Q145" s="87">
        <f>F145+J145+N145</f>
        <v>31890</v>
      </c>
      <c r="R145" s="86">
        <f>MAX(Q145,O145)</f>
        <v>31890</v>
      </c>
      <c r="S145" s="86">
        <f>MAX(R145,P145)</f>
        <v>31890</v>
      </c>
      <c r="T145" s="156" t="str">
        <f>VLOOKUP(A145,'[1]MTP SKUs - Master Data'!$A:$B,2,FALSE)</f>
        <v>Y</v>
      </c>
      <c r="U145" s="162">
        <f>_xlfn.IFNA(VLOOKUP(Table13[[#This Row],[MTP SKU Code]],'Audit Dimensions'!A:N,6,FALSE),"ARC")</f>
        <v>33820</v>
      </c>
      <c r="V145" s="162">
        <f>IFERROR(Table13[[#This Row],[B1.Aud]]-Table13[[#This Row],[PW(gm)]],"ERR")</f>
        <v>1930</v>
      </c>
      <c r="W145" s="165">
        <f>IFERROR(Table13[[#This Row],[B1.Diff]]/Table13[[#This Row],[B1.Aud]],"ERR")</f>
        <v>5.7066824364281489E-2</v>
      </c>
      <c r="X145" s="162">
        <f>_xlfn.IFNA(VLOOKUP(Table13[[#This Row],[MTP SKU Code]],'Audit Dimensions'!A:N,10,FALSE),"ARC")</f>
        <v>0</v>
      </c>
      <c r="Y145" s="163">
        <f>IFERROR(Table13[[#This Row],[B2.Aud]]-Table13[[#This Row],[PW(gm)5]],"ERR")</f>
        <v>0</v>
      </c>
      <c r="Z145" s="165" t="str">
        <f>IFERROR(Table13[[#This Row],[B2.Diff]]/Table13[[#This Row],[B2.Aud]],"ERR")</f>
        <v>ERR</v>
      </c>
      <c r="AA145" s="162">
        <f>_xlfn.IFNA(VLOOKUP(Table13[[#This Row],[MTP SKU Code]],'Audit Dimensions'!A:N,14,FALSE),"ARC")</f>
        <v>0</v>
      </c>
      <c r="AB145" s="161">
        <f>IFERROR(Table13[[#This Row],[B3.Aud]]-Table13[[#This Row],[PW(gm)9]],"ERR")</f>
        <v>0</v>
      </c>
      <c r="AC145" s="168">
        <f>IFERROR(Table13[[#This Row],[B3.Diff]]/Table13[[#This Row],[BaLL.Aud]],"ERR")</f>
        <v>0</v>
      </c>
      <c r="AD145" s="189">
        <f>_xlfn.IFNA(VLOOKUP(Table13[[#This Row],[MTP SKU Code]],'Audit Dimensions'!A:U,16,FALSE),"ARC")</f>
        <v>33820</v>
      </c>
      <c r="AE145" s="165">
        <f>IFERROR(1-Table13[[#This Row],[Gms]]/Table13[[#This Row],[BaLL.Aud]],"ERR")</f>
        <v>5.7066824364281454E-2</v>
      </c>
    </row>
    <row r="146" spans="1:31">
      <c r="A146" s="90" t="s">
        <v>136</v>
      </c>
      <c r="B146" s="84" t="s">
        <v>48</v>
      </c>
      <c r="C146" s="85">
        <v>186</v>
      </c>
      <c r="D146" s="85">
        <v>51</v>
      </c>
      <c r="E146" s="85">
        <v>10</v>
      </c>
      <c r="F146" s="89">
        <v>48400</v>
      </c>
      <c r="G146" s="85"/>
      <c r="H146" s="85"/>
      <c r="I146" s="85"/>
      <c r="J146" s="85"/>
      <c r="K146" s="85"/>
      <c r="L146" s="85"/>
      <c r="M146" s="85"/>
      <c r="N146" s="85"/>
      <c r="O146" s="118">
        <f>((IFERROR((C146*D146*E146),0)+IFERROR((G146*H146*I146),0)+IFERROR((K146*L146*M146),0))/1000000)*35.32</f>
        <v>3.3504551999999999</v>
      </c>
      <c r="P146" s="125">
        <f>Table13[[#This Row],[Column15]]*$P$2*1000</f>
        <v>20102.731200000002</v>
      </c>
      <c r="Q146" s="87">
        <f>F146+J146+N146</f>
        <v>48400</v>
      </c>
      <c r="R146" s="86">
        <f>MAX(Q146,O146)</f>
        <v>48400</v>
      </c>
      <c r="S146" s="86">
        <f>MAX(R146,P146)</f>
        <v>48400</v>
      </c>
      <c r="T146" s="156" t="str">
        <f>VLOOKUP(A146,'[1]MTP SKUs - Master Data'!$A:$B,2,FALSE)</f>
        <v>Y</v>
      </c>
      <c r="U146" s="162">
        <f>_xlfn.IFNA(VLOOKUP(Table13[[#This Row],[MTP SKU Code]],'Audit Dimensions'!A:N,6,FALSE),"ARC")</f>
        <v>51500</v>
      </c>
      <c r="V146" s="162">
        <f>IFERROR(Table13[[#This Row],[B1.Aud]]-Table13[[#This Row],[PW(gm)]],"ERR")</f>
        <v>3100</v>
      </c>
      <c r="W146" s="165">
        <f>IFERROR(Table13[[#This Row],[B1.Diff]]/Table13[[#This Row],[B1.Aud]],"ERR")</f>
        <v>6.0194174757281553E-2</v>
      </c>
      <c r="X146" s="162">
        <f>_xlfn.IFNA(VLOOKUP(Table13[[#This Row],[MTP SKU Code]],'Audit Dimensions'!A:N,10,FALSE),"ARC")</f>
        <v>0</v>
      </c>
      <c r="Y146" s="163">
        <f>IFERROR(Table13[[#This Row],[B2.Aud]]-Table13[[#This Row],[PW(gm)5]],"ERR")</f>
        <v>0</v>
      </c>
      <c r="Z146" s="165" t="str">
        <f>IFERROR(Table13[[#This Row],[B2.Diff]]/Table13[[#This Row],[B2.Aud]],"ERR")</f>
        <v>ERR</v>
      </c>
      <c r="AA146" s="162">
        <f>_xlfn.IFNA(VLOOKUP(Table13[[#This Row],[MTP SKU Code]],'Audit Dimensions'!A:N,14,FALSE),"ARC")</f>
        <v>0</v>
      </c>
      <c r="AB146" s="161">
        <f>IFERROR(Table13[[#This Row],[B3.Aud]]-Table13[[#This Row],[PW(gm)9]],"ERR")</f>
        <v>0</v>
      </c>
      <c r="AC146" s="168">
        <f>IFERROR(Table13[[#This Row],[B3.Diff]]/Table13[[#This Row],[BaLL.Aud]],"ERR")</f>
        <v>0</v>
      </c>
      <c r="AD146" s="189">
        <f>_xlfn.IFNA(VLOOKUP(Table13[[#This Row],[MTP SKU Code]],'Audit Dimensions'!A:U,16,FALSE),"ARC")</f>
        <v>51500</v>
      </c>
      <c r="AE146" s="165">
        <f>IFERROR(1-Table13[[#This Row],[Gms]]/Table13[[#This Row],[BaLL.Aud]],"ERR")</f>
        <v>6.0194174757281504E-2</v>
      </c>
    </row>
    <row r="147" spans="1:31" ht="14.45" customHeight="1">
      <c r="A147" s="70" t="s">
        <v>148</v>
      </c>
      <c r="B147" s="84" t="s">
        <v>48</v>
      </c>
      <c r="C147" s="84">
        <v>106</v>
      </c>
      <c r="D147" s="85">
        <v>44</v>
      </c>
      <c r="E147" s="85">
        <v>10</v>
      </c>
      <c r="F147" s="89">
        <v>19000</v>
      </c>
      <c r="G147" s="85">
        <v>145</v>
      </c>
      <c r="H147" s="85">
        <v>44</v>
      </c>
      <c r="I147" s="85">
        <v>9</v>
      </c>
      <c r="J147" s="85">
        <v>25800</v>
      </c>
      <c r="K147" s="85">
        <v>169</v>
      </c>
      <c r="L147" s="85">
        <v>36</v>
      </c>
      <c r="M147" s="85">
        <v>9</v>
      </c>
      <c r="N147" s="85">
        <v>28000</v>
      </c>
      <c r="O147" s="118">
        <f>((IFERROR((C147*D147*E147),0)+IFERROR((G147*H147*I147),0)+IFERROR((K147*L147*M147),0))/1000000)*35.32</f>
        <v>5.6093811200000001</v>
      </c>
      <c r="P147" s="125">
        <f>Table13[[#This Row],[Column15]]*$P$2*1000</f>
        <v>33656.286719999996</v>
      </c>
      <c r="Q147" s="87">
        <f>F147+J147+N147</f>
        <v>72800</v>
      </c>
      <c r="R147" s="86">
        <f>MAX(Q147,O147)</f>
        <v>72800</v>
      </c>
      <c r="S147" s="86">
        <f>MAX(R147,P147)</f>
        <v>72800</v>
      </c>
      <c r="T147" s="156" t="str">
        <f>VLOOKUP(A147,'[1]MTP SKUs - Master Data'!$A:$B,2,FALSE)</f>
        <v>Y</v>
      </c>
      <c r="U147" s="162">
        <f>_xlfn.IFNA(VLOOKUP(Table13[[#This Row],[MTP SKU Code]],'Audit Dimensions'!A:N,6,FALSE),"ARC")</f>
        <v>18900</v>
      </c>
      <c r="V147" s="162">
        <f>IFERROR(Table13[[#This Row],[B1.Aud]]-Table13[[#This Row],[PW(gm)]],"ERR")</f>
        <v>-100</v>
      </c>
      <c r="W147" s="165">
        <f>IFERROR(Table13[[#This Row],[B1.Diff]]/Table13[[#This Row],[B1.Aud]],"ERR")</f>
        <v>-5.2910052910052907E-3</v>
      </c>
      <c r="X147" s="162">
        <f>_xlfn.IFNA(VLOOKUP(Table13[[#This Row],[MTP SKU Code]],'Audit Dimensions'!A:N,10,FALSE),"ARC")</f>
        <v>26350</v>
      </c>
      <c r="Y147" s="163">
        <f>IFERROR(Table13[[#This Row],[B2.Aud]]-Table13[[#This Row],[PW(gm)5]],"ERR")</f>
        <v>550</v>
      </c>
      <c r="Z147" s="165">
        <f>IFERROR(Table13[[#This Row],[B2.Diff]]/Table13[[#This Row],[B2.Aud]],"ERR")</f>
        <v>2.0872865275142316E-2</v>
      </c>
      <c r="AA147" s="162">
        <f>_xlfn.IFNA(VLOOKUP(Table13[[#This Row],[MTP SKU Code]],'Audit Dimensions'!A:N,14,FALSE),"ARC")</f>
        <v>32270</v>
      </c>
      <c r="AB147" s="161">
        <f>IFERROR(Table13[[#This Row],[B3.Aud]]-Table13[[#This Row],[PW(gm)9]],"ERR")</f>
        <v>4270</v>
      </c>
      <c r="AC147" s="168">
        <f>IFERROR(Table13[[#This Row],[B3.Diff]]/Table13[[#This Row],[BaLL.Aud]],"ERR")</f>
        <v>5.5082559339525286E-2</v>
      </c>
      <c r="AD147" s="189">
        <f>_xlfn.IFNA(VLOOKUP(Table13[[#This Row],[MTP SKU Code]],'Audit Dimensions'!A:U,16,FALSE),"ARC")</f>
        <v>77520</v>
      </c>
      <c r="AE147" s="165">
        <f>IFERROR(1-Table13[[#This Row],[Gms]]/Table13[[#This Row],[BaLL.Aud]],"ERR")</f>
        <v>6.0887512899896801E-2</v>
      </c>
    </row>
    <row r="148" spans="1:31" ht="12.75" customHeight="1">
      <c r="A148" s="68" t="s">
        <v>170</v>
      </c>
      <c r="B148" s="84" t="s">
        <v>48</v>
      </c>
      <c r="C148" s="85">
        <v>158</v>
      </c>
      <c r="D148" s="85">
        <v>31</v>
      </c>
      <c r="E148" s="85">
        <v>9</v>
      </c>
      <c r="F148" s="89">
        <v>18485</v>
      </c>
      <c r="G148" s="85"/>
      <c r="H148" s="85"/>
      <c r="I148" s="85"/>
      <c r="J148" s="85"/>
      <c r="K148" s="85"/>
      <c r="L148" s="85"/>
      <c r="M148" s="85"/>
      <c r="N148" s="85"/>
      <c r="O148" s="118">
        <f>((IFERROR((C148*D148*E148),0)+IFERROR((G148*H148*I148),0)+IFERROR((K148*L148*M148),0))/1000000)*35.32</f>
        <v>1.5569762400000002</v>
      </c>
      <c r="P148" s="125">
        <f>Table13[[#This Row],[Column15]]*$P$2*1000</f>
        <v>9341.8574400000016</v>
      </c>
      <c r="Q148" s="87">
        <f>F148+J148+N148</f>
        <v>18485</v>
      </c>
      <c r="R148" s="86">
        <f>MAX(Q148,O148)</f>
        <v>18485</v>
      </c>
      <c r="S148" s="86">
        <f>MAX(R148,P148)</f>
        <v>18485</v>
      </c>
      <c r="T148" s="156" t="str">
        <f>VLOOKUP(A148,'[1]MTP SKUs - Master Data'!$A:$B,2,FALSE)</f>
        <v>Y</v>
      </c>
      <c r="U148" s="162">
        <f>_xlfn.IFNA(VLOOKUP(Table13[[#This Row],[MTP SKU Code]],'Audit Dimensions'!A:N,6,FALSE),"ARC")</f>
        <v>19700</v>
      </c>
      <c r="V148" s="162">
        <f>IFERROR(Table13[[#This Row],[B1.Aud]]-Table13[[#This Row],[PW(gm)]],"ERR")</f>
        <v>1215</v>
      </c>
      <c r="W148" s="165">
        <f>IFERROR(Table13[[#This Row],[B1.Diff]]/Table13[[#This Row],[B1.Aud]],"ERR")</f>
        <v>6.1675126903553298E-2</v>
      </c>
      <c r="X148" s="162">
        <f>_xlfn.IFNA(VLOOKUP(Table13[[#This Row],[MTP SKU Code]],'Audit Dimensions'!A:N,10,FALSE),"ARC")</f>
        <v>0</v>
      </c>
      <c r="Y148" s="163">
        <f>IFERROR(Table13[[#This Row],[B2.Aud]]-Table13[[#This Row],[PW(gm)5]],"ERR")</f>
        <v>0</v>
      </c>
      <c r="Z148" s="165" t="str">
        <f>IFERROR(Table13[[#This Row],[B2.Diff]]/Table13[[#This Row],[B2.Aud]],"ERR")</f>
        <v>ERR</v>
      </c>
      <c r="AA148" s="162">
        <f>_xlfn.IFNA(VLOOKUP(Table13[[#This Row],[MTP SKU Code]],'Audit Dimensions'!A:N,14,FALSE),"ARC")</f>
        <v>0</v>
      </c>
      <c r="AB148" s="161">
        <f>IFERROR(Table13[[#This Row],[B3.Aud]]-Table13[[#This Row],[PW(gm)9]],"ERR")</f>
        <v>0</v>
      </c>
      <c r="AC148" s="168">
        <f>IFERROR(Table13[[#This Row],[B3.Diff]]/Table13[[#This Row],[BaLL.Aud]],"ERR")</f>
        <v>0</v>
      </c>
      <c r="AD148" s="189">
        <f>_xlfn.IFNA(VLOOKUP(Table13[[#This Row],[MTP SKU Code]],'Audit Dimensions'!A:U,16,FALSE),"ARC")</f>
        <v>19700</v>
      </c>
      <c r="AE148" s="165">
        <f>IFERROR(1-Table13[[#This Row],[Gms]]/Table13[[#This Row],[BaLL.Aud]],"ERR")</f>
        <v>6.1675126903553257E-2</v>
      </c>
    </row>
    <row r="149" spans="1:31" ht="14.45" customHeight="1">
      <c r="A149" s="68" t="s">
        <v>241</v>
      </c>
      <c r="B149" s="84" t="s">
        <v>48</v>
      </c>
      <c r="C149" s="85">
        <v>134</v>
      </c>
      <c r="D149" s="85">
        <v>20</v>
      </c>
      <c r="E149" s="85">
        <v>5</v>
      </c>
      <c r="F149" s="89">
        <v>3890</v>
      </c>
      <c r="G149" s="85"/>
      <c r="H149" s="85"/>
      <c r="I149" s="85"/>
      <c r="J149" s="85"/>
      <c r="K149" s="85"/>
      <c r="L149" s="85"/>
      <c r="M149" s="85"/>
      <c r="N149" s="85"/>
      <c r="O149" s="118">
        <f>((IFERROR((C149*D149*E149),0)+IFERROR((G149*H149*I149),0)+IFERROR((K149*L149*M149),0))/1000000)*35.32</f>
        <v>0.47328800000000004</v>
      </c>
      <c r="P149" s="125">
        <f>Table13[[#This Row],[Column15]]*$P$2*1000</f>
        <v>2839.7280000000001</v>
      </c>
      <c r="Q149" s="87">
        <f>F149+J149+N149</f>
        <v>3890</v>
      </c>
      <c r="R149" s="86">
        <f>MAX(Q149,O149)</f>
        <v>3890</v>
      </c>
      <c r="S149" s="86">
        <f>MAX(R149,P149)</f>
        <v>3890</v>
      </c>
      <c r="T149" s="156" t="str">
        <f>VLOOKUP(A149,'[1]MTP SKUs - Master Data'!$A:$B,2,FALSE)</f>
        <v>Y</v>
      </c>
      <c r="U149" s="162">
        <f>_xlfn.IFNA(VLOOKUP(Table13[[#This Row],[MTP SKU Code]],'Audit Dimensions'!A:N,6,FALSE),"ARC")</f>
        <v>4150</v>
      </c>
      <c r="V149" s="162">
        <f>IFERROR(Table13[[#This Row],[B1.Aud]]-Table13[[#This Row],[PW(gm)]],"ERR")</f>
        <v>260</v>
      </c>
      <c r="W149" s="165">
        <f>IFERROR(Table13[[#This Row],[B1.Diff]]/Table13[[#This Row],[B1.Aud]],"ERR")</f>
        <v>6.2650602409638559E-2</v>
      </c>
      <c r="X149" s="162">
        <f>_xlfn.IFNA(VLOOKUP(Table13[[#This Row],[MTP SKU Code]],'Audit Dimensions'!A:N,10,FALSE),"ARC")</f>
        <v>0</v>
      </c>
      <c r="Y149" s="163">
        <f>IFERROR(Table13[[#This Row],[B2.Aud]]-Table13[[#This Row],[PW(gm)5]],"ERR")</f>
        <v>0</v>
      </c>
      <c r="Z149" s="165" t="str">
        <f>IFERROR(Table13[[#This Row],[B2.Diff]]/Table13[[#This Row],[B2.Aud]],"ERR")</f>
        <v>ERR</v>
      </c>
      <c r="AA149" s="162">
        <f>_xlfn.IFNA(VLOOKUP(Table13[[#This Row],[MTP SKU Code]],'Audit Dimensions'!A:N,14,FALSE),"ARC")</f>
        <v>0</v>
      </c>
      <c r="AB149" s="161">
        <f>IFERROR(Table13[[#This Row],[B3.Aud]]-Table13[[#This Row],[PW(gm)9]],"ERR")</f>
        <v>0</v>
      </c>
      <c r="AC149" s="168">
        <f>IFERROR(Table13[[#This Row],[B3.Diff]]/Table13[[#This Row],[BaLL.Aud]],"ERR")</f>
        <v>0</v>
      </c>
      <c r="AD149" s="189">
        <f>_xlfn.IFNA(VLOOKUP(Table13[[#This Row],[MTP SKU Code]],'Audit Dimensions'!A:U,16,FALSE),"ARC")</f>
        <v>4150</v>
      </c>
      <c r="AE149" s="165">
        <f>IFERROR(1-Table13[[#This Row],[Gms]]/Table13[[#This Row],[BaLL.Aud]],"ERR")</f>
        <v>6.26506024096386E-2</v>
      </c>
    </row>
    <row r="150" spans="1:31">
      <c r="A150" s="68" t="s">
        <v>232</v>
      </c>
      <c r="B150" s="84" t="s">
        <v>48</v>
      </c>
      <c r="C150" s="85">
        <v>92</v>
      </c>
      <c r="D150" s="85">
        <v>53</v>
      </c>
      <c r="E150" s="85">
        <v>9</v>
      </c>
      <c r="F150" s="89">
        <v>19000</v>
      </c>
      <c r="G150" s="85"/>
      <c r="H150" s="85"/>
      <c r="I150" s="85"/>
      <c r="J150" s="85"/>
      <c r="K150" s="85"/>
      <c r="L150" s="85"/>
      <c r="M150" s="85"/>
      <c r="N150" s="85"/>
      <c r="O150" s="118">
        <f>((IFERROR((C150*D150*E150),0)+IFERROR((G150*H150*I150),0)+IFERROR((K150*L150*M150),0))/1000000)*35.32</f>
        <v>1.54998288</v>
      </c>
      <c r="P150" s="125">
        <f>Table13[[#This Row],[Column15]]*$P$2*1000</f>
        <v>9299.8972799999992</v>
      </c>
      <c r="Q150" s="87">
        <f>F150+J150+N150</f>
        <v>19000</v>
      </c>
      <c r="R150" s="86">
        <f>MAX(Q150,O150)</f>
        <v>19000</v>
      </c>
      <c r="S150" s="86">
        <f>MAX(R150,P150)</f>
        <v>19000</v>
      </c>
      <c r="T150" s="156" t="str">
        <f>VLOOKUP(A150,'[1]MTP SKUs - Master Data'!$A:$B,2,FALSE)</f>
        <v>Y</v>
      </c>
      <c r="U150" s="162">
        <f>_xlfn.IFNA(VLOOKUP(Table13[[#This Row],[MTP SKU Code]],'Audit Dimensions'!A:N,6,FALSE),"ARC")</f>
        <v>20270</v>
      </c>
      <c r="V150" s="162">
        <f>IFERROR(Table13[[#This Row],[B1.Aud]]-Table13[[#This Row],[PW(gm)]],"ERR")</f>
        <v>1270</v>
      </c>
      <c r="W150" s="165">
        <f>IFERROR(Table13[[#This Row],[B1.Diff]]/Table13[[#This Row],[B1.Aud]],"ERR")</f>
        <v>6.2654168722249631E-2</v>
      </c>
      <c r="X150" s="162">
        <f>_xlfn.IFNA(VLOOKUP(Table13[[#This Row],[MTP SKU Code]],'Audit Dimensions'!A:N,10,FALSE),"ARC")</f>
        <v>0</v>
      </c>
      <c r="Y150" s="163">
        <f>IFERROR(Table13[[#This Row],[B2.Aud]]-Table13[[#This Row],[PW(gm)5]],"ERR")</f>
        <v>0</v>
      </c>
      <c r="Z150" s="165" t="str">
        <f>IFERROR(Table13[[#This Row],[B2.Diff]]/Table13[[#This Row],[B2.Aud]],"ERR")</f>
        <v>ERR</v>
      </c>
      <c r="AA150" s="162">
        <f>_xlfn.IFNA(VLOOKUP(Table13[[#This Row],[MTP SKU Code]],'Audit Dimensions'!A:N,14,FALSE),"ARC")</f>
        <v>0</v>
      </c>
      <c r="AB150" s="161">
        <f>IFERROR(Table13[[#This Row],[B3.Aud]]-Table13[[#This Row],[PW(gm)9]],"ERR")</f>
        <v>0</v>
      </c>
      <c r="AC150" s="168">
        <f>IFERROR(Table13[[#This Row],[B3.Diff]]/Table13[[#This Row],[BaLL.Aud]],"ERR")</f>
        <v>0</v>
      </c>
      <c r="AD150" s="189">
        <f>_xlfn.IFNA(VLOOKUP(Table13[[#This Row],[MTP SKU Code]],'Audit Dimensions'!A:U,16,FALSE),"ARC")</f>
        <v>20270</v>
      </c>
      <c r="AE150" s="165">
        <f>IFERROR(1-Table13[[#This Row],[Gms]]/Table13[[#This Row],[BaLL.Aud]],"ERR")</f>
        <v>6.2654168722249604E-2</v>
      </c>
    </row>
    <row r="151" spans="1:31" ht="14.45" customHeight="1">
      <c r="A151" s="91" t="s">
        <v>226</v>
      </c>
      <c r="B151" s="84" t="s">
        <v>48</v>
      </c>
      <c r="C151" s="85">
        <v>106</v>
      </c>
      <c r="D151" s="85">
        <v>50</v>
      </c>
      <c r="E151" s="85">
        <v>7</v>
      </c>
      <c r="F151" s="89">
        <v>12400</v>
      </c>
      <c r="G151" s="85"/>
      <c r="H151" s="85"/>
      <c r="I151" s="85"/>
      <c r="J151" s="85"/>
      <c r="K151" s="85"/>
      <c r="L151" s="85"/>
      <c r="M151" s="85"/>
      <c r="N151" s="85"/>
      <c r="O151" s="118">
        <f>((IFERROR((C151*D151*E151),0)+IFERROR((G151*H151*I151),0)+IFERROR((K151*L151*M151),0))/1000000)*35.32</f>
        <v>1.3103720000000001</v>
      </c>
      <c r="P151" s="125">
        <f>Table13[[#This Row],[Column15]]*$P$2*1000</f>
        <v>7862.2320000000009</v>
      </c>
      <c r="Q151" s="87">
        <f>F151+J151+N151</f>
        <v>12400</v>
      </c>
      <c r="R151" s="86">
        <f>MAX(Q151,O151)</f>
        <v>12400</v>
      </c>
      <c r="S151" s="86">
        <f>MAX(R151,P151)</f>
        <v>12400</v>
      </c>
      <c r="T151" s="156" t="str">
        <f>VLOOKUP(A151,'[1]MTP SKUs - Master Data'!$A:$B,2,FALSE)</f>
        <v>Y</v>
      </c>
      <c r="U151" s="162">
        <f>_xlfn.IFNA(VLOOKUP(Table13[[#This Row],[MTP SKU Code]],'Audit Dimensions'!A:N,6,FALSE),"ARC")</f>
        <v>13250</v>
      </c>
      <c r="V151" s="162">
        <f>IFERROR(Table13[[#This Row],[B1.Aud]]-Table13[[#This Row],[PW(gm)]],"ERR")</f>
        <v>850</v>
      </c>
      <c r="W151" s="165">
        <f>IFERROR(Table13[[#This Row],[B1.Diff]]/Table13[[#This Row],[B1.Aud]],"ERR")</f>
        <v>6.4150943396226415E-2</v>
      </c>
      <c r="X151" s="162">
        <f>_xlfn.IFNA(VLOOKUP(Table13[[#This Row],[MTP SKU Code]],'Audit Dimensions'!A:N,10,FALSE),"ARC")</f>
        <v>0</v>
      </c>
      <c r="Y151" s="163">
        <f>IFERROR(Table13[[#This Row],[B2.Aud]]-Table13[[#This Row],[PW(gm)5]],"ERR")</f>
        <v>0</v>
      </c>
      <c r="Z151" s="165" t="str">
        <f>IFERROR(Table13[[#This Row],[B2.Diff]]/Table13[[#This Row],[B2.Aud]],"ERR")</f>
        <v>ERR</v>
      </c>
      <c r="AA151" s="162">
        <f>_xlfn.IFNA(VLOOKUP(Table13[[#This Row],[MTP SKU Code]],'Audit Dimensions'!A:N,14,FALSE),"ARC")</f>
        <v>0</v>
      </c>
      <c r="AB151" s="161">
        <f>IFERROR(Table13[[#This Row],[B3.Aud]]-Table13[[#This Row],[PW(gm)9]],"ERR")</f>
        <v>0</v>
      </c>
      <c r="AC151" s="168">
        <f>IFERROR(Table13[[#This Row],[B3.Diff]]/Table13[[#This Row],[BaLL.Aud]],"ERR")</f>
        <v>0</v>
      </c>
      <c r="AD151" s="189">
        <f>_xlfn.IFNA(VLOOKUP(Table13[[#This Row],[MTP SKU Code]],'Audit Dimensions'!A:U,16,FALSE),"ARC")</f>
        <v>13250</v>
      </c>
      <c r="AE151" s="165">
        <f>IFERROR(1-Table13[[#This Row],[Gms]]/Table13[[#This Row],[BaLL.Aud]],"ERR")</f>
        <v>6.4150943396226401E-2</v>
      </c>
    </row>
    <row r="152" spans="1:31">
      <c r="A152" s="68" t="s">
        <v>98</v>
      </c>
      <c r="B152" s="84" t="s">
        <v>48</v>
      </c>
      <c r="C152" s="85">
        <v>195</v>
      </c>
      <c r="D152" s="85">
        <v>40</v>
      </c>
      <c r="E152" s="85">
        <v>10</v>
      </c>
      <c r="F152" s="89">
        <v>32700</v>
      </c>
      <c r="G152" s="85">
        <v>145</v>
      </c>
      <c r="H152" s="85">
        <v>26</v>
      </c>
      <c r="I152" s="85">
        <v>10</v>
      </c>
      <c r="J152" s="85">
        <v>16000</v>
      </c>
      <c r="K152" s="85"/>
      <c r="L152" s="85"/>
      <c r="M152" s="85"/>
      <c r="N152" s="85"/>
      <c r="O152" s="118">
        <f>((IFERROR((C152*D152*E152),0)+IFERROR((G152*H152*I152),0)+IFERROR((K152*L152*M152),0))/1000000)*35.32</f>
        <v>4.0865239999999998</v>
      </c>
      <c r="P152" s="125">
        <f>Table13[[#This Row],[Column15]]*$P$2*1000</f>
        <v>24519.143999999997</v>
      </c>
      <c r="Q152" s="87">
        <f>F152+J152+N152</f>
        <v>48700</v>
      </c>
      <c r="R152" s="86">
        <f>MAX(Q152,O152)</f>
        <v>48700</v>
      </c>
      <c r="S152" s="86">
        <f>MAX(R152,P152)</f>
        <v>48700</v>
      </c>
      <c r="T152" s="156" t="str">
        <f>VLOOKUP(A152,'[1]MTP SKUs - Master Data'!$A:$B,2,FALSE)</f>
        <v>Y</v>
      </c>
      <c r="U152" s="162">
        <f>_xlfn.IFNA(VLOOKUP(Table13[[#This Row],[MTP SKU Code]],'Audit Dimensions'!A:N,6,FALSE),"ARC")</f>
        <v>32650</v>
      </c>
      <c r="V152" s="162">
        <f>IFERROR(Table13[[#This Row],[B1.Aud]]-Table13[[#This Row],[PW(gm)]],"ERR")</f>
        <v>-50</v>
      </c>
      <c r="W152" s="165">
        <f>IFERROR(Table13[[#This Row],[B1.Diff]]/Table13[[#This Row],[B1.Aud]],"ERR")</f>
        <v>-1.5313935681470138E-3</v>
      </c>
      <c r="X152" s="162">
        <f>_xlfn.IFNA(VLOOKUP(Table13[[#This Row],[MTP SKU Code]],'Audit Dimensions'!A:N,10,FALSE),"ARC")</f>
        <v>17500</v>
      </c>
      <c r="Y152" s="163">
        <f>IFERROR(Table13[[#This Row],[B2.Aud]]-Table13[[#This Row],[PW(gm)5]],"ERR")</f>
        <v>1500</v>
      </c>
      <c r="Z152" s="165">
        <f>IFERROR(Table13[[#This Row],[B2.Diff]]/Table13[[#This Row],[B2.Aud]],"ERR")</f>
        <v>8.5714285714285715E-2</v>
      </c>
      <c r="AA152" s="162">
        <f>_xlfn.IFNA(VLOOKUP(Table13[[#This Row],[MTP SKU Code]],'Audit Dimensions'!A:N,14,FALSE),"ARC")</f>
        <v>0</v>
      </c>
      <c r="AB152" s="161">
        <f>IFERROR(Table13[[#This Row],[B3.Aud]]-Table13[[#This Row],[PW(gm)9]],"ERR")</f>
        <v>0</v>
      </c>
      <c r="AC152" s="168">
        <f>IFERROR(Table13[[#This Row],[B3.Diff]]/Table13[[#This Row],[BaLL.Aud]],"ERR")</f>
        <v>0</v>
      </c>
      <c r="AD152" s="189">
        <f>_xlfn.IFNA(VLOOKUP(Table13[[#This Row],[MTP SKU Code]],'Audit Dimensions'!A:U,16,FALSE),"ARC")</f>
        <v>50150</v>
      </c>
      <c r="AE152" s="165">
        <f>IFERROR(1-Table13[[#This Row],[Gms]]/Table13[[#This Row],[BaLL.Aud]],"ERR")</f>
        <v>2.891326021934193E-2</v>
      </c>
    </row>
    <row r="153" spans="1:31" ht="14.45" customHeight="1">
      <c r="A153" s="68" t="s">
        <v>131</v>
      </c>
      <c r="B153" s="84" t="s">
        <v>48</v>
      </c>
      <c r="C153" s="85">
        <v>97</v>
      </c>
      <c r="D153" s="85">
        <v>20</v>
      </c>
      <c r="E153" s="85">
        <v>10</v>
      </c>
      <c r="F153" s="89">
        <v>8895</v>
      </c>
      <c r="G153" s="85"/>
      <c r="H153" s="85"/>
      <c r="I153" s="85"/>
      <c r="J153" s="85"/>
      <c r="K153" s="85"/>
      <c r="L153" s="85"/>
      <c r="M153" s="85"/>
      <c r="N153" s="85"/>
      <c r="O153" s="118">
        <f>((IFERROR((C153*D153*E153),0)+IFERROR((G153*H153*I153),0)+IFERROR((K153*L153*M153),0))/1000000)*35.32</f>
        <v>0.68520800000000004</v>
      </c>
      <c r="P153" s="125">
        <f>Table13[[#This Row],[Column15]]*$P$2*1000</f>
        <v>4111.2479999999996</v>
      </c>
      <c r="Q153" s="87">
        <f>F153+J153+N153</f>
        <v>8895</v>
      </c>
      <c r="R153" s="86">
        <f>MAX(Q153,O153)</f>
        <v>8895</v>
      </c>
      <c r="S153" s="86">
        <f>MAX(R153,P153)</f>
        <v>8895</v>
      </c>
      <c r="T153" s="156" t="str">
        <f>VLOOKUP(A153,'[1]MTP SKUs - Master Data'!$A:$B,2,FALSE)</f>
        <v>Y</v>
      </c>
      <c r="U153" s="162">
        <f>_xlfn.IFNA(VLOOKUP(Table13[[#This Row],[MTP SKU Code]],'Audit Dimensions'!A:N,6,FALSE),"ARC")</f>
        <v>9520</v>
      </c>
      <c r="V153" s="162">
        <f>IFERROR(Table13[[#This Row],[B1.Aud]]-Table13[[#This Row],[PW(gm)]],"ERR")</f>
        <v>625</v>
      </c>
      <c r="W153" s="165">
        <f>IFERROR(Table13[[#This Row],[B1.Diff]]/Table13[[#This Row],[B1.Aud]],"ERR")</f>
        <v>6.5651260504201683E-2</v>
      </c>
      <c r="X153" s="162">
        <f>_xlfn.IFNA(VLOOKUP(Table13[[#This Row],[MTP SKU Code]],'Audit Dimensions'!A:N,10,FALSE),"ARC")</f>
        <v>0</v>
      </c>
      <c r="Y153" s="163">
        <f>IFERROR(Table13[[#This Row],[B2.Aud]]-Table13[[#This Row],[PW(gm)5]],"ERR")</f>
        <v>0</v>
      </c>
      <c r="Z153" s="165" t="str">
        <f>IFERROR(Table13[[#This Row],[B2.Diff]]/Table13[[#This Row],[B2.Aud]],"ERR")</f>
        <v>ERR</v>
      </c>
      <c r="AA153" s="162">
        <f>_xlfn.IFNA(VLOOKUP(Table13[[#This Row],[MTP SKU Code]],'Audit Dimensions'!A:N,14,FALSE),"ARC")</f>
        <v>0</v>
      </c>
      <c r="AB153" s="161">
        <f>IFERROR(Table13[[#This Row],[B3.Aud]]-Table13[[#This Row],[PW(gm)9]],"ERR")</f>
        <v>0</v>
      </c>
      <c r="AC153" s="168">
        <f>IFERROR(Table13[[#This Row],[B3.Diff]]/Table13[[#This Row],[BaLL.Aud]],"ERR")</f>
        <v>0</v>
      </c>
      <c r="AD153" s="189">
        <f>_xlfn.IFNA(VLOOKUP(Table13[[#This Row],[MTP SKU Code]],'Audit Dimensions'!A:U,16,FALSE),"ARC")</f>
        <v>9520</v>
      </c>
      <c r="AE153" s="165">
        <f>IFERROR(1-Table13[[#This Row],[Gms]]/Table13[[#This Row],[BaLL.Aud]],"ERR")</f>
        <v>6.5651260504201669E-2</v>
      </c>
    </row>
    <row r="154" spans="1:31" ht="14.45" customHeight="1">
      <c r="A154" s="68" t="s">
        <v>160</v>
      </c>
      <c r="B154" s="84" t="s">
        <v>48</v>
      </c>
      <c r="C154" s="85">
        <v>175</v>
      </c>
      <c r="D154" s="85">
        <v>42</v>
      </c>
      <c r="E154" s="85">
        <v>6</v>
      </c>
      <c r="F154" s="89">
        <v>21430</v>
      </c>
      <c r="G154" s="85"/>
      <c r="H154" s="85"/>
      <c r="I154" s="85"/>
      <c r="J154" s="85"/>
      <c r="K154" s="85"/>
      <c r="L154" s="85"/>
      <c r="M154" s="85"/>
      <c r="N154" s="85"/>
      <c r="O154" s="118">
        <f>((IFERROR((C154*D154*E154),0)+IFERROR((G154*H154*I154),0)+IFERROR((K154*L154*M154),0))/1000000)*35.32</f>
        <v>1.557612</v>
      </c>
      <c r="P154" s="125">
        <f>Table13[[#This Row],[Column15]]*$P$2*1000</f>
        <v>9345.6720000000005</v>
      </c>
      <c r="Q154" s="87">
        <f>F154+J154+N154</f>
        <v>21430</v>
      </c>
      <c r="R154" s="86">
        <f>MAX(Q154,O154)</f>
        <v>21430</v>
      </c>
      <c r="S154" s="86">
        <f>MAX(R154,P154)</f>
        <v>21430</v>
      </c>
      <c r="T154" s="156" t="str">
        <f>VLOOKUP(A154,'[1]MTP SKUs - Master Data'!$A:$B,2,FALSE)</f>
        <v>Y</v>
      </c>
      <c r="U154" s="162">
        <f>_xlfn.IFNA(VLOOKUP(Table13[[#This Row],[MTP SKU Code]],'Audit Dimensions'!A:N,6,FALSE),"ARC")</f>
        <v>23000</v>
      </c>
      <c r="V154" s="162">
        <f>IFERROR(Table13[[#This Row],[B1.Aud]]-Table13[[#This Row],[PW(gm)]],"ERR")</f>
        <v>1570</v>
      </c>
      <c r="W154" s="165">
        <f>IFERROR(Table13[[#This Row],[B1.Diff]]/Table13[[#This Row],[B1.Aud]],"ERR")</f>
        <v>6.8260869565217389E-2</v>
      </c>
      <c r="X154" s="162">
        <f>_xlfn.IFNA(VLOOKUP(Table13[[#This Row],[MTP SKU Code]],'Audit Dimensions'!A:N,10,FALSE),"ARC")</f>
        <v>0</v>
      </c>
      <c r="Y154" s="163">
        <f>IFERROR(Table13[[#This Row],[B2.Aud]]-Table13[[#This Row],[PW(gm)5]],"ERR")</f>
        <v>0</v>
      </c>
      <c r="Z154" s="165" t="str">
        <f>IFERROR(Table13[[#This Row],[B2.Diff]]/Table13[[#This Row],[B2.Aud]],"ERR")</f>
        <v>ERR</v>
      </c>
      <c r="AA154" s="162">
        <f>_xlfn.IFNA(VLOOKUP(Table13[[#This Row],[MTP SKU Code]],'Audit Dimensions'!A:N,14,FALSE),"ARC")</f>
        <v>0</v>
      </c>
      <c r="AB154" s="161">
        <f>IFERROR(Table13[[#This Row],[B3.Aud]]-Table13[[#This Row],[PW(gm)9]],"ERR")</f>
        <v>0</v>
      </c>
      <c r="AC154" s="168">
        <f>IFERROR(Table13[[#This Row],[B3.Diff]]/Table13[[#This Row],[BaLL.Aud]],"ERR")</f>
        <v>0</v>
      </c>
      <c r="AD154" s="189">
        <f>_xlfn.IFNA(VLOOKUP(Table13[[#This Row],[MTP SKU Code]],'Audit Dimensions'!A:U,16,FALSE),"ARC")</f>
        <v>23000</v>
      </c>
      <c r="AE154" s="165">
        <f>IFERROR(1-Table13[[#This Row],[Gms]]/Table13[[#This Row],[BaLL.Aud]],"ERR")</f>
        <v>6.8260869565217375E-2</v>
      </c>
    </row>
    <row r="155" spans="1:31" ht="14.45" customHeight="1">
      <c r="A155" s="68" t="s">
        <v>194</v>
      </c>
      <c r="B155" s="84" t="s">
        <v>48</v>
      </c>
      <c r="C155" s="85">
        <v>85</v>
      </c>
      <c r="D155" s="85">
        <v>54</v>
      </c>
      <c r="E155" s="85">
        <v>11</v>
      </c>
      <c r="F155" s="89">
        <v>24500</v>
      </c>
      <c r="G155" s="85"/>
      <c r="H155" s="85"/>
      <c r="I155" s="85"/>
      <c r="J155" s="85"/>
      <c r="K155" s="85"/>
      <c r="L155" s="85"/>
      <c r="M155" s="85"/>
      <c r="N155" s="85"/>
      <c r="O155" s="118">
        <f>((IFERROR((C155*D155*E155),0)+IFERROR((G155*H155*I155),0)+IFERROR((K155*L155*M155),0))/1000000)*35.32</f>
        <v>1.7833068000000001</v>
      </c>
      <c r="P155" s="125">
        <f>Table13[[#This Row],[Column15]]*$P$2*1000</f>
        <v>10699.8408</v>
      </c>
      <c r="Q155" s="87">
        <f>F155+J155+N155</f>
        <v>24500</v>
      </c>
      <c r="R155" s="86">
        <f>MAX(Q155,O155)</f>
        <v>24500</v>
      </c>
      <c r="S155" s="86">
        <f>MAX(R155,P155)</f>
        <v>24500</v>
      </c>
      <c r="T155" s="156" t="str">
        <f>VLOOKUP(A155,'[1]MTP SKUs - Master Data'!$A:$B,2,FALSE)</f>
        <v>Y</v>
      </c>
      <c r="U155" s="162">
        <f>_xlfn.IFNA(VLOOKUP(Table13[[#This Row],[MTP SKU Code]],'Audit Dimensions'!A:N,6,FALSE),"ARC")</f>
        <v>26300</v>
      </c>
      <c r="V155" s="162">
        <f>IFERROR(Table13[[#This Row],[B1.Aud]]-Table13[[#This Row],[PW(gm)]],"ERR")</f>
        <v>1800</v>
      </c>
      <c r="W155" s="165">
        <f>IFERROR(Table13[[#This Row],[B1.Diff]]/Table13[[#This Row],[B1.Aud]],"ERR")</f>
        <v>6.8441064638783272E-2</v>
      </c>
      <c r="X155" s="162">
        <f>_xlfn.IFNA(VLOOKUP(Table13[[#This Row],[MTP SKU Code]],'Audit Dimensions'!A:N,10,FALSE),"ARC")</f>
        <v>0</v>
      </c>
      <c r="Y155" s="163">
        <f>IFERROR(Table13[[#This Row],[B2.Aud]]-Table13[[#This Row],[PW(gm)5]],"ERR")</f>
        <v>0</v>
      </c>
      <c r="Z155" s="165" t="str">
        <f>IFERROR(Table13[[#This Row],[B2.Diff]]/Table13[[#This Row],[B2.Aud]],"ERR")</f>
        <v>ERR</v>
      </c>
      <c r="AA155" s="162">
        <f>_xlfn.IFNA(VLOOKUP(Table13[[#This Row],[MTP SKU Code]],'Audit Dimensions'!A:N,14,FALSE),"ARC")</f>
        <v>0</v>
      </c>
      <c r="AB155" s="161">
        <f>IFERROR(Table13[[#This Row],[B3.Aud]]-Table13[[#This Row],[PW(gm)9]],"ERR")</f>
        <v>0</v>
      </c>
      <c r="AC155" s="168">
        <f>IFERROR(Table13[[#This Row],[B3.Diff]]/Table13[[#This Row],[BaLL.Aud]],"ERR")</f>
        <v>0</v>
      </c>
      <c r="AD155" s="189">
        <f>_xlfn.IFNA(VLOOKUP(Table13[[#This Row],[MTP SKU Code]],'Audit Dimensions'!A:U,16,FALSE),"ARC")</f>
        <v>26300</v>
      </c>
      <c r="AE155" s="165">
        <f>IFERROR(1-Table13[[#This Row],[Gms]]/Table13[[#This Row],[BaLL.Aud]],"ERR")</f>
        <v>6.84410646387833E-2</v>
      </c>
    </row>
    <row r="156" spans="1:31" ht="14.45" customHeight="1">
      <c r="A156" s="68" t="s">
        <v>161</v>
      </c>
      <c r="B156" s="84" t="s">
        <v>48</v>
      </c>
      <c r="C156" s="85">
        <v>123</v>
      </c>
      <c r="D156" s="85">
        <v>40</v>
      </c>
      <c r="E156" s="85">
        <v>9</v>
      </c>
      <c r="F156" s="89">
        <v>16000</v>
      </c>
      <c r="G156" s="85"/>
      <c r="H156" s="85"/>
      <c r="I156" s="85"/>
      <c r="J156" s="85"/>
      <c r="K156" s="85"/>
      <c r="L156" s="85"/>
      <c r="M156" s="85"/>
      <c r="N156" s="85"/>
      <c r="O156" s="118">
        <f>((IFERROR((C156*D156*E156),0)+IFERROR((G156*H156*I156),0)+IFERROR((K156*L156*M156),0))/1000000)*35.32</f>
        <v>1.5639696000000001</v>
      </c>
      <c r="P156" s="125">
        <f>Table13[[#This Row],[Column15]]*$P$2*1000</f>
        <v>9383.8176000000003</v>
      </c>
      <c r="Q156" s="87">
        <f>F156+J156+N156</f>
        <v>16000</v>
      </c>
      <c r="R156" s="86">
        <f>MAX(Q156,O156)</f>
        <v>16000</v>
      </c>
      <c r="S156" s="86">
        <f>MAX(R156,P156)</f>
        <v>16000</v>
      </c>
      <c r="T156" s="156" t="str">
        <f>VLOOKUP(A156,'[1]MTP SKUs - Master Data'!$A:$B,2,FALSE)</f>
        <v>Y</v>
      </c>
      <c r="U156" s="162">
        <f>_xlfn.IFNA(VLOOKUP(Table13[[#This Row],[MTP SKU Code]],'Audit Dimensions'!A:N,6,FALSE),"ARC")</f>
        <v>17200</v>
      </c>
      <c r="V156" s="162">
        <f>IFERROR(Table13[[#This Row],[B1.Aud]]-Table13[[#This Row],[PW(gm)]],"ERR")</f>
        <v>1200</v>
      </c>
      <c r="W156" s="165">
        <f>IFERROR(Table13[[#This Row],[B1.Diff]]/Table13[[#This Row],[B1.Aud]],"ERR")</f>
        <v>6.9767441860465115E-2</v>
      </c>
      <c r="X156" s="162">
        <f>_xlfn.IFNA(VLOOKUP(Table13[[#This Row],[MTP SKU Code]],'Audit Dimensions'!A:N,10,FALSE),"ARC")</f>
        <v>0</v>
      </c>
      <c r="Y156" s="163">
        <f>IFERROR(Table13[[#This Row],[B2.Aud]]-Table13[[#This Row],[PW(gm)5]],"ERR")</f>
        <v>0</v>
      </c>
      <c r="Z156" s="165" t="str">
        <f>IFERROR(Table13[[#This Row],[B2.Diff]]/Table13[[#This Row],[B2.Aud]],"ERR")</f>
        <v>ERR</v>
      </c>
      <c r="AA156" s="162">
        <f>_xlfn.IFNA(VLOOKUP(Table13[[#This Row],[MTP SKU Code]],'Audit Dimensions'!A:N,14,FALSE),"ARC")</f>
        <v>0</v>
      </c>
      <c r="AB156" s="161">
        <f>IFERROR(Table13[[#This Row],[B3.Aud]]-Table13[[#This Row],[PW(gm)9]],"ERR")</f>
        <v>0</v>
      </c>
      <c r="AC156" s="168">
        <f>IFERROR(Table13[[#This Row],[B3.Diff]]/Table13[[#This Row],[BaLL.Aud]],"ERR")</f>
        <v>0</v>
      </c>
      <c r="AD156" s="189">
        <f>_xlfn.IFNA(VLOOKUP(Table13[[#This Row],[MTP SKU Code]],'Audit Dimensions'!A:U,16,FALSE),"ARC")</f>
        <v>17200</v>
      </c>
      <c r="AE156" s="165">
        <f>IFERROR(1-Table13[[#This Row],[Gms]]/Table13[[#This Row],[BaLL.Aud]],"ERR")</f>
        <v>6.9767441860465129E-2</v>
      </c>
    </row>
    <row r="157" spans="1:31" ht="15" customHeight="1">
      <c r="A157" s="68" t="s">
        <v>242</v>
      </c>
      <c r="B157" s="84" t="s">
        <v>48</v>
      </c>
      <c r="C157" s="85">
        <v>144</v>
      </c>
      <c r="D157" s="85">
        <v>41</v>
      </c>
      <c r="E157" s="85">
        <v>5</v>
      </c>
      <c r="F157" s="89">
        <v>13620</v>
      </c>
      <c r="G157" s="85"/>
      <c r="H157" s="85"/>
      <c r="I157" s="85"/>
      <c r="J157" s="85"/>
      <c r="K157" s="85"/>
      <c r="L157" s="85"/>
      <c r="M157" s="85"/>
      <c r="N157" s="85"/>
      <c r="O157" s="118">
        <f>((IFERROR((C157*D157*E157),0)+IFERROR((G157*H157*I157),0)+IFERROR((K157*L157*M157),0))/1000000)*35.32</f>
        <v>1.0426464</v>
      </c>
      <c r="P157" s="125">
        <f>Table13[[#This Row],[Column15]]*$P$2*1000</f>
        <v>6255.8784000000005</v>
      </c>
      <c r="Q157" s="87">
        <f>F157+J157+N157</f>
        <v>13620</v>
      </c>
      <c r="R157" s="86">
        <f>MAX(Q157,O157)</f>
        <v>13620</v>
      </c>
      <c r="S157" s="86">
        <f>MAX(R157,P157)</f>
        <v>13620</v>
      </c>
      <c r="T157" s="156" t="str">
        <f>VLOOKUP(A157,'[1]MTP SKUs - Master Data'!$A:$B,2,FALSE)</f>
        <v>Y</v>
      </c>
      <c r="U157" s="162">
        <f>_xlfn.IFNA(VLOOKUP(Table13[[#This Row],[MTP SKU Code]],'Audit Dimensions'!A:N,6,FALSE),"ARC")</f>
        <v>14650</v>
      </c>
      <c r="V157" s="162">
        <f>IFERROR(Table13[[#This Row],[B1.Aud]]-Table13[[#This Row],[PW(gm)]],"ERR")</f>
        <v>1030</v>
      </c>
      <c r="W157" s="165">
        <f>IFERROR(Table13[[#This Row],[B1.Diff]]/Table13[[#This Row],[B1.Aud]],"ERR")</f>
        <v>7.0307167235494877E-2</v>
      </c>
      <c r="X157" s="162">
        <f>_xlfn.IFNA(VLOOKUP(Table13[[#This Row],[MTP SKU Code]],'Audit Dimensions'!A:N,10,FALSE),"ARC")</f>
        <v>0</v>
      </c>
      <c r="Y157" s="163">
        <f>IFERROR(Table13[[#This Row],[B2.Aud]]-Table13[[#This Row],[PW(gm)5]],"ERR")</f>
        <v>0</v>
      </c>
      <c r="Z157" s="165" t="str">
        <f>IFERROR(Table13[[#This Row],[B2.Diff]]/Table13[[#This Row],[B2.Aud]],"ERR")</f>
        <v>ERR</v>
      </c>
      <c r="AA157" s="162">
        <f>_xlfn.IFNA(VLOOKUP(Table13[[#This Row],[MTP SKU Code]],'Audit Dimensions'!A:N,14,FALSE),"ARC")</f>
        <v>0</v>
      </c>
      <c r="AB157" s="161">
        <f>IFERROR(Table13[[#This Row],[B3.Aud]]-Table13[[#This Row],[PW(gm)9]],"ERR")</f>
        <v>0</v>
      </c>
      <c r="AC157" s="168">
        <f>IFERROR(Table13[[#This Row],[B3.Diff]]/Table13[[#This Row],[BaLL.Aud]],"ERR")</f>
        <v>0</v>
      </c>
      <c r="AD157" s="189">
        <f>_xlfn.IFNA(VLOOKUP(Table13[[#This Row],[MTP SKU Code]],'Audit Dimensions'!A:U,16,FALSE),"ARC")</f>
        <v>14650</v>
      </c>
      <c r="AE157" s="165">
        <f>IFERROR(1-Table13[[#This Row],[Gms]]/Table13[[#This Row],[BaLL.Aud]],"ERR")</f>
        <v>7.0307167235494905E-2</v>
      </c>
    </row>
    <row r="158" spans="1:31" ht="14.45" customHeight="1">
      <c r="A158" s="90" t="s">
        <v>150</v>
      </c>
      <c r="B158" s="84" t="s">
        <v>48</v>
      </c>
      <c r="C158" s="85">
        <v>153</v>
      </c>
      <c r="D158" s="85">
        <v>43</v>
      </c>
      <c r="E158" s="85">
        <v>9</v>
      </c>
      <c r="F158" s="89">
        <v>27630</v>
      </c>
      <c r="G158" s="85"/>
      <c r="H158" s="85"/>
      <c r="I158" s="85"/>
      <c r="J158" s="85"/>
      <c r="K158" s="85"/>
      <c r="L158" s="85"/>
      <c r="M158" s="85"/>
      <c r="N158" s="85"/>
      <c r="O158" s="118">
        <f>((IFERROR((C158*D158*E158),0)+IFERROR((G158*H158*I158),0)+IFERROR((K158*L158*M158),0))/1000000)*35.32</f>
        <v>2.0913325199999999</v>
      </c>
      <c r="P158" s="125">
        <f>Table13[[#This Row],[Column15]]*$P$2*1000</f>
        <v>12547.99512</v>
      </c>
      <c r="Q158" s="87">
        <f>F158+J158+N158</f>
        <v>27630</v>
      </c>
      <c r="R158" s="86">
        <f>MAX(Q158,O158)</f>
        <v>27630</v>
      </c>
      <c r="S158" s="86">
        <f>MAX(R158,P158)</f>
        <v>27630</v>
      </c>
      <c r="T158" s="156" t="str">
        <f>VLOOKUP(A158,'[1]MTP SKUs - Master Data'!$A:$B,2,FALSE)</f>
        <v>Y</v>
      </c>
      <c r="U158" s="162">
        <f>_xlfn.IFNA(VLOOKUP(Table13[[#This Row],[MTP SKU Code]],'Audit Dimensions'!A:N,6,FALSE),"ARC")</f>
        <v>29750</v>
      </c>
      <c r="V158" s="162">
        <f>IFERROR(Table13[[#This Row],[B1.Aud]]-Table13[[#This Row],[PW(gm)]],"ERR")</f>
        <v>2120</v>
      </c>
      <c r="W158" s="165">
        <f>IFERROR(Table13[[#This Row],[B1.Diff]]/Table13[[#This Row],[B1.Aud]],"ERR")</f>
        <v>7.1260504201680674E-2</v>
      </c>
      <c r="X158" s="162">
        <f>_xlfn.IFNA(VLOOKUP(Table13[[#This Row],[MTP SKU Code]],'Audit Dimensions'!A:N,10,FALSE),"ARC")</f>
        <v>0</v>
      </c>
      <c r="Y158" s="163">
        <f>IFERROR(Table13[[#This Row],[B2.Aud]]-Table13[[#This Row],[PW(gm)5]],"ERR")</f>
        <v>0</v>
      </c>
      <c r="Z158" s="165" t="str">
        <f>IFERROR(Table13[[#This Row],[B2.Diff]]/Table13[[#This Row],[B2.Aud]],"ERR")</f>
        <v>ERR</v>
      </c>
      <c r="AA158" s="162">
        <f>_xlfn.IFNA(VLOOKUP(Table13[[#This Row],[MTP SKU Code]],'Audit Dimensions'!A:N,14,FALSE),"ARC")</f>
        <v>0</v>
      </c>
      <c r="AB158" s="161">
        <f>IFERROR(Table13[[#This Row],[B3.Aud]]-Table13[[#This Row],[PW(gm)9]],"ERR")</f>
        <v>0</v>
      </c>
      <c r="AC158" s="168">
        <f>IFERROR(Table13[[#This Row],[B3.Diff]]/Table13[[#This Row],[BaLL.Aud]],"ERR")</f>
        <v>0</v>
      </c>
      <c r="AD158" s="189">
        <f>_xlfn.IFNA(VLOOKUP(Table13[[#This Row],[MTP SKU Code]],'Audit Dimensions'!A:U,16,FALSE),"ARC")</f>
        <v>29750</v>
      </c>
      <c r="AE158" s="165">
        <f>IFERROR(1-Table13[[#This Row],[Gms]]/Table13[[#This Row],[BaLL.Aud]],"ERR")</f>
        <v>7.1260504201680619E-2</v>
      </c>
    </row>
    <row r="159" spans="1:31" ht="14.45" customHeight="1">
      <c r="A159" s="91" t="s">
        <v>130</v>
      </c>
      <c r="B159" s="84" t="s">
        <v>48</v>
      </c>
      <c r="C159" s="85">
        <v>100</v>
      </c>
      <c r="D159" s="85">
        <v>53</v>
      </c>
      <c r="E159" s="85">
        <v>9</v>
      </c>
      <c r="F159" s="89">
        <v>28500</v>
      </c>
      <c r="G159" s="85"/>
      <c r="H159" s="85"/>
      <c r="I159" s="85"/>
      <c r="J159" s="85"/>
      <c r="K159" s="85"/>
      <c r="L159" s="85"/>
      <c r="M159" s="85"/>
      <c r="N159" s="85"/>
      <c r="O159" s="118">
        <f>((IFERROR((C159*D159*E159),0)+IFERROR((G159*H159*I159),0)+IFERROR((K159*L159*M159),0))/1000000)*35.32</f>
        <v>1.6847639999999999</v>
      </c>
      <c r="P159" s="125">
        <f>Table13[[#This Row],[Column15]]*$P$2*1000</f>
        <v>10108.584000000001</v>
      </c>
      <c r="Q159" s="87">
        <f>F159+J159+N159</f>
        <v>28500</v>
      </c>
      <c r="R159" s="86">
        <f>MAX(Q159,O159)</f>
        <v>28500</v>
      </c>
      <c r="S159" s="86">
        <f>MAX(R159,P159)</f>
        <v>28500</v>
      </c>
      <c r="T159" s="156" t="str">
        <f>VLOOKUP(A159,'[1]MTP SKUs - Master Data'!$A:$B,2,FALSE)</f>
        <v>Y</v>
      </c>
      <c r="U159" s="162">
        <f>_xlfn.IFNA(VLOOKUP(Table13[[#This Row],[MTP SKU Code]],'Audit Dimensions'!A:N,6,FALSE),"ARC")</f>
        <v>30770</v>
      </c>
      <c r="V159" s="162">
        <f>IFERROR(Table13[[#This Row],[B1.Aud]]-Table13[[#This Row],[PW(gm)]],"ERR")</f>
        <v>2270</v>
      </c>
      <c r="W159" s="165">
        <f>IFERROR(Table13[[#This Row],[B1.Diff]]/Table13[[#This Row],[B1.Aud]],"ERR")</f>
        <v>7.3773155671108218E-2</v>
      </c>
      <c r="X159" s="162">
        <f>_xlfn.IFNA(VLOOKUP(Table13[[#This Row],[MTP SKU Code]],'Audit Dimensions'!A:N,10,FALSE),"ARC")</f>
        <v>0</v>
      </c>
      <c r="Y159" s="163">
        <f>IFERROR(Table13[[#This Row],[B2.Aud]]-Table13[[#This Row],[PW(gm)5]],"ERR")</f>
        <v>0</v>
      </c>
      <c r="Z159" s="165" t="str">
        <f>IFERROR(Table13[[#This Row],[B2.Diff]]/Table13[[#This Row],[B2.Aud]],"ERR")</f>
        <v>ERR</v>
      </c>
      <c r="AA159" s="162">
        <f>_xlfn.IFNA(VLOOKUP(Table13[[#This Row],[MTP SKU Code]],'Audit Dimensions'!A:N,14,FALSE),"ARC")</f>
        <v>0</v>
      </c>
      <c r="AB159" s="161">
        <f>IFERROR(Table13[[#This Row],[B3.Aud]]-Table13[[#This Row],[PW(gm)9]],"ERR")</f>
        <v>0</v>
      </c>
      <c r="AC159" s="168">
        <f>IFERROR(Table13[[#This Row],[B3.Diff]]/Table13[[#This Row],[BaLL.Aud]],"ERR")</f>
        <v>0</v>
      </c>
      <c r="AD159" s="189">
        <f>_xlfn.IFNA(VLOOKUP(Table13[[#This Row],[MTP SKU Code]],'Audit Dimensions'!A:U,16,FALSE),"ARC")</f>
        <v>30770</v>
      </c>
      <c r="AE159" s="165">
        <f>IFERROR(1-Table13[[#This Row],[Gms]]/Table13[[#This Row],[BaLL.Aud]],"ERR")</f>
        <v>7.3773155671108204E-2</v>
      </c>
    </row>
    <row r="160" spans="1:31">
      <c r="A160" s="68" t="s">
        <v>225</v>
      </c>
      <c r="B160" s="84" t="s">
        <v>48</v>
      </c>
      <c r="C160" s="85">
        <v>148</v>
      </c>
      <c r="D160" s="85">
        <v>40</v>
      </c>
      <c r="E160" s="85">
        <v>12</v>
      </c>
      <c r="F160" s="89">
        <v>33500</v>
      </c>
      <c r="G160" s="85"/>
      <c r="H160" s="85"/>
      <c r="I160" s="85"/>
      <c r="J160" s="85"/>
      <c r="K160" s="85"/>
      <c r="L160" s="85"/>
      <c r="M160" s="85"/>
      <c r="N160" s="85"/>
      <c r="O160" s="118">
        <f>((IFERROR((C160*D160*E160),0)+IFERROR((G160*H160*I160),0)+IFERROR((K160*L160*M160),0))/1000000)*35.32</f>
        <v>2.5091328000000002</v>
      </c>
      <c r="P160" s="125">
        <f>Table13[[#This Row],[Column15]]*$P$2*1000</f>
        <v>15054.796800000002</v>
      </c>
      <c r="Q160" s="87">
        <f>F160+J160+N160</f>
        <v>33500</v>
      </c>
      <c r="R160" s="86">
        <f>MAX(Q160,O160)</f>
        <v>33500</v>
      </c>
      <c r="S160" s="86">
        <f>MAX(R160,P160)</f>
        <v>33500</v>
      </c>
      <c r="T160" s="156" t="str">
        <f>VLOOKUP(A160,'[1]MTP SKUs - Master Data'!$A:$B,2,FALSE)</f>
        <v>Y</v>
      </c>
      <c r="U160" s="162">
        <f>_xlfn.IFNA(VLOOKUP(Table13[[#This Row],[MTP SKU Code]],'Audit Dimensions'!A:N,6,FALSE),"ARC")</f>
        <v>36200</v>
      </c>
      <c r="V160" s="162">
        <f>IFERROR(Table13[[#This Row],[B1.Aud]]-Table13[[#This Row],[PW(gm)]],"ERR")</f>
        <v>2700</v>
      </c>
      <c r="W160" s="165">
        <f>IFERROR(Table13[[#This Row],[B1.Diff]]/Table13[[#This Row],[B1.Aud]],"ERR")</f>
        <v>7.4585635359116026E-2</v>
      </c>
      <c r="X160" s="162">
        <f>_xlfn.IFNA(VLOOKUP(Table13[[#This Row],[MTP SKU Code]],'Audit Dimensions'!A:N,10,FALSE),"ARC")</f>
        <v>0</v>
      </c>
      <c r="Y160" s="163">
        <f>IFERROR(Table13[[#This Row],[B2.Aud]]-Table13[[#This Row],[PW(gm)5]],"ERR")</f>
        <v>0</v>
      </c>
      <c r="Z160" s="165" t="str">
        <f>IFERROR(Table13[[#This Row],[B2.Diff]]/Table13[[#This Row],[B2.Aud]],"ERR")</f>
        <v>ERR</v>
      </c>
      <c r="AA160" s="162">
        <f>_xlfn.IFNA(VLOOKUP(Table13[[#This Row],[MTP SKU Code]],'Audit Dimensions'!A:N,14,FALSE),"ARC")</f>
        <v>0</v>
      </c>
      <c r="AB160" s="161">
        <f>IFERROR(Table13[[#This Row],[B3.Aud]]-Table13[[#This Row],[PW(gm)9]],"ERR")</f>
        <v>0</v>
      </c>
      <c r="AC160" s="168">
        <f>IFERROR(Table13[[#This Row],[B3.Diff]]/Table13[[#This Row],[BaLL.Aud]],"ERR")</f>
        <v>0</v>
      </c>
      <c r="AD160" s="189">
        <f>_xlfn.IFNA(VLOOKUP(Table13[[#This Row],[MTP SKU Code]],'Audit Dimensions'!A:U,16,FALSE),"ARC")</f>
        <v>36200</v>
      </c>
      <c r="AE160" s="165">
        <f>IFERROR(1-Table13[[#This Row],[Gms]]/Table13[[#This Row],[BaLL.Aud]],"ERR")</f>
        <v>7.4585635359115998E-2</v>
      </c>
    </row>
    <row r="161" spans="1:31" ht="14.45" customHeight="1">
      <c r="A161" s="68" t="s">
        <v>200</v>
      </c>
      <c r="B161" s="84" t="s">
        <v>48</v>
      </c>
      <c r="C161" s="85">
        <v>72</v>
      </c>
      <c r="D161" s="85">
        <v>39</v>
      </c>
      <c r="E161" s="85">
        <v>5</v>
      </c>
      <c r="F161" s="89">
        <v>6470</v>
      </c>
      <c r="G161" s="85"/>
      <c r="H161" s="85"/>
      <c r="I161" s="85"/>
      <c r="J161" s="85"/>
      <c r="K161" s="85"/>
      <c r="L161" s="85"/>
      <c r="M161" s="85"/>
      <c r="N161" s="85"/>
      <c r="O161" s="118">
        <f>((IFERROR((C161*D161*E161),0)+IFERROR((G161*H161*I161),0)+IFERROR((K161*L161*M161),0))/1000000)*35.32</f>
        <v>0.49589280000000002</v>
      </c>
      <c r="P161" s="125">
        <f>Table13[[#This Row],[Column15]]*$P$2*1000</f>
        <v>2975.3568</v>
      </c>
      <c r="Q161" s="87">
        <f>F161+J161+N161</f>
        <v>6470</v>
      </c>
      <c r="R161" s="86">
        <f>MAX(Q161,O161)</f>
        <v>6470</v>
      </c>
      <c r="S161" s="86">
        <f>MAX(R161,P161)</f>
        <v>6470</v>
      </c>
      <c r="T161" s="156" t="str">
        <f>VLOOKUP(A161,'[1]MTP SKUs - Master Data'!$A:$B,2,FALSE)</f>
        <v>Y</v>
      </c>
      <c r="U161" s="162">
        <f>_xlfn.IFNA(VLOOKUP(Table13[[#This Row],[MTP SKU Code]],'Audit Dimensions'!A:N,6,FALSE),"ARC")</f>
        <v>7000</v>
      </c>
      <c r="V161" s="162">
        <f>IFERROR(Table13[[#This Row],[B1.Aud]]-Table13[[#This Row],[PW(gm)]],"ERR")</f>
        <v>530</v>
      </c>
      <c r="W161" s="165">
        <f>IFERROR(Table13[[#This Row],[B1.Diff]]/Table13[[#This Row],[B1.Aud]],"ERR")</f>
        <v>7.571428571428572E-2</v>
      </c>
      <c r="X161" s="162">
        <f>_xlfn.IFNA(VLOOKUP(Table13[[#This Row],[MTP SKU Code]],'Audit Dimensions'!A:N,10,FALSE),"ARC")</f>
        <v>0</v>
      </c>
      <c r="Y161" s="163">
        <f>IFERROR(Table13[[#This Row],[B2.Aud]]-Table13[[#This Row],[PW(gm)5]],"ERR")</f>
        <v>0</v>
      </c>
      <c r="Z161" s="165" t="str">
        <f>IFERROR(Table13[[#This Row],[B2.Diff]]/Table13[[#This Row],[B2.Aud]],"ERR")</f>
        <v>ERR</v>
      </c>
      <c r="AA161" s="162">
        <f>_xlfn.IFNA(VLOOKUP(Table13[[#This Row],[MTP SKU Code]],'Audit Dimensions'!A:N,14,FALSE),"ARC")</f>
        <v>0</v>
      </c>
      <c r="AB161" s="161">
        <f>IFERROR(Table13[[#This Row],[B3.Aud]]-Table13[[#This Row],[PW(gm)9]],"ERR")</f>
        <v>0</v>
      </c>
      <c r="AC161" s="168">
        <f>IFERROR(Table13[[#This Row],[B3.Diff]]/Table13[[#This Row],[BaLL.Aud]],"ERR")</f>
        <v>0</v>
      </c>
      <c r="AD161" s="189">
        <f>_xlfn.IFNA(VLOOKUP(Table13[[#This Row],[MTP SKU Code]],'Audit Dimensions'!A:U,16,FALSE),"ARC")</f>
        <v>7000</v>
      </c>
      <c r="AE161" s="165">
        <f>IFERROR(1-Table13[[#This Row],[Gms]]/Table13[[#This Row],[BaLL.Aud]],"ERR")</f>
        <v>7.5714285714285734E-2</v>
      </c>
    </row>
    <row r="162" spans="1:31" ht="14.45" customHeight="1">
      <c r="A162" s="68" t="s">
        <v>158</v>
      </c>
      <c r="B162" s="84" t="s">
        <v>48</v>
      </c>
      <c r="C162" s="85">
        <v>85</v>
      </c>
      <c r="D162" s="85">
        <v>58</v>
      </c>
      <c r="E162" s="85">
        <v>4</v>
      </c>
      <c r="F162" s="89">
        <v>7000</v>
      </c>
      <c r="G162" s="85"/>
      <c r="H162" s="85"/>
      <c r="I162" s="85"/>
      <c r="J162" s="85"/>
      <c r="K162" s="85"/>
      <c r="L162" s="85"/>
      <c r="M162" s="85"/>
      <c r="N162" s="85"/>
      <c r="O162" s="118">
        <f>((IFERROR((C162*D162*E162),0)+IFERROR((G162*H162*I162),0)+IFERROR((K162*L162*M162),0))/1000000)*35.32</f>
        <v>0.69651040000000009</v>
      </c>
      <c r="P162" s="125">
        <f>Table13[[#This Row],[Column15]]*$P$2*1000</f>
        <v>4179.0624000000007</v>
      </c>
      <c r="Q162" s="87">
        <f>F162+J162+N162</f>
        <v>7000</v>
      </c>
      <c r="R162" s="86">
        <f>MAX(Q162,O162)</f>
        <v>7000</v>
      </c>
      <c r="S162" s="86">
        <f>MAX(R162,P162)</f>
        <v>7000</v>
      </c>
      <c r="T162" s="156" t="str">
        <f>VLOOKUP(A162,'[1]MTP SKUs - Master Data'!$A:$B,2,FALSE)</f>
        <v>Y</v>
      </c>
      <c r="U162" s="162">
        <f>_xlfn.IFNA(VLOOKUP(Table13[[#This Row],[MTP SKU Code]],'Audit Dimensions'!A:N,6,FALSE),"ARC")</f>
        <v>7590</v>
      </c>
      <c r="V162" s="162">
        <f>IFERROR(Table13[[#This Row],[B1.Aud]]-Table13[[#This Row],[PW(gm)]],"ERR")</f>
        <v>590</v>
      </c>
      <c r="W162" s="165">
        <f>IFERROR(Table13[[#This Row],[B1.Diff]]/Table13[[#This Row],[B1.Aud]],"ERR")</f>
        <v>7.7733860342555999E-2</v>
      </c>
      <c r="X162" s="162">
        <f>_xlfn.IFNA(VLOOKUP(Table13[[#This Row],[MTP SKU Code]],'Audit Dimensions'!A:N,10,FALSE),"ARC")</f>
        <v>0</v>
      </c>
      <c r="Y162" s="163">
        <f>IFERROR(Table13[[#This Row],[B2.Aud]]-Table13[[#This Row],[PW(gm)5]],"ERR")</f>
        <v>0</v>
      </c>
      <c r="Z162" s="165" t="str">
        <f>IFERROR(Table13[[#This Row],[B2.Diff]]/Table13[[#This Row],[B2.Aud]],"ERR")</f>
        <v>ERR</v>
      </c>
      <c r="AA162" s="162">
        <f>_xlfn.IFNA(VLOOKUP(Table13[[#This Row],[MTP SKU Code]],'Audit Dimensions'!A:N,14,FALSE),"ARC")</f>
        <v>0</v>
      </c>
      <c r="AB162" s="161">
        <f>IFERROR(Table13[[#This Row],[B3.Aud]]-Table13[[#This Row],[PW(gm)9]],"ERR")</f>
        <v>0</v>
      </c>
      <c r="AC162" s="168">
        <f>IFERROR(Table13[[#This Row],[B3.Diff]]/Table13[[#This Row],[BaLL.Aud]],"ERR")</f>
        <v>0</v>
      </c>
      <c r="AD162" s="189">
        <f>_xlfn.IFNA(VLOOKUP(Table13[[#This Row],[MTP SKU Code]],'Audit Dimensions'!A:U,16,FALSE),"ARC")</f>
        <v>7590</v>
      </c>
      <c r="AE162" s="165">
        <f>IFERROR(1-Table13[[#This Row],[Gms]]/Table13[[#This Row],[BaLL.Aud]],"ERR")</f>
        <v>7.7733860342556027E-2</v>
      </c>
    </row>
    <row r="163" spans="1:31" ht="14.45" customHeight="1">
      <c r="A163" s="68" t="s">
        <v>154</v>
      </c>
      <c r="B163" s="84" t="s">
        <v>48</v>
      </c>
      <c r="C163" s="84">
        <v>1</v>
      </c>
      <c r="D163" s="85">
        <v>1</v>
      </c>
      <c r="E163" s="85">
        <v>1</v>
      </c>
      <c r="F163" s="89">
        <v>34600</v>
      </c>
      <c r="G163" s="85"/>
      <c r="H163" s="85"/>
      <c r="I163" s="85"/>
      <c r="J163" s="85"/>
      <c r="K163" s="85"/>
      <c r="L163" s="85"/>
      <c r="M163" s="85"/>
      <c r="N163" s="85"/>
      <c r="O163" s="118">
        <f>((IFERROR((C163*D163*E163),0)+IFERROR((G163*H163*I163),0)+IFERROR((K163*L163*M163),0))/1000000)*35.32</f>
        <v>3.5320000000000001E-5</v>
      </c>
      <c r="P163" s="125">
        <f>Table13[[#This Row],[Column15]]*$P$2*1000</f>
        <v>0.21192</v>
      </c>
      <c r="Q163" s="87">
        <f>F163+J163+N163</f>
        <v>34600</v>
      </c>
      <c r="R163" s="88">
        <f>MAX(Q163,O163)</f>
        <v>34600</v>
      </c>
      <c r="S163" s="86">
        <f>MAX(R163,P163)</f>
        <v>34600</v>
      </c>
      <c r="T163" s="156" t="str">
        <f>VLOOKUP(A163,'[1]MTP SKUs - Master Data'!$A:$B,2,FALSE)</f>
        <v>Y</v>
      </c>
      <c r="U163" s="162">
        <f>_xlfn.IFNA(VLOOKUP(Table13[[#This Row],[MTP SKU Code]],'Audit Dimensions'!A:N,6,FALSE),"ARC")</f>
        <v>37570</v>
      </c>
      <c r="V163" s="162">
        <f>IFERROR(Table13[[#This Row],[B1.Aud]]-Table13[[#This Row],[PW(gm)]],"ERR")</f>
        <v>2970</v>
      </c>
      <c r="W163" s="165">
        <f>IFERROR(Table13[[#This Row],[B1.Diff]]/Table13[[#This Row],[B1.Aud]],"ERR")</f>
        <v>7.9052435453819542E-2</v>
      </c>
      <c r="X163" s="162">
        <f>_xlfn.IFNA(VLOOKUP(Table13[[#This Row],[MTP SKU Code]],'Audit Dimensions'!A:N,10,FALSE),"ARC")</f>
        <v>0</v>
      </c>
      <c r="Y163" s="163">
        <f>IFERROR(Table13[[#This Row],[B2.Aud]]-Table13[[#This Row],[PW(gm)5]],"ERR")</f>
        <v>0</v>
      </c>
      <c r="Z163" s="165" t="str">
        <f>IFERROR(Table13[[#This Row],[B2.Diff]]/Table13[[#This Row],[B2.Aud]],"ERR")</f>
        <v>ERR</v>
      </c>
      <c r="AA163" s="162">
        <f>_xlfn.IFNA(VLOOKUP(Table13[[#This Row],[MTP SKU Code]],'Audit Dimensions'!A:N,14,FALSE),"ARC")</f>
        <v>0</v>
      </c>
      <c r="AB163" s="161">
        <f>IFERROR(Table13[[#This Row],[B3.Aud]]-Table13[[#This Row],[PW(gm)9]],"ERR")</f>
        <v>0</v>
      </c>
      <c r="AC163" s="168">
        <f>IFERROR(Table13[[#This Row],[B3.Diff]]/Table13[[#This Row],[BaLL.Aud]],"ERR")</f>
        <v>0</v>
      </c>
      <c r="AD163" s="189">
        <f>_xlfn.IFNA(VLOOKUP(Table13[[#This Row],[MTP SKU Code]],'Audit Dimensions'!A:U,16,FALSE),"ARC")</f>
        <v>37570</v>
      </c>
      <c r="AE163" s="165">
        <f>IFERROR(1-Table13[[#This Row],[Gms]]/Table13[[#This Row],[BaLL.Aud]],"ERR")</f>
        <v>7.9052435453819569E-2</v>
      </c>
    </row>
    <row r="164" spans="1:31">
      <c r="A164" s="68" t="s">
        <v>181</v>
      </c>
      <c r="B164" s="84" t="s">
        <v>48</v>
      </c>
      <c r="C164" s="85">
        <v>94</v>
      </c>
      <c r="D164" s="85">
        <v>36</v>
      </c>
      <c r="E164" s="85">
        <v>6</v>
      </c>
      <c r="F164" s="89">
        <v>5890</v>
      </c>
      <c r="G164" s="85"/>
      <c r="H164" s="85"/>
      <c r="I164" s="85"/>
      <c r="J164" s="85"/>
      <c r="K164" s="85"/>
      <c r="L164" s="85"/>
      <c r="M164" s="85"/>
      <c r="N164" s="85"/>
      <c r="O164" s="118">
        <f>((IFERROR((C164*D164*E164),0)+IFERROR((G164*H164*I164),0)+IFERROR((K164*L164*M164),0))/1000000)*35.32</f>
        <v>0.71713727999999999</v>
      </c>
      <c r="P164" s="125">
        <f>Table13[[#This Row],[Column15]]*$P$2*1000</f>
        <v>4302.8236799999995</v>
      </c>
      <c r="Q164" s="87">
        <f>F164+J164+N164</f>
        <v>5890</v>
      </c>
      <c r="R164" s="86">
        <f>MAX(Q164,O164)</f>
        <v>5890</v>
      </c>
      <c r="S164" s="86">
        <f>MAX(R164,P164)</f>
        <v>5890</v>
      </c>
      <c r="T164" s="156" t="str">
        <f>VLOOKUP(A164,'[1]MTP SKUs - Master Data'!$A:$B,2,FALSE)</f>
        <v>Y</v>
      </c>
      <c r="U164" s="162">
        <f>_xlfn.IFNA(VLOOKUP(Table13[[#This Row],[MTP SKU Code]],'Audit Dimensions'!A:N,6,FALSE),"ARC")</f>
        <v>6400</v>
      </c>
      <c r="V164" s="162">
        <f>IFERROR(Table13[[#This Row],[B1.Aud]]-Table13[[#This Row],[PW(gm)]],"ERR")</f>
        <v>510</v>
      </c>
      <c r="W164" s="165">
        <f>IFERROR(Table13[[#This Row],[B1.Diff]]/Table13[[#This Row],[B1.Aud]],"ERR")</f>
        <v>7.9687499999999994E-2</v>
      </c>
      <c r="X164" s="162">
        <f>_xlfn.IFNA(VLOOKUP(Table13[[#This Row],[MTP SKU Code]],'Audit Dimensions'!A:N,10,FALSE),"ARC")</f>
        <v>0</v>
      </c>
      <c r="Y164" s="163">
        <f>IFERROR(Table13[[#This Row],[B2.Aud]]-Table13[[#This Row],[PW(gm)5]],"ERR")</f>
        <v>0</v>
      </c>
      <c r="Z164" s="165" t="str">
        <f>IFERROR(Table13[[#This Row],[B2.Diff]]/Table13[[#This Row],[B2.Aud]],"ERR")</f>
        <v>ERR</v>
      </c>
      <c r="AA164" s="162">
        <f>_xlfn.IFNA(VLOOKUP(Table13[[#This Row],[MTP SKU Code]],'Audit Dimensions'!A:N,14,FALSE),"ARC")</f>
        <v>0</v>
      </c>
      <c r="AB164" s="161">
        <f>IFERROR(Table13[[#This Row],[B3.Aud]]-Table13[[#This Row],[PW(gm)9]],"ERR")</f>
        <v>0</v>
      </c>
      <c r="AC164" s="168">
        <f>IFERROR(Table13[[#This Row],[B3.Diff]]/Table13[[#This Row],[BaLL.Aud]],"ERR")</f>
        <v>0</v>
      </c>
      <c r="AD164" s="189">
        <f>_xlfn.IFNA(VLOOKUP(Table13[[#This Row],[MTP SKU Code]],'Audit Dimensions'!A:U,16,FALSE),"ARC")</f>
        <v>6400</v>
      </c>
      <c r="AE164" s="165">
        <f>IFERROR(1-Table13[[#This Row],[Gms]]/Table13[[#This Row],[BaLL.Aud]],"ERR")</f>
        <v>7.9687500000000022E-2</v>
      </c>
    </row>
    <row r="165" spans="1:31" ht="14.45" customHeight="1">
      <c r="A165" s="68" t="s">
        <v>178</v>
      </c>
      <c r="B165" s="84" t="s">
        <v>48</v>
      </c>
      <c r="C165" s="85">
        <v>144</v>
      </c>
      <c r="D165" s="85">
        <v>42</v>
      </c>
      <c r="E165" s="85">
        <v>10</v>
      </c>
      <c r="F165" s="89">
        <v>27500</v>
      </c>
      <c r="G165" s="85"/>
      <c r="H165" s="85"/>
      <c r="I165" s="85"/>
      <c r="J165" s="85"/>
      <c r="K165" s="85"/>
      <c r="L165" s="85"/>
      <c r="M165" s="85"/>
      <c r="N165" s="85"/>
      <c r="O165" s="118">
        <f>((IFERROR((C165*D165*E165),0)+IFERROR((G165*H165*I165),0)+IFERROR((K165*L165*M165),0))/1000000)*35.32</f>
        <v>2.1361536000000001</v>
      </c>
      <c r="P165" s="125">
        <f>Table13[[#This Row],[Column15]]*$P$2*1000</f>
        <v>12816.921600000001</v>
      </c>
      <c r="Q165" s="87">
        <f>F165+J165+N165</f>
        <v>27500</v>
      </c>
      <c r="R165" s="86">
        <f>MAX(Q165,O165)</f>
        <v>27500</v>
      </c>
      <c r="S165" s="86">
        <f>MAX(R165,P165)</f>
        <v>27500</v>
      </c>
      <c r="T165" s="156" t="str">
        <f>VLOOKUP(A165,'[1]MTP SKUs - Master Data'!$A:$B,2,FALSE)</f>
        <v>Y</v>
      </c>
      <c r="U165" s="162">
        <f>_xlfn.IFNA(VLOOKUP(Table13[[#This Row],[MTP SKU Code]],'Audit Dimensions'!A:N,6,FALSE),"ARC")</f>
        <v>29940</v>
      </c>
      <c r="V165" s="162">
        <f>IFERROR(Table13[[#This Row],[B1.Aud]]-Table13[[#This Row],[PW(gm)]],"ERR")</f>
        <v>2440</v>
      </c>
      <c r="W165" s="165">
        <f>IFERROR(Table13[[#This Row],[B1.Diff]]/Table13[[#This Row],[B1.Aud]],"ERR")</f>
        <v>8.1496325985303944E-2</v>
      </c>
      <c r="X165" s="162">
        <f>_xlfn.IFNA(VLOOKUP(Table13[[#This Row],[MTP SKU Code]],'Audit Dimensions'!A:N,10,FALSE),"ARC")</f>
        <v>0</v>
      </c>
      <c r="Y165" s="163">
        <f>IFERROR(Table13[[#This Row],[B2.Aud]]-Table13[[#This Row],[PW(gm)5]],"ERR")</f>
        <v>0</v>
      </c>
      <c r="Z165" s="165" t="str">
        <f>IFERROR(Table13[[#This Row],[B2.Diff]]/Table13[[#This Row],[B2.Aud]],"ERR")</f>
        <v>ERR</v>
      </c>
      <c r="AA165" s="162">
        <f>_xlfn.IFNA(VLOOKUP(Table13[[#This Row],[MTP SKU Code]],'Audit Dimensions'!A:N,14,FALSE),"ARC")</f>
        <v>0</v>
      </c>
      <c r="AB165" s="161">
        <f>IFERROR(Table13[[#This Row],[B3.Aud]]-Table13[[#This Row],[PW(gm)9]],"ERR")</f>
        <v>0</v>
      </c>
      <c r="AC165" s="168">
        <f>IFERROR(Table13[[#This Row],[B3.Diff]]/Table13[[#This Row],[BaLL.Aud]],"ERR")</f>
        <v>0</v>
      </c>
      <c r="AD165" s="189">
        <f>_xlfn.IFNA(VLOOKUP(Table13[[#This Row],[MTP SKU Code]],'Audit Dimensions'!A:U,16,FALSE),"ARC")</f>
        <v>29940</v>
      </c>
      <c r="AE165" s="165">
        <f>IFERROR(1-Table13[[#This Row],[Gms]]/Table13[[#This Row],[BaLL.Aud]],"ERR")</f>
        <v>8.1496325985303986E-2</v>
      </c>
    </row>
    <row r="166" spans="1:31">
      <c r="A166" s="68" t="s">
        <v>260</v>
      </c>
      <c r="B166" s="84" t="s">
        <v>48</v>
      </c>
      <c r="C166" s="85">
        <v>82</v>
      </c>
      <c r="D166" s="85">
        <v>43</v>
      </c>
      <c r="E166" s="85">
        <v>13</v>
      </c>
      <c r="F166" s="89">
        <v>16850</v>
      </c>
      <c r="G166" s="85"/>
      <c r="H166" s="85"/>
      <c r="I166" s="85"/>
      <c r="J166" s="85"/>
      <c r="K166" s="85"/>
      <c r="L166" s="85"/>
      <c r="M166" s="85"/>
      <c r="N166" s="85"/>
      <c r="O166" s="118">
        <f>((IFERROR((C166*D166*E166),0)+IFERROR((G166*H166*I166),0)+IFERROR((K166*L166*M166),0))/1000000)*35.32</f>
        <v>1.6189981599999999</v>
      </c>
      <c r="P166" s="125">
        <f>Table13[[#This Row],[Column15]]*$P$2*1000</f>
        <v>9713.9889599999988</v>
      </c>
      <c r="Q166" s="87">
        <f>F166+J166+N166</f>
        <v>16850</v>
      </c>
      <c r="R166" s="86">
        <f>MAX(Q166,O166)</f>
        <v>16850</v>
      </c>
      <c r="S166" s="86">
        <f>MAX(R166,P166)</f>
        <v>16850</v>
      </c>
      <c r="T166" s="156" t="str">
        <f>VLOOKUP(A166,'[1]MTP SKUs - Master Data'!$A:$B,2,FALSE)</f>
        <v>Y</v>
      </c>
      <c r="U166" s="162">
        <f>_xlfn.IFNA(VLOOKUP(Table13[[#This Row],[MTP SKU Code]],'Audit Dimensions'!A:N,6,FALSE),"ARC")</f>
        <v>18350</v>
      </c>
      <c r="V166" s="162">
        <f>IFERROR(Table13[[#This Row],[B1.Aud]]-Table13[[#This Row],[PW(gm)]],"ERR")</f>
        <v>1500</v>
      </c>
      <c r="W166" s="165">
        <f>IFERROR(Table13[[#This Row],[B1.Diff]]/Table13[[#This Row],[B1.Aud]],"ERR")</f>
        <v>8.1743869209809264E-2</v>
      </c>
      <c r="X166" s="162">
        <f>_xlfn.IFNA(VLOOKUP(Table13[[#This Row],[MTP SKU Code]],'Audit Dimensions'!A:N,10,FALSE),"ARC")</f>
        <v>0</v>
      </c>
      <c r="Y166" s="163">
        <f>IFERROR(Table13[[#This Row],[B2.Aud]]-Table13[[#This Row],[PW(gm)5]],"ERR")</f>
        <v>0</v>
      </c>
      <c r="Z166" s="165" t="str">
        <f>IFERROR(Table13[[#This Row],[B2.Diff]]/Table13[[#This Row],[B2.Aud]],"ERR")</f>
        <v>ERR</v>
      </c>
      <c r="AA166" s="162">
        <f>_xlfn.IFNA(VLOOKUP(Table13[[#This Row],[MTP SKU Code]],'Audit Dimensions'!A:N,14,FALSE),"ARC")</f>
        <v>0</v>
      </c>
      <c r="AB166" s="161">
        <f>IFERROR(Table13[[#This Row],[B3.Aud]]-Table13[[#This Row],[PW(gm)9]],"ERR")</f>
        <v>0</v>
      </c>
      <c r="AC166" s="168">
        <f>IFERROR(Table13[[#This Row],[B3.Diff]]/Table13[[#This Row],[BaLL.Aud]],"ERR")</f>
        <v>0</v>
      </c>
      <c r="AD166" s="189">
        <f>_xlfn.IFNA(VLOOKUP(Table13[[#This Row],[MTP SKU Code]],'Audit Dimensions'!A:U,16,FALSE),"ARC")</f>
        <v>18350</v>
      </c>
      <c r="AE166" s="165">
        <f>IFERROR(1-Table13[[#This Row],[Gms]]/Table13[[#This Row],[BaLL.Aud]],"ERR")</f>
        <v>8.174386920980925E-2</v>
      </c>
    </row>
    <row r="167" spans="1:31" ht="14.45" customHeight="1">
      <c r="A167" s="68" t="s">
        <v>137</v>
      </c>
      <c r="B167" s="84" t="s">
        <v>48</v>
      </c>
      <c r="C167" s="84">
        <v>85</v>
      </c>
      <c r="D167" s="85">
        <v>37</v>
      </c>
      <c r="E167" s="85">
        <v>15</v>
      </c>
      <c r="F167" s="89">
        <v>16000</v>
      </c>
      <c r="G167" s="85"/>
      <c r="H167" s="85"/>
      <c r="I167" s="85"/>
      <c r="J167" s="85"/>
      <c r="K167" s="85"/>
      <c r="L167" s="85"/>
      <c r="M167" s="85"/>
      <c r="N167" s="85"/>
      <c r="O167" s="118">
        <f>((IFERROR((C167*D167*E167),0)+IFERROR((G167*H167*I167),0)+IFERROR((K167*L167*M167),0))/1000000)*35.32</f>
        <v>1.6662210000000002</v>
      </c>
      <c r="P167" s="125">
        <f>Table13[[#This Row],[Column15]]*$P$2*1000</f>
        <v>9997.3260000000009</v>
      </c>
      <c r="Q167" s="87">
        <f>F167+J167+N167</f>
        <v>16000</v>
      </c>
      <c r="R167" s="88">
        <f>MAX(Q167,O167)</f>
        <v>16000</v>
      </c>
      <c r="S167" s="86">
        <f>MAX(R167,P167)</f>
        <v>16000</v>
      </c>
      <c r="T167" s="156" t="str">
        <f>VLOOKUP(A167,'[1]MTP SKUs - Master Data'!$A:$B,2,FALSE)</f>
        <v>Y</v>
      </c>
      <c r="U167" s="162">
        <f>_xlfn.IFNA(VLOOKUP(Table13[[#This Row],[MTP SKU Code]],'Audit Dimensions'!A:N,6,FALSE),"ARC")</f>
        <v>17430</v>
      </c>
      <c r="V167" s="162">
        <f>IFERROR(Table13[[#This Row],[B1.Aud]]-Table13[[#This Row],[PW(gm)]],"ERR")</f>
        <v>1430</v>
      </c>
      <c r="W167" s="165">
        <f>IFERROR(Table13[[#This Row],[B1.Diff]]/Table13[[#This Row],[B1.Aud]],"ERR")</f>
        <v>8.2042455536431441E-2</v>
      </c>
      <c r="X167" s="162">
        <f>_xlfn.IFNA(VLOOKUP(Table13[[#This Row],[MTP SKU Code]],'Audit Dimensions'!A:N,10,FALSE),"ARC")</f>
        <v>0</v>
      </c>
      <c r="Y167" s="163">
        <f>IFERROR(Table13[[#This Row],[B2.Aud]]-Table13[[#This Row],[PW(gm)5]],"ERR")</f>
        <v>0</v>
      </c>
      <c r="Z167" s="165" t="str">
        <f>IFERROR(Table13[[#This Row],[B2.Diff]]/Table13[[#This Row],[B2.Aud]],"ERR")</f>
        <v>ERR</v>
      </c>
      <c r="AA167" s="162">
        <f>_xlfn.IFNA(VLOOKUP(Table13[[#This Row],[MTP SKU Code]],'Audit Dimensions'!A:N,14,FALSE),"ARC")</f>
        <v>0</v>
      </c>
      <c r="AB167" s="161">
        <f>IFERROR(Table13[[#This Row],[B3.Aud]]-Table13[[#This Row],[PW(gm)9]],"ERR")</f>
        <v>0</v>
      </c>
      <c r="AC167" s="168">
        <f>IFERROR(Table13[[#This Row],[B3.Diff]]/Table13[[#This Row],[BaLL.Aud]],"ERR")</f>
        <v>0</v>
      </c>
      <c r="AD167" s="189">
        <f>_xlfn.IFNA(VLOOKUP(Table13[[#This Row],[MTP SKU Code]],'Audit Dimensions'!A:U,16,FALSE),"ARC")</f>
        <v>17430</v>
      </c>
      <c r="AE167" s="165">
        <f>IFERROR(1-Table13[[#This Row],[Gms]]/Table13[[#This Row],[BaLL.Aud]],"ERR")</f>
        <v>8.2042455536431413E-2</v>
      </c>
    </row>
    <row r="168" spans="1:31">
      <c r="A168" s="68" t="s">
        <v>188</v>
      </c>
      <c r="B168" s="84" t="s">
        <v>48</v>
      </c>
      <c r="C168" s="85">
        <v>130</v>
      </c>
      <c r="D168" s="85">
        <v>54</v>
      </c>
      <c r="E168" s="85">
        <v>9</v>
      </c>
      <c r="F168" s="89">
        <v>24450</v>
      </c>
      <c r="G168" s="85"/>
      <c r="H168" s="85"/>
      <c r="I168" s="85"/>
      <c r="J168" s="85"/>
      <c r="K168" s="85"/>
      <c r="L168" s="85"/>
      <c r="M168" s="85"/>
      <c r="N168" s="85"/>
      <c r="O168" s="118">
        <f>((IFERROR((C168*D168*E168),0)+IFERROR((G168*H168*I168),0)+IFERROR((K168*L168*M168),0))/1000000)*35.32</f>
        <v>2.2315176000000001</v>
      </c>
      <c r="P168" s="125">
        <f>Table13[[#This Row],[Column15]]*$P$2*1000</f>
        <v>13389.105600000001</v>
      </c>
      <c r="Q168" s="87">
        <f>F168+J168+N168</f>
        <v>24450</v>
      </c>
      <c r="R168" s="86">
        <f>MAX(Q168,O168)</f>
        <v>24450</v>
      </c>
      <c r="S168" s="86">
        <f>MAX(R168,P168)</f>
        <v>24450</v>
      </c>
      <c r="T168" s="156" t="str">
        <f>VLOOKUP(A168,'[1]MTP SKUs - Master Data'!$A:$B,2,FALSE)</f>
        <v>Y</v>
      </c>
      <c r="U168" s="162">
        <f>_xlfn.IFNA(VLOOKUP(Table13[[#This Row],[MTP SKU Code]],'Audit Dimensions'!A:N,6,FALSE),"ARC")</f>
        <v>26650</v>
      </c>
      <c r="V168" s="162">
        <f>IFERROR(Table13[[#This Row],[B1.Aud]]-Table13[[#This Row],[PW(gm)]],"ERR")</f>
        <v>2200</v>
      </c>
      <c r="W168" s="165">
        <f>IFERROR(Table13[[#This Row],[B1.Diff]]/Table13[[#This Row],[B1.Aud]],"ERR")</f>
        <v>8.2551594746716694E-2</v>
      </c>
      <c r="X168" s="162">
        <f>_xlfn.IFNA(VLOOKUP(Table13[[#This Row],[MTP SKU Code]],'Audit Dimensions'!A:N,10,FALSE),"ARC")</f>
        <v>0</v>
      </c>
      <c r="Y168" s="163">
        <f>IFERROR(Table13[[#This Row],[B2.Aud]]-Table13[[#This Row],[PW(gm)5]],"ERR")</f>
        <v>0</v>
      </c>
      <c r="Z168" s="165" t="str">
        <f>IFERROR(Table13[[#This Row],[B2.Diff]]/Table13[[#This Row],[B2.Aud]],"ERR")</f>
        <v>ERR</v>
      </c>
      <c r="AA168" s="162">
        <f>_xlfn.IFNA(VLOOKUP(Table13[[#This Row],[MTP SKU Code]],'Audit Dimensions'!A:N,14,FALSE),"ARC")</f>
        <v>0</v>
      </c>
      <c r="AB168" s="161">
        <f>IFERROR(Table13[[#This Row],[B3.Aud]]-Table13[[#This Row],[PW(gm)9]],"ERR")</f>
        <v>0</v>
      </c>
      <c r="AC168" s="168">
        <f>IFERROR(Table13[[#This Row],[B3.Diff]]/Table13[[#This Row],[BaLL.Aud]],"ERR")</f>
        <v>0</v>
      </c>
      <c r="AD168" s="189">
        <f>_xlfn.IFNA(VLOOKUP(Table13[[#This Row],[MTP SKU Code]],'Audit Dimensions'!A:U,16,FALSE),"ARC")</f>
        <v>26650</v>
      </c>
      <c r="AE168" s="165">
        <f>IFERROR(1-Table13[[#This Row],[Gms]]/Table13[[#This Row],[BaLL.Aud]],"ERR")</f>
        <v>8.2551594746716694E-2</v>
      </c>
    </row>
    <row r="169" spans="1:31" ht="14.45" customHeight="1">
      <c r="A169" s="68" t="s">
        <v>185</v>
      </c>
      <c r="B169" s="84" t="s">
        <v>48</v>
      </c>
      <c r="C169" s="85">
        <v>82</v>
      </c>
      <c r="D169" s="85">
        <v>20</v>
      </c>
      <c r="E169" s="85">
        <v>9</v>
      </c>
      <c r="F169" s="89">
        <v>6800</v>
      </c>
      <c r="G169" s="85"/>
      <c r="H169" s="85"/>
      <c r="I169" s="85"/>
      <c r="J169" s="85"/>
      <c r="K169" s="85"/>
      <c r="L169" s="85"/>
      <c r="M169" s="85"/>
      <c r="N169" s="85"/>
      <c r="O169" s="118">
        <f>((IFERROR((C169*D169*E169),0)+IFERROR((G169*H169*I169),0)+IFERROR((K169*L169*M169),0))/1000000)*35.32</f>
        <v>0.52132319999999999</v>
      </c>
      <c r="P169" s="125">
        <f>Table13[[#This Row],[Column15]]*$P$2*1000</f>
        <v>3127.9392000000003</v>
      </c>
      <c r="Q169" s="87">
        <f>F169+J169+N169</f>
        <v>6800</v>
      </c>
      <c r="R169" s="86">
        <f>MAX(Q169,O169)</f>
        <v>6800</v>
      </c>
      <c r="S169" s="86">
        <f>MAX(R169,P169)</f>
        <v>6800</v>
      </c>
      <c r="T169" s="156" t="str">
        <f>VLOOKUP(A169,'[1]MTP SKUs - Master Data'!$A:$B,2,FALSE)</f>
        <v>Y</v>
      </c>
      <c r="U169" s="162">
        <f>_xlfn.IFNA(VLOOKUP(Table13[[#This Row],[MTP SKU Code]],'Audit Dimensions'!A:N,6,FALSE),"ARC")</f>
        <v>7420</v>
      </c>
      <c r="V169" s="162">
        <f>IFERROR(Table13[[#This Row],[B1.Aud]]-Table13[[#This Row],[PW(gm)]],"ERR")</f>
        <v>620</v>
      </c>
      <c r="W169" s="165">
        <f>IFERROR(Table13[[#This Row],[B1.Diff]]/Table13[[#This Row],[B1.Aud]],"ERR")</f>
        <v>8.3557951482479784E-2</v>
      </c>
      <c r="X169" s="162">
        <f>_xlfn.IFNA(VLOOKUP(Table13[[#This Row],[MTP SKU Code]],'Audit Dimensions'!A:N,10,FALSE),"ARC")</f>
        <v>0</v>
      </c>
      <c r="Y169" s="163">
        <f>IFERROR(Table13[[#This Row],[B2.Aud]]-Table13[[#This Row],[PW(gm)5]],"ERR")</f>
        <v>0</v>
      </c>
      <c r="Z169" s="165" t="str">
        <f>IFERROR(Table13[[#This Row],[B2.Diff]]/Table13[[#This Row],[B2.Aud]],"ERR")</f>
        <v>ERR</v>
      </c>
      <c r="AA169" s="162">
        <f>_xlfn.IFNA(VLOOKUP(Table13[[#This Row],[MTP SKU Code]],'Audit Dimensions'!A:N,14,FALSE),"ARC")</f>
        <v>0</v>
      </c>
      <c r="AB169" s="161">
        <f>IFERROR(Table13[[#This Row],[B3.Aud]]-Table13[[#This Row],[PW(gm)9]],"ERR")</f>
        <v>0</v>
      </c>
      <c r="AC169" s="168">
        <f>IFERROR(Table13[[#This Row],[B3.Diff]]/Table13[[#This Row],[BaLL.Aud]],"ERR")</f>
        <v>0</v>
      </c>
      <c r="AD169" s="189">
        <f>_xlfn.IFNA(VLOOKUP(Table13[[#This Row],[MTP SKU Code]],'Audit Dimensions'!A:U,16,FALSE),"ARC")</f>
        <v>7420</v>
      </c>
      <c r="AE169" s="165">
        <f>IFERROR(1-Table13[[#This Row],[Gms]]/Table13[[#This Row],[BaLL.Aud]],"ERR")</f>
        <v>8.3557951482479798E-2</v>
      </c>
    </row>
    <row r="170" spans="1:31" ht="12.95" customHeight="1">
      <c r="A170" s="68" t="s">
        <v>279</v>
      </c>
      <c r="B170" s="84" t="s">
        <v>48</v>
      </c>
      <c r="C170" s="85">
        <v>144</v>
      </c>
      <c r="D170" s="85">
        <v>21</v>
      </c>
      <c r="E170" s="85">
        <v>7</v>
      </c>
      <c r="F170" s="89">
        <v>7510</v>
      </c>
      <c r="G170" s="85"/>
      <c r="H170" s="85"/>
      <c r="I170" s="85"/>
      <c r="J170" s="85"/>
      <c r="K170" s="85"/>
      <c r="L170" s="85"/>
      <c r="M170" s="85"/>
      <c r="N170" s="85"/>
      <c r="O170" s="118">
        <f>((IFERROR((C170*D170*E170),0)+IFERROR((G170*H170*I170),0)+IFERROR((K170*L170*M170),0))/1000000)*35.32</f>
        <v>0.74765375999999995</v>
      </c>
      <c r="P170" s="125">
        <f>Table13[[#This Row],[Column15]]*$P$2*1000</f>
        <v>4485.92256</v>
      </c>
      <c r="Q170" s="87">
        <f>F170+J170+N170</f>
        <v>7510</v>
      </c>
      <c r="R170" s="86">
        <f>MAX(Q170,O170)</f>
        <v>7510</v>
      </c>
      <c r="S170" s="86">
        <f>MAX(R170,P170)</f>
        <v>7510</v>
      </c>
      <c r="T170" s="156" t="str">
        <f>VLOOKUP(A170,'[1]MTP SKUs - Master Data'!$A:$B,2,FALSE)</f>
        <v>Y</v>
      </c>
      <c r="U170" s="162">
        <f>_xlfn.IFNA(VLOOKUP(Table13[[#This Row],[MTP SKU Code]],'Audit Dimensions'!A:N,6,FALSE),"ARC")</f>
        <v>8200</v>
      </c>
      <c r="V170" s="162">
        <f>IFERROR(Table13[[#This Row],[B1.Aud]]-Table13[[#This Row],[PW(gm)]],"ERR")</f>
        <v>690</v>
      </c>
      <c r="W170" s="165">
        <f>IFERROR(Table13[[#This Row],[B1.Diff]]/Table13[[#This Row],[B1.Aud]],"ERR")</f>
        <v>8.4146341463414639E-2</v>
      </c>
      <c r="X170" s="162">
        <f>_xlfn.IFNA(VLOOKUP(Table13[[#This Row],[MTP SKU Code]],'Audit Dimensions'!A:N,10,FALSE),"ARC")</f>
        <v>0</v>
      </c>
      <c r="Y170" s="163">
        <f>IFERROR(Table13[[#This Row],[B2.Aud]]-Table13[[#This Row],[PW(gm)5]],"ERR")</f>
        <v>0</v>
      </c>
      <c r="Z170" s="165" t="str">
        <f>IFERROR(Table13[[#This Row],[B2.Diff]]/Table13[[#This Row],[B2.Aud]],"ERR")</f>
        <v>ERR</v>
      </c>
      <c r="AA170" s="162">
        <f>_xlfn.IFNA(VLOOKUP(Table13[[#This Row],[MTP SKU Code]],'Audit Dimensions'!A:N,14,FALSE),"ARC")</f>
        <v>0</v>
      </c>
      <c r="AB170" s="161">
        <f>IFERROR(Table13[[#This Row],[B3.Aud]]-Table13[[#This Row],[PW(gm)9]],"ERR")</f>
        <v>0</v>
      </c>
      <c r="AC170" s="168">
        <f>IFERROR(Table13[[#This Row],[B3.Diff]]/Table13[[#This Row],[BaLL.Aud]],"ERR")</f>
        <v>0</v>
      </c>
      <c r="AD170" s="189">
        <f>_xlfn.IFNA(VLOOKUP(Table13[[#This Row],[MTP SKU Code]],'Audit Dimensions'!A:U,16,FALSE),"ARC")</f>
        <v>8200</v>
      </c>
      <c r="AE170" s="165">
        <f>IFERROR(1-Table13[[#This Row],[Gms]]/Table13[[#This Row],[BaLL.Aud]],"ERR")</f>
        <v>8.4146341463414598E-2</v>
      </c>
    </row>
    <row r="171" spans="1:31" ht="12.95" customHeight="1">
      <c r="A171" s="68" t="s">
        <v>251</v>
      </c>
      <c r="B171" s="84" t="s">
        <v>48</v>
      </c>
      <c r="C171" s="85">
        <v>166</v>
      </c>
      <c r="D171" s="85">
        <v>37</v>
      </c>
      <c r="E171" s="85">
        <v>8</v>
      </c>
      <c r="F171" s="89">
        <v>18770</v>
      </c>
      <c r="G171" s="85"/>
      <c r="H171" s="85"/>
      <c r="I171" s="85"/>
      <c r="J171" s="85"/>
      <c r="K171" s="85"/>
      <c r="L171" s="85"/>
      <c r="M171" s="85"/>
      <c r="N171" s="85"/>
      <c r="O171" s="118">
        <f>((IFERROR((C171*D171*E171),0)+IFERROR((G171*H171*I171),0)+IFERROR((K171*L171*M171),0))/1000000)*35.32</f>
        <v>1.7354835200000001</v>
      </c>
      <c r="P171" s="125">
        <f>Table13[[#This Row],[Column15]]*$P$2*1000</f>
        <v>10412.90112</v>
      </c>
      <c r="Q171" s="87">
        <f>F171+J171+N171</f>
        <v>18770</v>
      </c>
      <c r="R171" s="86">
        <f>MAX(Q171,O171)</f>
        <v>18770</v>
      </c>
      <c r="S171" s="86">
        <f>MAX(R171,P171)</f>
        <v>18770</v>
      </c>
      <c r="T171" s="156" t="str">
        <f>VLOOKUP(A171,'[1]MTP SKUs - Master Data'!$A:$B,2,FALSE)</f>
        <v>Y</v>
      </c>
      <c r="U171" s="162">
        <f>_xlfn.IFNA(VLOOKUP(Table13[[#This Row],[MTP SKU Code]],'Audit Dimensions'!A:N,6,FALSE),"ARC")</f>
        <v>20510</v>
      </c>
      <c r="V171" s="162">
        <f>IFERROR(Table13[[#This Row],[B1.Aud]]-Table13[[#This Row],[PW(gm)]],"ERR")</f>
        <v>1740</v>
      </c>
      <c r="W171" s="165">
        <f>IFERROR(Table13[[#This Row],[B1.Diff]]/Table13[[#This Row],[B1.Aud]],"ERR")</f>
        <v>8.4836665041443202E-2</v>
      </c>
      <c r="X171" s="162">
        <f>_xlfn.IFNA(VLOOKUP(Table13[[#This Row],[MTP SKU Code]],'Audit Dimensions'!A:N,10,FALSE),"ARC")</f>
        <v>0</v>
      </c>
      <c r="Y171" s="163">
        <f>IFERROR(Table13[[#This Row],[B2.Aud]]-Table13[[#This Row],[PW(gm)5]],"ERR")</f>
        <v>0</v>
      </c>
      <c r="Z171" s="165" t="str">
        <f>IFERROR(Table13[[#This Row],[B2.Diff]]/Table13[[#This Row],[B2.Aud]],"ERR")</f>
        <v>ERR</v>
      </c>
      <c r="AA171" s="162">
        <f>_xlfn.IFNA(VLOOKUP(Table13[[#This Row],[MTP SKU Code]],'Audit Dimensions'!A:N,14,FALSE),"ARC")</f>
        <v>0</v>
      </c>
      <c r="AB171" s="161">
        <f>IFERROR(Table13[[#This Row],[B3.Aud]]-Table13[[#This Row],[PW(gm)9]],"ERR")</f>
        <v>0</v>
      </c>
      <c r="AC171" s="168">
        <f>IFERROR(Table13[[#This Row],[B3.Diff]]/Table13[[#This Row],[BaLL.Aud]],"ERR")</f>
        <v>0</v>
      </c>
      <c r="AD171" s="189">
        <f>_xlfn.IFNA(VLOOKUP(Table13[[#This Row],[MTP SKU Code]],'Audit Dimensions'!A:U,16,FALSE),"ARC")</f>
        <v>20510</v>
      </c>
      <c r="AE171" s="165">
        <f>IFERROR(1-Table13[[#This Row],[Gms]]/Table13[[#This Row],[BaLL.Aud]],"ERR")</f>
        <v>8.483666504144316E-2</v>
      </c>
    </row>
    <row r="172" spans="1:31" ht="12.95" customHeight="1">
      <c r="A172" s="68" t="s">
        <v>244</v>
      </c>
      <c r="B172" s="84" t="s">
        <v>48</v>
      </c>
      <c r="C172" s="85">
        <v>170</v>
      </c>
      <c r="D172" s="85">
        <v>32</v>
      </c>
      <c r="E172" s="85">
        <v>7</v>
      </c>
      <c r="F172" s="89">
        <v>19850</v>
      </c>
      <c r="G172" s="85"/>
      <c r="H172" s="85"/>
      <c r="I172" s="85"/>
      <c r="J172" s="85"/>
      <c r="K172" s="85"/>
      <c r="L172" s="85"/>
      <c r="M172" s="85"/>
      <c r="N172" s="85"/>
      <c r="O172" s="118">
        <f>((IFERROR((C172*D172*E172),0)+IFERROR((G172*H172*I172),0)+IFERROR((K172*L172*M172),0))/1000000)*35.32</f>
        <v>1.3449856</v>
      </c>
      <c r="P172" s="125">
        <f>Table13[[#This Row],[Column15]]*$P$2*1000</f>
        <v>8069.9135999999999</v>
      </c>
      <c r="Q172" s="87">
        <f>F172+J172+N172</f>
        <v>19850</v>
      </c>
      <c r="R172" s="86">
        <f>MAX(Q172,O172)</f>
        <v>19850</v>
      </c>
      <c r="S172" s="86">
        <f>MAX(R172,P172)</f>
        <v>19850</v>
      </c>
      <c r="T172" s="156" t="str">
        <f>VLOOKUP(A172,'[1]MTP SKUs - Master Data'!$A:$B,2,FALSE)</f>
        <v>Y</v>
      </c>
      <c r="U172" s="162">
        <f>_xlfn.IFNA(VLOOKUP(Table13[[#This Row],[MTP SKU Code]],'Audit Dimensions'!A:N,6,FALSE),"ARC")</f>
        <v>21700</v>
      </c>
      <c r="V172" s="162">
        <f>IFERROR(Table13[[#This Row],[B1.Aud]]-Table13[[#This Row],[PW(gm)]],"ERR")</f>
        <v>1850</v>
      </c>
      <c r="W172" s="165">
        <f>IFERROR(Table13[[#This Row],[B1.Diff]]/Table13[[#This Row],[B1.Aud]],"ERR")</f>
        <v>8.5253456221198162E-2</v>
      </c>
      <c r="X172" s="162">
        <f>_xlfn.IFNA(VLOOKUP(Table13[[#This Row],[MTP SKU Code]],'Audit Dimensions'!A:N,10,FALSE),"ARC")</f>
        <v>0</v>
      </c>
      <c r="Y172" s="163">
        <f>IFERROR(Table13[[#This Row],[B2.Aud]]-Table13[[#This Row],[PW(gm)5]],"ERR")</f>
        <v>0</v>
      </c>
      <c r="Z172" s="165" t="str">
        <f>IFERROR(Table13[[#This Row],[B2.Diff]]/Table13[[#This Row],[B2.Aud]],"ERR")</f>
        <v>ERR</v>
      </c>
      <c r="AA172" s="162">
        <f>_xlfn.IFNA(VLOOKUP(Table13[[#This Row],[MTP SKU Code]],'Audit Dimensions'!A:N,14,FALSE),"ARC")</f>
        <v>0</v>
      </c>
      <c r="AB172" s="161">
        <f>IFERROR(Table13[[#This Row],[B3.Aud]]-Table13[[#This Row],[PW(gm)9]],"ERR")</f>
        <v>0</v>
      </c>
      <c r="AC172" s="168">
        <f>IFERROR(Table13[[#This Row],[B3.Diff]]/Table13[[#This Row],[BaLL.Aud]],"ERR")</f>
        <v>0</v>
      </c>
      <c r="AD172" s="189">
        <f>_xlfn.IFNA(VLOOKUP(Table13[[#This Row],[MTP SKU Code]],'Audit Dimensions'!A:U,16,FALSE),"ARC")</f>
        <v>21700</v>
      </c>
      <c r="AE172" s="165">
        <f>IFERROR(1-Table13[[#This Row],[Gms]]/Table13[[#This Row],[BaLL.Aud]],"ERR")</f>
        <v>8.5253456221198176E-2</v>
      </c>
    </row>
    <row r="173" spans="1:31">
      <c r="A173" s="91" t="s">
        <v>133</v>
      </c>
      <c r="B173" s="84" t="s">
        <v>48</v>
      </c>
      <c r="C173" s="85">
        <v>145</v>
      </c>
      <c r="D173" s="85">
        <v>26</v>
      </c>
      <c r="E173" s="85">
        <v>10</v>
      </c>
      <c r="F173" s="89">
        <v>16000</v>
      </c>
      <c r="G173" s="85"/>
      <c r="H173" s="85"/>
      <c r="I173" s="85"/>
      <c r="J173" s="85"/>
      <c r="K173" s="85"/>
      <c r="L173" s="85"/>
      <c r="M173" s="85"/>
      <c r="N173" s="85"/>
      <c r="O173" s="118">
        <f>((IFERROR((C173*D173*E173),0)+IFERROR((G173*H173*I173),0)+IFERROR((K173*L173*M173),0))/1000000)*35.32</f>
        <v>1.331564</v>
      </c>
      <c r="P173" s="125">
        <f>Table13[[#This Row],[Column15]]*$P$2*1000</f>
        <v>7989.3839999999991</v>
      </c>
      <c r="Q173" s="87">
        <f>F173+J173+N173</f>
        <v>16000</v>
      </c>
      <c r="R173" s="86">
        <f>MAX(Q173,O173)</f>
        <v>16000</v>
      </c>
      <c r="S173" s="86">
        <f>MAX(R173,P173)</f>
        <v>16000</v>
      </c>
      <c r="T173" s="156" t="str">
        <f>VLOOKUP(A173,'[1]MTP SKUs - Master Data'!$A:$B,2,FALSE)</f>
        <v>Y</v>
      </c>
      <c r="U173" s="162">
        <f>_xlfn.IFNA(VLOOKUP(Table13[[#This Row],[MTP SKU Code]],'Audit Dimensions'!A:N,6,FALSE),"ARC")</f>
        <v>17500</v>
      </c>
      <c r="V173" s="162">
        <f>IFERROR(Table13[[#This Row],[B1.Aud]]-Table13[[#This Row],[PW(gm)]],"ERR")</f>
        <v>1500</v>
      </c>
      <c r="W173" s="165">
        <f>IFERROR(Table13[[#This Row],[B1.Diff]]/Table13[[#This Row],[B1.Aud]],"ERR")</f>
        <v>8.5714285714285715E-2</v>
      </c>
      <c r="X173" s="162">
        <f>_xlfn.IFNA(VLOOKUP(Table13[[#This Row],[MTP SKU Code]],'Audit Dimensions'!A:N,10,FALSE),"ARC")</f>
        <v>0</v>
      </c>
      <c r="Y173" s="163">
        <f>IFERROR(Table13[[#This Row],[B2.Aud]]-Table13[[#This Row],[PW(gm)5]],"ERR")</f>
        <v>0</v>
      </c>
      <c r="Z173" s="165" t="str">
        <f>IFERROR(Table13[[#This Row],[B2.Diff]]/Table13[[#This Row],[B2.Aud]],"ERR")</f>
        <v>ERR</v>
      </c>
      <c r="AA173" s="162">
        <f>_xlfn.IFNA(VLOOKUP(Table13[[#This Row],[MTP SKU Code]],'Audit Dimensions'!A:N,14,FALSE),"ARC")</f>
        <v>0</v>
      </c>
      <c r="AB173" s="161">
        <f>IFERROR(Table13[[#This Row],[B3.Aud]]-Table13[[#This Row],[PW(gm)9]],"ERR")</f>
        <v>0</v>
      </c>
      <c r="AC173" s="168">
        <f>IFERROR(Table13[[#This Row],[B3.Diff]]/Table13[[#This Row],[BaLL.Aud]],"ERR")</f>
        <v>0</v>
      </c>
      <c r="AD173" s="189">
        <f>_xlfn.IFNA(VLOOKUP(Table13[[#This Row],[MTP SKU Code]],'Audit Dimensions'!A:U,16,FALSE),"ARC")</f>
        <v>17500</v>
      </c>
      <c r="AE173" s="165">
        <f>IFERROR(1-Table13[[#This Row],[Gms]]/Table13[[#This Row],[BaLL.Aud]],"ERR")</f>
        <v>8.5714285714285743E-2</v>
      </c>
    </row>
    <row r="174" spans="1:31" ht="14.45" customHeight="1">
      <c r="A174" s="68" t="s">
        <v>152</v>
      </c>
      <c r="B174" s="84" t="s">
        <v>48</v>
      </c>
      <c r="C174" s="85">
        <v>66</v>
      </c>
      <c r="D174" s="85">
        <v>30</v>
      </c>
      <c r="E174" s="85">
        <v>23</v>
      </c>
      <c r="F174" s="89">
        <v>20890</v>
      </c>
      <c r="G174" s="85"/>
      <c r="H174" s="85"/>
      <c r="I174" s="85"/>
      <c r="J174" s="85"/>
      <c r="K174" s="85"/>
      <c r="L174" s="85"/>
      <c r="M174" s="85"/>
      <c r="N174" s="85"/>
      <c r="O174" s="118">
        <f>((IFERROR((C174*D174*E174),0)+IFERROR((G174*H174*I174),0)+IFERROR((K174*L174*M174),0))/1000000)*35.32</f>
        <v>1.6084727999999999</v>
      </c>
      <c r="P174" s="125">
        <f>Table13[[#This Row],[Column15]]*$P$2*1000</f>
        <v>9650.8368000000009</v>
      </c>
      <c r="Q174" s="87">
        <f>F174+J174+N174</f>
        <v>20890</v>
      </c>
      <c r="R174" s="86">
        <f>MAX(Q174,O174)</f>
        <v>20890</v>
      </c>
      <c r="S174" s="86">
        <f>MAX(R174,P174)</f>
        <v>20890</v>
      </c>
      <c r="T174" s="156" t="str">
        <f>VLOOKUP(A174,'[1]MTP SKUs - Master Data'!$A:$B,2,FALSE)</f>
        <v>Y</v>
      </c>
      <c r="U174" s="162">
        <f>_xlfn.IFNA(VLOOKUP(Table13[[#This Row],[MTP SKU Code]],'Audit Dimensions'!A:N,6,FALSE),"ARC")</f>
        <v>22850</v>
      </c>
      <c r="V174" s="162">
        <f>IFERROR(Table13[[#This Row],[B1.Aud]]-Table13[[#This Row],[PW(gm)]],"ERR")</f>
        <v>1960</v>
      </c>
      <c r="W174" s="165">
        <f>IFERROR(Table13[[#This Row],[B1.Diff]]/Table13[[#This Row],[B1.Aud]],"ERR")</f>
        <v>8.5776805251641136E-2</v>
      </c>
      <c r="X174" s="162">
        <f>_xlfn.IFNA(VLOOKUP(Table13[[#This Row],[MTP SKU Code]],'Audit Dimensions'!A:N,10,FALSE),"ARC")</f>
        <v>0</v>
      </c>
      <c r="Y174" s="163">
        <f>IFERROR(Table13[[#This Row],[B2.Aud]]-Table13[[#This Row],[PW(gm)5]],"ERR")</f>
        <v>0</v>
      </c>
      <c r="Z174" s="165" t="str">
        <f>IFERROR(Table13[[#This Row],[B2.Diff]]/Table13[[#This Row],[B2.Aud]],"ERR")</f>
        <v>ERR</v>
      </c>
      <c r="AA174" s="162">
        <f>_xlfn.IFNA(VLOOKUP(Table13[[#This Row],[MTP SKU Code]],'Audit Dimensions'!A:N,14,FALSE),"ARC")</f>
        <v>0</v>
      </c>
      <c r="AB174" s="161">
        <f>IFERROR(Table13[[#This Row],[B3.Aud]]-Table13[[#This Row],[PW(gm)9]],"ERR")</f>
        <v>0</v>
      </c>
      <c r="AC174" s="168">
        <f>IFERROR(Table13[[#This Row],[B3.Diff]]/Table13[[#This Row],[BaLL.Aud]],"ERR")</f>
        <v>0</v>
      </c>
      <c r="AD174" s="189">
        <f>_xlfn.IFNA(VLOOKUP(Table13[[#This Row],[MTP SKU Code]],'Audit Dimensions'!A:U,16,FALSE),"ARC")</f>
        <v>22850</v>
      </c>
      <c r="AE174" s="165">
        <f>IFERROR(1-Table13[[#This Row],[Gms]]/Table13[[#This Row],[BaLL.Aud]],"ERR")</f>
        <v>8.5776805251641108E-2</v>
      </c>
    </row>
    <row r="175" spans="1:31" ht="14.45" customHeight="1">
      <c r="A175" s="68" t="s">
        <v>103</v>
      </c>
      <c r="B175" s="84" t="s">
        <v>48</v>
      </c>
      <c r="C175" s="85">
        <v>148</v>
      </c>
      <c r="D175" s="85">
        <v>35</v>
      </c>
      <c r="E175" s="85">
        <v>6</v>
      </c>
      <c r="F175" s="89">
        <v>12800</v>
      </c>
      <c r="G175" s="85"/>
      <c r="H175" s="85"/>
      <c r="I175" s="85"/>
      <c r="J175" s="85"/>
      <c r="K175" s="85"/>
      <c r="L175" s="85"/>
      <c r="M175" s="85"/>
      <c r="N175" s="85"/>
      <c r="O175" s="118">
        <f>((IFERROR((C175*D175*E175),0)+IFERROR((G175*H175*I175),0)+IFERROR((K175*L175*M175),0))/1000000)*35.32</f>
        <v>1.0977456000000001</v>
      </c>
      <c r="P175" s="125">
        <f>Table13[[#This Row],[Column15]]*$P$2*1000</f>
        <v>6586.4736000000003</v>
      </c>
      <c r="Q175" s="87">
        <f>F175+J175+N175</f>
        <v>12800</v>
      </c>
      <c r="R175" s="86">
        <f>MAX(Q175,O175)</f>
        <v>12800</v>
      </c>
      <c r="S175" s="86">
        <f>MAX(R175,P175)</f>
        <v>12800</v>
      </c>
      <c r="T175" s="156" t="str">
        <f>VLOOKUP(A175,'[1]MTP SKUs - Master Data'!$A:$B,2,FALSE)</f>
        <v>Y</v>
      </c>
      <c r="U175" s="162">
        <f>_xlfn.IFNA(VLOOKUP(Table13[[#This Row],[MTP SKU Code]],'Audit Dimensions'!A:N,6,FALSE),"ARC")</f>
        <v>14050</v>
      </c>
      <c r="V175" s="162">
        <f>IFERROR(Table13[[#This Row],[B1.Aud]]-Table13[[#This Row],[PW(gm)]],"ERR")</f>
        <v>1250</v>
      </c>
      <c r="W175" s="165">
        <f>IFERROR(Table13[[#This Row],[B1.Diff]]/Table13[[#This Row],[B1.Aud]],"ERR")</f>
        <v>8.8967971530249115E-2</v>
      </c>
      <c r="X175" s="162">
        <f>_xlfn.IFNA(VLOOKUP(Table13[[#This Row],[MTP SKU Code]],'Audit Dimensions'!A:N,10,FALSE),"ARC")</f>
        <v>0</v>
      </c>
      <c r="Y175" s="163">
        <f>IFERROR(Table13[[#This Row],[B2.Aud]]-Table13[[#This Row],[PW(gm)5]],"ERR")</f>
        <v>0</v>
      </c>
      <c r="Z175" s="165" t="str">
        <f>IFERROR(Table13[[#This Row],[B2.Diff]]/Table13[[#This Row],[B2.Aud]],"ERR")</f>
        <v>ERR</v>
      </c>
      <c r="AA175" s="162">
        <f>_xlfn.IFNA(VLOOKUP(Table13[[#This Row],[MTP SKU Code]],'Audit Dimensions'!A:N,14,FALSE),"ARC")</f>
        <v>0</v>
      </c>
      <c r="AB175" s="161">
        <f>IFERROR(Table13[[#This Row],[B3.Aud]]-Table13[[#This Row],[PW(gm)9]],"ERR")</f>
        <v>0</v>
      </c>
      <c r="AC175" s="168">
        <f>IFERROR(Table13[[#This Row],[B3.Diff]]/Table13[[#This Row],[BaLL.Aud]],"ERR")</f>
        <v>0</v>
      </c>
      <c r="AD175" s="189">
        <f>_xlfn.IFNA(VLOOKUP(Table13[[#This Row],[MTP SKU Code]],'Audit Dimensions'!A:U,16,FALSE),"ARC")</f>
        <v>14050</v>
      </c>
      <c r="AE175" s="165">
        <f>IFERROR(1-Table13[[#This Row],[Gms]]/Table13[[#This Row],[BaLL.Aud]],"ERR")</f>
        <v>8.8967971530249157E-2</v>
      </c>
    </row>
    <row r="176" spans="1:31" ht="12.75" customHeight="1">
      <c r="A176" s="91" t="s">
        <v>114</v>
      </c>
      <c r="B176" s="84" t="s">
        <v>48</v>
      </c>
      <c r="C176" s="85">
        <v>85</v>
      </c>
      <c r="D176" s="85">
        <v>49</v>
      </c>
      <c r="E176" s="85">
        <v>7</v>
      </c>
      <c r="F176" s="89">
        <v>35690</v>
      </c>
      <c r="G176" s="85"/>
      <c r="H176" s="85"/>
      <c r="I176" s="85"/>
      <c r="J176" s="85"/>
      <c r="K176" s="85"/>
      <c r="L176" s="85"/>
      <c r="M176" s="85"/>
      <c r="N176" s="85"/>
      <c r="O176" s="118">
        <f>((IFERROR((C176*D176*E176),0)+IFERROR((G176*H176*I176),0)+IFERROR((K176*L176*M176),0))/1000000)*35.32</f>
        <v>1.0297546</v>
      </c>
      <c r="P176" s="125">
        <f>Table13[[#This Row],[Column15]]*$P$2*1000</f>
        <v>6178.5275999999994</v>
      </c>
      <c r="Q176" s="87">
        <f>F176+J176+N176</f>
        <v>35690</v>
      </c>
      <c r="R176" s="86">
        <f>MAX(Q176,O176)</f>
        <v>35690</v>
      </c>
      <c r="S176" s="86">
        <f>MAX(R176,P176)</f>
        <v>35690</v>
      </c>
      <c r="T176" s="156" t="str">
        <f>VLOOKUP(A176,'[1]MTP SKUs - Master Data'!$A:$B,2,FALSE)</f>
        <v>Y</v>
      </c>
      <c r="U176" s="162">
        <f>_xlfn.IFNA(VLOOKUP(Table13[[#This Row],[MTP SKU Code]],'Audit Dimensions'!A:N,6,FALSE),"ARC")</f>
        <v>39200</v>
      </c>
      <c r="V176" s="162">
        <f>IFERROR(Table13[[#This Row],[B1.Aud]]-Table13[[#This Row],[PW(gm)]],"ERR")</f>
        <v>3510</v>
      </c>
      <c r="W176" s="165">
        <f>IFERROR(Table13[[#This Row],[B1.Diff]]/Table13[[#This Row],[B1.Aud]],"ERR")</f>
        <v>8.9540816326530617E-2</v>
      </c>
      <c r="X176" s="162">
        <f>_xlfn.IFNA(VLOOKUP(Table13[[#This Row],[MTP SKU Code]],'Audit Dimensions'!A:N,10,FALSE),"ARC")</f>
        <v>0</v>
      </c>
      <c r="Y176" s="163">
        <f>IFERROR(Table13[[#This Row],[B2.Aud]]-Table13[[#This Row],[PW(gm)5]],"ERR")</f>
        <v>0</v>
      </c>
      <c r="Z176" s="165" t="str">
        <f>IFERROR(Table13[[#This Row],[B2.Diff]]/Table13[[#This Row],[B2.Aud]],"ERR")</f>
        <v>ERR</v>
      </c>
      <c r="AA176" s="162">
        <f>_xlfn.IFNA(VLOOKUP(Table13[[#This Row],[MTP SKU Code]],'Audit Dimensions'!A:N,14,FALSE),"ARC")</f>
        <v>0</v>
      </c>
      <c r="AB176" s="161">
        <f>IFERROR(Table13[[#This Row],[B3.Aud]]-Table13[[#This Row],[PW(gm)9]],"ERR")</f>
        <v>0</v>
      </c>
      <c r="AC176" s="168">
        <f>IFERROR(Table13[[#This Row],[B3.Diff]]/Table13[[#This Row],[BaLL.Aud]],"ERR")</f>
        <v>0</v>
      </c>
      <c r="AD176" s="189">
        <f>_xlfn.IFNA(VLOOKUP(Table13[[#This Row],[MTP SKU Code]],'Audit Dimensions'!A:U,16,FALSE),"ARC")</f>
        <v>39200</v>
      </c>
      <c r="AE176" s="165">
        <f>IFERROR(1-Table13[[#This Row],[Gms]]/Table13[[#This Row],[BaLL.Aud]],"ERR")</f>
        <v>8.9540816326530659E-2</v>
      </c>
    </row>
    <row r="177" spans="1:31" ht="14.45" customHeight="1">
      <c r="A177" s="68" t="s">
        <v>111</v>
      </c>
      <c r="B177" s="84" t="s">
        <v>48</v>
      </c>
      <c r="C177" s="85">
        <v>111</v>
      </c>
      <c r="D177" s="85">
        <v>50</v>
      </c>
      <c r="E177" s="85">
        <v>8</v>
      </c>
      <c r="F177" s="89">
        <v>21750</v>
      </c>
      <c r="G177" s="85"/>
      <c r="H177" s="85"/>
      <c r="I177" s="85"/>
      <c r="J177" s="85"/>
      <c r="K177" s="85"/>
      <c r="L177" s="85"/>
      <c r="M177" s="85"/>
      <c r="N177" s="85"/>
      <c r="O177" s="118">
        <f>((IFERROR((C177*D177*E177),0)+IFERROR((G177*H177*I177),0)+IFERROR((K177*L177*M177),0))/1000000)*35.32</f>
        <v>1.568208</v>
      </c>
      <c r="P177" s="125">
        <f>Table13[[#This Row],[Column15]]*$P$2*1000</f>
        <v>9409.2479999999996</v>
      </c>
      <c r="Q177" s="87">
        <f>F177+J177+N177</f>
        <v>21750</v>
      </c>
      <c r="R177" s="86">
        <f>MAX(Q177,O177)</f>
        <v>21750</v>
      </c>
      <c r="S177" s="86">
        <f>MAX(R177,P177)</f>
        <v>21750</v>
      </c>
      <c r="T177" s="156" t="str">
        <f>VLOOKUP(A177,'[1]MTP SKUs - Master Data'!$A:$B,2,FALSE)</f>
        <v>RL</v>
      </c>
      <c r="U177" s="162">
        <f>_xlfn.IFNA(VLOOKUP(Table13[[#This Row],[MTP SKU Code]],'Audit Dimensions'!A:N,6,FALSE),"ARC")</f>
        <v>23900</v>
      </c>
      <c r="V177" s="162">
        <f>IFERROR(Table13[[#This Row],[B1.Aud]]-Table13[[#This Row],[PW(gm)]],"ERR")</f>
        <v>2150</v>
      </c>
      <c r="W177" s="165">
        <f>IFERROR(Table13[[#This Row],[B1.Diff]]/Table13[[#This Row],[B1.Aud]],"ERR")</f>
        <v>8.9958158995815898E-2</v>
      </c>
      <c r="X177" s="162">
        <f>_xlfn.IFNA(VLOOKUP(Table13[[#This Row],[MTP SKU Code]],'Audit Dimensions'!A:N,10,FALSE),"ARC")</f>
        <v>0</v>
      </c>
      <c r="Y177" s="163">
        <f>IFERROR(Table13[[#This Row],[B2.Aud]]-Table13[[#This Row],[PW(gm)5]],"ERR")</f>
        <v>0</v>
      </c>
      <c r="Z177" s="165" t="str">
        <f>IFERROR(Table13[[#This Row],[B2.Diff]]/Table13[[#This Row],[B2.Aud]],"ERR")</f>
        <v>ERR</v>
      </c>
      <c r="AA177" s="162">
        <f>_xlfn.IFNA(VLOOKUP(Table13[[#This Row],[MTP SKU Code]],'Audit Dimensions'!A:N,14,FALSE),"ARC")</f>
        <v>0</v>
      </c>
      <c r="AB177" s="161">
        <f>IFERROR(Table13[[#This Row],[B3.Aud]]-Table13[[#This Row],[PW(gm)9]],"ERR")</f>
        <v>0</v>
      </c>
      <c r="AC177" s="168">
        <f>IFERROR(Table13[[#This Row],[B3.Diff]]/Table13[[#This Row],[BaLL.Aud]],"ERR")</f>
        <v>0</v>
      </c>
      <c r="AD177" s="189">
        <f>_xlfn.IFNA(VLOOKUP(Table13[[#This Row],[MTP SKU Code]],'Audit Dimensions'!A:U,16,FALSE),"ARC")</f>
        <v>23900</v>
      </c>
      <c r="AE177" s="165">
        <f>IFERROR(1-Table13[[#This Row],[Gms]]/Table13[[#This Row],[BaLL.Aud]],"ERR")</f>
        <v>8.995815899581594E-2</v>
      </c>
    </row>
    <row r="178" spans="1:31" ht="14.45" customHeight="1">
      <c r="A178" s="68" t="s">
        <v>286</v>
      </c>
      <c r="B178" s="84" t="s">
        <v>48</v>
      </c>
      <c r="C178" s="85">
        <v>82</v>
      </c>
      <c r="D178" s="85">
        <v>20</v>
      </c>
      <c r="E178" s="85">
        <v>10</v>
      </c>
      <c r="F178" s="89">
        <v>7500</v>
      </c>
      <c r="G178" s="85"/>
      <c r="H178" s="85"/>
      <c r="I178" s="85"/>
      <c r="J178" s="85"/>
      <c r="K178" s="85"/>
      <c r="L178" s="85"/>
      <c r="M178" s="85"/>
      <c r="N178" s="85"/>
      <c r="O178" s="118">
        <f>((IFERROR((C178*D178*E178),0)+IFERROR((G178*H178*I178),0)+IFERROR((K178*L178*M178),0))/1000000)*35.32</f>
        <v>0.5792480000000001</v>
      </c>
      <c r="P178" s="125">
        <f>Table13[[#This Row],[Column15]]*$P$2*1000</f>
        <v>3475.4880000000003</v>
      </c>
      <c r="Q178" s="87">
        <f>F178+J178+N178</f>
        <v>7500</v>
      </c>
      <c r="R178" s="86">
        <f>MAX(Q178,O178)</f>
        <v>7500</v>
      </c>
      <c r="S178" s="86">
        <f>MAX(R178,P178)</f>
        <v>7500</v>
      </c>
      <c r="T178" s="156" t="str">
        <f>VLOOKUP(A178,'[1]MTP SKUs - Master Data'!$A:$B,2,FALSE)</f>
        <v>Y</v>
      </c>
      <c r="U178" s="162">
        <f>_xlfn.IFNA(VLOOKUP(Table13[[#This Row],[MTP SKU Code]],'Audit Dimensions'!A:N,6,FALSE),"ARC")</f>
        <v>8270</v>
      </c>
      <c r="V178" s="162">
        <f>IFERROR(Table13[[#This Row],[B1.Aud]]-Table13[[#This Row],[PW(gm)]],"ERR")</f>
        <v>770</v>
      </c>
      <c r="W178" s="165">
        <f>IFERROR(Table13[[#This Row],[B1.Diff]]/Table13[[#This Row],[B1.Aud]],"ERR")</f>
        <v>9.3107617896009673E-2</v>
      </c>
      <c r="X178" s="162">
        <f>_xlfn.IFNA(VLOOKUP(Table13[[#This Row],[MTP SKU Code]],'Audit Dimensions'!A:N,10,FALSE),"ARC")</f>
        <v>0</v>
      </c>
      <c r="Y178" s="163">
        <f>IFERROR(Table13[[#This Row],[B2.Aud]]-Table13[[#This Row],[PW(gm)5]],"ERR")</f>
        <v>0</v>
      </c>
      <c r="Z178" s="165" t="str">
        <f>IFERROR(Table13[[#This Row],[B2.Diff]]/Table13[[#This Row],[B2.Aud]],"ERR")</f>
        <v>ERR</v>
      </c>
      <c r="AA178" s="162">
        <f>_xlfn.IFNA(VLOOKUP(Table13[[#This Row],[MTP SKU Code]],'Audit Dimensions'!A:N,14,FALSE),"ARC")</f>
        <v>0</v>
      </c>
      <c r="AB178" s="161">
        <f>IFERROR(Table13[[#This Row],[B3.Aud]]-Table13[[#This Row],[PW(gm)9]],"ERR")</f>
        <v>0</v>
      </c>
      <c r="AC178" s="168">
        <f>IFERROR(Table13[[#This Row],[B3.Diff]]/Table13[[#This Row],[BaLL.Aud]],"ERR")</f>
        <v>0</v>
      </c>
      <c r="AD178" s="189">
        <f>_xlfn.IFNA(VLOOKUP(Table13[[#This Row],[MTP SKU Code]],'Audit Dimensions'!A:U,16,FALSE),"ARC")</f>
        <v>8270</v>
      </c>
      <c r="AE178" s="165">
        <f>IFERROR(1-Table13[[#This Row],[Gms]]/Table13[[#This Row],[BaLL.Aud]],"ERR")</f>
        <v>9.3107617896009631E-2</v>
      </c>
    </row>
    <row r="179" spans="1:31" ht="14.45" hidden="1" customHeight="1">
      <c r="A179" s="91" t="s">
        <v>224</v>
      </c>
      <c r="B179" s="84" t="s">
        <v>48</v>
      </c>
      <c r="C179" s="85"/>
      <c r="D179" s="85"/>
      <c r="E179" s="85"/>
      <c r="F179" s="89">
        <v>1260</v>
      </c>
      <c r="G179" s="85"/>
      <c r="H179" s="85"/>
      <c r="I179" s="85"/>
      <c r="J179" s="85"/>
      <c r="K179" s="85"/>
      <c r="L179" s="85"/>
      <c r="M179" s="85"/>
      <c r="N179" s="85"/>
      <c r="O179" s="118">
        <f>((IFERROR((C179*D179*E179),0)+IFERROR((G179*H179*I179),0)+IFERROR((K179*L179*M179),0))/1000000)*35.32</f>
        <v>0</v>
      </c>
      <c r="P179" s="125">
        <f>Table13[[#This Row],[Column15]]*$P$2*1000</f>
        <v>0</v>
      </c>
      <c r="Q179" s="87">
        <f>F179+J179+N179</f>
        <v>1260</v>
      </c>
      <c r="R179" s="86">
        <f>MAX(Q179,O179)</f>
        <v>1260</v>
      </c>
      <c r="S179" s="86">
        <f>MAX(R179,P179)</f>
        <v>1260</v>
      </c>
      <c r="T179" s="156" t="str">
        <f>VLOOKUP(A179,'[1]MTP SKUs - Master Data'!$A:$B,2,FALSE)</f>
        <v>DI</v>
      </c>
      <c r="U179" s="162">
        <f>_xlfn.IFNA(VLOOKUP(Table13[[#This Row],[MTP SKU Code]],'Audit Dimensions'!A:N,6,FALSE),"ARC")</f>
        <v>1390</v>
      </c>
      <c r="V179" s="162">
        <f>IFERROR(Table13[[#This Row],[B1.Aud]]-Table13[[#This Row],[PW(gm)]],"ERR")</f>
        <v>130</v>
      </c>
      <c r="W179" s="165">
        <f>IFERROR(Table13[[#This Row],[B1.Diff]]/Table13[[#This Row],[B1.Aud]],"ERR")</f>
        <v>9.3525179856115109E-2</v>
      </c>
      <c r="X179" s="162">
        <f>_xlfn.IFNA(VLOOKUP(Table13[[#This Row],[MTP SKU Code]],'Audit Dimensions'!A:N,10,FALSE),"ARC")</f>
        <v>0</v>
      </c>
      <c r="Y179" s="163">
        <f>IFERROR(Table13[[#This Row],[B2.Aud]]-Table13[[#This Row],[PW(gm)5]],"ERR")</f>
        <v>0</v>
      </c>
      <c r="Z179" s="165" t="str">
        <f>IFERROR(Table13[[#This Row],[B2.Diff]]/Table13[[#This Row],[B2.Aud]],"ERR")</f>
        <v>ERR</v>
      </c>
      <c r="AA179" s="162">
        <f>_xlfn.IFNA(VLOOKUP(Table13[[#This Row],[MTP SKU Code]],'Audit Dimensions'!A:N,14,FALSE),"ARC")</f>
        <v>0</v>
      </c>
      <c r="AB179" s="161">
        <f>IFERROR(Table13[[#This Row],[B3.Aud]]-Table13[[#This Row],[PW(gm)9]],"ERR")</f>
        <v>0</v>
      </c>
      <c r="AC179" s="168">
        <f>IFERROR(Table13[[#This Row],[B3.Diff]]/Table13[[#This Row],[BaLL.Aud]],"ERR")</f>
        <v>0</v>
      </c>
      <c r="AD179" s="162">
        <f>_xlfn.IFNA(VLOOKUP(Table13[[#This Row],[MTP SKU Code]],'Audit Dimensions'!A:U,16,FALSE),"ARC")</f>
        <v>1390</v>
      </c>
      <c r="AE179" s="165">
        <f>IFERROR(1-Table13[[#This Row],[Gms]]/Table13[[#This Row],[BaLL.Aud]],"ERR")</f>
        <v>9.3525179856115082E-2</v>
      </c>
    </row>
    <row r="180" spans="1:31" ht="14.45" customHeight="1">
      <c r="A180" s="68" t="s">
        <v>228</v>
      </c>
      <c r="B180" s="84" t="s">
        <v>48</v>
      </c>
      <c r="C180" s="85">
        <v>114</v>
      </c>
      <c r="D180" s="85">
        <v>56</v>
      </c>
      <c r="E180" s="85">
        <v>7</v>
      </c>
      <c r="F180" s="89">
        <v>10850</v>
      </c>
      <c r="G180" s="85"/>
      <c r="H180" s="85"/>
      <c r="I180" s="85"/>
      <c r="J180" s="85"/>
      <c r="K180" s="85"/>
      <c r="L180" s="85"/>
      <c r="M180" s="85"/>
      <c r="N180" s="85"/>
      <c r="O180" s="118">
        <f>((IFERROR((C180*D180*E180),0)+IFERROR((G180*H180*I180),0)+IFERROR((K180*L180*M180),0))/1000000)*35.32</f>
        <v>1.57838016</v>
      </c>
      <c r="P180" s="125">
        <f>Table13[[#This Row],[Column15]]*$P$2*1000</f>
        <v>9470.2809600000001</v>
      </c>
      <c r="Q180" s="87">
        <f>F180+J180+N180</f>
        <v>10850</v>
      </c>
      <c r="R180" s="86">
        <f>MAX(Q180,O180)</f>
        <v>10850</v>
      </c>
      <c r="S180" s="86">
        <f>MAX(R180,P180)</f>
        <v>10850</v>
      </c>
      <c r="T180" s="156" t="str">
        <f>VLOOKUP(A180,'[1]MTP SKUs - Master Data'!$A:$B,2,FALSE)</f>
        <v>Y</v>
      </c>
      <c r="U180" s="162">
        <f>_xlfn.IFNA(VLOOKUP(Table13[[#This Row],[MTP SKU Code]],'Audit Dimensions'!A:N,6,FALSE),"ARC")</f>
        <v>12000</v>
      </c>
      <c r="V180" s="162">
        <f>IFERROR(Table13[[#This Row],[B1.Aud]]-Table13[[#This Row],[PW(gm)]],"ERR")</f>
        <v>1150</v>
      </c>
      <c r="W180" s="165">
        <f>IFERROR(Table13[[#This Row],[B1.Diff]]/Table13[[#This Row],[B1.Aud]],"ERR")</f>
        <v>9.583333333333334E-2</v>
      </c>
      <c r="X180" s="162">
        <f>_xlfn.IFNA(VLOOKUP(Table13[[#This Row],[MTP SKU Code]],'Audit Dimensions'!A:N,10,FALSE),"ARC")</f>
        <v>0</v>
      </c>
      <c r="Y180" s="163">
        <f>IFERROR(Table13[[#This Row],[B2.Aud]]-Table13[[#This Row],[PW(gm)5]],"ERR")</f>
        <v>0</v>
      </c>
      <c r="Z180" s="165" t="str">
        <f>IFERROR(Table13[[#This Row],[B2.Diff]]/Table13[[#This Row],[B2.Aud]],"ERR")</f>
        <v>ERR</v>
      </c>
      <c r="AA180" s="162">
        <f>_xlfn.IFNA(VLOOKUP(Table13[[#This Row],[MTP SKU Code]],'Audit Dimensions'!A:N,14,FALSE),"ARC")</f>
        <v>0</v>
      </c>
      <c r="AB180" s="161">
        <f>IFERROR(Table13[[#This Row],[B3.Aud]]-Table13[[#This Row],[PW(gm)9]],"ERR")</f>
        <v>0</v>
      </c>
      <c r="AC180" s="168">
        <f>IFERROR(Table13[[#This Row],[B3.Diff]]/Table13[[#This Row],[BaLL.Aud]],"ERR")</f>
        <v>0</v>
      </c>
      <c r="AD180" s="189">
        <f>_xlfn.IFNA(VLOOKUP(Table13[[#This Row],[MTP SKU Code]],'Audit Dimensions'!A:U,16,FALSE),"ARC")</f>
        <v>12000</v>
      </c>
      <c r="AE180" s="165">
        <f>IFERROR(1-Table13[[#This Row],[Gms]]/Table13[[#This Row],[BaLL.Aud]],"ERR")</f>
        <v>9.5833333333333326E-2</v>
      </c>
    </row>
    <row r="181" spans="1:31">
      <c r="A181" s="68" t="s">
        <v>151</v>
      </c>
      <c r="B181" s="84" t="s">
        <v>48</v>
      </c>
      <c r="C181" s="85">
        <v>56</v>
      </c>
      <c r="D181" s="85">
        <v>29</v>
      </c>
      <c r="E181" s="85">
        <v>9</v>
      </c>
      <c r="F181" s="89">
        <v>5525</v>
      </c>
      <c r="G181" s="85"/>
      <c r="H181" s="85"/>
      <c r="I181" s="85"/>
      <c r="J181" s="85"/>
      <c r="K181" s="85"/>
      <c r="L181" s="85"/>
      <c r="M181" s="85"/>
      <c r="N181" s="85"/>
      <c r="O181" s="118">
        <f>((IFERROR((C181*D181*E181),0)+IFERROR((G181*H181*I181),0)+IFERROR((K181*L181*M181),0))/1000000)*35.32</f>
        <v>0.51623711999999999</v>
      </c>
      <c r="P181" s="125">
        <f>Table13[[#This Row],[Column15]]*$P$2*1000</f>
        <v>3097.42272</v>
      </c>
      <c r="Q181" s="87">
        <f>F181+J181+N181</f>
        <v>5525</v>
      </c>
      <c r="R181" s="86">
        <f>MAX(Q181,O181)</f>
        <v>5525</v>
      </c>
      <c r="S181" s="86">
        <f>MAX(R181,P181)</f>
        <v>5525</v>
      </c>
      <c r="T181" s="156" t="str">
        <f>VLOOKUP(A181,'[1]MTP SKUs - Master Data'!$A:$B,2,FALSE)</f>
        <v>Y</v>
      </c>
      <c r="U181" s="162">
        <f>_xlfn.IFNA(VLOOKUP(Table13[[#This Row],[MTP SKU Code]],'Audit Dimensions'!A:N,6,FALSE),"ARC")</f>
        <v>6130</v>
      </c>
      <c r="V181" s="162">
        <f>IFERROR(Table13[[#This Row],[B1.Aud]]-Table13[[#This Row],[PW(gm)]],"ERR")</f>
        <v>605</v>
      </c>
      <c r="W181" s="165">
        <f>IFERROR(Table13[[#This Row],[B1.Diff]]/Table13[[#This Row],[B1.Aud]],"ERR")</f>
        <v>9.8694942903752039E-2</v>
      </c>
      <c r="X181" s="162">
        <f>_xlfn.IFNA(VLOOKUP(Table13[[#This Row],[MTP SKU Code]],'Audit Dimensions'!A:N,10,FALSE),"ARC")</f>
        <v>0</v>
      </c>
      <c r="Y181" s="163">
        <f>IFERROR(Table13[[#This Row],[B2.Aud]]-Table13[[#This Row],[PW(gm)5]],"ERR")</f>
        <v>0</v>
      </c>
      <c r="Z181" s="165" t="str">
        <f>IFERROR(Table13[[#This Row],[B2.Diff]]/Table13[[#This Row],[B2.Aud]],"ERR")</f>
        <v>ERR</v>
      </c>
      <c r="AA181" s="162">
        <f>_xlfn.IFNA(VLOOKUP(Table13[[#This Row],[MTP SKU Code]],'Audit Dimensions'!A:N,14,FALSE),"ARC")</f>
        <v>0</v>
      </c>
      <c r="AB181" s="161">
        <f>IFERROR(Table13[[#This Row],[B3.Aud]]-Table13[[#This Row],[PW(gm)9]],"ERR")</f>
        <v>0</v>
      </c>
      <c r="AC181" s="168">
        <f>IFERROR(Table13[[#This Row],[B3.Diff]]/Table13[[#This Row],[BaLL.Aud]],"ERR")</f>
        <v>0</v>
      </c>
      <c r="AD181" s="189">
        <f>_xlfn.IFNA(VLOOKUP(Table13[[#This Row],[MTP SKU Code]],'Audit Dimensions'!A:U,16,FALSE),"ARC")</f>
        <v>6130</v>
      </c>
      <c r="AE181" s="165">
        <f>IFERROR(1-Table13[[#This Row],[Gms]]/Table13[[#This Row],[BaLL.Aud]],"ERR")</f>
        <v>9.8694942903752025E-2</v>
      </c>
    </row>
    <row r="182" spans="1:31" ht="14.45" customHeight="1">
      <c r="A182" s="68" t="s">
        <v>176</v>
      </c>
      <c r="B182" s="84" t="s">
        <v>48</v>
      </c>
      <c r="C182" s="85">
        <v>100</v>
      </c>
      <c r="D182" s="85">
        <v>30</v>
      </c>
      <c r="E182" s="85">
        <v>8</v>
      </c>
      <c r="F182" s="89">
        <v>20000</v>
      </c>
      <c r="G182" s="85"/>
      <c r="H182" s="85"/>
      <c r="I182" s="85"/>
      <c r="J182" s="85"/>
      <c r="K182" s="85"/>
      <c r="L182" s="85"/>
      <c r="M182" s="85"/>
      <c r="N182" s="85"/>
      <c r="O182" s="118">
        <f>((IFERROR((C182*D182*E182),0)+IFERROR((G182*H182*I182),0)+IFERROR((K182*L182*M182),0))/1000000)*35.32</f>
        <v>0.84767999999999999</v>
      </c>
      <c r="P182" s="125">
        <f>Table13[[#This Row],[Column15]]*$P$2*1000</f>
        <v>5086.08</v>
      </c>
      <c r="Q182" s="87">
        <f>F182+J182+N182</f>
        <v>20000</v>
      </c>
      <c r="R182" s="86">
        <f>MAX(Q182,O182)</f>
        <v>20000</v>
      </c>
      <c r="S182" s="86">
        <f>MAX(R182,P182)</f>
        <v>20000</v>
      </c>
      <c r="T182" s="156" t="str">
        <f>VLOOKUP(A182,'[1]MTP SKUs - Master Data'!$A:$B,2,FALSE)</f>
        <v>Y</v>
      </c>
      <c r="U182" s="162">
        <f>_xlfn.IFNA(VLOOKUP(Table13[[#This Row],[MTP SKU Code]],'Audit Dimensions'!A:N,6,FALSE),"ARC")</f>
        <v>22200</v>
      </c>
      <c r="V182" s="162">
        <f>IFERROR(Table13[[#This Row],[B1.Aud]]-Table13[[#This Row],[PW(gm)]],"ERR")</f>
        <v>2200</v>
      </c>
      <c r="W182" s="165">
        <f>IFERROR(Table13[[#This Row],[B1.Diff]]/Table13[[#This Row],[B1.Aud]],"ERR")</f>
        <v>9.90990990990991E-2</v>
      </c>
      <c r="X182" s="162">
        <f>_xlfn.IFNA(VLOOKUP(Table13[[#This Row],[MTP SKU Code]],'Audit Dimensions'!A:N,10,FALSE),"ARC")</f>
        <v>0</v>
      </c>
      <c r="Y182" s="163">
        <f>IFERROR(Table13[[#This Row],[B2.Aud]]-Table13[[#This Row],[PW(gm)5]],"ERR")</f>
        <v>0</v>
      </c>
      <c r="Z182" s="165" t="str">
        <f>IFERROR(Table13[[#This Row],[B2.Diff]]/Table13[[#This Row],[B2.Aud]],"ERR")</f>
        <v>ERR</v>
      </c>
      <c r="AA182" s="162">
        <f>_xlfn.IFNA(VLOOKUP(Table13[[#This Row],[MTP SKU Code]],'Audit Dimensions'!A:N,14,FALSE),"ARC")</f>
        <v>0</v>
      </c>
      <c r="AB182" s="161">
        <f>IFERROR(Table13[[#This Row],[B3.Aud]]-Table13[[#This Row],[PW(gm)9]],"ERR")</f>
        <v>0</v>
      </c>
      <c r="AC182" s="168">
        <f>IFERROR(Table13[[#This Row],[B3.Diff]]/Table13[[#This Row],[BaLL.Aud]],"ERR")</f>
        <v>0</v>
      </c>
      <c r="AD182" s="189">
        <f>_xlfn.IFNA(VLOOKUP(Table13[[#This Row],[MTP SKU Code]],'Audit Dimensions'!A:U,16,FALSE),"ARC")</f>
        <v>22200</v>
      </c>
      <c r="AE182" s="165">
        <f>IFERROR(1-Table13[[#This Row],[Gms]]/Table13[[#This Row],[BaLL.Aud]],"ERR")</f>
        <v>9.9099099099099086E-2</v>
      </c>
    </row>
    <row r="183" spans="1:31" ht="14.45" customHeight="1">
      <c r="A183" s="68" t="s">
        <v>220</v>
      </c>
      <c r="B183" s="84" t="s">
        <v>48</v>
      </c>
      <c r="C183" s="85">
        <v>95</v>
      </c>
      <c r="D183" s="85">
        <v>27</v>
      </c>
      <c r="E183" s="85">
        <v>6</v>
      </c>
      <c r="F183" s="89">
        <v>5850</v>
      </c>
      <c r="G183" s="85"/>
      <c r="H183" s="85"/>
      <c r="I183" s="85"/>
      <c r="J183" s="85"/>
      <c r="K183" s="85"/>
      <c r="L183" s="85"/>
      <c r="M183" s="85"/>
      <c r="N183" s="85"/>
      <c r="O183" s="118">
        <f>((IFERROR((C183*D183*E183),0)+IFERROR((G183*H183*I183),0)+IFERROR((K183*L183*M183),0))/1000000)*35.32</f>
        <v>0.54357480000000002</v>
      </c>
      <c r="P183" s="125">
        <f>Table13[[#This Row],[Column15]]*$P$2*1000</f>
        <v>3261.4488000000001</v>
      </c>
      <c r="Q183" s="87">
        <f>F183+J183+N183</f>
        <v>5850</v>
      </c>
      <c r="R183" s="86">
        <f>MAX(Q183,O183)</f>
        <v>5850</v>
      </c>
      <c r="S183" s="86">
        <f>MAX(R183,P183)</f>
        <v>5850</v>
      </c>
      <c r="T183" s="156" t="str">
        <f>VLOOKUP(A183,'[1]MTP SKUs - Master Data'!$A:$B,2,FALSE)</f>
        <v>Y</v>
      </c>
      <c r="U183" s="162">
        <f>_xlfn.IFNA(VLOOKUP(Table13[[#This Row],[MTP SKU Code]],'Audit Dimensions'!A:N,6,FALSE),"ARC")</f>
        <v>6500</v>
      </c>
      <c r="V183" s="162">
        <f>IFERROR(Table13[[#This Row],[B1.Aud]]-Table13[[#This Row],[PW(gm)]],"ERR")</f>
        <v>650</v>
      </c>
      <c r="W183" s="165">
        <f>IFERROR(Table13[[#This Row],[B1.Diff]]/Table13[[#This Row],[B1.Aud]],"ERR")</f>
        <v>0.1</v>
      </c>
      <c r="X183" s="162">
        <f>_xlfn.IFNA(VLOOKUP(Table13[[#This Row],[MTP SKU Code]],'Audit Dimensions'!A:N,10,FALSE),"ARC")</f>
        <v>0</v>
      </c>
      <c r="Y183" s="163">
        <f>IFERROR(Table13[[#This Row],[B2.Aud]]-Table13[[#This Row],[PW(gm)5]],"ERR")</f>
        <v>0</v>
      </c>
      <c r="Z183" s="165" t="str">
        <f>IFERROR(Table13[[#This Row],[B2.Diff]]/Table13[[#This Row],[B2.Aud]],"ERR")</f>
        <v>ERR</v>
      </c>
      <c r="AA183" s="162">
        <f>_xlfn.IFNA(VLOOKUP(Table13[[#This Row],[MTP SKU Code]],'Audit Dimensions'!A:N,14,FALSE),"ARC")</f>
        <v>0</v>
      </c>
      <c r="AB183" s="161">
        <f>IFERROR(Table13[[#This Row],[B3.Aud]]-Table13[[#This Row],[PW(gm)9]],"ERR")</f>
        <v>0</v>
      </c>
      <c r="AC183" s="168">
        <f>IFERROR(Table13[[#This Row],[B3.Diff]]/Table13[[#This Row],[BaLL.Aud]],"ERR")</f>
        <v>0</v>
      </c>
      <c r="AD183" s="189">
        <f>_xlfn.IFNA(VLOOKUP(Table13[[#This Row],[MTP SKU Code]],'Audit Dimensions'!A:U,16,FALSE),"ARC")</f>
        <v>6500</v>
      </c>
      <c r="AE183" s="165">
        <f>IFERROR(1-Table13[[#This Row],[Gms]]/Table13[[#This Row],[BaLL.Aud]],"ERR")</f>
        <v>9.9999999999999978E-2</v>
      </c>
    </row>
    <row r="184" spans="1:31" ht="14.45" customHeight="1">
      <c r="A184" s="68" t="s">
        <v>179</v>
      </c>
      <c r="B184" s="84" t="s">
        <v>48</v>
      </c>
      <c r="C184" s="85">
        <v>135</v>
      </c>
      <c r="D184" s="85">
        <v>35</v>
      </c>
      <c r="E184" s="85">
        <v>8</v>
      </c>
      <c r="F184" s="89">
        <v>14850</v>
      </c>
      <c r="G184" s="85"/>
      <c r="H184" s="85"/>
      <c r="I184" s="85"/>
      <c r="J184" s="85"/>
      <c r="K184" s="85"/>
      <c r="L184" s="85"/>
      <c r="M184" s="85"/>
      <c r="N184" s="85"/>
      <c r="O184" s="118">
        <f>((IFERROR((C184*D184*E184),0)+IFERROR((G184*H184*I184),0)+IFERROR((K184*L184*M184),0))/1000000)*35.32</f>
        <v>1.3350960000000001</v>
      </c>
      <c r="P184" s="125">
        <f>Table13[[#This Row],[Column15]]*$P$2*1000</f>
        <v>8010.576</v>
      </c>
      <c r="Q184" s="87">
        <f>F184+J184+N184</f>
        <v>14850</v>
      </c>
      <c r="R184" s="86">
        <f>MAX(Q184,O184)</f>
        <v>14850</v>
      </c>
      <c r="S184" s="86">
        <f>MAX(R184,P184)</f>
        <v>14850</v>
      </c>
      <c r="T184" s="156" t="str">
        <f>VLOOKUP(A184,'[1]MTP SKUs - Master Data'!$A:$B,2,FALSE)</f>
        <v>Y</v>
      </c>
      <c r="U184" s="162">
        <f>_xlfn.IFNA(VLOOKUP(Table13[[#This Row],[MTP SKU Code]],'Audit Dimensions'!A:N,6,FALSE),"ARC")</f>
        <v>16500</v>
      </c>
      <c r="V184" s="162">
        <f>IFERROR(Table13[[#This Row],[B1.Aud]]-Table13[[#This Row],[PW(gm)]],"ERR")</f>
        <v>1650</v>
      </c>
      <c r="W184" s="165">
        <f>IFERROR(Table13[[#This Row],[B1.Diff]]/Table13[[#This Row],[B1.Aud]],"ERR")</f>
        <v>0.1</v>
      </c>
      <c r="X184" s="162">
        <f>_xlfn.IFNA(VLOOKUP(Table13[[#This Row],[MTP SKU Code]],'Audit Dimensions'!A:N,10,FALSE),"ARC")</f>
        <v>0</v>
      </c>
      <c r="Y184" s="163">
        <f>IFERROR(Table13[[#This Row],[B2.Aud]]-Table13[[#This Row],[PW(gm)5]],"ERR")</f>
        <v>0</v>
      </c>
      <c r="Z184" s="165" t="str">
        <f>IFERROR(Table13[[#This Row],[B2.Diff]]/Table13[[#This Row],[B2.Aud]],"ERR")</f>
        <v>ERR</v>
      </c>
      <c r="AA184" s="162">
        <f>_xlfn.IFNA(VLOOKUP(Table13[[#This Row],[MTP SKU Code]],'Audit Dimensions'!A:N,14,FALSE),"ARC")</f>
        <v>0</v>
      </c>
      <c r="AB184" s="161">
        <f>IFERROR(Table13[[#This Row],[B3.Aud]]-Table13[[#This Row],[PW(gm)9]],"ERR")</f>
        <v>0</v>
      </c>
      <c r="AC184" s="168">
        <f>IFERROR(Table13[[#This Row],[B3.Diff]]/Table13[[#This Row],[BaLL.Aud]],"ERR")</f>
        <v>0</v>
      </c>
      <c r="AD184" s="189">
        <f>_xlfn.IFNA(VLOOKUP(Table13[[#This Row],[MTP SKU Code]],'Audit Dimensions'!A:U,16,FALSE),"ARC")</f>
        <v>16500</v>
      </c>
      <c r="AE184" s="165">
        <f>IFERROR(1-Table13[[#This Row],[Gms]]/Table13[[#This Row],[BaLL.Aud]],"ERR")</f>
        <v>9.9999999999999978E-2</v>
      </c>
    </row>
    <row r="185" spans="1:31" ht="14.45" hidden="1" customHeight="1">
      <c r="A185" s="68" t="s">
        <v>230</v>
      </c>
      <c r="B185" s="84" t="s">
        <v>48</v>
      </c>
      <c r="C185" s="85">
        <v>42</v>
      </c>
      <c r="D185" s="85">
        <v>41</v>
      </c>
      <c r="E185" s="85">
        <v>6</v>
      </c>
      <c r="F185" s="89">
        <v>4300</v>
      </c>
      <c r="G185" s="85"/>
      <c r="H185" s="85"/>
      <c r="I185" s="85"/>
      <c r="J185" s="85"/>
      <c r="K185" s="85"/>
      <c r="L185" s="85"/>
      <c r="M185" s="85"/>
      <c r="N185" s="85"/>
      <c r="O185" s="118">
        <f>((IFERROR((C185*D185*E185),0)+IFERROR((G185*H185*I185),0)+IFERROR((K185*L185*M185),0))/1000000)*35.32</f>
        <v>0.36492623999999996</v>
      </c>
      <c r="P185" s="125">
        <f>Table13[[#This Row],[Column15]]*$P$2*1000</f>
        <v>2189.5574399999996</v>
      </c>
      <c r="Q185" s="87">
        <f>F185+J185+N185</f>
        <v>4300</v>
      </c>
      <c r="R185" s="86">
        <f>MAX(Q185,O185)</f>
        <v>4300</v>
      </c>
      <c r="S185" s="86">
        <f>MAX(R185,P185)</f>
        <v>4300</v>
      </c>
      <c r="T185" s="156" t="str">
        <f>VLOOKUP(A185,'[1]MTP SKUs - Master Data'!$A:$B,2,FALSE)</f>
        <v>DI</v>
      </c>
      <c r="U185" s="162">
        <f>_xlfn.IFNA(VLOOKUP(Table13[[#This Row],[MTP SKU Code]],'Audit Dimensions'!A:N,6,FALSE),"ARC")</f>
        <v>4780</v>
      </c>
      <c r="V185" s="162">
        <f>IFERROR(Table13[[#This Row],[B1.Aud]]-Table13[[#This Row],[PW(gm)]],"ERR")</f>
        <v>480</v>
      </c>
      <c r="W185" s="165">
        <f>IFERROR(Table13[[#This Row],[B1.Diff]]/Table13[[#This Row],[B1.Aud]],"ERR")</f>
        <v>0.100418410041841</v>
      </c>
      <c r="X185" s="162">
        <f>_xlfn.IFNA(VLOOKUP(Table13[[#This Row],[MTP SKU Code]],'Audit Dimensions'!A:N,10,FALSE),"ARC")</f>
        <v>0</v>
      </c>
      <c r="Y185" s="163">
        <f>IFERROR(Table13[[#This Row],[B2.Aud]]-Table13[[#This Row],[PW(gm)5]],"ERR")</f>
        <v>0</v>
      </c>
      <c r="Z185" s="165" t="str">
        <f>IFERROR(Table13[[#This Row],[B2.Diff]]/Table13[[#This Row],[B2.Aud]],"ERR")</f>
        <v>ERR</v>
      </c>
      <c r="AA185" s="162">
        <f>_xlfn.IFNA(VLOOKUP(Table13[[#This Row],[MTP SKU Code]],'Audit Dimensions'!A:N,14,FALSE),"ARC")</f>
        <v>0</v>
      </c>
      <c r="AB185" s="161">
        <f>IFERROR(Table13[[#This Row],[B3.Aud]]-Table13[[#This Row],[PW(gm)9]],"ERR")</f>
        <v>0</v>
      </c>
      <c r="AC185" s="168">
        <f>IFERROR(Table13[[#This Row],[B3.Diff]]/Table13[[#This Row],[BaLL.Aud]],"ERR")</f>
        <v>0</v>
      </c>
      <c r="AD185" s="162">
        <f>_xlfn.IFNA(VLOOKUP(Table13[[#This Row],[MTP SKU Code]],'Audit Dimensions'!A:U,16,FALSE),"ARC")</f>
        <v>4780</v>
      </c>
      <c r="AE185" s="165">
        <f>IFERROR(1-Table13[[#This Row],[Gms]]/Table13[[#This Row],[BaLL.Aud]],"ERR")</f>
        <v>0.10041841004184104</v>
      </c>
    </row>
    <row r="186" spans="1:31" ht="14.45" customHeight="1">
      <c r="A186" s="91" t="s">
        <v>275</v>
      </c>
      <c r="B186" s="84" t="s">
        <v>48</v>
      </c>
      <c r="C186" s="85">
        <v>68</v>
      </c>
      <c r="D186" s="85">
        <v>31</v>
      </c>
      <c r="E186" s="85">
        <v>5</v>
      </c>
      <c r="F186" s="89">
        <v>3000</v>
      </c>
      <c r="G186" s="85"/>
      <c r="H186" s="85"/>
      <c r="I186" s="85"/>
      <c r="J186" s="85"/>
      <c r="K186" s="85"/>
      <c r="L186" s="85"/>
      <c r="M186" s="85"/>
      <c r="N186" s="85"/>
      <c r="O186" s="118">
        <f>((IFERROR((C186*D186*E186),0)+IFERROR((G186*H186*I186),0)+IFERROR((K186*L186*M186),0))/1000000)*35.32</f>
        <v>0.37227280000000001</v>
      </c>
      <c r="P186" s="125">
        <f>Table13[[#This Row],[Column15]]*$P$2*1000</f>
        <v>2233.6368000000002</v>
      </c>
      <c r="Q186" s="87">
        <f>F186+J186+N186</f>
        <v>3000</v>
      </c>
      <c r="R186" s="86">
        <f>MAX(Q186,O186)</f>
        <v>3000</v>
      </c>
      <c r="S186" s="86">
        <f>MAX(R186,P186)</f>
        <v>3000</v>
      </c>
      <c r="T186" s="156" t="str">
        <f>VLOOKUP(A186,'[1]MTP SKUs - Master Data'!$A:$B,2,FALSE)</f>
        <v>Y</v>
      </c>
      <c r="U186" s="162">
        <f>_xlfn.IFNA(VLOOKUP(Table13[[#This Row],[MTP SKU Code]],'Audit Dimensions'!A:N,6,FALSE),"ARC")</f>
        <v>3335</v>
      </c>
      <c r="V186" s="162">
        <f>IFERROR(Table13[[#This Row],[B1.Aud]]-Table13[[#This Row],[PW(gm)]],"ERR")</f>
        <v>335</v>
      </c>
      <c r="W186" s="165">
        <f>IFERROR(Table13[[#This Row],[B1.Diff]]/Table13[[#This Row],[B1.Aud]],"ERR")</f>
        <v>0.10044977511244378</v>
      </c>
      <c r="X186" s="162">
        <f>_xlfn.IFNA(VLOOKUP(Table13[[#This Row],[MTP SKU Code]],'Audit Dimensions'!A:N,10,FALSE),"ARC")</f>
        <v>0</v>
      </c>
      <c r="Y186" s="163">
        <f>IFERROR(Table13[[#This Row],[B2.Aud]]-Table13[[#This Row],[PW(gm)5]],"ERR")</f>
        <v>0</v>
      </c>
      <c r="Z186" s="165" t="str">
        <f>IFERROR(Table13[[#This Row],[B2.Diff]]/Table13[[#This Row],[B2.Aud]],"ERR")</f>
        <v>ERR</v>
      </c>
      <c r="AA186" s="162">
        <f>_xlfn.IFNA(VLOOKUP(Table13[[#This Row],[MTP SKU Code]],'Audit Dimensions'!A:N,14,FALSE),"ARC")</f>
        <v>0</v>
      </c>
      <c r="AB186" s="161">
        <f>IFERROR(Table13[[#This Row],[B3.Aud]]-Table13[[#This Row],[PW(gm)9]],"ERR")</f>
        <v>0</v>
      </c>
      <c r="AC186" s="168">
        <f>IFERROR(Table13[[#This Row],[B3.Diff]]/Table13[[#This Row],[BaLL.Aud]],"ERR")</f>
        <v>0</v>
      </c>
      <c r="AD186" s="189">
        <f>_xlfn.IFNA(VLOOKUP(Table13[[#This Row],[MTP SKU Code]],'Audit Dimensions'!A:U,16,FALSE),"ARC")</f>
        <v>3335</v>
      </c>
      <c r="AE186" s="165">
        <f>IFERROR(1-Table13[[#This Row],[Gms]]/Table13[[#This Row],[BaLL.Aud]],"ERR")</f>
        <v>0.1004497751124438</v>
      </c>
    </row>
    <row r="187" spans="1:31" ht="14.45" customHeight="1">
      <c r="A187" s="68" t="s">
        <v>175</v>
      </c>
      <c r="B187" s="84" t="s">
        <v>48</v>
      </c>
      <c r="C187" s="85">
        <v>83</v>
      </c>
      <c r="D187" s="85">
        <v>43</v>
      </c>
      <c r="E187" s="85">
        <v>15</v>
      </c>
      <c r="F187" s="89">
        <v>19850</v>
      </c>
      <c r="G187" s="85"/>
      <c r="H187" s="85"/>
      <c r="I187" s="85"/>
      <c r="J187" s="85"/>
      <c r="K187" s="85"/>
      <c r="L187" s="85"/>
      <c r="M187" s="85"/>
      <c r="N187" s="85"/>
      <c r="O187" s="118">
        <f>((IFERROR((C187*D187*E187),0)+IFERROR((G187*H187*I187),0)+IFERROR((K187*L187*M187),0))/1000000)*35.32</f>
        <v>1.8908562</v>
      </c>
      <c r="P187" s="125">
        <f>Table13[[#This Row],[Column15]]*$P$2*1000</f>
        <v>11345.137199999999</v>
      </c>
      <c r="Q187" s="87">
        <f>F187+J187+N187</f>
        <v>19850</v>
      </c>
      <c r="R187" s="86">
        <f>MAX(Q187,O187)</f>
        <v>19850</v>
      </c>
      <c r="S187" s="86">
        <f>MAX(R187,P187)</f>
        <v>19850</v>
      </c>
      <c r="T187" s="156" t="str">
        <f>VLOOKUP(A187,'[1]MTP SKUs - Master Data'!$A:$B,2,FALSE)</f>
        <v>Y</v>
      </c>
      <c r="U187" s="162">
        <f>_xlfn.IFNA(VLOOKUP(Table13[[#This Row],[MTP SKU Code]],'Audit Dimensions'!A:N,6,FALSE),"ARC")</f>
        <v>22080</v>
      </c>
      <c r="V187" s="162">
        <f>IFERROR(Table13[[#This Row],[B1.Aud]]-Table13[[#This Row],[PW(gm)]],"ERR")</f>
        <v>2230</v>
      </c>
      <c r="W187" s="165">
        <f>IFERROR(Table13[[#This Row],[B1.Diff]]/Table13[[#This Row],[B1.Aud]],"ERR")</f>
        <v>0.10099637681159421</v>
      </c>
      <c r="X187" s="162">
        <f>_xlfn.IFNA(VLOOKUP(Table13[[#This Row],[MTP SKU Code]],'Audit Dimensions'!A:N,10,FALSE),"ARC")</f>
        <v>0</v>
      </c>
      <c r="Y187" s="163">
        <f>IFERROR(Table13[[#This Row],[B2.Aud]]-Table13[[#This Row],[PW(gm)5]],"ERR")</f>
        <v>0</v>
      </c>
      <c r="Z187" s="165" t="str">
        <f>IFERROR(Table13[[#This Row],[B2.Diff]]/Table13[[#This Row],[B2.Aud]],"ERR")</f>
        <v>ERR</v>
      </c>
      <c r="AA187" s="162">
        <f>_xlfn.IFNA(VLOOKUP(Table13[[#This Row],[MTP SKU Code]],'Audit Dimensions'!A:N,14,FALSE),"ARC")</f>
        <v>0</v>
      </c>
      <c r="AB187" s="161">
        <f>IFERROR(Table13[[#This Row],[B3.Aud]]-Table13[[#This Row],[PW(gm)9]],"ERR")</f>
        <v>0</v>
      </c>
      <c r="AC187" s="168">
        <f>IFERROR(Table13[[#This Row],[B3.Diff]]/Table13[[#This Row],[BaLL.Aud]],"ERR")</f>
        <v>0</v>
      </c>
      <c r="AD187" s="189">
        <f>_xlfn.IFNA(VLOOKUP(Table13[[#This Row],[MTP SKU Code]],'Audit Dimensions'!A:U,16,FALSE),"ARC")</f>
        <v>22080</v>
      </c>
      <c r="AE187" s="165">
        <f>IFERROR(1-Table13[[#This Row],[Gms]]/Table13[[#This Row],[BaLL.Aud]],"ERR")</f>
        <v>0.10099637681159424</v>
      </c>
    </row>
    <row r="188" spans="1:31" ht="14.45" customHeight="1">
      <c r="A188" s="68" t="s">
        <v>298</v>
      </c>
      <c r="B188" s="84" t="s">
        <v>48</v>
      </c>
      <c r="C188" s="85">
        <v>39</v>
      </c>
      <c r="D188" s="85">
        <v>30</v>
      </c>
      <c r="E188" s="85">
        <v>8</v>
      </c>
      <c r="F188" s="89">
        <v>3200</v>
      </c>
      <c r="G188" s="85"/>
      <c r="H188" s="85"/>
      <c r="I188" s="85"/>
      <c r="J188" s="85"/>
      <c r="K188" s="85"/>
      <c r="L188" s="85"/>
      <c r="M188" s="85"/>
      <c r="N188" s="85"/>
      <c r="O188" s="118">
        <f>((IFERROR((C188*D188*E188),0)+IFERROR((G188*H188*I188),0)+IFERROR((K188*L188*M188),0))/1000000)*35.32</f>
        <v>0.33059520000000003</v>
      </c>
      <c r="P188" s="125">
        <f>Table13[[#This Row],[Column15]]*$P$2*1000</f>
        <v>1983.5712000000001</v>
      </c>
      <c r="Q188" s="87">
        <f>F188+J188+N188</f>
        <v>3200</v>
      </c>
      <c r="R188" s="86">
        <f>MAX(Q188,O188)</f>
        <v>3200</v>
      </c>
      <c r="S188" s="86">
        <f>MAX(R188,P188)</f>
        <v>3200</v>
      </c>
      <c r="T188" s="156" t="str">
        <f>VLOOKUP(A188,'[1]MTP SKUs - Master Data'!$A:$B,2,FALSE)</f>
        <v>Y</v>
      </c>
      <c r="U188" s="162">
        <f>_xlfn.IFNA(VLOOKUP(Table13[[#This Row],[MTP SKU Code]],'Audit Dimensions'!A:N,6,FALSE),"ARC")</f>
        <v>3560</v>
      </c>
      <c r="V188" s="162">
        <f>IFERROR(Table13[[#This Row],[B1.Aud]]-Table13[[#This Row],[PW(gm)]],"ERR")</f>
        <v>360</v>
      </c>
      <c r="W188" s="165">
        <f>IFERROR(Table13[[#This Row],[B1.Diff]]/Table13[[#This Row],[B1.Aud]],"ERR")</f>
        <v>0.10112359550561797</v>
      </c>
      <c r="X188" s="162">
        <f>_xlfn.IFNA(VLOOKUP(Table13[[#This Row],[MTP SKU Code]],'Audit Dimensions'!A:N,10,FALSE),"ARC")</f>
        <v>0</v>
      </c>
      <c r="Y188" s="163">
        <f>IFERROR(Table13[[#This Row],[B2.Aud]]-Table13[[#This Row],[PW(gm)5]],"ERR")</f>
        <v>0</v>
      </c>
      <c r="Z188" s="165" t="str">
        <f>IFERROR(Table13[[#This Row],[B2.Diff]]/Table13[[#This Row],[B2.Aud]],"ERR")</f>
        <v>ERR</v>
      </c>
      <c r="AA188" s="162">
        <f>_xlfn.IFNA(VLOOKUP(Table13[[#This Row],[MTP SKU Code]],'Audit Dimensions'!A:N,14,FALSE),"ARC")</f>
        <v>0</v>
      </c>
      <c r="AB188" s="161">
        <f>IFERROR(Table13[[#This Row],[B3.Aud]]-Table13[[#This Row],[PW(gm)9]],"ERR")</f>
        <v>0</v>
      </c>
      <c r="AC188" s="168">
        <f>IFERROR(Table13[[#This Row],[B3.Diff]]/Table13[[#This Row],[BaLL.Aud]],"ERR")</f>
        <v>0</v>
      </c>
      <c r="AD188" s="189">
        <f>_xlfn.IFNA(VLOOKUP(Table13[[#This Row],[MTP SKU Code]],'Audit Dimensions'!A:U,16,FALSE),"ARC")</f>
        <v>3560</v>
      </c>
      <c r="AE188" s="165">
        <f>IFERROR(1-Table13[[#This Row],[Gms]]/Table13[[#This Row],[BaLL.Aud]],"ERR")</f>
        <v>0.101123595505618</v>
      </c>
    </row>
    <row r="189" spans="1:31" ht="14.45" customHeight="1">
      <c r="A189" s="68" t="s">
        <v>284</v>
      </c>
      <c r="B189" s="84" t="s">
        <v>48</v>
      </c>
      <c r="C189" s="85">
        <v>60</v>
      </c>
      <c r="D189" s="85">
        <v>35</v>
      </c>
      <c r="E189" s="85">
        <v>8</v>
      </c>
      <c r="F189" s="89">
        <v>5245</v>
      </c>
      <c r="G189" s="85"/>
      <c r="H189" s="85"/>
      <c r="I189" s="85"/>
      <c r="J189" s="85"/>
      <c r="K189" s="85"/>
      <c r="L189" s="85"/>
      <c r="M189" s="85"/>
      <c r="N189" s="85"/>
      <c r="O189" s="118">
        <f>((IFERROR((C189*D189*E189),0)+IFERROR((G189*H189*I189),0)+IFERROR((K189*L189*M189),0))/1000000)*35.32</f>
        <v>0.59337600000000001</v>
      </c>
      <c r="P189" s="125">
        <f>Table13[[#This Row],[Column15]]*$P$2*1000</f>
        <v>3560.2559999999999</v>
      </c>
      <c r="Q189" s="87">
        <f>F189+J189+N189</f>
        <v>5245</v>
      </c>
      <c r="R189" s="86">
        <f>MAX(Q189,O189)</f>
        <v>5245</v>
      </c>
      <c r="S189" s="86">
        <f>MAX(R189,P189)</f>
        <v>5245</v>
      </c>
      <c r="T189" s="156" t="str">
        <f>VLOOKUP(A189,'[1]MTP SKUs - Master Data'!$A:$B,2,FALSE)</f>
        <v>Y</v>
      </c>
      <c r="U189" s="162">
        <f>_xlfn.IFNA(VLOOKUP(Table13[[#This Row],[MTP SKU Code]],'Audit Dimensions'!A:N,6,FALSE),"ARC")</f>
        <v>5850</v>
      </c>
      <c r="V189" s="162">
        <f>IFERROR(Table13[[#This Row],[B1.Aud]]-Table13[[#This Row],[PW(gm)]],"ERR")</f>
        <v>605</v>
      </c>
      <c r="W189" s="165">
        <f>IFERROR(Table13[[#This Row],[B1.Diff]]/Table13[[#This Row],[B1.Aud]],"ERR")</f>
        <v>0.10341880341880341</v>
      </c>
      <c r="X189" s="162">
        <f>_xlfn.IFNA(VLOOKUP(Table13[[#This Row],[MTP SKU Code]],'Audit Dimensions'!A:N,10,FALSE),"ARC")</f>
        <v>0</v>
      </c>
      <c r="Y189" s="163">
        <f>IFERROR(Table13[[#This Row],[B2.Aud]]-Table13[[#This Row],[PW(gm)5]],"ERR")</f>
        <v>0</v>
      </c>
      <c r="Z189" s="165" t="str">
        <f>IFERROR(Table13[[#This Row],[B2.Diff]]/Table13[[#This Row],[B2.Aud]],"ERR")</f>
        <v>ERR</v>
      </c>
      <c r="AA189" s="162">
        <f>_xlfn.IFNA(VLOOKUP(Table13[[#This Row],[MTP SKU Code]],'Audit Dimensions'!A:N,14,FALSE),"ARC")</f>
        <v>0</v>
      </c>
      <c r="AB189" s="161">
        <f>IFERROR(Table13[[#This Row],[B3.Aud]]-Table13[[#This Row],[PW(gm)9]],"ERR")</f>
        <v>0</v>
      </c>
      <c r="AC189" s="168">
        <f>IFERROR(Table13[[#This Row],[B3.Diff]]/Table13[[#This Row],[BaLL.Aud]],"ERR")</f>
        <v>0</v>
      </c>
      <c r="AD189" s="189">
        <f>_xlfn.IFNA(VLOOKUP(Table13[[#This Row],[MTP SKU Code]],'Audit Dimensions'!A:U,16,FALSE),"ARC")</f>
        <v>5850</v>
      </c>
      <c r="AE189" s="165">
        <f>IFERROR(1-Table13[[#This Row],[Gms]]/Table13[[#This Row],[BaLL.Aud]],"ERR")</f>
        <v>0.10341880341880338</v>
      </c>
    </row>
    <row r="190" spans="1:31" ht="14.45" customHeight="1">
      <c r="A190" s="68" t="s">
        <v>255</v>
      </c>
      <c r="B190" s="84" t="s">
        <v>48</v>
      </c>
      <c r="C190" s="85">
        <v>154</v>
      </c>
      <c r="D190" s="85">
        <v>37</v>
      </c>
      <c r="E190" s="85">
        <v>6</v>
      </c>
      <c r="F190" s="89">
        <v>10850</v>
      </c>
      <c r="G190" s="85"/>
      <c r="H190" s="85"/>
      <c r="I190" s="85"/>
      <c r="J190" s="85"/>
      <c r="K190" s="85"/>
      <c r="L190" s="85"/>
      <c r="M190" s="85"/>
      <c r="N190" s="85"/>
      <c r="O190" s="118">
        <f>((IFERROR((C190*D190*E190),0)+IFERROR((G190*H190*I190),0)+IFERROR((K190*L190*M190),0))/1000000)*35.32</f>
        <v>1.2075201600000001</v>
      </c>
      <c r="P190" s="125">
        <f>Table13[[#This Row],[Column15]]*$P$2*1000</f>
        <v>7245.1209600000002</v>
      </c>
      <c r="Q190" s="87">
        <f>F190+J190+N190</f>
        <v>10850</v>
      </c>
      <c r="R190" s="86">
        <f>MAX(Q190,O190)</f>
        <v>10850</v>
      </c>
      <c r="S190" s="86">
        <f>MAX(R190,P190)</f>
        <v>10850</v>
      </c>
      <c r="T190" s="156" t="str">
        <f>VLOOKUP(A190,'[1]MTP SKUs - Master Data'!$A:$B,2,FALSE)</f>
        <v>Y</v>
      </c>
      <c r="U190" s="162">
        <f>_xlfn.IFNA(VLOOKUP(Table13[[#This Row],[MTP SKU Code]],'Audit Dimensions'!A:N,6,FALSE),"ARC")</f>
        <v>12130</v>
      </c>
      <c r="V190" s="162">
        <f>IFERROR(Table13[[#This Row],[B1.Aud]]-Table13[[#This Row],[PW(gm)]],"ERR")</f>
        <v>1280</v>
      </c>
      <c r="W190" s="165">
        <f>IFERROR(Table13[[#This Row],[B1.Diff]]/Table13[[#This Row],[B1.Aud]],"ERR")</f>
        <v>0.10552349546578731</v>
      </c>
      <c r="X190" s="162">
        <f>_xlfn.IFNA(VLOOKUP(Table13[[#This Row],[MTP SKU Code]],'Audit Dimensions'!A:N,10,FALSE),"ARC")</f>
        <v>0</v>
      </c>
      <c r="Y190" s="163">
        <f>IFERROR(Table13[[#This Row],[B2.Aud]]-Table13[[#This Row],[PW(gm)5]],"ERR")</f>
        <v>0</v>
      </c>
      <c r="Z190" s="165" t="str">
        <f>IFERROR(Table13[[#This Row],[B2.Diff]]/Table13[[#This Row],[B2.Aud]],"ERR")</f>
        <v>ERR</v>
      </c>
      <c r="AA190" s="162">
        <f>_xlfn.IFNA(VLOOKUP(Table13[[#This Row],[MTP SKU Code]],'Audit Dimensions'!A:N,14,FALSE),"ARC")</f>
        <v>0</v>
      </c>
      <c r="AB190" s="161">
        <f>IFERROR(Table13[[#This Row],[B3.Aud]]-Table13[[#This Row],[PW(gm)9]],"ERR")</f>
        <v>0</v>
      </c>
      <c r="AC190" s="168">
        <f>IFERROR(Table13[[#This Row],[B3.Diff]]/Table13[[#This Row],[BaLL.Aud]],"ERR")</f>
        <v>0</v>
      </c>
      <c r="AD190" s="189">
        <f>_xlfn.IFNA(VLOOKUP(Table13[[#This Row],[MTP SKU Code]],'Audit Dimensions'!A:U,16,FALSE),"ARC")</f>
        <v>12130</v>
      </c>
      <c r="AE190" s="165">
        <f>IFERROR(1-Table13[[#This Row],[Gms]]/Table13[[#This Row],[BaLL.Aud]],"ERR")</f>
        <v>0.10552349546578732</v>
      </c>
    </row>
    <row r="191" spans="1:31">
      <c r="A191" s="68" t="s">
        <v>167</v>
      </c>
      <c r="B191" s="84" t="s">
        <v>48</v>
      </c>
      <c r="C191" s="84">
        <v>1</v>
      </c>
      <c r="D191" s="85">
        <v>1</v>
      </c>
      <c r="E191" s="85">
        <v>1</v>
      </c>
      <c r="F191" s="89">
        <v>24700</v>
      </c>
      <c r="G191" s="85"/>
      <c r="H191" s="85"/>
      <c r="I191" s="85"/>
      <c r="J191" s="85"/>
      <c r="K191" s="85"/>
      <c r="L191" s="85"/>
      <c r="M191" s="85"/>
      <c r="N191" s="85"/>
      <c r="O191" s="118">
        <f>((IFERROR((C191*D191*E191),0)+IFERROR((G191*H191*I191),0)+IFERROR((K191*L191*M191),0))/1000000)*35.32</f>
        <v>3.5320000000000001E-5</v>
      </c>
      <c r="P191" s="125">
        <f>Table13[[#This Row],[Column15]]*$P$2*1000</f>
        <v>0.21192</v>
      </c>
      <c r="Q191" s="87">
        <f>F191+J191+N191</f>
        <v>24700</v>
      </c>
      <c r="R191" s="88">
        <f>MAX(Q191,O191)</f>
        <v>24700</v>
      </c>
      <c r="S191" s="86">
        <f>MAX(R191,P191)</f>
        <v>24700</v>
      </c>
      <c r="T191" s="156" t="str">
        <f>VLOOKUP(A191,'[1]MTP SKUs - Master Data'!$A:$B,2,FALSE)</f>
        <v>Y</v>
      </c>
      <c r="U191" s="162">
        <f>_xlfn.IFNA(VLOOKUP(Table13[[#This Row],[MTP SKU Code]],'Audit Dimensions'!A:N,6,FALSE),"ARC")</f>
        <v>27640</v>
      </c>
      <c r="V191" s="162">
        <f>IFERROR(Table13[[#This Row],[B1.Aud]]-Table13[[#This Row],[PW(gm)]],"ERR")</f>
        <v>2940</v>
      </c>
      <c r="W191" s="165">
        <f>IFERROR(Table13[[#This Row],[B1.Diff]]/Table13[[#This Row],[B1.Aud]],"ERR")</f>
        <v>0.10636758321273516</v>
      </c>
      <c r="X191" s="162">
        <f>_xlfn.IFNA(VLOOKUP(Table13[[#This Row],[MTP SKU Code]],'Audit Dimensions'!A:N,10,FALSE),"ARC")</f>
        <v>0</v>
      </c>
      <c r="Y191" s="163">
        <f>IFERROR(Table13[[#This Row],[B2.Aud]]-Table13[[#This Row],[PW(gm)5]],"ERR")</f>
        <v>0</v>
      </c>
      <c r="Z191" s="165" t="str">
        <f>IFERROR(Table13[[#This Row],[B2.Diff]]/Table13[[#This Row],[B2.Aud]],"ERR")</f>
        <v>ERR</v>
      </c>
      <c r="AA191" s="162">
        <f>_xlfn.IFNA(VLOOKUP(Table13[[#This Row],[MTP SKU Code]],'Audit Dimensions'!A:N,14,FALSE),"ARC")</f>
        <v>0</v>
      </c>
      <c r="AB191" s="161">
        <f>IFERROR(Table13[[#This Row],[B3.Aud]]-Table13[[#This Row],[PW(gm)9]],"ERR")</f>
        <v>0</v>
      </c>
      <c r="AC191" s="168">
        <f>IFERROR(Table13[[#This Row],[B3.Diff]]/Table13[[#This Row],[BaLL.Aud]],"ERR")</f>
        <v>0</v>
      </c>
      <c r="AD191" s="189">
        <f>_xlfn.IFNA(VLOOKUP(Table13[[#This Row],[MTP SKU Code]],'Audit Dimensions'!A:U,16,FALSE),"ARC")</f>
        <v>27640</v>
      </c>
      <c r="AE191" s="165">
        <f>IFERROR(1-Table13[[#This Row],[Gms]]/Table13[[#This Row],[BaLL.Aud]],"ERR")</f>
        <v>0.10636758321273521</v>
      </c>
    </row>
    <row r="192" spans="1:31" ht="14.45" customHeight="1">
      <c r="A192" s="68" t="s">
        <v>219</v>
      </c>
      <c r="B192" s="84" t="s">
        <v>48</v>
      </c>
      <c r="C192" s="84">
        <v>153</v>
      </c>
      <c r="D192" s="85">
        <v>43</v>
      </c>
      <c r="E192" s="85">
        <v>9</v>
      </c>
      <c r="F192" s="89">
        <v>23000</v>
      </c>
      <c r="G192" s="85"/>
      <c r="H192" s="85"/>
      <c r="I192" s="85"/>
      <c r="J192" s="85"/>
      <c r="K192" s="85"/>
      <c r="L192" s="85"/>
      <c r="M192" s="85"/>
      <c r="N192" s="85"/>
      <c r="O192" s="118">
        <f>((IFERROR((C192*D192*E192),0)+IFERROR((G192*H192*I192),0)+IFERROR((K192*L192*M192),0))/1000000)*35.32</f>
        <v>2.0913325199999999</v>
      </c>
      <c r="P192" s="125">
        <f>Table13[[#This Row],[Column15]]*$P$2*1000</f>
        <v>12547.99512</v>
      </c>
      <c r="Q192" s="87">
        <f>F192+J192+N192</f>
        <v>23000</v>
      </c>
      <c r="R192" s="86">
        <f>MAX(Q192,O192)</f>
        <v>23000</v>
      </c>
      <c r="S192" s="86">
        <f>MAX(R192,P192)</f>
        <v>23000</v>
      </c>
      <c r="T192" s="156" t="str">
        <f>VLOOKUP(A192,'[1]MTP SKUs - Master Data'!$A:$B,2,FALSE)</f>
        <v>Y</v>
      </c>
      <c r="U192" s="162">
        <f>_xlfn.IFNA(VLOOKUP(Table13[[#This Row],[MTP SKU Code]],'Audit Dimensions'!A:N,6,FALSE),"ARC")</f>
        <v>25740</v>
      </c>
      <c r="V192" s="162">
        <f>IFERROR(Table13[[#This Row],[B1.Aud]]-Table13[[#This Row],[PW(gm)]],"ERR")</f>
        <v>2740</v>
      </c>
      <c r="W192" s="165">
        <f>IFERROR(Table13[[#This Row],[B1.Diff]]/Table13[[#This Row],[B1.Aud]],"ERR")</f>
        <v>0.10644910644910645</v>
      </c>
      <c r="X192" s="162">
        <f>_xlfn.IFNA(VLOOKUP(Table13[[#This Row],[MTP SKU Code]],'Audit Dimensions'!A:N,10,FALSE),"ARC")</f>
        <v>0</v>
      </c>
      <c r="Y192" s="163">
        <f>IFERROR(Table13[[#This Row],[B2.Aud]]-Table13[[#This Row],[PW(gm)5]],"ERR")</f>
        <v>0</v>
      </c>
      <c r="Z192" s="165" t="str">
        <f>IFERROR(Table13[[#This Row],[B2.Diff]]/Table13[[#This Row],[B2.Aud]],"ERR")</f>
        <v>ERR</v>
      </c>
      <c r="AA192" s="162">
        <f>_xlfn.IFNA(VLOOKUP(Table13[[#This Row],[MTP SKU Code]],'Audit Dimensions'!A:N,14,FALSE),"ARC")</f>
        <v>0</v>
      </c>
      <c r="AB192" s="161">
        <f>IFERROR(Table13[[#This Row],[B3.Aud]]-Table13[[#This Row],[PW(gm)9]],"ERR")</f>
        <v>0</v>
      </c>
      <c r="AC192" s="168">
        <f>IFERROR(Table13[[#This Row],[B3.Diff]]/Table13[[#This Row],[BaLL.Aud]],"ERR")</f>
        <v>0</v>
      </c>
      <c r="AD192" s="189">
        <f>_xlfn.IFNA(VLOOKUP(Table13[[#This Row],[MTP SKU Code]],'Audit Dimensions'!A:U,16,FALSE),"ARC")</f>
        <v>25740</v>
      </c>
      <c r="AE192" s="165">
        <f>IFERROR(1-Table13[[#This Row],[Gms]]/Table13[[#This Row],[BaLL.Aud]],"ERR")</f>
        <v>0.10644910644910643</v>
      </c>
    </row>
    <row r="193" spans="1:31">
      <c r="A193" s="68" t="s">
        <v>250</v>
      </c>
      <c r="B193" s="84" t="s">
        <v>48</v>
      </c>
      <c r="C193" s="84">
        <v>1</v>
      </c>
      <c r="D193" s="85">
        <v>1</v>
      </c>
      <c r="E193" s="85">
        <v>1</v>
      </c>
      <c r="F193" s="89">
        <v>26500</v>
      </c>
      <c r="G193" s="85"/>
      <c r="H193" s="85"/>
      <c r="I193" s="85"/>
      <c r="J193" s="85"/>
      <c r="K193" s="85"/>
      <c r="L193" s="85"/>
      <c r="M193" s="85"/>
      <c r="N193" s="85"/>
      <c r="O193" s="118">
        <f>((IFERROR((C193*D193*E193),0)+IFERROR((G193*H193*I193),0)+IFERROR((K193*L193*M193),0))/1000000)*35.32</f>
        <v>3.5320000000000001E-5</v>
      </c>
      <c r="P193" s="125">
        <f>Table13[[#This Row],[Column15]]*$P$2*1000</f>
        <v>0.21192</v>
      </c>
      <c r="Q193" s="87">
        <f>F193+J193+N193</f>
        <v>26500</v>
      </c>
      <c r="R193" s="88">
        <f>MAX(Q193,O193)</f>
        <v>26500</v>
      </c>
      <c r="S193" s="86">
        <f>MAX(R193,P193)</f>
        <v>26500</v>
      </c>
      <c r="T193" s="156" t="str">
        <f>VLOOKUP(A193,'[1]MTP SKUs - Master Data'!$A:$B,2,FALSE)</f>
        <v>Y</v>
      </c>
      <c r="U193" s="162">
        <f>_xlfn.IFNA(VLOOKUP(Table13[[#This Row],[MTP SKU Code]],'Audit Dimensions'!A:N,6,FALSE),"ARC")</f>
        <v>29750</v>
      </c>
      <c r="V193" s="162">
        <f>IFERROR(Table13[[#This Row],[B1.Aud]]-Table13[[#This Row],[PW(gm)]],"ERR")</f>
        <v>3250</v>
      </c>
      <c r="W193" s="165">
        <f>IFERROR(Table13[[#This Row],[B1.Diff]]/Table13[[#This Row],[B1.Aud]],"ERR")</f>
        <v>0.1092436974789916</v>
      </c>
      <c r="X193" s="162">
        <f>_xlfn.IFNA(VLOOKUP(Table13[[#This Row],[MTP SKU Code]],'Audit Dimensions'!A:N,10,FALSE),"ARC")</f>
        <v>0</v>
      </c>
      <c r="Y193" s="163">
        <f>IFERROR(Table13[[#This Row],[B2.Aud]]-Table13[[#This Row],[PW(gm)5]],"ERR")</f>
        <v>0</v>
      </c>
      <c r="Z193" s="165" t="str">
        <f>IFERROR(Table13[[#This Row],[B2.Diff]]/Table13[[#This Row],[B2.Aud]],"ERR")</f>
        <v>ERR</v>
      </c>
      <c r="AA193" s="162">
        <f>_xlfn.IFNA(VLOOKUP(Table13[[#This Row],[MTP SKU Code]],'Audit Dimensions'!A:N,14,FALSE),"ARC")</f>
        <v>0</v>
      </c>
      <c r="AB193" s="161">
        <f>IFERROR(Table13[[#This Row],[B3.Aud]]-Table13[[#This Row],[PW(gm)9]],"ERR")</f>
        <v>0</v>
      </c>
      <c r="AC193" s="168">
        <f>IFERROR(Table13[[#This Row],[B3.Diff]]/Table13[[#This Row],[BaLL.Aud]],"ERR")</f>
        <v>0</v>
      </c>
      <c r="AD193" s="189">
        <f>_xlfn.IFNA(VLOOKUP(Table13[[#This Row],[MTP SKU Code]],'Audit Dimensions'!A:U,16,FALSE),"ARC")</f>
        <v>29750</v>
      </c>
      <c r="AE193" s="165">
        <f>IFERROR(1-Table13[[#This Row],[Gms]]/Table13[[#This Row],[BaLL.Aud]],"ERR")</f>
        <v>0.10924369747899154</v>
      </c>
    </row>
    <row r="194" spans="1:31" ht="12.75" customHeight="1">
      <c r="A194" s="68" t="s">
        <v>212</v>
      </c>
      <c r="B194" s="84" t="s">
        <v>48</v>
      </c>
      <c r="C194" s="85">
        <v>73</v>
      </c>
      <c r="D194" s="85">
        <v>51</v>
      </c>
      <c r="E194" s="85">
        <v>8</v>
      </c>
      <c r="F194" s="89">
        <v>7890</v>
      </c>
      <c r="G194" s="85"/>
      <c r="H194" s="85"/>
      <c r="I194" s="85"/>
      <c r="J194" s="85"/>
      <c r="K194" s="85"/>
      <c r="L194" s="85"/>
      <c r="M194" s="85"/>
      <c r="N194" s="85"/>
      <c r="O194" s="118">
        <f>((IFERROR((C194*D194*E194),0)+IFERROR((G194*H194*I194),0)+IFERROR((K194*L194*M194),0))/1000000)*35.32</f>
        <v>1.0519708800000001</v>
      </c>
      <c r="P194" s="125">
        <f>Table13[[#This Row],[Column15]]*$P$2*1000</f>
        <v>6311.8252800000009</v>
      </c>
      <c r="Q194" s="87">
        <f>F194+J194+N194</f>
        <v>7890</v>
      </c>
      <c r="R194" s="86">
        <f>MAX(Q194,O194)</f>
        <v>7890</v>
      </c>
      <c r="S194" s="86">
        <f>MAX(R194,P194)</f>
        <v>7890</v>
      </c>
      <c r="T194" s="156" t="str">
        <f>VLOOKUP(A194,'[1]MTP SKUs - Master Data'!$A:$B,2,FALSE)</f>
        <v>Y</v>
      </c>
      <c r="U194" s="162">
        <f>_xlfn.IFNA(VLOOKUP(Table13[[#This Row],[MTP SKU Code]],'Audit Dimensions'!A:N,6,FALSE),"ARC")</f>
        <v>8860</v>
      </c>
      <c r="V194" s="162">
        <f>IFERROR(Table13[[#This Row],[B1.Aud]]-Table13[[#This Row],[PW(gm)]],"ERR")</f>
        <v>970</v>
      </c>
      <c r="W194" s="165">
        <f>IFERROR(Table13[[#This Row],[B1.Diff]]/Table13[[#This Row],[B1.Aud]],"ERR")</f>
        <v>0.10948081264108352</v>
      </c>
      <c r="X194" s="162">
        <f>_xlfn.IFNA(VLOOKUP(Table13[[#This Row],[MTP SKU Code]],'Audit Dimensions'!A:N,10,FALSE),"ARC")</f>
        <v>0</v>
      </c>
      <c r="Y194" s="163">
        <f>IFERROR(Table13[[#This Row],[B2.Aud]]-Table13[[#This Row],[PW(gm)5]],"ERR")</f>
        <v>0</v>
      </c>
      <c r="Z194" s="165" t="str">
        <f>IFERROR(Table13[[#This Row],[B2.Diff]]/Table13[[#This Row],[B2.Aud]],"ERR")</f>
        <v>ERR</v>
      </c>
      <c r="AA194" s="162">
        <f>_xlfn.IFNA(VLOOKUP(Table13[[#This Row],[MTP SKU Code]],'Audit Dimensions'!A:N,14,FALSE),"ARC")</f>
        <v>0</v>
      </c>
      <c r="AB194" s="161">
        <f>IFERROR(Table13[[#This Row],[B3.Aud]]-Table13[[#This Row],[PW(gm)9]],"ERR")</f>
        <v>0</v>
      </c>
      <c r="AC194" s="168">
        <f>IFERROR(Table13[[#This Row],[B3.Diff]]/Table13[[#This Row],[BaLL.Aud]],"ERR")</f>
        <v>0</v>
      </c>
      <c r="AD194" s="189">
        <f>_xlfn.IFNA(VLOOKUP(Table13[[#This Row],[MTP SKU Code]],'Audit Dimensions'!A:U,16,FALSE),"ARC")</f>
        <v>8860</v>
      </c>
      <c r="AE194" s="165">
        <f>IFERROR(1-Table13[[#This Row],[Gms]]/Table13[[#This Row],[BaLL.Aud]],"ERR")</f>
        <v>0.10948081264108356</v>
      </c>
    </row>
    <row r="195" spans="1:31">
      <c r="A195" s="68" t="s">
        <v>248</v>
      </c>
      <c r="B195" s="84" t="s">
        <v>48</v>
      </c>
      <c r="C195" s="85">
        <v>87</v>
      </c>
      <c r="D195" s="85">
        <v>20</v>
      </c>
      <c r="E195" s="85">
        <v>9</v>
      </c>
      <c r="F195" s="89">
        <v>5890</v>
      </c>
      <c r="G195" s="85"/>
      <c r="H195" s="85"/>
      <c r="I195" s="85"/>
      <c r="J195" s="85"/>
      <c r="K195" s="85"/>
      <c r="L195" s="85"/>
      <c r="M195" s="85"/>
      <c r="N195" s="85"/>
      <c r="O195" s="118">
        <f>((IFERROR((C195*D195*E195),0)+IFERROR((G195*H195*I195),0)+IFERROR((K195*L195*M195),0))/1000000)*35.32</f>
        <v>0.55311120000000003</v>
      </c>
      <c r="P195" s="125">
        <f>Table13[[#This Row],[Column15]]*$P$2*1000</f>
        <v>3318.6672000000003</v>
      </c>
      <c r="Q195" s="87">
        <f>F195+J195+N195</f>
        <v>5890</v>
      </c>
      <c r="R195" s="86">
        <f>MAX(Q195,O195)</f>
        <v>5890</v>
      </c>
      <c r="S195" s="86">
        <f>MAX(R195,P195)</f>
        <v>5890</v>
      </c>
      <c r="T195" s="156" t="str">
        <f>VLOOKUP(A195,'[1]MTP SKUs - Master Data'!$A:$B,2,FALSE)</f>
        <v>Y</v>
      </c>
      <c r="U195" s="162">
        <f>_xlfn.IFNA(VLOOKUP(Table13[[#This Row],[MTP SKU Code]],'Audit Dimensions'!A:N,6,FALSE),"ARC")</f>
        <v>6640</v>
      </c>
      <c r="V195" s="162">
        <f>IFERROR(Table13[[#This Row],[B1.Aud]]-Table13[[#This Row],[PW(gm)]],"ERR")</f>
        <v>750</v>
      </c>
      <c r="W195" s="165">
        <f>IFERROR(Table13[[#This Row],[B1.Diff]]/Table13[[#This Row],[B1.Aud]],"ERR")</f>
        <v>0.11295180722891567</v>
      </c>
      <c r="X195" s="162">
        <f>_xlfn.IFNA(VLOOKUP(Table13[[#This Row],[MTP SKU Code]],'Audit Dimensions'!A:N,10,FALSE),"ARC")</f>
        <v>0</v>
      </c>
      <c r="Y195" s="163">
        <f>IFERROR(Table13[[#This Row],[B2.Aud]]-Table13[[#This Row],[PW(gm)5]],"ERR")</f>
        <v>0</v>
      </c>
      <c r="Z195" s="165" t="str">
        <f>IFERROR(Table13[[#This Row],[B2.Diff]]/Table13[[#This Row],[B2.Aud]],"ERR")</f>
        <v>ERR</v>
      </c>
      <c r="AA195" s="162">
        <f>_xlfn.IFNA(VLOOKUP(Table13[[#This Row],[MTP SKU Code]],'Audit Dimensions'!A:N,14,FALSE),"ARC")</f>
        <v>0</v>
      </c>
      <c r="AB195" s="161">
        <f>IFERROR(Table13[[#This Row],[B3.Aud]]-Table13[[#This Row],[PW(gm)9]],"ERR")</f>
        <v>0</v>
      </c>
      <c r="AC195" s="168">
        <f>IFERROR(Table13[[#This Row],[B3.Diff]]/Table13[[#This Row],[BaLL.Aud]],"ERR")</f>
        <v>0</v>
      </c>
      <c r="AD195" s="189">
        <f>_xlfn.IFNA(VLOOKUP(Table13[[#This Row],[MTP SKU Code]],'Audit Dimensions'!A:U,16,FALSE),"ARC")</f>
        <v>6640</v>
      </c>
      <c r="AE195" s="165">
        <f>IFERROR(1-Table13[[#This Row],[Gms]]/Table13[[#This Row],[BaLL.Aud]],"ERR")</f>
        <v>0.11295180722891562</v>
      </c>
    </row>
    <row r="196" spans="1:31">
      <c r="A196" s="68" t="s">
        <v>141</v>
      </c>
      <c r="B196" s="84" t="s">
        <v>48</v>
      </c>
      <c r="C196" s="85">
        <v>188</v>
      </c>
      <c r="D196" s="85">
        <v>44</v>
      </c>
      <c r="E196" s="85">
        <v>9</v>
      </c>
      <c r="F196" s="89">
        <v>33270</v>
      </c>
      <c r="G196" s="85"/>
      <c r="H196" s="85"/>
      <c r="I196" s="85"/>
      <c r="J196" s="85"/>
      <c r="K196" s="85"/>
      <c r="L196" s="85"/>
      <c r="M196" s="85"/>
      <c r="N196" s="85"/>
      <c r="O196" s="118">
        <f>((IFERROR((C196*D196*E196),0)+IFERROR((G196*H196*I196),0)+IFERROR((K196*L196*M196),0))/1000000)*35.32</f>
        <v>2.6295033600000002</v>
      </c>
      <c r="P196" s="125">
        <f>Table13[[#This Row],[Column15]]*$P$2*1000</f>
        <v>15777.020160000002</v>
      </c>
      <c r="Q196" s="87">
        <f>F196+J196+N196</f>
        <v>33270</v>
      </c>
      <c r="R196" s="86">
        <f>MAX(Q196,O196)</f>
        <v>33270</v>
      </c>
      <c r="S196" s="86">
        <f>MAX(R196,P196)</f>
        <v>33270</v>
      </c>
      <c r="T196" s="156" t="str">
        <f>VLOOKUP(A196,'[1]MTP SKUs - Master Data'!$A:$B,2,FALSE)</f>
        <v>Y</v>
      </c>
      <c r="U196" s="162">
        <f>_xlfn.IFNA(VLOOKUP(Table13[[#This Row],[MTP SKU Code]],'Audit Dimensions'!A:N,6,FALSE),"ARC")</f>
        <v>37560</v>
      </c>
      <c r="V196" s="162">
        <f>IFERROR(Table13[[#This Row],[B1.Aud]]-Table13[[#This Row],[PW(gm)]],"ERR")</f>
        <v>4290</v>
      </c>
      <c r="W196" s="165">
        <f>IFERROR(Table13[[#This Row],[B1.Diff]]/Table13[[#This Row],[B1.Aud]],"ERR")</f>
        <v>0.11421725239616613</v>
      </c>
      <c r="X196" s="162">
        <f>_xlfn.IFNA(VLOOKUP(Table13[[#This Row],[MTP SKU Code]],'Audit Dimensions'!A:N,10,FALSE),"ARC")</f>
        <v>0</v>
      </c>
      <c r="Y196" s="163">
        <f>IFERROR(Table13[[#This Row],[B2.Aud]]-Table13[[#This Row],[PW(gm)5]],"ERR")</f>
        <v>0</v>
      </c>
      <c r="Z196" s="165" t="str">
        <f>IFERROR(Table13[[#This Row],[B2.Diff]]/Table13[[#This Row],[B2.Aud]],"ERR")</f>
        <v>ERR</v>
      </c>
      <c r="AA196" s="162">
        <f>_xlfn.IFNA(VLOOKUP(Table13[[#This Row],[MTP SKU Code]],'Audit Dimensions'!A:N,14,FALSE),"ARC")</f>
        <v>0</v>
      </c>
      <c r="AB196" s="161">
        <f>IFERROR(Table13[[#This Row],[B3.Aud]]-Table13[[#This Row],[PW(gm)9]],"ERR")</f>
        <v>0</v>
      </c>
      <c r="AC196" s="168">
        <f>IFERROR(Table13[[#This Row],[B3.Diff]]/Table13[[#This Row],[BaLL.Aud]],"ERR")</f>
        <v>0</v>
      </c>
      <c r="AD196" s="189">
        <f>_xlfn.IFNA(VLOOKUP(Table13[[#This Row],[MTP SKU Code]],'Audit Dimensions'!A:U,16,FALSE),"ARC")</f>
        <v>37560</v>
      </c>
      <c r="AE196" s="165">
        <f>IFERROR(1-Table13[[#This Row],[Gms]]/Table13[[#This Row],[BaLL.Aud]],"ERR")</f>
        <v>0.11421725239616609</v>
      </c>
    </row>
    <row r="197" spans="1:31">
      <c r="A197" s="68" t="s">
        <v>210</v>
      </c>
      <c r="B197" s="84" t="s">
        <v>48</v>
      </c>
      <c r="C197" s="85">
        <v>135</v>
      </c>
      <c r="D197" s="85">
        <v>36</v>
      </c>
      <c r="E197" s="85">
        <v>7</v>
      </c>
      <c r="F197" s="89">
        <v>10800</v>
      </c>
      <c r="G197" s="85"/>
      <c r="H197" s="85"/>
      <c r="I197" s="85"/>
      <c r="J197" s="85"/>
      <c r="K197" s="85"/>
      <c r="L197" s="85"/>
      <c r="M197" s="85"/>
      <c r="N197" s="85"/>
      <c r="O197" s="118">
        <f>((IFERROR((C197*D197*E197),0)+IFERROR((G197*H197*I197),0)+IFERROR((K197*L197*M197),0))/1000000)*35.32</f>
        <v>1.2015864000000001</v>
      </c>
      <c r="P197" s="125">
        <f>Table13[[#This Row],[Column15]]*$P$2*1000</f>
        <v>7209.5183999999999</v>
      </c>
      <c r="Q197" s="87">
        <f>F197+J197+N197</f>
        <v>10800</v>
      </c>
      <c r="R197" s="86">
        <f>MAX(Q197,O197)</f>
        <v>10800</v>
      </c>
      <c r="S197" s="86">
        <f>MAX(R197,P197)</f>
        <v>10800</v>
      </c>
      <c r="T197" s="156" t="str">
        <f>VLOOKUP(A197,'[1]MTP SKUs - Master Data'!$A:$B,2,FALSE)</f>
        <v>Y</v>
      </c>
      <c r="U197" s="162">
        <f>_xlfn.IFNA(VLOOKUP(Table13[[#This Row],[MTP SKU Code]],'Audit Dimensions'!A:N,6,FALSE),"ARC")</f>
        <v>12200</v>
      </c>
      <c r="V197" s="162">
        <f>IFERROR(Table13[[#This Row],[B1.Aud]]-Table13[[#This Row],[PW(gm)]],"ERR")</f>
        <v>1400</v>
      </c>
      <c r="W197" s="165">
        <f>IFERROR(Table13[[#This Row],[B1.Diff]]/Table13[[#This Row],[B1.Aud]],"ERR")</f>
        <v>0.11475409836065574</v>
      </c>
      <c r="X197" s="162">
        <f>_xlfn.IFNA(VLOOKUP(Table13[[#This Row],[MTP SKU Code]],'Audit Dimensions'!A:N,10,FALSE),"ARC")</f>
        <v>0</v>
      </c>
      <c r="Y197" s="163">
        <f>IFERROR(Table13[[#This Row],[B2.Aud]]-Table13[[#This Row],[PW(gm)5]],"ERR")</f>
        <v>0</v>
      </c>
      <c r="Z197" s="165" t="str">
        <f>IFERROR(Table13[[#This Row],[B2.Diff]]/Table13[[#This Row],[B2.Aud]],"ERR")</f>
        <v>ERR</v>
      </c>
      <c r="AA197" s="162">
        <f>_xlfn.IFNA(VLOOKUP(Table13[[#This Row],[MTP SKU Code]],'Audit Dimensions'!A:N,14,FALSE),"ARC")</f>
        <v>0</v>
      </c>
      <c r="AB197" s="161">
        <f>IFERROR(Table13[[#This Row],[B3.Aud]]-Table13[[#This Row],[PW(gm)9]],"ERR")</f>
        <v>0</v>
      </c>
      <c r="AC197" s="168">
        <f>IFERROR(Table13[[#This Row],[B3.Diff]]/Table13[[#This Row],[BaLL.Aud]],"ERR")</f>
        <v>0</v>
      </c>
      <c r="AD197" s="189">
        <f>_xlfn.IFNA(VLOOKUP(Table13[[#This Row],[MTP SKU Code]],'Audit Dimensions'!A:U,16,FALSE),"ARC")</f>
        <v>12200</v>
      </c>
      <c r="AE197" s="165">
        <f>IFERROR(1-Table13[[#This Row],[Gms]]/Table13[[#This Row],[BaLL.Aud]],"ERR")</f>
        <v>0.11475409836065575</v>
      </c>
    </row>
    <row r="198" spans="1:31" hidden="1">
      <c r="A198" s="68" t="s">
        <v>243</v>
      </c>
      <c r="B198" s="84" t="s">
        <v>48</v>
      </c>
      <c r="C198" s="85">
        <v>97</v>
      </c>
      <c r="D198" s="85">
        <v>56</v>
      </c>
      <c r="E198" s="85">
        <v>4</v>
      </c>
      <c r="F198" s="89">
        <v>9550</v>
      </c>
      <c r="G198" s="85"/>
      <c r="H198" s="85"/>
      <c r="I198" s="85"/>
      <c r="J198" s="85"/>
      <c r="K198" s="85"/>
      <c r="L198" s="85"/>
      <c r="M198" s="85"/>
      <c r="N198" s="85"/>
      <c r="O198" s="118">
        <f>((IFERROR((C198*D198*E198),0)+IFERROR((G198*H198*I198),0)+IFERROR((K198*L198*M198),0))/1000000)*35.32</f>
        <v>0.76743296000000005</v>
      </c>
      <c r="P198" s="125">
        <f>Table13[[#This Row],[Column15]]*$P$2*1000</f>
        <v>4604.5977600000006</v>
      </c>
      <c r="Q198" s="87">
        <f>F198+J198+N198</f>
        <v>9550</v>
      </c>
      <c r="R198" s="86">
        <f>MAX(Q198,O198)</f>
        <v>9550</v>
      </c>
      <c r="S198" s="86">
        <f>MAX(R198,P198)</f>
        <v>9550</v>
      </c>
      <c r="T198" s="156" t="str">
        <f>VLOOKUP(A198,'[1]MTP SKUs - Master Data'!$A:$B,2,FALSE)</f>
        <v>DI</v>
      </c>
      <c r="U198" s="162">
        <f>_xlfn.IFNA(VLOOKUP(Table13[[#This Row],[MTP SKU Code]],'Audit Dimensions'!A:N,6,FALSE),"ARC")</f>
        <v>10805</v>
      </c>
      <c r="V198" s="162">
        <f>IFERROR(Table13[[#This Row],[B1.Aud]]-Table13[[#This Row],[PW(gm)]],"ERR")</f>
        <v>1255</v>
      </c>
      <c r="W198" s="165">
        <f>IFERROR(Table13[[#This Row],[B1.Diff]]/Table13[[#This Row],[B1.Aud]],"ERR")</f>
        <v>0.11614993058769088</v>
      </c>
      <c r="X198" s="162">
        <f>_xlfn.IFNA(VLOOKUP(Table13[[#This Row],[MTP SKU Code]],'Audit Dimensions'!A:N,10,FALSE),"ARC")</f>
        <v>0</v>
      </c>
      <c r="Y198" s="163">
        <f>IFERROR(Table13[[#This Row],[B2.Aud]]-Table13[[#This Row],[PW(gm)5]],"ERR")</f>
        <v>0</v>
      </c>
      <c r="Z198" s="165" t="str">
        <f>IFERROR(Table13[[#This Row],[B2.Diff]]/Table13[[#This Row],[B2.Aud]],"ERR")</f>
        <v>ERR</v>
      </c>
      <c r="AA198" s="162">
        <f>_xlfn.IFNA(VLOOKUP(Table13[[#This Row],[MTP SKU Code]],'Audit Dimensions'!A:N,14,FALSE),"ARC")</f>
        <v>0</v>
      </c>
      <c r="AB198" s="161">
        <f>IFERROR(Table13[[#This Row],[B3.Aud]]-Table13[[#This Row],[PW(gm)9]],"ERR")</f>
        <v>0</v>
      </c>
      <c r="AC198" s="168">
        <f>IFERROR(Table13[[#This Row],[B3.Diff]]/Table13[[#This Row],[BaLL.Aud]],"ERR")</f>
        <v>0</v>
      </c>
      <c r="AD198" s="162">
        <f>_xlfn.IFNA(VLOOKUP(Table13[[#This Row],[MTP SKU Code]],'Audit Dimensions'!A:U,16,FALSE),"ARC")</f>
        <v>10805</v>
      </c>
      <c r="AE198" s="165">
        <f>IFERROR(1-Table13[[#This Row],[Gms]]/Table13[[#This Row],[BaLL.Aud]],"ERR")</f>
        <v>0.11614993058769085</v>
      </c>
    </row>
    <row r="199" spans="1:31">
      <c r="A199" s="68" t="s">
        <v>271</v>
      </c>
      <c r="B199" s="84" t="s">
        <v>48</v>
      </c>
      <c r="C199" s="85">
        <v>87</v>
      </c>
      <c r="D199" s="85">
        <v>19</v>
      </c>
      <c r="E199" s="85">
        <v>8</v>
      </c>
      <c r="F199" s="89">
        <v>4360</v>
      </c>
      <c r="G199" s="85"/>
      <c r="H199" s="85"/>
      <c r="I199" s="85"/>
      <c r="J199" s="85"/>
      <c r="K199" s="85"/>
      <c r="L199" s="85"/>
      <c r="M199" s="85"/>
      <c r="N199" s="85"/>
      <c r="O199" s="118">
        <f>((IFERROR((C199*D199*E199),0)+IFERROR((G199*H199*I199),0)+IFERROR((K199*L199*M199),0))/1000000)*35.32</f>
        <v>0.46707167999999999</v>
      </c>
      <c r="P199" s="125">
        <f>Table13[[#This Row],[Column15]]*$P$2*1000</f>
        <v>2802.4300799999996</v>
      </c>
      <c r="Q199" s="87">
        <f>F199+J199+N199</f>
        <v>4360</v>
      </c>
      <c r="R199" s="86">
        <f>MAX(Q199,O199)</f>
        <v>4360</v>
      </c>
      <c r="S199" s="86">
        <f>MAX(R199,P199)</f>
        <v>4360</v>
      </c>
      <c r="T199" s="156" t="str">
        <f>VLOOKUP(A199,'[1]MTP SKUs - Master Data'!$A:$B,2,FALSE)</f>
        <v>Y</v>
      </c>
      <c r="U199" s="162">
        <f>_xlfn.IFNA(VLOOKUP(Table13[[#This Row],[MTP SKU Code]],'Audit Dimensions'!A:N,6,FALSE),"ARC")</f>
        <v>4950</v>
      </c>
      <c r="V199" s="162">
        <f>IFERROR(Table13[[#This Row],[B1.Aud]]-Table13[[#This Row],[PW(gm)]],"ERR")</f>
        <v>590</v>
      </c>
      <c r="W199" s="165">
        <f>IFERROR(Table13[[#This Row],[B1.Diff]]/Table13[[#This Row],[B1.Aud]],"ERR")</f>
        <v>0.1191919191919192</v>
      </c>
      <c r="X199" s="162">
        <f>_xlfn.IFNA(VLOOKUP(Table13[[#This Row],[MTP SKU Code]],'Audit Dimensions'!A:N,10,FALSE),"ARC")</f>
        <v>0</v>
      </c>
      <c r="Y199" s="163">
        <f>IFERROR(Table13[[#This Row],[B2.Aud]]-Table13[[#This Row],[PW(gm)5]],"ERR")</f>
        <v>0</v>
      </c>
      <c r="Z199" s="165" t="str">
        <f>IFERROR(Table13[[#This Row],[B2.Diff]]/Table13[[#This Row],[B2.Aud]],"ERR")</f>
        <v>ERR</v>
      </c>
      <c r="AA199" s="162">
        <f>_xlfn.IFNA(VLOOKUP(Table13[[#This Row],[MTP SKU Code]],'Audit Dimensions'!A:N,14,FALSE),"ARC")</f>
        <v>0</v>
      </c>
      <c r="AB199" s="161">
        <f>IFERROR(Table13[[#This Row],[B3.Aud]]-Table13[[#This Row],[PW(gm)9]],"ERR")</f>
        <v>0</v>
      </c>
      <c r="AC199" s="168">
        <f>IFERROR(Table13[[#This Row],[B3.Diff]]/Table13[[#This Row],[BaLL.Aud]],"ERR")</f>
        <v>0</v>
      </c>
      <c r="AD199" s="189">
        <f>_xlfn.IFNA(VLOOKUP(Table13[[#This Row],[MTP SKU Code]],'Audit Dimensions'!A:U,16,FALSE),"ARC")</f>
        <v>4950</v>
      </c>
      <c r="AE199" s="165">
        <f>IFERROR(1-Table13[[#This Row],[Gms]]/Table13[[#This Row],[BaLL.Aud]],"ERR")</f>
        <v>0.11919191919191918</v>
      </c>
    </row>
    <row r="200" spans="1:31">
      <c r="A200" s="68" t="s">
        <v>166</v>
      </c>
      <c r="B200" s="84" t="s">
        <v>48</v>
      </c>
      <c r="C200" s="85">
        <v>97</v>
      </c>
      <c r="D200" s="85">
        <v>51</v>
      </c>
      <c r="E200" s="85">
        <v>5</v>
      </c>
      <c r="F200" s="89">
        <v>9140</v>
      </c>
      <c r="G200" s="85"/>
      <c r="H200" s="85"/>
      <c r="I200" s="85"/>
      <c r="J200" s="85"/>
      <c r="K200" s="85"/>
      <c r="L200" s="85"/>
      <c r="M200" s="85"/>
      <c r="N200" s="85"/>
      <c r="O200" s="118">
        <f>((IFERROR((C200*D200*E200),0)+IFERROR((G200*H200*I200),0)+IFERROR((K200*L200*M200),0))/1000000)*35.32</f>
        <v>0.87364019999999998</v>
      </c>
      <c r="P200" s="125">
        <f>Table13[[#This Row],[Column15]]*$P$2*1000</f>
        <v>5241.8411999999998</v>
      </c>
      <c r="Q200" s="87">
        <f>F200+J200+N200</f>
        <v>9140</v>
      </c>
      <c r="R200" s="86">
        <f>MAX(Q200,O200)</f>
        <v>9140</v>
      </c>
      <c r="S200" s="86">
        <f>MAX(R200,P200)</f>
        <v>9140</v>
      </c>
      <c r="T200" s="156" t="str">
        <f>VLOOKUP(A200,'[1]MTP SKUs - Master Data'!$A:$B,2,FALSE)</f>
        <v>Y</v>
      </c>
      <c r="U200" s="162">
        <f>_xlfn.IFNA(VLOOKUP(Table13[[#This Row],[MTP SKU Code]],'Audit Dimensions'!A:N,6,FALSE),"ARC")</f>
        <v>10400</v>
      </c>
      <c r="V200" s="162">
        <f>IFERROR(Table13[[#This Row],[B1.Aud]]-Table13[[#This Row],[PW(gm)]],"ERR")</f>
        <v>1260</v>
      </c>
      <c r="W200" s="165">
        <f>IFERROR(Table13[[#This Row],[B1.Diff]]/Table13[[#This Row],[B1.Aud]],"ERR")</f>
        <v>0.12115384615384615</v>
      </c>
      <c r="X200" s="162">
        <f>_xlfn.IFNA(VLOOKUP(Table13[[#This Row],[MTP SKU Code]],'Audit Dimensions'!A:N,10,FALSE),"ARC")</f>
        <v>0</v>
      </c>
      <c r="Y200" s="163">
        <f>IFERROR(Table13[[#This Row],[B2.Aud]]-Table13[[#This Row],[PW(gm)5]],"ERR")</f>
        <v>0</v>
      </c>
      <c r="Z200" s="165" t="str">
        <f>IFERROR(Table13[[#This Row],[B2.Diff]]/Table13[[#This Row],[B2.Aud]],"ERR")</f>
        <v>ERR</v>
      </c>
      <c r="AA200" s="162">
        <f>_xlfn.IFNA(VLOOKUP(Table13[[#This Row],[MTP SKU Code]],'Audit Dimensions'!A:N,14,FALSE),"ARC")</f>
        <v>0</v>
      </c>
      <c r="AB200" s="161">
        <f>IFERROR(Table13[[#This Row],[B3.Aud]]-Table13[[#This Row],[PW(gm)9]],"ERR")</f>
        <v>0</v>
      </c>
      <c r="AC200" s="168">
        <f>IFERROR(Table13[[#This Row],[B3.Diff]]/Table13[[#This Row],[BaLL.Aud]],"ERR")</f>
        <v>0</v>
      </c>
      <c r="AD200" s="189">
        <f>_xlfn.IFNA(VLOOKUP(Table13[[#This Row],[MTP SKU Code]],'Audit Dimensions'!A:U,16,FALSE),"ARC")</f>
        <v>10400</v>
      </c>
      <c r="AE200" s="165">
        <f>IFERROR(1-Table13[[#This Row],[Gms]]/Table13[[#This Row],[BaLL.Aud]],"ERR")</f>
        <v>0.12115384615384617</v>
      </c>
    </row>
    <row r="201" spans="1:31">
      <c r="A201" s="68" t="s">
        <v>172</v>
      </c>
      <c r="B201" s="84" t="s">
        <v>48</v>
      </c>
      <c r="C201" s="85">
        <v>137</v>
      </c>
      <c r="D201" s="85">
        <v>30</v>
      </c>
      <c r="E201" s="85">
        <v>10</v>
      </c>
      <c r="F201" s="89">
        <v>18445</v>
      </c>
      <c r="G201" s="85"/>
      <c r="H201" s="85"/>
      <c r="I201" s="85"/>
      <c r="J201" s="85"/>
      <c r="K201" s="85"/>
      <c r="L201" s="85"/>
      <c r="M201" s="85"/>
      <c r="N201" s="85"/>
      <c r="O201" s="118">
        <f>((IFERROR((C201*D201*E201),0)+IFERROR((G201*H201*I201),0)+IFERROR((K201*L201*M201),0))/1000000)*35.32</f>
        <v>1.4516519999999999</v>
      </c>
      <c r="P201" s="125">
        <f>Table13[[#This Row],[Column15]]*$P$2*1000</f>
        <v>8709.9119999999984</v>
      </c>
      <c r="Q201" s="87">
        <f>F201+J201+N201</f>
        <v>18445</v>
      </c>
      <c r="R201" s="86">
        <f>MAX(Q201,O201)</f>
        <v>18445</v>
      </c>
      <c r="S201" s="86">
        <f>MAX(R201,P201)</f>
        <v>18445</v>
      </c>
      <c r="T201" s="156" t="str">
        <f>VLOOKUP(A201,'[1]MTP SKUs - Master Data'!$A:$B,2,FALSE)</f>
        <v>Y</v>
      </c>
      <c r="U201" s="162">
        <f>_xlfn.IFNA(VLOOKUP(Table13[[#This Row],[MTP SKU Code]],'Audit Dimensions'!A:N,6,FALSE),"ARC")</f>
        <v>20990</v>
      </c>
      <c r="V201" s="162">
        <f>IFERROR(Table13[[#This Row],[B1.Aud]]-Table13[[#This Row],[PW(gm)]],"ERR")</f>
        <v>2545</v>
      </c>
      <c r="W201" s="165">
        <f>IFERROR(Table13[[#This Row],[B1.Diff]]/Table13[[#This Row],[B1.Aud]],"ERR")</f>
        <v>0.12124821343496903</v>
      </c>
      <c r="X201" s="162">
        <f>_xlfn.IFNA(VLOOKUP(Table13[[#This Row],[MTP SKU Code]],'Audit Dimensions'!A:N,10,FALSE),"ARC")</f>
        <v>0</v>
      </c>
      <c r="Y201" s="163">
        <f>IFERROR(Table13[[#This Row],[B2.Aud]]-Table13[[#This Row],[PW(gm)5]],"ERR")</f>
        <v>0</v>
      </c>
      <c r="Z201" s="165" t="str">
        <f>IFERROR(Table13[[#This Row],[B2.Diff]]/Table13[[#This Row],[B2.Aud]],"ERR")</f>
        <v>ERR</v>
      </c>
      <c r="AA201" s="162">
        <f>_xlfn.IFNA(VLOOKUP(Table13[[#This Row],[MTP SKU Code]],'Audit Dimensions'!A:N,14,FALSE),"ARC")</f>
        <v>0</v>
      </c>
      <c r="AB201" s="161">
        <f>IFERROR(Table13[[#This Row],[B3.Aud]]-Table13[[#This Row],[PW(gm)9]],"ERR")</f>
        <v>0</v>
      </c>
      <c r="AC201" s="168">
        <f>IFERROR(Table13[[#This Row],[B3.Diff]]/Table13[[#This Row],[BaLL.Aud]],"ERR")</f>
        <v>0</v>
      </c>
      <c r="AD201" s="189">
        <f>_xlfn.IFNA(VLOOKUP(Table13[[#This Row],[MTP SKU Code]],'Audit Dimensions'!A:U,16,FALSE),"ARC")</f>
        <v>20990</v>
      </c>
      <c r="AE201" s="165">
        <f>IFERROR(1-Table13[[#This Row],[Gms]]/Table13[[#This Row],[BaLL.Aud]],"ERR")</f>
        <v>0.12124821343496905</v>
      </c>
    </row>
    <row r="202" spans="1:31">
      <c r="A202" s="68" t="s">
        <v>211</v>
      </c>
      <c r="B202" s="84" t="s">
        <v>48</v>
      </c>
      <c r="C202" s="85">
        <v>134</v>
      </c>
      <c r="D202" s="85">
        <v>44</v>
      </c>
      <c r="E202" s="85">
        <v>10</v>
      </c>
      <c r="F202" s="89">
        <v>26500</v>
      </c>
      <c r="G202" s="85"/>
      <c r="H202" s="85"/>
      <c r="I202" s="85"/>
      <c r="J202" s="85"/>
      <c r="K202" s="85"/>
      <c r="L202" s="85"/>
      <c r="M202" s="85"/>
      <c r="N202" s="85"/>
      <c r="O202" s="118">
        <f>((IFERROR((C202*D202*E202),0)+IFERROR((G202*H202*I202),0)+IFERROR((K202*L202*M202),0))/1000000)*35.32</f>
        <v>2.0824672</v>
      </c>
      <c r="P202" s="125">
        <f>Table13[[#This Row],[Column15]]*$P$2*1000</f>
        <v>12494.8032</v>
      </c>
      <c r="Q202" s="87">
        <f>F202+J202+N202</f>
        <v>26500</v>
      </c>
      <c r="R202" s="86">
        <f>MAX(Q202,O202)</f>
        <v>26500</v>
      </c>
      <c r="S202" s="86">
        <f>MAX(R202,P202)</f>
        <v>26500</v>
      </c>
      <c r="T202" s="156" t="str">
        <f>VLOOKUP(A202,'[1]MTP SKUs - Master Data'!$A:$B,2,FALSE)</f>
        <v>Y</v>
      </c>
      <c r="U202" s="162">
        <f>_xlfn.IFNA(VLOOKUP(Table13[[#This Row],[MTP SKU Code]],'Audit Dimensions'!A:N,6,FALSE),"ARC")</f>
        <v>30310</v>
      </c>
      <c r="V202" s="162">
        <f>IFERROR(Table13[[#This Row],[B1.Aud]]-Table13[[#This Row],[PW(gm)]],"ERR")</f>
        <v>3810</v>
      </c>
      <c r="W202" s="165">
        <f>IFERROR(Table13[[#This Row],[B1.Diff]]/Table13[[#This Row],[B1.Aud]],"ERR")</f>
        <v>0.1257010887495876</v>
      </c>
      <c r="X202" s="162">
        <f>_xlfn.IFNA(VLOOKUP(Table13[[#This Row],[MTP SKU Code]],'Audit Dimensions'!A:N,10,FALSE),"ARC")</f>
        <v>0</v>
      </c>
      <c r="Y202" s="163">
        <f>IFERROR(Table13[[#This Row],[B2.Aud]]-Table13[[#This Row],[PW(gm)5]],"ERR")</f>
        <v>0</v>
      </c>
      <c r="Z202" s="165" t="str">
        <f>IFERROR(Table13[[#This Row],[B2.Diff]]/Table13[[#This Row],[B2.Aud]],"ERR")</f>
        <v>ERR</v>
      </c>
      <c r="AA202" s="162">
        <f>_xlfn.IFNA(VLOOKUP(Table13[[#This Row],[MTP SKU Code]],'Audit Dimensions'!A:N,14,FALSE),"ARC")</f>
        <v>0</v>
      </c>
      <c r="AB202" s="161">
        <f>IFERROR(Table13[[#This Row],[B3.Aud]]-Table13[[#This Row],[PW(gm)9]],"ERR")</f>
        <v>0</v>
      </c>
      <c r="AC202" s="168">
        <f>IFERROR(Table13[[#This Row],[B3.Diff]]/Table13[[#This Row],[BaLL.Aud]],"ERR")</f>
        <v>0</v>
      </c>
      <c r="AD202" s="189">
        <f>_xlfn.IFNA(VLOOKUP(Table13[[#This Row],[MTP SKU Code]],'Audit Dimensions'!A:U,16,FALSE),"ARC")</f>
        <v>30310</v>
      </c>
      <c r="AE202" s="165">
        <f>IFERROR(1-Table13[[#This Row],[Gms]]/Table13[[#This Row],[BaLL.Aud]],"ERR")</f>
        <v>0.12570108874958763</v>
      </c>
    </row>
    <row r="203" spans="1:31">
      <c r="A203" s="68" t="s">
        <v>191</v>
      </c>
      <c r="B203" s="84" t="s">
        <v>48</v>
      </c>
      <c r="C203" s="85">
        <v>129</v>
      </c>
      <c r="D203" s="85">
        <v>43</v>
      </c>
      <c r="E203" s="85">
        <v>13</v>
      </c>
      <c r="F203" s="89">
        <v>26300</v>
      </c>
      <c r="G203" s="85"/>
      <c r="H203" s="85"/>
      <c r="I203" s="85"/>
      <c r="J203" s="85"/>
      <c r="K203" s="85"/>
      <c r="L203" s="85"/>
      <c r="M203" s="85"/>
      <c r="N203" s="85"/>
      <c r="O203" s="118">
        <f>((IFERROR((C203*D203*E203),0)+IFERROR((G203*H203*I203),0)+IFERROR((K203*L203*M203),0))/1000000)*35.32</f>
        <v>2.5469605199999998</v>
      </c>
      <c r="P203" s="125">
        <f>Table13[[#This Row],[Column15]]*$P$2*1000</f>
        <v>15281.76312</v>
      </c>
      <c r="Q203" s="87">
        <f>F203+J203+N203</f>
        <v>26300</v>
      </c>
      <c r="R203" s="86">
        <f>MAX(Q203,O203)</f>
        <v>26300</v>
      </c>
      <c r="S203" s="86">
        <f>MAX(R203,P203)</f>
        <v>26300</v>
      </c>
      <c r="T203" s="156" t="str">
        <f>VLOOKUP(A203,'[1]MTP SKUs - Master Data'!$A:$B,2,FALSE)</f>
        <v>Y</v>
      </c>
      <c r="U203" s="162">
        <f>_xlfn.IFNA(VLOOKUP(Table13[[#This Row],[MTP SKU Code]],'Audit Dimensions'!A:N,6,FALSE),"ARC")</f>
        <v>30100</v>
      </c>
      <c r="V203" s="162">
        <f>IFERROR(Table13[[#This Row],[B1.Aud]]-Table13[[#This Row],[PW(gm)]],"ERR")</f>
        <v>3800</v>
      </c>
      <c r="W203" s="165">
        <f>IFERROR(Table13[[#This Row],[B1.Diff]]/Table13[[#This Row],[B1.Aud]],"ERR")</f>
        <v>0.12624584717607973</v>
      </c>
      <c r="X203" s="162">
        <f>_xlfn.IFNA(VLOOKUP(Table13[[#This Row],[MTP SKU Code]],'Audit Dimensions'!A:N,10,FALSE),"ARC")</f>
        <v>0</v>
      </c>
      <c r="Y203" s="163">
        <f>IFERROR(Table13[[#This Row],[B2.Aud]]-Table13[[#This Row],[PW(gm)5]],"ERR")</f>
        <v>0</v>
      </c>
      <c r="Z203" s="165" t="str">
        <f>IFERROR(Table13[[#This Row],[B2.Diff]]/Table13[[#This Row],[B2.Aud]],"ERR")</f>
        <v>ERR</v>
      </c>
      <c r="AA203" s="162">
        <f>_xlfn.IFNA(VLOOKUP(Table13[[#This Row],[MTP SKU Code]],'Audit Dimensions'!A:N,14,FALSE),"ARC")</f>
        <v>0</v>
      </c>
      <c r="AB203" s="161">
        <f>IFERROR(Table13[[#This Row],[B3.Aud]]-Table13[[#This Row],[PW(gm)9]],"ERR")</f>
        <v>0</v>
      </c>
      <c r="AC203" s="168">
        <f>IFERROR(Table13[[#This Row],[B3.Diff]]/Table13[[#This Row],[BaLL.Aud]],"ERR")</f>
        <v>0</v>
      </c>
      <c r="AD203" s="189">
        <f>_xlfn.IFNA(VLOOKUP(Table13[[#This Row],[MTP SKU Code]],'Audit Dimensions'!A:U,16,FALSE),"ARC")</f>
        <v>30100</v>
      </c>
      <c r="AE203" s="165">
        <f>IFERROR(1-Table13[[#This Row],[Gms]]/Table13[[#This Row],[BaLL.Aud]],"ERR")</f>
        <v>0.12624584717607978</v>
      </c>
    </row>
    <row r="204" spans="1:31">
      <c r="A204" s="68" t="s">
        <v>84</v>
      </c>
      <c r="B204" s="84" t="s">
        <v>48</v>
      </c>
      <c r="C204" s="84">
        <v>1</v>
      </c>
      <c r="D204" s="85">
        <v>1</v>
      </c>
      <c r="E204" s="85">
        <v>1</v>
      </c>
      <c r="F204" s="89">
        <v>24500</v>
      </c>
      <c r="G204" s="85"/>
      <c r="H204" s="85"/>
      <c r="I204" s="85"/>
      <c r="J204" s="85"/>
      <c r="K204" s="85"/>
      <c r="L204" s="85"/>
      <c r="M204" s="85"/>
      <c r="N204" s="85"/>
      <c r="O204" s="118">
        <f>((IFERROR((C204*D204*E204),0)+IFERROR((G204*H204*I204),0)+IFERROR((K204*L204*M204),0))/1000000)*35.32</f>
        <v>3.5320000000000001E-5</v>
      </c>
      <c r="P204" s="125">
        <f>Table13[[#This Row],[Column15]]*$P$2*1000</f>
        <v>0.21192</v>
      </c>
      <c r="Q204" s="87">
        <f>F204+J204+N204</f>
        <v>24500</v>
      </c>
      <c r="R204" s="88">
        <f>MAX(Q204,O204)</f>
        <v>24500</v>
      </c>
      <c r="S204" s="86">
        <f>MAX(R204,P204)</f>
        <v>24500</v>
      </c>
      <c r="T204" s="156" t="str">
        <f>VLOOKUP(A204,'[1]MTP SKUs - Master Data'!$A:$B,2,FALSE)</f>
        <v>Y</v>
      </c>
      <c r="U204" s="162">
        <f>_xlfn.IFNA(VLOOKUP(Table13[[#This Row],[MTP SKU Code]],'Audit Dimensions'!A:N,6,FALSE),"ARC")</f>
        <v>28100</v>
      </c>
      <c r="V204" s="162">
        <f>IFERROR(Table13[[#This Row],[B1.Aud]]-Table13[[#This Row],[PW(gm)]],"ERR")</f>
        <v>3600</v>
      </c>
      <c r="W204" s="165">
        <f>IFERROR(Table13[[#This Row],[B1.Diff]]/Table13[[#This Row],[B1.Aud]],"ERR")</f>
        <v>0.12811387900355872</v>
      </c>
      <c r="X204" s="162">
        <f>_xlfn.IFNA(VLOOKUP(Table13[[#This Row],[MTP SKU Code]],'Audit Dimensions'!A:N,10,FALSE),"ARC")</f>
        <v>0</v>
      </c>
      <c r="Y204" s="163">
        <f>IFERROR(Table13[[#This Row],[B2.Aud]]-Table13[[#This Row],[PW(gm)5]],"ERR")</f>
        <v>0</v>
      </c>
      <c r="Z204" s="165" t="str">
        <f>IFERROR(Table13[[#This Row],[B2.Diff]]/Table13[[#This Row],[B2.Aud]],"ERR")</f>
        <v>ERR</v>
      </c>
      <c r="AA204" s="162">
        <f>_xlfn.IFNA(VLOOKUP(Table13[[#This Row],[MTP SKU Code]],'Audit Dimensions'!A:N,14,FALSE),"ARC")</f>
        <v>0</v>
      </c>
      <c r="AB204" s="161">
        <f>IFERROR(Table13[[#This Row],[B3.Aud]]-Table13[[#This Row],[PW(gm)9]],"ERR")</f>
        <v>0</v>
      </c>
      <c r="AC204" s="168">
        <f>IFERROR(Table13[[#This Row],[B3.Diff]]/Table13[[#This Row],[BaLL.Aud]],"ERR")</f>
        <v>0</v>
      </c>
      <c r="AD204" s="189">
        <f>_xlfn.IFNA(VLOOKUP(Table13[[#This Row],[MTP SKU Code]],'Audit Dimensions'!A:U,16,FALSE),"ARC")</f>
        <v>28100</v>
      </c>
      <c r="AE204" s="165">
        <f>IFERROR(1-Table13[[#This Row],[Gms]]/Table13[[#This Row],[BaLL.Aud]],"ERR")</f>
        <v>0.12811387900355875</v>
      </c>
    </row>
    <row r="205" spans="1:31">
      <c r="A205" s="68" t="s">
        <v>276</v>
      </c>
      <c r="B205" s="84" t="s">
        <v>48</v>
      </c>
      <c r="C205" s="85">
        <v>100</v>
      </c>
      <c r="D205" s="85">
        <v>46</v>
      </c>
      <c r="E205" s="85">
        <v>9</v>
      </c>
      <c r="F205" s="89">
        <v>12200</v>
      </c>
      <c r="G205" s="85"/>
      <c r="H205" s="85"/>
      <c r="I205" s="85"/>
      <c r="J205" s="85"/>
      <c r="K205" s="85"/>
      <c r="L205" s="85"/>
      <c r="M205" s="85"/>
      <c r="N205" s="85"/>
      <c r="O205" s="118">
        <f>((IFERROR((C205*D205*E205),0)+IFERROR((G205*H205*I205),0)+IFERROR((K205*L205*M205),0))/1000000)*35.32</f>
        <v>1.462248</v>
      </c>
      <c r="P205" s="125">
        <f>Table13[[#This Row],[Column15]]*$P$2*1000</f>
        <v>8773.4880000000012</v>
      </c>
      <c r="Q205" s="87">
        <f>F205+J205+N205</f>
        <v>12200</v>
      </c>
      <c r="R205" s="86">
        <f>MAX(Q205,O205)</f>
        <v>12200</v>
      </c>
      <c r="S205" s="86">
        <f>MAX(R205,P205)</f>
        <v>12200</v>
      </c>
      <c r="T205" s="156" t="str">
        <f>VLOOKUP(A205,'[1]MTP SKUs - Master Data'!$A:$B,2,FALSE)</f>
        <v>Y</v>
      </c>
      <c r="U205" s="162">
        <f>_xlfn.IFNA(VLOOKUP(Table13[[#This Row],[MTP SKU Code]],'Audit Dimensions'!A:N,6,FALSE),"ARC")</f>
        <v>14000</v>
      </c>
      <c r="V205" s="162">
        <f>IFERROR(Table13[[#This Row],[B1.Aud]]-Table13[[#This Row],[PW(gm)]],"ERR")</f>
        <v>1800</v>
      </c>
      <c r="W205" s="165">
        <f>IFERROR(Table13[[#This Row],[B1.Diff]]/Table13[[#This Row],[B1.Aud]],"ERR")</f>
        <v>0.12857142857142856</v>
      </c>
      <c r="X205" s="162">
        <f>_xlfn.IFNA(VLOOKUP(Table13[[#This Row],[MTP SKU Code]],'Audit Dimensions'!A:N,10,FALSE),"ARC")</f>
        <v>0</v>
      </c>
      <c r="Y205" s="163">
        <f>IFERROR(Table13[[#This Row],[B2.Aud]]-Table13[[#This Row],[PW(gm)5]],"ERR")</f>
        <v>0</v>
      </c>
      <c r="Z205" s="165" t="str">
        <f>IFERROR(Table13[[#This Row],[B2.Diff]]/Table13[[#This Row],[B2.Aud]],"ERR")</f>
        <v>ERR</v>
      </c>
      <c r="AA205" s="162">
        <f>_xlfn.IFNA(VLOOKUP(Table13[[#This Row],[MTP SKU Code]],'Audit Dimensions'!A:N,14,FALSE),"ARC")</f>
        <v>0</v>
      </c>
      <c r="AB205" s="161">
        <f>IFERROR(Table13[[#This Row],[B3.Aud]]-Table13[[#This Row],[PW(gm)9]],"ERR")</f>
        <v>0</v>
      </c>
      <c r="AC205" s="168">
        <f>IFERROR(Table13[[#This Row],[B3.Diff]]/Table13[[#This Row],[BaLL.Aud]],"ERR")</f>
        <v>0</v>
      </c>
      <c r="AD205" s="189">
        <f>_xlfn.IFNA(VLOOKUP(Table13[[#This Row],[MTP SKU Code]],'Audit Dimensions'!A:U,16,FALSE),"ARC")</f>
        <v>14000</v>
      </c>
      <c r="AE205" s="165">
        <f>IFERROR(1-Table13[[#This Row],[Gms]]/Table13[[#This Row],[BaLL.Aud]],"ERR")</f>
        <v>0.12857142857142856</v>
      </c>
    </row>
    <row r="206" spans="1:31">
      <c r="A206" s="91" t="s">
        <v>61</v>
      </c>
      <c r="B206" s="84" t="s">
        <v>48</v>
      </c>
      <c r="C206" s="85">
        <v>24</v>
      </c>
      <c r="D206" s="85">
        <v>11</v>
      </c>
      <c r="E206" s="85">
        <v>5</v>
      </c>
      <c r="F206" s="89">
        <v>300</v>
      </c>
      <c r="G206" s="85"/>
      <c r="H206" s="85"/>
      <c r="I206" s="85"/>
      <c r="J206" s="85"/>
      <c r="K206" s="85"/>
      <c r="L206" s="85"/>
      <c r="M206" s="85"/>
      <c r="N206" s="85"/>
      <c r="O206" s="118">
        <f>((IFERROR((C206*D206*E206),0)+IFERROR((G206*H206*I206),0)+IFERROR((K206*L206*M206),0))/1000000)*35.32</f>
        <v>4.6622400000000001E-2</v>
      </c>
      <c r="P206" s="125">
        <f>Table13[[#This Row],[Column15]]*$P$2*1000</f>
        <v>279.73439999999999</v>
      </c>
      <c r="Q206" s="87">
        <f>F206+J206+N206</f>
        <v>300</v>
      </c>
      <c r="R206" s="86">
        <f>MAX(Q206,O206)</f>
        <v>300</v>
      </c>
      <c r="S206" s="86">
        <f>MAX(R206,P206)</f>
        <v>300</v>
      </c>
      <c r="T206" s="156" t="str">
        <f>VLOOKUP(A206,'[1]MTP SKUs - Master Data'!$A:$B,2,FALSE)</f>
        <v>RL</v>
      </c>
      <c r="U206" s="162">
        <f>_xlfn.IFNA(VLOOKUP(Table13[[#This Row],[MTP SKU Code]],'Audit Dimensions'!A:N,6,FALSE),"ARC")</f>
        <v>345</v>
      </c>
      <c r="V206" s="162">
        <f>IFERROR(Table13[[#This Row],[B1.Aud]]-Table13[[#This Row],[PW(gm)]],"ERR")</f>
        <v>45</v>
      </c>
      <c r="W206" s="165">
        <f>IFERROR(Table13[[#This Row],[B1.Diff]]/Table13[[#This Row],[B1.Aud]],"ERR")</f>
        <v>0.13043478260869565</v>
      </c>
      <c r="X206" s="162">
        <f>_xlfn.IFNA(VLOOKUP(Table13[[#This Row],[MTP SKU Code]],'Audit Dimensions'!A:N,10,FALSE),"ARC")</f>
        <v>0</v>
      </c>
      <c r="Y206" s="163">
        <f>IFERROR(Table13[[#This Row],[B2.Aud]]-Table13[[#This Row],[PW(gm)5]],"ERR")</f>
        <v>0</v>
      </c>
      <c r="Z206" s="165" t="str">
        <f>IFERROR(Table13[[#This Row],[B2.Diff]]/Table13[[#This Row],[B2.Aud]],"ERR")</f>
        <v>ERR</v>
      </c>
      <c r="AA206" s="162">
        <f>_xlfn.IFNA(VLOOKUP(Table13[[#This Row],[MTP SKU Code]],'Audit Dimensions'!A:N,14,FALSE),"ARC")</f>
        <v>0</v>
      </c>
      <c r="AB206" s="161">
        <f>IFERROR(Table13[[#This Row],[B3.Aud]]-Table13[[#This Row],[PW(gm)9]],"ERR")</f>
        <v>0</v>
      </c>
      <c r="AC206" s="168">
        <f>IFERROR(Table13[[#This Row],[B3.Diff]]/Table13[[#This Row],[BaLL.Aud]],"ERR")</f>
        <v>0</v>
      </c>
      <c r="AD206" s="189">
        <f>_xlfn.IFNA(VLOOKUP(Table13[[#This Row],[MTP SKU Code]],'Audit Dimensions'!A:U,16,FALSE),"ARC")</f>
        <v>345</v>
      </c>
      <c r="AE206" s="165">
        <f>IFERROR(1-Table13[[#This Row],[Gms]]/Table13[[#This Row],[BaLL.Aud]],"ERR")</f>
        <v>0.13043478260869568</v>
      </c>
    </row>
    <row r="207" spans="1:31">
      <c r="A207" s="68" t="s">
        <v>187</v>
      </c>
      <c r="B207" s="84" t="s">
        <v>48</v>
      </c>
      <c r="C207" s="84">
        <v>169</v>
      </c>
      <c r="D207" s="85">
        <v>36</v>
      </c>
      <c r="E207" s="85">
        <v>9</v>
      </c>
      <c r="F207" s="89">
        <v>28000</v>
      </c>
      <c r="G207" s="85"/>
      <c r="H207" s="85"/>
      <c r="I207" s="85"/>
      <c r="J207" s="85"/>
      <c r="K207" s="85"/>
      <c r="L207" s="85"/>
      <c r="M207" s="85"/>
      <c r="N207" s="85"/>
      <c r="O207" s="118">
        <f>((IFERROR((C207*D207*E207),0)+IFERROR((G207*H207*I207),0)+IFERROR((K207*L207*M207),0))/1000000)*35.32</f>
        <v>1.9339819199999999</v>
      </c>
      <c r="P207" s="125">
        <f>Table13[[#This Row],[Column15]]*$P$2*1000</f>
        <v>11603.891519999999</v>
      </c>
      <c r="Q207" s="87">
        <f>F207+J207+N207</f>
        <v>28000</v>
      </c>
      <c r="R207" s="86">
        <f>MAX(Q207,O207)</f>
        <v>28000</v>
      </c>
      <c r="S207" s="86">
        <f>MAX(R207,P207)</f>
        <v>28000</v>
      </c>
      <c r="T207" s="156" t="str">
        <f>VLOOKUP(A207,'[1]MTP SKUs - Master Data'!$A:$B,2,FALSE)</f>
        <v>Y</v>
      </c>
      <c r="U207" s="162">
        <f>_xlfn.IFNA(VLOOKUP(Table13[[#This Row],[MTP SKU Code]],'Audit Dimensions'!A:N,6,FALSE),"ARC")</f>
        <v>32270</v>
      </c>
      <c r="V207" s="162">
        <f>IFERROR(Table13[[#This Row],[B1.Aud]]-Table13[[#This Row],[PW(gm)]],"ERR")</f>
        <v>4270</v>
      </c>
      <c r="W207" s="165">
        <f>IFERROR(Table13[[#This Row],[B1.Diff]]/Table13[[#This Row],[B1.Aud]],"ERR")</f>
        <v>0.13232104121475055</v>
      </c>
      <c r="X207" s="162">
        <f>_xlfn.IFNA(VLOOKUP(Table13[[#This Row],[MTP SKU Code]],'Audit Dimensions'!A:N,10,FALSE),"ARC")</f>
        <v>0</v>
      </c>
      <c r="Y207" s="163">
        <f>IFERROR(Table13[[#This Row],[B2.Aud]]-Table13[[#This Row],[PW(gm)5]],"ERR")</f>
        <v>0</v>
      </c>
      <c r="Z207" s="165" t="str">
        <f>IFERROR(Table13[[#This Row],[B2.Diff]]/Table13[[#This Row],[B2.Aud]],"ERR")</f>
        <v>ERR</v>
      </c>
      <c r="AA207" s="162">
        <f>_xlfn.IFNA(VLOOKUP(Table13[[#This Row],[MTP SKU Code]],'Audit Dimensions'!A:N,14,FALSE),"ARC")</f>
        <v>0</v>
      </c>
      <c r="AB207" s="161">
        <f>IFERROR(Table13[[#This Row],[B3.Aud]]-Table13[[#This Row],[PW(gm)9]],"ERR")</f>
        <v>0</v>
      </c>
      <c r="AC207" s="168">
        <f>IFERROR(Table13[[#This Row],[B3.Diff]]/Table13[[#This Row],[BaLL.Aud]],"ERR")</f>
        <v>0</v>
      </c>
      <c r="AD207" s="189">
        <f>_xlfn.IFNA(VLOOKUP(Table13[[#This Row],[MTP SKU Code]],'Audit Dimensions'!A:U,16,FALSE),"ARC")</f>
        <v>32270</v>
      </c>
      <c r="AE207" s="165">
        <f>IFERROR(1-Table13[[#This Row],[Gms]]/Table13[[#This Row],[BaLL.Aud]],"ERR")</f>
        <v>0.13232104121475052</v>
      </c>
    </row>
    <row r="208" spans="1:31">
      <c r="A208" s="68" t="s">
        <v>277</v>
      </c>
      <c r="B208" s="84" t="s">
        <v>48</v>
      </c>
      <c r="C208" s="85">
        <v>47</v>
      </c>
      <c r="D208" s="85">
        <v>35</v>
      </c>
      <c r="E208" s="85">
        <v>8</v>
      </c>
      <c r="F208" s="89">
        <v>6000</v>
      </c>
      <c r="G208" s="85"/>
      <c r="H208" s="85"/>
      <c r="I208" s="85"/>
      <c r="J208" s="85"/>
      <c r="K208" s="85"/>
      <c r="L208" s="85"/>
      <c r="M208" s="85"/>
      <c r="N208" s="85"/>
      <c r="O208" s="118">
        <f>((IFERROR((C208*D208*E208),0)+IFERROR((G208*H208*I208),0)+IFERROR((K208*L208*M208),0))/1000000)*35.32</f>
        <v>0.46481119999999998</v>
      </c>
      <c r="P208" s="125">
        <f>Table13[[#This Row],[Column15]]*$P$2*1000</f>
        <v>2788.8671999999997</v>
      </c>
      <c r="Q208" s="87">
        <f>F208+J208+N208</f>
        <v>6000</v>
      </c>
      <c r="R208" s="86">
        <f>MAX(Q208,O208)</f>
        <v>6000</v>
      </c>
      <c r="S208" s="86">
        <f>MAX(R208,P208)</f>
        <v>6000</v>
      </c>
      <c r="T208" s="156" t="str">
        <f>VLOOKUP(A208,'[1]MTP SKUs - Master Data'!$A:$B,2,FALSE)</f>
        <v>Y</v>
      </c>
      <c r="U208" s="162">
        <f>_xlfn.IFNA(VLOOKUP(Table13[[#This Row],[MTP SKU Code]],'Audit Dimensions'!A:N,6,FALSE),"ARC")</f>
        <v>6920</v>
      </c>
      <c r="V208" s="162">
        <f>IFERROR(Table13[[#This Row],[B1.Aud]]-Table13[[#This Row],[PW(gm)]],"ERR")</f>
        <v>920</v>
      </c>
      <c r="W208" s="165">
        <f>IFERROR(Table13[[#This Row],[B1.Diff]]/Table13[[#This Row],[B1.Aud]],"ERR")</f>
        <v>0.13294797687861271</v>
      </c>
      <c r="X208" s="162">
        <f>_xlfn.IFNA(VLOOKUP(Table13[[#This Row],[MTP SKU Code]],'Audit Dimensions'!A:N,10,FALSE),"ARC")</f>
        <v>0</v>
      </c>
      <c r="Y208" s="163">
        <f>IFERROR(Table13[[#This Row],[B2.Aud]]-Table13[[#This Row],[PW(gm)5]],"ERR")</f>
        <v>0</v>
      </c>
      <c r="Z208" s="165" t="str">
        <f>IFERROR(Table13[[#This Row],[B2.Diff]]/Table13[[#This Row],[B2.Aud]],"ERR")</f>
        <v>ERR</v>
      </c>
      <c r="AA208" s="162">
        <f>_xlfn.IFNA(VLOOKUP(Table13[[#This Row],[MTP SKU Code]],'Audit Dimensions'!A:N,14,FALSE),"ARC")</f>
        <v>0</v>
      </c>
      <c r="AB208" s="161">
        <f>IFERROR(Table13[[#This Row],[B3.Aud]]-Table13[[#This Row],[PW(gm)9]],"ERR")</f>
        <v>0</v>
      </c>
      <c r="AC208" s="168">
        <f>IFERROR(Table13[[#This Row],[B3.Diff]]/Table13[[#This Row],[BaLL.Aud]],"ERR")</f>
        <v>0</v>
      </c>
      <c r="AD208" s="189">
        <f>_xlfn.IFNA(VLOOKUP(Table13[[#This Row],[MTP SKU Code]],'Audit Dimensions'!A:U,16,FALSE),"ARC")</f>
        <v>6920</v>
      </c>
      <c r="AE208" s="165">
        <f>IFERROR(1-Table13[[#This Row],[Gms]]/Table13[[#This Row],[BaLL.Aud]],"ERR")</f>
        <v>0.13294797687861271</v>
      </c>
    </row>
    <row r="209" spans="1:31">
      <c r="A209" s="68" t="s">
        <v>155</v>
      </c>
      <c r="B209" s="84" t="s">
        <v>48</v>
      </c>
      <c r="C209" s="84">
        <v>1</v>
      </c>
      <c r="D209" s="85">
        <v>1</v>
      </c>
      <c r="E209" s="85">
        <v>1</v>
      </c>
      <c r="F209" s="89">
        <v>30000</v>
      </c>
      <c r="G209" s="85"/>
      <c r="H209" s="85"/>
      <c r="I209" s="85"/>
      <c r="J209" s="85"/>
      <c r="K209" s="85"/>
      <c r="L209" s="85"/>
      <c r="M209" s="85"/>
      <c r="N209" s="85"/>
      <c r="O209" s="118">
        <f>((IFERROR((C209*D209*E209),0)+IFERROR((G209*H209*I209),0)+IFERROR((K209*L209*M209),0))/1000000)*35.32</f>
        <v>3.5320000000000001E-5</v>
      </c>
      <c r="P209" s="125">
        <f>Table13[[#This Row],[Column15]]*$P$2*1000</f>
        <v>0.21192</v>
      </c>
      <c r="Q209" s="87">
        <f>F209+J209+N209</f>
        <v>30000</v>
      </c>
      <c r="R209" s="88">
        <f>MAX(Q209,O209)</f>
        <v>30000</v>
      </c>
      <c r="S209" s="86">
        <f>MAX(R209,P209)</f>
        <v>30000</v>
      </c>
      <c r="T209" s="156" t="str">
        <f>VLOOKUP(A209,'[1]MTP SKUs - Master Data'!$A:$B,2,FALSE)</f>
        <v>Y</v>
      </c>
      <c r="U209" s="162">
        <f>_xlfn.IFNA(VLOOKUP(Table13[[#This Row],[MTP SKU Code]],'Audit Dimensions'!A:N,6,FALSE),"ARC")</f>
        <v>34800</v>
      </c>
      <c r="V209" s="162">
        <f>IFERROR(Table13[[#This Row],[B1.Aud]]-Table13[[#This Row],[PW(gm)]],"ERR")</f>
        <v>4800</v>
      </c>
      <c r="W209" s="165">
        <f>IFERROR(Table13[[#This Row],[B1.Diff]]/Table13[[#This Row],[B1.Aud]],"ERR")</f>
        <v>0.13793103448275862</v>
      </c>
      <c r="X209" s="162">
        <f>_xlfn.IFNA(VLOOKUP(Table13[[#This Row],[MTP SKU Code]],'Audit Dimensions'!A:N,10,FALSE),"ARC")</f>
        <v>0</v>
      </c>
      <c r="Y209" s="163">
        <f>IFERROR(Table13[[#This Row],[B2.Aud]]-Table13[[#This Row],[PW(gm)5]],"ERR")</f>
        <v>0</v>
      </c>
      <c r="Z209" s="165" t="str">
        <f>IFERROR(Table13[[#This Row],[B2.Diff]]/Table13[[#This Row],[B2.Aud]],"ERR")</f>
        <v>ERR</v>
      </c>
      <c r="AA209" s="162">
        <f>_xlfn.IFNA(VLOOKUP(Table13[[#This Row],[MTP SKU Code]],'Audit Dimensions'!A:N,14,FALSE),"ARC")</f>
        <v>0</v>
      </c>
      <c r="AB209" s="161">
        <f>IFERROR(Table13[[#This Row],[B3.Aud]]-Table13[[#This Row],[PW(gm)9]],"ERR")</f>
        <v>0</v>
      </c>
      <c r="AC209" s="168">
        <f>IFERROR(Table13[[#This Row],[B3.Diff]]/Table13[[#This Row],[BaLL.Aud]],"ERR")</f>
        <v>0</v>
      </c>
      <c r="AD209" s="189">
        <f>_xlfn.IFNA(VLOOKUP(Table13[[#This Row],[MTP SKU Code]],'Audit Dimensions'!A:U,16,FALSE),"ARC")</f>
        <v>34800</v>
      </c>
      <c r="AE209" s="165">
        <f>IFERROR(1-Table13[[#This Row],[Gms]]/Table13[[#This Row],[BaLL.Aud]],"ERR")</f>
        <v>0.13793103448275867</v>
      </c>
    </row>
    <row r="210" spans="1:31">
      <c r="A210" s="70" t="s">
        <v>168</v>
      </c>
      <c r="B210" s="84" t="s">
        <v>48</v>
      </c>
      <c r="C210" s="84">
        <v>65</v>
      </c>
      <c r="D210" s="85">
        <v>35</v>
      </c>
      <c r="E210" s="85">
        <v>8</v>
      </c>
      <c r="F210" s="89">
        <v>5000</v>
      </c>
      <c r="G210" s="85"/>
      <c r="H210" s="85"/>
      <c r="I210" s="85"/>
      <c r="J210" s="85"/>
      <c r="K210" s="85"/>
      <c r="L210" s="85"/>
      <c r="M210" s="85"/>
      <c r="N210" s="85"/>
      <c r="O210" s="118">
        <f>((IFERROR((C210*D210*E210),0)+IFERROR((G210*H210*I210),0)+IFERROR((K210*L210*M210),0))/1000000)*35.32</f>
        <v>0.64282400000000006</v>
      </c>
      <c r="P210" s="125">
        <f>Table13[[#This Row],[Column15]]*$P$2*1000</f>
        <v>3856.9440000000004</v>
      </c>
      <c r="Q210" s="87">
        <f>F210+J210+N210</f>
        <v>5000</v>
      </c>
      <c r="R210" s="86">
        <f>MAX(Q210,O210)</f>
        <v>5000</v>
      </c>
      <c r="S210" s="86">
        <f>MAX(R210,P210)</f>
        <v>5000</v>
      </c>
      <c r="T210" s="156" t="str">
        <f>VLOOKUP(A210,'[1]MTP SKUs - Master Data'!$A:$B,2,FALSE)</f>
        <v>Y</v>
      </c>
      <c r="U210" s="162">
        <f>_xlfn.IFNA(VLOOKUP(Table13[[#This Row],[MTP SKU Code]],'Audit Dimensions'!A:N,6,FALSE),"ARC")</f>
        <v>5820</v>
      </c>
      <c r="V210" s="162">
        <f>IFERROR(Table13[[#This Row],[B1.Aud]]-Table13[[#This Row],[PW(gm)]],"ERR")</f>
        <v>820</v>
      </c>
      <c r="W210" s="165">
        <f>IFERROR(Table13[[#This Row],[B1.Diff]]/Table13[[#This Row],[B1.Aud]],"ERR")</f>
        <v>0.14089347079037801</v>
      </c>
      <c r="X210" s="162">
        <f>_xlfn.IFNA(VLOOKUP(Table13[[#This Row],[MTP SKU Code]],'Audit Dimensions'!A:N,10,FALSE),"ARC")</f>
        <v>0</v>
      </c>
      <c r="Y210" s="163">
        <f>IFERROR(Table13[[#This Row],[B2.Aud]]-Table13[[#This Row],[PW(gm)5]],"ERR")</f>
        <v>0</v>
      </c>
      <c r="Z210" s="165" t="str">
        <f>IFERROR(Table13[[#This Row],[B2.Diff]]/Table13[[#This Row],[B2.Aud]],"ERR")</f>
        <v>ERR</v>
      </c>
      <c r="AA210" s="162">
        <f>_xlfn.IFNA(VLOOKUP(Table13[[#This Row],[MTP SKU Code]],'Audit Dimensions'!A:N,14,FALSE),"ARC")</f>
        <v>0</v>
      </c>
      <c r="AB210" s="161">
        <f>IFERROR(Table13[[#This Row],[B3.Aud]]-Table13[[#This Row],[PW(gm)9]],"ERR")</f>
        <v>0</v>
      </c>
      <c r="AC210" s="168">
        <f>IFERROR(Table13[[#This Row],[B3.Diff]]/Table13[[#This Row],[BaLL.Aud]],"ERR")</f>
        <v>0</v>
      </c>
      <c r="AD210" s="189">
        <f>_xlfn.IFNA(VLOOKUP(Table13[[#This Row],[MTP SKU Code]],'Audit Dimensions'!A:U,16,FALSE),"ARC")</f>
        <v>5820</v>
      </c>
      <c r="AE210" s="165">
        <f>IFERROR(1-Table13[[#This Row],[Gms]]/Table13[[#This Row],[BaLL.Aud]],"ERR")</f>
        <v>0.14089347079037806</v>
      </c>
    </row>
    <row r="211" spans="1:31">
      <c r="A211" s="68" t="s">
        <v>258</v>
      </c>
      <c r="B211" s="84" t="s">
        <v>48</v>
      </c>
      <c r="C211" s="85">
        <v>33</v>
      </c>
      <c r="D211" s="85">
        <v>32</v>
      </c>
      <c r="E211" s="85">
        <v>6</v>
      </c>
      <c r="F211" s="89">
        <v>1200</v>
      </c>
      <c r="G211" s="85"/>
      <c r="H211" s="85"/>
      <c r="I211" s="85"/>
      <c r="J211" s="85"/>
      <c r="K211" s="85"/>
      <c r="L211" s="85"/>
      <c r="M211" s="85"/>
      <c r="N211" s="85"/>
      <c r="O211" s="118">
        <f>((IFERROR((C211*D211*E211),0)+IFERROR((G211*H211*I211),0)+IFERROR((K211*L211*M211),0))/1000000)*35.32</f>
        <v>0.22378751999999999</v>
      </c>
      <c r="P211" s="125">
        <f>Table13[[#This Row],[Column15]]*$P$2*1000</f>
        <v>1342.7251199999998</v>
      </c>
      <c r="Q211" s="87">
        <f>F211+J211+N211</f>
        <v>1200</v>
      </c>
      <c r="R211" s="86">
        <f>MAX(Q211,O211)</f>
        <v>1200</v>
      </c>
      <c r="S211" s="86">
        <f>MAX(R211,P211)</f>
        <v>1342.7251199999998</v>
      </c>
      <c r="T211" s="156" t="str">
        <f>VLOOKUP(A211,'[1]MTP SKUs - Master Data'!$A:$B,2,FALSE)</f>
        <v>Y</v>
      </c>
      <c r="U211" s="162">
        <f>_xlfn.IFNA(VLOOKUP(Table13[[#This Row],[MTP SKU Code]],'Audit Dimensions'!A:N,6,FALSE),"ARC")</f>
        <v>1400</v>
      </c>
      <c r="V211" s="162">
        <f>IFERROR(Table13[[#This Row],[B1.Aud]]-Table13[[#This Row],[PW(gm)]],"ERR")</f>
        <v>200</v>
      </c>
      <c r="W211" s="165">
        <f>IFERROR(Table13[[#This Row],[B1.Diff]]/Table13[[#This Row],[B1.Aud]],"ERR")</f>
        <v>0.14285714285714285</v>
      </c>
      <c r="X211" s="162">
        <f>_xlfn.IFNA(VLOOKUP(Table13[[#This Row],[MTP SKU Code]],'Audit Dimensions'!A:N,10,FALSE),"ARC")</f>
        <v>0</v>
      </c>
      <c r="Y211" s="163">
        <f>IFERROR(Table13[[#This Row],[B2.Aud]]-Table13[[#This Row],[PW(gm)5]],"ERR")</f>
        <v>0</v>
      </c>
      <c r="Z211" s="165" t="str">
        <f>IFERROR(Table13[[#This Row],[B2.Diff]]/Table13[[#This Row],[B2.Aud]],"ERR")</f>
        <v>ERR</v>
      </c>
      <c r="AA211" s="162">
        <f>_xlfn.IFNA(VLOOKUP(Table13[[#This Row],[MTP SKU Code]],'Audit Dimensions'!A:N,14,FALSE),"ARC")</f>
        <v>0</v>
      </c>
      <c r="AB211" s="161">
        <f>IFERROR(Table13[[#This Row],[B3.Aud]]-Table13[[#This Row],[PW(gm)9]],"ERR")</f>
        <v>0</v>
      </c>
      <c r="AC211" s="168">
        <f>IFERROR(Table13[[#This Row],[B3.Diff]]/Table13[[#This Row],[BaLL.Aud]],"ERR")</f>
        <v>0</v>
      </c>
      <c r="AD211" s="189">
        <f>_xlfn.IFNA(VLOOKUP(Table13[[#This Row],[MTP SKU Code]],'Audit Dimensions'!A:U,16,FALSE),"ARC")</f>
        <v>1400</v>
      </c>
      <c r="AE211" s="165">
        <f>IFERROR(1-Table13[[#This Row],[Gms]]/Table13[[#This Row],[BaLL.Aud]],"ERR")</f>
        <v>0.1428571428571429</v>
      </c>
    </row>
    <row r="212" spans="1:31">
      <c r="A212" s="68" t="s">
        <v>270</v>
      </c>
      <c r="B212" s="84" t="s">
        <v>48</v>
      </c>
      <c r="C212" s="85">
        <v>85</v>
      </c>
      <c r="D212" s="85">
        <v>49</v>
      </c>
      <c r="E212" s="85">
        <v>7</v>
      </c>
      <c r="F212" s="89">
        <v>11890</v>
      </c>
      <c r="G212" s="85"/>
      <c r="H212" s="85"/>
      <c r="I212" s="85"/>
      <c r="J212" s="85"/>
      <c r="K212" s="85"/>
      <c r="L212" s="85"/>
      <c r="M212" s="85"/>
      <c r="N212" s="85"/>
      <c r="O212" s="118">
        <f>((IFERROR((C212*D212*E212),0)+IFERROR((G212*H212*I212),0)+IFERROR((K212*L212*M212),0))/1000000)*35.32</f>
        <v>1.0297546</v>
      </c>
      <c r="P212" s="125">
        <f>Table13[[#This Row],[Column15]]*$P$2*1000</f>
        <v>6178.5275999999994</v>
      </c>
      <c r="Q212" s="87">
        <f>F212+J212+N212</f>
        <v>11890</v>
      </c>
      <c r="R212" s="86">
        <f>MAX(Q212,O212)</f>
        <v>11890</v>
      </c>
      <c r="S212" s="86">
        <f>MAX(R212,P212)</f>
        <v>11890</v>
      </c>
      <c r="T212" s="156" t="str">
        <f>VLOOKUP(A212,'[1]MTP SKUs - Master Data'!$A:$B,2,FALSE)</f>
        <v>Y</v>
      </c>
      <c r="U212" s="162">
        <f>_xlfn.IFNA(VLOOKUP(Table13[[#This Row],[MTP SKU Code]],'Audit Dimensions'!A:N,6,FALSE),"ARC")</f>
        <v>13900</v>
      </c>
      <c r="V212" s="162">
        <f>IFERROR(Table13[[#This Row],[B1.Aud]]-Table13[[#This Row],[PW(gm)]],"ERR")</f>
        <v>2010</v>
      </c>
      <c r="W212" s="165">
        <f>IFERROR(Table13[[#This Row],[B1.Diff]]/Table13[[#This Row],[B1.Aud]],"ERR")</f>
        <v>0.14460431654676259</v>
      </c>
      <c r="X212" s="162">
        <f>_xlfn.IFNA(VLOOKUP(Table13[[#This Row],[MTP SKU Code]],'Audit Dimensions'!A:N,10,FALSE),"ARC")</f>
        <v>0</v>
      </c>
      <c r="Y212" s="163">
        <f>IFERROR(Table13[[#This Row],[B2.Aud]]-Table13[[#This Row],[PW(gm)5]],"ERR")</f>
        <v>0</v>
      </c>
      <c r="Z212" s="165" t="str">
        <f>IFERROR(Table13[[#This Row],[B2.Diff]]/Table13[[#This Row],[B2.Aud]],"ERR")</f>
        <v>ERR</v>
      </c>
      <c r="AA212" s="162">
        <f>_xlfn.IFNA(VLOOKUP(Table13[[#This Row],[MTP SKU Code]],'Audit Dimensions'!A:N,14,FALSE),"ARC")</f>
        <v>0</v>
      </c>
      <c r="AB212" s="161">
        <f>IFERROR(Table13[[#This Row],[B3.Aud]]-Table13[[#This Row],[PW(gm)9]],"ERR")</f>
        <v>0</v>
      </c>
      <c r="AC212" s="168">
        <f>IFERROR(Table13[[#This Row],[B3.Diff]]/Table13[[#This Row],[BaLL.Aud]],"ERR")</f>
        <v>0</v>
      </c>
      <c r="AD212" s="189">
        <f>_xlfn.IFNA(VLOOKUP(Table13[[#This Row],[MTP SKU Code]],'Audit Dimensions'!A:U,16,FALSE),"ARC")</f>
        <v>13900</v>
      </c>
      <c r="AE212" s="165">
        <f>IFERROR(1-Table13[[#This Row],[Gms]]/Table13[[#This Row],[BaLL.Aud]],"ERR")</f>
        <v>0.14460431654676253</v>
      </c>
    </row>
    <row r="213" spans="1:31">
      <c r="A213" s="68" t="s">
        <v>268</v>
      </c>
      <c r="B213" s="84" t="s">
        <v>48</v>
      </c>
      <c r="C213" s="85">
        <v>122</v>
      </c>
      <c r="D213" s="85">
        <v>63</v>
      </c>
      <c r="E213" s="85">
        <v>8</v>
      </c>
      <c r="F213" s="89">
        <v>18890</v>
      </c>
      <c r="G213" s="85"/>
      <c r="H213" s="85"/>
      <c r="I213" s="85"/>
      <c r="J213" s="85"/>
      <c r="K213" s="85"/>
      <c r="L213" s="85"/>
      <c r="M213" s="85"/>
      <c r="N213" s="85"/>
      <c r="O213" s="118">
        <f>((IFERROR((C213*D213*E213),0)+IFERROR((G213*H213*I213),0)+IFERROR((K213*L213*M213),0))/1000000)*35.32</f>
        <v>2.1717561600000002</v>
      </c>
      <c r="P213" s="125">
        <f>Table13[[#This Row],[Column15]]*$P$2*1000</f>
        <v>13030.536960000001</v>
      </c>
      <c r="Q213" s="87">
        <f>F213+J213+N213</f>
        <v>18890</v>
      </c>
      <c r="R213" s="86">
        <f>MAX(Q213,O213)</f>
        <v>18890</v>
      </c>
      <c r="S213" s="86">
        <f>MAX(R213,P213)</f>
        <v>18890</v>
      </c>
      <c r="T213" s="156" t="str">
        <f>VLOOKUP(A213,'[1]MTP SKUs - Master Data'!$A:$B,2,FALSE)</f>
        <v>Y</v>
      </c>
      <c r="U213" s="162">
        <f>_xlfn.IFNA(VLOOKUP(Table13[[#This Row],[MTP SKU Code]],'Audit Dimensions'!A:N,6,FALSE),"ARC")</f>
        <v>22100</v>
      </c>
      <c r="V213" s="162">
        <f>IFERROR(Table13[[#This Row],[B1.Aud]]-Table13[[#This Row],[PW(gm)]],"ERR")</f>
        <v>3210</v>
      </c>
      <c r="W213" s="165">
        <f>IFERROR(Table13[[#This Row],[B1.Diff]]/Table13[[#This Row],[B1.Aud]],"ERR")</f>
        <v>0.14524886877828055</v>
      </c>
      <c r="X213" s="162">
        <f>_xlfn.IFNA(VLOOKUP(Table13[[#This Row],[MTP SKU Code]],'Audit Dimensions'!A:N,10,FALSE),"ARC")</f>
        <v>0</v>
      </c>
      <c r="Y213" s="163">
        <f>IFERROR(Table13[[#This Row],[B2.Aud]]-Table13[[#This Row],[PW(gm)5]],"ERR")</f>
        <v>0</v>
      </c>
      <c r="Z213" s="165" t="str">
        <f>IFERROR(Table13[[#This Row],[B2.Diff]]/Table13[[#This Row],[B2.Aud]],"ERR")</f>
        <v>ERR</v>
      </c>
      <c r="AA213" s="162">
        <f>_xlfn.IFNA(VLOOKUP(Table13[[#This Row],[MTP SKU Code]],'Audit Dimensions'!A:N,14,FALSE),"ARC")</f>
        <v>0</v>
      </c>
      <c r="AB213" s="161">
        <f>IFERROR(Table13[[#This Row],[B3.Aud]]-Table13[[#This Row],[PW(gm)9]],"ERR")</f>
        <v>0</v>
      </c>
      <c r="AC213" s="168">
        <f>IFERROR(Table13[[#This Row],[B3.Diff]]/Table13[[#This Row],[BaLL.Aud]],"ERR")</f>
        <v>0</v>
      </c>
      <c r="AD213" s="189">
        <f>_xlfn.IFNA(VLOOKUP(Table13[[#This Row],[MTP SKU Code]],'Audit Dimensions'!A:U,16,FALSE),"ARC")</f>
        <v>22100</v>
      </c>
      <c r="AE213" s="165">
        <f>IFERROR(1-Table13[[#This Row],[Gms]]/Table13[[#This Row],[BaLL.Aud]],"ERR")</f>
        <v>0.14524886877828058</v>
      </c>
    </row>
    <row r="214" spans="1:31">
      <c r="A214" s="68" t="s">
        <v>263</v>
      </c>
      <c r="B214" s="84" t="s">
        <v>48</v>
      </c>
      <c r="C214" s="85">
        <v>76</v>
      </c>
      <c r="D214" s="85">
        <v>19</v>
      </c>
      <c r="E214" s="85">
        <v>9</v>
      </c>
      <c r="F214" s="89">
        <v>3800</v>
      </c>
      <c r="G214" s="85"/>
      <c r="H214" s="85"/>
      <c r="I214" s="85"/>
      <c r="J214" s="85"/>
      <c r="K214" s="85"/>
      <c r="L214" s="85"/>
      <c r="M214" s="85"/>
      <c r="N214" s="85"/>
      <c r="O214" s="118">
        <f>((IFERROR((C214*D214*E214),0)+IFERROR((G214*H214*I214),0)+IFERROR((K214*L214*M214),0))/1000000)*35.32</f>
        <v>0.45901872000000005</v>
      </c>
      <c r="P214" s="125">
        <f>Table13[[#This Row],[Column15]]*$P$2*1000</f>
        <v>2754.1123200000002</v>
      </c>
      <c r="Q214" s="87">
        <f>F214+J214+N214</f>
        <v>3800</v>
      </c>
      <c r="R214" s="86">
        <f>MAX(Q214,O214)</f>
        <v>3800</v>
      </c>
      <c r="S214" s="86">
        <f>MAX(R214,P214)</f>
        <v>3800</v>
      </c>
      <c r="T214" s="156" t="str">
        <f>VLOOKUP(A214,'[1]MTP SKUs - Master Data'!$A:$B,2,FALSE)</f>
        <v>Y</v>
      </c>
      <c r="U214" s="162">
        <f>_xlfn.IFNA(VLOOKUP(Table13[[#This Row],[MTP SKU Code]],'Audit Dimensions'!A:N,6,FALSE),"ARC")</f>
        <v>4450</v>
      </c>
      <c r="V214" s="162">
        <f>IFERROR(Table13[[#This Row],[B1.Aud]]-Table13[[#This Row],[PW(gm)]],"ERR")</f>
        <v>650</v>
      </c>
      <c r="W214" s="165">
        <f>IFERROR(Table13[[#This Row],[B1.Diff]]/Table13[[#This Row],[B1.Aud]],"ERR")</f>
        <v>0.14606741573033707</v>
      </c>
      <c r="X214" s="162">
        <f>_xlfn.IFNA(VLOOKUP(Table13[[#This Row],[MTP SKU Code]],'Audit Dimensions'!A:N,10,FALSE),"ARC")</f>
        <v>0</v>
      </c>
      <c r="Y214" s="163">
        <f>IFERROR(Table13[[#This Row],[B2.Aud]]-Table13[[#This Row],[PW(gm)5]],"ERR")</f>
        <v>0</v>
      </c>
      <c r="Z214" s="165" t="str">
        <f>IFERROR(Table13[[#This Row],[B2.Diff]]/Table13[[#This Row],[B2.Aud]],"ERR")</f>
        <v>ERR</v>
      </c>
      <c r="AA214" s="162">
        <f>_xlfn.IFNA(VLOOKUP(Table13[[#This Row],[MTP SKU Code]],'Audit Dimensions'!A:N,14,FALSE),"ARC")</f>
        <v>0</v>
      </c>
      <c r="AB214" s="161">
        <f>IFERROR(Table13[[#This Row],[B3.Aud]]-Table13[[#This Row],[PW(gm)9]],"ERR")</f>
        <v>0</v>
      </c>
      <c r="AC214" s="168">
        <f>IFERROR(Table13[[#This Row],[B3.Diff]]/Table13[[#This Row],[BaLL.Aud]],"ERR")</f>
        <v>0</v>
      </c>
      <c r="AD214" s="189">
        <f>_xlfn.IFNA(VLOOKUP(Table13[[#This Row],[MTP SKU Code]],'Audit Dimensions'!A:U,16,FALSE),"ARC")</f>
        <v>4450</v>
      </c>
      <c r="AE214" s="165">
        <f>IFERROR(1-Table13[[#This Row],[Gms]]/Table13[[#This Row],[BaLL.Aud]],"ERR")</f>
        <v>0.1460674157303371</v>
      </c>
    </row>
    <row r="215" spans="1:31">
      <c r="A215" s="68" t="s">
        <v>102</v>
      </c>
      <c r="B215" s="84" t="s">
        <v>48</v>
      </c>
      <c r="C215" s="85">
        <v>123</v>
      </c>
      <c r="D215" s="85">
        <v>30</v>
      </c>
      <c r="E215" s="85">
        <v>13</v>
      </c>
      <c r="F215" s="89">
        <v>25000</v>
      </c>
      <c r="G215" s="85"/>
      <c r="H215" s="85"/>
      <c r="I215" s="85"/>
      <c r="J215" s="85"/>
      <c r="K215" s="85"/>
      <c r="L215" s="85"/>
      <c r="M215" s="85"/>
      <c r="N215" s="85"/>
      <c r="O215" s="118">
        <f>((IFERROR((C215*D215*E215),0)+IFERROR((G215*H215*I215),0)+IFERROR((K215*L215*M215),0))/1000000)*35.32</f>
        <v>1.6943003999999999</v>
      </c>
      <c r="P215" s="125">
        <f>Table13[[#This Row],[Column15]]*$P$2*1000</f>
        <v>10165.8024</v>
      </c>
      <c r="Q215" s="87">
        <f>F215+J215+N215</f>
        <v>25000</v>
      </c>
      <c r="R215" s="86">
        <f>MAX(Q215,O215)</f>
        <v>25000</v>
      </c>
      <c r="S215" s="86">
        <f>MAX(R215,P215)</f>
        <v>25000</v>
      </c>
      <c r="T215" s="156" t="str">
        <f>VLOOKUP(A215,'[1]MTP SKUs - Master Data'!$A:$B,2,FALSE)</f>
        <v>Y</v>
      </c>
      <c r="U215" s="162">
        <f>_xlfn.IFNA(VLOOKUP(Table13[[#This Row],[MTP SKU Code]],'Audit Dimensions'!A:N,6,FALSE),"ARC")</f>
        <v>29300</v>
      </c>
      <c r="V215" s="162">
        <f>IFERROR(Table13[[#This Row],[B1.Aud]]-Table13[[#This Row],[PW(gm)]],"ERR")</f>
        <v>4300</v>
      </c>
      <c r="W215" s="165">
        <f>IFERROR(Table13[[#This Row],[B1.Diff]]/Table13[[#This Row],[B1.Aud]],"ERR")</f>
        <v>0.14675767918088736</v>
      </c>
      <c r="X215" s="162">
        <f>_xlfn.IFNA(VLOOKUP(Table13[[#This Row],[MTP SKU Code]],'Audit Dimensions'!A:N,10,FALSE),"ARC")</f>
        <v>0</v>
      </c>
      <c r="Y215" s="163">
        <f>IFERROR(Table13[[#This Row],[B2.Aud]]-Table13[[#This Row],[PW(gm)5]],"ERR")</f>
        <v>0</v>
      </c>
      <c r="Z215" s="165" t="str">
        <f>IFERROR(Table13[[#This Row],[B2.Diff]]/Table13[[#This Row],[B2.Aud]],"ERR")</f>
        <v>ERR</v>
      </c>
      <c r="AA215" s="162">
        <f>_xlfn.IFNA(VLOOKUP(Table13[[#This Row],[MTP SKU Code]],'Audit Dimensions'!A:N,14,FALSE),"ARC")</f>
        <v>0</v>
      </c>
      <c r="AB215" s="161">
        <f>IFERROR(Table13[[#This Row],[B3.Aud]]-Table13[[#This Row],[PW(gm)9]],"ERR")</f>
        <v>0</v>
      </c>
      <c r="AC215" s="168">
        <f>IFERROR(Table13[[#This Row],[B3.Diff]]/Table13[[#This Row],[BaLL.Aud]],"ERR")</f>
        <v>0</v>
      </c>
      <c r="AD215" s="189">
        <f>_xlfn.IFNA(VLOOKUP(Table13[[#This Row],[MTP SKU Code]],'Audit Dimensions'!A:U,16,FALSE),"ARC")</f>
        <v>29300</v>
      </c>
      <c r="AE215" s="165">
        <f>IFERROR(1-Table13[[#This Row],[Gms]]/Table13[[#This Row],[BaLL.Aud]],"ERR")</f>
        <v>0.14675767918088733</v>
      </c>
    </row>
    <row r="216" spans="1:31">
      <c r="A216" s="68" t="s">
        <v>199</v>
      </c>
      <c r="B216" s="84" t="s">
        <v>48</v>
      </c>
      <c r="C216" s="85">
        <v>158</v>
      </c>
      <c r="D216" s="85">
        <v>80</v>
      </c>
      <c r="E216" s="85">
        <v>4</v>
      </c>
      <c r="F216" s="89">
        <v>15110</v>
      </c>
      <c r="G216" s="85"/>
      <c r="H216" s="85"/>
      <c r="I216" s="85"/>
      <c r="J216" s="85"/>
      <c r="K216" s="85"/>
      <c r="L216" s="85"/>
      <c r="M216" s="85"/>
      <c r="N216" s="85"/>
      <c r="O216" s="118">
        <f>((IFERROR((C216*D216*E216),0)+IFERROR((G216*H216*I216),0)+IFERROR((K216*L216*M216),0))/1000000)*35.32</f>
        <v>1.7857792000000001</v>
      </c>
      <c r="P216" s="125">
        <f>Table13[[#This Row],[Column15]]*$P$2*1000</f>
        <v>10714.6752</v>
      </c>
      <c r="Q216" s="87">
        <f>F216+J216+N216</f>
        <v>15110</v>
      </c>
      <c r="R216" s="86">
        <f>MAX(Q216,O216)</f>
        <v>15110</v>
      </c>
      <c r="S216" s="86">
        <f>MAX(R216,P216)</f>
        <v>15110</v>
      </c>
      <c r="T216" s="156" t="str">
        <f>VLOOKUP(A216,'[1]MTP SKUs - Master Data'!$A:$B,2,FALSE)</f>
        <v>Y</v>
      </c>
      <c r="U216" s="162">
        <f>_xlfn.IFNA(VLOOKUP(Table13[[#This Row],[MTP SKU Code]],'Audit Dimensions'!A:N,6,FALSE),"ARC")</f>
        <v>17720</v>
      </c>
      <c r="V216" s="162">
        <f>IFERROR(Table13[[#This Row],[B1.Aud]]-Table13[[#This Row],[PW(gm)]],"ERR")</f>
        <v>2610</v>
      </c>
      <c r="W216" s="165">
        <f>IFERROR(Table13[[#This Row],[B1.Diff]]/Table13[[#This Row],[B1.Aud]],"ERR")</f>
        <v>0.14729119638826185</v>
      </c>
      <c r="X216" s="162">
        <f>_xlfn.IFNA(VLOOKUP(Table13[[#This Row],[MTP SKU Code]],'Audit Dimensions'!A:N,10,FALSE),"ARC")</f>
        <v>0</v>
      </c>
      <c r="Y216" s="163">
        <f>IFERROR(Table13[[#This Row],[B2.Aud]]-Table13[[#This Row],[PW(gm)5]],"ERR")</f>
        <v>0</v>
      </c>
      <c r="Z216" s="165" t="str">
        <f>IFERROR(Table13[[#This Row],[B2.Diff]]/Table13[[#This Row],[B2.Aud]],"ERR")</f>
        <v>ERR</v>
      </c>
      <c r="AA216" s="162">
        <f>_xlfn.IFNA(VLOOKUP(Table13[[#This Row],[MTP SKU Code]],'Audit Dimensions'!A:N,14,FALSE),"ARC")</f>
        <v>0</v>
      </c>
      <c r="AB216" s="161">
        <f>IFERROR(Table13[[#This Row],[B3.Aud]]-Table13[[#This Row],[PW(gm)9]],"ERR")</f>
        <v>0</v>
      </c>
      <c r="AC216" s="168">
        <f>IFERROR(Table13[[#This Row],[B3.Diff]]/Table13[[#This Row],[BaLL.Aud]],"ERR")</f>
        <v>0</v>
      </c>
      <c r="AD216" s="189">
        <f>_xlfn.IFNA(VLOOKUP(Table13[[#This Row],[MTP SKU Code]],'Audit Dimensions'!A:U,16,FALSE),"ARC")</f>
        <v>17720</v>
      </c>
      <c r="AE216" s="165">
        <f>IFERROR(1-Table13[[#This Row],[Gms]]/Table13[[#This Row],[BaLL.Aud]],"ERR")</f>
        <v>0.14729119638826182</v>
      </c>
    </row>
    <row r="217" spans="1:31">
      <c r="A217" s="68" t="s">
        <v>196</v>
      </c>
      <c r="B217" s="84" t="s">
        <v>48</v>
      </c>
      <c r="C217" s="85">
        <v>165</v>
      </c>
      <c r="D217" s="85">
        <v>34</v>
      </c>
      <c r="E217" s="85">
        <v>9</v>
      </c>
      <c r="F217" s="89">
        <v>21800</v>
      </c>
      <c r="G217" s="85"/>
      <c r="H217" s="85"/>
      <c r="I217" s="85"/>
      <c r="J217" s="85"/>
      <c r="K217" s="85"/>
      <c r="L217" s="85"/>
      <c r="M217" s="85"/>
      <c r="N217" s="85"/>
      <c r="O217" s="118">
        <f>((IFERROR((C217*D217*E217),0)+IFERROR((G217*H217*I217),0)+IFERROR((K217*L217*M217),0))/1000000)*35.32</f>
        <v>1.7833068000000001</v>
      </c>
      <c r="P217" s="125">
        <f>Table13[[#This Row],[Column15]]*$P$2*1000</f>
        <v>10699.8408</v>
      </c>
      <c r="Q217" s="87">
        <f>F217+J217+N217</f>
        <v>21800</v>
      </c>
      <c r="R217" s="86">
        <f>MAX(Q217,O217)</f>
        <v>21800</v>
      </c>
      <c r="S217" s="86">
        <f>MAX(R217,P217)</f>
        <v>21800</v>
      </c>
      <c r="T217" s="156" t="str">
        <f>VLOOKUP(A217,'[1]MTP SKUs - Master Data'!$A:$B,2,FALSE)</f>
        <v>Y</v>
      </c>
      <c r="U217" s="162">
        <f>_xlfn.IFNA(VLOOKUP(Table13[[#This Row],[MTP SKU Code]],'Audit Dimensions'!A:N,6,FALSE),"ARC")</f>
        <v>25600</v>
      </c>
      <c r="V217" s="162">
        <f>IFERROR(Table13[[#This Row],[B1.Aud]]-Table13[[#This Row],[PW(gm)]],"ERR")</f>
        <v>3800</v>
      </c>
      <c r="W217" s="165">
        <f>IFERROR(Table13[[#This Row],[B1.Diff]]/Table13[[#This Row],[B1.Aud]],"ERR")</f>
        <v>0.1484375</v>
      </c>
      <c r="X217" s="162">
        <f>_xlfn.IFNA(VLOOKUP(Table13[[#This Row],[MTP SKU Code]],'Audit Dimensions'!A:N,10,FALSE),"ARC")</f>
        <v>0</v>
      </c>
      <c r="Y217" s="163">
        <f>IFERROR(Table13[[#This Row],[B2.Aud]]-Table13[[#This Row],[PW(gm)5]],"ERR")</f>
        <v>0</v>
      </c>
      <c r="Z217" s="165" t="str">
        <f>IFERROR(Table13[[#This Row],[B2.Diff]]/Table13[[#This Row],[B2.Aud]],"ERR")</f>
        <v>ERR</v>
      </c>
      <c r="AA217" s="162">
        <f>_xlfn.IFNA(VLOOKUP(Table13[[#This Row],[MTP SKU Code]],'Audit Dimensions'!A:N,14,FALSE),"ARC")</f>
        <v>0</v>
      </c>
      <c r="AB217" s="161">
        <f>IFERROR(Table13[[#This Row],[B3.Aud]]-Table13[[#This Row],[PW(gm)9]],"ERR")</f>
        <v>0</v>
      </c>
      <c r="AC217" s="168">
        <f>IFERROR(Table13[[#This Row],[B3.Diff]]/Table13[[#This Row],[BaLL.Aud]],"ERR")</f>
        <v>0</v>
      </c>
      <c r="AD217" s="189">
        <f>_xlfn.IFNA(VLOOKUP(Table13[[#This Row],[MTP SKU Code]],'Audit Dimensions'!A:U,16,FALSE),"ARC")</f>
        <v>25600</v>
      </c>
      <c r="AE217" s="165">
        <f>IFERROR(1-Table13[[#This Row],[Gms]]/Table13[[#This Row],[BaLL.Aud]],"ERR")</f>
        <v>0.1484375</v>
      </c>
    </row>
    <row r="218" spans="1:31">
      <c r="A218" s="68" t="s">
        <v>273</v>
      </c>
      <c r="B218" s="84" t="s">
        <v>48</v>
      </c>
      <c r="C218" s="85">
        <v>105</v>
      </c>
      <c r="D218" s="85">
        <v>51</v>
      </c>
      <c r="E218" s="85">
        <v>7</v>
      </c>
      <c r="F218" s="89">
        <v>11800</v>
      </c>
      <c r="G218" s="85"/>
      <c r="H218" s="85"/>
      <c r="I218" s="85"/>
      <c r="J218" s="85"/>
      <c r="K218" s="85"/>
      <c r="L218" s="85"/>
      <c r="M218" s="85"/>
      <c r="N218" s="85"/>
      <c r="O218" s="118">
        <f>((IFERROR((C218*D218*E218),0)+IFERROR((G218*H218*I218),0)+IFERROR((K218*L218*M218),0))/1000000)*35.32</f>
        <v>1.3239702</v>
      </c>
      <c r="P218" s="125">
        <f>Table13[[#This Row],[Column15]]*$P$2*1000</f>
        <v>7943.8212000000003</v>
      </c>
      <c r="Q218" s="87">
        <f>F218+J218+N218</f>
        <v>11800</v>
      </c>
      <c r="R218" s="86">
        <f>MAX(Q218,O218)</f>
        <v>11800</v>
      </c>
      <c r="S218" s="86">
        <f>MAX(R218,P218)</f>
        <v>11800</v>
      </c>
      <c r="T218" s="156" t="str">
        <f>VLOOKUP(A218,'[1]MTP SKUs - Master Data'!$A:$B,2,FALSE)</f>
        <v>RL</v>
      </c>
      <c r="U218" s="162">
        <f>_xlfn.IFNA(VLOOKUP(Table13[[#This Row],[MTP SKU Code]],'Audit Dimensions'!A:N,6,FALSE),"ARC")</f>
        <v>14000</v>
      </c>
      <c r="V218" s="162">
        <f>IFERROR(Table13[[#This Row],[B1.Aud]]-Table13[[#This Row],[PW(gm)]],"ERR")</f>
        <v>2200</v>
      </c>
      <c r="W218" s="165">
        <f>IFERROR(Table13[[#This Row],[B1.Diff]]/Table13[[#This Row],[B1.Aud]],"ERR")</f>
        <v>0.15714285714285714</v>
      </c>
      <c r="X218" s="162">
        <f>_xlfn.IFNA(VLOOKUP(Table13[[#This Row],[MTP SKU Code]],'Audit Dimensions'!A:N,10,FALSE),"ARC")</f>
        <v>0</v>
      </c>
      <c r="Y218" s="163">
        <f>IFERROR(Table13[[#This Row],[B2.Aud]]-Table13[[#This Row],[PW(gm)5]],"ERR")</f>
        <v>0</v>
      </c>
      <c r="Z218" s="165" t="str">
        <f>IFERROR(Table13[[#This Row],[B2.Diff]]/Table13[[#This Row],[B2.Aud]],"ERR")</f>
        <v>ERR</v>
      </c>
      <c r="AA218" s="162">
        <f>_xlfn.IFNA(VLOOKUP(Table13[[#This Row],[MTP SKU Code]],'Audit Dimensions'!A:N,14,FALSE),"ARC")</f>
        <v>0</v>
      </c>
      <c r="AB218" s="161">
        <f>IFERROR(Table13[[#This Row],[B3.Aud]]-Table13[[#This Row],[PW(gm)9]],"ERR")</f>
        <v>0</v>
      </c>
      <c r="AC218" s="168">
        <f>IFERROR(Table13[[#This Row],[B3.Diff]]/Table13[[#This Row],[BaLL.Aud]],"ERR")</f>
        <v>0</v>
      </c>
      <c r="AD218" s="189">
        <f>_xlfn.IFNA(VLOOKUP(Table13[[#This Row],[MTP SKU Code]],'Audit Dimensions'!A:U,16,FALSE),"ARC")</f>
        <v>14000</v>
      </c>
      <c r="AE218" s="165">
        <f>IFERROR(1-Table13[[#This Row],[Gms]]/Table13[[#This Row],[BaLL.Aud]],"ERR")</f>
        <v>0.15714285714285714</v>
      </c>
    </row>
    <row r="219" spans="1:31">
      <c r="A219" s="68" t="s">
        <v>144</v>
      </c>
      <c r="B219" s="84" t="s">
        <v>48</v>
      </c>
      <c r="C219" s="84">
        <v>104</v>
      </c>
      <c r="D219" s="85">
        <v>42</v>
      </c>
      <c r="E219" s="85">
        <v>16</v>
      </c>
      <c r="F219" s="89">
        <v>20000</v>
      </c>
      <c r="G219" s="85"/>
      <c r="H219" s="85"/>
      <c r="I219" s="85"/>
      <c r="J219" s="85"/>
      <c r="K219" s="85"/>
      <c r="L219" s="85"/>
      <c r="M219" s="85"/>
      <c r="N219" s="85"/>
      <c r="O219" s="118">
        <f>((IFERROR((C219*D219*E219),0)+IFERROR((G219*H219*I219),0)+IFERROR((K219*L219*M219),0))/1000000)*35.32</f>
        <v>2.4684441600000002</v>
      </c>
      <c r="P219" s="125">
        <f>Table13[[#This Row],[Column15]]*$P$2*1000</f>
        <v>14810.66496</v>
      </c>
      <c r="Q219" s="87">
        <f>F219+J219+N219</f>
        <v>20000</v>
      </c>
      <c r="R219" s="88">
        <f>MAX(Q219,O219)</f>
        <v>20000</v>
      </c>
      <c r="S219" s="86">
        <f>MAX(R219,P219)</f>
        <v>20000</v>
      </c>
      <c r="T219" s="156" t="str">
        <f>VLOOKUP(A219,'[1]MTP SKUs - Master Data'!$A:$B,2,FALSE)</f>
        <v>Y</v>
      </c>
      <c r="U219" s="162">
        <f>_xlfn.IFNA(VLOOKUP(Table13[[#This Row],[MTP SKU Code]],'Audit Dimensions'!A:N,6,FALSE),"ARC")</f>
        <v>23800</v>
      </c>
      <c r="V219" s="162">
        <f>IFERROR(Table13[[#This Row],[B1.Aud]]-Table13[[#This Row],[PW(gm)]],"ERR")</f>
        <v>3800</v>
      </c>
      <c r="W219" s="165">
        <f>IFERROR(Table13[[#This Row],[B1.Diff]]/Table13[[#This Row],[B1.Aud]],"ERR")</f>
        <v>0.15966386554621848</v>
      </c>
      <c r="X219" s="162">
        <f>_xlfn.IFNA(VLOOKUP(Table13[[#This Row],[MTP SKU Code]],'Audit Dimensions'!A:N,10,FALSE),"ARC")</f>
        <v>0</v>
      </c>
      <c r="Y219" s="163">
        <f>IFERROR(Table13[[#This Row],[B2.Aud]]-Table13[[#This Row],[PW(gm)5]],"ERR")</f>
        <v>0</v>
      </c>
      <c r="Z219" s="165" t="str">
        <f>IFERROR(Table13[[#This Row],[B2.Diff]]/Table13[[#This Row],[B2.Aud]],"ERR")</f>
        <v>ERR</v>
      </c>
      <c r="AA219" s="162">
        <f>_xlfn.IFNA(VLOOKUP(Table13[[#This Row],[MTP SKU Code]],'Audit Dimensions'!A:N,14,FALSE),"ARC")</f>
        <v>0</v>
      </c>
      <c r="AB219" s="161">
        <f>IFERROR(Table13[[#This Row],[B3.Aud]]-Table13[[#This Row],[PW(gm)9]],"ERR")</f>
        <v>0</v>
      </c>
      <c r="AC219" s="168">
        <f>IFERROR(Table13[[#This Row],[B3.Diff]]/Table13[[#This Row],[BaLL.Aud]],"ERR")</f>
        <v>0</v>
      </c>
      <c r="AD219" s="189">
        <f>_xlfn.IFNA(VLOOKUP(Table13[[#This Row],[MTP SKU Code]],'Audit Dimensions'!A:U,16,FALSE),"ARC")</f>
        <v>23800</v>
      </c>
      <c r="AE219" s="165">
        <f>IFERROR(1-Table13[[#This Row],[Gms]]/Table13[[#This Row],[BaLL.Aud]],"ERR")</f>
        <v>0.15966386554621848</v>
      </c>
    </row>
    <row r="220" spans="1:31">
      <c r="A220" s="68" t="s">
        <v>239</v>
      </c>
      <c r="B220" s="84" t="s">
        <v>48</v>
      </c>
      <c r="C220" s="85">
        <v>185</v>
      </c>
      <c r="D220" s="85">
        <v>32</v>
      </c>
      <c r="E220" s="85">
        <v>8</v>
      </c>
      <c r="F220" s="89">
        <v>18850</v>
      </c>
      <c r="G220" s="85"/>
      <c r="H220" s="85"/>
      <c r="I220" s="85"/>
      <c r="J220" s="85"/>
      <c r="K220" s="85"/>
      <c r="L220" s="85"/>
      <c r="M220" s="85"/>
      <c r="N220" s="85"/>
      <c r="O220" s="118">
        <f>((IFERROR((C220*D220*E220),0)+IFERROR((G220*H220*I220),0)+IFERROR((K220*L220*M220),0))/1000000)*35.32</f>
        <v>1.6727551999999999</v>
      </c>
      <c r="P220" s="125">
        <f>Table13[[#This Row],[Column15]]*$P$2*1000</f>
        <v>10036.531199999999</v>
      </c>
      <c r="Q220" s="87">
        <f>F220+J220+N220</f>
        <v>18850</v>
      </c>
      <c r="R220" s="86">
        <f>MAX(Q220,O220)</f>
        <v>18850</v>
      </c>
      <c r="S220" s="86">
        <f>MAX(R220,P220)</f>
        <v>18850</v>
      </c>
      <c r="T220" s="156" t="str">
        <f>VLOOKUP(A220,'[1]MTP SKUs - Master Data'!$A:$B,2,FALSE)</f>
        <v>Y</v>
      </c>
      <c r="U220" s="162">
        <f>_xlfn.IFNA(VLOOKUP(Table13[[#This Row],[MTP SKU Code]],'Audit Dimensions'!A:N,6,FALSE),"ARC")</f>
        <v>22700</v>
      </c>
      <c r="V220" s="162">
        <f>IFERROR(Table13[[#This Row],[B1.Aud]]-Table13[[#This Row],[PW(gm)]],"ERR")</f>
        <v>3850</v>
      </c>
      <c r="W220" s="165">
        <f>IFERROR(Table13[[#This Row],[B1.Diff]]/Table13[[#This Row],[B1.Aud]],"ERR")</f>
        <v>0.1696035242290749</v>
      </c>
      <c r="X220" s="162">
        <f>_xlfn.IFNA(VLOOKUP(Table13[[#This Row],[MTP SKU Code]],'Audit Dimensions'!A:N,10,FALSE),"ARC")</f>
        <v>0</v>
      </c>
      <c r="Y220" s="163">
        <f>IFERROR(Table13[[#This Row],[B2.Aud]]-Table13[[#This Row],[PW(gm)5]],"ERR")</f>
        <v>0</v>
      </c>
      <c r="Z220" s="165" t="str">
        <f>IFERROR(Table13[[#This Row],[B2.Diff]]/Table13[[#This Row],[B2.Aud]],"ERR")</f>
        <v>ERR</v>
      </c>
      <c r="AA220" s="162">
        <f>_xlfn.IFNA(VLOOKUP(Table13[[#This Row],[MTP SKU Code]],'Audit Dimensions'!A:N,14,FALSE),"ARC")</f>
        <v>0</v>
      </c>
      <c r="AB220" s="161">
        <f>IFERROR(Table13[[#This Row],[B3.Aud]]-Table13[[#This Row],[PW(gm)9]],"ERR")</f>
        <v>0</v>
      </c>
      <c r="AC220" s="168">
        <f>IFERROR(Table13[[#This Row],[B3.Diff]]/Table13[[#This Row],[BaLL.Aud]],"ERR")</f>
        <v>0</v>
      </c>
      <c r="AD220" s="189">
        <f>_xlfn.IFNA(VLOOKUP(Table13[[#This Row],[MTP SKU Code]],'Audit Dimensions'!A:U,16,FALSE),"ARC")</f>
        <v>22700</v>
      </c>
      <c r="AE220" s="165">
        <f>IFERROR(1-Table13[[#This Row],[Gms]]/Table13[[#This Row],[BaLL.Aud]],"ERR")</f>
        <v>0.16960352422907488</v>
      </c>
    </row>
    <row r="221" spans="1:31">
      <c r="A221" s="68" t="s">
        <v>274</v>
      </c>
      <c r="B221" s="84" t="s">
        <v>48</v>
      </c>
      <c r="C221" s="85">
        <v>144</v>
      </c>
      <c r="D221" s="85">
        <v>20</v>
      </c>
      <c r="E221" s="85">
        <v>8</v>
      </c>
      <c r="F221" s="89">
        <v>11600</v>
      </c>
      <c r="G221" s="85"/>
      <c r="H221" s="85"/>
      <c r="I221" s="85"/>
      <c r="J221" s="85"/>
      <c r="K221" s="85"/>
      <c r="L221" s="85"/>
      <c r="M221" s="85"/>
      <c r="N221" s="85"/>
      <c r="O221" s="118">
        <f>((IFERROR((C221*D221*E221),0)+IFERROR((G221*H221*I221),0)+IFERROR((K221*L221*M221),0))/1000000)*35.32</f>
        <v>0.81377280000000007</v>
      </c>
      <c r="P221" s="125">
        <f>Table13[[#This Row],[Column15]]*$P$2*1000</f>
        <v>4882.6368000000002</v>
      </c>
      <c r="Q221" s="87">
        <f>F221+J221+N221</f>
        <v>11600</v>
      </c>
      <c r="R221" s="86">
        <f>MAX(Q221,O221)</f>
        <v>11600</v>
      </c>
      <c r="S221" s="86">
        <f>MAX(R221,P221)</f>
        <v>11600</v>
      </c>
      <c r="T221" s="156" t="str">
        <f>VLOOKUP(A221,'[1]MTP SKUs - Master Data'!$A:$B,2,FALSE)</f>
        <v>Y</v>
      </c>
      <c r="U221" s="162">
        <f>_xlfn.IFNA(VLOOKUP(Table13[[#This Row],[MTP SKU Code]],'Audit Dimensions'!A:N,6,FALSE),"ARC")</f>
        <v>14000</v>
      </c>
      <c r="V221" s="162">
        <f>IFERROR(Table13[[#This Row],[B1.Aud]]-Table13[[#This Row],[PW(gm)]],"ERR")</f>
        <v>2400</v>
      </c>
      <c r="W221" s="165">
        <f>IFERROR(Table13[[#This Row],[B1.Diff]]/Table13[[#This Row],[B1.Aud]],"ERR")</f>
        <v>0.17142857142857143</v>
      </c>
      <c r="X221" s="162">
        <f>_xlfn.IFNA(VLOOKUP(Table13[[#This Row],[MTP SKU Code]],'Audit Dimensions'!A:N,10,FALSE),"ARC")</f>
        <v>0</v>
      </c>
      <c r="Y221" s="163">
        <f>IFERROR(Table13[[#This Row],[B2.Aud]]-Table13[[#This Row],[PW(gm)5]],"ERR")</f>
        <v>0</v>
      </c>
      <c r="Z221" s="165" t="str">
        <f>IFERROR(Table13[[#This Row],[B2.Diff]]/Table13[[#This Row],[B2.Aud]],"ERR")</f>
        <v>ERR</v>
      </c>
      <c r="AA221" s="162">
        <f>_xlfn.IFNA(VLOOKUP(Table13[[#This Row],[MTP SKU Code]],'Audit Dimensions'!A:N,14,FALSE),"ARC")</f>
        <v>0</v>
      </c>
      <c r="AB221" s="161">
        <f>IFERROR(Table13[[#This Row],[B3.Aud]]-Table13[[#This Row],[PW(gm)9]],"ERR")</f>
        <v>0</v>
      </c>
      <c r="AC221" s="168">
        <f>IFERROR(Table13[[#This Row],[B3.Diff]]/Table13[[#This Row],[BaLL.Aud]],"ERR")</f>
        <v>0</v>
      </c>
      <c r="AD221" s="189">
        <f>_xlfn.IFNA(VLOOKUP(Table13[[#This Row],[MTP SKU Code]],'Audit Dimensions'!A:U,16,FALSE),"ARC")</f>
        <v>14000</v>
      </c>
      <c r="AE221" s="165">
        <f>IFERROR(1-Table13[[#This Row],[Gms]]/Table13[[#This Row],[BaLL.Aud]],"ERR")</f>
        <v>0.17142857142857137</v>
      </c>
    </row>
    <row r="222" spans="1:31">
      <c r="A222" s="68" t="s">
        <v>164</v>
      </c>
      <c r="B222" s="84" t="s">
        <v>48</v>
      </c>
      <c r="C222" s="85">
        <v>129</v>
      </c>
      <c r="D222" s="85">
        <v>43</v>
      </c>
      <c r="E222" s="85">
        <v>13</v>
      </c>
      <c r="F222" s="89">
        <v>30000</v>
      </c>
      <c r="G222" s="85"/>
      <c r="H222" s="85"/>
      <c r="I222" s="85"/>
      <c r="J222" s="85"/>
      <c r="K222" s="85"/>
      <c r="L222" s="85"/>
      <c r="M222" s="85"/>
      <c r="N222" s="85"/>
      <c r="O222" s="118">
        <f>((IFERROR((C222*D222*E222),0)+IFERROR((G222*H222*I222),0)+IFERROR((K222*L222*M222),0))/1000000)*35.32</f>
        <v>2.5469605199999998</v>
      </c>
      <c r="P222" s="125">
        <f>Table13[[#This Row],[Column15]]*$P$2*1000</f>
        <v>15281.76312</v>
      </c>
      <c r="Q222" s="87">
        <f>F222+J222+N222</f>
        <v>30000</v>
      </c>
      <c r="R222" s="86">
        <f>MAX(Q222,O222)</f>
        <v>30000</v>
      </c>
      <c r="S222" s="86">
        <f>MAX(R222,P222)</f>
        <v>30000</v>
      </c>
      <c r="T222" s="156" t="str">
        <f>VLOOKUP(A222,'[1]MTP SKUs - Master Data'!$A:$B,2,FALSE)</f>
        <v>Y</v>
      </c>
      <c r="U222" s="162">
        <f>_xlfn.IFNA(VLOOKUP(Table13[[#This Row],[MTP SKU Code]],'Audit Dimensions'!A:N,6,FALSE),"ARC")</f>
        <v>36220</v>
      </c>
      <c r="V222" s="162">
        <f>IFERROR(Table13[[#This Row],[B1.Aud]]-Table13[[#This Row],[PW(gm)]],"ERR")</f>
        <v>6220</v>
      </c>
      <c r="W222" s="165">
        <f>IFERROR(Table13[[#This Row],[B1.Diff]]/Table13[[#This Row],[B1.Aud]],"ERR")</f>
        <v>0.17172832689122031</v>
      </c>
      <c r="X222" s="162">
        <f>_xlfn.IFNA(VLOOKUP(Table13[[#This Row],[MTP SKU Code]],'Audit Dimensions'!A:N,10,FALSE),"ARC")</f>
        <v>0</v>
      </c>
      <c r="Y222" s="163">
        <f>IFERROR(Table13[[#This Row],[B2.Aud]]-Table13[[#This Row],[PW(gm)5]],"ERR")</f>
        <v>0</v>
      </c>
      <c r="Z222" s="165" t="str">
        <f>IFERROR(Table13[[#This Row],[B2.Diff]]/Table13[[#This Row],[B2.Aud]],"ERR")</f>
        <v>ERR</v>
      </c>
      <c r="AA222" s="162">
        <f>_xlfn.IFNA(VLOOKUP(Table13[[#This Row],[MTP SKU Code]],'Audit Dimensions'!A:N,14,FALSE),"ARC")</f>
        <v>0</v>
      </c>
      <c r="AB222" s="161">
        <f>IFERROR(Table13[[#This Row],[B3.Aud]]-Table13[[#This Row],[PW(gm)9]],"ERR")</f>
        <v>0</v>
      </c>
      <c r="AC222" s="168">
        <f>IFERROR(Table13[[#This Row],[B3.Diff]]/Table13[[#This Row],[BaLL.Aud]],"ERR")</f>
        <v>0</v>
      </c>
      <c r="AD222" s="189">
        <f>_xlfn.IFNA(VLOOKUP(Table13[[#This Row],[MTP SKU Code]],'Audit Dimensions'!A:U,16,FALSE),"ARC")</f>
        <v>36220</v>
      </c>
      <c r="AE222" s="165">
        <f>IFERROR(1-Table13[[#This Row],[Gms]]/Table13[[#This Row],[BaLL.Aud]],"ERR")</f>
        <v>0.17172832689122031</v>
      </c>
    </row>
    <row r="223" spans="1:31">
      <c r="A223" s="91" t="s">
        <v>237</v>
      </c>
      <c r="B223" s="84" t="s">
        <v>48</v>
      </c>
      <c r="C223" s="85">
        <v>125</v>
      </c>
      <c r="D223" s="85">
        <v>53</v>
      </c>
      <c r="E223" s="85">
        <v>13</v>
      </c>
      <c r="F223" s="89">
        <v>17600</v>
      </c>
      <c r="G223" s="85"/>
      <c r="H223" s="85"/>
      <c r="I223" s="85"/>
      <c r="J223" s="85"/>
      <c r="K223" s="85"/>
      <c r="L223" s="85"/>
      <c r="M223" s="85"/>
      <c r="N223" s="85"/>
      <c r="O223" s="118">
        <f>((IFERROR((C223*D223*E223),0)+IFERROR((G223*H223*I223),0)+IFERROR((K223*L223*M223),0))/1000000)*35.32</f>
        <v>3.0419349999999996</v>
      </c>
      <c r="P223" s="125">
        <f>Table13[[#This Row],[Column15]]*$P$2*1000</f>
        <v>18251.61</v>
      </c>
      <c r="Q223" s="87">
        <f>F223+J223+N223</f>
        <v>17600</v>
      </c>
      <c r="R223" s="86">
        <f>MAX(Q223,O223)</f>
        <v>17600</v>
      </c>
      <c r="S223" s="86">
        <f>MAX(R223,P223)</f>
        <v>18251.61</v>
      </c>
      <c r="T223" s="156" t="str">
        <f>VLOOKUP(A223,'[1]MTP SKUs - Master Data'!$A:$B,2,FALSE)</f>
        <v>Y</v>
      </c>
      <c r="U223" s="162">
        <f>_xlfn.IFNA(VLOOKUP(Table13[[#This Row],[MTP SKU Code]],'Audit Dimensions'!A:N,6,FALSE),"ARC")</f>
        <v>21600</v>
      </c>
      <c r="V223" s="162">
        <f>IFERROR(Table13[[#This Row],[B1.Aud]]-Table13[[#This Row],[PW(gm)]],"ERR")</f>
        <v>4000</v>
      </c>
      <c r="W223" s="165">
        <f>IFERROR(Table13[[#This Row],[B1.Diff]]/Table13[[#This Row],[B1.Aud]],"ERR")</f>
        <v>0.18518518518518517</v>
      </c>
      <c r="X223" s="162">
        <f>_xlfn.IFNA(VLOOKUP(Table13[[#This Row],[MTP SKU Code]],'Audit Dimensions'!A:N,10,FALSE),"ARC")</f>
        <v>0</v>
      </c>
      <c r="Y223" s="163">
        <f>IFERROR(Table13[[#This Row],[B2.Aud]]-Table13[[#This Row],[PW(gm)5]],"ERR")</f>
        <v>0</v>
      </c>
      <c r="Z223" s="165" t="str">
        <f>IFERROR(Table13[[#This Row],[B2.Diff]]/Table13[[#This Row],[B2.Aud]],"ERR")</f>
        <v>ERR</v>
      </c>
      <c r="AA223" s="162">
        <f>_xlfn.IFNA(VLOOKUP(Table13[[#This Row],[MTP SKU Code]],'Audit Dimensions'!A:N,14,FALSE),"ARC")</f>
        <v>0</v>
      </c>
      <c r="AB223" s="161">
        <f>IFERROR(Table13[[#This Row],[B3.Aud]]-Table13[[#This Row],[PW(gm)9]],"ERR")</f>
        <v>0</v>
      </c>
      <c r="AC223" s="168">
        <f>IFERROR(Table13[[#This Row],[B3.Diff]]/Table13[[#This Row],[BaLL.Aud]],"ERR")</f>
        <v>0</v>
      </c>
      <c r="AD223" s="189">
        <f>_xlfn.IFNA(VLOOKUP(Table13[[#This Row],[MTP SKU Code]],'Audit Dimensions'!A:U,16,FALSE),"ARC")</f>
        <v>21600</v>
      </c>
      <c r="AE223" s="165">
        <f>IFERROR(1-Table13[[#This Row],[Gms]]/Table13[[#This Row],[BaLL.Aud]],"ERR")</f>
        <v>0.18518518518518523</v>
      </c>
    </row>
    <row r="224" spans="1:31">
      <c r="A224" s="68" t="s">
        <v>259</v>
      </c>
      <c r="B224" s="84" t="s">
        <v>48</v>
      </c>
      <c r="C224" s="85">
        <v>38</v>
      </c>
      <c r="D224" s="85">
        <v>33</v>
      </c>
      <c r="E224" s="85">
        <v>32</v>
      </c>
      <c r="F224" s="89">
        <v>1700</v>
      </c>
      <c r="G224" s="85"/>
      <c r="H224" s="85"/>
      <c r="I224" s="85"/>
      <c r="J224" s="85"/>
      <c r="K224" s="85"/>
      <c r="L224" s="85"/>
      <c r="M224" s="85"/>
      <c r="N224" s="85"/>
      <c r="O224" s="118">
        <f>((IFERROR((C224*D224*E224),0)+IFERROR((G224*H224*I224),0)+IFERROR((K224*L224*M224),0))/1000000)*35.32</f>
        <v>1.4173209599999999</v>
      </c>
      <c r="P224" s="125">
        <f>Table13[[#This Row],[Column15]]*$P$2*1000</f>
        <v>8503.9257600000001</v>
      </c>
      <c r="Q224" s="87">
        <f>F224+J224+N224</f>
        <v>1700</v>
      </c>
      <c r="R224" s="86">
        <f>MAX(Q224,O224)</f>
        <v>1700</v>
      </c>
      <c r="S224" s="86">
        <f>MAX(R224,P224)</f>
        <v>8503.9257600000001</v>
      </c>
      <c r="T224" s="156" t="str">
        <f>VLOOKUP(A224,'[1]MTP SKUs - Master Data'!$A:$B,2,FALSE)</f>
        <v>Y</v>
      </c>
      <c r="U224" s="162">
        <f>_xlfn.IFNA(VLOOKUP(Table13[[#This Row],[MTP SKU Code]],'Audit Dimensions'!A:N,6,FALSE),"ARC")</f>
        <v>2100</v>
      </c>
      <c r="V224" s="162">
        <f>IFERROR(Table13[[#This Row],[B1.Aud]]-Table13[[#This Row],[PW(gm)]],"ERR")</f>
        <v>400</v>
      </c>
      <c r="W224" s="165">
        <f>IFERROR(Table13[[#This Row],[B1.Diff]]/Table13[[#This Row],[B1.Aud]],"ERR")</f>
        <v>0.19047619047619047</v>
      </c>
      <c r="X224" s="162">
        <f>_xlfn.IFNA(VLOOKUP(Table13[[#This Row],[MTP SKU Code]],'Audit Dimensions'!A:N,10,FALSE),"ARC")</f>
        <v>0</v>
      </c>
      <c r="Y224" s="163">
        <f>IFERROR(Table13[[#This Row],[B2.Aud]]-Table13[[#This Row],[PW(gm)5]],"ERR")</f>
        <v>0</v>
      </c>
      <c r="Z224" s="165" t="str">
        <f>IFERROR(Table13[[#This Row],[B2.Diff]]/Table13[[#This Row],[B2.Aud]],"ERR")</f>
        <v>ERR</v>
      </c>
      <c r="AA224" s="162">
        <f>_xlfn.IFNA(VLOOKUP(Table13[[#This Row],[MTP SKU Code]],'Audit Dimensions'!A:N,14,FALSE),"ARC")</f>
        <v>0</v>
      </c>
      <c r="AB224" s="161">
        <f>IFERROR(Table13[[#This Row],[B3.Aud]]-Table13[[#This Row],[PW(gm)9]],"ERR")</f>
        <v>0</v>
      </c>
      <c r="AC224" s="168">
        <f>IFERROR(Table13[[#This Row],[B3.Diff]]/Table13[[#This Row],[BaLL.Aud]],"ERR")</f>
        <v>0</v>
      </c>
      <c r="AD224" s="189">
        <f>_xlfn.IFNA(VLOOKUP(Table13[[#This Row],[MTP SKU Code]],'Audit Dimensions'!A:U,16,FALSE),"ARC")</f>
        <v>2100</v>
      </c>
      <c r="AE224" s="165">
        <f>IFERROR(1-Table13[[#This Row],[Gms]]/Table13[[#This Row],[BaLL.Aud]],"ERR")</f>
        <v>0.19047619047619047</v>
      </c>
    </row>
    <row r="225" spans="1:31">
      <c r="A225" s="68" t="s">
        <v>143</v>
      </c>
      <c r="B225" s="84" t="s">
        <v>48</v>
      </c>
      <c r="C225" s="85">
        <v>127</v>
      </c>
      <c r="D225" s="85">
        <v>35</v>
      </c>
      <c r="E225" s="85">
        <v>7</v>
      </c>
      <c r="F225" s="89">
        <v>12000</v>
      </c>
      <c r="G225" s="85"/>
      <c r="H225" s="85"/>
      <c r="I225" s="85"/>
      <c r="J225" s="85"/>
      <c r="K225" s="85"/>
      <c r="L225" s="85"/>
      <c r="M225" s="85"/>
      <c r="N225" s="85"/>
      <c r="O225" s="118">
        <f>((IFERROR((C225*D225*E225),0)+IFERROR((G225*H225*I225),0)+IFERROR((K225*L225*M225),0))/1000000)*35.32</f>
        <v>1.0989818</v>
      </c>
      <c r="P225" s="125">
        <f>Table13[[#This Row],[Column15]]*$P$2*1000</f>
        <v>6593.8908000000001</v>
      </c>
      <c r="Q225" s="87">
        <f>F225+J225+N225</f>
        <v>12000</v>
      </c>
      <c r="R225" s="86">
        <f>MAX(Q225,O225)</f>
        <v>12000</v>
      </c>
      <c r="S225" s="86">
        <f>MAX(R225,P225)</f>
        <v>12000</v>
      </c>
      <c r="T225" s="156" t="str">
        <f>VLOOKUP(A225,'[1]MTP SKUs - Master Data'!$A:$B,2,FALSE)</f>
        <v>Y</v>
      </c>
      <c r="U225" s="162">
        <f>_xlfn.IFNA(VLOOKUP(Table13[[#This Row],[MTP SKU Code]],'Audit Dimensions'!A:N,6,FALSE),"ARC")</f>
        <v>14900</v>
      </c>
      <c r="V225" s="162">
        <f>IFERROR(Table13[[#This Row],[B1.Aud]]-Table13[[#This Row],[PW(gm)]],"ERR")</f>
        <v>2900</v>
      </c>
      <c r="W225" s="165">
        <f>IFERROR(Table13[[#This Row],[B1.Diff]]/Table13[[#This Row],[B1.Aud]],"ERR")</f>
        <v>0.19463087248322147</v>
      </c>
      <c r="X225" s="162">
        <f>_xlfn.IFNA(VLOOKUP(Table13[[#This Row],[MTP SKU Code]],'Audit Dimensions'!A:N,10,FALSE),"ARC")</f>
        <v>0</v>
      </c>
      <c r="Y225" s="163">
        <f>IFERROR(Table13[[#This Row],[B2.Aud]]-Table13[[#This Row],[PW(gm)5]],"ERR")</f>
        <v>0</v>
      </c>
      <c r="Z225" s="165" t="str">
        <f>IFERROR(Table13[[#This Row],[B2.Diff]]/Table13[[#This Row],[B2.Aud]],"ERR")</f>
        <v>ERR</v>
      </c>
      <c r="AA225" s="162">
        <f>_xlfn.IFNA(VLOOKUP(Table13[[#This Row],[MTP SKU Code]],'Audit Dimensions'!A:N,14,FALSE),"ARC")</f>
        <v>0</v>
      </c>
      <c r="AB225" s="161">
        <f>IFERROR(Table13[[#This Row],[B3.Aud]]-Table13[[#This Row],[PW(gm)9]],"ERR")</f>
        <v>0</v>
      </c>
      <c r="AC225" s="168">
        <f>IFERROR(Table13[[#This Row],[B3.Diff]]/Table13[[#This Row],[BaLL.Aud]],"ERR")</f>
        <v>0</v>
      </c>
      <c r="AD225" s="189">
        <f>_xlfn.IFNA(VLOOKUP(Table13[[#This Row],[MTP SKU Code]],'Audit Dimensions'!A:U,16,FALSE),"ARC")</f>
        <v>14900</v>
      </c>
      <c r="AE225" s="165">
        <f>IFERROR(1-Table13[[#This Row],[Gms]]/Table13[[#This Row],[BaLL.Aud]],"ERR")</f>
        <v>0.19463087248322153</v>
      </c>
    </row>
    <row r="226" spans="1:31">
      <c r="A226" s="68" t="s">
        <v>119</v>
      </c>
      <c r="B226" s="84" t="s">
        <v>48</v>
      </c>
      <c r="C226" s="85">
        <v>117</v>
      </c>
      <c r="D226" s="85">
        <v>42</v>
      </c>
      <c r="E226" s="85">
        <v>17</v>
      </c>
      <c r="F226" s="89">
        <v>24400</v>
      </c>
      <c r="G226" s="85"/>
      <c r="H226" s="85"/>
      <c r="I226" s="85"/>
      <c r="J226" s="85"/>
      <c r="K226" s="85"/>
      <c r="L226" s="85"/>
      <c r="M226" s="85"/>
      <c r="N226" s="85"/>
      <c r="O226" s="118">
        <f>((IFERROR((C226*D226*E226),0)+IFERROR((G226*H226*I226),0)+IFERROR((K226*L226*M226),0))/1000000)*35.32</f>
        <v>2.95056216</v>
      </c>
      <c r="P226" s="125">
        <f>Table13[[#This Row],[Column15]]*$P$2*1000</f>
        <v>17703.372960000001</v>
      </c>
      <c r="Q226" s="87">
        <f>F226+J226+N226</f>
        <v>24400</v>
      </c>
      <c r="R226" s="86">
        <f>MAX(Q226,O226)</f>
        <v>24400</v>
      </c>
      <c r="S226" s="86">
        <f>MAX(R226,P226)</f>
        <v>24400</v>
      </c>
      <c r="T226" s="156" t="str">
        <f>VLOOKUP(A226,'[1]MTP SKUs - Master Data'!$A:$B,2,FALSE)</f>
        <v>Y</v>
      </c>
      <c r="U226" s="162">
        <f>_xlfn.IFNA(VLOOKUP(Table13[[#This Row],[MTP SKU Code]],'Audit Dimensions'!A:N,6,FALSE),"ARC")</f>
        <v>29360</v>
      </c>
      <c r="V226" s="162">
        <f>IFERROR(Table13[[#This Row],[B1.Aud]]-Table13[[#This Row],[PW(gm)]],"ERR")</f>
        <v>4960</v>
      </c>
      <c r="W226" s="165">
        <f>IFERROR(Table13[[#This Row],[B1.Diff]]/Table13[[#This Row],[B1.Aud]],"ERR")</f>
        <v>0.16893732970027248</v>
      </c>
      <c r="X226" s="162">
        <f>_xlfn.IFNA(VLOOKUP(Table13[[#This Row],[MTP SKU Code]],'Audit Dimensions'!A:N,10,FALSE),"ARC")</f>
        <v>0</v>
      </c>
      <c r="Y226" s="163">
        <f>IFERROR(Table13[[#This Row],[B2.Aud]]-Table13[[#This Row],[PW(gm)5]],"ERR")</f>
        <v>0</v>
      </c>
      <c r="Z226" s="165" t="str">
        <f>IFERROR(Table13[[#This Row],[B2.Diff]]/Table13[[#This Row],[B2.Aud]],"ERR")</f>
        <v>ERR</v>
      </c>
      <c r="AA226" s="162">
        <f>_xlfn.IFNA(VLOOKUP(Table13[[#This Row],[MTP SKU Code]],'Audit Dimensions'!A:N,14,FALSE),"ARC")</f>
        <v>0</v>
      </c>
      <c r="AB226" s="161">
        <f>IFERROR(Table13[[#This Row],[B3.Aud]]-Table13[[#This Row],[PW(gm)9]],"ERR")</f>
        <v>0</v>
      </c>
      <c r="AC226" s="168">
        <f>IFERROR(Table13[[#This Row],[B3.Diff]]/Table13[[#This Row],[BaLL.Aud]],"ERR")</f>
        <v>0</v>
      </c>
      <c r="AD226" s="189">
        <f>_xlfn.IFNA(VLOOKUP(Table13[[#This Row],[MTP SKU Code]],'Audit Dimensions'!A:U,16,FALSE),"ARC")</f>
        <v>29360</v>
      </c>
      <c r="AE226" s="165">
        <f>IFERROR(1-Table13[[#This Row],[Gms]]/Table13[[#This Row],[BaLL.Aud]],"ERR")</f>
        <v>0.16893732970027253</v>
      </c>
    </row>
    <row r="227" spans="1:31">
      <c r="A227" s="68" t="s">
        <v>118</v>
      </c>
      <c r="B227" s="84" t="s">
        <v>48</v>
      </c>
      <c r="C227" s="84">
        <v>1</v>
      </c>
      <c r="D227" s="85">
        <v>1</v>
      </c>
      <c r="E227" s="85">
        <v>1</v>
      </c>
      <c r="F227" s="89">
        <v>41500</v>
      </c>
      <c r="G227" s="85"/>
      <c r="H227" s="85"/>
      <c r="I227" s="85"/>
      <c r="J227" s="85"/>
      <c r="K227" s="85"/>
      <c r="L227" s="85"/>
      <c r="M227" s="85"/>
      <c r="N227" s="85"/>
      <c r="O227" s="118">
        <f>((IFERROR((C227*D227*E227),0)+IFERROR((G227*H227*I227),0)+IFERROR((K227*L227*M227),0))/1000000)*35.32</f>
        <v>3.5320000000000001E-5</v>
      </c>
      <c r="P227" s="125">
        <f>Table13[[#This Row],[Column15]]*$P$2*1000</f>
        <v>0.21192</v>
      </c>
      <c r="Q227" s="87">
        <f>F227+J227+N227</f>
        <v>41500</v>
      </c>
      <c r="R227" s="88">
        <f>MAX(Q227,O227)</f>
        <v>41500</v>
      </c>
      <c r="S227" s="86">
        <f>MAX(R227,P227)</f>
        <v>41500</v>
      </c>
      <c r="T227" s="156" t="str">
        <f>VLOOKUP(A227,'[1]MTP SKUs - Master Data'!$A:$B,2,FALSE)</f>
        <v>Y</v>
      </c>
      <c r="U227" s="162">
        <f>_xlfn.IFNA(VLOOKUP(Table13[[#This Row],[MTP SKU Code]],'Audit Dimensions'!A:N,6,FALSE),"ARC")</f>
        <v>51550</v>
      </c>
      <c r="V227" s="162">
        <f>IFERROR(Table13[[#This Row],[B1.Aud]]-Table13[[#This Row],[PW(gm)]],"ERR")</f>
        <v>10050</v>
      </c>
      <c r="W227" s="165">
        <f>IFERROR(Table13[[#This Row],[B1.Diff]]/Table13[[#This Row],[B1.Aud]],"ERR")</f>
        <v>0.19495635305528614</v>
      </c>
      <c r="X227" s="162">
        <f>_xlfn.IFNA(VLOOKUP(Table13[[#This Row],[MTP SKU Code]],'Audit Dimensions'!A:N,10,FALSE),"ARC")</f>
        <v>0</v>
      </c>
      <c r="Y227" s="163">
        <f>IFERROR(Table13[[#This Row],[B2.Aud]]-Table13[[#This Row],[PW(gm)5]],"ERR")</f>
        <v>0</v>
      </c>
      <c r="Z227" s="165" t="str">
        <f>IFERROR(Table13[[#This Row],[B2.Diff]]/Table13[[#This Row],[B2.Aud]],"ERR")</f>
        <v>ERR</v>
      </c>
      <c r="AA227" s="162">
        <f>_xlfn.IFNA(VLOOKUP(Table13[[#This Row],[MTP SKU Code]],'Audit Dimensions'!A:N,14,FALSE),"ARC")</f>
        <v>0</v>
      </c>
      <c r="AB227" s="161">
        <f>IFERROR(Table13[[#This Row],[B3.Aud]]-Table13[[#This Row],[PW(gm)9]],"ERR")</f>
        <v>0</v>
      </c>
      <c r="AC227" s="168">
        <f>IFERROR(Table13[[#This Row],[B3.Diff]]/Table13[[#This Row],[BaLL.Aud]],"ERR")</f>
        <v>0</v>
      </c>
      <c r="AD227" s="189">
        <f>_xlfn.IFNA(VLOOKUP(Table13[[#This Row],[MTP SKU Code]],'Audit Dimensions'!A:U,16,FALSE),"ARC")</f>
        <v>51550</v>
      </c>
      <c r="AE227" s="165">
        <f>IFERROR(1-Table13[[#This Row],[Gms]]/Table13[[#This Row],[BaLL.Aud]],"ERR")</f>
        <v>0.19495635305528614</v>
      </c>
    </row>
    <row r="228" spans="1:31" ht="15" customHeight="1">
      <c r="A228" s="68" t="s">
        <v>246</v>
      </c>
      <c r="B228" s="84" t="s">
        <v>48</v>
      </c>
      <c r="C228" s="85">
        <v>69</v>
      </c>
      <c r="D228" s="85">
        <v>19</v>
      </c>
      <c r="E228" s="85">
        <v>9</v>
      </c>
      <c r="F228" s="89">
        <v>3890</v>
      </c>
      <c r="G228" s="85"/>
      <c r="H228" s="85"/>
      <c r="I228" s="85"/>
      <c r="J228" s="85"/>
      <c r="K228" s="85"/>
      <c r="L228" s="85"/>
      <c r="M228" s="85"/>
      <c r="N228" s="85"/>
      <c r="O228" s="118">
        <f>((IFERROR((C228*D228*E228),0)+IFERROR((G228*H228*I228),0)+IFERROR((K228*L228*M228),0))/1000000)*35.32</f>
        <v>0.41674068000000003</v>
      </c>
      <c r="P228" s="125">
        <f>Table13[[#This Row],[Column15]]*$P$2*1000</f>
        <v>2500.4440800000002</v>
      </c>
      <c r="Q228" s="87">
        <f>F228+J228+N228</f>
        <v>3890</v>
      </c>
      <c r="R228" s="86">
        <f>MAX(Q228,O228)</f>
        <v>3890</v>
      </c>
      <c r="S228" s="86">
        <f>MAX(R228,P228)</f>
        <v>3890</v>
      </c>
      <c r="T228" s="156" t="str">
        <f>VLOOKUP(A228,'[1]MTP SKUs - Master Data'!$A:$B,2,FALSE)</f>
        <v>Y</v>
      </c>
      <c r="U228" s="162">
        <f>_xlfn.IFNA(VLOOKUP(Table13[[#This Row],[MTP SKU Code]],'Audit Dimensions'!A:N,6,FALSE),"ARC")</f>
        <v>4850</v>
      </c>
      <c r="V228" s="162">
        <f>IFERROR(Table13[[#This Row],[B1.Aud]]-Table13[[#This Row],[PW(gm)]],"ERR")</f>
        <v>960</v>
      </c>
      <c r="W228" s="165">
        <f>IFERROR(Table13[[#This Row],[B1.Diff]]/Table13[[#This Row],[B1.Aud]],"ERR")</f>
        <v>0.1979381443298969</v>
      </c>
      <c r="X228" s="162">
        <f>_xlfn.IFNA(VLOOKUP(Table13[[#This Row],[MTP SKU Code]],'Audit Dimensions'!A:N,10,FALSE),"ARC")</f>
        <v>0</v>
      </c>
      <c r="Y228" s="163">
        <f>IFERROR(Table13[[#This Row],[B2.Aud]]-Table13[[#This Row],[PW(gm)5]],"ERR")</f>
        <v>0</v>
      </c>
      <c r="Z228" s="165" t="str">
        <f>IFERROR(Table13[[#This Row],[B2.Diff]]/Table13[[#This Row],[B2.Aud]],"ERR")</f>
        <v>ERR</v>
      </c>
      <c r="AA228" s="162">
        <f>_xlfn.IFNA(VLOOKUP(Table13[[#This Row],[MTP SKU Code]],'Audit Dimensions'!A:N,14,FALSE),"ARC")</f>
        <v>0</v>
      </c>
      <c r="AB228" s="161">
        <f>IFERROR(Table13[[#This Row],[B3.Aud]]-Table13[[#This Row],[PW(gm)9]],"ERR")</f>
        <v>0</v>
      </c>
      <c r="AC228" s="168">
        <f>IFERROR(Table13[[#This Row],[B3.Diff]]/Table13[[#This Row],[BaLL.Aud]],"ERR")</f>
        <v>0</v>
      </c>
      <c r="AD228" s="189">
        <f>_xlfn.IFNA(VLOOKUP(Table13[[#This Row],[MTP SKU Code]],'Audit Dimensions'!A:U,16,FALSE),"ARC")</f>
        <v>4850</v>
      </c>
      <c r="AE228" s="165">
        <f>IFERROR(1-Table13[[#This Row],[Gms]]/Table13[[#This Row],[BaLL.Aud]],"ERR")</f>
        <v>0.19793814432989687</v>
      </c>
    </row>
    <row r="229" spans="1:31">
      <c r="A229" s="68" t="s">
        <v>184</v>
      </c>
      <c r="B229" s="84" t="s">
        <v>48</v>
      </c>
      <c r="C229" s="85">
        <v>114</v>
      </c>
      <c r="D229" s="85">
        <v>60</v>
      </c>
      <c r="E229" s="85">
        <v>5</v>
      </c>
      <c r="F229" s="89">
        <v>13200</v>
      </c>
      <c r="G229" s="85"/>
      <c r="H229" s="85"/>
      <c r="I229" s="85"/>
      <c r="J229" s="85"/>
      <c r="K229" s="85"/>
      <c r="L229" s="85"/>
      <c r="M229" s="85"/>
      <c r="N229" s="85"/>
      <c r="O229" s="118">
        <f>((IFERROR((C229*D229*E229),0)+IFERROR((G229*H229*I229),0)+IFERROR((K229*L229*M229),0))/1000000)*35.32</f>
        <v>1.2079440000000001</v>
      </c>
      <c r="P229" s="125">
        <f>Table13[[#This Row],[Column15]]*$P$2*1000</f>
        <v>7247.6640000000007</v>
      </c>
      <c r="Q229" s="87">
        <f>F229+J229+N229</f>
        <v>13200</v>
      </c>
      <c r="R229" s="86">
        <f>MAX(Q229,O229)</f>
        <v>13200</v>
      </c>
      <c r="S229" s="86">
        <f>MAX(R229,P229)</f>
        <v>13200</v>
      </c>
      <c r="T229" s="156" t="str">
        <f>VLOOKUP(A229,'[1]MTP SKUs - Master Data'!$A:$B,2,FALSE)</f>
        <v>Y</v>
      </c>
      <c r="U229" s="162">
        <f>_xlfn.IFNA(VLOOKUP(Table13[[#This Row],[MTP SKU Code]],'Audit Dimensions'!A:N,6,FALSE),"ARC")</f>
        <v>16520</v>
      </c>
      <c r="V229" s="162">
        <f>IFERROR(Table13[[#This Row],[B1.Aud]]-Table13[[#This Row],[PW(gm)]],"ERR")</f>
        <v>3320</v>
      </c>
      <c r="W229" s="165">
        <f>IFERROR(Table13[[#This Row],[B1.Diff]]/Table13[[#This Row],[B1.Aud]],"ERR")</f>
        <v>0.2009685230024213</v>
      </c>
      <c r="X229" s="162">
        <f>_xlfn.IFNA(VLOOKUP(Table13[[#This Row],[MTP SKU Code]],'Audit Dimensions'!A:N,10,FALSE),"ARC")</f>
        <v>0</v>
      </c>
      <c r="Y229" s="163">
        <f>IFERROR(Table13[[#This Row],[B2.Aud]]-Table13[[#This Row],[PW(gm)5]],"ERR")</f>
        <v>0</v>
      </c>
      <c r="Z229" s="165" t="str">
        <f>IFERROR(Table13[[#This Row],[B2.Diff]]/Table13[[#This Row],[B2.Aud]],"ERR")</f>
        <v>ERR</v>
      </c>
      <c r="AA229" s="162">
        <f>_xlfn.IFNA(VLOOKUP(Table13[[#This Row],[MTP SKU Code]],'Audit Dimensions'!A:N,14,FALSE),"ARC")</f>
        <v>0</v>
      </c>
      <c r="AB229" s="161">
        <f>IFERROR(Table13[[#This Row],[B3.Aud]]-Table13[[#This Row],[PW(gm)9]],"ERR")</f>
        <v>0</v>
      </c>
      <c r="AC229" s="168">
        <f>IFERROR(Table13[[#This Row],[B3.Diff]]/Table13[[#This Row],[BaLL.Aud]],"ERR")</f>
        <v>0</v>
      </c>
      <c r="AD229" s="189">
        <f>_xlfn.IFNA(VLOOKUP(Table13[[#This Row],[MTP SKU Code]],'Audit Dimensions'!A:U,16,FALSE),"ARC")</f>
        <v>16520</v>
      </c>
      <c r="AE229" s="165">
        <f>IFERROR(1-Table13[[#This Row],[Gms]]/Table13[[#This Row],[BaLL.Aud]],"ERR")</f>
        <v>0.2009685230024213</v>
      </c>
    </row>
    <row r="230" spans="1:31">
      <c r="A230" s="68" t="s">
        <v>100</v>
      </c>
      <c r="B230" s="84" t="s">
        <v>48</v>
      </c>
      <c r="C230" s="85">
        <v>98</v>
      </c>
      <c r="D230" s="85">
        <v>29</v>
      </c>
      <c r="E230" s="85">
        <v>8</v>
      </c>
      <c r="F230" s="89">
        <v>6800</v>
      </c>
      <c r="G230" s="85"/>
      <c r="H230" s="85"/>
      <c r="I230" s="85"/>
      <c r="J230" s="85"/>
      <c r="K230" s="85"/>
      <c r="L230" s="85"/>
      <c r="M230" s="85"/>
      <c r="N230" s="85"/>
      <c r="O230" s="118">
        <f>((IFERROR((C230*D230*E230),0)+IFERROR((G230*H230*I230),0)+IFERROR((K230*L230*M230),0))/1000000)*35.32</f>
        <v>0.80303552</v>
      </c>
      <c r="P230" s="125">
        <f>Table13[[#This Row],[Column15]]*$P$2*1000</f>
        <v>4818.2131200000003</v>
      </c>
      <c r="Q230" s="87">
        <f>F230+J230+N230</f>
        <v>6800</v>
      </c>
      <c r="R230" s="86">
        <f>MAX(Q230,O230)</f>
        <v>6800</v>
      </c>
      <c r="S230" s="86">
        <f>MAX(R230,P230)</f>
        <v>6800</v>
      </c>
      <c r="T230" s="156" t="str">
        <f>VLOOKUP(A230,'[1]MTP SKUs - Master Data'!$A:$B,2,FALSE)</f>
        <v>Y</v>
      </c>
      <c r="U230" s="162">
        <f>_xlfn.IFNA(VLOOKUP(Table13[[#This Row],[MTP SKU Code]],'Audit Dimensions'!A:N,6,FALSE),"ARC")</f>
        <v>8550</v>
      </c>
      <c r="V230" s="162">
        <f>IFERROR(Table13[[#This Row],[B1.Aud]]-Table13[[#This Row],[PW(gm)]],"ERR")</f>
        <v>1750</v>
      </c>
      <c r="W230" s="165">
        <f>IFERROR(Table13[[#This Row],[B1.Diff]]/Table13[[#This Row],[B1.Aud]],"ERR")</f>
        <v>0.2046783625730994</v>
      </c>
      <c r="X230" s="162">
        <f>_xlfn.IFNA(VLOOKUP(Table13[[#This Row],[MTP SKU Code]],'Audit Dimensions'!A:N,10,FALSE),"ARC")</f>
        <v>0</v>
      </c>
      <c r="Y230" s="163">
        <f>IFERROR(Table13[[#This Row],[B2.Aud]]-Table13[[#This Row],[PW(gm)5]],"ERR")</f>
        <v>0</v>
      </c>
      <c r="Z230" s="165" t="str">
        <f>IFERROR(Table13[[#This Row],[B2.Diff]]/Table13[[#This Row],[B2.Aud]],"ERR")</f>
        <v>ERR</v>
      </c>
      <c r="AA230" s="162">
        <f>_xlfn.IFNA(VLOOKUP(Table13[[#This Row],[MTP SKU Code]],'Audit Dimensions'!A:N,14,FALSE),"ARC")</f>
        <v>0</v>
      </c>
      <c r="AB230" s="161">
        <f>IFERROR(Table13[[#This Row],[B3.Aud]]-Table13[[#This Row],[PW(gm)9]],"ERR")</f>
        <v>0</v>
      </c>
      <c r="AC230" s="168">
        <f>IFERROR(Table13[[#This Row],[B3.Diff]]/Table13[[#This Row],[BaLL.Aud]],"ERR")</f>
        <v>0</v>
      </c>
      <c r="AD230" s="189">
        <f>_xlfn.IFNA(VLOOKUP(Table13[[#This Row],[MTP SKU Code]],'Audit Dimensions'!A:U,16,FALSE),"ARC")</f>
        <v>8550</v>
      </c>
      <c r="AE230" s="165">
        <f>IFERROR(1-Table13[[#This Row],[Gms]]/Table13[[#This Row],[BaLL.Aud]],"ERR")</f>
        <v>0.20467836257309946</v>
      </c>
    </row>
    <row r="231" spans="1:31">
      <c r="A231" s="68" t="s">
        <v>293</v>
      </c>
      <c r="B231" s="84" t="s">
        <v>48</v>
      </c>
      <c r="C231" s="85">
        <v>113</v>
      </c>
      <c r="D231" s="85">
        <v>18</v>
      </c>
      <c r="E231" s="85">
        <v>4</v>
      </c>
      <c r="F231" s="89">
        <v>2890</v>
      </c>
      <c r="G231" s="85"/>
      <c r="H231" s="85"/>
      <c r="I231" s="85"/>
      <c r="J231" s="85"/>
      <c r="K231" s="85"/>
      <c r="L231" s="85"/>
      <c r="M231" s="85"/>
      <c r="N231" s="85"/>
      <c r="O231" s="118">
        <f>((IFERROR((C231*D231*E231),0)+IFERROR((G231*H231*I231),0)+IFERROR((K231*L231*M231),0))/1000000)*35.32</f>
        <v>0.28736351999999998</v>
      </c>
      <c r="P231" s="125">
        <f>Table13[[#This Row],[Column15]]*$P$2*1000</f>
        <v>1724.18112</v>
      </c>
      <c r="Q231" s="87">
        <f>F231+J231+N231</f>
        <v>2890</v>
      </c>
      <c r="R231" s="86">
        <f>MAX(Q231,O231)</f>
        <v>2890</v>
      </c>
      <c r="S231" s="86">
        <f>MAX(R231,P231)</f>
        <v>2890</v>
      </c>
      <c r="T231" s="156" t="str">
        <f>VLOOKUP(A231,'[1]MTP SKUs - Master Data'!$A:$B,2,FALSE)</f>
        <v>Y</v>
      </c>
      <c r="U231" s="162">
        <f>_xlfn.IFNA(VLOOKUP(Table13[[#This Row],[MTP SKU Code]],'Audit Dimensions'!A:N,6,FALSE),"ARC")</f>
        <v>3640</v>
      </c>
      <c r="V231" s="162">
        <f>IFERROR(Table13[[#This Row],[B1.Aud]]-Table13[[#This Row],[PW(gm)]],"ERR")</f>
        <v>750</v>
      </c>
      <c r="W231" s="165">
        <f>IFERROR(Table13[[#This Row],[B1.Diff]]/Table13[[#This Row],[B1.Aud]],"ERR")</f>
        <v>0.20604395604395603</v>
      </c>
      <c r="X231" s="162">
        <f>_xlfn.IFNA(VLOOKUP(Table13[[#This Row],[MTP SKU Code]],'Audit Dimensions'!A:N,10,FALSE),"ARC")</f>
        <v>0</v>
      </c>
      <c r="Y231" s="163">
        <f>IFERROR(Table13[[#This Row],[B2.Aud]]-Table13[[#This Row],[PW(gm)5]],"ERR")</f>
        <v>0</v>
      </c>
      <c r="Z231" s="165" t="str">
        <f>IFERROR(Table13[[#This Row],[B2.Diff]]/Table13[[#This Row],[B2.Aud]],"ERR")</f>
        <v>ERR</v>
      </c>
      <c r="AA231" s="162">
        <f>_xlfn.IFNA(VLOOKUP(Table13[[#This Row],[MTP SKU Code]],'Audit Dimensions'!A:N,14,FALSE),"ARC")</f>
        <v>0</v>
      </c>
      <c r="AB231" s="161">
        <f>IFERROR(Table13[[#This Row],[B3.Aud]]-Table13[[#This Row],[PW(gm)9]],"ERR")</f>
        <v>0</v>
      </c>
      <c r="AC231" s="168">
        <f>IFERROR(Table13[[#This Row],[B3.Diff]]/Table13[[#This Row],[BaLL.Aud]],"ERR")</f>
        <v>0</v>
      </c>
      <c r="AD231" s="189">
        <f>_xlfn.IFNA(VLOOKUP(Table13[[#This Row],[MTP SKU Code]],'Audit Dimensions'!A:U,16,FALSE),"ARC")</f>
        <v>3640</v>
      </c>
      <c r="AE231" s="165">
        <f>IFERROR(1-Table13[[#This Row],[Gms]]/Table13[[#This Row],[BaLL.Aud]],"ERR")</f>
        <v>0.20604395604395609</v>
      </c>
    </row>
    <row r="232" spans="1:31">
      <c r="A232" s="68" t="s">
        <v>149</v>
      </c>
      <c r="B232" s="84" t="s">
        <v>48</v>
      </c>
      <c r="C232" s="84">
        <v>1</v>
      </c>
      <c r="D232" s="85">
        <v>1</v>
      </c>
      <c r="E232" s="85">
        <v>1</v>
      </c>
      <c r="F232" s="89">
        <v>27400</v>
      </c>
      <c r="G232" s="85"/>
      <c r="H232" s="85"/>
      <c r="I232" s="85"/>
      <c r="J232" s="85"/>
      <c r="K232" s="85"/>
      <c r="L232" s="85"/>
      <c r="M232" s="85"/>
      <c r="N232" s="85"/>
      <c r="O232" s="118">
        <f>((IFERROR((C232*D232*E232),0)+IFERROR((G232*H232*I232),0)+IFERROR((K232*L232*M232),0))/1000000)*35.32</f>
        <v>3.5320000000000001E-5</v>
      </c>
      <c r="P232" s="125">
        <f>Table13[[#This Row],[Column15]]*$P$2*1000</f>
        <v>0.21192</v>
      </c>
      <c r="Q232" s="87">
        <f>F232+J232+N232</f>
        <v>27400</v>
      </c>
      <c r="R232" s="88">
        <f>MAX(Q232,O232)</f>
        <v>27400</v>
      </c>
      <c r="S232" s="86">
        <f>MAX(R232,P232)</f>
        <v>27400</v>
      </c>
      <c r="T232" s="156" t="str">
        <f>VLOOKUP(A232,'[1]MTP SKUs - Master Data'!$A:$B,2,FALSE)</f>
        <v>Y</v>
      </c>
      <c r="U232" s="162">
        <f>_xlfn.IFNA(VLOOKUP(Table13[[#This Row],[MTP SKU Code]],'Audit Dimensions'!A:N,6,FALSE),"ARC")</f>
        <v>35200</v>
      </c>
      <c r="V232" s="162">
        <f>IFERROR(Table13[[#This Row],[B1.Aud]]-Table13[[#This Row],[PW(gm)]],"ERR")</f>
        <v>7800</v>
      </c>
      <c r="W232" s="165">
        <f>IFERROR(Table13[[#This Row],[B1.Diff]]/Table13[[#This Row],[B1.Aud]],"ERR")</f>
        <v>0.22159090909090909</v>
      </c>
      <c r="X232" s="162">
        <f>_xlfn.IFNA(VLOOKUP(Table13[[#This Row],[MTP SKU Code]],'Audit Dimensions'!A:N,10,FALSE),"ARC")</f>
        <v>0</v>
      </c>
      <c r="Y232" s="163">
        <f>IFERROR(Table13[[#This Row],[B2.Aud]]-Table13[[#This Row],[PW(gm)5]],"ERR")</f>
        <v>0</v>
      </c>
      <c r="Z232" s="165" t="str">
        <f>IFERROR(Table13[[#This Row],[B2.Diff]]/Table13[[#This Row],[B2.Aud]],"ERR")</f>
        <v>ERR</v>
      </c>
      <c r="AA232" s="162">
        <f>_xlfn.IFNA(VLOOKUP(Table13[[#This Row],[MTP SKU Code]],'Audit Dimensions'!A:N,14,FALSE),"ARC")</f>
        <v>0</v>
      </c>
      <c r="AB232" s="161">
        <f>IFERROR(Table13[[#This Row],[B3.Aud]]-Table13[[#This Row],[PW(gm)9]],"ERR")</f>
        <v>0</v>
      </c>
      <c r="AC232" s="168">
        <f>IFERROR(Table13[[#This Row],[B3.Diff]]/Table13[[#This Row],[BaLL.Aud]],"ERR")</f>
        <v>0</v>
      </c>
      <c r="AD232" s="189">
        <f>_xlfn.IFNA(VLOOKUP(Table13[[#This Row],[MTP SKU Code]],'Audit Dimensions'!A:U,16,FALSE),"ARC")</f>
        <v>35200</v>
      </c>
      <c r="AE232" s="165">
        <f>IFERROR(1-Table13[[#This Row],[Gms]]/Table13[[#This Row],[BaLL.Aud]],"ERR")</f>
        <v>0.22159090909090906</v>
      </c>
    </row>
    <row r="233" spans="1:31">
      <c r="A233" s="91" t="s">
        <v>235</v>
      </c>
      <c r="B233" s="84" t="s">
        <v>48</v>
      </c>
      <c r="C233" s="85">
        <v>143</v>
      </c>
      <c r="D233" s="85">
        <v>28</v>
      </c>
      <c r="E233" s="85">
        <v>7</v>
      </c>
      <c r="F233" s="89">
        <v>10500</v>
      </c>
      <c r="G233" s="85"/>
      <c r="H233" s="85"/>
      <c r="I233" s="85"/>
      <c r="J233" s="85"/>
      <c r="K233" s="85"/>
      <c r="L233" s="85"/>
      <c r="M233" s="85"/>
      <c r="N233" s="85"/>
      <c r="O233" s="118">
        <f>((IFERROR((C233*D233*E233),0)+IFERROR((G233*H233*I233),0)+IFERROR((K233*L233*M233),0))/1000000)*35.32</f>
        <v>0.98994895999999999</v>
      </c>
      <c r="P233" s="125">
        <f>Table13[[#This Row],[Column15]]*$P$2*1000</f>
        <v>5939.6937600000001</v>
      </c>
      <c r="Q233" s="87">
        <f>F233+J233+N233</f>
        <v>10500</v>
      </c>
      <c r="R233" s="86">
        <f>MAX(Q233,O233)</f>
        <v>10500</v>
      </c>
      <c r="S233" s="86">
        <f>MAX(R233,P233)</f>
        <v>10500</v>
      </c>
      <c r="T233" s="156" t="str">
        <f>VLOOKUP(A233,'[1]MTP SKUs - Master Data'!$A:$B,2,FALSE)</f>
        <v>Y</v>
      </c>
      <c r="U233" s="162">
        <f>_xlfn.IFNA(VLOOKUP(Table13[[#This Row],[MTP SKU Code]],'Audit Dimensions'!A:N,6,FALSE),"ARC")</f>
        <v>13540</v>
      </c>
      <c r="V233" s="162">
        <f>IFERROR(Table13[[#This Row],[B1.Aud]]-Table13[[#This Row],[PW(gm)]],"ERR")</f>
        <v>3040</v>
      </c>
      <c r="W233" s="165">
        <f>IFERROR(Table13[[#This Row],[B1.Diff]]/Table13[[#This Row],[B1.Aud]],"ERR")</f>
        <v>0.22451994091580502</v>
      </c>
      <c r="X233" s="162">
        <f>_xlfn.IFNA(VLOOKUP(Table13[[#This Row],[MTP SKU Code]],'Audit Dimensions'!A:N,10,FALSE),"ARC")</f>
        <v>0</v>
      </c>
      <c r="Y233" s="163">
        <f>IFERROR(Table13[[#This Row],[B2.Aud]]-Table13[[#This Row],[PW(gm)5]],"ERR")</f>
        <v>0</v>
      </c>
      <c r="Z233" s="165" t="str">
        <f>IFERROR(Table13[[#This Row],[B2.Diff]]/Table13[[#This Row],[B2.Aud]],"ERR")</f>
        <v>ERR</v>
      </c>
      <c r="AA233" s="162">
        <f>_xlfn.IFNA(VLOOKUP(Table13[[#This Row],[MTP SKU Code]],'Audit Dimensions'!A:N,14,FALSE),"ARC")</f>
        <v>0</v>
      </c>
      <c r="AB233" s="161">
        <f>IFERROR(Table13[[#This Row],[B3.Aud]]-Table13[[#This Row],[PW(gm)9]],"ERR")</f>
        <v>0</v>
      </c>
      <c r="AC233" s="168">
        <f>IFERROR(Table13[[#This Row],[B3.Diff]]/Table13[[#This Row],[BaLL.Aud]],"ERR")</f>
        <v>0</v>
      </c>
      <c r="AD233" s="189">
        <f>_xlfn.IFNA(VLOOKUP(Table13[[#This Row],[MTP SKU Code]],'Audit Dimensions'!A:U,16,FALSE),"ARC")</f>
        <v>13540</v>
      </c>
      <c r="AE233" s="165">
        <f>IFERROR(1-Table13[[#This Row],[Gms]]/Table13[[#This Row],[BaLL.Aud]],"ERR")</f>
        <v>0.22451994091580507</v>
      </c>
    </row>
    <row r="234" spans="1:31">
      <c r="A234" s="68" t="s">
        <v>202</v>
      </c>
      <c r="B234" s="84" t="s">
        <v>48</v>
      </c>
      <c r="C234" s="85">
        <v>97</v>
      </c>
      <c r="D234" s="85">
        <v>30</v>
      </c>
      <c r="E234" s="85">
        <v>5</v>
      </c>
      <c r="F234" s="89">
        <v>4000</v>
      </c>
      <c r="G234" s="85"/>
      <c r="H234" s="85"/>
      <c r="I234" s="85"/>
      <c r="J234" s="85"/>
      <c r="K234" s="85"/>
      <c r="L234" s="85"/>
      <c r="M234" s="85"/>
      <c r="N234" s="85"/>
      <c r="O234" s="118">
        <f>((IFERROR((C234*D234*E234),0)+IFERROR((G234*H234*I234),0)+IFERROR((K234*L234*M234),0))/1000000)*35.32</f>
        <v>0.51390599999999997</v>
      </c>
      <c r="P234" s="125">
        <f>Table13[[#This Row],[Column15]]*$P$2*1000</f>
        <v>3083.4359999999997</v>
      </c>
      <c r="Q234" s="87">
        <f>F234+J234+N234</f>
        <v>4000</v>
      </c>
      <c r="R234" s="86">
        <f>MAX(Q234,O234)</f>
        <v>4000</v>
      </c>
      <c r="S234" s="86">
        <f>MAX(R234,P234)</f>
        <v>4000</v>
      </c>
      <c r="T234" s="156" t="str">
        <f>VLOOKUP(A234,'[1]MTP SKUs - Master Data'!$A:$B,2,FALSE)</f>
        <v>Y</v>
      </c>
      <c r="U234" s="162">
        <f>_xlfn.IFNA(VLOOKUP(Table13[[#This Row],[MTP SKU Code]],'Audit Dimensions'!A:N,6,FALSE),"ARC")</f>
        <v>5200</v>
      </c>
      <c r="V234" s="162">
        <f>IFERROR(Table13[[#This Row],[B1.Aud]]-Table13[[#This Row],[PW(gm)]],"ERR")</f>
        <v>1200</v>
      </c>
      <c r="W234" s="165">
        <f>IFERROR(Table13[[#This Row],[B1.Diff]]/Table13[[#This Row],[B1.Aud]],"ERR")</f>
        <v>0.23076923076923078</v>
      </c>
      <c r="X234" s="162">
        <f>_xlfn.IFNA(VLOOKUP(Table13[[#This Row],[MTP SKU Code]],'Audit Dimensions'!A:N,10,FALSE),"ARC")</f>
        <v>0</v>
      </c>
      <c r="Y234" s="163">
        <f>IFERROR(Table13[[#This Row],[B2.Aud]]-Table13[[#This Row],[PW(gm)5]],"ERR")</f>
        <v>0</v>
      </c>
      <c r="Z234" s="165" t="str">
        <f>IFERROR(Table13[[#This Row],[B2.Diff]]/Table13[[#This Row],[B2.Aud]],"ERR")</f>
        <v>ERR</v>
      </c>
      <c r="AA234" s="162">
        <f>_xlfn.IFNA(VLOOKUP(Table13[[#This Row],[MTP SKU Code]],'Audit Dimensions'!A:N,14,FALSE),"ARC")</f>
        <v>0</v>
      </c>
      <c r="AB234" s="161">
        <f>IFERROR(Table13[[#This Row],[B3.Aud]]-Table13[[#This Row],[PW(gm)9]],"ERR")</f>
        <v>0</v>
      </c>
      <c r="AC234" s="168">
        <f>IFERROR(Table13[[#This Row],[B3.Diff]]/Table13[[#This Row],[BaLL.Aud]],"ERR")</f>
        <v>0</v>
      </c>
      <c r="AD234" s="189">
        <f>_xlfn.IFNA(VLOOKUP(Table13[[#This Row],[MTP SKU Code]],'Audit Dimensions'!A:U,16,FALSE),"ARC")</f>
        <v>5200</v>
      </c>
      <c r="AE234" s="165">
        <f>IFERROR(1-Table13[[#This Row],[Gms]]/Table13[[#This Row],[BaLL.Aud]],"ERR")</f>
        <v>0.23076923076923073</v>
      </c>
    </row>
    <row r="235" spans="1:31">
      <c r="A235" s="68" t="s">
        <v>287</v>
      </c>
      <c r="B235" s="84" t="s">
        <v>48</v>
      </c>
      <c r="C235" s="85">
        <v>24</v>
      </c>
      <c r="D235" s="85">
        <v>19</v>
      </c>
      <c r="E235" s="85">
        <v>9</v>
      </c>
      <c r="F235" s="89">
        <v>730</v>
      </c>
      <c r="G235" s="85"/>
      <c r="H235" s="85"/>
      <c r="I235" s="85"/>
      <c r="J235" s="85"/>
      <c r="K235" s="85"/>
      <c r="L235" s="85"/>
      <c r="M235" s="85"/>
      <c r="N235" s="85"/>
      <c r="O235" s="118">
        <f>((IFERROR((C235*D235*E235),0)+IFERROR((G235*H235*I235),0)+IFERROR((K235*L235*M235),0))/1000000)*35.32</f>
        <v>0.14495327999999999</v>
      </c>
      <c r="P235" s="125">
        <f>Table13[[#This Row],[Column15]]*$P$2*1000</f>
        <v>869.71968000000004</v>
      </c>
      <c r="Q235" s="87">
        <f>F235+J235+N235</f>
        <v>730</v>
      </c>
      <c r="R235" s="86">
        <f>MAX(Q235,O235)</f>
        <v>730</v>
      </c>
      <c r="S235" s="86">
        <f>MAX(R235,P235)</f>
        <v>869.71968000000004</v>
      </c>
      <c r="T235" s="156" t="str">
        <f>VLOOKUP(A235,'[1]MTP SKUs - Master Data'!$A:$B,2,FALSE)</f>
        <v>Y</v>
      </c>
      <c r="U235" s="162">
        <f>_xlfn.IFNA(VLOOKUP(Table13[[#This Row],[MTP SKU Code]],'Audit Dimensions'!A:N,6,FALSE),"ARC")</f>
        <v>960</v>
      </c>
      <c r="V235" s="162">
        <f>IFERROR(Table13[[#This Row],[B1.Aud]]-Table13[[#This Row],[PW(gm)]],"ERR")</f>
        <v>230</v>
      </c>
      <c r="W235" s="165">
        <f>IFERROR(Table13[[#This Row],[B1.Diff]]/Table13[[#This Row],[B1.Aud]],"ERR")</f>
        <v>0.23958333333333334</v>
      </c>
      <c r="X235" s="162">
        <f>_xlfn.IFNA(VLOOKUP(Table13[[#This Row],[MTP SKU Code]],'Audit Dimensions'!A:N,10,FALSE),"ARC")</f>
        <v>0</v>
      </c>
      <c r="Y235" s="163">
        <f>IFERROR(Table13[[#This Row],[B2.Aud]]-Table13[[#This Row],[PW(gm)5]],"ERR")</f>
        <v>0</v>
      </c>
      <c r="Z235" s="165" t="str">
        <f>IFERROR(Table13[[#This Row],[B2.Diff]]/Table13[[#This Row],[B2.Aud]],"ERR")</f>
        <v>ERR</v>
      </c>
      <c r="AA235" s="162">
        <f>_xlfn.IFNA(VLOOKUP(Table13[[#This Row],[MTP SKU Code]],'Audit Dimensions'!A:N,14,FALSE),"ARC")</f>
        <v>0</v>
      </c>
      <c r="AB235" s="161">
        <f>IFERROR(Table13[[#This Row],[B3.Aud]]-Table13[[#This Row],[PW(gm)9]],"ERR")</f>
        <v>0</v>
      </c>
      <c r="AC235" s="168">
        <f>IFERROR(Table13[[#This Row],[B3.Diff]]/Table13[[#This Row],[BaLL.Aud]],"ERR")</f>
        <v>0</v>
      </c>
      <c r="AD235" s="189">
        <f>_xlfn.IFNA(VLOOKUP(Table13[[#This Row],[MTP SKU Code]],'Audit Dimensions'!A:U,16,FALSE),"ARC")</f>
        <v>960</v>
      </c>
      <c r="AE235" s="165">
        <f>IFERROR(1-Table13[[#This Row],[Gms]]/Table13[[#This Row],[BaLL.Aud]],"ERR")</f>
        <v>0.23958333333333337</v>
      </c>
    </row>
    <row r="236" spans="1:31">
      <c r="A236" s="68" t="s">
        <v>221</v>
      </c>
      <c r="B236" s="84" t="s">
        <v>48</v>
      </c>
      <c r="C236" s="85">
        <v>120</v>
      </c>
      <c r="D236" s="85">
        <v>36</v>
      </c>
      <c r="E236" s="85">
        <v>7</v>
      </c>
      <c r="F236" s="89">
        <v>10000</v>
      </c>
      <c r="G236" s="85"/>
      <c r="H236" s="85"/>
      <c r="I236" s="85"/>
      <c r="J236" s="85"/>
      <c r="K236" s="85"/>
      <c r="L236" s="85"/>
      <c r="M236" s="85"/>
      <c r="N236" s="85"/>
      <c r="O236" s="118">
        <f>((IFERROR((C236*D236*E236),0)+IFERROR((G236*H236*I236),0)+IFERROR((K236*L236*M236),0))/1000000)*35.32</f>
        <v>1.0680768</v>
      </c>
      <c r="P236" s="125">
        <f>Table13[[#This Row],[Column15]]*$P$2*1000</f>
        <v>6408.4608000000007</v>
      </c>
      <c r="Q236" s="87">
        <f>F236+J236+N236</f>
        <v>10000</v>
      </c>
      <c r="R236" s="86">
        <f>MAX(Q236,O236)</f>
        <v>10000</v>
      </c>
      <c r="S236" s="86">
        <f>MAX(R236,P236)</f>
        <v>10000</v>
      </c>
      <c r="T236" s="156" t="str">
        <f>VLOOKUP(A236,'[1]MTP SKUs - Master Data'!$A:$B,2,FALSE)</f>
        <v>Y</v>
      </c>
      <c r="U236" s="162">
        <f>_xlfn.IFNA(VLOOKUP(Table13[[#This Row],[MTP SKU Code]],'Audit Dimensions'!A:N,6,FALSE),"ARC")</f>
        <v>13230</v>
      </c>
      <c r="V236" s="162">
        <f>IFERROR(Table13[[#This Row],[B1.Aud]]-Table13[[#This Row],[PW(gm)]],"ERR")</f>
        <v>3230</v>
      </c>
      <c r="W236" s="165">
        <f>IFERROR(Table13[[#This Row],[B1.Diff]]/Table13[[#This Row],[B1.Aud]],"ERR")</f>
        <v>0.24414210128495842</v>
      </c>
      <c r="X236" s="162">
        <f>_xlfn.IFNA(VLOOKUP(Table13[[#This Row],[MTP SKU Code]],'Audit Dimensions'!A:N,10,FALSE),"ARC")</f>
        <v>0</v>
      </c>
      <c r="Y236" s="163">
        <f>IFERROR(Table13[[#This Row],[B2.Aud]]-Table13[[#This Row],[PW(gm)5]],"ERR")</f>
        <v>0</v>
      </c>
      <c r="Z236" s="165" t="str">
        <f>IFERROR(Table13[[#This Row],[B2.Diff]]/Table13[[#This Row],[B2.Aud]],"ERR")</f>
        <v>ERR</v>
      </c>
      <c r="AA236" s="162">
        <f>_xlfn.IFNA(VLOOKUP(Table13[[#This Row],[MTP SKU Code]],'Audit Dimensions'!A:N,14,FALSE),"ARC")</f>
        <v>0</v>
      </c>
      <c r="AB236" s="161">
        <f>IFERROR(Table13[[#This Row],[B3.Aud]]-Table13[[#This Row],[PW(gm)9]],"ERR")</f>
        <v>0</v>
      </c>
      <c r="AC236" s="168">
        <f>IFERROR(Table13[[#This Row],[B3.Diff]]/Table13[[#This Row],[BaLL.Aud]],"ERR")</f>
        <v>0</v>
      </c>
      <c r="AD236" s="189">
        <f>_xlfn.IFNA(VLOOKUP(Table13[[#This Row],[MTP SKU Code]],'Audit Dimensions'!A:U,16,FALSE),"ARC")</f>
        <v>13230</v>
      </c>
      <c r="AE236" s="165">
        <f>IFERROR(1-Table13[[#This Row],[Gms]]/Table13[[#This Row],[BaLL.Aud]],"ERR")</f>
        <v>0.24414210128495839</v>
      </c>
    </row>
    <row r="237" spans="1:31" hidden="1">
      <c r="A237" s="69" t="s">
        <v>282</v>
      </c>
      <c r="B237" s="84" t="s">
        <v>74</v>
      </c>
      <c r="C237" s="85">
        <v>80</v>
      </c>
      <c r="D237" s="85">
        <v>80</v>
      </c>
      <c r="E237" s="85">
        <v>4</v>
      </c>
      <c r="F237" s="89">
        <v>6195</v>
      </c>
      <c r="G237" s="85">
        <v>52</v>
      </c>
      <c r="H237" s="85">
        <v>10</v>
      </c>
      <c r="I237" s="85">
        <v>10</v>
      </c>
      <c r="J237" s="85">
        <v>1200</v>
      </c>
      <c r="K237" s="85"/>
      <c r="L237" s="85"/>
      <c r="M237" s="85"/>
      <c r="N237" s="85"/>
      <c r="O237" s="118">
        <f>((IFERROR((C237*D237*E237),0)+IFERROR((G237*H237*I237),0)+IFERROR((K237*L237*M237),0))/1000000)*35.32</f>
        <v>1.0878559999999999</v>
      </c>
      <c r="P237" s="125">
        <f>Table13[[#This Row],[Column15]]*$P$2*1000</f>
        <v>6527.1359999999995</v>
      </c>
      <c r="Q237" s="87">
        <f>F237+J237+N237</f>
        <v>7395</v>
      </c>
      <c r="R237" s="86">
        <f>MAX(Q237,O237)</f>
        <v>7395</v>
      </c>
      <c r="S237" s="86">
        <f>MAX(R237,P237)</f>
        <v>7395</v>
      </c>
      <c r="T237" s="156" t="str">
        <f>VLOOKUP(A237,'[1]MTP SKUs - Master Data'!$A:$B,2,FALSE)</f>
        <v>DI</v>
      </c>
      <c r="U237" s="162">
        <f>_xlfn.IFNA(VLOOKUP(Table13[[#This Row],[MTP SKU Code]],'Audit Dimensions'!A:N,6,FALSE),"ARC")</f>
        <v>8900</v>
      </c>
      <c r="V237" s="162">
        <f>IFERROR(Table13[[#This Row],[B1.Aud]]-Table13[[#This Row],[PW(gm)]],"ERR")</f>
        <v>2705</v>
      </c>
      <c r="W237" s="165">
        <f>IFERROR(Table13[[#This Row],[B1.Diff]]/Table13[[#This Row],[B1.Aud]],"ERR")</f>
        <v>0.30393258426966291</v>
      </c>
      <c r="X237" s="162">
        <f>_xlfn.IFNA(VLOOKUP(Table13[[#This Row],[MTP SKU Code]],'Audit Dimensions'!A:N,10,FALSE),"ARC")</f>
        <v>1500</v>
      </c>
      <c r="Y237" s="163">
        <f>IFERROR(Table13[[#This Row],[B2.Aud]]-Table13[[#This Row],[PW(gm)5]],"ERR")</f>
        <v>300</v>
      </c>
      <c r="Z237" s="165">
        <f>IFERROR(Table13[[#This Row],[B2.Diff]]/Table13[[#This Row],[B2.Aud]],"ERR")</f>
        <v>0.2</v>
      </c>
      <c r="AA237" s="162">
        <f>_xlfn.IFNA(VLOOKUP(Table13[[#This Row],[MTP SKU Code]],'Audit Dimensions'!A:N,14,FALSE),"ARC")</f>
        <v>0</v>
      </c>
      <c r="AB237" s="161">
        <f>IFERROR(Table13[[#This Row],[B3.Aud]]-Table13[[#This Row],[PW(gm)9]],"ERR")</f>
        <v>0</v>
      </c>
      <c r="AC237" s="168">
        <f>IFERROR(Table13[[#This Row],[B3.Diff]]/Table13[[#This Row],[BaLL.Aud]],"ERR")</f>
        <v>0</v>
      </c>
      <c r="AD237" s="162">
        <f>_xlfn.IFNA(VLOOKUP(Table13[[#This Row],[MTP SKU Code]],'Audit Dimensions'!A:U,16,FALSE),"ARC")</f>
        <v>10400</v>
      </c>
      <c r="AE237" s="165">
        <f>IFERROR(1-Table13[[#This Row],[Gms]]/Table13[[#This Row],[BaLL.Aud]],"ERR")</f>
        <v>0.28894230769230766</v>
      </c>
    </row>
    <row r="238" spans="1:31">
      <c r="A238" s="99" t="s">
        <v>289</v>
      </c>
      <c r="B238" s="84" t="s">
        <v>48</v>
      </c>
      <c r="C238" s="85">
        <v>35</v>
      </c>
      <c r="D238" s="85">
        <v>25</v>
      </c>
      <c r="E238" s="85">
        <v>5</v>
      </c>
      <c r="F238" s="89">
        <v>1100</v>
      </c>
      <c r="G238" s="85"/>
      <c r="H238" s="85"/>
      <c r="I238" s="85"/>
      <c r="J238" s="85"/>
      <c r="K238" s="85"/>
      <c r="L238" s="85"/>
      <c r="M238" s="85"/>
      <c r="N238" s="85"/>
      <c r="O238" s="118">
        <f>((IFERROR((C238*D238*E238),0)+IFERROR((G238*H238*I238),0)+IFERROR((K238*L238*M238),0))/1000000)*35.32</f>
        <v>0.15452500000000002</v>
      </c>
      <c r="P238" s="125">
        <f>Table13[[#This Row],[Column15]]*$P$2*1000</f>
        <v>927.15000000000009</v>
      </c>
      <c r="Q238" s="87">
        <f>F238+J238+N238</f>
        <v>1100</v>
      </c>
      <c r="R238" s="86">
        <f>MAX(Q238,O238)</f>
        <v>1100</v>
      </c>
      <c r="S238" s="86">
        <f>MAX(R238,P238)</f>
        <v>1100</v>
      </c>
      <c r="T238" s="156" t="str">
        <f>VLOOKUP(A238,'[1]MTP SKUs - Master Data'!$A:$B,2,FALSE)</f>
        <v>Y</v>
      </c>
      <c r="U238" s="162">
        <f>_xlfn.IFNA(VLOOKUP(Table13[[#This Row],[MTP SKU Code]],'Audit Dimensions'!A:N,6,FALSE),"ARC")</f>
        <v>1550</v>
      </c>
      <c r="V238" s="162">
        <f>IFERROR(Table13[[#This Row],[B1.Aud]]-Table13[[#This Row],[PW(gm)]],"ERR")</f>
        <v>450</v>
      </c>
      <c r="W238" s="165">
        <f>IFERROR(Table13[[#This Row],[B1.Diff]]/Table13[[#This Row],[B1.Aud]],"ERR")</f>
        <v>0.29032258064516131</v>
      </c>
      <c r="X238" s="162">
        <f>_xlfn.IFNA(VLOOKUP(Table13[[#This Row],[MTP SKU Code]],'Audit Dimensions'!A:N,10,FALSE),"ARC")</f>
        <v>0</v>
      </c>
      <c r="Y238" s="163">
        <f>IFERROR(Table13[[#This Row],[B2.Aud]]-Table13[[#This Row],[PW(gm)5]],"ERR")</f>
        <v>0</v>
      </c>
      <c r="Z238" s="165" t="str">
        <f>IFERROR(Table13[[#This Row],[B2.Diff]]/Table13[[#This Row],[B2.Aud]],"ERR")</f>
        <v>ERR</v>
      </c>
      <c r="AA238" s="162">
        <f>_xlfn.IFNA(VLOOKUP(Table13[[#This Row],[MTP SKU Code]],'Audit Dimensions'!A:N,14,FALSE),"ARC")</f>
        <v>0</v>
      </c>
      <c r="AB238" s="161">
        <f>IFERROR(Table13[[#This Row],[B3.Aud]]-Table13[[#This Row],[PW(gm)9]],"ERR")</f>
        <v>0</v>
      </c>
      <c r="AC238" s="168">
        <f>IFERROR(Table13[[#This Row],[B3.Diff]]/Table13[[#This Row],[BaLL.Aud]],"ERR")</f>
        <v>0</v>
      </c>
      <c r="AD238" s="189">
        <f>_xlfn.IFNA(VLOOKUP(Table13[[#This Row],[MTP SKU Code]],'Audit Dimensions'!A:U,16,FALSE),"ARC")</f>
        <v>1550</v>
      </c>
      <c r="AE238" s="165">
        <f>IFERROR(1-Table13[[#This Row],[Gms]]/Table13[[#This Row],[BaLL.Aud]],"ERR")</f>
        <v>0.29032258064516125</v>
      </c>
    </row>
    <row r="239" spans="1:31">
      <c r="A239" s="68" t="s">
        <v>233</v>
      </c>
      <c r="B239" s="84" t="s">
        <v>48</v>
      </c>
      <c r="C239" s="85">
        <v>68</v>
      </c>
      <c r="D239" s="85">
        <v>37</v>
      </c>
      <c r="E239" s="85">
        <v>6</v>
      </c>
      <c r="F239" s="89">
        <v>3890</v>
      </c>
      <c r="G239" s="85"/>
      <c r="H239" s="85"/>
      <c r="I239" s="85"/>
      <c r="J239" s="85"/>
      <c r="K239" s="85"/>
      <c r="L239" s="85"/>
      <c r="M239" s="85"/>
      <c r="N239" s="85"/>
      <c r="O239" s="118">
        <f>((IFERROR((C239*D239*E239),0)+IFERROR((G239*H239*I239),0)+IFERROR((K239*L239*M239),0))/1000000)*35.32</f>
        <v>0.53319072000000001</v>
      </c>
      <c r="P239" s="125">
        <f>Table13[[#This Row],[Column15]]*$P$2*1000</f>
        <v>3199.1443200000003</v>
      </c>
      <c r="Q239" s="87">
        <f>F239+J239+N239</f>
        <v>3890</v>
      </c>
      <c r="R239" s="86">
        <f>MAX(Q239,O239)</f>
        <v>3890</v>
      </c>
      <c r="S239" s="86">
        <f>MAX(R239,P239)</f>
        <v>3890</v>
      </c>
      <c r="T239" s="156" t="str">
        <f>VLOOKUP(A239,'[1]MTP SKUs - Master Data'!$A:$B,2,FALSE)</f>
        <v>Y</v>
      </c>
      <c r="U239" s="162">
        <f>_xlfn.IFNA(VLOOKUP(Table13[[#This Row],[MTP SKU Code]],'Audit Dimensions'!A:N,6,FALSE),"ARC")</f>
        <v>5500</v>
      </c>
      <c r="V239" s="162">
        <f>IFERROR(Table13[[#This Row],[B1.Aud]]-Table13[[#This Row],[PW(gm)]],"ERR")</f>
        <v>1610</v>
      </c>
      <c r="W239" s="165">
        <f>IFERROR(Table13[[#This Row],[B1.Diff]]/Table13[[#This Row],[B1.Aud]],"ERR")</f>
        <v>0.29272727272727272</v>
      </c>
      <c r="X239" s="162">
        <f>_xlfn.IFNA(VLOOKUP(Table13[[#This Row],[MTP SKU Code]],'Audit Dimensions'!A:N,10,FALSE),"ARC")</f>
        <v>0</v>
      </c>
      <c r="Y239" s="163">
        <f>IFERROR(Table13[[#This Row],[B2.Aud]]-Table13[[#This Row],[PW(gm)5]],"ERR")</f>
        <v>0</v>
      </c>
      <c r="Z239" s="165" t="str">
        <f>IFERROR(Table13[[#This Row],[B2.Diff]]/Table13[[#This Row],[B2.Aud]],"ERR")</f>
        <v>ERR</v>
      </c>
      <c r="AA239" s="162">
        <f>_xlfn.IFNA(VLOOKUP(Table13[[#This Row],[MTP SKU Code]],'Audit Dimensions'!A:N,14,FALSE),"ARC")</f>
        <v>0</v>
      </c>
      <c r="AB239" s="161">
        <f>IFERROR(Table13[[#This Row],[B3.Aud]]-Table13[[#This Row],[PW(gm)9]],"ERR")</f>
        <v>0</v>
      </c>
      <c r="AC239" s="168">
        <f>IFERROR(Table13[[#This Row],[B3.Diff]]/Table13[[#This Row],[BaLL.Aud]],"ERR")</f>
        <v>0</v>
      </c>
      <c r="AD239" s="189">
        <f>_xlfn.IFNA(VLOOKUP(Table13[[#This Row],[MTP SKU Code]],'Audit Dimensions'!A:U,16,FALSE),"ARC")</f>
        <v>5500</v>
      </c>
      <c r="AE239" s="165">
        <f>IFERROR(1-Table13[[#This Row],[Gms]]/Table13[[#This Row],[BaLL.Aud]],"ERR")</f>
        <v>0.29272727272727272</v>
      </c>
    </row>
    <row r="240" spans="1:31">
      <c r="A240" s="68" t="s">
        <v>95</v>
      </c>
      <c r="B240" s="84" t="s">
        <v>48</v>
      </c>
      <c r="C240" s="84">
        <v>129</v>
      </c>
      <c r="D240" s="85">
        <v>43</v>
      </c>
      <c r="E240" s="85">
        <v>13</v>
      </c>
      <c r="F240" s="89">
        <v>26500</v>
      </c>
      <c r="G240" s="85"/>
      <c r="H240" s="85"/>
      <c r="I240" s="85"/>
      <c r="J240" s="85"/>
      <c r="K240" s="85"/>
      <c r="L240" s="85"/>
      <c r="M240" s="85"/>
      <c r="N240" s="85"/>
      <c r="O240" s="118">
        <f>((IFERROR((C240*D240*E240),0)+IFERROR((G240*H240*I240),0)+IFERROR((K240*L240*M240),0))/1000000)*35.32</f>
        <v>2.5469605199999998</v>
      </c>
      <c r="P240" s="125">
        <f>Table13[[#This Row],[Column15]]*$P$2*1000</f>
        <v>15281.76312</v>
      </c>
      <c r="Q240" s="87">
        <f>F240+J240+N240</f>
        <v>26500</v>
      </c>
      <c r="R240" s="88">
        <f>MAX(Q240,O240)</f>
        <v>26500</v>
      </c>
      <c r="S240" s="86">
        <f>MAX(R240,P240)</f>
        <v>26500</v>
      </c>
      <c r="T240" s="156" t="str">
        <f>VLOOKUP(A240,'[1]MTP SKUs - Master Data'!$A:$B,2,FALSE)</f>
        <v>Y</v>
      </c>
      <c r="U240" s="162">
        <f>_xlfn.IFNA(VLOOKUP(Table13[[#This Row],[MTP SKU Code]],'Audit Dimensions'!A:N,6,FALSE),"ARC")</f>
        <v>39050</v>
      </c>
      <c r="V240" s="162">
        <f>IFERROR(Table13[[#This Row],[B1.Aud]]-Table13[[#This Row],[PW(gm)]],"ERR")</f>
        <v>12550</v>
      </c>
      <c r="W240" s="165">
        <f>IFERROR(Table13[[#This Row],[B1.Diff]]/Table13[[#This Row],[B1.Aud]],"ERR")</f>
        <v>0.32138284250960308</v>
      </c>
      <c r="X240" s="162">
        <f>_xlfn.IFNA(VLOOKUP(Table13[[#This Row],[MTP SKU Code]],'Audit Dimensions'!A:N,10,FALSE),"ARC")</f>
        <v>0</v>
      </c>
      <c r="Y240" s="163">
        <f>IFERROR(Table13[[#This Row],[B2.Aud]]-Table13[[#This Row],[PW(gm)5]],"ERR")</f>
        <v>0</v>
      </c>
      <c r="Z240" s="165" t="str">
        <f>IFERROR(Table13[[#This Row],[B2.Diff]]/Table13[[#This Row],[B2.Aud]],"ERR")</f>
        <v>ERR</v>
      </c>
      <c r="AA240" s="162">
        <f>_xlfn.IFNA(VLOOKUP(Table13[[#This Row],[MTP SKU Code]],'Audit Dimensions'!A:N,14,FALSE),"ARC")</f>
        <v>0</v>
      </c>
      <c r="AB240" s="161">
        <f>IFERROR(Table13[[#This Row],[B3.Aud]]-Table13[[#This Row],[PW(gm)9]],"ERR")</f>
        <v>0</v>
      </c>
      <c r="AC240" s="168">
        <f>IFERROR(Table13[[#This Row],[B3.Diff]]/Table13[[#This Row],[BaLL.Aud]],"ERR")</f>
        <v>0</v>
      </c>
      <c r="AD240" s="189">
        <f>_xlfn.IFNA(VLOOKUP(Table13[[#This Row],[MTP SKU Code]],'Audit Dimensions'!A:U,16,FALSE),"ARC")</f>
        <v>39050</v>
      </c>
      <c r="AE240" s="165">
        <f>IFERROR(1-Table13[[#This Row],[Gms]]/Table13[[#This Row],[BaLL.Aud]],"ERR")</f>
        <v>0.32138284250960303</v>
      </c>
    </row>
    <row r="241" spans="1:31">
      <c r="A241" s="68" t="s">
        <v>245</v>
      </c>
      <c r="B241" s="84" t="s">
        <v>48</v>
      </c>
      <c r="C241" s="85">
        <v>39</v>
      </c>
      <c r="D241" s="85">
        <v>27</v>
      </c>
      <c r="E241" s="85">
        <v>24</v>
      </c>
      <c r="F241" s="89">
        <v>1700</v>
      </c>
      <c r="G241" s="85"/>
      <c r="H241" s="85"/>
      <c r="I241" s="85"/>
      <c r="J241" s="85"/>
      <c r="K241" s="85"/>
      <c r="L241" s="85"/>
      <c r="M241" s="85"/>
      <c r="N241" s="85"/>
      <c r="O241" s="118">
        <f>((IFERROR((C241*D241*E241),0)+IFERROR((G241*H241*I241),0)+IFERROR((K241*L241*M241),0))/1000000)*35.32</f>
        <v>0.89260704000000002</v>
      </c>
      <c r="P241" s="125">
        <f>Table13[[#This Row],[Column15]]*$P$2*1000</f>
        <v>5355.6422400000001</v>
      </c>
      <c r="Q241" s="87">
        <f>F241+J241+N241</f>
        <v>1700</v>
      </c>
      <c r="R241" s="86">
        <f>MAX(Q241,O241)</f>
        <v>1700</v>
      </c>
      <c r="S241" s="86">
        <f>MAX(R241,P241)</f>
        <v>5355.6422400000001</v>
      </c>
      <c r="T241" s="156" t="str">
        <f>VLOOKUP(A241,'[1]MTP SKUs - Master Data'!$A:$B,2,FALSE)</f>
        <v>Y</v>
      </c>
      <c r="U241" s="162">
        <f>_xlfn.IFNA(VLOOKUP(Table13[[#This Row],[MTP SKU Code]],'Audit Dimensions'!A:N,6,FALSE),"ARC")</f>
        <v>2540</v>
      </c>
      <c r="V241" s="162">
        <f>IFERROR(Table13[[#This Row],[B1.Aud]]-Table13[[#This Row],[PW(gm)]],"ERR")</f>
        <v>840</v>
      </c>
      <c r="W241" s="165">
        <f>IFERROR(Table13[[#This Row],[B1.Diff]]/Table13[[#This Row],[B1.Aud]],"ERR")</f>
        <v>0.33070866141732286</v>
      </c>
      <c r="X241" s="162">
        <f>_xlfn.IFNA(VLOOKUP(Table13[[#This Row],[MTP SKU Code]],'Audit Dimensions'!A:N,10,FALSE),"ARC")</f>
        <v>0</v>
      </c>
      <c r="Y241" s="163">
        <f>IFERROR(Table13[[#This Row],[B2.Aud]]-Table13[[#This Row],[PW(gm)5]],"ERR")</f>
        <v>0</v>
      </c>
      <c r="Z241" s="165" t="str">
        <f>IFERROR(Table13[[#This Row],[B2.Diff]]/Table13[[#This Row],[B2.Aud]],"ERR")</f>
        <v>ERR</v>
      </c>
      <c r="AA241" s="162">
        <f>_xlfn.IFNA(VLOOKUP(Table13[[#This Row],[MTP SKU Code]],'Audit Dimensions'!A:N,14,FALSE),"ARC")</f>
        <v>0</v>
      </c>
      <c r="AB241" s="161">
        <f>IFERROR(Table13[[#This Row],[B3.Aud]]-Table13[[#This Row],[PW(gm)9]],"ERR")</f>
        <v>0</v>
      </c>
      <c r="AC241" s="168">
        <f>IFERROR(Table13[[#This Row],[B3.Diff]]/Table13[[#This Row],[BaLL.Aud]],"ERR")</f>
        <v>0</v>
      </c>
      <c r="AD241" s="189">
        <f>_xlfn.IFNA(VLOOKUP(Table13[[#This Row],[MTP SKU Code]],'Audit Dimensions'!A:U,16,FALSE),"ARC")</f>
        <v>2540</v>
      </c>
      <c r="AE241" s="165">
        <f>IFERROR(1-Table13[[#This Row],[Gms]]/Table13[[#This Row],[BaLL.Aud]],"ERR")</f>
        <v>0.3307086614173228</v>
      </c>
    </row>
    <row r="242" spans="1:31">
      <c r="A242" s="68" t="s">
        <v>85</v>
      </c>
      <c r="B242" s="84" t="s">
        <v>48</v>
      </c>
      <c r="C242" s="84">
        <v>85</v>
      </c>
      <c r="D242" s="85">
        <v>50</v>
      </c>
      <c r="E242" s="85">
        <v>23</v>
      </c>
      <c r="F242" s="89">
        <v>28200</v>
      </c>
      <c r="G242" s="85"/>
      <c r="H242" s="85"/>
      <c r="I242" s="85"/>
      <c r="J242" s="85"/>
      <c r="K242" s="85"/>
      <c r="L242" s="85"/>
      <c r="M242" s="85"/>
      <c r="N242" s="85"/>
      <c r="O242" s="118">
        <f>((IFERROR((C242*D242*E242),0)+IFERROR((G242*H242*I242),0)+IFERROR((K242*L242*M242),0))/1000000)*35.32</f>
        <v>3.4525300000000003</v>
      </c>
      <c r="P242" s="125">
        <f>Table13[[#This Row],[Column15]]*$P$2*1000</f>
        <v>20715.180000000004</v>
      </c>
      <c r="Q242" s="87">
        <f>F242+J242+N242</f>
        <v>28200</v>
      </c>
      <c r="R242" s="88">
        <f>MAX(Q242,O242)</f>
        <v>28200</v>
      </c>
      <c r="S242" s="86">
        <f>MAX(R242,P242)</f>
        <v>28200</v>
      </c>
      <c r="T242" s="156" t="str">
        <f>VLOOKUP(A242,'[1]MTP SKUs - Master Data'!$A:$B,2,FALSE)</f>
        <v>Y</v>
      </c>
      <c r="U242" s="162">
        <f>_xlfn.IFNA(VLOOKUP(Table13[[#This Row],[MTP SKU Code]],'Audit Dimensions'!A:N,6,FALSE),"ARC")</f>
        <v>42170</v>
      </c>
      <c r="V242" s="162">
        <f>IFERROR(Table13[[#This Row],[B1.Aud]]-Table13[[#This Row],[PW(gm)]],"ERR")</f>
        <v>13970</v>
      </c>
      <c r="W242" s="165">
        <f>IFERROR(Table13[[#This Row],[B1.Diff]]/Table13[[#This Row],[B1.Aud]],"ERR")</f>
        <v>0.33127815982926251</v>
      </c>
      <c r="X242" s="162">
        <f>_xlfn.IFNA(VLOOKUP(Table13[[#This Row],[MTP SKU Code]],'Audit Dimensions'!A:N,10,FALSE),"ARC")</f>
        <v>0</v>
      </c>
      <c r="Y242" s="163">
        <f>IFERROR(Table13[[#This Row],[B2.Aud]]-Table13[[#This Row],[PW(gm)5]],"ERR")</f>
        <v>0</v>
      </c>
      <c r="Z242" s="165" t="str">
        <f>IFERROR(Table13[[#This Row],[B2.Diff]]/Table13[[#This Row],[B2.Aud]],"ERR")</f>
        <v>ERR</v>
      </c>
      <c r="AA242" s="162">
        <f>_xlfn.IFNA(VLOOKUP(Table13[[#This Row],[MTP SKU Code]],'Audit Dimensions'!A:N,14,FALSE),"ARC")</f>
        <v>0</v>
      </c>
      <c r="AB242" s="161">
        <f>IFERROR(Table13[[#This Row],[B3.Aud]]-Table13[[#This Row],[PW(gm)9]],"ERR")</f>
        <v>0</v>
      </c>
      <c r="AC242" s="168">
        <f>IFERROR(Table13[[#This Row],[B3.Diff]]/Table13[[#This Row],[BaLL.Aud]],"ERR")</f>
        <v>0</v>
      </c>
      <c r="AD242" s="189">
        <f>_xlfn.IFNA(VLOOKUP(Table13[[#This Row],[MTP SKU Code]],'Audit Dimensions'!A:U,16,FALSE),"ARC")</f>
        <v>42170</v>
      </c>
      <c r="AE242" s="165">
        <f>IFERROR(1-Table13[[#This Row],[Gms]]/Table13[[#This Row],[BaLL.Aud]],"ERR")</f>
        <v>0.33127815982926256</v>
      </c>
    </row>
    <row r="243" spans="1:31">
      <c r="A243" s="91" t="s">
        <v>112</v>
      </c>
      <c r="B243" s="84" t="s">
        <v>48</v>
      </c>
      <c r="C243" s="85">
        <v>194</v>
      </c>
      <c r="D243" s="85">
        <v>44</v>
      </c>
      <c r="E243" s="85">
        <v>8</v>
      </c>
      <c r="F243" s="89">
        <v>31500</v>
      </c>
      <c r="G243" s="85"/>
      <c r="H243" s="85"/>
      <c r="I243" s="85"/>
      <c r="J243" s="85"/>
      <c r="K243" s="85"/>
      <c r="L243" s="85"/>
      <c r="M243" s="85"/>
      <c r="N243" s="85"/>
      <c r="O243" s="118">
        <f>((IFERROR((C243*D243*E243),0)+IFERROR((G243*H243*I243),0)+IFERROR((K243*L243*M243),0))/1000000)*35.32</f>
        <v>2.4119321600000001</v>
      </c>
      <c r="P243" s="125">
        <f>Table13[[#This Row],[Column15]]*$P$2*1000</f>
        <v>14471.59296</v>
      </c>
      <c r="Q243" s="87">
        <f>F243+J243+N243</f>
        <v>31500</v>
      </c>
      <c r="R243" s="86">
        <f>MAX(Q243,O243)</f>
        <v>31500</v>
      </c>
      <c r="S243" s="86">
        <f>MAX(R243,P243)</f>
        <v>31500</v>
      </c>
      <c r="T243" s="156" t="str">
        <f>VLOOKUP(A243,'[1]MTP SKUs - Master Data'!$A:$B,2,FALSE)</f>
        <v>Y</v>
      </c>
      <c r="U243" s="162">
        <f>_xlfn.IFNA(VLOOKUP(Table13[[#This Row],[MTP SKU Code]],'Audit Dimensions'!A:N,6,FALSE),"ARC")</f>
        <v>47930</v>
      </c>
      <c r="V243" s="162">
        <f>IFERROR(Table13[[#This Row],[B1.Aud]]-Table13[[#This Row],[PW(gm)]],"ERR")</f>
        <v>16430</v>
      </c>
      <c r="W243" s="165">
        <f>IFERROR(Table13[[#This Row],[B1.Diff]]/Table13[[#This Row],[B1.Aud]],"ERR")</f>
        <v>0.34279157104110158</v>
      </c>
      <c r="X243" s="162">
        <f>_xlfn.IFNA(VLOOKUP(Table13[[#This Row],[MTP SKU Code]],'Audit Dimensions'!A:N,10,FALSE),"ARC")</f>
        <v>0</v>
      </c>
      <c r="Y243" s="163">
        <f>IFERROR(Table13[[#This Row],[B2.Aud]]-Table13[[#This Row],[PW(gm)5]],"ERR")</f>
        <v>0</v>
      </c>
      <c r="Z243" s="165" t="str">
        <f>IFERROR(Table13[[#This Row],[B2.Diff]]/Table13[[#This Row],[B2.Aud]],"ERR")</f>
        <v>ERR</v>
      </c>
      <c r="AA243" s="162">
        <f>_xlfn.IFNA(VLOOKUP(Table13[[#This Row],[MTP SKU Code]],'Audit Dimensions'!A:N,14,FALSE),"ARC")</f>
        <v>0</v>
      </c>
      <c r="AB243" s="161">
        <f>IFERROR(Table13[[#This Row],[B3.Aud]]-Table13[[#This Row],[PW(gm)9]],"ERR")</f>
        <v>0</v>
      </c>
      <c r="AC243" s="168">
        <f>IFERROR(Table13[[#This Row],[B3.Diff]]/Table13[[#This Row],[BaLL.Aud]],"ERR")</f>
        <v>0</v>
      </c>
      <c r="AD243" s="189">
        <f>_xlfn.IFNA(VLOOKUP(Table13[[#This Row],[MTP SKU Code]],'Audit Dimensions'!A:U,16,FALSE),"ARC")</f>
        <v>47930</v>
      </c>
      <c r="AE243" s="165">
        <f>IFERROR(1-Table13[[#This Row],[Gms]]/Table13[[#This Row],[BaLL.Aud]],"ERR")</f>
        <v>0.34279157104110158</v>
      </c>
    </row>
    <row r="244" spans="1:31">
      <c r="A244" s="68" t="s">
        <v>63</v>
      </c>
      <c r="B244" s="84" t="s">
        <v>48</v>
      </c>
      <c r="C244" s="85">
        <v>24</v>
      </c>
      <c r="D244" s="85">
        <v>11</v>
      </c>
      <c r="E244" s="85">
        <v>5</v>
      </c>
      <c r="F244" s="89">
        <v>195</v>
      </c>
      <c r="G244" s="85"/>
      <c r="H244" s="85"/>
      <c r="I244" s="85"/>
      <c r="J244" s="85"/>
      <c r="K244" s="85"/>
      <c r="L244" s="85"/>
      <c r="M244" s="85"/>
      <c r="N244" s="85"/>
      <c r="O244" s="118">
        <f>((IFERROR((C244*D244*E244),0)+IFERROR((G244*H244*I244),0)+IFERROR((K244*L244*M244),0))/1000000)*35.32</f>
        <v>4.6622400000000001E-2</v>
      </c>
      <c r="P244" s="125">
        <f>Table13[[#This Row],[Column15]]*$P$2*1000</f>
        <v>279.73439999999999</v>
      </c>
      <c r="Q244" s="87">
        <f>F244+J244+N244</f>
        <v>195</v>
      </c>
      <c r="R244" s="86">
        <f>MAX(Q244,O244)</f>
        <v>195</v>
      </c>
      <c r="S244" s="86">
        <f>MAX(R244,P244)</f>
        <v>279.73439999999999</v>
      </c>
      <c r="T244" s="156" t="str">
        <f>VLOOKUP(A244,'[1]MTP SKUs - Master Data'!$A:$B,2,FALSE)</f>
        <v>Y</v>
      </c>
      <c r="U244" s="162">
        <f>_xlfn.IFNA(VLOOKUP(Table13[[#This Row],[MTP SKU Code]],'Audit Dimensions'!A:N,6,FALSE),"ARC")</f>
        <v>306</v>
      </c>
      <c r="V244" s="162">
        <f>IFERROR(Table13[[#This Row],[B1.Aud]]-Table13[[#This Row],[PW(gm)]],"ERR")</f>
        <v>111</v>
      </c>
      <c r="W244" s="165">
        <f>IFERROR(Table13[[#This Row],[B1.Diff]]/Table13[[#This Row],[B1.Aud]],"ERR")</f>
        <v>0.36274509803921567</v>
      </c>
      <c r="X244" s="162">
        <f>_xlfn.IFNA(VLOOKUP(Table13[[#This Row],[MTP SKU Code]],'Audit Dimensions'!A:N,10,FALSE),"ARC")</f>
        <v>0</v>
      </c>
      <c r="Y244" s="163">
        <f>IFERROR(Table13[[#This Row],[B2.Aud]]-Table13[[#This Row],[PW(gm)5]],"ERR")</f>
        <v>0</v>
      </c>
      <c r="Z244" s="165" t="str">
        <f>IFERROR(Table13[[#This Row],[B2.Diff]]/Table13[[#This Row],[B2.Aud]],"ERR")</f>
        <v>ERR</v>
      </c>
      <c r="AA244" s="162">
        <f>_xlfn.IFNA(VLOOKUP(Table13[[#This Row],[MTP SKU Code]],'Audit Dimensions'!A:N,14,FALSE),"ARC")</f>
        <v>0</v>
      </c>
      <c r="AB244" s="161">
        <f>IFERROR(Table13[[#This Row],[B3.Aud]]-Table13[[#This Row],[PW(gm)9]],"ERR")</f>
        <v>0</v>
      </c>
      <c r="AC244" s="168">
        <f>IFERROR(Table13[[#This Row],[B3.Diff]]/Table13[[#This Row],[BaLL.Aud]],"ERR")</f>
        <v>0</v>
      </c>
      <c r="AD244" s="189">
        <f>_xlfn.IFNA(VLOOKUP(Table13[[#This Row],[MTP SKU Code]],'Audit Dimensions'!A:U,16,FALSE),"ARC")</f>
        <v>306</v>
      </c>
      <c r="AE244" s="165">
        <f>IFERROR(1-Table13[[#This Row],[Gms]]/Table13[[#This Row],[BaLL.Aud]],"ERR")</f>
        <v>0.36274509803921573</v>
      </c>
    </row>
    <row r="245" spans="1:31" ht="13.5" customHeight="1">
      <c r="A245" s="68" t="s">
        <v>62</v>
      </c>
      <c r="B245" s="84" t="s">
        <v>48</v>
      </c>
      <c r="C245" s="85">
        <v>65.7</v>
      </c>
      <c r="D245" s="85">
        <v>29.2</v>
      </c>
      <c r="E245" s="85">
        <v>5</v>
      </c>
      <c r="F245" s="89">
        <v>6850</v>
      </c>
      <c r="G245" s="85"/>
      <c r="H245" s="85"/>
      <c r="I245" s="85"/>
      <c r="J245" s="85"/>
      <c r="K245" s="85"/>
      <c r="L245" s="85"/>
      <c r="M245" s="85"/>
      <c r="N245" s="85"/>
      <c r="O245" s="118">
        <f>((IFERROR((C245*D245*E245),0)+IFERROR((G245*H245*I245),0)+IFERROR((K245*L245*M245),0))/1000000)*35.32</f>
        <v>0.338796504</v>
      </c>
      <c r="P245" s="125">
        <f>Table13[[#This Row],[Column15]]*$P$2*1000</f>
        <v>2032.7790239999999</v>
      </c>
      <c r="Q245" s="87">
        <f>F245+J245+N245</f>
        <v>6850</v>
      </c>
      <c r="R245" s="86">
        <f>MAX(Q245,O245)</f>
        <v>6850</v>
      </c>
      <c r="S245" s="86">
        <f>MAX(R245,P245)</f>
        <v>6850</v>
      </c>
      <c r="T245" s="156" t="str">
        <f>VLOOKUP(A245,'[1]MTP SKUs - Master Data'!$A:$B,2,FALSE)</f>
        <v>Y</v>
      </c>
      <c r="U245" s="162">
        <f>_xlfn.IFNA(VLOOKUP(Table13[[#This Row],[MTP SKU Code]],'Audit Dimensions'!A:N,6,FALSE),"ARC")</f>
        <v>8100</v>
      </c>
      <c r="V245" s="162">
        <f>IFERROR(Table13[[#This Row],[B1.Aud]]-Table13[[#This Row],[PW(gm)]],"ERR")</f>
        <v>1250</v>
      </c>
      <c r="W245" s="165">
        <f>IFERROR(Table13[[#This Row],[B1.Diff]]/Table13[[#This Row],[B1.Aud]],"ERR")</f>
        <v>0.15432098765432098</v>
      </c>
      <c r="X245" s="162">
        <f>_xlfn.IFNA(VLOOKUP(Table13[[#This Row],[MTP SKU Code]],'Audit Dimensions'!A:N,10,FALSE),"ARC")</f>
        <v>0</v>
      </c>
      <c r="Y245" s="163">
        <f>IFERROR(Table13[[#This Row],[B2.Aud]]-Table13[[#This Row],[PW(gm)5]],"ERR")</f>
        <v>0</v>
      </c>
      <c r="Z245" s="165" t="str">
        <f>IFERROR(Table13[[#This Row],[B2.Diff]]/Table13[[#This Row],[B2.Aud]],"ERR")</f>
        <v>ERR</v>
      </c>
      <c r="AA245" s="162">
        <f>_xlfn.IFNA(VLOOKUP(Table13[[#This Row],[MTP SKU Code]],'Audit Dimensions'!A:N,14,FALSE),"ARC")</f>
        <v>0</v>
      </c>
      <c r="AB245" s="161">
        <f>IFERROR(Table13[[#This Row],[B3.Aud]]-Table13[[#This Row],[PW(gm)9]],"ERR")</f>
        <v>0</v>
      </c>
      <c r="AC245" s="168">
        <f>IFERROR(Table13[[#This Row],[B3.Diff]]/Table13[[#This Row],[BaLL.Aud]],"ERR")</f>
        <v>0</v>
      </c>
      <c r="AD245" s="189">
        <f>_xlfn.IFNA(VLOOKUP(Table13[[#This Row],[MTP SKU Code]],'Audit Dimensions'!A:U,16,FALSE),"ARC")</f>
        <v>8100</v>
      </c>
      <c r="AE245" s="165">
        <f>IFERROR(1-Table13[[#This Row],[Gms]]/Table13[[#This Row],[BaLL.Aud]],"ERR")</f>
        <v>0.15432098765432101</v>
      </c>
    </row>
    <row r="246" spans="1:31" hidden="1">
      <c r="A246" s="68" t="s">
        <v>291</v>
      </c>
      <c r="B246" s="84" t="s">
        <v>74</v>
      </c>
      <c r="C246" s="85">
        <v>205</v>
      </c>
      <c r="D246" s="85">
        <v>54</v>
      </c>
      <c r="E246" s="85">
        <v>10</v>
      </c>
      <c r="F246" s="89">
        <v>35000</v>
      </c>
      <c r="G246" s="85">
        <v>105</v>
      </c>
      <c r="H246" s="85">
        <v>94</v>
      </c>
      <c r="I246" s="85">
        <v>5</v>
      </c>
      <c r="J246" s="85">
        <v>35000</v>
      </c>
      <c r="K246" s="85"/>
      <c r="L246" s="85"/>
      <c r="M246" s="85"/>
      <c r="N246" s="85"/>
      <c r="O246" s="118">
        <f>((IFERROR((C246*D246*E246),0)+IFERROR((G246*H246*I246),0)+IFERROR((K246*L246*M246),0))/1000000)*35.32</f>
        <v>5.6529660000000002</v>
      </c>
      <c r="P246" s="125">
        <f>Table13[[#This Row],[Column15]]*$P$2*1000</f>
        <v>33917.796000000002</v>
      </c>
      <c r="Q246" s="87">
        <f>F246+J246+N246</f>
        <v>70000</v>
      </c>
      <c r="R246" s="86">
        <f>MAX(Q246,O246)</f>
        <v>70000</v>
      </c>
      <c r="S246" s="86">
        <f>MAX(R246,P246)</f>
        <v>70000</v>
      </c>
      <c r="T246" s="156" t="str">
        <f>VLOOKUP(A246,'[1]MTP SKUs - Master Data'!$A:$B,2,FALSE)</f>
        <v>DI</v>
      </c>
      <c r="U246" s="162" t="str">
        <f>_xlfn.IFNA(VLOOKUP(Table13[[#This Row],[MTP SKU Code]],'Audit Dimensions'!A:N,6,FALSE),"ARC")</f>
        <v>ARC</v>
      </c>
      <c r="V246" s="162" t="str">
        <f>IFERROR(Table13[[#This Row],[B1.Aud]]-Table13[[#This Row],[PW(gm)]],"ERR")</f>
        <v>ERR</v>
      </c>
      <c r="W246" s="165" t="str">
        <f>IFERROR(Table13[[#This Row],[B1.Diff]]/Table13[[#This Row],[B1.Aud]],"ERR")</f>
        <v>ERR</v>
      </c>
      <c r="X246" s="162" t="str">
        <f>_xlfn.IFNA(VLOOKUP(Table13[[#This Row],[MTP SKU Code]],'Audit Dimensions'!A:N,10,FALSE),"ARC")</f>
        <v>ARC</v>
      </c>
      <c r="Y246" s="163" t="str">
        <f>IFERROR(Table13[[#This Row],[B2.Aud]]-Table13[[#This Row],[PW(gm)5]],"ERR")</f>
        <v>ERR</v>
      </c>
      <c r="Z246" s="165" t="str">
        <f>IFERROR(Table13[[#This Row],[B2.Diff]]/Table13[[#This Row],[B2.Aud]],"ERR")</f>
        <v>ERR</v>
      </c>
      <c r="AA246" s="162" t="str">
        <f>_xlfn.IFNA(VLOOKUP(Table13[[#This Row],[MTP SKU Code]],'Audit Dimensions'!A:N,14,FALSE),"ARC")</f>
        <v>ARC</v>
      </c>
      <c r="AB246" s="161" t="str">
        <f>IFERROR(Table13[[#This Row],[B3.Aud]]-Table13[[#This Row],[PW(gm)9]],"ERR")</f>
        <v>ERR</v>
      </c>
      <c r="AC246" s="168" t="str">
        <f>IFERROR(Table13[[#This Row],[B3.Diff]]/Table13[[#This Row],[BaLL.Aud]],"ERR")</f>
        <v>ERR</v>
      </c>
      <c r="AD246" s="162" t="str">
        <f>_xlfn.IFNA(VLOOKUP(Table13[[#This Row],[MTP SKU Code]],'Audit Dimensions'!A:U,16,FALSE),"ARC")</f>
        <v>ARC</v>
      </c>
      <c r="AE246" s="165" t="str">
        <f>IFERROR(1-Table13[[#This Row],[Gms]]/Table13[[#This Row],[BaLL.Aud]],"ERR")</f>
        <v>ERR</v>
      </c>
    </row>
    <row r="247" spans="1:31" ht="15" hidden="1" customHeight="1">
      <c r="A247" s="68" t="s">
        <v>292</v>
      </c>
      <c r="B247" s="84" t="s">
        <v>74</v>
      </c>
      <c r="C247" s="85">
        <v>206</v>
      </c>
      <c r="D247" s="85">
        <v>50</v>
      </c>
      <c r="E247" s="85">
        <v>10</v>
      </c>
      <c r="F247" s="89">
        <v>46000</v>
      </c>
      <c r="G247" s="85">
        <v>102</v>
      </c>
      <c r="H247" s="85">
        <v>79</v>
      </c>
      <c r="I247" s="85">
        <v>5</v>
      </c>
      <c r="J247" s="85">
        <v>24000</v>
      </c>
      <c r="K247" s="85"/>
      <c r="L247" s="85"/>
      <c r="M247" s="85"/>
      <c r="N247" s="85"/>
      <c r="O247" s="118">
        <f>((IFERROR((C247*D247*E247),0)+IFERROR((G247*H247*I247),0)+IFERROR((K247*L247*M247),0))/1000000)*35.32</f>
        <v>5.0610027999999998</v>
      </c>
      <c r="P247" s="125">
        <f>Table13[[#This Row],[Column15]]*$P$2*1000</f>
        <v>30366.016799999998</v>
      </c>
      <c r="Q247" s="87">
        <f>F247+J247+N247</f>
        <v>70000</v>
      </c>
      <c r="R247" s="86">
        <f>MAX(Q247,O247)</f>
        <v>70000</v>
      </c>
      <c r="S247" s="86">
        <f>MAX(R247,P247)</f>
        <v>70000</v>
      </c>
      <c r="T247" s="156" t="str">
        <f>VLOOKUP(A247,'[1]MTP SKUs - Master Data'!$A:$B,2,FALSE)</f>
        <v>DI</v>
      </c>
      <c r="U247" s="162" t="str">
        <f>_xlfn.IFNA(VLOOKUP(Table13[[#This Row],[MTP SKU Code]],'Audit Dimensions'!A:N,6,FALSE),"ARC")</f>
        <v>ARC</v>
      </c>
      <c r="V247" s="162" t="str">
        <f>IFERROR(Table13[[#This Row],[B1.Aud]]-Table13[[#This Row],[PW(gm)]],"ERR")</f>
        <v>ERR</v>
      </c>
      <c r="W247" s="165" t="str">
        <f>IFERROR(Table13[[#This Row],[B1.Diff]]/Table13[[#This Row],[B1.Aud]],"ERR")</f>
        <v>ERR</v>
      </c>
      <c r="X247" s="162" t="str">
        <f>_xlfn.IFNA(VLOOKUP(Table13[[#This Row],[MTP SKU Code]],'Audit Dimensions'!A:N,10,FALSE),"ARC")</f>
        <v>ARC</v>
      </c>
      <c r="Y247" s="163" t="str">
        <f>IFERROR(Table13[[#This Row],[B2.Aud]]-Table13[[#This Row],[PW(gm)5]],"ERR")</f>
        <v>ERR</v>
      </c>
      <c r="Z247" s="165" t="str">
        <f>IFERROR(Table13[[#This Row],[B2.Diff]]/Table13[[#This Row],[B2.Aud]],"ERR")</f>
        <v>ERR</v>
      </c>
      <c r="AA247" s="162" t="str">
        <f>_xlfn.IFNA(VLOOKUP(Table13[[#This Row],[MTP SKU Code]],'Audit Dimensions'!A:N,14,FALSE),"ARC")</f>
        <v>ARC</v>
      </c>
      <c r="AB247" s="161" t="str">
        <f>IFERROR(Table13[[#This Row],[B3.Aud]]-Table13[[#This Row],[PW(gm)9]],"ERR")</f>
        <v>ERR</v>
      </c>
      <c r="AC247" s="168" t="str">
        <f>IFERROR(Table13[[#This Row],[B3.Diff]]/Table13[[#This Row],[BaLL.Aud]],"ERR")</f>
        <v>ERR</v>
      </c>
      <c r="AD247" s="162" t="str">
        <f>_xlfn.IFNA(VLOOKUP(Table13[[#This Row],[MTP SKU Code]],'Audit Dimensions'!A:U,16,FALSE),"ARC")</f>
        <v>ARC</v>
      </c>
      <c r="AE247" s="165" t="str">
        <f>IFERROR(1-Table13[[#This Row],[Gms]]/Table13[[#This Row],[BaLL.Aud]],"ERR")</f>
        <v>ERR</v>
      </c>
    </row>
    <row r="248" spans="1:31" ht="15" customHeight="1">
      <c r="A248" s="68" t="s">
        <v>323</v>
      </c>
      <c r="B248" s="84" t="s">
        <v>296</v>
      </c>
      <c r="C248" s="85"/>
      <c r="D248" s="85"/>
      <c r="E248" s="85"/>
      <c r="F248" s="89"/>
      <c r="G248" s="85"/>
      <c r="H248" s="85"/>
      <c r="I248" s="85"/>
      <c r="J248" s="85"/>
      <c r="K248" s="85"/>
      <c r="L248" s="85"/>
      <c r="M248" s="85"/>
      <c r="N248" s="85"/>
      <c r="O248" s="118">
        <f>((IFERROR((C248*D248*E248),0)+IFERROR((G248*H248*I248),0)+IFERROR((K248*L248*M248),0))/1000000)*35.32</f>
        <v>0</v>
      </c>
      <c r="P248" s="125">
        <f>Table13[[#This Row],[Column15]]*$P$2*1000</f>
        <v>0</v>
      </c>
      <c r="Q248" s="87">
        <f>F248+J248+N248</f>
        <v>0</v>
      </c>
      <c r="R248" s="86">
        <f>MAX(Q248,O248)</f>
        <v>0</v>
      </c>
      <c r="S248" s="86">
        <f>MAX(R248,P248)</f>
        <v>0</v>
      </c>
      <c r="T248" s="156" t="str">
        <f>VLOOKUP(A248,'[1]MTP SKUs - Master Data'!$A:$B,2,FALSE)</f>
        <v>RL</v>
      </c>
      <c r="U248" s="162">
        <f>_xlfn.IFNA(VLOOKUP(Table13[[#This Row],[MTP SKU Code]],'Audit Dimensions'!A:N,6,FALSE),"ARC")</f>
        <v>0</v>
      </c>
      <c r="V248" s="162">
        <f>IFERROR(Table13[[#This Row],[B1.Aud]]-Table13[[#This Row],[PW(gm)]],"ERR")</f>
        <v>0</v>
      </c>
      <c r="W248" s="165" t="str">
        <f>IFERROR(Table13[[#This Row],[B1.Diff]]/Table13[[#This Row],[B1.Aud]],"ERR")</f>
        <v>ERR</v>
      </c>
      <c r="X248" s="162">
        <f>_xlfn.IFNA(VLOOKUP(Table13[[#This Row],[MTP SKU Code]],'Audit Dimensions'!A:N,10,FALSE),"ARC")</f>
        <v>0</v>
      </c>
      <c r="Y248" s="163">
        <f>IFERROR(Table13[[#This Row],[B2.Aud]]-Table13[[#This Row],[PW(gm)5]],"ERR")</f>
        <v>0</v>
      </c>
      <c r="Z248" s="165" t="str">
        <f>IFERROR(Table13[[#This Row],[B2.Diff]]/Table13[[#This Row],[B2.Aud]],"ERR")</f>
        <v>ERR</v>
      </c>
      <c r="AA248" s="162">
        <f>_xlfn.IFNA(VLOOKUP(Table13[[#This Row],[MTP SKU Code]],'Audit Dimensions'!A:N,14,FALSE),"ARC")</f>
        <v>0</v>
      </c>
      <c r="AB248" s="161">
        <f>IFERROR(Table13[[#This Row],[B3.Aud]]-Table13[[#This Row],[PW(gm)9]],"ERR")</f>
        <v>0</v>
      </c>
      <c r="AC248" s="168" t="str">
        <f>IFERROR(Table13[[#This Row],[B3.Diff]]/Table13[[#This Row],[BaLL.Aud]],"ERR")</f>
        <v>ERR</v>
      </c>
      <c r="AD248" s="189">
        <f>_xlfn.IFNA(VLOOKUP(Table13[[#This Row],[MTP SKU Code]],'Audit Dimensions'!A:U,16,FALSE),"ARC")</f>
        <v>0</v>
      </c>
      <c r="AE248" s="165" t="str">
        <f>IFERROR(1-Table13[[#This Row],[Gms]]/Table13[[#This Row],[BaLL.Aud]],"ERR")</f>
        <v>ERR</v>
      </c>
    </row>
    <row r="249" spans="1:31" ht="15" hidden="1" customHeight="1">
      <c r="A249" s="68" t="s">
        <v>294</v>
      </c>
      <c r="B249" s="84"/>
      <c r="C249" s="85">
        <v>64</v>
      </c>
      <c r="D249" s="85">
        <v>58</v>
      </c>
      <c r="E249" s="85">
        <v>12</v>
      </c>
      <c r="F249" s="89">
        <v>15000</v>
      </c>
      <c r="G249" s="85"/>
      <c r="H249" s="85"/>
      <c r="I249" s="85"/>
      <c r="J249" s="85"/>
      <c r="K249" s="85"/>
      <c r="L249" s="85"/>
      <c r="M249" s="85"/>
      <c r="N249" s="85"/>
      <c r="O249" s="118">
        <f>((IFERROR((C249*D249*E249),0)+IFERROR((G249*H249*I249),0)+IFERROR((K249*L249*M249),0))/1000000)*35.32</f>
        <v>1.5732940799999999</v>
      </c>
      <c r="P249" s="125">
        <f>Table13[[#This Row],[Column15]]*$P$2*1000</f>
        <v>9439.7644799999998</v>
      </c>
      <c r="Q249" s="87">
        <f>F249+J249+N249</f>
        <v>15000</v>
      </c>
      <c r="R249" s="86">
        <f>MAX(Q249,O249)</f>
        <v>15000</v>
      </c>
      <c r="S249" s="86">
        <f>MAX(R249,P249)</f>
        <v>15000</v>
      </c>
      <c r="T249" s="156" t="str">
        <f>VLOOKUP(A249,'[1]MTP SKUs - Master Data'!$A:$B,2,FALSE)</f>
        <v>DI</v>
      </c>
      <c r="U249" s="162" t="str">
        <f>_xlfn.IFNA(VLOOKUP(Table13[[#This Row],[MTP SKU Code]],'Audit Dimensions'!A:N,6,FALSE),"ARC")</f>
        <v>0</v>
      </c>
      <c r="V249" s="162">
        <f>IFERROR(Table13[[#This Row],[B1.Aud]]-Table13[[#This Row],[PW(gm)]],"ERR")</f>
        <v>-15000</v>
      </c>
      <c r="W249" s="165" t="str">
        <f>IFERROR(Table13[[#This Row],[B1.Diff]]/Table13[[#This Row],[B1.Aud]],"ERR")</f>
        <v>ERR</v>
      </c>
      <c r="X249" s="162" t="str">
        <f>_xlfn.IFNA(VLOOKUP(Table13[[#This Row],[MTP SKU Code]],'Audit Dimensions'!A:N,10,FALSE),"ARC")</f>
        <v>0</v>
      </c>
      <c r="Y249" s="163">
        <f>IFERROR(Table13[[#This Row],[B2.Aud]]-Table13[[#This Row],[PW(gm)5]],"ERR")</f>
        <v>0</v>
      </c>
      <c r="Z249" s="165" t="str">
        <f>IFERROR(Table13[[#This Row],[B2.Diff]]/Table13[[#This Row],[B2.Aud]],"ERR")</f>
        <v>ERR</v>
      </c>
      <c r="AA249" s="162" t="str">
        <f>_xlfn.IFNA(VLOOKUP(Table13[[#This Row],[MTP SKU Code]],'Audit Dimensions'!A:N,14,FALSE),"ARC")</f>
        <v>0</v>
      </c>
      <c r="AB249" s="161">
        <f>IFERROR(Table13[[#This Row],[B3.Aud]]-Table13[[#This Row],[PW(gm)9]],"ERR")</f>
        <v>0</v>
      </c>
      <c r="AC249" s="168" t="str">
        <f>IFERROR(Table13[[#This Row],[B3.Diff]]/Table13[[#This Row],[BaLL.Aud]],"ERR")</f>
        <v>ERR</v>
      </c>
      <c r="AD249" s="162">
        <f>_xlfn.IFNA(VLOOKUP(Table13[[#This Row],[MTP SKU Code]],'Audit Dimensions'!A:U,16,FALSE),"ARC")</f>
        <v>0</v>
      </c>
      <c r="AE249" s="165" t="str">
        <f>IFERROR(1-Table13[[#This Row],[Gms]]/Table13[[#This Row],[BaLL.Aud]],"ERR")</f>
        <v>ERR</v>
      </c>
    </row>
    <row r="250" spans="1:31" ht="15" hidden="1" customHeight="1">
      <c r="A250" s="68" t="s">
        <v>295</v>
      </c>
      <c r="B250" s="84" t="s">
        <v>296</v>
      </c>
      <c r="C250" s="85"/>
      <c r="D250" s="85"/>
      <c r="E250" s="85"/>
      <c r="F250" s="89"/>
      <c r="G250" s="85"/>
      <c r="H250" s="85"/>
      <c r="I250" s="85"/>
      <c r="J250" s="85"/>
      <c r="K250" s="85"/>
      <c r="L250" s="85"/>
      <c r="M250" s="85"/>
      <c r="N250" s="85"/>
      <c r="O250" s="118">
        <f>((IFERROR((C250*D250*E250),0)+IFERROR((G250*H250*I250),0)+IFERROR((K250*L250*M250),0))/1000000)*35.32</f>
        <v>0</v>
      </c>
      <c r="P250" s="125">
        <f>Table13[[#This Row],[Column15]]*$P$2*1000</f>
        <v>0</v>
      </c>
      <c r="Q250" s="87">
        <f>F250+J250+N250</f>
        <v>0</v>
      </c>
      <c r="R250" s="86">
        <f>MAX(Q250,O250)</f>
        <v>0</v>
      </c>
      <c r="S250" s="86">
        <f>MAX(R250,P250)</f>
        <v>0</v>
      </c>
      <c r="T250" s="156" t="str">
        <f>VLOOKUP(A250,'[1]MTP SKUs - Master Data'!$A:$B,2,FALSE)</f>
        <v>DI</v>
      </c>
      <c r="U250" s="162" t="str">
        <f>_xlfn.IFNA(VLOOKUP(Table13[[#This Row],[MTP SKU Code]],'Audit Dimensions'!A:N,6,FALSE),"ARC")</f>
        <v>ARC</v>
      </c>
      <c r="V250" s="162" t="str">
        <f>IFERROR(Table13[[#This Row],[B1.Aud]]-Table13[[#This Row],[PW(gm)]],"ERR")</f>
        <v>ERR</v>
      </c>
      <c r="W250" s="165" t="str">
        <f>IFERROR(Table13[[#This Row],[B1.Diff]]/Table13[[#This Row],[B1.Aud]],"ERR")</f>
        <v>ERR</v>
      </c>
      <c r="X250" s="162" t="str">
        <f>_xlfn.IFNA(VLOOKUP(Table13[[#This Row],[MTP SKU Code]],'Audit Dimensions'!A:N,10,FALSE),"ARC")</f>
        <v>ARC</v>
      </c>
      <c r="Y250" s="163" t="str">
        <f>IFERROR(Table13[[#This Row],[B2.Aud]]-Table13[[#This Row],[PW(gm)5]],"ERR")</f>
        <v>ERR</v>
      </c>
      <c r="Z250" s="165" t="str">
        <f>IFERROR(Table13[[#This Row],[B2.Diff]]/Table13[[#This Row],[B2.Aud]],"ERR")</f>
        <v>ERR</v>
      </c>
      <c r="AA250" s="162" t="str">
        <f>_xlfn.IFNA(VLOOKUP(Table13[[#This Row],[MTP SKU Code]],'Audit Dimensions'!A:N,14,FALSE),"ARC")</f>
        <v>ARC</v>
      </c>
      <c r="AB250" s="161" t="str">
        <f>IFERROR(Table13[[#This Row],[B3.Aud]]-Table13[[#This Row],[PW(gm)9]],"ERR")</f>
        <v>ERR</v>
      </c>
      <c r="AC250" s="168" t="str">
        <f>IFERROR(Table13[[#This Row],[B3.Diff]]/Table13[[#This Row],[BaLL.Aud]],"ERR")</f>
        <v>ERR</v>
      </c>
      <c r="AD250" s="162" t="str">
        <f>_xlfn.IFNA(VLOOKUP(Table13[[#This Row],[MTP SKU Code]],'Audit Dimensions'!A:U,16,FALSE),"ARC")</f>
        <v>ARC</v>
      </c>
      <c r="AE250" s="165" t="str">
        <f>IFERROR(1-Table13[[#This Row],[Gms]]/Table13[[#This Row],[BaLL.Aud]],"ERR")</f>
        <v>ERR</v>
      </c>
    </row>
    <row r="251" spans="1:31" ht="15" customHeight="1">
      <c r="A251" s="68" t="s">
        <v>325</v>
      </c>
      <c r="B251" s="84" t="s">
        <v>48</v>
      </c>
      <c r="C251" s="84">
        <v>1</v>
      </c>
      <c r="D251" s="85">
        <v>1</v>
      </c>
      <c r="E251" s="85">
        <v>1</v>
      </c>
      <c r="F251" s="89">
        <v>22000</v>
      </c>
      <c r="G251" s="85"/>
      <c r="H251" s="85"/>
      <c r="I251" s="85"/>
      <c r="J251" s="85"/>
      <c r="K251" s="85"/>
      <c r="L251" s="85"/>
      <c r="M251" s="85"/>
      <c r="N251" s="85"/>
      <c r="O251" s="118">
        <f>((IFERROR((C251*D251*E251),0)+IFERROR((G251*H251*I251),0)+IFERROR((K251*L251*M251),0))/1000000)*35.32</f>
        <v>3.5320000000000001E-5</v>
      </c>
      <c r="P251" s="125">
        <f>Table13[[#This Row],[Column15]]*$P$2*1000</f>
        <v>0.21192</v>
      </c>
      <c r="Q251" s="87">
        <f>F251+J251+N251</f>
        <v>22000</v>
      </c>
      <c r="R251" s="88">
        <f>MAX(Q251,O251)</f>
        <v>22000</v>
      </c>
      <c r="S251" s="86">
        <f>MAX(R251,P251)</f>
        <v>22000</v>
      </c>
      <c r="T251" s="156" t="str">
        <f>VLOOKUP(A251,'[1]MTP SKUs - Master Data'!$A:$B,2,FALSE)</f>
        <v>Y</v>
      </c>
      <c r="U251" s="162">
        <f>_xlfn.IFNA(VLOOKUP(Table13[[#This Row],[MTP SKU Code]],'Audit Dimensions'!A:N,6,FALSE),"ARC")</f>
        <v>11500</v>
      </c>
      <c r="V251" s="162">
        <f>IFERROR(Table13[[#This Row],[B1.Aud]]-Table13[[#This Row],[PW(gm)]],"ERR")</f>
        <v>-10500</v>
      </c>
      <c r="W251" s="165">
        <f>IFERROR(Table13[[#This Row],[B1.Diff]]/Table13[[#This Row],[B1.Aud]],"ERR")</f>
        <v>-0.91304347826086951</v>
      </c>
      <c r="X251" s="162">
        <f>_xlfn.IFNA(VLOOKUP(Table13[[#This Row],[MTP SKU Code]],'Audit Dimensions'!A:N,10,FALSE),"ARC")</f>
        <v>0</v>
      </c>
      <c r="Y251" s="163">
        <f>IFERROR(Table13[[#This Row],[B2.Aud]]-Table13[[#This Row],[PW(gm)5]],"ERR")</f>
        <v>0</v>
      </c>
      <c r="Z251" s="165" t="str">
        <f>IFERROR(Table13[[#This Row],[B2.Diff]]/Table13[[#This Row],[B2.Aud]],"ERR")</f>
        <v>ERR</v>
      </c>
      <c r="AA251" s="162">
        <f>_xlfn.IFNA(VLOOKUP(Table13[[#This Row],[MTP SKU Code]],'Audit Dimensions'!A:N,14,FALSE),"ARC")</f>
        <v>0</v>
      </c>
      <c r="AB251" s="161">
        <f>IFERROR(Table13[[#This Row],[B3.Aud]]-Table13[[#This Row],[PW(gm)9]],"ERR")</f>
        <v>0</v>
      </c>
      <c r="AC251" s="168">
        <f>IFERROR(Table13[[#This Row],[B3.Diff]]/Table13[[#This Row],[BaLL.Aud]],"ERR")</f>
        <v>0</v>
      </c>
      <c r="AD251" s="189">
        <f>_xlfn.IFNA(VLOOKUP(Table13[[#This Row],[MTP SKU Code]],'Audit Dimensions'!A:U,16,FALSE),"ARC")</f>
        <v>11500</v>
      </c>
      <c r="AE251" s="165">
        <f>IFERROR(1-Table13[[#This Row],[Gms]]/Table13[[#This Row],[BaLL.Aud]],"ERR")</f>
        <v>-0.91304347826086962</v>
      </c>
    </row>
    <row r="252" spans="1:31" ht="15" customHeight="1">
      <c r="A252" s="68" t="s">
        <v>362</v>
      </c>
      <c r="B252" s="84" t="s">
        <v>48</v>
      </c>
      <c r="C252" s="84">
        <v>1</v>
      </c>
      <c r="D252" s="85">
        <v>1</v>
      </c>
      <c r="E252" s="85">
        <v>1</v>
      </c>
      <c r="F252" s="89">
        <v>22000</v>
      </c>
      <c r="G252" s="85"/>
      <c r="H252" s="85"/>
      <c r="I252" s="85"/>
      <c r="J252" s="85"/>
      <c r="K252" s="85"/>
      <c r="L252" s="85"/>
      <c r="M252" s="85"/>
      <c r="N252" s="85"/>
      <c r="O252" s="118">
        <f>((IFERROR((C252*D252*E252),0)+IFERROR((G252*H252*I252),0)+IFERROR((K252*L252*M252),0))/1000000)*35.32</f>
        <v>3.5320000000000001E-5</v>
      </c>
      <c r="P252" s="125">
        <f>Table13[[#This Row],[Column15]]*$P$2*1000</f>
        <v>0.21192</v>
      </c>
      <c r="Q252" s="87">
        <f>F252+J252+N252</f>
        <v>22000</v>
      </c>
      <c r="R252" s="88">
        <f>MAX(Q252,O252)</f>
        <v>22000</v>
      </c>
      <c r="S252" s="86">
        <f>MAX(R252,P252)</f>
        <v>22000</v>
      </c>
      <c r="T252" s="156" t="str">
        <f>VLOOKUP(A252,'[1]MTP SKUs - Master Data'!$A:$B,2,FALSE)</f>
        <v>Y</v>
      </c>
      <c r="U252" s="162">
        <f>_xlfn.IFNA(VLOOKUP(Table13[[#This Row],[MTP SKU Code]],'Audit Dimensions'!A:N,6,FALSE),"ARC")</f>
        <v>0</v>
      </c>
      <c r="V252" s="162">
        <f>IFERROR(Table13[[#This Row],[B1.Aud]]-Table13[[#This Row],[PW(gm)]],"ERR")</f>
        <v>-22000</v>
      </c>
      <c r="W252" s="165" t="str">
        <f>IFERROR(Table13[[#This Row],[B1.Diff]]/Table13[[#This Row],[B1.Aud]],"ERR")</f>
        <v>ERR</v>
      </c>
      <c r="X252" s="162">
        <f>_xlfn.IFNA(VLOOKUP(Table13[[#This Row],[MTP SKU Code]],'Audit Dimensions'!A:N,10,FALSE),"ARC")</f>
        <v>0</v>
      </c>
      <c r="Y252" s="163">
        <f>IFERROR(Table13[[#This Row],[B2.Aud]]-Table13[[#This Row],[PW(gm)5]],"ERR")</f>
        <v>0</v>
      </c>
      <c r="Z252" s="165" t="str">
        <f>IFERROR(Table13[[#This Row],[B2.Diff]]/Table13[[#This Row],[B2.Aud]],"ERR")</f>
        <v>ERR</v>
      </c>
      <c r="AA252" s="162">
        <f>_xlfn.IFNA(VLOOKUP(Table13[[#This Row],[MTP SKU Code]],'Audit Dimensions'!A:N,14,FALSE),"ARC")</f>
        <v>0</v>
      </c>
      <c r="AB252" s="161">
        <f>IFERROR(Table13[[#This Row],[B3.Aud]]-Table13[[#This Row],[PW(gm)9]],"ERR")</f>
        <v>0</v>
      </c>
      <c r="AC252" s="168" t="str">
        <f>IFERROR(Table13[[#This Row],[B3.Diff]]/Table13[[#This Row],[BaLL.Aud]],"ERR")</f>
        <v>ERR</v>
      </c>
      <c r="AD252" s="189">
        <f>_xlfn.IFNA(VLOOKUP(Table13[[#This Row],[MTP SKU Code]],'Audit Dimensions'!A:U,16,FALSE),"ARC")</f>
        <v>0</v>
      </c>
      <c r="AE252" s="165" t="str">
        <f>IFERROR(1-Table13[[#This Row],[Gms]]/Table13[[#This Row],[BaLL.Aud]],"ERR")</f>
        <v>ERR</v>
      </c>
    </row>
    <row r="253" spans="1:31" ht="15" hidden="1" customHeight="1">
      <c r="A253" s="68" t="s">
        <v>299</v>
      </c>
      <c r="B253" s="84" t="s">
        <v>296</v>
      </c>
      <c r="C253" s="85"/>
      <c r="D253" s="85"/>
      <c r="E253" s="85"/>
      <c r="F253" s="89"/>
      <c r="G253" s="85"/>
      <c r="H253" s="85"/>
      <c r="I253" s="85"/>
      <c r="J253" s="85"/>
      <c r="K253" s="85"/>
      <c r="L253" s="85"/>
      <c r="M253" s="85"/>
      <c r="N253" s="85"/>
      <c r="O253" s="118">
        <f>((IFERROR((C253*D253*E253),0)+IFERROR((G253*H253*I253),0)+IFERROR((K253*L253*M253),0))/1000000)*35.32</f>
        <v>0</v>
      </c>
      <c r="P253" s="125">
        <f>Table13[[#This Row],[Column15]]*$P$2*1000</f>
        <v>0</v>
      </c>
      <c r="Q253" s="87">
        <f>F253+J253+N253</f>
        <v>0</v>
      </c>
      <c r="R253" s="86">
        <f>MAX(Q253,O253)</f>
        <v>0</v>
      </c>
      <c r="S253" s="86">
        <f>MAX(R253,P253)</f>
        <v>0</v>
      </c>
      <c r="T253" s="156" t="str">
        <f>VLOOKUP(A253,'[1]MTP SKUs - Master Data'!$A:$B,2,FALSE)</f>
        <v>DI</v>
      </c>
      <c r="U253" s="162" t="str">
        <f>_xlfn.IFNA(VLOOKUP(Table13[[#This Row],[MTP SKU Code]],'Audit Dimensions'!A:N,6,FALSE),"ARC")</f>
        <v>ARC</v>
      </c>
      <c r="V253" s="162" t="str">
        <f>IFERROR(Table13[[#This Row],[B1.Aud]]-Table13[[#This Row],[PW(gm)]],"ERR")</f>
        <v>ERR</v>
      </c>
      <c r="W253" s="165" t="str">
        <f>IFERROR(Table13[[#This Row],[B1.Diff]]/Table13[[#This Row],[B1.Aud]],"ERR")</f>
        <v>ERR</v>
      </c>
      <c r="X253" s="162" t="str">
        <f>_xlfn.IFNA(VLOOKUP(Table13[[#This Row],[MTP SKU Code]],'Audit Dimensions'!A:N,10,FALSE),"ARC")</f>
        <v>ARC</v>
      </c>
      <c r="Y253" s="163" t="str">
        <f>IFERROR(Table13[[#This Row],[B2.Aud]]-Table13[[#This Row],[PW(gm)5]],"ERR")</f>
        <v>ERR</v>
      </c>
      <c r="Z253" s="165" t="str">
        <f>IFERROR(Table13[[#This Row],[B2.Diff]]/Table13[[#This Row],[B2.Aud]],"ERR")</f>
        <v>ERR</v>
      </c>
      <c r="AA253" s="162" t="str">
        <f>_xlfn.IFNA(VLOOKUP(Table13[[#This Row],[MTP SKU Code]],'Audit Dimensions'!A:N,14,FALSE),"ARC")</f>
        <v>ARC</v>
      </c>
      <c r="AB253" s="161" t="str">
        <f>IFERROR(Table13[[#This Row],[B3.Aud]]-Table13[[#This Row],[PW(gm)9]],"ERR")</f>
        <v>ERR</v>
      </c>
      <c r="AC253" s="168" t="str">
        <f>IFERROR(Table13[[#This Row],[B3.Diff]]/Table13[[#This Row],[BaLL.Aud]],"ERR")</f>
        <v>ERR</v>
      </c>
      <c r="AD253" s="162" t="str">
        <f>_xlfn.IFNA(VLOOKUP(Table13[[#This Row],[MTP SKU Code]],'Audit Dimensions'!A:U,16,FALSE),"ARC")</f>
        <v>ARC</v>
      </c>
      <c r="AE253" s="165" t="str">
        <f>IFERROR(1-Table13[[#This Row],[Gms]]/Table13[[#This Row],[BaLL.Aud]],"ERR")</f>
        <v>ERR</v>
      </c>
    </row>
    <row r="254" spans="1:31" ht="15" hidden="1" customHeight="1">
      <c r="A254" s="68" t="s">
        <v>300</v>
      </c>
      <c r="B254" s="84" t="s">
        <v>48</v>
      </c>
      <c r="C254" s="85">
        <v>99</v>
      </c>
      <c r="D254" s="85">
        <v>50</v>
      </c>
      <c r="E254" s="85">
        <v>4</v>
      </c>
      <c r="F254" s="89">
        <v>6120</v>
      </c>
      <c r="G254" s="85"/>
      <c r="H254" s="85"/>
      <c r="I254" s="85"/>
      <c r="J254" s="85"/>
      <c r="K254" s="85"/>
      <c r="L254" s="85"/>
      <c r="M254" s="85"/>
      <c r="N254" s="85"/>
      <c r="O254" s="118">
        <f>((IFERROR((C254*D254*E254),0)+IFERROR((G254*H254*I254),0)+IFERROR((K254*L254*M254),0))/1000000)*35.32</f>
        <v>0.69933600000000007</v>
      </c>
      <c r="P254" s="125">
        <f>Table13[[#This Row],[Column15]]*$P$2*1000</f>
        <v>4196.0160000000005</v>
      </c>
      <c r="Q254" s="87">
        <f>F254+J254+N254</f>
        <v>6120</v>
      </c>
      <c r="R254" s="86">
        <f>MAX(Q254,O254)</f>
        <v>6120</v>
      </c>
      <c r="S254" s="86">
        <f>MAX(R254,P254)</f>
        <v>6120</v>
      </c>
      <c r="T254" s="156" t="str">
        <f>VLOOKUP(A254,'[1]MTP SKUs - Master Data'!$A:$B,2,FALSE)</f>
        <v>DI</v>
      </c>
      <c r="U254" s="162" t="str">
        <f>_xlfn.IFNA(VLOOKUP(Table13[[#This Row],[MTP SKU Code]],'Audit Dimensions'!A:N,6,FALSE),"ARC")</f>
        <v>0</v>
      </c>
      <c r="V254" s="162">
        <f>IFERROR(Table13[[#This Row],[B1.Aud]]-Table13[[#This Row],[PW(gm)]],"ERR")</f>
        <v>-6120</v>
      </c>
      <c r="W254" s="165" t="str">
        <f>IFERROR(Table13[[#This Row],[B1.Diff]]/Table13[[#This Row],[B1.Aud]],"ERR")</f>
        <v>ERR</v>
      </c>
      <c r="X254" s="162" t="str">
        <f>_xlfn.IFNA(VLOOKUP(Table13[[#This Row],[MTP SKU Code]],'Audit Dimensions'!A:N,10,FALSE),"ARC")</f>
        <v>0</v>
      </c>
      <c r="Y254" s="163">
        <f>IFERROR(Table13[[#This Row],[B2.Aud]]-Table13[[#This Row],[PW(gm)5]],"ERR")</f>
        <v>0</v>
      </c>
      <c r="Z254" s="165" t="str">
        <f>IFERROR(Table13[[#This Row],[B2.Diff]]/Table13[[#This Row],[B2.Aud]],"ERR")</f>
        <v>ERR</v>
      </c>
      <c r="AA254" s="162" t="str">
        <f>_xlfn.IFNA(VLOOKUP(Table13[[#This Row],[MTP SKU Code]],'Audit Dimensions'!A:N,14,FALSE),"ARC")</f>
        <v>0</v>
      </c>
      <c r="AB254" s="161">
        <f>IFERROR(Table13[[#This Row],[B3.Aud]]-Table13[[#This Row],[PW(gm)9]],"ERR")</f>
        <v>0</v>
      </c>
      <c r="AC254" s="168" t="str">
        <f>IFERROR(Table13[[#This Row],[B3.Diff]]/Table13[[#This Row],[BaLL.Aud]],"ERR")</f>
        <v>ERR</v>
      </c>
      <c r="AD254" s="162">
        <f>_xlfn.IFNA(VLOOKUP(Table13[[#This Row],[MTP SKU Code]],'Audit Dimensions'!A:U,16,FALSE),"ARC")</f>
        <v>0</v>
      </c>
      <c r="AE254" s="165" t="str">
        <f>IFERROR(1-Table13[[#This Row],[Gms]]/Table13[[#This Row],[BaLL.Aud]],"ERR")</f>
        <v>ERR</v>
      </c>
    </row>
    <row r="255" spans="1:31" ht="15" hidden="1" customHeight="1">
      <c r="A255" s="68" t="s">
        <v>301</v>
      </c>
      <c r="B255" s="84" t="s">
        <v>48</v>
      </c>
      <c r="C255" s="85">
        <v>81</v>
      </c>
      <c r="D255" s="85">
        <v>80</v>
      </c>
      <c r="E255" s="85">
        <v>7</v>
      </c>
      <c r="F255" s="89">
        <v>16900</v>
      </c>
      <c r="G255" s="85"/>
      <c r="H255" s="85"/>
      <c r="I255" s="85"/>
      <c r="J255" s="85"/>
      <c r="K255" s="85"/>
      <c r="L255" s="85"/>
      <c r="M255" s="85"/>
      <c r="N255" s="85"/>
      <c r="O255" s="118">
        <f>((IFERROR((C255*D255*E255),0)+IFERROR((G255*H255*I255),0)+IFERROR((K255*L255*M255),0))/1000000)*35.32</f>
        <v>1.6021151999999999</v>
      </c>
      <c r="P255" s="125">
        <f>Table13[[#This Row],[Column15]]*$P$2*1000</f>
        <v>9612.6911999999993</v>
      </c>
      <c r="Q255" s="87">
        <f>F255+J255+N255</f>
        <v>16900</v>
      </c>
      <c r="R255" s="86">
        <f>MAX(Q255,O255)</f>
        <v>16900</v>
      </c>
      <c r="S255" s="86">
        <f>MAX(R255,P255)</f>
        <v>16900</v>
      </c>
      <c r="T255" s="156" t="str">
        <f>VLOOKUP(A255,'[1]MTP SKUs - Master Data'!$A:$B,2,FALSE)</f>
        <v>DI</v>
      </c>
      <c r="U255" s="162" t="str">
        <f>_xlfn.IFNA(VLOOKUP(Table13[[#This Row],[MTP SKU Code]],'Audit Dimensions'!A:N,6,FALSE),"ARC")</f>
        <v>ARC</v>
      </c>
      <c r="V255" s="162" t="str">
        <f>IFERROR(Table13[[#This Row],[B1.Aud]]-Table13[[#This Row],[PW(gm)]],"ERR")</f>
        <v>ERR</v>
      </c>
      <c r="W255" s="165" t="str">
        <f>IFERROR(Table13[[#This Row],[B1.Diff]]/Table13[[#This Row],[B1.Aud]],"ERR")</f>
        <v>ERR</v>
      </c>
      <c r="X255" s="162" t="str">
        <f>_xlfn.IFNA(VLOOKUP(Table13[[#This Row],[MTP SKU Code]],'Audit Dimensions'!A:N,10,FALSE),"ARC")</f>
        <v>ARC</v>
      </c>
      <c r="Y255" s="163" t="str">
        <f>IFERROR(Table13[[#This Row],[B2.Aud]]-Table13[[#This Row],[PW(gm)5]],"ERR")</f>
        <v>ERR</v>
      </c>
      <c r="Z255" s="165" t="str">
        <f>IFERROR(Table13[[#This Row],[B2.Diff]]/Table13[[#This Row],[B2.Aud]],"ERR")</f>
        <v>ERR</v>
      </c>
      <c r="AA255" s="162" t="str">
        <f>_xlfn.IFNA(VLOOKUP(Table13[[#This Row],[MTP SKU Code]],'Audit Dimensions'!A:N,14,FALSE),"ARC")</f>
        <v>ARC</v>
      </c>
      <c r="AB255" s="161" t="str">
        <f>IFERROR(Table13[[#This Row],[B3.Aud]]-Table13[[#This Row],[PW(gm)9]],"ERR")</f>
        <v>ERR</v>
      </c>
      <c r="AC255" s="168" t="str">
        <f>IFERROR(Table13[[#This Row],[B3.Diff]]/Table13[[#This Row],[BaLL.Aud]],"ERR")</f>
        <v>ERR</v>
      </c>
      <c r="AD255" s="162" t="str">
        <f>_xlfn.IFNA(VLOOKUP(Table13[[#This Row],[MTP SKU Code]],'Audit Dimensions'!A:U,16,FALSE),"ARC")</f>
        <v>ARC</v>
      </c>
      <c r="AE255" s="165" t="str">
        <f>IFERROR(1-Table13[[#This Row],[Gms]]/Table13[[#This Row],[BaLL.Aud]],"ERR")</f>
        <v>ERR</v>
      </c>
    </row>
    <row r="256" spans="1:31" ht="15" hidden="1" customHeight="1">
      <c r="A256" s="68" t="s">
        <v>302</v>
      </c>
      <c r="B256" s="84" t="s">
        <v>48</v>
      </c>
      <c r="C256" s="85">
        <v>104</v>
      </c>
      <c r="D256" s="85">
        <v>60</v>
      </c>
      <c r="E256" s="85">
        <v>7</v>
      </c>
      <c r="F256" s="89">
        <v>17700</v>
      </c>
      <c r="G256" s="85"/>
      <c r="H256" s="85"/>
      <c r="I256" s="85"/>
      <c r="J256" s="85"/>
      <c r="K256" s="85"/>
      <c r="L256" s="85"/>
      <c r="M256" s="85"/>
      <c r="N256" s="85"/>
      <c r="O256" s="118">
        <f>((IFERROR((C256*D256*E256),0)+IFERROR((G256*H256*I256),0)+IFERROR((K256*L256*M256),0))/1000000)*35.32</f>
        <v>1.5427776</v>
      </c>
      <c r="P256" s="125">
        <f>Table13[[#This Row],[Column15]]*$P$2*1000</f>
        <v>9256.6656000000003</v>
      </c>
      <c r="Q256" s="87">
        <f>F256+J256+N256</f>
        <v>17700</v>
      </c>
      <c r="R256" s="86">
        <f>MAX(Q256,O256)</f>
        <v>17700</v>
      </c>
      <c r="S256" s="86">
        <f>MAX(R256,P256)</f>
        <v>17700</v>
      </c>
      <c r="T256" s="156" t="str">
        <f>VLOOKUP(A256,'[1]MTP SKUs - Master Data'!$A:$B,2,FALSE)</f>
        <v>DI</v>
      </c>
      <c r="U256" s="162" t="str">
        <f>_xlfn.IFNA(VLOOKUP(Table13[[#This Row],[MTP SKU Code]],'Audit Dimensions'!A:N,6,FALSE),"ARC")</f>
        <v>ARC</v>
      </c>
      <c r="V256" s="162" t="str">
        <f>IFERROR(Table13[[#This Row],[B1.Aud]]-Table13[[#This Row],[PW(gm)]],"ERR")</f>
        <v>ERR</v>
      </c>
      <c r="W256" s="165" t="str">
        <f>IFERROR(Table13[[#This Row],[B1.Diff]]/Table13[[#This Row],[B1.Aud]],"ERR")</f>
        <v>ERR</v>
      </c>
      <c r="X256" s="162" t="str">
        <f>_xlfn.IFNA(VLOOKUP(Table13[[#This Row],[MTP SKU Code]],'Audit Dimensions'!A:N,10,FALSE),"ARC")</f>
        <v>ARC</v>
      </c>
      <c r="Y256" s="163" t="str">
        <f>IFERROR(Table13[[#This Row],[B2.Aud]]-Table13[[#This Row],[PW(gm)5]],"ERR")</f>
        <v>ERR</v>
      </c>
      <c r="Z256" s="165" t="str">
        <f>IFERROR(Table13[[#This Row],[B2.Diff]]/Table13[[#This Row],[B2.Aud]],"ERR")</f>
        <v>ERR</v>
      </c>
      <c r="AA256" s="162" t="str">
        <f>_xlfn.IFNA(VLOOKUP(Table13[[#This Row],[MTP SKU Code]],'Audit Dimensions'!A:N,14,FALSE),"ARC")</f>
        <v>ARC</v>
      </c>
      <c r="AB256" s="161" t="str">
        <f>IFERROR(Table13[[#This Row],[B3.Aud]]-Table13[[#This Row],[PW(gm)9]],"ERR")</f>
        <v>ERR</v>
      </c>
      <c r="AC256" s="168" t="str">
        <f>IFERROR(Table13[[#This Row],[B3.Diff]]/Table13[[#This Row],[BaLL.Aud]],"ERR")</f>
        <v>ERR</v>
      </c>
      <c r="AD256" s="162" t="str">
        <f>_xlfn.IFNA(VLOOKUP(Table13[[#This Row],[MTP SKU Code]],'Audit Dimensions'!A:U,16,FALSE),"ARC")</f>
        <v>ARC</v>
      </c>
      <c r="AE256" s="165" t="str">
        <f>IFERROR(1-Table13[[#This Row],[Gms]]/Table13[[#This Row],[BaLL.Aud]],"ERR")</f>
        <v>ERR</v>
      </c>
    </row>
    <row r="257" spans="1:35" ht="15" hidden="1" customHeight="1">
      <c r="A257" s="68" t="s">
        <v>303</v>
      </c>
      <c r="B257" s="84" t="s">
        <v>48</v>
      </c>
      <c r="C257" s="85">
        <v>85</v>
      </c>
      <c r="D257" s="85">
        <v>84</v>
      </c>
      <c r="E257" s="85">
        <v>6</v>
      </c>
      <c r="F257" s="89">
        <v>17400</v>
      </c>
      <c r="G257" s="85"/>
      <c r="H257" s="85"/>
      <c r="I257" s="85"/>
      <c r="J257" s="85"/>
      <c r="K257" s="85"/>
      <c r="L257" s="85"/>
      <c r="M257" s="85"/>
      <c r="N257" s="85"/>
      <c r="O257" s="118">
        <f>((IFERROR((C257*D257*E257),0)+IFERROR((G257*H257*I257),0)+IFERROR((K257*L257*M257),0))/1000000)*35.32</f>
        <v>1.5131088000000001</v>
      </c>
      <c r="P257" s="125">
        <f>Table13[[#This Row],[Column15]]*$P$2*1000</f>
        <v>9078.6527999999998</v>
      </c>
      <c r="Q257" s="87">
        <f>F257+J257+N257</f>
        <v>17400</v>
      </c>
      <c r="R257" s="86">
        <f>MAX(Q257,O257)</f>
        <v>17400</v>
      </c>
      <c r="S257" s="86">
        <f>MAX(R257,P257)</f>
        <v>17400</v>
      </c>
      <c r="T257" s="156" t="str">
        <f>VLOOKUP(A257,'[1]MTP SKUs - Master Data'!$A:$B,2,FALSE)</f>
        <v>DI</v>
      </c>
      <c r="U257" s="162" t="str">
        <f>_xlfn.IFNA(VLOOKUP(Table13[[#This Row],[MTP SKU Code]],'Audit Dimensions'!A:N,6,FALSE),"ARC")</f>
        <v>ARC</v>
      </c>
      <c r="V257" s="162" t="str">
        <f>IFERROR(Table13[[#This Row],[B1.Aud]]-Table13[[#This Row],[PW(gm)]],"ERR")</f>
        <v>ERR</v>
      </c>
      <c r="W257" s="165" t="str">
        <f>IFERROR(Table13[[#This Row],[B1.Diff]]/Table13[[#This Row],[B1.Aud]],"ERR")</f>
        <v>ERR</v>
      </c>
      <c r="X257" s="162" t="str">
        <f>_xlfn.IFNA(VLOOKUP(Table13[[#This Row],[MTP SKU Code]],'Audit Dimensions'!A:N,10,FALSE),"ARC")</f>
        <v>ARC</v>
      </c>
      <c r="Y257" s="163" t="str">
        <f>IFERROR(Table13[[#This Row],[B2.Aud]]-Table13[[#This Row],[PW(gm)5]],"ERR")</f>
        <v>ERR</v>
      </c>
      <c r="Z257" s="165" t="str">
        <f>IFERROR(Table13[[#This Row],[B2.Diff]]/Table13[[#This Row],[B2.Aud]],"ERR")</f>
        <v>ERR</v>
      </c>
      <c r="AA257" s="162" t="str">
        <f>_xlfn.IFNA(VLOOKUP(Table13[[#This Row],[MTP SKU Code]],'Audit Dimensions'!A:N,14,FALSE),"ARC")</f>
        <v>ARC</v>
      </c>
      <c r="AB257" s="161" t="str">
        <f>IFERROR(Table13[[#This Row],[B3.Aud]]-Table13[[#This Row],[PW(gm)9]],"ERR")</f>
        <v>ERR</v>
      </c>
      <c r="AC257" s="168" t="str">
        <f>IFERROR(Table13[[#This Row],[B3.Diff]]/Table13[[#This Row],[BaLL.Aud]],"ERR")</f>
        <v>ERR</v>
      </c>
      <c r="AD257" s="162" t="str">
        <f>_xlfn.IFNA(VLOOKUP(Table13[[#This Row],[MTP SKU Code]],'Audit Dimensions'!A:U,16,FALSE),"ARC")</f>
        <v>ARC</v>
      </c>
      <c r="AE257" s="165" t="str">
        <f>IFERROR(1-Table13[[#This Row],[Gms]]/Table13[[#This Row],[BaLL.Aud]],"ERR")</f>
        <v>ERR</v>
      </c>
    </row>
    <row r="258" spans="1:35" hidden="1">
      <c r="A258" s="68" t="s">
        <v>304</v>
      </c>
      <c r="B258" s="84" t="s">
        <v>48</v>
      </c>
      <c r="C258" s="85">
        <v>76</v>
      </c>
      <c r="D258" s="85">
        <v>76</v>
      </c>
      <c r="E258" s="85">
        <v>5</v>
      </c>
      <c r="F258" s="89">
        <v>12460</v>
      </c>
      <c r="G258" s="85"/>
      <c r="H258" s="85"/>
      <c r="I258" s="85"/>
      <c r="J258" s="85"/>
      <c r="K258" s="85"/>
      <c r="L258" s="85"/>
      <c r="M258" s="85"/>
      <c r="N258" s="85"/>
      <c r="O258" s="118">
        <f>((IFERROR((C258*D258*E258),0)+IFERROR((G258*H258*I258),0)+IFERROR((K258*L258*M258),0))/1000000)*35.32</f>
        <v>1.0200415999999999</v>
      </c>
      <c r="P258" s="125">
        <f>Table13[[#This Row],[Column15]]*$P$2*1000</f>
        <v>6120.2495999999992</v>
      </c>
      <c r="Q258" s="87">
        <f>F258+J258+N258</f>
        <v>12460</v>
      </c>
      <c r="R258" s="86">
        <f>MAX(Q258,O258)</f>
        <v>12460</v>
      </c>
      <c r="S258" s="86">
        <f>MAX(R258,P258)</f>
        <v>12460</v>
      </c>
      <c r="T258" s="156" t="str">
        <f>VLOOKUP(A258,'[1]MTP SKUs - Master Data'!$A:$B,2,FALSE)</f>
        <v>DI</v>
      </c>
      <c r="U258" s="162" t="str">
        <f>_xlfn.IFNA(VLOOKUP(Table13[[#This Row],[MTP SKU Code]],'Audit Dimensions'!A:N,6,FALSE),"ARC")</f>
        <v>ARC</v>
      </c>
      <c r="V258" s="162" t="str">
        <f>IFERROR(Table13[[#This Row],[B1.Aud]]-Table13[[#This Row],[PW(gm)]],"ERR")</f>
        <v>ERR</v>
      </c>
      <c r="W258" s="165" t="str">
        <f>IFERROR(Table13[[#This Row],[B1.Diff]]/Table13[[#This Row],[B1.Aud]],"ERR")</f>
        <v>ERR</v>
      </c>
      <c r="X258" s="162" t="str">
        <f>_xlfn.IFNA(VLOOKUP(Table13[[#This Row],[MTP SKU Code]],'Audit Dimensions'!A:N,10,FALSE),"ARC")</f>
        <v>ARC</v>
      </c>
      <c r="Y258" s="163" t="str">
        <f>IFERROR(Table13[[#This Row],[B2.Aud]]-Table13[[#This Row],[PW(gm)5]],"ERR")</f>
        <v>ERR</v>
      </c>
      <c r="Z258" s="165" t="str">
        <f>IFERROR(Table13[[#This Row],[B2.Diff]]/Table13[[#This Row],[B2.Aud]],"ERR")</f>
        <v>ERR</v>
      </c>
      <c r="AA258" s="162" t="str">
        <f>_xlfn.IFNA(VLOOKUP(Table13[[#This Row],[MTP SKU Code]],'Audit Dimensions'!A:N,14,FALSE),"ARC")</f>
        <v>ARC</v>
      </c>
      <c r="AB258" s="161" t="str">
        <f>IFERROR(Table13[[#This Row],[B3.Aud]]-Table13[[#This Row],[PW(gm)9]],"ERR")</f>
        <v>ERR</v>
      </c>
      <c r="AC258" s="168" t="str">
        <f>IFERROR(Table13[[#This Row],[B3.Diff]]/Table13[[#This Row],[BaLL.Aud]],"ERR")</f>
        <v>ERR</v>
      </c>
      <c r="AD258" s="162" t="str">
        <f>_xlfn.IFNA(VLOOKUP(Table13[[#This Row],[MTP SKU Code]],'Audit Dimensions'!A:U,16,FALSE),"ARC")</f>
        <v>ARC</v>
      </c>
      <c r="AE258" s="165" t="str">
        <f>IFERROR(1-Table13[[#This Row],[Gms]]/Table13[[#This Row],[BaLL.Aud]],"ERR")</f>
        <v>ERR</v>
      </c>
    </row>
    <row r="259" spans="1:35" s="50" customFormat="1" hidden="1">
      <c r="A259" s="68" t="s">
        <v>305</v>
      </c>
      <c r="B259" s="84" t="s">
        <v>48</v>
      </c>
      <c r="C259" s="85">
        <v>105</v>
      </c>
      <c r="D259" s="85">
        <v>65</v>
      </c>
      <c r="E259" s="85">
        <v>4</v>
      </c>
      <c r="F259" s="89">
        <v>9640</v>
      </c>
      <c r="G259" s="85"/>
      <c r="H259" s="85"/>
      <c r="I259" s="85"/>
      <c r="J259" s="85"/>
      <c r="K259" s="85"/>
      <c r="L259" s="85"/>
      <c r="M259" s="85"/>
      <c r="N259" s="85"/>
      <c r="O259" s="118">
        <f>((IFERROR((C259*D259*E259),0)+IFERROR((G259*H259*I259),0)+IFERROR((K259*L259*M259),0))/1000000)*35.32</f>
        <v>0.96423600000000009</v>
      </c>
      <c r="P259" s="125">
        <f>Table13[[#This Row],[Column15]]*$P$2*1000</f>
        <v>5785.4160000000002</v>
      </c>
      <c r="Q259" s="87">
        <f>F259+J259+N259</f>
        <v>9640</v>
      </c>
      <c r="R259" s="86">
        <f>MAX(Q259,O259)</f>
        <v>9640</v>
      </c>
      <c r="S259" s="86">
        <f>MAX(R259,P259)</f>
        <v>9640</v>
      </c>
      <c r="T259" s="156" t="str">
        <f>VLOOKUP(A259,'[1]MTP SKUs - Master Data'!$A:$B,2,FALSE)</f>
        <v>DI</v>
      </c>
      <c r="U259" s="162" t="str">
        <f>_xlfn.IFNA(VLOOKUP(Table13[[#This Row],[MTP SKU Code]],'Audit Dimensions'!A:N,6,FALSE),"ARC")</f>
        <v>ARC</v>
      </c>
      <c r="V259" s="162" t="str">
        <f>IFERROR(Table13[[#This Row],[B1.Aud]]-Table13[[#This Row],[PW(gm)]],"ERR")</f>
        <v>ERR</v>
      </c>
      <c r="W259" s="165" t="str">
        <f>IFERROR(Table13[[#This Row],[B1.Diff]]/Table13[[#This Row],[B1.Aud]],"ERR")</f>
        <v>ERR</v>
      </c>
      <c r="X259" s="162" t="str">
        <f>_xlfn.IFNA(VLOOKUP(Table13[[#This Row],[MTP SKU Code]],'Audit Dimensions'!A:N,10,FALSE),"ARC")</f>
        <v>ARC</v>
      </c>
      <c r="Y259" s="163" t="str">
        <f>IFERROR(Table13[[#This Row],[B2.Aud]]-Table13[[#This Row],[PW(gm)5]],"ERR")</f>
        <v>ERR</v>
      </c>
      <c r="Z259" s="165" t="str">
        <f>IFERROR(Table13[[#This Row],[B2.Diff]]/Table13[[#This Row],[B2.Aud]],"ERR")</f>
        <v>ERR</v>
      </c>
      <c r="AA259" s="162" t="str">
        <f>_xlfn.IFNA(VLOOKUP(Table13[[#This Row],[MTP SKU Code]],'Audit Dimensions'!A:N,14,FALSE),"ARC")</f>
        <v>ARC</v>
      </c>
      <c r="AB259" s="161" t="str">
        <f>IFERROR(Table13[[#This Row],[B3.Aud]]-Table13[[#This Row],[PW(gm)9]],"ERR")</f>
        <v>ERR</v>
      </c>
      <c r="AC259" s="168" t="str">
        <f>IFERROR(Table13[[#This Row],[B3.Diff]]/Table13[[#This Row],[BaLL.Aud]],"ERR")</f>
        <v>ERR</v>
      </c>
      <c r="AD259" s="162" t="str">
        <f>_xlfn.IFNA(VLOOKUP(Table13[[#This Row],[MTP SKU Code]],'Audit Dimensions'!A:U,16,FALSE),"ARC")</f>
        <v>ARC</v>
      </c>
      <c r="AE259" s="165" t="str">
        <f>IFERROR(1-Table13[[#This Row],[Gms]]/Table13[[#This Row],[BaLL.Aud]],"ERR")</f>
        <v>ERR</v>
      </c>
      <c r="AF259" s="5"/>
      <c r="AG259" s="5"/>
      <c r="AH259" s="5"/>
      <c r="AI259" s="5"/>
    </row>
    <row r="260" spans="1:35" s="50" customFormat="1" hidden="1">
      <c r="A260" s="68" t="s">
        <v>306</v>
      </c>
      <c r="B260" s="84" t="s">
        <v>48</v>
      </c>
      <c r="C260" s="85">
        <v>110</v>
      </c>
      <c r="D260" s="85">
        <v>50</v>
      </c>
      <c r="E260" s="85">
        <v>5</v>
      </c>
      <c r="F260" s="89">
        <v>12750</v>
      </c>
      <c r="G260" s="85"/>
      <c r="H260" s="85"/>
      <c r="I260" s="85"/>
      <c r="J260" s="85"/>
      <c r="K260" s="85"/>
      <c r="L260" s="85"/>
      <c r="M260" s="85"/>
      <c r="N260" s="85"/>
      <c r="O260" s="118">
        <f>((IFERROR((C260*D260*E260),0)+IFERROR((G260*H260*I260),0)+IFERROR((K260*L260*M260),0))/1000000)*35.32</f>
        <v>0.97130000000000005</v>
      </c>
      <c r="P260" s="125">
        <f>Table13[[#This Row],[Column15]]*$P$2*1000</f>
        <v>5827.8</v>
      </c>
      <c r="Q260" s="87">
        <f>F260+J260+N260</f>
        <v>12750</v>
      </c>
      <c r="R260" s="86">
        <f>MAX(Q260,O260)</f>
        <v>12750</v>
      </c>
      <c r="S260" s="86">
        <f>MAX(R260,P260)</f>
        <v>12750</v>
      </c>
      <c r="T260" s="156" t="str">
        <f>VLOOKUP(A260,'[1]MTP SKUs - Master Data'!$A:$B,2,FALSE)</f>
        <v>DI</v>
      </c>
      <c r="U260" s="162" t="str">
        <f>_xlfn.IFNA(VLOOKUP(Table13[[#This Row],[MTP SKU Code]],'Audit Dimensions'!A:N,6,FALSE),"ARC")</f>
        <v>ARC</v>
      </c>
      <c r="V260" s="162" t="str">
        <f>IFERROR(Table13[[#This Row],[B1.Aud]]-Table13[[#This Row],[PW(gm)]],"ERR")</f>
        <v>ERR</v>
      </c>
      <c r="W260" s="165" t="str">
        <f>IFERROR(Table13[[#This Row],[B1.Diff]]/Table13[[#This Row],[B1.Aud]],"ERR")</f>
        <v>ERR</v>
      </c>
      <c r="X260" s="162" t="str">
        <f>_xlfn.IFNA(VLOOKUP(Table13[[#This Row],[MTP SKU Code]],'Audit Dimensions'!A:N,10,FALSE),"ARC")</f>
        <v>ARC</v>
      </c>
      <c r="Y260" s="163" t="str">
        <f>IFERROR(Table13[[#This Row],[B2.Aud]]-Table13[[#This Row],[PW(gm)5]],"ERR")</f>
        <v>ERR</v>
      </c>
      <c r="Z260" s="165" t="str">
        <f>IFERROR(Table13[[#This Row],[B2.Diff]]/Table13[[#This Row],[B2.Aud]],"ERR")</f>
        <v>ERR</v>
      </c>
      <c r="AA260" s="162" t="str">
        <f>_xlfn.IFNA(VLOOKUP(Table13[[#This Row],[MTP SKU Code]],'Audit Dimensions'!A:N,14,FALSE),"ARC")</f>
        <v>ARC</v>
      </c>
      <c r="AB260" s="161" t="str">
        <f>IFERROR(Table13[[#This Row],[B3.Aud]]-Table13[[#This Row],[PW(gm)9]],"ERR")</f>
        <v>ERR</v>
      </c>
      <c r="AC260" s="168" t="str">
        <f>IFERROR(Table13[[#This Row],[B3.Diff]]/Table13[[#This Row],[BaLL.Aud]],"ERR")</f>
        <v>ERR</v>
      </c>
      <c r="AD260" s="162" t="str">
        <f>_xlfn.IFNA(VLOOKUP(Table13[[#This Row],[MTP SKU Code]],'Audit Dimensions'!A:U,16,FALSE),"ARC")</f>
        <v>ARC</v>
      </c>
      <c r="AE260" s="165" t="str">
        <f>IFERROR(1-Table13[[#This Row],[Gms]]/Table13[[#This Row],[BaLL.Aud]],"ERR")</f>
        <v>ERR</v>
      </c>
      <c r="AF260" s="5"/>
      <c r="AG260" s="5"/>
      <c r="AH260" s="5"/>
      <c r="AI260" s="5"/>
    </row>
    <row r="261" spans="1:35" s="50" customFormat="1" hidden="1">
      <c r="A261" s="68" t="s">
        <v>307</v>
      </c>
      <c r="B261" s="84" t="s">
        <v>48</v>
      </c>
      <c r="C261" s="85">
        <v>67</v>
      </c>
      <c r="D261" s="85">
        <v>40</v>
      </c>
      <c r="E261" s="85">
        <v>4</v>
      </c>
      <c r="F261" s="89">
        <v>5350</v>
      </c>
      <c r="G261" s="85"/>
      <c r="H261" s="85"/>
      <c r="I261" s="85"/>
      <c r="J261" s="85"/>
      <c r="K261" s="85"/>
      <c r="L261" s="85"/>
      <c r="M261" s="85"/>
      <c r="N261" s="85"/>
      <c r="O261" s="118">
        <f>((IFERROR((C261*D261*E261),0)+IFERROR((G261*H261*I261),0)+IFERROR((K261*L261*M261),0))/1000000)*35.32</f>
        <v>0.37863040000000003</v>
      </c>
      <c r="P261" s="125">
        <f>Table13[[#This Row],[Column15]]*$P$2*1000</f>
        <v>2271.7824000000001</v>
      </c>
      <c r="Q261" s="87">
        <f>F261+J261+N261</f>
        <v>5350</v>
      </c>
      <c r="R261" s="86">
        <f>MAX(Q261,O261)</f>
        <v>5350</v>
      </c>
      <c r="S261" s="86">
        <f>MAX(R261,P261)</f>
        <v>5350</v>
      </c>
      <c r="T261" s="156" t="str">
        <f>VLOOKUP(A261,'[1]MTP SKUs - Master Data'!$A:$B,2,FALSE)</f>
        <v>DI</v>
      </c>
      <c r="U261" s="162" t="str">
        <f>_xlfn.IFNA(VLOOKUP(Table13[[#This Row],[MTP SKU Code]],'Audit Dimensions'!A:N,6,FALSE),"ARC")</f>
        <v>ARC</v>
      </c>
      <c r="V261" s="162" t="str">
        <f>IFERROR(Table13[[#This Row],[B1.Aud]]-Table13[[#This Row],[PW(gm)]],"ERR")</f>
        <v>ERR</v>
      </c>
      <c r="W261" s="165" t="str">
        <f>IFERROR(Table13[[#This Row],[B1.Diff]]/Table13[[#This Row],[B1.Aud]],"ERR")</f>
        <v>ERR</v>
      </c>
      <c r="X261" s="162" t="str">
        <f>_xlfn.IFNA(VLOOKUP(Table13[[#This Row],[MTP SKU Code]],'Audit Dimensions'!A:N,10,FALSE),"ARC")</f>
        <v>ARC</v>
      </c>
      <c r="Y261" s="163" t="str">
        <f>IFERROR(Table13[[#This Row],[B2.Aud]]-Table13[[#This Row],[PW(gm)5]],"ERR")</f>
        <v>ERR</v>
      </c>
      <c r="Z261" s="165" t="str">
        <f>IFERROR(Table13[[#This Row],[B2.Diff]]/Table13[[#This Row],[B2.Aud]],"ERR")</f>
        <v>ERR</v>
      </c>
      <c r="AA261" s="162" t="str">
        <f>_xlfn.IFNA(VLOOKUP(Table13[[#This Row],[MTP SKU Code]],'Audit Dimensions'!A:N,14,FALSE),"ARC")</f>
        <v>ARC</v>
      </c>
      <c r="AB261" s="161" t="str">
        <f>IFERROR(Table13[[#This Row],[B3.Aud]]-Table13[[#This Row],[PW(gm)9]],"ERR")</f>
        <v>ERR</v>
      </c>
      <c r="AC261" s="168" t="str">
        <f>IFERROR(Table13[[#This Row],[B3.Diff]]/Table13[[#This Row],[BaLL.Aud]],"ERR")</f>
        <v>ERR</v>
      </c>
      <c r="AD261" s="162" t="str">
        <f>_xlfn.IFNA(VLOOKUP(Table13[[#This Row],[MTP SKU Code]],'Audit Dimensions'!A:U,16,FALSE),"ARC")</f>
        <v>ARC</v>
      </c>
      <c r="AE261" s="165" t="str">
        <f>IFERROR(1-Table13[[#This Row],[Gms]]/Table13[[#This Row],[BaLL.Aud]],"ERR")</f>
        <v>ERR</v>
      </c>
      <c r="AF261" s="5"/>
      <c r="AG261" s="5"/>
      <c r="AH261" s="5"/>
      <c r="AI261" s="5"/>
    </row>
    <row r="262" spans="1:35" s="50" customFormat="1" hidden="1">
      <c r="A262" s="68" t="s">
        <v>308</v>
      </c>
      <c r="B262" s="84" t="s">
        <v>48</v>
      </c>
      <c r="C262" s="85">
        <v>85</v>
      </c>
      <c r="D262" s="85">
        <v>85</v>
      </c>
      <c r="E262" s="85">
        <v>5</v>
      </c>
      <c r="F262" s="89">
        <v>9920</v>
      </c>
      <c r="G262" s="85"/>
      <c r="H262" s="85"/>
      <c r="I262" s="85"/>
      <c r="J262" s="85"/>
      <c r="K262" s="85"/>
      <c r="L262" s="85"/>
      <c r="M262" s="85"/>
      <c r="N262" s="85"/>
      <c r="O262" s="118">
        <f>((IFERROR((C262*D262*E262),0)+IFERROR((G262*H262*I262),0)+IFERROR((K262*L262*M262),0))/1000000)*35.32</f>
        <v>1.2759349999999998</v>
      </c>
      <c r="P262" s="125">
        <f>Table13[[#This Row],[Column15]]*$P$2*1000</f>
        <v>7655.61</v>
      </c>
      <c r="Q262" s="87">
        <f>F262+J262+N262</f>
        <v>9920</v>
      </c>
      <c r="R262" s="86">
        <f>MAX(Q262,O262)</f>
        <v>9920</v>
      </c>
      <c r="S262" s="86">
        <f>MAX(R262,P262)</f>
        <v>9920</v>
      </c>
      <c r="T262" s="156" t="str">
        <f>VLOOKUP(A262,'[1]MTP SKUs - Master Data'!$A:$B,2,FALSE)</f>
        <v>DI</v>
      </c>
      <c r="U262" s="162" t="str">
        <f>_xlfn.IFNA(VLOOKUP(Table13[[#This Row],[MTP SKU Code]],'Audit Dimensions'!A:N,6,FALSE),"ARC")</f>
        <v>ARC</v>
      </c>
      <c r="V262" s="162" t="str">
        <f>IFERROR(Table13[[#This Row],[B1.Aud]]-Table13[[#This Row],[PW(gm)]],"ERR")</f>
        <v>ERR</v>
      </c>
      <c r="W262" s="165" t="str">
        <f>IFERROR(Table13[[#This Row],[B1.Diff]]/Table13[[#This Row],[B1.Aud]],"ERR")</f>
        <v>ERR</v>
      </c>
      <c r="X262" s="162" t="str">
        <f>_xlfn.IFNA(VLOOKUP(Table13[[#This Row],[MTP SKU Code]],'Audit Dimensions'!A:N,10,FALSE),"ARC")</f>
        <v>ARC</v>
      </c>
      <c r="Y262" s="163" t="str">
        <f>IFERROR(Table13[[#This Row],[B2.Aud]]-Table13[[#This Row],[PW(gm)5]],"ERR")</f>
        <v>ERR</v>
      </c>
      <c r="Z262" s="165" t="str">
        <f>IFERROR(Table13[[#This Row],[B2.Diff]]/Table13[[#This Row],[B2.Aud]],"ERR")</f>
        <v>ERR</v>
      </c>
      <c r="AA262" s="162" t="str">
        <f>_xlfn.IFNA(VLOOKUP(Table13[[#This Row],[MTP SKU Code]],'Audit Dimensions'!A:N,14,FALSE),"ARC")</f>
        <v>ARC</v>
      </c>
      <c r="AB262" s="161" t="str">
        <f>IFERROR(Table13[[#This Row],[B3.Aud]]-Table13[[#This Row],[PW(gm)9]],"ERR")</f>
        <v>ERR</v>
      </c>
      <c r="AC262" s="168" t="str">
        <f>IFERROR(Table13[[#This Row],[B3.Diff]]/Table13[[#This Row],[BaLL.Aud]],"ERR")</f>
        <v>ERR</v>
      </c>
      <c r="AD262" s="162" t="str">
        <f>_xlfn.IFNA(VLOOKUP(Table13[[#This Row],[MTP SKU Code]],'Audit Dimensions'!A:U,16,FALSE),"ARC")</f>
        <v>ARC</v>
      </c>
      <c r="AE262" s="165" t="str">
        <f>IFERROR(1-Table13[[#This Row],[Gms]]/Table13[[#This Row],[BaLL.Aud]],"ERR")</f>
        <v>ERR</v>
      </c>
      <c r="AF262" s="5"/>
      <c r="AG262" s="5"/>
      <c r="AH262" s="5"/>
      <c r="AI262" s="5"/>
    </row>
    <row r="263" spans="1:35" hidden="1">
      <c r="A263" s="68" t="s">
        <v>309</v>
      </c>
      <c r="B263" s="84" t="s">
        <v>48</v>
      </c>
      <c r="C263" s="85">
        <v>116</v>
      </c>
      <c r="D263" s="85">
        <v>40</v>
      </c>
      <c r="E263" s="85">
        <v>6</v>
      </c>
      <c r="F263" s="89">
        <v>6000</v>
      </c>
      <c r="G263" s="85"/>
      <c r="H263" s="85"/>
      <c r="I263" s="85"/>
      <c r="J263" s="85"/>
      <c r="K263" s="85"/>
      <c r="L263" s="85"/>
      <c r="M263" s="85"/>
      <c r="N263" s="85"/>
      <c r="O263" s="118">
        <f>((IFERROR((C263*D263*E263),0)+IFERROR((G263*H263*I263),0)+IFERROR((K263*L263*M263),0))/1000000)*35.32</f>
        <v>0.98330879999999998</v>
      </c>
      <c r="P263" s="125">
        <f>Table13[[#This Row],[Column15]]*$P$2*1000</f>
        <v>5899.8527999999997</v>
      </c>
      <c r="Q263" s="87">
        <f>F263+J263+N263</f>
        <v>6000</v>
      </c>
      <c r="R263" s="86">
        <f>MAX(Q263,O263)</f>
        <v>6000</v>
      </c>
      <c r="S263" s="86">
        <f>MAX(R263,P263)</f>
        <v>6000</v>
      </c>
      <c r="T263" s="156" t="str">
        <f>VLOOKUP(A263,'[1]MTP SKUs - Master Data'!$A:$B,2,FALSE)</f>
        <v>DI</v>
      </c>
      <c r="U263" s="162" t="str">
        <f>_xlfn.IFNA(VLOOKUP(Table13[[#This Row],[MTP SKU Code]],'Audit Dimensions'!A:N,6,FALSE),"ARC")</f>
        <v>ARC</v>
      </c>
      <c r="V263" s="162" t="str">
        <f>IFERROR(Table13[[#This Row],[B1.Aud]]-Table13[[#This Row],[PW(gm)]],"ERR")</f>
        <v>ERR</v>
      </c>
      <c r="W263" s="165" t="str">
        <f>IFERROR(Table13[[#This Row],[B1.Diff]]/Table13[[#This Row],[B1.Aud]],"ERR")</f>
        <v>ERR</v>
      </c>
      <c r="X263" s="162" t="str">
        <f>_xlfn.IFNA(VLOOKUP(Table13[[#This Row],[MTP SKU Code]],'Audit Dimensions'!A:N,10,FALSE),"ARC")</f>
        <v>ARC</v>
      </c>
      <c r="Y263" s="163" t="str">
        <f>IFERROR(Table13[[#This Row],[B2.Aud]]-Table13[[#This Row],[PW(gm)5]],"ERR")</f>
        <v>ERR</v>
      </c>
      <c r="Z263" s="165" t="str">
        <f>IFERROR(Table13[[#This Row],[B2.Diff]]/Table13[[#This Row],[B2.Aud]],"ERR")</f>
        <v>ERR</v>
      </c>
      <c r="AA263" s="162" t="str">
        <f>_xlfn.IFNA(VLOOKUP(Table13[[#This Row],[MTP SKU Code]],'Audit Dimensions'!A:N,14,FALSE),"ARC")</f>
        <v>ARC</v>
      </c>
      <c r="AB263" s="161" t="str">
        <f>IFERROR(Table13[[#This Row],[B3.Aud]]-Table13[[#This Row],[PW(gm)9]],"ERR")</f>
        <v>ERR</v>
      </c>
      <c r="AC263" s="168" t="str">
        <f>IFERROR(Table13[[#This Row],[B3.Diff]]/Table13[[#This Row],[BaLL.Aud]],"ERR")</f>
        <v>ERR</v>
      </c>
      <c r="AD263" s="162" t="str">
        <f>_xlfn.IFNA(VLOOKUP(Table13[[#This Row],[MTP SKU Code]],'Audit Dimensions'!A:U,16,FALSE),"ARC")</f>
        <v>ARC</v>
      </c>
      <c r="AE263" s="165" t="str">
        <f>IFERROR(1-Table13[[#This Row],[Gms]]/Table13[[#This Row],[BaLL.Aud]],"ERR")</f>
        <v>ERR</v>
      </c>
    </row>
    <row r="264" spans="1:35" hidden="1">
      <c r="A264" s="68" t="s">
        <v>310</v>
      </c>
      <c r="B264" s="84" t="s">
        <v>48</v>
      </c>
      <c r="C264" s="85">
        <v>83</v>
      </c>
      <c r="D264" s="85">
        <v>35</v>
      </c>
      <c r="E264" s="85">
        <v>6</v>
      </c>
      <c r="F264" s="89">
        <v>3700</v>
      </c>
      <c r="G264" s="85"/>
      <c r="H264" s="85"/>
      <c r="I264" s="85"/>
      <c r="J264" s="85"/>
      <c r="K264" s="85"/>
      <c r="L264" s="85"/>
      <c r="M264" s="85"/>
      <c r="N264" s="85"/>
      <c r="O264" s="118">
        <f>((IFERROR((C264*D264*E264),0)+IFERROR((G264*H264*I264),0)+IFERROR((K264*L264*M264),0))/1000000)*35.32</f>
        <v>0.61562760000000005</v>
      </c>
      <c r="P264" s="125">
        <f>Table13[[#This Row],[Column15]]*$P$2*1000</f>
        <v>3693.7656000000002</v>
      </c>
      <c r="Q264" s="87">
        <f>F264+J264+N264</f>
        <v>3700</v>
      </c>
      <c r="R264" s="86">
        <f>MAX(Q264,O264)</f>
        <v>3700</v>
      </c>
      <c r="S264" s="86">
        <f>MAX(R264,P264)</f>
        <v>3700</v>
      </c>
      <c r="T264" s="156" t="str">
        <f>VLOOKUP(A264,'[1]MTP SKUs - Master Data'!$A:$B,2,FALSE)</f>
        <v>DI</v>
      </c>
      <c r="U264" s="162" t="str">
        <f>_xlfn.IFNA(VLOOKUP(Table13[[#This Row],[MTP SKU Code]],'Audit Dimensions'!A:N,6,FALSE),"ARC")</f>
        <v>ARC</v>
      </c>
      <c r="V264" s="162" t="str">
        <f>IFERROR(Table13[[#This Row],[B1.Aud]]-Table13[[#This Row],[PW(gm)]],"ERR")</f>
        <v>ERR</v>
      </c>
      <c r="W264" s="165" t="str">
        <f>IFERROR(Table13[[#This Row],[B1.Diff]]/Table13[[#This Row],[B1.Aud]],"ERR")</f>
        <v>ERR</v>
      </c>
      <c r="X264" s="162" t="str">
        <f>_xlfn.IFNA(VLOOKUP(Table13[[#This Row],[MTP SKU Code]],'Audit Dimensions'!A:N,10,FALSE),"ARC")</f>
        <v>ARC</v>
      </c>
      <c r="Y264" s="163" t="str">
        <f>IFERROR(Table13[[#This Row],[B2.Aud]]-Table13[[#This Row],[PW(gm)5]],"ERR")</f>
        <v>ERR</v>
      </c>
      <c r="Z264" s="165" t="str">
        <f>IFERROR(Table13[[#This Row],[B2.Diff]]/Table13[[#This Row],[B2.Aud]],"ERR")</f>
        <v>ERR</v>
      </c>
      <c r="AA264" s="162" t="str">
        <f>_xlfn.IFNA(VLOOKUP(Table13[[#This Row],[MTP SKU Code]],'Audit Dimensions'!A:N,14,FALSE),"ARC")</f>
        <v>ARC</v>
      </c>
      <c r="AB264" s="161" t="str">
        <f>IFERROR(Table13[[#This Row],[B3.Aud]]-Table13[[#This Row],[PW(gm)9]],"ERR")</f>
        <v>ERR</v>
      </c>
      <c r="AC264" s="168" t="str">
        <f>IFERROR(Table13[[#This Row],[B3.Diff]]/Table13[[#This Row],[BaLL.Aud]],"ERR")</f>
        <v>ERR</v>
      </c>
      <c r="AD264" s="162" t="str">
        <f>_xlfn.IFNA(VLOOKUP(Table13[[#This Row],[MTP SKU Code]],'Audit Dimensions'!A:U,16,FALSE),"ARC")</f>
        <v>ARC</v>
      </c>
      <c r="AE264" s="165" t="str">
        <f>IFERROR(1-Table13[[#This Row],[Gms]]/Table13[[#This Row],[BaLL.Aud]],"ERR")</f>
        <v>ERR</v>
      </c>
    </row>
    <row r="265" spans="1:35" hidden="1">
      <c r="A265" s="68" t="s">
        <v>311</v>
      </c>
      <c r="B265" s="84" t="s">
        <v>48</v>
      </c>
      <c r="C265" s="85">
        <v>31</v>
      </c>
      <c r="D265" s="85">
        <v>27</v>
      </c>
      <c r="E265" s="85">
        <v>6</v>
      </c>
      <c r="F265" s="89">
        <v>1250</v>
      </c>
      <c r="G265" s="85"/>
      <c r="H265" s="85"/>
      <c r="I265" s="85"/>
      <c r="J265" s="85"/>
      <c r="K265" s="85"/>
      <c r="L265" s="85"/>
      <c r="M265" s="85"/>
      <c r="N265" s="85"/>
      <c r="O265" s="118">
        <f>((IFERROR((C265*D265*E265),0)+IFERROR((G265*H265*I265),0)+IFERROR((K265*L265*M265),0))/1000000)*35.32</f>
        <v>0.17737704000000001</v>
      </c>
      <c r="P265" s="125">
        <f>Table13[[#This Row],[Column15]]*$P$2*1000</f>
        <v>1064.2622400000002</v>
      </c>
      <c r="Q265" s="87">
        <f>F265+J265+N265</f>
        <v>1250</v>
      </c>
      <c r="R265" s="86">
        <f>MAX(Q265,O265)</f>
        <v>1250</v>
      </c>
      <c r="S265" s="86">
        <f>MAX(R265,P265)</f>
        <v>1250</v>
      </c>
      <c r="T265" s="156" t="str">
        <f>VLOOKUP(A265,'[1]MTP SKUs - Master Data'!$A:$B,2,FALSE)</f>
        <v>DI</v>
      </c>
      <c r="U265" s="162" t="str">
        <f>_xlfn.IFNA(VLOOKUP(Table13[[#This Row],[MTP SKU Code]],'Audit Dimensions'!A:N,6,FALSE),"ARC")</f>
        <v>ARC</v>
      </c>
      <c r="V265" s="162" t="str">
        <f>IFERROR(Table13[[#This Row],[B1.Aud]]-Table13[[#This Row],[PW(gm)]],"ERR")</f>
        <v>ERR</v>
      </c>
      <c r="W265" s="165" t="str">
        <f>IFERROR(Table13[[#This Row],[B1.Diff]]/Table13[[#This Row],[B1.Aud]],"ERR")</f>
        <v>ERR</v>
      </c>
      <c r="X265" s="162" t="str">
        <f>_xlfn.IFNA(VLOOKUP(Table13[[#This Row],[MTP SKU Code]],'Audit Dimensions'!A:N,10,FALSE),"ARC")</f>
        <v>ARC</v>
      </c>
      <c r="Y265" s="163" t="str">
        <f>IFERROR(Table13[[#This Row],[B2.Aud]]-Table13[[#This Row],[PW(gm)5]],"ERR")</f>
        <v>ERR</v>
      </c>
      <c r="Z265" s="165" t="str">
        <f>IFERROR(Table13[[#This Row],[B2.Diff]]/Table13[[#This Row],[B2.Aud]],"ERR")</f>
        <v>ERR</v>
      </c>
      <c r="AA265" s="162" t="str">
        <f>_xlfn.IFNA(VLOOKUP(Table13[[#This Row],[MTP SKU Code]],'Audit Dimensions'!A:N,14,FALSE),"ARC")</f>
        <v>ARC</v>
      </c>
      <c r="AB265" s="161" t="str">
        <f>IFERROR(Table13[[#This Row],[B3.Aud]]-Table13[[#This Row],[PW(gm)9]],"ERR")</f>
        <v>ERR</v>
      </c>
      <c r="AC265" s="168" t="str">
        <f>IFERROR(Table13[[#This Row],[B3.Diff]]/Table13[[#This Row],[BaLL.Aud]],"ERR")</f>
        <v>ERR</v>
      </c>
      <c r="AD265" s="162" t="str">
        <f>_xlfn.IFNA(VLOOKUP(Table13[[#This Row],[MTP SKU Code]],'Audit Dimensions'!A:U,16,FALSE),"ARC")</f>
        <v>ARC</v>
      </c>
      <c r="AE265" s="165" t="str">
        <f>IFERROR(1-Table13[[#This Row],[Gms]]/Table13[[#This Row],[BaLL.Aud]],"ERR")</f>
        <v>ERR</v>
      </c>
    </row>
    <row r="266" spans="1:35" hidden="1">
      <c r="A266" s="68" t="s">
        <v>312</v>
      </c>
      <c r="B266" s="84" t="s">
        <v>48</v>
      </c>
      <c r="C266" s="85">
        <v>32</v>
      </c>
      <c r="D266" s="85">
        <v>32</v>
      </c>
      <c r="E266" s="85">
        <v>4</v>
      </c>
      <c r="F266" s="89">
        <v>900</v>
      </c>
      <c r="G266" s="85"/>
      <c r="H266" s="85"/>
      <c r="I266" s="85"/>
      <c r="J266" s="85"/>
      <c r="K266" s="85"/>
      <c r="L266" s="85"/>
      <c r="M266" s="85"/>
      <c r="N266" s="85"/>
      <c r="O266" s="118">
        <f>((IFERROR((C266*D266*E266),0)+IFERROR((G266*H266*I266),0)+IFERROR((K266*L266*M266),0))/1000000)*35.32</f>
        <v>0.14467072</v>
      </c>
      <c r="P266" s="125">
        <f>Table13[[#This Row],[Column15]]*$P$2*1000</f>
        <v>868.02431999999999</v>
      </c>
      <c r="Q266" s="87">
        <f>F266+J266+N266</f>
        <v>900</v>
      </c>
      <c r="R266" s="86">
        <f>MAX(Q266,O266)</f>
        <v>900</v>
      </c>
      <c r="S266" s="86">
        <f>MAX(R266,P266)</f>
        <v>900</v>
      </c>
      <c r="T266" s="156" t="str">
        <f>VLOOKUP(A266,'[1]MTP SKUs - Master Data'!$A:$B,2,FALSE)</f>
        <v>DI</v>
      </c>
      <c r="U266" s="162" t="str">
        <f>_xlfn.IFNA(VLOOKUP(Table13[[#This Row],[MTP SKU Code]],'Audit Dimensions'!A:N,6,FALSE),"ARC")</f>
        <v>ARC</v>
      </c>
      <c r="V266" s="162" t="str">
        <f>IFERROR(Table13[[#This Row],[B1.Aud]]-Table13[[#This Row],[PW(gm)]],"ERR")</f>
        <v>ERR</v>
      </c>
      <c r="W266" s="165" t="str">
        <f>IFERROR(Table13[[#This Row],[B1.Diff]]/Table13[[#This Row],[B1.Aud]],"ERR")</f>
        <v>ERR</v>
      </c>
      <c r="X266" s="162" t="str">
        <f>_xlfn.IFNA(VLOOKUP(Table13[[#This Row],[MTP SKU Code]],'Audit Dimensions'!A:N,10,FALSE),"ARC")</f>
        <v>ARC</v>
      </c>
      <c r="Y266" s="163" t="str">
        <f>IFERROR(Table13[[#This Row],[B2.Aud]]-Table13[[#This Row],[PW(gm)5]],"ERR")</f>
        <v>ERR</v>
      </c>
      <c r="Z266" s="165" t="str">
        <f>IFERROR(Table13[[#This Row],[B2.Diff]]/Table13[[#This Row],[B2.Aud]],"ERR")</f>
        <v>ERR</v>
      </c>
      <c r="AA266" s="162" t="str">
        <f>_xlfn.IFNA(VLOOKUP(Table13[[#This Row],[MTP SKU Code]],'Audit Dimensions'!A:N,14,FALSE),"ARC")</f>
        <v>ARC</v>
      </c>
      <c r="AB266" s="161" t="str">
        <f>IFERROR(Table13[[#This Row],[B3.Aud]]-Table13[[#This Row],[PW(gm)9]],"ERR")</f>
        <v>ERR</v>
      </c>
      <c r="AC266" s="168" t="str">
        <f>IFERROR(Table13[[#This Row],[B3.Diff]]/Table13[[#This Row],[BaLL.Aud]],"ERR")</f>
        <v>ERR</v>
      </c>
      <c r="AD266" s="162" t="str">
        <f>_xlfn.IFNA(VLOOKUP(Table13[[#This Row],[MTP SKU Code]],'Audit Dimensions'!A:U,16,FALSE),"ARC")</f>
        <v>ARC</v>
      </c>
      <c r="AE266" s="165" t="str">
        <f>IFERROR(1-Table13[[#This Row],[Gms]]/Table13[[#This Row],[BaLL.Aud]],"ERR")</f>
        <v>ERR</v>
      </c>
    </row>
    <row r="267" spans="1:35" hidden="1">
      <c r="A267" s="68" t="s">
        <v>313</v>
      </c>
      <c r="B267" s="84" t="s">
        <v>48</v>
      </c>
      <c r="C267" s="85">
        <v>67</v>
      </c>
      <c r="D267" s="85">
        <v>40</v>
      </c>
      <c r="E267" s="85">
        <v>4</v>
      </c>
      <c r="F267" s="89">
        <v>3300</v>
      </c>
      <c r="G267" s="85"/>
      <c r="H267" s="85"/>
      <c r="I267" s="85"/>
      <c r="J267" s="85"/>
      <c r="K267" s="85"/>
      <c r="L267" s="85"/>
      <c r="M267" s="85"/>
      <c r="N267" s="85"/>
      <c r="O267" s="118">
        <f>((IFERROR((C267*D267*E267),0)+IFERROR((G267*H267*I267),0)+IFERROR((K267*L267*M267),0))/1000000)*35.32</f>
        <v>0.37863040000000003</v>
      </c>
      <c r="P267" s="125">
        <f>Table13[[#This Row],[Column15]]*$P$2*1000</f>
        <v>2271.7824000000001</v>
      </c>
      <c r="Q267" s="87">
        <f>F267+J267+N267</f>
        <v>3300</v>
      </c>
      <c r="R267" s="86">
        <f>MAX(Q267,O267)</f>
        <v>3300</v>
      </c>
      <c r="S267" s="86">
        <f>MAX(R267,P267)</f>
        <v>3300</v>
      </c>
      <c r="T267" s="156" t="str">
        <f>VLOOKUP(A267,'[1]MTP SKUs - Master Data'!$A:$B,2,FALSE)</f>
        <v>DI</v>
      </c>
      <c r="U267" s="162" t="str">
        <f>_xlfn.IFNA(VLOOKUP(Table13[[#This Row],[MTP SKU Code]],'Audit Dimensions'!A:N,6,FALSE),"ARC")</f>
        <v>ARC</v>
      </c>
      <c r="V267" s="162" t="str">
        <f>IFERROR(Table13[[#This Row],[B1.Aud]]-Table13[[#This Row],[PW(gm)]],"ERR")</f>
        <v>ERR</v>
      </c>
      <c r="W267" s="165" t="str">
        <f>IFERROR(Table13[[#This Row],[B1.Diff]]/Table13[[#This Row],[B1.Aud]],"ERR")</f>
        <v>ERR</v>
      </c>
      <c r="X267" s="162" t="str">
        <f>_xlfn.IFNA(VLOOKUP(Table13[[#This Row],[MTP SKU Code]],'Audit Dimensions'!A:N,10,FALSE),"ARC")</f>
        <v>ARC</v>
      </c>
      <c r="Y267" s="163" t="str">
        <f>IFERROR(Table13[[#This Row],[B2.Aud]]-Table13[[#This Row],[PW(gm)5]],"ERR")</f>
        <v>ERR</v>
      </c>
      <c r="Z267" s="165" t="str">
        <f>IFERROR(Table13[[#This Row],[B2.Diff]]/Table13[[#This Row],[B2.Aud]],"ERR")</f>
        <v>ERR</v>
      </c>
      <c r="AA267" s="162" t="str">
        <f>_xlfn.IFNA(VLOOKUP(Table13[[#This Row],[MTP SKU Code]],'Audit Dimensions'!A:N,14,FALSE),"ARC")</f>
        <v>ARC</v>
      </c>
      <c r="AB267" s="161" t="str">
        <f>IFERROR(Table13[[#This Row],[B3.Aud]]-Table13[[#This Row],[PW(gm)9]],"ERR")</f>
        <v>ERR</v>
      </c>
      <c r="AC267" s="168" t="str">
        <f>IFERROR(Table13[[#This Row],[B3.Diff]]/Table13[[#This Row],[BaLL.Aud]],"ERR")</f>
        <v>ERR</v>
      </c>
      <c r="AD267" s="162" t="str">
        <f>_xlfn.IFNA(VLOOKUP(Table13[[#This Row],[MTP SKU Code]],'Audit Dimensions'!A:U,16,FALSE),"ARC")</f>
        <v>ARC</v>
      </c>
      <c r="AE267" s="165" t="str">
        <f>IFERROR(1-Table13[[#This Row],[Gms]]/Table13[[#This Row],[BaLL.Aud]],"ERR")</f>
        <v>ERR</v>
      </c>
    </row>
    <row r="268" spans="1:35" hidden="1">
      <c r="A268" s="68" t="s">
        <v>314</v>
      </c>
      <c r="B268" s="84" t="s">
        <v>296</v>
      </c>
      <c r="C268" s="85"/>
      <c r="D268" s="85"/>
      <c r="E268" s="85"/>
      <c r="F268" s="89"/>
      <c r="G268" s="85"/>
      <c r="H268" s="85"/>
      <c r="I268" s="85"/>
      <c r="J268" s="85"/>
      <c r="K268" s="85"/>
      <c r="L268" s="85"/>
      <c r="M268" s="85"/>
      <c r="N268" s="85"/>
      <c r="O268" s="118">
        <f>((IFERROR((C268*D268*E268),0)+IFERROR((G268*H268*I268),0)+IFERROR((K268*L268*M268),0))/1000000)*35.32</f>
        <v>0</v>
      </c>
      <c r="P268" s="125">
        <f>Table13[[#This Row],[Column15]]*$P$2*1000</f>
        <v>0</v>
      </c>
      <c r="Q268" s="87">
        <f>F268+J268+N268</f>
        <v>0</v>
      </c>
      <c r="R268" s="86">
        <f>MAX(Q268,O268)</f>
        <v>0</v>
      </c>
      <c r="S268" s="86">
        <f>MAX(R268,P268)</f>
        <v>0</v>
      </c>
      <c r="T268" s="156" t="str">
        <f>VLOOKUP(A268,'[1]MTP SKUs - Master Data'!$A:$B,2,FALSE)</f>
        <v>DI</v>
      </c>
      <c r="U268" s="162" t="str">
        <f>_xlfn.IFNA(VLOOKUP(Table13[[#This Row],[MTP SKU Code]],'Audit Dimensions'!A:N,6,FALSE),"ARC")</f>
        <v>ARC</v>
      </c>
      <c r="V268" s="162" t="str">
        <f>IFERROR(Table13[[#This Row],[B1.Aud]]-Table13[[#This Row],[PW(gm)]],"ERR")</f>
        <v>ERR</v>
      </c>
      <c r="W268" s="165" t="str">
        <f>IFERROR(Table13[[#This Row],[B1.Diff]]/Table13[[#This Row],[B1.Aud]],"ERR")</f>
        <v>ERR</v>
      </c>
      <c r="X268" s="162" t="str">
        <f>_xlfn.IFNA(VLOOKUP(Table13[[#This Row],[MTP SKU Code]],'Audit Dimensions'!A:N,10,FALSE),"ARC")</f>
        <v>ARC</v>
      </c>
      <c r="Y268" s="163" t="str">
        <f>IFERROR(Table13[[#This Row],[B2.Aud]]-Table13[[#This Row],[PW(gm)5]],"ERR")</f>
        <v>ERR</v>
      </c>
      <c r="Z268" s="165" t="str">
        <f>IFERROR(Table13[[#This Row],[B2.Diff]]/Table13[[#This Row],[B2.Aud]],"ERR")</f>
        <v>ERR</v>
      </c>
      <c r="AA268" s="162" t="str">
        <f>_xlfn.IFNA(VLOOKUP(Table13[[#This Row],[MTP SKU Code]],'Audit Dimensions'!A:N,14,FALSE),"ARC")</f>
        <v>ARC</v>
      </c>
      <c r="AB268" s="161" t="str">
        <f>IFERROR(Table13[[#This Row],[B3.Aud]]-Table13[[#This Row],[PW(gm)9]],"ERR")</f>
        <v>ERR</v>
      </c>
      <c r="AC268" s="168" t="str">
        <f>IFERROR(Table13[[#This Row],[B3.Diff]]/Table13[[#This Row],[BaLL.Aud]],"ERR")</f>
        <v>ERR</v>
      </c>
      <c r="AD268" s="162" t="str">
        <f>_xlfn.IFNA(VLOOKUP(Table13[[#This Row],[MTP SKU Code]],'Audit Dimensions'!A:U,16,FALSE),"ARC")</f>
        <v>ARC</v>
      </c>
      <c r="AE268" s="165" t="str">
        <f>IFERROR(1-Table13[[#This Row],[Gms]]/Table13[[#This Row],[BaLL.Aud]],"ERR")</f>
        <v>ERR</v>
      </c>
    </row>
    <row r="269" spans="1:35" hidden="1">
      <c r="A269" s="68" t="s">
        <v>315</v>
      </c>
      <c r="B269" s="84" t="s">
        <v>48</v>
      </c>
      <c r="C269" s="85">
        <v>37</v>
      </c>
      <c r="D269" s="85">
        <v>13</v>
      </c>
      <c r="E269" s="85">
        <v>7</v>
      </c>
      <c r="F269" s="89">
        <v>1000</v>
      </c>
      <c r="G269" s="85"/>
      <c r="H269" s="85"/>
      <c r="I269" s="85"/>
      <c r="J269" s="85"/>
      <c r="K269" s="85"/>
      <c r="L269" s="85"/>
      <c r="M269" s="85"/>
      <c r="N269" s="85"/>
      <c r="O269" s="118">
        <f>((IFERROR((C269*D269*E269),0)+IFERROR((G269*H269*I269),0)+IFERROR((K269*L269*M269),0))/1000000)*35.32</f>
        <v>0.11892244</v>
      </c>
      <c r="P269" s="125">
        <f>Table13[[#This Row],[Column15]]*$P$2*1000</f>
        <v>713.53463999999997</v>
      </c>
      <c r="Q269" s="87">
        <f>F269+J269+N269</f>
        <v>1000</v>
      </c>
      <c r="R269" s="86">
        <f>MAX(Q269,O269)</f>
        <v>1000</v>
      </c>
      <c r="S269" s="86">
        <f>MAX(R269,P269)</f>
        <v>1000</v>
      </c>
      <c r="T269" s="156" t="str">
        <f>VLOOKUP(A269,'[1]MTP SKUs - Master Data'!$A:$B,2,FALSE)</f>
        <v>DI</v>
      </c>
      <c r="U269" s="162" t="str">
        <f>_xlfn.IFNA(VLOOKUP(Table13[[#This Row],[MTP SKU Code]],'Audit Dimensions'!A:N,6,FALSE),"ARC")</f>
        <v>ARC</v>
      </c>
      <c r="V269" s="162" t="str">
        <f>IFERROR(Table13[[#This Row],[B1.Aud]]-Table13[[#This Row],[PW(gm)]],"ERR")</f>
        <v>ERR</v>
      </c>
      <c r="W269" s="165" t="str">
        <f>IFERROR(Table13[[#This Row],[B1.Diff]]/Table13[[#This Row],[B1.Aud]],"ERR")</f>
        <v>ERR</v>
      </c>
      <c r="X269" s="162" t="str">
        <f>_xlfn.IFNA(VLOOKUP(Table13[[#This Row],[MTP SKU Code]],'Audit Dimensions'!A:N,10,FALSE),"ARC")</f>
        <v>ARC</v>
      </c>
      <c r="Y269" s="163" t="str">
        <f>IFERROR(Table13[[#This Row],[B2.Aud]]-Table13[[#This Row],[PW(gm)5]],"ERR")</f>
        <v>ERR</v>
      </c>
      <c r="Z269" s="165" t="str">
        <f>IFERROR(Table13[[#This Row],[B2.Diff]]/Table13[[#This Row],[B2.Aud]],"ERR")</f>
        <v>ERR</v>
      </c>
      <c r="AA269" s="162" t="str">
        <f>_xlfn.IFNA(VLOOKUP(Table13[[#This Row],[MTP SKU Code]],'Audit Dimensions'!A:N,14,FALSE),"ARC")</f>
        <v>ARC</v>
      </c>
      <c r="AB269" s="161" t="str">
        <f>IFERROR(Table13[[#This Row],[B3.Aud]]-Table13[[#This Row],[PW(gm)9]],"ERR")</f>
        <v>ERR</v>
      </c>
      <c r="AC269" s="168" t="str">
        <f>IFERROR(Table13[[#This Row],[B3.Diff]]/Table13[[#This Row],[BaLL.Aud]],"ERR")</f>
        <v>ERR</v>
      </c>
      <c r="AD269" s="162" t="str">
        <f>_xlfn.IFNA(VLOOKUP(Table13[[#This Row],[MTP SKU Code]],'Audit Dimensions'!A:U,16,FALSE),"ARC")</f>
        <v>ARC</v>
      </c>
      <c r="AE269" s="165" t="str">
        <f>IFERROR(1-Table13[[#This Row],[Gms]]/Table13[[#This Row],[BaLL.Aud]],"ERR")</f>
        <v>ERR</v>
      </c>
    </row>
    <row r="270" spans="1:35" hidden="1">
      <c r="A270" s="68" t="s">
        <v>316</v>
      </c>
      <c r="B270" s="84" t="s">
        <v>48</v>
      </c>
      <c r="C270" s="85">
        <v>51</v>
      </c>
      <c r="D270" s="85">
        <v>17</v>
      </c>
      <c r="E270" s="85">
        <v>4</v>
      </c>
      <c r="F270" s="89">
        <v>1100</v>
      </c>
      <c r="G270" s="85"/>
      <c r="H270" s="85"/>
      <c r="I270" s="85"/>
      <c r="J270" s="85"/>
      <c r="K270" s="85"/>
      <c r="L270" s="85"/>
      <c r="M270" s="85"/>
      <c r="N270" s="85"/>
      <c r="O270" s="118">
        <f>((IFERROR((C270*D270*E270),0)+IFERROR((G270*H270*I270),0)+IFERROR((K270*L270*M270),0))/1000000)*35.32</f>
        <v>0.12248976</v>
      </c>
      <c r="P270" s="125">
        <f>Table13[[#This Row],[Column15]]*$P$2*1000</f>
        <v>734.93856000000005</v>
      </c>
      <c r="Q270" s="87">
        <f>F270+J270+N270</f>
        <v>1100</v>
      </c>
      <c r="R270" s="86">
        <f>MAX(Q270,O270)</f>
        <v>1100</v>
      </c>
      <c r="S270" s="86">
        <f>MAX(R270,P270)</f>
        <v>1100</v>
      </c>
      <c r="T270" s="156" t="str">
        <f>VLOOKUP(A270,'[1]MTP SKUs - Master Data'!$A:$B,2,FALSE)</f>
        <v>DI</v>
      </c>
      <c r="U270" s="162" t="str">
        <f>_xlfn.IFNA(VLOOKUP(Table13[[#This Row],[MTP SKU Code]],'Audit Dimensions'!A:N,6,FALSE),"ARC")</f>
        <v>ARC</v>
      </c>
      <c r="V270" s="162" t="str">
        <f>IFERROR(Table13[[#This Row],[B1.Aud]]-Table13[[#This Row],[PW(gm)]],"ERR")</f>
        <v>ERR</v>
      </c>
      <c r="W270" s="165" t="str">
        <f>IFERROR(Table13[[#This Row],[B1.Diff]]/Table13[[#This Row],[B1.Aud]],"ERR")</f>
        <v>ERR</v>
      </c>
      <c r="X270" s="162" t="str">
        <f>_xlfn.IFNA(VLOOKUP(Table13[[#This Row],[MTP SKU Code]],'Audit Dimensions'!A:N,10,FALSE),"ARC")</f>
        <v>ARC</v>
      </c>
      <c r="Y270" s="163" t="str">
        <f>IFERROR(Table13[[#This Row],[B2.Aud]]-Table13[[#This Row],[PW(gm)5]],"ERR")</f>
        <v>ERR</v>
      </c>
      <c r="Z270" s="165" t="str">
        <f>IFERROR(Table13[[#This Row],[B2.Diff]]/Table13[[#This Row],[B2.Aud]],"ERR")</f>
        <v>ERR</v>
      </c>
      <c r="AA270" s="162" t="str">
        <f>_xlfn.IFNA(VLOOKUP(Table13[[#This Row],[MTP SKU Code]],'Audit Dimensions'!A:N,14,FALSE),"ARC")</f>
        <v>ARC</v>
      </c>
      <c r="AB270" s="161" t="str">
        <f>IFERROR(Table13[[#This Row],[B3.Aud]]-Table13[[#This Row],[PW(gm)9]],"ERR")</f>
        <v>ERR</v>
      </c>
      <c r="AC270" s="168" t="str">
        <f>IFERROR(Table13[[#This Row],[B3.Diff]]/Table13[[#This Row],[BaLL.Aud]],"ERR")</f>
        <v>ERR</v>
      </c>
      <c r="AD270" s="162" t="str">
        <f>_xlfn.IFNA(VLOOKUP(Table13[[#This Row],[MTP SKU Code]],'Audit Dimensions'!A:U,16,FALSE),"ARC")</f>
        <v>ARC</v>
      </c>
      <c r="AE270" s="165" t="str">
        <f>IFERROR(1-Table13[[#This Row],[Gms]]/Table13[[#This Row],[BaLL.Aud]],"ERR")</f>
        <v>ERR</v>
      </c>
    </row>
    <row r="271" spans="1:35" hidden="1">
      <c r="A271" s="68" t="s">
        <v>317</v>
      </c>
      <c r="B271" s="84" t="s">
        <v>48</v>
      </c>
      <c r="C271" s="85">
        <v>23</v>
      </c>
      <c r="D271" s="85">
        <v>19</v>
      </c>
      <c r="E271" s="85">
        <v>12</v>
      </c>
      <c r="F271" s="89">
        <v>1890</v>
      </c>
      <c r="G271" s="85"/>
      <c r="H271" s="85"/>
      <c r="I271" s="85"/>
      <c r="J271" s="85"/>
      <c r="K271" s="85"/>
      <c r="L271" s="85"/>
      <c r="M271" s="85"/>
      <c r="N271" s="85"/>
      <c r="O271" s="118">
        <f>((IFERROR((C271*D271*E271),0)+IFERROR((G271*H271*I271),0)+IFERROR((K271*L271*M271),0))/1000000)*35.32</f>
        <v>0.18521808000000001</v>
      </c>
      <c r="P271" s="125">
        <f>Table13[[#This Row],[Column15]]*$P$2*1000</f>
        <v>1111.3084799999999</v>
      </c>
      <c r="Q271" s="87">
        <f>F271+J271+N271</f>
        <v>1890</v>
      </c>
      <c r="R271" s="86">
        <f>MAX(Q271,O271)</f>
        <v>1890</v>
      </c>
      <c r="S271" s="86">
        <f>MAX(R271,P271)</f>
        <v>1890</v>
      </c>
      <c r="T271" s="156" t="str">
        <f>VLOOKUP(A271,'[1]MTP SKUs - Master Data'!$A:$B,2,FALSE)</f>
        <v>DI</v>
      </c>
      <c r="U271" s="162" t="str">
        <f>_xlfn.IFNA(VLOOKUP(Table13[[#This Row],[MTP SKU Code]],'Audit Dimensions'!A:N,6,FALSE),"ARC")</f>
        <v>ARC</v>
      </c>
      <c r="V271" s="162" t="str">
        <f>IFERROR(Table13[[#This Row],[B1.Aud]]-Table13[[#This Row],[PW(gm)]],"ERR")</f>
        <v>ERR</v>
      </c>
      <c r="W271" s="165" t="str">
        <f>IFERROR(Table13[[#This Row],[B1.Diff]]/Table13[[#This Row],[B1.Aud]],"ERR")</f>
        <v>ERR</v>
      </c>
      <c r="X271" s="162" t="str">
        <f>_xlfn.IFNA(VLOOKUP(Table13[[#This Row],[MTP SKU Code]],'Audit Dimensions'!A:N,10,FALSE),"ARC")</f>
        <v>ARC</v>
      </c>
      <c r="Y271" s="163" t="str">
        <f>IFERROR(Table13[[#This Row],[B2.Aud]]-Table13[[#This Row],[PW(gm)5]],"ERR")</f>
        <v>ERR</v>
      </c>
      <c r="Z271" s="165" t="str">
        <f>IFERROR(Table13[[#This Row],[B2.Diff]]/Table13[[#This Row],[B2.Aud]],"ERR")</f>
        <v>ERR</v>
      </c>
      <c r="AA271" s="162" t="str">
        <f>_xlfn.IFNA(VLOOKUP(Table13[[#This Row],[MTP SKU Code]],'Audit Dimensions'!A:N,14,FALSE),"ARC")</f>
        <v>ARC</v>
      </c>
      <c r="AB271" s="161" t="str">
        <f>IFERROR(Table13[[#This Row],[B3.Aud]]-Table13[[#This Row],[PW(gm)9]],"ERR")</f>
        <v>ERR</v>
      </c>
      <c r="AC271" s="168" t="str">
        <f>IFERROR(Table13[[#This Row],[B3.Diff]]/Table13[[#This Row],[BaLL.Aud]],"ERR")</f>
        <v>ERR</v>
      </c>
      <c r="AD271" s="162" t="str">
        <f>_xlfn.IFNA(VLOOKUP(Table13[[#This Row],[MTP SKU Code]],'Audit Dimensions'!A:U,16,FALSE),"ARC")</f>
        <v>ARC</v>
      </c>
      <c r="AE271" s="165" t="str">
        <f>IFERROR(1-Table13[[#This Row],[Gms]]/Table13[[#This Row],[BaLL.Aud]],"ERR")</f>
        <v>ERR</v>
      </c>
    </row>
    <row r="272" spans="1:35" hidden="1">
      <c r="A272" s="68" t="s">
        <v>318</v>
      </c>
      <c r="B272" s="84" t="s">
        <v>48</v>
      </c>
      <c r="C272" s="85">
        <v>23</v>
      </c>
      <c r="D272" s="85">
        <v>19</v>
      </c>
      <c r="E272" s="85">
        <v>20</v>
      </c>
      <c r="F272" s="89">
        <v>2890</v>
      </c>
      <c r="G272" s="85"/>
      <c r="H272" s="85"/>
      <c r="I272" s="85"/>
      <c r="J272" s="85"/>
      <c r="K272" s="85"/>
      <c r="L272" s="85"/>
      <c r="M272" s="85"/>
      <c r="N272" s="85"/>
      <c r="O272" s="118">
        <f>((IFERROR((C272*D272*E272),0)+IFERROR((G272*H272*I272),0)+IFERROR((K272*L272*M272),0))/1000000)*35.32</f>
        <v>0.30869679999999999</v>
      </c>
      <c r="P272" s="125">
        <f>Table13[[#This Row],[Column15]]*$P$2*1000</f>
        <v>1852.1807999999999</v>
      </c>
      <c r="Q272" s="87">
        <f>F272+J272+N272</f>
        <v>2890</v>
      </c>
      <c r="R272" s="86">
        <f>MAX(Q272,O272)</f>
        <v>2890</v>
      </c>
      <c r="S272" s="86">
        <f>MAX(R272,P272)</f>
        <v>2890</v>
      </c>
      <c r="T272" s="156" t="str">
        <f>VLOOKUP(A272,'[1]MTP SKUs - Master Data'!$A:$B,2,FALSE)</f>
        <v>DI</v>
      </c>
      <c r="U272" s="162" t="str">
        <f>_xlfn.IFNA(VLOOKUP(Table13[[#This Row],[MTP SKU Code]],'Audit Dimensions'!A:N,6,FALSE),"ARC")</f>
        <v>ARC</v>
      </c>
      <c r="V272" s="162" t="str">
        <f>IFERROR(Table13[[#This Row],[B1.Aud]]-Table13[[#This Row],[PW(gm)]],"ERR")</f>
        <v>ERR</v>
      </c>
      <c r="W272" s="165" t="str">
        <f>IFERROR(Table13[[#This Row],[B1.Diff]]/Table13[[#This Row],[B1.Aud]],"ERR")</f>
        <v>ERR</v>
      </c>
      <c r="X272" s="162" t="str">
        <f>_xlfn.IFNA(VLOOKUP(Table13[[#This Row],[MTP SKU Code]],'Audit Dimensions'!A:N,10,FALSE),"ARC")</f>
        <v>ARC</v>
      </c>
      <c r="Y272" s="163" t="str">
        <f>IFERROR(Table13[[#This Row],[B2.Aud]]-Table13[[#This Row],[PW(gm)5]],"ERR")</f>
        <v>ERR</v>
      </c>
      <c r="Z272" s="165" t="str">
        <f>IFERROR(Table13[[#This Row],[B2.Diff]]/Table13[[#This Row],[B2.Aud]],"ERR")</f>
        <v>ERR</v>
      </c>
      <c r="AA272" s="162" t="str">
        <f>_xlfn.IFNA(VLOOKUP(Table13[[#This Row],[MTP SKU Code]],'Audit Dimensions'!A:N,14,FALSE),"ARC")</f>
        <v>ARC</v>
      </c>
      <c r="AB272" s="161" t="str">
        <f>IFERROR(Table13[[#This Row],[B3.Aud]]-Table13[[#This Row],[PW(gm)9]],"ERR")</f>
        <v>ERR</v>
      </c>
      <c r="AC272" s="168" t="str">
        <f>IFERROR(Table13[[#This Row],[B3.Diff]]/Table13[[#This Row],[BaLL.Aud]],"ERR")</f>
        <v>ERR</v>
      </c>
      <c r="AD272" s="162" t="str">
        <f>_xlfn.IFNA(VLOOKUP(Table13[[#This Row],[MTP SKU Code]],'Audit Dimensions'!A:U,16,FALSE),"ARC")</f>
        <v>ARC</v>
      </c>
      <c r="AE272" s="165" t="str">
        <f>IFERROR(1-Table13[[#This Row],[Gms]]/Table13[[#This Row],[BaLL.Aud]],"ERR")</f>
        <v>ERR</v>
      </c>
    </row>
    <row r="273" spans="1:31" hidden="1">
      <c r="A273" s="68" t="s">
        <v>319</v>
      </c>
      <c r="B273" s="84" t="s">
        <v>48</v>
      </c>
      <c r="C273" s="85">
        <v>128</v>
      </c>
      <c r="D273" s="85">
        <v>30</v>
      </c>
      <c r="E273" s="85">
        <v>9</v>
      </c>
      <c r="F273" s="89">
        <v>24000</v>
      </c>
      <c r="G273" s="85"/>
      <c r="H273" s="85"/>
      <c r="I273" s="85"/>
      <c r="J273" s="85"/>
      <c r="K273" s="85"/>
      <c r="L273" s="85"/>
      <c r="M273" s="85"/>
      <c r="N273" s="85"/>
      <c r="O273" s="118">
        <f>((IFERROR((C273*D273*E273),0)+IFERROR((G273*H273*I273),0)+IFERROR((K273*L273*M273),0))/1000000)*35.32</f>
        <v>1.2206592000000001</v>
      </c>
      <c r="P273" s="125">
        <f>Table13[[#This Row],[Column15]]*$P$2*1000</f>
        <v>7323.9552000000003</v>
      </c>
      <c r="Q273" s="87">
        <f>F273+J273+N273</f>
        <v>24000</v>
      </c>
      <c r="R273" s="86">
        <f>MAX(Q273,O273)</f>
        <v>24000</v>
      </c>
      <c r="S273" s="86">
        <f>MAX(R273,P273)</f>
        <v>24000</v>
      </c>
      <c r="T273" s="156" t="str">
        <f>VLOOKUP(A273,'[1]MTP SKUs - Master Data'!$A:$B,2,FALSE)</f>
        <v>DI</v>
      </c>
      <c r="U273" s="162" t="str">
        <f>_xlfn.IFNA(VLOOKUP(Table13[[#This Row],[MTP SKU Code]],'Audit Dimensions'!A:N,6,FALSE),"ARC")</f>
        <v>ARC</v>
      </c>
      <c r="V273" s="162" t="str">
        <f>IFERROR(Table13[[#This Row],[B1.Aud]]-Table13[[#This Row],[PW(gm)]],"ERR")</f>
        <v>ERR</v>
      </c>
      <c r="W273" s="165" t="str">
        <f>IFERROR(Table13[[#This Row],[B1.Diff]]/Table13[[#This Row],[B1.Aud]],"ERR")</f>
        <v>ERR</v>
      </c>
      <c r="X273" s="162" t="str">
        <f>_xlfn.IFNA(VLOOKUP(Table13[[#This Row],[MTP SKU Code]],'Audit Dimensions'!A:N,10,FALSE),"ARC")</f>
        <v>ARC</v>
      </c>
      <c r="Y273" s="163" t="str">
        <f>IFERROR(Table13[[#This Row],[B2.Aud]]-Table13[[#This Row],[PW(gm)5]],"ERR")</f>
        <v>ERR</v>
      </c>
      <c r="Z273" s="165" t="str">
        <f>IFERROR(Table13[[#This Row],[B2.Diff]]/Table13[[#This Row],[B2.Aud]],"ERR")</f>
        <v>ERR</v>
      </c>
      <c r="AA273" s="162" t="str">
        <f>_xlfn.IFNA(VLOOKUP(Table13[[#This Row],[MTP SKU Code]],'Audit Dimensions'!A:N,14,FALSE),"ARC")</f>
        <v>ARC</v>
      </c>
      <c r="AB273" s="161" t="str">
        <f>IFERROR(Table13[[#This Row],[B3.Aud]]-Table13[[#This Row],[PW(gm)9]],"ERR")</f>
        <v>ERR</v>
      </c>
      <c r="AC273" s="168" t="str">
        <f>IFERROR(Table13[[#This Row],[B3.Diff]]/Table13[[#This Row],[BaLL.Aud]],"ERR")</f>
        <v>ERR</v>
      </c>
      <c r="AD273" s="162" t="str">
        <f>_xlfn.IFNA(VLOOKUP(Table13[[#This Row],[MTP SKU Code]],'Audit Dimensions'!A:U,16,FALSE),"ARC")</f>
        <v>ARC</v>
      </c>
      <c r="AE273" s="165" t="str">
        <f>IFERROR(1-Table13[[#This Row],[Gms]]/Table13[[#This Row],[BaLL.Aud]],"ERR")</f>
        <v>ERR</v>
      </c>
    </row>
    <row r="274" spans="1:31" hidden="1">
      <c r="A274" s="68" t="s">
        <v>320</v>
      </c>
      <c r="B274" s="84" t="s">
        <v>48</v>
      </c>
      <c r="C274" s="85">
        <v>84</v>
      </c>
      <c r="D274" s="85">
        <v>29</v>
      </c>
      <c r="E274" s="85">
        <v>10</v>
      </c>
      <c r="F274" s="89">
        <v>10850</v>
      </c>
      <c r="G274" s="85"/>
      <c r="H274" s="85"/>
      <c r="I274" s="85"/>
      <c r="J274" s="85"/>
      <c r="K274" s="85"/>
      <c r="L274" s="85"/>
      <c r="M274" s="85"/>
      <c r="N274" s="85"/>
      <c r="O274" s="118">
        <f>((IFERROR((C274*D274*E274),0)+IFERROR((G274*H274*I274),0)+IFERROR((K274*L274*M274),0))/1000000)*35.32</f>
        <v>0.86039520000000003</v>
      </c>
      <c r="P274" s="125">
        <f>Table13[[#This Row],[Column15]]*$P$2*1000</f>
        <v>5162.3711999999996</v>
      </c>
      <c r="Q274" s="87">
        <f>F274+J274+N274</f>
        <v>10850</v>
      </c>
      <c r="R274" s="86">
        <f>MAX(Q274,O274)</f>
        <v>10850</v>
      </c>
      <c r="S274" s="86">
        <f>MAX(R274,P274)</f>
        <v>10850</v>
      </c>
      <c r="T274" s="156" t="str">
        <f>VLOOKUP(A274,'[1]MTP SKUs - Master Data'!$A:$B,2,FALSE)</f>
        <v>DI</v>
      </c>
      <c r="U274" s="162" t="str">
        <f>_xlfn.IFNA(VLOOKUP(Table13[[#This Row],[MTP SKU Code]],'Audit Dimensions'!A:N,6,FALSE),"ARC")</f>
        <v>ARC</v>
      </c>
      <c r="V274" s="162" t="str">
        <f>IFERROR(Table13[[#This Row],[B1.Aud]]-Table13[[#This Row],[PW(gm)]],"ERR")</f>
        <v>ERR</v>
      </c>
      <c r="W274" s="165" t="str">
        <f>IFERROR(Table13[[#This Row],[B1.Diff]]/Table13[[#This Row],[B1.Aud]],"ERR")</f>
        <v>ERR</v>
      </c>
      <c r="X274" s="162" t="str">
        <f>_xlfn.IFNA(VLOOKUP(Table13[[#This Row],[MTP SKU Code]],'Audit Dimensions'!A:N,10,FALSE),"ARC")</f>
        <v>ARC</v>
      </c>
      <c r="Y274" s="163" t="str">
        <f>IFERROR(Table13[[#This Row],[B2.Aud]]-Table13[[#This Row],[PW(gm)5]],"ERR")</f>
        <v>ERR</v>
      </c>
      <c r="Z274" s="165" t="str">
        <f>IFERROR(Table13[[#This Row],[B2.Diff]]/Table13[[#This Row],[B2.Aud]],"ERR")</f>
        <v>ERR</v>
      </c>
      <c r="AA274" s="162" t="str">
        <f>_xlfn.IFNA(VLOOKUP(Table13[[#This Row],[MTP SKU Code]],'Audit Dimensions'!A:N,14,FALSE),"ARC")</f>
        <v>ARC</v>
      </c>
      <c r="AB274" s="161" t="str">
        <f>IFERROR(Table13[[#This Row],[B3.Aud]]-Table13[[#This Row],[PW(gm)9]],"ERR")</f>
        <v>ERR</v>
      </c>
      <c r="AC274" s="168" t="str">
        <f>IFERROR(Table13[[#This Row],[B3.Diff]]/Table13[[#This Row],[BaLL.Aud]],"ERR")</f>
        <v>ERR</v>
      </c>
      <c r="AD274" s="162" t="str">
        <f>_xlfn.IFNA(VLOOKUP(Table13[[#This Row],[MTP SKU Code]],'Audit Dimensions'!A:U,16,FALSE),"ARC")</f>
        <v>ARC</v>
      </c>
      <c r="AE274" s="165" t="str">
        <f>IFERROR(1-Table13[[#This Row],[Gms]]/Table13[[#This Row],[BaLL.Aud]],"ERR")</f>
        <v>ERR</v>
      </c>
    </row>
    <row r="275" spans="1:31" hidden="1">
      <c r="A275" s="68" t="s">
        <v>321</v>
      </c>
      <c r="B275" s="84" t="s">
        <v>48</v>
      </c>
      <c r="C275" s="85">
        <v>121</v>
      </c>
      <c r="D275" s="85">
        <v>45</v>
      </c>
      <c r="E275" s="85">
        <v>6</v>
      </c>
      <c r="F275" s="89">
        <v>9850</v>
      </c>
      <c r="G275" s="85"/>
      <c r="H275" s="85"/>
      <c r="I275" s="85"/>
      <c r="J275" s="85"/>
      <c r="K275" s="85"/>
      <c r="L275" s="85"/>
      <c r="M275" s="85"/>
      <c r="N275" s="85"/>
      <c r="O275" s="118">
        <f>((IFERROR((C275*D275*E275),0)+IFERROR((G275*H275*I275),0)+IFERROR((K275*L275*M275),0))/1000000)*35.32</f>
        <v>1.1539043999999998</v>
      </c>
      <c r="P275" s="125">
        <f>Table13[[#This Row],[Column15]]*$P$2*1000</f>
        <v>6923.4263999999985</v>
      </c>
      <c r="Q275" s="87">
        <f>F275+J275+N275</f>
        <v>9850</v>
      </c>
      <c r="R275" s="86">
        <f>MAX(Q275,O275)</f>
        <v>9850</v>
      </c>
      <c r="S275" s="86">
        <f>MAX(R275,P275)</f>
        <v>9850</v>
      </c>
      <c r="T275" s="156" t="str">
        <f>VLOOKUP(A275,'[1]MTP SKUs - Master Data'!$A:$B,2,FALSE)</f>
        <v>DI</v>
      </c>
      <c r="U275" s="162" t="str">
        <f>_xlfn.IFNA(VLOOKUP(Table13[[#This Row],[MTP SKU Code]],'Audit Dimensions'!A:N,6,FALSE),"ARC")</f>
        <v>ARC</v>
      </c>
      <c r="V275" s="162" t="str">
        <f>IFERROR(Table13[[#This Row],[B1.Aud]]-Table13[[#This Row],[PW(gm)]],"ERR")</f>
        <v>ERR</v>
      </c>
      <c r="W275" s="165" t="str">
        <f>IFERROR(Table13[[#This Row],[B1.Diff]]/Table13[[#This Row],[B1.Aud]],"ERR")</f>
        <v>ERR</v>
      </c>
      <c r="X275" s="162" t="str">
        <f>_xlfn.IFNA(VLOOKUP(Table13[[#This Row],[MTP SKU Code]],'Audit Dimensions'!A:N,10,FALSE),"ARC")</f>
        <v>ARC</v>
      </c>
      <c r="Y275" s="163" t="str">
        <f>IFERROR(Table13[[#This Row],[B2.Aud]]-Table13[[#This Row],[PW(gm)5]],"ERR")</f>
        <v>ERR</v>
      </c>
      <c r="Z275" s="165" t="str">
        <f>IFERROR(Table13[[#This Row],[B2.Diff]]/Table13[[#This Row],[B2.Aud]],"ERR")</f>
        <v>ERR</v>
      </c>
      <c r="AA275" s="162" t="str">
        <f>_xlfn.IFNA(VLOOKUP(Table13[[#This Row],[MTP SKU Code]],'Audit Dimensions'!A:N,14,FALSE),"ARC")</f>
        <v>ARC</v>
      </c>
      <c r="AB275" s="161" t="str">
        <f>IFERROR(Table13[[#This Row],[B3.Aud]]-Table13[[#This Row],[PW(gm)9]],"ERR")</f>
        <v>ERR</v>
      </c>
      <c r="AC275" s="168" t="str">
        <f>IFERROR(Table13[[#This Row],[B3.Diff]]/Table13[[#This Row],[BaLL.Aud]],"ERR")</f>
        <v>ERR</v>
      </c>
      <c r="AD275" s="162" t="str">
        <f>_xlfn.IFNA(VLOOKUP(Table13[[#This Row],[MTP SKU Code]],'Audit Dimensions'!A:U,16,FALSE),"ARC")</f>
        <v>ARC</v>
      </c>
      <c r="AE275" s="165" t="str">
        <f>IFERROR(1-Table13[[#This Row],[Gms]]/Table13[[#This Row],[BaLL.Aud]],"ERR")</f>
        <v>ERR</v>
      </c>
    </row>
    <row r="276" spans="1:31">
      <c r="A276" s="68" t="s">
        <v>51</v>
      </c>
      <c r="B276" s="84" t="s">
        <v>48</v>
      </c>
      <c r="C276" s="84">
        <v>1</v>
      </c>
      <c r="D276" s="85">
        <v>1</v>
      </c>
      <c r="E276" s="85">
        <v>1</v>
      </c>
      <c r="F276" s="89">
        <v>32000</v>
      </c>
      <c r="G276" s="85"/>
      <c r="H276" s="85"/>
      <c r="I276" s="85"/>
      <c r="J276" s="85"/>
      <c r="K276" s="85"/>
      <c r="L276" s="85"/>
      <c r="M276" s="85"/>
      <c r="N276" s="85"/>
      <c r="O276" s="118">
        <f>((IFERROR((C276*D276*E276),0)+IFERROR((G276*H276*I276),0)+IFERROR((K276*L276*M276),0))/1000000)*35.32</f>
        <v>3.5320000000000001E-5</v>
      </c>
      <c r="P276" s="125">
        <f>Table13[[#This Row],[Column15]]*$P$2*1000</f>
        <v>0.21192</v>
      </c>
      <c r="Q276" s="87">
        <v>32000</v>
      </c>
      <c r="R276" s="88">
        <f>MAX(Q276,O276)</f>
        <v>32000</v>
      </c>
      <c r="S276" s="86">
        <f>MAX(R276,P276)</f>
        <v>32000</v>
      </c>
      <c r="T276" s="156" t="str">
        <f>VLOOKUP(A276,'[1]MTP SKUs - Master Data'!$A:$B,2,FALSE)</f>
        <v>Y</v>
      </c>
      <c r="U276" s="162">
        <f>_xlfn.IFNA(VLOOKUP(Table13[[#This Row],[MTP SKU Code]],'Audit Dimensions'!A:N,6,FALSE),"ARC")</f>
        <v>31800</v>
      </c>
      <c r="V276" s="162">
        <f>IFERROR(Table13[[#This Row],[B1.Aud]]-Table13[[#This Row],[PW(gm)]],"ERR")</f>
        <v>-200</v>
      </c>
      <c r="W276" s="165">
        <f>IFERROR(Table13[[#This Row],[B1.Diff]]/Table13[[#This Row],[B1.Aud]],"ERR")</f>
        <v>-6.2893081761006293E-3</v>
      </c>
      <c r="X276" s="162" t="str">
        <f>_xlfn.IFNA(VLOOKUP(Table13[[#This Row],[MTP SKU Code]],'Audit Dimensions'!A:N,10,FALSE),"ARC")</f>
        <v>0</v>
      </c>
      <c r="Y276" s="163">
        <f>IFERROR(Table13[[#This Row],[B2.Aud]]-Table13[[#This Row],[PW(gm)5]],"ERR")</f>
        <v>0</v>
      </c>
      <c r="Z276" s="165" t="str">
        <f>IFERROR(Table13[[#This Row],[B2.Diff]]/Table13[[#This Row],[B2.Aud]],"ERR")</f>
        <v>ERR</v>
      </c>
      <c r="AA276" s="162" t="str">
        <f>_xlfn.IFNA(VLOOKUP(Table13[[#This Row],[MTP SKU Code]],'Audit Dimensions'!A:N,14,FALSE),"ARC")</f>
        <v>0</v>
      </c>
      <c r="AB276" s="161">
        <f>IFERROR(Table13[[#This Row],[B3.Aud]]-Table13[[#This Row],[PW(gm)9]],"ERR")</f>
        <v>0</v>
      </c>
      <c r="AC276" s="168">
        <f>IFERROR(Table13[[#This Row],[B3.Diff]]/Table13[[#This Row],[BaLL.Aud]],"ERR")</f>
        <v>0</v>
      </c>
      <c r="AD276" s="189">
        <f>_xlfn.IFNA(VLOOKUP(Table13[[#This Row],[MTP SKU Code]],'Audit Dimensions'!A:U,16,FALSE),"ARC")</f>
        <v>31800</v>
      </c>
      <c r="AE276" s="165">
        <f>IFERROR(1-Table13[[#This Row],[Gms]]/Table13[[#This Row],[BaLL.Aud]],"ERR")</f>
        <v>-6.2893081761006275E-3</v>
      </c>
    </row>
    <row r="277" spans="1:31">
      <c r="A277" s="68" t="s">
        <v>50</v>
      </c>
      <c r="B277" s="84" t="s">
        <v>48</v>
      </c>
      <c r="C277" s="84">
        <v>1</v>
      </c>
      <c r="D277" s="85">
        <v>1</v>
      </c>
      <c r="E277" s="85">
        <v>1</v>
      </c>
      <c r="F277" s="89">
        <v>6000</v>
      </c>
      <c r="G277" s="85"/>
      <c r="H277" s="85"/>
      <c r="I277" s="85"/>
      <c r="J277" s="85"/>
      <c r="K277" s="85"/>
      <c r="L277" s="85"/>
      <c r="M277" s="85"/>
      <c r="N277" s="85"/>
      <c r="O277" s="118">
        <f>((IFERROR((C277*D277*E277),0)+IFERROR((G277*H277*I277),0)+IFERROR((K277*L277*M277),0))/1000000)*35.32</f>
        <v>3.5320000000000001E-5</v>
      </c>
      <c r="P277" s="125">
        <f>Table13[[#This Row],[Column15]]*$P$2*1000</f>
        <v>0.21192</v>
      </c>
      <c r="Q277" s="87">
        <v>9500</v>
      </c>
      <c r="R277" s="88">
        <f>MAX(Q277,O277)</f>
        <v>9500</v>
      </c>
      <c r="S277" s="86">
        <f>MAX(R277,P277)</f>
        <v>9500</v>
      </c>
      <c r="T277" s="156" t="str">
        <f>VLOOKUP(A277,'[1]MTP SKUs - Master Data'!$A:$B,2,FALSE)</f>
        <v>Y</v>
      </c>
      <c r="U277" s="162">
        <f>_xlfn.IFNA(VLOOKUP(Table13[[#This Row],[MTP SKU Code]],'Audit Dimensions'!A:N,6,FALSE),"ARC")</f>
        <v>8900</v>
      </c>
      <c r="V277" s="162">
        <f>IFERROR(Table13[[#This Row],[B1.Aud]]-Table13[[#This Row],[PW(gm)]],"ERR")</f>
        <v>2900</v>
      </c>
      <c r="W277" s="165">
        <f>IFERROR(Table13[[#This Row],[B1.Diff]]/Table13[[#This Row],[B1.Aud]],"ERR")</f>
        <v>0.3258426966292135</v>
      </c>
      <c r="X277" s="162" t="str">
        <f>_xlfn.IFNA(VLOOKUP(Table13[[#This Row],[MTP SKU Code]],'Audit Dimensions'!A:N,10,FALSE),"ARC")</f>
        <v>0</v>
      </c>
      <c r="Y277" s="163">
        <f>IFERROR(Table13[[#This Row],[B2.Aud]]-Table13[[#This Row],[PW(gm)5]],"ERR")</f>
        <v>0</v>
      </c>
      <c r="Z277" s="165" t="str">
        <f>IFERROR(Table13[[#This Row],[B2.Diff]]/Table13[[#This Row],[B2.Aud]],"ERR")</f>
        <v>ERR</v>
      </c>
      <c r="AA277" s="162" t="str">
        <f>_xlfn.IFNA(VLOOKUP(Table13[[#This Row],[MTP SKU Code]],'Audit Dimensions'!A:N,14,FALSE),"ARC")</f>
        <v>0</v>
      </c>
      <c r="AB277" s="161">
        <f>IFERROR(Table13[[#This Row],[B3.Aud]]-Table13[[#This Row],[PW(gm)9]],"ERR")</f>
        <v>0</v>
      </c>
      <c r="AC277" s="168">
        <f>IFERROR(Table13[[#This Row],[B3.Diff]]/Table13[[#This Row],[BaLL.Aud]],"ERR")</f>
        <v>0</v>
      </c>
      <c r="AD277" s="189">
        <f>_xlfn.IFNA(VLOOKUP(Table13[[#This Row],[MTP SKU Code]],'Audit Dimensions'!A:U,16,FALSE),"ARC")</f>
        <v>8900</v>
      </c>
      <c r="AE277" s="165">
        <f>IFERROR(1-Table13[[#This Row],[Gms]]/Table13[[#This Row],[BaLL.Aud]],"ERR")</f>
        <v>-6.7415730337078594E-2</v>
      </c>
    </row>
    <row r="278" spans="1:31" hidden="1">
      <c r="A278" s="68" t="s">
        <v>324</v>
      </c>
      <c r="B278" s="84" t="s">
        <v>296</v>
      </c>
      <c r="C278" s="85"/>
      <c r="D278" s="85"/>
      <c r="E278" s="85"/>
      <c r="F278" s="89"/>
      <c r="G278" s="85"/>
      <c r="H278" s="85"/>
      <c r="I278" s="85"/>
      <c r="J278" s="85"/>
      <c r="K278" s="85"/>
      <c r="L278" s="85"/>
      <c r="M278" s="85"/>
      <c r="N278" s="85"/>
      <c r="O278" s="118">
        <f>((IFERROR((C278*D278*E278),0)+IFERROR((G278*H278*I278),0)+IFERROR((K278*L278*M278),0))/1000000)*35.32</f>
        <v>0</v>
      </c>
      <c r="P278" s="125">
        <f>Table13[[#This Row],[Column15]]*$P$2*1000</f>
        <v>0</v>
      </c>
      <c r="Q278" s="87">
        <f>F278+J278+N278</f>
        <v>0</v>
      </c>
      <c r="R278" s="86">
        <f>MAX(Q278,O278)</f>
        <v>0</v>
      </c>
      <c r="S278" s="86">
        <f>MAX(R278,P278)</f>
        <v>0</v>
      </c>
      <c r="T278" s="156" t="str">
        <f>VLOOKUP(A278,'[1]MTP SKUs - Master Data'!$A:$B,2,FALSE)</f>
        <v>DI</v>
      </c>
      <c r="U278" s="162" t="str">
        <f>_xlfn.IFNA(VLOOKUP(Table13[[#This Row],[MTP SKU Code]],'Audit Dimensions'!A:N,6,FALSE),"ARC")</f>
        <v>ARC</v>
      </c>
      <c r="V278" s="162" t="str">
        <f>IFERROR(Table13[[#This Row],[B1.Aud]]-Table13[[#This Row],[PW(gm)]],"ERR")</f>
        <v>ERR</v>
      </c>
      <c r="W278" s="165" t="str">
        <f>IFERROR(Table13[[#This Row],[B1.Diff]]/Table13[[#This Row],[B1.Aud]],"ERR")</f>
        <v>ERR</v>
      </c>
      <c r="X278" s="162" t="str">
        <f>_xlfn.IFNA(VLOOKUP(Table13[[#This Row],[MTP SKU Code]],'Audit Dimensions'!A:N,10,FALSE),"ARC")</f>
        <v>ARC</v>
      </c>
      <c r="Y278" s="163" t="str">
        <f>IFERROR(Table13[[#This Row],[B2.Aud]]-Table13[[#This Row],[PW(gm)5]],"ERR")</f>
        <v>ERR</v>
      </c>
      <c r="Z278" s="165" t="str">
        <f>IFERROR(Table13[[#This Row],[B2.Diff]]/Table13[[#This Row],[B2.Aud]],"ERR")</f>
        <v>ERR</v>
      </c>
      <c r="AA278" s="162" t="str">
        <f>_xlfn.IFNA(VLOOKUP(Table13[[#This Row],[MTP SKU Code]],'Audit Dimensions'!A:N,14,FALSE),"ARC")</f>
        <v>ARC</v>
      </c>
      <c r="AB278" s="161" t="str">
        <f>IFERROR(Table13[[#This Row],[B3.Aud]]-Table13[[#This Row],[PW(gm)9]],"ERR")</f>
        <v>ERR</v>
      </c>
      <c r="AC278" s="168" t="str">
        <f>IFERROR(Table13[[#This Row],[B3.Diff]]/Table13[[#This Row],[BaLL.Aud]],"ERR")</f>
        <v>ERR</v>
      </c>
      <c r="AD278" s="162" t="str">
        <f>_xlfn.IFNA(VLOOKUP(Table13[[#This Row],[MTP SKU Code]],'Audit Dimensions'!A:U,16,FALSE),"ARC")</f>
        <v>ARC</v>
      </c>
      <c r="AE278" s="165" t="str">
        <f>IFERROR(1-Table13[[#This Row],[Gms]]/Table13[[#This Row],[BaLL.Aud]],"ERR")</f>
        <v>ERR</v>
      </c>
    </row>
    <row r="279" spans="1:31">
      <c r="A279" s="68" t="s">
        <v>47</v>
      </c>
      <c r="B279" s="84" t="s">
        <v>48</v>
      </c>
      <c r="C279" s="84">
        <v>1</v>
      </c>
      <c r="D279" s="85">
        <v>1</v>
      </c>
      <c r="E279" s="85">
        <v>1</v>
      </c>
      <c r="F279" s="89">
        <v>9500</v>
      </c>
      <c r="G279" s="85"/>
      <c r="H279" s="85"/>
      <c r="I279" s="85"/>
      <c r="J279" s="85"/>
      <c r="K279" s="85"/>
      <c r="L279" s="85"/>
      <c r="M279" s="85"/>
      <c r="N279" s="85"/>
      <c r="O279" s="118">
        <f>((IFERROR((C279*D279*E279),0)+IFERROR((G279*H279*I279),0)+IFERROR((K279*L279*M279),0))/1000000)*35.32</f>
        <v>3.5320000000000001E-5</v>
      </c>
      <c r="P279" s="125">
        <f>Table13[[#This Row],[Column15]]*$P$2*1000</f>
        <v>0.21192</v>
      </c>
      <c r="Q279" s="87">
        <v>6000</v>
      </c>
      <c r="R279" s="88">
        <f>MAX(Q279,O279)</f>
        <v>6000</v>
      </c>
      <c r="S279" s="86">
        <f>MAX(R279,P279)</f>
        <v>6000</v>
      </c>
      <c r="T279" s="156" t="str">
        <f>VLOOKUP(A279,'[1]MTP SKUs - Master Data'!$A:$B,2,FALSE)</f>
        <v>Y</v>
      </c>
      <c r="U279" s="162">
        <f>_xlfn.IFNA(VLOOKUP(Table13[[#This Row],[MTP SKU Code]],'Audit Dimensions'!A:N,6,FALSE),"ARC")</f>
        <v>4800</v>
      </c>
      <c r="V279" s="162">
        <f>IFERROR(Table13[[#This Row],[B1.Aud]]-Table13[[#This Row],[PW(gm)]],"ERR")</f>
        <v>-4700</v>
      </c>
      <c r="W279" s="165">
        <f>IFERROR(Table13[[#This Row],[B1.Diff]]/Table13[[#This Row],[B1.Aud]],"ERR")</f>
        <v>-0.97916666666666663</v>
      </c>
      <c r="X279" s="162" t="str">
        <f>_xlfn.IFNA(VLOOKUP(Table13[[#This Row],[MTP SKU Code]],'Audit Dimensions'!A:N,10,FALSE),"ARC")</f>
        <v>0</v>
      </c>
      <c r="Y279" s="163">
        <f>IFERROR(Table13[[#This Row],[B2.Aud]]-Table13[[#This Row],[PW(gm)5]],"ERR")</f>
        <v>0</v>
      </c>
      <c r="Z279" s="165" t="str">
        <f>IFERROR(Table13[[#This Row],[B2.Diff]]/Table13[[#This Row],[B2.Aud]],"ERR")</f>
        <v>ERR</v>
      </c>
      <c r="AA279" s="162" t="str">
        <f>_xlfn.IFNA(VLOOKUP(Table13[[#This Row],[MTP SKU Code]],'Audit Dimensions'!A:N,14,FALSE),"ARC")</f>
        <v>0</v>
      </c>
      <c r="AB279" s="161">
        <f>IFERROR(Table13[[#This Row],[B3.Aud]]-Table13[[#This Row],[PW(gm)9]],"ERR")</f>
        <v>0</v>
      </c>
      <c r="AC279" s="168">
        <f>IFERROR(Table13[[#This Row],[B3.Diff]]/Table13[[#This Row],[BaLL.Aud]],"ERR")</f>
        <v>0</v>
      </c>
      <c r="AD279" s="189">
        <f>_xlfn.IFNA(VLOOKUP(Table13[[#This Row],[MTP SKU Code]],'Audit Dimensions'!A:U,16,FALSE),"ARC")</f>
        <v>4800</v>
      </c>
      <c r="AE279" s="165">
        <f>IFERROR(1-Table13[[#This Row],[Gms]]/Table13[[#This Row],[BaLL.Aud]],"ERR")</f>
        <v>-0.25</v>
      </c>
    </row>
    <row r="280" spans="1:31" hidden="1">
      <c r="A280" s="68" t="s">
        <v>326</v>
      </c>
      <c r="B280" s="84" t="s">
        <v>296</v>
      </c>
      <c r="C280" s="85"/>
      <c r="D280" s="85"/>
      <c r="E280" s="85"/>
      <c r="F280" s="89"/>
      <c r="G280" s="85"/>
      <c r="H280" s="85"/>
      <c r="I280" s="85"/>
      <c r="J280" s="85"/>
      <c r="K280" s="85"/>
      <c r="L280" s="85"/>
      <c r="M280" s="85"/>
      <c r="N280" s="85"/>
      <c r="O280" s="118">
        <f>((IFERROR((C280*D280*E280),0)+IFERROR((G280*H280*I280),0)+IFERROR((K280*L280*M280),0))/1000000)*35.32</f>
        <v>0</v>
      </c>
      <c r="P280" s="125">
        <f>Table13[[#This Row],[Column15]]*$P$2*1000</f>
        <v>0</v>
      </c>
      <c r="Q280" s="87">
        <f>F280+J280+N280</f>
        <v>0</v>
      </c>
      <c r="R280" s="86">
        <f>MAX(Q280,O280)</f>
        <v>0</v>
      </c>
      <c r="S280" s="86">
        <f>MAX(R280,P280)</f>
        <v>0</v>
      </c>
      <c r="T280" s="156" t="str">
        <f>VLOOKUP(A280,'[1]MTP SKUs - Master Data'!$A:$B,2,FALSE)</f>
        <v>DI</v>
      </c>
      <c r="U280" s="162" t="str">
        <f>_xlfn.IFNA(VLOOKUP(Table13[[#This Row],[MTP SKU Code]],'Audit Dimensions'!A:N,6,FALSE),"ARC")</f>
        <v>ARC</v>
      </c>
      <c r="V280" s="162" t="str">
        <f>IFERROR(Table13[[#This Row],[B1.Aud]]-Table13[[#This Row],[PW(gm)]],"ERR")</f>
        <v>ERR</v>
      </c>
      <c r="W280" s="165" t="str">
        <f>IFERROR(Table13[[#This Row],[B1.Diff]]/Table13[[#This Row],[B1.Aud]],"ERR")</f>
        <v>ERR</v>
      </c>
      <c r="X280" s="162" t="str">
        <f>_xlfn.IFNA(VLOOKUP(Table13[[#This Row],[MTP SKU Code]],'Audit Dimensions'!A:N,10,FALSE),"ARC")</f>
        <v>ARC</v>
      </c>
      <c r="Y280" s="163" t="str">
        <f>IFERROR(Table13[[#This Row],[B2.Aud]]-Table13[[#This Row],[PW(gm)5]],"ERR")</f>
        <v>ERR</v>
      </c>
      <c r="Z280" s="165" t="str">
        <f>IFERROR(Table13[[#This Row],[B2.Diff]]/Table13[[#This Row],[B2.Aud]],"ERR")</f>
        <v>ERR</v>
      </c>
      <c r="AA280" s="162" t="str">
        <f>_xlfn.IFNA(VLOOKUP(Table13[[#This Row],[MTP SKU Code]],'Audit Dimensions'!A:N,14,FALSE),"ARC")</f>
        <v>ARC</v>
      </c>
      <c r="AB280" s="161" t="str">
        <f>IFERROR(Table13[[#This Row],[B3.Aud]]-Table13[[#This Row],[PW(gm)9]],"ERR")</f>
        <v>ERR</v>
      </c>
      <c r="AC280" s="168" t="str">
        <f>IFERROR(Table13[[#This Row],[B3.Diff]]/Table13[[#This Row],[BaLL.Aud]],"ERR")</f>
        <v>ERR</v>
      </c>
      <c r="AD280" s="162" t="str">
        <f>_xlfn.IFNA(VLOOKUP(Table13[[#This Row],[MTP SKU Code]],'Audit Dimensions'!A:U,16,FALSE),"ARC")</f>
        <v>ARC</v>
      </c>
      <c r="AE280" s="165" t="str">
        <f>IFERROR(1-Table13[[#This Row],[Gms]]/Table13[[#This Row],[BaLL.Aud]],"ERR")</f>
        <v>ERR</v>
      </c>
    </row>
    <row r="281" spans="1:31" hidden="1">
      <c r="A281" s="68" t="s">
        <v>327</v>
      </c>
      <c r="B281" s="84" t="s">
        <v>48</v>
      </c>
      <c r="C281" s="85">
        <v>19.5</v>
      </c>
      <c r="D281" s="85">
        <v>19</v>
      </c>
      <c r="E281" s="85">
        <v>7</v>
      </c>
      <c r="F281" s="89">
        <v>900</v>
      </c>
      <c r="G281" s="85"/>
      <c r="H281" s="85"/>
      <c r="I281" s="85"/>
      <c r="J281" s="85"/>
      <c r="K281" s="85"/>
      <c r="L281" s="85"/>
      <c r="M281" s="85"/>
      <c r="N281" s="85"/>
      <c r="O281" s="118">
        <f>((IFERROR((C281*D281*E281),0)+IFERROR((G281*H281*I281),0)+IFERROR((K281*L281*M281),0))/1000000)*35.32</f>
        <v>9.160241999999999E-2</v>
      </c>
      <c r="P281" s="125">
        <f>Table13[[#This Row],[Column15]]*$P$2*1000</f>
        <v>549.61451999999997</v>
      </c>
      <c r="Q281" s="87">
        <f>F281+J281+N281</f>
        <v>900</v>
      </c>
      <c r="R281" s="86">
        <f>MAX(Q281,O281)</f>
        <v>900</v>
      </c>
      <c r="S281" s="86">
        <f>MAX(R281,P281)</f>
        <v>900</v>
      </c>
      <c r="T281" s="156" t="str">
        <f>VLOOKUP(A281,'[1]MTP SKUs - Master Data'!$A:$B,2,FALSE)</f>
        <v>DI</v>
      </c>
      <c r="U281" s="162" t="str">
        <f>_xlfn.IFNA(VLOOKUP(Table13[[#This Row],[MTP SKU Code]],'Audit Dimensions'!A:N,6,FALSE),"ARC")</f>
        <v>ARC</v>
      </c>
      <c r="V281" s="162" t="str">
        <f>IFERROR(Table13[[#This Row],[B1.Aud]]-Table13[[#This Row],[PW(gm)]],"ERR")</f>
        <v>ERR</v>
      </c>
      <c r="W281" s="165" t="str">
        <f>IFERROR(Table13[[#This Row],[B1.Diff]]/Table13[[#This Row],[B1.Aud]],"ERR")</f>
        <v>ERR</v>
      </c>
      <c r="X281" s="162" t="str">
        <f>_xlfn.IFNA(VLOOKUP(Table13[[#This Row],[MTP SKU Code]],'Audit Dimensions'!A:N,10,FALSE),"ARC")</f>
        <v>ARC</v>
      </c>
      <c r="Y281" s="163" t="str">
        <f>IFERROR(Table13[[#This Row],[B2.Aud]]-Table13[[#This Row],[PW(gm)5]],"ERR")</f>
        <v>ERR</v>
      </c>
      <c r="Z281" s="165" t="str">
        <f>IFERROR(Table13[[#This Row],[B2.Diff]]/Table13[[#This Row],[B2.Aud]],"ERR")</f>
        <v>ERR</v>
      </c>
      <c r="AA281" s="162" t="str">
        <f>_xlfn.IFNA(VLOOKUP(Table13[[#This Row],[MTP SKU Code]],'Audit Dimensions'!A:N,14,FALSE),"ARC")</f>
        <v>ARC</v>
      </c>
      <c r="AB281" s="161" t="str">
        <f>IFERROR(Table13[[#This Row],[B3.Aud]]-Table13[[#This Row],[PW(gm)9]],"ERR")</f>
        <v>ERR</v>
      </c>
      <c r="AC281" s="168" t="str">
        <f>IFERROR(Table13[[#This Row],[B3.Diff]]/Table13[[#This Row],[BaLL.Aud]],"ERR")</f>
        <v>ERR</v>
      </c>
      <c r="AD281" s="162" t="str">
        <f>_xlfn.IFNA(VLOOKUP(Table13[[#This Row],[MTP SKU Code]],'Audit Dimensions'!A:U,16,FALSE),"ARC")</f>
        <v>ARC</v>
      </c>
      <c r="AE281" s="165" t="str">
        <f>IFERROR(1-Table13[[#This Row],[Gms]]/Table13[[#This Row],[BaLL.Aud]],"ERR")</f>
        <v>ERR</v>
      </c>
    </row>
    <row r="282" spans="1:31" hidden="1">
      <c r="A282" s="68" t="s">
        <v>328</v>
      </c>
      <c r="B282" s="84" t="s">
        <v>48</v>
      </c>
      <c r="C282" s="85">
        <v>61</v>
      </c>
      <c r="D282" s="85">
        <v>17</v>
      </c>
      <c r="E282" s="85">
        <v>6</v>
      </c>
      <c r="F282" s="89">
        <v>1890</v>
      </c>
      <c r="G282" s="85"/>
      <c r="H282" s="85"/>
      <c r="I282" s="85"/>
      <c r="J282" s="85"/>
      <c r="K282" s="85"/>
      <c r="L282" s="85"/>
      <c r="M282" s="85"/>
      <c r="N282" s="85"/>
      <c r="O282" s="118">
        <f>((IFERROR((C282*D282*E282),0)+IFERROR((G282*H282*I282),0)+IFERROR((K282*L282*M282),0))/1000000)*35.32</f>
        <v>0.21976104000000002</v>
      </c>
      <c r="P282" s="125">
        <f>Table13[[#This Row],[Column15]]*$P$2*1000</f>
        <v>1318.5662400000001</v>
      </c>
      <c r="Q282" s="87">
        <f>F282+J282+N282</f>
        <v>1890</v>
      </c>
      <c r="R282" s="86">
        <f>MAX(Q282,O282)</f>
        <v>1890</v>
      </c>
      <c r="S282" s="86">
        <f>MAX(R282,P282)</f>
        <v>1890</v>
      </c>
      <c r="T282" s="156" t="str">
        <f>VLOOKUP(A282,'[1]MTP SKUs - Master Data'!$A:$B,2,FALSE)</f>
        <v>DI</v>
      </c>
      <c r="U282" s="162" t="str">
        <f>_xlfn.IFNA(VLOOKUP(Table13[[#This Row],[MTP SKU Code]],'Audit Dimensions'!A:N,6,FALSE),"ARC")</f>
        <v>ARC</v>
      </c>
      <c r="V282" s="162" t="str">
        <f>IFERROR(Table13[[#This Row],[B1.Aud]]-Table13[[#This Row],[PW(gm)]],"ERR")</f>
        <v>ERR</v>
      </c>
      <c r="W282" s="165" t="str">
        <f>IFERROR(Table13[[#This Row],[B1.Diff]]/Table13[[#This Row],[B1.Aud]],"ERR")</f>
        <v>ERR</v>
      </c>
      <c r="X282" s="162" t="str">
        <f>_xlfn.IFNA(VLOOKUP(Table13[[#This Row],[MTP SKU Code]],'Audit Dimensions'!A:N,10,FALSE),"ARC")</f>
        <v>ARC</v>
      </c>
      <c r="Y282" s="163" t="str">
        <f>IFERROR(Table13[[#This Row],[B2.Aud]]-Table13[[#This Row],[PW(gm)5]],"ERR")</f>
        <v>ERR</v>
      </c>
      <c r="Z282" s="165" t="str">
        <f>IFERROR(Table13[[#This Row],[B2.Diff]]/Table13[[#This Row],[B2.Aud]],"ERR")</f>
        <v>ERR</v>
      </c>
      <c r="AA282" s="162" t="str">
        <f>_xlfn.IFNA(VLOOKUP(Table13[[#This Row],[MTP SKU Code]],'Audit Dimensions'!A:N,14,FALSE),"ARC")</f>
        <v>ARC</v>
      </c>
      <c r="AB282" s="161" t="str">
        <f>IFERROR(Table13[[#This Row],[B3.Aud]]-Table13[[#This Row],[PW(gm)9]],"ERR")</f>
        <v>ERR</v>
      </c>
      <c r="AC282" s="168" t="str">
        <f>IFERROR(Table13[[#This Row],[B3.Diff]]/Table13[[#This Row],[BaLL.Aud]],"ERR")</f>
        <v>ERR</v>
      </c>
      <c r="AD282" s="162" t="str">
        <f>_xlfn.IFNA(VLOOKUP(Table13[[#This Row],[MTP SKU Code]],'Audit Dimensions'!A:U,16,FALSE),"ARC")</f>
        <v>ARC</v>
      </c>
      <c r="AE282" s="165" t="str">
        <f>IFERROR(1-Table13[[#This Row],[Gms]]/Table13[[#This Row],[BaLL.Aud]],"ERR")</f>
        <v>ERR</v>
      </c>
    </row>
    <row r="283" spans="1:31" hidden="1">
      <c r="A283" s="68" t="s">
        <v>329</v>
      </c>
      <c r="B283" s="84" t="s">
        <v>296</v>
      </c>
      <c r="C283" s="85"/>
      <c r="D283" s="85"/>
      <c r="E283" s="85"/>
      <c r="F283" s="89"/>
      <c r="G283" s="85"/>
      <c r="H283" s="85"/>
      <c r="I283" s="85"/>
      <c r="J283" s="85"/>
      <c r="K283" s="85"/>
      <c r="L283" s="85"/>
      <c r="M283" s="85"/>
      <c r="N283" s="85"/>
      <c r="O283" s="118">
        <f>((IFERROR((C283*D283*E283),0)+IFERROR((G283*H283*I283),0)+IFERROR((K283*L283*M283),0))/1000000)*35.32</f>
        <v>0</v>
      </c>
      <c r="P283" s="125">
        <f>Table13[[#This Row],[Column15]]*$P$2*1000</f>
        <v>0</v>
      </c>
      <c r="Q283" s="87">
        <f>F283+J283+N283</f>
        <v>0</v>
      </c>
      <c r="R283" s="86">
        <f>MAX(Q283,O283)</f>
        <v>0</v>
      </c>
      <c r="S283" s="86">
        <f>MAX(R283,P283)</f>
        <v>0</v>
      </c>
      <c r="T283" s="156" t="str">
        <f>VLOOKUP(A283,'[1]MTP SKUs - Master Data'!$A:$B,2,FALSE)</f>
        <v>DI</v>
      </c>
      <c r="U283" s="162" t="str">
        <f>_xlfn.IFNA(VLOOKUP(Table13[[#This Row],[MTP SKU Code]],'Audit Dimensions'!A:N,6,FALSE),"ARC")</f>
        <v>ARC</v>
      </c>
      <c r="V283" s="162" t="str">
        <f>IFERROR(Table13[[#This Row],[B1.Aud]]-Table13[[#This Row],[PW(gm)]],"ERR")</f>
        <v>ERR</v>
      </c>
      <c r="W283" s="165" t="str">
        <f>IFERROR(Table13[[#This Row],[B1.Diff]]/Table13[[#This Row],[B1.Aud]],"ERR")</f>
        <v>ERR</v>
      </c>
      <c r="X283" s="162" t="str">
        <f>_xlfn.IFNA(VLOOKUP(Table13[[#This Row],[MTP SKU Code]],'Audit Dimensions'!A:N,10,FALSE),"ARC")</f>
        <v>ARC</v>
      </c>
      <c r="Y283" s="163" t="str">
        <f>IFERROR(Table13[[#This Row],[B2.Aud]]-Table13[[#This Row],[PW(gm)5]],"ERR")</f>
        <v>ERR</v>
      </c>
      <c r="Z283" s="165" t="str">
        <f>IFERROR(Table13[[#This Row],[B2.Diff]]/Table13[[#This Row],[B2.Aud]],"ERR")</f>
        <v>ERR</v>
      </c>
      <c r="AA283" s="162" t="str">
        <f>_xlfn.IFNA(VLOOKUP(Table13[[#This Row],[MTP SKU Code]],'Audit Dimensions'!A:N,14,FALSE),"ARC")</f>
        <v>ARC</v>
      </c>
      <c r="AB283" s="161" t="str">
        <f>IFERROR(Table13[[#This Row],[B3.Aud]]-Table13[[#This Row],[PW(gm)9]],"ERR")</f>
        <v>ERR</v>
      </c>
      <c r="AC283" s="168" t="str">
        <f>IFERROR(Table13[[#This Row],[B3.Diff]]/Table13[[#This Row],[BaLL.Aud]],"ERR")</f>
        <v>ERR</v>
      </c>
      <c r="AD283" s="162" t="str">
        <f>_xlfn.IFNA(VLOOKUP(Table13[[#This Row],[MTP SKU Code]],'Audit Dimensions'!A:U,16,FALSE),"ARC")</f>
        <v>ARC</v>
      </c>
      <c r="AE283" s="165" t="str">
        <f>IFERROR(1-Table13[[#This Row],[Gms]]/Table13[[#This Row],[BaLL.Aud]],"ERR")</f>
        <v>ERR</v>
      </c>
    </row>
    <row r="284" spans="1:31" hidden="1">
      <c r="A284" s="68" t="s">
        <v>330</v>
      </c>
      <c r="B284" s="84" t="s">
        <v>48</v>
      </c>
      <c r="C284" s="85">
        <v>27.5</v>
      </c>
      <c r="D284" s="85">
        <v>27.5</v>
      </c>
      <c r="E284" s="85">
        <v>17.5</v>
      </c>
      <c r="F284" s="89">
        <v>2890</v>
      </c>
      <c r="G284" s="85"/>
      <c r="H284" s="85"/>
      <c r="I284" s="85"/>
      <c r="J284" s="85"/>
      <c r="K284" s="85"/>
      <c r="L284" s="85"/>
      <c r="M284" s="85"/>
      <c r="N284" s="85"/>
      <c r="O284" s="118">
        <f>((IFERROR((C284*D284*E284),0)+IFERROR((G284*H284*I284),0)+IFERROR((K284*L284*M284),0))/1000000)*35.32</f>
        <v>0.46743812499999998</v>
      </c>
      <c r="P284" s="125">
        <f>Table13[[#This Row],[Column15]]*$P$2*1000</f>
        <v>2804.6287499999999</v>
      </c>
      <c r="Q284" s="87">
        <f>F284+J284+N284</f>
        <v>2890</v>
      </c>
      <c r="R284" s="86">
        <f>MAX(Q284,O284)</f>
        <v>2890</v>
      </c>
      <c r="S284" s="86">
        <f>MAX(R284,P284)</f>
        <v>2890</v>
      </c>
      <c r="T284" s="156" t="str">
        <f>VLOOKUP(A284,'[1]MTP SKUs - Master Data'!$A:$B,2,FALSE)</f>
        <v>DI</v>
      </c>
      <c r="U284" s="162" t="str">
        <f>_xlfn.IFNA(VLOOKUP(Table13[[#This Row],[MTP SKU Code]],'Audit Dimensions'!A:N,6,FALSE),"ARC")</f>
        <v>ARC</v>
      </c>
      <c r="V284" s="162" t="str">
        <f>IFERROR(Table13[[#This Row],[B1.Aud]]-Table13[[#This Row],[PW(gm)]],"ERR")</f>
        <v>ERR</v>
      </c>
      <c r="W284" s="165" t="str">
        <f>IFERROR(Table13[[#This Row],[B1.Diff]]/Table13[[#This Row],[B1.Aud]],"ERR")</f>
        <v>ERR</v>
      </c>
      <c r="X284" s="162" t="str">
        <f>_xlfn.IFNA(VLOOKUP(Table13[[#This Row],[MTP SKU Code]],'Audit Dimensions'!A:N,10,FALSE),"ARC")</f>
        <v>ARC</v>
      </c>
      <c r="Y284" s="163" t="str">
        <f>IFERROR(Table13[[#This Row],[B2.Aud]]-Table13[[#This Row],[PW(gm)5]],"ERR")</f>
        <v>ERR</v>
      </c>
      <c r="Z284" s="165" t="str">
        <f>IFERROR(Table13[[#This Row],[B2.Diff]]/Table13[[#This Row],[B2.Aud]],"ERR")</f>
        <v>ERR</v>
      </c>
      <c r="AA284" s="162" t="str">
        <f>_xlfn.IFNA(VLOOKUP(Table13[[#This Row],[MTP SKU Code]],'Audit Dimensions'!A:N,14,FALSE),"ARC")</f>
        <v>ARC</v>
      </c>
      <c r="AB284" s="161" t="str">
        <f>IFERROR(Table13[[#This Row],[B3.Aud]]-Table13[[#This Row],[PW(gm)9]],"ERR")</f>
        <v>ERR</v>
      </c>
      <c r="AC284" s="168" t="str">
        <f>IFERROR(Table13[[#This Row],[B3.Diff]]/Table13[[#This Row],[BaLL.Aud]],"ERR")</f>
        <v>ERR</v>
      </c>
      <c r="AD284" s="162" t="str">
        <f>_xlfn.IFNA(VLOOKUP(Table13[[#This Row],[MTP SKU Code]],'Audit Dimensions'!A:U,16,FALSE),"ARC")</f>
        <v>ARC</v>
      </c>
      <c r="AE284" s="165" t="str">
        <f>IFERROR(1-Table13[[#This Row],[Gms]]/Table13[[#This Row],[BaLL.Aud]],"ERR")</f>
        <v>ERR</v>
      </c>
    </row>
    <row r="285" spans="1:31" hidden="1">
      <c r="A285" s="68" t="s">
        <v>331</v>
      </c>
      <c r="B285" s="84" t="s">
        <v>48</v>
      </c>
      <c r="C285" s="85">
        <v>26</v>
      </c>
      <c r="D285" s="85">
        <v>25</v>
      </c>
      <c r="E285" s="85">
        <v>25</v>
      </c>
      <c r="F285" s="89">
        <v>4500</v>
      </c>
      <c r="G285" s="85"/>
      <c r="H285" s="85"/>
      <c r="I285" s="85"/>
      <c r="J285" s="85"/>
      <c r="K285" s="85"/>
      <c r="L285" s="85"/>
      <c r="M285" s="85"/>
      <c r="N285" s="85"/>
      <c r="O285" s="118">
        <f>((IFERROR((C285*D285*E285),0)+IFERROR((G285*H285*I285),0)+IFERROR((K285*L285*M285),0))/1000000)*35.32</f>
        <v>0.57395000000000007</v>
      </c>
      <c r="P285" s="125">
        <f>Table13[[#This Row],[Column15]]*$P$2*1000</f>
        <v>3443.7000000000007</v>
      </c>
      <c r="Q285" s="87">
        <f>F285+J285+N285</f>
        <v>4500</v>
      </c>
      <c r="R285" s="86">
        <f>MAX(Q285,O285)</f>
        <v>4500</v>
      </c>
      <c r="S285" s="86">
        <f>MAX(R285,P285)</f>
        <v>4500</v>
      </c>
      <c r="T285" s="156" t="str">
        <f>VLOOKUP(A285,'[1]MTP SKUs - Master Data'!$A:$B,2,FALSE)</f>
        <v>DI</v>
      </c>
      <c r="U285" s="162" t="str">
        <f>_xlfn.IFNA(VLOOKUP(Table13[[#This Row],[MTP SKU Code]],'Audit Dimensions'!A:N,6,FALSE),"ARC")</f>
        <v>ARC</v>
      </c>
      <c r="V285" s="162" t="str">
        <f>IFERROR(Table13[[#This Row],[B1.Aud]]-Table13[[#This Row],[PW(gm)]],"ERR")</f>
        <v>ERR</v>
      </c>
      <c r="W285" s="165" t="str">
        <f>IFERROR(Table13[[#This Row],[B1.Diff]]/Table13[[#This Row],[B1.Aud]],"ERR")</f>
        <v>ERR</v>
      </c>
      <c r="X285" s="162" t="str">
        <f>_xlfn.IFNA(VLOOKUP(Table13[[#This Row],[MTP SKU Code]],'Audit Dimensions'!A:N,10,FALSE),"ARC")</f>
        <v>ARC</v>
      </c>
      <c r="Y285" s="163" t="str">
        <f>IFERROR(Table13[[#This Row],[B2.Aud]]-Table13[[#This Row],[PW(gm)5]],"ERR")</f>
        <v>ERR</v>
      </c>
      <c r="Z285" s="165" t="str">
        <f>IFERROR(Table13[[#This Row],[B2.Diff]]/Table13[[#This Row],[B2.Aud]],"ERR")</f>
        <v>ERR</v>
      </c>
      <c r="AA285" s="162" t="str">
        <f>_xlfn.IFNA(VLOOKUP(Table13[[#This Row],[MTP SKU Code]],'Audit Dimensions'!A:N,14,FALSE),"ARC")</f>
        <v>ARC</v>
      </c>
      <c r="AB285" s="161" t="str">
        <f>IFERROR(Table13[[#This Row],[B3.Aud]]-Table13[[#This Row],[PW(gm)9]],"ERR")</f>
        <v>ERR</v>
      </c>
      <c r="AC285" s="168" t="str">
        <f>IFERROR(Table13[[#This Row],[B3.Diff]]/Table13[[#This Row],[BaLL.Aud]],"ERR")</f>
        <v>ERR</v>
      </c>
      <c r="AD285" s="162" t="str">
        <f>_xlfn.IFNA(VLOOKUP(Table13[[#This Row],[MTP SKU Code]],'Audit Dimensions'!A:U,16,FALSE),"ARC")</f>
        <v>ARC</v>
      </c>
      <c r="AE285" s="165" t="str">
        <f>IFERROR(1-Table13[[#This Row],[Gms]]/Table13[[#This Row],[BaLL.Aud]],"ERR")</f>
        <v>ERR</v>
      </c>
    </row>
    <row r="286" spans="1:31" hidden="1">
      <c r="A286" s="68" t="s">
        <v>332</v>
      </c>
      <c r="B286" s="84" t="s">
        <v>48</v>
      </c>
      <c r="C286" s="85">
        <v>145</v>
      </c>
      <c r="D286" s="85">
        <v>22</v>
      </c>
      <c r="E286" s="85">
        <v>9</v>
      </c>
      <c r="F286" s="89">
        <v>11430</v>
      </c>
      <c r="G286" s="85"/>
      <c r="H286" s="85"/>
      <c r="I286" s="85"/>
      <c r="J286" s="85"/>
      <c r="K286" s="85"/>
      <c r="L286" s="85"/>
      <c r="M286" s="85"/>
      <c r="N286" s="85"/>
      <c r="O286" s="118">
        <f>((IFERROR((C286*D286*E286),0)+IFERROR((G286*H286*I286),0)+IFERROR((K286*L286*M286),0))/1000000)*35.32</f>
        <v>1.0140372</v>
      </c>
      <c r="P286" s="125">
        <f>Table13[[#This Row],[Column15]]*$P$2*1000</f>
        <v>6084.2232000000004</v>
      </c>
      <c r="Q286" s="87">
        <f>F286+J286+N286</f>
        <v>11430</v>
      </c>
      <c r="R286" s="86">
        <f>MAX(Q286,O286)</f>
        <v>11430</v>
      </c>
      <c r="S286" s="86">
        <f>MAX(R286,P286)</f>
        <v>11430</v>
      </c>
      <c r="T286" s="156" t="str">
        <f>VLOOKUP(A286,'[1]MTP SKUs - Master Data'!$A:$B,2,FALSE)</f>
        <v>DI</v>
      </c>
      <c r="U286" s="162" t="str">
        <f>_xlfn.IFNA(VLOOKUP(Table13[[#This Row],[MTP SKU Code]],'Audit Dimensions'!A:N,6,FALSE),"ARC")</f>
        <v>ARC</v>
      </c>
      <c r="V286" s="162" t="str">
        <f>IFERROR(Table13[[#This Row],[B1.Aud]]-Table13[[#This Row],[PW(gm)]],"ERR")</f>
        <v>ERR</v>
      </c>
      <c r="W286" s="165" t="str">
        <f>IFERROR(Table13[[#This Row],[B1.Diff]]/Table13[[#This Row],[B1.Aud]],"ERR")</f>
        <v>ERR</v>
      </c>
      <c r="X286" s="162" t="str">
        <f>_xlfn.IFNA(VLOOKUP(Table13[[#This Row],[MTP SKU Code]],'Audit Dimensions'!A:N,10,FALSE),"ARC")</f>
        <v>ARC</v>
      </c>
      <c r="Y286" s="163" t="str">
        <f>IFERROR(Table13[[#This Row],[B2.Aud]]-Table13[[#This Row],[PW(gm)5]],"ERR")</f>
        <v>ERR</v>
      </c>
      <c r="Z286" s="165" t="str">
        <f>IFERROR(Table13[[#This Row],[B2.Diff]]/Table13[[#This Row],[B2.Aud]],"ERR")</f>
        <v>ERR</v>
      </c>
      <c r="AA286" s="162" t="str">
        <f>_xlfn.IFNA(VLOOKUP(Table13[[#This Row],[MTP SKU Code]],'Audit Dimensions'!A:N,14,FALSE),"ARC")</f>
        <v>ARC</v>
      </c>
      <c r="AB286" s="161" t="str">
        <f>IFERROR(Table13[[#This Row],[B3.Aud]]-Table13[[#This Row],[PW(gm)9]],"ERR")</f>
        <v>ERR</v>
      </c>
      <c r="AC286" s="168" t="str">
        <f>IFERROR(Table13[[#This Row],[B3.Diff]]/Table13[[#This Row],[BaLL.Aud]],"ERR")</f>
        <v>ERR</v>
      </c>
      <c r="AD286" s="162" t="str">
        <f>_xlfn.IFNA(VLOOKUP(Table13[[#This Row],[MTP SKU Code]],'Audit Dimensions'!A:U,16,FALSE),"ARC")</f>
        <v>ARC</v>
      </c>
      <c r="AE286" s="165" t="str">
        <f>IFERROR(1-Table13[[#This Row],[Gms]]/Table13[[#This Row],[BaLL.Aud]],"ERR")</f>
        <v>ERR</v>
      </c>
    </row>
    <row r="287" spans="1:31" hidden="1">
      <c r="A287" s="68" t="s">
        <v>333</v>
      </c>
      <c r="B287" s="84" t="s">
        <v>48</v>
      </c>
      <c r="C287" s="85">
        <v>103</v>
      </c>
      <c r="D287" s="85">
        <v>35</v>
      </c>
      <c r="E287" s="85">
        <v>7</v>
      </c>
      <c r="F287" s="89">
        <v>12210</v>
      </c>
      <c r="G287" s="85"/>
      <c r="H287" s="85"/>
      <c r="I287" s="85"/>
      <c r="J287" s="85"/>
      <c r="K287" s="85"/>
      <c r="L287" s="85"/>
      <c r="M287" s="85"/>
      <c r="N287" s="85"/>
      <c r="O287" s="118">
        <f>((IFERROR((C287*D287*E287),0)+IFERROR((G287*H287*I287),0)+IFERROR((K287*L287*M287),0))/1000000)*35.32</f>
        <v>0.89130019999999999</v>
      </c>
      <c r="P287" s="125">
        <f>Table13[[#This Row],[Column15]]*$P$2*1000</f>
        <v>5347.8011999999999</v>
      </c>
      <c r="Q287" s="87">
        <f>F287+J287+N287</f>
        <v>12210</v>
      </c>
      <c r="R287" s="86">
        <f>MAX(Q287,O287)</f>
        <v>12210</v>
      </c>
      <c r="S287" s="86">
        <f>MAX(R287,P287)</f>
        <v>12210</v>
      </c>
      <c r="T287" s="156" t="str">
        <f>VLOOKUP(A287,'[1]MTP SKUs - Master Data'!$A:$B,2,FALSE)</f>
        <v>DI</v>
      </c>
      <c r="U287" s="162" t="str">
        <f>_xlfn.IFNA(VLOOKUP(Table13[[#This Row],[MTP SKU Code]],'Audit Dimensions'!A:N,6,FALSE),"ARC")</f>
        <v>ARC</v>
      </c>
      <c r="V287" s="162" t="str">
        <f>IFERROR(Table13[[#This Row],[B1.Aud]]-Table13[[#This Row],[PW(gm)]],"ERR")</f>
        <v>ERR</v>
      </c>
      <c r="W287" s="165" t="str">
        <f>IFERROR(Table13[[#This Row],[B1.Diff]]/Table13[[#This Row],[B1.Aud]],"ERR")</f>
        <v>ERR</v>
      </c>
      <c r="X287" s="162" t="str">
        <f>_xlfn.IFNA(VLOOKUP(Table13[[#This Row],[MTP SKU Code]],'Audit Dimensions'!A:N,10,FALSE),"ARC")</f>
        <v>ARC</v>
      </c>
      <c r="Y287" s="163" t="str">
        <f>IFERROR(Table13[[#This Row],[B2.Aud]]-Table13[[#This Row],[PW(gm)5]],"ERR")</f>
        <v>ERR</v>
      </c>
      <c r="Z287" s="165" t="str">
        <f>IFERROR(Table13[[#This Row],[B2.Diff]]/Table13[[#This Row],[B2.Aud]],"ERR")</f>
        <v>ERR</v>
      </c>
      <c r="AA287" s="162" t="str">
        <f>_xlfn.IFNA(VLOOKUP(Table13[[#This Row],[MTP SKU Code]],'Audit Dimensions'!A:N,14,FALSE),"ARC")</f>
        <v>ARC</v>
      </c>
      <c r="AB287" s="161" t="str">
        <f>IFERROR(Table13[[#This Row],[B3.Aud]]-Table13[[#This Row],[PW(gm)9]],"ERR")</f>
        <v>ERR</v>
      </c>
      <c r="AC287" s="168" t="str">
        <f>IFERROR(Table13[[#This Row],[B3.Diff]]/Table13[[#This Row],[BaLL.Aud]],"ERR")</f>
        <v>ERR</v>
      </c>
      <c r="AD287" s="162" t="str">
        <f>_xlfn.IFNA(VLOOKUP(Table13[[#This Row],[MTP SKU Code]],'Audit Dimensions'!A:U,16,FALSE),"ARC")</f>
        <v>ARC</v>
      </c>
      <c r="AE287" s="165" t="str">
        <f>IFERROR(1-Table13[[#This Row],[Gms]]/Table13[[#This Row],[BaLL.Aud]],"ERR")</f>
        <v>ERR</v>
      </c>
    </row>
    <row r="288" spans="1:31" hidden="1">
      <c r="A288" s="68" t="s">
        <v>334</v>
      </c>
      <c r="B288" s="84" t="s">
        <v>48</v>
      </c>
      <c r="C288" s="85">
        <v>32</v>
      </c>
      <c r="D288" s="85">
        <v>32</v>
      </c>
      <c r="E288" s="85">
        <v>12</v>
      </c>
      <c r="F288" s="89">
        <v>1890</v>
      </c>
      <c r="G288" s="85"/>
      <c r="H288" s="85"/>
      <c r="I288" s="85"/>
      <c r="J288" s="85"/>
      <c r="K288" s="85"/>
      <c r="L288" s="85"/>
      <c r="M288" s="85"/>
      <c r="N288" s="85"/>
      <c r="O288" s="118">
        <f>((IFERROR((C288*D288*E288),0)+IFERROR((G288*H288*I288),0)+IFERROR((K288*L288*M288),0))/1000000)*35.32</f>
        <v>0.43401216000000004</v>
      </c>
      <c r="P288" s="125">
        <f>Table13[[#This Row],[Column15]]*$P$2*1000</f>
        <v>2604.0729600000004</v>
      </c>
      <c r="Q288" s="87">
        <f>F288+J288+N288</f>
        <v>1890</v>
      </c>
      <c r="R288" s="86">
        <f>MAX(Q288,O288)</f>
        <v>1890</v>
      </c>
      <c r="S288" s="86">
        <f>MAX(R288,P288)</f>
        <v>2604.0729600000004</v>
      </c>
      <c r="T288" s="156" t="str">
        <f>VLOOKUP(A288,'[1]MTP SKUs - Master Data'!$A:$B,2,FALSE)</f>
        <v>DI</v>
      </c>
      <c r="U288" s="162" t="str">
        <f>_xlfn.IFNA(VLOOKUP(Table13[[#This Row],[MTP SKU Code]],'Audit Dimensions'!A:N,6,FALSE),"ARC")</f>
        <v>ARC</v>
      </c>
      <c r="V288" s="162" t="str">
        <f>IFERROR(Table13[[#This Row],[B1.Aud]]-Table13[[#This Row],[PW(gm)]],"ERR")</f>
        <v>ERR</v>
      </c>
      <c r="W288" s="165" t="str">
        <f>IFERROR(Table13[[#This Row],[B1.Diff]]/Table13[[#This Row],[B1.Aud]],"ERR")</f>
        <v>ERR</v>
      </c>
      <c r="X288" s="162" t="str">
        <f>_xlfn.IFNA(VLOOKUP(Table13[[#This Row],[MTP SKU Code]],'Audit Dimensions'!A:N,10,FALSE),"ARC")</f>
        <v>ARC</v>
      </c>
      <c r="Y288" s="163" t="str">
        <f>IFERROR(Table13[[#This Row],[B2.Aud]]-Table13[[#This Row],[PW(gm)5]],"ERR")</f>
        <v>ERR</v>
      </c>
      <c r="Z288" s="165" t="str">
        <f>IFERROR(Table13[[#This Row],[B2.Diff]]/Table13[[#This Row],[B2.Aud]],"ERR")</f>
        <v>ERR</v>
      </c>
      <c r="AA288" s="162" t="str">
        <f>_xlfn.IFNA(VLOOKUP(Table13[[#This Row],[MTP SKU Code]],'Audit Dimensions'!A:N,14,FALSE),"ARC")</f>
        <v>ARC</v>
      </c>
      <c r="AB288" s="161" t="str">
        <f>IFERROR(Table13[[#This Row],[B3.Aud]]-Table13[[#This Row],[PW(gm)9]],"ERR")</f>
        <v>ERR</v>
      </c>
      <c r="AC288" s="168" t="str">
        <f>IFERROR(Table13[[#This Row],[B3.Diff]]/Table13[[#This Row],[BaLL.Aud]],"ERR")</f>
        <v>ERR</v>
      </c>
      <c r="AD288" s="162" t="str">
        <f>_xlfn.IFNA(VLOOKUP(Table13[[#This Row],[MTP SKU Code]],'Audit Dimensions'!A:U,16,FALSE),"ARC")</f>
        <v>ARC</v>
      </c>
      <c r="AE288" s="165" t="str">
        <f>IFERROR(1-Table13[[#This Row],[Gms]]/Table13[[#This Row],[BaLL.Aud]],"ERR")</f>
        <v>ERR</v>
      </c>
    </row>
    <row r="289" spans="1:31" hidden="1">
      <c r="A289" s="68" t="s">
        <v>335</v>
      </c>
      <c r="B289" s="84" t="s">
        <v>48</v>
      </c>
      <c r="C289" s="85">
        <v>86.5</v>
      </c>
      <c r="D289" s="85">
        <v>16</v>
      </c>
      <c r="E289" s="85">
        <v>6</v>
      </c>
      <c r="F289" s="89">
        <v>3890</v>
      </c>
      <c r="G289" s="85"/>
      <c r="H289" s="85"/>
      <c r="I289" s="85"/>
      <c r="J289" s="85"/>
      <c r="K289" s="85"/>
      <c r="L289" s="85"/>
      <c r="M289" s="85"/>
      <c r="N289" s="85"/>
      <c r="O289" s="118">
        <f>((IFERROR((C289*D289*E289),0)+IFERROR((G289*H289*I289),0)+IFERROR((K289*L289*M289),0))/1000000)*35.32</f>
        <v>0.29329728000000005</v>
      </c>
      <c r="P289" s="125">
        <f>Table13[[#This Row],[Column15]]*$P$2*1000</f>
        <v>1759.7836800000005</v>
      </c>
      <c r="Q289" s="87">
        <f>F289+J289+N289</f>
        <v>3890</v>
      </c>
      <c r="R289" s="86">
        <f>MAX(Q289,O289)</f>
        <v>3890</v>
      </c>
      <c r="S289" s="86">
        <f>MAX(R289,P289)</f>
        <v>3890</v>
      </c>
      <c r="T289" s="156" t="str">
        <f>VLOOKUP(A289,'[1]MTP SKUs - Master Data'!$A:$B,2,FALSE)</f>
        <v>DI</v>
      </c>
      <c r="U289" s="162" t="str">
        <f>_xlfn.IFNA(VLOOKUP(Table13[[#This Row],[MTP SKU Code]],'Audit Dimensions'!A:N,6,FALSE),"ARC")</f>
        <v>ARC</v>
      </c>
      <c r="V289" s="162" t="str">
        <f>IFERROR(Table13[[#This Row],[B1.Aud]]-Table13[[#This Row],[PW(gm)]],"ERR")</f>
        <v>ERR</v>
      </c>
      <c r="W289" s="165" t="str">
        <f>IFERROR(Table13[[#This Row],[B1.Diff]]/Table13[[#This Row],[B1.Aud]],"ERR")</f>
        <v>ERR</v>
      </c>
      <c r="X289" s="162" t="str">
        <f>_xlfn.IFNA(VLOOKUP(Table13[[#This Row],[MTP SKU Code]],'Audit Dimensions'!A:N,10,FALSE),"ARC")</f>
        <v>ARC</v>
      </c>
      <c r="Y289" s="163" t="str">
        <f>IFERROR(Table13[[#This Row],[B2.Aud]]-Table13[[#This Row],[PW(gm)5]],"ERR")</f>
        <v>ERR</v>
      </c>
      <c r="Z289" s="165" t="str">
        <f>IFERROR(Table13[[#This Row],[B2.Diff]]/Table13[[#This Row],[B2.Aud]],"ERR")</f>
        <v>ERR</v>
      </c>
      <c r="AA289" s="162" t="str">
        <f>_xlfn.IFNA(VLOOKUP(Table13[[#This Row],[MTP SKU Code]],'Audit Dimensions'!A:N,14,FALSE),"ARC")</f>
        <v>ARC</v>
      </c>
      <c r="AB289" s="161" t="str">
        <f>IFERROR(Table13[[#This Row],[B3.Aud]]-Table13[[#This Row],[PW(gm)9]],"ERR")</f>
        <v>ERR</v>
      </c>
      <c r="AC289" s="168" t="str">
        <f>IFERROR(Table13[[#This Row],[B3.Diff]]/Table13[[#This Row],[BaLL.Aud]],"ERR")</f>
        <v>ERR</v>
      </c>
      <c r="AD289" s="162" t="str">
        <f>_xlfn.IFNA(VLOOKUP(Table13[[#This Row],[MTP SKU Code]],'Audit Dimensions'!A:U,16,FALSE),"ARC")</f>
        <v>ARC</v>
      </c>
      <c r="AE289" s="165" t="str">
        <f>IFERROR(1-Table13[[#This Row],[Gms]]/Table13[[#This Row],[BaLL.Aud]],"ERR")</f>
        <v>ERR</v>
      </c>
    </row>
    <row r="290" spans="1:31" hidden="1">
      <c r="A290" s="68" t="s">
        <v>336</v>
      </c>
      <c r="B290" s="84" t="s">
        <v>48</v>
      </c>
      <c r="C290" s="85">
        <v>112</v>
      </c>
      <c r="D290" s="85">
        <v>51</v>
      </c>
      <c r="E290" s="85">
        <v>8</v>
      </c>
      <c r="F290" s="89">
        <v>14550</v>
      </c>
      <c r="G290" s="85"/>
      <c r="H290" s="85"/>
      <c r="I290" s="85"/>
      <c r="J290" s="85"/>
      <c r="K290" s="85"/>
      <c r="L290" s="85"/>
      <c r="M290" s="85"/>
      <c r="N290" s="85"/>
      <c r="O290" s="118">
        <f>((IFERROR((C290*D290*E290),0)+IFERROR((G290*H290*I290),0)+IFERROR((K290*L290*M290),0))/1000000)*35.32</f>
        <v>1.6139827200000001</v>
      </c>
      <c r="P290" s="125">
        <f>Table13[[#This Row],[Column15]]*$P$2*1000</f>
        <v>9683.8963199999998</v>
      </c>
      <c r="Q290" s="87">
        <f>F290+J290+N290</f>
        <v>14550</v>
      </c>
      <c r="R290" s="86">
        <f>MAX(Q290,O290)</f>
        <v>14550</v>
      </c>
      <c r="S290" s="86">
        <f>MAX(R290,P290)</f>
        <v>14550</v>
      </c>
      <c r="T290" s="156" t="str">
        <f>VLOOKUP(A290,'[1]MTP SKUs - Master Data'!$A:$B,2,FALSE)</f>
        <v>DI</v>
      </c>
      <c r="U290" s="162" t="str">
        <f>_xlfn.IFNA(VLOOKUP(Table13[[#This Row],[MTP SKU Code]],'Audit Dimensions'!A:N,6,FALSE),"ARC")</f>
        <v>ARC</v>
      </c>
      <c r="V290" s="162" t="str">
        <f>IFERROR(Table13[[#This Row],[B1.Aud]]-Table13[[#This Row],[PW(gm)]],"ERR")</f>
        <v>ERR</v>
      </c>
      <c r="W290" s="165" t="str">
        <f>IFERROR(Table13[[#This Row],[B1.Diff]]/Table13[[#This Row],[B1.Aud]],"ERR")</f>
        <v>ERR</v>
      </c>
      <c r="X290" s="162" t="str">
        <f>_xlfn.IFNA(VLOOKUP(Table13[[#This Row],[MTP SKU Code]],'Audit Dimensions'!A:N,10,FALSE),"ARC")</f>
        <v>ARC</v>
      </c>
      <c r="Y290" s="163" t="str">
        <f>IFERROR(Table13[[#This Row],[B2.Aud]]-Table13[[#This Row],[PW(gm)5]],"ERR")</f>
        <v>ERR</v>
      </c>
      <c r="Z290" s="165" t="str">
        <f>IFERROR(Table13[[#This Row],[B2.Diff]]/Table13[[#This Row],[B2.Aud]],"ERR")</f>
        <v>ERR</v>
      </c>
      <c r="AA290" s="162" t="str">
        <f>_xlfn.IFNA(VLOOKUP(Table13[[#This Row],[MTP SKU Code]],'Audit Dimensions'!A:N,14,FALSE),"ARC")</f>
        <v>ARC</v>
      </c>
      <c r="AB290" s="161" t="str">
        <f>IFERROR(Table13[[#This Row],[B3.Aud]]-Table13[[#This Row],[PW(gm)9]],"ERR")</f>
        <v>ERR</v>
      </c>
      <c r="AC290" s="168" t="str">
        <f>IFERROR(Table13[[#This Row],[B3.Diff]]/Table13[[#This Row],[BaLL.Aud]],"ERR")</f>
        <v>ERR</v>
      </c>
      <c r="AD290" s="162" t="str">
        <f>_xlfn.IFNA(VLOOKUP(Table13[[#This Row],[MTP SKU Code]],'Audit Dimensions'!A:U,16,FALSE),"ARC")</f>
        <v>ARC</v>
      </c>
      <c r="AE290" s="165" t="str">
        <f>IFERROR(1-Table13[[#This Row],[Gms]]/Table13[[#This Row],[BaLL.Aud]],"ERR")</f>
        <v>ERR</v>
      </c>
    </row>
    <row r="291" spans="1:31" hidden="1">
      <c r="A291" s="68" t="s">
        <v>337</v>
      </c>
      <c r="B291" s="84" t="s">
        <v>48</v>
      </c>
      <c r="C291" s="85">
        <v>85.7</v>
      </c>
      <c r="D291" s="85">
        <v>45.7</v>
      </c>
      <c r="E291" s="85">
        <v>6.5</v>
      </c>
      <c r="F291" s="89">
        <v>12000</v>
      </c>
      <c r="G291" s="85"/>
      <c r="H291" s="85"/>
      <c r="I291" s="85"/>
      <c r="J291" s="85"/>
      <c r="K291" s="85"/>
      <c r="L291" s="85"/>
      <c r="M291" s="85"/>
      <c r="N291" s="85"/>
      <c r="O291" s="118">
        <f>((IFERROR((C291*D291*E291),0)+IFERROR((G291*H291*I291),0)+IFERROR((K291*L291*M291),0))/1000000)*35.32</f>
        <v>0.89914777420000003</v>
      </c>
      <c r="P291" s="125">
        <f>Table13[[#This Row],[Column15]]*$P$2*1000</f>
        <v>5394.8866451999993</v>
      </c>
      <c r="Q291" s="87">
        <f>F291+J291+N291</f>
        <v>12000</v>
      </c>
      <c r="R291" s="86">
        <f>MAX(Q291,O291)</f>
        <v>12000</v>
      </c>
      <c r="S291" s="86">
        <f>MAX(R291,P291)</f>
        <v>12000</v>
      </c>
      <c r="T291" s="156" t="str">
        <f>VLOOKUP(A291,'[1]MTP SKUs - Master Data'!$A:$B,2,FALSE)</f>
        <v>DI</v>
      </c>
      <c r="U291" s="162" t="str">
        <f>_xlfn.IFNA(VLOOKUP(Table13[[#This Row],[MTP SKU Code]],'Audit Dimensions'!A:N,6,FALSE),"ARC")</f>
        <v>ARC</v>
      </c>
      <c r="V291" s="162" t="str">
        <f>IFERROR(Table13[[#This Row],[B1.Aud]]-Table13[[#This Row],[PW(gm)]],"ERR")</f>
        <v>ERR</v>
      </c>
      <c r="W291" s="165" t="str">
        <f>IFERROR(Table13[[#This Row],[B1.Diff]]/Table13[[#This Row],[B1.Aud]],"ERR")</f>
        <v>ERR</v>
      </c>
      <c r="X291" s="162" t="str">
        <f>_xlfn.IFNA(VLOOKUP(Table13[[#This Row],[MTP SKU Code]],'Audit Dimensions'!A:N,10,FALSE),"ARC")</f>
        <v>ARC</v>
      </c>
      <c r="Y291" s="163" t="str">
        <f>IFERROR(Table13[[#This Row],[B2.Aud]]-Table13[[#This Row],[PW(gm)5]],"ERR")</f>
        <v>ERR</v>
      </c>
      <c r="Z291" s="165" t="str">
        <f>IFERROR(Table13[[#This Row],[B2.Diff]]/Table13[[#This Row],[B2.Aud]],"ERR")</f>
        <v>ERR</v>
      </c>
      <c r="AA291" s="162" t="str">
        <f>_xlfn.IFNA(VLOOKUP(Table13[[#This Row],[MTP SKU Code]],'Audit Dimensions'!A:N,14,FALSE),"ARC")</f>
        <v>ARC</v>
      </c>
      <c r="AB291" s="161" t="str">
        <f>IFERROR(Table13[[#This Row],[B3.Aud]]-Table13[[#This Row],[PW(gm)9]],"ERR")</f>
        <v>ERR</v>
      </c>
      <c r="AC291" s="168" t="str">
        <f>IFERROR(Table13[[#This Row],[B3.Diff]]/Table13[[#This Row],[BaLL.Aud]],"ERR")</f>
        <v>ERR</v>
      </c>
      <c r="AD291" s="162" t="str">
        <f>_xlfn.IFNA(VLOOKUP(Table13[[#This Row],[MTP SKU Code]],'Audit Dimensions'!A:U,16,FALSE),"ARC")</f>
        <v>ARC</v>
      </c>
      <c r="AE291" s="165" t="str">
        <f>IFERROR(1-Table13[[#This Row],[Gms]]/Table13[[#This Row],[BaLL.Aud]],"ERR")</f>
        <v>ERR</v>
      </c>
    </row>
    <row r="292" spans="1:31" hidden="1">
      <c r="A292" s="68" t="s">
        <v>338</v>
      </c>
      <c r="B292" s="84" t="s">
        <v>48</v>
      </c>
      <c r="C292" s="85">
        <v>35</v>
      </c>
      <c r="D292" s="85">
        <v>33</v>
      </c>
      <c r="E292" s="85">
        <v>7</v>
      </c>
      <c r="F292" s="89">
        <v>1535</v>
      </c>
      <c r="G292" s="85"/>
      <c r="H292" s="85"/>
      <c r="I292" s="85"/>
      <c r="J292" s="85"/>
      <c r="K292" s="85"/>
      <c r="L292" s="85"/>
      <c r="M292" s="85"/>
      <c r="N292" s="85"/>
      <c r="O292" s="118">
        <f>((IFERROR((C292*D292*E292),0)+IFERROR((G292*H292*I292),0)+IFERROR((K292*L292*M292),0))/1000000)*35.32</f>
        <v>0.28556219999999999</v>
      </c>
      <c r="P292" s="125">
        <f>Table13[[#This Row],[Column15]]*$P$2*1000</f>
        <v>1713.3732</v>
      </c>
      <c r="Q292" s="87">
        <f>F292+J292+N292</f>
        <v>1535</v>
      </c>
      <c r="R292" s="86">
        <f>MAX(Q292,O292)</f>
        <v>1535</v>
      </c>
      <c r="S292" s="86">
        <f>MAX(R292,P292)</f>
        <v>1713.3732</v>
      </c>
      <c r="T292" s="156" t="str">
        <f>VLOOKUP(A292,'[1]MTP SKUs - Master Data'!$A:$B,2,FALSE)</f>
        <v>DI</v>
      </c>
      <c r="U292" s="162" t="str">
        <f>_xlfn.IFNA(VLOOKUP(Table13[[#This Row],[MTP SKU Code]],'Audit Dimensions'!A:N,6,FALSE),"ARC")</f>
        <v>ARC</v>
      </c>
      <c r="V292" s="162" t="str">
        <f>IFERROR(Table13[[#This Row],[B1.Aud]]-Table13[[#This Row],[PW(gm)]],"ERR")</f>
        <v>ERR</v>
      </c>
      <c r="W292" s="165" t="str">
        <f>IFERROR(Table13[[#This Row],[B1.Diff]]/Table13[[#This Row],[B1.Aud]],"ERR")</f>
        <v>ERR</v>
      </c>
      <c r="X292" s="162" t="str">
        <f>_xlfn.IFNA(VLOOKUP(Table13[[#This Row],[MTP SKU Code]],'Audit Dimensions'!A:N,10,FALSE),"ARC")</f>
        <v>ARC</v>
      </c>
      <c r="Y292" s="163" t="str">
        <f>IFERROR(Table13[[#This Row],[B2.Aud]]-Table13[[#This Row],[PW(gm)5]],"ERR")</f>
        <v>ERR</v>
      </c>
      <c r="Z292" s="165" t="str">
        <f>IFERROR(Table13[[#This Row],[B2.Diff]]/Table13[[#This Row],[B2.Aud]],"ERR")</f>
        <v>ERR</v>
      </c>
      <c r="AA292" s="162" t="str">
        <f>_xlfn.IFNA(VLOOKUP(Table13[[#This Row],[MTP SKU Code]],'Audit Dimensions'!A:N,14,FALSE),"ARC")</f>
        <v>ARC</v>
      </c>
      <c r="AB292" s="161" t="str">
        <f>IFERROR(Table13[[#This Row],[B3.Aud]]-Table13[[#This Row],[PW(gm)9]],"ERR")</f>
        <v>ERR</v>
      </c>
      <c r="AC292" s="168" t="str">
        <f>IFERROR(Table13[[#This Row],[B3.Diff]]/Table13[[#This Row],[BaLL.Aud]],"ERR")</f>
        <v>ERR</v>
      </c>
      <c r="AD292" s="162" t="str">
        <f>_xlfn.IFNA(VLOOKUP(Table13[[#This Row],[MTP SKU Code]],'Audit Dimensions'!A:U,16,FALSE),"ARC")</f>
        <v>ARC</v>
      </c>
      <c r="AE292" s="165" t="str">
        <f>IFERROR(1-Table13[[#This Row],[Gms]]/Table13[[#This Row],[BaLL.Aud]],"ERR")</f>
        <v>ERR</v>
      </c>
    </row>
    <row r="293" spans="1:31" hidden="1">
      <c r="A293" s="68" t="s">
        <v>339</v>
      </c>
      <c r="B293" s="84" t="s">
        <v>48</v>
      </c>
      <c r="C293" s="85">
        <v>76</v>
      </c>
      <c r="D293" s="85">
        <v>26</v>
      </c>
      <c r="E293" s="85">
        <v>5</v>
      </c>
      <c r="F293" s="89">
        <v>945</v>
      </c>
      <c r="G293" s="85"/>
      <c r="H293" s="85"/>
      <c r="I293" s="85"/>
      <c r="J293" s="85"/>
      <c r="K293" s="85"/>
      <c r="L293" s="85"/>
      <c r="M293" s="85"/>
      <c r="N293" s="85"/>
      <c r="O293" s="118">
        <f>((IFERROR((C293*D293*E293),0)+IFERROR((G293*H293*I293),0)+IFERROR((K293*L293*M293),0))/1000000)*35.32</f>
        <v>0.34896159999999998</v>
      </c>
      <c r="P293" s="125">
        <f>Table13[[#This Row],[Column15]]*$P$2*1000</f>
        <v>2093.7696000000001</v>
      </c>
      <c r="Q293" s="87">
        <f>F293+J293+N293</f>
        <v>945</v>
      </c>
      <c r="R293" s="86">
        <f>MAX(Q293,O293)</f>
        <v>945</v>
      </c>
      <c r="S293" s="86">
        <f>MAX(R293,P293)</f>
        <v>2093.7696000000001</v>
      </c>
      <c r="T293" s="156" t="str">
        <f>VLOOKUP(A293,'[1]MTP SKUs - Master Data'!$A:$B,2,FALSE)</f>
        <v>DI</v>
      </c>
      <c r="U293" s="162" t="str">
        <f>_xlfn.IFNA(VLOOKUP(Table13[[#This Row],[MTP SKU Code]],'Audit Dimensions'!A:N,6,FALSE),"ARC")</f>
        <v>ARC</v>
      </c>
      <c r="V293" s="162" t="str">
        <f>IFERROR(Table13[[#This Row],[B1.Aud]]-Table13[[#This Row],[PW(gm)]],"ERR")</f>
        <v>ERR</v>
      </c>
      <c r="W293" s="165" t="str">
        <f>IFERROR(Table13[[#This Row],[B1.Diff]]/Table13[[#This Row],[B1.Aud]],"ERR")</f>
        <v>ERR</v>
      </c>
      <c r="X293" s="162" t="str">
        <f>_xlfn.IFNA(VLOOKUP(Table13[[#This Row],[MTP SKU Code]],'Audit Dimensions'!A:N,10,FALSE),"ARC")</f>
        <v>ARC</v>
      </c>
      <c r="Y293" s="163" t="str">
        <f>IFERROR(Table13[[#This Row],[B2.Aud]]-Table13[[#This Row],[PW(gm)5]],"ERR")</f>
        <v>ERR</v>
      </c>
      <c r="Z293" s="165" t="str">
        <f>IFERROR(Table13[[#This Row],[B2.Diff]]/Table13[[#This Row],[B2.Aud]],"ERR")</f>
        <v>ERR</v>
      </c>
      <c r="AA293" s="162" t="str">
        <f>_xlfn.IFNA(VLOOKUP(Table13[[#This Row],[MTP SKU Code]],'Audit Dimensions'!A:N,14,FALSE),"ARC")</f>
        <v>ARC</v>
      </c>
      <c r="AB293" s="161" t="str">
        <f>IFERROR(Table13[[#This Row],[B3.Aud]]-Table13[[#This Row],[PW(gm)9]],"ERR")</f>
        <v>ERR</v>
      </c>
      <c r="AC293" s="168" t="str">
        <f>IFERROR(Table13[[#This Row],[B3.Diff]]/Table13[[#This Row],[BaLL.Aud]],"ERR")</f>
        <v>ERR</v>
      </c>
      <c r="AD293" s="162" t="str">
        <f>_xlfn.IFNA(VLOOKUP(Table13[[#This Row],[MTP SKU Code]],'Audit Dimensions'!A:U,16,FALSE),"ARC")</f>
        <v>ARC</v>
      </c>
      <c r="AE293" s="165" t="str">
        <f>IFERROR(1-Table13[[#This Row],[Gms]]/Table13[[#This Row],[BaLL.Aud]],"ERR")</f>
        <v>ERR</v>
      </c>
    </row>
    <row r="294" spans="1:31" hidden="1">
      <c r="A294" s="68" t="s">
        <v>340</v>
      </c>
      <c r="B294" s="84" t="s">
        <v>48</v>
      </c>
      <c r="C294" s="85">
        <v>121</v>
      </c>
      <c r="D294" s="85">
        <v>63</v>
      </c>
      <c r="E294" s="85">
        <v>5</v>
      </c>
      <c r="F294" s="89">
        <v>13215</v>
      </c>
      <c r="G294" s="85"/>
      <c r="H294" s="85"/>
      <c r="I294" s="85"/>
      <c r="J294" s="85"/>
      <c r="K294" s="85"/>
      <c r="L294" s="85"/>
      <c r="M294" s="85"/>
      <c r="N294" s="85"/>
      <c r="O294" s="118">
        <f>((IFERROR((C294*D294*E294),0)+IFERROR((G294*H294*I294),0)+IFERROR((K294*L294*M294),0))/1000000)*35.32</f>
        <v>1.3462218000000001</v>
      </c>
      <c r="P294" s="125">
        <f>Table13[[#This Row],[Column15]]*$P$2*1000</f>
        <v>8077.3308000000006</v>
      </c>
      <c r="Q294" s="87">
        <f>F294+J294+N294</f>
        <v>13215</v>
      </c>
      <c r="R294" s="86">
        <f>MAX(Q294,O294)</f>
        <v>13215</v>
      </c>
      <c r="S294" s="86">
        <f>MAX(R294,P294)</f>
        <v>13215</v>
      </c>
      <c r="T294" s="156" t="str">
        <f>VLOOKUP(A294,'[1]MTP SKUs - Master Data'!$A:$B,2,FALSE)</f>
        <v>DI</v>
      </c>
      <c r="U294" s="162" t="str">
        <f>_xlfn.IFNA(VLOOKUP(Table13[[#This Row],[MTP SKU Code]],'Audit Dimensions'!A:N,6,FALSE),"ARC")</f>
        <v>0</v>
      </c>
      <c r="V294" s="162">
        <f>IFERROR(Table13[[#This Row],[B1.Aud]]-Table13[[#This Row],[PW(gm)]],"ERR")</f>
        <v>-13215</v>
      </c>
      <c r="W294" s="165" t="str">
        <f>IFERROR(Table13[[#This Row],[B1.Diff]]/Table13[[#This Row],[B1.Aud]],"ERR")</f>
        <v>ERR</v>
      </c>
      <c r="X294" s="162" t="str">
        <f>_xlfn.IFNA(VLOOKUP(Table13[[#This Row],[MTP SKU Code]],'Audit Dimensions'!A:N,10,FALSE),"ARC")</f>
        <v>0</v>
      </c>
      <c r="Y294" s="163">
        <f>IFERROR(Table13[[#This Row],[B2.Aud]]-Table13[[#This Row],[PW(gm)5]],"ERR")</f>
        <v>0</v>
      </c>
      <c r="Z294" s="165" t="str">
        <f>IFERROR(Table13[[#This Row],[B2.Diff]]/Table13[[#This Row],[B2.Aud]],"ERR")</f>
        <v>ERR</v>
      </c>
      <c r="AA294" s="162" t="str">
        <f>_xlfn.IFNA(VLOOKUP(Table13[[#This Row],[MTP SKU Code]],'Audit Dimensions'!A:N,14,FALSE),"ARC")</f>
        <v>0</v>
      </c>
      <c r="AB294" s="161">
        <f>IFERROR(Table13[[#This Row],[B3.Aud]]-Table13[[#This Row],[PW(gm)9]],"ERR")</f>
        <v>0</v>
      </c>
      <c r="AC294" s="168" t="str">
        <f>IFERROR(Table13[[#This Row],[B3.Diff]]/Table13[[#This Row],[BaLL.Aud]],"ERR")</f>
        <v>ERR</v>
      </c>
      <c r="AD294" s="162">
        <f>_xlfn.IFNA(VLOOKUP(Table13[[#This Row],[MTP SKU Code]],'Audit Dimensions'!A:U,16,FALSE),"ARC")</f>
        <v>0</v>
      </c>
      <c r="AE294" s="165" t="str">
        <f>IFERROR(1-Table13[[#This Row],[Gms]]/Table13[[#This Row],[BaLL.Aud]],"ERR")</f>
        <v>ERR</v>
      </c>
    </row>
    <row r="295" spans="1:31" hidden="1">
      <c r="A295" s="68" t="s">
        <v>341</v>
      </c>
      <c r="B295" s="84" t="s">
        <v>48</v>
      </c>
      <c r="C295" s="85">
        <v>87</v>
      </c>
      <c r="D295" s="85">
        <v>59</v>
      </c>
      <c r="E295" s="85">
        <v>5</v>
      </c>
      <c r="F295" s="89">
        <v>6360</v>
      </c>
      <c r="G295" s="85"/>
      <c r="H295" s="85"/>
      <c r="I295" s="85"/>
      <c r="J295" s="85"/>
      <c r="K295" s="85"/>
      <c r="L295" s="85"/>
      <c r="M295" s="85"/>
      <c r="N295" s="85"/>
      <c r="O295" s="118">
        <f>((IFERROR((C295*D295*E295),0)+IFERROR((G295*H295*I295),0)+IFERROR((K295*L295*M295),0))/1000000)*35.32</f>
        <v>0.90648780000000007</v>
      </c>
      <c r="P295" s="125">
        <f>Table13[[#This Row],[Column15]]*$P$2*1000</f>
        <v>5438.9268000000011</v>
      </c>
      <c r="Q295" s="87">
        <f>F295+J295+N295</f>
        <v>6360</v>
      </c>
      <c r="R295" s="86">
        <f>MAX(Q295,O295)</f>
        <v>6360</v>
      </c>
      <c r="S295" s="86">
        <f>MAX(R295,P295)</f>
        <v>6360</v>
      </c>
      <c r="T295" s="156" t="str">
        <f>VLOOKUP(A295,'[1]MTP SKUs - Master Data'!$A:$B,2,FALSE)</f>
        <v>DI</v>
      </c>
      <c r="U295" s="162" t="str">
        <f>_xlfn.IFNA(VLOOKUP(Table13[[#This Row],[MTP SKU Code]],'Audit Dimensions'!A:N,6,FALSE),"ARC")</f>
        <v>ARC</v>
      </c>
      <c r="V295" s="162" t="str">
        <f>IFERROR(Table13[[#This Row],[B1.Aud]]-Table13[[#This Row],[PW(gm)]],"ERR")</f>
        <v>ERR</v>
      </c>
      <c r="W295" s="165" t="str">
        <f>IFERROR(Table13[[#This Row],[B1.Diff]]/Table13[[#This Row],[B1.Aud]],"ERR")</f>
        <v>ERR</v>
      </c>
      <c r="X295" s="162" t="str">
        <f>_xlfn.IFNA(VLOOKUP(Table13[[#This Row],[MTP SKU Code]],'Audit Dimensions'!A:N,10,FALSE),"ARC")</f>
        <v>ARC</v>
      </c>
      <c r="Y295" s="163" t="str">
        <f>IFERROR(Table13[[#This Row],[B2.Aud]]-Table13[[#This Row],[PW(gm)5]],"ERR")</f>
        <v>ERR</v>
      </c>
      <c r="Z295" s="165" t="str">
        <f>IFERROR(Table13[[#This Row],[B2.Diff]]/Table13[[#This Row],[B2.Aud]],"ERR")</f>
        <v>ERR</v>
      </c>
      <c r="AA295" s="162" t="str">
        <f>_xlfn.IFNA(VLOOKUP(Table13[[#This Row],[MTP SKU Code]],'Audit Dimensions'!A:N,14,FALSE),"ARC")</f>
        <v>ARC</v>
      </c>
      <c r="AB295" s="161" t="str">
        <f>IFERROR(Table13[[#This Row],[B3.Aud]]-Table13[[#This Row],[PW(gm)9]],"ERR")</f>
        <v>ERR</v>
      </c>
      <c r="AC295" s="168" t="str">
        <f>IFERROR(Table13[[#This Row],[B3.Diff]]/Table13[[#This Row],[BaLL.Aud]],"ERR")</f>
        <v>ERR</v>
      </c>
      <c r="AD295" s="162" t="str">
        <f>_xlfn.IFNA(VLOOKUP(Table13[[#This Row],[MTP SKU Code]],'Audit Dimensions'!A:U,16,FALSE),"ARC")</f>
        <v>ARC</v>
      </c>
      <c r="AE295" s="165" t="str">
        <f>IFERROR(1-Table13[[#This Row],[Gms]]/Table13[[#This Row],[BaLL.Aud]],"ERR")</f>
        <v>ERR</v>
      </c>
    </row>
    <row r="296" spans="1:31" hidden="1">
      <c r="A296" s="68" t="s">
        <v>342</v>
      </c>
      <c r="B296" s="84" t="s">
        <v>48</v>
      </c>
      <c r="C296" s="85">
        <v>86</v>
      </c>
      <c r="D296" s="85">
        <v>60</v>
      </c>
      <c r="E296" s="85">
        <v>5</v>
      </c>
      <c r="F296" s="89">
        <v>8000</v>
      </c>
      <c r="G296" s="85"/>
      <c r="H296" s="85"/>
      <c r="I296" s="85"/>
      <c r="J296" s="85"/>
      <c r="K296" s="85"/>
      <c r="L296" s="85"/>
      <c r="M296" s="85"/>
      <c r="N296" s="85"/>
      <c r="O296" s="118">
        <f>((IFERROR((C296*D296*E296),0)+IFERROR((G296*H296*I296),0)+IFERROR((K296*L296*M296),0))/1000000)*35.32</f>
        <v>0.91125599999999995</v>
      </c>
      <c r="P296" s="125">
        <f>Table13[[#This Row],[Column15]]*$P$2*1000</f>
        <v>5467.5360000000001</v>
      </c>
      <c r="Q296" s="87">
        <f>F296+J296+N296</f>
        <v>8000</v>
      </c>
      <c r="R296" s="86">
        <f>MAX(Q296,O296)</f>
        <v>8000</v>
      </c>
      <c r="S296" s="86">
        <f>MAX(R296,P296)</f>
        <v>8000</v>
      </c>
      <c r="T296" s="156" t="str">
        <f>VLOOKUP(A296,'[1]MTP SKUs - Master Data'!$A:$B,2,FALSE)</f>
        <v>DI</v>
      </c>
      <c r="U296" s="162" t="str">
        <f>_xlfn.IFNA(VLOOKUP(Table13[[#This Row],[MTP SKU Code]],'Audit Dimensions'!A:N,6,FALSE),"ARC")</f>
        <v>ARC</v>
      </c>
      <c r="V296" s="162" t="str">
        <f>IFERROR(Table13[[#This Row],[B1.Aud]]-Table13[[#This Row],[PW(gm)]],"ERR")</f>
        <v>ERR</v>
      </c>
      <c r="W296" s="165" t="str">
        <f>IFERROR(Table13[[#This Row],[B1.Diff]]/Table13[[#This Row],[B1.Aud]],"ERR")</f>
        <v>ERR</v>
      </c>
      <c r="X296" s="162" t="str">
        <f>_xlfn.IFNA(VLOOKUP(Table13[[#This Row],[MTP SKU Code]],'Audit Dimensions'!A:N,10,FALSE),"ARC")</f>
        <v>ARC</v>
      </c>
      <c r="Y296" s="163" t="str">
        <f>IFERROR(Table13[[#This Row],[B2.Aud]]-Table13[[#This Row],[PW(gm)5]],"ERR")</f>
        <v>ERR</v>
      </c>
      <c r="Z296" s="165" t="str">
        <f>IFERROR(Table13[[#This Row],[B2.Diff]]/Table13[[#This Row],[B2.Aud]],"ERR")</f>
        <v>ERR</v>
      </c>
      <c r="AA296" s="162" t="str">
        <f>_xlfn.IFNA(VLOOKUP(Table13[[#This Row],[MTP SKU Code]],'Audit Dimensions'!A:N,14,FALSE),"ARC")</f>
        <v>ARC</v>
      </c>
      <c r="AB296" s="161" t="str">
        <f>IFERROR(Table13[[#This Row],[B3.Aud]]-Table13[[#This Row],[PW(gm)9]],"ERR")</f>
        <v>ERR</v>
      </c>
      <c r="AC296" s="168" t="str">
        <f>IFERROR(Table13[[#This Row],[B3.Diff]]/Table13[[#This Row],[BaLL.Aud]],"ERR")</f>
        <v>ERR</v>
      </c>
      <c r="AD296" s="162" t="str">
        <f>_xlfn.IFNA(VLOOKUP(Table13[[#This Row],[MTP SKU Code]],'Audit Dimensions'!A:U,16,FALSE),"ARC")</f>
        <v>ARC</v>
      </c>
      <c r="AE296" s="165" t="str">
        <f>IFERROR(1-Table13[[#This Row],[Gms]]/Table13[[#This Row],[BaLL.Aud]],"ERR")</f>
        <v>ERR</v>
      </c>
    </row>
    <row r="297" spans="1:31" hidden="1">
      <c r="A297" s="68" t="s">
        <v>343</v>
      </c>
      <c r="B297" s="84" t="s">
        <v>48</v>
      </c>
      <c r="C297" s="85"/>
      <c r="D297" s="85"/>
      <c r="E297" s="85"/>
      <c r="F297" s="89"/>
      <c r="G297" s="85"/>
      <c r="H297" s="85"/>
      <c r="I297" s="85"/>
      <c r="J297" s="85"/>
      <c r="K297" s="85"/>
      <c r="L297" s="85"/>
      <c r="M297" s="85"/>
      <c r="N297" s="85"/>
      <c r="O297" s="118">
        <f>((IFERROR((C297*D297*E297),0)+IFERROR((G297*H297*I297),0)+IFERROR((K297*L297*M297),0))/1000000)*35.32</f>
        <v>0</v>
      </c>
      <c r="P297" s="125">
        <f>Table13[[#This Row],[Column15]]*$P$2*1000</f>
        <v>0</v>
      </c>
      <c r="Q297" s="87">
        <f>F297+J297+N297</f>
        <v>0</v>
      </c>
      <c r="R297" s="86">
        <f>MAX(Q297,O297)</f>
        <v>0</v>
      </c>
      <c r="S297" s="86">
        <f>MAX(R297,P297)</f>
        <v>0</v>
      </c>
      <c r="T297" s="156" t="str">
        <f>VLOOKUP(A297,'[1]MTP SKUs - Master Data'!$A:$B,2,FALSE)</f>
        <v>DI</v>
      </c>
      <c r="U297" s="162" t="str">
        <f>_xlfn.IFNA(VLOOKUP(Table13[[#This Row],[MTP SKU Code]],'Audit Dimensions'!A:N,6,FALSE),"ARC")</f>
        <v>ARC</v>
      </c>
      <c r="V297" s="162" t="str">
        <f>IFERROR(Table13[[#This Row],[B1.Aud]]-Table13[[#This Row],[PW(gm)]],"ERR")</f>
        <v>ERR</v>
      </c>
      <c r="W297" s="165" t="str">
        <f>IFERROR(Table13[[#This Row],[B1.Diff]]/Table13[[#This Row],[B1.Aud]],"ERR")</f>
        <v>ERR</v>
      </c>
      <c r="X297" s="162" t="str">
        <f>_xlfn.IFNA(VLOOKUP(Table13[[#This Row],[MTP SKU Code]],'Audit Dimensions'!A:N,10,FALSE),"ARC")</f>
        <v>ARC</v>
      </c>
      <c r="Y297" s="163" t="str">
        <f>IFERROR(Table13[[#This Row],[B2.Aud]]-Table13[[#This Row],[PW(gm)5]],"ERR")</f>
        <v>ERR</v>
      </c>
      <c r="Z297" s="165" t="str">
        <f>IFERROR(Table13[[#This Row],[B2.Diff]]/Table13[[#This Row],[B2.Aud]],"ERR")</f>
        <v>ERR</v>
      </c>
      <c r="AA297" s="162" t="str">
        <f>_xlfn.IFNA(VLOOKUP(Table13[[#This Row],[MTP SKU Code]],'Audit Dimensions'!A:N,14,FALSE),"ARC")</f>
        <v>ARC</v>
      </c>
      <c r="AB297" s="161" t="str">
        <f>IFERROR(Table13[[#This Row],[B3.Aud]]-Table13[[#This Row],[PW(gm)9]],"ERR")</f>
        <v>ERR</v>
      </c>
      <c r="AC297" s="168" t="str">
        <f>IFERROR(Table13[[#This Row],[B3.Diff]]/Table13[[#This Row],[BaLL.Aud]],"ERR")</f>
        <v>ERR</v>
      </c>
      <c r="AD297" s="162" t="str">
        <f>_xlfn.IFNA(VLOOKUP(Table13[[#This Row],[MTP SKU Code]],'Audit Dimensions'!A:U,16,FALSE),"ARC")</f>
        <v>ARC</v>
      </c>
      <c r="AE297" s="165" t="str">
        <f>IFERROR(1-Table13[[#This Row],[Gms]]/Table13[[#This Row],[BaLL.Aud]],"ERR")</f>
        <v>ERR</v>
      </c>
    </row>
    <row r="298" spans="1:31" hidden="1">
      <c r="A298" s="68" t="s">
        <v>344</v>
      </c>
      <c r="B298" s="84" t="s">
        <v>48</v>
      </c>
      <c r="C298" s="85">
        <v>87</v>
      </c>
      <c r="D298" s="85">
        <v>59</v>
      </c>
      <c r="E298" s="85">
        <v>5</v>
      </c>
      <c r="F298" s="89">
        <v>6360</v>
      </c>
      <c r="G298" s="85"/>
      <c r="H298" s="85"/>
      <c r="I298" s="85"/>
      <c r="J298" s="85"/>
      <c r="K298" s="85"/>
      <c r="L298" s="85"/>
      <c r="M298" s="85"/>
      <c r="N298" s="85"/>
      <c r="O298" s="118">
        <f>((IFERROR((C298*D298*E298),0)+IFERROR((G298*H298*I298),0)+IFERROR((K298*L298*M298),0))/1000000)*35.32</f>
        <v>0.90648780000000007</v>
      </c>
      <c r="P298" s="125">
        <f>Table13[[#This Row],[Column15]]*$P$2*1000</f>
        <v>5438.9268000000011</v>
      </c>
      <c r="Q298" s="87">
        <f>F298+J298+N298</f>
        <v>6360</v>
      </c>
      <c r="R298" s="86">
        <f>MAX(Q298,O298)</f>
        <v>6360</v>
      </c>
      <c r="S298" s="86">
        <f>MAX(R298,P298)</f>
        <v>6360</v>
      </c>
      <c r="T298" s="156" t="str">
        <f>VLOOKUP(A298,'[1]MTP SKUs - Master Data'!$A:$B,2,FALSE)</f>
        <v>DI</v>
      </c>
      <c r="U298" s="162" t="str">
        <f>_xlfn.IFNA(VLOOKUP(Table13[[#This Row],[MTP SKU Code]],'Audit Dimensions'!A:N,6,FALSE),"ARC")</f>
        <v>ARC</v>
      </c>
      <c r="V298" s="162" t="str">
        <f>IFERROR(Table13[[#This Row],[B1.Aud]]-Table13[[#This Row],[PW(gm)]],"ERR")</f>
        <v>ERR</v>
      </c>
      <c r="W298" s="165" t="str">
        <f>IFERROR(Table13[[#This Row],[B1.Diff]]/Table13[[#This Row],[B1.Aud]],"ERR")</f>
        <v>ERR</v>
      </c>
      <c r="X298" s="162" t="str">
        <f>_xlfn.IFNA(VLOOKUP(Table13[[#This Row],[MTP SKU Code]],'Audit Dimensions'!A:N,10,FALSE),"ARC")</f>
        <v>ARC</v>
      </c>
      <c r="Y298" s="163" t="str">
        <f>IFERROR(Table13[[#This Row],[B2.Aud]]-Table13[[#This Row],[PW(gm)5]],"ERR")</f>
        <v>ERR</v>
      </c>
      <c r="Z298" s="165" t="str">
        <f>IFERROR(Table13[[#This Row],[B2.Diff]]/Table13[[#This Row],[B2.Aud]],"ERR")</f>
        <v>ERR</v>
      </c>
      <c r="AA298" s="162" t="str">
        <f>_xlfn.IFNA(VLOOKUP(Table13[[#This Row],[MTP SKU Code]],'Audit Dimensions'!A:N,14,FALSE),"ARC")</f>
        <v>ARC</v>
      </c>
      <c r="AB298" s="161" t="str">
        <f>IFERROR(Table13[[#This Row],[B3.Aud]]-Table13[[#This Row],[PW(gm)9]],"ERR")</f>
        <v>ERR</v>
      </c>
      <c r="AC298" s="168" t="str">
        <f>IFERROR(Table13[[#This Row],[B3.Diff]]/Table13[[#This Row],[BaLL.Aud]],"ERR")</f>
        <v>ERR</v>
      </c>
      <c r="AD298" s="162" t="str">
        <f>_xlfn.IFNA(VLOOKUP(Table13[[#This Row],[MTP SKU Code]],'Audit Dimensions'!A:U,16,FALSE),"ARC")</f>
        <v>ARC</v>
      </c>
      <c r="AE298" s="165" t="str">
        <f>IFERROR(1-Table13[[#This Row],[Gms]]/Table13[[#This Row],[BaLL.Aud]],"ERR")</f>
        <v>ERR</v>
      </c>
    </row>
    <row r="299" spans="1:31" hidden="1">
      <c r="A299" s="68" t="s">
        <v>345</v>
      </c>
      <c r="B299" s="84" t="s">
        <v>48</v>
      </c>
      <c r="C299" s="85">
        <v>55</v>
      </c>
      <c r="D299" s="85">
        <v>17</v>
      </c>
      <c r="E299" s="85">
        <v>5</v>
      </c>
      <c r="F299" s="89">
        <v>1790</v>
      </c>
      <c r="G299" s="85"/>
      <c r="H299" s="85"/>
      <c r="I299" s="85"/>
      <c r="J299" s="85"/>
      <c r="K299" s="85"/>
      <c r="L299" s="85"/>
      <c r="M299" s="85"/>
      <c r="N299" s="85"/>
      <c r="O299" s="118">
        <f>((IFERROR((C299*D299*E299),0)+IFERROR((G299*H299*I299),0)+IFERROR((K299*L299*M299),0))/1000000)*35.32</f>
        <v>0.16512100000000002</v>
      </c>
      <c r="P299" s="125">
        <f>Table13[[#This Row],[Column15]]*$P$2*1000</f>
        <v>990.72600000000011</v>
      </c>
      <c r="Q299" s="87">
        <f>F299+J299+N299</f>
        <v>1790</v>
      </c>
      <c r="R299" s="86">
        <f>MAX(Q299,O299)</f>
        <v>1790</v>
      </c>
      <c r="S299" s="86">
        <f>MAX(R299,P299)</f>
        <v>1790</v>
      </c>
      <c r="T299" s="156" t="str">
        <f>VLOOKUP(A299,'[1]MTP SKUs - Master Data'!$A:$B,2,FALSE)</f>
        <v>DI</v>
      </c>
      <c r="U299" s="162" t="str">
        <f>_xlfn.IFNA(VLOOKUP(Table13[[#This Row],[MTP SKU Code]],'Audit Dimensions'!A:N,6,FALSE),"ARC")</f>
        <v>ARC</v>
      </c>
      <c r="V299" s="162" t="str">
        <f>IFERROR(Table13[[#This Row],[B1.Aud]]-Table13[[#This Row],[PW(gm)]],"ERR")</f>
        <v>ERR</v>
      </c>
      <c r="W299" s="165" t="str">
        <f>IFERROR(Table13[[#This Row],[B1.Diff]]/Table13[[#This Row],[B1.Aud]],"ERR")</f>
        <v>ERR</v>
      </c>
      <c r="X299" s="162" t="str">
        <f>_xlfn.IFNA(VLOOKUP(Table13[[#This Row],[MTP SKU Code]],'Audit Dimensions'!A:N,10,FALSE),"ARC")</f>
        <v>ARC</v>
      </c>
      <c r="Y299" s="163" t="str">
        <f>IFERROR(Table13[[#This Row],[B2.Aud]]-Table13[[#This Row],[PW(gm)5]],"ERR")</f>
        <v>ERR</v>
      </c>
      <c r="Z299" s="165" t="str">
        <f>IFERROR(Table13[[#This Row],[B2.Diff]]/Table13[[#This Row],[B2.Aud]],"ERR")</f>
        <v>ERR</v>
      </c>
      <c r="AA299" s="162" t="str">
        <f>_xlfn.IFNA(VLOOKUP(Table13[[#This Row],[MTP SKU Code]],'Audit Dimensions'!A:N,14,FALSE),"ARC")</f>
        <v>ARC</v>
      </c>
      <c r="AB299" s="161" t="str">
        <f>IFERROR(Table13[[#This Row],[B3.Aud]]-Table13[[#This Row],[PW(gm)9]],"ERR")</f>
        <v>ERR</v>
      </c>
      <c r="AC299" s="168" t="str">
        <f>IFERROR(Table13[[#This Row],[B3.Diff]]/Table13[[#This Row],[BaLL.Aud]],"ERR")</f>
        <v>ERR</v>
      </c>
      <c r="AD299" s="162" t="str">
        <f>_xlfn.IFNA(VLOOKUP(Table13[[#This Row],[MTP SKU Code]],'Audit Dimensions'!A:U,16,FALSE),"ARC")</f>
        <v>ARC</v>
      </c>
      <c r="AE299" s="165" t="str">
        <f>IFERROR(1-Table13[[#This Row],[Gms]]/Table13[[#This Row],[BaLL.Aud]],"ERR")</f>
        <v>ERR</v>
      </c>
    </row>
    <row r="300" spans="1:31" hidden="1">
      <c r="A300" s="68" t="s">
        <v>346</v>
      </c>
      <c r="B300" s="84" t="s">
        <v>48</v>
      </c>
      <c r="C300" s="85">
        <v>35</v>
      </c>
      <c r="D300" s="85">
        <v>30</v>
      </c>
      <c r="E300" s="85">
        <v>9</v>
      </c>
      <c r="F300" s="89">
        <v>3725</v>
      </c>
      <c r="G300" s="85"/>
      <c r="H300" s="85"/>
      <c r="I300" s="85"/>
      <c r="J300" s="85"/>
      <c r="K300" s="85"/>
      <c r="L300" s="85"/>
      <c r="M300" s="85"/>
      <c r="N300" s="85"/>
      <c r="O300" s="118">
        <f>((IFERROR((C300*D300*E300),0)+IFERROR((G300*H300*I300),0)+IFERROR((K300*L300*M300),0))/1000000)*35.32</f>
        <v>0.33377400000000002</v>
      </c>
      <c r="P300" s="125">
        <f>Table13[[#This Row],[Column15]]*$P$2*1000</f>
        <v>2002.644</v>
      </c>
      <c r="Q300" s="87">
        <f>F300+J300+N300</f>
        <v>3725</v>
      </c>
      <c r="R300" s="86">
        <f>MAX(Q300,O300)</f>
        <v>3725</v>
      </c>
      <c r="S300" s="86">
        <f>MAX(R300,P300)</f>
        <v>3725</v>
      </c>
      <c r="T300" s="156" t="str">
        <f>VLOOKUP(A300,'[1]MTP SKUs - Master Data'!$A:$B,2,FALSE)</f>
        <v>DI</v>
      </c>
      <c r="U300" s="162" t="str">
        <f>_xlfn.IFNA(VLOOKUP(Table13[[#This Row],[MTP SKU Code]],'Audit Dimensions'!A:N,6,FALSE),"ARC")</f>
        <v>ARC</v>
      </c>
      <c r="V300" s="162" t="str">
        <f>IFERROR(Table13[[#This Row],[B1.Aud]]-Table13[[#This Row],[PW(gm)]],"ERR")</f>
        <v>ERR</v>
      </c>
      <c r="W300" s="165" t="str">
        <f>IFERROR(Table13[[#This Row],[B1.Diff]]/Table13[[#This Row],[B1.Aud]],"ERR")</f>
        <v>ERR</v>
      </c>
      <c r="X300" s="162" t="str">
        <f>_xlfn.IFNA(VLOOKUP(Table13[[#This Row],[MTP SKU Code]],'Audit Dimensions'!A:N,10,FALSE),"ARC")</f>
        <v>ARC</v>
      </c>
      <c r="Y300" s="163" t="str">
        <f>IFERROR(Table13[[#This Row],[B2.Aud]]-Table13[[#This Row],[PW(gm)5]],"ERR")</f>
        <v>ERR</v>
      </c>
      <c r="Z300" s="165" t="str">
        <f>IFERROR(Table13[[#This Row],[B2.Diff]]/Table13[[#This Row],[B2.Aud]],"ERR")</f>
        <v>ERR</v>
      </c>
      <c r="AA300" s="162" t="str">
        <f>_xlfn.IFNA(VLOOKUP(Table13[[#This Row],[MTP SKU Code]],'Audit Dimensions'!A:N,14,FALSE),"ARC")</f>
        <v>ARC</v>
      </c>
      <c r="AB300" s="161" t="str">
        <f>IFERROR(Table13[[#This Row],[B3.Aud]]-Table13[[#This Row],[PW(gm)9]],"ERR")</f>
        <v>ERR</v>
      </c>
      <c r="AC300" s="168" t="str">
        <f>IFERROR(Table13[[#This Row],[B3.Diff]]/Table13[[#This Row],[BaLL.Aud]],"ERR")</f>
        <v>ERR</v>
      </c>
      <c r="AD300" s="162" t="str">
        <f>_xlfn.IFNA(VLOOKUP(Table13[[#This Row],[MTP SKU Code]],'Audit Dimensions'!A:U,16,FALSE),"ARC")</f>
        <v>ARC</v>
      </c>
      <c r="AE300" s="165" t="str">
        <f>IFERROR(1-Table13[[#This Row],[Gms]]/Table13[[#This Row],[BaLL.Aud]],"ERR")</f>
        <v>ERR</v>
      </c>
    </row>
    <row r="301" spans="1:31" hidden="1">
      <c r="A301" s="68" t="s">
        <v>347</v>
      </c>
      <c r="B301" s="84" t="s">
        <v>48</v>
      </c>
      <c r="C301" s="85">
        <v>69</v>
      </c>
      <c r="D301" s="85">
        <v>28</v>
      </c>
      <c r="E301" s="85">
        <v>6</v>
      </c>
      <c r="F301" s="89">
        <v>5000</v>
      </c>
      <c r="G301" s="85"/>
      <c r="H301" s="85"/>
      <c r="I301" s="85"/>
      <c r="J301" s="85"/>
      <c r="K301" s="85"/>
      <c r="L301" s="85"/>
      <c r="M301" s="85"/>
      <c r="N301" s="85"/>
      <c r="O301" s="118">
        <f>((IFERROR((C301*D301*E301),0)+IFERROR((G301*H301*I301),0)+IFERROR((K301*L301*M301),0))/1000000)*35.32</f>
        <v>0.40942943999999998</v>
      </c>
      <c r="P301" s="125">
        <f>Table13[[#This Row],[Column15]]*$P$2*1000</f>
        <v>2456.5766399999998</v>
      </c>
      <c r="Q301" s="87">
        <f>F301+J301+N301</f>
        <v>5000</v>
      </c>
      <c r="R301" s="86">
        <f>MAX(Q301,O301)</f>
        <v>5000</v>
      </c>
      <c r="S301" s="86">
        <f>MAX(R301,P301)</f>
        <v>5000</v>
      </c>
      <c r="T301" s="156" t="str">
        <f>VLOOKUP(A301,'[1]MTP SKUs - Master Data'!$A:$B,2,FALSE)</f>
        <v>DI</v>
      </c>
      <c r="U301" s="162" t="str">
        <f>_xlfn.IFNA(VLOOKUP(Table13[[#This Row],[MTP SKU Code]],'Audit Dimensions'!A:N,6,FALSE),"ARC")</f>
        <v>ARC</v>
      </c>
      <c r="V301" s="162" t="str">
        <f>IFERROR(Table13[[#This Row],[B1.Aud]]-Table13[[#This Row],[PW(gm)]],"ERR")</f>
        <v>ERR</v>
      </c>
      <c r="W301" s="165" t="str">
        <f>IFERROR(Table13[[#This Row],[B1.Diff]]/Table13[[#This Row],[B1.Aud]],"ERR")</f>
        <v>ERR</v>
      </c>
      <c r="X301" s="162" t="str">
        <f>_xlfn.IFNA(VLOOKUP(Table13[[#This Row],[MTP SKU Code]],'Audit Dimensions'!A:N,10,FALSE),"ARC")</f>
        <v>ARC</v>
      </c>
      <c r="Y301" s="163" t="str">
        <f>IFERROR(Table13[[#This Row],[B2.Aud]]-Table13[[#This Row],[PW(gm)5]],"ERR")</f>
        <v>ERR</v>
      </c>
      <c r="Z301" s="165" t="str">
        <f>IFERROR(Table13[[#This Row],[B2.Diff]]/Table13[[#This Row],[B2.Aud]],"ERR")</f>
        <v>ERR</v>
      </c>
      <c r="AA301" s="162" t="str">
        <f>_xlfn.IFNA(VLOOKUP(Table13[[#This Row],[MTP SKU Code]],'Audit Dimensions'!A:N,14,FALSE),"ARC")</f>
        <v>ARC</v>
      </c>
      <c r="AB301" s="161" t="str">
        <f>IFERROR(Table13[[#This Row],[B3.Aud]]-Table13[[#This Row],[PW(gm)9]],"ERR")</f>
        <v>ERR</v>
      </c>
      <c r="AC301" s="168" t="str">
        <f>IFERROR(Table13[[#This Row],[B3.Diff]]/Table13[[#This Row],[BaLL.Aud]],"ERR")</f>
        <v>ERR</v>
      </c>
      <c r="AD301" s="162" t="str">
        <f>_xlfn.IFNA(VLOOKUP(Table13[[#This Row],[MTP SKU Code]],'Audit Dimensions'!A:U,16,FALSE),"ARC")</f>
        <v>ARC</v>
      </c>
      <c r="AE301" s="165" t="str">
        <f>IFERROR(1-Table13[[#This Row],[Gms]]/Table13[[#This Row],[BaLL.Aud]],"ERR")</f>
        <v>ERR</v>
      </c>
    </row>
    <row r="302" spans="1:31" hidden="1">
      <c r="A302" s="68" t="s">
        <v>348</v>
      </c>
      <c r="B302" s="84" t="s">
        <v>48</v>
      </c>
      <c r="C302" s="85">
        <v>149</v>
      </c>
      <c r="D302" s="85">
        <v>46</v>
      </c>
      <c r="E302" s="85">
        <v>7</v>
      </c>
      <c r="F302" s="89">
        <v>23500</v>
      </c>
      <c r="G302" s="85"/>
      <c r="H302" s="85"/>
      <c r="I302" s="85"/>
      <c r="J302" s="85"/>
      <c r="K302" s="85"/>
      <c r="L302" s="85"/>
      <c r="M302" s="85"/>
      <c r="N302" s="85"/>
      <c r="O302" s="118">
        <f>((IFERROR((C302*D302*E302),0)+IFERROR((G302*H302*I302),0)+IFERROR((K302*L302*M302),0))/1000000)*35.32</f>
        <v>1.69458296</v>
      </c>
      <c r="P302" s="125">
        <f>Table13[[#This Row],[Column15]]*$P$2*1000</f>
        <v>10167.49776</v>
      </c>
      <c r="Q302" s="87">
        <f>F302+J302+N302</f>
        <v>23500</v>
      </c>
      <c r="R302" s="86">
        <f>MAX(Q302,O302)</f>
        <v>23500</v>
      </c>
      <c r="S302" s="86">
        <f>MAX(R302,P302)</f>
        <v>23500</v>
      </c>
      <c r="T302" s="156" t="str">
        <f>VLOOKUP(A302,'[1]MTP SKUs - Master Data'!$A:$B,2,FALSE)</f>
        <v>DI</v>
      </c>
      <c r="U302" s="162" t="str">
        <f>_xlfn.IFNA(VLOOKUP(Table13[[#This Row],[MTP SKU Code]],'Audit Dimensions'!A:N,6,FALSE),"ARC")</f>
        <v>ARC</v>
      </c>
      <c r="V302" s="162" t="str">
        <f>IFERROR(Table13[[#This Row],[B1.Aud]]-Table13[[#This Row],[PW(gm)]],"ERR")</f>
        <v>ERR</v>
      </c>
      <c r="W302" s="165" t="str">
        <f>IFERROR(Table13[[#This Row],[B1.Diff]]/Table13[[#This Row],[B1.Aud]],"ERR")</f>
        <v>ERR</v>
      </c>
      <c r="X302" s="162" t="str">
        <f>_xlfn.IFNA(VLOOKUP(Table13[[#This Row],[MTP SKU Code]],'Audit Dimensions'!A:N,10,FALSE),"ARC")</f>
        <v>ARC</v>
      </c>
      <c r="Y302" s="163" t="str">
        <f>IFERROR(Table13[[#This Row],[B2.Aud]]-Table13[[#This Row],[PW(gm)5]],"ERR")</f>
        <v>ERR</v>
      </c>
      <c r="Z302" s="165" t="str">
        <f>IFERROR(Table13[[#This Row],[B2.Diff]]/Table13[[#This Row],[B2.Aud]],"ERR")</f>
        <v>ERR</v>
      </c>
      <c r="AA302" s="162" t="str">
        <f>_xlfn.IFNA(VLOOKUP(Table13[[#This Row],[MTP SKU Code]],'Audit Dimensions'!A:N,14,FALSE),"ARC")</f>
        <v>ARC</v>
      </c>
      <c r="AB302" s="161" t="str">
        <f>IFERROR(Table13[[#This Row],[B3.Aud]]-Table13[[#This Row],[PW(gm)9]],"ERR")</f>
        <v>ERR</v>
      </c>
      <c r="AC302" s="168" t="str">
        <f>IFERROR(Table13[[#This Row],[B3.Diff]]/Table13[[#This Row],[BaLL.Aud]],"ERR")</f>
        <v>ERR</v>
      </c>
      <c r="AD302" s="162" t="str">
        <f>_xlfn.IFNA(VLOOKUP(Table13[[#This Row],[MTP SKU Code]],'Audit Dimensions'!A:U,16,FALSE),"ARC")</f>
        <v>ARC</v>
      </c>
      <c r="AE302" s="165" t="str">
        <f>IFERROR(1-Table13[[#This Row],[Gms]]/Table13[[#This Row],[BaLL.Aud]],"ERR")</f>
        <v>ERR</v>
      </c>
    </row>
    <row r="303" spans="1:31" hidden="1">
      <c r="A303" s="68" t="s">
        <v>349</v>
      </c>
      <c r="B303" s="84" t="s">
        <v>48</v>
      </c>
      <c r="C303" s="85">
        <v>85</v>
      </c>
      <c r="D303" s="85">
        <v>29</v>
      </c>
      <c r="E303" s="85">
        <v>6</v>
      </c>
      <c r="F303" s="89">
        <v>6000</v>
      </c>
      <c r="G303" s="85"/>
      <c r="H303" s="85"/>
      <c r="I303" s="85"/>
      <c r="J303" s="85"/>
      <c r="K303" s="85"/>
      <c r="L303" s="85"/>
      <c r="M303" s="85"/>
      <c r="N303" s="85"/>
      <c r="O303" s="118">
        <f>((IFERROR((C303*D303*E303),0)+IFERROR((G303*H303*I303),0)+IFERROR((K303*L303*M303),0))/1000000)*35.32</f>
        <v>0.52238279999999992</v>
      </c>
      <c r="P303" s="125">
        <f>Table13[[#This Row],[Column15]]*$P$2*1000</f>
        <v>3134.2967999999996</v>
      </c>
      <c r="Q303" s="87">
        <f>F303+J303+N303</f>
        <v>6000</v>
      </c>
      <c r="R303" s="86">
        <f>MAX(Q303,O303)</f>
        <v>6000</v>
      </c>
      <c r="S303" s="86">
        <f>MAX(R303,P303)</f>
        <v>6000</v>
      </c>
      <c r="T303" s="156" t="str">
        <f>VLOOKUP(A303,'[1]MTP SKUs - Master Data'!$A:$B,2,FALSE)</f>
        <v>DI</v>
      </c>
      <c r="U303" s="162" t="str">
        <f>_xlfn.IFNA(VLOOKUP(Table13[[#This Row],[MTP SKU Code]],'Audit Dimensions'!A:N,6,FALSE),"ARC")</f>
        <v>ARC</v>
      </c>
      <c r="V303" s="162" t="str">
        <f>IFERROR(Table13[[#This Row],[B1.Aud]]-Table13[[#This Row],[PW(gm)]],"ERR")</f>
        <v>ERR</v>
      </c>
      <c r="W303" s="165" t="str">
        <f>IFERROR(Table13[[#This Row],[B1.Diff]]/Table13[[#This Row],[B1.Aud]],"ERR")</f>
        <v>ERR</v>
      </c>
      <c r="X303" s="162" t="str">
        <f>_xlfn.IFNA(VLOOKUP(Table13[[#This Row],[MTP SKU Code]],'Audit Dimensions'!A:N,10,FALSE),"ARC")</f>
        <v>ARC</v>
      </c>
      <c r="Y303" s="163" t="str">
        <f>IFERROR(Table13[[#This Row],[B2.Aud]]-Table13[[#This Row],[PW(gm)5]],"ERR")</f>
        <v>ERR</v>
      </c>
      <c r="Z303" s="165" t="str">
        <f>IFERROR(Table13[[#This Row],[B2.Diff]]/Table13[[#This Row],[B2.Aud]],"ERR")</f>
        <v>ERR</v>
      </c>
      <c r="AA303" s="162" t="str">
        <f>_xlfn.IFNA(VLOOKUP(Table13[[#This Row],[MTP SKU Code]],'Audit Dimensions'!A:N,14,FALSE),"ARC")</f>
        <v>ARC</v>
      </c>
      <c r="AB303" s="161" t="str">
        <f>IFERROR(Table13[[#This Row],[B3.Aud]]-Table13[[#This Row],[PW(gm)9]],"ERR")</f>
        <v>ERR</v>
      </c>
      <c r="AC303" s="168" t="str">
        <f>IFERROR(Table13[[#This Row],[B3.Diff]]/Table13[[#This Row],[BaLL.Aud]],"ERR")</f>
        <v>ERR</v>
      </c>
      <c r="AD303" s="162" t="str">
        <f>_xlfn.IFNA(VLOOKUP(Table13[[#This Row],[MTP SKU Code]],'Audit Dimensions'!A:U,16,FALSE),"ARC")</f>
        <v>ARC</v>
      </c>
      <c r="AE303" s="165" t="str">
        <f>IFERROR(1-Table13[[#This Row],[Gms]]/Table13[[#This Row],[BaLL.Aud]],"ERR")</f>
        <v>ERR</v>
      </c>
    </row>
    <row r="304" spans="1:31" hidden="1">
      <c r="A304" s="68" t="s">
        <v>350</v>
      </c>
      <c r="B304" s="84" t="s">
        <v>48</v>
      </c>
      <c r="C304" s="85">
        <v>127</v>
      </c>
      <c r="D304" s="85">
        <v>46</v>
      </c>
      <c r="E304" s="85">
        <v>7</v>
      </c>
      <c r="F304" s="89">
        <v>22400</v>
      </c>
      <c r="G304" s="85"/>
      <c r="H304" s="85"/>
      <c r="I304" s="85"/>
      <c r="J304" s="85"/>
      <c r="K304" s="85"/>
      <c r="L304" s="85"/>
      <c r="M304" s="85"/>
      <c r="N304" s="85"/>
      <c r="O304" s="118">
        <f>((IFERROR((C304*D304*E304),0)+IFERROR((G304*H304*I304),0)+IFERROR((K304*L304*M304),0))/1000000)*35.32</f>
        <v>1.4443760800000001</v>
      </c>
      <c r="P304" s="125">
        <f>Table13[[#This Row],[Column15]]*$P$2*1000</f>
        <v>8666.2564800000018</v>
      </c>
      <c r="Q304" s="87">
        <f>F304+J304+N304</f>
        <v>22400</v>
      </c>
      <c r="R304" s="86">
        <f>MAX(Q304,O304)</f>
        <v>22400</v>
      </c>
      <c r="S304" s="86">
        <f>MAX(R304,P304)</f>
        <v>22400</v>
      </c>
      <c r="T304" s="156" t="str">
        <f>VLOOKUP(A304,'[1]MTP SKUs - Master Data'!$A:$B,2,FALSE)</f>
        <v>DI</v>
      </c>
      <c r="U304" s="162" t="str">
        <f>_xlfn.IFNA(VLOOKUP(Table13[[#This Row],[MTP SKU Code]],'Audit Dimensions'!A:N,6,FALSE),"ARC")</f>
        <v>ARC</v>
      </c>
      <c r="V304" s="162" t="str">
        <f>IFERROR(Table13[[#This Row],[B1.Aud]]-Table13[[#This Row],[PW(gm)]],"ERR")</f>
        <v>ERR</v>
      </c>
      <c r="W304" s="165" t="str">
        <f>IFERROR(Table13[[#This Row],[B1.Diff]]/Table13[[#This Row],[B1.Aud]],"ERR")</f>
        <v>ERR</v>
      </c>
      <c r="X304" s="162" t="str">
        <f>_xlfn.IFNA(VLOOKUP(Table13[[#This Row],[MTP SKU Code]],'Audit Dimensions'!A:N,10,FALSE),"ARC")</f>
        <v>ARC</v>
      </c>
      <c r="Y304" s="163" t="str">
        <f>IFERROR(Table13[[#This Row],[B2.Aud]]-Table13[[#This Row],[PW(gm)5]],"ERR")</f>
        <v>ERR</v>
      </c>
      <c r="Z304" s="165" t="str">
        <f>IFERROR(Table13[[#This Row],[B2.Diff]]/Table13[[#This Row],[B2.Aud]],"ERR")</f>
        <v>ERR</v>
      </c>
      <c r="AA304" s="162" t="str">
        <f>_xlfn.IFNA(VLOOKUP(Table13[[#This Row],[MTP SKU Code]],'Audit Dimensions'!A:N,14,FALSE),"ARC")</f>
        <v>ARC</v>
      </c>
      <c r="AB304" s="161" t="str">
        <f>IFERROR(Table13[[#This Row],[B3.Aud]]-Table13[[#This Row],[PW(gm)9]],"ERR")</f>
        <v>ERR</v>
      </c>
      <c r="AC304" s="168" t="str">
        <f>IFERROR(Table13[[#This Row],[B3.Diff]]/Table13[[#This Row],[BaLL.Aud]],"ERR")</f>
        <v>ERR</v>
      </c>
      <c r="AD304" s="162" t="str">
        <f>_xlfn.IFNA(VLOOKUP(Table13[[#This Row],[MTP SKU Code]],'Audit Dimensions'!A:U,16,FALSE),"ARC")</f>
        <v>ARC</v>
      </c>
      <c r="AE304" s="165" t="str">
        <f>IFERROR(1-Table13[[#This Row],[Gms]]/Table13[[#This Row],[BaLL.Aud]],"ERR")</f>
        <v>ERR</v>
      </c>
    </row>
    <row r="305" spans="1:31" hidden="1">
      <c r="A305" s="68" t="s">
        <v>351</v>
      </c>
      <c r="B305" s="84" t="s">
        <v>296</v>
      </c>
      <c r="C305" s="85"/>
      <c r="D305" s="85"/>
      <c r="E305" s="85"/>
      <c r="F305" s="89"/>
      <c r="G305" s="85"/>
      <c r="H305" s="85"/>
      <c r="I305" s="85"/>
      <c r="J305" s="85"/>
      <c r="K305" s="85"/>
      <c r="L305" s="85"/>
      <c r="M305" s="85"/>
      <c r="N305" s="85"/>
      <c r="O305" s="118">
        <f>((IFERROR((C305*D305*E305),0)+IFERROR((G305*H305*I305),0)+IFERROR((K305*L305*M305),0))/1000000)*35.32</f>
        <v>0</v>
      </c>
      <c r="P305" s="125">
        <f>Table13[[#This Row],[Column15]]*$P$2*1000</f>
        <v>0</v>
      </c>
      <c r="Q305" s="87">
        <f>F305+J305+N305</f>
        <v>0</v>
      </c>
      <c r="R305" s="86">
        <f>MAX(Q305,O305)</f>
        <v>0</v>
      </c>
      <c r="S305" s="86">
        <f>MAX(R305,P305)</f>
        <v>0</v>
      </c>
      <c r="T305" s="156" t="str">
        <f>VLOOKUP(A305,'[1]MTP SKUs - Master Data'!$A:$B,2,FALSE)</f>
        <v>DI</v>
      </c>
      <c r="U305" s="162" t="str">
        <f>_xlfn.IFNA(VLOOKUP(Table13[[#This Row],[MTP SKU Code]],'Audit Dimensions'!A:N,6,FALSE),"ARC")</f>
        <v>ARC</v>
      </c>
      <c r="V305" s="162" t="str">
        <f>IFERROR(Table13[[#This Row],[B1.Aud]]-Table13[[#This Row],[PW(gm)]],"ERR")</f>
        <v>ERR</v>
      </c>
      <c r="W305" s="165" t="str">
        <f>IFERROR(Table13[[#This Row],[B1.Diff]]/Table13[[#This Row],[B1.Aud]],"ERR")</f>
        <v>ERR</v>
      </c>
      <c r="X305" s="162" t="str">
        <f>_xlfn.IFNA(VLOOKUP(Table13[[#This Row],[MTP SKU Code]],'Audit Dimensions'!A:N,10,FALSE),"ARC")</f>
        <v>ARC</v>
      </c>
      <c r="Y305" s="163" t="str">
        <f>IFERROR(Table13[[#This Row],[B2.Aud]]-Table13[[#This Row],[PW(gm)5]],"ERR")</f>
        <v>ERR</v>
      </c>
      <c r="Z305" s="165" t="str">
        <f>IFERROR(Table13[[#This Row],[B2.Diff]]/Table13[[#This Row],[B2.Aud]],"ERR")</f>
        <v>ERR</v>
      </c>
      <c r="AA305" s="162" t="str">
        <f>_xlfn.IFNA(VLOOKUP(Table13[[#This Row],[MTP SKU Code]],'Audit Dimensions'!A:N,14,FALSE),"ARC")</f>
        <v>ARC</v>
      </c>
      <c r="AB305" s="161" t="str">
        <f>IFERROR(Table13[[#This Row],[B3.Aud]]-Table13[[#This Row],[PW(gm)9]],"ERR")</f>
        <v>ERR</v>
      </c>
      <c r="AC305" s="168" t="str">
        <f>IFERROR(Table13[[#This Row],[B3.Diff]]/Table13[[#This Row],[BaLL.Aud]],"ERR")</f>
        <v>ERR</v>
      </c>
      <c r="AD305" s="162" t="str">
        <f>_xlfn.IFNA(VLOOKUP(Table13[[#This Row],[MTP SKU Code]],'Audit Dimensions'!A:U,16,FALSE),"ARC")</f>
        <v>ARC</v>
      </c>
      <c r="AE305" s="165" t="str">
        <f>IFERROR(1-Table13[[#This Row],[Gms]]/Table13[[#This Row],[BaLL.Aud]],"ERR")</f>
        <v>ERR</v>
      </c>
    </row>
    <row r="306" spans="1:31" hidden="1">
      <c r="A306" s="90" t="s">
        <v>352</v>
      </c>
      <c r="B306" s="84" t="s">
        <v>48</v>
      </c>
      <c r="C306" s="85">
        <v>136</v>
      </c>
      <c r="D306" s="85">
        <v>35</v>
      </c>
      <c r="E306" s="85">
        <v>8</v>
      </c>
      <c r="F306" s="89">
        <v>17600</v>
      </c>
      <c r="G306" s="85"/>
      <c r="H306" s="85"/>
      <c r="I306" s="85"/>
      <c r="J306" s="85"/>
      <c r="K306" s="85"/>
      <c r="L306" s="85"/>
      <c r="M306" s="85"/>
      <c r="N306" s="85"/>
      <c r="O306" s="118">
        <f>((IFERROR((C306*D306*E306),0)+IFERROR((G306*H306*I306),0)+IFERROR((K306*L306*M306),0))/1000000)*35.32</f>
        <v>1.3449856</v>
      </c>
      <c r="P306" s="125">
        <f>Table13[[#This Row],[Column15]]*$P$2*1000</f>
        <v>8069.9135999999999</v>
      </c>
      <c r="Q306" s="87">
        <f>F306+J306+N306</f>
        <v>17600</v>
      </c>
      <c r="R306" s="86">
        <f>MAX(Q306,O306)</f>
        <v>17600</v>
      </c>
      <c r="S306" s="86">
        <f>MAX(R306,P306)</f>
        <v>17600</v>
      </c>
      <c r="T306" s="156" t="str">
        <f>VLOOKUP(A306,'[1]MTP SKUs - Master Data'!$A:$B,2,FALSE)</f>
        <v>DI</v>
      </c>
      <c r="U306" s="162" t="str">
        <f>_xlfn.IFNA(VLOOKUP(Table13[[#This Row],[MTP SKU Code]],'Audit Dimensions'!A:N,6,FALSE),"ARC")</f>
        <v>0</v>
      </c>
      <c r="V306" s="162">
        <f>IFERROR(Table13[[#This Row],[B1.Aud]]-Table13[[#This Row],[PW(gm)]],"ERR")</f>
        <v>-17600</v>
      </c>
      <c r="W306" s="165" t="str">
        <f>IFERROR(Table13[[#This Row],[B1.Diff]]/Table13[[#This Row],[B1.Aud]],"ERR")</f>
        <v>ERR</v>
      </c>
      <c r="X306" s="162" t="str">
        <f>_xlfn.IFNA(VLOOKUP(Table13[[#This Row],[MTP SKU Code]],'Audit Dimensions'!A:N,10,FALSE),"ARC")</f>
        <v>0</v>
      </c>
      <c r="Y306" s="163">
        <f>IFERROR(Table13[[#This Row],[B2.Aud]]-Table13[[#This Row],[PW(gm)5]],"ERR")</f>
        <v>0</v>
      </c>
      <c r="Z306" s="165" t="str">
        <f>IFERROR(Table13[[#This Row],[B2.Diff]]/Table13[[#This Row],[B2.Aud]],"ERR")</f>
        <v>ERR</v>
      </c>
      <c r="AA306" s="162" t="str">
        <f>_xlfn.IFNA(VLOOKUP(Table13[[#This Row],[MTP SKU Code]],'Audit Dimensions'!A:N,14,FALSE),"ARC")</f>
        <v>0</v>
      </c>
      <c r="AB306" s="161">
        <f>IFERROR(Table13[[#This Row],[B3.Aud]]-Table13[[#This Row],[PW(gm)9]],"ERR")</f>
        <v>0</v>
      </c>
      <c r="AC306" s="168" t="str">
        <f>IFERROR(Table13[[#This Row],[B3.Diff]]/Table13[[#This Row],[BaLL.Aud]],"ERR")</f>
        <v>ERR</v>
      </c>
      <c r="AD306" s="162">
        <f>_xlfn.IFNA(VLOOKUP(Table13[[#This Row],[MTP SKU Code]],'Audit Dimensions'!A:U,16,FALSE),"ARC")</f>
        <v>0</v>
      </c>
      <c r="AE306" s="165" t="str">
        <f>IFERROR(1-Table13[[#This Row],[Gms]]/Table13[[#This Row],[BaLL.Aud]],"ERR")</f>
        <v>ERR</v>
      </c>
    </row>
    <row r="307" spans="1:31" hidden="1">
      <c r="A307" s="68" t="s">
        <v>353</v>
      </c>
      <c r="B307" s="84" t="s">
        <v>48</v>
      </c>
      <c r="C307" s="85">
        <v>126</v>
      </c>
      <c r="D307" s="85">
        <v>29</v>
      </c>
      <c r="E307" s="85">
        <v>6</v>
      </c>
      <c r="F307" s="89">
        <v>7700</v>
      </c>
      <c r="G307" s="85"/>
      <c r="H307" s="85"/>
      <c r="I307" s="85"/>
      <c r="J307" s="85"/>
      <c r="K307" s="85"/>
      <c r="L307" s="85"/>
      <c r="M307" s="85"/>
      <c r="N307" s="85"/>
      <c r="O307" s="118">
        <f>((IFERROR((C307*D307*E307),0)+IFERROR((G307*H307*I307),0)+IFERROR((K307*L307*M307),0))/1000000)*35.32</f>
        <v>0.77435567999999999</v>
      </c>
      <c r="P307" s="125">
        <f>Table13[[#This Row],[Column15]]*$P$2*1000</f>
        <v>4646.1340799999998</v>
      </c>
      <c r="Q307" s="87">
        <f>F307+J307+N307</f>
        <v>7700</v>
      </c>
      <c r="R307" s="86">
        <f>MAX(Q307,O307)</f>
        <v>7700</v>
      </c>
      <c r="S307" s="86">
        <f>MAX(R307,P307)</f>
        <v>7700</v>
      </c>
      <c r="T307" s="156" t="str">
        <f>VLOOKUP(A307,'[1]MTP SKUs - Master Data'!$A:$B,2,FALSE)</f>
        <v>DI</v>
      </c>
      <c r="U307" s="162" t="str">
        <f>_xlfn.IFNA(VLOOKUP(Table13[[#This Row],[MTP SKU Code]],'Audit Dimensions'!A:N,6,FALSE),"ARC")</f>
        <v>ARC</v>
      </c>
      <c r="V307" s="162" t="str">
        <f>IFERROR(Table13[[#This Row],[B1.Aud]]-Table13[[#This Row],[PW(gm)]],"ERR")</f>
        <v>ERR</v>
      </c>
      <c r="W307" s="165" t="str">
        <f>IFERROR(Table13[[#This Row],[B1.Diff]]/Table13[[#This Row],[B1.Aud]],"ERR")</f>
        <v>ERR</v>
      </c>
      <c r="X307" s="162" t="str">
        <f>_xlfn.IFNA(VLOOKUP(Table13[[#This Row],[MTP SKU Code]],'Audit Dimensions'!A:N,10,FALSE),"ARC")</f>
        <v>ARC</v>
      </c>
      <c r="Y307" s="163" t="str">
        <f>IFERROR(Table13[[#This Row],[B2.Aud]]-Table13[[#This Row],[PW(gm)5]],"ERR")</f>
        <v>ERR</v>
      </c>
      <c r="Z307" s="165" t="str">
        <f>IFERROR(Table13[[#This Row],[B2.Diff]]/Table13[[#This Row],[B2.Aud]],"ERR")</f>
        <v>ERR</v>
      </c>
      <c r="AA307" s="162" t="str">
        <f>_xlfn.IFNA(VLOOKUP(Table13[[#This Row],[MTP SKU Code]],'Audit Dimensions'!A:N,14,FALSE),"ARC")</f>
        <v>ARC</v>
      </c>
      <c r="AB307" s="161" t="str">
        <f>IFERROR(Table13[[#This Row],[B3.Aud]]-Table13[[#This Row],[PW(gm)9]],"ERR")</f>
        <v>ERR</v>
      </c>
      <c r="AC307" s="168" t="str">
        <f>IFERROR(Table13[[#This Row],[B3.Diff]]/Table13[[#This Row],[BaLL.Aud]],"ERR")</f>
        <v>ERR</v>
      </c>
      <c r="AD307" s="162" t="str">
        <f>_xlfn.IFNA(VLOOKUP(Table13[[#This Row],[MTP SKU Code]],'Audit Dimensions'!A:U,16,FALSE),"ARC")</f>
        <v>ARC</v>
      </c>
      <c r="AE307" s="165" t="str">
        <f>IFERROR(1-Table13[[#This Row],[Gms]]/Table13[[#This Row],[BaLL.Aud]],"ERR")</f>
        <v>ERR</v>
      </c>
    </row>
    <row r="308" spans="1:31" hidden="1">
      <c r="A308" s="68" t="s">
        <v>354</v>
      </c>
      <c r="B308" s="84" t="s">
        <v>48</v>
      </c>
      <c r="C308" s="85">
        <v>82</v>
      </c>
      <c r="D308" s="85">
        <v>36</v>
      </c>
      <c r="E308" s="85">
        <v>7</v>
      </c>
      <c r="F308" s="89">
        <v>8000</v>
      </c>
      <c r="G308" s="85"/>
      <c r="H308" s="85"/>
      <c r="I308" s="85"/>
      <c r="J308" s="85"/>
      <c r="K308" s="85"/>
      <c r="L308" s="85"/>
      <c r="M308" s="85"/>
      <c r="N308" s="85"/>
      <c r="O308" s="118">
        <f>((IFERROR((C308*D308*E308),0)+IFERROR((G308*H308*I308),0)+IFERROR((K308*L308*M308),0))/1000000)*35.32</f>
        <v>0.72985247999999991</v>
      </c>
      <c r="P308" s="125">
        <f>Table13[[#This Row],[Column15]]*$P$2*1000</f>
        <v>4379.1148799999992</v>
      </c>
      <c r="Q308" s="87">
        <f>F308+J308+N308</f>
        <v>8000</v>
      </c>
      <c r="R308" s="86">
        <f>MAX(Q308,O308)</f>
        <v>8000</v>
      </c>
      <c r="S308" s="86">
        <f>MAX(R308,P308)</f>
        <v>8000</v>
      </c>
      <c r="T308" s="156" t="str">
        <f>VLOOKUP(A308,'[1]MTP SKUs - Master Data'!$A:$B,2,FALSE)</f>
        <v>DI</v>
      </c>
      <c r="U308" s="162" t="str">
        <f>_xlfn.IFNA(VLOOKUP(Table13[[#This Row],[MTP SKU Code]],'Audit Dimensions'!A:N,6,FALSE),"ARC")</f>
        <v>ARC</v>
      </c>
      <c r="V308" s="162" t="str">
        <f>IFERROR(Table13[[#This Row],[B1.Aud]]-Table13[[#This Row],[PW(gm)]],"ERR")</f>
        <v>ERR</v>
      </c>
      <c r="W308" s="165" t="str">
        <f>IFERROR(Table13[[#This Row],[B1.Diff]]/Table13[[#This Row],[B1.Aud]],"ERR")</f>
        <v>ERR</v>
      </c>
      <c r="X308" s="162" t="str">
        <f>_xlfn.IFNA(VLOOKUP(Table13[[#This Row],[MTP SKU Code]],'Audit Dimensions'!A:N,10,FALSE),"ARC")</f>
        <v>ARC</v>
      </c>
      <c r="Y308" s="163" t="str">
        <f>IFERROR(Table13[[#This Row],[B2.Aud]]-Table13[[#This Row],[PW(gm)5]],"ERR")</f>
        <v>ERR</v>
      </c>
      <c r="Z308" s="165" t="str">
        <f>IFERROR(Table13[[#This Row],[B2.Diff]]/Table13[[#This Row],[B2.Aud]],"ERR")</f>
        <v>ERR</v>
      </c>
      <c r="AA308" s="162" t="str">
        <f>_xlfn.IFNA(VLOOKUP(Table13[[#This Row],[MTP SKU Code]],'Audit Dimensions'!A:N,14,FALSE),"ARC")</f>
        <v>ARC</v>
      </c>
      <c r="AB308" s="161" t="str">
        <f>IFERROR(Table13[[#This Row],[B3.Aud]]-Table13[[#This Row],[PW(gm)9]],"ERR")</f>
        <v>ERR</v>
      </c>
      <c r="AC308" s="168" t="str">
        <f>IFERROR(Table13[[#This Row],[B3.Diff]]/Table13[[#This Row],[BaLL.Aud]],"ERR")</f>
        <v>ERR</v>
      </c>
      <c r="AD308" s="162" t="str">
        <f>_xlfn.IFNA(VLOOKUP(Table13[[#This Row],[MTP SKU Code]],'Audit Dimensions'!A:U,16,FALSE),"ARC")</f>
        <v>ARC</v>
      </c>
      <c r="AE308" s="165" t="str">
        <f>IFERROR(1-Table13[[#This Row],[Gms]]/Table13[[#This Row],[BaLL.Aud]],"ERR")</f>
        <v>ERR</v>
      </c>
    </row>
    <row r="309" spans="1:31" hidden="1">
      <c r="A309" s="68" t="s">
        <v>355</v>
      </c>
      <c r="B309" s="84" t="s">
        <v>48</v>
      </c>
      <c r="C309" s="85">
        <v>45</v>
      </c>
      <c r="D309" s="85">
        <v>24.5</v>
      </c>
      <c r="E309" s="85">
        <v>5</v>
      </c>
      <c r="F309" s="89">
        <v>2000</v>
      </c>
      <c r="G309" s="85"/>
      <c r="H309" s="85"/>
      <c r="I309" s="85"/>
      <c r="J309" s="85"/>
      <c r="K309" s="85"/>
      <c r="L309" s="85"/>
      <c r="M309" s="85"/>
      <c r="N309" s="85"/>
      <c r="O309" s="118">
        <f>((IFERROR((C309*D309*E309),0)+IFERROR((G309*H309*I309),0)+IFERROR((K309*L309*M309),0))/1000000)*35.32</f>
        <v>0.1947015</v>
      </c>
      <c r="P309" s="125">
        <f>Table13[[#This Row],[Column15]]*$P$2*1000</f>
        <v>1168.2090000000001</v>
      </c>
      <c r="Q309" s="87">
        <f>F309+J309+N309</f>
        <v>2000</v>
      </c>
      <c r="R309" s="86">
        <f>MAX(Q309,O309)</f>
        <v>2000</v>
      </c>
      <c r="S309" s="86">
        <f>MAX(R309,P309)</f>
        <v>2000</v>
      </c>
      <c r="T309" s="156" t="str">
        <f>VLOOKUP(A309,'[1]MTP SKUs - Master Data'!$A:$B,2,FALSE)</f>
        <v>DI</v>
      </c>
      <c r="U309" s="162" t="str">
        <f>_xlfn.IFNA(VLOOKUP(Table13[[#This Row],[MTP SKU Code]],'Audit Dimensions'!A:N,6,FALSE),"ARC")</f>
        <v>ARC</v>
      </c>
      <c r="V309" s="162" t="str">
        <f>IFERROR(Table13[[#This Row],[B1.Aud]]-Table13[[#This Row],[PW(gm)]],"ERR")</f>
        <v>ERR</v>
      </c>
      <c r="W309" s="165" t="str">
        <f>IFERROR(Table13[[#This Row],[B1.Diff]]/Table13[[#This Row],[B1.Aud]],"ERR")</f>
        <v>ERR</v>
      </c>
      <c r="X309" s="162" t="str">
        <f>_xlfn.IFNA(VLOOKUP(Table13[[#This Row],[MTP SKU Code]],'Audit Dimensions'!A:N,10,FALSE),"ARC")</f>
        <v>ARC</v>
      </c>
      <c r="Y309" s="163" t="str">
        <f>IFERROR(Table13[[#This Row],[B2.Aud]]-Table13[[#This Row],[PW(gm)5]],"ERR")</f>
        <v>ERR</v>
      </c>
      <c r="Z309" s="165" t="str">
        <f>IFERROR(Table13[[#This Row],[B2.Diff]]/Table13[[#This Row],[B2.Aud]],"ERR")</f>
        <v>ERR</v>
      </c>
      <c r="AA309" s="162" t="str">
        <f>_xlfn.IFNA(VLOOKUP(Table13[[#This Row],[MTP SKU Code]],'Audit Dimensions'!A:N,14,FALSE),"ARC")</f>
        <v>ARC</v>
      </c>
      <c r="AB309" s="161" t="str">
        <f>IFERROR(Table13[[#This Row],[B3.Aud]]-Table13[[#This Row],[PW(gm)9]],"ERR")</f>
        <v>ERR</v>
      </c>
      <c r="AC309" s="168" t="str">
        <f>IFERROR(Table13[[#This Row],[B3.Diff]]/Table13[[#This Row],[BaLL.Aud]],"ERR")</f>
        <v>ERR</v>
      </c>
      <c r="AD309" s="162" t="str">
        <f>_xlfn.IFNA(VLOOKUP(Table13[[#This Row],[MTP SKU Code]],'Audit Dimensions'!A:U,16,FALSE),"ARC")</f>
        <v>ARC</v>
      </c>
      <c r="AE309" s="165" t="str">
        <f>IFERROR(1-Table13[[#This Row],[Gms]]/Table13[[#This Row],[BaLL.Aud]],"ERR")</f>
        <v>ERR</v>
      </c>
    </row>
    <row r="310" spans="1:31" hidden="1">
      <c r="A310" s="68" t="s">
        <v>356</v>
      </c>
      <c r="B310" s="84" t="s">
        <v>48</v>
      </c>
      <c r="C310" s="85">
        <v>55</v>
      </c>
      <c r="D310" s="85">
        <v>32</v>
      </c>
      <c r="E310" s="85">
        <v>3.5</v>
      </c>
      <c r="F310" s="89">
        <v>2000</v>
      </c>
      <c r="G310" s="85"/>
      <c r="H310" s="85"/>
      <c r="I310" s="85"/>
      <c r="J310" s="85"/>
      <c r="K310" s="85"/>
      <c r="L310" s="85"/>
      <c r="M310" s="85"/>
      <c r="N310" s="85"/>
      <c r="O310" s="118">
        <f>((IFERROR((C310*D310*E310),0)+IFERROR((G310*H310*I310),0)+IFERROR((K310*L310*M310),0))/1000000)*35.32</f>
        <v>0.21757119999999999</v>
      </c>
      <c r="P310" s="125">
        <f>Table13[[#This Row],[Column15]]*$P$2*1000</f>
        <v>1305.4272000000001</v>
      </c>
      <c r="Q310" s="87">
        <f>F310+J310+N310</f>
        <v>2000</v>
      </c>
      <c r="R310" s="86">
        <f>MAX(Q310,O310)</f>
        <v>2000</v>
      </c>
      <c r="S310" s="86">
        <f>MAX(R310,P310)</f>
        <v>2000</v>
      </c>
      <c r="T310" s="156" t="str">
        <f>VLOOKUP(A310,'[1]MTP SKUs - Master Data'!$A:$B,2,FALSE)</f>
        <v>DI</v>
      </c>
      <c r="U310" s="162" t="str">
        <f>_xlfn.IFNA(VLOOKUP(Table13[[#This Row],[MTP SKU Code]],'Audit Dimensions'!A:N,6,FALSE),"ARC")</f>
        <v>ARC</v>
      </c>
      <c r="V310" s="162" t="str">
        <f>IFERROR(Table13[[#This Row],[B1.Aud]]-Table13[[#This Row],[PW(gm)]],"ERR")</f>
        <v>ERR</v>
      </c>
      <c r="W310" s="165" t="str">
        <f>IFERROR(Table13[[#This Row],[B1.Diff]]/Table13[[#This Row],[B1.Aud]],"ERR")</f>
        <v>ERR</v>
      </c>
      <c r="X310" s="162" t="str">
        <f>_xlfn.IFNA(VLOOKUP(Table13[[#This Row],[MTP SKU Code]],'Audit Dimensions'!A:N,10,FALSE),"ARC")</f>
        <v>ARC</v>
      </c>
      <c r="Y310" s="163" t="str">
        <f>IFERROR(Table13[[#This Row],[B2.Aud]]-Table13[[#This Row],[PW(gm)5]],"ERR")</f>
        <v>ERR</v>
      </c>
      <c r="Z310" s="165" t="str">
        <f>IFERROR(Table13[[#This Row],[B2.Diff]]/Table13[[#This Row],[B2.Aud]],"ERR")</f>
        <v>ERR</v>
      </c>
      <c r="AA310" s="162" t="str">
        <f>_xlfn.IFNA(VLOOKUP(Table13[[#This Row],[MTP SKU Code]],'Audit Dimensions'!A:N,14,FALSE),"ARC")</f>
        <v>ARC</v>
      </c>
      <c r="AB310" s="161" t="str">
        <f>IFERROR(Table13[[#This Row],[B3.Aud]]-Table13[[#This Row],[PW(gm)9]],"ERR")</f>
        <v>ERR</v>
      </c>
      <c r="AC310" s="168" t="str">
        <f>IFERROR(Table13[[#This Row],[B3.Diff]]/Table13[[#This Row],[BaLL.Aud]],"ERR")</f>
        <v>ERR</v>
      </c>
      <c r="AD310" s="162" t="str">
        <f>_xlfn.IFNA(VLOOKUP(Table13[[#This Row],[MTP SKU Code]],'Audit Dimensions'!A:U,16,FALSE),"ARC")</f>
        <v>ARC</v>
      </c>
      <c r="AE310" s="165" t="str">
        <f>IFERROR(1-Table13[[#This Row],[Gms]]/Table13[[#This Row],[BaLL.Aud]],"ERR")</f>
        <v>ERR</v>
      </c>
    </row>
    <row r="311" spans="1:31" hidden="1">
      <c r="A311" s="68" t="s">
        <v>357</v>
      </c>
      <c r="B311" s="84" t="s">
        <v>48</v>
      </c>
      <c r="C311" s="85">
        <v>41</v>
      </c>
      <c r="D311" s="85">
        <v>25</v>
      </c>
      <c r="E311" s="85">
        <v>4</v>
      </c>
      <c r="F311" s="89">
        <v>1000</v>
      </c>
      <c r="G311" s="85"/>
      <c r="H311" s="85"/>
      <c r="I311" s="85"/>
      <c r="J311" s="85"/>
      <c r="K311" s="85"/>
      <c r="L311" s="85"/>
      <c r="M311" s="85"/>
      <c r="N311" s="85"/>
      <c r="O311" s="118">
        <f>((IFERROR((C311*D311*E311),0)+IFERROR((G311*H311*I311),0)+IFERROR((K311*L311*M311),0))/1000000)*35.32</f>
        <v>0.14481200000000002</v>
      </c>
      <c r="P311" s="125">
        <f>Table13[[#This Row],[Column15]]*$P$2*1000</f>
        <v>868.87200000000007</v>
      </c>
      <c r="Q311" s="87">
        <f>F311+J311+N311</f>
        <v>1000</v>
      </c>
      <c r="R311" s="86">
        <f>MAX(Q311,O311)</f>
        <v>1000</v>
      </c>
      <c r="S311" s="86">
        <f>MAX(R311,P311)</f>
        <v>1000</v>
      </c>
      <c r="T311" s="156" t="str">
        <f>VLOOKUP(A311,'[1]MTP SKUs - Master Data'!$A:$B,2,FALSE)</f>
        <v>DI</v>
      </c>
      <c r="U311" s="162" t="str">
        <f>_xlfn.IFNA(VLOOKUP(Table13[[#This Row],[MTP SKU Code]],'Audit Dimensions'!A:N,6,FALSE),"ARC")</f>
        <v>ARC</v>
      </c>
      <c r="V311" s="162" t="str">
        <f>IFERROR(Table13[[#This Row],[B1.Aud]]-Table13[[#This Row],[PW(gm)]],"ERR")</f>
        <v>ERR</v>
      </c>
      <c r="W311" s="165" t="str">
        <f>IFERROR(Table13[[#This Row],[B1.Diff]]/Table13[[#This Row],[B1.Aud]],"ERR")</f>
        <v>ERR</v>
      </c>
      <c r="X311" s="162" t="str">
        <f>_xlfn.IFNA(VLOOKUP(Table13[[#This Row],[MTP SKU Code]],'Audit Dimensions'!A:N,10,FALSE),"ARC")</f>
        <v>ARC</v>
      </c>
      <c r="Y311" s="163" t="str">
        <f>IFERROR(Table13[[#This Row],[B2.Aud]]-Table13[[#This Row],[PW(gm)5]],"ERR")</f>
        <v>ERR</v>
      </c>
      <c r="Z311" s="165" t="str">
        <f>IFERROR(Table13[[#This Row],[B2.Diff]]/Table13[[#This Row],[B2.Aud]],"ERR")</f>
        <v>ERR</v>
      </c>
      <c r="AA311" s="162" t="str">
        <f>_xlfn.IFNA(VLOOKUP(Table13[[#This Row],[MTP SKU Code]],'Audit Dimensions'!A:N,14,FALSE),"ARC")</f>
        <v>ARC</v>
      </c>
      <c r="AB311" s="161" t="str">
        <f>IFERROR(Table13[[#This Row],[B3.Aud]]-Table13[[#This Row],[PW(gm)9]],"ERR")</f>
        <v>ERR</v>
      </c>
      <c r="AC311" s="168" t="str">
        <f>IFERROR(Table13[[#This Row],[B3.Diff]]/Table13[[#This Row],[BaLL.Aud]],"ERR")</f>
        <v>ERR</v>
      </c>
      <c r="AD311" s="162" t="str">
        <f>_xlfn.IFNA(VLOOKUP(Table13[[#This Row],[MTP SKU Code]],'Audit Dimensions'!A:U,16,FALSE),"ARC")</f>
        <v>ARC</v>
      </c>
      <c r="AE311" s="165" t="str">
        <f>IFERROR(1-Table13[[#This Row],[Gms]]/Table13[[#This Row],[BaLL.Aud]],"ERR")</f>
        <v>ERR</v>
      </c>
    </row>
    <row r="312" spans="1:31" hidden="1">
      <c r="A312" s="68" t="s">
        <v>358</v>
      </c>
      <c r="B312" s="84" t="s">
        <v>296</v>
      </c>
      <c r="C312" s="85"/>
      <c r="D312" s="85"/>
      <c r="E312" s="85"/>
      <c r="F312" s="89"/>
      <c r="G312" s="85"/>
      <c r="H312" s="85"/>
      <c r="I312" s="85"/>
      <c r="J312" s="85"/>
      <c r="K312" s="85"/>
      <c r="L312" s="85"/>
      <c r="M312" s="85"/>
      <c r="N312" s="85"/>
      <c r="O312" s="118">
        <f>((IFERROR((C312*D312*E312),0)+IFERROR((G312*H312*I312),0)+IFERROR((K312*L312*M312),0))/1000000)*35.32</f>
        <v>0</v>
      </c>
      <c r="P312" s="125">
        <f>Table13[[#This Row],[Column15]]*$P$2*1000</f>
        <v>0</v>
      </c>
      <c r="Q312" s="87">
        <f>F312+J312+N312</f>
        <v>0</v>
      </c>
      <c r="R312" s="86">
        <f>MAX(Q312,O312)</f>
        <v>0</v>
      </c>
      <c r="S312" s="86">
        <f>MAX(R312,P312)</f>
        <v>0</v>
      </c>
      <c r="T312" s="156" t="str">
        <f>VLOOKUP(A312,'[1]MTP SKUs - Master Data'!$A:$B,2,FALSE)</f>
        <v>DI</v>
      </c>
      <c r="U312" s="162" t="str">
        <f>_xlfn.IFNA(VLOOKUP(Table13[[#This Row],[MTP SKU Code]],'Audit Dimensions'!A:N,6,FALSE),"ARC")</f>
        <v>0</v>
      </c>
      <c r="V312" s="162">
        <f>IFERROR(Table13[[#This Row],[B1.Aud]]-Table13[[#This Row],[PW(gm)]],"ERR")</f>
        <v>0</v>
      </c>
      <c r="W312" s="165" t="str">
        <f>IFERROR(Table13[[#This Row],[B1.Diff]]/Table13[[#This Row],[B1.Aud]],"ERR")</f>
        <v>ERR</v>
      </c>
      <c r="X312" s="162" t="str">
        <f>_xlfn.IFNA(VLOOKUP(Table13[[#This Row],[MTP SKU Code]],'Audit Dimensions'!A:N,10,FALSE),"ARC")</f>
        <v>0</v>
      </c>
      <c r="Y312" s="163">
        <f>IFERROR(Table13[[#This Row],[B2.Aud]]-Table13[[#This Row],[PW(gm)5]],"ERR")</f>
        <v>0</v>
      </c>
      <c r="Z312" s="165" t="str">
        <f>IFERROR(Table13[[#This Row],[B2.Diff]]/Table13[[#This Row],[B2.Aud]],"ERR")</f>
        <v>ERR</v>
      </c>
      <c r="AA312" s="162" t="str">
        <f>_xlfn.IFNA(VLOOKUP(Table13[[#This Row],[MTP SKU Code]],'Audit Dimensions'!A:N,14,FALSE),"ARC")</f>
        <v>0</v>
      </c>
      <c r="AB312" s="161">
        <f>IFERROR(Table13[[#This Row],[B3.Aud]]-Table13[[#This Row],[PW(gm)9]],"ERR")</f>
        <v>0</v>
      </c>
      <c r="AC312" s="168" t="str">
        <f>IFERROR(Table13[[#This Row],[B3.Diff]]/Table13[[#This Row],[BaLL.Aud]],"ERR")</f>
        <v>ERR</v>
      </c>
      <c r="AD312" s="162">
        <f>_xlfn.IFNA(VLOOKUP(Table13[[#This Row],[MTP SKU Code]],'Audit Dimensions'!A:U,16,FALSE),"ARC")</f>
        <v>0</v>
      </c>
      <c r="AE312" s="165" t="str">
        <f>IFERROR(1-Table13[[#This Row],[Gms]]/Table13[[#This Row],[BaLL.Aud]],"ERR")</f>
        <v>ERR</v>
      </c>
    </row>
    <row r="313" spans="1:31" hidden="1">
      <c r="A313" s="68" t="s">
        <v>359</v>
      </c>
      <c r="B313" s="84" t="s">
        <v>48</v>
      </c>
      <c r="C313" s="85"/>
      <c r="D313" s="85"/>
      <c r="E313" s="85"/>
      <c r="F313" s="89"/>
      <c r="G313" s="85"/>
      <c r="H313" s="85"/>
      <c r="I313" s="85"/>
      <c r="J313" s="85"/>
      <c r="K313" s="85"/>
      <c r="L313" s="85"/>
      <c r="M313" s="85"/>
      <c r="N313" s="85"/>
      <c r="O313" s="118">
        <f>((IFERROR((C313*D313*E313),0)+IFERROR((G313*H313*I313),0)+IFERROR((K313*L313*M313),0))/1000000)*35.32</f>
        <v>0</v>
      </c>
      <c r="P313" s="125">
        <f>Table13[[#This Row],[Column15]]*$P$2*1000</f>
        <v>0</v>
      </c>
      <c r="Q313" s="87">
        <f>F313+J313+N313</f>
        <v>0</v>
      </c>
      <c r="R313" s="86">
        <f>MAX(Q313,O313)</f>
        <v>0</v>
      </c>
      <c r="S313" s="86">
        <f>MAX(R313,P313)</f>
        <v>0</v>
      </c>
      <c r="T313" s="156" t="str">
        <f>VLOOKUP(A313,'[1]MTP SKUs - Master Data'!$A:$B,2,FALSE)</f>
        <v>DI</v>
      </c>
      <c r="U313" s="162" t="str">
        <f>_xlfn.IFNA(VLOOKUP(Table13[[#This Row],[MTP SKU Code]],'Audit Dimensions'!A:N,6,FALSE),"ARC")</f>
        <v>ARC</v>
      </c>
      <c r="V313" s="162" t="str">
        <f>IFERROR(Table13[[#This Row],[B1.Aud]]-Table13[[#This Row],[PW(gm)]],"ERR")</f>
        <v>ERR</v>
      </c>
      <c r="W313" s="165" t="str">
        <f>IFERROR(Table13[[#This Row],[B1.Diff]]/Table13[[#This Row],[B1.Aud]],"ERR")</f>
        <v>ERR</v>
      </c>
      <c r="X313" s="162" t="str">
        <f>_xlfn.IFNA(VLOOKUP(Table13[[#This Row],[MTP SKU Code]],'Audit Dimensions'!A:N,10,FALSE),"ARC")</f>
        <v>ARC</v>
      </c>
      <c r="Y313" s="163" t="str">
        <f>IFERROR(Table13[[#This Row],[B2.Aud]]-Table13[[#This Row],[PW(gm)5]],"ERR")</f>
        <v>ERR</v>
      </c>
      <c r="Z313" s="165" t="str">
        <f>IFERROR(Table13[[#This Row],[B2.Diff]]/Table13[[#This Row],[B2.Aud]],"ERR")</f>
        <v>ERR</v>
      </c>
      <c r="AA313" s="162" t="str">
        <f>_xlfn.IFNA(VLOOKUP(Table13[[#This Row],[MTP SKU Code]],'Audit Dimensions'!A:N,14,FALSE),"ARC")</f>
        <v>ARC</v>
      </c>
      <c r="AB313" s="161" t="str">
        <f>IFERROR(Table13[[#This Row],[B3.Aud]]-Table13[[#This Row],[PW(gm)9]],"ERR")</f>
        <v>ERR</v>
      </c>
      <c r="AC313" s="168" t="str">
        <f>IFERROR(Table13[[#This Row],[B3.Diff]]/Table13[[#This Row],[BaLL.Aud]],"ERR")</f>
        <v>ERR</v>
      </c>
      <c r="AD313" s="162" t="str">
        <f>_xlfn.IFNA(VLOOKUP(Table13[[#This Row],[MTP SKU Code]],'Audit Dimensions'!A:U,16,FALSE),"ARC")</f>
        <v>ARC</v>
      </c>
      <c r="AE313" s="165" t="str">
        <f>IFERROR(1-Table13[[#This Row],[Gms]]/Table13[[#This Row],[BaLL.Aud]],"ERR")</f>
        <v>ERR</v>
      </c>
    </row>
    <row r="314" spans="1:31" hidden="1">
      <c r="A314" s="68" t="s">
        <v>360</v>
      </c>
      <c r="B314" s="84" t="s">
        <v>48</v>
      </c>
      <c r="C314" s="85">
        <v>24</v>
      </c>
      <c r="D314" s="85">
        <v>23</v>
      </c>
      <c r="E314" s="85">
        <v>9</v>
      </c>
      <c r="F314" s="89">
        <v>755</v>
      </c>
      <c r="G314" s="85"/>
      <c r="H314" s="85"/>
      <c r="I314" s="85"/>
      <c r="J314" s="85"/>
      <c r="K314" s="85"/>
      <c r="L314" s="85"/>
      <c r="M314" s="85"/>
      <c r="N314" s="85"/>
      <c r="O314" s="118">
        <f>((IFERROR((C314*D314*E314),0)+IFERROR((G314*H314*I314),0)+IFERROR((K314*L314*M314),0))/1000000)*35.32</f>
        <v>0.17546976</v>
      </c>
      <c r="P314" s="125">
        <f>Table13[[#This Row],[Column15]]*$P$2*1000</f>
        <v>1052.8185599999999</v>
      </c>
      <c r="Q314" s="87">
        <f>F314+J314+N314</f>
        <v>755</v>
      </c>
      <c r="R314" s="86">
        <f>MAX(Q314,O314)</f>
        <v>755</v>
      </c>
      <c r="S314" s="86">
        <f>MAX(R314,P314)</f>
        <v>1052.8185599999999</v>
      </c>
      <c r="T314" s="156" t="str">
        <f>VLOOKUP(A314,'[1]MTP SKUs - Master Data'!$A:$B,2,FALSE)</f>
        <v>DI</v>
      </c>
      <c r="U314" s="162" t="str">
        <f>_xlfn.IFNA(VLOOKUP(Table13[[#This Row],[MTP SKU Code]],'Audit Dimensions'!A:N,6,FALSE),"ARC")</f>
        <v>ARC</v>
      </c>
      <c r="V314" s="162" t="str">
        <f>IFERROR(Table13[[#This Row],[B1.Aud]]-Table13[[#This Row],[PW(gm)]],"ERR")</f>
        <v>ERR</v>
      </c>
      <c r="W314" s="165" t="str">
        <f>IFERROR(Table13[[#This Row],[B1.Diff]]/Table13[[#This Row],[B1.Aud]],"ERR")</f>
        <v>ERR</v>
      </c>
      <c r="X314" s="162" t="str">
        <f>_xlfn.IFNA(VLOOKUP(Table13[[#This Row],[MTP SKU Code]],'Audit Dimensions'!A:N,10,FALSE),"ARC")</f>
        <v>ARC</v>
      </c>
      <c r="Y314" s="163" t="str">
        <f>IFERROR(Table13[[#This Row],[B2.Aud]]-Table13[[#This Row],[PW(gm)5]],"ERR")</f>
        <v>ERR</v>
      </c>
      <c r="Z314" s="165" t="str">
        <f>IFERROR(Table13[[#This Row],[B2.Diff]]/Table13[[#This Row],[B2.Aud]],"ERR")</f>
        <v>ERR</v>
      </c>
      <c r="AA314" s="162" t="str">
        <f>_xlfn.IFNA(VLOOKUP(Table13[[#This Row],[MTP SKU Code]],'Audit Dimensions'!A:N,14,FALSE),"ARC")</f>
        <v>ARC</v>
      </c>
      <c r="AB314" s="161" t="str">
        <f>IFERROR(Table13[[#This Row],[B3.Aud]]-Table13[[#This Row],[PW(gm)9]],"ERR")</f>
        <v>ERR</v>
      </c>
      <c r="AC314" s="168" t="str">
        <f>IFERROR(Table13[[#This Row],[B3.Diff]]/Table13[[#This Row],[BaLL.Aud]],"ERR")</f>
        <v>ERR</v>
      </c>
      <c r="AD314" s="162" t="str">
        <f>_xlfn.IFNA(VLOOKUP(Table13[[#This Row],[MTP SKU Code]],'Audit Dimensions'!A:U,16,FALSE),"ARC")</f>
        <v>ARC</v>
      </c>
      <c r="AE314" s="165" t="str">
        <f>IFERROR(1-Table13[[#This Row],[Gms]]/Table13[[#This Row],[BaLL.Aud]],"ERR")</f>
        <v>ERR</v>
      </c>
    </row>
    <row r="315" spans="1:31" hidden="1">
      <c r="A315" s="90" t="s">
        <v>361</v>
      </c>
      <c r="B315" s="84" t="s">
        <v>48</v>
      </c>
      <c r="C315" s="85">
        <v>185</v>
      </c>
      <c r="D315" s="85">
        <v>51</v>
      </c>
      <c r="E315" s="85">
        <v>10</v>
      </c>
      <c r="F315" s="89">
        <v>47900</v>
      </c>
      <c r="G315" s="85"/>
      <c r="H315" s="85"/>
      <c r="I315" s="85"/>
      <c r="J315" s="85"/>
      <c r="K315" s="85"/>
      <c r="L315" s="85"/>
      <c r="M315" s="85"/>
      <c r="N315" s="85"/>
      <c r="O315" s="118">
        <f>((IFERROR((C315*D315*E315),0)+IFERROR((G315*H315*I315),0)+IFERROR((K315*L315*M315),0))/1000000)*35.32</f>
        <v>3.3324420000000003</v>
      </c>
      <c r="P315" s="125">
        <f>Table13[[#This Row],[Column15]]*$P$2*1000</f>
        <v>19994.652000000002</v>
      </c>
      <c r="Q315" s="87">
        <f>F315+J315+N315</f>
        <v>47900</v>
      </c>
      <c r="R315" s="86">
        <f>MAX(Q315,O315)</f>
        <v>47900</v>
      </c>
      <c r="S315" s="86">
        <f>MAX(R315,P315)</f>
        <v>47900</v>
      </c>
      <c r="T315" s="156" t="str">
        <f>VLOOKUP(A315,'[1]MTP SKUs - Master Data'!$A:$B,2,FALSE)</f>
        <v>DI</v>
      </c>
      <c r="U315" s="162" t="str">
        <f>_xlfn.IFNA(VLOOKUP(Table13[[#This Row],[MTP SKU Code]],'Audit Dimensions'!A:N,6,FALSE),"ARC")</f>
        <v>ARC</v>
      </c>
      <c r="V315" s="162" t="str">
        <f>IFERROR(Table13[[#This Row],[B1.Aud]]-Table13[[#This Row],[PW(gm)]],"ERR")</f>
        <v>ERR</v>
      </c>
      <c r="W315" s="165" t="str">
        <f>IFERROR(Table13[[#This Row],[B1.Diff]]/Table13[[#This Row],[B1.Aud]],"ERR")</f>
        <v>ERR</v>
      </c>
      <c r="X315" s="162" t="str">
        <f>_xlfn.IFNA(VLOOKUP(Table13[[#This Row],[MTP SKU Code]],'Audit Dimensions'!A:N,10,FALSE),"ARC")</f>
        <v>ARC</v>
      </c>
      <c r="Y315" s="163" t="str">
        <f>IFERROR(Table13[[#This Row],[B2.Aud]]-Table13[[#This Row],[PW(gm)5]],"ERR")</f>
        <v>ERR</v>
      </c>
      <c r="Z315" s="165" t="str">
        <f>IFERROR(Table13[[#This Row],[B2.Diff]]/Table13[[#This Row],[B2.Aud]],"ERR")</f>
        <v>ERR</v>
      </c>
      <c r="AA315" s="162" t="str">
        <f>_xlfn.IFNA(VLOOKUP(Table13[[#This Row],[MTP SKU Code]],'Audit Dimensions'!A:N,14,FALSE),"ARC")</f>
        <v>ARC</v>
      </c>
      <c r="AB315" s="161" t="str">
        <f>IFERROR(Table13[[#This Row],[B3.Aud]]-Table13[[#This Row],[PW(gm)9]],"ERR")</f>
        <v>ERR</v>
      </c>
      <c r="AC315" s="168" t="str">
        <f>IFERROR(Table13[[#This Row],[B3.Diff]]/Table13[[#This Row],[BaLL.Aud]],"ERR")</f>
        <v>ERR</v>
      </c>
      <c r="AD315" s="162" t="str">
        <f>_xlfn.IFNA(VLOOKUP(Table13[[#This Row],[MTP SKU Code]],'Audit Dimensions'!A:U,16,FALSE),"ARC")</f>
        <v>ARC</v>
      </c>
      <c r="AE315" s="165" t="str">
        <f>IFERROR(1-Table13[[#This Row],[Gms]]/Table13[[#This Row],[BaLL.Aud]],"ERR")</f>
        <v>ERR</v>
      </c>
    </row>
    <row r="316" spans="1:31">
      <c r="A316" s="68" t="s">
        <v>49</v>
      </c>
      <c r="B316" s="84" t="s">
        <v>48</v>
      </c>
      <c r="C316" s="84">
        <v>78</v>
      </c>
      <c r="D316" s="85">
        <v>23</v>
      </c>
      <c r="E316" s="85">
        <v>6</v>
      </c>
      <c r="F316" s="89">
        <v>2200</v>
      </c>
      <c r="G316" s="85"/>
      <c r="H316" s="85"/>
      <c r="I316" s="85"/>
      <c r="J316" s="85"/>
      <c r="K316" s="85"/>
      <c r="L316" s="85"/>
      <c r="M316" s="85"/>
      <c r="N316" s="85"/>
      <c r="O316" s="118">
        <f>((IFERROR((C316*D316*E316),0)+IFERROR((G316*H316*I316),0)+IFERROR((K316*L316*M316),0))/1000000)*35.32</f>
        <v>0.38018447999999999</v>
      </c>
      <c r="P316" s="125">
        <f>Table13[[#This Row],[Column15]]*$P$2*1000</f>
        <v>2281.1068799999998</v>
      </c>
      <c r="Q316" s="87">
        <f>F316+J316+N316</f>
        <v>2200</v>
      </c>
      <c r="R316" s="86">
        <f>MAX(Q316,O316)</f>
        <v>2200</v>
      </c>
      <c r="S316" s="86">
        <f>MAX(R316,P316)</f>
        <v>2281.1068799999998</v>
      </c>
      <c r="T316" s="156" t="str">
        <f>VLOOKUP(A316,'[1]MTP SKUs - Master Data'!$A:$B,2,FALSE)</f>
        <v>Y</v>
      </c>
      <c r="U316" s="162">
        <f>_xlfn.IFNA(VLOOKUP(Table13[[#This Row],[MTP SKU Code]],'Audit Dimensions'!A:N,6,FALSE),"ARC")</f>
        <v>1940</v>
      </c>
      <c r="V316" s="162">
        <f>IFERROR(Table13[[#This Row],[B1.Aud]]-Table13[[#This Row],[PW(gm)]],"ERR")</f>
        <v>-260</v>
      </c>
      <c r="W316" s="165">
        <f>IFERROR(Table13[[#This Row],[B1.Diff]]/Table13[[#This Row],[B1.Aud]],"ERR")</f>
        <v>-0.13402061855670103</v>
      </c>
      <c r="X316" s="162">
        <f>_xlfn.IFNA(VLOOKUP(Table13[[#This Row],[MTP SKU Code]],'Audit Dimensions'!A:N,10,FALSE),"ARC")</f>
        <v>0</v>
      </c>
      <c r="Y316" s="163">
        <f>IFERROR(Table13[[#This Row],[B2.Aud]]-Table13[[#This Row],[PW(gm)5]],"ERR")</f>
        <v>0</v>
      </c>
      <c r="Z316" s="165" t="str">
        <f>IFERROR(Table13[[#This Row],[B2.Diff]]/Table13[[#This Row],[B2.Aud]],"ERR")</f>
        <v>ERR</v>
      </c>
      <c r="AA316" s="162">
        <f>_xlfn.IFNA(VLOOKUP(Table13[[#This Row],[MTP SKU Code]],'Audit Dimensions'!A:N,14,FALSE),"ARC")</f>
        <v>0</v>
      </c>
      <c r="AB316" s="161">
        <f>IFERROR(Table13[[#This Row],[B3.Aud]]-Table13[[#This Row],[PW(gm)9]],"ERR")</f>
        <v>0</v>
      </c>
      <c r="AC316" s="168">
        <f>IFERROR(Table13[[#This Row],[B3.Diff]]/Table13[[#This Row],[BaLL.Aud]],"ERR")</f>
        <v>0</v>
      </c>
      <c r="AD316" s="189">
        <f>_xlfn.IFNA(VLOOKUP(Table13[[#This Row],[MTP SKU Code]],'Audit Dimensions'!A:U,16,FALSE),"ARC")</f>
        <v>1940</v>
      </c>
      <c r="AE316" s="165">
        <f>IFERROR(1-Table13[[#This Row],[Gms]]/Table13[[#This Row],[BaLL.Aud]],"ERR")</f>
        <v>-0.134020618556701</v>
      </c>
    </row>
    <row r="317" spans="1:31" hidden="1">
      <c r="A317" s="68" t="s">
        <v>363</v>
      </c>
      <c r="B317" s="84" t="s">
        <v>48</v>
      </c>
      <c r="C317" s="85"/>
      <c r="D317" s="85"/>
      <c r="E317" s="85"/>
      <c r="F317" s="89"/>
      <c r="G317" s="85"/>
      <c r="H317" s="85"/>
      <c r="I317" s="85"/>
      <c r="J317" s="85"/>
      <c r="K317" s="85"/>
      <c r="L317" s="85"/>
      <c r="M317" s="85"/>
      <c r="N317" s="85"/>
      <c r="O317" s="118">
        <f>((IFERROR((C317*D317*E317),0)+IFERROR((G317*H317*I317),0)+IFERROR((K317*L317*M317),0))/1000000)*35.32</f>
        <v>0</v>
      </c>
      <c r="P317" s="125">
        <f>Table13[[#This Row],[Column15]]*$P$2*1000</f>
        <v>0</v>
      </c>
      <c r="Q317" s="87">
        <f>F317+J317+N317</f>
        <v>0</v>
      </c>
      <c r="R317" s="86">
        <f>MAX(Q317,O317)</f>
        <v>0</v>
      </c>
      <c r="S317" s="86">
        <f>MAX(R317,P317)</f>
        <v>0</v>
      </c>
      <c r="T317" s="156" t="str">
        <f>VLOOKUP(A317,'[1]MTP SKUs - Master Data'!$A:$B,2,FALSE)</f>
        <v>DI</v>
      </c>
      <c r="U317" s="162" t="str">
        <f>_xlfn.IFNA(VLOOKUP(Table13[[#This Row],[MTP SKU Code]],'Audit Dimensions'!A:N,6,FALSE),"ARC")</f>
        <v>ARC</v>
      </c>
      <c r="V317" s="162" t="str">
        <f>IFERROR(Table13[[#This Row],[B1.Aud]]-Table13[[#This Row],[PW(gm)]],"ERR")</f>
        <v>ERR</v>
      </c>
      <c r="W317" s="165" t="str">
        <f>IFERROR(Table13[[#This Row],[B1.Diff]]/Table13[[#This Row],[B1.Aud]],"ERR")</f>
        <v>ERR</v>
      </c>
      <c r="X317" s="162" t="str">
        <f>_xlfn.IFNA(VLOOKUP(Table13[[#This Row],[MTP SKU Code]],'Audit Dimensions'!A:N,10,FALSE),"ARC")</f>
        <v>ARC</v>
      </c>
      <c r="Y317" s="163" t="str">
        <f>IFERROR(Table13[[#This Row],[B2.Aud]]-Table13[[#This Row],[PW(gm)5]],"ERR")</f>
        <v>ERR</v>
      </c>
      <c r="Z317" s="165" t="str">
        <f>IFERROR(Table13[[#This Row],[B2.Diff]]/Table13[[#This Row],[B2.Aud]],"ERR")</f>
        <v>ERR</v>
      </c>
      <c r="AA317" s="162" t="str">
        <f>_xlfn.IFNA(VLOOKUP(Table13[[#This Row],[MTP SKU Code]],'Audit Dimensions'!A:N,14,FALSE),"ARC")</f>
        <v>ARC</v>
      </c>
      <c r="AB317" s="161" t="str">
        <f>IFERROR(Table13[[#This Row],[B3.Aud]]-Table13[[#This Row],[PW(gm)9]],"ERR")</f>
        <v>ERR</v>
      </c>
      <c r="AC317" s="168" t="str">
        <f>IFERROR(Table13[[#This Row],[B3.Diff]]/Table13[[#This Row],[BaLL.Aud]],"ERR")</f>
        <v>ERR</v>
      </c>
      <c r="AD317" s="162" t="str">
        <f>_xlfn.IFNA(VLOOKUP(Table13[[#This Row],[MTP SKU Code]],'Audit Dimensions'!A:U,16,FALSE),"ARC")</f>
        <v>ARC</v>
      </c>
      <c r="AE317" s="165" t="str">
        <f>IFERROR(1-Table13[[#This Row],[Gms]]/Table13[[#This Row],[BaLL.Aud]],"ERR")</f>
        <v>ERR</v>
      </c>
    </row>
    <row r="318" spans="1:31" hidden="1">
      <c r="A318" s="68" t="s">
        <v>364</v>
      </c>
      <c r="B318" s="84"/>
      <c r="C318" s="100"/>
      <c r="D318" s="100"/>
      <c r="E318" s="100"/>
      <c r="F318" s="101"/>
      <c r="G318" s="102"/>
      <c r="H318" s="102"/>
      <c r="I318" s="102"/>
      <c r="J318" s="102"/>
      <c r="K318" s="102"/>
      <c r="L318" s="102"/>
      <c r="M318" s="102"/>
      <c r="N318" s="102"/>
      <c r="O318" s="120"/>
      <c r="P318" s="125">
        <f>F318+J318+N318</f>
        <v>0</v>
      </c>
      <c r="Q318" s="87"/>
      <c r="R318" s="88">
        <f>MAX(Q318,O318)</f>
        <v>0</v>
      </c>
      <c r="S318" s="86">
        <f>MAX(R318,P318)</f>
        <v>0</v>
      </c>
      <c r="T318" s="156" t="str">
        <f>VLOOKUP(A318,'[1]MTP SKUs - Master Data'!$A:$B,2,FALSE)</f>
        <v>DI</v>
      </c>
      <c r="U318" s="162" t="str">
        <f>_xlfn.IFNA(VLOOKUP(Table13[[#This Row],[MTP SKU Code]],'Audit Dimensions'!A:N,6,FALSE),"ARC")</f>
        <v>ARC</v>
      </c>
      <c r="V318" s="162" t="str">
        <f>IFERROR(Table13[[#This Row],[B1.Aud]]-Table13[[#This Row],[PW(gm)]],"ERR")</f>
        <v>ERR</v>
      </c>
      <c r="W318" s="165" t="str">
        <f>IFERROR(Table13[[#This Row],[B1.Diff]]/Table13[[#This Row],[B1.Aud]],"ERR")</f>
        <v>ERR</v>
      </c>
      <c r="X318" s="162" t="str">
        <f>_xlfn.IFNA(VLOOKUP(Table13[[#This Row],[MTP SKU Code]],'Audit Dimensions'!A:N,10,FALSE),"ARC")</f>
        <v>ARC</v>
      </c>
      <c r="Y318" s="163" t="str">
        <f>IFERROR(Table13[[#This Row],[B2.Aud]]-Table13[[#This Row],[PW(gm)5]],"ERR")</f>
        <v>ERR</v>
      </c>
      <c r="Z318" s="165" t="str">
        <f>IFERROR(Table13[[#This Row],[B2.Diff]]/Table13[[#This Row],[B2.Aud]],"ERR")</f>
        <v>ERR</v>
      </c>
      <c r="AA318" s="162" t="str">
        <f>_xlfn.IFNA(VLOOKUP(Table13[[#This Row],[MTP SKU Code]],'Audit Dimensions'!A:N,14,FALSE),"ARC")</f>
        <v>ARC</v>
      </c>
      <c r="AB318" s="161" t="str">
        <f>IFERROR(Table13[[#This Row],[B3.Aud]]-Table13[[#This Row],[PW(gm)9]],"ERR")</f>
        <v>ERR</v>
      </c>
      <c r="AC318" s="168" t="str">
        <f>IFERROR(Table13[[#This Row],[B3.Diff]]/Table13[[#This Row],[BaLL.Aud]],"ERR")</f>
        <v>ERR</v>
      </c>
      <c r="AD318" s="162" t="str">
        <f>_xlfn.IFNA(VLOOKUP(Table13[[#This Row],[MTP SKU Code]],'Audit Dimensions'!A:U,16,FALSE),"ARC")</f>
        <v>ARC</v>
      </c>
      <c r="AE318" s="165" t="str">
        <f>IFERROR(1-Table13[[#This Row],[Gms]]/Table13[[#This Row],[BaLL.Aud]],"ERR")</f>
        <v>ERR</v>
      </c>
    </row>
    <row r="319" spans="1:31" hidden="1">
      <c r="A319" s="68" t="s">
        <v>365</v>
      </c>
      <c r="B319" s="84"/>
      <c r="C319" s="100"/>
      <c r="D319" s="100"/>
      <c r="E319" s="100"/>
      <c r="F319" s="101"/>
      <c r="G319" s="102"/>
      <c r="H319" s="102"/>
      <c r="I319" s="102"/>
      <c r="J319" s="102"/>
      <c r="K319" s="102"/>
      <c r="L319" s="102"/>
      <c r="M319" s="102"/>
      <c r="N319" s="102"/>
      <c r="O319" s="120"/>
      <c r="P319" s="125">
        <f>F319+J319+N319</f>
        <v>0</v>
      </c>
      <c r="Q319" s="87"/>
      <c r="R319" s="88">
        <f>MAX(Q319,O319)</f>
        <v>0</v>
      </c>
      <c r="S319" s="86">
        <f>MAX(R319,P319)</f>
        <v>0</v>
      </c>
      <c r="T319" s="156" t="str">
        <f>VLOOKUP(A319,'[1]MTP SKUs - Master Data'!$A:$B,2,FALSE)</f>
        <v>DI</v>
      </c>
      <c r="U319" s="162" t="str">
        <f>_xlfn.IFNA(VLOOKUP(Table13[[#This Row],[MTP SKU Code]],'Audit Dimensions'!A:N,6,FALSE),"ARC")</f>
        <v>0</v>
      </c>
      <c r="V319" s="162">
        <f>IFERROR(Table13[[#This Row],[B1.Aud]]-Table13[[#This Row],[PW(gm)]],"ERR")</f>
        <v>0</v>
      </c>
      <c r="W319" s="165" t="str">
        <f>IFERROR(Table13[[#This Row],[B1.Diff]]/Table13[[#This Row],[B1.Aud]],"ERR")</f>
        <v>ERR</v>
      </c>
      <c r="X319" s="162" t="str">
        <f>_xlfn.IFNA(VLOOKUP(Table13[[#This Row],[MTP SKU Code]],'Audit Dimensions'!A:N,10,FALSE),"ARC")</f>
        <v>0</v>
      </c>
      <c r="Y319" s="163">
        <f>IFERROR(Table13[[#This Row],[B2.Aud]]-Table13[[#This Row],[PW(gm)5]],"ERR")</f>
        <v>0</v>
      </c>
      <c r="Z319" s="165" t="str">
        <f>IFERROR(Table13[[#This Row],[B2.Diff]]/Table13[[#This Row],[B2.Aud]],"ERR")</f>
        <v>ERR</v>
      </c>
      <c r="AA319" s="162" t="str">
        <f>_xlfn.IFNA(VLOOKUP(Table13[[#This Row],[MTP SKU Code]],'Audit Dimensions'!A:N,14,FALSE),"ARC")</f>
        <v>0</v>
      </c>
      <c r="AB319" s="161">
        <f>IFERROR(Table13[[#This Row],[B3.Aud]]-Table13[[#This Row],[PW(gm)9]],"ERR")</f>
        <v>0</v>
      </c>
      <c r="AC319" s="168" t="str">
        <f>IFERROR(Table13[[#This Row],[B3.Diff]]/Table13[[#This Row],[BaLL.Aud]],"ERR")</f>
        <v>ERR</v>
      </c>
      <c r="AD319" s="162">
        <f>_xlfn.IFNA(VLOOKUP(Table13[[#This Row],[MTP SKU Code]],'Audit Dimensions'!A:U,16,FALSE),"ARC")</f>
        <v>0</v>
      </c>
      <c r="AE319" s="165" t="str">
        <f>IFERROR(1-Table13[[#This Row],[Gms]]/Table13[[#This Row],[BaLL.Aud]],"ERR")</f>
        <v>ERR</v>
      </c>
    </row>
    <row r="320" spans="1:31" hidden="1">
      <c r="A320" s="68" t="s">
        <v>366</v>
      </c>
      <c r="B320" s="84"/>
      <c r="C320" s="100"/>
      <c r="D320" s="100"/>
      <c r="E320" s="100"/>
      <c r="F320" s="101"/>
      <c r="G320" s="102"/>
      <c r="H320" s="102"/>
      <c r="I320" s="102"/>
      <c r="J320" s="102"/>
      <c r="K320" s="102"/>
      <c r="L320" s="102"/>
      <c r="M320" s="102"/>
      <c r="N320" s="102"/>
      <c r="O320" s="120"/>
      <c r="P320" s="125">
        <f>F320+J320+N320</f>
        <v>0</v>
      </c>
      <c r="Q320" s="87"/>
      <c r="R320" s="88">
        <f>MAX(Q320,O320)</f>
        <v>0</v>
      </c>
      <c r="S320" s="86">
        <f>MAX(R320,P320)</f>
        <v>0</v>
      </c>
      <c r="T320" s="156" t="str">
        <f>VLOOKUP(A320,'[1]MTP SKUs - Master Data'!$A:$B,2,FALSE)</f>
        <v>DI</v>
      </c>
      <c r="U320" s="162" t="str">
        <f>_xlfn.IFNA(VLOOKUP(Table13[[#This Row],[MTP SKU Code]],'Audit Dimensions'!A:N,6,FALSE),"ARC")</f>
        <v>ARC</v>
      </c>
      <c r="V320" s="162" t="str">
        <f>IFERROR(Table13[[#This Row],[B1.Aud]]-Table13[[#This Row],[PW(gm)]],"ERR")</f>
        <v>ERR</v>
      </c>
      <c r="W320" s="165" t="str">
        <f>IFERROR(Table13[[#This Row],[B1.Diff]]/Table13[[#This Row],[B1.Aud]],"ERR")</f>
        <v>ERR</v>
      </c>
      <c r="X320" s="162" t="str">
        <f>_xlfn.IFNA(VLOOKUP(Table13[[#This Row],[MTP SKU Code]],'Audit Dimensions'!A:N,10,FALSE),"ARC")</f>
        <v>ARC</v>
      </c>
      <c r="Y320" s="163" t="str">
        <f>IFERROR(Table13[[#This Row],[B2.Aud]]-Table13[[#This Row],[PW(gm)5]],"ERR")</f>
        <v>ERR</v>
      </c>
      <c r="Z320" s="165" t="str">
        <f>IFERROR(Table13[[#This Row],[B2.Diff]]/Table13[[#This Row],[B2.Aud]],"ERR")</f>
        <v>ERR</v>
      </c>
      <c r="AA320" s="162" t="str">
        <f>_xlfn.IFNA(VLOOKUP(Table13[[#This Row],[MTP SKU Code]],'Audit Dimensions'!A:N,14,FALSE),"ARC")</f>
        <v>ARC</v>
      </c>
      <c r="AB320" s="161" t="str">
        <f>IFERROR(Table13[[#This Row],[B3.Aud]]-Table13[[#This Row],[PW(gm)9]],"ERR")</f>
        <v>ERR</v>
      </c>
      <c r="AC320" s="168" t="str">
        <f>IFERROR(Table13[[#This Row],[B3.Diff]]/Table13[[#This Row],[BaLL.Aud]],"ERR")</f>
        <v>ERR</v>
      </c>
      <c r="AD320" s="162" t="str">
        <f>_xlfn.IFNA(VLOOKUP(Table13[[#This Row],[MTP SKU Code]],'Audit Dimensions'!A:U,16,FALSE),"ARC")</f>
        <v>ARC</v>
      </c>
      <c r="AE320" s="165" t="str">
        <f>IFERROR(1-Table13[[#This Row],[Gms]]/Table13[[#This Row],[BaLL.Aud]],"ERR")</f>
        <v>ERR</v>
      </c>
    </row>
    <row r="321" spans="1:31" hidden="1">
      <c r="A321" s="68" t="s">
        <v>367</v>
      </c>
      <c r="B321" s="84"/>
      <c r="C321" s="100"/>
      <c r="D321" s="100"/>
      <c r="E321" s="100"/>
      <c r="F321" s="101"/>
      <c r="G321" s="102"/>
      <c r="H321" s="102"/>
      <c r="I321" s="102"/>
      <c r="J321" s="102"/>
      <c r="K321" s="102"/>
      <c r="L321" s="102"/>
      <c r="M321" s="102"/>
      <c r="N321" s="102"/>
      <c r="O321" s="120"/>
      <c r="P321" s="125">
        <f>F321+J321+N321</f>
        <v>0</v>
      </c>
      <c r="Q321" s="87"/>
      <c r="R321" s="88">
        <f>MAX(Q321,O321)</f>
        <v>0</v>
      </c>
      <c r="S321" s="86">
        <f>MAX(R321,P321)</f>
        <v>0</v>
      </c>
      <c r="T321" s="156" t="str">
        <f>VLOOKUP(A321,'[1]MTP SKUs - Master Data'!$A:$B,2,FALSE)</f>
        <v>DI</v>
      </c>
      <c r="U321" s="162" t="str">
        <f>_xlfn.IFNA(VLOOKUP(Table13[[#This Row],[MTP SKU Code]],'Audit Dimensions'!A:N,6,FALSE),"ARC")</f>
        <v>0</v>
      </c>
      <c r="V321" s="162">
        <f>IFERROR(Table13[[#This Row],[B1.Aud]]-Table13[[#This Row],[PW(gm)]],"ERR")</f>
        <v>0</v>
      </c>
      <c r="W321" s="165" t="str">
        <f>IFERROR(Table13[[#This Row],[B1.Diff]]/Table13[[#This Row],[B1.Aud]],"ERR")</f>
        <v>ERR</v>
      </c>
      <c r="X321" s="162" t="str">
        <f>_xlfn.IFNA(VLOOKUP(Table13[[#This Row],[MTP SKU Code]],'Audit Dimensions'!A:N,10,FALSE),"ARC")</f>
        <v>0</v>
      </c>
      <c r="Y321" s="163">
        <f>IFERROR(Table13[[#This Row],[B2.Aud]]-Table13[[#This Row],[PW(gm)5]],"ERR")</f>
        <v>0</v>
      </c>
      <c r="Z321" s="165" t="str">
        <f>IFERROR(Table13[[#This Row],[B2.Diff]]/Table13[[#This Row],[B2.Aud]],"ERR")</f>
        <v>ERR</v>
      </c>
      <c r="AA321" s="162" t="str">
        <f>_xlfn.IFNA(VLOOKUP(Table13[[#This Row],[MTP SKU Code]],'Audit Dimensions'!A:N,14,FALSE),"ARC")</f>
        <v>0</v>
      </c>
      <c r="AB321" s="161">
        <f>IFERROR(Table13[[#This Row],[B3.Aud]]-Table13[[#This Row],[PW(gm)9]],"ERR")</f>
        <v>0</v>
      </c>
      <c r="AC321" s="168" t="str">
        <f>IFERROR(Table13[[#This Row],[B3.Diff]]/Table13[[#This Row],[BaLL.Aud]],"ERR")</f>
        <v>ERR</v>
      </c>
      <c r="AD321" s="162">
        <f>_xlfn.IFNA(VLOOKUP(Table13[[#This Row],[MTP SKU Code]],'Audit Dimensions'!A:U,16,FALSE),"ARC")</f>
        <v>0</v>
      </c>
      <c r="AE321" s="165" t="str">
        <f>IFERROR(1-Table13[[#This Row],[Gms]]/Table13[[#This Row],[BaLL.Aud]],"ERR")</f>
        <v>ERR</v>
      </c>
    </row>
    <row r="322" spans="1:31" hidden="1">
      <c r="A322" s="68" t="s">
        <v>368</v>
      </c>
      <c r="B322" s="84"/>
      <c r="C322" s="100"/>
      <c r="D322" s="100"/>
      <c r="E322" s="100"/>
      <c r="F322" s="101"/>
      <c r="G322" s="102"/>
      <c r="H322" s="102"/>
      <c r="I322" s="102"/>
      <c r="J322" s="102"/>
      <c r="K322" s="102"/>
      <c r="L322" s="102"/>
      <c r="M322" s="102"/>
      <c r="N322" s="102"/>
      <c r="O322" s="120"/>
      <c r="P322" s="125">
        <f>F322+J322+N322</f>
        <v>0</v>
      </c>
      <c r="Q322" s="87"/>
      <c r="R322" s="88">
        <f>MAX(Q322,O322)</f>
        <v>0</v>
      </c>
      <c r="S322" s="86">
        <f>MAX(R322,P322)</f>
        <v>0</v>
      </c>
      <c r="T322" s="156" t="str">
        <f>VLOOKUP(A322,'[1]MTP SKUs - Master Data'!$A:$B,2,FALSE)</f>
        <v>DI</v>
      </c>
      <c r="U322" s="162" t="str">
        <f>_xlfn.IFNA(VLOOKUP(Table13[[#This Row],[MTP SKU Code]],'Audit Dimensions'!A:N,6,FALSE),"ARC")</f>
        <v>0</v>
      </c>
      <c r="V322" s="162">
        <f>IFERROR(Table13[[#This Row],[B1.Aud]]-Table13[[#This Row],[PW(gm)]],"ERR")</f>
        <v>0</v>
      </c>
      <c r="W322" s="165" t="str">
        <f>IFERROR(Table13[[#This Row],[B1.Diff]]/Table13[[#This Row],[B1.Aud]],"ERR")</f>
        <v>ERR</v>
      </c>
      <c r="X322" s="162" t="str">
        <f>_xlfn.IFNA(VLOOKUP(Table13[[#This Row],[MTP SKU Code]],'Audit Dimensions'!A:N,10,FALSE),"ARC")</f>
        <v>0</v>
      </c>
      <c r="Y322" s="163">
        <f>IFERROR(Table13[[#This Row],[B2.Aud]]-Table13[[#This Row],[PW(gm)5]],"ERR")</f>
        <v>0</v>
      </c>
      <c r="Z322" s="165" t="str">
        <f>IFERROR(Table13[[#This Row],[B2.Diff]]/Table13[[#This Row],[B2.Aud]],"ERR")</f>
        <v>ERR</v>
      </c>
      <c r="AA322" s="162" t="str">
        <f>_xlfn.IFNA(VLOOKUP(Table13[[#This Row],[MTP SKU Code]],'Audit Dimensions'!A:N,14,FALSE),"ARC")</f>
        <v>0</v>
      </c>
      <c r="AB322" s="161">
        <f>IFERROR(Table13[[#This Row],[B3.Aud]]-Table13[[#This Row],[PW(gm)9]],"ERR")</f>
        <v>0</v>
      </c>
      <c r="AC322" s="168" t="str">
        <f>IFERROR(Table13[[#This Row],[B3.Diff]]/Table13[[#This Row],[BaLL.Aud]],"ERR")</f>
        <v>ERR</v>
      </c>
      <c r="AD322" s="162">
        <f>_xlfn.IFNA(VLOOKUP(Table13[[#This Row],[MTP SKU Code]],'Audit Dimensions'!A:U,16,FALSE),"ARC")</f>
        <v>0</v>
      </c>
      <c r="AE322" s="165" t="str">
        <f>IFERROR(1-Table13[[#This Row],[Gms]]/Table13[[#This Row],[BaLL.Aud]],"ERR")</f>
        <v>ERR</v>
      </c>
    </row>
  </sheetData>
  <mergeCells count="5">
    <mergeCell ref="C1:F1"/>
    <mergeCell ref="G1:J1"/>
    <mergeCell ref="K1:N1"/>
    <mergeCell ref="Q1:R1"/>
    <mergeCell ref="U1:AC1"/>
  </mergeCells>
  <conditionalFormatting sqref="A207">
    <cfRule type="duplicateValues" dxfId="91" priority="7"/>
  </conditionalFormatting>
  <conditionalFormatting sqref="A208">
    <cfRule type="duplicateValues" dxfId="90" priority="8"/>
    <cfRule type="duplicateValues" dxfId="89" priority="9"/>
    <cfRule type="duplicateValues" dxfId="88" priority="10"/>
    <cfRule type="duplicateValues" dxfId="87" priority="11"/>
  </conditionalFormatting>
  <conditionalFormatting sqref="A209">
    <cfRule type="duplicateValues" dxfId="86" priority="12"/>
    <cfRule type="duplicateValues" dxfId="85" priority="13"/>
    <cfRule type="duplicateValues" dxfId="84" priority="14"/>
  </conditionalFormatting>
  <conditionalFormatting sqref="A210:A212">
    <cfRule type="duplicateValues" dxfId="83" priority="15"/>
  </conditionalFormatting>
  <conditionalFormatting sqref="A213">
    <cfRule type="duplicateValues" dxfId="82" priority="16"/>
    <cfRule type="duplicateValues" dxfId="81" priority="17"/>
    <cfRule type="duplicateValues" dxfId="80" priority="18"/>
  </conditionalFormatting>
  <conditionalFormatting sqref="A214">
    <cfRule type="duplicateValues" dxfId="79" priority="19"/>
  </conditionalFormatting>
  <conditionalFormatting sqref="A221">
    <cfRule type="duplicateValues" dxfId="78" priority="20"/>
  </conditionalFormatting>
  <conditionalFormatting sqref="A222">
    <cfRule type="duplicateValues" dxfId="77" priority="21"/>
  </conditionalFormatting>
  <conditionalFormatting sqref="A223">
    <cfRule type="duplicateValues" dxfId="76" priority="22"/>
  </conditionalFormatting>
  <conditionalFormatting sqref="A223:A225 A207 A209:A221">
    <cfRule type="duplicateValues" dxfId="75" priority="36"/>
  </conditionalFormatting>
  <conditionalFormatting sqref="A225">
    <cfRule type="duplicateValues" dxfId="74" priority="23"/>
    <cfRule type="duplicateValues" dxfId="73" priority="24"/>
  </conditionalFormatting>
  <conditionalFormatting sqref="A226">
    <cfRule type="duplicateValues" dxfId="72" priority="25"/>
    <cfRule type="duplicateValues" dxfId="71" priority="26"/>
    <cfRule type="duplicateValues" dxfId="70" priority="27"/>
  </conditionalFormatting>
  <conditionalFormatting sqref="A227">
    <cfRule type="duplicateValues" dxfId="69" priority="28"/>
    <cfRule type="duplicateValues" dxfId="68" priority="29"/>
    <cfRule type="duplicateValues" dxfId="67" priority="30"/>
  </conditionalFormatting>
  <conditionalFormatting sqref="A237">
    <cfRule type="duplicateValues" dxfId="66" priority="31"/>
    <cfRule type="duplicateValues" dxfId="65" priority="32"/>
  </conditionalFormatting>
  <conditionalFormatting sqref="A238:A244">
    <cfRule type="duplicateValues" dxfId="64" priority="33"/>
  </conditionalFormatting>
  <conditionalFormatting sqref="A246">
    <cfRule type="duplicateValues" dxfId="63" priority="34"/>
  </conditionalFormatting>
  <conditionalFormatting sqref="A267:A274">
    <cfRule type="duplicateValues" dxfId="62" priority="3"/>
    <cfRule type="duplicateValues" dxfId="61" priority="4"/>
  </conditionalFormatting>
  <conditionalFormatting sqref="A305:A314 A299:A300 A263:A264 A138:A206 A14:A136 A287:A290 A318:A1048576 A1:A12">
    <cfRule type="duplicateValues" dxfId="60" priority="35"/>
  </conditionalFormatting>
  <conditionalFormatting sqref="A305:A314 A299:A300 A263:A264 A287:A290 A259 A318:A1048576 A1:A255">
    <cfRule type="duplicateValues" dxfId="59" priority="5"/>
  </conditionalFormatting>
  <conditionalFormatting sqref="S4:S10002">
    <cfRule type="expression" dxfId="58" priority="6">
      <formula>$P4&gt;$R4</formula>
    </cfRule>
  </conditionalFormatting>
  <conditionalFormatting sqref="P1:P1048576">
    <cfRule type="expression" dxfId="57" priority="2">
      <formula>$P1&gt;$Q1</formula>
    </cfRule>
  </conditionalFormatting>
  <conditionalFormatting sqref="C4:N399">
    <cfRule type="expression" dxfId="56" priority="1">
      <formula>NOT(_xlfn.ISFORMULA(C4))</formula>
    </cfRule>
  </conditionalFormatting>
  <hyperlinks>
    <hyperlink ref="A306" r:id="rId1" display="https://sellercentral.amazon.in/skucentral?mSku=TU-PMP-SWF&amp;ref=myi_skuc" xr:uid="{EDB6BC37-B47C-4705-AB26-042494222227}"/>
    <hyperlink ref="Z139" r:id="rId2" display="=IFERROR([@Diff]/[@[B1.Aud]],&quot;ERR&quot;)" xr:uid="{04995C8F-17B4-4F4F-860E-375727C121E7}"/>
  </hyperlinks>
  <pageMargins left="0.7" right="0.7" top="0.75" bottom="0.75" header="0.3" footer="0.3"/>
  <pageSetup orientation="portrait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267C-3685-4B9A-9F4C-DFC0342EDA82}">
  <sheetPr>
    <tabColor theme="3" tint="0.59999389629810485"/>
  </sheetPr>
  <dimension ref="A1:A5"/>
  <sheetViews>
    <sheetView workbookViewId="0">
      <selection activeCell="D10" sqref="D10"/>
    </sheetView>
  </sheetViews>
  <sheetFormatPr defaultRowHeight="15"/>
  <sheetData>
    <row r="1" spans="1:1">
      <c r="A1" t="s">
        <v>397</v>
      </c>
    </row>
    <row r="2" spans="1:1">
      <c r="A2" s="1" t="s">
        <v>398</v>
      </c>
    </row>
    <row r="3" spans="1:1">
      <c r="A3" s="1" t="s">
        <v>399</v>
      </c>
    </row>
    <row r="4" spans="1:1">
      <c r="A4" s="1" t="s">
        <v>400</v>
      </c>
    </row>
    <row r="5" spans="1:1">
      <c r="A5" t="s">
        <v>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8BA1-C505-4115-8E12-3206B7743AF7}">
  <dimension ref="A1:P118"/>
  <sheetViews>
    <sheetView topLeftCell="A29" workbookViewId="0">
      <selection activeCell="P35" sqref="P35"/>
    </sheetView>
  </sheetViews>
  <sheetFormatPr defaultRowHeight="15"/>
  <cols>
    <col min="1" max="1" width="12" customWidth="1"/>
    <col min="3" max="3" width="36.42578125" customWidth="1"/>
    <col min="4" max="4" width="9.140625" style="152"/>
  </cols>
  <sheetData>
    <row r="1" spans="1:8">
      <c r="A1" s="24" t="s">
        <v>16</v>
      </c>
      <c r="B1" s="24" t="s">
        <v>376</v>
      </c>
      <c r="C1" t="s">
        <v>378</v>
      </c>
      <c r="D1" s="152" t="s">
        <v>402</v>
      </c>
      <c r="F1" t="s">
        <v>403</v>
      </c>
      <c r="G1" t="s">
        <v>404</v>
      </c>
      <c r="H1" t="s">
        <v>405</v>
      </c>
    </row>
    <row r="2" spans="1:8">
      <c r="A2" s="58" t="s">
        <v>224</v>
      </c>
      <c r="B2" s="58" t="s">
        <v>406</v>
      </c>
      <c r="D2"/>
    </row>
    <row r="3" spans="1:8">
      <c r="A3" s="79" t="s">
        <v>245</v>
      </c>
      <c r="B3" s="58" t="s">
        <v>407</v>
      </c>
      <c r="C3" t="s">
        <v>408</v>
      </c>
    </row>
    <row r="4" spans="1:8">
      <c r="A4" s="58" t="s">
        <v>180</v>
      </c>
      <c r="B4" s="58" t="s">
        <v>406</v>
      </c>
      <c r="D4"/>
    </row>
    <row r="5" spans="1:8">
      <c r="A5" s="58" t="s">
        <v>282</v>
      </c>
      <c r="B5" s="58" t="s">
        <v>406</v>
      </c>
      <c r="D5"/>
    </row>
    <row r="6" spans="1:8">
      <c r="A6" s="58" t="s">
        <v>127</v>
      </c>
      <c r="B6" s="58" t="s">
        <v>409</v>
      </c>
      <c r="C6" t="s">
        <v>410</v>
      </c>
    </row>
    <row r="7" spans="1:8">
      <c r="A7" s="58" t="s">
        <v>129</v>
      </c>
      <c r="B7" s="58" t="s">
        <v>409</v>
      </c>
      <c r="C7" t="s">
        <v>410</v>
      </c>
    </row>
    <row r="8" spans="1:8">
      <c r="A8" s="70" t="s">
        <v>192</v>
      </c>
      <c r="B8" s="58" t="s">
        <v>407</v>
      </c>
      <c r="C8" t="s">
        <v>411</v>
      </c>
    </row>
    <row r="9" spans="1:8">
      <c r="A9" s="79" t="s">
        <v>59</v>
      </c>
      <c r="B9" s="58" t="s">
        <v>406</v>
      </c>
      <c r="D9"/>
    </row>
    <row r="10" spans="1:8">
      <c r="A10" s="79" t="s">
        <v>259</v>
      </c>
      <c r="B10" s="58" t="s">
        <v>407</v>
      </c>
      <c r="C10" t="s">
        <v>408</v>
      </c>
    </row>
    <row r="11" spans="1:8">
      <c r="A11" s="58" t="s">
        <v>283</v>
      </c>
      <c r="B11" s="58" t="s">
        <v>407</v>
      </c>
      <c r="C11" t="s">
        <v>411</v>
      </c>
    </row>
    <row r="12" spans="1:8">
      <c r="A12" s="58" t="s">
        <v>173</v>
      </c>
      <c r="B12" s="58" t="s">
        <v>407</v>
      </c>
      <c r="C12" t="s">
        <v>412</v>
      </c>
    </row>
    <row r="13" spans="1:8">
      <c r="A13" s="70" t="s">
        <v>207</v>
      </c>
      <c r="B13" s="58" t="s">
        <v>407</v>
      </c>
      <c r="C13" t="s">
        <v>411</v>
      </c>
    </row>
    <row r="14" spans="1:8">
      <c r="A14" s="79" t="s">
        <v>223</v>
      </c>
      <c r="B14" s="58" t="s">
        <v>407</v>
      </c>
      <c r="D14" s="152">
        <v>8.9</v>
      </c>
      <c r="E14" t="s">
        <v>379</v>
      </c>
    </row>
    <row r="15" spans="1:8">
      <c r="A15" s="58" t="s">
        <v>53</v>
      </c>
      <c r="B15" s="58" t="s">
        <v>407</v>
      </c>
      <c r="D15" s="152">
        <v>0.20200000000000001</v>
      </c>
      <c r="E15" t="s">
        <v>379</v>
      </c>
    </row>
    <row r="16" spans="1:8">
      <c r="A16" s="58" t="s">
        <v>105</v>
      </c>
      <c r="B16" s="58" t="s">
        <v>406</v>
      </c>
      <c r="D16"/>
    </row>
    <row r="17" spans="1:7">
      <c r="A17" s="58" t="s">
        <v>142</v>
      </c>
      <c r="B17" s="58" t="s">
        <v>407</v>
      </c>
      <c r="C17" t="s">
        <v>410</v>
      </c>
    </row>
    <row r="18" spans="1:7">
      <c r="A18" s="58" t="s">
        <v>66</v>
      </c>
      <c r="B18" s="58" t="s">
        <v>407</v>
      </c>
    </row>
    <row r="19" spans="1:7">
      <c r="A19" s="58" t="s">
        <v>147</v>
      </c>
      <c r="B19" s="58" t="s">
        <v>407</v>
      </c>
      <c r="D19" s="152">
        <v>10.35</v>
      </c>
      <c r="E19" t="s">
        <v>379</v>
      </c>
    </row>
    <row r="20" spans="1:7">
      <c r="A20" s="58" t="s">
        <v>281</v>
      </c>
      <c r="B20" s="58" t="s">
        <v>407</v>
      </c>
      <c r="C20" t="s">
        <v>413</v>
      </c>
      <c r="D20" s="152">
        <v>11.85</v>
      </c>
      <c r="E20" t="s">
        <v>379</v>
      </c>
    </row>
    <row r="21" spans="1:7">
      <c r="A21" s="23" t="s">
        <v>168</v>
      </c>
      <c r="B21" s="58" t="s">
        <v>407</v>
      </c>
    </row>
    <row r="22" spans="1:7">
      <c r="A22" s="58" t="s">
        <v>133</v>
      </c>
      <c r="B22" s="58" t="s">
        <v>407</v>
      </c>
      <c r="D22" s="152">
        <v>17.5</v>
      </c>
      <c r="E22" t="s">
        <v>379</v>
      </c>
    </row>
    <row r="23" spans="1:7">
      <c r="A23" s="58" t="s">
        <v>196</v>
      </c>
      <c r="B23" s="58" t="s">
        <v>407</v>
      </c>
      <c r="D23" s="152">
        <v>25.6</v>
      </c>
      <c r="E23" t="s">
        <v>379</v>
      </c>
    </row>
    <row r="24" spans="1:7">
      <c r="A24" s="58" t="s">
        <v>226</v>
      </c>
      <c r="B24" s="58" t="s">
        <v>407</v>
      </c>
      <c r="D24" s="152">
        <v>13.25</v>
      </c>
      <c r="E24" t="s">
        <v>379</v>
      </c>
    </row>
    <row r="25" spans="1:7">
      <c r="A25" s="58" t="s">
        <v>253</v>
      </c>
      <c r="B25" s="58" t="s">
        <v>407</v>
      </c>
      <c r="C25" t="s">
        <v>413</v>
      </c>
      <c r="D25" s="152">
        <v>6.75</v>
      </c>
      <c r="E25" t="s">
        <v>379</v>
      </c>
    </row>
    <row r="26" spans="1:7">
      <c r="A26" s="58" t="s">
        <v>279</v>
      </c>
      <c r="B26" s="58" t="s">
        <v>407</v>
      </c>
      <c r="D26" s="152">
        <v>8.1999999999999993</v>
      </c>
      <c r="E26" t="s">
        <v>379</v>
      </c>
    </row>
    <row r="27" spans="1:7">
      <c r="A27" s="58" t="s">
        <v>274</v>
      </c>
      <c r="B27" s="58" t="s">
        <v>407</v>
      </c>
      <c r="D27" s="152">
        <v>14</v>
      </c>
      <c r="E27" t="s">
        <v>379</v>
      </c>
    </row>
    <row r="28" spans="1:7">
      <c r="A28" s="58" t="s">
        <v>174</v>
      </c>
      <c r="B28" s="58" t="s">
        <v>407</v>
      </c>
    </row>
    <row r="29" spans="1:7">
      <c r="A29" s="58" t="s">
        <v>237</v>
      </c>
      <c r="B29" s="58" t="s">
        <v>407</v>
      </c>
      <c r="D29" s="152">
        <v>21.65</v>
      </c>
      <c r="E29" t="s">
        <v>379</v>
      </c>
    </row>
    <row r="30" spans="1:7">
      <c r="A30" s="58" t="s">
        <v>261</v>
      </c>
      <c r="B30" s="58" t="s">
        <v>407</v>
      </c>
      <c r="D30" s="152">
        <v>7.95</v>
      </c>
      <c r="E30" t="s">
        <v>379</v>
      </c>
    </row>
    <row r="31" spans="1:7">
      <c r="A31" s="58" t="s">
        <v>93</v>
      </c>
      <c r="B31" s="58" t="s">
        <v>407</v>
      </c>
      <c r="E31" t="s">
        <v>379</v>
      </c>
      <c r="F31" s="153">
        <v>34.299999999999997</v>
      </c>
      <c r="G31" s="153">
        <v>21.65</v>
      </c>
    </row>
    <row r="32" spans="1:7">
      <c r="A32" s="58" t="s">
        <v>92</v>
      </c>
      <c r="B32" s="58" t="s">
        <v>407</v>
      </c>
      <c r="D32" s="152">
        <v>49.6</v>
      </c>
      <c r="E32" t="s">
        <v>379</v>
      </c>
    </row>
    <row r="33" spans="1:16">
      <c r="A33" s="58" t="s">
        <v>252</v>
      </c>
      <c r="B33" s="58" t="s">
        <v>407</v>
      </c>
      <c r="D33" s="152">
        <v>11.4</v>
      </c>
      <c r="E33" t="s">
        <v>379</v>
      </c>
    </row>
    <row r="34" spans="1:16">
      <c r="A34" s="79" t="s">
        <v>227</v>
      </c>
      <c r="B34" s="58" t="s">
        <v>407</v>
      </c>
    </row>
    <row r="35" spans="1:16">
      <c r="A35" s="79" t="s">
        <v>118</v>
      </c>
      <c r="B35" s="58" t="s">
        <v>407</v>
      </c>
      <c r="N35">
        <v>36.6</v>
      </c>
      <c r="O35">
        <v>23.6</v>
      </c>
      <c r="P35">
        <v>38.6</v>
      </c>
    </row>
    <row r="36" spans="1:16">
      <c r="A36" s="71" t="s">
        <v>76</v>
      </c>
      <c r="B36" s="58" t="s">
        <v>407</v>
      </c>
    </row>
    <row r="37" spans="1:16">
      <c r="A37" s="58" t="s">
        <v>228</v>
      </c>
      <c r="B37" s="58" t="s">
        <v>407</v>
      </c>
      <c r="D37" s="152">
        <v>12</v>
      </c>
      <c r="E37" t="s">
        <v>379</v>
      </c>
    </row>
    <row r="38" spans="1:16">
      <c r="A38" s="58" t="s">
        <v>160</v>
      </c>
      <c r="B38" s="58" t="s">
        <v>407</v>
      </c>
      <c r="D38" s="152">
        <v>23</v>
      </c>
      <c r="E38" t="s">
        <v>379</v>
      </c>
    </row>
    <row r="39" spans="1:16">
      <c r="A39" s="58" t="s">
        <v>150</v>
      </c>
      <c r="B39" s="58" t="s">
        <v>407</v>
      </c>
      <c r="D39" s="152">
        <v>29.75</v>
      </c>
      <c r="E39" t="s">
        <v>379</v>
      </c>
    </row>
    <row r="40" spans="1:16">
      <c r="A40" s="58" t="s">
        <v>140</v>
      </c>
      <c r="B40" s="58" t="s">
        <v>407</v>
      </c>
      <c r="D40" s="152">
        <v>27.55</v>
      </c>
      <c r="E40" t="s">
        <v>379</v>
      </c>
    </row>
    <row r="41" spans="1:16">
      <c r="A41" s="58" t="s">
        <v>64</v>
      </c>
      <c r="B41" s="58" t="s">
        <v>407</v>
      </c>
      <c r="D41" s="152">
        <v>0.4</v>
      </c>
      <c r="E41" t="s">
        <v>379</v>
      </c>
    </row>
    <row r="42" spans="1:16">
      <c r="A42" s="58" t="s">
        <v>145</v>
      </c>
      <c r="B42" s="58" t="s">
        <v>407</v>
      </c>
    </row>
    <row r="43" spans="1:16">
      <c r="A43" s="58" t="s">
        <v>107</v>
      </c>
      <c r="B43" s="58" t="s">
        <v>407</v>
      </c>
      <c r="D43" s="152">
        <v>15.15</v>
      </c>
      <c r="E43" t="s">
        <v>379</v>
      </c>
    </row>
    <row r="44" spans="1:16">
      <c r="A44" s="79" t="s">
        <v>166</v>
      </c>
      <c r="B44" s="58" t="s">
        <v>407</v>
      </c>
      <c r="D44" s="152">
        <v>10.4</v>
      </c>
      <c r="E44" t="s">
        <v>379</v>
      </c>
    </row>
    <row r="45" spans="1:16">
      <c r="A45" s="58" t="s">
        <v>287</v>
      </c>
      <c r="B45" s="58" t="s">
        <v>407</v>
      </c>
      <c r="H45" s="153">
        <v>34.200000000000003</v>
      </c>
    </row>
    <row r="46" spans="1:16">
      <c r="A46" s="58" t="s">
        <v>116</v>
      </c>
      <c r="B46" s="58" t="s">
        <v>407</v>
      </c>
      <c r="D46" s="152">
        <v>9.6999999999999993</v>
      </c>
      <c r="E46" t="s">
        <v>379</v>
      </c>
    </row>
    <row r="47" spans="1:16">
      <c r="A47" s="58" t="s">
        <v>101</v>
      </c>
      <c r="B47" s="58" t="s">
        <v>407</v>
      </c>
      <c r="D47" s="152">
        <v>77.75</v>
      </c>
      <c r="E47" t="s">
        <v>379</v>
      </c>
      <c r="F47">
        <v>49</v>
      </c>
      <c r="G47">
        <v>28.9</v>
      </c>
    </row>
    <row r="48" spans="1:16">
      <c r="A48" s="58" t="s">
        <v>241</v>
      </c>
      <c r="B48" s="58" t="s">
        <v>407</v>
      </c>
      <c r="D48" s="152">
        <v>4.1500000000000004</v>
      </c>
      <c r="E48" t="s">
        <v>379</v>
      </c>
    </row>
    <row r="49" spans="1:8">
      <c r="A49" s="58" t="s">
        <v>96</v>
      </c>
      <c r="B49" s="58" t="s">
        <v>407</v>
      </c>
      <c r="D49" s="152">
        <v>106.65</v>
      </c>
      <c r="E49" t="s">
        <v>379</v>
      </c>
      <c r="F49" s="154">
        <v>27.35</v>
      </c>
      <c r="G49" s="154">
        <v>38.299999999999997</v>
      </c>
    </row>
    <row r="50" spans="1:8">
      <c r="A50" s="58" t="s">
        <v>233</v>
      </c>
      <c r="B50" s="58" t="s">
        <v>407</v>
      </c>
      <c r="D50" s="152">
        <v>5.5</v>
      </c>
    </row>
    <row r="51" spans="1:8">
      <c r="A51" s="58" t="s">
        <v>186</v>
      </c>
      <c r="B51" s="58" t="s">
        <v>407</v>
      </c>
    </row>
    <row r="52" spans="1:8">
      <c r="A52" s="58" t="s">
        <v>285</v>
      </c>
      <c r="B52" s="58" t="s">
        <v>407</v>
      </c>
    </row>
    <row r="53" spans="1:8">
      <c r="A53" s="58" t="s">
        <v>188</v>
      </c>
      <c r="B53" s="58" t="s">
        <v>407</v>
      </c>
      <c r="D53" s="152">
        <v>26.65</v>
      </c>
      <c r="E53" t="s">
        <v>379</v>
      </c>
    </row>
    <row r="54" spans="1:8">
      <c r="A54" s="58" t="s">
        <v>258</v>
      </c>
      <c r="B54" s="58" t="s">
        <v>407</v>
      </c>
      <c r="D54" s="152">
        <v>1.4</v>
      </c>
      <c r="E54" t="s">
        <v>379</v>
      </c>
      <c r="H54" s="154">
        <v>41.05</v>
      </c>
    </row>
    <row r="55" spans="1:8">
      <c r="A55" s="79" t="s">
        <v>144</v>
      </c>
      <c r="B55" s="58" t="s">
        <v>407</v>
      </c>
      <c r="D55" s="152">
        <v>23.8</v>
      </c>
      <c r="E55" t="s">
        <v>379</v>
      </c>
    </row>
    <row r="56" spans="1:8">
      <c r="A56" s="58" t="s">
        <v>102</v>
      </c>
      <c r="B56" s="58" t="s">
        <v>407</v>
      </c>
      <c r="D56" s="152">
        <v>29.3</v>
      </c>
      <c r="E56" t="s">
        <v>379</v>
      </c>
    </row>
    <row r="57" spans="1:8">
      <c r="A57" s="58" t="s">
        <v>263</v>
      </c>
      <c r="B57" s="58" t="s">
        <v>407</v>
      </c>
      <c r="D57" s="152">
        <v>4.45</v>
      </c>
      <c r="E57" t="s">
        <v>379</v>
      </c>
    </row>
    <row r="58" spans="1:8">
      <c r="A58" s="58" t="s">
        <v>322</v>
      </c>
      <c r="B58" s="58" t="s">
        <v>407</v>
      </c>
      <c r="D58" s="152">
        <v>0.7</v>
      </c>
      <c r="E58" t="s">
        <v>379</v>
      </c>
    </row>
    <row r="59" spans="1:8">
      <c r="A59" s="79" t="s">
        <v>267</v>
      </c>
      <c r="B59" s="58" t="s">
        <v>407</v>
      </c>
      <c r="D59" s="152">
        <v>6.7</v>
      </c>
      <c r="E59" t="s">
        <v>379</v>
      </c>
    </row>
    <row r="60" spans="1:8">
      <c r="A60" s="58" t="s">
        <v>220</v>
      </c>
      <c r="B60" s="58" t="s">
        <v>407</v>
      </c>
      <c r="D60" s="152">
        <v>6.5</v>
      </c>
      <c r="E60" t="s">
        <v>379</v>
      </c>
    </row>
    <row r="61" spans="1:8">
      <c r="A61" s="58" t="s">
        <v>169</v>
      </c>
      <c r="B61" s="58" t="s">
        <v>407</v>
      </c>
    </row>
    <row r="62" spans="1:8">
      <c r="A62" s="58" t="s">
        <v>54</v>
      </c>
      <c r="B62" s="58" t="s">
        <v>407</v>
      </c>
      <c r="D62" s="152">
        <v>0.26600000000000001</v>
      </c>
      <c r="E62" t="s">
        <v>379</v>
      </c>
    </row>
    <row r="63" spans="1:8">
      <c r="A63" s="79" t="s">
        <v>60</v>
      </c>
      <c r="B63" s="58" t="s">
        <v>407</v>
      </c>
      <c r="D63" s="152">
        <v>3.85</v>
      </c>
      <c r="E63" t="s">
        <v>379</v>
      </c>
    </row>
    <row r="64" spans="1:8">
      <c r="A64" s="58" t="s">
        <v>202</v>
      </c>
      <c r="B64" s="58" t="s">
        <v>407</v>
      </c>
      <c r="D64" s="152">
        <v>5.2</v>
      </c>
      <c r="E64" t="s">
        <v>379</v>
      </c>
    </row>
    <row r="65" spans="1:7">
      <c r="A65" s="58" t="s">
        <v>71</v>
      </c>
      <c r="B65" s="58" t="s">
        <v>406</v>
      </c>
      <c r="D65"/>
    </row>
    <row r="66" spans="1:7">
      <c r="A66" s="58" t="s">
        <v>95</v>
      </c>
      <c r="B66" s="58" t="s">
        <v>407</v>
      </c>
      <c r="D66" s="152">
        <v>39.049999999999997</v>
      </c>
      <c r="E66" t="s">
        <v>379</v>
      </c>
    </row>
    <row r="67" spans="1:7">
      <c r="A67" s="58" t="s">
        <v>236</v>
      </c>
      <c r="B67" s="58" t="s">
        <v>407</v>
      </c>
      <c r="D67" s="152">
        <v>8.9</v>
      </c>
      <c r="E67" t="s">
        <v>379</v>
      </c>
    </row>
    <row r="68" spans="1:7">
      <c r="A68" s="58" t="s">
        <v>231</v>
      </c>
      <c r="B68" s="58" t="s">
        <v>407</v>
      </c>
      <c r="E68" t="s">
        <v>379</v>
      </c>
      <c r="F68">
        <v>4.2</v>
      </c>
      <c r="G68">
        <v>1.35</v>
      </c>
    </row>
    <row r="69" spans="1:7">
      <c r="A69" s="58" t="s">
        <v>156</v>
      </c>
      <c r="B69" s="58" t="s">
        <v>407</v>
      </c>
      <c r="D69" s="152">
        <v>42.95</v>
      </c>
      <c r="E69" t="s">
        <v>379</v>
      </c>
    </row>
    <row r="70" spans="1:7">
      <c r="A70" s="58" t="s">
        <v>210</v>
      </c>
      <c r="B70" s="58" t="s">
        <v>407</v>
      </c>
      <c r="D70" s="152">
        <v>12.2</v>
      </c>
      <c r="E70" t="s">
        <v>379</v>
      </c>
    </row>
    <row r="71" spans="1:7">
      <c r="A71" s="58" t="s">
        <v>157</v>
      </c>
      <c r="B71" s="58" t="s">
        <v>407</v>
      </c>
      <c r="D71" s="152">
        <v>18.75</v>
      </c>
      <c r="E71" t="s">
        <v>379</v>
      </c>
    </row>
    <row r="72" spans="1:7">
      <c r="A72" s="58" t="s">
        <v>181</v>
      </c>
      <c r="B72" s="58" t="s">
        <v>407</v>
      </c>
      <c r="D72" s="152">
        <v>6.4</v>
      </c>
      <c r="E72" t="s">
        <v>379</v>
      </c>
    </row>
    <row r="73" spans="1:7">
      <c r="A73" s="58" t="s">
        <v>277</v>
      </c>
      <c r="B73" s="58" t="s">
        <v>407</v>
      </c>
    </row>
    <row r="74" spans="1:7" s="153" customFormat="1">
      <c r="A74" s="71" t="s">
        <v>280</v>
      </c>
      <c r="B74" s="71" t="s">
        <v>407</v>
      </c>
      <c r="D74" s="155"/>
    </row>
    <row r="75" spans="1:7">
      <c r="A75" s="79" t="s">
        <v>149</v>
      </c>
      <c r="B75" s="58" t="s">
        <v>407</v>
      </c>
      <c r="D75" s="152">
        <v>35.200000000000003</v>
      </c>
      <c r="E75" t="s">
        <v>379</v>
      </c>
    </row>
    <row r="76" spans="1:7">
      <c r="A76" s="58" t="s">
        <v>298</v>
      </c>
      <c r="B76" s="58" t="s">
        <v>407</v>
      </c>
      <c r="D76" s="152">
        <v>2.95</v>
      </c>
      <c r="E76" t="s">
        <v>379</v>
      </c>
    </row>
    <row r="77" spans="1:7">
      <c r="A77" s="58" t="s">
        <v>284</v>
      </c>
      <c r="B77" s="58" t="s">
        <v>407</v>
      </c>
      <c r="D77" s="152">
        <v>5.85</v>
      </c>
      <c r="E77" t="s">
        <v>379</v>
      </c>
    </row>
    <row r="78" spans="1:7">
      <c r="A78" s="58" t="s">
        <v>61</v>
      </c>
      <c r="B78" s="58" t="s">
        <v>407</v>
      </c>
      <c r="D78" s="152">
        <v>345</v>
      </c>
      <c r="E78" t="s">
        <v>379</v>
      </c>
    </row>
    <row r="79" spans="1:7">
      <c r="A79" s="58" t="s">
        <v>63</v>
      </c>
      <c r="B79" s="58" t="s">
        <v>407</v>
      </c>
      <c r="D79" s="152">
        <v>0.30599999999999999</v>
      </c>
      <c r="E79" t="s">
        <v>379</v>
      </c>
    </row>
    <row r="80" spans="1:7">
      <c r="A80" s="58" t="s">
        <v>137</v>
      </c>
      <c r="B80" s="58" t="s">
        <v>407</v>
      </c>
    </row>
    <row r="81" spans="1:5">
      <c r="A81" s="58" t="s">
        <v>55</v>
      </c>
      <c r="B81" s="58" t="s">
        <v>407</v>
      </c>
    </row>
    <row r="82" spans="1:5">
      <c r="A82" s="77" t="s">
        <v>323</v>
      </c>
      <c r="B82" s="58" t="s">
        <v>407</v>
      </c>
    </row>
    <row r="83" spans="1:5">
      <c r="A83" s="151" t="s">
        <v>325</v>
      </c>
      <c r="B83" s="58" t="s">
        <v>407</v>
      </c>
    </row>
    <row r="84" spans="1:5">
      <c r="A84" s="151" t="s">
        <v>381</v>
      </c>
      <c r="B84" s="58" t="e">
        <v>#N/A</v>
      </c>
      <c r="D84"/>
    </row>
    <row r="85" spans="1:5">
      <c r="A85" s="151" t="s">
        <v>362</v>
      </c>
      <c r="B85" s="58" t="s">
        <v>407</v>
      </c>
    </row>
    <row r="86" spans="1:5">
      <c r="A86" s="151" t="s">
        <v>383</v>
      </c>
      <c r="B86" s="58" t="e">
        <v>#N/A</v>
      </c>
      <c r="D86"/>
    </row>
    <row r="87" spans="1:5">
      <c r="A87" s="151" t="s">
        <v>384</v>
      </c>
      <c r="B87" s="58" t="e">
        <v>#N/A</v>
      </c>
      <c r="D87"/>
    </row>
    <row r="88" spans="1:5">
      <c r="A88" s="151" t="s">
        <v>51</v>
      </c>
      <c r="B88" s="58" t="s">
        <v>407</v>
      </c>
    </row>
    <row r="89" spans="1:5">
      <c r="A89" s="151" t="s">
        <v>385</v>
      </c>
      <c r="B89" s="58" t="e">
        <v>#N/A</v>
      </c>
      <c r="D89"/>
    </row>
    <row r="90" spans="1:5">
      <c r="A90" s="77" t="s">
        <v>300</v>
      </c>
      <c r="B90" s="58" t="s">
        <v>406</v>
      </c>
      <c r="D90"/>
    </row>
    <row r="91" spans="1:5">
      <c r="A91" s="151" t="s">
        <v>50</v>
      </c>
      <c r="B91" s="58" t="s">
        <v>407</v>
      </c>
    </row>
    <row r="92" spans="1:5">
      <c r="A92" s="151" t="s">
        <v>47</v>
      </c>
      <c r="B92" s="58" t="s">
        <v>407</v>
      </c>
    </row>
    <row r="93" spans="1:5">
      <c r="A93" s="79" t="s">
        <v>250</v>
      </c>
      <c r="B93" s="58" t="s">
        <v>407</v>
      </c>
      <c r="D93" s="152">
        <v>29.75</v>
      </c>
      <c r="E93" t="s">
        <v>379</v>
      </c>
    </row>
    <row r="94" spans="1:5">
      <c r="A94" s="79" t="s">
        <v>386</v>
      </c>
      <c r="B94" s="58" t="e">
        <v>#N/A</v>
      </c>
      <c r="D94"/>
    </row>
    <row r="95" spans="1:5">
      <c r="A95" s="79" t="s">
        <v>387</v>
      </c>
      <c r="B95" s="58" t="e">
        <v>#N/A</v>
      </c>
      <c r="D95"/>
    </row>
    <row r="96" spans="1:5">
      <c r="A96" s="114" t="s">
        <v>388</v>
      </c>
      <c r="B96" s="58" t="s">
        <v>406</v>
      </c>
      <c r="D96"/>
    </row>
    <row r="97" spans="1:6">
      <c r="A97" s="77" t="s">
        <v>352</v>
      </c>
      <c r="B97" s="58" t="s">
        <v>406</v>
      </c>
      <c r="D97"/>
    </row>
    <row r="98" spans="1:6">
      <c r="A98" s="114" t="s">
        <v>389</v>
      </c>
      <c r="B98" s="58" t="s">
        <v>406</v>
      </c>
      <c r="D98"/>
    </row>
    <row r="99" spans="1:6">
      <c r="A99" s="58" t="s">
        <v>58</v>
      </c>
      <c r="B99" s="58" t="s">
        <v>407</v>
      </c>
      <c r="D99" s="152">
        <v>11.25</v>
      </c>
      <c r="E99" t="s">
        <v>379</v>
      </c>
    </row>
    <row r="100" spans="1:6">
      <c r="A100" s="77" t="s">
        <v>230</v>
      </c>
      <c r="B100" s="58" t="s">
        <v>406</v>
      </c>
      <c r="D100"/>
    </row>
    <row r="101" spans="1:6">
      <c r="A101" s="77" t="s">
        <v>294</v>
      </c>
      <c r="B101" s="58" t="s">
        <v>406</v>
      </c>
      <c r="D101"/>
    </row>
    <row r="102" spans="1:6">
      <c r="A102" s="77" t="s">
        <v>104</v>
      </c>
      <c r="B102" s="58" t="s">
        <v>406</v>
      </c>
      <c r="D102"/>
    </row>
    <row r="103" spans="1:6">
      <c r="A103" s="77" t="s">
        <v>390</v>
      </c>
      <c r="B103" s="58" t="s">
        <v>406</v>
      </c>
      <c r="D103"/>
    </row>
    <row r="104" spans="1:6">
      <c r="A104" s="58" t="s">
        <v>306</v>
      </c>
      <c r="B104" s="58" t="s">
        <v>407</v>
      </c>
    </row>
    <row r="105" spans="1:6">
      <c r="A105" s="150" t="s">
        <v>99</v>
      </c>
      <c r="B105" s="58" t="s">
        <v>407</v>
      </c>
      <c r="E105" t="s">
        <v>379</v>
      </c>
      <c r="F105">
        <v>18.399999999999999</v>
      </c>
    </row>
    <row r="106" spans="1:6">
      <c r="A106" s="149" t="s">
        <v>276</v>
      </c>
      <c r="B106" s="58" t="s">
        <v>407</v>
      </c>
      <c r="D106" s="152">
        <v>14.35</v>
      </c>
      <c r="E106" t="s">
        <v>379</v>
      </c>
    </row>
    <row r="107" spans="1:6">
      <c r="A107" s="58" t="s">
        <v>139</v>
      </c>
      <c r="B107" s="58" t="s">
        <v>406</v>
      </c>
      <c r="D107"/>
    </row>
    <row r="108" spans="1:6">
      <c r="A108" s="58" t="s">
        <v>128</v>
      </c>
      <c r="B108" s="58" t="s">
        <v>407</v>
      </c>
    </row>
    <row r="109" spans="1:6">
      <c r="A109" s="58" t="s">
        <v>182</v>
      </c>
      <c r="B109" s="58" t="s">
        <v>406</v>
      </c>
      <c r="D109"/>
    </row>
    <row r="110" spans="1:6">
      <c r="A110" s="58" t="s">
        <v>69</v>
      </c>
      <c r="B110" s="58" t="s">
        <v>407</v>
      </c>
      <c r="D110" s="152">
        <v>10.1</v>
      </c>
      <c r="E110" t="s">
        <v>379</v>
      </c>
    </row>
    <row r="111" spans="1:6">
      <c r="A111" s="114" t="s">
        <v>367</v>
      </c>
      <c r="B111" s="58" t="s">
        <v>406</v>
      </c>
      <c r="D111"/>
    </row>
    <row r="112" spans="1:6">
      <c r="A112" s="114" t="s">
        <v>368</v>
      </c>
      <c r="B112" s="58" t="s">
        <v>406</v>
      </c>
      <c r="D112"/>
    </row>
    <row r="113" spans="1:5">
      <c r="A113" s="114" t="s">
        <v>340</v>
      </c>
      <c r="B113" s="58" t="s">
        <v>406</v>
      </c>
      <c r="D113"/>
    </row>
    <row r="114" spans="1:5">
      <c r="A114" s="58" t="s">
        <v>243</v>
      </c>
      <c r="B114" s="58" t="s">
        <v>406</v>
      </c>
      <c r="D114"/>
    </row>
    <row r="115" spans="1:5">
      <c r="A115" s="149" t="s">
        <v>414</v>
      </c>
      <c r="B115" s="58" t="s">
        <v>407</v>
      </c>
      <c r="D115" s="152">
        <v>1.55</v>
      </c>
      <c r="E115" t="s">
        <v>379</v>
      </c>
    </row>
    <row r="116" spans="1:5">
      <c r="A116" s="114" t="s">
        <v>365</v>
      </c>
      <c r="B116" s="58" t="s">
        <v>406</v>
      </c>
      <c r="D116"/>
    </row>
    <row r="117" spans="1:5">
      <c r="A117" s="58"/>
      <c r="B117" s="58" t="e">
        <v>#N/A</v>
      </c>
      <c r="D117"/>
    </row>
    <row r="118" spans="1:5">
      <c r="A118" s="77" t="s">
        <v>358</v>
      </c>
      <c r="B118" s="58" t="s">
        <v>406</v>
      </c>
      <c r="D118"/>
    </row>
  </sheetData>
  <autoFilter ref="A1:G1" xr:uid="{0FD18BA1-C505-4115-8E12-3206B7743AF7}"/>
  <conditionalFormatting sqref="A1:A43">
    <cfRule type="duplicateValues" dxfId="23" priority="23"/>
  </conditionalFormatting>
  <conditionalFormatting sqref="A1:A43">
    <cfRule type="duplicateValues" dxfId="22" priority="24"/>
  </conditionalFormatting>
  <conditionalFormatting sqref="B1:B43">
    <cfRule type="duplicateValues" dxfId="21" priority="21"/>
  </conditionalFormatting>
  <conditionalFormatting sqref="B1:B43">
    <cfRule type="cellIs" dxfId="20" priority="20" operator="lessThan">
      <formula>6</formula>
    </cfRule>
  </conditionalFormatting>
  <conditionalFormatting sqref="B1:B43">
    <cfRule type="duplicateValues" dxfId="19" priority="22"/>
  </conditionalFormatting>
  <conditionalFormatting sqref="A117:A118 A84:A85 A104:A114 A44:A80">
    <cfRule type="duplicateValues" dxfId="18" priority="11"/>
  </conditionalFormatting>
  <conditionalFormatting sqref="A44:A118">
    <cfRule type="duplicateValues" dxfId="17" priority="12"/>
  </conditionalFormatting>
  <conditionalFormatting sqref="A81">
    <cfRule type="duplicateValues" dxfId="16" priority="13"/>
    <cfRule type="duplicateValues" dxfId="15" priority="14"/>
  </conditionalFormatting>
  <conditionalFormatting sqref="A83">
    <cfRule type="duplicateValues" dxfId="14" priority="15"/>
    <cfRule type="duplicateValues" dxfId="13" priority="16"/>
  </conditionalFormatting>
  <conditionalFormatting sqref="A86:A89">
    <cfRule type="duplicateValues" dxfId="12" priority="17"/>
    <cfRule type="duplicateValues" dxfId="11" priority="18"/>
  </conditionalFormatting>
  <conditionalFormatting sqref="A115:A116">
    <cfRule type="duplicateValues" dxfId="10" priority="19"/>
  </conditionalFormatting>
  <conditionalFormatting sqref="B44:B118">
    <cfRule type="duplicateValues" dxfId="9" priority="2"/>
  </conditionalFormatting>
  <conditionalFormatting sqref="B44:B118">
    <cfRule type="cellIs" dxfId="8" priority="1" operator="lessThan">
      <formula>6</formula>
    </cfRule>
  </conditionalFormatting>
  <conditionalFormatting sqref="B44:B118">
    <cfRule type="duplicateValues" dxfId="7" priority="3"/>
  </conditionalFormatting>
  <conditionalFormatting sqref="B81">
    <cfRule type="duplicateValues" dxfId="6" priority="4"/>
    <cfRule type="duplicateValues" dxfId="5" priority="5"/>
  </conditionalFormatting>
  <conditionalFormatting sqref="B83">
    <cfRule type="duplicateValues" dxfId="4" priority="6"/>
    <cfRule type="duplicateValues" dxfId="3" priority="7"/>
  </conditionalFormatting>
  <conditionalFormatting sqref="B86:B89">
    <cfRule type="duplicateValues" dxfId="2" priority="8"/>
    <cfRule type="duplicateValues" dxfId="1" priority="9"/>
  </conditionalFormatting>
  <conditionalFormatting sqref="B115:B116">
    <cfRule type="duplicateValues" dxfId="0" priority="1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C2BC697E9BB41B957AEB0F1881CD7" ma:contentTypeVersion="12" ma:contentTypeDescription="Create a new document." ma:contentTypeScope="" ma:versionID="d04708e1a096049151e2ccc42e0a9117">
  <xsd:schema xmlns:xsd="http://www.w3.org/2001/XMLSchema" xmlns:xs="http://www.w3.org/2001/XMLSchema" xmlns:p="http://schemas.microsoft.com/office/2006/metadata/properties" xmlns:ns2="e19a4548-bb3a-420e-8693-2daed139d876" xmlns:ns3="605a4f2b-88cd-4823-a83a-df73f6337886" targetNamespace="http://schemas.microsoft.com/office/2006/metadata/properties" ma:root="true" ma:fieldsID="56e1144da12f1f75e35942dfe3b0f4ba" ns2:_="" ns3:_="">
    <xsd:import namespace="e19a4548-bb3a-420e-8693-2daed139d876"/>
    <xsd:import namespace="605a4f2b-88cd-4823-a83a-df73f6337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a4548-bb3a-420e-8693-2daed139d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29e7da9-676b-4a26-a0eb-bdb38cae83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5a4f2b-88cd-4823-a83a-df73f6337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18e3ff8-dc24-4496-b4bb-88d3436340fb}" ma:internalName="TaxCatchAll" ma:showField="CatchAllData" ma:web="605a4f2b-88cd-4823-a83a-df73f6337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9a4548-bb3a-420e-8693-2daed139d876">
      <Terms xmlns="http://schemas.microsoft.com/office/infopath/2007/PartnerControls"/>
    </lcf76f155ced4ddcb4097134ff3c332f>
    <TaxCatchAll xmlns="605a4f2b-88cd-4823-a83a-df73f6337886" xsi:nil="true"/>
  </documentManagement>
</p:properties>
</file>

<file path=customXml/itemProps1.xml><?xml version="1.0" encoding="utf-8"?>
<ds:datastoreItem xmlns:ds="http://schemas.openxmlformats.org/officeDocument/2006/customXml" ds:itemID="{11650AF1-32E6-4CAF-9954-491AD4D0F8E0}"/>
</file>

<file path=customXml/itemProps2.xml><?xml version="1.0" encoding="utf-8"?>
<ds:datastoreItem xmlns:ds="http://schemas.openxmlformats.org/officeDocument/2006/customXml" ds:itemID="{77E0E425-8EA4-4405-A765-CCE1D579AC81}"/>
</file>

<file path=customXml/itemProps3.xml><?xml version="1.0" encoding="utf-8"?>
<ds:datastoreItem xmlns:ds="http://schemas.openxmlformats.org/officeDocument/2006/customXml" ds:itemID="{AE3DB6CD-1C5B-4A3D-BDFA-068C13B996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2026-02-02T11:28:26Z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0x010100A79C2BC697E9BB41B957AEB0F1881CD7</vt:lpwstr>
  </property>
  <property fmtid="{D5CDD505-2E9C-101B-9397-08002B2CF9AE}" pid="3" name="MediaServiceImageTags">
    <vt:lpwstr/>
  </property>
</Properties>
</file>